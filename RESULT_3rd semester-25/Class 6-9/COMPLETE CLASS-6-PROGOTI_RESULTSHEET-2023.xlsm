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drawings/drawing5.xml" ContentType="application/vnd.openxmlformats-officedocument.drawin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/>
  <workbookPr defaultThemeVersion="124226"/>
  <bookViews>
    <workbookView xWindow="14910" yWindow="-210" windowWidth="29040" windowHeight="15840" activeTab="4"/>
  </bookViews>
  <sheets>
    <sheet name="1st_semester" sheetId="3" r:id="rId1"/>
    <sheet name="2nd_Semester" sheetId="1" r:id="rId2"/>
    <sheet name="3rd_Semester" sheetId="4" r:id="rId3"/>
    <sheet name="Result card " sheetId="2" state="hidden" r:id="rId4"/>
    <sheet name="ANNUAL_CARD" sheetId="5" r:id="rId5"/>
  </sheets>
  <externalReferences>
    <externalReference r:id="rId6"/>
  </externalReferenc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5" i="5"/>
  <c r="AN8" i="4" l="1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N55"/>
  <c r="AN56"/>
  <c r="AN57"/>
  <c r="AN58"/>
  <c r="AN59"/>
  <c r="AN7"/>
  <c r="AM8"/>
  <c r="AM9"/>
  <c r="AM10"/>
  <c r="AM11"/>
  <c r="AM12"/>
  <c r="AM13"/>
  <c r="AM14"/>
  <c r="AM15"/>
  <c r="AM16"/>
  <c r="AM17"/>
  <c r="AM18"/>
  <c r="AM19"/>
  <c r="AM20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7"/>
  <c r="AL8"/>
  <c r="AL9"/>
  <c r="AL10"/>
  <c r="AL11"/>
  <c r="AL12"/>
  <c r="AL13"/>
  <c r="AL14"/>
  <c r="AL15"/>
  <c r="AL16"/>
  <c r="AL17"/>
  <c r="AL18"/>
  <c r="AL19"/>
  <c r="AL20"/>
  <c r="AL21"/>
  <c r="AL22"/>
  <c r="AL23"/>
  <c r="AL24"/>
  <c r="AL25"/>
  <c r="AL26"/>
  <c r="AL27"/>
  <c r="AL28"/>
  <c r="AL29"/>
  <c r="AL30"/>
  <c r="AL31"/>
  <c r="AL32"/>
  <c r="AL33"/>
  <c r="AL34"/>
  <c r="AL35"/>
  <c r="AL36"/>
  <c r="AL37"/>
  <c r="AL38"/>
  <c r="AL39"/>
  <c r="AL40"/>
  <c r="AL41"/>
  <c r="AL42"/>
  <c r="AL43"/>
  <c r="AL44"/>
  <c r="AL45"/>
  <c r="AL46"/>
  <c r="AL47"/>
  <c r="AL48"/>
  <c r="AL49"/>
  <c r="AL50"/>
  <c r="AL51"/>
  <c r="AL52"/>
  <c r="AL53"/>
  <c r="AL54"/>
  <c r="AL55"/>
  <c r="AL56"/>
  <c r="AL57"/>
  <c r="AL58"/>
  <c r="AL59"/>
  <c r="AL7"/>
  <c r="AK8"/>
  <c r="AK9"/>
  <c r="AK10"/>
  <c r="AK11"/>
  <c r="AK12"/>
  <c r="AK13"/>
  <c r="AK14"/>
  <c r="AK15"/>
  <c r="AK16"/>
  <c r="AK17"/>
  <c r="AK18"/>
  <c r="AK19"/>
  <c r="AK20"/>
  <c r="AK21"/>
  <c r="AK22"/>
  <c r="AK23"/>
  <c r="AK24"/>
  <c r="AK25"/>
  <c r="AK26"/>
  <c r="AK27"/>
  <c r="AK28"/>
  <c r="AK29"/>
  <c r="AK30"/>
  <c r="AK31"/>
  <c r="AK32"/>
  <c r="AK33"/>
  <c r="AK34"/>
  <c r="AK35"/>
  <c r="AK36"/>
  <c r="AK37"/>
  <c r="AK38"/>
  <c r="AK39"/>
  <c r="AK40"/>
  <c r="AK41"/>
  <c r="AK42"/>
  <c r="AK43"/>
  <c r="AK44"/>
  <c r="AK45"/>
  <c r="AK46"/>
  <c r="AK47"/>
  <c r="AK48"/>
  <c r="AK49"/>
  <c r="AK50"/>
  <c r="AK51"/>
  <c r="AK52"/>
  <c r="AK53"/>
  <c r="AK54"/>
  <c r="AK55"/>
  <c r="AK56"/>
  <c r="AK57"/>
  <c r="AK58"/>
  <c r="AK59"/>
  <c r="AK7"/>
  <c r="AH7"/>
  <c r="AG52"/>
  <c r="AG53"/>
  <c r="AG54"/>
  <c r="AG55"/>
  <c r="AG56"/>
  <c r="AG57"/>
  <c r="AG58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D30"/>
  <c r="AE30"/>
  <c r="AF30" s="1"/>
  <c r="AD31"/>
  <c r="AE31"/>
  <c r="AF31" s="1"/>
  <c r="AD32"/>
  <c r="AE32"/>
  <c r="AF32" s="1"/>
  <c r="AD33"/>
  <c r="AE33" s="1"/>
  <c r="AF33" s="1"/>
  <c r="AD34"/>
  <c r="AE34"/>
  <c r="AF34" s="1"/>
  <c r="AD35"/>
  <c r="AE35"/>
  <c r="AF35" s="1"/>
  <c r="AD36"/>
  <c r="AE36"/>
  <c r="AF36" s="1"/>
  <c r="AD37"/>
  <c r="AE37" s="1"/>
  <c r="AF37" s="1"/>
  <c r="AD38"/>
  <c r="AE38"/>
  <c r="AF38" s="1"/>
  <c r="AD39"/>
  <c r="AE39"/>
  <c r="AF39" s="1"/>
  <c r="AD40"/>
  <c r="AE40"/>
  <c r="AF40" s="1"/>
  <c r="AD41"/>
  <c r="AE41" s="1"/>
  <c r="AF41" s="1"/>
  <c r="AD42"/>
  <c r="AE42"/>
  <c r="AF42" s="1"/>
  <c r="AD43"/>
  <c r="AE43"/>
  <c r="AF43" s="1"/>
  <c r="AD44"/>
  <c r="AE44"/>
  <c r="AF44" s="1"/>
  <c r="AD45"/>
  <c r="AE45" s="1"/>
  <c r="AF45" s="1"/>
  <c r="AD46"/>
  <c r="AE46"/>
  <c r="AF46" s="1"/>
  <c r="AD47"/>
  <c r="AE47"/>
  <c r="AF47" s="1"/>
  <c r="AD48"/>
  <c r="AE48"/>
  <c r="AF48" s="1"/>
  <c r="AD49"/>
  <c r="AE49" s="1"/>
  <c r="AF49" s="1"/>
  <c r="AD50"/>
  <c r="AE50"/>
  <c r="AF50" s="1"/>
  <c r="AD51"/>
  <c r="AE51"/>
  <c r="AF51" s="1"/>
  <c r="AD52"/>
  <c r="AE52"/>
  <c r="AF52" s="1"/>
  <c r="AD53"/>
  <c r="AE53"/>
  <c r="AF53" s="1"/>
  <c r="AD54"/>
  <c r="AE54"/>
  <c r="AF54" s="1"/>
  <c r="AD55"/>
  <c r="AE55"/>
  <c r="AF55" s="1"/>
  <c r="AH10"/>
  <c r="AH11"/>
  <c r="AH12"/>
  <c r="AH13"/>
  <c r="AH15"/>
  <c r="AH16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A48"/>
  <c r="AA47"/>
  <c r="AA46"/>
  <c r="AA45"/>
  <c r="AA44"/>
  <c r="AA43"/>
  <c r="AA42"/>
  <c r="AA41"/>
  <c r="AA40"/>
  <c r="AA39"/>
  <c r="AA38"/>
  <c r="AA37"/>
  <c r="AA36"/>
  <c r="AA35"/>
  <c r="AA34"/>
  <c r="AA33"/>
  <c r="AA32"/>
  <c r="AA31"/>
  <c r="AA30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H10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O29"/>
  <c r="O48"/>
  <c r="O49"/>
  <c r="J30"/>
  <c r="J33"/>
  <c r="M30"/>
  <c r="O30" s="1"/>
  <c r="M31"/>
  <c r="O31" s="1"/>
  <c r="M32"/>
  <c r="O32" s="1"/>
  <c r="M33"/>
  <c r="O33" s="1"/>
  <c r="M34"/>
  <c r="O34" s="1"/>
  <c r="M35"/>
  <c r="O35" s="1"/>
  <c r="M36"/>
  <c r="O36" s="1"/>
  <c r="M37"/>
  <c r="O37" s="1"/>
  <c r="M38"/>
  <c r="O38" s="1"/>
  <c r="M39"/>
  <c r="O39" s="1"/>
  <c r="M40"/>
  <c r="O40" s="1"/>
  <c r="M41"/>
  <c r="O41" s="1"/>
  <c r="M42"/>
  <c r="O42" s="1"/>
  <c r="M43"/>
  <c r="O43" s="1"/>
  <c r="M44"/>
  <c r="O44" s="1"/>
  <c r="M45"/>
  <c r="O45" s="1"/>
  <c r="M46"/>
  <c r="O46" s="1"/>
  <c r="M47"/>
  <c r="O47" s="1"/>
  <c r="M48"/>
  <c r="M49"/>
  <c r="M50"/>
  <c r="O50" s="1"/>
  <c r="M51"/>
  <c r="O51" s="1"/>
  <c r="M52"/>
  <c r="O52" s="1"/>
  <c r="M53"/>
  <c r="O53" s="1"/>
  <c r="M54"/>
  <c r="O54" s="1"/>
  <c r="M55"/>
  <c r="O55" s="1"/>
  <c r="M56"/>
  <c r="O56" s="1"/>
  <c r="M57"/>
  <c r="O57" s="1"/>
  <c r="M58"/>
  <c r="O58" s="1"/>
  <c r="M59"/>
  <c r="O59" s="1"/>
  <c r="M8"/>
  <c r="O8" s="1"/>
  <c r="M9"/>
  <c r="O9" s="1"/>
  <c r="M10"/>
  <c r="O10" s="1"/>
  <c r="M11"/>
  <c r="O11" s="1"/>
  <c r="M12"/>
  <c r="O12" s="1"/>
  <c r="M13"/>
  <c r="O13" s="1"/>
  <c r="M14"/>
  <c r="O14" s="1"/>
  <c r="M15"/>
  <c r="O15" s="1"/>
  <c r="M16"/>
  <c r="O16" s="1"/>
  <c r="M17"/>
  <c r="O17" s="1"/>
  <c r="M18"/>
  <c r="O18" s="1"/>
  <c r="M19"/>
  <c r="O19" s="1"/>
  <c r="M20"/>
  <c r="O20" s="1"/>
  <c r="M21"/>
  <c r="O21" s="1"/>
  <c r="M22"/>
  <c r="O22" s="1"/>
  <c r="M23"/>
  <c r="O23" s="1"/>
  <c r="M24"/>
  <c r="O24" s="1"/>
  <c r="M25"/>
  <c r="O25" s="1"/>
  <c r="M26"/>
  <c r="O26" s="1"/>
  <c r="M27"/>
  <c r="O27" s="1"/>
  <c r="M28"/>
  <c r="O28" s="1"/>
  <c r="M29"/>
  <c r="H8"/>
  <c r="H9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J31" s="1"/>
  <c r="H32"/>
  <c r="J32" s="1"/>
  <c r="H33"/>
  <c r="H34"/>
  <c r="J34" s="1"/>
  <c r="H35"/>
  <c r="J35" s="1"/>
  <c r="H36"/>
  <c r="J36" s="1"/>
  <c r="H37"/>
  <c r="J37" s="1"/>
  <c r="H38"/>
  <c r="J38" s="1"/>
  <c r="H39"/>
  <c r="J39" s="1"/>
  <c r="H40"/>
  <c r="J40" s="1"/>
  <c r="H41"/>
  <c r="J41" s="1"/>
  <c r="H42"/>
  <c r="J42" s="1"/>
  <c r="H43"/>
  <c r="J43" s="1"/>
  <c r="H44"/>
  <c r="J44" s="1"/>
  <c r="H45"/>
  <c r="J45" s="1"/>
  <c r="H46"/>
  <c r="J46" s="1"/>
  <c r="H47"/>
  <c r="J47" s="1"/>
  <c r="H48"/>
  <c r="J48" s="1"/>
  <c r="H49"/>
  <c r="J49" s="1"/>
  <c r="H50"/>
  <c r="J50" s="1"/>
  <c r="H51"/>
  <c r="H52"/>
  <c r="H53"/>
  <c r="H54"/>
  <c r="H55"/>
  <c r="H56"/>
  <c r="H57"/>
  <c r="H58"/>
  <c r="H59"/>
  <c r="AH31" i="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G32"/>
  <c r="AG33"/>
  <c r="AG34"/>
  <c r="AG35"/>
  <c r="AG36"/>
  <c r="AG37"/>
  <c r="AG38"/>
  <c r="AG39"/>
  <c r="AG40"/>
  <c r="AG41"/>
  <c r="AG42"/>
  <c r="AG43"/>
  <c r="AG44"/>
  <c r="AG45"/>
  <c r="AG46"/>
  <c r="AG47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A32"/>
  <c r="AA33"/>
  <c r="AA34"/>
  <c r="AA35"/>
  <c r="AE35" s="1"/>
  <c r="AA36"/>
  <c r="AA37"/>
  <c r="AA38"/>
  <c r="AA39"/>
  <c r="AE39" s="1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X58"/>
  <c r="X59"/>
  <c r="X60"/>
  <c r="X61"/>
  <c r="X62"/>
  <c r="X63"/>
  <c r="X32"/>
  <c r="X33"/>
  <c r="X34"/>
  <c r="AE34" s="1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R32"/>
  <c r="R33"/>
  <c r="R34"/>
  <c r="R35"/>
  <c r="R36"/>
  <c r="R37"/>
  <c r="R38"/>
  <c r="R39"/>
  <c r="R40"/>
  <c r="R41"/>
  <c r="R42"/>
  <c r="R43"/>
  <c r="R44"/>
  <c r="R45"/>
  <c r="R46"/>
  <c r="R47"/>
  <c r="AE47" s="1"/>
  <c r="R48"/>
  <c r="R49"/>
  <c r="O30"/>
  <c r="AE30" s="1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AE38"/>
  <c r="AE40"/>
  <c r="AE41"/>
  <c r="AE60"/>
  <c r="AE61"/>
  <c r="AE62"/>
  <c r="AE63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AH17" i="4" l="1"/>
  <c r="AH14"/>
  <c r="AE36" i="1"/>
  <c r="AE43"/>
  <c r="AE37"/>
  <c r="AE45"/>
  <c r="AE33"/>
  <c r="AE46"/>
  <c r="AE42"/>
  <c r="AE44"/>
  <c r="AE32"/>
  <c r="AH38" i="3" l="1"/>
  <c r="AH55"/>
  <c r="AH61"/>
  <c r="AH62"/>
  <c r="AH63"/>
  <c r="AH64"/>
  <c r="AF61"/>
  <c r="AF62"/>
  <c r="AF63"/>
  <c r="AF64"/>
  <c r="AE61"/>
  <c r="AE62"/>
  <c r="AE63"/>
  <c r="AE64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J27"/>
  <c r="J38"/>
  <c r="AE38" s="1"/>
  <c r="AF38" s="1"/>
  <c r="J61"/>
  <c r="J62"/>
  <c r="J63"/>
  <c r="J64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O36" s="1"/>
  <c r="M37"/>
  <c r="M38"/>
  <c r="M39"/>
  <c r="M40"/>
  <c r="O40" s="1"/>
  <c r="M41"/>
  <c r="O41" s="1"/>
  <c r="M42"/>
  <c r="O42" s="1"/>
  <c r="M43"/>
  <c r="O43" s="1"/>
  <c r="M44"/>
  <c r="O44" s="1"/>
  <c r="M45"/>
  <c r="O45" s="1"/>
  <c r="M46"/>
  <c r="M47"/>
  <c r="M48"/>
  <c r="O48" s="1"/>
  <c r="M49"/>
  <c r="M50"/>
  <c r="M51"/>
  <c r="O51" s="1"/>
  <c r="M52"/>
  <c r="O52" s="1"/>
  <c r="M53"/>
  <c r="O53" s="1"/>
  <c r="M54"/>
  <c r="O54" s="1"/>
  <c r="M55"/>
  <c r="O55" s="1"/>
  <c r="M56"/>
  <c r="M57"/>
  <c r="O57" s="1"/>
  <c r="M58"/>
  <c r="M59"/>
  <c r="M60"/>
  <c r="O60" s="1"/>
  <c r="M61"/>
  <c r="M62"/>
  <c r="M63"/>
  <c r="O63" s="1"/>
  <c r="M64"/>
  <c r="O64" s="1"/>
  <c r="O34"/>
  <c r="O35"/>
  <c r="O37"/>
  <c r="O38"/>
  <c r="O39"/>
  <c r="O46"/>
  <c r="O47"/>
  <c r="O49"/>
  <c r="O50"/>
  <c r="O56"/>
  <c r="O58"/>
  <c r="O59"/>
  <c r="O61"/>
  <c r="O62"/>
  <c r="H8"/>
  <c r="H9"/>
  <c r="H10"/>
  <c r="H11"/>
  <c r="H12"/>
  <c r="H13"/>
  <c r="H14"/>
  <c r="H15"/>
  <c r="H16"/>
  <c r="H17"/>
  <c r="H18"/>
  <c r="H19"/>
  <c r="H20"/>
  <c r="J20" s="1"/>
  <c r="H21"/>
  <c r="J21" s="1"/>
  <c r="H22"/>
  <c r="J22" s="1"/>
  <c r="H23"/>
  <c r="J23" s="1"/>
  <c r="H24"/>
  <c r="J24" s="1"/>
  <c r="H25"/>
  <c r="J25" s="1"/>
  <c r="H26"/>
  <c r="J26" s="1"/>
  <c r="H27"/>
  <c r="H28"/>
  <c r="J28" s="1"/>
  <c r="H29"/>
  <c r="J29" s="1"/>
  <c r="H30"/>
  <c r="J30" s="1"/>
  <c r="H31"/>
  <c r="J31" s="1"/>
  <c r="H32"/>
  <c r="AH32" s="1"/>
  <c r="H33"/>
  <c r="AH33" s="1"/>
  <c r="H34"/>
  <c r="AH34" s="1"/>
  <c r="H35"/>
  <c r="AH35" s="1"/>
  <c r="H36"/>
  <c r="AH36" s="1"/>
  <c r="H37"/>
  <c r="AH37" s="1"/>
  <c r="H38"/>
  <c r="H39"/>
  <c r="AH39" s="1"/>
  <c r="H40"/>
  <c r="J40" s="1"/>
  <c r="AE40" s="1"/>
  <c r="AF40" s="1"/>
  <c r="H41"/>
  <c r="J41" s="1"/>
  <c r="AE41" s="1"/>
  <c r="AF41" s="1"/>
  <c r="H42"/>
  <c r="J42" s="1"/>
  <c r="AE42" s="1"/>
  <c r="AF42" s="1"/>
  <c r="H43"/>
  <c r="AH43" s="1"/>
  <c r="H44"/>
  <c r="AH44" s="1"/>
  <c r="H45"/>
  <c r="AH45" s="1"/>
  <c r="H46"/>
  <c r="AH46" s="1"/>
  <c r="H47"/>
  <c r="AH47" s="1"/>
  <c r="H48"/>
  <c r="AH48" s="1"/>
  <c r="H49"/>
  <c r="J49" s="1"/>
  <c r="AE49" s="1"/>
  <c r="AF49" s="1"/>
  <c r="H50"/>
  <c r="AH50" s="1"/>
  <c r="H51"/>
  <c r="AH51" s="1"/>
  <c r="H52"/>
  <c r="J52" s="1"/>
  <c r="AE52" s="1"/>
  <c r="AF52" s="1"/>
  <c r="H53"/>
  <c r="J53" s="1"/>
  <c r="AE53" s="1"/>
  <c r="AF53" s="1"/>
  <c r="H54"/>
  <c r="J54" s="1"/>
  <c r="AE54" s="1"/>
  <c r="AF54" s="1"/>
  <c r="H55"/>
  <c r="J55" s="1"/>
  <c r="AE55" s="1"/>
  <c r="AF55" s="1"/>
  <c r="H56"/>
  <c r="AH56" s="1"/>
  <c r="H57"/>
  <c r="AH57" s="1"/>
  <c r="H58"/>
  <c r="AH58" s="1"/>
  <c r="H59"/>
  <c r="AH59" s="1"/>
  <c r="H60"/>
  <c r="AH60" s="1"/>
  <c r="H61"/>
  <c r="H62"/>
  <c r="H63"/>
  <c r="H64"/>
  <c r="J39" l="1"/>
  <c r="AE39" s="1"/>
  <c r="AF39" s="1"/>
  <c r="J45"/>
  <c r="AE45" s="1"/>
  <c r="AF45" s="1"/>
  <c r="J44"/>
  <c r="AE44" s="1"/>
  <c r="AF44" s="1"/>
  <c r="J43"/>
  <c r="AE43" s="1"/>
  <c r="AF43" s="1"/>
  <c r="J48"/>
  <c r="AE48" s="1"/>
  <c r="AF48" s="1"/>
  <c r="AH31"/>
  <c r="J51"/>
  <c r="AE51" s="1"/>
  <c r="AF51" s="1"/>
  <c r="J50"/>
  <c r="AE50" s="1"/>
  <c r="AF50" s="1"/>
  <c r="J56"/>
  <c r="AE56" s="1"/>
  <c r="AF56" s="1"/>
  <c r="AH49"/>
  <c r="J57"/>
  <c r="AE57" s="1"/>
  <c r="AF57" s="1"/>
  <c r="J32"/>
  <c r="AE32" s="1"/>
  <c r="AF32" s="1"/>
  <c r="J60"/>
  <c r="AE60" s="1"/>
  <c r="AF60" s="1"/>
  <c r="J33"/>
  <c r="AE33" s="1"/>
  <c r="AF33" s="1"/>
  <c r="J58"/>
  <c r="AE58" s="1"/>
  <c r="AF58" s="1"/>
  <c r="J46"/>
  <c r="AE46" s="1"/>
  <c r="AF46" s="1"/>
  <c r="J34"/>
  <c r="AE34" s="1"/>
  <c r="AF34" s="1"/>
  <c r="J59"/>
  <c r="AE59" s="1"/>
  <c r="AF59" s="1"/>
  <c r="J47"/>
  <c r="AE47" s="1"/>
  <c r="AF47" s="1"/>
  <c r="J35"/>
  <c r="AE35" s="1"/>
  <c r="AF35" s="1"/>
  <c r="AH52"/>
  <c r="AH40"/>
  <c r="AH28"/>
  <c r="AH29"/>
  <c r="J36"/>
  <c r="AE36" s="1"/>
  <c r="AF36" s="1"/>
  <c r="AH53"/>
  <c r="AH41"/>
  <c r="J37"/>
  <c r="AE37" s="1"/>
  <c r="AF37" s="1"/>
  <c r="AH54"/>
  <c r="AH42"/>
  <c r="AH30"/>
  <c r="H6" i="1"/>
  <c r="AH6" s="1"/>
  <c r="M6"/>
  <c r="O6" s="1"/>
  <c r="R6"/>
  <c r="U6"/>
  <c r="X6"/>
  <c r="AA6"/>
  <c r="AD6"/>
  <c r="J6" l="1"/>
  <c r="AE6" s="1"/>
  <c r="AF6" s="1"/>
  <c r="AG6" s="1"/>
  <c r="D9" i="5"/>
  <c r="D10" l="1"/>
  <c r="AC8" i="3"/>
  <c r="F26" i="5" s="1"/>
  <c r="Z8" i="3"/>
  <c r="F25" i="5" s="1"/>
  <c r="W8" i="3"/>
  <c r="F24" i="5" s="1"/>
  <c r="T8" i="3"/>
  <c r="F23" i="5" s="1"/>
  <c r="Q8" i="3"/>
  <c r="F22" i="5" s="1"/>
  <c r="L26"/>
  <c r="L25"/>
  <c r="L24"/>
  <c r="L23"/>
  <c r="L22"/>
  <c r="L21"/>
  <c r="L20"/>
  <c r="L19"/>
  <c r="O21"/>
  <c r="O19"/>
  <c r="M21"/>
  <c r="L18"/>
  <c r="I21"/>
  <c r="H26"/>
  <c r="H25"/>
  <c r="H24"/>
  <c r="H23"/>
  <c r="H22"/>
  <c r="H21"/>
  <c r="H20"/>
  <c r="H19"/>
  <c r="H18"/>
  <c r="G21"/>
  <c r="G19"/>
  <c r="E21"/>
  <c r="E19"/>
  <c r="D26"/>
  <c r="D25"/>
  <c r="D24"/>
  <c r="D23"/>
  <c r="D22"/>
  <c r="D21"/>
  <c r="D20"/>
  <c r="D19"/>
  <c r="D18"/>
  <c r="D5"/>
  <c r="P22" l="1"/>
  <c r="P23"/>
  <c r="P24"/>
  <c r="P26"/>
  <c r="P18"/>
  <c r="P19"/>
  <c r="P20"/>
  <c r="P21"/>
  <c r="P25"/>
  <c r="H27"/>
  <c r="D27"/>
  <c r="L27"/>
  <c r="M22"/>
  <c r="I22"/>
  <c r="E22"/>
  <c r="AD7" i="3"/>
  <c r="AA7"/>
  <c r="X7"/>
  <c r="U7"/>
  <c r="R7"/>
  <c r="M7"/>
  <c r="H7"/>
  <c r="AD7" i="4"/>
  <c r="AA7"/>
  <c r="X7"/>
  <c r="U7"/>
  <c r="R7"/>
  <c r="M7"/>
  <c r="O7" s="1"/>
  <c r="H7"/>
  <c r="AD59"/>
  <c r="AA59"/>
  <c r="AD58"/>
  <c r="AA58"/>
  <c r="AD57"/>
  <c r="AA57"/>
  <c r="AD56"/>
  <c r="AA56"/>
  <c r="AA55"/>
  <c r="AA54"/>
  <c r="AA53"/>
  <c r="AA52"/>
  <c r="AA51"/>
  <c r="AA50"/>
  <c r="AA49"/>
  <c r="AD29"/>
  <c r="AA29"/>
  <c r="X29"/>
  <c r="AD28"/>
  <c r="AA28"/>
  <c r="X28"/>
  <c r="AD27"/>
  <c r="AA27"/>
  <c r="X27"/>
  <c r="AD26"/>
  <c r="AA26"/>
  <c r="X26"/>
  <c r="AD25"/>
  <c r="AA25"/>
  <c r="X25"/>
  <c r="AD24"/>
  <c r="AA24"/>
  <c r="X24"/>
  <c r="AD23"/>
  <c r="AA23"/>
  <c r="X23"/>
  <c r="AD22"/>
  <c r="AA22"/>
  <c r="X22"/>
  <c r="AD21"/>
  <c r="AA21"/>
  <c r="X21"/>
  <c r="AD20"/>
  <c r="AA20"/>
  <c r="X20"/>
  <c r="AD19"/>
  <c r="AA19"/>
  <c r="X19"/>
  <c r="AD18"/>
  <c r="AA18"/>
  <c r="X18"/>
  <c r="AD17"/>
  <c r="AA17"/>
  <c r="X17"/>
  <c r="AD16"/>
  <c r="AA16"/>
  <c r="X16"/>
  <c r="AD15"/>
  <c r="AA15"/>
  <c r="X15"/>
  <c r="AD14"/>
  <c r="AA14"/>
  <c r="X14"/>
  <c r="AD13"/>
  <c r="AA13"/>
  <c r="X13"/>
  <c r="AD12"/>
  <c r="AA12"/>
  <c r="X12"/>
  <c r="AD11"/>
  <c r="AA11"/>
  <c r="X11"/>
  <c r="AD10"/>
  <c r="AA10"/>
  <c r="X10"/>
  <c r="AD9"/>
  <c r="AA9"/>
  <c r="X9"/>
  <c r="AD8"/>
  <c r="AA8"/>
  <c r="X8"/>
  <c r="AC7"/>
  <c r="N26" i="5" s="1"/>
  <c r="Z7" i="4"/>
  <c r="N25" i="5" s="1"/>
  <c r="W7" i="4"/>
  <c r="N24" i="5" s="1"/>
  <c r="T7" i="4"/>
  <c r="N23" i="5" s="1"/>
  <c r="Q7" i="4"/>
  <c r="N22" i="5" s="1"/>
  <c r="AD33" i="3"/>
  <c r="AA33"/>
  <c r="O33"/>
  <c r="AD32"/>
  <c r="AA32"/>
  <c r="O32"/>
  <c r="AD31"/>
  <c r="AA31"/>
  <c r="R31"/>
  <c r="O31"/>
  <c r="AD30"/>
  <c r="AA30"/>
  <c r="R30"/>
  <c r="O30"/>
  <c r="AD29"/>
  <c r="AA29"/>
  <c r="R29"/>
  <c r="O29"/>
  <c r="AD28"/>
  <c r="AA28"/>
  <c r="R28"/>
  <c r="O28"/>
  <c r="AD27"/>
  <c r="AA27"/>
  <c r="R27"/>
  <c r="O27"/>
  <c r="AD26"/>
  <c r="AA26"/>
  <c r="R26"/>
  <c r="O26"/>
  <c r="AD25"/>
  <c r="AA25"/>
  <c r="R25"/>
  <c r="O25"/>
  <c r="AD24"/>
  <c r="AA24"/>
  <c r="R24"/>
  <c r="O24"/>
  <c r="AD23"/>
  <c r="AA23"/>
  <c r="R23"/>
  <c r="O23"/>
  <c r="AD22"/>
  <c r="AA22"/>
  <c r="R22"/>
  <c r="O22"/>
  <c r="AD21"/>
  <c r="AA21"/>
  <c r="R21"/>
  <c r="O21"/>
  <c r="AD20"/>
  <c r="AA20"/>
  <c r="R20"/>
  <c r="O20"/>
  <c r="AD19"/>
  <c r="AA19"/>
  <c r="R19"/>
  <c r="O19"/>
  <c r="AD18"/>
  <c r="AA18"/>
  <c r="R18"/>
  <c r="O18"/>
  <c r="AD17"/>
  <c r="AA17"/>
  <c r="R17"/>
  <c r="O17"/>
  <c r="AD16"/>
  <c r="AA16"/>
  <c r="R16"/>
  <c r="O16"/>
  <c r="AD15"/>
  <c r="AA15"/>
  <c r="R15"/>
  <c r="O15"/>
  <c r="AD14"/>
  <c r="AA14"/>
  <c r="R14"/>
  <c r="O14"/>
  <c r="AD13"/>
  <c r="AA13"/>
  <c r="R13"/>
  <c r="O13"/>
  <c r="AD12"/>
  <c r="AA12"/>
  <c r="R12"/>
  <c r="O12"/>
  <c r="AD11"/>
  <c r="AA11"/>
  <c r="R11"/>
  <c r="O11"/>
  <c r="AD10"/>
  <c r="AA10"/>
  <c r="R10"/>
  <c r="O10"/>
  <c r="AD9"/>
  <c r="AA9"/>
  <c r="R9"/>
  <c r="O9"/>
  <c r="AD8"/>
  <c r="AA8"/>
  <c r="R8"/>
  <c r="O8"/>
  <c r="E28" i="2"/>
  <c r="E8"/>
  <c r="E7"/>
  <c r="E6"/>
  <c r="H24"/>
  <c r="H23"/>
  <c r="H22"/>
  <c r="H21"/>
  <c r="H20"/>
  <c r="H19"/>
  <c r="H18"/>
  <c r="H17"/>
  <c r="H16"/>
  <c r="E10"/>
  <c r="E9"/>
  <c r="AC6" i="1"/>
  <c r="Z6"/>
  <c r="W6"/>
  <c r="T6"/>
  <c r="Q6"/>
  <c r="G25" i="2"/>
  <c r="AD15" i="1"/>
  <c r="AD16"/>
  <c r="AD17"/>
  <c r="AD18"/>
  <c r="AA13"/>
  <c r="AA14"/>
  <c r="AA15"/>
  <c r="AA16"/>
  <c r="AA17"/>
  <c r="X14"/>
  <c r="X15"/>
  <c r="X16"/>
  <c r="X17"/>
  <c r="U15"/>
  <c r="R14"/>
  <c r="R15"/>
  <c r="R16"/>
  <c r="R17"/>
  <c r="M14"/>
  <c r="O14" s="1"/>
  <c r="M15"/>
  <c r="O15" s="1"/>
  <c r="M16"/>
  <c r="O16" s="1"/>
  <c r="M17"/>
  <c r="O17" s="1"/>
  <c r="H14"/>
  <c r="H15"/>
  <c r="H16"/>
  <c r="H17"/>
  <c r="H18"/>
  <c r="AA63"/>
  <c r="U63"/>
  <c r="R63"/>
  <c r="O63"/>
  <c r="AA62"/>
  <c r="U62"/>
  <c r="R62"/>
  <c r="O62"/>
  <c r="AA61"/>
  <c r="U61"/>
  <c r="R61"/>
  <c r="O61"/>
  <c r="AA60"/>
  <c r="U60"/>
  <c r="R60"/>
  <c r="O60"/>
  <c r="AA59"/>
  <c r="U59"/>
  <c r="R59"/>
  <c r="O59"/>
  <c r="AE59" s="1"/>
  <c r="AA58"/>
  <c r="U58"/>
  <c r="R58"/>
  <c r="O58"/>
  <c r="AE58" s="1"/>
  <c r="AA57"/>
  <c r="U57"/>
  <c r="R57"/>
  <c r="O57"/>
  <c r="AE57" s="1"/>
  <c r="U56"/>
  <c r="R56"/>
  <c r="O56"/>
  <c r="AE56" s="1"/>
  <c r="G28" i="2"/>
  <c r="J7"/>
  <c r="AD7" i="1"/>
  <c r="AD8"/>
  <c r="AD9"/>
  <c r="AD10"/>
  <c r="AD11"/>
  <c r="AD12"/>
  <c r="AD13"/>
  <c r="AD14"/>
  <c r="AD19"/>
  <c r="AD20"/>
  <c r="AD21"/>
  <c r="AD22"/>
  <c r="AD23"/>
  <c r="AD24"/>
  <c r="AD25"/>
  <c r="AD26"/>
  <c r="AD27"/>
  <c r="AD28"/>
  <c r="AD29"/>
  <c r="AA7"/>
  <c r="AA8"/>
  <c r="AA9"/>
  <c r="AA10"/>
  <c r="AA11"/>
  <c r="AA12"/>
  <c r="AA18"/>
  <c r="AA19"/>
  <c r="AA20"/>
  <c r="AA21"/>
  <c r="AA22"/>
  <c r="AA23"/>
  <c r="AA24"/>
  <c r="AA25"/>
  <c r="AA26"/>
  <c r="AA27"/>
  <c r="AA28"/>
  <c r="AA29"/>
  <c r="AA30"/>
  <c r="AA31"/>
  <c r="X7"/>
  <c r="X8"/>
  <c r="X9"/>
  <c r="X10"/>
  <c r="X11"/>
  <c r="X12"/>
  <c r="X13"/>
  <c r="X18"/>
  <c r="X19"/>
  <c r="X20"/>
  <c r="X21"/>
  <c r="X22"/>
  <c r="X23"/>
  <c r="X24"/>
  <c r="X25"/>
  <c r="X26"/>
  <c r="X27"/>
  <c r="X28"/>
  <c r="X29"/>
  <c r="X30"/>
  <c r="X31"/>
  <c r="U7"/>
  <c r="U8"/>
  <c r="U9"/>
  <c r="U10"/>
  <c r="U11"/>
  <c r="U12"/>
  <c r="U13"/>
  <c r="U14"/>
  <c r="U16"/>
  <c r="U17"/>
  <c r="U18"/>
  <c r="U19"/>
  <c r="U20"/>
  <c r="U21"/>
  <c r="U22"/>
  <c r="U23"/>
  <c r="K21" i="2" s="1"/>
  <c r="U24" i="1"/>
  <c r="U25"/>
  <c r="U26"/>
  <c r="U27"/>
  <c r="U28"/>
  <c r="U29"/>
  <c r="U30"/>
  <c r="U31"/>
  <c r="U52"/>
  <c r="U53"/>
  <c r="U54"/>
  <c r="U55"/>
  <c r="R7"/>
  <c r="R8"/>
  <c r="R9"/>
  <c r="R10"/>
  <c r="R11"/>
  <c r="R12"/>
  <c r="R13"/>
  <c r="R18"/>
  <c r="R19"/>
  <c r="R20"/>
  <c r="R21"/>
  <c r="R22"/>
  <c r="K22" i="5" s="1"/>
  <c r="R23" i="1"/>
  <c r="R24"/>
  <c r="R25"/>
  <c r="R26"/>
  <c r="R27"/>
  <c r="R28"/>
  <c r="R29"/>
  <c r="R30"/>
  <c r="R31"/>
  <c r="R50"/>
  <c r="R51"/>
  <c r="R52"/>
  <c r="R53"/>
  <c r="R54"/>
  <c r="R55"/>
  <c r="M7"/>
  <c r="O7" s="1"/>
  <c r="M8"/>
  <c r="O8" s="1"/>
  <c r="M9"/>
  <c r="O9" s="1"/>
  <c r="M10"/>
  <c r="O10" s="1"/>
  <c r="M11"/>
  <c r="O11" s="1"/>
  <c r="M12"/>
  <c r="O12" s="1"/>
  <c r="M13"/>
  <c r="O13" s="1"/>
  <c r="M18"/>
  <c r="O18" s="1"/>
  <c r="M19"/>
  <c r="O19" s="1"/>
  <c r="M20"/>
  <c r="O20" s="1"/>
  <c r="M21"/>
  <c r="O21" s="1"/>
  <c r="M22"/>
  <c r="O22" s="1"/>
  <c r="M23"/>
  <c r="O23" s="1"/>
  <c r="M24"/>
  <c r="M25"/>
  <c r="O25" s="1"/>
  <c r="M26"/>
  <c r="O26" s="1"/>
  <c r="M27"/>
  <c r="O27" s="1"/>
  <c r="M28"/>
  <c r="O28" s="1"/>
  <c r="M29"/>
  <c r="O29" s="1"/>
  <c r="M30"/>
  <c r="AE31"/>
  <c r="AE48"/>
  <c r="AE49"/>
  <c r="O50"/>
  <c r="AE50" s="1"/>
  <c r="O51"/>
  <c r="AE51" s="1"/>
  <c r="O52"/>
  <c r="AE52" s="1"/>
  <c r="O53"/>
  <c r="AE53" s="1"/>
  <c r="O54"/>
  <c r="AE54" s="1"/>
  <c r="O55"/>
  <c r="AE55" s="1"/>
  <c r="H7"/>
  <c r="H8"/>
  <c r="H9"/>
  <c r="H10"/>
  <c r="H11"/>
  <c r="H12"/>
  <c r="H13"/>
  <c r="H19"/>
  <c r="H20"/>
  <c r="H21"/>
  <c r="H22"/>
  <c r="H23"/>
  <c r="H24"/>
  <c r="H25"/>
  <c r="H26"/>
  <c r="H27"/>
  <c r="O22" i="5" l="1"/>
  <c r="K24" i="2"/>
  <c r="L24" s="1"/>
  <c r="K26" i="5"/>
  <c r="K23" i="2"/>
  <c r="L23" s="1"/>
  <c r="K25" i="5"/>
  <c r="K24"/>
  <c r="K22" i="2"/>
  <c r="L22" s="1"/>
  <c r="K20"/>
  <c r="L20" s="1"/>
  <c r="K23" i="5"/>
  <c r="K18" i="2"/>
  <c r="L18" s="1"/>
  <c r="I16"/>
  <c r="AH17" i="3"/>
  <c r="AH21"/>
  <c r="I18" i="2"/>
  <c r="AH59" i="1"/>
  <c r="AH11" i="3"/>
  <c r="AH23"/>
  <c r="G23" i="5"/>
  <c r="G22"/>
  <c r="AH49" i="1"/>
  <c r="J23" i="2"/>
  <c r="J25" i="5"/>
  <c r="J22" i="2"/>
  <c r="J24" i="5"/>
  <c r="AF51" i="1"/>
  <c r="AH51"/>
  <c r="J21" i="2"/>
  <c r="J23" i="5"/>
  <c r="J23" i="1"/>
  <c r="AE23" s="1"/>
  <c r="AF23" s="1"/>
  <c r="AH23"/>
  <c r="J14"/>
  <c r="AE14" s="1"/>
  <c r="AF14" s="1"/>
  <c r="AH14"/>
  <c r="AH56"/>
  <c r="AF61"/>
  <c r="AH61"/>
  <c r="AH15"/>
  <c r="J21"/>
  <c r="AE21" s="1"/>
  <c r="AF21" s="1"/>
  <c r="AH21"/>
  <c r="AF53"/>
  <c r="AH53"/>
  <c r="AH16"/>
  <c r="J24"/>
  <c r="AH24"/>
  <c r="I18" i="5"/>
  <c r="J9" i="1"/>
  <c r="AE9" s="1"/>
  <c r="AF9" s="1"/>
  <c r="AH9"/>
  <c r="J26"/>
  <c r="AE26" s="1"/>
  <c r="AF26" s="1"/>
  <c r="AH26"/>
  <c r="AE27"/>
  <c r="AF27" s="1"/>
  <c r="AH27"/>
  <c r="AH17"/>
  <c r="AF50"/>
  <c r="AH50"/>
  <c r="J18"/>
  <c r="AE18" s="1"/>
  <c r="AF18" s="1"/>
  <c r="AH18"/>
  <c r="J11"/>
  <c r="AE11" s="1"/>
  <c r="AF11" s="1"/>
  <c r="AH11"/>
  <c r="AE29"/>
  <c r="AF29" s="1"/>
  <c r="AH29"/>
  <c r="J13"/>
  <c r="AE13" s="1"/>
  <c r="AF13" s="1"/>
  <c r="AH13"/>
  <c r="AH57"/>
  <c r="J22"/>
  <c r="AE22" s="1"/>
  <c r="AF22" s="1"/>
  <c r="AH22"/>
  <c r="AF30"/>
  <c r="AH30"/>
  <c r="AF62"/>
  <c r="AG62" s="1"/>
  <c r="AH62"/>
  <c r="J17"/>
  <c r="AE17" s="1"/>
  <c r="AF17" s="1"/>
  <c r="AF58"/>
  <c r="AG58" s="1"/>
  <c r="AH58"/>
  <c r="J7"/>
  <c r="AE7" s="1"/>
  <c r="AF7" s="1"/>
  <c r="AH7"/>
  <c r="AF52"/>
  <c r="AH52"/>
  <c r="J8"/>
  <c r="AE8" s="1"/>
  <c r="AF8" s="1"/>
  <c r="AH8"/>
  <c r="AF55"/>
  <c r="AH55"/>
  <c r="J12"/>
  <c r="AE12" s="1"/>
  <c r="AF12" s="1"/>
  <c r="AH12"/>
  <c r="AF31"/>
  <c r="J19"/>
  <c r="AE19" s="1"/>
  <c r="AF19" s="1"/>
  <c r="AH19"/>
  <c r="O24"/>
  <c r="K20" i="5" s="1"/>
  <c r="I20"/>
  <c r="AH63" i="1"/>
  <c r="J25"/>
  <c r="AE25" s="1"/>
  <c r="AF25" s="1"/>
  <c r="AH25"/>
  <c r="AF54"/>
  <c r="AH54"/>
  <c r="J10"/>
  <c r="AE10" s="1"/>
  <c r="AF10" s="1"/>
  <c r="AH10"/>
  <c r="AE28"/>
  <c r="AF28" s="1"/>
  <c r="AH28"/>
  <c r="J20"/>
  <c r="AE20" s="1"/>
  <c r="AF20" s="1"/>
  <c r="AH20"/>
  <c r="AH60"/>
  <c r="J24" i="2"/>
  <c r="J26" i="5"/>
  <c r="O24"/>
  <c r="O26"/>
  <c r="G25"/>
  <c r="G26"/>
  <c r="J20" i="2"/>
  <c r="J22" i="5"/>
  <c r="M18"/>
  <c r="O23"/>
  <c r="O25"/>
  <c r="G24"/>
  <c r="J19" i="3"/>
  <c r="AE19" s="1"/>
  <c r="AH19"/>
  <c r="AH14"/>
  <c r="AE26"/>
  <c r="AH26"/>
  <c r="AH7"/>
  <c r="I8"/>
  <c r="J9"/>
  <c r="AE9" s="1"/>
  <c r="AH9"/>
  <c r="O7"/>
  <c r="N8"/>
  <c r="F20" i="5" s="1"/>
  <c r="AE22" i="3"/>
  <c r="AH22"/>
  <c r="J16"/>
  <c r="AE16" s="1"/>
  <c r="AH16"/>
  <c r="AE28"/>
  <c r="J10"/>
  <c r="AE10" s="1"/>
  <c r="AH10"/>
  <c r="J18"/>
  <c r="AE18" s="1"/>
  <c r="AH18"/>
  <c r="AG63"/>
  <c r="J13"/>
  <c r="AE13" s="1"/>
  <c r="AH13"/>
  <c r="AH25"/>
  <c r="J8"/>
  <c r="AE8" s="1"/>
  <c r="AH8"/>
  <c r="AE20"/>
  <c r="AH20"/>
  <c r="J15"/>
  <c r="AE15" s="1"/>
  <c r="AH15"/>
  <c r="AE27"/>
  <c r="AH27"/>
  <c r="E18" i="5"/>
  <c r="G20"/>
  <c r="E20"/>
  <c r="AH12" i="3"/>
  <c r="AE24"/>
  <c r="AH24"/>
  <c r="O20" i="5"/>
  <c r="M20"/>
  <c r="AH9" i="4"/>
  <c r="J14"/>
  <c r="AE14" s="1"/>
  <c r="J59"/>
  <c r="AE59" s="1"/>
  <c r="J58"/>
  <c r="J55"/>
  <c r="J53"/>
  <c r="J51"/>
  <c r="J29"/>
  <c r="AE29" s="1"/>
  <c r="J27"/>
  <c r="AE27" s="1"/>
  <c r="J26"/>
  <c r="AE26" s="1"/>
  <c r="AF26" s="1"/>
  <c r="J25"/>
  <c r="AE25" s="1"/>
  <c r="J24"/>
  <c r="AE24" s="1"/>
  <c r="J23"/>
  <c r="AE23" s="1"/>
  <c r="J20"/>
  <c r="AE20" s="1"/>
  <c r="J18"/>
  <c r="AE18" s="1"/>
  <c r="J17"/>
  <c r="AE17" s="1"/>
  <c r="J15"/>
  <c r="AE15" s="1"/>
  <c r="J13"/>
  <c r="AE13" s="1"/>
  <c r="J12"/>
  <c r="AE12" s="1"/>
  <c r="J10"/>
  <c r="AE10" s="1"/>
  <c r="J8"/>
  <c r="AE8" s="1"/>
  <c r="AH8"/>
  <c r="J28"/>
  <c r="AE28" s="1"/>
  <c r="J22"/>
  <c r="AE22" s="1"/>
  <c r="J11"/>
  <c r="AE11" s="1"/>
  <c r="J19"/>
  <c r="AE19" s="1"/>
  <c r="J21"/>
  <c r="AE21" s="1"/>
  <c r="J56"/>
  <c r="AE56" s="1"/>
  <c r="J57"/>
  <c r="AE57" s="1"/>
  <c r="J54"/>
  <c r="J52"/>
  <c r="J16"/>
  <c r="AE16" s="1"/>
  <c r="J9"/>
  <c r="AE9" s="1"/>
  <c r="J7"/>
  <c r="AE7" s="1"/>
  <c r="J7" i="3"/>
  <c r="AE21"/>
  <c r="AE31"/>
  <c r="AF31" s="1"/>
  <c r="AE25"/>
  <c r="AE29"/>
  <c r="AF29" s="1"/>
  <c r="I7" i="4"/>
  <c r="N18" i="5" s="1"/>
  <c r="N7" i="4"/>
  <c r="N20" i="5" s="1"/>
  <c r="AE30" i="3"/>
  <c r="AF30" s="1"/>
  <c r="J12"/>
  <c r="AE12" s="1"/>
  <c r="AE23"/>
  <c r="AF23" s="1"/>
  <c r="J11"/>
  <c r="AE11" s="1"/>
  <c r="J14"/>
  <c r="AE14" s="1"/>
  <c r="J17"/>
  <c r="AE17" s="1"/>
  <c r="L21" i="2"/>
  <c r="H25"/>
  <c r="I6" i="1"/>
  <c r="N6"/>
  <c r="J16"/>
  <c r="AE16" s="1"/>
  <c r="AF16" s="1"/>
  <c r="J15"/>
  <c r="AE15" s="1"/>
  <c r="AF15" s="1"/>
  <c r="AF57"/>
  <c r="AF56"/>
  <c r="R22" i="5" l="1"/>
  <c r="E27" i="2"/>
  <c r="AG41" i="3"/>
  <c r="AF19"/>
  <c r="AG19" s="1"/>
  <c r="AF10"/>
  <c r="AG10" s="1"/>
  <c r="AG58"/>
  <c r="AF22"/>
  <c r="AG22" s="1"/>
  <c r="AF8"/>
  <c r="AG8" s="1"/>
  <c r="AF26"/>
  <c r="AG26" s="1"/>
  <c r="AG29"/>
  <c r="AF9"/>
  <c r="AG9" s="1"/>
  <c r="AF21"/>
  <c r="AG61"/>
  <c r="AF18"/>
  <c r="AG18" s="1"/>
  <c r="AF14"/>
  <c r="AG14" s="1"/>
  <c r="AF17"/>
  <c r="AG17" s="1"/>
  <c r="AG32"/>
  <c r="AF20"/>
  <c r="AG20" s="1"/>
  <c r="AF11"/>
  <c r="AG11" s="1"/>
  <c r="AG42"/>
  <c r="AF25"/>
  <c r="AG25" s="1"/>
  <c r="AG60"/>
  <c r="AG45"/>
  <c r="AF28"/>
  <c r="AG28" s="1"/>
  <c r="AG33"/>
  <c r="AF13"/>
  <c r="AG13" s="1"/>
  <c r="AG31"/>
  <c r="AF15"/>
  <c r="AG15" s="1"/>
  <c r="AG30"/>
  <c r="AE7"/>
  <c r="R23" i="5"/>
  <c r="AG62" i="3"/>
  <c r="AG59"/>
  <c r="AG56"/>
  <c r="AF16"/>
  <c r="AG16" s="1"/>
  <c r="AG64"/>
  <c r="AF12"/>
  <c r="AG12" s="1"/>
  <c r="AF63" i="1"/>
  <c r="AG63" s="1"/>
  <c r="J16" i="2"/>
  <c r="J18" i="5"/>
  <c r="J18" i="2"/>
  <c r="J20" i="5"/>
  <c r="AF59" i="1"/>
  <c r="AF60"/>
  <c r="M16" i="2" s="1"/>
  <c r="K16"/>
  <c r="L16" s="1"/>
  <c r="K18" i="5"/>
  <c r="AE24" i="1"/>
  <c r="AF24" s="1"/>
  <c r="R24" i="5"/>
  <c r="R26"/>
  <c r="AG57" i="3"/>
  <c r="R25" i="5"/>
  <c r="AF27" i="3"/>
  <c r="AG27" s="1"/>
  <c r="AF24"/>
  <c r="AG24" s="1"/>
  <c r="R20" i="5"/>
  <c r="Q18"/>
  <c r="AF23" i="4"/>
  <c r="AF24"/>
  <c r="AG24" s="1"/>
  <c r="AF11"/>
  <c r="AG11" s="1"/>
  <c r="AF25"/>
  <c r="AG25" s="1"/>
  <c r="AF28"/>
  <c r="AG28" s="1"/>
  <c r="AF14"/>
  <c r="AG14" s="1"/>
  <c r="AF17"/>
  <c r="AG17" s="1"/>
  <c r="AF21"/>
  <c r="AG21" s="1"/>
  <c r="AF19"/>
  <c r="AG19" s="1"/>
  <c r="AF22"/>
  <c r="AF7"/>
  <c r="AG7" s="1"/>
  <c r="AF9"/>
  <c r="AG9" s="1"/>
  <c r="AF57"/>
  <c r="AF8"/>
  <c r="AG8" s="1"/>
  <c r="AF18"/>
  <c r="AG18" s="1"/>
  <c r="AF27"/>
  <c r="AG27" s="1"/>
  <c r="AF15"/>
  <c r="AG15" s="1"/>
  <c r="AF56"/>
  <c r="AF10"/>
  <c r="AG10" s="1"/>
  <c r="AF20"/>
  <c r="AG20" s="1"/>
  <c r="AF29"/>
  <c r="AG29" s="1"/>
  <c r="AF59"/>
  <c r="AG59" s="1"/>
  <c r="AF12"/>
  <c r="AG12" s="1"/>
  <c r="AF13"/>
  <c r="AG13" s="1"/>
  <c r="AF16"/>
  <c r="AG16" s="1"/>
  <c r="G18" i="5"/>
  <c r="K21"/>
  <c r="K19"/>
  <c r="F18"/>
  <c r="Q20"/>
  <c r="AE58" i="4"/>
  <c r="AF58" s="1"/>
  <c r="O18" i="5"/>
  <c r="AG26" i="4"/>
  <c r="P27" i="5"/>
  <c r="AG43" i="3"/>
  <c r="AG23"/>
  <c r="AG61" i="1"/>
  <c r="AG17"/>
  <c r="AG18"/>
  <c r="AG15"/>
  <c r="AG16"/>
  <c r="AG57"/>
  <c r="AG56"/>
  <c r="AG44" i="3" l="1"/>
  <c r="AG21"/>
  <c r="AF7"/>
  <c r="AG7" s="1"/>
  <c r="AG60" i="1"/>
  <c r="AG59"/>
  <c r="AG22" i="4"/>
  <c r="AG23"/>
  <c r="R18" i="5"/>
  <c r="S18" s="1"/>
  <c r="J6" i="2"/>
  <c r="AG46" i="3" l="1"/>
  <c r="AG48" i="1"/>
  <c r="AG27" l="1"/>
  <c r="AG49"/>
  <c r="AG29"/>
  <c r="AG10"/>
  <c r="AG25"/>
  <c r="AG11"/>
  <c r="AG50"/>
  <c r="AG26"/>
  <c r="AG20"/>
  <c r="AG19"/>
  <c r="AG13"/>
  <c r="AG12"/>
  <c r="AG9"/>
  <c r="AG8"/>
  <c r="AG28"/>
  <c r="AG7"/>
  <c r="AG14"/>
  <c r="AG30"/>
  <c r="AG51"/>
  <c r="AG24"/>
  <c r="AG31"/>
  <c r="AG21"/>
  <c r="AG22" l="1"/>
  <c r="AG53"/>
  <c r="AG23"/>
  <c r="AG55"/>
  <c r="AG54"/>
  <c r="F29" i="2" s="1"/>
  <c r="AG52" i="1" l="1"/>
  <c r="K27" i="2"/>
</calcChain>
</file>

<file path=xl/sharedStrings.xml><?xml version="1.0" encoding="utf-8"?>
<sst xmlns="http://schemas.openxmlformats.org/spreadsheetml/2006/main" count="687" uniqueCount="255">
  <si>
    <t>ROLL</t>
  </si>
  <si>
    <t>NAME</t>
  </si>
  <si>
    <t>GP</t>
  </si>
  <si>
    <t>MATH</t>
  </si>
  <si>
    <t>T-GP</t>
  </si>
  <si>
    <t>GPA</t>
  </si>
  <si>
    <t>SCIENCE</t>
  </si>
  <si>
    <t>BGS</t>
  </si>
  <si>
    <t>ENG-1ST</t>
  </si>
  <si>
    <t>BAN-1</t>
  </si>
  <si>
    <t>BAN-2</t>
  </si>
  <si>
    <t>ENG-2ND</t>
  </si>
  <si>
    <t>ICT</t>
  </si>
  <si>
    <t>TOTAL</t>
  </si>
  <si>
    <t>SL</t>
  </si>
  <si>
    <t>NAME OF SUBJECT</t>
  </si>
  <si>
    <t>FULL
MARKS</t>
  </si>
  <si>
    <t>ENGLISH 2ND</t>
  </si>
  <si>
    <t>MATHEMATICS</t>
  </si>
  <si>
    <t>BANGLA 1ST PAPER</t>
  </si>
  <si>
    <t>BANGLA 2ND PAPER</t>
  </si>
  <si>
    <t>ENGLISH 1ST</t>
  </si>
  <si>
    <t>HIGHEST MARK</t>
  </si>
  <si>
    <t>FATHER NAME</t>
  </si>
  <si>
    <t xml:space="preserve">MOTHER NAME </t>
  </si>
  <si>
    <t>SIX</t>
  </si>
  <si>
    <t>BHVR</t>
  </si>
  <si>
    <t>GRAND TOTAL 
MARKS</t>
  </si>
  <si>
    <t>WORKING
DAYS</t>
  </si>
  <si>
    <t xml:space="preserve">            GRAND TOTAL MARKS</t>
  </si>
  <si>
    <t>H
MARK</t>
  </si>
  <si>
    <t>RANK OF
TUDENT</t>
  </si>
  <si>
    <t>GK</t>
  </si>
  <si>
    <t>TOTAL MARKS</t>
  </si>
  <si>
    <t>MOBILE NO.</t>
  </si>
  <si>
    <t>WORKING DAYS:</t>
  </si>
  <si>
    <t>POSITION:</t>
  </si>
  <si>
    <r>
      <t xml:space="preserve">       AMIN CADET ACADEMY
</t>
    </r>
    <r>
      <rPr>
        <sz val="9"/>
        <color theme="1"/>
        <rFont val="Times New Roman"/>
        <family val="1"/>
      </rPr>
      <t>Amin Model Town, Savar Cantonment, Ashulia, Dhaka-1344.</t>
    </r>
    <r>
      <rPr>
        <sz val="11"/>
        <color theme="1"/>
        <rFont val="Times New Roman"/>
        <family val="1"/>
      </rPr>
      <t xml:space="preserve">
2ND Semester Examination-2023
       Progressive Report </t>
    </r>
  </si>
  <si>
    <t>GRADE</t>
  </si>
  <si>
    <t>STUDENT BEHABIOURS :</t>
  </si>
  <si>
    <t>OBTAINED MARKS</t>
  </si>
  <si>
    <r>
      <t xml:space="preserve">              Gaurdian                                                                            </t>
    </r>
    <r>
      <rPr>
        <u/>
        <sz val="9"/>
        <color theme="1"/>
        <rFont val="Times New Roman"/>
        <family val="1"/>
      </rPr>
      <t xml:space="preserve"> </t>
    </r>
    <r>
      <rPr>
        <sz val="9"/>
        <color theme="1"/>
        <rFont val="Times New Roman"/>
        <family val="1"/>
      </rPr>
      <t xml:space="preserve">                                                 </t>
    </r>
  </si>
  <si>
    <r>
      <t xml:space="preserve">               Class Teacher                                                                            </t>
    </r>
    <r>
      <rPr>
        <u/>
        <sz val="9"/>
        <color theme="1"/>
        <rFont val="Times New Roman"/>
        <family val="1"/>
      </rPr>
      <t xml:space="preserve"> </t>
    </r>
    <r>
      <rPr>
        <sz val="9"/>
        <color theme="1"/>
        <rFont val="Times New Roman"/>
        <family val="1"/>
      </rPr>
      <t xml:space="preserve">                            Co-Oridinator</t>
    </r>
  </si>
  <si>
    <t>CLASS:</t>
  </si>
  <si>
    <t>SECTION:</t>
  </si>
  <si>
    <t>ROLL:</t>
  </si>
  <si>
    <t>STUDENT NAME:</t>
  </si>
  <si>
    <t>FATHER'S NAME:</t>
  </si>
  <si>
    <t>MOTHER'S NAME:</t>
  </si>
  <si>
    <t>CLASS TEACHER:</t>
  </si>
  <si>
    <t>TOTAL STUDENT'S:</t>
  </si>
  <si>
    <t xml:space="preserve">  Vice-Principal</t>
  </si>
  <si>
    <t xml:space="preserve">Name Of The Student </t>
  </si>
  <si>
    <t>:</t>
  </si>
  <si>
    <t xml:space="preserve">Class </t>
  </si>
  <si>
    <t>Section</t>
  </si>
  <si>
    <t>Roll No.</t>
  </si>
  <si>
    <t xml:space="preserve">Father's Name </t>
  </si>
  <si>
    <t xml:space="preserve">Mother's Name </t>
  </si>
  <si>
    <t>Class Teacher</t>
  </si>
  <si>
    <t>Name of the Subjects</t>
  </si>
  <si>
    <t>Final Result</t>
  </si>
  <si>
    <t>HIGHEST MARKS</t>
  </si>
  <si>
    <t>Average Marks of  Creative</t>
  </si>
  <si>
    <t>C.GPA</t>
  </si>
  <si>
    <t>All Semester Total Marks</t>
  </si>
  <si>
    <t>Rank</t>
  </si>
  <si>
    <t>Avg-Total</t>
  </si>
  <si>
    <t xml:space="preserve">2nd </t>
  </si>
  <si>
    <t xml:space="preserve">1st </t>
  </si>
  <si>
    <t xml:space="preserve">3rd </t>
  </si>
  <si>
    <t>Final Position of The Examination :</t>
  </si>
  <si>
    <t>BANGLA 1ST PAPER-100</t>
  </si>
  <si>
    <t>BANGLA 2ND PAPER-50</t>
  </si>
  <si>
    <t>ENGLISH 1ST PAPER-100</t>
  </si>
  <si>
    <t>ENGLISH 2ND PAPER-100</t>
  </si>
  <si>
    <t>G. MATHEMATICS-100</t>
  </si>
  <si>
    <t>SCIENCE-100</t>
  </si>
  <si>
    <t>BGS-100</t>
  </si>
  <si>
    <t>ICT-50</t>
  </si>
  <si>
    <t>GK-50</t>
  </si>
  <si>
    <t>TOTAL MARKS-750</t>
  </si>
  <si>
    <t>Co-Ordinator</t>
  </si>
  <si>
    <t>Principal(Acting)</t>
  </si>
  <si>
    <t xml:space="preserve">Al Jayed Hasan </t>
  </si>
  <si>
    <t xml:space="preserve">Md. Anisur Rahman </t>
  </si>
  <si>
    <t xml:space="preserve">Mst. Aysa Khatun </t>
  </si>
  <si>
    <t>Takia Hassan</t>
  </si>
  <si>
    <t>Md. Tareak Hassan</t>
  </si>
  <si>
    <t>Mst. Kamrun Nahar</t>
  </si>
  <si>
    <t>Most. Raisa Akter Tonni</t>
  </si>
  <si>
    <t xml:space="preserve">Md. Rashel Ali </t>
  </si>
  <si>
    <t>Mst. Jousna Khatun</t>
  </si>
  <si>
    <t xml:space="preserve">Mst. Sumaiya Yesmin </t>
  </si>
  <si>
    <t xml:space="preserve">Md. Sumon Mia </t>
  </si>
  <si>
    <t xml:space="preserve">Mst. Lucky Khatun </t>
  </si>
  <si>
    <t xml:space="preserve">Arobi Khan </t>
  </si>
  <si>
    <t>Labu Khan</t>
  </si>
  <si>
    <t xml:space="preserve">Ambia Akter </t>
  </si>
  <si>
    <t xml:space="preserve">Sadia Raisa </t>
  </si>
  <si>
    <t>A M A Javed</t>
  </si>
  <si>
    <t>Rashida Akter Shanto</t>
  </si>
  <si>
    <t xml:space="preserve">Nafisa Tabassum Nova </t>
  </si>
  <si>
    <t xml:space="preserve">Md. Awarangzib </t>
  </si>
  <si>
    <t xml:space="preserve">Nazly Begum </t>
  </si>
  <si>
    <t>Arafat Nur Ibrahim</t>
  </si>
  <si>
    <t>Md. Nurul Hoque</t>
  </si>
  <si>
    <t>Mst. Rebeka</t>
  </si>
  <si>
    <t>Mariam</t>
  </si>
  <si>
    <t>Mannan Gazi</t>
  </si>
  <si>
    <t>Mst. Khadiza Begum</t>
  </si>
  <si>
    <t xml:space="preserve">Tashfiya Tabassum </t>
  </si>
  <si>
    <t xml:space="preserve">Abdul Hay </t>
  </si>
  <si>
    <t xml:space="preserve">Sathi Begum </t>
  </si>
  <si>
    <t>Md. Abdullah Adib Saad</t>
  </si>
  <si>
    <t>Md. Kuran Badsha</t>
  </si>
  <si>
    <t>Most. Suchana Akter</t>
  </si>
  <si>
    <t>Suborna Rahman Sristy</t>
  </si>
  <si>
    <t>Fazlu Rahman</t>
  </si>
  <si>
    <t>Sweety Khatun</t>
  </si>
  <si>
    <t>Lamia Mowri</t>
  </si>
  <si>
    <t xml:space="preserve">Md. Moshiur Rahman </t>
  </si>
  <si>
    <t>Fatema Akter Pinky</t>
  </si>
  <si>
    <t xml:space="preserve">Sumaiya Islam Tasen </t>
  </si>
  <si>
    <t xml:space="preserve">Md. Saiful Islam </t>
  </si>
  <si>
    <t xml:space="preserve">Sarmin Begum </t>
  </si>
  <si>
    <t xml:space="preserve">Jinat Hossain Ridi </t>
  </si>
  <si>
    <t xml:space="preserve">Md Zakir Hossain </t>
  </si>
  <si>
    <t xml:space="preserve">Dipty Akter </t>
  </si>
  <si>
    <t xml:space="preserve">Arosh Ifte Safayat </t>
  </si>
  <si>
    <t xml:space="preserve">Md Sumon </t>
  </si>
  <si>
    <t xml:space="preserve">Aysha Akter </t>
  </si>
  <si>
    <t xml:space="preserve">Mohammad Imam Hasan </t>
  </si>
  <si>
    <t xml:space="preserve">Md. Mojammal Hossaen </t>
  </si>
  <si>
    <t>Nishat Ferdous</t>
  </si>
  <si>
    <t xml:space="preserve">Saifa Jahan </t>
  </si>
  <si>
    <t xml:space="preserve">Shafayet Hossain </t>
  </si>
  <si>
    <t>Sabina Yasmin</t>
  </si>
  <si>
    <t xml:space="preserve">Mst. Mim Akteri </t>
  </si>
  <si>
    <t xml:space="preserve">Md. Aminul Islam </t>
  </si>
  <si>
    <t xml:space="preserve">Mst. Naznin Akter </t>
  </si>
  <si>
    <t xml:space="preserve">Md. Tanvir Hasan </t>
  </si>
  <si>
    <t xml:space="preserve">Md. Khademul Islam </t>
  </si>
  <si>
    <t xml:space="preserve">Mst. Sahanaz Parvin </t>
  </si>
  <si>
    <t xml:space="preserve">Jaria Afrin Jerin </t>
  </si>
  <si>
    <t xml:space="preserve">Jahangir Hossain </t>
  </si>
  <si>
    <t xml:space="preserve">Mst. Parvin Akter </t>
  </si>
  <si>
    <t xml:space="preserve">Md. Arian Arafath Hamza </t>
  </si>
  <si>
    <t xml:space="preserve">Md. Abul Kalam Azad </t>
  </si>
  <si>
    <t xml:space="preserve">Mst. Airin Sultana </t>
  </si>
  <si>
    <t>Md. Yeasir Arafat</t>
  </si>
  <si>
    <t>Ashikul Islam</t>
  </si>
  <si>
    <t>Balay Naznin</t>
  </si>
  <si>
    <t xml:space="preserve">Md. Nihan Ahammed </t>
  </si>
  <si>
    <t xml:space="preserve">Md. Jowel Rana </t>
  </si>
  <si>
    <t xml:space="preserve">Nadia Akter </t>
  </si>
  <si>
    <t>Md. Abdullah All Tassen</t>
  </si>
  <si>
    <t>Md. Rezaul Karim</t>
  </si>
  <si>
    <t>Mst. Shefali Khatun</t>
  </si>
  <si>
    <t>Jarir Mahmud Tazbih</t>
  </si>
  <si>
    <t>Md. Zia Uddin Bablu</t>
  </si>
  <si>
    <t>Taslima Akter</t>
  </si>
  <si>
    <t xml:space="preserve">Khatune Jannat Poroshmoni </t>
  </si>
  <si>
    <t xml:space="preserve">Md. Mizanur Rahman </t>
  </si>
  <si>
    <t xml:space="preserve">Al Mosaddeka </t>
  </si>
  <si>
    <t>Farzana Akter Mim</t>
  </si>
  <si>
    <t xml:space="preserve">Monir Hossain </t>
  </si>
  <si>
    <t xml:space="preserve">Mst Mayna Begum </t>
  </si>
  <si>
    <t>Arowa Sneha</t>
  </si>
  <si>
    <t xml:space="preserve">Md. Abdus Shamad </t>
  </si>
  <si>
    <t xml:space="preserve">Sabina Easmin </t>
  </si>
  <si>
    <t xml:space="preserve">Samiya  Islam Nuha </t>
  </si>
  <si>
    <t xml:space="preserve">Sayed </t>
  </si>
  <si>
    <t xml:space="preserve">Mst. Sumi </t>
  </si>
  <si>
    <t xml:space="preserve">Sayed Zihadur Rahman </t>
  </si>
  <si>
    <t xml:space="preserve">Sayed Mustafizur Rahman </t>
  </si>
  <si>
    <t xml:space="preserve">Mishu Aktar </t>
  </si>
  <si>
    <t>Mst. Moon</t>
  </si>
  <si>
    <t>Mohammad Younus Bepary</t>
  </si>
  <si>
    <t>Mst. Sharmila</t>
  </si>
  <si>
    <t>S.R. Imran</t>
  </si>
  <si>
    <t>Md. Shariful Islam</t>
  </si>
  <si>
    <t xml:space="preserve">Mst. Eti Akter Suma </t>
  </si>
  <si>
    <t xml:space="preserve">Redwan Reja Rafi </t>
  </si>
  <si>
    <t xml:space="preserve">Selim Reja </t>
  </si>
  <si>
    <t xml:space="preserve">Liza Akhter Chumki </t>
  </si>
  <si>
    <t xml:space="preserve">Rafit Sheikh </t>
  </si>
  <si>
    <t xml:space="preserve">Md Lokman Sheikh </t>
  </si>
  <si>
    <t xml:space="preserve">Rabeya Akter Reba </t>
  </si>
  <si>
    <t xml:space="preserve">Jasiah Mehjabin </t>
  </si>
  <si>
    <t xml:space="preserve">Md. Auwal Hossain </t>
  </si>
  <si>
    <t xml:space="preserve">Anjuman Ara </t>
  </si>
  <si>
    <t xml:space="preserve">Mariam Islam </t>
  </si>
  <si>
    <t xml:space="preserve">Md. Ali Imran </t>
  </si>
  <si>
    <t xml:space="preserve">Mst. Mina Khatun </t>
  </si>
  <si>
    <t>Yasin Arafat</t>
  </si>
  <si>
    <t xml:space="preserve">Mozibar </t>
  </si>
  <si>
    <t>Mst. Asma Akter</t>
  </si>
  <si>
    <t xml:space="preserve">Md. Saffan Sadi </t>
  </si>
  <si>
    <t xml:space="preserve">Md. Mukter Hossain </t>
  </si>
  <si>
    <t xml:space="preserve">Mst. Shimlan Sultana </t>
  </si>
  <si>
    <t xml:space="preserve">Md Hamim Hossain </t>
  </si>
  <si>
    <t xml:space="preserve">Md Mahabub Alam </t>
  </si>
  <si>
    <t xml:space="preserve">Hira Aktar </t>
  </si>
  <si>
    <t xml:space="preserve">Zihad Hossain </t>
  </si>
  <si>
    <t xml:space="preserve">Md. Akter Hossain </t>
  </si>
  <si>
    <t xml:space="preserve">Mitu Akter </t>
  </si>
  <si>
    <t xml:space="preserve">Samiul Islam </t>
  </si>
  <si>
    <t xml:space="preserve">Md. Biplob Miah </t>
  </si>
  <si>
    <t xml:space="preserve">Sabina </t>
  </si>
  <si>
    <t xml:space="preserve">Kashfia Jannat </t>
  </si>
  <si>
    <t xml:space="preserve">Kawsar Ahmmed </t>
  </si>
  <si>
    <t xml:space="preserve">Srabany Akter Bilkis </t>
  </si>
  <si>
    <t xml:space="preserve">Shoyeb Ahmed Adil </t>
  </si>
  <si>
    <t xml:space="preserve">Md Hasnat Ullah </t>
  </si>
  <si>
    <t xml:space="preserve">Sharna Akter </t>
  </si>
  <si>
    <t xml:space="preserve">Kazi Nayem Islam </t>
  </si>
  <si>
    <t xml:space="preserve">Kazi Kayum </t>
  </si>
  <si>
    <t xml:space="preserve">Mst. Nasima Akter </t>
  </si>
  <si>
    <t xml:space="preserve">Md. Emon </t>
  </si>
  <si>
    <t xml:space="preserve">Md. Abu Hanif </t>
  </si>
  <si>
    <t>Mst. Shomeja Begom</t>
  </si>
  <si>
    <t xml:space="preserve">Md Tayeb </t>
  </si>
  <si>
    <t xml:space="preserve">Md Motin </t>
  </si>
  <si>
    <t xml:space="preserve">Afrin Sultana Ete </t>
  </si>
  <si>
    <t xml:space="preserve">Tawhid Islam </t>
  </si>
  <si>
    <t xml:space="preserve">Md Manik </t>
  </si>
  <si>
    <t xml:space="preserve">Sumi Akter </t>
  </si>
  <si>
    <t xml:space="preserve">Md. Adnan Hossain Yamin </t>
  </si>
  <si>
    <t xml:space="preserve">Md. Sheraj </t>
  </si>
  <si>
    <t xml:space="preserve">Chadni Akter </t>
  </si>
  <si>
    <t xml:space="preserve">Nura Jannat </t>
  </si>
  <si>
    <t xml:space="preserve">Md. Zahangir Alam </t>
  </si>
  <si>
    <t xml:space="preserve">Rahima Khatun </t>
  </si>
  <si>
    <t xml:space="preserve">Odhora Ahmed Prottasha </t>
  </si>
  <si>
    <t xml:space="preserve">Md. Suhaiv Ahmed Sojan </t>
  </si>
  <si>
    <t xml:space="preserve">Labonno Noysin Prova </t>
  </si>
  <si>
    <t>Md. Nabil All Nur</t>
  </si>
  <si>
    <t xml:space="preserve">Md. Alinur Rahman </t>
  </si>
  <si>
    <t xml:space="preserve">Moriam </t>
  </si>
  <si>
    <t>Munna Kazi</t>
  </si>
  <si>
    <t xml:space="preserve">Kazi Mostafijur </t>
  </si>
  <si>
    <t xml:space="preserve">Parvin Begum </t>
  </si>
  <si>
    <t xml:space="preserve">Md. Abdullah Al Rafi </t>
  </si>
  <si>
    <t xml:space="preserve">Md. Ruhul Amin </t>
  </si>
  <si>
    <t xml:space="preserve">Mst. Afroza Aktar </t>
  </si>
  <si>
    <r>
      <rPr>
        <b/>
        <sz val="16"/>
        <rFont val="Times New Roman"/>
        <family val="1"/>
      </rPr>
      <t>AMIN CADET RESIDENTIAL ACADEMY</t>
    </r>
    <r>
      <rPr>
        <b/>
        <sz val="12"/>
        <rFont val="Times New Roman"/>
        <family val="1"/>
      </rPr>
      <t xml:space="preserve">
</t>
    </r>
    <r>
      <rPr>
        <sz val="8"/>
        <rFont val="Times New Roman"/>
        <family val="1"/>
      </rPr>
      <t xml:space="preserve"> 3</t>
    </r>
    <r>
      <rPr>
        <vertAlign val="superscript"/>
        <sz val="8"/>
        <rFont val="Times New Roman"/>
        <family val="1"/>
      </rPr>
      <t>rd</t>
    </r>
    <r>
      <rPr>
        <sz val="8"/>
        <rFont val="Times New Roman"/>
        <family val="1"/>
      </rPr>
      <t xml:space="preserve"> SEMESTER EXAMINATION TABULATION SHEET-2025</t>
    </r>
    <r>
      <rPr>
        <b/>
        <sz val="12"/>
        <rFont val="Times New Roman"/>
        <family val="1"/>
      </rPr>
      <t xml:space="preserve">
</t>
    </r>
    <r>
      <rPr>
        <b/>
        <sz val="10"/>
        <rFont val="Times New Roman"/>
        <family val="1"/>
      </rPr>
      <t xml:space="preserve"> CLASS - SIX (PROTTASHA &amp; PROGOTI)</t>
    </r>
  </si>
  <si>
    <r>
      <rPr>
        <b/>
        <sz val="16"/>
        <rFont val="Times New Roman"/>
        <family val="1"/>
      </rPr>
      <t>AMIN CADET RESIDENTIAL ACADEMY</t>
    </r>
    <r>
      <rPr>
        <b/>
        <sz val="12"/>
        <color theme="1"/>
        <rFont val="Times New Roman"/>
        <family val="1"/>
      </rPr>
      <t xml:space="preserve">
</t>
    </r>
    <r>
      <rPr>
        <b/>
        <sz val="8"/>
        <color theme="1"/>
        <rFont val="Times New Roman"/>
        <family val="1"/>
      </rPr>
      <t xml:space="preserve"> 2ND SEMESTER EXAMINATION TABULATION SHEET-2025</t>
    </r>
    <r>
      <rPr>
        <b/>
        <sz val="12"/>
        <color theme="1"/>
        <rFont val="Times New Roman"/>
        <family val="1"/>
      </rPr>
      <t xml:space="preserve">
</t>
    </r>
    <r>
      <rPr>
        <b/>
        <sz val="10"/>
        <color theme="1"/>
        <rFont val="Times New Roman"/>
        <family val="1"/>
      </rPr>
      <t xml:space="preserve"> CLASS - SIX (PROTTASHA &amp; PROGOTI)</t>
    </r>
  </si>
  <si>
    <r>
      <rPr>
        <b/>
        <sz val="16"/>
        <rFont val="Times New Roman"/>
        <family val="1"/>
      </rPr>
      <t>AMIN CADET RESIDENTIAL ACADEMY</t>
    </r>
    <r>
      <rPr>
        <b/>
        <sz val="12"/>
        <color theme="1"/>
        <rFont val="Times New Roman"/>
        <family val="1"/>
      </rPr>
      <t xml:space="preserve">
</t>
    </r>
    <r>
      <rPr>
        <b/>
        <sz val="9"/>
        <color theme="1"/>
        <rFont val="Times New Roman"/>
        <family val="1"/>
      </rPr>
      <t>1ST SEMESTER EXAMINATION TABULATION SHEET-2025</t>
    </r>
    <r>
      <rPr>
        <b/>
        <sz val="12"/>
        <color theme="1"/>
        <rFont val="Times New Roman"/>
        <family val="1"/>
      </rPr>
      <t xml:space="preserve">
</t>
    </r>
    <r>
      <rPr>
        <b/>
        <sz val="10"/>
        <color theme="1"/>
        <rFont val="Times New Roman"/>
        <family val="1"/>
      </rPr>
      <t xml:space="preserve"> CLASS - SIX (PROTTASHA &amp; PROGOTI)</t>
    </r>
  </si>
  <si>
    <r>
      <t>1</t>
    </r>
    <r>
      <rPr>
        <b/>
        <vertAlign val="superscript"/>
        <sz val="14"/>
        <color theme="1"/>
        <rFont val="Cambria"/>
        <family val="1"/>
        <scheme val="major"/>
      </rPr>
      <t>st</t>
    </r>
    <r>
      <rPr>
        <b/>
        <sz val="14"/>
        <color theme="1"/>
        <rFont val="Cambria"/>
        <family val="1"/>
        <scheme val="major"/>
      </rPr>
      <t xml:space="preserve"> Term Exam</t>
    </r>
  </si>
  <si>
    <r>
      <t>2</t>
    </r>
    <r>
      <rPr>
        <b/>
        <vertAlign val="superscript"/>
        <sz val="14"/>
        <color theme="1"/>
        <rFont val="Cambria"/>
        <family val="1"/>
        <scheme val="major"/>
      </rPr>
      <t>nd</t>
    </r>
    <r>
      <rPr>
        <b/>
        <sz val="14"/>
        <color theme="1"/>
        <rFont val="Cambria"/>
        <family val="1"/>
        <scheme val="major"/>
      </rPr>
      <t xml:space="preserve"> Term Exam</t>
    </r>
  </si>
  <si>
    <r>
      <t>3</t>
    </r>
    <r>
      <rPr>
        <b/>
        <vertAlign val="superscript"/>
        <sz val="14"/>
        <color theme="1"/>
        <rFont val="Cambria"/>
        <family val="1"/>
        <scheme val="major"/>
      </rPr>
      <t xml:space="preserve">rd </t>
    </r>
    <r>
      <rPr>
        <b/>
        <sz val="14"/>
        <color theme="1"/>
        <rFont val="Cambria"/>
        <family val="1"/>
        <scheme val="major"/>
      </rPr>
      <t>Term Exam</t>
    </r>
  </si>
  <si>
    <t xml:space="preserve">SADIKUL ISLAM &amp; MD. AL-AMIN </t>
  </si>
  <si>
    <t>PROTTASHA &amp; PROGOTI</t>
  </si>
  <si>
    <r>
      <rPr>
        <b/>
        <sz val="22"/>
        <color theme="1"/>
        <rFont val="Cambria"/>
        <family val="1"/>
        <scheme val="major"/>
      </rPr>
      <t>AMIN CADET RESIDENTIAL ACADEMY</t>
    </r>
    <r>
      <rPr>
        <b/>
        <sz val="11"/>
        <color theme="1"/>
        <rFont val="Cambria"/>
        <family val="1"/>
        <scheme val="major"/>
      </rPr>
      <t xml:space="preserve">
Amin Model Town, Savar Cantonment, Ashulia, Dhaka-1344.
Annual Examination Result -2025
</t>
    </r>
  </si>
</sst>
</file>

<file path=xl/styles.xml><?xml version="1.0" encoding="utf-8"?>
<styleSheet xmlns="http://schemas.openxmlformats.org/spreadsheetml/2006/main">
  <numFmts count="3">
    <numFmt numFmtId="164" formatCode="00000\-0000"/>
    <numFmt numFmtId="165" formatCode="0.0"/>
    <numFmt numFmtId="166" formatCode="0.00;[Red]0.00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Times New Roman"/>
      <family val="1"/>
    </font>
    <font>
      <sz val="11"/>
      <color theme="1"/>
      <name val="Times New Roman"/>
      <family val="1"/>
    </font>
    <font>
      <b/>
      <sz val="9"/>
      <color theme="1" tint="0.499984740745262"/>
      <name val="Times New Roman"/>
      <family val="1"/>
    </font>
    <font>
      <b/>
      <sz val="9"/>
      <color theme="2" tint="-0.499984740745262"/>
      <name val="Times New Roman"/>
      <family val="1"/>
    </font>
    <font>
      <sz val="9"/>
      <color theme="2" tint="-0.499984740745262"/>
      <name val="Times New Roman"/>
      <family val="1"/>
    </font>
    <font>
      <b/>
      <sz val="9"/>
      <name val="Tempus Sans ITC"/>
      <family val="5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1" tint="0.499984740745262"/>
      <name val="Tempus Sans ITC"/>
      <family val="5"/>
    </font>
    <font>
      <b/>
      <u/>
      <sz val="9"/>
      <color theme="1"/>
      <name val="Calibri"/>
      <family val="2"/>
      <scheme val="minor"/>
    </font>
    <font>
      <sz val="11"/>
      <color rgb="FF00B0F0"/>
      <name val="Source Sans Pro Black"/>
      <family val="2"/>
    </font>
    <font>
      <b/>
      <sz val="8"/>
      <name val="Tempus Sans ITC"/>
      <family val="5"/>
    </font>
    <font>
      <sz val="8"/>
      <color theme="2" tint="-0.499984740745262"/>
      <name val="Lucida Handwriting"/>
      <family val="4"/>
    </font>
    <font>
      <b/>
      <sz val="12"/>
      <color theme="1"/>
      <name val="Times New Roman"/>
      <family val="1"/>
    </font>
    <font>
      <b/>
      <sz val="10"/>
      <color theme="1"/>
      <name val="Times New Roman"/>
      <family val="1"/>
    </font>
    <font>
      <b/>
      <sz val="9"/>
      <color theme="1"/>
      <name val="Times New Roman"/>
      <family val="1"/>
    </font>
    <font>
      <b/>
      <sz val="5"/>
      <color theme="1"/>
      <name val="Times New Roman"/>
      <family val="1"/>
    </font>
    <font>
      <b/>
      <sz val="4"/>
      <color theme="1"/>
      <name val="Times New Roman"/>
      <family val="1"/>
    </font>
    <font>
      <sz val="4"/>
      <color theme="1"/>
      <name val="Times New Roman"/>
      <family val="1"/>
    </font>
    <font>
      <sz val="4"/>
      <color theme="1"/>
      <name val="Calibri"/>
      <family val="2"/>
      <scheme val="minor"/>
    </font>
    <font>
      <u/>
      <sz val="9"/>
      <color theme="1"/>
      <name val="Times New Roman"/>
      <family val="1"/>
    </font>
    <font>
      <sz val="7"/>
      <name val="Times New Roman"/>
      <family val="1"/>
    </font>
    <font>
      <sz val="7"/>
      <color theme="1" tint="0.499984740745262"/>
      <name val="Lucida Handwriting"/>
      <family val="4"/>
    </font>
    <font>
      <sz val="7"/>
      <color rgb="FFFF0000"/>
      <name val="Lucida Handwriting"/>
      <family val="4"/>
    </font>
    <font>
      <b/>
      <sz val="7"/>
      <color theme="3" tint="0.39997558519241921"/>
      <name val="Tempus Sans ITC"/>
      <family val="5"/>
    </font>
    <font>
      <b/>
      <sz val="11"/>
      <color theme="1"/>
      <name val="Cambria"/>
      <family val="1"/>
      <scheme val="major"/>
    </font>
    <font>
      <sz val="14"/>
      <color theme="1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theme="1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z val="12"/>
      <name val="Times New Roman"/>
      <family val="1"/>
    </font>
    <font>
      <b/>
      <sz val="10"/>
      <name val="Times New Roman"/>
      <family val="1"/>
    </font>
    <font>
      <sz val="11"/>
      <name val="Calibri"/>
      <family val="2"/>
      <scheme val="minor"/>
    </font>
    <font>
      <u/>
      <sz val="11"/>
      <color theme="1"/>
      <name val="Cambria"/>
      <family val="1"/>
      <scheme val="major"/>
    </font>
    <font>
      <sz val="8"/>
      <name val="Times New Roman"/>
      <family val="1"/>
    </font>
    <font>
      <vertAlign val="superscript"/>
      <sz val="8"/>
      <name val="Times New Roman"/>
      <family val="1"/>
    </font>
    <font>
      <b/>
      <sz val="16"/>
      <name val="Times New Roman"/>
      <family val="1"/>
    </font>
    <font>
      <b/>
      <sz val="8"/>
      <color theme="1"/>
      <name val="Times New Roman"/>
      <family val="1"/>
    </font>
    <font>
      <b/>
      <sz val="8"/>
      <color theme="1"/>
      <name val="Cambria"/>
      <family val="1"/>
      <scheme val="major"/>
    </font>
    <font>
      <sz val="8"/>
      <color theme="1"/>
      <name val="Cambria"/>
      <family val="1"/>
      <scheme val="major"/>
    </font>
    <font>
      <sz val="10"/>
      <name val="Times New Roman"/>
      <family val="1"/>
    </font>
    <font>
      <b/>
      <sz val="8"/>
      <name val="Cambria"/>
      <family val="1"/>
      <scheme val="major"/>
    </font>
    <font>
      <sz val="8"/>
      <name val="Cambria"/>
      <family val="1"/>
      <scheme val="major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sz val="10"/>
      <color theme="1"/>
      <name val="Cambria"/>
      <family val="1"/>
      <scheme val="major"/>
    </font>
    <font>
      <sz val="10"/>
      <name val="Calibri"/>
      <family val="2"/>
      <scheme val="minor"/>
    </font>
    <font>
      <sz val="10"/>
      <name val="Cambria"/>
      <family val="1"/>
      <scheme val="major"/>
    </font>
    <font>
      <sz val="1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vertAlign val="superscript"/>
      <sz val="14"/>
      <color theme="1"/>
      <name val="Cambria"/>
      <family val="1"/>
      <scheme val="major"/>
    </font>
    <font>
      <b/>
      <sz val="14"/>
      <color theme="1"/>
      <name val="Times New Roman"/>
      <family val="1"/>
    </font>
    <font>
      <b/>
      <sz val="14"/>
      <color theme="1"/>
      <name val="Calibri"/>
      <family val="2"/>
      <scheme val="minor"/>
    </font>
    <font>
      <b/>
      <sz val="22"/>
      <color theme="1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5">
    <xf numFmtId="0" fontId="0" fillId="0" borderId="0" xfId="0"/>
    <xf numFmtId="0" fontId="6" fillId="2" borderId="1" xfId="0" applyFont="1" applyFill="1" applyBorder="1" applyAlignment="1">
      <alignment horizontal="center" vertical="center"/>
    </xf>
    <xf numFmtId="0" fontId="8" fillId="2" borderId="2" xfId="0" applyFont="1" applyFill="1" applyBorder="1"/>
    <xf numFmtId="0" fontId="8" fillId="2" borderId="0" xfId="0" applyFont="1" applyFill="1"/>
    <xf numFmtId="0" fontId="9" fillId="2" borderId="0" xfId="0" applyFont="1" applyFill="1" applyAlignment="1">
      <alignment vertical="center"/>
    </xf>
    <xf numFmtId="0" fontId="9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11" fillId="2" borderId="0" xfId="0" applyFont="1" applyFill="1"/>
    <xf numFmtId="0" fontId="11" fillId="2" borderId="4" xfId="0" applyFont="1" applyFill="1" applyBorder="1"/>
    <xf numFmtId="0" fontId="8" fillId="2" borderId="3" xfId="0" applyFont="1" applyFill="1" applyBorder="1" applyAlignment="1">
      <alignment vertical="center"/>
    </xf>
    <xf numFmtId="0" fontId="8" fillId="2" borderId="13" xfId="0" applyFont="1" applyFill="1" applyBorder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7" fillId="2" borderId="0" xfId="0" applyFont="1" applyFill="1"/>
    <xf numFmtId="0" fontId="6" fillId="2" borderId="14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3" fillId="2" borderId="2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8" fillId="2" borderId="4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vertical="center"/>
    </xf>
    <xf numFmtId="0" fontId="2" fillId="2" borderId="0" xfId="0" applyFont="1" applyFill="1" applyAlignment="1">
      <alignment horizontal="left" vertical="center"/>
    </xf>
    <xf numFmtId="0" fontId="23" fillId="2" borderId="2" xfId="0" applyFont="1" applyFill="1" applyBorder="1" applyAlignment="1">
      <alignment horizontal="left"/>
    </xf>
    <xf numFmtId="0" fontId="24" fillId="2" borderId="0" xfId="0" applyFont="1" applyFill="1"/>
    <xf numFmtId="0" fontId="23" fillId="2" borderId="2" xfId="0" applyFont="1" applyFill="1" applyBorder="1"/>
    <xf numFmtId="164" fontId="24" fillId="2" borderId="0" xfId="0" applyNumberFormat="1" applyFont="1" applyFill="1"/>
    <xf numFmtId="0" fontId="26" fillId="2" borderId="0" xfId="0" applyFont="1" applyFill="1" applyAlignment="1">
      <alignment horizontal="center"/>
    </xf>
    <xf numFmtId="0" fontId="26" fillId="2" borderId="0" xfId="0" applyFont="1" applyFill="1"/>
    <xf numFmtId="0" fontId="26" fillId="2" borderId="4" xfId="0" applyFont="1" applyFill="1" applyBorder="1"/>
    <xf numFmtId="0" fontId="34" fillId="0" borderId="0" xfId="0" applyFont="1"/>
    <xf numFmtId="0" fontId="0" fillId="0" borderId="2" xfId="0" applyBorder="1"/>
    <xf numFmtId="0" fontId="0" fillId="0" borderId="0" xfId="0" applyAlignment="1">
      <alignment horizontal="right"/>
    </xf>
    <xf numFmtId="0" fontId="20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wrapText="1"/>
    </xf>
    <xf numFmtId="0" fontId="21" fillId="0" borderId="9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35" fillId="0" borderId="0" xfId="0" applyFont="1"/>
    <xf numFmtId="0" fontId="41" fillId="0" borderId="0" xfId="0" applyFont="1"/>
    <xf numFmtId="0" fontId="44" fillId="0" borderId="0" xfId="0" applyFont="1"/>
    <xf numFmtId="0" fontId="43" fillId="4" borderId="1" xfId="0" applyFont="1" applyFill="1" applyBorder="1" applyAlignment="1">
      <alignment horizontal="center" vertical="center"/>
    </xf>
    <xf numFmtId="0" fontId="43" fillId="4" borderId="1" xfId="0" applyFont="1" applyFill="1" applyBorder="1" applyAlignment="1">
      <alignment horizontal="center" vertical="center" wrapText="1"/>
    </xf>
    <xf numFmtId="0" fontId="45" fillId="3" borderId="1" xfId="0" applyFont="1" applyFill="1" applyBorder="1" applyAlignment="1">
      <alignment horizontal="left" vertical="center"/>
    </xf>
    <xf numFmtId="0" fontId="42" fillId="3" borderId="1" xfId="0" applyFont="1" applyFill="1" applyBorder="1" applyAlignment="1">
      <alignment horizontal="left" vertical="center"/>
    </xf>
    <xf numFmtId="0" fontId="46" fillId="3" borderId="1" xfId="0" applyFont="1" applyFill="1" applyBorder="1" applyAlignment="1">
      <alignment horizontal="left" vertical="center"/>
    </xf>
    <xf numFmtId="0" fontId="45" fillId="3" borderId="1" xfId="0" applyFont="1" applyFill="1" applyBorder="1" applyAlignment="1">
      <alignment horizontal="center" vertical="center"/>
    </xf>
    <xf numFmtId="0" fontId="42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5" fillId="3" borderId="7" xfId="0" applyFont="1" applyFill="1" applyBorder="1" applyAlignment="1">
      <alignment horizontal="center" vertical="center"/>
    </xf>
    <xf numFmtId="0" fontId="45" fillId="0" borderId="7" xfId="0" applyFont="1" applyBorder="1" applyAlignment="1">
      <alignment horizontal="center" vertical="center"/>
    </xf>
    <xf numFmtId="0" fontId="45" fillId="0" borderId="14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46" fillId="0" borderId="2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" xfId="0" applyFont="1" applyBorder="1" applyAlignment="1">
      <alignment horizontal="center"/>
    </xf>
    <xf numFmtId="0" fontId="46" fillId="0" borderId="0" xfId="0" applyFont="1"/>
    <xf numFmtId="0" fontId="45" fillId="0" borderId="1" xfId="0" applyFont="1" applyBorder="1" applyAlignment="1">
      <alignment horizontal="center"/>
    </xf>
    <xf numFmtId="0" fontId="45" fillId="0" borderId="1" xfId="0" applyFont="1" applyBorder="1" applyAlignment="1">
      <alignment horizontal="left" vertical="center"/>
    </xf>
    <xf numFmtId="0" fontId="45" fillId="0" borderId="1" xfId="0" applyFont="1" applyBorder="1" applyAlignment="1">
      <alignment horizontal="left"/>
    </xf>
    <xf numFmtId="0" fontId="46" fillId="0" borderId="1" xfId="0" applyFont="1" applyBorder="1"/>
    <xf numFmtId="0" fontId="47" fillId="0" borderId="5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/>
    </xf>
    <xf numFmtId="0" fontId="47" fillId="0" borderId="8" xfId="0" applyFont="1" applyBorder="1" applyAlignment="1">
      <alignment horizontal="center"/>
    </xf>
    <xf numFmtId="0" fontId="42" fillId="0" borderId="7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0" fontId="48" fillId="0" borderId="1" xfId="0" applyFont="1" applyBorder="1" applyAlignment="1">
      <alignment horizontal="center"/>
    </xf>
    <xf numFmtId="0" fontId="48" fillId="0" borderId="0" xfId="0" applyFont="1"/>
    <xf numFmtId="0" fontId="34" fillId="0" borderId="0" xfId="0" applyFont="1" applyAlignment="1">
      <alignment horizontal="center"/>
    </xf>
    <xf numFmtId="0" fontId="48" fillId="3" borderId="1" xfId="0" applyFont="1" applyFill="1" applyBorder="1" applyAlignment="1">
      <alignment horizontal="center" vertical="center"/>
    </xf>
    <xf numFmtId="1" fontId="48" fillId="3" borderId="1" xfId="0" applyNumberFormat="1" applyFont="1" applyFill="1" applyBorder="1" applyAlignment="1">
      <alignment horizontal="center" vertical="center"/>
    </xf>
    <xf numFmtId="0" fontId="49" fillId="0" borderId="1" xfId="0" applyFont="1" applyBorder="1" applyAlignment="1">
      <alignment horizontal="center" vertical="center"/>
    </xf>
    <xf numFmtId="0" fontId="49" fillId="0" borderId="1" xfId="0" applyFont="1" applyBorder="1" applyAlignment="1">
      <alignment horizontal="center"/>
    </xf>
    <xf numFmtId="0" fontId="50" fillId="0" borderId="1" xfId="0" applyFont="1" applyBorder="1" applyAlignment="1">
      <alignment horizontal="center" vertical="center"/>
    </xf>
    <xf numFmtId="2" fontId="50" fillId="0" borderId="1" xfId="1" applyNumberFormat="1" applyFont="1" applyFill="1" applyBorder="1" applyAlignment="1">
      <alignment horizontal="center" vertical="center"/>
    </xf>
    <xf numFmtId="0" fontId="51" fillId="3" borderId="7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1" fillId="0" borderId="7" xfId="0" applyFont="1" applyBorder="1" applyAlignment="1">
      <alignment horizontal="center" vertical="center"/>
    </xf>
    <xf numFmtId="0" fontId="51" fillId="0" borderId="1" xfId="0" applyFont="1" applyBorder="1" applyAlignment="1">
      <alignment horizontal="center" vertical="center"/>
    </xf>
    <xf numFmtId="0" fontId="52" fillId="3" borderId="7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horizontal="center" vertical="center"/>
    </xf>
    <xf numFmtId="0" fontId="52" fillId="0" borderId="7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2" fontId="51" fillId="0" borderId="7" xfId="1" applyNumberFormat="1" applyFont="1" applyFill="1" applyBorder="1" applyAlignment="1">
      <alignment horizontal="center" vertical="center"/>
    </xf>
    <xf numFmtId="2" fontId="52" fillId="0" borderId="7" xfId="1" applyNumberFormat="1" applyFont="1" applyFill="1" applyBorder="1" applyAlignment="1">
      <alignment horizontal="center" vertical="center"/>
    </xf>
    <xf numFmtId="0" fontId="52" fillId="0" borderId="5" xfId="0" applyFont="1" applyBorder="1" applyAlignment="1">
      <alignment horizontal="center" vertical="center"/>
    </xf>
    <xf numFmtId="0" fontId="52" fillId="0" borderId="5" xfId="0" applyFont="1" applyBorder="1" applyAlignment="1">
      <alignment horizontal="center"/>
    </xf>
    <xf numFmtId="0" fontId="52" fillId="0" borderId="16" xfId="0" applyFont="1" applyBorder="1" applyAlignment="1">
      <alignment horizontal="center"/>
    </xf>
    <xf numFmtId="0" fontId="52" fillId="0" borderId="8" xfId="0" applyFont="1" applyBorder="1" applyAlignment="1">
      <alignment horizontal="center"/>
    </xf>
    <xf numFmtId="0" fontId="52" fillId="0" borderId="0" xfId="0" applyFont="1"/>
    <xf numFmtId="0" fontId="28" fillId="3" borderId="0" xfId="0" applyFont="1" applyFill="1" applyBorder="1" applyAlignment="1">
      <alignment horizontal="right" vertical="center"/>
    </xf>
    <xf numFmtId="0" fontId="29" fillId="3" borderId="0" xfId="0" applyFont="1" applyFill="1" applyBorder="1" applyAlignment="1">
      <alignment horizontal="left" vertical="center"/>
    </xf>
    <xf numFmtId="0" fontId="29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31" fillId="3" borderId="1" xfId="0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165" fontId="31" fillId="3" borderId="1" xfId="0" applyNumberFormat="1" applyFont="1" applyFill="1" applyBorder="1" applyAlignment="1">
      <alignment horizontal="center" vertical="center"/>
    </xf>
    <xf numFmtId="1" fontId="31" fillId="5" borderId="1" xfId="0" applyNumberFormat="1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left" vertical="center"/>
    </xf>
    <xf numFmtId="0" fontId="30" fillId="3" borderId="0" xfId="0" applyFont="1" applyFill="1" applyBorder="1" applyAlignment="1">
      <alignment vertical="center"/>
    </xf>
    <xf numFmtId="0" fontId="55" fillId="3" borderId="0" xfId="0" applyFont="1" applyFill="1" applyBorder="1" applyAlignment="1">
      <alignment horizontal="left" vertical="center"/>
    </xf>
    <xf numFmtId="0" fontId="35" fillId="0" borderId="0" xfId="0" applyFont="1" applyAlignment="1">
      <alignment horizontal="center"/>
    </xf>
    <xf numFmtId="0" fontId="52" fillId="0" borderId="6" xfId="0" applyFont="1" applyBorder="1" applyAlignment="1">
      <alignment horizontal="center" wrapText="1"/>
    </xf>
    <xf numFmtId="0" fontId="52" fillId="0" borderId="7" xfId="0" applyFont="1" applyBorder="1" applyAlignment="1">
      <alignment horizontal="center" wrapText="1"/>
    </xf>
    <xf numFmtId="0" fontId="41" fillId="0" borderId="6" xfId="0" applyFont="1" applyBorder="1" applyAlignment="1">
      <alignment horizontal="center" wrapText="1"/>
    </xf>
    <xf numFmtId="0" fontId="41" fillId="0" borderId="7" xfId="0" applyFont="1" applyBorder="1" applyAlignment="1">
      <alignment horizontal="center" wrapText="1"/>
    </xf>
    <xf numFmtId="0" fontId="52" fillId="0" borderId="14" xfId="0" applyFont="1" applyBorder="1" applyAlignment="1">
      <alignment horizontal="center" vertical="center"/>
    </xf>
    <xf numFmtId="0" fontId="52" fillId="0" borderId="7" xfId="0" applyFont="1" applyBorder="1" applyAlignment="1">
      <alignment horizontal="center" vertical="center"/>
    </xf>
    <xf numFmtId="0" fontId="40" fillId="0" borderId="6" xfId="0" applyFont="1" applyBorder="1" applyAlignment="1">
      <alignment horizontal="center" vertical="center" wrapText="1"/>
    </xf>
    <xf numFmtId="0" fontId="40" fillId="0" borderId="7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0" fontId="41" fillId="0" borderId="7" xfId="0" applyFont="1" applyBorder="1" applyAlignment="1">
      <alignment horizontal="center" vertical="center" wrapText="1"/>
    </xf>
    <xf numFmtId="0" fontId="52" fillId="0" borderId="6" xfId="0" applyFont="1" applyBorder="1" applyAlignment="1">
      <alignment horizontal="center" vertical="center" wrapText="1"/>
    </xf>
    <xf numFmtId="0" fontId="52" fillId="0" borderId="7" xfId="0" applyFont="1" applyBorder="1" applyAlignment="1">
      <alignment horizontal="center" vertical="center" wrapText="1"/>
    </xf>
    <xf numFmtId="0" fontId="52" fillId="0" borderId="6" xfId="0" applyFont="1" applyBorder="1" applyAlignment="1">
      <alignment horizontal="center" vertical="center"/>
    </xf>
    <xf numFmtId="0" fontId="52" fillId="0" borderId="15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51" fillId="0" borderId="6" xfId="0" applyFont="1" applyBorder="1" applyAlignment="1">
      <alignment horizontal="center" vertical="center"/>
    </xf>
    <xf numFmtId="0" fontId="51" fillId="0" borderId="14" xfId="0" applyFont="1" applyBorder="1" applyAlignment="1">
      <alignment horizontal="center" vertical="center"/>
    </xf>
    <xf numFmtId="0" fontId="51" fillId="0" borderId="7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2" fillId="0" borderId="3" xfId="0" applyFont="1" applyBorder="1" applyAlignment="1">
      <alignment horizontal="center" vertical="center" wrapText="1"/>
    </xf>
    <xf numFmtId="0" fontId="44" fillId="0" borderId="1" xfId="0" applyFont="1" applyBorder="1" applyAlignment="1">
      <alignment horizontal="center" vertical="center" wrapText="1"/>
    </xf>
    <xf numFmtId="0" fontId="44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43" fillId="0" borderId="6" xfId="0" applyFont="1" applyBorder="1" applyAlignment="1">
      <alignment horizontal="center" vertical="center" wrapText="1"/>
    </xf>
    <xf numFmtId="0" fontId="43" fillId="0" borderId="7" xfId="0" applyFont="1" applyBorder="1" applyAlignment="1">
      <alignment horizontal="center" vertical="center" wrapText="1"/>
    </xf>
    <xf numFmtId="0" fontId="43" fillId="4" borderId="1" xfId="0" applyFont="1" applyFill="1" applyBorder="1" applyAlignment="1">
      <alignment horizontal="center"/>
    </xf>
    <xf numFmtId="0" fontId="43" fillId="0" borderId="1" xfId="0" applyFont="1" applyBorder="1" applyAlignment="1">
      <alignment horizontal="center" vertical="center" wrapText="1"/>
    </xf>
    <xf numFmtId="0" fontId="44" fillId="0" borderId="9" xfId="0" applyFont="1" applyBorder="1" applyAlignment="1">
      <alignment horizontal="center" vertical="center"/>
    </xf>
    <xf numFmtId="164" fontId="24" fillId="2" borderId="3" xfId="0" applyNumberFormat="1" applyFont="1" applyFill="1" applyBorder="1" applyAlignment="1">
      <alignment horizontal="left"/>
    </xf>
    <xf numFmtId="0" fontId="2" fillId="2" borderId="2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23" fillId="2" borderId="0" xfId="0" applyFont="1" applyFill="1" applyAlignment="1">
      <alignment horizontal="left"/>
    </xf>
    <xf numFmtId="0" fontId="10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24" fillId="2" borderId="0" xfId="0" applyFont="1" applyFill="1" applyAlignment="1">
      <alignment horizontal="left"/>
    </xf>
    <xf numFmtId="0" fontId="24" fillId="2" borderId="4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25" fillId="2" borderId="0" xfId="0" applyFont="1" applyFill="1" applyAlignment="1">
      <alignment horizontal="left" vertical="center"/>
    </xf>
    <xf numFmtId="0" fontId="25" fillId="2" borderId="4" xfId="0" applyFont="1" applyFill="1" applyBorder="1" applyAlignment="1">
      <alignment horizontal="left" vertical="center"/>
    </xf>
    <xf numFmtId="0" fontId="23" fillId="2" borderId="0" xfId="0" applyFont="1" applyFill="1" applyAlignment="1">
      <alignment horizontal="left" vertical="center"/>
    </xf>
    <xf numFmtId="0" fontId="14" fillId="2" borderId="0" xfId="0" applyFont="1" applyFill="1" applyAlignment="1">
      <alignment horizontal="left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 textRotation="90"/>
    </xf>
    <xf numFmtId="0" fontId="5" fillId="2" borderId="14" xfId="0" applyFont="1" applyFill="1" applyBorder="1" applyAlignment="1">
      <alignment horizontal="center" vertical="center" textRotation="90"/>
    </xf>
    <xf numFmtId="0" fontId="13" fillId="2" borderId="2" xfId="0" applyFont="1" applyFill="1" applyBorder="1" applyAlignment="1">
      <alignment horizontal="left"/>
    </xf>
    <xf numFmtId="0" fontId="13" fillId="2" borderId="0" xfId="0" applyFont="1" applyFill="1" applyAlignment="1">
      <alignment horizontal="left"/>
    </xf>
    <xf numFmtId="0" fontId="3" fillId="2" borderId="1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49" fontId="24" fillId="2" borderId="0" xfId="0" applyNumberFormat="1" applyFont="1" applyFill="1" applyAlignment="1">
      <alignment horizontal="left"/>
    </xf>
    <xf numFmtId="0" fontId="24" fillId="2" borderId="0" xfId="0" applyFont="1" applyFill="1" applyAlignment="1">
      <alignment horizontal="left" vertical="center"/>
    </xf>
    <xf numFmtId="0" fontId="24" fillId="2" borderId="4" xfId="0" applyFont="1" applyFill="1" applyBorder="1" applyAlignment="1">
      <alignment horizontal="left" vertical="center"/>
    </xf>
    <xf numFmtId="0" fontId="5" fillId="2" borderId="6" xfId="0" applyFont="1" applyFill="1" applyBorder="1" applyAlignment="1">
      <alignment horizontal="center" vertical="center" textRotation="90" wrapText="1"/>
    </xf>
    <xf numFmtId="0" fontId="5" fillId="2" borderId="14" xfId="0" applyFont="1" applyFill="1" applyBorder="1" applyAlignment="1">
      <alignment horizontal="center" vertical="center" textRotation="90" wrapText="1"/>
    </xf>
    <xf numFmtId="2" fontId="5" fillId="2" borderId="1" xfId="0" applyNumberFormat="1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textRotation="90" wrapText="1"/>
    </xf>
    <xf numFmtId="0" fontId="6" fillId="2" borderId="1" xfId="0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 textRotation="90"/>
    </xf>
    <xf numFmtId="0" fontId="27" fillId="3" borderId="0" xfId="0" applyFont="1" applyFill="1" applyBorder="1" applyAlignment="1">
      <alignment horizontal="center" wrapText="1"/>
    </xf>
    <xf numFmtId="0" fontId="31" fillId="3" borderId="1" xfId="0" applyFont="1" applyFill="1" applyBorder="1" applyAlignment="1">
      <alignment horizontal="center" vertical="center" wrapText="1"/>
    </xf>
    <xf numFmtId="0" fontId="31" fillId="3" borderId="1" xfId="0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 textRotation="90" wrapText="1"/>
    </xf>
    <xf numFmtId="0" fontId="31" fillId="3" borderId="0" xfId="0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0" fontId="31" fillId="5" borderId="1" xfId="0" applyFont="1" applyFill="1" applyBorder="1" applyAlignment="1">
      <alignment horizontal="center" vertical="center"/>
    </xf>
    <xf numFmtId="1" fontId="31" fillId="5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 textRotation="90" wrapText="1"/>
    </xf>
  </cellXfs>
  <cellStyles count="2">
    <cellStyle name="Normal" xfId="0" builtinId="0"/>
    <cellStyle name="Percent" xfId="1" builtinId="5"/>
  </cellStyles>
  <dxfs count="59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99FF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109582</xdr:colOff>
      <xdr:row>0</xdr:row>
      <xdr:rowOff>123163</xdr:rowOff>
    </xdr:from>
    <xdr:to>
      <xdr:col>7</xdr:col>
      <xdr:colOff>190502</xdr:colOff>
      <xdr:row>3</xdr:row>
      <xdr:rowOff>72259</xdr:rowOff>
    </xdr:to>
    <xdr:pic>
      <xdr:nvPicPr>
        <xdr:cNvPr id="3" name="Picture 2" descr="ACA-LOGO.png">
          <a:extLst>
            <a:ext uri="{FF2B5EF4-FFF2-40B4-BE49-F238E27FC236}">
              <a16:creationId xmlns="" xmlns:a16="http://schemas.microsoft.com/office/drawing/2014/main" id="{5AD47603-0601-4ADA-89CD-57E7D508B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5568392" y="123163"/>
          <a:ext cx="461920" cy="52059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974271</xdr:colOff>
      <xdr:row>0</xdr:row>
      <xdr:rowOff>88974</xdr:rowOff>
    </xdr:from>
    <xdr:to>
      <xdr:col>7</xdr:col>
      <xdr:colOff>130866</xdr:colOff>
      <xdr:row>3</xdr:row>
      <xdr:rowOff>178253</xdr:rowOff>
    </xdr:to>
    <xdr:pic>
      <xdr:nvPicPr>
        <xdr:cNvPr id="3" name="Picture 2" descr="ACA-LOGO.png">
          <a:extLst>
            <a:ext uri="{FF2B5EF4-FFF2-40B4-BE49-F238E27FC236}">
              <a16:creationId xmlns="" xmlns:a16="http://schemas.microsoft.com/office/drawing/2014/main" id="{5AD47603-0601-4ADA-89CD-57E7D508B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4631871" y="88974"/>
          <a:ext cx="745672" cy="84039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951140</xdr:colOff>
      <xdr:row>0</xdr:row>
      <xdr:rowOff>75960</xdr:rowOff>
    </xdr:from>
    <xdr:to>
      <xdr:col>5</xdr:col>
      <xdr:colOff>218372</xdr:colOff>
      <xdr:row>3</xdr:row>
      <xdr:rowOff>110217</xdr:rowOff>
    </xdr:to>
    <xdr:pic>
      <xdr:nvPicPr>
        <xdr:cNvPr id="3" name="Picture 2" descr="ACA-LOGO.png">
          <a:extLst>
            <a:ext uri="{FF2B5EF4-FFF2-40B4-BE49-F238E27FC236}">
              <a16:creationId xmlns="" xmlns:a16="http://schemas.microsoft.com/office/drawing/2014/main" id="{5AD47603-0601-4ADA-89CD-57E7D508B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4599215" y="75960"/>
          <a:ext cx="542925" cy="60575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510190</xdr:colOff>
      <xdr:row>1</xdr:row>
      <xdr:rowOff>118242</xdr:rowOff>
    </xdr:from>
    <xdr:to>
      <xdr:col>4</xdr:col>
      <xdr:colOff>81018</xdr:colOff>
      <xdr:row>4</xdr:row>
      <xdr:rowOff>72261</xdr:rowOff>
    </xdr:to>
    <xdr:pic>
      <xdr:nvPicPr>
        <xdr:cNvPr id="3" name="Picture 2" descr="logo.png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1569" y="440121"/>
          <a:ext cx="431363" cy="52551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581026</xdr:colOff>
      <xdr:row>29</xdr:row>
      <xdr:rowOff>38099</xdr:rowOff>
    </xdr:from>
    <xdr:to>
      <xdr:col>17</xdr:col>
      <xdr:colOff>409576</xdr:colOff>
      <xdr:row>31</xdr:row>
      <xdr:rowOff>51834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BAD57D93-543C-17F8-FE25-E9144DA78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394558" y="9236592"/>
          <a:ext cx="394735" cy="1123950"/>
        </a:xfrm>
        <a:prstGeom prst="rect">
          <a:avLst/>
        </a:prstGeom>
      </xdr:spPr>
    </xdr:pic>
    <xdr:clientData/>
  </xdr:twoCellAnchor>
  <xdr:twoCellAnchor editAs="oneCell">
    <xdr:from>
      <xdr:col>4</xdr:col>
      <xdr:colOff>280539</xdr:colOff>
      <xdr:row>0</xdr:row>
      <xdr:rowOff>133350</xdr:rowOff>
    </xdr:from>
    <xdr:to>
      <xdr:col>5</xdr:col>
      <xdr:colOff>285495</xdr:colOff>
      <xdr:row>3</xdr:row>
      <xdr:rowOff>114300</xdr:rowOff>
    </xdr:to>
    <xdr:pic>
      <xdr:nvPicPr>
        <xdr:cNvPr id="5" name="Picture 4" descr="ACA-LOGO.png">
          <a:extLst>
            <a:ext uri="{FF2B5EF4-FFF2-40B4-BE49-F238E27FC236}">
              <a16:creationId xmlns="" xmlns:a16="http://schemas.microsoft.com/office/drawing/2014/main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3604764" y="133350"/>
          <a:ext cx="652656" cy="7239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8</xdr:col>
      <xdr:colOff>0</xdr:colOff>
      <xdr:row>29</xdr:row>
      <xdr:rowOff>57150</xdr:rowOff>
    </xdr:from>
    <xdr:to>
      <xdr:col>9</xdr:col>
      <xdr:colOff>285750</xdr:colOff>
      <xdr:row>31</xdr:row>
      <xdr:rowOff>9588</xdr:rowOff>
    </xdr:to>
    <xdr:pic>
      <xdr:nvPicPr>
        <xdr:cNvPr id="6" name="Picture 5" descr="v¦v¦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915025" y="9620250"/>
          <a:ext cx="933450" cy="3334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inal_Semester_Result-2023/Full%20Complete/CLASS_7/COMPLETE%20CLASS-7_DOYEL-RESULTSHEET-2023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1st_Semester"/>
      <sheetName val="2nd_Semester"/>
      <sheetName val="3rd_Semester"/>
      <sheetName val="Result card "/>
      <sheetName val="ANNUAL_CARD"/>
    </sheetNames>
    <sheetDataSet>
      <sheetData sheetId="0">
        <row r="5"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</row>
        <row r="6">
          <cell r="B6" t="str">
            <v>ROLL</v>
          </cell>
          <cell r="C6" t="str">
            <v>NAME</v>
          </cell>
          <cell r="D6" t="str">
            <v xml:space="preserve">FATHER NAME </v>
          </cell>
          <cell r="E6" t="str">
            <v xml:space="preserve">MOTHER NAME </v>
          </cell>
          <cell r="F6" t="str">
            <v>MT</v>
          </cell>
          <cell r="G6" t="str">
            <v>BAN-1</v>
          </cell>
          <cell r="H6">
            <v>0</v>
          </cell>
          <cell r="I6" t="str">
            <v xml:space="preserve">TOTAL </v>
          </cell>
          <cell r="J6" t="str">
            <v>MT</v>
          </cell>
          <cell r="K6" t="str">
            <v>ASS</v>
          </cell>
          <cell r="L6" t="str">
            <v>BAN-2</v>
          </cell>
          <cell r="M6" t="str">
            <v>TOTAL</v>
          </cell>
          <cell r="N6" t="str">
            <v>B1+B2</v>
          </cell>
          <cell r="O6" t="str">
            <v>HIGHESTMARK</v>
          </cell>
          <cell r="P6" t="str">
            <v>GP</v>
          </cell>
          <cell r="Q6" t="str">
            <v>MT</v>
          </cell>
          <cell r="R6" t="str">
            <v>ASS</v>
          </cell>
          <cell r="S6" t="str">
            <v>ENG-1ST</v>
          </cell>
          <cell r="T6" t="str">
            <v>TOTAL</v>
          </cell>
          <cell r="U6" t="str">
            <v>MT</v>
          </cell>
          <cell r="V6" t="str">
            <v>ASS</v>
          </cell>
          <cell r="W6" t="str">
            <v>ENG-2ND</v>
          </cell>
          <cell r="X6" t="str">
            <v>TOTAL</v>
          </cell>
          <cell r="Y6" t="str">
            <v>E1+E2</v>
          </cell>
          <cell r="Z6" t="str">
            <v>HIGHESTMARK</v>
          </cell>
          <cell r="AA6" t="str">
            <v>GP</v>
          </cell>
          <cell r="AB6" t="str">
            <v>MT</v>
          </cell>
          <cell r="AC6" t="str">
            <v>MATH</v>
          </cell>
          <cell r="AD6">
            <v>0</v>
          </cell>
          <cell r="AE6" t="str">
            <v>TOTAL</v>
          </cell>
          <cell r="AF6" t="str">
            <v>HIGHESTMARK</v>
          </cell>
          <cell r="AG6" t="str">
            <v>GP</v>
          </cell>
          <cell r="AH6" t="str">
            <v>MT</v>
          </cell>
          <cell r="AI6" t="str">
            <v>SCIENCE</v>
          </cell>
          <cell r="AJ6">
            <v>0</v>
          </cell>
          <cell r="AK6" t="str">
            <v>TOTAL</v>
          </cell>
          <cell r="AL6" t="str">
            <v>HIGHESTMARK</v>
          </cell>
          <cell r="AM6" t="str">
            <v>GP</v>
          </cell>
          <cell r="AN6" t="str">
            <v>MT</v>
          </cell>
          <cell r="AO6" t="str">
            <v>BGS</v>
          </cell>
          <cell r="AP6">
            <v>0</v>
          </cell>
          <cell r="AQ6" t="str">
            <v>TOTAL</v>
          </cell>
          <cell r="AR6" t="str">
            <v>HIGHESTMARK</v>
          </cell>
          <cell r="AS6" t="str">
            <v>GP</v>
          </cell>
          <cell r="AT6" t="str">
            <v>MT</v>
          </cell>
          <cell r="AU6" t="str">
            <v>RELIGION</v>
          </cell>
          <cell r="AV6">
            <v>0</v>
          </cell>
          <cell r="AW6" t="str">
            <v>TOTAL</v>
          </cell>
          <cell r="AX6" t="str">
            <v>HIGHESTMARK</v>
          </cell>
          <cell r="AY6" t="str">
            <v>GP</v>
          </cell>
          <cell r="AZ6" t="str">
            <v>MT</v>
          </cell>
          <cell r="BA6" t="str">
            <v>ASS</v>
          </cell>
          <cell r="BB6" t="str">
            <v>ICT</v>
          </cell>
          <cell r="BC6" t="str">
            <v>TOTAL</v>
          </cell>
          <cell r="BD6" t="str">
            <v>HIGHESTMARK</v>
          </cell>
          <cell r="BE6" t="str">
            <v>GP</v>
          </cell>
          <cell r="BF6" t="str">
            <v>T-GP</v>
          </cell>
          <cell r="BG6" t="str">
            <v>GPA</v>
          </cell>
          <cell r="BH6" t="str">
            <v>BHVR</v>
          </cell>
          <cell r="BI6" t="str">
            <v>TOTAL MARK</v>
          </cell>
          <cell r="BJ6" t="str">
            <v>Position</v>
          </cell>
        </row>
        <row r="7"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 t="str">
            <v>ASS</v>
          </cell>
          <cell r="H7" t="str">
            <v>CR</v>
          </cell>
          <cell r="I7">
            <v>0</v>
          </cell>
          <cell r="J7">
            <v>0</v>
          </cell>
          <cell r="K7">
            <v>0</v>
          </cell>
          <cell r="L7" t="str">
            <v>CR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 t="str">
            <v>CR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 t="str">
            <v>ASS</v>
          </cell>
          <cell r="AD7" t="str">
            <v>CR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 t="str">
            <v>ASS</v>
          </cell>
          <cell r="AJ7" t="str">
            <v>CR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 t="str">
            <v>ASS</v>
          </cell>
          <cell r="AP7" t="str">
            <v>CR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 t="str">
            <v>ASS</v>
          </cell>
          <cell r="AV7" t="str">
            <v>CR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 t="str">
            <v>CR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</row>
        <row r="8">
          <cell r="B8">
            <v>1</v>
          </cell>
          <cell r="C8" t="str">
            <v>RUPOK SHAHA</v>
          </cell>
          <cell r="D8" t="str">
            <v>RIPON SHAHA</v>
          </cell>
          <cell r="E8" t="str">
            <v>KRISHNA SHAHA</v>
          </cell>
          <cell r="F8">
            <v>14</v>
          </cell>
          <cell r="G8">
            <v>18</v>
          </cell>
          <cell r="H8">
            <v>51</v>
          </cell>
          <cell r="I8">
            <v>83</v>
          </cell>
          <cell r="J8">
            <v>8</v>
          </cell>
          <cell r="K8">
            <v>10</v>
          </cell>
          <cell r="L8">
            <v>25</v>
          </cell>
          <cell r="M8">
            <v>43</v>
          </cell>
          <cell r="N8">
            <v>126</v>
          </cell>
          <cell r="O8">
            <v>144</v>
          </cell>
          <cell r="P8">
            <v>5</v>
          </cell>
          <cell r="Q8">
            <v>18</v>
          </cell>
          <cell r="R8">
            <v>20</v>
          </cell>
          <cell r="S8">
            <v>49</v>
          </cell>
          <cell r="T8">
            <v>87</v>
          </cell>
          <cell r="U8">
            <v>7</v>
          </cell>
          <cell r="V8">
            <v>10</v>
          </cell>
          <cell r="W8">
            <v>24</v>
          </cell>
          <cell r="X8">
            <v>41</v>
          </cell>
          <cell r="Y8">
            <v>128</v>
          </cell>
          <cell r="Z8">
            <v>133</v>
          </cell>
          <cell r="AA8">
            <v>5</v>
          </cell>
          <cell r="AB8">
            <v>13</v>
          </cell>
          <cell r="AC8">
            <v>20</v>
          </cell>
          <cell r="AD8">
            <v>52</v>
          </cell>
          <cell r="AE8">
            <v>85</v>
          </cell>
          <cell r="AF8">
            <v>100</v>
          </cell>
          <cell r="AG8">
            <v>5</v>
          </cell>
          <cell r="AH8">
            <v>16</v>
          </cell>
          <cell r="AI8">
            <v>20</v>
          </cell>
          <cell r="AJ8">
            <v>44</v>
          </cell>
          <cell r="AK8">
            <v>80</v>
          </cell>
          <cell r="AL8">
            <v>100</v>
          </cell>
          <cell r="AM8">
            <v>5</v>
          </cell>
          <cell r="AN8">
            <v>15</v>
          </cell>
          <cell r="AO8">
            <v>20</v>
          </cell>
          <cell r="AP8">
            <v>47</v>
          </cell>
          <cell r="AQ8">
            <v>82</v>
          </cell>
          <cell r="AR8">
            <v>94</v>
          </cell>
          <cell r="AS8">
            <v>5</v>
          </cell>
          <cell r="AT8">
            <v>14</v>
          </cell>
          <cell r="AU8">
            <v>18</v>
          </cell>
          <cell r="AV8">
            <v>44</v>
          </cell>
          <cell r="AW8">
            <v>76</v>
          </cell>
          <cell r="AX8">
            <v>98</v>
          </cell>
          <cell r="AY8">
            <v>4</v>
          </cell>
          <cell r="AZ8">
            <v>15</v>
          </cell>
          <cell r="BA8">
            <v>5</v>
          </cell>
          <cell r="BB8">
            <v>29</v>
          </cell>
          <cell r="BC8">
            <v>49</v>
          </cell>
          <cell r="BD8">
            <v>49</v>
          </cell>
          <cell r="BE8">
            <v>5</v>
          </cell>
          <cell r="BF8">
            <v>34</v>
          </cell>
          <cell r="BG8">
            <v>4.8571428571428568</v>
          </cell>
          <cell r="BH8" t="str">
            <v>BETTER</v>
          </cell>
          <cell r="BI8">
            <v>626</v>
          </cell>
          <cell r="BJ8">
            <v>16</v>
          </cell>
        </row>
        <row r="9">
          <cell r="B9">
            <v>2</v>
          </cell>
          <cell r="C9" t="str">
            <v xml:space="preserve">MAHBUB ALAM SABBIR </v>
          </cell>
          <cell r="D9" t="str">
            <v>MD.AYNAL BEPARY</v>
          </cell>
          <cell r="E9" t="str">
            <v xml:space="preserve">SELINA </v>
          </cell>
          <cell r="F9">
            <v>18</v>
          </cell>
          <cell r="G9">
            <v>19</v>
          </cell>
          <cell r="H9">
            <v>58</v>
          </cell>
          <cell r="I9">
            <v>95</v>
          </cell>
          <cell r="J9">
            <v>8</v>
          </cell>
          <cell r="K9">
            <v>10</v>
          </cell>
          <cell r="L9">
            <v>29</v>
          </cell>
          <cell r="M9">
            <v>47</v>
          </cell>
          <cell r="N9">
            <v>142</v>
          </cell>
          <cell r="O9">
            <v>0</v>
          </cell>
          <cell r="P9">
            <v>5</v>
          </cell>
          <cell r="Q9">
            <v>10</v>
          </cell>
          <cell r="R9">
            <v>20</v>
          </cell>
          <cell r="S9">
            <v>45</v>
          </cell>
          <cell r="T9">
            <v>75</v>
          </cell>
          <cell r="U9">
            <v>8</v>
          </cell>
          <cell r="V9">
            <v>8</v>
          </cell>
          <cell r="W9">
            <v>16</v>
          </cell>
          <cell r="X9">
            <v>32</v>
          </cell>
          <cell r="Y9">
            <v>107</v>
          </cell>
          <cell r="Z9">
            <v>0</v>
          </cell>
          <cell r="AA9">
            <v>4</v>
          </cell>
          <cell r="AB9">
            <v>12</v>
          </cell>
          <cell r="AC9">
            <v>20</v>
          </cell>
          <cell r="AD9">
            <v>48</v>
          </cell>
          <cell r="AE9">
            <v>80</v>
          </cell>
          <cell r="AF9">
            <v>0</v>
          </cell>
          <cell r="AG9">
            <v>5</v>
          </cell>
          <cell r="AH9">
            <v>14</v>
          </cell>
          <cell r="AI9">
            <v>20</v>
          </cell>
          <cell r="AJ9">
            <v>41</v>
          </cell>
          <cell r="AK9">
            <v>75</v>
          </cell>
          <cell r="AL9">
            <v>0</v>
          </cell>
          <cell r="AM9">
            <v>4</v>
          </cell>
          <cell r="AN9">
            <v>15</v>
          </cell>
          <cell r="AO9">
            <v>20</v>
          </cell>
          <cell r="AP9">
            <v>51</v>
          </cell>
          <cell r="AQ9">
            <v>86</v>
          </cell>
          <cell r="AR9">
            <v>0</v>
          </cell>
          <cell r="AS9">
            <v>5</v>
          </cell>
          <cell r="AT9">
            <v>19</v>
          </cell>
          <cell r="AU9">
            <v>20</v>
          </cell>
          <cell r="AV9">
            <v>55</v>
          </cell>
          <cell r="AW9">
            <v>94</v>
          </cell>
          <cell r="AX9">
            <v>0</v>
          </cell>
          <cell r="AY9">
            <v>5</v>
          </cell>
          <cell r="AZ9">
            <v>13</v>
          </cell>
          <cell r="BA9">
            <v>5</v>
          </cell>
          <cell r="BB9">
            <v>29</v>
          </cell>
          <cell r="BC9">
            <v>47</v>
          </cell>
          <cell r="BD9">
            <v>0</v>
          </cell>
          <cell r="BE9">
            <v>5</v>
          </cell>
          <cell r="BF9">
            <v>33</v>
          </cell>
          <cell r="BG9">
            <v>4.7142857142857144</v>
          </cell>
          <cell r="BH9" t="str">
            <v>BETTER</v>
          </cell>
          <cell r="BI9">
            <v>631</v>
          </cell>
          <cell r="BJ9">
            <v>10</v>
          </cell>
        </row>
        <row r="10">
          <cell r="B10">
            <v>3</v>
          </cell>
          <cell r="C10" t="str">
            <v xml:space="preserve">MD.NAYEM AHMMED </v>
          </cell>
          <cell r="D10" t="str">
            <v xml:space="preserve">MD.SALIM </v>
          </cell>
          <cell r="E10" t="str">
            <v>MOST.NASRIN AKTER</v>
          </cell>
          <cell r="F10">
            <v>16</v>
          </cell>
          <cell r="G10">
            <v>20</v>
          </cell>
          <cell r="H10">
            <v>50</v>
          </cell>
          <cell r="I10">
            <v>86</v>
          </cell>
          <cell r="J10">
            <v>7</v>
          </cell>
          <cell r="K10">
            <v>10</v>
          </cell>
          <cell r="L10">
            <v>23</v>
          </cell>
          <cell r="M10">
            <v>40</v>
          </cell>
          <cell r="N10">
            <v>126</v>
          </cell>
          <cell r="O10">
            <v>0</v>
          </cell>
          <cell r="P10">
            <v>5</v>
          </cell>
          <cell r="Q10">
            <v>15</v>
          </cell>
          <cell r="R10">
            <v>20</v>
          </cell>
          <cell r="S10">
            <v>48</v>
          </cell>
          <cell r="T10">
            <v>83</v>
          </cell>
          <cell r="U10">
            <v>4</v>
          </cell>
          <cell r="V10">
            <v>10</v>
          </cell>
          <cell r="W10">
            <v>22</v>
          </cell>
          <cell r="X10">
            <v>36</v>
          </cell>
          <cell r="Y10">
            <v>119</v>
          </cell>
          <cell r="Z10">
            <v>0</v>
          </cell>
          <cell r="AA10">
            <v>4</v>
          </cell>
          <cell r="AB10">
            <v>8</v>
          </cell>
          <cell r="AC10">
            <v>20</v>
          </cell>
          <cell r="AD10">
            <v>59</v>
          </cell>
          <cell r="AE10">
            <v>87</v>
          </cell>
          <cell r="AF10">
            <v>0</v>
          </cell>
          <cell r="AG10">
            <v>5</v>
          </cell>
          <cell r="AH10">
            <v>10</v>
          </cell>
          <cell r="AI10">
            <v>20</v>
          </cell>
          <cell r="AJ10">
            <v>39</v>
          </cell>
          <cell r="AK10">
            <v>69</v>
          </cell>
          <cell r="AL10">
            <v>0</v>
          </cell>
          <cell r="AM10">
            <v>3.5</v>
          </cell>
          <cell r="AN10">
            <v>15</v>
          </cell>
          <cell r="AO10">
            <v>20</v>
          </cell>
          <cell r="AP10">
            <v>51</v>
          </cell>
          <cell r="AQ10">
            <v>86</v>
          </cell>
          <cell r="AR10">
            <v>0</v>
          </cell>
          <cell r="AS10">
            <v>5</v>
          </cell>
          <cell r="AT10">
            <v>8</v>
          </cell>
          <cell r="AU10">
            <v>20</v>
          </cell>
          <cell r="AV10">
            <v>55</v>
          </cell>
          <cell r="AW10">
            <v>83</v>
          </cell>
          <cell r="AX10">
            <v>0</v>
          </cell>
          <cell r="AY10">
            <v>5</v>
          </cell>
          <cell r="AZ10">
            <v>5</v>
          </cell>
          <cell r="BA10">
            <v>14</v>
          </cell>
          <cell r="BB10">
            <v>25</v>
          </cell>
          <cell r="BC10">
            <v>44</v>
          </cell>
          <cell r="BD10">
            <v>0</v>
          </cell>
          <cell r="BE10">
            <v>5</v>
          </cell>
          <cell r="BF10">
            <v>32.5</v>
          </cell>
          <cell r="BG10">
            <v>4.6428571428571432</v>
          </cell>
          <cell r="BH10" t="str">
            <v>BETTER</v>
          </cell>
          <cell r="BI10">
            <v>614</v>
          </cell>
          <cell r="BJ10">
            <v>15</v>
          </cell>
        </row>
        <row r="11">
          <cell r="B11">
            <v>5</v>
          </cell>
          <cell r="C11" t="str">
            <v xml:space="preserve">MD.TAHSIN UDDIN </v>
          </cell>
          <cell r="D11" t="str">
            <v xml:space="preserve">MAINUDDIN </v>
          </cell>
          <cell r="E11" t="str">
            <v xml:space="preserve">TASLIMA BEGUM </v>
          </cell>
          <cell r="F11">
            <v>16</v>
          </cell>
          <cell r="G11">
            <v>15</v>
          </cell>
          <cell r="H11">
            <v>47</v>
          </cell>
          <cell r="I11">
            <v>78</v>
          </cell>
          <cell r="J11">
            <v>8</v>
          </cell>
          <cell r="K11">
            <v>10</v>
          </cell>
          <cell r="L11">
            <v>19</v>
          </cell>
          <cell r="M11">
            <v>37</v>
          </cell>
          <cell r="N11">
            <v>115</v>
          </cell>
          <cell r="O11">
            <v>0</v>
          </cell>
          <cell r="P11">
            <v>4</v>
          </cell>
          <cell r="Q11">
            <v>15</v>
          </cell>
          <cell r="R11">
            <v>20</v>
          </cell>
          <cell r="S11">
            <v>51</v>
          </cell>
          <cell r="T11">
            <v>86</v>
          </cell>
          <cell r="U11">
            <v>3</v>
          </cell>
          <cell r="V11">
            <v>10</v>
          </cell>
          <cell r="W11">
            <v>18</v>
          </cell>
          <cell r="X11">
            <v>31</v>
          </cell>
          <cell r="Y11">
            <v>117</v>
          </cell>
          <cell r="Z11">
            <v>0</v>
          </cell>
          <cell r="AA11">
            <v>4</v>
          </cell>
          <cell r="AB11">
            <v>17</v>
          </cell>
          <cell r="AC11">
            <v>15</v>
          </cell>
          <cell r="AD11">
            <v>50</v>
          </cell>
          <cell r="AE11">
            <v>82</v>
          </cell>
          <cell r="AF11">
            <v>0</v>
          </cell>
          <cell r="AG11">
            <v>5</v>
          </cell>
          <cell r="AH11">
            <v>17</v>
          </cell>
          <cell r="AI11">
            <v>20</v>
          </cell>
          <cell r="AJ11">
            <v>49</v>
          </cell>
          <cell r="AK11">
            <v>86</v>
          </cell>
          <cell r="AL11">
            <v>0</v>
          </cell>
          <cell r="AM11">
            <v>5</v>
          </cell>
          <cell r="AN11">
            <v>8</v>
          </cell>
          <cell r="AO11">
            <v>20</v>
          </cell>
          <cell r="AP11">
            <v>35</v>
          </cell>
          <cell r="AQ11">
            <v>63</v>
          </cell>
          <cell r="AR11">
            <v>0</v>
          </cell>
          <cell r="AS11">
            <v>3.5</v>
          </cell>
          <cell r="AT11">
            <v>17</v>
          </cell>
          <cell r="AU11">
            <v>19</v>
          </cell>
          <cell r="AV11">
            <v>46</v>
          </cell>
          <cell r="AW11">
            <v>82</v>
          </cell>
          <cell r="AX11">
            <v>0</v>
          </cell>
          <cell r="AY11">
            <v>5</v>
          </cell>
          <cell r="AZ11">
            <v>5</v>
          </cell>
          <cell r="BA11">
            <v>11</v>
          </cell>
          <cell r="BB11">
            <v>27</v>
          </cell>
          <cell r="BC11">
            <v>43</v>
          </cell>
          <cell r="BD11">
            <v>0</v>
          </cell>
          <cell r="BE11">
            <v>5</v>
          </cell>
          <cell r="BF11">
            <v>31.5</v>
          </cell>
          <cell r="BG11">
            <v>4.5</v>
          </cell>
          <cell r="BH11" t="str">
            <v>BETTER</v>
          </cell>
          <cell r="BI11">
            <v>588</v>
          </cell>
          <cell r="BJ11">
            <v>32</v>
          </cell>
        </row>
        <row r="12">
          <cell r="B12">
            <v>6</v>
          </cell>
          <cell r="C12" t="str">
            <v xml:space="preserve">TOUHID ISLAM FOUAD </v>
          </cell>
          <cell r="D12" t="str">
            <v>SANUAR HOSSAIN</v>
          </cell>
          <cell r="E12" t="str">
            <v>SONIA AKHTER</v>
          </cell>
          <cell r="F12">
            <v>16</v>
          </cell>
          <cell r="G12">
            <v>20</v>
          </cell>
          <cell r="H12">
            <v>50</v>
          </cell>
          <cell r="I12">
            <v>86</v>
          </cell>
          <cell r="J12">
            <v>8</v>
          </cell>
          <cell r="K12">
            <v>10</v>
          </cell>
          <cell r="L12">
            <v>26</v>
          </cell>
          <cell r="M12">
            <v>44</v>
          </cell>
          <cell r="N12">
            <v>130</v>
          </cell>
          <cell r="O12">
            <v>0</v>
          </cell>
          <cell r="P12">
            <v>5</v>
          </cell>
          <cell r="Q12">
            <v>18</v>
          </cell>
          <cell r="R12">
            <v>18</v>
          </cell>
          <cell r="S12">
            <v>26</v>
          </cell>
          <cell r="T12">
            <v>62</v>
          </cell>
          <cell r="U12">
            <v>4</v>
          </cell>
          <cell r="V12">
            <v>8</v>
          </cell>
          <cell r="W12">
            <v>20</v>
          </cell>
          <cell r="X12">
            <v>32</v>
          </cell>
          <cell r="Y12">
            <v>94</v>
          </cell>
          <cell r="Z12">
            <v>0</v>
          </cell>
          <cell r="AA12">
            <v>3.5</v>
          </cell>
          <cell r="AB12">
            <v>14</v>
          </cell>
          <cell r="AC12">
            <v>20</v>
          </cell>
          <cell r="AD12">
            <v>59</v>
          </cell>
          <cell r="AE12">
            <v>93</v>
          </cell>
          <cell r="AF12">
            <v>0</v>
          </cell>
          <cell r="AG12">
            <v>5</v>
          </cell>
          <cell r="AH12">
            <v>16</v>
          </cell>
          <cell r="AI12">
            <v>20</v>
          </cell>
          <cell r="AJ12">
            <v>35</v>
          </cell>
          <cell r="AK12">
            <v>71</v>
          </cell>
          <cell r="AL12">
            <v>0</v>
          </cell>
          <cell r="AM12">
            <v>4</v>
          </cell>
          <cell r="AN12">
            <v>15</v>
          </cell>
          <cell r="AO12">
            <v>20</v>
          </cell>
          <cell r="AP12">
            <v>44</v>
          </cell>
          <cell r="AQ12">
            <v>79</v>
          </cell>
          <cell r="AR12">
            <v>0</v>
          </cell>
          <cell r="AS12">
            <v>4</v>
          </cell>
          <cell r="AT12">
            <v>10</v>
          </cell>
          <cell r="AU12">
            <v>20</v>
          </cell>
          <cell r="AV12">
            <v>54</v>
          </cell>
          <cell r="AW12">
            <v>84</v>
          </cell>
          <cell r="AX12">
            <v>0</v>
          </cell>
          <cell r="AY12">
            <v>5</v>
          </cell>
          <cell r="AZ12">
            <v>4</v>
          </cell>
          <cell r="BA12">
            <v>14</v>
          </cell>
          <cell r="BB12">
            <v>25</v>
          </cell>
          <cell r="BC12">
            <v>43</v>
          </cell>
          <cell r="BD12">
            <v>0</v>
          </cell>
          <cell r="BE12">
            <v>5</v>
          </cell>
          <cell r="BF12">
            <v>31.5</v>
          </cell>
          <cell r="BG12">
            <v>4.5</v>
          </cell>
          <cell r="BH12" t="str">
            <v>BETTER</v>
          </cell>
          <cell r="BI12">
            <v>594</v>
          </cell>
          <cell r="BJ12">
            <v>45</v>
          </cell>
        </row>
        <row r="13">
          <cell r="B13">
            <v>8</v>
          </cell>
          <cell r="C13" t="str">
            <v>TANJIM AHMED SHAN</v>
          </cell>
          <cell r="D13" t="str">
            <v xml:space="preserve">TAREK AHMED </v>
          </cell>
          <cell r="E13" t="str">
            <v>SALINA AKTER</v>
          </cell>
          <cell r="F13">
            <v>15</v>
          </cell>
          <cell r="G13">
            <v>19</v>
          </cell>
          <cell r="H13">
            <v>43</v>
          </cell>
          <cell r="I13">
            <v>77</v>
          </cell>
          <cell r="J13">
            <v>8</v>
          </cell>
          <cell r="K13">
            <v>10</v>
          </cell>
          <cell r="L13">
            <v>26</v>
          </cell>
          <cell r="M13">
            <v>44</v>
          </cell>
          <cell r="N13">
            <v>121</v>
          </cell>
          <cell r="O13">
            <v>0</v>
          </cell>
          <cell r="P13">
            <v>5</v>
          </cell>
          <cell r="Q13">
            <v>12</v>
          </cell>
          <cell r="R13">
            <v>20</v>
          </cell>
          <cell r="S13">
            <v>45</v>
          </cell>
          <cell r="T13">
            <v>77</v>
          </cell>
          <cell r="U13">
            <v>9</v>
          </cell>
          <cell r="V13">
            <v>8</v>
          </cell>
          <cell r="W13">
            <v>15</v>
          </cell>
          <cell r="X13">
            <v>32</v>
          </cell>
          <cell r="Y13">
            <v>109</v>
          </cell>
          <cell r="Z13">
            <v>0</v>
          </cell>
          <cell r="AA13">
            <v>4</v>
          </cell>
          <cell r="AB13">
            <v>12</v>
          </cell>
          <cell r="AC13">
            <v>20</v>
          </cell>
          <cell r="AD13">
            <v>60</v>
          </cell>
          <cell r="AE13">
            <v>92</v>
          </cell>
          <cell r="AF13">
            <v>0</v>
          </cell>
          <cell r="AG13">
            <v>5</v>
          </cell>
          <cell r="AH13">
            <v>17</v>
          </cell>
          <cell r="AI13">
            <v>20</v>
          </cell>
          <cell r="AJ13">
            <v>38</v>
          </cell>
          <cell r="AK13">
            <v>75</v>
          </cell>
          <cell r="AL13">
            <v>0</v>
          </cell>
          <cell r="AM13">
            <v>4</v>
          </cell>
          <cell r="AN13">
            <v>13</v>
          </cell>
          <cell r="AO13">
            <v>20</v>
          </cell>
          <cell r="AP13">
            <v>45</v>
          </cell>
          <cell r="AQ13">
            <v>78</v>
          </cell>
          <cell r="AR13">
            <v>0</v>
          </cell>
          <cell r="AS13">
            <v>4</v>
          </cell>
          <cell r="AT13">
            <v>20</v>
          </cell>
          <cell r="AU13">
            <v>20</v>
          </cell>
          <cell r="AV13">
            <v>52</v>
          </cell>
          <cell r="AW13">
            <v>92</v>
          </cell>
          <cell r="AX13">
            <v>0</v>
          </cell>
          <cell r="AY13">
            <v>5</v>
          </cell>
          <cell r="AZ13">
            <v>5</v>
          </cell>
          <cell r="BA13">
            <v>14</v>
          </cell>
          <cell r="BB13">
            <v>28</v>
          </cell>
          <cell r="BC13">
            <v>47</v>
          </cell>
          <cell r="BD13">
            <v>0</v>
          </cell>
          <cell r="BE13">
            <v>5</v>
          </cell>
          <cell r="BF13">
            <v>32</v>
          </cell>
          <cell r="BG13">
            <v>4.5714285714285712</v>
          </cell>
          <cell r="BH13" t="str">
            <v>BETTER</v>
          </cell>
          <cell r="BI13">
            <v>614</v>
          </cell>
          <cell r="BJ13">
            <v>14</v>
          </cell>
        </row>
        <row r="14">
          <cell r="B14">
            <v>10</v>
          </cell>
          <cell r="C14" t="str">
            <v xml:space="preserve">MD.MARUF HOSSEN </v>
          </cell>
          <cell r="D14" t="str">
            <v>MD.FAKRUL ISLAM</v>
          </cell>
          <cell r="E14" t="str">
            <v>MOHELA BEGEM</v>
          </cell>
          <cell r="F14">
            <v>16</v>
          </cell>
          <cell r="G14">
            <v>19</v>
          </cell>
          <cell r="H14">
            <v>54</v>
          </cell>
          <cell r="I14">
            <v>89</v>
          </cell>
          <cell r="J14">
            <v>7</v>
          </cell>
          <cell r="K14">
            <v>10</v>
          </cell>
          <cell r="L14">
            <v>28</v>
          </cell>
          <cell r="M14">
            <v>45</v>
          </cell>
          <cell r="N14">
            <v>134</v>
          </cell>
          <cell r="O14">
            <v>0</v>
          </cell>
          <cell r="P14">
            <v>5</v>
          </cell>
          <cell r="Q14">
            <v>8</v>
          </cell>
          <cell r="R14">
            <v>20</v>
          </cell>
          <cell r="S14">
            <v>33</v>
          </cell>
          <cell r="T14">
            <v>61</v>
          </cell>
          <cell r="U14">
            <v>4</v>
          </cell>
          <cell r="V14">
            <v>8</v>
          </cell>
          <cell r="W14">
            <v>10</v>
          </cell>
          <cell r="X14">
            <v>22</v>
          </cell>
          <cell r="Y14">
            <v>83</v>
          </cell>
          <cell r="Z14">
            <v>0</v>
          </cell>
          <cell r="AA14">
            <v>3</v>
          </cell>
          <cell r="AB14">
            <v>12</v>
          </cell>
          <cell r="AC14">
            <v>20</v>
          </cell>
          <cell r="AD14">
            <v>45</v>
          </cell>
          <cell r="AE14">
            <v>77</v>
          </cell>
          <cell r="AF14">
            <v>0</v>
          </cell>
          <cell r="AG14">
            <v>4</v>
          </cell>
          <cell r="AH14">
            <v>9</v>
          </cell>
          <cell r="AI14">
            <v>20</v>
          </cell>
          <cell r="AJ14">
            <v>33</v>
          </cell>
          <cell r="AK14">
            <v>62</v>
          </cell>
          <cell r="AL14">
            <v>0</v>
          </cell>
          <cell r="AM14">
            <v>3.5</v>
          </cell>
          <cell r="AN14">
            <v>12</v>
          </cell>
          <cell r="AO14">
            <v>20</v>
          </cell>
          <cell r="AP14">
            <v>53</v>
          </cell>
          <cell r="AQ14">
            <v>85</v>
          </cell>
          <cell r="AR14">
            <v>0</v>
          </cell>
          <cell r="AS14">
            <v>5</v>
          </cell>
          <cell r="AT14">
            <v>17</v>
          </cell>
          <cell r="AU14">
            <v>19</v>
          </cell>
          <cell r="AV14">
            <v>48</v>
          </cell>
          <cell r="AW14">
            <v>84</v>
          </cell>
          <cell r="AX14">
            <v>0</v>
          </cell>
          <cell r="AY14">
            <v>5</v>
          </cell>
          <cell r="AZ14">
            <v>5</v>
          </cell>
          <cell r="BA14">
            <v>14</v>
          </cell>
          <cell r="BB14">
            <v>25</v>
          </cell>
          <cell r="BC14">
            <v>44</v>
          </cell>
          <cell r="BD14">
            <v>0</v>
          </cell>
          <cell r="BE14">
            <v>5</v>
          </cell>
          <cell r="BF14">
            <v>30.5</v>
          </cell>
          <cell r="BG14">
            <v>4.3571428571428568</v>
          </cell>
          <cell r="BH14" t="str">
            <v>BETTER</v>
          </cell>
          <cell r="BI14">
            <v>569</v>
          </cell>
          <cell r="BJ14">
            <v>43</v>
          </cell>
        </row>
        <row r="15">
          <cell r="B15">
            <v>12</v>
          </cell>
          <cell r="C15" t="str">
            <v xml:space="preserve">RAHAT AHMED ANTOR </v>
          </cell>
          <cell r="D15" t="str">
            <v xml:space="preserve">MD.SHAKIL MIA </v>
          </cell>
          <cell r="E15" t="str">
            <v>REKHA BEGUIM</v>
          </cell>
          <cell r="F15">
            <v>14</v>
          </cell>
          <cell r="G15">
            <v>20</v>
          </cell>
          <cell r="H15">
            <v>52</v>
          </cell>
          <cell r="I15">
            <v>86</v>
          </cell>
          <cell r="J15">
            <v>7</v>
          </cell>
          <cell r="K15">
            <v>10</v>
          </cell>
          <cell r="L15">
            <v>28</v>
          </cell>
          <cell r="M15">
            <v>45</v>
          </cell>
          <cell r="N15">
            <v>131</v>
          </cell>
          <cell r="O15">
            <v>0</v>
          </cell>
          <cell r="P15">
            <v>5</v>
          </cell>
          <cell r="Q15">
            <v>16</v>
          </cell>
          <cell r="R15">
            <v>20</v>
          </cell>
          <cell r="S15">
            <v>35</v>
          </cell>
          <cell r="T15">
            <v>71</v>
          </cell>
          <cell r="U15">
            <v>9</v>
          </cell>
          <cell r="V15">
            <v>8</v>
          </cell>
          <cell r="W15">
            <v>12</v>
          </cell>
          <cell r="X15">
            <v>29</v>
          </cell>
          <cell r="Y15">
            <v>100</v>
          </cell>
          <cell r="Z15">
            <v>0</v>
          </cell>
          <cell r="AA15">
            <v>3.5</v>
          </cell>
          <cell r="AB15">
            <v>8</v>
          </cell>
          <cell r="AC15">
            <v>20</v>
          </cell>
          <cell r="AD15">
            <v>49</v>
          </cell>
          <cell r="AE15">
            <v>77</v>
          </cell>
          <cell r="AF15">
            <v>0</v>
          </cell>
          <cell r="AG15">
            <v>4</v>
          </cell>
          <cell r="AH15">
            <v>15</v>
          </cell>
          <cell r="AI15">
            <v>20</v>
          </cell>
          <cell r="AJ15">
            <v>58</v>
          </cell>
          <cell r="AK15">
            <v>93</v>
          </cell>
          <cell r="AL15">
            <v>0</v>
          </cell>
          <cell r="AM15">
            <v>5</v>
          </cell>
          <cell r="AN15">
            <v>11</v>
          </cell>
          <cell r="AO15">
            <v>20</v>
          </cell>
          <cell r="AP15">
            <v>52</v>
          </cell>
          <cell r="AQ15">
            <v>83</v>
          </cell>
          <cell r="AR15">
            <v>0</v>
          </cell>
          <cell r="AS15">
            <v>5</v>
          </cell>
          <cell r="AT15">
            <v>19</v>
          </cell>
          <cell r="AU15">
            <v>20</v>
          </cell>
          <cell r="AV15">
            <v>54</v>
          </cell>
          <cell r="AW15">
            <v>93</v>
          </cell>
          <cell r="AX15">
            <v>0</v>
          </cell>
          <cell r="AY15">
            <v>5</v>
          </cell>
          <cell r="AZ15">
            <v>4</v>
          </cell>
          <cell r="BA15">
            <v>15</v>
          </cell>
          <cell r="BB15">
            <v>26</v>
          </cell>
          <cell r="BC15">
            <v>45</v>
          </cell>
          <cell r="BD15">
            <v>0</v>
          </cell>
          <cell r="BE15">
            <v>5</v>
          </cell>
          <cell r="BF15">
            <v>32.5</v>
          </cell>
          <cell r="BG15">
            <v>4.6428571428571432</v>
          </cell>
          <cell r="BH15" t="str">
            <v>BETTER</v>
          </cell>
          <cell r="BI15">
            <v>622</v>
          </cell>
          <cell r="BJ15">
            <v>12</v>
          </cell>
        </row>
        <row r="16">
          <cell r="B16">
            <v>16</v>
          </cell>
          <cell r="C16" t="str">
            <v>EVAN PRODAN</v>
          </cell>
          <cell r="D16" t="str">
            <v xml:space="preserve"> NASIR PRODAN</v>
          </cell>
          <cell r="E16" t="str">
            <v>YESMINN AKTER</v>
          </cell>
          <cell r="F16">
            <v>15</v>
          </cell>
          <cell r="G16">
            <v>20</v>
          </cell>
          <cell r="H16">
            <v>47</v>
          </cell>
          <cell r="I16">
            <v>82</v>
          </cell>
          <cell r="J16">
            <v>7</v>
          </cell>
          <cell r="K16">
            <v>10</v>
          </cell>
          <cell r="L16">
            <v>26</v>
          </cell>
          <cell r="M16">
            <v>43</v>
          </cell>
          <cell r="N16">
            <v>125</v>
          </cell>
          <cell r="O16">
            <v>0</v>
          </cell>
          <cell r="P16">
            <v>5</v>
          </cell>
          <cell r="Q16">
            <v>12</v>
          </cell>
          <cell r="R16">
            <v>18</v>
          </cell>
          <cell r="S16">
            <v>45</v>
          </cell>
          <cell r="T16">
            <v>75</v>
          </cell>
          <cell r="U16">
            <v>8</v>
          </cell>
          <cell r="V16">
            <v>8</v>
          </cell>
          <cell r="W16">
            <v>13</v>
          </cell>
          <cell r="X16">
            <v>29</v>
          </cell>
          <cell r="Y16">
            <v>104</v>
          </cell>
          <cell r="Z16">
            <v>0</v>
          </cell>
          <cell r="AA16">
            <v>3.5</v>
          </cell>
          <cell r="AB16">
            <v>17</v>
          </cell>
          <cell r="AC16">
            <v>20</v>
          </cell>
          <cell r="AD16">
            <v>58</v>
          </cell>
          <cell r="AE16">
            <v>95</v>
          </cell>
          <cell r="AF16">
            <v>0</v>
          </cell>
          <cell r="AG16">
            <v>5</v>
          </cell>
          <cell r="AH16">
            <v>17</v>
          </cell>
          <cell r="AI16">
            <v>20</v>
          </cell>
          <cell r="AJ16">
            <v>54</v>
          </cell>
          <cell r="AK16">
            <v>91</v>
          </cell>
          <cell r="AL16">
            <v>0</v>
          </cell>
          <cell r="AM16">
            <v>5</v>
          </cell>
          <cell r="AN16">
            <v>13</v>
          </cell>
          <cell r="AO16">
            <v>20</v>
          </cell>
          <cell r="AP16">
            <v>48</v>
          </cell>
          <cell r="AQ16">
            <v>81</v>
          </cell>
          <cell r="AR16">
            <v>0</v>
          </cell>
          <cell r="AS16">
            <v>5</v>
          </cell>
          <cell r="AT16">
            <v>17</v>
          </cell>
          <cell r="AU16">
            <v>20</v>
          </cell>
          <cell r="AV16">
            <v>52</v>
          </cell>
          <cell r="AW16">
            <v>89</v>
          </cell>
          <cell r="AX16">
            <v>0</v>
          </cell>
          <cell r="AY16">
            <v>5</v>
          </cell>
          <cell r="AZ16">
            <v>4</v>
          </cell>
          <cell r="BA16">
            <v>14</v>
          </cell>
          <cell r="BB16">
            <v>23</v>
          </cell>
          <cell r="BC16">
            <v>41</v>
          </cell>
          <cell r="BD16">
            <v>0</v>
          </cell>
          <cell r="BE16">
            <v>5</v>
          </cell>
          <cell r="BF16">
            <v>33.5</v>
          </cell>
          <cell r="BG16">
            <v>4.7857142857142856</v>
          </cell>
          <cell r="BH16" t="str">
            <v>BETTER</v>
          </cell>
          <cell r="BI16">
            <v>626</v>
          </cell>
          <cell r="BJ16">
            <v>29</v>
          </cell>
        </row>
        <row r="17">
          <cell r="B17">
            <v>17</v>
          </cell>
          <cell r="C17" t="str">
            <v xml:space="preserve">MAISHA ISLAM TUBA </v>
          </cell>
          <cell r="D17" t="str">
            <v>MD.MAINUL ISLAM</v>
          </cell>
          <cell r="E17" t="str">
            <v>RUMA YESMIN</v>
          </cell>
          <cell r="F17">
            <v>13</v>
          </cell>
          <cell r="G17">
            <v>20</v>
          </cell>
          <cell r="H17">
            <v>47</v>
          </cell>
          <cell r="I17">
            <v>80</v>
          </cell>
          <cell r="J17">
            <v>5</v>
          </cell>
          <cell r="K17">
            <v>10</v>
          </cell>
          <cell r="L17">
            <v>22</v>
          </cell>
          <cell r="M17">
            <v>37</v>
          </cell>
          <cell r="N17">
            <v>117</v>
          </cell>
          <cell r="O17">
            <v>0</v>
          </cell>
          <cell r="P17">
            <v>4</v>
          </cell>
          <cell r="Q17">
            <v>10</v>
          </cell>
          <cell r="R17">
            <v>18</v>
          </cell>
          <cell r="S17">
            <v>33</v>
          </cell>
          <cell r="T17">
            <v>61</v>
          </cell>
          <cell r="U17">
            <v>2</v>
          </cell>
          <cell r="V17">
            <v>10</v>
          </cell>
          <cell r="W17">
            <v>16</v>
          </cell>
          <cell r="X17">
            <v>28</v>
          </cell>
          <cell r="Y17">
            <v>89</v>
          </cell>
          <cell r="Z17">
            <v>0</v>
          </cell>
          <cell r="AA17">
            <v>3</v>
          </cell>
          <cell r="AB17">
            <v>13</v>
          </cell>
          <cell r="AC17">
            <v>20</v>
          </cell>
          <cell r="AD17">
            <v>55</v>
          </cell>
          <cell r="AE17">
            <v>88</v>
          </cell>
          <cell r="AF17">
            <v>0</v>
          </cell>
          <cell r="AG17">
            <v>5</v>
          </cell>
          <cell r="AH17">
            <v>9</v>
          </cell>
          <cell r="AI17">
            <v>20</v>
          </cell>
          <cell r="AJ17">
            <v>32</v>
          </cell>
          <cell r="AK17">
            <v>61</v>
          </cell>
          <cell r="AL17">
            <v>0</v>
          </cell>
          <cell r="AM17">
            <v>3.5</v>
          </cell>
          <cell r="AN17">
            <v>13</v>
          </cell>
          <cell r="AO17">
            <v>20</v>
          </cell>
          <cell r="AP17">
            <v>39</v>
          </cell>
          <cell r="AQ17">
            <v>72</v>
          </cell>
          <cell r="AR17">
            <v>0</v>
          </cell>
          <cell r="AS17">
            <v>4</v>
          </cell>
          <cell r="AT17">
            <v>11</v>
          </cell>
          <cell r="AU17">
            <v>20</v>
          </cell>
          <cell r="AV17">
            <v>57</v>
          </cell>
          <cell r="AW17">
            <v>88</v>
          </cell>
          <cell r="AX17">
            <v>0</v>
          </cell>
          <cell r="AY17">
            <v>5</v>
          </cell>
          <cell r="AZ17">
            <v>5</v>
          </cell>
          <cell r="BA17">
            <v>15</v>
          </cell>
          <cell r="BB17">
            <v>25</v>
          </cell>
          <cell r="BC17">
            <v>45</v>
          </cell>
          <cell r="BD17">
            <v>0</v>
          </cell>
          <cell r="BE17">
            <v>5</v>
          </cell>
          <cell r="BF17">
            <v>29.5</v>
          </cell>
          <cell r="BG17">
            <v>4.2142857142857144</v>
          </cell>
          <cell r="BH17" t="str">
            <v>BETTER</v>
          </cell>
          <cell r="BI17">
            <v>560</v>
          </cell>
          <cell r="BJ17">
            <v>50</v>
          </cell>
        </row>
        <row r="18">
          <cell r="B18">
            <v>19</v>
          </cell>
          <cell r="C18" t="str">
            <v>ARMINA RAHMAN TAHSIN</v>
          </cell>
          <cell r="D18" t="str">
            <v>MD.AMINUR RAHMAN</v>
          </cell>
          <cell r="E18" t="str">
            <v>SUMONA AKTAR</v>
          </cell>
          <cell r="F18">
            <v>18</v>
          </cell>
          <cell r="G18">
            <v>18</v>
          </cell>
          <cell r="H18">
            <v>45</v>
          </cell>
          <cell r="I18">
            <v>81</v>
          </cell>
          <cell r="J18">
            <v>9</v>
          </cell>
          <cell r="K18">
            <v>10</v>
          </cell>
          <cell r="L18">
            <v>28</v>
          </cell>
          <cell r="M18">
            <v>47</v>
          </cell>
          <cell r="N18">
            <v>128</v>
          </cell>
          <cell r="O18">
            <v>0</v>
          </cell>
          <cell r="P18">
            <v>5</v>
          </cell>
          <cell r="Q18">
            <v>17</v>
          </cell>
          <cell r="R18">
            <v>18</v>
          </cell>
          <cell r="S18">
            <v>34</v>
          </cell>
          <cell r="T18">
            <v>69</v>
          </cell>
          <cell r="U18">
            <v>2</v>
          </cell>
          <cell r="V18">
            <v>10</v>
          </cell>
          <cell r="W18">
            <v>21</v>
          </cell>
          <cell r="X18">
            <v>33</v>
          </cell>
          <cell r="Y18">
            <v>102</v>
          </cell>
          <cell r="Z18">
            <v>0</v>
          </cell>
          <cell r="AA18">
            <v>3.5</v>
          </cell>
          <cell r="AB18">
            <v>14</v>
          </cell>
          <cell r="AC18">
            <v>20</v>
          </cell>
          <cell r="AD18">
            <v>50</v>
          </cell>
          <cell r="AE18">
            <v>84</v>
          </cell>
          <cell r="AF18">
            <v>0</v>
          </cell>
          <cell r="AG18">
            <v>5</v>
          </cell>
          <cell r="AH18">
            <v>9</v>
          </cell>
          <cell r="AI18">
            <v>20</v>
          </cell>
          <cell r="AJ18">
            <v>51</v>
          </cell>
          <cell r="AK18">
            <v>80</v>
          </cell>
          <cell r="AL18">
            <v>0</v>
          </cell>
          <cell r="AM18">
            <v>5</v>
          </cell>
          <cell r="AN18">
            <v>10</v>
          </cell>
          <cell r="AO18">
            <v>20</v>
          </cell>
          <cell r="AP18">
            <v>43</v>
          </cell>
          <cell r="AQ18">
            <v>73</v>
          </cell>
          <cell r="AR18">
            <v>0</v>
          </cell>
          <cell r="AS18">
            <v>4</v>
          </cell>
          <cell r="AT18">
            <v>15</v>
          </cell>
          <cell r="AU18">
            <v>20</v>
          </cell>
          <cell r="AV18">
            <v>51</v>
          </cell>
          <cell r="AW18">
            <v>86</v>
          </cell>
          <cell r="AX18">
            <v>0</v>
          </cell>
          <cell r="AY18">
            <v>5</v>
          </cell>
          <cell r="AZ18">
            <v>5</v>
          </cell>
          <cell r="BA18">
            <v>14</v>
          </cell>
          <cell r="BB18">
            <v>24</v>
          </cell>
          <cell r="BC18">
            <v>43</v>
          </cell>
          <cell r="BD18">
            <v>0</v>
          </cell>
          <cell r="BE18">
            <v>5</v>
          </cell>
          <cell r="BF18">
            <v>32.5</v>
          </cell>
          <cell r="BG18">
            <v>4.6428571428571432</v>
          </cell>
          <cell r="BH18" t="str">
            <v>BETTER</v>
          </cell>
          <cell r="BI18">
            <v>596</v>
          </cell>
          <cell r="BJ18">
            <v>17</v>
          </cell>
        </row>
        <row r="19">
          <cell r="B19">
            <v>28</v>
          </cell>
          <cell r="C19" t="str">
            <v>SABIKUNNAHAR TAUCHI</v>
          </cell>
          <cell r="D19" t="str">
            <v>MIRAJ HOSEN</v>
          </cell>
          <cell r="E19" t="str">
            <v>REHANA AKTER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 t="str">
            <v>F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 t="str">
            <v>F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 t="str">
            <v>F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 t="str">
            <v>F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 t="str">
            <v>F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 t="str">
            <v>F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 t="str">
            <v>F</v>
          </cell>
          <cell r="BF19" t="str">
            <v>F</v>
          </cell>
          <cell r="BG19" t="str">
            <v>F</v>
          </cell>
          <cell r="BH19" t="str">
            <v>NEED TO PROGRESS</v>
          </cell>
          <cell r="BI19">
            <v>0</v>
          </cell>
          <cell r="BJ19">
            <v>59</v>
          </cell>
        </row>
        <row r="20">
          <cell r="B20">
            <v>32</v>
          </cell>
          <cell r="C20" t="str">
            <v>MAYMUNA MUNIRA</v>
          </cell>
          <cell r="D20" t="str">
            <v>MOHAMMAD BILLAL</v>
          </cell>
          <cell r="E20" t="str">
            <v>SABIKUN NAHAR</v>
          </cell>
          <cell r="F20">
            <v>14</v>
          </cell>
          <cell r="G20">
            <v>20</v>
          </cell>
          <cell r="H20">
            <v>41</v>
          </cell>
          <cell r="I20">
            <v>75</v>
          </cell>
          <cell r="J20">
            <v>9</v>
          </cell>
          <cell r="K20">
            <v>10</v>
          </cell>
          <cell r="L20">
            <v>27</v>
          </cell>
          <cell r="M20">
            <v>46</v>
          </cell>
          <cell r="N20">
            <v>121</v>
          </cell>
          <cell r="O20">
            <v>0</v>
          </cell>
          <cell r="P20">
            <v>5</v>
          </cell>
          <cell r="Q20">
            <v>15</v>
          </cell>
          <cell r="R20">
            <v>20</v>
          </cell>
          <cell r="S20">
            <v>37</v>
          </cell>
          <cell r="T20">
            <v>72</v>
          </cell>
          <cell r="U20">
            <v>9</v>
          </cell>
          <cell r="V20">
            <v>8</v>
          </cell>
          <cell r="W20">
            <v>14</v>
          </cell>
          <cell r="X20">
            <v>31</v>
          </cell>
          <cell r="Y20">
            <v>103</v>
          </cell>
          <cell r="Z20">
            <v>0</v>
          </cell>
          <cell r="AA20">
            <v>3.5</v>
          </cell>
          <cell r="AB20">
            <v>15</v>
          </cell>
          <cell r="AC20">
            <v>20</v>
          </cell>
          <cell r="AD20">
            <v>45</v>
          </cell>
          <cell r="AE20">
            <v>80</v>
          </cell>
          <cell r="AF20">
            <v>0</v>
          </cell>
          <cell r="AG20">
            <v>5</v>
          </cell>
          <cell r="AH20">
            <v>18</v>
          </cell>
          <cell r="AI20">
            <v>20</v>
          </cell>
          <cell r="AJ20">
            <v>42</v>
          </cell>
          <cell r="AK20">
            <v>80</v>
          </cell>
          <cell r="AL20">
            <v>0</v>
          </cell>
          <cell r="AM20">
            <v>5</v>
          </cell>
          <cell r="AN20">
            <v>13</v>
          </cell>
          <cell r="AO20">
            <v>20</v>
          </cell>
          <cell r="AP20">
            <v>52</v>
          </cell>
          <cell r="AQ20">
            <v>85</v>
          </cell>
          <cell r="AR20">
            <v>0</v>
          </cell>
          <cell r="AS20">
            <v>5</v>
          </cell>
          <cell r="AT20">
            <v>20</v>
          </cell>
          <cell r="AU20">
            <v>20</v>
          </cell>
          <cell r="AV20">
            <v>51</v>
          </cell>
          <cell r="AW20">
            <v>91</v>
          </cell>
          <cell r="AX20">
            <v>0</v>
          </cell>
          <cell r="AY20">
            <v>5</v>
          </cell>
          <cell r="AZ20">
            <v>5</v>
          </cell>
          <cell r="BA20">
            <v>13</v>
          </cell>
          <cell r="BB20">
            <v>28</v>
          </cell>
          <cell r="BC20">
            <v>46</v>
          </cell>
          <cell r="BD20">
            <v>0</v>
          </cell>
          <cell r="BE20">
            <v>5</v>
          </cell>
          <cell r="BF20">
            <v>33.5</v>
          </cell>
          <cell r="BG20">
            <v>4.7857142857142856</v>
          </cell>
          <cell r="BH20" t="str">
            <v>BETTER</v>
          </cell>
          <cell r="BI20">
            <v>606</v>
          </cell>
          <cell r="BJ20">
            <v>53</v>
          </cell>
        </row>
        <row r="21">
          <cell r="B21">
            <v>33</v>
          </cell>
          <cell r="C21" t="str">
            <v xml:space="preserve">MD.PIAS </v>
          </cell>
          <cell r="D21" t="str">
            <v xml:space="preserve">MD JALAL MRIDHA </v>
          </cell>
          <cell r="E21" t="str">
            <v>POPY AKTER</v>
          </cell>
          <cell r="F21">
            <v>17</v>
          </cell>
          <cell r="G21">
            <v>19</v>
          </cell>
          <cell r="H21">
            <v>55</v>
          </cell>
          <cell r="I21">
            <v>91</v>
          </cell>
          <cell r="J21">
            <v>4</v>
          </cell>
          <cell r="K21">
            <v>10</v>
          </cell>
          <cell r="L21">
            <v>26</v>
          </cell>
          <cell r="M21">
            <v>40</v>
          </cell>
          <cell r="N21">
            <v>131</v>
          </cell>
          <cell r="O21">
            <v>0</v>
          </cell>
          <cell r="P21">
            <v>5</v>
          </cell>
          <cell r="Q21">
            <v>8</v>
          </cell>
          <cell r="R21">
            <v>19</v>
          </cell>
          <cell r="S21">
            <v>46</v>
          </cell>
          <cell r="T21">
            <v>73</v>
          </cell>
          <cell r="U21">
            <v>1</v>
          </cell>
          <cell r="V21">
            <v>10</v>
          </cell>
          <cell r="W21">
            <v>20</v>
          </cell>
          <cell r="X21">
            <v>31</v>
          </cell>
          <cell r="Y21">
            <v>104</v>
          </cell>
          <cell r="Z21">
            <v>0</v>
          </cell>
          <cell r="AA21">
            <v>3.5</v>
          </cell>
          <cell r="AB21">
            <v>8</v>
          </cell>
          <cell r="AC21">
            <v>20</v>
          </cell>
          <cell r="AD21">
            <v>59</v>
          </cell>
          <cell r="AE21">
            <v>87</v>
          </cell>
          <cell r="AF21">
            <v>0</v>
          </cell>
          <cell r="AG21">
            <v>5</v>
          </cell>
          <cell r="AH21">
            <v>13</v>
          </cell>
          <cell r="AI21">
            <v>20</v>
          </cell>
          <cell r="AJ21">
            <v>44</v>
          </cell>
          <cell r="AK21">
            <v>77</v>
          </cell>
          <cell r="AL21">
            <v>0</v>
          </cell>
          <cell r="AM21">
            <v>4</v>
          </cell>
          <cell r="AN21">
            <v>14</v>
          </cell>
          <cell r="AO21">
            <v>20</v>
          </cell>
          <cell r="AP21">
            <v>54</v>
          </cell>
          <cell r="AQ21">
            <v>88</v>
          </cell>
          <cell r="AR21">
            <v>0</v>
          </cell>
          <cell r="AS21">
            <v>5</v>
          </cell>
          <cell r="AT21">
            <v>18</v>
          </cell>
          <cell r="AU21">
            <v>20</v>
          </cell>
          <cell r="AV21">
            <v>59</v>
          </cell>
          <cell r="AW21">
            <v>97</v>
          </cell>
          <cell r="AX21">
            <v>0</v>
          </cell>
          <cell r="AY21">
            <v>5</v>
          </cell>
          <cell r="AZ21">
            <v>5</v>
          </cell>
          <cell r="BA21">
            <v>14</v>
          </cell>
          <cell r="BB21">
            <v>24</v>
          </cell>
          <cell r="BC21">
            <v>43</v>
          </cell>
          <cell r="BD21">
            <v>0</v>
          </cell>
          <cell r="BE21">
            <v>5</v>
          </cell>
          <cell r="BF21">
            <v>32.5</v>
          </cell>
          <cell r="BG21">
            <v>4.6428571428571432</v>
          </cell>
          <cell r="BH21" t="str">
            <v>BETTER</v>
          </cell>
          <cell r="BI21">
            <v>627</v>
          </cell>
          <cell r="BJ21">
            <v>20</v>
          </cell>
        </row>
        <row r="22">
          <cell r="B22">
            <v>35</v>
          </cell>
          <cell r="C22" t="str">
            <v>MD.IBRAJHIM</v>
          </cell>
          <cell r="D22" t="str">
            <v>MD.ABDULLAH AL MOTI</v>
          </cell>
          <cell r="E22" t="str">
            <v>MAHFUJA KHATUN</v>
          </cell>
          <cell r="F22">
            <v>19</v>
          </cell>
          <cell r="G22">
            <v>20</v>
          </cell>
          <cell r="H22">
            <v>44</v>
          </cell>
          <cell r="I22">
            <v>83</v>
          </cell>
          <cell r="J22">
            <v>4</v>
          </cell>
          <cell r="K22">
            <v>10</v>
          </cell>
          <cell r="L22">
            <v>22</v>
          </cell>
          <cell r="M22">
            <v>36</v>
          </cell>
          <cell r="N22">
            <v>119</v>
          </cell>
          <cell r="O22">
            <v>0</v>
          </cell>
          <cell r="P22">
            <v>4</v>
          </cell>
          <cell r="Q22">
            <v>10</v>
          </cell>
          <cell r="R22">
            <v>18</v>
          </cell>
          <cell r="S22">
            <v>27</v>
          </cell>
          <cell r="T22">
            <v>55</v>
          </cell>
          <cell r="U22">
            <v>0</v>
          </cell>
          <cell r="V22">
            <v>10</v>
          </cell>
          <cell r="W22">
            <v>12</v>
          </cell>
          <cell r="X22">
            <v>22</v>
          </cell>
          <cell r="Y22">
            <v>77</v>
          </cell>
          <cell r="Z22">
            <v>0</v>
          </cell>
          <cell r="AA22">
            <v>3</v>
          </cell>
          <cell r="AB22">
            <v>8</v>
          </cell>
          <cell r="AC22">
            <v>20</v>
          </cell>
          <cell r="AD22">
            <v>60</v>
          </cell>
          <cell r="AE22">
            <v>88</v>
          </cell>
          <cell r="AF22">
            <v>0</v>
          </cell>
          <cell r="AG22">
            <v>5</v>
          </cell>
          <cell r="AH22">
            <v>12</v>
          </cell>
          <cell r="AI22">
            <v>20</v>
          </cell>
          <cell r="AJ22">
            <v>47</v>
          </cell>
          <cell r="AK22">
            <v>79</v>
          </cell>
          <cell r="AL22">
            <v>0</v>
          </cell>
          <cell r="AM22">
            <v>4</v>
          </cell>
          <cell r="AN22">
            <v>16</v>
          </cell>
          <cell r="AO22">
            <v>20</v>
          </cell>
          <cell r="AP22">
            <v>54</v>
          </cell>
          <cell r="AQ22">
            <v>90</v>
          </cell>
          <cell r="AR22">
            <v>0</v>
          </cell>
          <cell r="AS22">
            <v>5</v>
          </cell>
          <cell r="AT22">
            <v>15</v>
          </cell>
          <cell r="AU22">
            <v>20</v>
          </cell>
          <cell r="AV22">
            <v>54</v>
          </cell>
          <cell r="AW22">
            <v>89</v>
          </cell>
          <cell r="AX22">
            <v>0</v>
          </cell>
          <cell r="AY22">
            <v>5</v>
          </cell>
          <cell r="AZ22">
            <v>5</v>
          </cell>
          <cell r="BA22">
            <v>8</v>
          </cell>
          <cell r="BB22">
            <v>11</v>
          </cell>
          <cell r="BC22">
            <v>24</v>
          </cell>
          <cell r="BD22">
            <v>0</v>
          </cell>
          <cell r="BE22">
            <v>2</v>
          </cell>
          <cell r="BF22">
            <v>28</v>
          </cell>
          <cell r="BG22">
            <v>4</v>
          </cell>
          <cell r="BH22" t="str">
            <v>BETTER</v>
          </cell>
          <cell r="BI22">
            <v>566</v>
          </cell>
          <cell r="BJ22">
            <v>40</v>
          </cell>
        </row>
        <row r="23">
          <cell r="B23">
            <v>36</v>
          </cell>
          <cell r="C23" t="str">
            <v>ALIF JAMAN</v>
          </cell>
          <cell r="D23" t="str">
            <v>MD.NUROZZAMAN</v>
          </cell>
          <cell r="E23" t="str">
            <v>ALIZA PERVIN</v>
          </cell>
          <cell r="F23">
            <v>15</v>
          </cell>
          <cell r="G23">
            <v>20</v>
          </cell>
          <cell r="H23">
            <v>47</v>
          </cell>
          <cell r="I23">
            <v>82</v>
          </cell>
          <cell r="J23">
            <v>7</v>
          </cell>
          <cell r="K23">
            <v>10</v>
          </cell>
          <cell r="L23">
            <v>27</v>
          </cell>
          <cell r="M23">
            <v>44</v>
          </cell>
          <cell r="N23">
            <v>126</v>
          </cell>
          <cell r="O23">
            <v>0</v>
          </cell>
          <cell r="P23">
            <v>5</v>
          </cell>
          <cell r="Q23">
            <v>17</v>
          </cell>
          <cell r="R23">
            <v>20</v>
          </cell>
          <cell r="S23">
            <v>47</v>
          </cell>
          <cell r="T23">
            <v>84</v>
          </cell>
          <cell r="U23">
            <v>8</v>
          </cell>
          <cell r="V23">
            <v>8</v>
          </cell>
          <cell r="W23">
            <v>13</v>
          </cell>
          <cell r="X23">
            <v>29</v>
          </cell>
          <cell r="Y23">
            <v>113</v>
          </cell>
          <cell r="Z23">
            <v>0</v>
          </cell>
          <cell r="AA23">
            <v>4</v>
          </cell>
          <cell r="AB23">
            <v>20</v>
          </cell>
          <cell r="AC23">
            <v>20</v>
          </cell>
          <cell r="AD23">
            <v>21</v>
          </cell>
          <cell r="AE23">
            <v>61</v>
          </cell>
          <cell r="AF23">
            <v>0</v>
          </cell>
          <cell r="AG23">
            <v>3.5</v>
          </cell>
          <cell r="AH23">
            <v>18</v>
          </cell>
          <cell r="AI23">
            <v>20</v>
          </cell>
          <cell r="AJ23">
            <v>40</v>
          </cell>
          <cell r="AK23">
            <v>78</v>
          </cell>
          <cell r="AL23">
            <v>0</v>
          </cell>
          <cell r="AM23">
            <v>4</v>
          </cell>
          <cell r="AN23">
            <v>17</v>
          </cell>
          <cell r="AO23">
            <v>20</v>
          </cell>
          <cell r="AP23">
            <v>54</v>
          </cell>
          <cell r="AQ23">
            <v>91</v>
          </cell>
          <cell r="AR23">
            <v>0</v>
          </cell>
          <cell r="AS23">
            <v>5</v>
          </cell>
          <cell r="AT23">
            <v>18</v>
          </cell>
          <cell r="AU23">
            <v>19</v>
          </cell>
          <cell r="AV23">
            <v>49</v>
          </cell>
          <cell r="AW23">
            <v>86</v>
          </cell>
          <cell r="AX23">
            <v>0</v>
          </cell>
          <cell r="AY23">
            <v>5</v>
          </cell>
          <cell r="AZ23">
            <v>5</v>
          </cell>
          <cell r="BA23">
            <v>11</v>
          </cell>
          <cell r="BB23">
            <v>26</v>
          </cell>
          <cell r="BC23">
            <v>42</v>
          </cell>
          <cell r="BD23">
            <v>0</v>
          </cell>
          <cell r="BE23">
            <v>5</v>
          </cell>
          <cell r="BF23">
            <v>31.5</v>
          </cell>
          <cell r="BG23">
            <v>4.5</v>
          </cell>
          <cell r="BH23" t="str">
            <v>BETTER</v>
          </cell>
          <cell r="BI23">
            <v>597</v>
          </cell>
          <cell r="BJ23">
            <v>22</v>
          </cell>
        </row>
        <row r="24">
          <cell r="B24">
            <v>39</v>
          </cell>
          <cell r="C24" t="str">
            <v>MD.SAIYAN KADER TONOY</v>
          </cell>
          <cell r="D24" t="str">
            <v>MD.MOTAHAR HOSSAIN FAKIR</v>
          </cell>
          <cell r="E24" t="str">
            <v>MOST.SHAMMI AKTER</v>
          </cell>
          <cell r="F24">
            <v>16</v>
          </cell>
          <cell r="G24">
            <v>17</v>
          </cell>
          <cell r="H24">
            <v>47</v>
          </cell>
          <cell r="I24">
            <v>80</v>
          </cell>
          <cell r="J24">
            <v>6</v>
          </cell>
          <cell r="K24">
            <v>10</v>
          </cell>
          <cell r="L24">
            <v>21</v>
          </cell>
          <cell r="M24">
            <v>37</v>
          </cell>
          <cell r="N24">
            <v>117</v>
          </cell>
          <cell r="O24">
            <v>0</v>
          </cell>
          <cell r="P24">
            <v>4</v>
          </cell>
          <cell r="Q24">
            <v>14</v>
          </cell>
          <cell r="R24">
            <v>18</v>
          </cell>
          <cell r="S24">
            <v>35</v>
          </cell>
          <cell r="T24">
            <v>67</v>
          </cell>
          <cell r="U24">
            <v>4</v>
          </cell>
          <cell r="V24">
            <v>10</v>
          </cell>
          <cell r="W24">
            <v>13</v>
          </cell>
          <cell r="X24">
            <v>27</v>
          </cell>
          <cell r="Y24">
            <v>94</v>
          </cell>
          <cell r="Z24">
            <v>0</v>
          </cell>
          <cell r="AA24">
            <v>3.5</v>
          </cell>
          <cell r="AB24">
            <v>8</v>
          </cell>
          <cell r="AC24">
            <v>20</v>
          </cell>
          <cell r="AD24">
            <v>54</v>
          </cell>
          <cell r="AE24">
            <v>82</v>
          </cell>
          <cell r="AF24">
            <v>0</v>
          </cell>
          <cell r="AG24">
            <v>5</v>
          </cell>
          <cell r="AH24">
            <v>8</v>
          </cell>
          <cell r="AI24">
            <v>20</v>
          </cell>
          <cell r="AJ24">
            <v>53</v>
          </cell>
          <cell r="AK24">
            <v>81</v>
          </cell>
          <cell r="AL24">
            <v>0</v>
          </cell>
          <cell r="AM24">
            <v>5</v>
          </cell>
          <cell r="AN24">
            <v>15</v>
          </cell>
          <cell r="AO24">
            <v>20</v>
          </cell>
          <cell r="AP24">
            <v>55</v>
          </cell>
          <cell r="AQ24">
            <v>90</v>
          </cell>
          <cell r="AR24">
            <v>0</v>
          </cell>
          <cell r="AS24">
            <v>5</v>
          </cell>
          <cell r="AT24">
            <v>9</v>
          </cell>
          <cell r="AU24">
            <v>19</v>
          </cell>
          <cell r="AV24">
            <v>49</v>
          </cell>
          <cell r="AW24">
            <v>77</v>
          </cell>
          <cell r="AX24">
            <v>0</v>
          </cell>
          <cell r="AY24">
            <v>4</v>
          </cell>
          <cell r="AZ24">
            <v>4</v>
          </cell>
          <cell r="BA24">
            <v>14</v>
          </cell>
          <cell r="BB24">
            <v>26</v>
          </cell>
          <cell r="BC24">
            <v>44</v>
          </cell>
          <cell r="BD24">
            <v>0</v>
          </cell>
          <cell r="BE24">
            <v>5</v>
          </cell>
          <cell r="BF24">
            <v>31.5</v>
          </cell>
          <cell r="BG24">
            <v>4.5</v>
          </cell>
          <cell r="BH24" t="str">
            <v>BETTER</v>
          </cell>
          <cell r="BI24">
            <v>585</v>
          </cell>
          <cell r="BJ24">
            <v>41</v>
          </cell>
        </row>
        <row r="25">
          <cell r="B25">
            <v>40</v>
          </cell>
          <cell r="C25" t="str">
            <v>HOMAIRA SARKER</v>
          </cell>
          <cell r="D25" t="str">
            <v>HADISUL SARKER</v>
          </cell>
          <cell r="E25" t="str">
            <v>ISRAT JAHAN MITU</v>
          </cell>
          <cell r="F25">
            <v>18</v>
          </cell>
          <cell r="G25">
            <v>20</v>
          </cell>
          <cell r="H25">
            <v>52</v>
          </cell>
          <cell r="I25">
            <v>90</v>
          </cell>
          <cell r="J25">
            <v>8</v>
          </cell>
          <cell r="K25">
            <v>10</v>
          </cell>
          <cell r="L25">
            <v>28</v>
          </cell>
          <cell r="M25">
            <v>46</v>
          </cell>
          <cell r="N25">
            <v>136</v>
          </cell>
          <cell r="O25">
            <v>0</v>
          </cell>
          <cell r="P25">
            <v>5</v>
          </cell>
          <cell r="Q25">
            <v>17</v>
          </cell>
          <cell r="R25">
            <v>20</v>
          </cell>
          <cell r="S25">
            <v>45</v>
          </cell>
          <cell r="T25">
            <v>82</v>
          </cell>
          <cell r="U25">
            <v>4</v>
          </cell>
          <cell r="V25">
            <v>8</v>
          </cell>
          <cell r="W25">
            <v>15</v>
          </cell>
          <cell r="X25">
            <v>27</v>
          </cell>
          <cell r="Y25">
            <v>109</v>
          </cell>
          <cell r="Z25">
            <v>0</v>
          </cell>
          <cell r="AA25">
            <v>4</v>
          </cell>
          <cell r="AB25">
            <v>20</v>
          </cell>
          <cell r="AC25">
            <v>20</v>
          </cell>
          <cell r="AD25">
            <v>60</v>
          </cell>
          <cell r="AE25">
            <v>100</v>
          </cell>
          <cell r="AF25">
            <v>0</v>
          </cell>
          <cell r="AG25">
            <v>5</v>
          </cell>
          <cell r="AH25">
            <v>19</v>
          </cell>
          <cell r="AI25">
            <v>20</v>
          </cell>
          <cell r="AJ25">
            <v>57</v>
          </cell>
          <cell r="AK25">
            <v>96</v>
          </cell>
          <cell r="AL25">
            <v>0</v>
          </cell>
          <cell r="AM25">
            <v>5</v>
          </cell>
          <cell r="AN25">
            <v>17</v>
          </cell>
          <cell r="AO25">
            <v>20</v>
          </cell>
          <cell r="AP25">
            <v>54</v>
          </cell>
          <cell r="AQ25">
            <v>91</v>
          </cell>
          <cell r="AR25">
            <v>0</v>
          </cell>
          <cell r="AS25">
            <v>5</v>
          </cell>
          <cell r="AT25">
            <v>20</v>
          </cell>
          <cell r="AU25">
            <v>20</v>
          </cell>
          <cell r="AV25">
            <v>58</v>
          </cell>
          <cell r="AW25">
            <v>98</v>
          </cell>
          <cell r="AX25">
            <v>0</v>
          </cell>
          <cell r="AY25">
            <v>5</v>
          </cell>
          <cell r="AZ25">
            <v>5</v>
          </cell>
          <cell r="BA25">
            <v>16</v>
          </cell>
          <cell r="BB25">
            <v>28</v>
          </cell>
          <cell r="BC25">
            <v>49</v>
          </cell>
          <cell r="BD25">
            <v>0</v>
          </cell>
          <cell r="BE25">
            <v>5</v>
          </cell>
          <cell r="BF25">
            <v>34</v>
          </cell>
          <cell r="BG25">
            <v>4.8571428571428568</v>
          </cell>
          <cell r="BH25" t="str">
            <v>BETTER</v>
          </cell>
          <cell r="BI25">
            <v>679</v>
          </cell>
          <cell r="BJ25">
            <v>4</v>
          </cell>
        </row>
        <row r="26">
          <cell r="B26">
            <v>41</v>
          </cell>
          <cell r="C26" t="str">
            <v>SAIHAM KADER TONMOY</v>
          </cell>
          <cell r="D26" t="str">
            <v>MD.MOTAHAR HOSSAIN FAKIR</v>
          </cell>
          <cell r="E26" t="str">
            <v>MOST.SHAMMI AKTER</v>
          </cell>
          <cell r="F26">
            <v>16</v>
          </cell>
          <cell r="G26">
            <v>15</v>
          </cell>
          <cell r="H26">
            <v>41</v>
          </cell>
          <cell r="I26">
            <v>72</v>
          </cell>
          <cell r="J26">
            <v>5</v>
          </cell>
          <cell r="K26">
            <v>10</v>
          </cell>
          <cell r="L26">
            <v>22</v>
          </cell>
          <cell r="M26">
            <v>37</v>
          </cell>
          <cell r="N26">
            <v>109</v>
          </cell>
          <cell r="O26">
            <v>0</v>
          </cell>
          <cell r="P26">
            <v>4</v>
          </cell>
          <cell r="Q26">
            <v>17</v>
          </cell>
          <cell r="R26">
            <v>19</v>
          </cell>
          <cell r="S26">
            <v>40</v>
          </cell>
          <cell r="T26">
            <v>76</v>
          </cell>
          <cell r="U26">
            <v>3</v>
          </cell>
          <cell r="V26">
            <v>10</v>
          </cell>
          <cell r="W26">
            <v>17</v>
          </cell>
          <cell r="X26">
            <v>30</v>
          </cell>
          <cell r="Y26">
            <v>106</v>
          </cell>
          <cell r="Z26">
            <v>0</v>
          </cell>
          <cell r="AA26">
            <v>4</v>
          </cell>
          <cell r="AB26">
            <v>11</v>
          </cell>
          <cell r="AC26">
            <v>15</v>
          </cell>
          <cell r="AD26">
            <v>57</v>
          </cell>
          <cell r="AE26">
            <v>83</v>
          </cell>
          <cell r="AF26">
            <v>0</v>
          </cell>
          <cell r="AG26">
            <v>5</v>
          </cell>
          <cell r="AH26">
            <v>16</v>
          </cell>
          <cell r="AI26">
            <v>20</v>
          </cell>
          <cell r="AJ26">
            <v>53</v>
          </cell>
          <cell r="AK26">
            <v>89</v>
          </cell>
          <cell r="AL26">
            <v>0</v>
          </cell>
          <cell r="AM26">
            <v>5</v>
          </cell>
          <cell r="AN26">
            <v>18</v>
          </cell>
          <cell r="AO26">
            <v>20</v>
          </cell>
          <cell r="AP26">
            <v>54</v>
          </cell>
          <cell r="AQ26">
            <v>92</v>
          </cell>
          <cell r="AR26">
            <v>0</v>
          </cell>
          <cell r="AS26">
            <v>5</v>
          </cell>
          <cell r="AT26">
            <v>16</v>
          </cell>
          <cell r="AU26">
            <v>19</v>
          </cell>
          <cell r="AV26">
            <v>48</v>
          </cell>
          <cell r="AW26">
            <v>83</v>
          </cell>
          <cell r="AX26">
            <v>0</v>
          </cell>
          <cell r="AY26">
            <v>5</v>
          </cell>
          <cell r="AZ26">
            <v>5</v>
          </cell>
          <cell r="BA26">
            <v>10</v>
          </cell>
          <cell r="BB26">
            <v>13</v>
          </cell>
          <cell r="BC26">
            <v>28</v>
          </cell>
          <cell r="BD26">
            <v>0</v>
          </cell>
          <cell r="BE26">
            <v>3</v>
          </cell>
          <cell r="BF26">
            <v>31</v>
          </cell>
          <cell r="BG26">
            <v>4.4285714285714288</v>
          </cell>
          <cell r="BH26" t="str">
            <v>BETTER</v>
          </cell>
          <cell r="BI26">
            <v>590</v>
          </cell>
          <cell r="BJ26">
            <v>52</v>
          </cell>
        </row>
        <row r="27">
          <cell r="B27">
            <v>42</v>
          </cell>
          <cell r="C27" t="str">
            <v xml:space="preserve">JINHAJ ISLAM RATUL </v>
          </cell>
          <cell r="D27" t="str">
            <v>MD.RIMON HOSSEN</v>
          </cell>
          <cell r="E27" t="str">
            <v>ROZINA AKTER RADIA</v>
          </cell>
          <cell r="F27">
            <v>19</v>
          </cell>
          <cell r="G27">
            <v>20</v>
          </cell>
          <cell r="H27">
            <v>54</v>
          </cell>
          <cell r="I27">
            <v>93</v>
          </cell>
          <cell r="J27">
            <v>8</v>
          </cell>
          <cell r="K27">
            <v>10</v>
          </cell>
          <cell r="L27">
            <v>28</v>
          </cell>
          <cell r="M27">
            <v>46</v>
          </cell>
          <cell r="N27">
            <v>139</v>
          </cell>
          <cell r="O27">
            <v>0</v>
          </cell>
          <cell r="P27">
            <v>5</v>
          </cell>
          <cell r="Q27">
            <v>13</v>
          </cell>
          <cell r="R27">
            <v>20</v>
          </cell>
          <cell r="S27">
            <v>38</v>
          </cell>
          <cell r="T27">
            <v>71</v>
          </cell>
          <cell r="U27">
            <v>9</v>
          </cell>
          <cell r="V27">
            <v>8</v>
          </cell>
          <cell r="W27">
            <v>15</v>
          </cell>
          <cell r="X27">
            <v>32</v>
          </cell>
          <cell r="Y27">
            <v>103</v>
          </cell>
          <cell r="Z27">
            <v>0</v>
          </cell>
          <cell r="AA27">
            <v>3.5</v>
          </cell>
          <cell r="AB27">
            <v>15</v>
          </cell>
          <cell r="AC27">
            <v>20</v>
          </cell>
          <cell r="AD27">
            <v>53</v>
          </cell>
          <cell r="AE27">
            <v>88</v>
          </cell>
          <cell r="AF27">
            <v>0</v>
          </cell>
          <cell r="AG27">
            <v>5</v>
          </cell>
          <cell r="AH27">
            <v>15</v>
          </cell>
          <cell r="AI27">
            <v>20</v>
          </cell>
          <cell r="AJ27">
            <v>42</v>
          </cell>
          <cell r="AK27">
            <v>77</v>
          </cell>
          <cell r="AL27">
            <v>0</v>
          </cell>
          <cell r="AM27">
            <v>4</v>
          </cell>
          <cell r="AN27">
            <v>15</v>
          </cell>
          <cell r="AO27">
            <v>20</v>
          </cell>
          <cell r="AP27">
            <v>44</v>
          </cell>
          <cell r="AQ27">
            <v>79</v>
          </cell>
          <cell r="AR27">
            <v>0</v>
          </cell>
          <cell r="AS27">
            <v>4</v>
          </cell>
          <cell r="AT27">
            <v>13</v>
          </cell>
          <cell r="AU27">
            <v>20</v>
          </cell>
          <cell r="AV27">
            <v>54</v>
          </cell>
          <cell r="AW27">
            <v>87</v>
          </cell>
          <cell r="AX27">
            <v>0</v>
          </cell>
          <cell r="AY27">
            <v>5</v>
          </cell>
          <cell r="AZ27">
            <v>5</v>
          </cell>
          <cell r="BA27">
            <v>14</v>
          </cell>
          <cell r="BB27">
            <v>26</v>
          </cell>
          <cell r="BC27">
            <v>45</v>
          </cell>
          <cell r="BD27">
            <v>0</v>
          </cell>
          <cell r="BE27">
            <v>5</v>
          </cell>
          <cell r="BF27">
            <v>31.5</v>
          </cell>
          <cell r="BG27">
            <v>4.5</v>
          </cell>
          <cell r="BH27" t="str">
            <v>BETTER</v>
          </cell>
          <cell r="BI27">
            <v>618</v>
          </cell>
          <cell r="BJ27">
            <v>18</v>
          </cell>
        </row>
        <row r="28">
          <cell r="B28">
            <v>43</v>
          </cell>
          <cell r="C28" t="str">
            <v>MD.SIYAM HOSSAIN</v>
          </cell>
          <cell r="D28" t="str">
            <v>ABU SAEID</v>
          </cell>
          <cell r="E28" t="str">
            <v>RAHELA AKTER</v>
          </cell>
          <cell r="F28">
            <v>17</v>
          </cell>
          <cell r="G28">
            <v>19</v>
          </cell>
          <cell r="H28">
            <v>53</v>
          </cell>
          <cell r="I28">
            <v>89</v>
          </cell>
          <cell r="J28">
            <v>6</v>
          </cell>
          <cell r="K28">
            <v>10</v>
          </cell>
          <cell r="L28">
            <v>22</v>
          </cell>
          <cell r="M28">
            <v>38</v>
          </cell>
          <cell r="N28">
            <v>127</v>
          </cell>
          <cell r="O28">
            <v>0</v>
          </cell>
          <cell r="P28">
            <v>5</v>
          </cell>
          <cell r="Q28">
            <v>10</v>
          </cell>
          <cell r="R28">
            <v>18</v>
          </cell>
          <cell r="S28">
            <v>33</v>
          </cell>
          <cell r="T28">
            <v>61</v>
          </cell>
          <cell r="U28">
            <v>1</v>
          </cell>
          <cell r="V28">
            <v>10</v>
          </cell>
          <cell r="W28">
            <v>18</v>
          </cell>
          <cell r="X28">
            <v>29</v>
          </cell>
          <cell r="Y28">
            <v>90</v>
          </cell>
          <cell r="Z28">
            <v>0</v>
          </cell>
          <cell r="AA28">
            <v>3.5</v>
          </cell>
          <cell r="AB28">
            <v>12</v>
          </cell>
          <cell r="AC28">
            <v>20</v>
          </cell>
          <cell r="AD28">
            <v>58</v>
          </cell>
          <cell r="AE28">
            <v>90</v>
          </cell>
          <cell r="AF28">
            <v>0</v>
          </cell>
          <cell r="AG28">
            <v>5</v>
          </cell>
          <cell r="AH28">
            <v>16</v>
          </cell>
          <cell r="AI28">
            <v>20</v>
          </cell>
          <cell r="AJ28">
            <v>51</v>
          </cell>
          <cell r="AK28">
            <v>87</v>
          </cell>
          <cell r="AL28">
            <v>0</v>
          </cell>
          <cell r="AM28">
            <v>5</v>
          </cell>
          <cell r="AN28">
            <v>17</v>
          </cell>
          <cell r="AO28">
            <v>20</v>
          </cell>
          <cell r="AP28">
            <v>48</v>
          </cell>
          <cell r="AQ28">
            <v>85</v>
          </cell>
          <cell r="AR28">
            <v>0</v>
          </cell>
          <cell r="AS28">
            <v>5</v>
          </cell>
          <cell r="AT28">
            <v>0</v>
          </cell>
          <cell r="AU28">
            <v>19</v>
          </cell>
          <cell r="AV28">
            <v>45</v>
          </cell>
          <cell r="AW28">
            <v>64</v>
          </cell>
          <cell r="AX28">
            <v>0</v>
          </cell>
          <cell r="AY28">
            <v>3.5</v>
          </cell>
          <cell r="AZ28">
            <v>7</v>
          </cell>
          <cell r="BA28">
            <v>4</v>
          </cell>
          <cell r="BB28">
            <v>10</v>
          </cell>
          <cell r="BC28">
            <v>21</v>
          </cell>
          <cell r="BD28">
            <v>0</v>
          </cell>
          <cell r="BE28">
            <v>2</v>
          </cell>
          <cell r="BF28">
            <v>29</v>
          </cell>
          <cell r="BG28">
            <v>4.1428571428571432</v>
          </cell>
          <cell r="BH28" t="str">
            <v>BETTER</v>
          </cell>
          <cell r="BI28">
            <v>564</v>
          </cell>
          <cell r="BJ28">
            <v>37</v>
          </cell>
        </row>
        <row r="29">
          <cell r="B29">
            <v>45</v>
          </cell>
          <cell r="C29" t="str">
            <v>ABU SUFIAN TAMIM</v>
          </cell>
          <cell r="D29" t="str">
            <v>ABU TAHER</v>
          </cell>
          <cell r="E29" t="str">
            <v>SUFIA BEGUM</v>
          </cell>
          <cell r="F29">
            <v>17</v>
          </cell>
          <cell r="G29">
            <v>19</v>
          </cell>
          <cell r="H29">
            <v>50</v>
          </cell>
          <cell r="I29">
            <v>86</v>
          </cell>
          <cell r="J29">
            <v>7</v>
          </cell>
          <cell r="K29">
            <v>10</v>
          </cell>
          <cell r="L29">
            <v>25</v>
          </cell>
          <cell r="M29">
            <v>42</v>
          </cell>
          <cell r="N29">
            <v>128</v>
          </cell>
          <cell r="O29">
            <v>0</v>
          </cell>
          <cell r="P29">
            <v>5</v>
          </cell>
          <cell r="Q29">
            <v>13</v>
          </cell>
          <cell r="R29">
            <v>20</v>
          </cell>
          <cell r="S29">
            <v>49</v>
          </cell>
          <cell r="T29">
            <v>82</v>
          </cell>
          <cell r="U29">
            <v>6</v>
          </cell>
          <cell r="V29">
            <v>10</v>
          </cell>
          <cell r="W29">
            <v>23</v>
          </cell>
          <cell r="X29">
            <v>39</v>
          </cell>
          <cell r="Y29">
            <v>121</v>
          </cell>
          <cell r="Z29">
            <v>0</v>
          </cell>
          <cell r="AA29">
            <v>5</v>
          </cell>
          <cell r="AB29">
            <v>13</v>
          </cell>
          <cell r="AC29">
            <v>20</v>
          </cell>
          <cell r="AD29">
            <v>59</v>
          </cell>
          <cell r="AE29">
            <v>92</v>
          </cell>
          <cell r="AF29">
            <v>0</v>
          </cell>
          <cell r="AG29">
            <v>5</v>
          </cell>
          <cell r="AH29">
            <v>19</v>
          </cell>
          <cell r="AI29">
            <v>20</v>
          </cell>
          <cell r="AJ29">
            <v>46</v>
          </cell>
          <cell r="AK29">
            <v>85</v>
          </cell>
          <cell r="AL29">
            <v>0</v>
          </cell>
          <cell r="AM29">
            <v>5</v>
          </cell>
          <cell r="AN29">
            <v>17</v>
          </cell>
          <cell r="AO29">
            <v>20</v>
          </cell>
          <cell r="AP29">
            <v>48</v>
          </cell>
          <cell r="AQ29">
            <v>85</v>
          </cell>
          <cell r="AR29">
            <v>0</v>
          </cell>
          <cell r="AS29">
            <v>5</v>
          </cell>
          <cell r="AT29">
            <v>15</v>
          </cell>
          <cell r="AU29">
            <v>18</v>
          </cell>
          <cell r="AV29">
            <v>44</v>
          </cell>
          <cell r="AW29">
            <v>77</v>
          </cell>
          <cell r="AX29">
            <v>0</v>
          </cell>
          <cell r="AY29">
            <v>4</v>
          </cell>
          <cell r="AZ29">
            <v>5</v>
          </cell>
          <cell r="BA29">
            <v>13</v>
          </cell>
          <cell r="BB29">
            <v>27</v>
          </cell>
          <cell r="BC29">
            <v>45</v>
          </cell>
          <cell r="BD29">
            <v>0</v>
          </cell>
          <cell r="BE29">
            <v>5</v>
          </cell>
          <cell r="BF29">
            <v>34</v>
          </cell>
          <cell r="BG29">
            <v>4.8571428571428568</v>
          </cell>
          <cell r="BH29" t="str">
            <v>BETTER</v>
          </cell>
          <cell r="BI29">
            <v>633</v>
          </cell>
          <cell r="BJ29">
            <v>13</v>
          </cell>
        </row>
        <row r="30">
          <cell r="B30">
            <v>46</v>
          </cell>
          <cell r="C30" t="str">
            <v>MD.RAKAT SHEIKH</v>
          </cell>
          <cell r="D30" t="str">
            <v>MD.BONY AMIN</v>
          </cell>
          <cell r="E30" t="str">
            <v>RAJIA SULTANA HERA</v>
          </cell>
          <cell r="F30">
            <v>15</v>
          </cell>
          <cell r="G30">
            <v>20</v>
          </cell>
          <cell r="H30">
            <v>46</v>
          </cell>
          <cell r="I30">
            <v>81</v>
          </cell>
          <cell r="J30">
            <v>6</v>
          </cell>
          <cell r="K30">
            <v>10</v>
          </cell>
          <cell r="L30">
            <v>27</v>
          </cell>
          <cell r="M30">
            <v>43</v>
          </cell>
          <cell r="N30">
            <v>124</v>
          </cell>
          <cell r="O30">
            <v>0</v>
          </cell>
          <cell r="P30">
            <v>5</v>
          </cell>
          <cell r="Q30">
            <v>11</v>
          </cell>
          <cell r="R30">
            <v>20</v>
          </cell>
          <cell r="S30">
            <v>36</v>
          </cell>
          <cell r="T30">
            <v>67</v>
          </cell>
          <cell r="U30">
            <v>8</v>
          </cell>
          <cell r="V30">
            <v>8</v>
          </cell>
          <cell r="W30">
            <v>13</v>
          </cell>
          <cell r="X30">
            <v>29</v>
          </cell>
          <cell r="Y30">
            <v>96</v>
          </cell>
          <cell r="Z30">
            <v>0</v>
          </cell>
          <cell r="AA30">
            <v>3.5</v>
          </cell>
          <cell r="AB30">
            <v>13</v>
          </cell>
          <cell r="AC30">
            <v>20</v>
          </cell>
          <cell r="AD30">
            <v>58</v>
          </cell>
          <cell r="AE30">
            <v>91</v>
          </cell>
          <cell r="AF30">
            <v>0</v>
          </cell>
          <cell r="AG30">
            <v>5</v>
          </cell>
          <cell r="AH30">
            <v>17</v>
          </cell>
          <cell r="AI30">
            <v>18</v>
          </cell>
          <cell r="AJ30">
            <v>26</v>
          </cell>
          <cell r="AK30">
            <v>61</v>
          </cell>
          <cell r="AL30">
            <v>0</v>
          </cell>
          <cell r="AM30">
            <v>3.5</v>
          </cell>
          <cell r="AN30">
            <v>15</v>
          </cell>
          <cell r="AO30">
            <v>20</v>
          </cell>
          <cell r="AP30">
            <v>38</v>
          </cell>
          <cell r="AQ30">
            <v>73</v>
          </cell>
          <cell r="AR30">
            <v>0</v>
          </cell>
          <cell r="AS30">
            <v>4</v>
          </cell>
          <cell r="AT30">
            <v>13</v>
          </cell>
          <cell r="AU30">
            <v>20</v>
          </cell>
          <cell r="AV30">
            <v>51</v>
          </cell>
          <cell r="AW30">
            <v>84</v>
          </cell>
          <cell r="AX30">
            <v>0</v>
          </cell>
          <cell r="AY30">
            <v>5</v>
          </cell>
          <cell r="AZ30">
            <v>5</v>
          </cell>
          <cell r="BA30">
            <v>11</v>
          </cell>
          <cell r="BB30">
            <v>24</v>
          </cell>
          <cell r="BC30">
            <v>40</v>
          </cell>
          <cell r="BD30">
            <v>0</v>
          </cell>
          <cell r="BE30">
            <v>5</v>
          </cell>
          <cell r="BF30">
            <v>31</v>
          </cell>
          <cell r="BG30">
            <v>4.4285714285714288</v>
          </cell>
          <cell r="BH30" t="str">
            <v>BETTER</v>
          </cell>
          <cell r="BI30">
            <v>569</v>
          </cell>
          <cell r="BJ30">
            <v>55</v>
          </cell>
        </row>
        <row r="31">
          <cell r="B31">
            <v>47</v>
          </cell>
          <cell r="C31" t="str">
            <v>ISTIAQ AHMED RADIN</v>
          </cell>
          <cell r="D31" t="str">
            <v>FAISAL AHMED JONY</v>
          </cell>
          <cell r="E31" t="str">
            <v>ISRAT JAHAN ROSY</v>
          </cell>
          <cell r="F31">
            <v>18</v>
          </cell>
          <cell r="G31">
            <v>20</v>
          </cell>
          <cell r="H31">
            <v>59</v>
          </cell>
          <cell r="I31">
            <v>97</v>
          </cell>
          <cell r="J31">
            <v>8</v>
          </cell>
          <cell r="K31">
            <v>10</v>
          </cell>
          <cell r="L31">
            <v>27</v>
          </cell>
          <cell r="M31">
            <v>45</v>
          </cell>
          <cell r="N31">
            <v>142</v>
          </cell>
          <cell r="O31">
            <v>0</v>
          </cell>
          <cell r="P31">
            <v>5</v>
          </cell>
          <cell r="Q31">
            <v>17</v>
          </cell>
          <cell r="R31">
            <v>20</v>
          </cell>
          <cell r="S31">
            <v>52</v>
          </cell>
          <cell r="T31">
            <v>89</v>
          </cell>
          <cell r="U31">
            <v>7</v>
          </cell>
          <cell r="V31">
            <v>10</v>
          </cell>
          <cell r="W31">
            <v>25</v>
          </cell>
          <cell r="X31">
            <v>42</v>
          </cell>
          <cell r="Y31">
            <v>131</v>
          </cell>
          <cell r="Z31">
            <v>0</v>
          </cell>
          <cell r="AA31">
            <v>5</v>
          </cell>
          <cell r="AB31">
            <v>15</v>
          </cell>
          <cell r="AC31">
            <v>20</v>
          </cell>
          <cell r="AD31">
            <v>60</v>
          </cell>
          <cell r="AE31">
            <v>95</v>
          </cell>
          <cell r="AF31">
            <v>0</v>
          </cell>
          <cell r="AG31">
            <v>5</v>
          </cell>
          <cell r="AH31">
            <v>20</v>
          </cell>
          <cell r="AI31">
            <v>20</v>
          </cell>
          <cell r="AJ31">
            <v>58</v>
          </cell>
          <cell r="AK31">
            <v>98</v>
          </cell>
          <cell r="AL31">
            <v>0</v>
          </cell>
          <cell r="AM31">
            <v>5</v>
          </cell>
          <cell r="AN31">
            <v>19</v>
          </cell>
          <cell r="AO31">
            <v>20</v>
          </cell>
          <cell r="AP31">
            <v>55</v>
          </cell>
          <cell r="AQ31">
            <v>94</v>
          </cell>
          <cell r="AR31">
            <v>0</v>
          </cell>
          <cell r="AS31">
            <v>5</v>
          </cell>
          <cell r="AT31">
            <v>20</v>
          </cell>
          <cell r="AU31">
            <v>19</v>
          </cell>
          <cell r="AV31">
            <v>51</v>
          </cell>
          <cell r="AW31">
            <v>90</v>
          </cell>
          <cell r="AX31">
            <v>0</v>
          </cell>
          <cell r="AY31">
            <v>5</v>
          </cell>
          <cell r="AZ31">
            <v>5</v>
          </cell>
          <cell r="BA31">
            <v>15</v>
          </cell>
          <cell r="BB31">
            <v>29</v>
          </cell>
          <cell r="BC31">
            <v>49</v>
          </cell>
          <cell r="BD31">
            <v>0</v>
          </cell>
          <cell r="BE31">
            <v>5</v>
          </cell>
          <cell r="BF31">
            <v>35</v>
          </cell>
          <cell r="BG31">
            <v>5</v>
          </cell>
          <cell r="BH31" t="str">
            <v>BEST</v>
          </cell>
          <cell r="BI31">
            <v>699</v>
          </cell>
          <cell r="BJ31">
            <v>5</v>
          </cell>
        </row>
        <row r="32">
          <cell r="B32">
            <v>48</v>
          </cell>
          <cell r="C32" t="str">
            <v>B.M ABID HASAN</v>
          </cell>
          <cell r="D32" t="str">
            <v>MOZAMMEL HOSSEN BABAR</v>
          </cell>
          <cell r="E32" t="str">
            <v>KHALEDA PERVIN</v>
          </cell>
          <cell r="F32">
            <v>18</v>
          </cell>
          <cell r="G32">
            <v>20</v>
          </cell>
          <cell r="H32">
            <v>52</v>
          </cell>
          <cell r="I32">
            <v>90</v>
          </cell>
          <cell r="J32">
            <v>8</v>
          </cell>
          <cell r="K32">
            <v>10</v>
          </cell>
          <cell r="L32">
            <v>28</v>
          </cell>
          <cell r="M32">
            <v>46</v>
          </cell>
          <cell r="N32">
            <v>136</v>
          </cell>
          <cell r="O32">
            <v>0</v>
          </cell>
          <cell r="P32">
            <v>5</v>
          </cell>
          <cell r="Q32">
            <v>11</v>
          </cell>
          <cell r="R32">
            <v>20</v>
          </cell>
          <cell r="S32">
            <v>43</v>
          </cell>
          <cell r="T32">
            <v>74</v>
          </cell>
          <cell r="U32">
            <v>8</v>
          </cell>
          <cell r="V32">
            <v>8</v>
          </cell>
          <cell r="W32">
            <v>16</v>
          </cell>
          <cell r="X32">
            <v>32</v>
          </cell>
          <cell r="Y32">
            <v>106</v>
          </cell>
          <cell r="Z32">
            <v>0</v>
          </cell>
          <cell r="AA32">
            <v>4</v>
          </cell>
          <cell r="AB32">
            <v>18</v>
          </cell>
          <cell r="AC32">
            <v>20</v>
          </cell>
          <cell r="AD32">
            <v>58</v>
          </cell>
          <cell r="AE32">
            <v>96</v>
          </cell>
          <cell r="AF32">
            <v>0</v>
          </cell>
          <cell r="AG32">
            <v>5</v>
          </cell>
          <cell r="AH32">
            <v>18</v>
          </cell>
          <cell r="AI32">
            <v>20</v>
          </cell>
          <cell r="AJ32">
            <v>49</v>
          </cell>
          <cell r="AK32">
            <v>87</v>
          </cell>
          <cell r="AL32">
            <v>0</v>
          </cell>
          <cell r="AM32">
            <v>5</v>
          </cell>
          <cell r="AN32">
            <v>16</v>
          </cell>
          <cell r="AO32">
            <v>20</v>
          </cell>
          <cell r="AP32">
            <v>51</v>
          </cell>
          <cell r="AQ32">
            <v>87</v>
          </cell>
          <cell r="AR32">
            <v>0</v>
          </cell>
          <cell r="AS32">
            <v>5</v>
          </cell>
          <cell r="AT32">
            <v>18</v>
          </cell>
          <cell r="AU32">
            <v>20</v>
          </cell>
          <cell r="AV32">
            <v>56</v>
          </cell>
          <cell r="AW32">
            <v>94</v>
          </cell>
          <cell r="AX32">
            <v>0</v>
          </cell>
          <cell r="AY32">
            <v>5</v>
          </cell>
          <cell r="AZ32">
            <v>5</v>
          </cell>
          <cell r="BA32">
            <v>14</v>
          </cell>
          <cell r="BB32">
            <v>23</v>
          </cell>
          <cell r="BC32">
            <v>42</v>
          </cell>
          <cell r="BD32">
            <v>0</v>
          </cell>
          <cell r="BE32">
            <v>5</v>
          </cell>
          <cell r="BF32">
            <v>34</v>
          </cell>
          <cell r="BG32">
            <v>4.8571428571428568</v>
          </cell>
          <cell r="BH32" t="str">
            <v>BETTER</v>
          </cell>
          <cell r="BI32">
            <v>648</v>
          </cell>
          <cell r="BJ32">
            <v>11</v>
          </cell>
        </row>
        <row r="33">
          <cell r="B33">
            <v>49</v>
          </cell>
          <cell r="C33" t="str">
            <v>IMTIAZ AHMED RATUL</v>
          </cell>
          <cell r="D33" t="str">
            <v>FAISAL AHMED JONY</v>
          </cell>
          <cell r="E33" t="str">
            <v>ISRAT JAHAN ROSY</v>
          </cell>
          <cell r="F33">
            <v>17</v>
          </cell>
          <cell r="G33">
            <v>20</v>
          </cell>
          <cell r="H33">
            <v>54</v>
          </cell>
          <cell r="I33">
            <v>91</v>
          </cell>
          <cell r="J33">
            <v>10</v>
          </cell>
          <cell r="K33">
            <v>10</v>
          </cell>
          <cell r="L33">
            <v>29</v>
          </cell>
          <cell r="M33">
            <v>49</v>
          </cell>
          <cell r="N33">
            <v>140</v>
          </cell>
          <cell r="O33">
            <v>0</v>
          </cell>
          <cell r="P33">
            <v>5</v>
          </cell>
          <cell r="Q33">
            <v>17</v>
          </cell>
          <cell r="R33">
            <v>20</v>
          </cell>
          <cell r="S33">
            <v>54</v>
          </cell>
          <cell r="T33">
            <v>91</v>
          </cell>
          <cell r="U33">
            <v>7</v>
          </cell>
          <cell r="V33">
            <v>10</v>
          </cell>
          <cell r="W33">
            <v>25</v>
          </cell>
          <cell r="X33">
            <v>42</v>
          </cell>
          <cell r="Y33">
            <v>133</v>
          </cell>
          <cell r="Z33">
            <v>0</v>
          </cell>
          <cell r="AA33">
            <v>5</v>
          </cell>
          <cell r="AB33">
            <v>20</v>
          </cell>
          <cell r="AC33">
            <v>20</v>
          </cell>
          <cell r="AD33">
            <v>60</v>
          </cell>
          <cell r="AE33">
            <v>100</v>
          </cell>
          <cell r="AF33">
            <v>0</v>
          </cell>
          <cell r="AG33">
            <v>5</v>
          </cell>
          <cell r="AH33">
            <v>19</v>
          </cell>
          <cell r="AI33">
            <v>20</v>
          </cell>
          <cell r="AJ33">
            <v>59</v>
          </cell>
          <cell r="AK33">
            <v>98</v>
          </cell>
          <cell r="AL33">
            <v>0</v>
          </cell>
          <cell r="AM33">
            <v>5</v>
          </cell>
          <cell r="AN33">
            <v>19</v>
          </cell>
          <cell r="AO33">
            <v>20</v>
          </cell>
          <cell r="AP33">
            <v>52</v>
          </cell>
          <cell r="AQ33">
            <v>91</v>
          </cell>
          <cell r="AR33">
            <v>0</v>
          </cell>
          <cell r="AS33">
            <v>5</v>
          </cell>
          <cell r="AT33">
            <v>20</v>
          </cell>
          <cell r="AU33">
            <v>18</v>
          </cell>
          <cell r="AV33">
            <v>46</v>
          </cell>
          <cell r="AW33">
            <v>84</v>
          </cell>
          <cell r="AX33">
            <v>0</v>
          </cell>
          <cell r="AY33">
            <v>5</v>
          </cell>
          <cell r="AZ33">
            <v>5</v>
          </cell>
          <cell r="BA33">
            <v>15</v>
          </cell>
          <cell r="BB33">
            <v>29</v>
          </cell>
          <cell r="BC33">
            <v>49</v>
          </cell>
          <cell r="BD33">
            <v>0</v>
          </cell>
          <cell r="BE33">
            <v>5</v>
          </cell>
          <cell r="BF33">
            <v>35</v>
          </cell>
          <cell r="BG33">
            <v>5</v>
          </cell>
          <cell r="BH33" t="str">
            <v>BEST</v>
          </cell>
          <cell r="BI33">
            <v>695</v>
          </cell>
          <cell r="BJ33">
            <v>3</v>
          </cell>
        </row>
        <row r="34">
          <cell r="B34">
            <v>50</v>
          </cell>
          <cell r="C34" t="str">
            <v xml:space="preserve">MD.JISAN </v>
          </cell>
          <cell r="D34" t="str">
            <v>ABUL HASHEM</v>
          </cell>
          <cell r="E34" t="str">
            <v>ROJINA BEGUM</v>
          </cell>
          <cell r="F34">
            <v>19</v>
          </cell>
          <cell r="G34">
            <v>20</v>
          </cell>
          <cell r="H34">
            <v>53</v>
          </cell>
          <cell r="I34">
            <v>92</v>
          </cell>
          <cell r="J34">
            <v>5</v>
          </cell>
          <cell r="K34">
            <v>10</v>
          </cell>
          <cell r="L34">
            <v>26</v>
          </cell>
          <cell r="M34">
            <v>41</v>
          </cell>
          <cell r="N34">
            <v>133</v>
          </cell>
          <cell r="O34">
            <v>0</v>
          </cell>
          <cell r="P34">
            <v>5</v>
          </cell>
          <cell r="Q34">
            <v>9</v>
          </cell>
          <cell r="R34">
            <v>18</v>
          </cell>
          <cell r="S34">
            <v>50</v>
          </cell>
          <cell r="T34">
            <v>77</v>
          </cell>
          <cell r="U34">
            <v>8</v>
          </cell>
          <cell r="V34">
            <v>8</v>
          </cell>
          <cell r="W34">
            <v>16</v>
          </cell>
          <cell r="X34">
            <v>32</v>
          </cell>
          <cell r="Y34">
            <v>109</v>
          </cell>
          <cell r="Z34">
            <v>0</v>
          </cell>
          <cell r="AA34">
            <v>4</v>
          </cell>
          <cell r="AB34">
            <v>11</v>
          </cell>
          <cell r="AC34">
            <v>20</v>
          </cell>
          <cell r="AD34">
            <v>52</v>
          </cell>
          <cell r="AE34">
            <v>83</v>
          </cell>
          <cell r="AF34">
            <v>0</v>
          </cell>
          <cell r="AG34">
            <v>5</v>
          </cell>
          <cell r="AH34">
            <v>11</v>
          </cell>
          <cell r="AI34">
            <v>20</v>
          </cell>
          <cell r="AJ34">
            <v>49</v>
          </cell>
          <cell r="AK34">
            <v>80</v>
          </cell>
          <cell r="AL34">
            <v>0</v>
          </cell>
          <cell r="AM34">
            <v>5</v>
          </cell>
          <cell r="AN34">
            <v>16</v>
          </cell>
          <cell r="AO34">
            <v>20</v>
          </cell>
          <cell r="AP34">
            <v>52</v>
          </cell>
          <cell r="AQ34">
            <v>88</v>
          </cell>
          <cell r="AR34">
            <v>0</v>
          </cell>
          <cell r="AS34">
            <v>5</v>
          </cell>
          <cell r="AT34">
            <v>18</v>
          </cell>
          <cell r="AU34">
            <v>20</v>
          </cell>
          <cell r="AV34">
            <v>54</v>
          </cell>
          <cell r="AW34">
            <v>92</v>
          </cell>
          <cell r="AX34">
            <v>0</v>
          </cell>
          <cell r="AY34">
            <v>5</v>
          </cell>
          <cell r="AZ34">
            <v>5</v>
          </cell>
          <cell r="BA34">
            <v>14</v>
          </cell>
          <cell r="BB34">
            <v>28</v>
          </cell>
          <cell r="BC34">
            <v>47</v>
          </cell>
          <cell r="BD34">
            <v>0</v>
          </cell>
          <cell r="BE34">
            <v>5</v>
          </cell>
          <cell r="BF34">
            <v>34</v>
          </cell>
          <cell r="BG34">
            <v>4.8571428571428568</v>
          </cell>
          <cell r="BH34" t="str">
            <v>BETTER</v>
          </cell>
          <cell r="BI34">
            <v>632</v>
          </cell>
          <cell r="BJ34">
            <v>7</v>
          </cell>
        </row>
        <row r="35">
          <cell r="B35">
            <v>51</v>
          </cell>
          <cell r="C35" t="str">
            <v>MIR EASIN HOSSAIN SAKIB</v>
          </cell>
          <cell r="D35" t="str">
            <v xml:space="preserve">MD.JAKIR HOSSAIN </v>
          </cell>
          <cell r="E35" t="str">
            <v>SHAHIDA HOSSAIN</v>
          </cell>
          <cell r="F35">
            <v>14</v>
          </cell>
          <cell r="G35">
            <v>15</v>
          </cell>
          <cell r="H35">
            <v>47</v>
          </cell>
          <cell r="I35">
            <v>76</v>
          </cell>
          <cell r="J35">
            <v>1</v>
          </cell>
          <cell r="K35">
            <v>10</v>
          </cell>
          <cell r="L35">
            <v>23</v>
          </cell>
          <cell r="M35">
            <v>34</v>
          </cell>
          <cell r="N35">
            <v>110</v>
          </cell>
          <cell r="O35">
            <v>0</v>
          </cell>
          <cell r="P35">
            <v>4</v>
          </cell>
          <cell r="Q35">
            <v>16</v>
          </cell>
          <cell r="R35">
            <v>19</v>
          </cell>
          <cell r="S35">
            <v>45</v>
          </cell>
          <cell r="T35">
            <v>80</v>
          </cell>
          <cell r="U35">
            <v>5</v>
          </cell>
          <cell r="V35">
            <v>10</v>
          </cell>
          <cell r="W35">
            <v>23</v>
          </cell>
          <cell r="X35">
            <v>38</v>
          </cell>
          <cell r="Y35">
            <v>118</v>
          </cell>
          <cell r="Z35">
            <v>0</v>
          </cell>
          <cell r="AA35">
            <v>4</v>
          </cell>
          <cell r="AB35">
            <v>12</v>
          </cell>
          <cell r="AC35">
            <v>20</v>
          </cell>
          <cell r="AD35">
            <v>58</v>
          </cell>
          <cell r="AE35">
            <v>90</v>
          </cell>
          <cell r="AF35">
            <v>0</v>
          </cell>
          <cell r="AG35">
            <v>5</v>
          </cell>
          <cell r="AH35">
            <v>18</v>
          </cell>
          <cell r="AI35">
            <v>20</v>
          </cell>
          <cell r="AJ35">
            <v>46</v>
          </cell>
          <cell r="AK35">
            <v>84</v>
          </cell>
          <cell r="AL35">
            <v>0</v>
          </cell>
          <cell r="AM35">
            <v>5</v>
          </cell>
          <cell r="AN35">
            <v>14</v>
          </cell>
          <cell r="AO35">
            <v>20</v>
          </cell>
          <cell r="AP35">
            <v>53</v>
          </cell>
          <cell r="AQ35">
            <v>87</v>
          </cell>
          <cell r="AR35">
            <v>0</v>
          </cell>
          <cell r="AS35">
            <v>5</v>
          </cell>
          <cell r="AT35">
            <v>16</v>
          </cell>
          <cell r="AU35">
            <v>18</v>
          </cell>
          <cell r="AV35">
            <v>43</v>
          </cell>
          <cell r="AW35">
            <v>77</v>
          </cell>
          <cell r="AX35">
            <v>0</v>
          </cell>
          <cell r="AY35">
            <v>4</v>
          </cell>
          <cell r="AZ35">
            <v>5</v>
          </cell>
          <cell r="BA35">
            <v>14</v>
          </cell>
          <cell r="BB35">
            <v>25</v>
          </cell>
          <cell r="BC35">
            <v>44</v>
          </cell>
          <cell r="BD35">
            <v>0</v>
          </cell>
          <cell r="BE35">
            <v>5</v>
          </cell>
          <cell r="BF35">
            <v>32</v>
          </cell>
          <cell r="BG35">
            <v>4.5714285714285712</v>
          </cell>
          <cell r="BH35" t="str">
            <v>BETTER</v>
          </cell>
          <cell r="BI35">
            <v>610</v>
          </cell>
          <cell r="BJ35">
            <v>30</v>
          </cell>
        </row>
        <row r="36">
          <cell r="B36">
            <v>68</v>
          </cell>
          <cell r="C36" t="str">
            <v>FUAD AL MONSUR</v>
          </cell>
          <cell r="D36" t="str">
            <v>AMA JAVED</v>
          </cell>
          <cell r="E36" t="str">
            <v>RASHIDA AKTER SHANTO</v>
          </cell>
          <cell r="F36">
            <v>16</v>
          </cell>
          <cell r="G36">
            <v>20</v>
          </cell>
          <cell r="H36">
            <v>49</v>
          </cell>
          <cell r="I36">
            <v>85</v>
          </cell>
          <cell r="J36">
            <v>8</v>
          </cell>
          <cell r="K36">
            <v>10</v>
          </cell>
          <cell r="L36">
            <v>25</v>
          </cell>
          <cell r="M36">
            <v>43</v>
          </cell>
          <cell r="N36">
            <v>128</v>
          </cell>
          <cell r="O36">
            <v>0</v>
          </cell>
          <cell r="P36">
            <v>5</v>
          </cell>
          <cell r="Q36">
            <v>18</v>
          </cell>
          <cell r="R36">
            <v>20</v>
          </cell>
          <cell r="S36">
            <v>43</v>
          </cell>
          <cell r="T36">
            <v>81</v>
          </cell>
          <cell r="U36">
            <v>7</v>
          </cell>
          <cell r="V36">
            <v>8</v>
          </cell>
          <cell r="W36">
            <v>13</v>
          </cell>
          <cell r="X36">
            <v>28</v>
          </cell>
          <cell r="Y36">
            <v>109</v>
          </cell>
          <cell r="Z36">
            <v>0</v>
          </cell>
          <cell r="AA36">
            <v>4</v>
          </cell>
          <cell r="AB36">
            <v>14</v>
          </cell>
          <cell r="AC36">
            <v>20</v>
          </cell>
          <cell r="AD36">
            <v>38</v>
          </cell>
          <cell r="AE36">
            <v>72</v>
          </cell>
          <cell r="AF36">
            <v>0</v>
          </cell>
          <cell r="AG36">
            <v>4</v>
          </cell>
          <cell r="AH36">
            <v>9</v>
          </cell>
          <cell r="AI36">
            <v>20</v>
          </cell>
          <cell r="AJ36">
            <v>38</v>
          </cell>
          <cell r="AK36">
            <v>67</v>
          </cell>
          <cell r="AL36">
            <v>0</v>
          </cell>
          <cell r="AM36">
            <v>3.5</v>
          </cell>
          <cell r="AN36">
            <v>13</v>
          </cell>
          <cell r="AO36">
            <v>20</v>
          </cell>
          <cell r="AP36">
            <v>45</v>
          </cell>
          <cell r="AQ36">
            <v>78</v>
          </cell>
          <cell r="AR36">
            <v>0</v>
          </cell>
          <cell r="AS36">
            <v>4</v>
          </cell>
          <cell r="AT36">
            <v>16</v>
          </cell>
          <cell r="AU36">
            <v>20</v>
          </cell>
          <cell r="AV36">
            <v>56</v>
          </cell>
          <cell r="AW36">
            <v>92</v>
          </cell>
          <cell r="AX36">
            <v>0</v>
          </cell>
          <cell r="AY36">
            <v>5</v>
          </cell>
          <cell r="AZ36">
            <v>5</v>
          </cell>
          <cell r="BA36">
            <v>13</v>
          </cell>
          <cell r="BB36">
            <v>28</v>
          </cell>
          <cell r="BC36">
            <v>46</v>
          </cell>
          <cell r="BD36">
            <v>0</v>
          </cell>
          <cell r="BE36">
            <v>5</v>
          </cell>
          <cell r="BF36">
            <v>30.5</v>
          </cell>
          <cell r="BG36">
            <v>4.3571428571428568</v>
          </cell>
          <cell r="BH36" t="str">
            <v>BETTER</v>
          </cell>
          <cell r="BI36">
            <v>592</v>
          </cell>
          <cell r="BJ36">
            <v>47</v>
          </cell>
        </row>
        <row r="37">
          <cell r="B37">
            <v>70</v>
          </cell>
          <cell r="C37" t="str">
            <v>MAHFUJ RAHMAN SIAM</v>
          </cell>
          <cell r="D37" t="str">
            <v>FAJAL HAQUE</v>
          </cell>
          <cell r="E37" t="str">
            <v>MAKSUDA BEGUM</v>
          </cell>
          <cell r="F37">
            <v>15</v>
          </cell>
          <cell r="G37">
            <v>20</v>
          </cell>
          <cell r="H37">
            <v>47</v>
          </cell>
          <cell r="I37">
            <v>82</v>
          </cell>
          <cell r="J37">
            <v>3</v>
          </cell>
          <cell r="K37">
            <v>10</v>
          </cell>
          <cell r="L37">
            <v>25</v>
          </cell>
          <cell r="M37">
            <v>38</v>
          </cell>
          <cell r="N37">
            <v>120</v>
          </cell>
          <cell r="O37">
            <v>0</v>
          </cell>
          <cell r="P37">
            <v>5</v>
          </cell>
          <cell r="Q37">
            <v>8</v>
          </cell>
          <cell r="R37">
            <v>20</v>
          </cell>
          <cell r="S37">
            <v>28</v>
          </cell>
          <cell r="T37">
            <v>56</v>
          </cell>
          <cell r="U37">
            <v>8</v>
          </cell>
          <cell r="V37">
            <v>8</v>
          </cell>
          <cell r="W37">
            <v>11</v>
          </cell>
          <cell r="X37">
            <v>27</v>
          </cell>
          <cell r="Y37">
            <v>83</v>
          </cell>
          <cell r="Z37">
            <v>0</v>
          </cell>
          <cell r="AA37">
            <v>3</v>
          </cell>
          <cell r="AB37">
            <v>11</v>
          </cell>
          <cell r="AC37">
            <v>20</v>
          </cell>
          <cell r="AD37">
            <v>49</v>
          </cell>
          <cell r="AE37">
            <v>80</v>
          </cell>
          <cell r="AF37">
            <v>0</v>
          </cell>
          <cell r="AG37">
            <v>5</v>
          </cell>
          <cell r="AH37">
            <v>4</v>
          </cell>
          <cell r="AI37">
            <v>20</v>
          </cell>
          <cell r="AJ37">
            <v>38</v>
          </cell>
          <cell r="AK37">
            <v>62</v>
          </cell>
          <cell r="AL37">
            <v>0</v>
          </cell>
          <cell r="AM37">
            <v>3.5</v>
          </cell>
          <cell r="AN37">
            <v>12</v>
          </cell>
          <cell r="AO37">
            <v>20</v>
          </cell>
          <cell r="AP37">
            <v>43</v>
          </cell>
          <cell r="AQ37">
            <v>75</v>
          </cell>
          <cell r="AR37">
            <v>0</v>
          </cell>
          <cell r="AS37">
            <v>4</v>
          </cell>
          <cell r="AT37">
            <v>13</v>
          </cell>
          <cell r="AU37">
            <v>20</v>
          </cell>
          <cell r="AV37">
            <v>50</v>
          </cell>
          <cell r="AW37">
            <v>83</v>
          </cell>
          <cell r="AX37">
            <v>0</v>
          </cell>
          <cell r="AY37">
            <v>5</v>
          </cell>
          <cell r="AZ37">
            <v>5</v>
          </cell>
          <cell r="BA37">
            <v>14</v>
          </cell>
          <cell r="BB37">
            <v>24</v>
          </cell>
          <cell r="BC37">
            <v>43</v>
          </cell>
          <cell r="BD37">
            <v>0</v>
          </cell>
          <cell r="BE37">
            <v>5</v>
          </cell>
          <cell r="BF37">
            <v>30.5</v>
          </cell>
          <cell r="BG37">
            <v>4.3571428571428568</v>
          </cell>
          <cell r="BH37" t="str">
            <v>BETTER</v>
          </cell>
          <cell r="BI37">
            <v>546</v>
          </cell>
          <cell r="BJ37">
            <v>40</v>
          </cell>
        </row>
        <row r="38">
          <cell r="B38">
            <v>74</v>
          </cell>
          <cell r="C38" t="str">
            <v xml:space="preserve">ABDULLAH AL RIFAT </v>
          </cell>
          <cell r="D38" t="str">
            <v>MD.MASUD RANA</v>
          </cell>
          <cell r="E38" t="str">
            <v>ROMANA AKTER</v>
          </cell>
          <cell r="F38">
            <v>18</v>
          </cell>
          <cell r="G38">
            <v>20</v>
          </cell>
          <cell r="H38">
            <v>58</v>
          </cell>
          <cell r="I38">
            <v>96</v>
          </cell>
          <cell r="J38">
            <v>9</v>
          </cell>
          <cell r="K38">
            <v>10</v>
          </cell>
          <cell r="L38">
            <v>29</v>
          </cell>
          <cell r="M38">
            <v>48</v>
          </cell>
          <cell r="N38">
            <v>144</v>
          </cell>
          <cell r="O38">
            <v>0</v>
          </cell>
          <cell r="P38">
            <v>5</v>
          </cell>
          <cell r="Q38">
            <v>11</v>
          </cell>
          <cell r="R38">
            <v>20</v>
          </cell>
          <cell r="S38">
            <v>46</v>
          </cell>
          <cell r="T38">
            <v>77</v>
          </cell>
          <cell r="U38">
            <v>9</v>
          </cell>
          <cell r="V38">
            <v>8</v>
          </cell>
          <cell r="W38">
            <v>16</v>
          </cell>
          <cell r="X38">
            <v>33</v>
          </cell>
          <cell r="Y38">
            <v>110</v>
          </cell>
          <cell r="Z38">
            <v>0</v>
          </cell>
          <cell r="AA38">
            <v>4</v>
          </cell>
          <cell r="AB38">
            <v>12</v>
          </cell>
          <cell r="AC38">
            <v>20</v>
          </cell>
          <cell r="AD38">
            <v>50</v>
          </cell>
          <cell r="AE38">
            <v>82</v>
          </cell>
          <cell r="AF38">
            <v>0</v>
          </cell>
          <cell r="AG38">
            <v>5</v>
          </cell>
          <cell r="AH38">
            <v>20</v>
          </cell>
          <cell r="AI38">
            <v>20</v>
          </cell>
          <cell r="AJ38">
            <v>60</v>
          </cell>
          <cell r="AK38">
            <v>100</v>
          </cell>
          <cell r="AL38">
            <v>0</v>
          </cell>
          <cell r="AM38">
            <v>5</v>
          </cell>
          <cell r="AN38">
            <v>17</v>
          </cell>
          <cell r="AO38">
            <v>20</v>
          </cell>
          <cell r="AP38">
            <v>52</v>
          </cell>
          <cell r="AQ38">
            <v>89</v>
          </cell>
          <cell r="AR38">
            <v>0</v>
          </cell>
          <cell r="AS38">
            <v>5</v>
          </cell>
          <cell r="AT38">
            <v>19</v>
          </cell>
          <cell r="AU38">
            <v>20</v>
          </cell>
          <cell r="AV38">
            <v>58</v>
          </cell>
          <cell r="AW38">
            <v>97</v>
          </cell>
          <cell r="AX38">
            <v>0</v>
          </cell>
          <cell r="AY38">
            <v>5</v>
          </cell>
          <cell r="AZ38">
            <v>5</v>
          </cell>
          <cell r="BA38">
            <v>16</v>
          </cell>
          <cell r="BB38">
            <v>27</v>
          </cell>
          <cell r="BC38">
            <v>48</v>
          </cell>
          <cell r="BD38">
            <v>0</v>
          </cell>
          <cell r="BE38">
            <v>5</v>
          </cell>
          <cell r="BF38">
            <v>34</v>
          </cell>
          <cell r="BG38">
            <v>4.8571428571428568</v>
          </cell>
          <cell r="BH38" t="str">
            <v>BETTER</v>
          </cell>
          <cell r="BI38">
            <v>670</v>
          </cell>
          <cell r="BJ38">
            <v>9</v>
          </cell>
        </row>
        <row r="39">
          <cell r="B39">
            <v>76</v>
          </cell>
          <cell r="C39" t="str">
            <v>NAFIZ AFNAN KHAN</v>
          </cell>
          <cell r="D39" t="str">
            <v>HARUN-OR-RASHID</v>
          </cell>
          <cell r="E39" t="str">
            <v>TASLIMA KHAN</v>
          </cell>
          <cell r="F39">
            <v>15</v>
          </cell>
          <cell r="G39">
            <v>20</v>
          </cell>
          <cell r="H39">
            <v>46</v>
          </cell>
          <cell r="I39">
            <v>81</v>
          </cell>
          <cell r="J39">
            <v>8</v>
          </cell>
          <cell r="K39">
            <v>10</v>
          </cell>
          <cell r="L39">
            <v>29</v>
          </cell>
          <cell r="M39">
            <v>47</v>
          </cell>
          <cell r="N39">
            <v>128</v>
          </cell>
          <cell r="O39">
            <v>0</v>
          </cell>
          <cell r="P39">
            <v>5</v>
          </cell>
          <cell r="Q39">
            <v>0</v>
          </cell>
          <cell r="R39">
            <v>18</v>
          </cell>
          <cell r="S39">
            <v>36</v>
          </cell>
          <cell r="T39">
            <v>54</v>
          </cell>
          <cell r="U39">
            <v>0</v>
          </cell>
          <cell r="V39">
            <v>8</v>
          </cell>
          <cell r="W39">
            <v>18</v>
          </cell>
          <cell r="X39">
            <v>26</v>
          </cell>
          <cell r="Y39">
            <v>80</v>
          </cell>
          <cell r="Z39">
            <v>0</v>
          </cell>
          <cell r="AA39">
            <v>3</v>
          </cell>
          <cell r="AB39">
            <v>0</v>
          </cell>
          <cell r="AC39">
            <v>20</v>
          </cell>
          <cell r="AD39">
            <v>52</v>
          </cell>
          <cell r="AE39">
            <v>72</v>
          </cell>
          <cell r="AF39">
            <v>0</v>
          </cell>
          <cell r="AG39">
            <v>4</v>
          </cell>
          <cell r="AH39">
            <v>19</v>
          </cell>
          <cell r="AI39">
            <v>20</v>
          </cell>
          <cell r="AJ39">
            <v>53</v>
          </cell>
          <cell r="AK39">
            <v>92</v>
          </cell>
          <cell r="AL39">
            <v>0</v>
          </cell>
          <cell r="AM39">
            <v>5</v>
          </cell>
          <cell r="AN39">
            <v>14</v>
          </cell>
          <cell r="AO39">
            <v>20</v>
          </cell>
          <cell r="AP39">
            <v>37</v>
          </cell>
          <cell r="AQ39">
            <v>71</v>
          </cell>
          <cell r="AR39">
            <v>0</v>
          </cell>
          <cell r="AS39">
            <v>4</v>
          </cell>
          <cell r="AT39">
            <v>0</v>
          </cell>
          <cell r="AU39">
            <v>20</v>
          </cell>
          <cell r="AV39">
            <v>52</v>
          </cell>
          <cell r="AW39">
            <v>72</v>
          </cell>
          <cell r="AX39">
            <v>0</v>
          </cell>
          <cell r="AY39">
            <v>4</v>
          </cell>
          <cell r="AZ39">
            <v>0</v>
          </cell>
          <cell r="BA39">
            <v>14</v>
          </cell>
          <cell r="BB39">
            <v>26</v>
          </cell>
          <cell r="BC39">
            <v>40</v>
          </cell>
          <cell r="BD39">
            <v>0</v>
          </cell>
          <cell r="BE39">
            <v>5</v>
          </cell>
          <cell r="BF39">
            <v>30</v>
          </cell>
          <cell r="BG39">
            <v>4.2857142857142856</v>
          </cell>
          <cell r="BH39" t="str">
            <v>BETTER</v>
          </cell>
          <cell r="BI39">
            <v>555</v>
          </cell>
          <cell r="BJ39">
            <v>28</v>
          </cell>
        </row>
        <row r="40">
          <cell r="B40">
            <v>81</v>
          </cell>
          <cell r="C40" t="str">
            <v>TASNIMUR RAHMAN JAIN</v>
          </cell>
          <cell r="D40" t="str">
            <v xml:space="preserve">MD.MOJIBUR RAHMAN </v>
          </cell>
          <cell r="E40" t="str">
            <v>JOHORA AKTER</v>
          </cell>
          <cell r="F40">
            <v>18</v>
          </cell>
          <cell r="G40">
            <v>18</v>
          </cell>
          <cell r="H40">
            <v>44</v>
          </cell>
          <cell r="I40">
            <v>80</v>
          </cell>
          <cell r="J40">
            <v>7</v>
          </cell>
          <cell r="K40">
            <v>10</v>
          </cell>
          <cell r="L40">
            <v>24</v>
          </cell>
          <cell r="M40">
            <v>41</v>
          </cell>
          <cell r="N40">
            <v>121</v>
          </cell>
          <cell r="O40">
            <v>0</v>
          </cell>
          <cell r="P40">
            <v>5</v>
          </cell>
          <cell r="Q40">
            <v>13</v>
          </cell>
          <cell r="R40">
            <v>20</v>
          </cell>
          <cell r="S40">
            <v>48</v>
          </cell>
          <cell r="T40">
            <v>81</v>
          </cell>
          <cell r="U40">
            <v>1</v>
          </cell>
          <cell r="V40">
            <v>10</v>
          </cell>
          <cell r="W40">
            <v>18</v>
          </cell>
          <cell r="X40">
            <v>29</v>
          </cell>
          <cell r="Y40">
            <v>110</v>
          </cell>
          <cell r="Z40">
            <v>0</v>
          </cell>
          <cell r="AA40">
            <v>4</v>
          </cell>
          <cell r="AB40">
            <v>8</v>
          </cell>
          <cell r="AC40">
            <v>20</v>
          </cell>
          <cell r="AD40">
            <v>56</v>
          </cell>
          <cell r="AE40">
            <v>84</v>
          </cell>
          <cell r="AF40">
            <v>0</v>
          </cell>
          <cell r="AG40">
            <v>5</v>
          </cell>
          <cell r="AH40">
            <v>0</v>
          </cell>
          <cell r="AI40">
            <v>15</v>
          </cell>
          <cell r="AJ40">
            <v>20</v>
          </cell>
          <cell r="AK40">
            <v>35</v>
          </cell>
          <cell r="AL40">
            <v>0</v>
          </cell>
          <cell r="AM40" t="str">
            <v>F</v>
          </cell>
          <cell r="AN40">
            <v>14</v>
          </cell>
          <cell r="AO40">
            <v>20</v>
          </cell>
          <cell r="AP40">
            <v>43</v>
          </cell>
          <cell r="AQ40">
            <v>77</v>
          </cell>
          <cell r="AR40">
            <v>0</v>
          </cell>
          <cell r="AS40">
            <v>4</v>
          </cell>
          <cell r="AT40">
            <v>19</v>
          </cell>
          <cell r="AU40">
            <v>9</v>
          </cell>
          <cell r="AV40">
            <v>48</v>
          </cell>
          <cell r="AW40">
            <v>76</v>
          </cell>
          <cell r="AX40">
            <v>0</v>
          </cell>
          <cell r="AY40">
            <v>4</v>
          </cell>
          <cell r="AZ40">
            <v>5</v>
          </cell>
          <cell r="BA40">
            <v>13</v>
          </cell>
          <cell r="BB40">
            <v>25</v>
          </cell>
          <cell r="BC40">
            <v>43</v>
          </cell>
          <cell r="BD40">
            <v>0</v>
          </cell>
          <cell r="BE40">
            <v>5</v>
          </cell>
          <cell r="BF40" t="str">
            <v>F</v>
          </cell>
          <cell r="BG40" t="str">
            <v>F</v>
          </cell>
          <cell r="BH40" t="str">
            <v>NEED TO PROGRESS</v>
          </cell>
          <cell r="BI40">
            <v>546</v>
          </cell>
          <cell r="BJ40">
            <v>21</v>
          </cell>
        </row>
        <row r="41">
          <cell r="B41">
            <v>82</v>
          </cell>
          <cell r="C41" t="str">
            <v xml:space="preserve">RANI AKTER SHIFA </v>
          </cell>
          <cell r="D41" t="str">
            <v>MA RAKIB HAWLADER</v>
          </cell>
          <cell r="E41" t="str">
            <v>SHEOULI AKTER JHARNA</v>
          </cell>
          <cell r="F41">
            <v>16</v>
          </cell>
          <cell r="G41">
            <v>20</v>
          </cell>
          <cell r="H41">
            <v>50</v>
          </cell>
          <cell r="I41">
            <v>86</v>
          </cell>
          <cell r="J41">
            <v>8</v>
          </cell>
          <cell r="K41">
            <v>10</v>
          </cell>
          <cell r="L41">
            <v>26</v>
          </cell>
          <cell r="M41">
            <v>44</v>
          </cell>
          <cell r="N41">
            <v>130</v>
          </cell>
          <cell r="O41">
            <v>0</v>
          </cell>
          <cell r="P41">
            <v>5</v>
          </cell>
          <cell r="Q41">
            <v>9</v>
          </cell>
          <cell r="R41">
            <v>20</v>
          </cell>
          <cell r="S41">
            <v>27</v>
          </cell>
          <cell r="T41">
            <v>56</v>
          </cell>
          <cell r="U41">
            <v>5</v>
          </cell>
          <cell r="V41">
            <v>8</v>
          </cell>
          <cell r="W41">
            <v>10</v>
          </cell>
          <cell r="X41">
            <v>23</v>
          </cell>
          <cell r="Y41">
            <v>79</v>
          </cell>
          <cell r="Z41">
            <v>0</v>
          </cell>
          <cell r="AA41">
            <v>3</v>
          </cell>
          <cell r="AB41">
            <v>12</v>
          </cell>
          <cell r="AC41">
            <v>20</v>
          </cell>
          <cell r="AD41">
            <v>35</v>
          </cell>
          <cell r="AE41">
            <v>67</v>
          </cell>
          <cell r="AF41">
            <v>0</v>
          </cell>
          <cell r="AG41">
            <v>3.5</v>
          </cell>
          <cell r="AH41">
            <v>19</v>
          </cell>
          <cell r="AI41">
            <v>20</v>
          </cell>
          <cell r="AJ41">
            <v>49</v>
          </cell>
          <cell r="AK41">
            <v>88</v>
          </cell>
          <cell r="AL41">
            <v>0</v>
          </cell>
          <cell r="AM41">
            <v>5</v>
          </cell>
          <cell r="AN41">
            <v>17</v>
          </cell>
          <cell r="AO41">
            <v>20</v>
          </cell>
          <cell r="AP41">
            <v>43</v>
          </cell>
          <cell r="AQ41">
            <v>80</v>
          </cell>
          <cell r="AR41">
            <v>0</v>
          </cell>
          <cell r="AS41">
            <v>5</v>
          </cell>
          <cell r="AT41">
            <v>19</v>
          </cell>
          <cell r="AU41">
            <v>20</v>
          </cell>
          <cell r="AV41">
            <v>56</v>
          </cell>
          <cell r="AW41">
            <v>95</v>
          </cell>
          <cell r="AX41">
            <v>0</v>
          </cell>
          <cell r="AY41">
            <v>5</v>
          </cell>
          <cell r="AZ41">
            <v>5</v>
          </cell>
          <cell r="BA41">
            <v>14</v>
          </cell>
          <cell r="BB41">
            <v>27</v>
          </cell>
          <cell r="BC41">
            <v>46</v>
          </cell>
          <cell r="BD41">
            <v>0</v>
          </cell>
          <cell r="BE41">
            <v>5</v>
          </cell>
          <cell r="BF41">
            <v>31.5</v>
          </cell>
          <cell r="BG41">
            <v>4.5</v>
          </cell>
          <cell r="BH41" t="str">
            <v>BETTER</v>
          </cell>
          <cell r="BI41">
            <v>585</v>
          </cell>
          <cell r="BJ41">
            <v>56</v>
          </cell>
        </row>
        <row r="42">
          <cell r="B42">
            <v>84</v>
          </cell>
          <cell r="C42" t="str">
            <v xml:space="preserve">MD.TANZIMUL ISLAM TASIN </v>
          </cell>
          <cell r="D42" t="str">
            <v>MD.SAIDUR RAHMAN</v>
          </cell>
          <cell r="E42" t="str">
            <v>HUSNARRA AKTER RITA</v>
          </cell>
          <cell r="F42">
            <v>14</v>
          </cell>
          <cell r="G42">
            <v>20</v>
          </cell>
          <cell r="H42">
            <v>43</v>
          </cell>
          <cell r="I42">
            <v>77</v>
          </cell>
          <cell r="J42">
            <v>8</v>
          </cell>
          <cell r="K42">
            <v>10</v>
          </cell>
          <cell r="L42">
            <v>25</v>
          </cell>
          <cell r="M42">
            <v>43</v>
          </cell>
          <cell r="N42">
            <v>120</v>
          </cell>
          <cell r="O42">
            <v>0</v>
          </cell>
          <cell r="P42">
            <v>5</v>
          </cell>
          <cell r="Q42">
            <v>11</v>
          </cell>
          <cell r="R42">
            <v>20</v>
          </cell>
          <cell r="S42">
            <v>32</v>
          </cell>
          <cell r="T42">
            <v>63</v>
          </cell>
          <cell r="U42">
            <v>6</v>
          </cell>
          <cell r="V42">
            <v>8</v>
          </cell>
          <cell r="W42">
            <v>8</v>
          </cell>
          <cell r="X42">
            <v>22</v>
          </cell>
          <cell r="Y42">
            <v>85</v>
          </cell>
          <cell r="Z42">
            <v>0</v>
          </cell>
          <cell r="AA42">
            <v>3</v>
          </cell>
          <cell r="AB42">
            <v>11</v>
          </cell>
          <cell r="AC42">
            <v>20</v>
          </cell>
          <cell r="AD42">
            <v>59</v>
          </cell>
          <cell r="AE42">
            <v>90</v>
          </cell>
          <cell r="AF42">
            <v>0</v>
          </cell>
          <cell r="AG42">
            <v>5</v>
          </cell>
          <cell r="AH42">
            <v>15</v>
          </cell>
          <cell r="AI42">
            <v>20</v>
          </cell>
          <cell r="AJ42">
            <v>31</v>
          </cell>
          <cell r="AK42">
            <v>66</v>
          </cell>
          <cell r="AL42">
            <v>0</v>
          </cell>
          <cell r="AM42">
            <v>3.5</v>
          </cell>
          <cell r="AN42">
            <v>11</v>
          </cell>
          <cell r="AO42">
            <v>20</v>
          </cell>
          <cell r="AP42">
            <v>41</v>
          </cell>
          <cell r="AQ42">
            <v>72</v>
          </cell>
          <cell r="AR42">
            <v>0</v>
          </cell>
          <cell r="AS42">
            <v>4</v>
          </cell>
          <cell r="AT42">
            <v>15</v>
          </cell>
          <cell r="AU42">
            <v>20</v>
          </cell>
          <cell r="AV42">
            <v>51</v>
          </cell>
          <cell r="AW42">
            <v>86</v>
          </cell>
          <cell r="AX42">
            <v>0</v>
          </cell>
          <cell r="AY42">
            <v>5</v>
          </cell>
          <cell r="AZ42">
            <v>5</v>
          </cell>
          <cell r="BA42">
            <v>13</v>
          </cell>
          <cell r="BB42">
            <v>20</v>
          </cell>
          <cell r="BC42">
            <v>38</v>
          </cell>
          <cell r="BD42">
            <v>0</v>
          </cell>
          <cell r="BE42">
            <v>4</v>
          </cell>
          <cell r="BF42">
            <v>29.5</v>
          </cell>
          <cell r="BG42">
            <v>4.2142857142857144</v>
          </cell>
          <cell r="BH42" t="str">
            <v>BETTER</v>
          </cell>
          <cell r="BI42">
            <v>557</v>
          </cell>
          <cell r="BJ42">
            <v>31</v>
          </cell>
        </row>
        <row r="43">
          <cell r="B43">
            <v>86</v>
          </cell>
          <cell r="C43" t="str">
            <v>MAIMONA AKTHER MAHI</v>
          </cell>
          <cell r="D43" t="str">
            <v>MD. MOSTAFA KAMAL</v>
          </cell>
          <cell r="E43" t="str">
            <v>RUMA BEGUM</v>
          </cell>
          <cell r="F43">
            <v>14</v>
          </cell>
          <cell r="G43">
            <v>20</v>
          </cell>
          <cell r="H43">
            <v>45</v>
          </cell>
          <cell r="I43">
            <v>79</v>
          </cell>
          <cell r="J43">
            <v>7</v>
          </cell>
          <cell r="K43">
            <v>10</v>
          </cell>
          <cell r="L43">
            <v>25</v>
          </cell>
          <cell r="M43">
            <v>42</v>
          </cell>
          <cell r="N43">
            <v>121</v>
          </cell>
          <cell r="O43">
            <v>0</v>
          </cell>
          <cell r="P43">
            <v>5</v>
          </cell>
          <cell r="Q43">
            <v>12</v>
          </cell>
          <cell r="R43">
            <v>20</v>
          </cell>
          <cell r="S43">
            <v>31</v>
          </cell>
          <cell r="T43">
            <v>63</v>
          </cell>
          <cell r="U43">
            <v>7</v>
          </cell>
          <cell r="V43">
            <v>8</v>
          </cell>
          <cell r="W43">
            <v>13</v>
          </cell>
          <cell r="X43">
            <v>28</v>
          </cell>
          <cell r="Y43">
            <v>91</v>
          </cell>
          <cell r="Z43">
            <v>0</v>
          </cell>
          <cell r="AA43">
            <v>3.5</v>
          </cell>
          <cell r="AB43">
            <v>10</v>
          </cell>
          <cell r="AC43">
            <v>20</v>
          </cell>
          <cell r="AD43">
            <v>45</v>
          </cell>
          <cell r="AE43">
            <v>75</v>
          </cell>
          <cell r="AF43">
            <v>0</v>
          </cell>
          <cell r="AG43">
            <v>4</v>
          </cell>
          <cell r="AH43">
            <v>18</v>
          </cell>
          <cell r="AI43">
            <v>20</v>
          </cell>
          <cell r="AJ43">
            <v>47</v>
          </cell>
          <cell r="AK43">
            <v>85</v>
          </cell>
          <cell r="AL43">
            <v>0</v>
          </cell>
          <cell r="AM43">
            <v>5</v>
          </cell>
          <cell r="AN43">
            <v>15</v>
          </cell>
          <cell r="AO43">
            <v>20</v>
          </cell>
          <cell r="AP43">
            <v>44</v>
          </cell>
          <cell r="AQ43">
            <v>79</v>
          </cell>
          <cell r="AR43">
            <v>0</v>
          </cell>
          <cell r="AS43">
            <v>4</v>
          </cell>
          <cell r="AT43">
            <v>20</v>
          </cell>
          <cell r="AU43">
            <v>20</v>
          </cell>
          <cell r="AV43">
            <v>51</v>
          </cell>
          <cell r="AW43">
            <v>91</v>
          </cell>
          <cell r="AX43">
            <v>0</v>
          </cell>
          <cell r="AY43">
            <v>5</v>
          </cell>
          <cell r="AZ43">
            <v>5</v>
          </cell>
          <cell r="BA43">
            <v>14</v>
          </cell>
          <cell r="BB43">
            <v>23</v>
          </cell>
          <cell r="BC43">
            <v>42</v>
          </cell>
          <cell r="BD43">
            <v>0</v>
          </cell>
          <cell r="BE43">
            <v>5</v>
          </cell>
          <cell r="BF43">
            <v>31.5</v>
          </cell>
          <cell r="BG43">
            <v>4.5</v>
          </cell>
          <cell r="BH43" t="str">
            <v>BETTER</v>
          </cell>
          <cell r="BI43">
            <v>584</v>
          </cell>
          <cell r="BJ43">
            <v>39</v>
          </cell>
        </row>
        <row r="44">
          <cell r="B44">
            <v>88</v>
          </cell>
          <cell r="C44" t="str">
            <v>RAHAT AKON</v>
          </cell>
          <cell r="D44" t="str">
            <v>SOMRAT AKON</v>
          </cell>
          <cell r="E44" t="str">
            <v>ROJINA AKTHER</v>
          </cell>
          <cell r="F44">
            <v>18</v>
          </cell>
          <cell r="G44">
            <v>20</v>
          </cell>
          <cell r="H44">
            <v>50</v>
          </cell>
          <cell r="I44">
            <v>88</v>
          </cell>
          <cell r="J44">
            <v>7</v>
          </cell>
          <cell r="K44">
            <v>10</v>
          </cell>
          <cell r="L44">
            <v>24</v>
          </cell>
          <cell r="M44">
            <v>41</v>
          </cell>
          <cell r="N44">
            <v>129</v>
          </cell>
          <cell r="O44">
            <v>0</v>
          </cell>
          <cell r="P44">
            <v>5</v>
          </cell>
          <cell r="Q44">
            <v>11</v>
          </cell>
          <cell r="R44">
            <v>20</v>
          </cell>
          <cell r="S44">
            <v>39</v>
          </cell>
          <cell r="T44">
            <v>70</v>
          </cell>
          <cell r="U44">
            <v>4</v>
          </cell>
          <cell r="V44">
            <v>8</v>
          </cell>
          <cell r="W44">
            <v>9</v>
          </cell>
          <cell r="X44">
            <v>21</v>
          </cell>
          <cell r="Y44">
            <v>91</v>
          </cell>
          <cell r="Z44">
            <v>0</v>
          </cell>
          <cell r="AA44">
            <v>3.5</v>
          </cell>
          <cell r="AB44">
            <v>14</v>
          </cell>
          <cell r="AC44">
            <v>20</v>
          </cell>
          <cell r="AD44">
            <v>44</v>
          </cell>
          <cell r="AE44">
            <v>78</v>
          </cell>
          <cell r="AF44">
            <v>0</v>
          </cell>
          <cell r="AG44">
            <v>4</v>
          </cell>
          <cell r="AH44">
            <v>20</v>
          </cell>
          <cell r="AI44">
            <v>20</v>
          </cell>
          <cell r="AJ44">
            <v>42</v>
          </cell>
          <cell r="AK44">
            <v>82</v>
          </cell>
          <cell r="AL44">
            <v>0</v>
          </cell>
          <cell r="AM44">
            <v>5</v>
          </cell>
          <cell r="AN44">
            <v>15</v>
          </cell>
          <cell r="AO44">
            <v>20</v>
          </cell>
          <cell r="AP44">
            <v>46</v>
          </cell>
          <cell r="AQ44">
            <v>81</v>
          </cell>
          <cell r="AR44">
            <v>0</v>
          </cell>
          <cell r="AS44">
            <v>5</v>
          </cell>
          <cell r="AT44">
            <v>16</v>
          </cell>
          <cell r="AU44">
            <v>20</v>
          </cell>
          <cell r="AV44">
            <v>53</v>
          </cell>
          <cell r="AW44">
            <v>89</v>
          </cell>
          <cell r="AX44">
            <v>0</v>
          </cell>
          <cell r="AY44">
            <v>5</v>
          </cell>
          <cell r="AZ44">
            <v>5</v>
          </cell>
          <cell r="BA44">
            <v>13</v>
          </cell>
          <cell r="BB44">
            <v>27</v>
          </cell>
          <cell r="BC44">
            <v>45</v>
          </cell>
          <cell r="BD44">
            <v>0</v>
          </cell>
          <cell r="BE44">
            <v>5</v>
          </cell>
          <cell r="BF44">
            <v>32.5</v>
          </cell>
          <cell r="BG44">
            <v>4.6428571428571432</v>
          </cell>
          <cell r="BH44" t="str">
            <v>BETTER</v>
          </cell>
          <cell r="BI44">
            <v>595</v>
          </cell>
          <cell r="BJ44">
            <v>44</v>
          </cell>
        </row>
        <row r="45">
          <cell r="B45">
            <v>92</v>
          </cell>
          <cell r="C45" t="str">
            <v xml:space="preserve"> AMINUL HAQUE AL AMIN RAJ</v>
          </cell>
          <cell r="D45" t="str">
            <v>MONIRUL ISLAM</v>
          </cell>
          <cell r="E45" t="str">
            <v>AMINA BEGUM</v>
          </cell>
          <cell r="F45">
            <v>14</v>
          </cell>
          <cell r="G45">
            <v>20</v>
          </cell>
          <cell r="H45">
            <v>47</v>
          </cell>
          <cell r="I45">
            <v>81</v>
          </cell>
          <cell r="J45">
            <v>8</v>
          </cell>
          <cell r="K45">
            <v>10</v>
          </cell>
          <cell r="L45">
            <v>24</v>
          </cell>
          <cell r="M45">
            <v>42</v>
          </cell>
          <cell r="N45">
            <v>123</v>
          </cell>
          <cell r="O45">
            <v>0</v>
          </cell>
          <cell r="P45">
            <v>5</v>
          </cell>
          <cell r="Q45">
            <v>10</v>
          </cell>
          <cell r="R45">
            <v>20</v>
          </cell>
          <cell r="S45">
            <v>30</v>
          </cell>
          <cell r="T45">
            <v>60</v>
          </cell>
          <cell r="U45">
            <v>6</v>
          </cell>
          <cell r="V45">
            <v>8</v>
          </cell>
          <cell r="W45">
            <v>8</v>
          </cell>
          <cell r="X45">
            <v>22</v>
          </cell>
          <cell r="Y45">
            <v>82</v>
          </cell>
          <cell r="Z45">
            <v>0</v>
          </cell>
          <cell r="AA45">
            <v>3</v>
          </cell>
          <cell r="AB45">
            <v>15</v>
          </cell>
          <cell r="AC45">
            <v>20</v>
          </cell>
          <cell r="AD45">
            <v>49</v>
          </cell>
          <cell r="AE45">
            <v>84</v>
          </cell>
          <cell r="AF45">
            <v>0</v>
          </cell>
          <cell r="AG45">
            <v>5</v>
          </cell>
          <cell r="AH45">
            <v>17</v>
          </cell>
          <cell r="AI45">
            <v>20</v>
          </cell>
          <cell r="AJ45">
            <v>40</v>
          </cell>
          <cell r="AK45">
            <v>77</v>
          </cell>
          <cell r="AL45">
            <v>0</v>
          </cell>
          <cell r="AM45">
            <v>4</v>
          </cell>
          <cell r="AN45">
            <v>15</v>
          </cell>
          <cell r="AO45">
            <v>20</v>
          </cell>
          <cell r="AP45">
            <v>49</v>
          </cell>
          <cell r="AQ45">
            <v>84</v>
          </cell>
          <cell r="AR45">
            <v>0</v>
          </cell>
          <cell r="AS45">
            <v>5</v>
          </cell>
          <cell r="AT45">
            <v>15</v>
          </cell>
          <cell r="AU45">
            <v>20</v>
          </cell>
          <cell r="AV45">
            <v>56</v>
          </cell>
          <cell r="AW45">
            <v>91</v>
          </cell>
          <cell r="AX45">
            <v>0</v>
          </cell>
          <cell r="AY45">
            <v>5</v>
          </cell>
          <cell r="AZ45">
            <v>5</v>
          </cell>
          <cell r="BA45">
            <v>14</v>
          </cell>
          <cell r="BB45">
            <v>20</v>
          </cell>
          <cell r="BC45">
            <v>39</v>
          </cell>
          <cell r="BD45">
            <v>0</v>
          </cell>
          <cell r="BE45">
            <v>4</v>
          </cell>
          <cell r="BF45">
            <v>31</v>
          </cell>
          <cell r="BG45">
            <v>4.4285714285714288</v>
          </cell>
          <cell r="BH45" t="str">
            <v>BETTER</v>
          </cell>
          <cell r="BI45">
            <v>580</v>
          </cell>
          <cell r="BJ45">
            <v>60</v>
          </cell>
        </row>
        <row r="46">
          <cell r="B46">
            <v>93</v>
          </cell>
          <cell r="C46" t="str">
            <v>ABU SAJJAD</v>
          </cell>
          <cell r="D46" t="str">
            <v>MOHAMMAD SHAHED</v>
          </cell>
          <cell r="E46" t="str">
            <v>FERDOUSI AKTER</v>
          </cell>
          <cell r="F46">
            <v>19</v>
          </cell>
          <cell r="G46">
            <v>20</v>
          </cell>
          <cell r="H46">
            <v>57</v>
          </cell>
          <cell r="I46">
            <v>96</v>
          </cell>
          <cell r="J46">
            <v>8</v>
          </cell>
          <cell r="K46">
            <v>10</v>
          </cell>
          <cell r="L46">
            <v>25</v>
          </cell>
          <cell r="M46">
            <v>43</v>
          </cell>
          <cell r="N46">
            <v>139</v>
          </cell>
          <cell r="O46">
            <v>0</v>
          </cell>
          <cell r="P46">
            <v>5</v>
          </cell>
          <cell r="Q46">
            <v>15</v>
          </cell>
          <cell r="R46">
            <v>20</v>
          </cell>
          <cell r="S46">
            <v>47</v>
          </cell>
          <cell r="T46">
            <v>82</v>
          </cell>
          <cell r="U46">
            <v>0</v>
          </cell>
          <cell r="V46">
            <v>10</v>
          </cell>
          <cell r="W46">
            <v>17</v>
          </cell>
          <cell r="X46">
            <v>27</v>
          </cell>
          <cell r="Y46">
            <v>109</v>
          </cell>
          <cell r="Z46">
            <v>0</v>
          </cell>
          <cell r="AA46">
            <v>4</v>
          </cell>
          <cell r="AB46">
            <v>15</v>
          </cell>
          <cell r="AC46">
            <v>20</v>
          </cell>
          <cell r="AD46">
            <v>59</v>
          </cell>
          <cell r="AE46">
            <v>94</v>
          </cell>
          <cell r="AF46">
            <v>0</v>
          </cell>
          <cell r="AG46">
            <v>5</v>
          </cell>
          <cell r="AH46">
            <v>16</v>
          </cell>
          <cell r="AI46">
            <v>20</v>
          </cell>
          <cell r="AJ46">
            <v>46</v>
          </cell>
          <cell r="AK46">
            <v>82</v>
          </cell>
          <cell r="AL46">
            <v>0</v>
          </cell>
          <cell r="AM46">
            <v>5</v>
          </cell>
          <cell r="AN46">
            <v>14</v>
          </cell>
          <cell r="AO46">
            <v>20</v>
          </cell>
          <cell r="AP46">
            <v>51</v>
          </cell>
          <cell r="AQ46">
            <v>85</v>
          </cell>
          <cell r="AR46">
            <v>0</v>
          </cell>
          <cell r="AS46">
            <v>5</v>
          </cell>
          <cell r="AT46">
            <v>20</v>
          </cell>
          <cell r="AU46">
            <v>20</v>
          </cell>
          <cell r="AV46">
            <v>56</v>
          </cell>
          <cell r="AW46">
            <v>96</v>
          </cell>
          <cell r="AX46">
            <v>0</v>
          </cell>
          <cell r="AY46">
            <v>5</v>
          </cell>
          <cell r="AZ46">
            <v>5</v>
          </cell>
          <cell r="BA46">
            <v>14</v>
          </cell>
          <cell r="BB46">
            <v>23</v>
          </cell>
          <cell r="BC46">
            <v>42</v>
          </cell>
          <cell r="BD46">
            <v>0</v>
          </cell>
          <cell r="BE46">
            <v>5</v>
          </cell>
          <cell r="BF46">
            <v>34</v>
          </cell>
          <cell r="BG46">
            <v>4.8571428571428568</v>
          </cell>
          <cell r="BH46" t="str">
            <v>BETTER</v>
          </cell>
          <cell r="BI46">
            <v>647</v>
          </cell>
          <cell r="BJ46">
            <v>8</v>
          </cell>
        </row>
        <row r="47">
          <cell r="B47">
            <v>97</v>
          </cell>
          <cell r="C47" t="str">
            <v>SANJIDA JERIN</v>
          </cell>
          <cell r="D47" t="str">
            <v>ALAMGIR HOSSAIN</v>
          </cell>
          <cell r="E47" t="str">
            <v>MST.FATEMA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 t="str">
            <v>F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 t="str">
            <v>F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 t="str">
            <v>F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 t="str">
            <v>F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 t="str">
            <v>F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 t="str">
            <v>F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 t="str">
            <v>F</v>
          </cell>
          <cell r="BF47" t="str">
            <v>F</v>
          </cell>
          <cell r="BG47" t="str">
            <v>F</v>
          </cell>
          <cell r="BH47" t="str">
            <v>NEED TO PROGRESS</v>
          </cell>
          <cell r="BI47">
            <v>0</v>
          </cell>
          <cell r="BJ47" t="str">
            <v>F</v>
          </cell>
        </row>
        <row r="48">
          <cell r="B48">
            <v>98</v>
          </cell>
          <cell r="C48" t="str">
            <v>FATAMA KHANAM</v>
          </cell>
          <cell r="D48" t="str">
            <v>MD. FIROZ KHAN</v>
          </cell>
          <cell r="E48" t="str">
            <v>SHEULI BEGUM</v>
          </cell>
          <cell r="F48">
            <v>18</v>
          </cell>
          <cell r="G48">
            <v>20</v>
          </cell>
          <cell r="H48">
            <v>57</v>
          </cell>
          <cell r="I48">
            <v>95</v>
          </cell>
          <cell r="J48">
            <v>8</v>
          </cell>
          <cell r="K48">
            <v>10</v>
          </cell>
          <cell r="L48">
            <v>28</v>
          </cell>
          <cell r="M48">
            <v>46</v>
          </cell>
          <cell r="N48">
            <v>141</v>
          </cell>
          <cell r="O48">
            <v>0</v>
          </cell>
          <cell r="P48">
            <v>5</v>
          </cell>
          <cell r="Q48">
            <v>13</v>
          </cell>
          <cell r="R48">
            <v>20</v>
          </cell>
          <cell r="S48">
            <v>45</v>
          </cell>
          <cell r="T48">
            <v>78</v>
          </cell>
          <cell r="U48">
            <v>9</v>
          </cell>
          <cell r="V48">
            <v>8</v>
          </cell>
          <cell r="W48">
            <v>13</v>
          </cell>
          <cell r="X48">
            <v>30</v>
          </cell>
          <cell r="Y48">
            <v>108</v>
          </cell>
          <cell r="Z48">
            <v>0</v>
          </cell>
          <cell r="AA48">
            <v>4</v>
          </cell>
          <cell r="AB48">
            <v>15</v>
          </cell>
          <cell r="AC48">
            <v>20</v>
          </cell>
          <cell r="AD48">
            <v>54</v>
          </cell>
          <cell r="AE48">
            <v>89</v>
          </cell>
          <cell r="AF48">
            <v>0</v>
          </cell>
          <cell r="AG48">
            <v>5</v>
          </cell>
          <cell r="AH48">
            <v>20</v>
          </cell>
          <cell r="AI48">
            <v>20</v>
          </cell>
          <cell r="AJ48">
            <v>58</v>
          </cell>
          <cell r="AK48">
            <v>98</v>
          </cell>
          <cell r="AL48">
            <v>0</v>
          </cell>
          <cell r="AM48">
            <v>5</v>
          </cell>
          <cell r="AN48">
            <v>17</v>
          </cell>
          <cell r="AO48">
            <v>20</v>
          </cell>
          <cell r="AP48">
            <v>50</v>
          </cell>
          <cell r="AQ48">
            <v>87</v>
          </cell>
          <cell r="AR48">
            <v>0</v>
          </cell>
          <cell r="AS48">
            <v>5</v>
          </cell>
          <cell r="AT48">
            <v>20</v>
          </cell>
          <cell r="AU48">
            <v>20</v>
          </cell>
          <cell r="AV48">
            <v>58</v>
          </cell>
          <cell r="AW48">
            <v>98</v>
          </cell>
          <cell r="AX48">
            <v>0</v>
          </cell>
          <cell r="AY48">
            <v>5</v>
          </cell>
          <cell r="AZ48">
            <v>5</v>
          </cell>
          <cell r="BA48">
            <v>16</v>
          </cell>
          <cell r="BB48">
            <v>28</v>
          </cell>
          <cell r="BC48">
            <v>49</v>
          </cell>
          <cell r="BD48">
            <v>0</v>
          </cell>
          <cell r="BE48">
            <v>5</v>
          </cell>
          <cell r="BF48">
            <v>34</v>
          </cell>
          <cell r="BG48">
            <v>4.8571428571428568</v>
          </cell>
          <cell r="BH48" t="str">
            <v>BETTER</v>
          </cell>
          <cell r="BI48">
            <v>670</v>
          </cell>
          <cell r="BJ48">
            <v>1</v>
          </cell>
        </row>
        <row r="49">
          <cell r="B49">
            <v>101</v>
          </cell>
          <cell r="C49" t="str">
            <v>SADMAN AHMED RAFI</v>
          </cell>
          <cell r="D49" t="str">
            <v>MD.REHANUDDIHN</v>
          </cell>
          <cell r="E49" t="str">
            <v>MST.SHAIDA PERVIN</v>
          </cell>
          <cell r="F49">
            <v>17</v>
          </cell>
          <cell r="G49">
            <v>15</v>
          </cell>
          <cell r="H49">
            <v>57</v>
          </cell>
          <cell r="I49">
            <v>89</v>
          </cell>
          <cell r="J49">
            <v>9</v>
          </cell>
          <cell r="K49">
            <v>10</v>
          </cell>
          <cell r="L49">
            <v>21</v>
          </cell>
          <cell r="M49">
            <v>40</v>
          </cell>
          <cell r="N49">
            <v>129</v>
          </cell>
          <cell r="O49">
            <v>0</v>
          </cell>
          <cell r="P49">
            <v>5</v>
          </cell>
          <cell r="Q49">
            <v>18</v>
          </cell>
          <cell r="R49">
            <v>20</v>
          </cell>
          <cell r="S49">
            <v>54</v>
          </cell>
          <cell r="T49">
            <v>92</v>
          </cell>
          <cell r="U49">
            <v>6</v>
          </cell>
          <cell r="V49">
            <v>10</v>
          </cell>
          <cell r="W49">
            <v>25</v>
          </cell>
          <cell r="X49">
            <v>41</v>
          </cell>
          <cell r="Y49">
            <v>133</v>
          </cell>
          <cell r="Z49">
            <v>0</v>
          </cell>
          <cell r="AA49">
            <v>5</v>
          </cell>
          <cell r="AB49">
            <v>17</v>
          </cell>
          <cell r="AC49">
            <v>20</v>
          </cell>
          <cell r="AD49">
            <v>60</v>
          </cell>
          <cell r="AE49">
            <v>97</v>
          </cell>
          <cell r="AF49">
            <v>0</v>
          </cell>
          <cell r="AG49">
            <v>5</v>
          </cell>
          <cell r="AH49">
            <v>20</v>
          </cell>
          <cell r="AI49">
            <v>20</v>
          </cell>
          <cell r="AJ49">
            <v>36</v>
          </cell>
          <cell r="AK49">
            <v>76</v>
          </cell>
          <cell r="AL49">
            <v>0</v>
          </cell>
          <cell r="AM49">
            <v>4</v>
          </cell>
          <cell r="AN49">
            <v>13</v>
          </cell>
          <cell r="AO49">
            <v>20</v>
          </cell>
          <cell r="AP49">
            <v>52</v>
          </cell>
          <cell r="AQ49">
            <v>85</v>
          </cell>
          <cell r="AR49">
            <v>0</v>
          </cell>
          <cell r="AS49">
            <v>5</v>
          </cell>
          <cell r="AT49">
            <v>14</v>
          </cell>
          <cell r="AU49">
            <v>20</v>
          </cell>
          <cell r="AV49">
            <v>55</v>
          </cell>
          <cell r="AW49">
            <v>89</v>
          </cell>
          <cell r="AX49">
            <v>0</v>
          </cell>
          <cell r="AY49">
            <v>5</v>
          </cell>
          <cell r="AZ49">
            <v>5</v>
          </cell>
          <cell r="BA49">
            <v>14</v>
          </cell>
          <cell r="BB49">
            <v>28</v>
          </cell>
          <cell r="BC49">
            <v>47</v>
          </cell>
          <cell r="BD49">
            <v>0</v>
          </cell>
          <cell r="BE49">
            <v>5</v>
          </cell>
          <cell r="BF49">
            <v>34</v>
          </cell>
          <cell r="BG49">
            <v>4.8571428571428568</v>
          </cell>
          <cell r="BH49" t="str">
            <v>BETTER</v>
          </cell>
          <cell r="BI49">
            <v>656</v>
          </cell>
          <cell r="BJ49">
            <v>7</v>
          </cell>
        </row>
        <row r="50">
          <cell r="B50">
            <v>103</v>
          </cell>
          <cell r="C50" t="str">
            <v>MD.TAWHID TALUKDER</v>
          </cell>
          <cell r="D50" t="str">
            <v>MD.SANWAR TALUKDER</v>
          </cell>
          <cell r="E50" t="str">
            <v>NURA SABA</v>
          </cell>
          <cell r="F50">
            <v>19</v>
          </cell>
          <cell r="G50">
            <v>19</v>
          </cell>
          <cell r="H50">
            <v>58</v>
          </cell>
          <cell r="I50">
            <v>96</v>
          </cell>
          <cell r="J50">
            <v>10</v>
          </cell>
          <cell r="K50">
            <v>10</v>
          </cell>
          <cell r="L50">
            <v>26</v>
          </cell>
          <cell r="M50">
            <v>46</v>
          </cell>
          <cell r="N50">
            <v>142</v>
          </cell>
          <cell r="O50">
            <v>0</v>
          </cell>
          <cell r="P50">
            <v>5</v>
          </cell>
          <cell r="Q50">
            <v>17</v>
          </cell>
          <cell r="R50">
            <v>20</v>
          </cell>
          <cell r="S50">
            <v>54</v>
          </cell>
          <cell r="T50">
            <v>91</v>
          </cell>
          <cell r="U50">
            <v>4</v>
          </cell>
          <cell r="V50">
            <v>10</v>
          </cell>
          <cell r="W50">
            <v>24</v>
          </cell>
          <cell r="X50">
            <v>38</v>
          </cell>
          <cell r="Y50">
            <v>129</v>
          </cell>
          <cell r="Z50">
            <v>0</v>
          </cell>
          <cell r="AA50">
            <v>5</v>
          </cell>
          <cell r="AB50">
            <v>19</v>
          </cell>
          <cell r="AC50">
            <v>20</v>
          </cell>
          <cell r="AD50">
            <v>60</v>
          </cell>
          <cell r="AE50">
            <v>99</v>
          </cell>
          <cell r="AF50">
            <v>0</v>
          </cell>
          <cell r="AG50">
            <v>5</v>
          </cell>
          <cell r="AH50">
            <v>20</v>
          </cell>
          <cell r="AI50">
            <v>20</v>
          </cell>
          <cell r="AJ50">
            <v>60</v>
          </cell>
          <cell r="AK50">
            <v>100</v>
          </cell>
          <cell r="AL50">
            <v>0</v>
          </cell>
          <cell r="AM50">
            <v>5</v>
          </cell>
          <cell r="AN50">
            <v>17</v>
          </cell>
          <cell r="AO50">
            <v>20</v>
          </cell>
          <cell r="AP50">
            <v>55</v>
          </cell>
          <cell r="AQ50">
            <v>92</v>
          </cell>
          <cell r="AR50">
            <v>0</v>
          </cell>
          <cell r="AS50">
            <v>5</v>
          </cell>
          <cell r="AT50">
            <v>19</v>
          </cell>
          <cell r="AU50">
            <v>20</v>
          </cell>
          <cell r="AV50">
            <v>58</v>
          </cell>
          <cell r="AW50">
            <v>97</v>
          </cell>
          <cell r="AX50">
            <v>0</v>
          </cell>
          <cell r="AY50">
            <v>5</v>
          </cell>
          <cell r="AZ50">
            <v>5</v>
          </cell>
          <cell r="BA50">
            <v>15</v>
          </cell>
          <cell r="BB50">
            <v>29</v>
          </cell>
          <cell r="BC50">
            <v>49</v>
          </cell>
          <cell r="BD50">
            <v>0</v>
          </cell>
          <cell r="BE50">
            <v>5</v>
          </cell>
          <cell r="BF50">
            <v>35</v>
          </cell>
          <cell r="BG50">
            <v>5</v>
          </cell>
          <cell r="BH50" t="str">
            <v>BEST</v>
          </cell>
          <cell r="BI50">
            <v>708</v>
          </cell>
          <cell r="BJ50">
            <v>2</v>
          </cell>
        </row>
        <row r="51">
          <cell r="B51">
            <v>106</v>
          </cell>
          <cell r="C51" t="str">
            <v xml:space="preserve">SHAHARA KHANDAKER </v>
          </cell>
          <cell r="D51" t="str">
            <v>MD.KERAMOT ALI</v>
          </cell>
          <cell r="E51" t="str">
            <v>KHADIJA KHANDAKAR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 t="str">
            <v>F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 t="str">
            <v>F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 t="str">
            <v>F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 t="str">
            <v>F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 t="str">
            <v>F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 t="str">
            <v>F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 t="str">
            <v>F</v>
          </cell>
          <cell r="BF51" t="str">
            <v>F</v>
          </cell>
          <cell r="BG51" t="str">
            <v>F</v>
          </cell>
          <cell r="BH51" t="str">
            <v>NEED TO PROGRESS</v>
          </cell>
          <cell r="BI51">
            <v>0</v>
          </cell>
          <cell r="BJ51">
            <v>23</v>
          </cell>
        </row>
      </sheetData>
      <sheetData sheetId="1">
        <row r="5"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N5">
            <v>0</v>
          </cell>
        </row>
        <row r="6">
          <cell r="B6" t="str">
            <v>ROLL</v>
          </cell>
          <cell r="C6" t="str">
            <v>NAME</v>
          </cell>
          <cell r="D6" t="str">
            <v xml:space="preserve">FATHER NAME </v>
          </cell>
          <cell r="E6" t="str">
            <v xml:space="preserve">MOTHER NAME </v>
          </cell>
          <cell r="F6" t="str">
            <v>MT</v>
          </cell>
          <cell r="G6" t="str">
            <v>BAN-1</v>
          </cell>
          <cell r="H6">
            <v>0</v>
          </cell>
          <cell r="I6" t="str">
            <v xml:space="preserve">TOTAL </v>
          </cell>
          <cell r="J6" t="str">
            <v>MT</v>
          </cell>
          <cell r="K6" t="str">
            <v>ASS</v>
          </cell>
          <cell r="L6" t="str">
            <v>BAN-2</v>
          </cell>
          <cell r="M6" t="str">
            <v>TOTAL</v>
          </cell>
          <cell r="N6" t="str">
            <v>B1+B2</v>
          </cell>
          <cell r="O6" t="str">
            <v>HIGHESTMARK</v>
          </cell>
          <cell r="P6" t="str">
            <v>GP</v>
          </cell>
          <cell r="Q6" t="str">
            <v>MT</v>
          </cell>
          <cell r="R6" t="str">
            <v>ASS</v>
          </cell>
          <cell r="S6" t="str">
            <v>ENG-1ST</v>
          </cell>
          <cell r="T6" t="str">
            <v>TOTAL</v>
          </cell>
          <cell r="U6" t="str">
            <v>MT</v>
          </cell>
          <cell r="V6" t="str">
            <v>ASS</v>
          </cell>
          <cell r="W6" t="str">
            <v>ENG-2ND</v>
          </cell>
          <cell r="X6">
            <v>0</v>
          </cell>
          <cell r="Y6" t="str">
            <v>TOTAL</v>
          </cell>
          <cell r="Z6" t="str">
            <v>E1+E2</v>
          </cell>
          <cell r="AA6" t="str">
            <v>HIGHESTMARK</v>
          </cell>
          <cell r="AB6" t="str">
            <v>GP</v>
          </cell>
          <cell r="AC6" t="str">
            <v>MT</v>
          </cell>
          <cell r="AD6" t="str">
            <v>MATH</v>
          </cell>
          <cell r="AE6">
            <v>0</v>
          </cell>
          <cell r="AF6" t="str">
            <v>TOTAL</v>
          </cell>
          <cell r="AG6" t="str">
            <v>HIGHESTMARK</v>
          </cell>
          <cell r="AH6" t="str">
            <v>GP</v>
          </cell>
          <cell r="AI6" t="str">
            <v>MT</v>
          </cell>
          <cell r="AJ6" t="str">
            <v>SCIENCE</v>
          </cell>
          <cell r="AK6">
            <v>0</v>
          </cell>
          <cell r="AL6" t="str">
            <v>TOTAL</v>
          </cell>
          <cell r="AM6" t="str">
            <v>HIGHESTMARK</v>
          </cell>
          <cell r="AN6" t="str">
            <v>GP</v>
          </cell>
          <cell r="AO6" t="str">
            <v>MT</v>
          </cell>
          <cell r="AP6" t="str">
            <v>BGS</v>
          </cell>
          <cell r="AQ6">
            <v>0</v>
          </cell>
          <cell r="AR6" t="str">
            <v>TOTAL</v>
          </cell>
          <cell r="AS6" t="str">
            <v>HIGHESTMARK</v>
          </cell>
          <cell r="AT6" t="str">
            <v>GP</v>
          </cell>
          <cell r="AU6" t="str">
            <v>MT</v>
          </cell>
          <cell r="AV6" t="str">
            <v>RELIGION</v>
          </cell>
          <cell r="AW6">
            <v>0</v>
          </cell>
          <cell r="AX6" t="str">
            <v>TOTAL</v>
          </cell>
          <cell r="AY6" t="str">
            <v>HIGHESTMARK</v>
          </cell>
          <cell r="AZ6" t="str">
            <v>GP</v>
          </cell>
          <cell r="BA6" t="str">
            <v>MT</v>
          </cell>
          <cell r="BB6" t="str">
            <v>ASS</v>
          </cell>
          <cell r="BC6" t="str">
            <v>ICT</v>
          </cell>
          <cell r="BD6">
            <v>0</v>
          </cell>
          <cell r="BE6" t="str">
            <v>TOTAL</v>
          </cell>
          <cell r="BF6" t="str">
            <v>HIGHESTMARK</v>
          </cell>
          <cell r="BG6" t="str">
            <v>GP</v>
          </cell>
          <cell r="BH6" t="str">
            <v>T-GP</v>
          </cell>
          <cell r="BI6" t="str">
            <v>GPA</v>
          </cell>
          <cell r="BJ6" t="str">
            <v>BHVR</v>
          </cell>
          <cell r="BK6" t="str">
            <v>TOTAL MARK</v>
          </cell>
          <cell r="BL6" t="str">
            <v>Position</v>
          </cell>
          <cell r="BM6" t="str">
            <v>WORKINGDAYS</v>
          </cell>
          <cell r="BN6">
            <v>0</v>
          </cell>
        </row>
        <row r="7"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 t="str">
            <v>ASS</v>
          </cell>
          <cell r="H7" t="str">
            <v>CR</v>
          </cell>
          <cell r="I7">
            <v>0</v>
          </cell>
          <cell r="J7">
            <v>0</v>
          </cell>
          <cell r="K7">
            <v>0</v>
          </cell>
          <cell r="L7" t="str">
            <v>CR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 t="str">
            <v>CR</v>
          </cell>
          <cell r="X7" t="str">
            <v>AV-50%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 t="str">
            <v>ASS</v>
          </cell>
          <cell r="AE7" t="str">
            <v>CR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 t="str">
            <v>ASS</v>
          </cell>
          <cell r="AK7" t="str">
            <v>CR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 t="str">
            <v>ASS</v>
          </cell>
          <cell r="AQ7" t="str">
            <v>CR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 t="str">
            <v>ASS</v>
          </cell>
          <cell r="AW7" t="str">
            <v>CR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 t="str">
            <v>CR</v>
          </cell>
          <cell r="BD7" t="str">
            <v>AV-60%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</row>
        <row r="8">
          <cell r="B8">
            <v>1</v>
          </cell>
          <cell r="C8" t="str">
            <v>RUPOK SHAHA</v>
          </cell>
          <cell r="D8" t="str">
            <v>RIPON SHAHA</v>
          </cell>
          <cell r="E8" t="str">
            <v>KRISHNA SHAHA</v>
          </cell>
          <cell r="F8">
            <v>18</v>
          </cell>
          <cell r="G8">
            <v>19</v>
          </cell>
          <cell r="H8">
            <v>57</v>
          </cell>
          <cell r="I8">
            <v>94</v>
          </cell>
          <cell r="J8">
            <v>10</v>
          </cell>
          <cell r="K8">
            <v>10</v>
          </cell>
          <cell r="L8">
            <v>29</v>
          </cell>
          <cell r="M8">
            <v>49</v>
          </cell>
          <cell r="N8">
            <v>143</v>
          </cell>
          <cell r="O8">
            <v>149</v>
          </cell>
          <cell r="P8">
            <v>5</v>
          </cell>
          <cell r="Q8">
            <v>20</v>
          </cell>
          <cell r="R8">
            <v>20</v>
          </cell>
          <cell r="S8">
            <v>54</v>
          </cell>
          <cell r="T8">
            <v>94</v>
          </cell>
          <cell r="U8">
            <v>10</v>
          </cell>
          <cell r="V8">
            <v>10</v>
          </cell>
          <cell r="W8">
            <v>56</v>
          </cell>
          <cell r="X8">
            <v>28</v>
          </cell>
          <cell r="Y8">
            <v>48</v>
          </cell>
          <cell r="Z8">
            <v>142</v>
          </cell>
          <cell r="AA8">
            <v>149</v>
          </cell>
          <cell r="AB8">
            <v>5</v>
          </cell>
          <cell r="AC8">
            <v>20</v>
          </cell>
          <cell r="AD8">
            <v>20</v>
          </cell>
          <cell r="AE8">
            <v>48</v>
          </cell>
          <cell r="AF8">
            <v>88</v>
          </cell>
          <cell r="AG8">
            <v>100</v>
          </cell>
          <cell r="AH8">
            <v>5</v>
          </cell>
          <cell r="AI8">
            <v>20</v>
          </cell>
          <cell r="AJ8">
            <v>20</v>
          </cell>
          <cell r="AK8">
            <v>52</v>
          </cell>
          <cell r="AL8">
            <v>92</v>
          </cell>
          <cell r="AM8">
            <v>100</v>
          </cell>
          <cell r="AN8">
            <v>5</v>
          </cell>
          <cell r="AO8">
            <v>19</v>
          </cell>
          <cell r="AP8">
            <v>20</v>
          </cell>
          <cell r="AQ8">
            <v>58</v>
          </cell>
          <cell r="AR8">
            <v>97</v>
          </cell>
          <cell r="AS8">
            <v>100</v>
          </cell>
          <cell r="AT8">
            <v>5</v>
          </cell>
          <cell r="AU8">
            <v>20</v>
          </cell>
          <cell r="AV8">
            <v>20</v>
          </cell>
          <cell r="AW8">
            <v>56</v>
          </cell>
          <cell r="AX8">
            <v>96</v>
          </cell>
          <cell r="AY8">
            <v>99</v>
          </cell>
          <cell r="AZ8">
            <v>5</v>
          </cell>
          <cell r="BA8">
            <v>10</v>
          </cell>
          <cell r="BB8">
            <v>10</v>
          </cell>
          <cell r="BC8">
            <v>50</v>
          </cell>
          <cell r="BD8">
            <v>30</v>
          </cell>
          <cell r="BE8">
            <v>50</v>
          </cell>
          <cell r="BF8">
            <v>50</v>
          </cell>
          <cell r="BG8">
            <v>5</v>
          </cell>
          <cell r="BH8">
            <v>35</v>
          </cell>
          <cell r="BI8">
            <v>5</v>
          </cell>
          <cell r="BJ8" t="str">
            <v>BEST</v>
          </cell>
          <cell r="BK8">
            <v>708</v>
          </cell>
          <cell r="BL8">
            <v>16</v>
          </cell>
          <cell r="BM8">
            <v>61</v>
          </cell>
          <cell r="BN8">
            <v>0</v>
          </cell>
        </row>
        <row r="9">
          <cell r="B9">
            <v>2</v>
          </cell>
          <cell r="C9" t="str">
            <v xml:space="preserve">MAHBUB ALAM SABBIR </v>
          </cell>
          <cell r="D9" t="str">
            <v>MD.AYNAL BEPARY</v>
          </cell>
          <cell r="E9" t="str">
            <v xml:space="preserve">SELINA </v>
          </cell>
          <cell r="F9">
            <v>19</v>
          </cell>
          <cell r="G9">
            <v>20</v>
          </cell>
          <cell r="H9">
            <v>59</v>
          </cell>
          <cell r="I9">
            <v>98</v>
          </cell>
          <cell r="J9">
            <v>10</v>
          </cell>
          <cell r="K9">
            <v>10</v>
          </cell>
          <cell r="L9">
            <v>30</v>
          </cell>
          <cell r="M9">
            <v>50</v>
          </cell>
          <cell r="N9">
            <v>148</v>
          </cell>
          <cell r="O9">
            <v>0</v>
          </cell>
          <cell r="P9">
            <v>5</v>
          </cell>
          <cell r="Q9">
            <v>19</v>
          </cell>
          <cell r="R9">
            <v>20</v>
          </cell>
          <cell r="S9">
            <v>51</v>
          </cell>
          <cell r="T9">
            <v>90</v>
          </cell>
          <cell r="U9">
            <v>10</v>
          </cell>
          <cell r="V9">
            <v>10</v>
          </cell>
          <cell r="W9">
            <v>55</v>
          </cell>
          <cell r="X9">
            <v>27.5</v>
          </cell>
          <cell r="Y9">
            <v>47.5</v>
          </cell>
          <cell r="Z9">
            <v>137.5</v>
          </cell>
          <cell r="AA9">
            <v>0</v>
          </cell>
          <cell r="AB9">
            <v>5</v>
          </cell>
          <cell r="AC9">
            <v>20</v>
          </cell>
          <cell r="AD9">
            <v>20</v>
          </cell>
          <cell r="AE9">
            <v>60</v>
          </cell>
          <cell r="AF9">
            <v>100</v>
          </cell>
          <cell r="AG9">
            <v>0</v>
          </cell>
          <cell r="AH9">
            <v>5</v>
          </cell>
          <cell r="AI9">
            <v>20</v>
          </cell>
          <cell r="AJ9">
            <v>20</v>
          </cell>
          <cell r="AK9">
            <v>52</v>
          </cell>
          <cell r="AL9">
            <v>92</v>
          </cell>
          <cell r="AM9">
            <v>0</v>
          </cell>
          <cell r="AN9">
            <v>5</v>
          </cell>
          <cell r="AO9">
            <v>18</v>
          </cell>
          <cell r="AP9">
            <v>20</v>
          </cell>
          <cell r="AQ9">
            <v>57</v>
          </cell>
          <cell r="AR9">
            <v>95</v>
          </cell>
          <cell r="AS9">
            <v>0</v>
          </cell>
          <cell r="AT9">
            <v>5</v>
          </cell>
          <cell r="AU9">
            <v>20</v>
          </cell>
          <cell r="AV9">
            <v>20</v>
          </cell>
          <cell r="AW9">
            <v>58</v>
          </cell>
          <cell r="AX9">
            <v>98</v>
          </cell>
          <cell r="AY9">
            <v>0</v>
          </cell>
          <cell r="AZ9">
            <v>5</v>
          </cell>
          <cell r="BA9">
            <v>10</v>
          </cell>
          <cell r="BB9">
            <v>10</v>
          </cell>
          <cell r="BC9">
            <v>50</v>
          </cell>
          <cell r="BD9">
            <v>30</v>
          </cell>
          <cell r="BE9">
            <v>50</v>
          </cell>
          <cell r="BF9">
            <v>0</v>
          </cell>
          <cell r="BG9">
            <v>5</v>
          </cell>
          <cell r="BH9">
            <v>35</v>
          </cell>
          <cell r="BI9">
            <v>5</v>
          </cell>
          <cell r="BJ9" t="str">
            <v>BEST</v>
          </cell>
          <cell r="BK9">
            <v>720.5</v>
          </cell>
          <cell r="BL9">
            <v>10</v>
          </cell>
          <cell r="BM9">
            <v>57</v>
          </cell>
          <cell r="BN9">
            <v>0</v>
          </cell>
        </row>
        <row r="10">
          <cell r="B10">
            <v>3</v>
          </cell>
          <cell r="C10" t="str">
            <v xml:space="preserve">MD.NAYEM AHMMED </v>
          </cell>
          <cell r="D10" t="str">
            <v xml:space="preserve">MD.SALIM </v>
          </cell>
          <cell r="E10" t="str">
            <v>MOST.NASRIN AKTER</v>
          </cell>
          <cell r="F10">
            <v>19</v>
          </cell>
          <cell r="G10">
            <v>20</v>
          </cell>
          <cell r="H10">
            <v>57</v>
          </cell>
          <cell r="I10">
            <v>96</v>
          </cell>
          <cell r="J10">
            <v>10</v>
          </cell>
          <cell r="K10">
            <v>10</v>
          </cell>
          <cell r="L10">
            <v>30</v>
          </cell>
          <cell r="M10">
            <v>50</v>
          </cell>
          <cell r="N10">
            <v>146</v>
          </cell>
          <cell r="O10">
            <v>0</v>
          </cell>
          <cell r="P10">
            <v>5</v>
          </cell>
          <cell r="Q10">
            <v>18</v>
          </cell>
          <cell r="R10">
            <v>20</v>
          </cell>
          <cell r="S10">
            <v>53</v>
          </cell>
          <cell r="T10">
            <v>91</v>
          </cell>
          <cell r="U10">
            <v>10</v>
          </cell>
          <cell r="V10">
            <v>10</v>
          </cell>
          <cell r="W10">
            <v>41</v>
          </cell>
          <cell r="X10">
            <v>20.5</v>
          </cell>
          <cell r="Y10">
            <v>40.5</v>
          </cell>
          <cell r="Z10">
            <v>131.5</v>
          </cell>
          <cell r="AA10">
            <v>0</v>
          </cell>
          <cell r="AB10">
            <v>5</v>
          </cell>
          <cell r="AC10">
            <v>20</v>
          </cell>
          <cell r="AD10">
            <v>20</v>
          </cell>
          <cell r="AE10">
            <v>57</v>
          </cell>
          <cell r="AF10">
            <v>97</v>
          </cell>
          <cell r="AG10">
            <v>0</v>
          </cell>
          <cell r="AH10">
            <v>5</v>
          </cell>
          <cell r="AI10">
            <v>19</v>
          </cell>
          <cell r="AJ10">
            <v>20</v>
          </cell>
          <cell r="AK10">
            <v>52</v>
          </cell>
          <cell r="AL10">
            <v>91</v>
          </cell>
          <cell r="AM10">
            <v>0</v>
          </cell>
          <cell r="AN10">
            <v>5</v>
          </cell>
          <cell r="AO10">
            <v>19</v>
          </cell>
          <cell r="AP10">
            <v>20</v>
          </cell>
          <cell r="AQ10">
            <v>58</v>
          </cell>
          <cell r="AR10">
            <v>97</v>
          </cell>
          <cell r="AS10">
            <v>0</v>
          </cell>
          <cell r="AT10">
            <v>5</v>
          </cell>
          <cell r="AU10">
            <v>20</v>
          </cell>
          <cell r="AV10">
            <v>20</v>
          </cell>
          <cell r="AW10">
            <v>58</v>
          </cell>
          <cell r="AX10">
            <v>98</v>
          </cell>
          <cell r="AY10">
            <v>0</v>
          </cell>
          <cell r="AZ10">
            <v>5</v>
          </cell>
          <cell r="BA10">
            <v>10</v>
          </cell>
          <cell r="BB10">
            <v>10</v>
          </cell>
          <cell r="BC10">
            <v>49</v>
          </cell>
          <cell r="BD10">
            <v>29.4</v>
          </cell>
          <cell r="BE10">
            <v>49.4</v>
          </cell>
          <cell r="BF10">
            <v>0</v>
          </cell>
          <cell r="BG10">
            <v>5</v>
          </cell>
          <cell r="BH10">
            <v>35</v>
          </cell>
          <cell r="BI10">
            <v>5</v>
          </cell>
          <cell r="BJ10" t="str">
            <v>BEST</v>
          </cell>
          <cell r="BK10">
            <v>709.9</v>
          </cell>
          <cell r="BL10">
            <v>15</v>
          </cell>
          <cell r="BM10">
            <v>63</v>
          </cell>
          <cell r="BN10">
            <v>0</v>
          </cell>
        </row>
        <row r="11">
          <cell r="B11">
            <v>5</v>
          </cell>
          <cell r="C11" t="str">
            <v xml:space="preserve">MD.TAHSIN UDDIN </v>
          </cell>
          <cell r="D11" t="str">
            <v xml:space="preserve">MAINUDDIN </v>
          </cell>
          <cell r="E11" t="str">
            <v xml:space="preserve">TASLIMA BEGUM </v>
          </cell>
          <cell r="F11">
            <v>20</v>
          </cell>
          <cell r="G11">
            <v>16</v>
          </cell>
          <cell r="H11">
            <v>55</v>
          </cell>
          <cell r="I11">
            <v>91</v>
          </cell>
          <cell r="J11">
            <v>10</v>
          </cell>
          <cell r="K11">
            <v>10</v>
          </cell>
          <cell r="L11">
            <v>30</v>
          </cell>
          <cell r="M11">
            <v>50</v>
          </cell>
          <cell r="N11">
            <v>141</v>
          </cell>
          <cell r="O11">
            <v>0</v>
          </cell>
          <cell r="P11">
            <v>5</v>
          </cell>
          <cell r="Q11">
            <v>19</v>
          </cell>
          <cell r="R11">
            <v>19</v>
          </cell>
          <cell r="S11">
            <v>45</v>
          </cell>
          <cell r="T11">
            <v>83</v>
          </cell>
          <cell r="U11">
            <v>10</v>
          </cell>
          <cell r="V11">
            <v>10</v>
          </cell>
          <cell r="W11">
            <v>46</v>
          </cell>
          <cell r="X11">
            <v>23</v>
          </cell>
          <cell r="Y11">
            <v>43</v>
          </cell>
          <cell r="Z11">
            <v>126</v>
          </cell>
          <cell r="AA11">
            <v>0</v>
          </cell>
          <cell r="AB11">
            <v>5</v>
          </cell>
          <cell r="AC11">
            <v>14</v>
          </cell>
          <cell r="AD11">
            <v>20</v>
          </cell>
          <cell r="AE11">
            <v>56</v>
          </cell>
          <cell r="AF11">
            <v>90</v>
          </cell>
          <cell r="AG11">
            <v>0</v>
          </cell>
          <cell r="AH11">
            <v>5</v>
          </cell>
          <cell r="AI11">
            <v>19</v>
          </cell>
          <cell r="AJ11">
            <v>20</v>
          </cell>
          <cell r="AK11">
            <v>43</v>
          </cell>
          <cell r="AL11">
            <v>82</v>
          </cell>
          <cell r="AM11">
            <v>0</v>
          </cell>
          <cell r="AN11">
            <v>5</v>
          </cell>
          <cell r="AO11">
            <v>15</v>
          </cell>
          <cell r="AP11">
            <v>20</v>
          </cell>
          <cell r="AQ11">
            <v>56</v>
          </cell>
          <cell r="AR11">
            <v>91</v>
          </cell>
          <cell r="AS11">
            <v>0</v>
          </cell>
          <cell r="AT11">
            <v>5</v>
          </cell>
          <cell r="AU11">
            <v>20</v>
          </cell>
          <cell r="AV11">
            <v>20</v>
          </cell>
          <cell r="AW11">
            <v>57</v>
          </cell>
          <cell r="AX11">
            <v>97</v>
          </cell>
          <cell r="AY11">
            <v>0</v>
          </cell>
          <cell r="AZ11">
            <v>5</v>
          </cell>
          <cell r="BA11">
            <v>10</v>
          </cell>
          <cell r="BB11">
            <v>10</v>
          </cell>
          <cell r="BC11">
            <v>49</v>
          </cell>
          <cell r="BD11">
            <v>29.4</v>
          </cell>
          <cell r="BE11">
            <v>49.4</v>
          </cell>
          <cell r="BF11">
            <v>0</v>
          </cell>
          <cell r="BG11">
            <v>5</v>
          </cell>
          <cell r="BH11">
            <v>35</v>
          </cell>
          <cell r="BI11">
            <v>5</v>
          </cell>
          <cell r="BJ11" t="str">
            <v>BEST</v>
          </cell>
          <cell r="BK11">
            <v>676.4</v>
          </cell>
          <cell r="BL11">
            <v>32</v>
          </cell>
          <cell r="BM11">
            <v>59</v>
          </cell>
          <cell r="BN11">
            <v>0</v>
          </cell>
        </row>
        <row r="12">
          <cell r="B12">
            <v>6</v>
          </cell>
          <cell r="C12" t="str">
            <v xml:space="preserve">TOUHID ISLAM FOUAD </v>
          </cell>
          <cell r="D12" t="str">
            <v>SANUAR HOSSAIN</v>
          </cell>
          <cell r="E12" t="str">
            <v>SONIA AKHTER</v>
          </cell>
          <cell r="F12">
            <v>20</v>
          </cell>
          <cell r="G12">
            <v>18</v>
          </cell>
          <cell r="H12">
            <v>54</v>
          </cell>
          <cell r="I12">
            <v>92</v>
          </cell>
          <cell r="J12">
            <v>10</v>
          </cell>
          <cell r="K12">
            <v>10</v>
          </cell>
          <cell r="L12">
            <v>30</v>
          </cell>
          <cell r="M12">
            <v>50</v>
          </cell>
          <cell r="N12">
            <v>142</v>
          </cell>
          <cell r="O12">
            <v>0</v>
          </cell>
          <cell r="P12">
            <v>5</v>
          </cell>
          <cell r="Q12">
            <v>17</v>
          </cell>
          <cell r="R12">
            <v>19</v>
          </cell>
          <cell r="S12">
            <v>38</v>
          </cell>
          <cell r="T12">
            <v>74</v>
          </cell>
          <cell r="U12">
            <v>9</v>
          </cell>
          <cell r="V12">
            <v>10</v>
          </cell>
          <cell r="W12">
            <v>40</v>
          </cell>
          <cell r="X12">
            <v>20</v>
          </cell>
          <cell r="Y12">
            <v>39</v>
          </cell>
          <cell r="Z12">
            <v>113</v>
          </cell>
          <cell r="AA12">
            <v>0</v>
          </cell>
          <cell r="AB12">
            <v>4</v>
          </cell>
          <cell r="AC12">
            <v>16</v>
          </cell>
          <cell r="AD12">
            <v>20</v>
          </cell>
          <cell r="AE12">
            <v>52</v>
          </cell>
          <cell r="AF12">
            <v>88</v>
          </cell>
          <cell r="AG12">
            <v>0</v>
          </cell>
          <cell r="AH12">
            <v>5</v>
          </cell>
          <cell r="AI12">
            <v>20</v>
          </cell>
          <cell r="AJ12">
            <v>20</v>
          </cell>
          <cell r="AK12">
            <v>51</v>
          </cell>
          <cell r="AL12">
            <v>91</v>
          </cell>
          <cell r="AM12">
            <v>0</v>
          </cell>
          <cell r="AN12">
            <v>5</v>
          </cell>
          <cell r="AO12">
            <v>19</v>
          </cell>
          <cell r="AP12">
            <v>20</v>
          </cell>
          <cell r="AQ12">
            <v>57</v>
          </cell>
          <cell r="AR12">
            <v>96</v>
          </cell>
          <cell r="AS12">
            <v>0</v>
          </cell>
          <cell r="AT12">
            <v>5</v>
          </cell>
          <cell r="AU12">
            <v>20</v>
          </cell>
          <cell r="AV12">
            <v>20</v>
          </cell>
          <cell r="AW12">
            <v>57</v>
          </cell>
          <cell r="AX12">
            <v>97</v>
          </cell>
          <cell r="AY12">
            <v>0</v>
          </cell>
          <cell r="AZ12">
            <v>5</v>
          </cell>
          <cell r="BA12">
            <v>10</v>
          </cell>
          <cell r="BB12">
            <v>10</v>
          </cell>
          <cell r="BC12">
            <v>50</v>
          </cell>
          <cell r="BD12">
            <v>30</v>
          </cell>
          <cell r="BE12">
            <v>50</v>
          </cell>
          <cell r="BF12">
            <v>0</v>
          </cell>
          <cell r="BG12">
            <v>5</v>
          </cell>
          <cell r="BH12">
            <v>34</v>
          </cell>
          <cell r="BI12">
            <v>4.8571428571428568</v>
          </cell>
          <cell r="BJ12" t="str">
            <v>BETTER</v>
          </cell>
          <cell r="BK12">
            <v>677</v>
          </cell>
          <cell r="BL12">
            <v>45</v>
          </cell>
          <cell r="BM12">
            <v>55</v>
          </cell>
          <cell r="BN12">
            <v>0</v>
          </cell>
        </row>
        <row r="13">
          <cell r="B13">
            <v>8</v>
          </cell>
          <cell r="C13" t="str">
            <v>TANJIM AHMED SHAN</v>
          </cell>
          <cell r="D13" t="str">
            <v xml:space="preserve">TAREK AHMED </v>
          </cell>
          <cell r="E13" t="str">
            <v>SALINA AKTER</v>
          </cell>
          <cell r="F13">
            <v>20</v>
          </cell>
          <cell r="G13">
            <v>16</v>
          </cell>
          <cell r="H13">
            <v>58</v>
          </cell>
          <cell r="I13">
            <v>94</v>
          </cell>
          <cell r="J13">
            <v>10</v>
          </cell>
          <cell r="K13">
            <v>10</v>
          </cell>
          <cell r="L13">
            <v>29</v>
          </cell>
          <cell r="M13">
            <v>49</v>
          </cell>
          <cell r="N13">
            <v>143</v>
          </cell>
          <cell r="O13">
            <v>0</v>
          </cell>
          <cell r="P13">
            <v>5</v>
          </cell>
          <cell r="Q13">
            <v>18</v>
          </cell>
          <cell r="R13">
            <v>20</v>
          </cell>
          <cell r="S13">
            <v>45</v>
          </cell>
          <cell r="T13">
            <v>83</v>
          </cell>
          <cell r="U13">
            <v>9</v>
          </cell>
          <cell r="V13">
            <v>10</v>
          </cell>
          <cell r="W13">
            <v>54</v>
          </cell>
          <cell r="X13">
            <v>27</v>
          </cell>
          <cell r="Y13">
            <v>46</v>
          </cell>
          <cell r="Z13">
            <v>129</v>
          </cell>
          <cell r="AA13">
            <v>0</v>
          </cell>
          <cell r="AB13">
            <v>5</v>
          </cell>
          <cell r="AC13">
            <v>20</v>
          </cell>
          <cell r="AD13">
            <v>20</v>
          </cell>
          <cell r="AE13">
            <v>58</v>
          </cell>
          <cell r="AF13">
            <v>98</v>
          </cell>
          <cell r="AG13">
            <v>0</v>
          </cell>
          <cell r="AH13">
            <v>5</v>
          </cell>
          <cell r="AI13">
            <v>20</v>
          </cell>
          <cell r="AJ13">
            <v>20</v>
          </cell>
          <cell r="AK13">
            <v>55</v>
          </cell>
          <cell r="AL13">
            <v>95</v>
          </cell>
          <cell r="AM13">
            <v>0</v>
          </cell>
          <cell r="AN13">
            <v>5</v>
          </cell>
          <cell r="AO13">
            <v>20</v>
          </cell>
          <cell r="AP13">
            <v>20</v>
          </cell>
          <cell r="AQ13">
            <v>60</v>
          </cell>
          <cell r="AR13">
            <v>100</v>
          </cell>
          <cell r="AS13">
            <v>0</v>
          </cell>
          <cell r="AT13">
            <v>5</v>
          </cell>
          <cell r="AU13">
            <v>20</v>
          </cell>
          <cell r="AV13">
            <v>20</v>
          </cell>
          <cell r="AW13">
            <v>58</v>
          </cell>
          <cell r="AX13">
            <v>98</v>
          </cell>
          <cell r="AY13">
            <v>0</v>
          </cell>
          <cell r="AZ13">
            <v>5</v>
          </cell>
          <cell r="BA13">
            <v>10</v>
          </cell>
          <cell r="BB13">
            <v>10</v>
          </cell>
          <cell r="BC13">
            <v>48</v>
          </cell>
          <cell r="BD13">
            <v>28.799999999999997</v>
          </cell>
          <cell r="BE13">
            <v>48.8</v>
          </cell>
          <cell r="BF13">
            <v>0</v>
          </cell>
          <cell r="BG13">
            <v>5</v>
          </cell>
          <cell r="BH13">
            <v>35</v>
          </cell>
          <cell r="BI13">
            <v>5</v>
          </cell>
          <cell r="BJ13" t="str">
            <v>BEST</v>
          </cell>
          <cell r="BK13">
            <v>711.8</v>
          </cell>
          <cell r="BL13">
            <v>14</v>
          </cell>
          <cell r="BM13">
            <v>58</v>
          </cell>
          <cell r="BN13">
            <v>0</v>
          </cell>
        </row>
        <row r="14">
          <cell r="B14">
            <v>10</v>
          </cell>
          <cell r="C14" t="str">
            <v xml:space="preserve">MD.MARUF HOSSEN </v>
          </cell>
          <cell r="D14" t="str">
            <v>MD.FAKRUL ISLAM</v>
          </cell>
          <cell r="E14" t="str">
            <v>MOHELA BEGEM</v>
          </cell>
          <cell r="F14">
            <v>20</v>
          </cell>
          <cell r="G14">
            <v>19</v>
          </cell>
          <cell r="H14">
            <v>52</v>
          </cell>
          <cell r="I14">
            <v>91</v>
          </cell>
          <cell r="J14">
            <v>10</v>
          </cell>
          <cell r="K14">
            <v>10</v>
          </cell>
          <cell r="L14">
            <v>30</v>
          </cell>
          <cell r="M14">
            <v>50</v>
          </cell>
          <cell r="N14">
            <v>141</v>
          </cell>
          <cell r="O14">
            <v>0</v>
          </cell>
          <cell r="P14">
            <v>5</v>
          </cell>
          <cell r="Q14">
            <v>17</v>
          </cell>
          <cell r="R14">
            <v>19</v>
          </cell>
          <cell r="S14">
            <v>41</v>
          </cell>
          <cell r="T14">
            <v>77</v>
          </cell>
          <cell r="U14">
            <v>10</v>
          </cell>
          <cell r="V14">
            <v>10</v>
          </cell>
          <cell r="W14">
            <v>48</v>
          </cell>
          <cell r="X14">
            <v>24</v>
          </cell>
          <cell r="Y14">
            <v>44</v>
          </cell>
          <cell r="Z14">
            <v>121</v>
          </cell>
          <cell r="AA14">
            <v>0</v>
          </cell>
          <cell r="AB14">
            <v>5</v>
          </cell>
          <cell r="AC14">
            <v>20</v>
          </cell>
          <cell r="AD14">
            <v>20</v>
          </cell>
          <cell r="AE14">
            <v>59</v>
          </cell>
          <cell r="AF14">
            <v>99</v>
          </cell>
          <cell r="AG14">
            <v>0</v>
          </cell>
          <cell r="AH14">
            <v>5</v>
          </cell>
          <cell r="AI14">
            <v>20</v>
          </cell>
          <cell r="AJ14">
            <v>20</v>
          </cell>
          <cell r="AK14">
            <v>38</v>
          </cell>
          <cell r="AL14">
            <v>78</v>
          </cell>
          <cell r="AM14">
            <v>0</v>
          </cell>
          <cell r="AN14">
            <v>4</v>
          </cell>
          <cell r="AO14">
            <v>19</v>
          </cell>
          <cell r="AP14">
            <v>20</v>
          </cell>
          <cell r="AQ14">
            <v>56</v>
          </cell>
          <cell r="AR14">
            <v>95</v>
          </cell>
          <cell r="AS14">
            <v>0</v>
          </cell>
          <cell r="AT14">
            <v>5</v>
          </cell>
          <cell r="AU14">
            <v>19</v>
          </cell>
          <cell r="AV14">
            <v>20</v>
          </cell>
          <cell r="AW14">
            <v>58</v>
          </cell>
          <cell r="AX14">
            <v>97</v>
          </cell>
          <cell r="AY14">
            <v>0</v>
          </cell>
          <cell r="AZ14">
            <v>5</v>
          </cell>
          <cell r="BA14">
            <v>9</v>
          </cell>
          <cell r="BB14">
            <v>10</v>
          </cell>
          <cell r="BC14">
            <v>47</v>
          </cell>
          <cell r="BD14">
            <v>28.2</v>
          </cell>
          <cell r="BE14">
            <v>47.2</v>
          </cell>
          <cell r="BF14">
            <v>0</v>
          </cell>
          <cell r="BG14">
            <v>5</v>
          </cell>
          <cell r="BH14">
            <v>34</v>
          </cell>
          <cell r="BI14">
            <v>4.8571428571428568</v>
          </cell>
          <cell r="BJ14" t="str">
            <v>BETTER</v>
          </cell>
          <cell r="BK14">
            <v>678.2</v>
          </cell>
          <cell r="BL14">
            <v>43</v>
          </cell>
          <cell r="BM14">
            <v>55</v>
          </cell>
          <cell r="BN14">
            <v>0</v>
          </cell>
          <cell r="BP14" t="str">
            <v/>
          </cell>
        </row>
        <row r="15">
          <cell r="B15">
            <v>12</v>
          </cell>
          <cell r="C15" t="str">
            <v xml:space="preserve">RAHAT AHMED ANTOR </v>
          </cell>
          <cell r="D15" t="str">
            <v xml:space="preserve">MD.SHAKIL MIA </v>
          </cell>
          <cell r="E15" t="str">
            <v>REKHA BEGUIM</v>
          </cell>
          <cell r="F15">
            <v>20</v>
          </cell>
          <cell r="G15">
            <v>14</v>
          </cell>
          <cell r="H15">
            <v>57</v>
          </cell>
          <cell r="I15">
            <v>91</v>
          </cell>
          <cell r="J15">
            <v>10</v>
          </cell>
          <cell r="K15">
            <v>10</v>
          </cell>
          <cell r="L15">
            <v>30</v>
          </cell>
          <cell r="M15">
            <v>50</v>
          </cell>
          <cell r="N15">
            <v>141</v>
          </cell>
          <cell r="O15">
            <v>0</v>
          </cell>
          <cell r="P15">
            <v>5</v>
          </cell>
          <cell r="Q15">
            <v>19</v>
          </cell>
          <cell r="R15">
            <v>20</v>
          </cell>
          <cell r="S15">
            <v>53</v>
          </cell>
          <cell r="T15">
            <v>92</v>
          </cell>
          <cell r="U15">
            <v>10</v>
          </cell>
          <cell r="V15">
            <v>10</v>
          </cell>
          <cell r="W15">
            <v>56</v>
          </cell>
          <cell r="X15">
            <v>28</v>
          </cell>
          <cell r="Y15">
            <v>48</v>
          </cell>
          <cell r="Z15">
            <v>140</v>
          </cell>
          <cell r="AA15">
            <v>0</v>
          </cell>
          <cell r="AB15">
            <v>5</v>
          </cell>
          <cell r="AC15">
            <v>20</v>
          </cell>
          <cell r="AD15">
            <v>20</v>
          </cell>
          <cell r="AE15">
            <v>58</v>
          </cell>
          <cell r="AF15">
            <v>98</v>
          </cell>
          <cell r="AG15">
            <v>0</v>
          </cell>
          <cell r="AH15">
            <v>5</v>
          </cell>
          <cell r="AI15">
            <v>20</v>
          </cell>
          <cell r="AJ15">
            <v>20</v>
          </cell>
          <cell r="AK15">
            <v>52</v>
          </cell>
          <cell r="AL15">
            <v>92</v>
          </cell>
          <cell r="AM15">
            <v>0</v>
          </cell>
          <cell r="AN15">
            <v>5</v>
          </cell>
          <cell r="AO15">
            <v>19</v>
          </cell>
          <cell r="AP15">
            <v>20</v>
          </cell>
          <cell r="AQ15">
            <v>56</v>
          </cell>
          <cell r="AR15">
            <v>95</v>
          </cell>
          <cell r="AS15">
            <v>0</v>
          </cell>
          <cell r="AT15">
            <v>5</v>
          </cell>
          <cell r="AU15">
            <v>20</v>
          </cell>
          <cell r="AV15">
            <v>20</v>
          </cell>
          <cell r="AW15">
            <v>58</v>
          </cell>
          <cell r="AX15">
            <v>98</v>
          </cell>
          <cell r="AY15">
            <v>0</v>
          </cell>
          <cell r="AZ15">
            <v>5</v>
          </cell>
          <cell r="BA15">
            <v>10</v>
          </cell>
          <cell r="BB15">
            <v>10</v>
          </cell>
          <cell r="BC15">
            <v>48</v>
          </cell>
          <cell r="BD15">
            <v>28.799999999999997</v>
          </cell>
          <cell r="BE15">
            <v>48.8</v>
          </cell>
          <cell r="BF15">
            <v>0</v>
          </cell>
          <cell r="BG15">
            <v>5</v>
          </cell>
          <cell r="BH15">
            <v>35</v>
          </cell>
          <cell r="BI15">
            <v>5</v>
          </cell>
          <cell r="BJ15" t="str">
            <v>BEST</v>
          </cell>
          <cell r="BK15">
            <v>712.8</v>
          </cell>
          <cell r="BL15">
            <v>12</v>
          </cell>
          <cell r="BM15">
            <v>56</v>
          </cell>
        </row>
        <row r="16">
          <cell r="B16">
            <v>16</v>
          </cell>
          <cell r="C16" t="str">
            <v>EVAN PRODAN</v>
          </cell>
          <cell r="D16" t="str">
            <v xml:space="preserve"> NASIR PRODAN</v>
          </cell>
          <cell r="E16" t="str">
            <v>YESMINN AKTER</v>
          </cell>
          <cell r="F16">
            <v>20</v>
          </cell>
          <cell r="G16">
            <v>14</v>
          </cell>
          <cell r="H16">
            <v>59</v>
          </cell>
          <cell r="I16">
            <v>93</v>
          </cell>
          <cell r="J16">
            <v>10</v>
          </cell>
          <cell r="K16">
            <v>10</v>
          </cell>
          <cell r="L16">
            <v>29</v>
          </cell>
          <cell r="M16">
            <v>49</v>
          </cell>
          <cell r="N16">
            <v>142</v>
          </cell>
          <cell r="O16">
            <v>0</v>
          </cell>
          <cell r="P16">
            <v>5</v>
          </cell>
          <cell r="Q16">
            <v>19</v>
          </cell>
          <cell r="R16">
            <v>20</v>
          </cell>
          <cell r="S16">
            <v>47</v>
          </cell>
          <cell r="T16">
            <v>86</v>
          </cell>
          <cell r="U16">
            <v>10</v>
          </cell>
          <cell r="V16">
            <v>10</v>
          </cell>
          <cell r="W16">
            <v>50</v>
          </cell>
          <cell r="X16">
            <v>25</v>
          </cell>
          <cell r="Y16">
            <v>45</v>
          </cell>
          <cell r="Z16">
            <v>131</v>
          </cell>
          <cell r="AA16">
            <v>0</v>
          </cell>
          <cell r="AB16">
            <v>5</v>
          </cell>
          <cell r="AC16">
            <v>16</v>
          </cell>
          <cell r="AD16">
            <v>20</v>
          </cell>
          <cell r="AE16">
            <v>51</v>
          </cell>
          <cell r="AF16">
            <v>87</v>
          </cell>
          <cell r="AG16">
            <v>0</v>
          </cell>
          <cell r="AH16">
            <v>5</v>
          </cell>
          <cell r="AI16">
            <v>20</v>
          </cell>
          <cell r="AJ16">
            <v>20</v>
          </cell>
          <cell r="AK16">
            <v>40</v>
          </cell>
          <cell r="AL16">
            <v>80</v>
          </cell>
          <cell r="AM16">
            <v>0</v>
          </cell>
          <cell r="AN16">
            <v>5</v>
          </cell>
          <cell r="AO16">
            <v>18</v>
          </cell>
          <cell r="AP16">
            <v>20</v>
          </cell>
          <cell r="AQ16">
            <v>57</v>
          </cell>
          <cell r="AR16">
            <v>95</v>
          </cell>
          <cell r="AS16">
            <v>0</v>
          </cell>
          <cell r="AT16">
            <v>5</v>
          </cell>
          <cell r="AU16">
            <v>20</v>
          </cell>
          <cell r="AV16">
            <v>20</v>
          </cell>
          <cell r="AW16">
            <v>57</v>
          </cell>
          <cell r="AX16">
            <v>97</v>
          </cell>
          <cell r="AY16">
            <v>0</v>
          </cell>
          <cell r="AZ16">
            <v>5</v>
          </cell>
          <cell r="BA16">
            <v>10</v>
          </cell>
          <cell r="BB16">
            <v>10</v>
          </cell>
          <cell r="BC16">
            <v>49</v>
          </cell>
          <cell r="BD16">
            <v>29.4</v>
          </cell>
          <cell r="BE16">
            <v>49.4</v>
          </cell>
          <cell r="BF16">
            <v>0</v>
          </cell>
          <cell r="BG16">
            <v>5</v>
          </cell>
          <cell r="BH16">
            <v>35</v>
          </cell>
          <cell r="BI16">
            <v>5</v>
          </cell>
          <cell r="BJ16" t="str">
            <v>BEST</v>
          </cell>
          <cell r="BK16">
            <v>681.4</v>
          </cell>
          <cell r="BL16">
            <v>29</v>
          </cell>
          <cell r="BM16">
            <v>58</v>
          </cell>
        </row>
        <row r="17">
          <cell r="B17">
            <v>17</v>
          </cell>
          <cell r="C17" t="str">
            <v xml:space="preserve">MAISHA ISLAM TUBA </v>
          </cell>
          <cell r="D17" t="str">
            <v>MD.MAINUL ISLAM</v>
          </cell>
          <cell r="E17" t="str">
            <v>RUMA YESMIN</v>
          </cell>
          <cell r="F17">
            <v>16</v>
          </cell>
          <cell r="G17">
            <v>16</v>
          </cell>
          <cell r="H17">
            <v>42</v>
          </cell>
          <cell r="I17">
            <v>74</v>
          </cell>
          <cell r="J17">
            <v>10</v>
          </cell>
          <cell r="K17">
            <v>10</v>
          </cell>
          <cell r="L17">
            <v>30</v>
          </cell>
          <cell r="M17">
            <v>50</v>
          </cell>
          <cell r="N17">
            <v>124</v>
          </cell>
          <cell r="O17">
            <v>0</v>
          </cell>
          <cell r="P17">
            <v>5</v>
          </cell>
          <cell r="Q17">
            <v>19</v>
          </cell>
          <cell r="R17">
            <v>20</v>
          </cell>
          <cell r="S17">
            <v>32</v>
          </cell>
          <cell r="T17">
            <v>71</v>
          </cell>
          <cell r="U17">
            <v>8</v>
          </cell>
          <cell r="V17">
            <v>10</v>
          </cell>
          <cell r="W17">
            <v>39</v>
          </cell>
          <cell r="X17">
            <v>19.5</v>
          </cell>
          <cell r="Y17">
            <v>37.5</v>
          </cell>
          <cell r="Z17">
            <v>108.5</v>
          </cell>
          <cell r="AA17">
            <v>0</v>
          </cell>
          <cell r="AB17">
            <v>4</v>
          </cell>
          <cell r="AC17">
            <v>20</v>
          </cell>
          <cell r="AD17">
            <v>20</v>
          </cell>
          <cell r="AE17">
            <v>60</v>
          </cell>
          <cell r="AF17">
            <v>100</v>
          </cell>
          <cell r="AG17">
            <v>0</v>
          </cell>
          <cell r="AH17">
            <v>5</v>
          </cell>
          <cell r="AI17">
            <v>20</v>
          </cell>
          <cell r="AJ17">
            <v>20</v>
          </cell>
          <cell r="AK17">
            <v>50</v>
          </cell>
          <cell r="AL17">
            <v>90</v>
          </cell>
          <cell r="AM17">
            <v>0</v>
          </cell>
          <cell r="AN17">
            <v>5</v>
          </cell>
          <cell r="AO17">
            <v>20</v>
          </cell>
          <cell r="AP17">
            <v>20</v>
          </cell>
          <cell r="AQ17">
            <v>57</v>
          </cell>
          <cell r="AR17">
            <v>97</v>
          </cell>
          <cell r="AS17">
            <v>0</v>
          </cell>
          <cell r="AT17">
            <v>5</v>
          </cell>
          <cell r="AU17">
            <v>20</v>
          </cell>
          <cell r="AV17">
            <v>20</v>
          </cell>
          <cell r="AW17">
            <v>58</v>
          </cell>
          <cell r="AX17">
            <v>98</v>
          </cell>
          <cell r="AY17">
            <v>0</v>
          </cell>
          <cell r="AZ17">
            <v>5</v>
          </cell>
          <cell r="BA17">
            <v>10</v>
          </cell>
          <cell r="BB17">
            <v>10</v>
          </cell>
          <cell r="BC17">
            <v>50</v>
          </cell>
          <cell r="BD17">
            <v>30</v>
          </cell>
          <cell r="BE17">
            <v>50</v>
          </cell>
          <cell r="BF17">
            <v>0</v>
          </cell>
          <cell r="BG17">
            <v>5</v>
          </cell>
          <cell r="BH17">
            <v>34</v>
          </cell>
          <cell r="BI17">
            <v>4.8571428571428568</v>
          </cell>
          <cell r="BJ17" t="str">
            <v>BETTER</v>
          </cell>
          <cell r="BK17">
            <v>667.5</v>
          </cell>
          <cell r="BL17">
            <v>50</v>
          </cell>
          <cell r="BM17">
            <v>57</v>
          </cell>
        </row>
        <row r="18">
          <cell r="B18">
            <v>19</v>
          </cell>
          <cell r="C18" t="str">
            <v>ARMINA RAHMAN TAHSIN</v>
          </cell>
          <cell r="D18" t="str">
            <v>MD.AMINUR RAHMAN</v>
          </cell>
          <cell r="E18" t="str">
            <v>SUMONA AKTAR</v>
          </cell>
          <cell r="F18">
            <v>20</v>
          </cell>
          <cell r="G18">
            <v>20</v>
          </cell>
          <cell r="H18">
            <v>55</v>
          </cell>
          <cell r="I18">
            <v>95</v>
          </cell>
          <cell r="J18">
            <v>10</v>
          </cell>
          <cell r="K18">
            <v>10</v>
          </cell>
          <cell r="L18">
            <v>30</v>
          </cell>
          <cell r="M18">
            <v>50</v>
          </cell>
          <cell r="N18">
            <v>145</v>
          </cell>
          <cell r="O18">
            <v>0</v>
          </cell>
          <cell r="P18">
            <v>5</v>
          </cell>
          <cell r="Q18">
            <v>16</v>
          </cell>
          <cell r="R18">
            <v>19</v>
          </cell>
          <cell r="S18">
            <v>44</v>
          </cell>
          <cell r="T18">
            <v>79</v>
          </cell>
          <cell r="U18">
            <v>10</v>
          </cell>
          <cell r="V18">
            <v>10</v>
          </cell>
          <cell r="W18">
            <v>46</v>
          </cell>
          <cell r="X18">
            <v>23</v>
          </cell>
          <cell r="Y18">
            <v>43</v>
          </cell>
          <cell r="Z18">
            <v>122</v>
          </cell>
          <cell r="AA18">
            <v>0</v>
          </cell>
          <cell r="AB18">
            <v>5</v>
          </cell>
          <cell r="AC18">
            <v>20</v>
          </cell>
          <cell r="AD18">
            <v>20</v>
          </cell>
          <cell r="AE18">
            <v>58</v>
          </cell>
          <cell r="AF18">
            <v>98</v>
          </cell>
          <cell r="AG18">
            <v>0</v>
          </cell>
          <cell r="AH18">
            <v>5</v>
          </cell>
          <cell r="AI18">
            <v>20</v>
          </cell>
          <cell r="AJ18">
            <v>20</v>
          </cell>
          <cell r="AK18">
            <v>58</v>
          </cell>
          <cell r="AL18">
            <v>98</v>
          </cell>
          <cell r="AM18">
            <v>0</v>
          </cell>
          <cell r="AN18">
            <v>5</v>
          </cell>
          <cell r="AO18">
            <v>19</v>
          </cell>
          <cell r="AP18">
            <v>20</v>
          </cell>
          <cell r="AQ18">
            <v>58</v>
          </cell>
          <cell r="AR18">
            <v>97</v>
          </cell>
          <cell r="AS18">
            <v>0</v>
          </cell>
          <cell r="AT18">
            <v>5</v>
          </cell>
          <cell r="AU18">
            <v>20</v>
          </cell>
          <cell r="AV18">
            <v>20</v>
          </cell>
          <cell r="AW18">
            <v>58</v>
          </cell>
          <cell r="AX18">
            <v>98</v>
          </cell>
          <cell r="AY18">
            <v>0</v>
          </cell>
          <cell r="AZ18">
            <v>5</v>
          </cell>
          <cell r="BA18">
            <v>10</v>
          </cell>
          <cell r="BB18">
            <v>10</v>
          </cell>
          <cell r="BC18">
            <v>48</v>
          </cell>
          <cell r="BD18">
            <v>28.799999999999997</v>
          </cell>
          <cell r="BE18">
            <v>48.8</v>
          </cell>
          <cell r="BF18">
            <v>0</v>
          </cell>
          <cell r="BG18">
            <v>5</v>
          </cell>
          <cell r="BH18">
            <v>35</v>
          </cell>
          <cell r="BI18">
            <v>5</v>
          </cell>
          <cell r="BJ18" t="str">
            <v>BEST</v>
          </cell>
          <cell r="BK18">
            <v>706.8</v>
          </cell>
          <cell r="BL18">
            <v>17</v>
          </cell>
          <cell r="BM18">
            <v>58</v>
          </cell>
        </row>
        <row r="19">
          <cell r="B19">
            <v>28</v>
          </cell>
          <cell r="C19" t="str">
            <v>SABIKUNNAHAR TAUCHI</v>
          </cell>
          <cell r="D19" t="str">
            <v>MIRAJ HOSEN</v>
          </cell>
          <cell r="E19" t="str">
            <v>REHANA AKTER</v>
          </cell>
          <cell r="F19">
            <v>20</v>
          </cell>
          <cell r="G19">
            <v>15</v>
          </cell>
          <cell r="H19">
            <v>50</v>
          </cell>
          <cell r="I19">
            <v>85</v>
          </cell>
          <cell r="J19">
            <v>10</v>
          </cell>
          <cell r="K19">
            <v>10</v>
          </cell>
          <cell r="L19">
            <v>28</v>
          </cell>
          <cell r="M19">
            <v>48</v>
          </cell>
          <cell r="N19">
            <v>133</v>
          </cell>
          <cell r="O19">
            <v>0</v>
          </cell>
          <cell r="P19">
            <v>5</v>
          </cell>
          <cell r="Q19">
            <v>16</v>
          </cell>
          <cell r="R19">
            <v>19</v>
          </cell>
          <cell r="S19">
            <v>34</v>
          </cell>
          <cell r="T19">
            <v>69</v>
          </cell>
          <cell r="U19">
            <v>9</v>
          </cell>
          <cell r="V19">
            <v>10</v>
          </cell>
          <cell r="W19">
            <v>48</v>
          </cell>
          <cell r="X19">
            <v>24</v>
          </cell>
          <cell r="Y19">
            <v>43</v>
          </cell>
          <cell r="Z19">
            <v>112</v>
          </cell>
          <cell r="AA19">
            <v>0</v>
          </cell>
          <cell r="AB19">
            <v>4</v>
          </cell>
          <cell r="AC19">
            <v>20</v>
          </cell>
          <cell r="AD19">
            <v>20</v>
          </cell>
          <cell r="AE19">
            <v>58</v>
          </cell>
          <cell r="AF19">
            <v>98</v>
          </cell>
          <cell r="AG19">
            <v>0</v>
          </cell>
          <cell r="AH19">
            <v>5</v>
          </cell>
          <cell r="AI19">
            <v>20</v>
          </cell>
          <cell r="AJ19">
            <v>20</v>
          </cell>
          <cell r="AK19">
            <v>36</v>
          </cell>
          <cell r="AL19">
            <v>76</v>
          </cell>
          <cell r="AM19">
            <v>0</v>
          </cell>
          <cell r="AN19">
            <v>4</v>
          </cell>
          <cell r="AO19">
            <v>19</v>
          </cell>
          <cell r="AP19">
            <v>19</v>
          </cell>
          <cell r="AQ19">
            <v>58</v>
          </cell>
          <cell r="AR19">
            <v>96</v>
          </cell>
          <cell r="AS19">
            <v>0</v>
          </cell>
          <cell r="AT19">
            <v>5</v>
          </cell>
          <cell r="AU19">
            <v>20</v>
          </cell>
          <cell r="AV19">
            <v>20</v>
          </cell>
          <cell r="AW19">
            <v>58</v>
          </cell>
          <cell r="AX19">
            <v>98</v>
          </cell>
          <cell r="AY19">
            <v>0</v>
          </cell>
          <cell r="AZ19">
            <v>5</v>
          </cell>
          <cell r="BA19">
            <v>8</v>
          </cell>
          <cell r="BB19">
            <v>10</v>
          </cell>
          <cell r="BC19">
            <v>44</v>
          </cell>
          <cell r="BD19">
            <v>26.4</v>
          </cell>
          <cell r="BE19">
            <v>44.4</v>
          </cell>
          <cell r="BF19">
            <v>0</v>
          </cell>
          <cell r="BG19">
            <v>5</v>
          </cell>
          <cell r="BH19">
            <v>33</v>
          </cell>
          <cell r="BI19">
            <v>4.7142857142857144</v>
          </cell>
          <cell r="BJ19" t="str">
            <v>BETTER</v>
          </cell>
          <cell r="BK19">
            <v>657.4</v>
          </cell>
          <cell r="BL19">
            <v>59</v>
          </cell>
          <cell r="BM19">
            <v>64</v>
          </cell>
        </row>
        <row r="20">
          <cell r="B20">
            <v>32</v>
          </cell>
          <cell r="C20" t="str">
            <v>MAYMUNA MUNIRA</v>
          </cell>
          <cell r="D20" t="str">
            <v>MOHAMMAD BILLAL</v>
          </cell>
          <cell r="E20" t="str">
            <v>SABIKUN NAHAR</v>
          </cell>
          <cell r="F20">
            <v>19</v>
          </cell>
          <cell r="G20">
            <v>14</v>
          </cell>
          <cell r="H20">
            <v>54</v>
          </cell>
          <cell r="I20">
            <v>87</v>
          </cell>
          <cell r="J20">
            <v>10</v>
          </cell>
          <cell r="K20">
            <v>10</v>
          </cell>
          <cell r="L20">
            <v>29</v>
          </cell>
          <cell r="M20">
            <v>49</v>
          </cell>
          <cell r="N20">
            <v>136</v>
          </cell>
          <cell r="O20">
            <v>0</v>
          </cell>
          <cell r="P20">
            <v>5</v>
          </cell>
          <cell r="Q20">
            <v>19</v>
          </cell>
          <cell r="R20">
            <v>20</v>
          </cell>
          <cell r="S20">
            <v>48</v>
          </cell>
          <cell r="T20">
            <v>87</v>
          </cell>
          <cell r="U20">
            <v>10</v>
          </cell>
          <cell r="V20">
            <v>10</v>
          </cell>
          <cell r="W20">
            <v>53</v>
          </cell>
          <cell r="X20">
            <v>26.5</v>
          </cell>
          <cell r="Y20">
            <v>46.5</v>
          </cell>
          <cell r="Z20">
            <v>133.5</v>
          </cell>
          <cell r="AA20">
            <v>0</v>
          </cell>
          <cell r="AB20">
            <v>5</v>
          </cell>
          <cell r="AC20">
            <v>20</v>
          </cell>
          <cell r="AD20">
            <v>20</v>
          </cell>
          <cell r="AE20">
            <v>50</v>
          </cell>
          <cell r="AF20">
            <v>90</v>
          </cell>
          <cell r="AG20">
            <v>0</v>
          </cell>
          <cell r="AH20">
            <v>5</v>
          </cell>
          <cell r="AI20">
            <v>20</v>
          </cell>
          <cell r="AJ20">
            <v>20</v>
          </cell>
          <cell r="AK20">
            <v>30</v>
          </cell>
          <cell r="AL20">
            <v>70</v>
          </cell>
          <cell r="AM20">
            <v>0</v>
          </cell>
          <cell r="AN20">
            <v>4</v>
          </cell>
          <cell r="AO20">
            <v>16</v>
          </cell>
          <cell r="AP20">
            <v>20</v>
          </cell>
          <cell r="AQ20">
            <v>44</v>
          </cell>
          <cell r="AR20">
            <v>80</v>
          </cell>
          <cell r="AS20">
            <v>0</v>
          </cell>
          <cell r="AT20">
            <v>5</v>
          </cell>
          <cell r="AU20">
            <v>20</v>
          </cell>
          <cell r="AV20">
            <v>20</v>
          </cell>
          <cell r="AW20">
            <v>58</v>
          </cell>
          <cell r="AX20">
            <v>98</v>
          </cell>
          <cell r="AY20">
            <v>0</v>
          </cell>
          <cell r="AZ20">
            <v>5</v>
          </cell>
          <cell r="BA20">
            <v>8</v>
          </cell>
          <cell r="BB20">
            <v>10</v>
          </cell>
          <cell r="BC20">
            <v>47</v>
          </cell>
          <cell r="BD20">
            <v>28.2</v>
          </cell>
          <cell r="BE20">
            <v>46.2</v>
          </cell>
          <cell r="BF20">
            <v>0</v>
          </cell>
          <cell r="BG20">
            <v>5</v>
          </cell>
          <cell r="BH20">
            <v>34</v>
          </cell>
          <cell r="BI20">
            <v>4.8571428571428568</v>
          </cell>
          <cell r="BJ20" t="str">
            <v>BETTER</v>
          </cell>
          <cell r="BK20">
            <v>653.70000000000005</v>
          </cell>
          <cell r="BL20">
            <v>53</v>
          </cell>
          <cell r="BM20">
            <v>57</v>
          </cell>
        </row>
        <row r="21">
          <cell r="B21">
            <v>33</v>
          </cell>
          <cell r="C21" t="str">
            <v xml:space="preserve">MD.PIAS </v>
          </cell>
          <cell r="D21" t="str">
            <v xml:space="preserve">MD JALAL MRIDHA </v>
          </cell>
          <cell r="E21" t="str">
            <v>POPY AKTER</v>
          </cell>
          <cell r="F21">
            <v>20</v>
          </cell>
          <cell r="G21">
            <v>18</v>
          </cell>
          <cell r="H21">
            <v>56</v>
          </cell>
          <cell r="I21">
            <v>94</v>
          </cell>
          <cell r="J21">
            <v>10</v>
          </cell>
          <cell r="K21">
            <v>10</v>
          </cell>
          <cell r="L21">
            <v>30</v>
          </cell>
          <cell r="M21">
            <v>50</v>
          </cell>
          <cell r="N21">
            <v>144</v>
          </cell>
          <cell r="O21">
            <v>0</v>
          </cell>
          <cell r="P21">
            <v>5</v>
          </cell>
          <cell r="Q21">
            <v>18</v>
          </cell>
          <cell r="R21">
            <v>20</v>
          </cell>
          <cell r="S21">
            <v>49</v>
          </cell>
          <cell r="T21">
            <v>87</v>
          </cell>
          <cell r="U21">
            <v>10</v>
          </cell>
          <cell r="V21">
            <v>10</v>
          </cell>
          <cell r="W21">
            <v>41</v>
          </cell>
          <cell r="X21">
            <v>20.5</v>
          </cell>
          <cell r="Y21">
            <v>40.5</v>
          </cell>
          <cell r="Z21">
            <v>127.5</v>
          </cell>
          <cell r="AA21">
            <v>0</v>
          </cell>
          <cell r="AB21">
            <v>5</v>
          </cell>
          <cell r="AC21">
            <v>20</v>
          </cell>
          <cell r="AD21">
            <v>20</v>
          </cell>
          <cell r="AE21">
            <v>56</v>
          </cell>
          <cell r="AF21">
            <v>96</v>
          </cell>
          <cell r="AG21">
            <v>0</v>
          </cell>
          <cell r="AH21">
            <v>5</v>
          </cell>
          <cell r="AI21">
            <v>20</v>
          </cell>
          <cell r="AJ21">
            <v>20</v>
          </cell>
          <cell r="AK21">
            <v>46</v>
          </cell>
          <cell r="AL21">
            <v>86</v>
          </cell>
          <cell r="AM21">
            <v>0</v>
          </cell>
          <cell r="AN21">
            <v>5</v>
          </cell>
          <cell r="AO21">
            <v>19</v>
          </cell>
          <cell r="AP21">
            <v>20</v>
          </cell>
          <cell r="AQ21">
            <v>59</v>
          </cell>
          <cell r="AR21">
            <v>98</v>
          </cell>
          <cell r="AS21">
            <v>0</v>
          </cell>
          <cell r="AT21">
            <v>5</v>
          </cell>
          <cell r="AU21">
            <v>20</v>
          </cell>
          <cell r="AV21">
            <v>20</v>
          </cell>
          <cell r="AW21">
            <v>58</v>
          </cell>
          <cell r="AX21">
            <v>98</v>
          </cell>
          <cell r="AY21">
            <v>0</v>
          </cell>
          <cell r="AZ21">
            <v>5</v>
          </cell>
          <cell r="BA21">
            <v>10</v>
          </cell>
          <cell r="BB21">
            <v>10</v>
          </cell>
          <cell r="BC21">
            <v>50</v>
          </cell>
          <cell r="BD21">
            <v>30</v>
          </cell>
          <cell r="BE21">
            <v>50</v>
          </cell>
          <cell r="BF21">
            <v>0</v>
          </cell>
          <cell r="BG21">
            <v>5</v>
          </cell>
          <cell r="BH21">
            <v>35</v>
          </cell>
          <cell r="BI21">
            <v>5</v>
          </cell>
          <cell r="BJ21" t="str">
            <v>BEST</v>
          </cell>
          <cell r="BK21">
            <v>699.5</v>
          </cell>
          <cell r="BL21">
            <v>20</v>
          </cell>
          <cell r="BM21">
            <v>59</v>
          </cell>
        </row>
        <row r="22">
          <cell r="B22">
            <v>35</v>
          </cell>
          <cell r="C22" t="str">
            <v>MD.IBRAJHIM</v>
          </cell>
          <cell r="D22" t="str">
            <v>MD.ABDULLAH AL MOTI</v>
          </cell>
          <cell r="E22" t="str">
            <v>MAHFUJA KHATUN</v>
          </cell>
          <cell r="F22">
            <v>19</v>
          </cell>
          <cell r="G22">
            <v>20</v>
          </cell>
          <cell r="H22">
            <v>51</v>
          </cell>
          <cell r="I22">
            <v>90</v>
          </cell>
          <cell r="J22">
            <v>10</v>
          </cell>
          <cell r="K22">
            <v>10</v>
          </cell>
          <cell r="L22">
            <v>30</v>
          </cell>
          <cell r="M22">
            <v>50</v>
          </cell>
          <cell r="N22">
            <v>140</v>
          </cell>
          <cell r="O22">
            <v>0</v>
          </cell>
          <cell r="P22">
            <v>5</v>
          </cell>
          <cell r="Q22">
            <v>13</v>
          </cell>
          <cell r="R22">
            <v>19</v>
          </cell>
          <cell r="S22">
            <v>40</v>
          </cell>
          <cell r="T22">
            <v>72</v>
          </cell>
          <cell r="U22">
            <v>10</v>
          </cell>
          <cell r="V22">
            <v>10</v>
          </cell>
          <cell r="W22">
            <v>44</v>
          </cell>
          <cell r="X22">
            <v>22</v>
          </cell>
          <cell r="Y22">
            <v>42</v>
          </cell>
          <cell r="Z22">
            <v>114</v>
          </cell>
          <cell r="AA22">
            <v>0</v>
          </cell>
          <cell r="AB22">
            <v>4</v>
          </cell>
          <cell r="AC22">
            <v>20</v>
          </cell>
          <cell r="AD22">
            <v>20</v>
          </cell>
          <cell r="AE22">
            <v>58</v>
          </cell>
          <cell r="AF22">
            <v>98</v>
          </cell>
          <cell r="AG22">
            <v>0</v>
          </cell>
          <cell r="AH22">
            <v>5</v>
          </cell>
          <cell r="AI22">
            <v>20</v>
          </cell>
          <cell r="AJ22">
            <v>20</v>
          </cell>
          <cell r="AK22">
            <v>47</v>
          </cell>
          <cell r="AL22">
            <v>87</v>
          </cell>
          <cell r="AM22">
            <v>0</v>
          </cell>
          <cell r="AN22">
            <v>5</v>
          </cell>
          <cell r="AO22">
            <v>19</v>
          </cell>
          <cell r="AP22">
            <v>20</v>
          </cell>
          <cell r="AQ22">
            <v>56</v>
          </cell>
          <cell r="AR22">
            <v>95</v>
          </cell>
          <cell r="AS22">
            <v>0</v>
          </cell>
          <cell r="AT22">
            <v>5</v>
          </cell>
          <cell r="AU22">
            <v>20</v>
          </cell>
          <cell r="AV22">
            <v>20</v>
          </cell>
          <cell r="AW22">
            <v>58</v>
          </cell>
          <cell r="AX22">
            <v>98</v>
          </cell>
          <cell r="AY22">
            <v>0</v>
          </cell>
          <cell r="AZ22">
            <v>5</v>
          </cell>
          <cell r="BA22">
            <v>10</v>
          </cell>
          <cell r="BB22">
            <v>10</v>
          </cell>
          <cell r="BC22">
            <v>49</v>
          </cell>
          <cell r="BD22">
            <v>29.4</v>
          </cell>
          <cell r="BE22">
            <v>49.4</v>
          </cell>
          <cell r="BF22">
            <v>0</v>
          </cell>
          <cell r="BG22">
            <v>5</v>
          </cell>
          <cell r="BH22">
            <v>34</v>
          </cell>
          <cell r="BI22">
            <v>4.8571428571428568</v>
          </cell>
          <cell r="BJ22" t="str">
            <v>BETTER</v>
          </cell>
          <cell r="BK22">
            <v>681.4</v>
          </cell>
          <cell r="BL22">
            <v>40</v>
          </cell>
          <cell r="BM22">
            <v>57</v>
          </cell>
        </row>
        <row r="23">
          <cell r="B23">
            <v>36</v>
          </cell>
          <cell r="C23" t="str">
            <v>ALIF JAMAN</v>
          </cell>
          <cell r="D23" t="str">
            <v>MD.NUROZZAMAN</v>
          </cell>
          <cell r="E23" t="str">
            <v>ALIZA PERVIN</v>
          </cell>
          <cell r="F23">
            <v>19</v>
          </cell>
          <cell r="G23">
            <v>16</v>
          </cell>
          <cell r="H23">
            <v>57</v>
          </cell>
          <cell r="I23">
            <v>92</v>
          </cell>
          <cell r="J23">
            <v>10</v>
          </cell>
          <cell r="K23">
            <v>10</v>
          </cell>
          <cell r="L23">
            <v>28</v>
          </cell>
          <cell r="M23">
            <v>48</v>
          </cell>
          <cell r="N23">
            <v>140</v>
          </cell>
          <cell r="O23">
            <v>0</v>
          </cell>
          <cell r="P23">
            <v>5</v>
          </cell>
          <cell r="Q23">
            <v>19</v>
          </cell>
          <cell r="R23">
            <v>20</v>
          </cell>
          <cell r="S23">
            <v>0</v>
          </cell>
          <cell r="T23">
            <v>39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39</v>
          </cell>
          <cell r="AA23">
            <v>0</v>
          </cell>
          <cell r="AB23" t="str">
            <v>F</v>
          </cell>
          <cell r="AC23">
            <v>19</v>
          </cell>
          <cell r="AD23">
            <v>20</v>
          </cell>
          <cell r="AE23">
            <v>57</v>
          </cell>
          <cell r="AF23">
            <v>96</v>
          </cell>
          <cell r="AG23">
            <v>0</v>
          </cell>
          <cell r="AH23">
            <v>5</v>
          </cell>
          <cell r="AI23">
            <v>20</v>
          </cell>
          <cell r="AJ23">
            <v>20</v>
          </cell>
          <cell r="AK23">
            <v>36</v>
          </cell>
          <cell r="AL23">
            <v>76</v>
          </cell>
          <cell r="AM23">
            <v>0</v>
          </cell>
          <cell r="AN23">
            <v>4</v>
          </cell>
          <cell r="AO23">
            <v>14</v>
          </cell>
          <cell r="AP23">
            <v>20</v>
          </cell>
          <cell r="AQ23">
            <v>58</v>
          </cell>
          <cell r="AR23">
            <v>92</v>
          </cell>
          <cell r="AS23">
            <v>0</v>
          </cell>
          <cell r="AT23">
            <v>5</v>
          </cell>
          <cell r="AU23">
            <v>20</v>
          </cell>
          <cell r="AV23">
            <v>20</v>
          </cell>
          <cell r="AW23">
            <v>50</v>
          </cell>
          <cell r="AX23">
            <v>90</v>
          </cell>
          <cell r="AY23">
            <v>0</v>
          </cell>
          <cell r="AZ23">
            <v>5</v>
          </cell>
          <cell r="BA23">
            <v>9</v>
          </cell>
          <cell r="BB23">
            <v>10</v>
          </cell>
          <cell r="BC23">
            <v>50</v>
          </cell>
          <cell r="BD23">
            <v>30</v>
          </cell>
          <cell r="BE23">
            <v>49</v>
          </cell>
          <cell r="BF23">
            <v>0</v>
          </cell>
          <cell r="BG23">
            <v>5</v>
          </cell>
          <cell r="BH23" t="str">
            <v>F</v>
          </cell>
          <cell r="BI23" t="str">
            <v>F</v>
          </cell>
          <cell r="BJ23" t="str">
            <v>NEED TO PROGRESS</v>
          </cell>
          <cell r="BK23">
            <v>582</v>
          </cell>
          <cell r="BL23" t="str">
            <v>F</v>
          </cell>
          <cell r="BM23">
            <v>58</v>
          </cell>
        </row>
        <row r="24">
          <cell r="B24">
            <v>39</v>
          </cell>
          <cell r="C24" t="str">
            <v>MD.SAIYAN KADER TONOY</v>
          </cell>
          <cell r="D24" t="str">
            <v>MD.MOTAHAR HOSSAIN FAKIR</v>
          </cell>
          <cell r="E24" t="str">
            <v>MOST.SHAMMI AKTER</v>
          </cell>
          <cell r="F24">
            <v>18</v>
          </cell>
          <cell r="G24">
            <v>15</v>
          </cell>
          <cell r="H24">
            <v>58</v>
          </cell>
          <cell r="I24">
            <v>91</v>
          </cell>
          <cell r="J24">
            <v>9</v>
          </cell>
          <cell r="K24">
            <v>10</v>
          </cell>
          <cell r="L24">
            <v>28</v>
          </cell>
          <cell r="M24">
            <v>47</v>
          </cell>
          <cell r="N24">
            <v>138</v>
          </cell>
          <cell r="O24">
            <v>0</v>
          </cell>
          <cell r="P24">
            <v>5</v>
          </cell>
          <cell r="Q24">
            <v>17</v>
          </cell>
          <cell r="R24">
            <v>19</v>
          </cell>
          <cell r="S24">
            <v>34</v>
          </cell>
          <cell r="T24">
            <v>70</v>
          </cell>
          <cell r="U24">
            <v>10</v>
          </cell>
          <cell r="V24">
            <v>10</v>
          </cell>
          <cell r="W24">
            <v>49</v>
          </cell>
          <cell r="X24">
            <v>24.5</v>
          </cell>
          <cell r="Y24">
            <v>44.5</v>
          </cell>
          <cell r="Z24">
            <v>114.5</v>
          </cell>
          <cell r="AA24">
            <v>0</v>
          </cell>
          <cell r="AB24">
            <v>4</v>
          </cell>
          <cell r="AC24">
            <v>19</v>
          </cell>
          <cell r="AD24">
            <v>20</v>
          </cell>
          <cell r="AE24">
            <v>54</v>
          </cell>
          <cell r="AF24">
            <v>93</v>
          </cell>
          <cell r="AG24">
            <v>0</v>
          </cell>
          <cell r="AH24">
            <v>5</v>
          </cell>
          <cell r="AI24">
            <v>20</v>
          </cell>
          <cell r="AJ24">
            <v>20</v>
          </cell>
          <cell r="AK24">
            <v>51</v>
          </cell>
          <cell r="AL24">
            <v>91</v>
          </cell>
          <cell r="AM24">
            <v>0</v>
          </cell>
          <cell r="AN24">
            <v>5</v>
          </cell>
          <cell r="AO24">
            <v>20</v>
          </cell>
          <cell r="AP24">
            <v>20</v>
          </cell>
          <cell r="AQ24">
            <v>58</v>
          </cell>
          <cell r="AR24">
            <v>98</v>
          </cell>
          <cell r="AS24">
            <v>0</v>
          </cell>
          <cell r="AT24">
            <v>5</v>
          </cell>
          <cell r="AU24">
            <v>20</v>
          </cell>
          <cell r="AV24">
            <v>19</v>
          </cell>
          <cell r="AW24">
            <v>57</v>
          </cell>
          <cell r="AX24">
            <v>96</v>
          </cell>
          <cell r="AY24">
            <v>0</v>
          </cell>
          <cell r="AZ24">
            <v>5</v>
          </cell>
          <cell r="BA24">
            <v>10</v>
          </cell>
          <cell r="BB24">
            <v>10</v>
          </cell>
          <cell r="BC24">
            <v>49</v>
          </cell>
          <cell r="BD24">
            <v>29.4</v>
          </cell>
          <cell r="BE24">
            <v>49.4</v>
          </cell>
          <cell r="BF24">
            <v>0</v>
          </cell>
          <cell r="BG24">
            <v>5</v>
          </cell>
          <cell r="BH24">
            <v>34</v>
          </cell>
          <cell r="BI24">
            <v>4.8571428571428568</v>
          </cell>
          <cell r="BJ24" t="str">
            <v>BETTER</v>
          </cell>
          <cell r="BK24">
            <v>679.9</v>
          </cell>
          <cell r="BL24">
            <v>41</v>
          </cell>
          <cell r="BM24">
            <v>60</v>
          </cell>
        </row>
        <row r="25">
          <cell r="B25">
            <v>40</v>
          </cell>
          <cell r="C25" t="str">
            <v>HOMAIRA SARKER</v>
          </cell>
          <cell r="D25" t="str">
            <v>HADISUL SARKER</v>
          </cell>
          <cell r="E25" t="str">
            <v>ISRAT JAHAN MITU</v>
          </cell>
          <cell r="F25">
            <v>20</v>
          </cell>
          <cell r="G25">
            <v>20</v>
          </cell>
          <cell r="H25">
            <v>59</v>
          </cell>
          <cell r="I25">
            <v>99</v>
          </cell>
          <cell r="J25">
            <v>10</v>
          </cell>
          <cell r="K25">
            <v>10</v>
          </cell>
          <cell r="L25">
            <v>30</v>
          </cell>
          <cell r="M25">
            <v>50</v>
          </cell>
          <cell r="N25">
            <v>149</v>
          </cell>
          <cell r="O25">
            <v>0</v>
          </cell>
          <cell r="P25">
            <v>5</v>
          </cell>
          <cell r="Q25">
            <v>20</v>
          </cell>
          <cell r="R25">
            <v>20</v>
          </cell>
          <cell r="S25">
            <v>58</v>
          </cell>
          <cell r="T25">
            <v>98</v>
          </cell>
          <cell r="U25">
            <v>10</v>
          </cell>
          <cell r="V25">
            <v>10</v>
          </cell>
          <cell r="W25">
            <v>54</v>
          </cell>
          <cell r="X25">
            <v>27</v>
          </cell>
          <cell r="Y25">
            <v>47</v>
          </cell>
          <cell r="Z25">
            <v>145</v>
          </cell>
          <cell r="AA25">
            <v>0</v>
          </cell>
          <cell r="AB25">
            <v>5</v>
          </cell>
          <cell r="AC25">
            <v>20</v>
          </cell>
          <cell r="AD25">
            <v>20</v>
          </cell>
          <cell r="AE25">
            <v>60</v>
          </cell>
          <cell r="AF25">
            <v>100</v>
          </cell>
          <cell r="AG25">
            <v>0</v>
          </cell>
          <cell r="AH25">
            <v>5</v>
          </cell>
          <cell r="AI25">
            <v>20</v>
          </cell>
          <cell r="AJ25">
            <v>20</v>
          </cell>
          <cell r="AK25">
            <v>60</v>
          </cell>
          <cell r="AL25">
            <v>100</v>
          </cell>
          <cell r="AM25">
            <v>0</v>
          </cell>
          <cell r="AN25">
            <v>5</v>
          </cell>
          <cell r="AO25">
            <v>20</v>
          </cell>
          <cell r="AP25">
            <v>19</v>
          </cell>
          <cell r="AQ25">
            <v>60</v>
          </cell>
          <cell r="AR25">
            <v>99</v>
          </cell>
          <cell r="AS25">
            <v>0</v>
          </cell>
          <cell r="AT25">
            <v>5</v>
          </cell>
          <cell r="AU25">
            <v>20</v>
          </cell>
          <cell r="AV25">
            <v>20</v>
          </cell>
          <cell r="AW25">
            <v>58</v>
          </cell>
          <cell r="AX25">
            <v>98</v>
          </cell>
          <cell r="AY25">
            <v>0</v>
          </cell>
          <cell r="AZ25">
            <v>5</v>
          </cell>
          <cell r="BA25">
            <v>10</v>
          </cell>
          <cell r="BB25">
            <v>10</v>
          </cell>
          <cell r="BC25">
            <v>50</v>
          </cell>
          <cell r="BD25">
            <v>30</v>
          </cell>
          <cell r="BE25">
            <v>50</v>
          </cell>
          <cell r="BF25">
            <v>0</v>
          </cell>
          <cell r="BG25">
            <v>5</v>
          </cell>
          <cell r="BH25">
            <v>35</v>
          </cell>
          <cell r="BI25">
            <v>5</v>
          </cell>
          <cell r="BJ25" t="str">
            <v>BEST</v>
          </cell>
          <cell r="BK25">
            <v>741</v>
          </cell>
          <cell r="BL25">
            <v>4</v>
          </cell>
          <cell r="BM25">
            <v>58</v>
          </cell>
        </row>
        <row r="26">
          <cell r="B26">
            <v>41</v>
          </cell>
          <cell r="C26" t="str">
            <v>SAIHAM KADER TONMOY</v>
          </cell>
          <cell r="D26" t="str">
            <v>MD.MOTAHAR HOSSAIN FAKIR</v>
          </cell>
          <cell r="E26" t="str">
            <v>MOST.SHAMMI AKTER</v>
          </cell>
          <cell r="F26">
            <v>16</v>
          </cell>
          <cell r="G26">
            <v>20</v>
          </cell>
          <cell r="H26">
            <v>56</v>
          </cell>
          <cell r="I26">
            <v>92</v>
          </cell>
          <cell r="J26">
            <v>9</v>
          </cell>
          <cell r="K26">
            <v>10</v>
          </cell>
          <cell r="L26">
            <v>30</v>
          </cell>
          <cell r="M26">
            <v>49</v>
          </cell>
          <cell r="N26">
            <v>141</v>
          </cell>
          <cell r="O26">
            <v>0</v>
          </cell>
          <cell r="P26">
            <v>5</v>
          </cell>
          <cell r="Q26">
            <v>17</v>
          </cell>
          <cell r="R26">
            <v>20</v>
          </cell>
          <cell r="S26">
            <v>34</v>
          </cell>
          <cell r="T26">
            <v>71</v>
          </cell>
          <cell r="U26">
            <v>9</v>
          </cell>
          <cell r="V26">
            <v>10</v>
          </cell>
          <cell r="W26">
            <v>43</v>
          </cell>
          <cell r="X26">
            <v>21.5</v>
          </cell>
          <cell r="Y26">
            <v>40.5</v>
          </cell>
          <cell r="Z26">
            <v>111.5</v>
          </cell>
          <cell r="AA26">
            <v>0</v>
          </cell>
          <cell r="AB26">
            <v>4</v>
          </cell>
          <cell r="AC26">
            <v>20</v>
          </cell>
          <cell r="AD26">
            <v>20</v>
          </cell>
          <cell r="AE26">
            <v>47</v>
          </cell>
          <cell r="AF26">
            <v>87</v>
          </cell>
          <cell r="AG26">
            <v>0</v>
          </cell>
          <cell r="AH26">
            <v>5</v>
          </cell>
          <cell r="AI26">
            <v>20</v>
          </cell>
          <cell r="AJ26">
            <v>20</v>
          </cell>
          <cell r="AK26">
            <v>42</v>
          </cell>
          <cell r="AL26">
            <v>82</v>
          </cell>
          <cell r="AM26">
            <v>0</v>
          </cell>
          <cell r="AN26">
            <v>5</v>
          </cell>
          <cell r="AO26">
            <v>19</v>
          </cell>
          <cell r="AP26">
            <v>20</v>
          </cell>
          <cell r="AQ26">
            <v>57</v>
          </cell>
          <cell r="AR26">
            <v>96</v>
          </cell>
          <cell r="AS26">
            <v>0</v>
          </cell>
          <cell r="AT26">
            <v>5</v>
          </cell>
          <cell r="AU26">
            <v>16</v>
          </cell>
          <cell r="AV26">
            <v>20</v>
          </cell>
          <cell r="AW26">
            <v>57</v>
          </cell>
          <cell r="AX26">
            <v>93</v>
          </cell>
          <cell r="AY26">
            <v>0</v>
          </cell>
          <cell r="AZ26">
            <v>5</v>
          </cell>
          <cell r="BA26">
            <v>10</v>
          </cell>
          <cell r="BB26">
            <v>10</v>
          </cell>
          <cell r="BC26">
            <v>45</v>
          </cell>
          <cell r="BD26">
            <v>27</v>
          </cell>
          <cell r="BE26">
            <v>47</v>
          </cell>
          <cell r="BF26">
            <v>0</v>
          </cell>
          <cell r="BG26">
            <v>5</v>
          </cell>
          <cell r="BH26">
            <v>34</v>
          </cell>
          <cell r="BI26">
            <v>4.8571428571428568</v>
          </cell>
          <cell r="BJ26" t="str">
            <v>BETTER</v>
          </cell>
          <cell r="BK26">
            <v>657.5</v>
          </cell>
          <cell r="BL26">
            <v>52</v>
          </cell>
          <cell r="BM26">
            <v>62</v>
          </cell>
        </row>
        <row r="27">
          <cell r="B27">
            <v>42</v>
          </cell>
          <cell r="C27" t="str">
            <v xml:space="preserve">JINHAJ ISLAM RATUL </v>
          </cell>
          <cell r="D27" t="str">
            <v>MD.RIMON HOSSEN</v>
          </cell>
          <cell r="E27" t="str">
            <v>ROZINA AKTER RADIA</v>
          </cell>
          <cell r="F27">
            <v>20</v>
          </cell>
          <cell r="G27">
            <v>19</v>
          </cell>
          <cell r="H27">
            <v>55</v>
          </cell>
          <cell r="I27">
            <v>94</v>
          </cell>
          <cell r="J27">
            <v>10</v>
          </cell>
          <cell r="K27">
            <v>10</v>
          </cell>
          <cell r="L27">
            <v>30</v>
          </cell>
          <cell r="M27">
            <v>50</v>
          </cell>
          <cell r="N27">
            <v>144</v>
          </cell>
          <cell r="O27">
            <v>0</v>
          </cell>
          <cell r="P27">
            <v>5</v>
          </cell>
          <cell r="Q27">
            <v>20</v>
          </cell>
          <cell r="R27">
            <v>20</v>
          </cell>
          <cell r="S27">
            <v>39</v>
          </cell>
          <cell r="T27">
            <v>79</v>
          </cell>
          <cell r="U27">
            <v>10</v>
          </cell>
          <cell r="V27">
            <v>10</v>
          </cell>
          <cell r="W27">
            <v>51</v>
          </cell>
          <cell r="X27">
            <v>25.5</v>
          </cell>
          <cell r="Y27">
            <v>45.5</v>
          </cell>
          <cell r="Z27">
            <v>124.5</v>
          </cell>
          <cell r="AA27">
            <v>0</v>
          </cell>
          <cell r="AB27">
            <v>5</v>
          </cell>
          <cell r="AC27">
            <v>20</v>
          </cell>
          <cell r="AD27">
            <v>20</v>
          </cell>
          <cell r="AE27">
            <v>58</v>
          </cell>
          <cell r="AF27">
            <v>98</v>
          </cell>
          <cell r="AG27">
            <v>0</v>
          </cell>
          <cell r="AH27">
            <v>5</v>
          </cell>
          <cell r="AI27">
            <v>20</v>
          </cell>
          <cell r="AJ27">
            <v>20</v>
          </cell>
          <cell r="AK27">
            <v>52</v>
          </cell>
          <cell r="AL27">
            <v>92</v>
          </cell>
          <cell r="AM27">
            <v>0</v>
          </cell>
          <cell r="AN27">
            <v>5</v>
          </cell>
          <cell r="AO27">
            <v>18</v>
          </cell>
          <cell r="AP27">
            <v>20</v>
          </cell>
          <cell r="AQ27">
            <v>59</v>
          </cell>
          <cell r="AR27">
            <v>97</v>
          </cell>
          <cell r="AS27">
            <v>0</v>
          </cell>
          <cell r="AT27">
            <v>5</v>
          </cell>
          <cell r="AU27">
            <v>20</v>
          </cell>
          <cell r="AV27">
            <v>20</v>
          </cell>
          <cell r="AW27">
            <v>58</v>
          </cell>
          <cell r="AX27">
            <v>98</v>
          </cell>
          <cell r="AY27">
            <v>0</v>
          </cell>
          <cell r="AZ27">
            <v>5</v>
          </cell>
          <cell r="BA27">
            <v>10</v>
          </cell>
          <cell r="BB27">
            <v>10</v>
          </cell>
          <cell r="BC27">
            <v>50</v>
          </cell>
          <cell r="BD27">
            <v>30</v>
          </cell>
          <cell r="BE27">
            <v>50</v>
          </cell>
          <cell r="BF27">
            <v>0</v>
          </cell>
          <cell r="BG27">
            <v>5</v>
          </cell>
          <cell r="BH27">
            <v>35</v>
          </cell>
          <cell r="BI27">
            <v>5</v>
          </cell>
          <cell r="BJ27" t="str">
            <v>BEST</v>
          </cell>
          <cell r="BK27">
            <v>703.5</v>
          </cell>
          <cell r="BL27">
            <v>18</v>
          </cell>
          <cell r="BM27">
            <v>60</v>
          </cell>
        </row>
        <row r="28">
          <cell r="B28">
            <v>43</v>
          </cell>
          <cell r="C28" t="str">
            <v>MD.SIYAM HOSSAIN</v>
          </cell>
          <cell r="D28" t="str">
            <v>ABU SAEID</v>
          </cell>
          <cell r="E28" t="str">
            <v>RAHELA AKTER</v>
          </cell>
          <cell r="F28">
            <v>20</v>
          </cell>
          <cell r="G28">
            <v>20</v>
          </cell>
          <cell r="H28">
            <v>51</v>
          </cell>
          <cell r="I28">
            <v>91</v>
          </cell>
          <cell r="J28">
            <v>10</v>
          </cell>
          <cell r="K28">
            <v>10</v>
          </cell>
          <cell r="L28">
            <v>30</v>
          </cell>
          <cell r="M28">
            <v>50</v>
          </cell>
          <cell r="N28">
            <v>141</v>
          </cell>
          <cell r="O28">
            <v>0</v>
          </cell>
          <cell r="P28">
            <v>5</v>
          </cell>
          <cell r="Q28">
            <v>19</v>
          </cell>
          <cell r="R28">
            <v>19</v>
          </cell>
          <cell r="S28">
            <v>35</v>
          </cell>
          <cell r="T28">
            <v>73</v>
          </cell>
          <cell r="U28">
            <v>10</v>
          </cell>
          <cell r="V28">
            <v>10</v>
          </cell>
          <cell r="W28">
            <v>46</v>
          </cell>
          <cell r="X28">
            <v>23</v>
          </cell>
          <cell r="Y28">
            <v>43</v>
          </cell>
          <cell r="Z28">
            <v>116</v>
          </cell>
          <cell r="AA28">
            <v>0</v>
          </cell>
          <cell r="AB28">
            <v>4</v>
          </cell>
          <cell r="AC28">
            <v>20</v>
          </cell>
          <cell r="AD28">
            <v>20</v>
          </cell>
          <cell r="AE28">
            <v>53</v>
          </cell>
          <cell r="AF28">
            <v>93</v>
          </cell>
          <cell r="AG28">
            <v>0</v>
          </cell>
          <cell r="AH28">
            <v>5</v>
          </cell>
          <cell r="AI28">
            <v>20</v>
          </cell>
          <cell r="AJ28">
            <v>20</v>
          </cell>
          <cell r="AK28">
            <v>58</v>
          </cell>
          <cell r="AL28">
            <v>98</v>
          </cell>
          <cell r="AM28">
            <v>0</v>
          </cell>
          <cell r="AN28">
            <v>5</v>
          </cell>
          <cell r="AO28">
            <v>19</v>
          </cell>
          <cell r="AP28">
            <v>20</v>
          </cell>
          <cell r="AQ28">
            <v>59</v>
          </cell>
          <cell r="AR28">
            <v>98</v>
          </cell>
          <cell r="AS28">
            <v>0</v>
          </cell>
          <cell r="AT28">
            <v>5</v>
          </cell>
          <cell r="AU28">
            <v>20</v>
          </cell>
          <cell r="AV28">
            <v>20</v>
          </cell>
          <cell r="AW28">
            <v>58</v>
          </cell>
          <cell r="AX28">
            <v>98</v>
          </cell>
          <cell r="AY28">
            <v>0</v>
          </cell>
          <cell r="AZ28">
            <v>5</v>
          </cell>
          <cell r="BA28">
            <v>9</v>
          </cell>
          <cell r="BB28">
            <v>10</v>
          </cell>
          <cell r="BC28">
            <v>48</v>
          </cell>
          <cell r="BD28">
            <v>28.799999999999997</v>
          </cell>
          <cell r="BE28">
            <v>47.8</v>
          </cell>
          <cell r="BF28">
            <v>0</v>
          </cell>
          <cell r="BG28">
            <v>5</v>
          </cell>
          <cell r="BH28">
            <v>34</v>
          </cell>
          <cell r="BI28">
            <v>4.8571428571428568</v>
          </cell>
          <cell r="BJ28" t="str">
            <v>BETTER</v>
          </cell>
          <cell r="BK28">
            <v>691.8</v>
          </cell>
          <cell r="BL28">
            <v>37</v>
          </cell>
          <cell r="BM28">
            <v>55</v>
          </cell>
        </row>
        <row r="29">
          <cell r="B29">
            <v>45</v>
          </cell>
          <cell r="C29" t="str">
            <v>ABU SUFIAN TAMIN</v>
          </cell>
          <cell r="D29" t="str">
            <v>ABU TAHER</v>
          </cell>
          <cell r="E29" t="str">
            <v>SUFIA BEGUM</v>
          </cell>
          <cell r="F29">
            <v>19</v>
          </cell>
          <cell r="G29">
            <v>16</v>
          </cell>
          <cell r="H29">
            <v>55</v>
          </cell>
          <cell r="I29">
            <v>90</v>
          </cell>
          <cell r="J29">
            <v>10</v>
          </cell>
          <cell r="K29">
            <v>10</v>
          </cell>
          <cell r="L29">
            <v>30</v>
          </cell>
          <cell r="M29">
            <v>50</v>
          </cell>
          <cell r="N29">
            <v>140</v>
          </cell>
          <cell r="O29">
            <v>0</v>
          </cell>
          <cell r="P29">
            <v>5</v>
          </cell>
          <cell r="Q29">
            <v>19</v>
          </cell>
          <cell r="R29">
            <v>20</v>
          </cell>
          <cell r="S29">
            <v>54</v>
          </cell>
          <cell r="T29">
            <v>93</v>
          </cell>
          <cell r="U29">
            <v>10</v>
          </cell>
          <cell r="V29">
            <v>10</v>
          </cell>
          <cell r="W29">
            <v>55</v>
          </cell>
          <cell r="X29">
            <v>27.5</v>
          </cell>
          <cell r="Y29">
            <v>47.5</v>
          </cell>
          <cell r="Z29">
            <v>140.5</v>
          </cell>
          <cell r="AA29">
            <v>0</v>
          </cell>
          <cell r="AB29">
            <v>5</v>
          </cell>
          <cell r="AC29">
            <v>20</v>
          </cell>
          <cell r="AD29">
            <v>20</v>
          </cell>
          <cell r="AE29">
            <v>59</v>
          </cell>
          <cell r="AF29">
            <v>99</v>
          </cell>
          <cell r="AG29">
            <v>0</v>
          </cell>
          <cell r="AH29">
            <v>5</v>
          </cell>
          <cell r="AI29">
            <v>20</v>
          </cell>
          <cell r="AJ29">
            <v>20</v>
          </cell>
          <cell r="AK29">
            <v>48</v>
          </cell>
          <cell r="AL29">
            <v>88</v>
          </cell>
          <cell r="AM29">
            <v>0</v>
          </cell>
          <cell r="AN29">
            <v>5</v>
          </cell>
          <cell r="AO29">
            <v>19</v>
          </cell>
          <cell r="AP29">
            <v>20</v>
          </cell>
          <cell r="AQ29">
            <v>59</v>
          </cell>
          <cell r="AR29">
            <v>98</v>
          </cell>
          <cell r="AS29">
            <v>0</v>
          </cell>
          <cell r="AT29">
            <v>5</v>
          </cell>
          <cell r="AU29">
            <v>20</v>
          </cell>
          <cell r="AV29">
            <v>20</v>
          </cell>
          <cell r="AW29">
            <v>58</v>
          </cell>
          <cell r="AX29">
            <v>98</v>
          </cell>
          <cell r="AY29">
            <v>0</v>
          </cell>
          <cell r="AZ29">
            <v>5</v>
          </cell>
          <cell r="BA29">
            <v>9</v>
          </cell>
          <cell r="BB29">
            <v>10</v>
          </cell>
          <cell r="BC29">
            <v>50</v>
          </cell>
          <cell r="BD29">
            <v>30</v>
          </cell>
          <cell r="BE29">
            <v>49</v>
          </cell>
          <cell r="BF29">
            <v>0</v>
          </cell>
          <cell r="BG29">
            <v>5</v>
          </cell>
          <cell r="BH29">
            <v>35</v>
          </cell>
          <cell r="BI29">
            <v>5</v>
          </cell>
          <cell r="BJ29" t="str">
            <v>BEST</v>
          </cell>
          <cell r="BK29">
            <v>712.5</v>
          </cell>
          <cell r="BL29">
            <v>13</v>
          </cell>
          <cell r="BM29">
            <v>56</v>
          </cell>
        </row>
        <row r="30">
          <cell r="B30">
            <v>46</v>
          </cell>
          <cell r="C30" t="str">
            <v>MD.RAKAT SHEIKH</v>
          </cell>
          <cell r="D30" t="str">
            <v>MD.BONY AMIN</v>
          </cell>
          <cell r="E30" t="str">
            <v>RAJIA SULTANA HERA</v>
          </cell>
          <cell r="F30">
            <v>18</v>
          </cell>
          <cell r="G30">
            <v>20</v>
          </cell>
          <cell r="H30">
            <v>51</v>
          </cell>
          <cell r="I30">
            <v>89</v>
          </cell>
          <cell r="J30">
            <v>9</v>
          </cell>
          <cell r="K30">
            <v>10</v>
          </cell>
          <cell r="L30">
            <v>26</v>
          </cell>
          <cell r="M30">
            <v>45</v>
          </cell>
          <cell r="N30">
            <v>134</v>
          </cell>
          <cell r="O30">
            <v>0</v>
          </cell>
          <cell r="P30">
            <v>5</v>
          </cell>
          <cell r="Q30">
            <v>19</v>
          </cell>
          <cell r="R30">
            <v>19</v>
          </cell>
          <cell r="S30">
            <v>41</v>
          </cell>
          <cell r="T30">
            <v>79</v>
          </cell>
          <cell r="U30">
            <v>10</v>
          </cell>
          <cell r="V30">
            <v>10</v>
          </cell>
          <cell r="W30">
            <v>41</v>
          </cell>
          <cell r="X30">
            <v>20.5</v>
          </cell>
          <cell r="Y30">
            <v>40.5</v>
          </cell>
          <cell r="Z30">
            <v>119.5</v>
          </cell>
          <cell r="AA30">
            <v>0</v>
          </cell>
          <cell r="AB30">
            <v>4</v>
          </cell>
          <cell r="AC30">
            <v>15</v>
          </cell>
          <cell r="AD30">
            <v>20</v>
          </cell>
          <cell r="AE30">
            <v>47</v>
          </cell>
          <cell r="AF30">
            <v>82</v>
          </cell>
          <cell r="AG30">
            <v>0</v>
          </cell>
          <cell r="AH30">
            <v>5</v>
          </cell>
          <cell r="AI30">
            <v>20</v>
          </cell>
          <cell r="AJ30">
            <v>20</v>
          </cell>
          <cell r="AK30">
            <v>47</v>
          </cell>
          <cell r="AL30">
            <v>87</v>
          </cell>
          <cell r="AM30">
            <v>0</v>
          </cell>
          <cell r="AN30">
            <v>5</v>
          </cell>
          <cell r="AO30">
            <v>19</v>
          </cell>
          <cell r="AP30">
            <v>20</v>
          </cell>
          <cell r="AQ30">
            <v>54</v>
          </cell>
          <cell r="AR30">
            <v>93</v>
          </cell>
          <cell r="AS30">
            <v>0</v>
          </cell>
          <cell r="AT30">
            <v>5</v>
          </cell>
          <cell r="AU30">
            <v>15</v>
          </cell>
          <cell r="AV30">
            <v>20</v>
          </cell>
          <cell r="AW30">
            <v>48</v>
          </cell>
          <cell r="AX30">
            <v>83</v>
          </cell>
          <cell r="AY30">
            <v>0</v>
          </cell>
          <cell r="AZ30">
            <v>5</v>
          </cell>
          <cell r="BA30">
            <v>9</v>
          </cell>
          <cell r="BB30">
            <v>10</v>
          </cell>
          <cell r="BC30">
            <v>42</v>
          </cell>
          <cell r="BD30">
            <v>25.2</v>
          </cell>
          <cell r="BE30">
            <v>44.2</v>
          </cell>
          <cell r="BF30">
            <v>0</v>
          </cell>
          <cell r="BG30">
            <v>5</v>
          </cell>
          <cell r="BH30">
            <v>34</v>
          </cell>
          <cell r="BI30">
            <v>4.8571428571428568</v>
          </cell>
          <cell r="BJ30" t="str">
            <v>BETTER</v>
          </cell>
          <cell r="BK30">
            <v>642.70000000000005</v>
          </cell>
          <cell r="BL30">
            <v>55</v>
          </cell>
          <cell r="BM30">
            <v>60</v>
          </cell>
        </row>
        <row r="31">
          <cell r="B31">
            <v>47</v>
          </cell>
          <cell r="C31" t="str">
            <v>ISTIAQ AHMED RADIN</v>
          </cell>
          <cell r="D31" t="str">
            <v>FAISAL AHMED JONY</v>
          </cell>
          <cell r="E31" t="str">
            <v>ISRAT JAHAN ROSY</v>
          </cell>
          <cell r="F31">
            <v>20</v>
          </cell>
          <cell r="G31">
            <v>20</v>
          </cell>
          <cell r="H31">
            <v>59</v>
          </cell>
          <cell r="I31">
            <v>99</v>
          </cell>
          <cell r="J31">
            <v>10</v>
          </cell>
          <cell r="K31">
            <v>10</v>
          </cell>
          <cell r="L31">
            <v>30</v>
          </cell>
          <cell r="M31">
            <v>50</v>
          </cell>
          <cell r="N31">
            <v>149</v>
          </cell>
          <cell r="O31">
            <v>0</v>
          </cell>
          <cell r="P31">
            <v>5</v>
          </cell>
          <cell r="Q31">
            <v>20</v>
          </cell>
          <cell r="R31">
            <v>20</v>
          </cell>
          <cell r="S31">
            <v>54</v>
          </cell>
          <cell r="T31">
            <v>94</v>
          </cell>
          <cell r="U31">
            <v>10</v>
          </cell>
          <cell r="V31">
            <v>10</v>
          </cell>
          <cell r="W31">
            <v>57</v>
          </cell>
          <cell r="X31">
            <v>28.5</v>
          </cell>
          <cell r="Y31">
            <v>48.5</v>
          </cell>
          <cell r="Z31">
            <v>142.5</v>
          </cell>
          <cell r="AA31">
            <v>0</v>
          </cell>
          <cell r="AB31">
            <v>5</v>
          </cell>
          <cell r="AC31">
            <v>20</v>
          </cell>
          <cell r="AD31">
            <v>20</v>
          </cell>
          <cell r="AE31">
            <v>60</v>
          </cell>
          <cell r="AF31">
            <v>100</v>
          </cell>
          <cell r="AG31">
            <v>0</v>
          </cell>
          <cell r="AH31">
            <v>5</v>
          </cell>
          <cell r="AI31">
            <v>20</v>
          </cell>
          <cell r="AJ31">
            <v>20</v>
          </cell>
          <cell r="AK31">
            <v>60</v>
          </cell>
          <cell r="AL31">
            <v>100</v>
          </cell>
          <cell r="AM31">
            <v>0</v>
          </cell>
          <cell r="AN31">
            <v>5</v>
          </cell>
          <cell r="AO31">
            <v>19</v>
          </cell>
          <cell r="AP31">
            <v>20</v>
          </cell>
          <cell r="AQ31">
            <v>60</v>
          </cell>
          <cell r="AR31">
            <v>99</v>
          </cell>
          <cell r="AS31">
            <v>0</v>
          </cell>
          <cell r="AT31">
            <v>5</v>
          </cell>
          <cell r="AU31">
            <v>20</v>
          </cell>
          <cell r="AV31">
            <v>20</v>
          </cell>
          <cell r="AW31">
            <v>58</v>
          </cell>
          <cell r="AX31">
            <v>98</v>
          </cell>
          <cell r="AY31">
            <v>0</v>
          </cell>
          <cell r="AZ31">
            <v>5</v>
          </cell>
          <cell r="BA31">
            <v>10</v>
          </cell>
          <cell r="BB31">
            <v>10</v>
          </cell>
          <cell r="BC31">
            <v>50</v>
          </cell>
          <cell r="BD31">
            <v>30</v>
          </cell>
          <cell r="BE31">
            <v>50</v>
          </cell>
          <cell r="BF31">
            <v>0</v>
          </cell>
          <cell r="BG31">
            <v>5</v>
          </cell>
          <cell r="BH31">
            <v>35</v>
          </cell>
          <cell r="BI31">
            <v>5</v>
          </cell>
          <cell r="BJ31" t="str">
            <v>BEST</v>
          </cell>
          <cell r="BK31">
            <v>738.5</v>
          </cell>
          <cell r="BL31">
            <v>5</v>
          </cell>
          <cell r="BM31">
            <v>63</v>
          </cell>
        </row>
        <row r="32">
          <cell r="B32">
            <v>48</v>
          </cell>
          <cell r="C32" t="str">
            <v>B.M ABID HASAN</v>
          </cell>
          <cell r="D32" t="str">
            <v>MOZAMMEL HOSSEN BABAR</v>
          </cell>
          <cell r="E32" t="str">
            <v>KHALEDA PERVIN</v>
          </cell>
          <cell r="F32">
            <v>20</v>
          </cell>
          <cell r="G32">
            <v>19</v>
          </cell>
          <cell r="H32">
            <v>52</v>
          </cell>
          <cell r="I32">
            <v>91</v>
          </cell>
          <cell r="J32">
            <v>10</v>
          </cell>
          <cell r="K32">
            <v>10</v>
          </cell>
          <cell r="L32">
            <v>30</v>
          </cell>
          <cell r="M32">
            <v>50</v>
          </cell>
          <cell r="N32">
            <v>141</v>
          </cell>
          <cell r="O32">
            <v>0</v>
          </cell>
          <cell r="P32">
            <v>5</v>
          </cell>
          <cell r="Q32">
            <v>19</v>
          </cell>
          <cell r="R32">
            <v>20</v>
          </cell>
          <cell r="S32">
            <v>53</v>
          </cell>
          <cell r="T32">
            <v>92</v>
          </cell>
          <cell r="U32">
            <v>10</v>
          </cell>
          <cell r="V32">
            <v>10</v>
          </cell>
          <cell r="W32">
            <v>56</v>
          </cell>
          <cell r="X32">
            <v>28</v>
          </cell>
          <cell r="Y32">
            <v>48</v>
          </cell>
          <cell r="Z32">
            <v>140</v>
          </cell>
          <cell r="AA32">
            <v>0</v>
          </cell>
          <cell r="AB32">
            <v>5</v>
          </cell>
          <cell r="AC32">
            <v>20</v>
          </cell>
          <cell r="AD32">
            <v>20</v>
          </cell>
          <cell r="AE32">
            <v>59</v>
          </cell>
          <cell r="AF32">
            <v>99</v>
          </cell>
          <cell r="AG32">
            <v>0</v>
          </cell>
          <cell r="AH32">
            <v>5</v>
          </cell>
          <cell r="AI32">
            <v>20</v>
          </cell>
          <cell r="AJ32">
            <v>20</v>
          </cell>
          <cell r="AK32">
            <v>51</v>
          </cell>
          <cell r="AL32">
            <v>91</v>
          </cell>
          <cell r="AM32">
            <v>0</v>
          </cell>
          <cell r="AN32">
            <v>5</v>
          </cell>
          <cell r="AO32">
            <v>19</v>
          </cell>
          <cell r="AP32">
            <v>20</v>
          </cell>
          <cell r="AQ32">
            <v>57</v>
          </cell>
          <cell r="AR32">
            <v>96</v>
          </cell>
          <cell r="AS32">
            <v>0</v>
          </cell>
          <cell r="AT32">
            <v>5</v>
          </cell>
          <cell r="AU32">
            <v>20</v>
          </cell>
          <cell r="AV32">
            <v>20</v>
          </cell>
          <cell r="AW32">
            <v>58</v>
          </cell>
          <cell r="AX32">
            <v>98</v>
          </cell>
          <cell r="AY32">
            <v>0</v>
          </cell>
          <cell r="AZ32">
            <v>5</v>
          </cell>
          <cell r="BA32">
            <v>10</v>
          </cell>
          <cell r="BB32">
            <v>10</v>
          </cell>
          <cell r="BC32">
            <v>50</v>
          </cell>
          <cell r="BD32">
            <v>30</v>
          </cell>
          <cell r="BE32">
            <v>50</v>
          </cell>
          <cell r="BF32">
            <v>0</v>
          </cell>
          <cell r="BG32">
            <v>5</v>
          </cell>
          <cell r="BH32">
            <v>35</v>
          </cell>
          <cell r="BI32">
            <v>5</v>
          </cell>
          <cell r="BJ32" t="str">
            <v>BEST</v>
          </cell>
          <cell r="BK32">
            <v>715</v>
          </cell>
          <cell r="BL32">
            <v>11</v>
          </cell>
          <cell r="BM32">
            <v>61</v>
          </cell>
        </row>
        <row r="33">
          <cell r="B33">
            <v>49</v>
          </cell>
          <cell r="C33" t="str">
            <v>IMTIAZ AHMED RATUL</v>
          </cell>
          <cell r="D33" t="str">
            <v>FAISAL AHMED JONY</v>
          </cell>
          <cell r="E33" t="str">
            <v>ISRAT JAHAN ROSY</v>
          </cell>
          <cell r="F33">
            <v>20</v>
          </cell>
          <cell r="G33">
            <v>20</v>
          </cell>
          <cell r="H33">
            <v>59</v>
          </cell>
          <cell r="I33">
            <v>99</v>
          </cell>
          <cell r="J33">
            <v>10</v>
          </cell>
          <cell r="K33">
            <v>10</v>
          </cell>
          <cell r="L33">
            <v>30</v>
          </cell>
          <cell r="M33">
            <v>50</v>
          </cell>
          <cell r="N33">
            <v>149</v>
          </cell>
          <cell r="O33">
            <v>0</v>
          </cell>
          <cell r="P33">
            <v>5</v>
          </cell>
          <cell r="Q33">
            <v>20</v>
          </cell>
          <cell r="R33">
            <v>20</v>
          </cell>
          <cell r="S33">
            <v>60</v>
          </cell>
          <cell r="T33">
            <v>100</v>
          </cell>
          <cell r="U33">
            <v>10</v>
          </cell>
          <cell r="V33">
            <v>10</v>
          </cell>
          <cell r="W33">
            <v>58</v>
          </cell>
          <cell r="X33">
            <v>29</v>
          </cell>
          <cell r="Y33">
            <v>49</v>
          </cell>
          <cell r="Z33">
            <v>149</v>
          </cell>
          <cell r="AA33">
            <v>0</v>
          </cell>
          <cell r="AB33">
            <v>5</v>
          </cell>
          <cell r="AC33">
            <v>20</v>
          </cell>
          <cell r="AD33">
            <v>20</v>
          </cell>
          <cell r="AE33">
            <v>60</v>
          </cell>
          <cell r="AF33">
            <v>100</v>
          </cell>
          <cell r="AG33">
            <v>0</v>
          </cell>
          <cell r="AH33">
            <v>5</v>
          </cell>
          <cell r="AI33">
            <v>20</v>
          </cell>
          <cell r="AJ33">
            <v>20</v>
          </cell>
          <cell r="AK33">
            <v>57</v>
          </cell>
          <cell r="AL33">
            <v>97</v>
          </cell>
          <cell r="AM33">
            <v>0</v>
          </cell>
          <cell r="AN33">
            <v>5</v>
          </cell>
          <cell r="AO33">
            <v>20</v>
          </cell>
          <cell r="AP33">
            <v>20</v>
          </cell>
          <cell r="AQ33">
            <v>59</v>
          </cell>
          <cell r="AR33">
            <v>99</v>
          </cell>
          <cell r="AS33">
            <v>0</v>
          </cell>
          <cell r="AT33">
            <v>5</v>
          </cell>
          <cell r="AU33">
            <v>20</v>
          </cell>
          <cell r="AV33">
            <v>20</v>
          </cell>
          <cell r="AW33">
            <v>57</v>
          </cell>
          <cell r="AX33">
            <v>97</v>
          </cell>
          <cell r="AY33">
            <v>0</v>
          </cell>
          <cell r="AZ33">
            <v>5</v>
          </cell>
          <cell r="BA33">
            <v>10</v>
          </cell>
          <cell r="BB33">
            <v>10</v>
          </cell>
          <cell r="BC33">
            <v>50</v>
          </cell>
          <cell r="BD33">
            <v>30</v>
          </cell>
          <cell r="BE33">
            <v>50</v>
          </cell>
          <cell r="BF33">
            <v>0</v>
          </cell>
          <cell r="BG33">
            <v>5</v>
          </cell>
          <cell r="BH33">
            <v>35</v>
          </cell>
          <cell r="BI33">
            <v>5</v>
          </cell>
          <cell r="BJ33" t="str">
            <v>BEST</v>
          </cell>
          <cell r="BK33">
            <v>741</v>
          </cell>
          <cell r="BL33">
            <v>3</v>
          </cell>
          <cell r="BM33">
            <v>65</v>
          </cell>
        </row>
        <row r="34">
          <cell r="B34">
            <v>50</v>
          </cell>
          <cell r="C34" t="str">
            <v xml:space="preserve">MD.JISAN </v>
          </cell>
          <cell r="D34" t="str">
            <v>ABUL HASHEM</v>
          </cell>
          <cell r="E34" t="str">
            <v>ROJINA BEGUM</v>
          </cell>
          <cell r="F34">
            <v>20</v>
          </cell>
          <cell r="G34">
            <v>20</v>
          </cell>
          <cell r="H34">
            <v>59</v>
          </cell>
          <cell r="I34">
            <v>99</v>
          </cell>
          <cell r="J34">
            <v>10</v>
          </cell>
          <cell r="K34">
            <v>10</v>
          </cell>
          <cell r="L34">
            <v>30</v>
          </cell>
          <cell r="M34">
            <v>50</v>
          </cell>
          <cell r="N34">
            <v>149</v>
          </cell>
          <cell r="O34">
            <v>0</v>
          </cell>
          <cell r="P34">
            <v>5</v>
          </cell>
          <cell r="Q34">
            <v>19</v>
          </cell>
          <cell r="R34">
            <v>20</v>
          </cell>
          <cell r="S34">
            <v>56</v>
          </cell>
          <cell r="T34">
            <v>95</v>
          </cell>
          <cell r="U34">
            <v>10</v>
          </cell>
          <cell r="V34">
            <v>10</v>
          </cell>
          <cell r="W34">
            <v>50</v>
          </cell>
          <cell r="X34">
            <v>25</v>
          </cell>
          <cell r="Y34">
            <v>45</v>
          </cell>
          <cell r="Z34">
            <v>140</v>
          </cell>
          <cell r="AA34">
            <v>0</v>
          </cell>
          <cell r="AB34">
            <v>5</v>
          </cell>
          <cell r="AC34">
            <v>20</v>
          </cell>
          <cell r="AD34">
            <v>20</v>
          </cell>
          <cell r="AE34">
            <v>55</v>
          </cell>
          <cell r="AF34">
            <v>95</v>
          </cell>
          <cell r="AG34">
            <v>0</v>
          </cell>
          <cell r="AH34">
            <v>5</v>
          </cell>
          <cell r="AI34">
            <v>20</v>
          </cell>
          <cell r="AJ34">
            <v>20</v>
          </cell>
          <cell r="AK34">
            <v>54</v>
          </cell>
          <cell r="AL34">
            <v>94</v>
          </cell>
          <cell r="AM34">
            <v>0</v>
          </cell>
          <cell r="AN34">
            <v>5</v>
          </cell>
          <cell r="AO34">
            <v>19</v>
          </cell>
          <cell r="AP34">
            <v>20</v>
          </cell>
          <cell r="AQ34">
            <v>57</v>
          </cell>
          <cell r="AR34">
            <v>96</v>
          </cell>
          <cell r="AS34">
            <v>0</v>
          </cell>
          <cell r="AT34">
            <v>5</v>
          </cell>
          <cell r="AU34">
            <v>20</v>
          </cell>
          <cell r="AV34">
            <v>20</v>
          </cell>
          <cell r="AW34">
            <v>58</v>
          </cell>
          <cell r="AX34">
            <v>98</v>
          </cell>
          <cell r="AY34">
            <v>0</v>
          </cell>
          <cell r="AZ34">
            <v>5</v>
          </cell>
          <cell r="BA34">
            <v>10</v>
          </cell>
          <cell r="BB34">
            <v>10</v>
          </cell>
          <cell r="BC34">
            <v>50</v>
          </cell>
          <cell r="BD34">
            <v>30</v>
          </cell>
          <cell r="BE34">
            <v>50</v>
          </cell>
          <cell r="BF34">
            <v>0</v>
          </cell>
          <cell r="BG34">
            <v>5</v>
          </cell>
          <cell r="BH34">
            <v>35</v>
          </cell>
          <cell r="BI34">
            <v>5</v>
          </cell>
          <cell r="BJ34" t="str">
            <v>BEST</v>
          </cell>
          <cell r="BK34">
            <v>722</v>
          </cell>
          <cell r="BL34">
            <v>7</v>
          </cell>
          <cell r="BM34">
            <v>59</v>
          </cell>
        </row>
        <row r="35">
          <cell r="B35">
            <v>51</v>
          </cell>
          <cell r="C35" t="str">
            <v>MIR EASIN HOSSAIN SAKIB</v>
          </cell>
          <cell r="D35" t="str">
            <v xml:space="preserve">MD.JAKIR HOSSAIN </v>
          </cell>
          <cell r="E35" t="str">
            <v>SHAHIDA HOSSAIN</v>
          </cell>
          <cell r="F35">
            <v>17</v>
          </cell>
          <cell r="G35">
            <v>16</v>
          </cell>
          <cell r="H35">
            <v>49</v>
          </cell>
          <cell r="I35">
            <v>82</v>
          </cell>
          <cell r="J35">
            <v>9</v>
          </cell>
          <cell r="K35">
            <v>10</v>
          </cell>
          <cell r="L35">
            <v>29</v>
          </cell>
          <cell r="M35">
            <v>48</v>
          </cell>
          <cell r="N35">
            <v>130</v>
          </cell>
          <cell r="O35">
            <v>0</v>
          </cell>
          <cell r="P35">
            <v>5</v>
          </cell>
          <cell r="Q35">
            <v>14</v>
          </cell>
          <cell r="R35">
            <v>20</v>
          </cell>
          <cell r="S35">
            <v>53</v>
          </cell>
          <cell r="T35">
            <v>87</v>
          </cell>
          <cell r="U35">
            <v>10</v>
          </cell>
          <cell r="V35">
            <v>10</v>
          </cell>
          <cell r="W35">
            <v>46</v>
          </cell>
          <cell r="X35">
            <v>23</v>
          </cell>
          <cell r="Y35">
            <v>43</v>
          </cell>
          <cell r="Z35">
            <v>130</v>
          </cell>
          <cell r="AA35">
            <v>0</v>
          </cell>
          <cell r="AB35">
            <v>5</v>
          </cell>
          <cell r="AC35">
            <v>20</v>
          </cell>
          <cell r="AD35">
            <v>20</v>
          </cell>
          <cell r="AE35">
            <v>60</v>
          </cell>
          <cell r="AF35">
            <v>100</v>
          </cell>
          <cell r="AG35">
            <v>0</v>
          </cell>
          <cell r="AH35">
            <v>5</v>
          </cell>
          <cell r="AI35">
            <v>20</v>
          </cell>
          <cell r="AJ35">
            <v>20</v>
          </cell>
          <cell r="AK35">
            <v>45</v>
          </cell>
          <cell r="AL35">
            <v>85</v>
          </cell>
          <cell r="AM35">
            <v>0</v>
          </cell>
          <cell r="AN35">
            <v>5</v>
          </cell>
          <cell r="AO35">
            <v>18</v>
          </cell>
          <cell r="AP35">
            <v>20</v>
          </cell>
          <cell r="AQ35">
            <v>57</v>
          </cell>
          <cell r="AR35">
            <v>95</v>
          </cell>
          <cell r="AS35">
            <v>0</v>
          </cell>
          <cell r="AT35">
            <v>5</v>
          </cell>
          <cell r="AU35">
            <v>18</v>
          </cell>
          <cell r="AV35">
            <v>20</v>
          </cell>
          <cell r="AW35">
            <v>52</v>
          </cell>
          <cell r="AX35">
            <v>90</v>
          </cell>
          <cell r="AY35">
            <v>0</v>
          </cell>
          <cell r="AZ35">
            <v>5</v>
          </cell>
          <cell r="BA35">
            <v>9</v>
          </cell>
          <cell r="BB35">
            <v>10</v>
          </cell>
          <cell r="BC35">
            <v>49</v>
          </cell>
          <cell r="BD35">
            <v>29.4</v>
          </cell>
          <cell r="BE35">
            <v>48.4</v>
          </cell>
          <cell r="BF35">
            <v>0</v>
          </cell>
          <cell r="BG35">
            <v>5</v>
          </cell>
          <cell r="BH35">
            <v>35</v>
          </cell>
          <cell r="BI35">
            <v>5</v>
          </cell>
          <cell r="BJ35" t="str">
            <v>BEST</v>
          </cell>
          <cell r="BK35">
            <v>678.4</v>
          </cell>
          <cell r="BL35">
            <v>30</v>
          </cell>
          <cell r="BM35">
            <v>64</v>
          </cell>
        </row>
        <row r="36">
          <cell r="B36">
            <v>68</v>
          </cell>
          <cell r="C36" t="str">
            <v>FUAD AL MONSUR</v>
          </cell>
          <cell r="D36" t="str">
            <v>AMA JAVED</v>
          </cell>
          <cell r="E36" t="str">
            <v>RASHIDA AKTER SHANTO</v>
          </cell>
          <cell r="F36">
            <v>17</v>
          </cell>
          <cell r="G36">
            <v>18</v>
          </cell>
          <cell r="H36">
            <v>53</v>
          </cell>
          <cell r="I36">
            <v>88</v>
          </cell>
          <cell r="J36">
            <v>10</v>
          </cell>
          <cell r="K36">
            <v>10</v>
          </cell>
          <cell r="L36">
            <v>30</v>
          </cell>
          <cell r="M36">
            <v>50</v>
          </cell>
          <cell r="N36">
            <v>138</v>
          </cell>
          <cell r="O36">
            <v>0</v>
          </cell>
          <cell r="P36">
            <v>5</v>
          </cell>
          <cell r="Q36">
            <v>18</v>
          </cell>
          <cell r="R36">
            <v>20</v>
          </cell>
          <cell r="S36">
            <v>48</v>
          </cell>
          <cell r="T36">
            <v>86</v>
          </cell>
          <cell r="U36">
            <v>9</v>
          </cell>
          <cell r="V36">
            <v>10</v>
          </cell>
          <cell r="W36">
            <v>45</v>
          </cell>
          <cell r="X36">
            <v>22.5</v>
          </cell>
          <cell r="Y36">
            <v>41.5</v>
          </cell>
          <cell r="Z36">
            <v>127.5</v>
          </cell>
          <cell r="AA36">
            <v>0</v>
          </cell>
          <cell r="AB36">
            <v>5</v>
          </cell>
          <cell r="AC36">
            <v>18</v>
          </cell>
          <cell r="AD36">
            <v>20</v>
          </cell>
          <cell r="AE36">
            <v>50</v>
          </cell>
          <cell r="AF36">
            <v>88</v>
          </cell>
          <cell r="AG36">
            <v>0</v>
          </cell>
          <cell r="AH36">
            <v>5</v>
          </cell>
          <cell r="AI36">
            <v>18</v>
          </cell>
          <cell r="AJ36">
            <v>20</v>
          </cell>
          <cell r="AK36">
            <v>41</v>
          </cell>
          <cell r="AL36">
            <v>79</v>
          </cell>
          <cell r="AM36">
            <v>0</v>
          </cell>
          <cell r="AN36">
            <v>4</v>
          </cell>
          <cell r="AO36">
            <v>19</v>
          </cell>
          <cell r="AP36">
            <v>20</v>
          </cell>
          <cell r="AQ36">
            <v>57</v>
          </cell>
          <cell r="AR36">
            <v>96</v>
          </cell>
          <cell r="AS36">
            <v>0</v>
          </cell>
          <cell r="AT36">
            <v>5</v>
          </cell>
          <cell r="AU36">
            <v>20</v>
          </cell>
          <cell r="AV36">
            <v>20</v>
          </cell>
          <cell r="AW36">
            <v>57</v>
          </cell>
          <cell r="AX36">
            <v>97</v>
          </cell>
          <cell r="AY36">
            <v>0</v>
          </cell>
          <cell r="AZ36">
            <v>5</v>
          </cell>
          <cell r="BA36">
            <v>9</v>
          </cell>
          <cell r="BB36">
            <v>10</v>
          </cell>
          <cell r="BC36">
            <v>46</v>
          </cell>
          <cell r="BD36">
            <v>27.599999999999998</v>
          </cell>
          <cell r="BE36">
            <v>46.599999999999994</v>
          </cell>
          <cell r="BF36">
            <v>0</v>
          </cell>
          <cell r="BG36">
            <v>5</v>
          </cell>
          <cell r="BH36">
            <v>34</v>
          </cell>
          <cell r="BI36">
            <v>4.8571428571428568</v>
          </cell>
          <cell r="BJ36" t="str">
            <v>BETTER</v>
          </cell>
          <cell r="BK36">
            <v>672.1</v>
          </cell>
          <cell r="BL36">
            <v>47</v>
          </cell>
          <cell r="BM36">
            <v>56</v>
          </cell>
        </row>
        <row r="37">
          <cell r="B37">
            <v>70</v>
          </cell>
          <cell r="C37" t="str">
            <v>MAHFUJ RAHMAN SIAM</v>
          </cell>
          <cell r="D37" t="str">
            <v>FAJAL HAQUE</v>
          </cell>
          <cell r="E37" t="str">
            <v>MAKSUDA BEGUM</v>
          </cell>
          <cell r="F37">
            <v>20</v>
          </cell>
          <cell r="G37">
            <v>19</v>
          </cell>
          <cell r="H37">
            <v>59</v>
          </cell>
          <cell r="I37">
            <v>98</v>
          </cell>
          <cell r="J37">
            <v>10</v>
          </cell>
          <cell r="K37">
            <v>10</v>
          </cell>
          <cell r="L37">
            <v>30</v>
          </cell>
          <cell r="M37">
            <v>50</v>
          </cell>
          <cell r="N37">
            <v>148</v>
          </cell>
          <cell r="O37">
            <v>0</v>
          </cell>
          <cell r="P37">
            <v>5</v>
          </cell>
          <cell r="Q37">
            <v>18</v>
          </cell>
          <cell r="R37">
            <v>20</v>
          </cell>
          <cell r="S37">
            <v>53</v>
          </cell>
          <cell r="T37">
            <v>91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91</v>
          </cell>
          <cell r="AA37">
            <v>0</v>
          </cell>
          <cell r="AB37">
            <v>3.5</v>
          </cell>
          <cell r="AC37">
            <v>20</v>
          </cell>
          <cell r="AD37">
            <v>20</v>
          </cell>
          <cell r="AE37">
            <v>54</v>
          </cell>
          <cell r="AF37">
            <v>94</v>
          </cell>
          <cell r="AG37">
            <v>0</v>
          </cell>
          <cell r="AH37">
            <v>5</v>
          </cell>
          <cell r="AI37">
            <v>20</v>
          </cell>
          <cell r="AJ37">
            <v>20</v>
          </cell>
          <cell r="AK37">
            <v>0</v>
          </cell>
          <cell r="AL37">
            <v>40</v>
          </cell>
          <cell r="AM37">
            <v>0</v>
          </cell>
          <cell r="AN37">
            <v>2</v>
          </cell>
          <cell r="AO37">
            <v>19</v>
          </cell>
          <cell r="AP37">
            <v>20</v>
          </cell>
          <cell r="AQ37">
            <v>58</v>
          </cell>
          <cell r="AR37">
            <v>97</v>
          </cell>
          <cell r="AS37">
            <v>0</v>
          </cell>
          <cell r="AT37">
            <v>5</v>
          </cell>
          <cell r="AU37">
            <v>20</v>
          </cell>
          <cell r="AV37">
            <v>20</v>
          </cell>
          <cell r="AW37">
            <v>0</v>
          </cell>
          <cell r="AX37">
            <v>40</v>
          </cell>
          <cell r="AY37">
            <v>0</v>
          </cell>
          <cell r="AZ37">
            <v>2</v>
          </cell>
          <cell r="BA37">
            <v>9</v>
          </cell>
          <cell r="BB37">
            <v>10</v>
          </cell>
          <cell r="BC37">
            <v>0</v>
          </cell>
          <cell r="BD37">
            <v>0</v>
          </cell>
          <cell r="BE37">
            <v>19</v>
          </cell>
          <cell r="BF37">
            <v>0</v>
          </cell>
          <cell r="BG37" t="str">
            <v>F</v>
          </cell>
          <cell r="BH37" t="str">
            <v>F</v>
          </cell>
          <cell r="BI37" t="str">
            <v>F</v>
          </cell>
          <cell r="BJ37" t="str">
            <v>NEED TO PROGRESS</v>
          </cell>
          <cell r="BK37">
            <v>529</v>
          </cell>
          <cell r="BL37" t="str">
            <v>F</v>
          </cell>
          <cell r="BM37">
            <v>64</v>
          </cell>
        </row>
        <row r="38">
          <cell r="B38">
            <v>74</v>
          </cell>
          <cell r="C38" t="str">
            <v xml:space="preserve">ABDULLAH AL RIFAT </v>
          </cell>
          <cell r="D38" t="str">
            <v>MD.MASUD RANA</v>
          </cell>
          <cell r="E38" t="str">
            <v>ROMANA AKTER</v>
          </cell>
          <cell r="F38">
            <v>20</v>
          </cell>
          <cell r="G38">
            <v>16</v>
          </cell>
          <cell r="H38">
            <v>57</v>
          </cell>
          <cell r="I38">
            <v>93</v>
          </cell>
          <cell r="J38">
            <v>10</v>
          </cell>
          <cell r="K38">
            <v>10</v>
          </cell>
          <cell r="L38">
            <v>29</v>
          </cell>
          <cell r="M38">
            <v>49</v>
          </cell>
          <cell r="N38">
            <v>142</v>
          </cell>
          <cell r="O38">
            <v>0</v>
          </cell>
          <cell r="P38">
            <v>5</v>
          </cell>
          <cell r="Q38">
            <v>20</v>
          </cell>
          <cell r="R38">
            <v>20</v>
          </cell>
          <cell r="S38">
            <v>53</v>
          </cell>
          <cell r="T38">
            <v>93</v>
          </cell>
          <cell r="U38">
            <v>10</v>
          </cell>
          <cell r="V38">
            <v>10</v>
          </cell>
          <cell r="W38">
            <v>47</v>
          </cell>
          <cell r="X38">
            <v>23.5</v>
          </cell>
          <cell r="Y38">
            <v>43.5</v>
          </cell>
          <cell r="Z38">
            <v>136.5</v>
          </cell>
          <cell r="AA38">
            <v>0</v>
          </cell>
          <cell r="AB38">
            <v>5</v>
          </cell>
          <cell r="AC38">
            <v>20</v>
          </cell>
          <cell r="AD38">
            <v>20</v>
          </cell>
          <cell r="AE38">
            <v>58</v>
          </cell>
          <cell r="AF38">
            <v>98</v>
          </cell>
          <cell r="AG38">
            <v>0</v>
          </cell>
          <cell r="AH38">
            <v>5</v>
          </cell>
          <cell r="AI38">
            <v>20</v>
          </cell>
          <cell r="AJ38">
            <v>20</v>
          </cell>
          <cell r="AK38">
            <v>58</v>
          </cell>
          <cell r="AL38">
            <v>98</v>
          </cell>
          <cell r="AM38">
            <v>0</v>
          </cell>
          <cell r="AN38">
            <v>5</v>
          </cell>
          <cell r="AO38">
            <v>20</v>
          </cell>
          <cell r="AP38">
            <v>20</v>
          </cell>
          <cell r="AQ38">
            <v>59</v>
          </cell>
          <cell r="AR38">
            <v>99</v>
          </cell>
          <cell r="AS38">
            <v>0</v>
          </cell>
          <cell r="AT38">
            <v>5</v>
          </cell>
          <cell r="AU38">
            <v>20</v>
          </cell>
          <cell r="AV38">
            <v>20</v>
          </cell>
          <cell r="AW38">
            <v>58</v>
          </cell>
          <cell r="AX38">
            <v>98</v>
          </cell>
          <cell r="AY38">
            <v>0</v>
          </cell>
          <cell r="AZ38">
            <v>5</v>
          </cell>
          <cell r="BA38">
            <v>10</v>
          </cell>
          <cell r="BB38">
            <v>10</v>
          </cell>
          <cell r="BC38">
            <v>50</v>
          </cell>
          <cell r="BD38">
            <v>30</v>
          </cell>
          <cell r="BE38">
            <v>50</v>
          </cell>
          <cell r="BF38">
            <v>0</v>
          </cell>
          <cell r="BG38">
            <v>5</v>
          </cell>
          <cell r="BH38">
            <v>35</v>
          </cell>
          <cell r="BI38">
            <v>5</v>
          </cell>
          <cell r="BJ38" t="str">
            <v>BEST</v>
          </cell>
          <cell r="BK38">
            <v>721.5</v>
          </cell>
          <cell r="BL38">
            <v>9</v>
          </cell>
          <cell r="BM38">
            <v>65</v>
          </cell>
        </row>
        <row r="39">
          <cell r="B39">
            <v>76</v>
          </cell>
          <cell r="C39" t="str">
            <v>NAFIZ AFNAN KHAN</v>
          </cell>
          <cell r="D39" t="str">
            <v>HARUN-OR-RASHID</v>
          </cell>
          <cell r="E39" t="str">
            <v>TASLIMA KHAN</v>
          </cell>
          <cell r="F39">
            <v>18</v>
          </cell>
          <cell r="G39">
            <v>18</v>
          </cell>
          <cell r="H39">
            <v>50</v>
          </cell>
          <cell r="I39">
            <v>86</v>
          </cell>
          <cell r="J39">
            <v>10</v>
          </cell>
          <cell r="K39">
            <v>10</v>
          </cell>
          <cell r="L39">
            <v>28</v>
          </cell>
          <cell r="M39">
            <v>48</v>
          </cell>
          <cell r="N39">
            <v>134</v>
          </cell>
          <cell r="O39">
            <v>0</v>
          </cell>
          <cell r="P39">
            <v>5</v>
          </cell>
          <cell r="Q39">
            <v>16</v>
          </cell>
          <cell r="R39">
            <v>20</v>
          </cell>
          <cell r="S39">
            <v>45</v>
          </cell>
          <cell r="T39">
            <v>81</v>
          </cell>
          <cell r="U39">
            <v>10</v>
          </cell>
          <cell r="V39">
            <v>10</v>
          </cell>
          <cell r="W39">
            <v>45</v>
          </cell>
          <cell r="X39">
            <v>22.5</v>
          </cell>
          <cell r="Y39">
            <v>42.5</v>
          </cell>
          <cell r="Z39">
            <v>123.5</v>
          </cell>
          <cell r="AA39">
            <v>0</v>
          </cell>
          <cell r="AB39">
            <v>5</v>
          </cell>
          <cell r="AC39">
            <v>20</v>
          </cell>
          <cell r="AD39">
            <v>20</v>
          </cell>
          <cell r="AE39">
            <v>56</v>
          </cell>
          <cell r="AF39">
            <v>96</v>
          </cell>
          <cell r="AG39">
            <v>0</v>
          </cell>
          <cell r="AH39">
            <v>5</v>
          </cell>
          <cell r="AI39">
            <v>20</v>
          </cell>
          <cell r="AJ39">
            <v>20</v>
          </cell>
          <cell r="AK39">
            <v>54</v>
          </cell>
          <cell r="AL39">
            <v>94</v>
          </cell>
          <cell r="AM39">
            <v>0</v>
          </cell>
          <cell r="AN39">
            <v>5</v>
          </cell>
          <cell r="AO39">
            <v>16</v>
          </cell>
          <cell r="AP39">
            <v>20</v>
          </cell>
          <cell r="AQ39">
            <v>56</v>
          </cell>
          <cell r="AR39">
            <v>92</v>
          </cell>
          <cell r="AS39">
            <v>0</v>
          </cell>
          <cell r="AT39">
            <v>5</v>
          </cell>
          <cell r="AU39">
            <v>16</v>
          </cell>
          <cell r="AV39">
            <v>20</v>
          </cell>
          <cell r="AW39">
            <v>56</v>
          </cell>
          <cell r="AX39">
            <v>92</v>
          </cell>
          <cell r="AY39">
            <v>0</v>
          </cell>
          <cell r="AZ39">
            <v>5</v>
          </cell>
          <cell r="BA39">
            <v>10</v>
          </cell>
          <cell r="BB39">
            <v>10</v>
          </cell>
          <cell r="BC39">
            <v>50</v>
          </cell>
          <cell r="BD39">
            <v>30</v>
          </cell>
          <cell r="BE39">
            <v>50</v>
          </cell>
          <cell r="BF39">
            <v>0</v>
          </cell>
          <cell r="BG39">
            <v>5</v>
          </cell>
          <cell r="BH39">
            <v>35</v>
          </cell>
          <cell r="BI39">
            <v>5</v>
          </cell>
          <cell r="BJ39" t="str">
            <v>BEST</v>
          </cell>
          <cell r="BK39">
            <v>681.5</v>
          </cell>
          <cell r="BL39">
            <v>28</v>
          </cell>
          <cell r="BM39">
            <v>55</v>
          </cell>
        </row>
        <row r="40">
          <cell r="B40">
            <v>81</v>
          </cell>
          <cell r="C40" t="str">
            <v>TASNIMUR RAHMAN JAIN</v>
          </cell>
          <cell r="D40" t="str">
            <v xml:space="preserve">MD.MOJIBUR RAHMAN </v>
          </cell>
          <cell r="E40" t="str">
            <v>JOHORA AKTER</v>
          </cell>
          <cell r="F40">
            <v>20</v>
          </cell>
          <cell r="G40">
            <v>20</v>
          </cell>
          <cell r="H40">
            <v>57</v>
          </cell>
          <cell r="I40">
            <v>97</v>
          </cell>
          <cell r="J40">
            <v>10</v>
          </cell>
          <cell r="K40">
            <v>10</v>
          </cell>
          <cell r="L40">
            <v>30</v>
          </cell>
          <cell r="M40">
            <v>50</v>
          </cell>
          <cell r="N40">
            <v>147</v>
          </cell>
          <cell r="O40">
            <v>0</v>
          </cell>
          <cell r="P40">
            <v>5</v>
          </cell>
          <cell r="Q40">
            <v>18</v>
          </cell>
          <cell r="R40">
            <v>20</v>
          </cell>
          <cell r="S40">
            <v>50</v>
          </cell>
          <cell r="T40">
            <v>88</v>
          </cell>
          <cell r="U40">
            <v>10</v>
          </cell>
          <cell r="V40">
            <v>10</v>
          </cell>
          <cell r="W40">
            <v>46</v>
          </cell>
          <cell r="X40">
            <v>23</v>
          </cell>
          <cell r="Y40">
            <v>43</v>
          </cell>
          <cell r="Z40">
            <v>131</v>
          </cell>
          <cell r="AA40">
            <v>0</v>
          </cell>
          <cell r="AB40">
            <v>5</v>
          </cell>
          <cell r="AC40">
            <v>20</v>
          </cell>
          <cell r="AD40">
            <v>20</v>
          </cell>
          <cell r="AE40">
            <v>57</v>
          </cell>
          <cell r="AF40">
            <v>97</v>
          </cell>
          <cell r="AG40">
            <v>0</v>
          </cell>
          <cell r="AH40">
            <v>5</v>
          </cell>
          <cell r="AI40">
            <v>20</v>
          </cell>
          <cell r="AJ40">
            <v>20</v>
          </cell>
          <cell r="AK40">
            <v>41</v>
          </cell>
          <cell r="AL40">
            <v>81</v>
          </cell>
          <cell r="AM40">
            <v>0</v>
          </cell>
          <cell r="AN40">
            <v>5</v>
          </cell>
          <cell r="AO40">
            <v>19</v>
          </cell>
          <cell r="AP40">
            <v>20</v>
          </cell>
          <cell r="AQ40">
            <v>56</v>
          </cell>
          <cell r="AR40">
            <v>95</v>
          </cell>
          <cell r="AS40">
            <v>0</v>
          </cell>
          <cell r="AT40">
            <v>5</v>
          </cell>
          <cell r="AU40">
            <v>20</v>
          </cell>
          <cell r="AV40">
            <v>20</v>
          </cell>
          <cell r="AW40">
            <v>58</v>
          </cell>
          <cell r="AX40">
            <v>98</v>
          </cell>
          <cell r="AY40">
            <v>0</v>
          </cell>
          <cell r="AZ40">
            <v>5</v>
          </cell>
          <cell r="BA40">
            <v>9</v>
          </cell>
          <cell r="BB40">
            <v>10</v>
          </cell>
          <cell r="BC40">
            <v>50</v>
          </cell>
          <cell r="BD40">
            <v>30</v>
          </cell>
          <cell r="BE40">
            <v>49</v>
          </cell>
          <cell r="BF40">
            <v>0</v>
          </cell>
          <cell r="BG40">
            <v>5</v>
          </cell>
          <cell r="BH40">
            <v>35</v>
          </cell>
          <cell r="BI40">
            <v>5</v>
          </cell>
          <cell r="BJ40" t="str">
            <v>BEST</v>
          </cell>
          <cell r="BK40">
            <v>698</v>
          </cell>
          <cell r="BL40">
            <v>21</v>
          </cell>
          <cell r="BM40">
            <v>60</v>
          </cell>
        </row>
        <row r="41">
          <cell r="B41">
            <v>82</v>
          </cell>
          <cell r="C41" t="str">
            <v xml:space="preserve">RANI AKTER SHIFA </v>
          </cell>
          <cell r="D41" t="str">
            <v>MA RAKIB HAWLADER</v>
          </cell>
          <cell r="E41" t="str">
            <v>SHEOULI AKTER JHARNA</v>
          </cell>
          <cell r="F41">
            <v>20</v>
          </cell>
          <cell r="G41">
            <v>18</v>
          </cell>
          <cell r="H41">
            <v>58</v>
          </cell>
          <cell r="I41">
            <v>96</v>
          </cell>
          <cell r="J41">
            <v>10</v>
          </cell>
          <cell r="K41">
            <v>10</v>
          </cell>
          <cell r="L41">
            <v>29</v>
          </cell>
          <cell r="M41">
            <v>49</v>
          </cell>
          <cell r="N41">
            <v>145</v>
          </cell>
          <cell r="O41">
            <v>0</v>
          </cell>
          <cell r="P41">
            <v>5</v>
          </cell>
          <cell r="Q41">
            <v>17</v>
          </cell>
          <cell r="R41">
            <v>19</v>
          </cell>
          <cell r="S41">
            <v>45</v>
          </cell>
          <cell r="T41">
            <v>81</v>
          </cell>
          <cell r="U41">
            <v>9</v>
          </cell>
          <cell r="V41">
            <v>10</v>
          </cell>
          <cell r="W41">
            <v>39</v>
          </cell>
          <cell r="X41">
            <v>19.5</v>
          </cell>
          <cell r="Y41">
            <v>38.5</v>
          </cell>
          <cell r="Z41">
            <v>119.5</v>
          </cell>
          <cell r="AA41">
            <v>0</v>
          </cell>
          <cell r="AB41">
            <v>4</v>
          </cell>
          <cell r="AC41">
            <v>20</v>
          </cell>
          <cell r="AD41">
            <v>20</v>
          </cell>
          <cell r="AE41">
            <v>35</v>
          </cell>
          <cell r="AF41">
            <v>75</v>
          </cell>
          <cell r="AG41">
            <v>0</v>
          </cell>
          <cell r="AH41">
            <v>4</v>
          </cell>
          <cell r="AI41">
            <v>20</v>
          </cell>
          <cell r="AJ41">
            <v>20</v>
          </cell>
          <cell r="AK41">
            <v>54</v>
          </cell>
          <cell r="AL41">
            <v>94</v>
          </cell>
          <cell r="AM41">
            <v>0</v>
          </cell>
          <cell r="AN41">
            <v>5</v>
          </cell>
          <cell r="AO41">
            <v>19</v>
          </cell>
          <cell r="AP41">
            <v>20</v>
          </cell>
          <cell r="AQ41">
            <v>57</v>
          </cell>
          <cell r="AR41">
            <v>96</v>
          </cell>
          <cell r="AS41">
            <v>0</v>
          </cell>
          <cell r="AT41">
            <v>5</v>
          </cell>
          <cell r="AU41">
            <v>20</v>
          </cell>
          <cell r="AV41">
            <v>20</v>
          </cell>
          <cell r="AW41">
            <v>58</v>
          </cell>
          <cell r="AX41">
            <v>98</v>
          </cell>
          <cell r="AY41">
            <v>0</v>
          </cell>
          <cell r="AZ41">
            <v>5</v>
          </cell>
          <cell r="BA41">
            <v>10</v>
          </cell>
          <cell r="BB41">
            <v>10</v>
          </cell>
          <cell r="BC41">
            <v>50</v>
          </cell>
          <cell r="BD41">
            <v>30</v>
          </cell>
          <cell r="BE41">
            <v>50</v>
          </cell>
          <cell r="BF41">
            <v>0</v>
          </cell>
          <cell r="BG41">
            <v>5</v>
          </cell>
          <cell r="BH41">
            <v>33</v>
          </cell>
          <cell r="BI41">
            <v>4.7142857142857144</v>
          </cell>
          <cell r="BJ41" t="str">
            <v>BETTER</v>
          </cell>
          <cell r="BK41">
            <v>677.5</v>
          </cell>
          <cell r="BL41">
            <v>56</v>
          </cell>
          <cell r="BM41">
            <v>57</v>
          </cell>
        </row>
        <row r="42">
          <cell r="B42">
            <v>84</v>
          </cell>
          <cell r="C42" t="str">
            <v xml:space="preserve">MD.TANZIMUL ISLAM TASIN </v>
          </cell>
          <cell r="D42" t="str">
            <v>MD.SAIDUR RAHMAN</v>
          </cell>
          <cell r="E42" t="str">
            <v>HUSNARRA AKTER RITA</v>
          </cell>
          <cell r="F42">
            <v>20</v>
          </cell>
          <cell r="G42">
            <v>15</v>
          </cell>
          <cell r="H42">
            <v>46</v>
          </cell>
          <cell r="I42">
            <v>81</v>
          </cell>
          <cell r="J42">
            <v>10</v>
          </cell>
          <cell r="K42">
            <v>10</v>
          </cell>
          <cell r="L42">
            <v>28</v>
          </cell>
          <cell r="M42">
            <v>48</v>
          </cell>
          <cell r="N42">
            <v>129</v>
          </cell>
          <cell r="O42">
            <v>0</v>
          </cell>
          <cell r="P42">
            <v>5</v>
          </cell>
          <cell r="Q42">
            <v>17</v>
          </cell>
          <cell r="R42">
            <v>20</v>
          </cell>
          <cell r="S42">
            <v>45</v>
          </cell>
          <cell r="T42">
            <v>82</v>
          </cell>
          <cell r="U42">
            <v>9</v>
          </cell>
          <cell r="V42">
            <v>10</v>
          </cell>
          <cell r="W42">
            <v>39</v>
          </cell>
          <cell r="X42">
            <v>19.5</v>
          </cell>
          <cell r="Y42">
            <v>38.5</v>
          </cell>
          <cell r="Z42">
            <v>120.5</v>
          </cell>
          <cell r="AA42">
            <v>0</v>
          </cell>
          <cell r="AB42">
            <v>5</v>
          </cell>
          <cell r="AC42">
            <v>20</v>
          </cell>
          <cell r="AD42">
            <v>20</v>
          </cell>
          <cell r="AE42">
            <v>53</v>
          </cell>
          <cell r="AF42">
            <v>93</v>
          </cell>
          <cell r="AG42">
            <v>0</v>
          </cell>
          <cell r="AH42">
            <v>5</v>
          </cell>
          <cell r="AI42">
            <v>20</v>
          </cell>
          <cell r="AJ42">
            <v>20</v>
          </cell>
          <cell r="AK42">
            <v>52</v>
          </cell>
          <cell r="AL42">
            <v>92</v>
          </cell>
          <cell r="AM42">
            <v>0</v>
          </cell>
          <cell r="AN42">
            <v>5</v>
          </cell>
          <cell r="AO42">
            <v>19</v>
          </cell>
          <cell r="AP42">
            <v>20</v>
          </cell>
          <cell r="AQ42">
            <v>59</v>
          </cell>
          <cell r="AR42">
            <v>98</v>
          </cell>
          <cell r="AS42">
            <v>0</v>
          </cell>
          <cell r="AT42">
            <v>5</v>
          </cell>
          <cell r="AU42">
            <v>17</v>
          </cell>
          <cell r="AV42">
            <v>20</v>
          </cell>
          <cell r="AW42">
            <v>58</v>
          </cell>
          <cell r="AX42">
            <v>95</v>
          </cell>
          <cell r="AY42">
            <v>0</v>
          </cell>
          <cell r="AZ42">
            <v>5</v>
          </cell>
          <cell r="BA42">
            <v>10</v>
          </cell>
          <cell r="BB42">
            <v>10</v>
          </cell>
          <cell r="BC42">
            <v>50</v>
          </cell>
          <cell r="BD42">
            <v>30</v>
          </cell>
          <cell r="BE42">
            <v>50</v>
          </cell>
          <cell r="BF42">
            <v>0</v>
          </cell>
          <cell r="BG42">
            <v>5</v>
          </cell>
          <cell r="BH42">
            <v>35</v>
          </cell>
          <cell r="BI42">
            <v>5</v>
          </cell>
          <cell r="BJ42" t="str">
            <v>BEST</v>
          </cell>
          <cell r="BK42">
            <v>677.5</v>
          </cell>
          <cell r="BL42">
            <v>31</v>
          </cell>
          <cell r="BM42">
            <v>58</v>
          </cell>
        </row>
        <row r="43">
          <cell r="B43">
            <v>86</v>
          </cell>
          <cell r="C43" t="str">
            <v>MAIMONA AKTHER MAHI</v>
          </cell>
          <cell r="D43" t="str">
            <v>MD. MOSTAFA KAMAL</v>
          </cell>
          <cell r="E43" t="str">
            <v>RUMA BEGUM</v>
          </cell>
          <cell r="F43">
            <v>20</v>
          </cell>
          <cell r="G43">
            <v>19</v>
          </cell>
          <cell r="H43">
            <v>52</v>
          </cell>
          <cell r="I43">
            <v>91</v>
          </cell>
          <cell r="J43">
            <v>10</v>
          </cell>
          <cell r="K43">
            <v>10</v>
          </cell>
          <cell r="L43">
            <v>28</v>
          </cell>
          <cell r="M43">
            <v>48</v>
          </cell>
          <cell r="N43">
            <v>139</v>
          </cell>
          <cell r="O43">
            <v>0</v>
          </cell>
          <cell r="P43">
            <v>5</v>
          </cell>
          <cell r="Q43">
            <v>15</v>
          </cell>
          <cell r="R43">
            <v>20</v>
          </cell>
          <cell r="S43">
            <v>41</v>
          </cell>
          <cell r="T43">
            <v>76</v>
          </cell>
          <cell r="U43">
            <v>9</v>
          </cell>
          <cell r="V43">
            <v>10</v>
          </cell>
          <cell r="W43">
            <v>44</v>
          </cell>
          <cell r="X43">
            <v>22</v>
          </cell>
          <cell r="Y43">
            <v>41</v>
          </cell>
          <cell r="Z43">
            <v>117</v>
          </cell>
          <cell r="AA43">
            <v>0</v>
          </cell>
          <cell r="AB43">
            <v>4</v>
          </cell>
          <cell r="AC43">
            <v>20</v>
          </cell>
          <cell r="AD43">
            <v>20</v>
          </cell>
          <cell r="AE43">
            <v>56</v>
          </cell>
          <cell r="AF43">
            <v>96</v>
          </cell>
          <cell r="AG43">
            <v>0</v>
          </cell>
          <cell r="AH43">
            <v>5</v>
          </cell>
          <cell r="AI43">
            <v>20</v>
          </cell>
          <cell r="AJ43">
            <v>20</v>
          </cell>
          <cell r="AK43">
            <v>54</v>
          </cell>
          <cell r="AL43">
            <v>94</v>
          </cell>
          <cell r="AM43">
            <v>0</v>
          </cell>
          <cell r="AN43">
            <v>5</v>
          </cell>
          <cell r="AO43">
            <v>19</v>
          </cell>
          <cell r="AP43">
            <v>20</v>
          </cell>
          <cell r="AQ43">
            <v>58</v>
          </cell>
          <cell r="AR43">
            <v>97</v>
          </cell>
          <cell r="AS43">
            <v>0</v>
          </cell>
          <cell r="AT43">
            <v>5</v>
          </cell>
          <cell r="AU43">
            <v>17</v>
          </cell>
          <cell r="AV43">
            <v>20</v>
          </cell>
          <cell r="AW43">
            <v>57</v>
          </cell>
          <cell r="AX43">
            <v>94</v>
          </cell>
          <cell r="AY43">
            <v>0</v>
          </cell>
          <cell r="AZ43">
            <v>5</v>
          </cell>
          <cell r="BA43">
            <v>10</v>
          </cell>
          <cell r="BB43">
            <v>10</v>
          </cell>
          <cell r="BC43">
            <v>49</v>
          </cell>
          <cell r="BD43">
            <v>29.4</v>
          </cell>
          <cell r="BE43">
            <v>49.4</v>
          </cell>
          <cell r="BF43">
            <v>0</v>
          </cell>
          <cell r="BG43">
            <v>5</v>
          </cell>
          <cell r="BH43">
            <v>34</v>
          </cell>
          <cell r="BI43">
            <v>4.8571428571428568</v>
          </cell>
          <cell r="BJ43" t="str">
            <v>BETTER</v>
          </cell>
          <cell r="BK43">
            <v>686.4</v>
          </cell>
          <cell r="BL43">
            <v>39</v>
          </cell>
          <cell r="BM43">
            <v>56</v>
          </cell>
        </row>
        <row r="44">
          <cell r="B44">
            <v>88</v>
          </cell>
          <cell r="C44" t="str">
            <v>RAHAT AKON</v>
          </cell>
          <cell r="D44" t="str">
            <v>SOMRAT AKON</v>
          </cell>
          <cell r="E44" t="str">
            <v>ROJINA AKTHER</v>
          </cell>
          <cell r="F44">
            <v>20</v>
          </cell>
          <cell r="G44">
            <v>18</v>
          </cell>
          <cell r="H44">
            <v>58</v>
          </cell>
          <cell r="I44">
            <v>96</v>
          </cell>
          <cell r="J44">
            <v>10</v>
          </cell>
          <cell r="K44">
            <v>10</v>
          </cell>
          <cell r="L44">
            <v>28</v>
          </cell>
          <cell r="M44">
            <v>48</v>
          </cell>
          <cell r="N44">
            <v>144</v>
          </cell>
          <cell r="O44">
            <v>0</v>
          </cell>
          <cell r="P44">
            <v>5</v>
          </cell>
          <cell r="Q44">
            <v>18</v>
          </cell>
          <cell r="R44">
            <v>20</v>
          </cell>
          <cell r="S44">
            <v>46</v>
          </cell>
          <cell r="T44">
            <v>84</v>
          </cell>
          <cell r="U44">
            <v>9</v>
          </cell>
          <cell r="V44">
            <v>10</v>
          </cell>
          <cell r="W44">
            <v>40</v>
          </cell>
          <cell r="X44">
            <v>20</v>
          </cell>
          <cell r="Y44">
            <v>39</v>
          </cell>
          <cell r="Z44">
            <v>123</v>
          </cell>
          <cell r="AA44">
            <v>0</v>
          </cell>
          <cell r="AB44">
            <v>5</v>
          </cell>
          <cell r="AC44">
            <v>15</v>
          </cell>
          <cell r="AD44">
            <v>20</v>
          </cell>
          <cell r="AE44">
            <v>44</v>
          </cell>
          <cell r="AF44">
            <v>79</v>
          </cell>
          <cell r="AG44">
            <v>0</v>
          </cell>
          <cell r="AH44">
            <v>4</v>
          </cell>
          <cell r="AI44">
            <v>20</v>
          </cell>
          <cell r="AJ44">
            <v>20</v>
          </cell>
          <cell r="AK44">
            <v>48</v>
          </cell>
          <cell r="AL44">
            <v>88</v>
          </cell>
          <cell r="AM44">
            <v>0</v>
          </cell>
          <cell r="AN44">
            <v>5</v>
          </cell>
          <cell r="AO44">
            <v>19</v>
          </cell>
          <cell r="AP44">
            <v>20</v>
          </cell>
          <cell r="AQ44">
            <v>57</v>
          </cell>
          <cell r="AR44">
            <v>96</v>
          </cell>
          <cell r="AS44">
            <v>0</v>
          </cell>
          <cell r="AT44">
            <v>5</v>
          </cell>
          <cell r="AU44">
            <v>20</v>
          </cell>
          <cell r="AV44">
            <v>20</v>
          </cell>
          <cell r="AW44">
            <v>58</v>
          </cell>
          <cell r="AX44">
            <v>98</v>
          </cell>
          <cell r="AY44">
            <v>0</v>
          </cell>
          <cell r="AZ44">
            <v>5</v>
          </cell>
          <cell r="BA44">
            <v>10</v>
          </cell>
          <cell r="BB44">
            <v>10</v>
          </cell>
          <cell r="BC44">
            <v>49</v>
          </cell>
          <cell r="BD44">
            <v>29.4</v>
          </cell>
          <cell r="BE44">
            <v>49.4</v>
          </cell>
          <cell r="BF44">
            <v>0</v>
          </cell>
          <cell r="BG44">
            <v>5</v>
          </cell>
          <cell r="BH44">
            <v>34</v>
          </cell>
          <cell r="BI44">
            <v>4.8571428571428568</v>
          </cell>
          <cell r="BJ44" t="str">
            <v>BETTER</v>
          </cell>
          <cell r="BK44">
            <v>677.4</v>
          </cell>
          <cell r="BL44">
            <v>44</v>
          </cell>
          <cell r="BM44">
            <v>61</v>
          </cell>
        </row>
        <row r="45">
          <cell r="B45">
            <v>92</v>
          </cell>
          <cell r="C45" t="str">
            <v xml:space="preserve"> AMINUL HAQUE AL AMIN RAJ</v>
          </cell>
          <cell r="D45" t="str">
            <v>MONIRUL ISLAM</v>
          </cell>
          <cell r="E45" t="str">
            <v>AMINA BEGUM</v>
          </cell>
          <cell r="F45">
            <v>17</v>
          </cell>
          <cell r="G45">
            <v>20</v>
          </cell>
          <cell r="H45">
            <v>42</v>
          </cell>
          <cell r="I45">
            <v>79</v>
          </cell>
          <cell r="J45">
            <v>10</v>
          </cell>
          <cell r="K45">
            <v>10</v>
          </cell>
          <cell r="L45">
            <v>28</v>
          </cell>
          <cell r="M45">
            <v>48</v>
          </cell>
          <cell r="N45">
            <v>127</v>
          </cell>
          <cell r="O45">
            <v>0</v>
          </cell>
          <cell r="P45">
            <v>5</v>
          </cell>
          <cell r="Q45">
            <v>18</v>
          </cell>
          <cell r="R45">
            <v>19</v>
          </cell>
          <cell r="S45">
            <v>40</v>
          </cell>
          <cell r="T45">
            <v>77</v>
          </cell>
          <cell r="U45">
            <v>8</v>
          </cell>
          <cell r="V45">
            <v>10</v>
          </cell>
          <cell r="W45">
            <v>40</v>
          </cell>
          <cell r="X45">
            <v>20</v>
          </cell>
          <cell r="Y45">
            <v>38</v>
          </cell>
          <cell r="Z45">
            <v>115</v>
          </cell>
          <cell r="AA45">
            <v>0</v>
          </cell>
          <cell r="AB45">
            <v>4</v>
          </cell>
          <cell r="AC45">
            <v>20</v>
          </cell>
          <cell r="AD45">
            <v>20</v>
          </cell>
          <cell r="AE45">
            <v>53</v>
          </cell>
          <cell r="AF45">
            <v>93</v>
          </cell>
          <cell r="AG45">
            <v>0</v>
          </cell>
          <cell r="AH45">
            <v>5</v>
          </cell>
          <cell r="AI45">
            <v>20</v>
          </cell>
          <cell r="AJ45">
            <v>20</v>
          </cell>
          <cell r="AK45">
            <v>39</v>
          </cell>
          <cell r="AL45">
            <v>79</v>
          </cell>
          <cell r="AM45">
            <v>0</v>
          </cell>
          <cell r="AN45">
            <v>4</v>
          </cell>
          <cell r="AO45">
            <v>20</v>
          </cell>
          <cell r="AP45">
            <v>20</v>
          </cell>
          <cell r="AQ45">
            <v>57</v>
          </cell>
          <cell r="AR45">
            <v>97</v>
          </cell>
          <cell r="AS45">
            <v>0</v>
          </cell>
          <cell r="AT45">
            <v>5</v>
          </cell>
          <cell r="AU45">
            <v>18</v>
          </cell>
          <cell r="AV45">
            <v>20</v>
          </cell>
          <cell r="AW45">
            <v>58</v>
          </cell>
          <cell r="AX45">
            <v>96</v>
          </cell>
          <cell r="AY45">
            <v>0</v>
          </cell>
          <cell r="AZ45">
            <v>5</v>
          </cell>
          <cell r="BA45">
            <v>10</v>
          </cell>
          <cell r="BB45">
            <v>10</v>
          </cell>
          <cell r="BC45">
            <v>47</v>
          </cell>
          <cell r="BD45">
            <v>28.2</v>
          </cell>
          <cell r="BE45">
            <v>48.2</v>
          </cell>
          <cell r="BF45">
            <v>0</v>
          </cell>
          <cell r="BG45">
            <v>5</v>
          </cell>
          <cell r="BH45">
            <v>33</v>
          </cell>
          <cell r="BI45">
            <v>4.7142857142857144</v>
          </cell>
          <cell r="BJ45" t="str">
            <v>BETTER</v>
          </cell>
          <cell r="BK45">
            <v>655.20000000000005</v>
          </cell>
          <cell r="BL45">
            <v>60</v>
          </cell>
          <cell r="BM45">
            <v>64</v>
          </cell>
        </row>
        <row r="46">
          <cell r="B46">
            <v>93</v>
          </cell>
          <cell r="C46" t="str">
            <v>ABU SAJJAD</v>
          </cell>
          <cell r="D46" t="str">
            <v>MOHAMMAD SHAHED</v>
          </cell>
          <cell r="E46" t="str">
            <v>FERDOUSI AKTER</v>
          </cell>
          <cell r="F46">
            <v>18</v>
          </cell>
          <cell r="G46">
            <v>19</v>
          </cell>
          <cell r="H46">
            <v>59</v>
          </cell>
          <cell r="I46">
            <v>96</v>
          </cell>
          <cell r="J46">
            <v>10</v>
          </cell>
          <cell r="K46">
            <v>10</v>
          </cell>
          <cell r="L46">
            <v>30</v>
          </cell>
          <cell r="M46">
            <v>50</v>
          </cell>
          <cell r="N46">
            <v>146</v>
          </cell>
          <cell r="O46">
            <v>0</v>
          </cell>
          <cell r="P46">
            <v>5</v>
          </cell>
          <cell r="Q46">
            <v>19</v>
          </cell>
          <cell r="R46">
            <v>20</v>
          </cell>
          <cell r="S46">
            <v>55</v>
          </cell>
          <cell r="T46">
            <v>94</v>
          </cell>
          <cell r="U46">
            <v>10</v>
          </cell>
          <cell r="V46">
            <v>10</v>
          </cell>
          <cell r="W46">
            <v>49</v>
          </cell>
          <cell r="X46">
            <v>24.5</v>
          </cell>
          <cell r="Y46">
            <v>44.5</v>
          </cell>
          <cell r="Z46">
            <v>138.5</v>
          </cell>
          <cell r="AA46">
            <v>0</v>
          </cell>
          <cell r="AB46">
            <v>5</v>
          </cell>
          <cell r="AC46">
            <v>20</v>
          </cell>
          <cell r="AD46">
            <v>20</v>
          </cell>
          <cell r="AE46">
            <v>57</v>
          </cell>
          <cell r="AF46">
            <v>97</v>
          </cell>
          <cell r="AG46">
            <v>0</v>
          </cell>
          <cell r="AH46">
            <v>5</v>
          </cell>
          <cell r="AI46">
            <v>20</v>
          </cell>
          <cell r="AJ46">
            <v>20</v>
          </cell>
          <cell r="AK46">
            <v>57</v>
          </cell>
          <cell r="AL46">
            <v>97</v>
          </cell>
          <cell r="AM46">
            <v>0</v>
          </cell>
          <cell r="AN46">
            <v>5</v>
          </cell>
          <cell r="AO46">
            <v>20</v>
          </cell>
          <cell r="AP46">
            <v>20</v>
          </cell>
          <cell r="AQ46">
            <v>57</v>
          </cell>
          <cell r="AR46">
            <v>97</v>
          </cell>
          <cell r="AS46">
            <v>0</v>
          </cell>
          <cell r="AT46">
            <v>5</v>
          </cell>
          <cell r="AU46">
            <v>20</v>
          </cell>
          <cell r="AV46">
            <v>20</v>
          </cell>
          <cell r="AW46">
            <v>58</v>
          </cell>
          <cell r="AX46">
            <v>98</v>
          </cell>
          <cell r="AY46">
            <v>0</v>
          </cell>
          <cell r="AZ46">
            <v>5</v>
          </cell>
          <cell r="BA46">
            <v>10</v>
          </cell>
          <cell r="BB46">
            <v>10</v>
          </cell>
          <cell r="BC46">
            <v>48</v>
          </cell>
          <cell r="BD46">
            <v>28.799999999999997</v>
          </cell>
          <cell r="BE46">
            <v>48.8</v>
          </cell>
          <cell r="BF46">
            <v>0</v>
          </cell>
          <cell r="BG46">
            <v>5</v>
          </cell>
          <cell r="BH46">
            <v>35</v>
          </cell>
          <cell r="BI46">
            <v>5</v>
          </cell>
          <cell r="BJ46" t="str">
            <v>BEST</v>
          </cell>
          <cell r="BK46">
            <v>722.3</v>
          </cell>
          <cell r="BL46">
            <v>8</v>
          </cell>
          <cell r="BM46">
            <v>58</v>
          </cell>
        </row>
        <row r="47">
          <cell r="B47">
            <v>97</v>
          </cell>
          <cell r="C47" t="str">
            <v>SANJIDA JERIN</v>
          </cell>
          <cell r="D47" t="str">
            <v>ALAMGIR HOSSAIN</v>
          </cell>
          <cell r="E47" t="str">
            <v>MST.FATEMA</v>
          </cell>
          <cell r="F47">
            <v>20</v>
          </cell>
          <cell r="G47">
            <v>20</v>
          </cell>
          <cell r="H47">
            <v>0</v>
          </cell>
          <cell r="I47">
            <v>40</v>
          </cell>
          <cell r="J47">
            <v>10</v>
          </cell>
          <cell r="K47">
            <v>0</v>
          </cell>
          <cell r="L47">
            <v>0</v>
          </cell>
          <cell r="M47">
            <v>10</v>
          </cell>
          <cell r="N47">
            <v>50</v>
          </cell>
          <cell r="O47">
            <v>0</v>
          </cell>
          <cell r="P47" t="str">
            <v>F</v>
          </cell>
          <cell r="Q47">
            <v>18</v>
          </cell>
          <cell r="R47">
            <v>19</v>
          </cell>
          <cell r="S47">
            <v>0</v>
          </cell>
          <cell r="T47">
            <v>37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37</v>
          </cell>
          <cell r="AA47">
            <v>0</v>
          </cell>
          <cell r="AB47" t="str">
            <v>F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 t="str">
            <v>F</v>
          </cell>
          <cell r="AI47">
            <v>20</v>
          </cell>
          <cell r="AJ47">
            <v>20</v>
          </cell>
          <cell r="AK47">
            <v>0</v>
          </cell>
          <cell r="AL47">
            <v>40</v>
          </cell>
          <cell r="AM47">
            <v>0</v>
          </cell>
          <cell r="AN47">
            <v>2</v>
          </cell>
          <cell r="AO47">
            <v>0</v>
          </cell>
          <cell r="AP47">
            <v>20</v>
          </cell>
          <cell r="AQ47">
            <v>0</v>
          </cell>
          <cell r="AR47">
            <v>20</v>
          </cell>
          <cell r="AS47">
            <v>0</v>
          </cell>
          <cell r="AT47" t="str">
            <v>F</v>
          </cell>
          <cell r="AU47">
            <v>20</v>
          </cell>
          <cell r="AV47">
            <v>20</v>
          </cell>
          <cell r="AW47">
            <v>0</v>
          </cell>
          <cell r="AX47">
            <v>40</v>
          </cell>
          <cell r="AY47">
            <v>0</v>
          </cell>
          <cell r="AZ47">
            <v>2</v>
          </cell>
          <cell r="BA47">
            <v>10</v>
          </cell>
          <cell r="BB47">
            <v>10</v>
          </cell>
          <cell r="BC47">
            <v>0</v>
          </cell>
          <cell r="BD47">
            <v>0</v>
          </cell>
          <cell r="BE47">
            <v>20</v>
          </cell>
          <cell r="BF47">
            <v>0</v>
          </cell>
          <cell r="BG47">
            <v>2</v>
          </cell>
          <cell r="BH47" t="str">
            <v>F</v>
          </cell>
          <cell r="BI47" t="str">
            <v>F</v>
          </cell>
          <cell r="BJ47" t="str">
            <v>NEED TO PROGRESS</v>
          </cell>
          <cell r="BK47">
            <v>207</v>
          </cell>
          <cell r="BL47" t="str">
            <v>F</v>
          </cell>
          <cell r="BM47">
            <v>56</v>
          </cell>
        </row>
        <row r="48">
          <cell r="B48">
            <v>98</v>
          </cell>
          <cell r="C48" t="str">
            <v>FATAMA KHANAM</v>
          </cell>
          <cell r="D48" t="str">
            <v>MD. FIROZ KHAN</v>
          </cell>
          <cell r="E48" t="str">
            <v>SHEULI BEGUM</v>
          </cell>
          <cell r="F48">
            <v>20</v>
          </cell>
          <cell r="G48">
            <v>20</v>
          </cell>
          <cell r="H48">
            <v>59</v>
          </cell>
          <cell r="I48">
            <v>99</v>
          </cell>
          <cell r="J48">
            <v>10</v>
          </cell>
          <cell r="K48">
            <v>10</v>
          </cell>
          <cell r="L48">
            <v>30</v>
          </cell>
          <cell r="M48">
            <v>50</v>
          </cell>
          <cell r="N48">
            <v>149</v>
          </cell>
          <cell r="O48">
            <v>0</v>
          </cell>
          <cell r="P48">
            <v>5</v>
          </cell>
          <cell r="Q48">
            <v>20</v>
          </cell>
          <cell r="R48">
            <v>20</v>
          </cell>
          <cell r="S48">
            <v>58</v>
          </cell>
          <cell r="T48">
            <v>98</v>
          </cell>
          <cell r="U48">
            <v>10</v>
          </cell>
          <cell r="V48">
            <v>10</v>
          </cell>
          <cell r="W48">
            <v>55</v>
          </cell>
          <cell r="X48">
            <v>27.5</v>
          </cell>
          <cell r="Y48">
            <v>47.5</v>
          </cell>
          <cell r="Z48">
            <v>145.5</v>
          </cell>
          <cell r="AA48">
            <v>0</v>
          </cell>
          <cell r="AB48">
            <v>5</v>
          </cell>
          <cell r="AC48">
            <v>20</v>
          </cell>
          <cell r="AD48">
            <v>20</v>
          </cell>
          <cell r="AE48">
            <v>60</v>
          </cell>
          <cell r="AF48">
            <v>100</v>
          </cell>
          <cell r="AG48">
            <v>0</v>
          </cell>
          <cell r="AH48">
            <v>5</v>
          </cell>
          <cell r="AI48">
            <v>20</v>
          </cell>
          <cell r="AJ48">
            <v>20</v>
          </cell>
          <cell r="AK48">
            <v>60</v>
          </cell>
          <cell r="AL48">
            <v>100</v>
          </cell>
          <cell r="AM48">
            <v>0</v>
          </cell>
          <cell r="AN48">
            <v>5</v>
          </cell>
          <cell r="AO48">
            <v>20</v>
          </cell>
          <cell r="AP48">
            <v>20</v>
          </cell>
          <cell r="AQ48">
            <v>59</v>
          </cell>
          <cell r="AR48">
            <v>99</v>
          </cell>
          <cell r="AS48">
            <v>0</v>
          </cell>
          <cell r="AT48">
            <v>5</v>
          </cell>
          <cell r="AU48">
            <v>20</v>
          </cell>
          <cell r="AV48">
            <v>20</v>
          </cell>
          <cell r="AW48">
            <v>58</v>
          </cell>
          <cell r="AX48">
            <v>98</v>
          </cell>
          <cell r="AY48">
            <v>0</v>
          </cell>
          <cell r="AZ48">
            <v>5</v>
          </cell>
          <cell r="BA48">
            <v>10</v>
          </cell>
          <cell r="BB48">
            <v>10</v>
          </cell>
          <cell r="BC48">
            <v>50</v>
          </cell>
          <cell r="BD48">
            <v>30</v>
          </cell>
          <cell r="BE48">
            <v>50</v>
          </cell>
          <cell r="BF48">
            <v>0</v>
          </cell>
          <cell r="BG48">
            <v>5</v>
          </cell>
          <cell r="BH48">
            <v>35</v>
          </cell>
          <cell r="BI48">
            <v>5</v>
          </cell>
          <cell r="BJ48" t="str">
            <v>BEST</v>
          </cell>
          <cell r="BK48">
            <v>741.5</v>
          </cell>
          <cell r="BL48">
            <v>1</v>
          </cell>
          <cell r="BM48">
            <v>56</v>
          </cell>
        </row>
        <row r="49">
          <cell r="B49">
            <v>101</v>
          </cell>
          <cell r="C49" t="str">
            <v>SADMAN AHMED RAFI</v>
          </cell>
          <cell r="D49" t="str">
            <v>MD.REHANUDDIHN</v>
          </cell>
          <cell r="E49" t="str">
            <v>MST.SHAIDA PERVIN</v>
          </cell>
          <cell r="F49">
            <v>20</v>
          </cell>
          <cell r="G49">
            <v>20</v>
          </cell>
          <cell r="H49">
            <v>59</v>
          </cell>
          <cell r="I49">
            <v>99</v>
          </cell>
          <cell r="J49">
            <v>10</v>
          </cell>
          <cell r="K49">
            <v>10</v>
          </cell>
          <cell r="L49">
            <v>28</v>
          </cell>
          <cell r="M49">
            <v>48</v>
          </cell>
          <cell r="N49">
            <v>147</v>
          </cell>
          <cell r="O49">
            <v>0</v>
          </cell>
          <cell r="P49">
            <v>5</v>
          </cell>
          <cell r="Q49">
            <v>20</v>
          </cell>
          <cell r="R49">
            <v>20</v>
          </cell>
          <cell r="S49">
            <v>49</v>
          </cell>
          <cell r="T49">
            <v>89</v>
          </cell>
          <cell r="U49">
            <v>10</v>
          </cell>
          <cell r="V49">
            <v>10</v>
          </cell>
          <cell r="W49">
            <v>56</v>
          </cell>
          <cell r="X49">
            <v>28</v>
          </cell>
          <cell r="Y49">
            <v>48</v>
          </cell>
          <cell r="Z49">
            <v>137</v>
          </cell>
          <cell r="AA49">
            <v>0</v>
          </cell>
          <cell r="AB49">
            <v>5</v>
          </cell>
          <cell r="AC49">
            <v>20</v>
          </cell>
          <cell r="AD49">
            <v>20</v>
          </cell>
          <cell r="AE49">
            <v>60</v>
          </cell>
          <cell r="AF49">
            <v>100</v>
          </cell>
          <cell r="AG49">
            <v>0</v>
          </cell>
          <cell r="AH49">
            <v>5</v>
          </cell>
          <cell r="AI49">
            <v>20</v>
          </cell>
          <cell r="AJ49">
            <v>20</v>
          </cell>
          <cell r="AK49">
            <v>58</v>
          </cell>
          <cell r="AL49">
            <v>98</v>
          </cell>
          <cell r="AM49">
            <v>0</v>
          </cell>
          <cell r="AN49">
            <v>5</v>
          </cell>
          <cell r="AO49">
            <v>20</v>
          </cell>
          <cell r="AP49">
            <v>20</v>
          </cell>
          <cell r="AQ49">
            <v>59</v>
          </cell>
          <cell r="AR49">
            <v>99</v>
          </cell>
          <cell r="AS49">
            <v>0</v>
          </cell>
          <cell r="AT49">
            <v>5</v>
          </cell>
          <cell r="AU49">
            <v>20</v>
          </cell>
          <cell r="AV49">
            <v>20</v>
          </cell>
          <cell r="AW49">
            <v>58</v>
          </cell>
          <cell r="AX49">
            <v>98</v>
          </cell>
          <cell r="AY49">
            <v>0</v>
          </cell>
          <cell r="AZ49">
            <v>5</v>
          </cell>
          <cell r="BA49">
            <v>10</v>
          </cell>
          <cell r="BB49">
            <v>10</v>
          </cell>
          <cell r="BC49">
            <v>50</v>
          </cell>
          <cell r="BD49">
            <v>30</v>
          </cell>
          <cell r="BE49">
            <v>50</v>
          </cell>
          <cell r="BF49">
            <v>0</v>
          </cell>
          <cell r="BG49">
            <v>5</v>
          </cell>
          <cell r="BH49">
            <v>35</v>
          </cell>
          <cell r="BI49">
            <v>5</v>
          </cell>
          <cell r="BJ49" t="str">
            <v>BEST</v>
          </cell>
          <cell r="BK49">
            <v>729</v>
          </cell>
          <cell r="BL49">
            <v>6</v>
          </cell>
          <cell r="BM49">
            <v>55</v>
          </cell>
        </row>
        <row r="50">
          <cell r="B50">
            <v>103</v>
          </cell>
          <cell r="C50" t="str">
            <v>MD.TAWHID TALUKDER</v>
          </cell>
          <cell r="D50" t="str">
            <v>MD.SANWAR TALUKDER</v>
          </cell>
          <cell r="E50" t="str">
            <v>NURA SABA</v>
          </cell>
          <cell r="F50">
            <v>20</v>
          </cell>
          <cell r="G50">
            <v>19</v>
          </cell>
          <cell r="H50">
            <v>58</v>
          </cell>
          <cell r="I50">
            <v>97</v>
          </cell>
          <cell r="J50">
            <v>10</v>
          </cell>
          <cell r="K50">
            <v>10</v>
          </cell>
          <cell r="L50">
            <v>30</v>
          </cell>
          <cell r="M50">
            <v>50</v>
          </cell>
          <cell r="N50">
            <v>147</v>
          </cell>
          <cell r="O50">
            <v>0</v>
          </cell>
          <cell r="P50">
            <v>5</v>
          </cell>
          <cell r="Q50">
            <v>20</v>
          </cell>
          <cell r="R50">
            <v>20</v>
          </cell>
          <cell r="S50">
            <v>58</v>
          </cell>
          <cell r="T50">
            <v>98</v>
          </cell>
          <cell r="U50">
            <v>10</v>
          </cell>
          <cell r="V50">
            <v>10</v>
          </cell>
          <cell r="W50">
            <v>58</v>
          </cell>
          <cell r="X50">
            <v>29</v>
          </cell>
          <cell r="Y50">
            <v>49</v>
          </cell>
          <cell r="Z50">
            <v>147</v>
          </cell>
          <cell r="AA50">
            <v>0</v>
          </cell>
          <cell r="AB50">
            <v>5</v>
          </cell>
          <cell r="AC50">
            <v>20</v>
          </cell>
          <cell r="AD50">
            <v>20</v>
          </cell>
          <cell r="AE50">
            <v>60</v>
          </cell>
          <cell r="AF50">
            <v>100</v>
          </cell>
          <cell r="AG50">
            <v>0</v>
          </cell>
          <cell r="AH50">
            <v>5</v>
          </cell>
          <cell r="AI50">
            <v>20</v>
          </cell>
          <cell r="AJ50">
            <v>20</v>
          </cell>
          <cell r="AK50">
            <v>60</v>
          </cell>
          <cell r="AL50">
            <v>100</v>
          </cell>
          <cell r="AM50">
            <v>0</v>
          </cell>
          <cell r="AN50">
            <v>5</v>
          </cell>
          <cell r="AO50">
            <v>20</v>
          </cell>
          <cell r="AP50">
            <v>20</v>
          </cell>
          <cell r="AQ50">
            <v>59</v>
          </cell>
          <cell r="AR50">
            <v>99</v>
          </cell>
          <cell r="AS50">
            <v>0</v>
          </cell>
          <cell r="AT50">
            <v>5</v>
          </cell>
          <cell r="AU50">
            <v>20</v>
          </cell>
          <cell r="AV50">
            <v>20</v>
          </cell>
          <cell r="AW50">
            <v>59</v>
          </cell>
          <cell r="AX50">
            <v>99</v>
          </cell>
          <cell r="AY50">
            <v>0</v>
          </cell>
          <cell r="AZ50">
            <v>5</v>
          </cell>
          <cell r="BA50">
            <v>10</v>
          </cell>
          <cell r="BB50">
            <v>10</v>
          </cell>
          <cell r="BC50">
            <v>50</v>
          </cell>
          <cell r="BD50">
            <v>30</v>
          </cell>
          <cell r="BE50">
            <v>50</v>
          </cell>
          <cell r="BF50">
            <v>0</v>
          </cell>
          <cell r="BG50">
            <v>5</v>
          </cell>
          <cell r="BH50">
            <v>35</v>
          </cell>
          <cell r="BI50">
            <v>5</v>
          </cell>
          <cell r="BJ50" t="str">
            <v>BEST</v>
          </cell>
          <cell r="BK50">
            <v>742</v>
          </cell>
          <cell r="BL50">
            <v>2</v>
          </cell>
          <cell r="BM50">
            <v>56</v>
          </cell>
        </row>
        <row r="51">
          <cell r="B51">
            <v>106</v>
          </cell>
          <cell r="C51" t="str">
            <v xml:space="preserve">SHAHARA KHANDAKER </v>
          </cell>
          <cell r="D51" t="str">
            <v>MD.KERAMOT ALI</v>
          </cell>
          <cell r="E51" t="str">
            <v>KHADIJA KHANDAKAR</v>
          </cell>
          <cell r="F51">
            <v>20</v>
          </cell>
          <cell r="G51">
            <v>20</v>
          </cell>
          <cell r="H51">
            <v>53</v>
          </cell>
          <cell r="I51">
            <v>93</v>
          </cell>
          <cell r="J51">
            <v>10</v>
          </cell>
          <cell r="K51">
            <v>10</v>
          </cell>
          <cell r="L51">
            <v>29</v>
          </cell>
          <cell r="M51">
            <v>49</v>
          </cell>
          <cell r="N51">
            <v>142</v>
          </cell>
          <cell r="O51">
            <v>0</v>
          </cell>
          <cell r="P51">
            <v>5</v>
          </cell>
          <cell r="Q51">
            <v>19</v>
          </cell>
          <cell r="R51">
            <v>20</v>
          </cell>
          <cell r="S51">
            <v>45</v>
          </cell>
          <cell r="T51">
            <v>84</v>
          </cell>
          <cell r="U51">
            <v>10</v>
          </cell>
          <cell r="V51">
            <v>10</v>
          </cell>
          <cell r="W51">
            <v>51</v>
          </cell>
          <cell r="X51">
            <v>25.5</v>
          </cell>
          <cell r="Y51">
            <v>45.5</v>
          </cell>
          <cell r="Z51">
            <v>129.5</v>
          </cell>
          <cell r="AA51">
            <v>0</v>
          </cell>
          <cell r="AB51">
            <v>5</v>
          </cell>
          <cell r="AC51">
            <v>20</v>
          </cell>
          <cell r="AD51">
            <v>20</v>
          </cell>
          <cell r="AE51">
            <v>58</v>
          </cell>
          <cell r="AF51">
            <v>98</v>
          </cell>
          <cell r="AG51">
            <v>0</v>
          </cell>
          <cell r="AH51">
            <v>5</v>
          </cell>
          <cell r="AI51">
            <v>20</v>
          </cell>
          <cell r="AJ51">
            <v>20</v>
          </cell>
          <cell r="AK51">
            <v>50</v>
          </cell>
          <cell r="AL51">
            <v>90</v>
          </cell>
          <cell r="AM51">
            <v>0</v>
          </cell>
          <cell r="AN51">
            <v>5</v>
          </cell>
          <cell r="AO51">
            <v>19</v>
          </cell>
          <cell r="AP51">
            <v>20</v>
          </cell>
          <cell r="AQ51">
            <v>54</v>
          </cell>
          <cell r="AR51">
            <v>93</v>
          </cell>
          <cell r="AS51">
            <v>0</v>
          </cell>
          <cell r="AT51">
            <v>5</v>
          </cell>
          <cell r="AU51">
            <v>20</v>
          </cell>
          <cell r="AV51">
            <v>20</v>
          </cell>
          <cell r="AW51">
            <v>54</v>
          </cell>
          <cell r="AX51">
            <v>94</v>
          </cell>
          <cell r="AY51">
            <v>0</v>
          </cell>
          <cell r="AZ51">
            <v>5</v>
          </cell>
          <cell r="BA51">
            <v>10</v>
          </cell>
          <cell r="BB51">
            <v>10</v>
          </cell>
          <cell r="BC51">
            <v>46</v>
          </cell>
          <cell r="BD51">
            <v>27.599999999999998</v>
          </cell>
          <cell r="BE51">
            <v>47.599999999999994</v>
          </cell>
          <cell r="BF51">
            <v>0</v>
          </cell>
          <cell r="BG51">
            <v>5</v>
          </cell>
          <cell r="BH51">
            <v>35</v>
          </cell>
          <cell r="BI51">
            <v>5</v>
          </cell>
          <cell r="BJ51" t="str">
            <v>BEST</v>
          </cell>
          <cell r="BK51">
            <v>694.1</v>
          </cell>
          <cell r="BL51">
            <v>23</v>
          </cell>
          <cell r="BM51">
            <v>56</v>
          </cell>
        </row>
      </sheetData>
      <sheetData sheetId="2">
        <row r="5"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N5" t="str">
            <v>All Semester Total Marks</v>
          </cell>
          <cell r="BO5">
            <v>0</v>
          </cell>
          <cell r="BP5">
            <v>0</v>
          </cell>
          <cell r="BQ5">
            <v>0</v>
          </cell>
          <cell r="BR5">
            <v>0</v>
          </cell>
          <cell r="BS5">
            <v>0</v>
          </cell>
        </row>
        <row r="6">
          <cell r="B6" t="str">
            <v>ROLL</v>
          </cell>
          <cell r="C6" t="str">
            <v>NAME</v>
          </cell>
          <cell r="D6" t="str">
            <v xml:space="preserve">FATHER NAME </v>
          </cell>
          <cell r="E6" t="str">
            <v xml:space="preserve">MOTHER NAME </v>
          </cell>
          <cell r="F6" t="str">
            <v>MT</v>
          </cell>
          <cell r="G6" t="str">
            <v>BAN-1</v>
          </cell>
          <cell r="H6">
            <v>0</v>
          </cell>
          <cell r="I6" t="str">
            <v xml:space="preserve">TOTAL </v>
          </cell>
          <cell r="J6" t="str">
            <v>MT</v>
          </cell>
          <cell r="K6" t="str">
            <v>ASS</v>
          </cell>
          <cell r="L6" t="str">
            <v>BAN-2</v>
          </cell>
          <cell r="M6" t="str">
            <v>TOTAL</v>
          </cell>
          <cell r="N6" t="str">
            <v>B1+B2</v>
          </cell>
          <cell r="O6" t="str">
            <v>HIGHESTMARK</v>
          </cell>
          <cell r="P6" t="str">
            <v>GP</v>
          </cell>
          <cell r="Q6" t="str">
            <v>MT</v>
          </cell>
          <cell r="R6" t="str">
            <v>ASS</v>
          </cell>
          <cell r="S6" t="str">
            <v>ENG-1ST</v>
          </cell>
          <cell r="T6" t="str">
            <v>TOTAL</v>
          </cell>
          <cell r="U6" t="str">
            <v>MT</v>
          </cell>
          <cell r="V6" t="str">
            <v>ASS</v>
          </cell>
          <cell r="W6" t="str">
            <v>ENG-2ND</v>
          </cell>
          <cell r="X6">
            <v>0</v>
          </cell>
          <cell r="Y6" t="str">
            <v>TOTAL</v>
          </cell>
          <cell r="Z6" t="str">
            <v>E1+E2</v>
          </cell>
          <cell r="AA6" t="str">
            <v>HIGHESTMARK</v>
          </cell>
          <cell r="AB6" t="str">
            <v>GP</v>
          </cell>
          <cell r="AC6" t="str">
            <v>MT</v>
          </cell>
          <cell r="AD6" t="str">
            <v>MATH</v>
          </cell>
          <cell r="AE6">
            <v>0</v>
          </cell>
          <cell r="AF6" t="str">
            <v>TOTAL</v>
          </cell>
          <cell r="AG6" t="str">
            <v>HIGHESTMARK</v>
          </cell>
          <cell r="AH6" t="str">
            <v>GP</v>
          </cell>
          <cell r="AI6" t="str">
            <v>MT</v>
          </cell>
          <cell r="AJ6" t="str">
            <v>SCIENCE</v>
          </cell>
          <cell r="AK6">
            <v>0</v>
          </cell>
          <cell r="AL6" t="str">
            <v>TOTAL</v>
          </cell>
          <cell r="AM6" t="str">
            <v>HIGHESTMARK</v>
          </cell>
          <cell r="AN6" t="str">
            <v>GP</v>
          </cell>
          <cell r="AO6" t="str">
            <v>MT</v>
          </cell>
          <cell r="AP6" t="str">
            <v>BGS</v>
          </cell>
          <cell r="AQ6">
            <v>0</v>
          </cell>
          <cell r="AR6" t="str">
            <v>TOTAL</v>
          </cell>
          <cell r="AS6" t="str">
            <v>HIGHESTMARK</v>
          </cell>
          <cell r="AT6" t="str">
            <v>GP</v>
          </cell>
          <cell r="AU6" t="str">
            <v>MT</v>
          </cell>
          <cell r="AV6" t="str">
            <v>RELIGION</v>
          </cell>
          <cell r="AW6">
            <v>0</v>
          </cell>
          <cell r="AX6" t="str">
            <v>TOTAL</v>
          </cell>
          <cell r="AY6" t="str">
            <v>HIGHESTMARK</v>
          </cell>
          <cell r="AZ6" t="str">
            <v>GP</v>
          </cell>
          <cell r="BA6" t="str">
            <v>MT</v>
          </cell>
          <cell r="BB6" t="str">
            <v>ASS</v>
          </cell>
          <cell r="BC6" t="str">
            <v>ICT</v>
          </cell>
          <cell r="BD6">
            <v>0</v>
          </cell>
          <cell r="BE6" t="str">
            <v>TOTAL</v>
          </cell>
          <cell r="BF6" t="str">
            <v>HIGHESTMARK</v>
          </cell>
          <cell r="BG6" t="str">
            <v>GP</v>
          </cell>
          <cell r="BH6" t="str">
            <v>T-GP</v>
          </cell>
          <cell r="BI6" t="str">
            <v>GPA</v>
          </cell>
          <cell r="BJ6" t="str">
            <v>BHVR</v>
          </cell>
          <cell r="BK6" t="str">
            <v>TOTAL MARK</v>
          </cell>
          <cell r="BL6" t="str">
            <v>Position</v>
          </cell>
          <cell r="BM6" t="str">
            <v>WORKINGDAYS</v>
          </cell>
          <cell r="BN6" t="str">
            <v>1st semester</v>
          </cell>
          <cell r="BO6" t="str">
            <v>2nd Semester</v>
          </cell>
          <cell r="BP6" t="str">
            <v>3rd Semester</v>
          </cell>
          <cell r="BQ6" t="str">
            <v>Avarege</v>
          </cell>
          <cell r="BR6">
            <v>0</v>
          </cell>
          <cell r="BS6" t="str">
            <v>Rank</v>
          </cell>
        </row>
        <row r="7"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 t="str">
            <v>ASS</v>
          </cell>
          <cell r="H7" t="str">
            <v>CR</v>
          </cell>
          <cell r="I7">
            <v>0</v>
          </cell>
          <cell r="J7">
            <v>0</v>
          </cell>
          <cell r="K7">
            <v>0</v>
          </cell>
          <cell r="L7" t="str">
            <v>CR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 t="str">
            <v>CR</v>
          </cell>
          <cell r="X7" t="str">
            <v>AV-50%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 t="str">
            <v>ASS</v>
          </cell>
          <cell r="AE7" t="str">
            <v>CR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 t="str">
            <v>ASS</v>
          </cell>
          <cell r="AK7" t="str">
            <v>CR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 t="str">
            <v>ASS</v>
          </cell>
          <cell r="AQ7" t="str">
            <v>CR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 t="str">
            <v>ASS</v>
          </cell>
          <cell r="AW7" t="str">
            <v>CR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 t="str">
            <v>CR</v>
          </cell>
          <cell r="BD7" t="str">
            <v>AV-60%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</row>
        <row r="8">
          <cell r="B8">
            <v>1</v>
          </cell>
          <cell r="C8" t="str">
            <v>RUPOK SHAHA</v>
          </cell>
          <cell r="D8" t="str">
            <v>RIPON SHAHA</v>
          </cell>
          <cell r="E8" t="str">
            <v>KRISHNA SHAHA</v>
          </cell>
          <cell r="F8">
            <v>20</v>
          </cell>
          <cell r="G8">
            <v>20</v>
          </cell>
          <cell r="H8">
            <v>57</v>
          </cell>
          <cell r="I8">
            <v>97</v>
          </cell>
          <cell r="J8">
            <v>9</v>
          </cell>
          <cell r="K8">
            <v>10</v>
          </cell>
          <cell r="L8">
            <v>29</v>
          </cell>
          <cell r="M8">
            <v>48</v>
          </cell>
          <cell r="N8">
            <v>145</v>
          </cell>
          <cell r="O8">
            <v>150</v>
          </cell>
          <cell r="P8">
            <v>5</v>
          </cell>
          <cell r="Q8">
            <v>17</v>
          </cell>
          <cell r="R8">
            <v>20</v>
          </cell>
          <cell r="S8">
            <v>53</v>
          </cell>
          <cell r="T8">
            <v>90</v>
          </cell>
          <cell r="U8">
            <v>10</v>
          </cell>
          <cell r="V8">
            <v>10</v>
          </cell>
          <cell r="W8">
            <v>51</v>
          </cell>
          <cell r="X8">
            <v>25.5</v>
          </cell>
          <cell r="Y8">
            <v>45.5</v>
          </cell>
          <cell r="Z8">
            <v>135.5</v>
          </cell>
          <cell r="AA8">
            <v>148</v>
          </cell>
          <cell r="AB8">
            <v>5</v>
          </cell>
          <cell r="AC8">
            <v>18</v>
          </cell>
          <cell r="AD8">
            <v>20</v>
          </cell>
          <cell r="AE8">
            <v>58</v>
          </cell>
          <cell r="AF8">
            <v>96</v>
          </cell>
          <cell r="AG8">
            <v>100</v>
          </cell>
          <cell r="AH8">
            <v>5</v>
          </cell>
          <cell r="AI8">
            <v>19</v>
          </cell>
          <cell r="AJ8">
            <v>20</v>
          </cell>
          <cell r="AK8">
            <v>56</v>
          </cell>
          <cell r="AL8">
            <v>95</v>
          </cell>
          <cell r="AM8">
            <v>100</v>
          </cell>
          <cell r="AN8">
            <v>5</v>
          </cell>
          <cell r="AO8">
            <v>20</v>
          </cell>
          <cell r="AP8">
            <v>20</v>
          </cell>
          <cell r="AQ8">
            <v>58</v>
          </cell>
          <cell r="AR8">
            <v>98</v>
          </cell>
          <cell r="AS8">
            <v>100</v>
          </cell>
          <cell r="AT8">
            <v>5</v>
          </cell>
          <cell r="AU8">
            <v>20</v>
          </cell>
          <cell r="AV8">
            <v>20</v>
          </cell>
          <cell r="AW8">
            <v>56</v>
          </cell>
          <cell r="AX8">
            <v>96</v>
          </cell>
          <cell r="AY8">
            <v>100</v>
          </cell>
          <cell r="AZ8">
            <v>5</v>
          </cell>
          <cell r="BA8">
            <v>10</v>
          </cell>
          <cell r="BB8">
            <v>10</v>
          </cell>
          <cell r="BC8">
            <v>45</v>
          </cell>
          <cell r="BD8">
            <v>27</v>
          </cell>
          <cell r="BE8">
            <v>47</v>
          </cell>
          <cell r="BF8">
            <v>50</v>
          </cell>
          <cell r="BG8">
            <v>5</v>
          </cell>
          <cell r="BH8">
            <v>35</v>
          </cell>
          <cell r="BI8">
            <v>5</v>
          </cell>
          <cell r="BJ8" t="str">
            <v>BEST</v>
          </cell>
          <cell r="BK8">
            <v>712.5</v>
          </cell>
          <cell r="BL8">
            <v>16</v>
          </cell>
          <cell r="BM8">
            <v>59</v>
          </cell>
          <cell r="BN8">
            <v>626</v>
          </cell>
          <cell r="BO8">
            <v>708</v>
          </cell>
          <cell r="BP8">
            <v>712.5</v>
          </cell>
          <cell r="BQ8">
            <v>682.16666666666663</v>
          </cell>
          <cell r="BR8" t="e">
            <v>#REF!</v>
          </cell>
          <cell r="BS8">
            <v>9</v>
          </cell>
        </row>
        <row r="9">
          <cell r="B9">
            <v>2</v>
          </cell>
          <cell r="C9" t="str">
            <v xml:space="preserve">MAHBUB ALAM SABBIR </v>
          </cell>
          <cell r="D9" t="str">
            <v>MD.AYNAL BEPARY</v>
          </cell>
          <cell r="E9" t="str">
            <v xml:space="preserve">SELINA </v>
          </cell>
          <cell r="F9">
            <v>20</v>
          </cell>
          <cell r="G9">
            <v>20</v>
          </cell>
          <cell r="H9">
            <v>59</v>
          </cell>
          <cell r="I9">
            <v>99</v>
          </cell>
          <cell r="J9">
            <v>10</v>
          </cell>
          <cell r="K9">
            <v>10</v>
          </cell>
          <cell r="L9">
            <v>30</v>
          </cell>
          <cell r="M9">
            <v>50</v>
          </cell>
          <cell r="N9">
            <v>149</v>
          </cell>
          <cell r="O9">
            <v>0</v>
          </cell>
          <cell r="P9">
            <v>5</v>
          </cell>
          <cell r="Q9">
            <v>17</v>
          </cell>
          <cell r="R9">
            <v>20</v>
          </cell>
          <cell r="S9">
            <v>56</v>
          </cell>
          <cell r="T9">
            <v>93</v>
          </cell>
          <cell r="U9">
            <v>10</v>
          </cell>
          <cell r="V9">
            <v>10</v>
          </cell>
          <cell r="W9">
            <v>55</v>
          </cell>
          <cell r="X9">
            <v>27.5</v>
          </cell>
          <cell r="Y9">
            <v>47.5</v>
          </cell>
          <cell r="Z9">
            <v>140.5</v>
          </cell>
          <cell r="AA9">
            <v>0</v>
          </cell>
          <cell r="AB9">
            <v>5</v>
          </cell>
          <cell r="AC9">
            <v>16</v>
          </cell>
          <cell r="AD9">
            <v>20</v>
          </cell>
          <cell r="AE9">
            <v>59</v>
          </cell>
          <cell r="AF9">
            <v>95</v>
          </cell>
          <cell r="AG9">
            <v>0</v>
          </cell>
          <cell r="AH9">
            <v>5</v>
          </cell>
          <cell r="AI9">
            <v>19</v>
          </cell>
          <cell r="AJ9">
            <v>20</v>
          </cell>
          <cell r="AK9">
            <v>51</v>
          </cell>
          <cell r="AL9">
            <v>90</v>
          </cell>
          <cell r="AM9">
            <v>0</v>
          </cell>
          <cell r="AN9">
            <v>5</v>
          </cell>
          <cell r="AO9">
            <v>20</v>
          </cell>
          <cell r="AP9">
            <v>20</v>
          </cell>
          <cell r="AQ9">
            <v>59</v>
          </cell>
          <cell r="AR9">
            <v>99</v>
          </cell>
          <cell r="AS9">
            <v>0</v>
          </cell>
          <cell r="AT9">
            <v>5</v>
          </cell>
          <cell r="AU9">
            <v>19</v>
          </cell>
          <cell r="AV9">
            <v>20</v>
          </cell>
          <cell r="AW9">
            <v>57</v>
          </cell>
          <cell r="AX9">
            <v>96</v>
          </cell>
          <cell r="AY9">
            <v>0</v>
          </cell>
          <cell r="AZ9">
            <v>5</v>
          </cell>
          <cell r="BA9">
            <v>10</v>
          </cell>
          <cell r="BB9">
            <v>10</v>
          </cell>
          <cell r="BC9">
            <v>47</v>
          </cell>
          <cell r="BD9">
            <v>28.2</v>
          </cell>
          <cell r="BE9">
            <v>48.2</v>
          </cell>
          <cell r="BF9">
            <v>0</v>
          </cell>
          <cell r="BG9">
            <v>5</v>
          </cell>
          <cell r="BH9">
            <v>35</v>
          </cell>
          <cell r="BI9">
            <v>5</v>
          </cell>
          <cell r="BJ9" t="str">
            <v>BEST</v>
          </cell>
          <cell r="BK9">
            <v>717.7</v>
          </cell>
          <cell r="BL9">
            <v>10</v>
          </cell>
          <cell r="BM9">
            <v>59</v>
          </cell>
          <cell r="BN9">
            <v>631</v>
          </cell>
          <cell r="BO9">
            <v>720.5</v>
          </cell>
          <cell r="BP9">
            <v>717.7</v>
          </cell>
          <cell r="BQ9">
            <v>689.73333333333323</v>
          </cell>
          <cell r="BR9" t="e">
            <v>#REF!</v>
          </cell>
          <cell r="BS9">
            <v>10</v>
          </cell>
        </row>
        <row r="10">
          <cell r="B10">
            <v>3</v>
          </cell>
          <cell r="C10" t="str">
            <v xml:space="preserve">MD.NAYEM AHMMED </v>
          </cell>
          <cell r="D10" t="str">
            <v xml:space="preserve">MD.SALIM </v>
          </cell>
          <cell r="E10" t="str">
            <v>MOST.NASRIN AKTER</v>
          </cell>
          <cell r="F10">
            <v>20</v>
          </cell>
          <cell r="G10">
            <v>20</v>
          </cell>
          <cell r="H10">
            <v>57</v>
          </cell>
          <cell r="I10">
            <v>97</v>
          </cell>
          <cell r="J10">
            <v>9</v>
          </cell>
          <cell r="K10">
            <v>8</v>
          </cell>
          <cell r="L10">
            <v>30</v>
          </cell>
          <cell r="M10">
            <v>47</v>
          </cell>
          <cell r="N10">
            <v>144</v>
          </cell>
          <cell r="O10">
            <v>0</v>
          </cell>
          <cell r="P10">
            <v>5</v>
          </cell>
          <cell r="Q10">
            <v>16</v>
          </cell>
          <cell r="R10">
            <v>20</v>
          </cell>
          <cell r="S10">
            <v>48</v>
          </cell>
          <cell r="T10">
            <v>84</v>
          </cell>
          <cell r="U10">
            <v>8</v>
          </cell>
          <cell r="V10">
            <v>10</v>
          </cell>
          <cell r="W10">
            <v>43</v>
          </cell>
          <cell r="X10">
            <v>21.5</v>
          </cell>
          <cell r="Y10">
            <v>39.5</v>
          </cell>
          <cell r="Z10">
            <v>123.5</v>
          </cell>
          <cell r="AA10">
            <v>0</v>
          </cell>
          <cell r="AB10">
            <v>5</v>
          </cell>
          <cell r="AC10">
            <v>14</v>
          </cell>
          <cell r="AD10">
            <v>20</v>
          </cell>
          <cell r="AE10">
            <v>58</v>
          </cell>
          <cell r="AF10">
            <v>92</v>
          </cell>
          <cell r="AG10">
            <v>0</v>
          </cell>
          <cell r="AH10">
            <v>5</v>
          </cell>
          <cell r="AI10">
            <v>18</v>
          </cell>
          <cell r="AJ10">
            <v>20</v>
          </cell>
          <cell r="AK10">
            <v>54</v>
          </cell>
          <cell r="AL10">
            <v>92</v>
          </cell>
          <cell r="AM10">
            <v>0</v>
          </cell>
          <cell r="AN10">
            <v>5</v>
          </cell>
          <cell r="AO10">
            <v>20</v>
          </cell>
          <cell r="AP10">
            <v>20</v>
          </cell>
          <cell r="AQ10">
            <v>57</v>
          </cell>
          <cell r="AR10">
            <v>97</v>
          </cell>
          <cell r="AS10">
            <v>0</v>
          </cell>
          <cell r="AT10">
            <v>5</v>
          </cell>
          <cell r="AU10">
            <v>18</v>
          </cell>
          <cell r="AV10">
            <v>20</v>
          </cell>
          <cell r="AW10">
            <v>56</v>
          </cell>
          <cell r="AX10">
            <v>94</v>
          </cell>
          <cell r="AY10">
            <v>0</v>
          </cell>
          <cell r="AZ10">
            <v>5</v>
          </cell>
          <cell r="BA10">
            <v>10</v>
          </cell>
          <cell r="BB10">
            <v>10</v>
          </cell>
          <cell r="BC10">
            <v>47</v>
          </cell>
          <cell r="BD10">
            <v>28.2</v>
          </cell>
          <cell r="BE10">
            <v>48.2</v>
          </cell>
          <cell r="BF10">
            <v>0</v>
          </cell>
          <cell r="BG10">
            <v>5</v>
          </cell>
          <cell r="BH10">
            <v>35</v>
          </cell>
          <cell r="BI10">
            <v>5</v>
          </cell>
          <cell r="BJ10" t="str">
            <v>BEST</v>
          </cell>
          <cell r="BK10">
            <v>690.7</v>
          </cell>
          <cell r="BL10">
            <v>15</v>
          </cell>
          <cell r="BM10">
            <v>65</v>
          </cell>
          <cell r="BN10">
            <v>614</v>
          </cell>
          <cell r="BO10">
            <v>709.9</v>
          </cell>
          <cell r="BP10">
            <v>690.7</v>
          </cell>
          <cell r="BQ10">
            <v>671.53333333333342</v>
          </cell>
          <cell r="BR10" t="e">
            <v>#REF!</v>
          </cell>
          <cell r="BS10">
            <v>13</v>
          </cell>
        </row>
        <row r="11">
          <cell r="B11">
            <v>5</v>
          </cell>
          <cell r="C11" t="str">
            <v xml:space="preserve">MD.TAHSIN UDDIN </v>
          </cell>
          <cell r="D11" t="str">
            <v xml:space="preserve">MAINUDDIN </v>
          </cell>
          <cell r="E11" t="str">
            <v xml:space="preserve">TASLIMA BEGUM </v>
          </cell>
          <cell r="F11">
            <v>20</v>
          </cell>
          <cell r="G11">
            <v>20</v>
          </cell>
          <cell r="H11">
            <v>60</v>
          </cell>
          <cell r="I11">
            <v>100</v>
          </cell>
          <cell r="J11">
            <v>10</v>
          </cell>
          <cell r="K11">
            <v>8</v>
          </cell>
          <cell r="L11">
            <v>30</v>
          </cell>
          <cell r="M11">
            <v>48</v>
          </cell>
          <cell r="N11">
            <v>148</v>
          </cell>
          <cell r="O11">
            <v>0</v>
          </cell>
          <cell r="P11">
            <v>5</v>
          </cell>
          <cell r="Q11">
            <v>20</v>
          </cell>
          <cell r="R11">
            <v>20</v>
          </cell>
          <cell r="S11">
            <v>51</v>
          </cell>
          <cell r="T11">
            <v>91</v>
          </cell>
          <cell r="U11">
            <v>8</v>
          </cell>
          <cell r="V11">
            <v>10</v>
          </cell>
          <cell r="W11">
            <v>37</v>
          </cell>
          <cell r="X11">
            <v>18.5</v>
          </cell>
          <cell r="Y11">
            <v>36.5</v>
          </cell>
          <cell r="Z11">
            <v>127.5</v>
          </cell>
          <cell r="AA11">
            <v>0</v>
          </cell>
          <cell r="AB11">
            <v>5</v>
          </cell>
          <cell r="AC11">
            <v>16</v>
          </cell>
          <cell r="AD11">
            <v>20</v>
          </cell>
          <cell r="AE11">
            <v>60</v>
          </cell>
          <cell r="AF11">
            <v>96</v>
          </cell>
          <cell r="AG11">
            <v>0</v>
          </cell>
          <cell r="AH11">
            <v>5</v>
          </cell>
          <cell r="AI11">
            <v>19</v>
          </cell>
          <cell r="AJ11">
            <v>20</v>
          </cell>
          <cell r="AK11">
            <v>56</v>
          </cell>
          <cell r="AL11">
            <v>95</v>
          </cell>
          <cell r="AM11">
            <v>0</v>
          </cell>
          <cell r="AN11">
            <v>5</v>
          </cell>
          <cell r="AO11">
            <v>20</v>
          </cell>
          <cell r="AP11">
            <v>20</v>
          </cell>
          <cell r="AQ11">
            <v>54</v>
          </cell>
          <cell r="AR11">
            <v>94</v>
          </cell>
          <cell r="AS11">
            <v>0</v>
          </cell>
          <cell r="AT11">
            <v>5</v>
          </cell>
          <cell r="AU11">
            <v>20</v>
          </cell>
          <cell r="AV11">
            <v>20</v>
          </cell>
          <cell r="AW11">
            <v>60</v>
          </cell>
          <cell r="AX11">
            <v>100</v>
          </cell>
          <cell r="AY11">
            <v>0</v>
          </cell>
          <cell r="AZ11">
            <v>5</v>
          </cell>
          <cell r="BA11">
            <v>10</v>
          </cell>
          <cell r="BB11">
            <v>10</v>
          </cell>
          <cell r="BC11">
            <v>40</v>
          </cell>
          <cell r="BD11">
            <v>24</v>
          </cell>
          <cell r="BE11">
            <v>44</v>
          </cell>
          <cell r="BF11">
            <v>0</v>
          </cell>
          <cell r="BG11">
            <v>5</v>
          </cell>
          <cell r="BH11">
            <v>35</v>
          </cell>
          <cell r="BI11">
            <v>5</v>
          </cell>
          <cell r="BJ11" t="str">
            <v>BEST</v>
          </cell>
          <cell r="BK11">
            <v>704.5</v>
          </cell>
          <cell r="BL11">
            <v>32</v>
          </cell>
          <cell r="BM11">
            <v>56</v>
          </cell>
          <cell r="BN11">
            <v>588</v>
          </cell>
          <cell r="BO11">
            <v>676.4</v>
          </cell>
          <cell r="BP11">
            <v>704.5</v>
          </cell>
          <cell r="BQ11">
            <v>656.30000000000007</v>
          </cell>
          <cell r="BR11" t="e">
            <v>#REF!</v>
          </cell>
          <cell r="BS11">
            <v>17</v>
          </cell>
        </row>
        <row r="12">
          <cell r="B12">
            <v>6</v>
          </cell>
          <cell r="C12" t="str">
            <v xml:space="preserve">TOUHID ISLAM FOUAD </v>
          </cell>
          <cell r="D12" t="str">
            <v>SANUAR HOSSAIN</v>
          </cell>
          <cell r="E12" t="str">
            <v>SONIA AKHTER</v>
          </cell>
          <cell r="F12">
            <v>20</v>
          </cell>
          <cell r="G12">
            <v>20</v>
          </cell>
          <cell r="H12">
            <v>60</v>
          </cell>
          <cell r="I12">
            <v>100</v>
          </cell>
          <cell r="J12">
            <v>9</v>
          </cell>
          <cell r="K12">
            <v>10</v>
          </cell>
          <cell r="L12">
            <v>30</v>
          </cell>
          <cell r="M12">
            <v>49</v>
          </cell>
          <cell r="N12">
            <v>149</v>
          </cell>
          <cell r="O12">
            <v>0</v>
          </cell>
          <cell r="P12">
            <v>5</v>
          </cell>
          <cell r="Q12">
            <v>18</v>
          </cell>
          <cell r="R12">
            <v>20</v>
          </cell>
          <cell r="S12">
            <v>49</v>
          </cell>
          <cell r="T12">
            <v>87</v>
          </cell>
          <cell r="U12">
            <v>9</v>
          </cell>
          <cell r="V12">
            <v>10</v>
          </cell>
          <cell r="W12">
            <v>34</v>
          </cell>
          <cell r="X12">
            <v>17</v>
          </cell>
          <cell r="Y12">
            <v>36</v>
          </cell>
          <cell r="Z12">
            <v>123</v>
          </cell>
          <cell r="AA12">
            <v>0</v>
          </cell>
          <cell r="AB12">
            <v>5</v>
          </cell>
          <cell r="AC12">
            <v>13</v>
          </cell>
          <cell r="AD12">
            <v>20</v>
          </cell>
          <cell r="AE12">
            <v>60</v>
          </cell>
          <cell r="AF12">
            <v>93</v>
          </cell>
          <cell r="AG12">
            <v>0</v>
          </cell>
          <cell r="AH12">
            <v>5</v>
          </cell>
          <cell r="AI12">
            <v>16</v>
          </cell>
          <cell r="AJ12">
            <v>20</v>
          </cell>
          <cell r="AK12">
            <v>58</v>
          </cell>
          <cell r="AL12">
            <v>94</v>
          </cell>
          <cell r="AM12">
            <v>0</v>
          </cell>
          <cell r="AN12">
            <v>5</v>
          </cell>
          <cell r="AO12">
            <v>20</v>
          </cell>
          <cell r="AP12">
            <v>20</v>
          </cell>
          <cell r="AQ12">
            <v>59</v>
          </cell>
          <cell r="AR12">
            <v>99</v>
          </cell>
          <cell r="AS12">
            <v>0</v>
          </cell>
          <cell r="AT12">
            <v>5</v>
          </cell>
          <cell r="AU12">
            <v>20</v>
          </cell>
          <cell r="AV12">
            <v>20</v>
          </cell>
          <cell r="AW12">
            <v>58</v>
          </cell>
          <cell r="AX12">
            <v>98</v>
          </cell>
          <cell r="AY12">
            <v>0</v>
          </cell>
          <cell r="AZ12">
            <v>5</v>
          </cell>
          <cell r="BA12">
            <v>10</v>
          </cell>
          <cell r="BB12">
            <v>10</v>
          </cell>
          <cell r="BC12">
            <v>49</v>
          </cell>
          <cell r="BD12">
            <v>29.4</v>
          </cell>
          <cell r="BE12">
            <v>49.4</v>
          </cell>
          <cell r="BF12">
            <v>0</v>
          </cell>
          <cell r="BG12">
            <v>5</v>
          </cell>
          <cell r="BH12">
            <v>35</v>
          </cell>
          <cell r="BI12">
            <v>5</v>
          </cell>
          <cell r="BJ12" t="str">
            <v>BEST</v>
          </cell>
          <cell r="BK12">
            <v>705.4</v>
          </cell>
          <cell r="BL12">
            <v>45</v>
          </cell>
          <cell r="BM12">
            <v>61</v>
          </cell>
          <cell r="BN12">
            <v>594</v>
          </cell>
          <cell r="BO12">
            <v>677</v>
          </cell>
          <cell r="BP12">
            <v>705.4</v>
          </cell>
          <cell r="BQ12">
            <v>658.80000000000007</v>
          </cell>
          <cell r="BR12" t="e">
            <v>#REF!</v>
          </cell>
          <cell r="BS12">
            <v>23</v>
          </cell>
        </row>
        <row r="13">
          <cell r="B13">
            <v>8</v>
          </cell>
          <cell r="C13" t="str">
            <v>TANJIM AHMED SHAN</v>
          </cell>
          <cell r="D13" t="str">
            <v xml:space="preserve">TAREK AHMED </v>
          </cell>
          <cell r="E13" t="str">
            <v>SALINA AKTER</v>
          </cell>
          <cell r="F13">
            <v>20</v>
          </cell>
          <cell r="G13">
            <v>20</v>
          </cell>
          <cell r="H13">
            <v>60</v>
          </cell>
          <cell r="I13">
            <v>100</v>
          </cell>
          <cell r="J13">
            <v>9</v>
          </cell>
          <cell r="K13">
            <v>10</v>
          </cell>
          <cell r="L13">
            <v>30</v>
          </cell>
          <cell r="M13">
            <v>49</v>
          </cell>
          <cell r="N13">
            <v>149</v>
          </cell>
          <cell r="O13">
            <v>0</v>
          </cell>
          <cell r="P13">
            <v>5</v>
          </cell>
          <cell r="Q13">
            <v>19</v>
          </cell>
          <cell r="R13">
            <v>20</v>
          </cell>
          <cell r="S13">
            <v>50</v>
          </cell>
          <cell r="T13">
            <v>89</v>
          </cell>
          <cell r="U13">
            <v>9</v>
          </cell>
          <cell r="V13">
            <v>10</v>
          </cell>
          <cell r="W13">
            <v>46</v>
          </cell>
          <cell r="X13">
            <v>23</v>
          </cell>
          <cell r="Y13">
            <v>42</v>
          </cell>
          <cell r="Z13">
            <v>131</v>
          </cell>
          <cell r="AA13">
            <v>0</v>
          </cell>
          <cell r="AB13">
            <v>5</v>
          </cell>
          <cell r="AC13">
            <v>15</v>
          </cell>
          <cell r="AD13">
            <v>20</v>
          </cell>
          <cell r="AE13">
            <v>59</v>
          </cell>
          <cell r="AF13">
            <v>94</v>
          </cell>
          <cell r="AG13">
            <v>0</v>
          </cell>
          <cell r="AH13">
            <v>5</v>
          </cell>
          <cell r="AI13">
            <v>20</v>
          </cell>
          <cell r="AJ13">
            <v>20</v>
          </cell>
          <cell r="AK13">
            <v>47</v>
          </cell>
          <cell r="AL13">
            <v>87</v>
          </cell>
          <cell r="AM13">
            <v>0</v>
          </cell>
          <cell r="AN13">
            <v>5</v>
          </cell>
          <cell r="AO13">
            <v>19</v>
          </cell>
          <cell r="AP13">
            <v>20</v>
          </cell>
          <cell r="AQ13">
            <v>59</v>
          </cell>
          <cell r="AR13">
            <v>98</v>
          </cell>
          <cell r="AS13">
            <v>0</v>
          </cell>
          <cell r="AT13">
            <v>5</v>
          </cell>
          <cell r="AU13">
            <v>19</v>
          </cell>
          <cell r="AV13">
            <v>20</v>
          </cell>
          <cell r="AW13">
            <v>58</v>
          </cell>
          <cell r="AX13">
            <v>97</v>
          </cell>
          <cell r="AY13">
            <v>0</v>
          </cell>
          <cell r="AZ13">
            <v>5</v>
          </cell>
          <cell r="BA13">
            <v>10</v>
          </cell>
          <cell r="BB13">
            <v>10</v>
          </cell>
          <cell r="BC13">
            <v>45</v>
          </cell>
          <cell r="BD13">
            <v>27</v>
          </cell>
          <cell r="BE13">
            <v>47</v>
          </cell>
          <cell r="BF13">
            <v>0</v>
          </cell>
          <cell r="BG13">
            <v>5</v>
          </cell>
          <cell r="BH13">
            <v>35</v>
          </cell>
          <cell r="BI13">
            <v>5</v>
          </cell>
          <cell r="BJ13" t="str">
            <v>BEST</v>
          </cell>
          <cell r="BK13">
            <v>703</v>
          </cell>
          <cell r="BL13">
            <v>14</v>
          </cell>
          <cell r="BM13">
            <v>57</v>
          </cell>
          <cell r="BN13">
            <v>614</v>
          </cell>
          <cell r="BO13">
            <v>711.8</v>
          </cell>
          <cell r="BP13">
            <v>703</v>
          </cell>
          <cell r="BQ13">
            <v>676.26666666666665</v>
          </cell>
          <cell r="BR13" t="e">
            <v>#REF!</v>
          </cell>
          <cell r="BS13">
            <v>16</v>
          </cell>
        </row>
        <row r="14">
          <cell r="B14">
            <v>10</v>
          </cell>
          <cell r="C14" t="str">
            <v xml:space="preserve">MD.MARUF HOSSEN </v>
          </cell>
          <cell r="D14" t="str">
            <v>MD.FAKRUL ISLAM</v>
          </cell>
          <cell r="E14" t="str">
            <v>MOHELA BEGEM</v>
          </cell>
          <cell r="F14">
            <v>19</v>
          </cell>
          <cell r="G14">
            <v>20</v>
          </cell>
          <cell r="H14">
            <v>55</v>
          </cell>
          <cell r="I14">
            <v>94</v>
          </cell>
          <cell r="J14">
            <v>9</v>
          </cell>
          <cell r="K14">
            <v>10</v>
          </cell>
          <cell r="L14">
            <v>29</v>
          </cell>
          <cell r="M14">
            <v>48</v>
          </cell>
          <cell r="N14">
            <v>142</v>
          </cell>
          <cell r="O14">
            <v>0</v>
          </cell>
          <cell r="P14">
            <v>5</v>
          </cell>
          <cell r="Q14">
            <v>18</v>
          </cell>
          <cell r="R14">
            <v>20</v>
          </cell>
          <cell r="S14">
            <v>41</v>
          </cell>
          <cell r="T14">
            <v>79</v>
          </cell>
          <cell r="U14">
            <v>9</v>
          </cell>
          <cell r="V14">
            <v>10</v>
          </cell>
          <cell r="W14">
            <v>44</v>
          </cell>
          <cell r="X14">
            <v>22</v>
          </cell>
          <cell r="Y14">
            <v>41</v>
          </cell>
          <cell r="Z14">
            <v>120</v>
          </cell>
          <cell r="AA14">
            <v>0</v>
          </cell>
          <cell r="AB14">
            <v>5</v>
          </cell>
          <cell r="AC14">
            <v>16</v>
          </cell>
          <cell r="AD14">
            <v>20</v>
          </cell>
          <cell r="AE14">
            <v>57</v>
          </cell>
          <cell r="AF14">
            <v>93</v>
          </cell>
          <cell r="AG14">
            <v>0</v>
          </cell>
          <cell r="AH14">
            <v>5</v>
          </cell>
          <cell r="AI14">
            <v>16</v>
          </cell>
          <cell r="AJ14">
            <v>20</v>
          </cell>
          <cell r="AK14">
            <v>46</v>
          </cell>
          <cell r="AL14">
            <v>82</v>
          </cell>
          <cell r="AM14">
            <v>0</v>
          </cell>
          <cell r="AN14">
            <v>5</v>
          </cell>
          <cell r="AO14">
            <v>20</v>
          </cell>
          <cell r="AP14">
            <v>20</v>
          </cell>
          <cell r="AQ14">
            <v>50</v>
          </cell>
          <cell r="AR14">
            <v>90</v>
          </cell>
          <cell r="AS14">
            <v>0</v>
          </cell>
          <cell r="AT14">
            <v>5</v>
          </cell>
          <cell r="AU14">
            <v>18</v>
          </cell>
          <cell r="AV14">
            <v>20</v>
          </cell>
          <cell r="AW14">
            <v>56</v>
          </cell>
          <cell r="AX14">
            <v>94</v>
          </cell>
          <cell r="AY14">
            <v>0</v>
          </cell>
          <cell r="AZ14">
            <v>5</v>
          </cell>
          <cell r="BA14">
            <v>10</v>
          </cell>
          <cell r="BB14">
            <v>10</v>
          </cell>
          <cell r="BC14">
            <v>43</v>
          </cell>
          <cell r="BD14">
            <v>25.8</v>
          </cell>
          <cell r="BE14">
            <v>45.8</v>
          </cell>
          <cell r="BF14">
            <v>0</v>
          </cell>
          <cell r="BG14">
            <v>5</v>
          </cell>
          <cell r="BH14">
            <v>35</v>
          </cell>
          <cell r="BI14">
            <v>5</v>
          </cell>
          <cell r="BJ14" t="str">
            <v>BEST</v>
          </cell>
          <cell r="BK14">
            <v>666.8</v>
          </cell>
          <cell r="BL14">
            <v>43</v>
          </cell>
          <cell r="BM14">
            <v>62</v>
          </cell>
          <cell r="BN14">
            <v>569</v>
          </cell>
          <cell r="BO14">
            <v>678.2</v>
          </cell>
          <cell r="BP14">
            <v>666.8</v>
          </cell>
          <cell r="BQ14">
            <v>638</v>
          </cell>
          <cell r="BR14" t="e">
            <v>#REF!</v>
          </cell>
          <cell r="BS14">
            <v>29</v>
          </cell>
        </row>
        <row r="15">
          <cell r="B15">
            <v>12</v>
          </cell>
          <cell r="C15" t="str">
            <v xml:space="preserve">RAHAT AHMED ANTOR </v>
          </cell>
          <cell r="D15" t="str">
            <v xml:space="preserve">MD.SHAKIL MIA </v>
          </cell>
          <cell r="E15" t="str">
            <v>REKHA BEGUIM</v>
          </cell>
          <cell r="F15">
            <v>20</v>
          </cell>
          <cell r="G15">
            <v>20</v>
          </cell>
          <cell r="H15">
            <v>59</v>
          </cell>
          <cell r="I15">
            <v>99</v>
          </cell>
          <cell r="J15">
            <v>9</v>
          </cell>
          <cell r="K15">
            <v>10</v>
          </cell>
          <cell r="L15">
            <v>29</v>
          </cell>
          <cell r="M15">
            <v>48</v>
          </cell>
          <cell r="N15">
            <v>147</v>
          </cell>
          <cell r="O15">
            <v>0</v>
          </cell>
          <cell r="P15">
            <v>5</v>
          </cell>
          <cell r="Q15">
            <v>20</v>
          </cell>
          <cell r="R15">
            <v>20</v>
          </cell>
          <cell r="S15">
            <v>54</v>
          </cell>
          <cell r="T15">
            <v>94</v>
          </cell>
          <cell r="U15">
            <v>9</v>
          </cell>
          <cell r="V15">
            <v>10</v>
          </cell>
          <cell r="W15">
            <v>48</v>
          </cell>
          <cell r="X15">
            <v>24</v>
          </cell>
          <cell r="Y15">
            <v>43</v>
          </cell>
          <cell r="Z15">
            <v>137</v>
          </cell>
          <cell r="AA15">
            <v>0</v>
          </cell>
          <cell r="AB15">
            <v>5</v>
          </cell>
          <cell r="AC15">
            <v>19</v>
          </cell>
          <cell r="AD15">
            <v>20</v>
          </cell>
          <cell r="AE15">
            <v>58</v>
          </cell>
          <cell r="AF15">
            <v>97</v>
          </cell>
          <cell r="AG15">
            <v>0</v>
          </cell>
          <cell r="AH15">
            <v>5</v>
          </cell>
          <cell r="AI15">
            <v>16</v>
          </cell>
          <cell r="AJ15">
            <v>20</v>
          </cell>
          <cell r="AK15">
            <v>54</v>
          </cell>
          <cell r="AL15">
            <v>90</v>
          </cell>
          <cell r="AM15">
            <v>0</v>
          </cell>
          <cell r="AN15">
            <v>5</v>
          </cell>
          <cell r="AO15">
            <v>20</v>
          </cell>
          <cell r="AP15">
            <v>20</v>
          </cell>
          <cell r="AQ15">
            <v>56</v>
          </cell>
          <cell r="AR15">
            <v>96</v>
          </cell>
          <cell r="AS15">
            <v>0</v>
          </cell>
          <cell r="AT15">
            <v>5</v>
          </cell>
          <cell r="AU15">
            <v>18</v>
          </cell>
          <cell r="AV15">
            <v>20</v>
          </cell>
          <cell r="AW15">
            <v>57</v>
          </cell>
          <cell r="AX15">
            <v>95</v>
          </cell>
          <cell r="AY15">
            <v>0</v>
          </cell>
          <cell r="AZ15">
            <v>5</v>
          </cell>
          <cell r="BA15">
            <v>10</v>
          </cell>
          <cell r="BB15">
            <v>10</v>
          </cell>
          <cell r="BC15">
            <v>48</v>
          </cell>
          <cell r="BD15">
            <v>28.799999999999997</v>
          </cell>
          <cell r="BE15">
            <v>48.8</v>
          </cell>
          <cell r="BF15">
            <v>0</v>
          </cell>
          <cell r="BG15">
            <v>5</v>
          </cell>
          <cell r="BH15">
            <v>35</v>
          </cell>
          <cell r="BI15">
            <v>5</v>
          </cell>
          <cell r="BJ15" t="str">
            <v>BEST</v>
          </cell>
          <cell r="BK15">
            <v>710.8</v>
          </cell>
          <cell r="BL15">
            <v>12</v>
          </cell>
          <cell r="BM15">
            <v>59</v>
          </cell>
          <cell r="BN15">
            <v>622</v>
          </cell>
          <cell r="BO15">
            <v>712.8</v>
          </cell>
          <cell r="BP15">
            <v>710.8</v>
          </cell>
          <cell r="BQ15">
            <v>681.86666666666667</v>
          </cell>
          <cell r="BR15" t="e">
            <v>#REF!</v>
          </cell>
          <cell r="BS15">
            <v>12</v>
          </cell>
        </row>
        <row r="16">
          <cell r="B16">
            <v>16</v>
          </cell>
          <cell r="C16" t="str">
            <v>EVAN PRODAN</v>
          </cell>
          <cell r="D16" t="str">
            <v xml:space="preserve"> NASIR PRODAN</v>
          </cell>
          <cell r="E16" t="str">
            <v>YESMINN AKTER</v>
          </cell>
          <cell r="F16">
            <v>20</v>
          </cell>
          <cell r="G16">
            <v>20</v>
          </cell>
          <cell r="H16">
            <v>60</v>
          </cell>
          <cell r="I16">
            <v>100</v>
          </cell>
          <cell r="J16">
            <v>10</v>
          </cell>
          <cell r="K16">
            <v>10</v>
          </cell>
          <cell r="L16">
            <v>29</v>
          </cell>
          <cell r="M16">
            <v>49</v>
          </cell>
          <cell r="N16">
            <v>149</v>
          </cell>
          <cell r="O16">
            <v>0</v>
          </cell>
          <cell r="P16">
            <v>5</v>
          </cell>
          <cell r="Q16">
            <v>19</v>
          </cell>
          <cell r="R16">
            <v>19</v>
          </cell>
          <cell r="S16">
            <v>44</v>
          </cell>
          <cell r="T16">
            <v>82</v>
          </cell>
          <cell r="U16">
            <v>9</v>
          </cell>
          <cell r="V16">
            <v>10</v>
          </cell>
          <cell r="W16">
            <v>41</v>
          </cell>
          <cell r="X16">
            <v>20.5</v>
          </cell>
          <cell r="Y16">
            <v>39.5</v>
          </cell>
          <cell r="Z16">
            <v>121.5</v>
          </cell>
          <cell r="AA16">
            <v>0</v>
          </cell>
          <cell r="AB16">
            <v>5</v>
          </cell>
          <cell r="AC16">
            <v>16</v>
          </cell>
          <cell r="AD16">
            <v>20</v>
          </cell>
          <cell r="AE16">
            <v>55</v>
          </cell>
          <cell r="AF16">
            <v>91</v>
          </cell>
          <cell r="AG16">
            <v>0</v>
          </cell>
          <cell r="AH16">
            <v>5</v>
          </cell>
          <cell r="AI16">
            <v>13</v>
          </cell>
          <cell r="AJ16">
            <v>20</v>
          </cell>
          <cell r="AK16">
            <v>53</v>
          </cell>
          <cell r="AL16">
            <v>86</v>
          </cell>
          <cell r="AM16">
            <v>0</v>
          </cell>
          <cell r="AN16">
            <v>5</v>
          </cell>
          <cell r="AO16">
            <v>19</v>
          </cell>
          <cell r="AP16">
            <v>20</v>
          </cell>
          <cell r="AQ16">
            <v>59</v>
          </cell>
          <cell r="AR16">
            <v>98</v>
          </cell>
          <cell r="AS16">
            <v>0</v>
          </cell>
          <cell r="AT16">
            <v>5</v>
          </cell>
          <cell r="AU16">
            <v>17</v>
          </cell>
          <cell r="AV16">
            <v>20</v>
          </cell>
          <cell r="AW16">
            <v>52</v>
          </cell>
          <cell r="AX16">
            <v>89</v>
          </cell>
          <cell r="AY16">
            <v>0</v>
          </cell>
          <cell r="AZ16">
            <v>5</v>
          </cell>
          <cell r="BA16">
            <v>9</v>
          </cell>
          <cell r="BB16">
            <v>10</v>
          </cell>
          <cell r="BC16">
            <v>34</v>
          </cell>
          <cell r="BD16">
            <v>20.399999999999999</v>
          </cell>
          <cell r="BE16">
            <v>39.4</v>
          </cell>
          <cell r="BF16">
            <v>0</v>
          </cell>
          <cell r="BG16">
            <v>4</v>
          </cell>
          <cell r="BH16">
            <v>34</v>
          </cell>
          <cell r="BI16">
            <v>4.8571428571428568</v>
          </cell>
          <cell r="BJ16" t="str">
            <v>BETTER</v>
          </cell>
          <cell r="BK16">
            <v>673.9</v>
          </cell>
          <cell r="BL16">
            <v>29</v>
          </cell>
          <cell r="BM16">
            <v>62</v>
          </cell>
          <cell r="BN16">
            <v>626</v>
          </cell>
          <cell r="BO16">
            <v>681.4</v>
          </cell>
          <cell r="BP16">
            <v>673.9</v>
          </cell>
          <cell r="BQ16">
            <v>660.43333333333339</v>
          </cell>
          <cell r="BR16" t="e">
            <v>#REF!</v>
          </cell>
          <cell r="BS16">
            <v>15</v>
          </cell>
        </row>
        <row r="17">
          <cell r="B17">
            <v>17</v>
          </cell>
          <cell r="C17" t="str">
            <v xml:space="preserve">MAISHA ISLAM TUBA </v>
          </cell>
          <cell r="D17" t="str">
            <v>MD.MAINUL ISLAM</v>
          </cell>
          <cell r="E17" t="str">
            <v>RUMA YESMIN</v>
          </cell>
          <cell r="F17">
            <v>18</v>
          </cell>
          <cell r="G17">
            <v>20</v>
          </cell>
          <cell r="H17">
            <v>59</v>
          </cell>
          <cell r="I17">
            <v>97</v>
          </cell>
          <cell r="J17">
            <v>8</v>
          </cell>
          <cell r="K17">
            <v>10</v>
          </cell>
          <cell r="L17">
            <v>29</v>
          </cell>
          <cell r="M17">
            <v>47</v>
          </cell>
          <cell r="N17">
            <v>144</v>
          </cell>
          <cell r="O17">
            <v>0</v>
          </cell>
          <cell r="P17">
            <v>5</v>
          </cell>
          <cell r="Q17">
            <v>19</v>
          </cell>
          <cell r="R17">
            <v>20</v>
          </cell>
          <cell r="S17">
            <v>53</v>
          </cell>
          <cell r="T17">
            <v>92</v>
          </cell>
          <cell r="U17">
            <v>10</v>
          </cell>
          <cell r="V17">
            <v>10</v>
          </cell>
          <cell r="W17">
            <v>54</v>
          </cell>
          <cell r="X17">
            <v>27</v>
          </cell>
          <cell r="Y17">
            <v>47</v>
          </cell>
          <cell r="Z17">
            <v>139</v>
          </cell>
          <cell r="AA17">
            <v>0</v>
          </cell>
          <cell r="AB17">
            <v>5</v>
          </cell>
          <cell r="AC17">
            <v>19</v>
          </cell>
          <cell r="AD17">
            <v>20</v>
          </cell>
          <cell r="AE17">
            <v>60</v>
          </cell>
          <cell r="AF17">
            <v>99</v>
          </cell>
          <cell r="AG17">
            <v>0</v>
          </cell>
          <cell r="AH17">
            <v>5</v>
          </cell>
          <cell r="AI17">
            <v>16</v>
          </cell>
          <cell r="AJ17">
            <v>20</v>
          </cell>
          <cell r="AK17">
            <v>32</v>
          </cell>
          <cell r="AL17">
            <v>68</v>
          </cell>
          <cell r="AM17">
            <v>0</v>
          </cell>
          <cell r="AN17">
            <v>3.5</v>
          </cell>
          <cell r="AO17">
            <v>20</v>
          </cell>
          <cell r="AP17">
            <v>20</v>
          </cell>
          <cell r="AQ17">
            <v>58</v>
          </cell>
          <cell r="AR17">
            <v>98</v>
          </cell>
          <cell r="AS17">
            <v>0</v>
          </cell>
          <cell r="AT17">
            <v>5</v>
          </cell>
          <cell r="AU17">
            <v>18</v>
          </cell>
          <cell r="AV17">
            <v>20</v>
          </cell>
          <cell r="AW17">
            <v>51</v>
          </cell>
          <cell r="AX17">
            <v>89</v>
          </cell>
          <cell r="AY17">
            <v>0</v>
          </cell>
          <cell r="AZ17">
            <v>5</v>
          </cell>
          <cell r="BA17">
            <v>10</v>
          </cell>
          <cell r="BB17">
            <v>10</v>
          </cell>
          <cell r="BC17">
            <v>49</v>
          </cell>
          <cell r="BD17">
            <v>29.4</v>
          </cell>
          <cell r="BE17">
            <v>49.4</v>
          </cell>
          <cell r="BF17">
            <v>0</v>
          </cell>
          <cell r="BG17">
            <v>5</v>
          </cell>
          <cell r="BH17">
            <v>33.5</v>
          </cell>
          <cell r="BI17">
            <v>4.7857142857142856</v>
          </cell>
          <cell r="BJ17" t="str">
            <v>BETTER</v>
          </cell>
          <cell r="BK17">
            <v>686.4</v>
          </cell>
          <cell r="BL17">
            <v>50</v>
          </cell>
          <cell r="BM17">
            <v>57</v>
          </cell>
          <cell r="BN17">
            <v>560</v>
          </cell>
          <cell r="BO17">
            <v>667.5</v>
          </cell>
          <cell r="BP17">
            <v>686.4</v>
          </cell>
          <cell r="BQ17">
            <v>637.9666666666667</v>
          </cell>
          <cell r="BR17" t="e">
            <v>#REF!</v>
          </cell>
          <cell r="BS17">
            <v>39</v>
          </cell>
        </row>
        <row r="18">
          <cell r="B18">
            <v>19</v>
          </cell>
          <cell r="C18" t="str">
            <v>ARMINA RAHMAN TAHSIN</v>
          </cell>
          <cell r="D18" t="str">
            <v>MD.AMINUR RAHMAN</v>
          </cell>
          <cell r="E18" t="str">
            <v>SUMONA AKTAR</v>
          </cell>
          <cell r="F18">
            <v>19</v>
          </cell>
          <cell r="G18">
            <v>20</v>
          </cell>
          <cell r="H18">
            <v>59</v>
          </cell>
          <cell r="I18">
            <v>98</v>
          </cell>
          <cell r="J18">
            <v>10</v>
          </cell>
          <cell r="K18">
            <v>10</v>
          </cell>
          <cell r="L18">
            <v>30</v>
          </cell>
          <cell r="M18">
            <v>50</v>
          </cell>
          <cell r="N18">
            <v>148</v>
          </cell>
          <cell r="O18">
            <v>0</v>
          </cell>
          <cell r="P18">
            <v>5</v>
          </cell>
          <cell r="Q18">
            <v>15</v>
          </cell>
          <cell r="R18">
            <v>19</v>
          </cell>
          <cell r="S18">
            <v>48</v>
          </cell>
          <cell r="T18">
            <v>82</v>
          </cell>
          <cell r="U18">
            <v>8</v>
          </cell>
          <cell r="V18">
            <v>10</v>
          </cell>
          <cell r="W18">
            <v>40</v>
          </cell>
          <cell r="X18">
            <v>20</v>
          </cell>
          <cell r="Y18">
            <v>38</v>
          </cell>
          <cell r="Z18">
            <v>120</v>
          </cell>
          <cell r="AA18">
            <v>0</v>
          </cell>
          <cell r="AB18">
            <v>5</v>
          </cell>
          <cell r="AC18">
            <v>19</v>
          </cell>
          <cell r="AD18">
            <v>20</v>
          </cell>
          <cell r="AE18">
            <v>59</v>
          </cell>
          <cell r="AF18">
            <v>98</v>
          </cell>
          <cell r="AG18">
            <v>0</v>
          </cell>
          <cell r="AH18">
            <v>5</v>
          </cell>
          <cell r="AI18">
            <v>16</v>
          </cell>
          <cell r="AJ18">
            <v>20</v>
          </cell>
          <cell r="AK18">
            <v>54</v>
          </cell>
          <cell r="AL18">
            <v>90</v>
          </cell>
          <cell r="AM18">
            <v>0</v>
          </cell>
          <cell r="AN18">
            <v>5</v>
          </cell>
          <cell r="AO18">
            <v>19</v>
          </cell>
          <cell r="AP18">
            <v>20</v>
          </cell>
          <cell r="AQ18">
            <v>58</v>
          </cell>
          <cell r="AR18">
            <v>97</v>
          </cell>
          <cell r="AS18">
            <v>0</v>
          </cell>
          <cell r="AT18">
            <v>5</v>
          </cell>
          <cell r="AU18">
            <v>19</v>
          </cell>
          <cell r="AV18">
            <v>20</v>
          </cell>
          <cell r="AW18">
            <v>57</v>
          </cell>
          <cell r="AX18">
            <v>96</v>
          </cell>
          <cell r="AY18">
            <v>0</v>
          </cell>
          <cell r="AZ18">
            <v>5</v>
          </cell>
          <cell r="BA18">
            <v>10</v>
          </cell>
          <cell r="BB18">
            <v>10</v>
          </cell>
          <cell r="BC18">
            <v>48</v>
          </cell>
          <cell r="BD18">
            <v>28.799999999999997</v>
          </cell>
          <cell r="BE18">
            <v>48.8</v>
          </cell>
          <cell r="BF18">
            <v>0</v>
          </cell>
          <cell r="BG18">
            <v>5</v>
          </cell>
          <cell r="BH18">
            <v>35</v>
          </cell>
          <cell r="BI18">
            <v>5</v>
          </cell>
          <cell r="BJ18" t="str">
            <v>BEST</v>
          </cell>
          <cell r="BK18">
            <v>697.8</v>
          </cell>
          <cell r="BL18">
            <v>17</v>
          </cell>
          <cell r="BM18">
            <v>63</v>
          </cell>
          <cell r="BN18">
            <v>596</v>
          </cell>
          <cell r="BO18">
            <v>706.8</v>
          </cell>
          <cell r="BP18">
            <v>697.8</v>
          </cell>
          <cell r="BQ18">
            <v>666.86666666666667</v>
          </cell>
          <cell r="BR18" t="e">
            <v>#REF!</v>
          </cell>
          <cell r="BS18">
            <v>14</v>
          </cell>
        </row>
        <row r="19">
          <cell r="B19">
            <v>28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 t="e">
            <v>#REF!</v>
          </cell>
          <cell r="BS19">
            <v>0</v>
          </cell>
        </row>
        <row r="20">
          <cell r="B20">
            <v>32</v>
          </cell>
          <cell r="C20" t="str">
            <v>MAYMUNA MUNIRA</v>
          </cell>
          <cell r="D20" t="str">
            <v>MOHAMMAD BILLAL</v>
          </cell>
          <cell r="E20" t="str">
            <v>SABIKUN NAHAR</v>
          </cell>
          <cell r="F20">
            <v>20</v>
          </cell>
          <cell r="G20">
            <v>20</v>
          </cell>
          <cell r="H20">
            <v>59</v>
          </cell>
          <cell r="I20">
            <v>99</v>
          </cell>
          <cell r="J20">
            <v>9</v>
          </cell>
          <cell r="K20">
            <v>10</v>
          </cell>
          <cell r="L20">
            <v>28</v>
          </cell>
          <cell r="M20">
            <v>47</v>
          </cell>
          <cell r="N20">
            <v>146</v>
          </cell>
          <cell r="O20">
            <v>0</v>
          </cell>
          <cell r="P20">
            <v>5</v>
          </cell>
          <cell r="Q20">
            <v>20</v>
          </cell>
          <cell r="R20">
            <v>20</v>
          </cell>
          <cell r="S20">
            <v>55</v>
          </cell>
          <cell r="T20">
            <v>95</v>
          </cell>
          <cell r="U20">
            <v>8</v>
          </cell>
          <cell r="V20">
            <v>10</v>
          </cell>
          <cell r="W20">
            <v>46</v>
          </cell>
          <cell r="X20">
            <v>23</v>
          </cell>
          <cell r="Y20">
            <v>41</v>
          </cell>
          <cell r="Z20">
            <v>136</v>
          </cell>
          <cell r="AA20">
            <v>0</v>
          </cell>
          <cell r="AB20">
            <v>5</v>
          </cell>
          <cell r="AC20">
            <v>18</v>
          </cell>
          <cell r="AD20">
            <v>20</v>
          </cell>
          <cell r="AE20">
            <v>60</v>
          </cell>
          <cell r="AF20">
            <v>98</v>
          </cell>
          <cell r="AG20">
            <v>0</v>
          </cell>
          <cell r="AH20">
            <v>5</v>
          </cell>
          <cell r="AI20">
            <v>16</v>
          </cell>
          <cell r="AJ20">
            <v>20</v>
          </cell>
          <cell r="AK20">
            <v>37</v>
          </cell>
          <cell r="AL20">
            <v>73</v>
          </cell>
          <cell r="AM20">
            <v>0</v>
          </cell>
          <cell r="AN20">
            <v>4</v>
          </cell>
          <cell r="AO20">
            <v>20</v>
          </cell>
          <cell r="AP20">
            <v>20</v>
          </cell>
          <cell r="AQ20">
            <v>50</v>
          </cell>
          <cell r="AR20">
            <v>90</v>
          </cell>
          <cell r="AS20">
            <v>0</v>
          </cell>
          <cell r="AT20">
            <v>5</v>
          </cell>
          <cell r="AU20">
            <v>20</v>
          </cell>
          <cell r="AV20">
            <v>20</v>
          </cell>
          <cell r="AW20">
            <v>58</v>
          </cell>
          <cell r="AX20">
            <v>98</v>
          </cell>
          <cell r="AY20">
            <v>0</v>
          </cell>
          <cell r="AZ20">
            <v>5</v>
          </cell>
          <cell r="BA20">
            <v>10</v>
          </cell>
          <cell r="BB20">
            <v>10</v>
          </cell>
          <cell r="BC20">
            <v>45</v>
          </cell>
          <cell r="BD20">
            <v>27</v>
          </cell>
          <cell r="BE20">
            <v>47</v>
          </cell>
          <cell r="BF20">
            <v>0</v>
          </cell>
          <cell r="BG20">
            <v>5</v>
          </cell>
          <cell r="BH20">
            <v>34</v>
          </cell>
          <cell r="BI20">
            <v>4.8571428571428568</v>
          </cell>
          <cell r="BJ20" t="str">
            <v>BETTER</v>
          </cell>
          <cell r="BK20">
            <v>688</v>
          </cell>
          <cell r="BL20">
            <v>53</v>
          </cell>
          <cell r="BM20">
            <v>55</v>
          </cell>
          <cell r="BN20">
            <v>606</v>
          </cell>
          <cell r="BO20">
            <v>653.70000000000005</v>
          </cell>
          <cell r="BP20">
            <v>688</v>
          </cell>
          <cell r="BQ20">
            <v>649.23333333333335</v>
          </cell>
          <cell r="BR20" t="e">
            <v>#REF!</v>
          </cell>
          <cell r="BS20">
            <v>18</v>
          </cell>
        </row>
        <row r="21">
          <cell r="B21">
            <v>33</v>
          </cell>
          <cell r="C21" t="str">
            <v xml:space="preserve">MD.PIAS </v>
          </cell>
          <cell r="D21" t="str">
            <v xml:space="preserve">MD JALAL MRIDHA </v>
          </cell>
          <cell r="E21" t="str">
            <v>POPY AKTER</v>
          </cell>
          <cell r="F21">
            <v>20</v>
          </cell>
          <cell r="G21">
            <v>20</v>
          </cell>
          <cell r="H21">
            <v>54</v>
          </cell>
          <cell r="I21">
            <v>94</v>
          </cell>
          <cell r="J21">
            <v>10</v>
          </cell>
          <cell r="K21">
            <v>7</v>
          </cell>
          <cell r="L21">
            <v>27</v>
          </cell>
          <cell r="M21">
            <v>44</v>
          </cell>
          <cell r="N21">
            <v>138</v>
          </cell>
          <cell r="O21">
            <v>0</v>
          </cell>
          <cell r="P21">
            <v>5</v>
          </cell>
          <cell r="Q21">
            <v>16</v>
          </cell>
          <cell r="R21">
            <v>19</v>
          </cell>
          <cell r="S21">
            <v>28</v>
          </cell>
          <cell r="T21">
            <v>63</v>
          </cell>
          <cell r="U21">
            <v>8</v>
          </cell>
          <cell r="V21">
            <v>10</v>
          </cell>
          <cell r="W21">
            <v>44</v>
          </cell>
          <cell r="X21">
            <v>22</v>
          </cell>
          <cell r="Y21">
            <v>40</v>
          </cell>
          <cell r="Z21">
            <v>103</v>
          </cell>
          <cell r="AA21">
            <v>0</v>
          </cell>
          <cell r="AB21">
            <v>3.5</v>
          </cell>
          <cell r="AC21">
            <v>16</v>
          </cell>
          <cell r="AD21">
            <v>20</v>
          </cell>
          <cell r="AE21">
            <v>58</v>
          </cell>
          <cell r="AF21">
            <v>94</v>
          </cell>
          <cell r="AG21">
            <v>0</v>
          </cell>
          <cell r="AH21">
            <v>5</v>
          </cell>
          <cell r="AI21">
            <v>16</v>
          </cell>
          <cell r="AJ21">
            <v>20</v>
          </cell>
          <cell r="AK21">
            <v>52</v>
          </cell>
          <cell r="AL21">
            <v>88</v>
          </cell>
          <cell r="AM21">
            <v>0</v>
          </cell>
          <cell r="AN21">
            <v>5</v>
          </cell>
          <cell r="AO21">
            <v>19</v>
          </cell>
          <cell r="AP21">
            <v>20</v>
          </cell>
          <cell r="AQ21">
            <v>57</v>
          </cell>
          <cell r="AR21">
            <v>96</v>
          </cell>
          <cell r="AS21">
            <v>0</v>
          </cell>
          <cell r="AT21">
            <v>5</v>
          </cell>
          <cell r="AU21">
            <v>16</v>
          </cell>
          <cell r="AV21">
            <v>20</v>
          </cell>
          <cell r="AW21">
            <v>50</v>
          </cell>
          <cell r="AX21">
            <v>86</v>
          </cell>
          <cell r="AY21">
            <v>0</v>
          </cell>
          <cell r="AZ21">
            <v>5</v>
          </cell>
          <cell r="BA21">
            <v>10</v>
          </cell>
          <cell r="BB21">
            <v>10</v>
          </cell>
          <cell r="BC21">
            <v>40</v>
          </cell>
          <cell r="BD21">
            <v>24</v>
          </cell>
          <cell r="BE21">
            <v>44</v>
          </cell>
          <cell r="BF21">
            <v>0</v>
          </cell>
          <cell r="BG21">
            <v>5</v>
          </cell>
          <cell r="BH21">
            <v>33.5</v>
          </cell>
          <cell r="BI21">
            <v>4.7857142857142856</v>
          </cell>
          <cell r="BJ21" t="str">
            <v>BETTER</v>
          </cell>
          <cell r="BK21">
            <v>649</v>
          </cell>
          <cell r="BL21">
            <v>20</v>
          </cell>
          <cell r="BM21">
            <v>55</v>
          </cell>
          <cell r="BN21">
            <v>627</v>
          </cell>
          <cell r="BO21">
            <v>699.5</v>
          </cell>
          <cell r="BP21">
            <v>649</v>
          </cell>
          <cell r="BQ21">
            <v>658.5</v>
          </cell>
          <cell r="BR21" t="e">
            <v>#REF!</v>
          </cell>
          <cell r="BS21">
            <v>21</v>
          </cell>
        </row>
        <row r="22">
          <cell r="B22">
            <v>35</v>
          </cell>
          <cell r="C22" t="str">
            <v>MD.IBRAJHIM</v>
          </cell>
          <cell r="D22" t="str">
            <v>MD.ABDULLAH AL MOTI</v>
          </cell>
          <cell r="E22" t="str">
            <v>MAHFUJA KHATUN</v>
          </cell>
          <cell r="F22">
            <v>19</v>
          </cell>
          <cell r="G22">
            <v>20</v>
          </cell>
          <cell r="H22">
            <v>59</v>
          </cell>
          <cell r="I22">
            <v>98</v>
          </cell>
          <cell r="J22">
            <v>10</v>
          </cell>
          <cell r="K22">
            <v>10</v>
          </cell>
          <cell r="L22">
            <v>29</v>
          </cell>
          <cell r="M22">
            <v>49</v>
          </cell>
          <cell r="N22">
            <v>147</v>
          </cell>
          <cell r="O22">
            <v>0</v>
          </cell>
          <cell r="P22">
            <v>5</v>
          </cell>
          <cell r="Q22">
            <v>13</v>
          </cell>
          <cell r="R22">
            <v>19</v>
          </cell>
          <cell r="S22">
            <v>29</v>
          </cell>
          <cell r="T22">
            <v>61</v>
          </cell>
          <cell r="U22">
            <v>8</v>
          </cell>
          <cell r="V22">
            <v>10</v>
          </cell>
          <cell r="W22">
            <v>42</v>
          </cell>
          <cell r="X22">
            <v>21</v>
          </cell>
          <cell r="Y22">
            <v>39</v>
          </cell>
          <cell r="Z22">
            <v>100</v>
          </cell>
          <cell r="AA22">
            <v>0</v>
          </cell>
          <cell r="AB22">
            <v>3.5</v>
          </cell>
          <cell r="AC22">
            <v>14</v>
          </cell>
          <cell r="AD22">
            <v>20</v>
          </cell>
          <cell r="AE22">
            <v>59</v>
          </cell>
          <cell r="AF22">
            <v>93</v>
          </cell>
          <cell r="AG22">
            <v>0</v>
          </cell>
          <cell r="AH22">
            <v>5</v>
          </cell>
          <cell r="AI22">
            <v>15</v>
          </cell>
          <cell r="AJ22">
            <v>20</v>
          </cell>
          <cell r="AK22">
            <v>45</v>
          </cell>
          <cell r="AL22">
            <v>80</v>
          </cell>
          <cell r="AM22">
            <v>0</v>
          </cell>
          <cell r="AN22">
            <v>5</v>
          </cell>
          <cell r="AO22">
            <v>20</v>
          </cell>
          <cell r="AP22">
            <v>20</v>
          </cell>
          <cell r="AQ22">
            <v>50</v>
          </cell>
          <cell r="AR22">
            <v>90</v>
          </cell>
          <cell r="AS22">
            <v>0</v>
          </cell>
          <cell r="AT22">
            <v>5</v>
          </cell>
          <cell r="AU22">
            <v>17</v>
          </cell>
          <cell r="AV22">
            <v>20</v>
          </cell>
          <cell r="AW22">
            <v>57</v>
          </cell>
          <cell r="AX22">
            <v>94</v>
          </cell>
          <cell r="AY22">
            <v>0</v>
          </cell>
          <cell r="AZ22">
            <v>5</v>
          </cell>
          <cell r="BA22">
            <v>9</v>
          </cell>
          <cell r="BB22">
            <v>10</v>
          </cell>
          <cell r="BC22">
            <v>39</v>
          </cell>
          <cell r="BD22">
            <v>23.4</v>
          </cell>
          <cell r="BE22">
            <v>42.4</v>
          </cell>
          <cell r="BF22">
            <v>0</v>
          </cell>
          <cell r="BG22">
            <v>5</v>
          </cell>
          <cell r="BH22">
            <v>33.5</v>
          </cell>
          <cell r="BI22">
            <v>4.7857142857142856</v>
          </cell>
          <cell r="BJ22" t="str">
            <v>BETTER</v>
          </cell>
          <cell r="BK22">
            <v>646.4</v>
          </cell>
          <cell r="BL22">
            <v>40</v>
          </cell>
          <cell r="BM22">
            <v>56</v>
          </cell>
          <cell r="BN22">
            <v>566</v>
          </cell>
          <cell r="BO22">
            <v>681.4</v>
          </cell>
          <cell r="BP22">
            <v>646.4</v>
          </cell>
          <cell r="BQ22">
            <v>631.26666666666677</v>
          </cell>
          <cell r="BR22" t="e">
            <v>#REF!</v>
          </cell>
          <cell r="BS22">
            <v>44</v>
          </cell>
        </row>
        <row r="23">
          <cell r="B23">
            <v>36</v>
          </cell>
          <cell r="C23" t="str">
            <v>ALIF JAMAN</v>
          </cell>
          <cell r="D23" t="str">
            <v>MD.NUROZZAMAN</v>
          </cell>
          <cell r="E23" t="str">
            <v>ALIZA PERVIN</v>
          </cell>
          <cell r="F23">
            <v>20</v>
          </cell>
          <cell r="G23">
            <v>20</v>
          </cell>
          <cell r="H23">
            <v>56</v>
          </cell>
          <cell r="I23">
            <v>96</v>
          </cell>
          <cell r="J23">
            <v>8</v>
          </cell>
          <cell r="K23">
            <v>10</v>
          </cell>
          <cell r="L23">
            <v>30</v>
          </cell>
          <cell r="M23">
            <v>48</v>
          </cell>
          <cell r="N23">
            <v>144</v>
          </cell>
          <cell r="O23">
            <v>0</v>
          </cell>
          <cell r="P23">
            <v>5</v>
          </cell>
          <cell r="Q23">
            <v>18</v>
          </cell>
          <cell r="R23">
            <v>20</v>
          </cell>
          <cell r="S23">
            <v>55</v>
          </cell>
          <cell r="T23">
            <v>93</v>
          </cell>
          <cell r="U23">
            <v>8</v>
          </cell>
          <cell r="V23">
            <v>10</v>
          </cell>
          <cell r="W23">
            <v>43</v>
          </cell>
          <cell r="X23">
            <v>21.5</v>
          </cell>
          <cell r="Y23">
            <v>39.5</v>
          </cell>
          <cell r="Z23">
            <v>132.5</v>
          </cell>
          <cell r="AA23">
            <v>0</v>
          </cell>
          <cell r="AB23">
            <v>5</v>
          </cell>
          <cell r="AC23">
            <v>19</v>
          </cell>
          <cell r="AD23">
            <v>20</v>
          </cell>
          <cell r="AE23">
            <v>59</v>
          </cell>
          <cell r="AF23">
            <v>98</v>
          </cell>
          <cell r="AG23">
            <v>0</v>
          </cell>
          <cell r="AH23">
            <v>5</v>
          </cell>
          <cell r="AI23">
            <v>16</v>
          </cell>
          <cell r="AJ23">
            <v>20</v>
          </cell>
          <cell r="AK23">
            <v>34</v>
          </cell>
          <cell r="AL23">
            <v>70</v>
          </cell>
          <cell r="AM23">
            <v>0</v>
          </cell>
          <cell r="AN23">
            <v>4</v>
          </cell>
          <cell r="AO23">
            <v>19</v>
          </cell>
          <cell r="AP23">
            <v>20</v>
          </cell>
          <cell r="AQ23">
            <v>57</v>
          </cell>
          <cell r="AR23">
            <v>96</v>
          </cell>
          <cell r="AS23">
            <v>0</v>
          </cell>
          <cell r="AT23">
            <v>5</v>
          </cell>
          <cell r="AU23">
            <v>15</v>
          </cell>
          <cell r="AV23">
            <v>20</v>
          </cell>
          <cell r="AW23">
            <v>55</v>
          </cell>
          <cell r="AX23">
            <v>90</v>
          </cell>
          <cell r="AY23">
            <v>0</v>
          </cell>
          <cell r="AZ23">
            <v>5</v>
          </cell>
          <cell r="BA23">
            <v>10</v>
          </cell>
          <cell r="BB23">
            <v>10</v>
          </cell>
          <cell r="BC23">
            <v>46</v>
          </cell>
          <cell r="BD23">
            <v>27.599999999999998</v>
          </cell>
          <cell r="BE23">
            <v>47.599999999999994</v>
          </cell>
          <cell r="BF23">
            <v>0</v>
          </cell>
          <cell r="BG23">
            <v>5</v>
          </cell>
          <cell r="BH23">
            <v>34</v>
          </cell>
          <cell r="BI23">
            <v>4.8571428571428568</v>
          </cell>
          <cell r="BJ23" t="str">
            <v>BETTER</v>
          </cell>
          <cell r="BK23">
            <v>678.1</v>
          </cell>
          <cell r="BL23">
            <v>28</v>
          </cell>
          <cell r="BM23">
            <v>57</v>
          </cell>
          <cell r="BN23">
            <v>597</v>
          </cell>
          <cell r="BO23">
            <v>582</v>
          </cell>
          <cell r="BP23">
            <v>678.1</v>
          </cell>
          <cell r="BQ23">
            <v>619.0333333333333</v>
          </cell>
          <cell r="BR23" t="e">
            <v>#REF!</v>
          </cell>
          <cell r="BS23">
            <v>49</v>
          </cell>
        </row>
        <row r="24">
          <cell r="B24">
            <v>39</v>
          </cell>
          <cell r="C24" t="str">
            <v>MD.SAIYAN KADER TONOY</v>
          </cell>
          <cell r="D24" t="str">
            <v>MD.MOTAHAR HOSSAIN FAKIR</v>
          </cell>
          <cell r="E24" t="str">
            <v>MOST.SHAMMI AKTER</v>
          </cell>
          <cell r="F24">
            <v>20</v>
          </cell>
          <cell r="G24">
            <v>20</v>
          </cell>
          <cell r="H24">
            <v>59</v>
          </cell>
          <cell r="I24">
            <v>99</v>
          </cell>
          <cell r="J24">
            <v>10</v>
          </cell>
          <cell r="K24">
            <v>10</v>
          </cell>
          <cell r="L24">
            <v>29</v>
          </cell>
          <cell r="M24">
            <v>49</v>
          </cell>
          <cell r="N24">
            <v>148</v>
          </cell>
          <cell r="O24">
            <v>0</v>
          </cell>
          <cell r="P24">
            <v>5</v>
          </cell>
          <cell r="Q24">
            <v>14</v>
          </cell>
          <cell r="R24">
            <v>20</v>
          </cell>
          <cell r="S24">
            <v>51</v>
          </cell>
          <cell r="T24">
            <v>85</v>
          </cell>
          <cell r="U24">
            <v>8</v>
          </cell>
          <cell r="V24">
            <v>10</v>
          </cell>
          <cell r="W24">
            <v>35</v>
          </cell>
          <cell r="X24">
            <v>17.5</v>
          </cell>
          <cell r="Y24">
            <v>35.5</v>
          </cell>
          <cell r="Z24">
            <v>120.5</v>
          </cell>
          <cell r="AA24">
            <v>0</v>
          </cell>
          <cell r="AB24">
            <v>5</v>
          </cell>
          <cell r="AC24">
            <v>19</v>
          </cell>
          <cell r="AD24">
            <v>20</v>
          </cell>
          <cell r="AE24">
            <v>60</v>
          </cell>
          <cell r="AF24">
            <v>99</v>
          </cell>
          <cell r="AG24">
            <v>0</v>
          </cell>
          <cell r="AH24">
            <v>5</v>
          </cell>
          <cell r="AI24">
            <v>19</v>
          </cell>
          <cell r="AJ24">
            <v>20</v>
          </cell>
          <cell r="AK24">
            <v>60</v>
          </cell>
          <cell r="AL24">
            <v>99</v>
          </cell>
          <cell r="AM24">
            <v>0</v>
          </cell>
          <cell r="AN24">
            <v>5</v>
          </cell>
          <cell r="AO24">
            <v>20</v>
          </cell>
          <cell r="AP24">
            <v>20</v>
          </cell>
          <cell r="AQ24">
            <v>60</v>
          </cell>
          <cell r="AR24">
            <v>100</v>
          </cell>
          <cell r="AS24">
            <v>0</v>
          </cell>
          <cell r="AT24">
            <v>5</v>
          </cell>
          <cell r="AU24">
            <v>19</v>
          </cell>
          <cell r="AV24">
            <v>20</v>
          </cell>
          <cell r="AW24">
            <v>59</v>
          </cell>
          <cell r="AX24">
            <v>98</v>
          </cell>
          <cell r="AY24">
            <v>0</v>
          </cell>
          <cell r="AZ24">
            <v>5</v>
          </cell>
          <cell r="BA24">
            <v>8</v>
          </cell>
          <cell r="BB24">
            <v>10</v>
          </cell>
          <cell r="BC24">
            <v>36</v>
          </cell>
          <cell r="BD24">
            <v>21.599999999999998</v>
          </cell>
          <cell r="BE24">
            <v>39.599999999999994</v>
          </cell>
          <cell r="BF24">
            <v>0</v>
          </cell>
          <cell r="BG24">
            <v>4</v>
          </cell>
          <cell r="BH24">
            <v>34</v>
          </cell>
          <cell r="BI24">
            <v>4.8571428571428568</v>
          </cell>
          <cell r="BJ24" t="str">
            <v>BETTER</v>
          </cell>
          <cell r="BK24">
            <v>704.1</v>
          </cell>
          <cell r="BL24">
            <v>41</v>
          </cell>
          <cell r="BM24">
            <v>57</v>
          </cell>
          <cell r="BN24">
            <v>585</v>
          </cell>
          <cell r="BO24">
            <v>679.9</v>
          </cell>
          <cell r="BP24">
            <v>704.1</v>
          </cell>
          <cell r="BQ24">
            <v>656.33333333333337</v>
          </cell>
          <cell r="BR24" t="e">
            <v>#REF!</v>
          </cell>
          <cell r="BS24">
            <v>27</v>
          </cell>
        </row>
        <row r="25">
          <cell r="B25">
            <v>40</v>
          </cell>
          <cell r="C25" t="str">
            <v>HOMAIRA SARKER</v>
          </cell>
          <cell r="D25" t="str">
            <v>HADISUL SARKER</v>
          </cell>
          <cell r="E25" t="str">
            <v>ISRAT JAHAN MITU</v>
          </cell>
          <cell r="F25">
            <v>20</v>
          </cell>
          <cell r="G25">
            <v>20</v>
          </cell>
          <cell r="H25">
            <v>60</v>
          </cell>
          <cell r="I25">
            <v>100</v>
          </cell>
          <cell r="J25">
            <v>10</v>
          </cell>
          <cell r="K25">
            <v>10</v>
          </cell>
          <cell r="L25">
            <v>29</v>
          </cell>
          <cell r="M25">
            <v>49</v>
          </cell>
          <cell r="N25">
            <v>149</v>
          </cell>
          <cell r="O25">
            <v>0</v>
          </cell>
          <cell r="P25">
            <v>5</v>
          </cell>
          <cell r="Q25">
            <v>20</v>
          </cell>
          <cell r="R25">
            <v>20</v>
          </cell>
          <cell r="S25">
            <v>58</v>
          </cell>
          <cell r="T25">
            <v>98</v>
          </cell>
          <cell r="U25">
            <v>10</v>
          </cell>
          <cell r="V25">
            <v>10</v>
          </cell>
          <cell r="W25">
            <v>54</v>
          </cell>
          <cell r="X25">
            <v>27</v>
          </cell>
          <cell r="Y25">
            <v>47</v>
          </cell>
          <cell r="Z25">
            <v>145</v>
          </cell>
          <cell r="AA25">
            <v>0</v>
          </cell>
          <cell r="AB25">
            <v>5</v>
          </cell>
          <cell r="AC25">
            <v>20</v>
          </cell>
          <cell r="AD25">
            <v>20</v>
          </cell>
          <cell r="AE25">
            <v>60</v>
          </cell>
          <cell r="AF25">
            <v>100</v>
          </cell>
          <cell r="AG25">
            <v>0</v>
          </cell>
          <cell r="AH25">
            <v>5</v>
          </cell>
          <cell r="AI25">
            <v>20</v>
          </cell>
          <cell r="AJ25">
            <v>20</v>
          </cell>
          <cell r="AK25">
            <v>58</v>
          </cell>
          <cell r="AL25">
            <v>98</v>
          </cell>
          <cell r="AM25">
            <v>0</v>
          </cell>
          <cell r="AN25">
            <v>5</v>
          </cell>
          <cell r="AO25">
            <v>20</v>
          </cell>
          <cell r="AP25">
            <v>20</v>
          </cell>
          <cell r="AQ25">
            <v>60</v>
          </cell>
          <cell r="AR25">
            <v>100</v>
          </cell>
          <cell r="AS25">
            <v>0</v>
          </cell>
          <cell r="AT25">
            <v>5</v>
          </cell>
          <cell r="AU25">
            <v>20</v>
          </cell>
          <cell r="AV25">
            <v>20</v>
          </cell>
          <cell r="AW25">
            <v>60</v>
          </cell>
          <cell r="AX25">
            <v>100</v>
          </cell>
          <cell r="AY25">
            <v>0</v>
          </cell>
          <cell r="AZ25">
            <v>5</v>
          </cell>
          <cell r="BA25">
            <v>10</v>
          </cell>
          <cell r="BB25">
            <v>10</v>
          </cell>
          <cell r="BC25">
            <v>48</v>
          </cell>
          <cell r="BD25">
            <v>28.799999999999997</v>
          </cell>
          <cell r="BE25">
            <v>48.8</v>
          </cell>
          <cell r="BF25">
            <v>0</v>
          </cell>
          <cell r="BG25">
            <v>5</v>
          </cell>
          <cell r="BH25">
            <v>35</v>
          </cell>
          <cell r="BI25">
            <v>5</v>
          </cell>
          <cell r="BJ25" t="str">
            <v>BEST</v>
          </cell>
          <cell r="BK25">
            <v>740.8</v>
          </cell>
          <cell r="BL25">
            <v>4</v>
          </cell>
          <cell r="BM25">
            <v>64</v>
          </cell>
          <cell r="BN25">
            <v>679</v>
          </cell>
          <cell r="BO25">
            <v>741</v>
          </cell>
          <cell r="BP25">
            <v>740.8</v>
          </cell>
          <cell r="BQ25">
            <v>720.26666666666677</v>
          </cell>
          <cell r="BR25" t="e">
            <v>#REF!</v>
          </cell>
          <cell r="BS25">
            <v>4</v>
          </cell>
        </row>
        <row r="26">
          <cell r="B26">
            <v>41</v>
          </cell>
          <cell r="C26" t="str">
            <v>SAIHAM KADER TONMOY</v>
          </cell>
          <cell r="D26" t="str">
            <v>MD.MOTAHAR HOSSAIN FAKIR</v>
          </cell>
          <cell r="E26" t="str">
            <v>MOST.SHAMMI AKTER</v>
          </cell>
          <cell r="F26">
            <v>20</v>
          </cell>
          <cell r="G26">
            <v>20</v>
          </cell>
          <cell r="H26">
            <v>60</v>
          </cell>
          <cell r="I26">
            <v>100</v>
          </cell>
          <cell r="J26">
            <v>10</v>
          </cell>
          <cell r="K26">
            <v>10</v>
          </cell>
          <cell r="L26">
            <v>25</v>
          </cell>
          <cell r="M26">
            <v>45</v>
          </cell>
          <cell r="N26">
            <v>145</v>
          </cell>
          <cell r="O26">
            <v>0</v>
          </cell>
          <cell r="P26">
            <v>5</v>
          </cell>
          <cell r="Q26">
            <v>16</v>
          </cell>
          <cell r="R26">
            <v>20</v>
          </cell>
          <cell r="S26">
            <v>47</v>
          </cell>
          <cell r="T26">
            <v>83</v>
          </cell>
          <cell r="U26">
            <v>9</v>
          </cell>
          <cell r="V26">
            <v>10</v>
          </cell>
          <cell r="W26">
            <v>40</v>
          </cell>
          <cell r="X26">
            <v>20</v>
          </cell>
          <cell r="Y26">
            <v>39</v>
          </cell>
          <cell r="Z26">
            <v>122</v>
          </cell>
          <cell r="AA26">
            <v>0</v>
          </cell>
          <cell r="AB26">
            <v>5</v>
          </cell>
          <cell r="AC26">
            <v>18</v>
          </cell>
          <cell r="AD26">
            <v>20</v>
          </cell>
          <cell r="AE26">
            <v>60</v>
          </cell>
          <cell r="AF26">
            <v>98</v>
          </cell>
          <cell r="AG26">
            <v>0</v>
          </cell>
          <cell r="AH26">
            <v>5</v>
          </cell>
          <cell r="AI26">
            <v>11</v>
          </cell>
          <cell r="AJ26">
            <v>20</v>
          </cell>
          <cell r="AK26">
            <v>60</v>
          </cell>
          <cell r="AL26">
            <v>91</v>
          </cell>
          <cell r="AM26">
            <v>0</v>
          </cell>
          <cell r="AN26">
            <v>5</v>
          </cell>
          <cell r="AO26">
            <v>20</v>
          </cell>
          <cell r="AP26">
            <v>20</v>
          </cell>
          <cell r="AQ26">
            <v>60</v>
          </cell>
          <cell r="AR26">
            <v>100</v>
          </cell>
          <cell r="AS26">
            <v>0</v>
          </cell>
          <cell r="AT26">
            <v>5</v>
          </cell>
          <cell r="AU26">
            <v>17</v>
          </cell>
          <cell r="AV26">
            <v>20</v>
          </cell>
          <cell r="AW26">
            <v>57</v>
          </cell>
          <cell r="AX26">
            <v>94</v>
          </cell>
          <cell r="AY26">
            <v>0</v>
          </cell>
          <cell r="AZ26">
            <v>5</v>
          </cell>
          <cell r="BA26">
            <v>10</v>
          </cell>
          <cell r="BB26">
            <v>10</v>
          </cell>
          <cell r="BC26">
            <v>43</v>
          </cell>
          <cell r="BD26">
            <v>25.8</v>
          </cell>
          <cell r="BE26">
            <v>45.8</v>
          </cell>
          <cell r="BF26">
            <v>0</v>
          </cell>
          <cell r="BG26">
            <v>5</v>
          </cell>
          <cell r="BH26">
            <v>35</v>
          </cell>
          <cell r="BI26">
            <v>5</v>
          </cell>
          <cell r="BJ26" t="str">
            <v>BEST</v>
          </cell>
          <cell r="BK26">
            <v>695.8</v>
          </cell>
          <cell r="BL26">
            <v>52</v>
          </cell>
          <cell r="BM26">
            <v>59</v>
          </cell>
          <cell r="BN26">
            <v>590</v>
          </cell>
          <cell r="BO26">
            <v>657.5</v>
          </cell>
          <cell r="BP26">
            <v>700.8</v>
          </cell>
          <cell r="BQ26">
            <v>649.43333333333328</v>
          </cell>
          <cell r="BR26" t="e">
            <v>#REF!</v>
          </cell>
          <cell r="BS26">
            <v>26</v>
          </cell>
        </row>
        <row r="27">
          <cell r="B27">
            <v>42</v>
          </cell>
          <cell r="C27" t="str">
            <v xml:space="preserve">JINHAJ ISLAM RATUL </v>
          </cell>
          <cell r="D27" t="str">
            <v>MD.RIMON HOSSEN</v>
          </cell>
          <cell r="E27" t="str">
            <v>ROZINA AKTER RADIA</v>
          </cell>
          <cell r="F27">
            <v>20</v>
          </cell>
          <cell r="G27">
            <v>20</v>
          </cell>
          <cell r="H27">
            <v>60</v>
          </cell>
          <cell r="I27">
            <v>100</v>
          </cell>
          <cell r="J27">
            <v>8</v>
          </cell>
          <cell r="K27">
            <v>10</v>
          </cell>
          <cell r="L27">
            <v>29</v>
          </cell>
          <cell r="M27">
            <v>47</v>
          </cell>
          <cell r="N27">
            <v>147</v>
          </cell>
          <cell r="O27">
            <v>0</v>
          </cell>
          <cell r="P27">
            <v>5</v>
          </cell>
          <cell r="Q27">
            <v>17</v>
          </cell>
          <cell r="R27">
            <v>20</v>
          </cell>
          <cell r="S27">
            <v>39</v>
          </cell>
          <cell r="T27">
            <v>76</v>
          </cell>
          <cell r="U27">
            <v>8</v>
          </cell>
          <cell r="V27">
            <v>10</v>
          </cell>
          <cell r="W27">
            <v>41</v>
          </cell>
          <cell r="X27">
            <v>20.5</v>
          </cell>
          <cell r="Y27">
            <v>38.5</v>
          </cell>
          <cell r="Z27">
            <v>114.5</v>
          </cell>
          <cell r="AA27">
            <v>0</v>
          </cell>
          <cell r="AB27">
            <v>4</v>
          </cell>
          <cell r="AC27">
            <v>18</v>
          </cell>
          <cell r="AD27">
            <v>20</v>
          </cell>
          <cell r="AE27">
            <v>60</v>
          </cell>
          <cell r="AF27">
            <v>98</v>
          </cell>
          <cell r="AG27">
            <v>0</v>
          </cell>
          <cell r="AH27">
            <v>5</v>
          </cell>
          <cell r="AI27">
            <v>15</v>
          </cell>
          <cell r="AJ27">
            <v>20</v>
          </cell>
          <cell r="AK27">
            <v>50</v>
          </cell>
          <cell r="AL27">
            <v>85</v>
          </cell>
          <cell r="AM27">
            <v>0</v>
          </cell>
          <cell r="AN27">
            <v>5</v>
          </cell>
          <cell r="AO27">
            <v>18</v>
          </cell>
          <cell r="AP27">
            <v>20</v>
          </cell>
          <cell r="AQ27">
            <v>56</v>
          </cell>
          <cell r="AR27">
            <v>94</v>
          </cell>
          <cell r="AS27">
            <v>0</v>
          </cell>
          <cell r="AT27">
            <v>5</v>
          </cell>
          <cell r="AU27">
            <v>18</v>
          </cell>
          <cell r="AV27">
            <v>20</v>
          </cell>
          <cell r="AW27">
            <v>59</v>
          </cell>
          <cell r="AX27">
            <v>97</v>
          </cell>
          <cell r="AY27">
            <v>0</v>
          </cell>
          <cell r="AZ27">
            <v>5</v>
          </cell>
          <cell r="BA27">
            <v>10</v>
          </cell>
          <cell r="BB27">
            <v>10</v>
          </cell>
          <cell r="BC27">
            <v>44</v>
          </cell>
          <cell r="BD27">
            <v>26.4</v>
          </cell>
          <cell r="BE27">
            <v>46.4</v>
          </cell>
          <cell r="BF27">
            <v>0</v>
          </cell>
          <cell r="BG27">
            <v>5</v>
          </cell>
          <cell r="BH27">
            <v>34</v>
          </cell>
          <cell r="BI27">
            <v>4.8571428571428568</v>
          </cell>
          <cell r="BJ27" t="str">
            <v>BETTER</v>
          </cell>
          <cell r="BK27">
            <v>681.9</v>
          </cell>
          <cell r="BL27">
            <v>18</v>
          </cell>
          <cell r="BM27">
            <v>57</v>
          </cell>
          <cell r="BN27">
            <v>618</v>
          </cell>
          <cell r="BO27">
            <v>703.5</v>
          </cell>
          <cell r="BP27">
            <v>681.9</v>
          </cell>
          <cell r="BQ27">
            <v>667.80000000000007</v>
          </cell>
          <cell r="BR27" t="e">
            <v>#REF!</v>
          </cell>
          <cell r="BS27">
            <v>22</v>
          </cell>
        </row>
        <row r="28">
          <cell r="B28">
            <v>43</v>
          </cell>
          <cell r="C28" t="str">
            <v>MD.SIYAM HOSSAIN</v>
          </cell>
          <cell r="D28" t="str">
            <v>ABU SAEID</v>
          </cell>
          <cell r="E28" t="str">
            <v>RAHELA AKTER</v>
          </cell>
          <cell r="F28">
            <v>19</v>
          </cell>
          <cell r="G28">
            <v>20</v>
          </cell>
          <cell r="H28">
            <v>60</v>
          </cell>
          <cell r="I28">
            <v>99</v>
          </cell>
          <cell r="J28">
            <v>10</v>
          </cell>
          <cell r="K28">
            <v>10</v>
          </cell>
          <cell r="L28">
            <v>30</v>
          </cell>
          <cell r="M28">
            <v>50</v>
          </cell>
          <cell r="N28">
            <v>149</v>
          </cell>
          <cell r="O28">
            <v>0</v>
          </cell>
          <cell r="P28">
            <v>5</v>
          </cell>
          <cell r="Q28">
            <v>17</v>
          </cell>
          <cell r="R28">
            <v>20</v>
          </cell>
          <cell r="S28">
            <v>50</v>
          </cell>
          <cell r="T28">
            <v>87</v>
          </cell>
          <cell r="U28">
            <v>9</v>
          </cell>
          <cell r="V28">
            <v>10</v>
          </cell>
          <cell r="W28">
            <v>50</v>
          </cell>
          <cell r="X28">
            <v>25</v>
          </cell>
          <cell r="Y28">
            <v>44</v>
          </cell>
          <cell r="Z28">
            <v>131</v>
          </cell>
          <cell r="AA28">
            <v>0</v>
          </cell>
          <cell r="AB28">
            <v>5</v>
          </cell>
          <cell r="AC28">
            <v>18</v>
          </cell>
          <cell r="AD28">
            <v>20</v>
          </cell>
          <cell r="AE28">
            <v>60</v>
          </cell>
          <cell r="AF28">
            <v>98</v>
          </cell>
          <cell r="AG28">
            <v>0</v>
          </cell>
          <cell r="AH28">
            <v>5</v>
          </cell>
          <cell r="AI28">
            <v>19</v>
          </cell>
          <cell r="AJ28">
            <v>20</v>
          </cell>
          <cell r="AK28">
            <v>58</v>
          </cell>
          <cell r="AL28">
            <v>97</v>
          </cell>
          <cell r="AM28">
            <v>0</v>
          </cell>
          <cell r="AN28">
            <v>5</v>
          </cell>
          <cell r="AO28">
            <v>20</v>
          </cell>
          <cell r="AP28">
            <v>20</v>
          </cell>
          <cell r="AQ28">
            <v>59</v>
          </cell>
          <cell r="AR28">
            <v>99</v>
          </cell>
          <cell r="AS28">
            <v>0</v>
          </cell>
          <cell r="AT28">
            <v>5</v>
          </cell>
          <cell r="AU28">
            <v>20</v>
          </cell>
          <cell r="AV28">
            <v>20</v>
          </cell>
          <cell r="AW28">
            <v>60</v>
          </cell>
          <cell r="AX28">
            <v>100</v>
          </cell>
          <cell r="AY28">
            <v>0</v>
          </cell>
          <cell r="AZ28">
            <v>5</v>
          </cell>
          <cell r="BA28">
            <v>8</v>
          </cell>
          <cell r="BB28">
            <v>10</v>
          </cell>
          <cell r="BC28">
            <v>37</v>
          </cell>
          <cell r="BD28">
            <v>22.2</v>
          </cell>
          <cell r="BE28">
            <v>40.200000000000003</v>
          </cell>
          <cell r="BF28">
            <v>0</v>
          </cell>
          <cell r="BG28">
            <v>5</v>
          </cell>
          <cell r="BH28">
            <v>35</v>
          </cell>
          <cell r="BI28">
            <v>5</v>
          </cell>
          <cell r="BJ28" t="str">
            <v>BEST</v>
          </cell>
          <cell r="BK28">
            <v>714.2</v>
          </cell>
          <cell r="BL28">
            <v>37</v>
          </cell>
          <cell r="BM28">
            <v>58</v>
          </cell>
          <cell r="BN28">
            <v>564</v>
          </cell>
          <cell r="BO28">
            <v>691.8</v>
          </cell>
          <cell r="BP28">
            <v>714.2</v>
          </cell>
          <cell r="BQ28">
            <v>656.66666666666663</v>
          </cell>
          <cell r="BR28" t="e">
            <v>#REF!</v>
          </cell>
          <cell r="BS28">
            <v>33</v>
          </cell>
        </row>
        <row r="29">
          <cell r="B29">
            <v>45</v>
          </cell>
          <cell r="C29" t="str">
            <v>ABU SUFIAN TAMIN</v>
          </cell>
          <cell r="D29" t="str">
            <v>ABU TAHER</v>
          </cell>
          <cell r="E29" t="str">
            <v>SUFIA BEGUM</v>
          </cell>
          <cell r="F29">
            <v>20</v>
          </cell>
          <cell r="G29">
            <v>20</v>
          </cell>
          <cell r="H29">
            <v>59</v>
          </cell>
          <cell r="I29">
            <v>99</v>
          </cell>
          <cell r="J29">
            <v>9</v>
          </cell>
          <cell r="K29">
            <v>10</v>
          </cell>
          <cell r="L29">
            <v>29</v>
          </cell>
          <cell r="M29">
            <v>48</v>
          </cell>
          <cell r="N29">
            <v>147</v>
          </cell>
          <cell r="O29">
            <v>0</v>
          </cell>
          <cell r="P29">
            <v>5</v>
          </cell>
          <cell r="Q29">
            <v>18</v>
          </cell>
          <cell r="R29">
            <v>20</v>
          </cell>
          <cell r="S29">
            <v>44</v>
          </cell>
          <cell r="T29">
            <v>82</v>
          </cell>
          <cell r="U29">
            <v>9</v>
          </cell>
          <cell r="V29">
            <v>10</v>
          </cell>
          <cell r="W29">
            <v>45</v>
          </cell>
          <cell r="X29">
            <v>22.5</v>
          </cell>
          <cell r="Y29">
            <v>41.5</v>
          </cell>
          <cell r="Z29">
            <v>123.5</v>
          </cell>
          <cell r="AA29">
            <v>0</v>
          </cell>
          <cell r="AB29">
            <v>5</v>
          </cell>
          <cell r="AC29">
            <v>18</v>
          </cell>
          <cell r="AD29">
            <v>20</v>
          </cell>
          <cell r="AE29">
            <v>60</v>
          </cell>
          <cell r="AF29">
            <v>98</v>
          </cell>
          <cell r="AG29">
            <v>0</v>
          </cell>
          <cell r="AH29">
            <v>5</v>
          </cell>
          <cell r="AI29">
            <v>19</v>
          </cell>
          <cell r="AJ29">
            <v>20</v>
          </cell>
          <cell r="AK29">
            <v>53</v>
          </cell>
          <cell r="AL29">
            <v>92</v>
          </cell>
          <cell r="AM29">
            <v>0</v>
          </cell>
          <cell r="AN29">
            <v>5</v>
          </cell>
          <cell r="AO29">
            <v>20</v>
          </cell>
          <cell r="AP29">
            <v>20</v>
          </cell>
          <cell r="AQ29">
            <v>52</v>
          </cell>
          <cell r="AR29">
            <v>92</v>
          </cell>
          <cell r="AS29">
            <v>0</v>
          </cell>
          <cell r="AT29">
            <v>5</v>
          </cell>
          <cell r="AU29">
            <v>19</v>
          </cell>
          <cell r="AV29">
            <v>20</v>
          </cell>
          <cell r="AW29">
            <v>60</v>
          </cell>
          <cell r="AX29">
            <v>99</v>
          </cell>
          <cell r="AY29">
            <v>0</v>
          </cell>
          <cell r="AZ29">
            <v>5</v>
          </cell>
          <cell r="BA29">
            <v>8</v>
          </cell>
          <cell r="BB29">
            <v>10</v>
          </cell>
          <cell r="BC29">
            <v>36</v>
          </cell>
          <cell r="BD29">
            <v>21.599999999999998</v>
          </cell>
          <cell r="BE29">
            <v>39.599999999999994</v>
          </cell>
          <cell r="BF29">
            <v>0</v>
          </cell>
          <cell r="BG29">
            <v>4</v>
          </cell>
          <cell r="BH29">
            <v>34</v>
          </cell>
          <cell r="BI29">
            <v>4.8571428571428568</v>
          </cell>
          <cell r="BJ29" t="str">
            <v>BETTER</v>
          </cell>
          <cell r="BK29">
            <v>691.1</v>
          </cell>
          <cell r="BL29">
            <v>13</v>
          </cell>
          <cell r="BM29">
            <v>64</v>
          </cell>
          <cell r="BN29">
            <v>633</v>
          </cell>
          <cell r="BO29">
            <v>712.5</v>
          </cell>
          <cell r="BP29">
            <v>691.1</v>
          </cell>
          <cell r="BQ29">
            <v>678.86666666666667</v>
          </cell>
          <cell r="BR29" t="e">
            <v>#REF!</v>
          </cell>
          <cell r="BS29">
            <v>11</v>
          </cell>
        </row>
        <row r="30">
          <cell r="B30">
            <v>46</v>
          </cell>
          <cell r="C30" t="str">
            <v>MD.RAKAT SHEIKH</v>
          </cell>
          <cell r="D30" t="str">
            <v>MD.BONY AMIN</v>
          </cell>
          <cell r="E30" t="str">
            <v>RAJIA SULTANA HERA</v>
          </cell>
          <cell r="F30">
            <v>19</v>
          </cell>
          <cell r="G30">
            <v>20</v>
          </cell>
          <cell r="H30">
            <v>49</v>
          </cell>
          <cell r="I30">
            <v>88</v>
          </cell>
          <cell r="J30">
            <v>8</v>
          </cell>
          <cell r="K30">
            <v>10</v>
          </cell>
          <cell r="L30">
            <v>23</v>
          </cell>
          <cell r="M30">
            <v>41</v>
          </cell>
          <cell r="N30">
            <v>129</v>
          </cell>
          <cell r="O30">
            <v>0</v>
          </cell>
          <cell r="P30">
            <v>5</v>
          </cell>
          <cell r="Q30">
            <v>13</v>
          </cell>
          <cell r="R30">
            <v>20</v>
          </cell>
          <cell r="S30">
            <v>42</v>
          </cell>
          <cell r="T30">
            <v>75</v>
          </cell>
          <cell r="U30">
            <v>9</v>
          </cell>
          <cell r="V30">
            <v>10</v>
          </cell>
          <cell r="W30">
            <v>37</v>
          </cell>
          <cell r="X30">
            <v>18.5</v>
          </cell>
          <cell r="Y30">
            <v>37.5</v>
          </cell>
          <cell r="Z30">
            <v>112.5</v>
          </cell>
          <cell r="AA30">
            <v>0</v>
          </cell>
          <cell r="AB30">
            <v>4</v>
          </cell>
          <cell r="AC30">
            <v>11</v>
          </cell>
          <cell r="AD30">
            <v>20</v>
          </cell>
          <cell r="AE30">
            <v>59</v>
          </cell>
          <cell r="AF30">
            <v>90</v>
          </cell>
          <cell r="AG30">
            <v>0</v>
          </cell>
          <cell r="AH30">
            <v>5</v>
          </cell>
          <cell r="AI30">
            <v>19</v>
          </cell>
          <cell r="AJ30">
            <v>20</v>
          </cell>
          <cell r="AK30">
            <v>47</v>
          </cell>
          <cell r="AL30">
            <v>86</v>
          </cell>
          <cell r="AM30">
            <v>0</v>
          </cell>
          <cell r="AN30">
            <v>5</v>
          </cell>
          <cell r="AO30">
            <v>19</v>
          </cell>
          <cell r="AP30">
            <v>20</v>
          </cell>
          <cell r="AQ30">
            <v>52</v>
          </cell>
          <cell r="AR30">
            <v>91</v>
          </cell>
          <cell r="AS30">
            <v>0</v>
          </cell>
          <cell r="AT30">
            <v>5</v>
          </cell>
          <cell r="AU30">
            <v>20</v>
          </cell>
          <cell r="AV30">
            <v>20</v>
          </cell>
          <cell r="AW30">
            <v>50</v>
          </cell>
          <cell r="AX30">
            <v>90</v>
          </cell>
          <cell r="AY30">
            <v>0</v>
          </cell>
          <cell r="AZ30">
            <v>5</v>
          </cell>
          <cell r="BA30">
            <v>8</v>
          </cell>
          <cell r="BB30">
            <v>10</v>
          </cell>
          <cell r="BC30">
            <v>38</v>
          </cell>
          <cell r="BD30">
            <v>22.8</v>
          </cell>
          <cell r="BE30">
            <v>40.799999999999997</v>
          </cell>
          <cell r="BF30">
            <v>0</v>
          </cell>
          <cell r="BG30">
            <v>5</v>
          </cell>
          <cell r="BH30">
            <v>34</v>
          </cell>
          <cell r="BI30">
            <v>4.8571428571428568</v>
          </cell>
          <cell r="BJ30" t="str">
            <v>BETTER</v>
          </cell>
          <cell r="BK30">
            <v>639.29999999999995</v>
          </cell>
          <cell r="BL30">
            <v>55</v>
          </cell>
          <cell r="BM30">
            <v>56</v>
          </cell>
          <cell r="BN30">
            <v>569</v>
          </cell>
          <cell r="BO30">
            <v>642.70000000000005</v>
          </cell>
          <cell r="BP30">
            <v>639.29999999999995</v>
          </cell>
          <cell r="BQ30">
            <v>617</v>
          </cell>
          <cell r="BR30" t="e">
            <v>#REF!</v>
          </cell>
          <cell r="BS30">
            <v>32</v>
          </cell>
        </row>
        <row r="31">
          <cell r="B31">
            <v>47</v>
          </cell>
          <cell r="C31" t="str">
            <v>ISTIAQ AHMED RADIN</v>
          </cell>
          <cell r="D31" t="str">
            <v>FAISAL AHMED JONY</v>
          </cell>
          <cell r="E31" t="str">
            <v>ISRAT JAHAN ROSY</v>
          </cell>
          <cell r="F31">
            <v>20</v>
          </cell>
          <cell r="G31">
            <v>20</v>
          </cell>
          <cell r="H31">
            <v>60</v>
          </cell>
          <cell r="I31">
            <v>100</v>
          </cell>
          <cell r="J31">
            <v>10</v>
          </cell>
          <cell r="K31">
            <v>10</v>
          </cell>
          <cell r="L31">
            <v>29</v>
          </cell>
          <cell r="M31">
            <v>49</v>
          </cell>
          <cell r="N31">
            <v>149</v>
          </cell>
          <cell r="O31">
            <v>0</v>
          </cell>
          <cell r="P31">
            <v>5</v>
          </cell>
          <cell r="Q31">
            <v>20</v>
          </cell>
          <cell r="R31">
            <v>20</v>
          </cell>
          <cell r="S31">
            <v>58</v>
          </cell>
          <cell r="T31">
            <v>98</v>
          </cell>
          <cell r="U31">
            <v>10</v>
          </cell>
          <cell r="V31">
            <v>10</v>
          </cell>
          <cell r="W31">
            <v>55</v>
          </cell>
          <cell r="X31">
            <v>27.5</v>
          </cell>
          <cell r="Y31">
            <v>47.5</v>
          </cell>
          <cell r="Z31">
            <v>145.5</v>
          </cell>
          <cell r="AA31">
            <v>0</v>
          </cell>
          <cell r="AB31">
            <v>5</v>
          </cell>
          <cell r="AC31">
            <v>20</v>
          </cell>
          <cell r="AD31">
            <v>20</v>
          </cell>
          <cell r="AE31">
            <v>59</v>
          </cell>
          <cell r="AF31">
            <v>99</v>
          </cell>
          <cell r="AG31">
            <v>0</v>
          </cell>
          <cell r="AH31">
            <v>5</v>
          </cell>
          <cell r="AI31">
            <v>20</v>
          </cell>
          <cell r="AJ31">
            <v>20</v>
          </cell>
          <cell r="AK31">
            <v>60</v>
          </cell>
          <cell r="AL31">
            <v>100</v>
          </cell>
          <cell r="AM31">
            <v>0</v>
          </cell>
          <cell r="AN31">
            <v>5</v>
          </cell>
          <cell r="AO31">
            <v>20</v>
          </cell>
          <cell r="AP31">
            <v>20</v>
          </cell>
          <cell r="AQ31">
            <v>60</v>
          </cell>
          <cell r="AR31">
            <v>100</v>
          </cell>
          <cell r="AS31">
            <v>0</v>
          </cell>
          <cell r="AT31">
            <v>5</v>
          </cell>
          <cell r="AU31">
            <v>20</v>
          </cell>
          <cell r="AV31">
            <v>20</v>
          </cell>
          <cell r="AW31">
            <v>60</v>
          </cell>
          <cell r="AX31">
            <v>100</v>
          </cell>
          <cell r="AY31">
            <v>0</v>
          </cell>
          <cell r="AZ31">
            <v>5</v>
          </cell>
          <cell r="BA31">
            <v>10</v>
          </cell>
          <cell r="BB31">
            <v>10</v>
          </cell>
          <cell r="BC31">
            <v>42</v>
          </cell>
          <cell r="BD31">
            <v>25.2</v>
          </cell>
          <cell r="BE31">
            <v>45.2</v>
          </cell>
          <cell r="BF31">
            <v>0</v>
          </cell>
          <cell r="BG31">
            <v>5</v>
          </cell>
          <cell r="BH31">
            <v>35</v>
          </cell>
          <cell r="BI31">
            <v>5</v>
          </cell>
          <cell r="BJ31" t="str">
            <v>BEST</v>
          </cell>
          <cell r="BK31">
            <v>738.7</v>
          </cell>
          <cell r="BL31">
            <v>5</v>
          </cell>
          <cell r="BM31">
            <v>65</v>
          </cell>
          <cell r="BN31">
            <v>699</v>
          </cell>
          <cell r="BO31">
            <v>738.5</v>
          </cell>
          <cell r="BP31">
            <v>738.7</v>
          </cell>
          <cell r="BQ31">
            <v>725.4</v>
          </cell>
          <cell r="BR31" t="e">
            <v>#REF!</v>
          </cell>
          <cell r="BS31">
            <v>2</v>
          </cell>
        </row>
        <row r="32">
          <cell r="B32">
            <v>48</v>
          </cell>
          <cell r="C32" t="str">
            <v>B.M ABID HASAN</v>
          </cell>
          <cell r="D32" t="str">
            <v>MOZAMMEL HOSSEN BABAR</v>
          </cell>
          <cell r="E32" t="str">
            <v>KHALEDA PERVIN</v>
          </cell>
          <cell r="F32">
            <v>20</v>
          </cell>
          <cell r="G32">
            <v>20</v>
          </cell>
          <cell r="H32">
            <v>59</v>
          </cell>
          <cell r="I32">
            <v>99</v>
          </cell>
          <cell r="J32">
            <v>10</v>
          </cell>
          <cell r="K32">
            <v>10</v>
          </cell>
          <cell r="L32">
            <v>30</v>
          </cell>
          <cell r="M32">
            <v>50</v>
          </cell>
          <cell r="N32">
            <v>149</v>
          </cell>
          <cell r="O32">
            <v>0</v>
          </cell>
          <cell r="P32">
            <v>5</v>
          </cell>
          <cell r="Q32">
            <v>18</v>
          </cell>
          <cell r="R32">
            <v>19</v>
          </cell>
          <cell r="S32">
            <v>42</v>
          </cell>
          <cell r="T32">
            <v>79</v>
          </cell>
          <cell r="U32">
            <v>10</v>
          </cell>
          <cell r="V32">
            <v>10</v>
          </cell>
          <cell r="W32">
            <v>52</v>
          </cell>
          <cell r="X32">
            <v>26</v>
          </cell>
          <cell r="Y32">
            <v>46</v>
          </cell>
          <cell r="Z32">
            <v>125</v>
          </cell>
          <cell r="AA32">
            <v>0</v>
          </cell>
          <cell r="AB32">
            <v>5</v>
          </cell>
          <cell r="AC32">
            <v>19</v>
          </cell>
          <cell r="AD32">
            <v>20</v>
          </cell>
          <cell r="AE32">
            <v>60</v>
          </cell>
          <cell r="AF32">
            <v>99</v>
          </cell>
          <cell r="AG32">
            <v>0</v>
          </cell>
          <cell r="AH32">
            <v>5</v>
          </cell>
          <cell r="AI32">
            <v>20</v>
          </cell>
          <cell r="AJ32">
            <v>20</v>
          </cell>
          <cell r="AK32">
            <v>60</v>
          </cell>
          <cell r="AL32">
            <v>100</v>
          </cell>
          <cell r="AM32">
            <v>0</v>
          </cell>
          <cell r="AN32">
            <v>5</v>
          </cell>
          <cell r="AO32">
            <v>20</v>
          </cell>
          <cell r="AP32">
            <v>20</v>
          </cell>
          <cell r="AQ32">
            <v>54</v>
          </cell>
          <cell r="AR32">
            <v>94</v>
          </cell>
          <cell r="AS32">
            <v>0</v>
          </cell>
          <cell r="AT32">
            <v>5</v>
          </cell>
          <cell r="AU32">
            <v>20</v>
          </cell>
          <cell r="AV32">
            <v>20</v>
          </cell>
          <cell r="AW32">
            <v>58</v>
          </cell>
          <cell r="AX32">
            <v>98</v>
          </cell>
          <cell r="AY32">
            <v>0</v>
          </cell>
          <cell r="AZ32">
            <v>5</v>
          </cell>
          <cell r="BA32">
            <v>9</v>
          </cell>
          <cell r="BB32">
            <v>10</v>
          </cell>
          <cell r="BC32">
            <v>37</v>
          </cell>
          <cell r="BD32">
            <v>22.2</v>
          </cell>
          <cell r="BE32">
            <v>41.2</v>
          </cell>
          <cell r="BF32">
            <v>0</v>
          </cell>
          <cell r="BG32">
            <v>5</v>
          </cell>
          <cell r="BH32">
            <v>35</v>
          </cell>
          <cell r="BI32">
            <v>5</v>
          </cell>
          <cell r="BJ32" t="str">
            <v>BEST</v>
          </cell>
          <cell r="BK32">
            <v>706.2</v>
          </cell>
          <cell r="BL32">
            <v>11</v>
          </cell>
          <cell r="BM32">
            <v>57</v>
          </cell>
          <cell r="BN32">
            <v>648</v>
          </cell>
          <cell r="BO32">
            <v>715</v>
          </cell>
          <cell r="BP32">
            <v>706.2</v>
          </cell>
          <cell r="BQ32">
            <v>689.73333333333323</v>
          </cell>
          <cell r="BR32" t="e">
            <v>#REF!</v>
          </cell>
          <cell r="BS32">
            <v>8</v>
          </cell>
        </row>
        <row r="33">
          <cell r="B33">
            <v>49</v>
          </cell>
          <cell r="C33" t="str">
            <v>IMTIAZ AHMED RATUL</v>
          </cell>
          <cell r="D33" t="str">
            <v>FAISAL AHMED JONY</v>
          </cell>
          <cell r="E33" t="str">
            <v>ISRAT JAHAN ROSY</v>
          </cell>
          <cell r="F33">
            <v>20</v>
          </cell>
          <cell r="G33">
            <v>20</v>
          </cell>
          <cell r="H33">
            <v>60</v>
          </cell>
          <cell r="I33">
            <v>100</v>
          </cell>
          <cell r="J33">
            <v>10</v>
          </cell>
          <cell r="K33">
            <v>10</v>
          </cell>
          <cell r="L33">
            <v>30</v>
          </cell>
          <cell r="M33">
            <v>50</v>
          </cell>
          <cell r="N33">
            <v>150</v>
          </cell>
          <cell r="O33">
            <v>0</v>
          </cell>
          <cell r="P33">
            <v>5</v>
          </cell>
          <cell r="Q33">
            <v>20</v>
          </cell>
          <cell r="R33">
            <v>20</v>
          </cell>
          <cell r="S33">
            <v>53</v>
          </cell>
          <cell r="T33">
            <v>93</v>
          </cell>
          <cell r="U33">
            <v>10</v>
          </cell>
          <cell r="V33">
            <v>10</v>
          </cell>
          <cell r="W33">
            <v>56</v>
          </cell>
          <cell r="X33">
            <v>28</v>
          </cell>
          <cell r="Y33">
            <v>48</v>
          </cell>
          <cell r="Z33">
            <v>141</v>
          </cell>
          <cell r="AA33">
            <v>0</v>
          </cell>
          <cell r="AB33">
            <v>5</v>
          </cell>
          <cell r="AC33">
            <v>20</v>
          </cell>
          <cell r="AD33">
            <v>20</v>
          </cell>
          <cell r="AE33">
            <v>60</v>
          </cell>
          <cell r="AF33">
            <v>100</v>
          </cell>
          <cell r="AG33">
            <v>0</v>
          </cell>
          <cell r="AH33">
            <v>5</v>
          </cell>
          <cell r="AI33">
            <v>20</v>
          </cell>
          <cell r="AJ33">
            <v>20</v>
          </cell>
          <cell r="AK33">
            <v>60</v>
          </cell>
          <cell r="AL33">
            <v>100</v>
          </cell>
          <cell r="AM33">
            <v>0</v>
          </cell>
          <cell r="AN33">
            <v>5</v>
          </cell>
          <cell r="AO33">
            <v>20</v>
          </cell>
          <cell r="AP33">
            <v>20</v>
          </cell>
          <cell r="AQ33">
            <v>60</v>
          </cell>
          <cell r="AR33">
            <v>100</v>
          </cell>
          <cell r="AS33">
            <v>0</v>
          </cell>
          <cell r="AT33">
            <v>5</v>
          </cell>
          <cell r="AU33">
            <v>20</v>
          </cell>
          <cell r="AV33">
            <v>20</v>
          </cell>
          <cell r="AW33">
            <v>59</v>
          </cell>
          <cell r="AX33">
            <v>99</v>
          </cell>
          <cell r="AY33">
            <v>0</v>
          </cell>
          <cell r="AZ33">
            <v>5</v>
          </cell>
          <cell r="BA33">
            <v>10</v>
          </cell>
          <cell r="BB33">
            <v>10</v>
          </cell>
          <cell r="BC33">
            <v>43</v>
          </cell>
          <cell r="BD33">
            <v>25.8</v>
          </cell>
          <cell r="BE33">
            <v>45.8</v>
          </cell>
          <cell r="BF33">
            <v>0</v>
          </cell>
          <cell r="BG33">
            <v>5</v>
          </cell>
          <cell r="BH33">
            <v>35</v>
          </cell>
          <cell r="BI33">
            <v>5</v>
          </cell>
          <cell r="BJ33" t="str">
            <v>BEST</v>
          </cell>
          <cell r="BK33">
            <v>735.8</v>
          </cell>
          <cell r="BL33">
            <v>3</v>
          </cell>
          <cell r="BM33">
            <v>57</v>
          </cell>
          <cell r="BN33">
            <v>695</v>
          </cell>
          <cell r="BO33">
            <v>741</v>
          </cell>
          <cell r="BP33">
            <v>735.8</v>
          </cell>
          <cell r="BQ33">
            <v>723.93333333333339</v>
          </cell>
          <cell r="BR33" t="e">
            <v>#REF!</v>
          </cell>
          <cell r="BS33">
            <v>3</v>
          </cell>
        </row>
        <row r="34">
          <cell r="B34">
            <v>50</v>
          </cell>
          <cell r="C34" t="str">
            <v xml:space="preserve">MD.JISAN </v>
          </cell>
          <cell r="D34" t="str">
            <v>ABUL HASHEM</v>
          </cell>
          <cell r="E34" t="str">
            <v>ROJINA BEGUM</v>
          </cell>
          <cell r="F34">
            <v>20</v>
          </cell>
          <cell r="G34">
            <v>20</v>
          </cell>
          <cell r="H34">
            <v>60</v>
          </cell>
          <cell r="I34">
            <v>100</v>
          </cell>
          <cell r="J34">
            <v>9</v>
          </cell>
          <cell r="K34">
            <v>7</v>
          </cell>
          <cell r="L34">
            <v>30</v>
          </cell>
          <cell r="M34">
            <v>46</v>
          </cell>
          <cell r="N34">
            <v>146</v>
          </cell>
          <cell r="O34">
            <v>0</v>
          </cell>
          <cell r="P34">
            <v>5</v>
          </cell>
          <cell r="Q34">
            <v>17</v>
          </cell>
          <cell r="R34">
            <v>19</v>
          </cell>
          <cell r="S34">
            <v>28</v>
          </cell>
          <cell r="T34">
            <v>64</v>
          </cell>
          <cell r="U34">
            <v>8</v>
          </cell>
          <cell r="V34">
            <v>10</v>
          </cell>
          <cell r="W34">
            <v>41</v>
          </cell>
          <cell r="X34">
            <v>20.5</v>
          </cell>
          <cell r="Y34">
            <v>38.5</v>
          </cell>
          <cell r="Z34">
            <v>102.5</v>
          </cell>
          <cell r="AA34">
            <v>0</v>
          </cell>
          <cell r="AB34">
            <v>3.5</v>
          </cell>
          <cell r="AC34">
            <v>13</v>
          </cell>
          <cell r="AD34">
            <v>20</v>
          </cell>
          <cell r="AE34">
            <v>59</v>
          </cell>
          <cell r="AF34">
            <v>92</v>
          </cell>
          <cell r="AG34">
            <v>0</v>
          </cell>
          <cell r="AH34">
            <v>5</v>
          </cell>
          <cell r="AI34">
            <v>19</v>
          </cell>
          <cell r="AJ34">
            <v>20</v>
          </cell>
          <cell r="AK34">
            <v>53</v>
          </cell>
          <cell r="AL34">
            <v>92</v>
          </cell>
          <cell r="AM34">
            <v>0</v>
          </cell>
          <cell r="AN34">
            <v>5</v>
          </cell>
          <cell r="AO34">
            <v>15</v>
          </cell>
          <cell r="AP34">
            <v>20</v>
          </cell>
          <cell r="AQ34">
            <v>55</v>
          </cell>
          <cell r="AR34">
            <v>90</v>
          </cell>
          <cell r="AS34">
            <v>0</v>
          </cell>
          <cell r="AT34">
            <v>5</v>
          </cell>
          <cell r="AU34">
            <v>17</v>
          </cell>
          <cell r="AV34">
            <v>20</v>
          </cell>
          <cell r="AW34">
            <v>25</v>
          </cell>
          <cell r="AX34">
            <v>62</v>
          </cell>
          <cell r="AY34">
            <v>0</v>
          </cell>
          <cell r="AZ34">
            <v>3.5</v>
          </cell>
          <cell r="BA34">
            <v>10</v>
          </cell>
          <cell r="BB34">
            <v>10</v>
          </cell>
          <cell r="BC34">
            <v>44</v>
          </cell>
          <cell r="BD34">
            <v>26.4</v>
          </cell>
          <cell r="BE34">
            <v>46.4</v>
          </cell>
          <cell r="BF34">
            <v>0</v>
          </cell>
          <cell r="BG34">
            <v>5</v>
          </cell>
          <cell r="BH34">
            <v>32</v>
          </cell>
          <cell r="BI34">
            <v>4.5714285714285712</v>
          </cell>
          <cell r="BJ34" t="str">
            <v>BETTER</v>
          </cell>
          <cell r="BK34">
            <v>630.9</v>
          </cell>
          <cell r="BL34">
            <v>7</v>
          </cell>
          <cell r="BM34">
            <v>65</v>
          </cell>
          <cell r="BN34">
            <v>632</v>
          </cell>
          <cell r="BO34">
            <v>722</v>
          </cell>
          <cell r="BP34">
            <v>630.9</v>
          </cell>
          <cell r="BQ34">
            <v>661.63333333333333</v>
          </cell>
          <cell r="BR34" t="e">
            <v>#REF!</v>
          </cell>
          <cell r="BS34">
            <v>20</v>
          </cell>
        </row>
        <row r="35">
          <cell r="B35">
            <v>51</v>
          </cell>
          <cell r="C35" t="str">
            <v>MIR EASIN HOSSAIN SAKIB</v>
          </cell>
          <cell r="D35" t="str">
            <v xml:space="preserve">MD.JAKIR HOSSAIN </v>
          </cell>
          <cell r="E35" t="str">
            <v>SHAHIDA HOSSAIN</v>
          </cell>
          <cell r="F35">
            <v>20</v>
          </cell>
          <cell r="G35">
            <v>20</v>
          </cell>
          <cell r="H35">
            <v>54</v>
          </cell>
          <cell r="I35">
            <v>94</v>
          </cell>
          <cell r="J35">
            <v>9</v>
          </cell>
          <cell r="K35">
            <v>10</v>
          </cell>
          <cell r="L35">
            <v>29</v>
          </cell>
          <cell r="M35">
            <v>48</v>
          </cell>
          <cell r="N35">
            <v>142</v>
          </cell>
          <cell r="O35">
            <v>0</v>
          </cell>
          <cell r="P35">
            <v>5</v>
          </cell>
          <cell r="Q35">
            <v>18</v>
          </cell>
          <cell r="R35">
            <v>19</v>
          </cell>
          <cell r="S35">
            <v>41</v>
          </cell>
          <cell r="T35">
            <v>78</v>
          </cell>
          <cell r="U35">
            <v>8</v>
          </cell>
          <cell r="V35">
            <v>10</v>
          </cell>
          <cell r="W35">
            <v>42</v>
          </cell>
          <cell r="X35">
            <v>21</v>
          </cell>
          <cell r="Y35">
            <v>39</v>
          </cell>
          <cell r="Z35">
            <v>117</v>
          </cell>
          <cell r="AA35">
            <v>0</v>
          </cell>
          <cell r="AB35">
            <v>4</v>
          </cell>
          <cell r="AC35">
            <v>15</v>
          </cell>
          <cell r="AD35">
            <v>20</v>
          </cell>
          <cell r="AE35">
            <v>59</v>
          </cell>
          <cell r="AF35">
            <v>94</v>
          </cell>
          <cell r="AG35">
            <v>0</v>
          </cell>
          <cell r="AH35">
            <v>5</v>
          </cell>
          <cell r="AI35">
            <v>13</v>
          </cell>
          <cell r="AJ35">
            <v>20</v>
          </cell>
          <cell r="AK35">
            <v>56</v>
          </cell>
          <cell r="AL35">
            <v>89</v>
          </cell>
          <cell r="AM35">
            <v>0</v>
          </cell>
          <cell r="AN35">
            <v>5</v>
          </cell>
          <cell r="AO35">
            <v>18</v>
          </cell>
          <cell r="AP35">
            <v>20</v>
          </cell>
          <cell r="AQ35">
            <v>0</v>
          </cell>
          <cell r="AR35">
            <v>38</v>
          </cell>
          <cell r="AS35">
            <v>0</v>
          </cell>
          <cell r="AT35" t="str">
            <v>F</v>
          </cell>
          <cell r="AU35">
            <v>16</v>
          </cell>
          <cell r="AV35">
            <v>20</v>
          </cell>
          <cell r="AW35">
            <v>48</v>
          </cell>
          <cell r="AX35">
            <v>84</v>
          </cell>
          <cell r="AY35">
            <v>0</v>
          </cell>
          <cell r="AZ35">
            <v>5</v>
          </cell>
          <cell r="BA35">
            <v>10</v>
          </cell>
          <cell r="BB35">
            <v>10</v>
          </cell>
          <cell r="BC35">
            <v>44</v>
          </cell>
          <cell r="BD35">
            <v>26.4</v>
          </cell>
          <cell r="BE35">
            <v>46.4</v>
          </cell>
          <cell r="BF35">
            <v>0</v>
          </cell>
          <cell r="BG35">
            <v>5</v>
          </cell>
          <cell r="BH35" t="str">
            <v>F</v>
          </cell>
          <cell r="BI35" t="str">
            <v>F</v>
          </cell>
          <cell r="BJ35" t="str">
            <v>NEED TO PROGRESS</v>
          </cell>
          <cell r="BK35">
            <v>610.4</v>
          </cell>
          <cell r="BL35">
            <v>30</v>
          </cell>
          <cell r="BM35">
            <v>62</v>
          </cell>
          <cell r="BN35">
            <v>610</v>
          </cell>
          <cell r="BO35">
            <v>678.4</v>
          </cell>
          <cell r="BP35">
            <v>610.4</v>
          </cell>
          <cell r="BQ35">
            <v>632.93333333333339</v>
          </cell>
          <cell r="BR35" t="e">
            <v>#REF!</v>
          </cell>
          <cell r="BS35">
            <v>42</v>
          </cell>
        </row>
        <row r="36">
          <cell r="B36">
            <v>68</v>
          </cell>
          <cell r="C36" t="str">
            <v>FUAD AL MONSUR</v>
          </cell>
          <cell r="D36" t="str">
            <v>AMA JAVED</v>
          </cell>
          <cell r="E36" t="str">
            <v>RASHIDA AKTER SHANTO</v>
          </cell>
          <cell r="F36">
            <v>19</v>
          </cell>
          <cell r="G36">
            <v>20</v>
          </cell>
          <cell r="H36">
            <v>57</v>
          </cell>
          <cell r="I36">
            <v>96</v>
          </cell>
          <cell r="J36">
            <v>9</v>
          </cell>
          <cell r="K36">
            <v>10</v>
          </cell>
          <cell r="L36">
            <v>29</v>
          </cell>
          <cell r="M36">
            <v>48</v>
          </cell>
          <cell r="N36">
            <v>144</v>
          </cell>
          <cell r="O36">
            <v>0</v>
          </cell>
          <cell r="P36">
            <v>5</v>
          </cell>
          <cell r="Q36">
            <v>17</v>
          </cell>
          <cell r="R36">
            <v>20</v>
          </cell>
          <cell r="S36">
            <v>49</v>
          </cell>
          <cell r="T36">
            <v>86</v>
          </cell>
          <cell r="U36">
            <v>8</v>
          </cell>
          <cell r="V36">
            <v>10</v>
          </cell>
          <cell r="W36">
            <v>43</v>
          </cell>
          <cell r="X36">
            <v>21.5</v>
          </cell>
          <cell r="Y36">
            <v>39.5</v>
          </cell>
          <cell r="Z36">
            <v>125.5</v>
          </cell>
          <cell r="AA36">
            <v>0</v>
          </cell>
          <cell r="AB36">
            <v>5</v>
          </cell>
          <cell r="AC36">
            <v>14</v>
          </cell>
          <cell r="AD36">
            <v>20</v>
          </cell>
          <cell r="AE36">
            <v>45</v>
          </cell>
          <cell r="AF36">
            <v>79</v>
          </cell>
          <cell r="AG36">
            <v>0</v>
          </cell>
          <cell r="AH36">
            <v>4</v>
          </cell>
          <cell r="AI36">
            <v>13</v>
          </cell>
          <cell r="AJ36">
            <v>20</v>
          </cell>
          <cell r="AK36">
            <v>45</v>
          </cell>
          <cell r="AL36">
            <v>78</v>
          </cell>
          <cell r="AM36">
            <v>0</v>
          </cell>
          <cell r="AN36">
            <v>4</v>
          </cell>
          <cell r="AO36">
            <v>19</v>
          </cell>
          <cell r="AP36">
            <v>20</v>
          </cell>
          <cell r="AQ36">
            <v>54</v>
          </cell>
          <cell r="AR36">
            <v>93</v>
          </cell>
          <cell r="AS36">
            <v>0</v>
          </cell>
          <cell r="AT36">
            <v>5</v>
          </cell>
          <cell r="AU36">
            <v>17</v>
          </cell>
          <cell r="AV36">
            <v>20</v>
          </cell>
          <cell r="AW36">
            <v>47</v>
          </cell>
          <cell r="AX36">
            <v>84</v>
          </cell>
          <cell r="AY36">
            <v>0</v>
          </cell>
          <cell r="AZ36">
            <v>5</v>
          </cell>
          <cell r="BA36">
            <v>10</v>
          </cell>
          <cell r="BB36">
            <v>10</v>
          </cell>
          <cell r="BC36">
            <v>39</v>
          </cell>
          <cell r="BD36">
            <v>23.4</v>
          </cell>
          <cell r="BE36">
            <v>43.4</v>
          </cell>
          <cell r="BF36">
            <v>0</v>
          </cell>
          <cell r="BG36">
            <v>5</v>
          </cell>
          <cell r="BH36">
            <v>33</v>
          </cell>
          <cell r="BI36">
            <v>4.7142857142857144</v>
          </cell>
          <cell r="BJ36" t="str">
            <v>BETTER</v>
          </cell>
          <cell r="BK36">
            <v>646.9</v>
          </cell>
          <cell r="BL36">
            <v>47</v>
          </cell>
          <cell r="BM36">
            <v>65</v>
          </cell>
          <cell r="BN36">
            <v>592</v>
          </cell>
          <cell r="BO36">
            <v>672.1</v>
          </cell>
          <cell r="BP36">
            <v>646.9</v>
          </cell>
          <cell r="BQ36">
            <v>637</v>
          </cell>
          <cell r="BR36" t="e">
            <v>#REF!</v>
          </cell>
          <cell r="BS36">
            <v>36</v>
          </cell>
        </row>
        <row r="37">
          <cell r="B37">
            <v>70</v>
          </cell>
          <cell r="C37" t="str">
            <v>MAHFUJ RAHMAN SIAM</v>
          </cell>
          <cell r="D37" t="str">
            <v>FAJAL HAQUE</v>
          </cell>
          <cell r="E37" t="str">
            <v>MAKSUDA BEGUM</v>
          </cell>
          <cell r="F37">
            <v>20</v>
          </cell>
          <cell r="G37">
            <v>20</v>
          </cell>
          <cell r="H37">
            <v>58</v>
          </cell>
          <cell r="I37">
            <v>98</v>
          </cell>
          <cell r="J37">
            <v>9</v>
          </cell>
          <cell r="K37">
            <v>10</v>
          </cell>
          <cell r="L37">
            <v>28</v>
          </cell>
          <cell r="M37">
            <v>47</v>
          </cell>
          <cell r="N37">
            <v>145</v>
          </cell>
          <cell r="O37">
            <v>0</v>
          </cell>
          <cell r="P37">
            <v>5</v>
          </cell>
          <cell r="Q37">
            <v>15</v>
          </cell>
          <cell r="R37">
            <v>20</v>
          </cell>
          <cell r="S37">
            <v>46</v>
          </cell>
          <cell r="T37">
            <v>81</v>
          </cell>
          <cell r="U37">
            <v>8</v>
          </cell>
          <cell r="V37">
            <v>10</v>
          </cell>
          <cell r="W37">
            <v>39</v>
          </cell>
          <cell r="X37">
            <v>19.5</v>
          </cell>
          <cell r="Y37">
            <v>37.5</v>
          </cell>
          <cell r="Z37">
            <v>118.5</v>
          </cell>
          <cell r="AA37">
            <v>0</v>
          </cell>
          <cell r="AB37">
            <v>4</v>
          </cell>
          <cell r="AC37">
            <v>19</v>
          </cell>
          <cell r="AD37">
            <v>20</v>
          </cell>
          <cell r="AE37">
            <v>60</v>
          </cell>
          <cell r="AF37">
            <v>99</v>
          </cell>
          <cell r="AG37">
            <v>0</v>
          </cell>
          <cell r="AH37">
            <v>5</v>
          </cell>
          <cell r="AI37">
            <v>15</v>
          </cell>
          <cell r="AJ37">
            <v>20</v>
          </cell>
          <cell r="AK37">
            <v>48</v>
          </cell>
          <cell r="AL37">
            <v>83</v>
          </cell>
          <cell r="AM37">
            <v>0</v>
          </cell>
          <cell r="AN37">
            <v>5</v>
          </cell>
          <cell r="AO37">
            <v>19</v>
          </cell>
          <cell r="AP37">
            <v>20</v>
          </cell>
          <cell r="AQ37">
            <v>57</v>
          </cell>
          <cell r="AR37">
            <v>96</v>
          </cell>
          <cell r="AS37">
            <v>0</v>
          </cell>
          <cell r="AT37">
            <v>5</v>
          </cell>
          <cell r="AU37">
            <v>20</v>
          </cell>
          <cell r="AV37">
            <v>20</v>
          </cell>
          <cell r="AW37">
            <v>55</v>
          </cell>
          <cell r="AX37">
            <v>95</v>
          </cell>
          <cell r="AY37">
            <v>0</v>
          </cell>
          <cell r="AZ37">
            <v>5</v>
          </cell>
          <cell r="BA37">
            <v>9</v>
          </cell>
          <cell r="BB37">
            <v>10</v>
          </cell>
          <cell r="BC37">
            <v>38</v>
          </cell>
          <cell r="BD37">
            <v>22.8</v>
          </cell>
          <cell r="BE37">
            <v>41.8</v>
          </cell>
          <cell r="BF37">
            <v>0</v>
          </cell>
          <cell r="BG37">
            <v>5</v>
          </cell>
          <cell r="BH37">
            <v>34</v>
          </cell>
          <cell r="BI37">
            <v>4.8571428571428568</v>
          </cell>
          <cell r="BJ37" t="str">
            <v>BETTER</v>
          </cell>
          <cell r="BK37">
            <v>678.3</v>
          </cell>
          <cell r="BL37">
            <v>27</v>
          </cell>
          <cell r="BM37">
            <v>64</v>
          </cell>
          <cell r="BN37">
            <v>546</v>
          </cell>
          <cell r="BO37">
            <v>529</v>
          </cell>
          <cell r="BP37">
            <v>678.3</v>
          </cell>
          <cell r="BQ37">
            <v>584.43333333333328</v>
          </cell>
          <cell r="BR37" t="e">
            <v>#REF!</v>
          </cell>
          <cell r="BS37">
            <v>64</v>
          </cell>
        </row>
        <row r="38">
          <cell r="B38">
            <v>74</v>
          </cell>
          <cell r="C38" t="str">
            <v xml:space="preserve">ABDULLAH AL RIFAT </v>
          </cell>
          <cell r="D38" t="str">
            <v>MD.MASUD RANA</v>
          </cell>
          <cell r="E38" t="str">
            <v>ROMANA AKTER</v>
          </cell>
          <cell r="F38">
            <v>20</v>
          </cell>
          <cell r="G38">
            <v>20</v>
          </cell>
          <cell r="H38">
            <v>57</v>
          </cell>
          <cell r="I38">
            <v>97</v>
          </cell>
          <cell r="J38">
            <v>10</v>
          </cell>
          <cell r="K38">
            <v>10</v>
          </cell>
          <cell r="L38">
            <v>30</v>
          </cell>
          <cell r="M38">
            <v>50</v>
          </cell>
          <cell r="N38">
            <v>147</v>
          </cell>
          <cell r="O38">
            <v>0</v>
          </cell>
          <cell r="P38">
            <v>5</v>
          </cell>
          <cell r="Q38">
            <v>16</v>
          </cell>
          <cell r="R38">
            <v>20</v>
          </cell>
          <cell r="S38">
            <v>55</v>
          </cell>
          <cell r="T38">
            <v>91</v>
          </cell>
          <cell r="U38">
            <v>10</v>
          </cell>
          <cell r="V38">
            <v>10</v>
          </cell>
          <cell r="W38">
            <v>54</v>
          </cell>
          <cell r="X38">
            <v>27</v>
          </cell>
          <cell r="Y38">
            <v>47</v>
          </cell>
          <cell r="Z38">
            <v>138</v>
          </cell>
          <cell r="AA38">
            <v>0</v>
          </cell>
          <cell r="AB38">
            <v>5</v>
          </cell>
          <cell r="AC38">
            <v>19</v>
          </cell>
          <cell r="AD38">
            <v>20</v>
          </cell>
          <cell r="AE38">
            <v>60</v>
          </cell>
          <cell r="AF38">
            <v>99</v>
          </cell>
          <cell r="AG38">
            <v>0</v>
          </cell>
          <cell r="AH38">
            <v>5</v>
          </cell>
          <cell r="AI38">
            <v>20</v>
          </cell>
          <cell r="AJ38">
            <v>20</v>
          </cell>
          <cell r="AK38">
            <v>58</v>
          </cell>
          <cell r="AL38">
            <v>98</v>
          </cell>
          <cell r="AM38">
            <v>0</v>
          </cell>
          <cell r="AN38">
            <v>5</v>
          </cell>
          <cell r="AO38">
            <v>20</v>
          </cell>
          <cell r="AP38">
            <v>20</v>
          </cell>
          <cell r="AQ38">
            <v>59</v>
          </cell>
          <cell r="AR38">
            <v>99</v>
          </cell>
          <cell r="AS38">
            <v>0</v>
          </cell>
          <cell r="AT38">
            <v>5</v>
          </cell>
          <cell r="AU38">
            <v>19</v>
          </cell>
          <cell r="AV38">
            <v>20</v>
          </cell>
          <cell r="AW38">
            <v>60</v>
          </cell>
          <cell r="AX38">
            <v>99</v>
          </cell>
          <cell r="AY38">
            <v>0</v>
          </cell>
          <cell r="AZ38">
            <v>5</v>
          </cell>
          <cell r="BA38">
            <v>10</v>
          </cell>
          <cell r="BB38">
            <v>10</v>
          </cell>
          <cell r="BC38">
            <v>47</v>
          </cell>
          <cell r="BD38">
            <v>28.2</v>
          </cell>
          <cell r="BE38">
            <v>48.2</v>
          </cell>
          <cell r="BF38">
            <v>0</v>
          </cell>
          <cell r="BG38">
            <v>5</v>
          </cell>
          <cell r="BH38">
            <v>35</v>
          </cell>
          <cell r="BI38">
            <v>5</v>
          </cell>
          <cell r="BJ38" t="str">
            <v>BEST</v>
          </cell>
          <cell r="BK38">
            <v>728.2</v>
          </cell>
          <cell r="BL38">
            <v>9</v>
          </cell>
          <cell r="BM38">
            <v>62</v>
          </cell>
          <cell r="BN38">
            <v>670</v>
          </cell>
          <cell r="BO38">
            <v>721.5</v>
          </cell>
          <cell r="BP38">
            <v>728.2</v>
          </cell>
          <cell r="BQ38">
            <v>706.56666666666661</v>
          </cell>
          <cell r="BR38" t="e">
            <v>#REF!</v>
          </cell>
          <cell r="BS38">
            <v>5</v>
          </cell>
        </row>
        <row r="39">
          <cell r="B39">
            <v>76</v>
          </cell>
          <cell r="C39" t="str">
            <v>NAFIZ AFNAN KHAN</v>
          </cell>
          <cell r="D39" t="str">
            <v>HARUN-OR-RASHID</v>
          </cell>
          <cell r="E39" t="str">
            <v>TASLIMA KHAN</v>
          </cell>
          <cell r="F39">
            <v>20</v>
          </cell>
          <cell r="G39">
            <v>20</v>
          </cell>
          <cell r="H39">
            <v>56</v>
          </cell>
          <cell r="I39">
            <v>96</v>
          </cell>
          <cell r="J39">
            <v>9</v>
          </cell>
          <cell r="K39">
            <v>10</v>
          </cell>
          <cell r="L39">
            <v>26</v>
          </cell>
          <cell r="M39">
            <v>45</v>
          </cell>
          <cell r="N39">
            <v>141</v>
          </cell>
          <cell r="O39">
            <v>0</v>
          </cell>
          <cell r="P39">
            <v>5</v>
          </cell>
          <cell r="Q39">
            <v>16</v>
          </cell>
          <cell r="R39">
            <v>20</v>
          </cell>
          <cell r="S39">
            <v>43</v>
          </cell>
          <cell r="T39">
            <v>79</v>
          </cell>
          <cell r="U39">
            <v>9</v>
          </cell>
          <cell r="V39">
            <v>10</v>
          </cell>
          <cell r="W39">
            <v>38</v>
          </cell>
          <cell r="X39">
            <v>19</v>
          </cell>
          <cell r="Y39">
            <v>38</v>
          </cell>
          <cell r="Z39">
            <v>117</v>
          </cell>
          <cell r="AA39">
            <v>0</v>
          </cell>
          <cell r="AB39">
            <v>4</v>
          </cell>
          <cell r="AC39">
            <v>19</v>
          </cell>
          <cell r="AD39">
            <v>20</v>
          </cell>
          <cell r="AE39">
            <v>57</v>
          </cell>
          <cell r="AF39">
            <v>96</v>
          </cell>
          <cell r="AG39">
            <v>0</v>
          </cell>
          <cell r="AH39">
            <v>5</v>
          </cell>
          <cell r="AI39">
            <v>19</v>
          </cell>
          <cell r="AJ39">
            <v>20</v>
          </cell>
          <cell r="AK39">
            <v>51</v>
          </cell>
          <cell r="AL39">
            <v>90</v>
          </cell>
          <cell r="AM39">
            <v>0</v>
          </cell>
          <cell r="AN39">
            <v>5</v>
          </cell>
          <cell r="AO39">
            <v>19</v>
          </cell>
          <cell r="AP39">
            <v>20</v>
          </cell>
          <cell r="AQ39">
            <v>53</v>
          </cell>
          <cell r="AR39">
            <v>92</v>
          </cell>
          <cell r="AS39">
            <v>0</v>
          </cell>
          <cell r="AT39">
            <v>5</v>
          </cell>
          <cell r="AU39">
            <v>18</v>
          </cell>
          <cell r="AV39">
            <v>20</v>
          </cell>
          <cell r="AW39">
            <v>55</v>
          </cell>
          <cell r="AX39">
            <v>93</v>
          </cell>
          <cell r="AY39">
            <v>0</v>
          </cell>
          <cell r="AZ39">
            <v>5</v>
          </cell>
          <cell r="BA39">
            <v>10</v>
          </cell>
          <cell r="BB39">
            <v>10</v>
          </cell>
          <cell r="BC39">
            <v>47</v>
          </cell>
          <cell r="BD39">
            <v>28.2</v>
          </cell>
          <cell r="BE39">
            <v>48.2</v>
          </cell>
          <cell r="BF39">
            <v>0</v>
          </cell>
          <cell r="BG39">
            <v>5</v>
          </cell>
          <cell r="BH39">
            <v>34</v>
          </cell>
          <cell r="BI39">
            <v>4.8571428571428568</v>
          </cell>
          <cell r="BJ39" t="str">
            <v>BETTER</v>
          </cell>
          <cell r="BK39">
            <v>677.2</v>
          </cell>
          <cell r="BL39">
            <v>28</v>
          </cell>
          <cell r="BM39">
            <v>57</v>
          </cell>
          <cell r="BN39">
            <v>555</v>
          </cell>
          <cell r="BO39">
            <v>681.5</v>
          </cell>
          <cell r="BP39">
            <v>677.2</v>
          </cell>
          <cell r="BQ39">
            <v>637.9</v>
          </cell>
          <cell r="BR39" t="e">
            <v>#REF!</v>
          </cell>
          <cell r="BS39">
            <v>31</v>
          </cell>
        </row>
        <row r="40">
          <cell r="B40">
            <v>81</v>
          </cell>
          <cell r="C40" t="str">
            <v>TASNIMUR RAHMAN JAIN</v>
          </cell>
          <cell r="D40" t="str">
            <v xml:space="preserve">MD.MOJIBUR RAHMAN </v>
          </cell>
          <cell r="E40" t="str">
            <v>JOHORA AKTER</v>
          </cell>
          <cell r="F40">
            <v>20</v>
          </cell>
          <cell r="G40">
            <v>20</v>
          </cell>
          <cell r="H40">
            <v>59</v>
          </cell>
          <cell r="I40">
            <v>99</v>
          </cell>
          <cell r="J40">
            <v>9</v>
          </cell>
          <cell r="K40">
            <v>10</v>
          </cell>
          <cell r="L40">
            <v>30</v>
          </cell>
          <cell r="M40">
            <v>49</v>
          </cell>
          <cell r="N40">
            <v>148</v>
          </cell>
          <cell r="O40">
            <v>0</v>
          </cell>
          <cell r="P40">
            <v>5</v>
          </cell>
          <cell r="Q40">
            <v>17</v>
          </cell>
          <cell r="R40">
            <v>20</v>
          </cell>
          <cell r="S40">
            <v>43</v>
          </cell>
          <cell r="T40">
            <v>80</v>
          </cell>
          <cell r="U40">
            <v>9</v>
          </cell>
          <cell r="V40">
            <v>10</v>
          </cell>
          <cell r="W40">
            <v>44</v>
          </cell>
          <cell r="X40">
            <v>22</v>
          </cell>
          <cell r="Y40">
            <v>41</v>
          </cell>
          <cell r="Z40">
            <v>121</v>
          </cell>
          <cell r="AA40">
            <v>0</v>
          </cell>
          <cell r="AB40">
            <v>5</v>
          </cell>
          <cell r="AC40">
            <v>16</v>
          </cell>
          <cell r="AD40">
            <v>20</v>
          </cell>
          <cell r="AE40">
            <v>60</v>
          </cell>
          <cell r="AF40">
            <v>96</v>
          </cell>
          <cell r="AG40">
            <v>0</v>
          </cell>
          <cell r="AH40">
            <v>5</v>
          </cell>
          <cell r="AI40">
            <v>18</v>
          </cell>
          <cell r="AJ40">
            <v>20</v>
          </cell>
          <cell r="AK40">
            <v>45</v>
          </cell>
          <cell r="AL40">
            <v>83</v>
          </cell>
          <cell r="AM40">
            <v>0</v>
          </cell>
          <cell r="AN40">
            <v>5</v>
          </cell>
          <cell r="AO40">
            <v>19</v>
          </cell>
          <cell r="AP40">
            <v>20</v>
          </cell>
          <cell r="AQ40">
            <v>51</v>
          </cell>
          <cell r="AR40">
            <v>90</v>
          </cell>
          <cell r="AS40">
            <v>0</v>
          </cell>
          <cell r="AT40">
            <v>5</v>
          </cell>
          <cell r="AU40">
            <v>19</v>
          </cell>
          <cell r="AV40">
            <v>20</v>
          </cell>
          <cell r="AW40">
            <v>57</v>
          </cell>
          <cell r="AX40">
            <v>96</v>
          </cell>
          <cell r="AY40">
            <v>0</v>
          </cell>
          <cell r="AZ40">
            <v>5</v>
          </cell>
          <cell r="BA40">
            <v>9</v>
          </cell>
          <cell r="BB40">
            <v>10</v>
          </cell>
          <cell r="BC40">
            <v>39</v>
          </cell>
          <cell r="BD40">
            <v>23.4</v>
          </cell>
          <cell r="BE40">
            <v>42.4</v>
          </cell>
          <cell r="BF40">
            <v>0</v>
          </cell>
          <cell r="BG40">
            <v>5</v>
          </cell>
          <cell r="BH40">
            <v>35</v>
          </cell>
          <cell r="BI40">
            <v>5</v>
          </cell>
          <cell r="BJ40" t="str">
            <v>BEST</v>
          </cell>
          <cell r="BK40">
            <v>676.4</v>
          </cell>
          <cell r="BL40">
            <v>21</v>
          </cell>
          <cell r="BM40">
            <v>57</v>
          </cell>
          <cell r="BN40">
            <v>546</v>
          </cell>
          <cell r="BO40">
            <v>698</v>
          </cell>
          <cell r="BP40">
            <v>676.4</v>
          </cell>
          <cell r="BQ40">
            <v>640.13333333333333</v>
          </cell>
          <cell r="BR40" t="e">
            <v>#REF!</v>
          </cell>
          <cell r="BS40">
            <v>38</v>
          </cell>
        </row>
        <row r="41">
          <cell r="B41">
            <v>82</v>
          </cell>
          <cell r="C41" t="str">
            <v xml:space="preserve">RANI AKTER SHIFA </v>
          </cell>
          <cell r="D41" t="str">
            <v>MA RAKIB HAWLADER</v>
          </cell>
          <cell r="E41" t="str">
            <v>SHEOULI AKTER JHARNA</v>
          </cell>
          <cell r="F41">
            <v>20</v>
          </cell>
          <cell r="G41">
            <v>20</v>
          </cell>
          <cell r="H41">
            <v>57</v>
          </cell>
          <cell r="I41">
            <v>97</v>
          </cell>
          <cell r="J41">
            <v>10</v>
          </cell>
          <cell r="K41">
            <v>10</v>
          </cell>
          <cell r="L41">
            <v>30</v>
          </cell>
          <cell r="M41">
            <v>50</v>
          </cell>
          <cell r="N41">
            <v>147</v>
          </cell>
          <cell r="O41">
            <v>0</v>
          </cell>
          <cell r="P41">
            <v>5</v>
          </cell>
          <cell r="Q41">
            <v>11</v>
          </cell>
          <cell r="R41">
            <v>19</v>
          </cell>
          <cell r="S41">
            <v>52</v>
          </cell>
          <cell r="T41">
            <v>82</v>
          </cell>
          <cell r="U41">
            <v>8</v>
          </cell>
          <cell r="V41">
            <v>10</v>
          </cell>
          <cell r="W41">
            <v>41</v>
          </cell>
          <cell r="X41">
            <v>20.5</v>
          </cell>
          <cell r="Y41">
            <v>38.5</v>
          </cell>
          <cell r="Z41">
            <v>120.5</v>
          </cell>
          <cell r="AA41">
            <v>0</v>
          </cell>
          <cell r="AB41">
            <v>5</v>
          </cell>
          <cell r="AC41">
            <v>16</v>
          </cell>
          <cell r="AD41">
            <v>20</v>
          </cell>
          <cell r="AE41">
            <v>60</v>
          </cell>
          <cell r="AF41">
            <v>96</v>
          </cell>
          <cell r="AG41">
            <v>0</v>
          </cell>
          <cell r="AH41">
            <v>5</v>
          </cell>
          <cell r="AI41">
            <v>17</v>
          </cell>
          <cell r="AJ41">
            <v>20</v>
          </cell>
          <cell r="AK41">
            <v>57</v>
          </cell>
          <cell r="AL41">
            <v>94</v>
          </cell>
          <cell r="AM41">
            <v>0</v>
          </cell>
          <cell r="AN41">
            <v>5</v>
          </cell>
          <cell r="AO41">
            <v>20</v>
          </cell>
          <cell r="AP41">
            <v>20</v>
          </cell>
          <cell r="AQ41">
            <v>59</v>
          </cell>
          <cell r="AR41">
            <v>99</v>
          </cell>
          <cell r="AS41">
            <v>0</v>
          </cell>
          <cell r="AT41">
            <v>5</v>
          </cell>
          <cell r="AU41">
            <v>20</v>
          </cell>
          <cell r="AV41">
            <v>20</v>
          </cell>
          <cell r="AW41">
            <v>58</v>
          </cell>
          <cell r="AX41">
            <v>98</v>
          </cell>
          <cell r="AY41">
            <v>0</v>
          </cell>
          <cell r="AZ41">
            <v>5</v>
          </cell>
          <cell r="BA41">
            <v>10</v>
          </cell>
          <cell r="BB41">
            <v>10</v>
          </cell>
          <cell r="BC41">
            <v>48</v>
          </cell>
          <cell r="BD41">
            <v>28.799999999999997</v>
          </cell>
          <cell r="BE41">
            <v>48.8</v>
          </cell>
          <cell r="BF41">
            <v>0</v>
          </cell>
          <cell r="BG41">
            <v>5</v>
          </cell>
          <cell r="BH41">
            <v>35</v>
          </cell>
          <cell r="BI41">
            <v>5</v>
          </cell>
          <cell r="BJ41" t="str">
            <v>BEST</v>
          </cell>
          <cell r="BK41">
            <v>703.3</v>
          </cell>
          <cell r="BL41">
            <v>56</v>
          </cell>
          <cell r="BM41">
            <v>56</v>
          </cell>
          <cell r="BN41">
            <v>585</v>
          </cell>
          <cell r="BO41">
            <v>677.5</v>
          </cell>
          <cell r="BP41">
            <v>703.3</v>
          </cell>
          <cell r="BQ41">
            <v>655.26666666666665</v>
          </cell>
          <cell r="BR41" t="e">
            <v>#REF!</v>
          </cell>
          <cell r="BS41">
            <v>28</v>
          </cell>
        </row>
        <row r="42">
          <cell r="B42">
            <v>84</v>
          </cell>
          <cell r="C42" t="str">
            <v xml:space="preserve">MD.TANZIMUL ISLAM TASIN </v>
          </cell>
          <cell r="D42" t="str">
            <v>MD.SAIDUR RAHMAN</v>
          </cell>
          <cell r="E42" t="str">
            <v>HUSNARRA AKTER RITA</v>
          </cell>
          <cell r="F42">
            <v>20</v>
          </cell>
          <cell r="G42">
            <v>20</v>
          </cell>
          <cell r="H42">
            <v>59</v>
          </cell>
          <cell r="I42">
            <v>99</v>
          </cell>
          <cell r="J42">
            <v>0</v>
          </cell>
          <cell r="K42">
            <v>7</v>
          </cell>
          <cell r="L42">
            <v>30</v>
          </cell>
          <cell r="M42">
            <v>37</v>
          </cell>
          <cell r="N42">
            <v>136</v>
          </cell>
          <cell r="O42">
            <v>0</v>
          </cell>
          <cell r="P42">
            <v>5</v>
          </cell>
          <cell r="Q42">
            <v>16</v>
          </cell>
          <cell r="R42">
            <v>20</v>
          </cell>
          <cell r="S42">
            <v>53</v>
          </cell>
          <cell r="T42">
            <v>89</v>
          </cell>
          <cell r="U42">
            <v>8</v>
          </cell>
          <cell r="V42">
            <v>10</v>
          </cell>
          <cell r="W42">
            <v>51</v>
          </cell>
          <cell r="X42">
            <v>25.5</v>
          </cell>
          <cell r="Y42">
            <v>43.5</v>
          </cell>
          <cell r="Z42">
            <v>132.5</v>
          </cell>
          <cell r="AA42">
            <v>0</v>
          </cell>
          <cell r="AB42">
            <v>5</v>
          </cell>
          <cell r="AC42">
            <v>11</v>
          </cell>
          <cell r="AD42">
            <v>20</v>
          </cell>
          <cell r="AE42">
            <v>57</v>
          </cell>
          <cell r="AF42">
            <v>88</v>
          </cell>
          <cell r="AG42">
            <v>0</v>
          </cell>
          <cell r="AH42">
            <v>5</v>
          </cell>
          <cell r="AI42">
            <v>15</v>
          </cell>
          <cell r="AJ42">
            <v>20</v>
          </cell>
          <cell r="AK42">
            <v>47</v>
          </cell>
          <cell r="AL42">
            <v>82</v>
          </cell>
          <cell r="AM42">
            <v>0</v>
          </cell>
          <cell r="AN42">
            <v>5</v>
          </cell>
          <cell r="AO42">
            <v>20</v>
          </cell>
          <cell r="AP42">
            <v>20</v>
          </cell>
          <cell r="AQ42">
            <v>56</v>
          </cell>
          <cell r="AR42">
            <v>96</v>
          </cell>
          <cell r="AS42">
            <v>0</v>
          </cell>
          <cell r="AT42">
            <v>5</v>
          </cell>
          <cell r="AU42">
            <v>18</v>
          </cell>
          <cell r="AV42">
            <v>20</v>
          </cell>
          <cell r="AW42">
            <v>54</v>
          </cell>
          <cell r="AX42">
            <v>92</v>
          </cell>
          <cell r="AY42">
            <v>0</v>
          </cell>
          <cell r="AZ42">
            <v>5</v>
          </cell>
          <cell r="BA42">
            <v>10</v>
          </cell>
          <cell r="BB42">
            <v>10</v>
          </cell>
          <cell r="BC42">
            <v>42</v>
          </cell>
          <cell r="BD42">
            <v>25.2</v>
          </cell>
          <cell r="BE42">
            <v>45.2</v>
          </cell>
          <cell r="BF42">
            <v>0</v>
          </cell>
          <cell r="BG42">
            <v>5</v>
          </cell>
          <cell r="BH42">
            <v>35</v>
          </cell>
          <cell r="BI42">
            <v>5</v>
          </cell>
          <cell r="BJ42" t="str">
            <v>BEST</v>
          </cell>
          <cell r="BK42">
            <v>671.7</v>
          </cell>
          <cell r="BL42">
            <v>31</v>
          </cell>
          <cell r="BM42">
            <v>57</v>
          </cell>
          <cell r="BN42">
            <v>557</v>
          </cell>
          <cell r="BO42">
            <v>677.5</v>
          </cell>
          <cell r="BP42">
            <v>671.7</v>
          </cell>
          <cell r="BQ42">
            <v>635.4</v>
          </cell>
          <cell r="BR42" t="e">
            <v>#REF!</v>
          </cell>
          <cell r="BS42">
            <v>30</v>
          </cell>
        </row>
        <row r="43">
          <cell r="B43">
            <v>86</v>
          </cell>
          <cell r="C43" t="str">
            <v>MAIMONA AKTHER MAHI</v>
          </cell>
          <cell r="D43" t="str">
            <v>MD. MOSTAFA KAMAL</v>
          </cell>
          <cell r="E43" t="str">
            <v>RUMA BEGUM</v>
          </cell>
          <cell r="F43">
            <v>20</v>
          </cell>
          <cell r="G43">
            <v>20</v>
          </cell>
          <cell r="H43">
            <v>58</v>
          </cell>
          <cell r="I43">
            <v>98</v>
          </cell>
          <cell r="J43">
            <v>10</v>
          </cell>
          <cell r="K43">
            <v>10</v>
          </cell>
          <cell r="L43">
            <v>28</v>
          </cell>
          <cell r="M43">
            <v>48</v>
          </cell>
          <cell r="N43">
            <v>146</v>
          </cell>
          <cell r="O43">
            <v>0</v>
          </cell>
          <cell r="P43">
            <v>5</v>
          </cell>
          <cell r="Q43">
            <v>18</v>
          </cell>
          <cell r="R43">
            <v>20</v>
          </cell>
          <cell r="S43">
            <v>49</v>
          </cell>
          <cell r="T43">
            <v>87</v>
          </cell>
          <cell r="U43">
            <v>9</v>
          </cell>
          <cell r="V43">
            <v>10</v>
          </cell>
          <cell r="W43">
            <v>42</v>
          </cell>
          <cell r="X43">
            <v>21</v>
          </cell>
          <cell r="Y43">
            <v>40</v>
          </cell>
          <cell r="Z43">
            <v>127</v>
          </cell>
          <cell r="AA43">
            <v>0</v>
          </cell>
          <cell r="AB43">
            <v>5</v>
          </cell>
          <cell r="AC43">
            <v>16</v>
          </cell>
          <cell r="AD43">
            <v>20</v>
          </cell>
          <cell r="AE43">
            <v>60</v>
          </cell>
          <cell r="AF43">
            <v>96</v>
          </cell>
          <cell r="AG43">
            <v>0</v>
          </cell>
          <cell r="AH43">
            <v>5</v>
          </cell>
          <cell r="AI43">
            <v>15</v>
          </cell>
          <cell r="AJ43">
            <v>20</v>
          </cell>
          <cell r="AK43">
            <v>47</v>
          </cell>
          <cell r="AL43">
            <v>82</v>
          </cell>
          <cell r="AM43">
            <v>0</v>
          </cell>
          <cell r="AN43">
            <v>5</v>
          </cell>
          <cell r="AO43">
            <v>16</v>
          </cell>
          <cell r="AP43">
            <v>20</v>
          </cell>
          <cell r="AQ43">
            <v>54</v>
          </cell>
          <cell r="AR43">
            <v>90</v>
          </cell>
          <cell r="AS43">
            <v>0</v>
          </cell>
          <cell r="AT43">
            <v>5</v>
          </cell>
          <cell r="AU43">
            <v>18</v>
          </cell>
          <cell r="AV43">
            <v>20</v>
          </cell>
          <cell r="AW43">
            <v>51</v>
          </cell>
          <cell r="AX43">
            <v>89</v>
          </cell>
          <cell r="AY43">
            <v>0</v>
          </cell>
          <cell r="AZ43">
            <v>5</v>
          </cell>
          <cell r="BA43">
            <v>10</v>
          </cell>
          <cell r="BB43">
            <v>10</v>
          </cell>
          <cell r="BC43">
            <v>49</v>
          </cell>
          <cell r="BD43">
            <v>29.4</v>
          </cell>
          <cell r="BE43">
            <v>49.4</v>
          </cell>
          <cell r="BF43">
            <v>0</v>
          </cell>
          <cell r="BG43">
            <v>5</v>
          </cell>
          <cell r="BH43">
            <v>35</v>
          </cell>
          <cell r="BI43">
            <v>5</v>
          </cell>
          <cell r="BJ43" t="str">
            <v>BEST</v>
          </cell>
          <cell r="BK43">
            <v>679.4</v>
          </cell>
          <cell r="BL43">
            <v>39</v>
          </cell>
          <cell r="BM43">
            <v>60</v>
          </cell>
          <cell r="BN43">
            <v>584</v>
          </cell>
          <cell r="BO43">
            <v>686.4</v>
          </cell>
          <cell r="BP43">
            <v>679.4</v>
          </cell>
          <cell r="BQ43">
            <v>649.93333333333339</v>
          </cell>
          <cell r="BR43" t="e">
            <v>#REF!</v>
          </cell>
          <cell r="BS43">
            <v>25</v>
          </cell>
        </row>
        <row r="44">
          <cell r="B44">
            <v>88</v>
          </cell>
          <cell r="C44" t="str">
            <v>RAHAT AKON</v>
          </cell>
          <cell r="D44" t="str">
            <v>SOMRAT AKON</v>
          </cell>
          <cell r="E44" t="str">
            <v>ROJINA AKTHER</v>
          </cell>
          <cell r="F44">
            <v>20</v>
          </cell>
          <cell r="G44">
            <v>20</v>
          </cell>
          <cell r="H44">
            <v>60</v>
          </cell>
          <cell r="I44">
            <v>100</v>
          </cell>
          <cell r="J44">
            <v>10</v>
          </cell>
          <cell r="K44">
            <v>10</v>
          </cell>
          <cell r="L44">
            <v>29</v>
          </cell>
          <cell r="M44">
            <v>49</v>
          </cell>
          <cell r="N44">
            <v>149</v>
          </cell>
          <cell r="O44">
            <v>0</v>
          </cell>
          <cell r="P44">
            <v>5</v>
          </cell>
          <cell r="Q44">
            <v>18</v>
          </cell>
          <cell r="R44">
            <v>20</v>
          </cell>
          <cell r="S44">
            <v>32</v>
          </cell>
          <cell r="T44">
            <v>70</v>
          </cell>
          <cell r="U44">
            <v>8</v>
          </cell>
          <cell r="V44">
            <v>10</v>
          </cell>
          <cell r="W44">
            <v>41</v>
          </cell>
          <cell r="X44">
            <v>20.5</v>
          </cell>
          <cell r="Y44">
            <v>38.5</v>
          </cell>
          <cell r="Z44">
            <v>108.5</v>
          </cell>
          <cell r="AA44">
            <v>0</v>
          </cell>
          <cell r="AB44">
            <v>4</v>
          </cell>
          <cell r="AC44">
            <v>11</v>
          </cell>
          <cell r="AD44">
            <v>20</v>
          </cell>
          <cell r="AE44">
            <v>59</v>
          </cell>
          <cell r="AF44">
            <v>90</v>
          </cell>
          <cell r="AG44">
            <v>0</v>
          </cell>
          <cell r="AH44">
            <v>5</v>
          </cell>
          <cell r="AI44">
            <v>18</v>
          </cell>
          <cell r="AJ44">
            <v>20</v>
          </cell>
          <cell r="AK44">
            <v>56</v>
          </cell>
          <cell r="AL44">
            <v>94</v>
          </cell>
          <cell r="AM44">
            <v>0</v>
          </cell>
          <cell r="AN44">
            <v>5</v>
          </cell>
          <cell r="AO44">
            <v>20</v>
          </cell>
          <cell r="AP44">
            <v>20</v>
          </cell>
          <cell r="AQ44">
            <v>55</v>
          </cell>
          <cell r="AR44">
            <v>95</v>
          </cell>
          <cell r="AS44">
            <v>0</v>
          </cell>
          <cell r="AT44">
            <v>5</v>
          </cell>
          <cell r="AU44">
            <v>20</v>
          </cell>
          <cell r="AV44">
            <v>20</v>
          </cell>
          <cell r="AW44">
            <v>57</v>
          </cell>
          <cell r="AX44">
            <v>97</v>
          </cell>
          <cell r="AY44">
            <v>0</v>
          </cell>
          <cell r="AZ44">
            <v>5</v>
          </cell>
          <cell r="BA44">
            <v>10</v>
          </cell>
          <cell r="BB44">
            <v>10</v>
          </cell>
          <cell r="BC44">
            <v>44</v>
          </cell>
          <cell r="BD44">
            <v>26.4</v>
          </cell>
          <cell r="BE44">
            <v>46.4</v>
          </cell>
          <cell r="BF44">
            <v>0</v>
          </cell>
          <cell r="BG44">
            <v>5</v>
          </cell>
          <cell r="BH44">
            <v>34</v>
          </cell>
          <cell r="BI44">
            <v>4.8571428571428568</v>
          </cell>
          <cell r="BJ44" t="str">
            <v>BETTER</v>
          </cell>
          <cell r="BK44">
            <v>679.9</v>
          </cell>
          <cell r="BL44">
            <v>44</v>
          </cell>
          <cell r="BM44">
            <v>61</v>
          </cell>
          <cell r="BN44">
            <v>595</v>
          </cell>
          <cell r="BO44">
            <v>677.4</v>
          </cell>
          <cell r="BP44">
            <v>679.9</v>
          </cell>
          <cell r="BQ44">
            <v>650.76666666666677</v>
          </cell>
          <cell r="BR44" t="e">
            <v>#REF!</v>
          </cell>
          <cell r="BS44">
            <v>24</v>
          </cell>
        </row>
        <row r="45">
          <cell r="B45">
            <v>92</v>
          </cell>
          <cell r="C45" t="str">
            <v xml:space="preserve"> AMINUL HAQUE AL AMIN RAJ</v>
          </cell>
          <cell r="D45" t="str">
            <v>MONIRUL ISLAM</v>
          </cell>
          <cell r="E45" t="str">
            <v>AMINA BEGUM</v>
          </cell>
          <cell r="F45">
            <v>17</v>
          </cell>
          <cell r="G45">
            <v>20</v>
          </cell>
          <cell r="H45">
            <v>51</v>
          </cell>
          <cell r="I45">
            <v>88</v>
          </cell>
          <cell r="J45">
            <v>10</v>
          </cell>
          <cell r="K45">
            <v>7</v>
          </cell>
          <cell r="L45">
            <v>27</v>
          </cell>
          <cell r="M45">
            <v>44</v>
          </cell>
          <cell r="N45">
            <v>132</v>
          </cell>
          <cell r="O45">
            <v>0</v>
          </cell>
          <cell r="P45">
            <v>5</v>
          </cell>
          <cell r="Q45">
            <v>14</v>
          </cell>
          <cell r="R45">
            <v>20</v>
          </cell>
          <cell r="S45">
            <v>39</v>
          </cell>
          <cell r="T45">
            <v>73</v>
          </cell>
          <cell r="U45">
            <v>7</v>
          </cell>
          <cell r="V45">
            <v>10</v>
          </cell>
          <cell r="W45">
            <v>29</v>
          </cell>
          <cell r="X45">
            <v>14.5</v>
          </cell>
          <cell r="Y45">
            <v>31.5</v>
          </cell>
          <cell r="Z45">
            <v>104.5</v>
          </cell>
          <cell r="AA45">
            <v>0</v>
          </cell>
          <cell r="AB45">
            <v>3.5</v>
          </cell>
          <cell r="AC45">
            <v>11</v>
          </cell>
          <cell r="AD45">
            <v>20</v>
          </cell>
          <cell r="AE45">
            <v>40</v>
          </cell>
          <cell r="AF45">
            <v>71</v>
          </cell>
          <cell r="AG45">
            <v>0</v>
          </cell>
          <cell r="AH45">
            <v>4</v>
          </cell>
          <cell r="AI45">
            <v>13</v>
          </cell>
          <cell r="AJ45">
            <v>20</v>
          </cell>
          <cell r="AK45">
            <v>41</v>
          </cell>
          <cell r="AL45">
            <v>74</v>
          </cell>
          <cell r="AM45">
            <v>0</v>
          </cell>
          <cell r="AN45">
            <v>4</v>
          </cell>
          <cell r="AO45">
            <v>19</v>
          </cell>
          <cell r="AP45">
            <v>20</v>
          </cell>
          <cell r="AQ45">
            <v>48</v>
          </cell>
          <cell r="AR45">
            <v>87</v>
          </cell>
          <cell r="AS45">
            <v>0</v>
          </cell>
          <cell r="AT45">
            <v>5</v>
          </cell>
          <cell r="AU45">
            <v>18</v>
          </cell>
          <cell r="AV45">
            <v>20</v>
          </cell>
          <cell r="AW45">
            <v>53</v>
          </cell>
          <cell r="AX45">
            <v>91</v>
          </cell>
          <cell r="AY45">
            <v>0</v>
          </cell>
          <cell r="AZ45">
            <v>5</v>
          </cell>
          <cell r="BA45">
            <v>9</v>
          </cell>
          <cell r="BB45">
            <v>10</v>
          </cell>
          <cell r="BC45">
            <v>35</v>
          </cell>
          <cell r="BD45">
            <v>21</v>
          </cell>
          <cell r="BE45">
            <v>40</v>
          </cell>
          <cell r="BF45">
            <v>0</v>
          </cell>
          <cell r="BG45">
            <v>5</v>
          </cell>
          <cell r="BH45">
            <v>31.5</v>
          </cell>
          <cell r="BI45">
            <v>4.5</v>
          </cell>
          <cell r="BJ45" t="str">
            <v>BETTER</v>
          </cell>
          <cell r="BK45">
            <v>599.5</v>
          </cell>
          <cell r="BL45">
            <v>60</v>
          </cell>
          <cell r="BM45">
            <v>64</v>
          </cell>
          <cell r="BN45">
            <v>580</v>
          </cell>
          <cell r="BO45">
            <v>655.20000000000005</v>
          </cell>
          <cell r="BP45">
            <v>599.5</v>
          </cell>
          <cell r="BQ45">
            <v>611.56666666666672</v>
          </cell>
          <cell r="BR45" t="e">
            <v>#REF!</v>
          </cell>
          <cell r="BS45">
            <v>46</v>
          </cell>
        </row>
        <row r="46">
          <cell r="B46">
            <v>93</v>
          </cell>
          <cell r="C46" t="str">
            <v>ABU SAJJAD</v>
          </cell>
          <cell r="D46" t="str">
            <v>MOHAMMAD SHAHED</v>
          </cell>
          <cell r="E46" t="str">
            <v>FERDOUSI AKTER</v>
          </cell>
          <cell r="F46">
            <v>18</v>
          </cell>
          <cell r="G46">
            <v>20</v>
          </cell>
          <cell r="H46">
            <v>56</v>
          </cell>
          <cell r="I46">
            <v>94</v>
          </cell>
          <cell r="J46">
            <v>10</v>
          </cell>
          <cell r="K46">
            <v>10</v>
          </cell>
          <cell r="L46">
            <v>28</v>
          </cell>
          <cell r="M46">
            <v>48</v>
          </cell>
          <cell r="N46">
            <v>142</v>
          </cell>
          <cell r="O46">
            <v>0</v>
          </cell>
          <cell r="P46">
            <v>5</v>
          </cell>
          <cell r="Q46">
            <v>15</v>
          </cell>
          <cell r="R46">
            <v>20</v>
          </cell>
          <cell r="S46">
            <v>50</v>
          </cell>
          <cell r="T46">
            <v>85</v>
          </cell>
          <cell r="U46">
            <v>9</v>
          </cell>
          <cell r="V46">
            <v>10</v>
          </cell>
          <cell r="W46">
            <v>49</v>
          </cell>
          <cell r="X46">
            <v>24.5</v>
          </cell>
          <cell r="Y46">
            <v>43.5</v>
          </cell>
          <cell r="Z46">
            <v>128.5</v>
          </cell>
          <cell r="AA46">
            <v>0</v>
          </cell>
          <cell r="AB46">
            <v>5</v>
          </cell>
          <cell r="AC46">
            <v>15</v>
          </cell>
          <cell r="AD46">
            <v>20</v>
          </cell>
          <cell r="AE46">
            <v>60</v>
          </cell>
          <cell r="AF46">
            <v>95</v>
          </cell>
          <cell r="AG46">
            <v>0</v>
          </cell>
          <cell r="AH46">
            <v>5</v>
          </cell>
          <cell r="AI46">
            <v>18</v>
          </cell>
          <cell r="AJ46">
            <v>20</v>
          </cell>
          <cell r="AK46">
            <v>60</v>
          </cell>
          <cell r="AL46">
            <v>98</v>
          </cell>
          <cell r="AM46">
            <v>0</v>
          </cell>
          <cell r="AN46">
            <v>5</v>
          </cell>
          <cell r="AO46">
            <v>20</v>
          </cell>
          <cell r="AP46">
            <v>20</v>
          </cell>
          <cell r="AQ46">
            <v>59</v>
          </cell>
          <cell r="AR46">
            <v>99</v>
          </cell>
          <cell r="AS46">
            <v>0</v>
          </cell>
          <cell r="AT46">
            <v>5</v>
          </cell>
          <cell r="AU46">
            <v>18</v>
          </cell>
          <cell r="AV46">
            <v>20</v>
          </cell>
          <cell r="AW46">
            <v>58</v>
          </cell>
          <cell r="AX46">
            <v>96</v>
          </cell>
          <cell r="AY46">
            <v>0</v>
          </cell>
          <cell r="AZ46">
            <v>5</v>
          </cell>
          <cell r="BA46">
            <v>10</v>
          </cell>
          <cell r="BB46">
            <v>10</v>
          </cell>
          <cell r="BC46">
            <v>46</v>
          </cell>
          <cell r="BD46">
            <v>27.599999999999998</v>
          </cell>
          <cell r="BE46">
            <v>47.599999999999994</v>
          </cell>
          <cell r="BF46">
            <v>0</v>
          </cell>
          <cell r="BG46">
            <v>5</v>
          </cell>
          <cell r="BH46">
            <v>35</v>
          </cell>
          <cell r="BI46">
            <v>5</v>
          </cell>
          <cell r="BJ46" t="str">
            <v>BEST</v>
          </cell>
          <cell r="BK46">
            <v>706.1</v>
          </cell>
          <cell r="BL46">
            <v>8</v>
          </cell>
          <cell r="BM46">
            <v>55</v>
          </cell>
          <cell r="BN46">
            <v>647</v>
          </cell>
          <cell r="BO46">
            <v>722.3</v>
          </cell>
          <cell r="BP46">
            <v>706.1</v>
          </cell>
          <cell r="BQ46">
            <v>691.80000000000007</v>
          </cell>
          <cell r="BR46" t="e">
            <v>#REF!</v>
          </cell>
          <cell r="BS46">
            <v>7</v>
          </cell>
        </row>
        <row r="47">
          <cell r="B47">
            <v>97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0</v>
          </cell>
          <cell r="BQ47">
            <v>0</v>
          </cell>
          <cell r="BR47" t="e">
            <v>#REF!</v>
          </cell>
          <cell r="BS47">
            <v>0</v>
          </cell>
        </row>
        <row r="48">
          <cell r="B48">
            <v>98</v>
          </cell>
          <cell r="C48" t="str">
            <v>FATAMA KHANAM</v>
          </cell>
          <cell r="D48" t="str">
            <v>MD. FIROZ KHAN</v>
          </cell>
          <cell r="E48" t="str">
            <v>SHEULI BEGUM</v>
          </cell>
          <cell r="F48">
            <v>20</v>
          </cell>
          <cell r="G48">
            <v>20</v>
          </cell>
          <cell r="H48">
            <v>60</v>
          </cell>
          <cell r="I48">
            <v>100</v>
          </cell>
          <cell r="J48">
            <v>9</v>
          </cell>
          <cell r="K48">
            <v>8</v>
          </cell>
          <cell r="L48">
            <v>30</v>
          </cell>
          <cell r="M48">
            <v>47</v>
          </cell>
          <cell r="N48">
            <v>147</v>
          </cell>
          <cell r="O48">
            <v>0</v>
          </cell>
          <cell r="P48">
            <v>5</v>
          </cell>
          <cell r="Q48">
            <v>20</v>
          </cell>
          <cell r="R48">
            <v>20</v>
          </cell>
          <cell r="S48">
            <v>57</v>
          </cell>
          <cell r="T48">
            <v>97</v>
          </cell>
          <cell r="U48">
            <v>10</v>
          </cell>
          <cell r="V48">
            <v>10</v>
          </cell>
          <cell r="W48">
            <v>51</v>
          </cell>
          <cell r="X48">
            <v>25.5</v>
          </cell>
          <cell r="Y48">
            <v>45.5</v>
          </cell>
          <cell r="Z48">
            <v>142.5</v>
          </cell>
          <cell r="AA48">
            <v>0</v>
          </cell>
          <cell r="AB48">
            <v>5</v>
          </cell>
          <cell r="AC48">
            <v>19</v>
          </cell>
          <cell r="AD48">
            <v>20</v>
          </cell>
          <cell r="AE48">
            <v>60</v>
          </cell>
          <cell r="AF48">
            <v>99</v>
          </cell>
          <cell r="AG48">
            <v>0</v>
          </cell>
          <cell r="AH48">
            <v>5</v>
          </cell>
          <cell r="AI48">
            <v>20</v>
          </cell>
          <cell r="AJ48">
            <v>20</v>
          </cell>
          <cell r="AK48">
            <v>60</v>
          </cell>
          <cell r="AL48">
            <v>100</v>
          </cell>
          <cell r="AM48">
            <v>0</v>
          </cell>
          <cell r="AN48">
            <v>5</v>
          </cell>
          <cell r="AO48">
            <v>20</v>
          </cell>
          <cell r="AP48">
            <v>20</v>
          </cell>
          <cell r="AQ48">
            <v>0</v>
          </cell>
          <cell r="AR48">
            <v>40</v>
          </cell>
          <cell r="AS48">
            <v>0</v>
          </cell>
          <cell r="AT48">
            <v>2</v>
          </cell>
          <cell r="AU48">
            <v>20</v>
          </cell>
          <cell r="AV48">
            <v>20</v>
          </cell>
          <cell r="AW48">
            <v>60</v>
          </cell>
          <cell r="AX48">
            <v>100</v>
          </cell>
          <cell r="AY48">
            <v>0</v>
          </cell>
          <cell r="AZ48">
            <v>5</v>
          </cell>
          <cell r="BA48">
            <v>10</v>
          </cell>
          <cell r="BB48">
            <v>10</v>
          </cell>
          <cell r="BC48">
            <v>48</v>
          </cell>
          <cell r="BD48">
            <v>28.799999999999997</v>
          </cell>
          <cell r="BE48">
            <v>48.8</v>
          </cell>
          <cell r="BF48">
            <v>0</v>
          </cell>
          <cell r="BG48">
            <v>5</v>
          </cell>
          <cell r="BH48">
            <v>32</v>
          </cell>
          <cell r="BI48">
            <v>4.5714285714285712</v>
          </cell>
          <cell r="BJ48" t="str">
            <v>BETTER</v>
          </cell>
          <cell r="BK48">
            <v>677.3</v>
          </cell>
          <cell r="BL48">
            <v>1</v>
          </cell>
          <cell r="BM48">
            <v>65</v>
          </cell>
          <cell r="BN48">
            <v>670</v>
          </cell>
          <cell r="BO48">
            <v>741.5</v>
          </cell>
          <cell r="BP48">
            <v>677.3</v>
          </cell>
          <cell r="BQ48">
            <v>696.26666666666677</v>
          </cell>
          <cell r="BR48" t="e">
            <v>#REF!</v>
          </cell>
          <cell r="BS48">
            <v>19</v>
          </cell>
        </row>
        <row r="49">
          <cell r="B49">
            <v>101</v>
          </cell>
          <cell r="C49" t="str">
            <v>SADMAN AHMED RAFI</v>
          </cell>
          <cell r="D49" t="str">
            <v>MD.REHANUDDIHN</v>
          </cell>
          <cell r="E49" t="str">
            <v>MST.SHAIDA PERVIN</v>
          </cell>
          <cell r="F49">
            <v>20</v>
          </cell>
          <cell r="G49">
            <v>20</v>
          </cell>
          <cell r="H49">
            <v>60</v>
          </cell>
          <cell r="I49">
            <v>100</v>
          </cell>
          <cell r="J49">
            <v>10</v>
          </cell>
          <cell r="K49">
            <v>10</v>
          </cell>
          <cell r="L49">
            <v>30</v>
          </cell>
          <cell r="M49">
            <v>50</v>
          </cell>
          <cell r="N49">
            <v>150</v>
          </cell>
          <cell r="O49">
            <v>0</v>
          </cell>
          <cell r="P49">
            <v>5</v>
          </cell>
          <cell r="Q49">
            <v>20</v>
          </cell>
          <cell r="R49">
            <v>20</v>
          </cell>
          <cell r="S49">
            <v>59</v>
          </cell>
          <cell r="T49">
            <v>99</v>
          </cell>
          <cell r="U49">
            <v>9</v>
          </cell>
          <cell r="V49">
            <v>10</v>
          </cell>
          <cell r="W49">
            <v>48</v>
          </cell>
          <cell r="X49">
            <v>24</v>
          </cell>
          <cell r="Y49">
            <v>43</v>
          </cell>
          <cell r="Z49">
            <v>142</v>
          </cell>
          <cell r="AA49">
            <v>0</v>
          </cell>
          <cell r="AB49">
            <v>5</v>
          </cell>
          <cell r="AC49">
            <v>19</v>
          </cell>
          <cell r="AD49">
            <v>20</v>
          </cell>
          <cell r="AE49">
            <v>60</v>
          </cell>
          <cell r="AF49">
            <v>99</v>
          </cell>
          <cell r="AG49">
            <v>0</v>
          </cell>
          <cell r="AH49">
            <v>5</v>
          </cell>
          <cell r="AI49">
            <v>19</v>
          </cell>
          <cell r="AJ49">
            <v>20</v>
          </cell>
          <cell r="AK49">
            <v>57</v>
          </cell>
          <cell r="AL49">
            <v>96</v>
          </cell>
          <cell r="AM49">
            <v>0</v>
          </cell>
          <cell r="AN49">
            <v>5</v>
          </cell>
          <cell r="AO49">
            <v>20</v>
          </cell>
          <cell r="AP49">
            <v>20</v>
          </cell>
          <cell r="AQ49">
            <v>56</v>
          </cell>
          <cell r="AR49">
            <v>96</v>
          </cell>
          <cell r="AS49">
            <v>0</v>
          </cell>
          <cell r="AT49">
            <v>5</v>
          </cell>
          <cell r="AU49">
            <v>20</v>
          </cell>
          <cell r="AV49">
            <v>20</v>
          </cell>
          <cell r="AW49">
            <v>59</v>
          </cell>
          <cell r="AX49">
            <v>99</v>
          </cell>
          <cell r="AY49">
            <v>0</v>
          </cell>
          <cell r="AZ49">
            <v>5</v>
          </cell>
          <cell r="BA49">
            <v>10</v>
          </cell>
          <cell r="BB49">
            <v>10</v>
          </cell>
          <cell r="BC49">
            <v>49</v>
          </cell>
          <cell r="BD49">
            <v>29.4</v>
          </cell>
          <cell r="BE49">
            <v>49.4</v>
          </cell>
          <cell r="BF49">
            <v>0</v>
          </cell>
          <cell r="BG49">
            <v>5</v>
          </cell>
          <cell r="BH49">
            <v>35</v>
          </cell>
          <cell r="BI49">
            <v>5</v>
          </cell>
          <cell r="BJ49" t="str">
            <v>BEST</v>
          </cell>
          <cell r="BK49">
            <v>731.4</v>
          </cell>
          <cell r="BL49">
            <v>5</v>
          </cell>
          <cell r="BM49">
            <v>60</v>
          </cell>
          <cell r="BN49">
            <v>656</v>
          </cell>
          <cell r="BO49">
            <v>729</v>
          </cell>
          <cell r="BP49">
            <v>731.4</v>
          </cell>
          <cell r="BQ49">
            <v>705.4666666666667</v>
          </cell>
          <cell r="BR49" t="e">
            <v>#REF!</v>
          </cell>
          <cell r="BS49">
            <v>6</v>
          </cell>
        </row>
        <row r="50">
          <cell r="B50">
            <v>103</v>
          </cell>
          <cell r="C50" t="str">
            <v>MD.TAWHID TALUKDER</v>
          </cell>
          <cell r="D50" t="str">
            <v>MD.SANWAR TALUKDER</v>
          </cell>
          <cell r="E50" t="str">
            <v>NURA SABA</v>
          </cell>
          <cell r="F50">
            <v>20</v>
          </cell>
          <cell r="G50">
            <v>20</v>
          </cell>
          <cell r="H50">
            <v>60</v>
          </cell>
          <cell r="I50">
            <v>100</v>
          </cell>
          <cell r="J50">
            <v>10</v>
          </cell>
          <cell r="K50">
            <v>10</v>
          </cell>
          <cell r="L50">
            <v>30</v>
          </cell>
          <cell r="M50">
            <v>50</v>
          </cell>
          <cell r="N50">
            <v>150</v>
          </cell>
          <cell r="O50">
            <v>0</v>
          </cell>
          <cell r="P50">
            <v>5</v>
          </cell>
          <cell r="Q50">
            <v>20</v>
          </cell>
          <cell r="R50">
            <v>20</v>
          </cell>
          <cell r="S50">
            <v>59</v>
          </cell>
          <cell r="T50">
            <v>99</v>
          </cell>
          <cell r="U50">
            <v>10</v>
          </cell>
          <cell r="V50">
            <v>10</v>
          </cell>
          <cell r="W50">
            <v>58</v>
          </cell>
          <cell r="X50">
            <v>29</v>
          </cell>
          <cell r="Y50">
            <v>49</v>
          </cell>
          <cell r="Z50">
            <v>148</v>
          </cell>
          <cell r="AA50">
            <v>0</v>
          </cell>
          <cell r="AB50">
            <v>5</v>
          </cell>
          <cell r="AC50">
            <v>20</v>
          </cell>
          <cell r="AD50">
            <v>20</v>
          </cell>
          <cell r="AE50">
            <v>60</v>
          </cell>
          <cell r="AF50">
            <v>100</v>
          </cell>
          <cell r="AG50">
            <v>0</v>
          </cell>
          <cell r="AH50">
            <v>5</v>
          </cell>
          <cell r="AI50">
            <v>18</v>
          </cell>
          <cell r="AJ50">
            <v>20</v>
          </cell>
          <cell r="AK50">
            <v>60</v>
          </cell>
          <cell r="AL50">
            <v>98</v>
          </cell>
          <cell r="AM50">
            <v>0</v>
          </cell>
          <cell r="AN50">
            <v>5</v>
          </cell>
          <cell r="AO50">
            <v>20</v>
          </cell>
          <cell r="AP50">
            <v>20</v>
          </cell>
          <cell r="AQ50">
            <v>60</v>
          </cell>
          <cell r="AR50">
            <v>100</v>
          </cell>
          <cell r="AS50">
            <v>0</v>
          </cell>
          <cell r="AT50">
            <v>5</v>
          </cell>
          <cell r="AU50">
            <v>20</v>
          </cell>
          <cell r="AV50">
            <v>20</v>
          </cell>
          <cell r="AW50">
            <v>60</v>
          </cell>
          <cell r="AX50">
            <v>100</v>
          </cell>
          <cell r="AY50">
            <v>0</v>
          </cell>
          <cell r="AZ50">
            <v>5</v>
          </cell>
          <cell r="BA50">
            <v>10</v>
          </cell>
          <cell r="BB50">
            <v>10</v>
          </cell>
          <cell r="BC50">
            <v>50</v>
          </cell>
          <cell r="BD50">
            <v>30</v>
          </cell>
          <cell r="BE50">
            <v>50</v>
          </cell>
          <cell r="BF50">
            <v>0</v>
          </cell>
          <cell r="BG50">
            <v>5</v>
          </cell>
          <cell r="BH50">
            <v>35</v>
          </cell>
          <cell r="BI50">
            <v>5</v>
          </cell>
          <cell r="BJ50" t="str">
            <v>BEST</v>
          </cell>
          <cell r="BK50">
            <v>746</v>
          </cell>
          <cell r="BL50">
            <v>2</v>
          </cell>
          <cell r="BM50">
            <v>65</v>
          </cell>
          <cell r="BN50">
            <v>708</v>
          </cell>
          <cell r="BO50">
            <v>742</v>
          </cell>
          <cell r="BP50">
            <v>746</v>
          </cell>
          <cell r="BQ50">
            <v>732</v>
          </cell>
          <cell r="BR50" t="e">
            <v>#REF!</v>
          </cell>
          <cell r="BS50">
            <v>1</v>
          </cell>
        </row>
        <row r="51">
          <cell r="B51">
            <v>106</v>
          </cell>
          <cell r="C51" t="str">
            <v xml:space="preserve">SHAHARA KHANDAKER </v>
          </cell>
          <cell r="D51" t="str">
            <v>MD.KERAMOT ALI</v>
          </cell>
          <cell r="E51" t="str">
            <v>KHADIJA KHANDAKAR</v>
          </cell>
          <cell r="F51">
            <v>20</v>
          </cell>
          <cell r="G51">
            <v>20</v>
          </cell>
          <cell r="H51">
            <v>53</v>
          </cell>
          <cell r="I51">
            <v>93</v>
          </cell>
          <cell r="J51">
            <v>9</v>
          </cell>
          <cell r="K51">
            <v>10</v>
          </cell>
          <cell r="L51">
            <v>29</v>
          </cell>
          <cell r="M51">
            <v>48</v>
          </cell>
          <cell r="N51">
            <v>141</v>
          </cell>
          <cell r="O51">
            <v>0</v>
          </cell>
          <cell r="P51">
            <v>5</v>
          </cell>
          <cell r="Q51">
            <v>17</v>
          </cell>
          <cell r="R51">
            <v>19</v>
          </cell>
          <cell r="S51">
            <v>50</v>
          </cell>
          <cell r="T51">
            <v>86</v>
          </cell>
          <cell r="U51">
            <v>9</v>
          </cell>
          <cell r="V51">
            <v>10</v>
          </cell>
          <cell r="W51">
            <v>37</v>
          </cell>
          <cell r="X51">
            <v>18.5</v>
          </cell>
          <cell r="Y51">
            <v>37.5</v>
          </cell>
          <cell r="Z51">
            <v>123.5</v>
          </cell>
          <cell r="AA51">
            <v>0</v>
          </cell>
          <cell r="AB51">
            <v>5</v>
          </cell>
          <cell r="AC51">
            <v>19</v>
          </cell>
          <cell r="AD51">
            <v>20</v>
          </cell>
          <cell r="AE51">
            <v>60</v>
          </cell>
          <cell r="AF51">
            <v>99</v>
          </cell>
          <cell r="AG51">
            <v>0</v>
          </cell>
          <cell r="AH51">
            <v>5</v>
          </cell>
          <cell r="AI51">
            <v>15</v>
          </cell>
          <cell r="AJ51">
            <v>20</v>
          </cell>
          <cell r="AK51">
            <v>42</v>
          </cell>
          <cell r="AL51">
            <v>77</v>
          </cell>
          <cell r="AM51">
            <v>0</v>
          </cell>
          <cell r="AN51">
            <v>4</v>
          </cell>
          <cell r="AO51">
            <v>19</v>
          </cell>
          <cell r="AP51">
            <v>20</v>
          </cell>
          <cell r="AQ51">
            <v>52</v>
          </cell>
          <cell r="AR51">
            <v>91</v>
          </cell>
          <cell r="AS51">
            <v>0</v>
          </cell>
          <cell r="AT51">
            <v>5</v>
          </cell>
          <cell r="AU51">
            <v>18</v>
          </cell>
          <cell r="AV51">
            <v>20</v>
          </cell>
          <cell r="AW51">
            <v>57</v>
          </cell>
          <cell r="AX51">
            <v>95</v>
          </cell>
          <cell r="AY51">
            <v>0</v>
          </cell>
          <cell r="AZ51">
            <v>5</v>
          </cell>
          <cell r="BA51">
            <v>10</v>
          </cell>
          <cell r="BB51">
            <v>10</v>
          </cell>
          <cell r="BC51">
            <v>43</v>
          </cell>
          <cell r="BD51">
            <v>25.8</v>
          </cell>
          <cell r="BE51">
            <v>45.8</v>
          </cell>
          <cell r="BF51">
            <v>0</v>
          </cell>
          <cell r="BG51">
            <v>5</v>
          </cell>
          <cell r="BH51">
            <v>34</v>
          </cell>
          <cell r="BI51">
            <v>4.8571428571428568</v>
          </cell>
          <cell r="BJ51" t="str">
            <v>BETTER</v>
          </cell>
          <cell r="BK51">
            <v>672.3</v>
          </cell>
          <cell r="BL51">
            <v>23</v>
          </cell>
          <cell r="BM51">
            <v>58</v>
          </cell>
          <cell r="BN51">
            <v>0</v>
          </cell>
          <cell r="BO51">
            <v>694.1</v>
          </cell>
          <cell r="BP51">
            <v>672.3</v>
          </cell>
          <cell r="BQ51">
            <v>455.4666666666667</v>
          </cell>
          <cell r="BR51" t="e">
            <v>#REF!</v>
          </cell>
          <cell r="BS51">
            <v>77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K68"/>
  <sheetViews>
    <sheetView workbookViewId="0">
      <selection activeCell="M33" sqref="M33"/>
    </sheetView>
  </sheetViews>
  <sheetFormatPr defaultColWidth="5.7109375" defaultRowHeight="15.75"/>
  <cols>
    <col min="3" max="3" width="23.140625" bestFit="1" customWidth="1"/>
    <col min="4" max="4" width="22.42578125" hidden="1" customWidth="1"/>
    <col min="5" max="5" width="19.140625" hidden="1" customWidth="1"/>
    <col min="30" max="32" width="5.7109375" style="98"/>
    <col min="33" max="33" width="0" style="98" hidden="1" customWidth="1"/>
    <col min="34" max="34" width="5" style="98" customWidth="1"/>
    <col min="35" max="35" width="4.42578125" customWidth="1"/>
    <col min="36" max="36" width="5.85546875" customWidth="1"/>
  </cols>
  <sheetData>
    <row r="1" spans="1:37" ht="15">
      <c r="A1" s="125" t="s">
        <v>248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</row>
    <row r="2" spans="1:37" ht="1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</row>
    <row r="3" spans="1:37" ht="15">
      <c r="A3" s="125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</row>
    <row r="4" spans="1:37" ht="15">
      <c r="A4" s="125"/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</row>
    <row r="5" spans="1:37" s="44" customFormat="1" ht="10.5" customHeight="1">
      <c r="A5" s="117" t="s">
        <v>14</v>
      </c>
      <c r="B5" s="117" t="s">
        <v>0</v>
      </c>
      <c r="C5" s="117" t="s">
        <v>1</v>
      </c>
      <c r="D5" s="117" t="s">
        <v>23</v>
      </c>
      <c r="E5" s="117" t="s">
        <v>24</v>
      </c>
      <c r="F5" s="117" t="s">
        <v>9</v>
      </c>
      <c r="G5" s="117" t="s">
        <v>10</v>
      </c>
      <c r="H5" s="119" t="s">
        <v>13</v>
      </c>
      <c r="I5" s="119" t="s">
        <v>30</v>
      </c>
      <c r="J5" s="119" t="s">
        <v>2</v>
      </c>
      <c r="K5" s="117" t="s">
        <v>8</v>
      </c>
      <c r="L5" s="117" t="s">
        <v>11</v>
      </c>
      <c r="M5" s="119" t="s">
        <v>13</v>
      </c>
      <c r="N5" s="119" t="s">
        <v>30</v>
      </c>
      <c r="O5" s="119" t="s">
        <v>2</v>
      </c>
      <c r="P5" s="117" t="s">
        <v>3</v>
      </c>
      <c r="Q5" s="119" t="s">
        <v>30</v>
      </c>
      <c r="R5" s="119" t="s">
        <v>2</v>
      </c>
      <c r="S5" s="117" t="s">
        <v>6</v>
      </c>
      <c r="T5" s="119" t="s">
        <v>30</v>
      </c>
      <c r="U5" s="119" t="s">
        <v>2</v>
      </c>
      <c r="V5" s="117" t="s">
        <v>7</v>
      </c>
      <c r="W5" s="119" t="s">
        <v>30</v>
      </c>
      <c r="X5" s="119" t="s">
        <v>2</v>
      </c>
      <c r="Y5" s="117" t="s">
        <v>12</v>
      </c>
      <c r="Z5" s="119" t="s">
        <v>30</v>
      </c>
      <c r="AA5" s="119" t="s">
        <v>2</v>
      </c>
      <c r="AB5" s="117" t="s">
        <v>32</v>
      </c>
      <c r="AC5" s="119" t="s">
        <v>30</v>
      </c>
      <c r="AD5" s="121" t="s">
        <v>2</v>
      </c>
      <c r="AE5" s="121" t="s">
        <v>4</v>
      </c>
      <c r="AF5" s="121" t="s">
        <v>5</v>
      </c>
      <c r="AG5" s="123" t="s">
        <v>26</v>
      </c>
      <c r="AH5" s="111" t="s">
        <v>27</v>
      </c>
      <c r="AI5" s="113" t="s">
        <v>31</v>
      </c>
      <c r="AJ5" s="113" t="s">
        <v>28</v>
      </c>
    </row>
    <row r="6" spans="1:37" s="44" customFormat="1" ht="10.5">
      <c r="A6" s="118"/>
      <c r="B6" s="118"/>
      <c r="C6" s="118"/>
      <c r="D6" s="118"/>
      <c r="E6" s="118"/>
      <c r="F6" s="118"/>
      <c r="G6" s="118"/>
      <c r="H6" s="120"/>
      <c r="I6" s="120"/>
      <c r="J6" s="120"/>
      <c r="K6" s="118"/>
      <c r="L6" s="118"/>
      <c r="M6" s="120"/>
      <c r="N6" s="120"/>
      <c r="O6" s="120"/>
      <c r="P6" s="118"/>
      <c r="Q6" s="120"/>
      <c r="R6" s="120"/>
      <c r="S6" s="118"/>
      <c r="T6" s="120"/>
      <c r="U6" s="120"/>
      <c r="V6" s="118"/>
      <c r="W6" s="120"/>
      <c r="X6" s="120"/>
      <c r="Y6" s="118"/>
      <c r="Z6" s="120"/>
      <c r="AA6" s="120"/>
      <c r="AB6" s="118"/>
      <c r="AC6" s="120"/>
      <c r="AD6" s="122"/>
      <c r="AE6" s="122"/>
      <c r="AF6" s="122"/>
      <c r="AG6" s="124"/>
      <c r="AH6" s="112"/>
      <c r="AI6" s="114"/>
      <c r="AJ6" s="114"/>
    </row>
    <row r="7" spans="1:37" s="60" customFormat="1" ht="16.5" customHeight="1">
      <c r="A7" s="55">
        <v>1</v>
      </c>
      <c r="B7" s="48">
        <v>1</v>
      </c>
      <c r="C7" s="49" t="s">
        <v>84</v>
      </c>
      <c r="D7" s="49" t="s">
        <v>85</v>
      </c>
      <c r="E7" s="49" t="s">
        <v>86</v>
      </c>
      <c r="F7" s="54">
        <v>84</v>
      </c>
      <c r="G7" s="54">
        <v>48</v>
      </c>
      <c r="H7" s="55">
        <f t="shared" ref="H7:H64" si="0">F7+G7</f>
        <v>132</v>
      </c>
      <c r="I7" s="56"/>
      <c r="J7" s="55">
        <f t="shared" ref="J7" si="1">IF(H7&lt;60,"F",IF(H7&lt;75,2,IF(H7&lt;90,3,IF(H7&lt;105,3.5,IF(H7&lt;120,4,5)))))</f>
        <v>5</v>
      </c>
      <c r="K7" s="54">
        <v>88</v>
      </c>
      <c r="L7" s="54">
        <v>76</v>
      </c>
      <c r="M7" s="55">
        <f t="shared" ref="M7:M64" si="2">K7+L7</f>
        <v>164</v>
      </c>
      <c r="N7" s="56"/>
      <c r="O7" s="55">
        <f t="shared" ref="O7" si="3">IF(M7&lt;80,"F",IF(M7&lt;100,2,IF(M7&lt;120,3,IF(M7&lt;139,3.5,IF(M7&lt;160,4,5)))))</f>
        <v>5</v>
      </c>
      <c r="P7" s="54">
        <v>57</v>
      </c>
      <c r="Q7" s="56"/>
      <c r="R7" s="55">
        <f t="shared" ref="R7" si="4">IF(P7&lt;40,"F",IF(P7&lt;50,2,IF(P7&lt;60,3,IF(P7&lt;70,3.5,IF(P7&lt;80,4,5)))))</f>
        <v>3</v>
      </c>
      <c r="S7" s="54">
        <v>96</v>
      </c>
      <c r="T7" s="56"/>
      <c r="U7" s="55">
        <f t="shared" ref="U7:U64" si="5">IF(S7&lt;40,"F",IF(S7&lt;50,2,IF(S7&lt;60,3,IF(S7&lt;70,3.5,IF(S7&lt;80,4,5)))))</f>
        <v>5</v>
      </c>
      <c r="V7" s="54">
        <v>96</v>
      </c>
      <c r="W7" s="56"/>
      <c r="X7" s="55">
        <f t="shared" ref="X7:X64" si="6">IF(V7&lt;40,"F",IF(V7&lt;50,2,IF(V7&lt;60,3,IF(V7&lt;70,3.5,IF(V7&lt;80,4,5)))))</f>
        <v>5</v>
      </c>
      <c r="Y7" s="54">
        <v>47</v>
      </c>
      <c r="Z7" s="56"/>
      <c r="AA7" s="55">
        <f t="shared" ref="AA7" si="7">IF(Y7&lt;20,"F",IF(Y7&lt;25,2,IF(Y7&lt;30,3,IF(Y7&lt;35,3.5,IF(Y7&lt;40,4,5)))))</f>
        <v>5</v>
      </c>
      <c r="AB7" s="54">
        <v>49</v>
      </c>
      <c r="AC7" s="56"/>
      <c r="AD7" s="90">
        <f t="shared" ref="AD7" si="8">IF(AB7&lt;20,"F",IF(AB7&lt;25,2,IF(AB7&lt;30,3,IF(AB7&lt;35,3.5,IF(AB7&lt;40,4,5)))))</f>
        <v>5</v>
      </c>
      <c r="AE7" s="90">
        <f t="shared" ref="AE7" si="9">IF(J7="F","F",IF(O7="F","F",IF(R7="F","F",IF(U7="F","F",IF(X7="F","F",IF(AA7="F","F",IF(AD7="F","F",SUM(J7+O7+R7+U7+X7+AA7+AD7))))))))</f>
        <v>33</v>
      </c>
      <c r="AF7" s="93">
        <f>IF(AE7="F","F", IF(AE7&gt;=35,5,IF(AE7&lt;35,AE7/7)))</f>
        <v>4.7142857142857144</v>
      </c>
      <c r="AG7" s="94" t="str">
        <f t="shared" ref="AG7" si="10">IF(AF7="F","NEED TO PROGRESS",IF(AF7&gt;=5,"BEST",IF(AF7&gt;=4,"BETTER",IF(AF7&gt;=2,"GOOD"))))</f>
        <v>BETTER</v>
      </c>
      <c r="AH7" s="91">
        <f>SUM(H7+M7+P7+S7+V7+Y7+AB7)</f>
        <v>641</v>
      </c>
      <c r="AI7" s="57"/>
      <c r="AJ7" s="57"/>
      <c r="AK7" s="59"/>
    </row>
    <row r="8" spans="1:37" s="62" customFormat="1">
      <c r="A8" s="55">
        <v>2</v>
      </c>
      <c r="B8" s="48">
        <v>3</v>
      </c>
      <c r="C8" s="48" t="s">
        <v>87</v>
      </c>
      <c r="D8" s="48" t="s">
        <v>88</v>
      </c>
      <c r="E8" s="48" t="s">
        <v>89</v>
      </c>
      <c r="F8" s="88">
        <v>75</v>
      </c>
      <c r="G8" s="89">
        <v>47</v>
      </c>
      <c r="H8" s="90">
        <f t="shared" si="0"/>
        <v>122</v>
      </c>
      <c r="I8" s="115">
        <f>MAX(H7:H64)</f>
        <v>138</v>
      </c>
      <c r="J8" s="90">
        <f t="shared" ref="J8:J64" si="11">IF(H8&lt;60,"F",IF(H8&lt;75,2,IF(H8&lt;90,3,IF(H8&lt;105,3.5,IF(H8&lt;120,4,5)))))</f>
        <v>5</v>
      </c>
      <c r="K8" s="88">
        <v>86</v>
      </c>
      <c r="L8" s="88">
        <v>79</v>
      </c>
      <c r="M8" s="90">
        <f t="shared" si="2"/>
        <v>165</v>
      </c>
      <c r="N8" s="115">
        <f>MAX(M7:M64)</f>
        <v>169</v>
      </c>
      <c r="O8" s="90">
        <f t="shared" ref="O8:O64" si="12">IF(M8&lt;80,"F",IF(M8&lt;100,2,IF(M8&lt;120,3,IF(M8&lt;139,3.5,IF(M8&lt;160,4,5)))))</f>
        <v>5</v>
      </c>
      <c r="P8" s="88">
        <v>66</v>
      </c>
      <c r="Q8" s="115">
        <f>MAX(P7:P64)</f>
        <v>94</v>
      </c>
      <c r="R8" s="90">
        <f t="shared" ref="R8:R64" si="13">IF(P8&lt;40,"F",IF(P8&lt;50,2,IF(P8&lt;60,3,IF(P8&lt;70,3.5,IF(P8&lt;80,4,5)))))</f>
        <v>3.5</v>
      </c>
      <c r="S8" s="88">
        <v>76</v>
      </c>
      <c r="T8" s="115">
        <f>MAX(S7:S64)</f>
        <v>98</v>
      </c>
      <c r="U8" s="90">
        <f t="shared" si="5"/>
        <v>4</v>
      </c>
      <c r="V8" s="88">
        <v>84</v>
      </c>
      <c r="W8" s="115">
        <f>MAX(V7:V64)</f>
        <v>98</v>
      </c>
      <c r="X8" s="90">
        <f t="shared" si="6"/>
        <v>5</v>
      </c>
      <c r="Y8" s="88">
        <v>41</v>
      </c>
      <c r="Z8" s="115">
        <f>MAX(Y7:Y64)</f>
        <v>50</v>
      </c>
      <c r="AA8" s="90">
        <f t="shared" ref="AA8:AA64" si="14">IF(Y8&lt;20,"F",IF(Y8&lt;25,2,IF(Y8&lt;30,3,IF(Y8&lt;35,3.5,IF(Y8&lt;40,4,5)))))</f>
        <v>5</v>
      </c>
      <c r="AB8" s="88">
        <v>48</v>
      </c>
      <c r="AC8" s="115">
        <f>MAX(AB7:AB64)</f>
        <v>50</v>
      </c>
      <c r="AD8" s="90">
        <f t="shared" ref="AD8:AD64" si="15">IF(AB8&lt;20,"F",IF(AB8&lt;25,2,IF(AB8&lt;30,3,IF(AB8&lt;35,3.5,IF(AB8&lt;40,4,5)))))</f>
        <v>5</v>
      </c>
      <c r="AE8" s="90">
        <f t="shared" ref="AE8:AE64" si="16">IF(J8="F","F",IF(O8="F","F",IF(R8="F","F",IF(U8="F","F",IF(X8="F","F",IF(AA8="F","F",IF(AD8="F","F",SUM(J8+O8+R8+U8+X8+AA8+AD8))))))))</f>
        <v>32.5</v>
      </c>
      <c r="AF8" s="93">
        <f t="shared" ref="AF8:AF64" si="17">IF(AE8="F","F", IF(AE8&gt;=35,5,IF(AE8&lt;35,AE8/7)))</f>
        <v>4.6428571428571432</v>
      </c>
      <c r="AG8" s="95" t="str">
        <f t="shared" ref="AG8:AG45" si="18">IF(AF8="F","NEED TO PROGRESS",IF(AF8&gt;=5,"BEST",IF(AF8&gt;=4,"BETTER",IF(AF8&gt;=2,"GOOD"))))</f>
        <v>BETTER</v>
      </c>
      <c r="AH8" s="91">
        <f t="shared" ref="AH8:AH64" si="19">SUM(H8+M8+P8+S8+V8+Y8+AB8)</f>
        <v>602</v>
      </c>
      <c r="AI8" s="61"/>
      <c r="AJ8" s="61"/>
    </row>
    <row r="9" spans="1:37" s="62" customFormat="1">
      <c r="A9" s="55">
        <v>3</v>
      </c>
      <c r="B9" s="48">
        <v>4</v>
      </c>
      <c r="C9" s="49" t="s">
        <v>90</v>
      </c>
      <c r="D9" s="49" t="s">
        <v>91</v>
      </c>
      <c r="E9" s="49" t="s">
        <v>92</v>
      </c>
      <c r="F9" s="88">
        <v>89</v>
      </c>
      <c r="G9" s="89">
        <v>46</v>
      </c>
      <c r="H9" s="90">
        <f t="shared" si="0"/>
        <v>135</v>
      </c>
      <c r="I9" s="115"/>
      <c r="J9" s="90">
        <f t="shared" si="11"/>
        <v>5</v>
      </c>
      <c r="K9" s="88">
        <v>83</v>
      </c>
      <c r="L9" s="88">
        <v>86</v>
      </c>
      <c r="M9" s="90">
        <f t="shared" si="2"/>
        <v>169</v>
      </c>
      <c r="N9" s="115"/>
      <c r="O9" s="90">
        <f t="shared" si="12"/>
        <v>5</v>
      </c>
      <c r="P9" s="88">
        <v>88</v>
      </c>
      <c r="Q9" s="115"/>
      <c r="R9" s="90">
        <f t="shared" si="13"/>
        <v>5</v>
      </c>
      <c r="S9" s="88">
        <v>90</v>
      </c>
      <c r="T9" s="115"/>
      <c r="U9" s="90">
        <f t="shared" si="5"/>
        <v>5</v>
      </c>
      <c r="V9" s="88">
        <v>89</v>
      </c>
      <c r="W9" s="115"/>
      <c r="X9" s="90">
        <f t="shared" si="6"/>
        <v>5</v>
      </c>
      <c r="Y9" s="88">
        <v>45</v>
      </c>
      <c r="Z9" s="115"/>
      <c r="AA9" s="90">
        <f t="shared" si="14"/>
        <v>5</v>
      </c>
      <c r="AB9" s="88">
        <v>48</v>
      </c>
      <c r="AC9" s="115"/>
      <c r="AD9" s="90">
        <f t="shared" si="15"/>
        <v>5</v>
      </c>
      <c r="AE9" s="90">
        <f t="shared" si="16"/>
        <v>35</v>
      </c>
      <c r="AF9" s="93">
        <f t="shared" si="17"/>
        <v>5</v>
      </c>
      <c r="AG9" s="95" t="str">
        <f t="shared" si="18"/>
        <v>BEST</v>
      </c>
      <c r="AH9" s="91">
        <f t="shared" si="19"/>
        <v>664</v>
      </c>
      <c r="AI9" s="61"/>
      <c r="AJ9" s="61"/>
    </row>
    <row r="10" spans="1:37" s="62" customFormat="1">
      <c r="A10" s="55">
        <v>4</v>
      </c>
      <c r="B10" s="48">
        <v>6</v>
      </c>
      <c r="C10" s="49" t="s">
        <v>93</v>
      </c>
      <c r="D10" s="49" t="s">
        <v>94</v>
      </c>
      <c r="E10" s="49" t="s">
        <v>95</v>
      </c>
      <c r="F10" s="88">
        <v>90</v>
      </c>
      <c r="G10" s="89">
        <v>48</v>
      </c>
      <c r="H10" s="90">
        <f t="shared" si="0"/>
        <v>138</v>
      </c>
      <c r="I10" s="115"/>
      <c r="J10" s="90">
        <f t="shared" si="11"/>
        <v>5</v>
      </c>
      <c r="K10" s="88">
        <v>88</v>
      </c>
      <c r="L10" s="88">
        <v>80</v>
      </c>
      <c r="M10" s="90">
        <f t="shared" si="2"/>
        <v>168</v>
      </c>
      <c r="N10" s="115"/>
      <c r="O10" s="90">
        <f t="shared" si="12"/>
        <v>5</v>
      </c>
      <c r="P10" s="88">
        <v>82</v>
      </c>
      <c r="Q10" s="115"/>
      <c r="R10" s="90">
        <f t="shared" si="13"/>
        <v>5</v>
      </c>
      <c r="S10" s="88">
        <v>88</v>
      </c>
      <c r="T10" s="115"/>
      <c r="U10" s="90">
        <f t="shared" si="5"/>
        <v>5</v>
      </c>
      <c r="V10" s="88">
        <v>97</v>
      </c>
      <c r="W10" s="115"/>
      <c r="X10" s="90">
        <f t="shared" si="6"/>
        <v>5</v>
      </c>
      <c r="Y10" s="88">
        <v>49</v>
      </c>
      <c r="Z10" s="115"/>
      <c r="AA10" s="90">
        <f t="shared" si="14"/>
        <v>5</v>
      </c>
      <c r="AB10" s="88">
        <v>49</v>
      </c>
      <c r="AC10" s="115"/>
      <c r="AD10" s="90">
        <f t="shared" si="15"/>
        <v>5</v>
      </c>
      <c r="AE10" s="90">
        <f t="shared" si="16"/>
        <v>35</v>
      </c>
      <c r="AF10" s="93">
        <f t="shared" si="17"/>
        <v>5</v>
      </c>
      <c r="AG10" s="95" t="str">
        <f t="shared" si="18"/>
        <v>BEST</v>
      </c>
      <c r="AH10" s="91">
        <f t="shared" si="19"/>
        <v>671</v>
      </c>
      <c r="AI10" s="61"/>
      <c r="AJ10" s="61"/>
    </row>
    <row r="11" spans="1:37" s="62" customFormat="1">
      <c r="A11" s="55">
        <v>5</v>
      </c>
      <c r="B11" s="48">
        <v>7</v>
      </c>
      <c r="C11" s="49" t="s">
        <v>96</v>
      </c>
      <c r="D11" s="49" t="s">
        <v>97</v>
      </c>
      <c r="E11" s="49" t="s">
        <v>98</v>
      </c>
      <c r="F11" s="88">
        <v>80</v>
      </c>
      <c r="G11" s="89">
        <v>45</v>
      </c>
      <c r="H11" s="90">
        <f t="shared" si="0"/>
        <v>125</v>
      </c>
      <c r="I11" s="115"/>
      <c r="J11" s="90">
        <f t="shared" si="11"/>
        <v>5</v>
      </c>
      <c r="K11" s="88">
        <v>84</v>
      </c>
      <c r="L11" s="88">
        <v>84</v>
      </c>
      <c r="M11" s="90">
        <f t="shared" si="2"/>
        <v>168</v>
      </c>
      <c r="N11" s="115"/>
      <c r="O11" s="90">
        <f t="shared" si="12"/>
        <v>5</v>
      </c>
      <c r="P11" s="88">
        <v>87</v>
      </c>
      <c r="Q11" s="115"/>
      <c r="R11" s="90">
        <f t="shared" si="13"/>
        <v>5</v>
      </c>
      <c r="S11" s="88">
        <v>88</v>
      </c>
      <c r="T11" s="115"/>
      <c r="U11" s="90">
        <f t="shared" si="5"/>
        <v>5</v>
      </c>
      <c r="V11" s="88">
        <v>93</v>
      </c>
      <c r="W11" s="115"/>
      <c r="X11" s="90">
        <f t="shared" si="6"/>
        <v>5</v>
      </c>
      <c r="Y11" s="88">
        <v>47</v>
      </c>
      <c r="Z11" s="115"/>
      <c r="AA11" s="90">
        <f t="shared" si="14"/>
        <v>5</v>
      </c>
      <c r="AB11" s="88">
        <v>42</v>
      </c>
      <c r="AC11" s="115"/>
      <c r="AD11" s="90">
        <f t="shared" si="15"/>
        <v>5</v>
      </c>
      <c r="AE11" s="90">
        <f t="shared" si="16"/>
        <v>35</v>
      </c>
      <c r="AF11" s="93">
        <f t="shared" si="17"/>
        <v>5</v>
      </c>
      <c r="AG11" s="95" t="str">
        <f t="shared" si="18"/>
        <v>BEST</v>
      </c>
      <c r="AH11" s="91">
        <f t="shared" si="19"/>
        <v>650</v>
      </c>
      <c r="AI11" s="61"/>
      <c r="AJ11" s="61"/>
    </row>
    <row r="12" spans="1:37" s="62" customFormat="1">
      <c r="A12" s="55">
        <v>6</v>
      </c>
      <c r="B12" s="48">
        <v>9</v>
      </c>
      <c r="C12" s="49" t="s">
        <v>99</v>
      </c>
      <c r="D12" s="49" t="s">
        <v>100</v>
      </c>
      <c r="E12" s="49" t="s">
        <v>101</v>
      </c>
      <c r="F12" s="88">
        <v>81</v>
      </c>
      <c r="G12" s="89">
        <v>37</v>
      </c>
      <c r="H12" s="90">
        <f t="shared" si="0"/>
        <v>118</v>
      </c>
      <c r="I12" s="115"/>
      <c r="J12" s="90">
        <f t="shared" si="11"/>
        <v>4</v>
      </c>
      <c r="K12" s="88">
        <v>84</v>
      </c>
      <c r="L12" s="88">
        <v>84</v>
      </c>
      <c r="M12" s="90">
        <f t="shared" si="2"/>
        <v>168</v>
      </c>
      <c r="N12" s="115"/>
      <c r="O12" s="90">
        <f t="shared" si="12"/>
        <v>5</v>
      </c>
      <c r="P12" s="88">
        <v>40</v>
      </c>
      <c r="Q12" s="115"/>
      <c r="R12" s="90">
        <f t="shared" si="13"/>
        <v>2</v>
      </c>
      <c r="S12" s="88">
        <v>72</v>
      </c>
      <c r="T12" s="115"/>
      <c r="U12" s="90">
        <f t="shared" si="5"/>
        <v>4</v>
      </c>
      <c r="V12" s="88">
        <v>89</v>
      </c>
      <c r="W12" s="115"/>
      <c r="X12" s="90">
        <f t="shared" si="6"/>
        <v>5</v>
      </c>
      <c r="Y12" s="88">
        <v>43</v>
      </c>
      <c r="Z12" s="115"/>
      <c r="AA12" s="90">
        <f t="shared" si="14"/>
        <v>5</v>
      </c>
      <c r="AB12" s="88">
        <v>45</v>
      </c>
      <c r="AC12" s="115"/>
      <c r="AD12" s="90">
        <f t="shared" si="15"/>
        <v>5</v>
      </c>
      <c r="AE12" s="90">
        <f t="shared" si="16"/>
        <v>30</v>
      </c>
      <c r="AF12" s="93">
        <f t="shared" si="17"/>
        <v>4.2857142857142856</v>
      </c>
      <c r="AG12" s="95" t="str">
        <f t="shared" si="18"/>
        <v>BETTER</v>
      </c>
      <c r="AH12" s="91">
        <f t="shared" si="19"/>
        <v>575</v>
      </c>
      <c r="AI12" s="61"/>
      <c r="AJ12" s="61"/>
    </row>
    <row r="13" spans="1:37" s="62" customFormat="1">
      <c r="A13" s="55">
        <v>7</v>
      </c>
      <c r="B13" s="48">
        <v>10</v>
      </c>
      <c r="C13" s="49" t="s">
        <v>102</v>
      </c>
      <c r="D13" s="49" t="s">
        <v>103</v>
      </c>
      <c r="E13" s="49" t="s">
        <v>104</v>
      </c>
      <c r="F13" s="88">
        <v>79</v>
      </c>
      <c r="G13" s="89">
        <v>40</v>
      </c>
      <c r="H13" s="90">
        <f t="shared" si="0"/>
        <v>119</v>
      </c>
      <c r="I13" s="115"/>
      <c r="J13" s="90">
        <f t="shared" si="11"/>
        <v>4</v>
      </c>
      <c r="K13" s="88">
        <v>83</v>
      </c>
      <c r="L13" s="88">
        <v>73</v>
      </c>
      <c r="M13" s="90">
        <f t="shared" si="2"/>
        <v>156</v>
      </c>
      <c r="N13" s="115"/>
      <c r="O13" s="90">
        <f t="shared" si="12"/>
        <v>4</v>
      </c>
      <c r="P13" s="88">
        <v>45</v>
      </c>
      <c r="Q13" s="115"/>
      <c r="R13" s="90">
        <f t="shared" si="13"/>
        <v>2</v>
      </c>
      <c r="S13" s="88">
        <v>68</v>
      </c>
      <c r="T13" s="115"/>
      <c r="U13" s="90">
        <f t="shared" si="5"/>
        <v>3.5</v>
      </c>
      <c r="V13" s="88">
        <v>85</v>
      </c>
      <c r="W13" s="115"/>
      <c r="X13" s="90">
        <f t="shared" si="6"/>
        <v>5</v>
      </c>
      <c r="Y13" s="88">
        <v>42</v>
      </c>
      <c r="Z13" s="115"/>
      <c r="AA13" s="90">
        <f t="shared" si="14"/>
        <v>5</v>
      </c>
      <c r="AB13" s="88">
        <v>45</v>
      </c>
      <c r="AC13" s="115"/>
      <c r="AD13" s="90">
        <f t="shared" si="15"/>
        <v>5</v>
      </c>
      <c r="AE13" s="90">
        <f t="shared" si="16"/>
        <v>28.5</v>
      </c>
      <c r="AF13" s="93">
        <f t="shared" si="17"/>
        <v>4.0714285714285712</v>
      </c>
      <c r="AG13" s="95" t="str">
        <f t="shared" si="18"/>
        <v>BETTER</v>
      </c>
      <c r="AH13" s="91">
        <f t="shared" si="19"/>
        <v>560</v>
      </c>
      <c r="AI13" s="61"/>
      <c r="AJ13" s="61"/>
    </row>
    <row r="14" spans="1:37" s="62" customFormat="1">
      <c r="A14" s="55">
        <v>8</v>
      </c>
      <c r="B14" s="48">
        <v>13</v>
      </c>
      <c r="C14" s="48" t="s">
        <v>105</v>
      </c>
      <c r="D14" s="48" t="s">
        <v>106</v>
      </c>
      <c r="E14" s="48" t="s">
        <v>107</v>
      </c>
      <c r="F14" s="88">
        <v>73</v>
      </c>
      <c r="G14" s="89">
        <v>45</v>
      </c>
      <c r="H14" s="90">
        <f t="shared" si="0"/>
        <v>118</v>
      </c>
      <c r="I14" s="115"/>
      <c r="J14" s="90">
        <f t="shared" si="11"/>
        <v>4</v>
      </c>
      <c r="K14" s="88">
        <v>74</v>
      </c>
      <c r="L14" s="88">
        <v>56</v>
      </c>
      <c r="M14" s="90">
        <f t="shared" si="2"/>
        <v>130</v>
      </c>
      <c r="N14" s="115"/>
      <c r="O14" s="90">
        <f t="shared" si="12"/>
        <v>3.5</v>
      </c>
      <c r="P14" s="88">
        <v>65</v>
      </c>
      <c r="Q14" s="115"/>
      <c r="R14" s="90">
        <f t="shared" si="13"/>
        <v>3.5</v>
      </c>
      <c r="S14" s="88">
        <v>86</v>
      </c>
      <c r="T14" s="115"/>
      <c r="U14" s="90">
        <f t="shared" si="5"/>
        <v>5</v>
      </c>
      <c r="V14" s="88">
        <v>95</v>
      </c>
      <c r="W14" s="115"/>
      <c r="X14" s="90">
        <f t="shared" si="6"/>
        <v>5</v>
      </c>
      <c r="Y14" s="88">
        <v>46</v>
      </c>
      <c r="Z14" s="115"/>
      <c r="AA14" s="90">
        <f t="shared" si="14"/>
        <v>5</v>
      </c>
      <c r="AB14" s="88">
        <v>49</v>
      </c>
      <c r="AC14" s="115"/>
      <c r="AD14" s="90">
        <f t="shared" si="15"/>
        <v>5</v>
      </c>
      <c r="AE14" s="90">
        <f t="shared" si="16"/>
        <v>31</v>
      </c>
      <c r="AF14" s="93">
        <f t="shared" si="17"/>
        <v>4.4285714285714288</v>
      </c>
      <c r="AG14" s="95" t="str">
        <f t="shared" si="18"/>
        <v>BETTER</v>
      </c>
      <c r="AH14" s="91">
        <f t="shared" si="19"/>
        <v>589</v>
      </c>
      <c r="AI14" s="61"/>
      <c r="AJ14" s="61"/>
    </row>
    <row r="15" spans="1:37" s="62" customFormat="1">
      <c r="A15" s="55">
        <v>9</v>
      </c>
      <c r="B15" s="48">
        <v>14</v>
      </c>
      <c r="C15" s="48" t="s">
        <v>108</v>
      </c>
      <c r="D15" s="48" t="s">
        <v>109</v>
      </c>
      <c r="E15" s="48" t="s">
        <v>110</v>
      </c>
      <c r="F15" s="88">
        <v>74</v>
      </c>
      <c r="G15" s="89">
        <v>46</v>
      </c>
      <c r="H15" s="90">
        <f t="shared" si="0"/>
        <v>120</v>
      </c>
      <c r="I15" s="115"/>
      <c r="J15" s="90">
        <f t="shared" si="11"/>
        <v>5</v>
      </c>
      <c r="K15" s="88">
        <v>88</v>
      </c>
      <c r="L15" s="88">
        <v>81</v>
      </c>
      <c r="M15" s="90">
        <f t="shared" si="2"/>
        <v>169</v>
      </c>
      <c r="N15" s="115"/>
      <c r="O15" s="90">
        <f t="shared" si="12"/>
        <v>5</v>
      </c>
      <c r="P15" s="88">
        <v>44</v>
      </c>
      <c r="Q15" s="115"/>
      <c r="R15" s="90">
        <f t="shared" si="13"/>
        <v>2</v>
      </c>
      <c r="S15" s="88">
        <v>84</v>
      </c>
      <c r="T15" s="115"/>
      <c r="U15" s="90">
        <f t="shared" si="5"/>
        <v>5</v>
      </c>
      <c r="V15" s="88">
        <v>92</v>
      </c>
      <c r="W15" s="115"/>
      <c r="X15" s="90">
        <f t="shared" si="6"/>
        <v>5</v>
      </c>
      <c r="Y15" s="88">
        <v>48</v>
      </c>
      <c r="Z15" s="115"/>
      <c r="AA15" s="90">
        <f t="shared" si="14"/>
        <v>5</v>
      </c>
      <c r="AB15" s="88">
        <v>49</v>
      </c>
      <c r="AC15" s="115"/>
      <c r="AD15" s="90">
        <f t="shared" si="15"/>
        <v>5</v>
      </c>
      <c r="AE15" s="90">
        <f t="shared" si="16"/>
        <v>32</v>
      </c>
      <c r="AF15" s="93">
        <f t="shared" si="17"/>
        <v>4.5714285714285712</v>
      </c>
      <c r="AG15" s="95" t="str">
        <f t="shared" si="18"/>
        <v>BETTER</v>
      </c>
      <c r="AH15" s="91">
        <f t="shared" si="19"/>
        <v>606</v>
      </c>
      <c r="AI15" s="61"/>
      <c r="AJ15" s="61"/>
    </row>
    <row r="16" spans="1:37" s="62" customFormat="1" hidden="1">
      <c r="A16" s="55">
        <v>10</v>
      </c>
      <c r="B16" s="48">
        <v>15</v>
      </c>
      <c r="C16" s="49" t="s">
        <v>111</v>
      </c>
      <c r="D16" s="49" t="s">
        <v>112</v>
      </c>
      <c r="E16" s="49" t="s">
        <v>113</v>
      </c>
      <c r="F16" s="88">
        <v>84</v>
      </c>
      <c r="G16" s="89">
        <v>48</v>
      </c>
      <c r="H16" s="90">
        <f t="shared" si="0"/>
        <v>132</v>
      </c>
      <c r="I16" s="115"/>
      <c r="J16" s="90">
        <f t="shared" si="11"/>
        <v>5</v>
      </c>
      <c r="K16" s="88">
        <v>87</v>
      </c>
      <c r="L16" s="88">
        <v>77</v>
      </c>
      <c r="M16" s="90">
        <f t="shared" si="2"/>
        <v>164</v>
      </c>
      <c r="N16" s="115"/>
      <c r="O16" s="90">
        <f t="shared" si="12"/>
        <v>5</v>
      </c>
      <c r="P16" s="88">
        <v>55</v>
      </c>
      <c r="Q16" s="115"/>
      <c r="R16" s="90">
        <f t="shared" si="13"/>
        <v>3</v>
      </c>
      <c r="S16" s="88">
        <v>85</v>
      </c>
      <c r="T16" s="115"/>
      <c r="U16" s="90">
        <f t="shared" si="5"/>
        <v>5</v>
      </c>
      <c r="V16" s="88">
        <v>88</v>
      </c>
      <c r="W16" s="115"/>
      <c r="X16" s="90">
        <f t="shared" si="6"/>
        <v>5</v>
      </c>
      <c r="Y16" s="88">
        <v>41</v>
      </c>
      <c r="Z16" s="115"/>
      <c r="AA16" s="90">
        <f t="shared" si="14"/>
        <v>5</v>
      </c>
      <c r="AB16" s="88">
        <v>49</v>
      </c>
      <c r="AC16" s="115"/>
      <c r="AD16" s="90">
        <f t="shared" si="15"/>
        <v>5</v>
      </c>
      <c r="AE16" s="90">
        <f t="shared" si="16"/>
        <v>33</v>
      </c>
      <c r="AF16" s="93">
        <f t="shared" si="17"/>
        <v>4.7142857142857144</v>
      </c>
      <c r="AG16" s="95" t="str">
        <f t="shared" si="18"/>
        <v>BETTER</v>
      </c>
      <c r="AH16" s="91">
        <f t="shared" si="19"/>
        <v>614</v>
      </c>
      <c r="AI16" s="61"/>
      <c r="AJ16" s="61"/>
    </row>
    <row r="17" spans="1:36" s="62" customFormat="1">
      <c r="A17" s="55">
        <v>11</v>
      </c>
      <c r="B17" s="48">
        <v>29</v>
      </c>
      <c r="C17" s="48" t="s">
        <v>114</v>
      </c>
      <c r="D17" s="48" t="s">
        <v>115</v>
      </c>
      <c r="E17" s="48" t="s">
        <v>116</v>
      </c>
      <c r="F17" s="88">
        <v>71</v>
      </c>
      <c r="G17" s="89">
        <v>41</v>
      </c>
      <c r="H17" s="90">
        <f t="shared" si="0"/>
        <v>112</v>
      </c>
      <c r="I17" s="115"/>
      <c r="J17" s="90">
        <f t="shared" si="11"/>
        <v>4</v>
      </c>
      <c r="K17" s="88">
        <v>60</v>
      </c>
      <c r="L17" s="88">
        <v>45</v>
      </c>
      <c r="M17" s="90">
        <f t="shared" si="2"/>
        <v>105</v>
      </c>
      <c r="N17" s="115"/>
      <c r="O17" s="90">
        <f t="shared" si="12"/>
        <v>3</v>
      </c>
      <c r="P17" s="88">
        <v>53</v>
      </c>
      <c r="Q17" s="115"/>
      <c r="R17" s="90">
        <f t="shared" si="13"/>
        <v>3</v>
      </c>
      <c r="S17" s="88">
        <v>63</v>
      </c>
      <c r="T17" s="115"/>
      <c r="U17" s="90">
        <f t="shared" si="5"/>
        <v>3.5</v>
      </c>
      <c r="V17" s="88">
        <v>80</v>
      </c>
      <c r="W17" s="115"/>
      <c r="X17" s="90">
        <f t="shared" si="6"/>
        <v>5</v>
      </c>
      <c r="Y17" s="88">
        <v>41</v>
      </c>
      <c r="Z17" s="115"/>
      <c r="AA17" s="90">
        <f t="shared" si="14"/>
        <v>5</v>
      </c>
      <c r="AB17" s="88">
        <v>40</v>
      </c>
      <c r="AC17" s="115"/>
      <c r="AD17" s="90">
        <f t="shared" si="15"/>
        <v>5</v>
      </c>
      <c r="AE17" s="90">
        <f t="shared" si="16"/>
        <v>28.5</v>
      </c>
      <c r="AF17" s="93">
        <f t="shared" si="17"/>
        <v>4.0714285714285712</v>
      </c>
      <c r="AG17" s="95" t="str">
        <f t="shared" si="18"/>
        <v>BETTER</v>
      </c>
      <c r="AH17" s="91">
        <f t="shared" si="19"/>
        <v>494</v>
      </c>
      <c r="AI17" s="61"/>
      <c r="AJ17" s="61"/>
    </row>
    <row r="18" spans="1:36" s="62" customFormat="1">
      <c r="A18" s="55">
        <v>12</v>
      </c>
      <c r="B18" s="48">
        <v>43</v>
      </c>
      <c r="C18" s="48" t="s">
        <v>117</v>
      </c>
      <c r="D18" s="48" t="s">
        <v>118</v>
      </c>
      <c r="E18" s="48" t="s">
        <v>119</v>
      </c>
      <c r="F18" s="88">
        <v>71</v>
      </c>
      <c r="G18" s="89">
        <v>48</v>
      </c>
      <c r="H18" s="90">
        <f t="shared" si="0"/>
        <v>119</v>
      </c>
      <c r="I18" s="115"/>
      <c r="J18" s="90">
        <f t="shared" si="11"/>
        <v>4</v>
      </c>
      <c r="K18" s="88">
        <v>77</v>
      </c>
      <c r="L18" s="88">
        <v>65</v>
      </c>
      <c r="M18" s="90">
        <f t="shared" si="2"/>
        <v>142</v>
      </c>
      <c r="N18" s="115"/>
      <c r="O18" s="90">
        <f t="shared" si="12"/>
        <v>4</v>
      </c>
      <c r="P18" s="88">
        <v>43</v>
      </c>
      <c r="Q18" s="115"/>
      <c r="R18" s="90">
        <f t="shared" si="13"/>
        <v>2</v>
      </c>
      <c r="S18" s="88">
        <v>87</v>
      </c>
      <c r="T18" s="115"/>
      <c r="U18" s="90">
        <f t="shared" si="5"/>
        <v>5</v>
      </c>
      <c r="V18" s="88">
        <v>86</v>
      </c>
      <c r="W18" s="115"/>
      <c r="X18" s="90">
        <f t="shared" si="6"/>
        <v>5</v>
      </c>
      <c r="Y18" s="88">
        <v>43</v>
      </c>
      <c r="Z18" s="115"/>
      <c r="AA18" s="90">
        <f t="shared" si="14"/>
        <v>5</v>
      </c>
      <c r="AB18" s="88">
        <v>47</v>
      </c>
      <c r="AC18" s="115"/>
      <c r="AD18" s="90">
        <f t="shared" si="15"/>
        <v>5</v>
      </c>
      <c r="AE18" s="90">
        <f t="shared" si="16"/>
        <v>30</v>
      </c>
      <c r="AF18" s="93">
        <f t="shared" si="17"/>
        <v>4.2857142857142856</v>
      </c>
      <c r="AG18" s="95" t="str">
        <f t="shared" si="18"/>
        <v>BETTER</v>
      </c>
      <c r="AH18" s="91">
        <f t="shared" si="19"/>
        <v>567</v>
      </c>
      <c r="AI18" s="61"/>
      <c r="AJ18" s="61"/>
    </row>
    <row r="19" spans="1:36" s="62" customFormat="1">
      <c r="A19" s="55">
        <v>13</v>
      </c>
      <c r="B19" s="49">
        <v>51</v>
      </c>
      <c r="C19" s="49" t="s">
        <v>120</v>
      </c>
      <c r="D19" s="49" t="s">
        <v>121</v>
      </c>
      <c r="E19" s="49" t="s">
        <v>122</v>
      </c>
      <c r="F19" s="88">
        <v>72</v>
      </c>
      <c r="G19" s="89">
        <v>46</v>
      </c>
      <c r="H19" s="90">
        <f t="shared" si="0"/>
        <v>118</v>
      </c>
      <c r="I19" s="115"/>
      <c r="J19" s="90">
        <f t="shared" si="11"/>
        <v>4</v>
      </c>
      <c r="K19" s="88">
        <v>80</v>
      </c>
      <c r="L19" s="88">
        <v>67</v>
      </c>
      <c r="M19" s="90">
        <f t="shared" si="2"/>
        <v>147</v>
      </c>
      <c r="N19" s="115"/>
      <c r="O19" s="90">
        <f t="shared" si="12"/>
        <v>4</v>
      </c>
      <c r="P19" s="88">
        <v>77</v>
      </c>
      <c r="Q19" s="115"/>
      <c r="R19" s="90">
        <f t="shared" si="13"/>
        <v>4</v>
      </c>
      <c r="S19" s="88">
        <v>80</v>
      </c>
      <c r="T19" s="115"/>
      <c r="U19" s="90">
        <f t="shared" si="5"/>
        <v>5</v>
      </c>
      <c r="V19" s="88">
        <v>85</v>
      </c>
      <c r="W19" s="115"/>
      <c r="X19" s="90">
        <f t="shared" si="6"/>
        <v>5</v>
      </c>
      <c r="Y19" s="88">
        <v>45</v>
      </c>
      <c r="Z19" s="115"/>
      <c r="AA19" s="90">
        <f t="shared" si="14"/>
        <v>5</v>
      </c>
      <c r="AB19" s="88">
        <v>43</v>
      </c>
      <c r="AC19" s="115"/>
      <c r="AD19" s="90">
        <f t="shared" si="15"/>
        <v>5</v>
      </c>
      <c r="AE19" s="90">
        <f t="shared" si="16"/>
        <v>32</v>
      </c>
      <c r="AF19" s="93">
        <f t="shared" si="17"/>
        <v>4.5714285714285712</v>
      </c>
      <c r="AG19" s="95" t="str">
        <f t="shared" si="18"/>
        <v>BETTER</v>
      </c>
      <c r="AH19" s="91">
        <f t="shared" si="19"/>
        <v>595</v>
      </c>
      <c r="AI19" s="61"/>
      <c r="AJ19" s="61"/>
    </row>
    <row r="20" spans="1:36" s="62" customFormat="1">
      <c r="A20" s="55">
        <v>14</v>
      </c>
      <c r="B20" s="49">
        <v>54</v>
      </c>
      <c r="C20" s="49" t="s">
        <v>123</v>
      </c>
      <c r="D20" s="49" t="s">
        <v>124</v>
      </c>
      <c r="E20" s="49" t="s">
        <v>125</v>
      </c>
      <c r="F20" s="88">
        <v>78</v>
      </c>
      <c r="G20" s="89">
        <v>45</v>
      </c>
      <c r="H20" s="90">
        <f t="shared" si="0"/>
        <v>123</v>
      </c>
      <c r="I20" s="115"/>
      <c r="J20" s="90">
        <f t="shared" si="11"/>
        <v>5</v>
      </c>
      <c r="K20" s="88">
        <v>76</v>
      </c>
      <c r="L20" s="88">
        <v>51</v>
      </c>
      <c r="M20" s="90">
        <f t="shared" si="2"/>
        <v>127</v>
      </c>
      <c r="N20" s="115"/>
      <c r="O20" s="90">
        <f t="shared" si="12"/>
        <v>3.5</v>
      </c>
      <c r="P20" s="88">
        <v>33</v>
      </c>
      <c r="Q20" s="115"/>
      <c r="R20" s="90" t="str">
        <f t="shared" si="13"/>
        <v>F</v>
      </c>
      <c r="S20" s="88">
        <v>76</v>
      </c>
      <c r="T20" s="115"/>
      <c r="U20" s="90">
        <f t="shared" si="5"/>
        <v>4</v>
      </c>
      <c r="V20" s="88">
        <v>89</v>
      </c>
      <c r="W20" s="115"/>
      <c r="X20" s="90">
        <f t="shared" si="6"/>
        <v>5</v>
      </c>
      <c r="Y20" s="88">
        <v>41</v>
      </c>
      <c r="Z20" s="115"/>
      <c r="AA20" s="90">
        <f t="shared" si="14"/>
        <v>5</v>
      </c>
      <c r="AB20" s="88">
        <v>45</v>
      </c>
      <c r="AC20" s="115"/>
      <c r="AD20" s="90">
        <f t="shared" si="15"/>
        <v>5</v>
      </c>
      <c r="AE20" s="90" t="str">
        <f t="shared" si="16"/>
        <v>F</v>
      </c>
      <c r="AF20" s="93" t="str">
        <f t="shared" si="17"/>
        <v>F</v>
      </c>
      <c r="AG20" s="95" t="str">
        <f t="shared" si="18"/>
        <v>NEED TO PROGRESS</v>
      </c>
      <c r="AH20" s="91">
        <f t="shared" si="19"/>
        <v>534</v>
      </c>
      <c r="AI20" s="61"/>
      <c r="AJ20" s="61"/>
    </row>
    <row r="21" spans="1:36" s="62" customFormat="1">
      <c r="A21" s="55">
        <v>15</v>
      </c>
      <c r="B21" s="49">
        <v>56</v>
      </c>
      <c r="C21" s="49" t="s">
        <v>126</v>
      </c>
      <c r="D21" s="49" t="s">
        <v>127</v>
      </c>
      <c r="E21" s="49" t="s">
        <v>128</v>
      </c>
      <c r="F21" s="88">
        <v>78</v>
      </c>
      <c r="G21" s="89">
        <v>44</v>
      </c>
      <c r="H21" s="90">
        <f t="shared" si="0"/>
        <v>122</v>
      </c>
      <c r="I21" s="115"/>
      <c r="J21" s="90">
        <f t="shared" si="11"/>
        <v>5</v>
      </c>
      <c r="K21" s="88">
        <v>64</v>
      </c>
      <c r="L21" s="88">
        <v>48</v>
      </c>
      <c r="M21" s="90">
        <f t="shared" si="2"/>
        <v>112</v>
      </c>
      <c r="N21" s="115"/>
      <c r="O21" s="90">
        <f t="shared" si="12"/>
        <v>3</v>
      </c>
      <c r="P21" s="88">
        <v>50</v>
      </c>
      <c r="Q21" s="115"/>
      <c r="R21" s="90">
        <f t="shared" si="13"/>
        <v>3</v>
      </c>
      <c r="S21" s="88">
        <v>77</v>
      </c>
      <c r="T21" s="115"/>
      <c r="U21" s="90">
        <f t="shared" si="5"/>
        <v>4</v>
      </c>
      <c r="V21" s="88">
        <v>76</v>
      </c>
      <c r="W21" s="115"/>
      <c r="X21" s="90">
        <f t="shared" si="6"/>
        <v>4</v>
      </c>
      <c r="Y21" s="88">
        <v>45</v>
      </c>
      <c r="Z21" s="115"/>
      <c r="AA21" s="90">
        <f t="shared" si="14"/>
        <v>5</v>
      </c>
      <c r="AB21" s="88">
        <v>48</v>
      </c>
      <c r="AC21" s="115"/>
      <c r="AD21" s="90">
        <f t="shared" si="15"/>
        <v>5</v>
      </c>
      <c r="AE21" s="90">
        <f t="shared" si="16"/>
        <v>29</v>
      </c>
      <c r="AF21" s="93">
        <f t="shared" si="17"/>
        <v>4.1428571428571432</v>
      </c>
      <c r="AG21" s="95" t="str">
        <f t="shared" si="18"/>
        <v>BETTER</v>
      </c>
      <c r="AH21" s="91">
        <f t="shared" si="19"/>
        <v>530</v>
      </c>
      <c r="AI21" s="61"/>
      <c r="AJ21" s="61"/>
    </row>
    <row r="22" spans="1:36" s="62" customFormat="1">
      <c r="A22" s="55">
        <v>16</v>
      </c>
      <c r="B22" s="49">
        <v>63</v>
      </c>
      <c r="C22" s="49" t="s">
        <v>129</v>
      </c>
      <c r="D22" s="49" t="s">
        <v>130</v>
      </c>
      <c r="E22" s="49" t="s">
        <v>131</v>
      </c>
      <c r="F22" s="88">
        <v>78</v>
      </c>
      <c r="G22" s="89">
        <v>45</v>
      </c>
      <c r="H22" s="90">
        <f t="shared" si="0"/>
        <v>123</v>
      </c>
      <c r="I22" s="115"/>
      <c r="J22" s="90">
        <f t="shared" si="11"/>
        <v>5</v>
      </c>
      <c r="K22" s="88">
        <v>80</v>
      </c>
      <c r="L22" s="88">
        <v>73</v>
      </c>
      <c r="M22" s="90">
        <f t="shared" si="2"/>
        <v>153</v>
      </c>
      <c r="N22" s="115"/>
      <c r="O22" s="90">
        <f t="shared" si="12"/>
        <v>4</v>
      </c>
      <c r="P22" s="88">
        <v>61</v>
      </c>
      <c r="Q22" s="115"/>
      <c r="R22" s="90">
        <f t="shared" si="13"/>
        <v>3.5</v>
      </c>
      <c r="S22" s="88">
        <v>87</v>
      </c>
      <c r="T22" s="115"/>
      <c r="U22" s="90">
        <f t="shared" si="5"/>
        <v>5</v>
      </c>
      <c r="V22" s="88">
        <v>89</v>
      </c>
      <c r="W22" s="115"/>
      <c r="X22" s="90">
        <f t="shared" si="6"/>
        <v>5</v>
      </c>
      <c r="Y22" s="88">
        <v>43</v>
      </c>
      <c r="Z22" s="115"/>
      <c r="AA22" s="90">
        <f t="shared" si="14"/>
        <v>5</v>
      </c>
      <c r="AB22" s="88">
        <v>49</v>
      </c>
      <c r="AC22" s="115"/>
      <c r="AD22" s="90">
        <f t="shared" si="15"/>
        <v>5</v>
      </c>
      <c r="AE22" s="90">
        <f t="shared" si="16"/>
        <v>32.5</v>
      </c>
      <c r="AF22" s="93">
        <f t="shared" si="17"/>
        <v>4.6428571428571432</v>
      </c>
      <c r="AG22" s="95" t="str">
        <f t="shared" si="18"/>
        <v>BETTER</v>
      </c>
      <c r="AH22" s="91">
        <f t="shared" si="19"/>
        <v>605</v>
      </c>
      <c r="AI22" s="61"/>
      <c r="AJ22" s="61"/>
    </row>
    <row r="23" spans="1:36" s="62" customFormat="1">
      <c r="A23" s="55">
        <v>17</v>
      </c>
      <c r="B23" s="49">
        <v>67</v>
      </c>
      <c r="C23" s="49" t="s">
        <v>132</v>
      </c>
      <c r="D23" s="49" t="s">
        <v>133</v>
      </c>
      <c r="E23" s="49" t="s">
        <v>134</v>
      </c>
      <c r="F23" s="88">
        <v>83</v>
      </c>
      <c r="G23" s="89">
        <v>42</v>
      </c>
      <c r="H23" s="90">
        <f t="shared" si="0"/>
        <v>125</v>
      </c>
      <c r="I23" s="115"/>
      <c r="J23" s="90">
        <f t="shared" si="11"/>
        <v>5</v>
      </c>
      <c r="K23" s="88">
        <v>73</v>
      </c>
      <c r="L23" s="88">
        <v>56</v>
      </c>
      <c r="M23" s="90">
        <f t="shared" si="2"/>
        <v>129</v>
      </c>
      <c r="N23" s="115"/>
      <c r="O23" s="90">
        <f t="shared" si="12"/>
        <v>3.5</v>
      </c>
      <c r="P23" s="88">
        <v>42</v>
      </c>
      <c r="Q23" s="115"/>
      <c r="R23" s="90">
        <f t="shared" si="13"/>
        <v>2</v>
      </c>
      <c r="S23" s="88">
        <v>80</v>
      </c>
      <c r="T23" s="115"/>
      <c r="U23" s="90">
        <f t="shared" si="5"/>
        <v>5</v>
      </c>
      <c r="V23" s="88">
        <v>89</v>
      </c>
      <c r="W23" s="115"/>
      <c r="X23" s="90">
        <f t="shared" si="6"/>
        <v>5</v>
      </c>
      <c r="Y23" s="88">
        <v>46</v>
      </c>
      <c r="Z23" s="115"/>
      <c r="AA23" s="90">
        <f t="shared" si="14"/>
        <v>5</v>
      </c>
      <c r="AB23" s="88">
        <v>48</v>
      </c>
      <c r="AC23" s="115"/>
      <c r="AD23" s="90">
        <f t="shared" si="15"/>
        <v>5</v>
      </c>
      <c r="AE23" s="90">
        <f t="shared" si="16"/>
        <v>30.5</v>
      </c>
      <c r="AF23" s="93">
        <f t="shared" si="17"/>
        <v>4.3571428571428568</v>
      </c>
      <c r="AG23" s="95" t="str">
        <f t="shared" si="18"/>
        <v>BETTER</v>
      </c>
      <c r="AH23" s="91">
        <f t="shared" si="19"/>
        <v>559</v>
      </c>
      <c r="AI23" s="61"/>
      <c r="AJ23" s="61"/>
    </row>
    <row r="24" spans="1:36" s="62" customFormat="1">
      <c r="A24" s="55">
        <v>18</v>
      </c>
      <c r="B24" s="49">
        <v>74</v>
      </c>
      <c r="C24" s="49" t="s">
        <v>135</v>
      </c>
      <c r="D24" s="49" t="s">
        <v>136</v>
      </c>
      <c r="E24" s="49" t="s">
        <v>137</v>
      </c>
      <c r="F24" s="88">
        <v>85</v>
      </c>
      <c r="G24" s="89">
        <v>48</v>
      </c>
      <c r="H24" s="90">
        <f t="shared" si="0"/>
        <v>133</v>
      </c>
      <c r="I24" s="115"/>
      <c r="J24" s="90">
        <f t="shared" si="11"/>
        <v>5</v>
      </c>
      <c r="K24" s="88">
        <v>86</v>
      </c>
      <c r="L24" s="88">
        <v>74</v>
      </c>
      <c r="M24" s="90">
        <f t="shared" si="2"/>
        <v>160</v>
      </c>
      <c r="N24" s="115"/>
      <c r="O24" s="90">
        <f t="shared" si="12"/>
        <v>5</v>
      </c>
      <c r="P24" s="88">
        <v>94</v>
      </c>
      <c r="Q24" s="115"/>
      <c r="R24" s="90">
        <f t="shared" si="13"/>
        <v>5</v>
      </c>
      <c r="S24" s="88">
        <v>98</v>
      </c>
      <c r="T24" s="115"/>
      <c r="U24" s="90">
        <f t="shared" si="5"/>
        <v>5</v>
      </c>
      <c r="V24" s="88">
        <v>98</v>
      </c>
      <c r="W24" s="115"/>
      <c r="X24" s="90">
        <f t="shared" si="6"/>
        <v>5</v>
      </c>
      <c r="Y24" s="88">
        <v>50</v>
      </c>
      <c r="Z24" s="115"/>
      <c r="AA24" s="90">
        <f t="shared" si="14"/>
        <v>5</v>
      </c>
      <c r="AB24" s="88">
        <v>50</v>
      </c>
      <c r="AC24" s="115"/>
      <c r="AD24" s="90">
        <f t="shared" si="15"/>
        <v>5</v>
      </c>
      <c r="AE24" s="90">
        <f t="shared" si="16"/>
        <v>35</v>
      </c>
      <c r="AF24" s="93">
        <f t="shared" si="17"/>
        <v>5</v>
      </c>
      <c r="AG24" s="95" t="str">
        <f t="shared" si="18"/>
        <v>BEST</v>
      </c>
      <c r="AH24" s="91">
        <f t="shared" si="19"/>
        <v>683</v>
      </c>
      <c r="AI24" s="61"/>
      <c r="AJ24" s="61"/>
    </row>
    <row r="25" spans="1:36" s="62" customFormat="1">
      <c r="A25" s="55">
        <v>19</v>
      </c>
      <c r="B25" s="49">
        <v>75</v>
      </c>
      <c r="C25" s="49" t="s">
        <v>138</v>
      </c>
      <c r="D25" s="49" t="s">
        <v>139</v>
      </c>
      <c r="E25" s="49" t="s">
        <v>140</v>
      </c>
      <c r="F25" s="88">
        <v>90</v>
      </c>
      <c r="G25" s="89">
        <v>46</v>
      </c>
      <c r="H25" s="90">
        <f t="shared" si="0"/>
        <v>136</v>
      </c>
      <c r="I25" s="115"/>
      <c r="J25" s="90">
        <f t="shared" si="11"/>
        <v>5</v>
      </c>
      <c r="K25" s="88">
        <v>74</v>
      </c>
      <c r="L25" s="88">
        <v>68</v>
      </c>
      <c r="M25" s="90">
        <f t="shared" si="2"/>
        <v>142</v>
      </c>
      <c r="N25" s="115"/>
      <c r="O25" s="90">
        <f t="shared" si="12"/>
        <v>4</v>
      </c>
      <c r="P25" s="88">
        <v>68</v>
      </c>
      <c r="Q25" s="115"/>
      <c r="R25" s="90">
        <f t="shared" si="13"/>
        <v>3.5</v>
      </c>
      <c r="S25" s="88">
        <v>95</v>
      </c>
      <c r="T25" s="115"/>
      <c r="U25" s="90">
        <f t="shared" si="5"/>
        <v>5</v>
      </c>
      <c r="V25" s="88">
        <v>98</v>
      </c>
      <c r="W25" s="115"/>
      <c r="X25" s="90">
        <f t="shared" si="6"/>
        <v>5</v>
      </c>
      <c r="Y25" s="88">
        <v>50</v>
      </c>
      <c r="Z25" s="115"/>
      <c r="AA25" s="90">
        <f t="shared" si="14"/>
        <v>5</v>
      </c>
      <c r="AB25" s="88">
        <v>49</v>
      </c>
      <c r="AC25" s="115"/>
      <c r="AD25" s="90">
        <f t="shared" si="15"/>
        <v>5</v>
      </c>
      <c r="AE25" s="90">
        <f t="shared" si="16"/>
        <v>32.5</v>
      </c>
      <c r="AF25" s="93">
        <f t="shared" si="17"/>
        <v>4.6428571428571432</v>
      </c>
      <c r="AG25" s="95" t="str">
        <f t="shared" si="18"/>
        <v>BETTER</v>
      </c>
      <c r="AH25" s="91">
        <f t="shared" si="19"/>
        <v>638</v>
      </c>
      <c r="AI25" s="61"/>
      <c r="AJ25" s="61"/>
    </row>
    <row r="26" spans="1:36" s="62" customFormat="1">
      <c r="A26" s="55">
        <v>20</v>
      </c>
      <c r="B26" s="49">
        <v>79</v>
      </c>
      <c r="C26" s="49" t="s">
        <v>141</v>
      </c>
      <c r="D26" s="49" t="s">
        <v>142</v>
      </c>
      <c r="E26" s="49" t="s">
        <v>143</v>
      </c>
      <c r="F26" s="88">
        <v>85</v>
      </c>
      <c r="G26" s="89">
        <v>47</v>
      </c>
      <c r="H26" s="90">
        <f t="shared" si="0"/>
        <v>132</v>
      </c>
      <c r="I26" s="115"/>
      <c r="J26" s="90">
        <f t="shared" si="11"/>
        <v>5</v>
      </c>
      <c r="K26" s="88">
        <v>86</v>
      </c>
      <c r="L26" s="88">
        <v>75</v>
      </c>
      <c r="M26" s="90">
        <f t="shared" si="2"/>
        <v>161</v>
      </c>
      <c r="N26" s="115"/>
      <c r="O26" s="90">
        <f t="shared" si="12"/>
        <v>5</v>
      </c>
      <c r="P26" s="88">
        <v>88</v>
      </c>
      <c r="Q26" s="115"/>
      <c r="R26" s="90">
        <f t="shared" si="13"/>
        <v>5</v>
      </c>
      <c r="S26" s="88">
        <v>98</v>
      </c>
      <c r="T26" s="115"/>
      <c r="U26" s="90">
        <f t="shared" si="5"/>
        <v>5</v>
      </c>
      <c r="V26" s="88">
        <v>95</v>
      </c>
      <c r="W26" s="115"/>
      <c r="X26" s="90">
        <f t="shared" si="6"/>
        <v>5</v>
      </c>
      <c r="Y26" s="88">
        <v>46</v>
      </c>
      <c r="Z26" s="115"/>
      <c r="AA26" s="90">
        <f t="shared" si="14"/>
        <v>5</v>
      </c>
      <c r="AB26" s="88">
        <v>49</v>
      </c>
      <c r="AC26" s="115"/>
      <c r="AD26" s="90">
        <f t="shared" si="15"/>
        <v>5</v>
      </c>
      <c r="AE26" s="90">
        <f t="shared" si="16"/>
        <v>35</v>
      </c>
      <c r="AF26" s="93">
        <f t="shared" si="17"/>
        <v>5</v>
      </c>
      <c r="AG26" s="95" t="str">
        <f t="shared" si="18"/>
        <v>BEST</v>
      </c>
      <c r="AH26" s="91">
        <f t="shared" si="19"/>
        <v>669</v>
      </c>
      <c r="AI26" s="61"/>
      <c r="AJ26" s="61"/>
    </row>
    <row r="27" spans="1:36" s="62" customFormat="1">
      <c r="A27" s="55">
        <v>21</v>
      </c>
      <c r="B27" s="49">
        <v>87</v>
      </c>
      <c r="C27" s="49" t="s">
        <v>144</v>
      </c>
      <c r="D27" s="49" t="s">
        <v>145</v>
      </c>
      <c r="E27" s="49" t="s">
        <v>146</v>
      </c>
      <c r="F27" s="88">
        <v>92</v>
      </c>
      <c r="G27" s="89">
        <v>24</v>
      </c>
      <c r="H27" s="90">
        <f t="shared" si="0"/>
        <v>116</v>
      </c>
      <c r="I27" s="115"/>
      <c r="J27" s="90">
        <f t="shared" si="11"/>
        <v>4</v>
      </c>
      <c r="K27" s="88">
        <v>43</v>
      </c>
      <c r="L27" s="88">
        <v>11</v>
      </c>
      <c r="M27" s="90">
        <f t="shared" si="2"/>
        <v>54</v>
      </c>
      <c r="N27" s="115"/>
      <c r="O27" s="90" t="str">
        <f t="shared" si="12"/>
        <v>F</v>
      </c>
      <c r="P27" s="88">
        <v>25</v>
      </c>
      <c r="Q27" s="115"/>
      <c r="R27" s="90" t="str">
        <f t="shared" si="13"/>
        <v>F</v>
      </c>
      <c r="S27" s="88">
        <v>26</v>
      </c>
      <c r="T27" s="115"/>
      <c r="U27" s="90" t="str">
        <f t="shared" si="5"/>
        <v>F</v>
      </c>
      <c r="V27" s="88">
        <v>41</v>
      </c>
      <c r="W27" s="115"/>
      <c r="X27" s="90">
        <f t="shared" si="6"/>
        <v>2</v>
      </c>
      <c r="Y27" s="88">
        <v>25</v>
      </c>
      <c r="Z27" s="115"/>
      <c r="AA27" s="90">
        <f t="shared" si="14"/>
        <v>3</v>
      </c>
      <c r="AB27" s="88">
        <v>21</v>
      </c>
      <c r="AC27" s="115"/>
      <c r="AD27" s="90">
        <f t="shared" si="15"/>
        <v>2</v>
      </c>
      <c r="AE27" s="90" t="str">
        <f t="shared" si="16"/>
        <v>F</v>
      </c>
      <c r="AF27" s="93" t="str">
        <f t="shared" si="17"/>
        <v>F</v>
      </c>
      <c r="AG27" s="95" t="str">
        <f t="shared" si="18"/>
        <v>NEED TO PROGRESS</v>
      </c>
      <c r="AH27" s="91">
        <f t="shared" si="19"/>
        <v>308</v>
      </c>
      <c r="AI27" s="61"/>
      <c r="AJ27" s="61"/>
    </row>
    <row r="28" spans="1:36" s="62" customFormat="1">
      <c r="A28" s="55">
        <v>22</v>
      </c>
      <c r="B28" s="48">
        <v>90</v>
      </c>
      <c r="C28" s="49" t="s">
        <v>147</v>
      </c>
      <c r="D28" s="49" t="s">
        <v>148</v>
      </c>
      <c r="E28" s="49" t="s">
        <v>149</v>
      </c>
      <c r="F28" s="88">
        <v>75</v>
      </c>
      <c r="G28" s="89">
        <v>44</v>
      </c>
      <c r="H28" s="90">
        <f t="shared" si="0"/>
        <v>119</v>
      </c>
      <c r="I28" s="115"/>
      <c r="J28" s="90">
        <f t="shared" si="11"/>
        <v>4</v>
      </c>
      <c r="K28" s="88">
        <v>74</v>
      </c>
      <c r="L28" s="88">
        <v>62</v>
      </c>
      <c r="M28" s="90">
        <f t="shared" si="2"/>
        <v>136</v>
      </c>
      <c r="N28" s="115"/>
      <c r="O28" s="90">
        <f t="shared" si="12"/>
        <v>3.5</v>
      </c>
      <c r="P28" s="88">
        <v>70</v>
      </c>
      <c r="Q28" s="115"/>
      <c r="R28" s="90">
        <f t="shared" si="13"/>
        <v>4</v>
      </c>
      <c r="S28" s="88">
        <v>75</v>
      </c>
      <c r="T28" s="115"/>
      <c r="U28" s="90">
        <f t="shared" si="5"/>
        <v>4</v>
      </c>
      <c r="V28" s="88">
        <v>74</v>
      </c>
      <c r="W28" s="115"/>
      <c r="X28" s="90">
        <f t="shared" si="6"/>
        <v>4</v>
      </c>
      <c r="Y28" s="88">
        <v>40</v>
      </c>
      <c r="Z28" s="115"/>
      <c r="AA28" s="90">
        <f t="shared" si="14"/>
        <v>5</v>
      </c>
      <c r="AB28" s="88">
        <v>45</v>
      </c>
      <c r="AC28" s="115"/>
      <c r="AD28" s="90">
        <f t="shared" si="15"/>
        <v>5</v>
      </c>
      <c r="AE28" s="90">
        <f t="shared" si="16"/>
        <v>29.5</v>
      </c>
      <c r="AF28" s="93">
        <f t="shared" si="17"/>
        <v>4.2142857142857144</v>
      </c>
      <c r="AG28" s="95" t="str">
        <f t="shared" si="18"/>
        <v>BETTER</v>
      </c>
      <c r="AH28" s="91">
        <f t="shared" si="19"/>
        <v>559</v>
      </c>
      <c r="AI28" s="61"/>
      <c r="AJ28" s="61"/>
    </row>
    <row r="29" spans="1:36" s="62" customFormat="1">
      <c r="A29" s="55">
        <v>23</v>
      </c>
      <c r="B29" s="48">
        <v>91</v>
      </c>
      <c r="C29" s="49" t="s">
        <v>150</v>
      </c>
      <c r="D29" s="49" t="s">
        <v>151</v>
      </c>
      <c r="E29" s="49" t="s">
        <v>152</v>
      </c>
      <c r="F29" s="88">
        <v>40</v>
      </c>
      <c r="G29" s="89">
        <v>28</v>
      </c>
      <c r="H29" s="90">
        <f t="shared" si="0"/>
        <v>68</v>
      </c>
      <c r="I29" s="115"/>
      <c r="J29" s="90">
        <f t="shared" si="11"/>
        <v>2</v>
      </c>
      <c r="K29" s="88">
        <v>76</v>
      </c>
      <c r="L29" s="88">
        <v>57</v>
      </c>
      <c r="M29" s="90">
        <f t="shared" si="2"/>
        <v>133</v>
      </c>
      <c r="N29" s="115"/>
      <c r="O29" s="90">
        <f t="shared" si="12"/>
        <v>3.5</v>
      </c>
      <c r="P29" s="88">
        <v>23</v>
      </c>
      <c r="Q29" s="115"/>
      <c r="R29" s="90" t="str">
        <f t="shared" si="13"/>
        <v>F</v>
      </c>
      <c r="S29" s="88">
        <v>49</v>
      </c>
      <c r="T29" s="115"/>
      <c r="U29" s="90">
        <f t="shared" si="5"/>
        <v>2</v>
      </c>
      <c r="V29" s="88">
        <v>28</v>
      </c>
      <c r="W29" s="115"/>
      <c r="X29" s="90" t="str">
        <f t="shared" si="6"/>
        <v>F</v>
      </c>
      <c r="Y29" s="88">
        <v>22</v>
      </c>
      <c r="Z29" s="115"/>
      <c r="AA29" s="90">
        <f t="shared" si="14"/>
        <v>2</v>
      </c>
      <c r="AB29" s="88">
        <v>20</v>
      </c>
      <c r="AC29" s="115"/>
      <c r="AD29" s="90">
        <f t="shared" si="15"/>
        <v>2</v>
      </c>
      <c r="AE29" s="90" t="str">
        <f t="shared" si="16"/>
        <v>F</v>
      </c>
      <c r="AF29" s="93" t="str">
        <f t="shared" si="17"/>
        <v>F</v>
      </c>
      <c r="AG29" s="95" t="str">
        <f t="shared" si="18"/>
        <v>NEED TO PROGRESS</v>
      </c>
      <c r="AH29" s="91">
        <f t="shared" si="19"/>
        <v>343</v>
      </c>
      <c r="AI29" s="61"/>
      <c r="AJ29" s="61"/>
    </row>
    <row r="30" spans="1:36" s="62" customFormat="1">
      <c r="A30" s="55">
        <v>24</v>
      </c>
      <c r="B30" s="48">
        <v>11</v>
      </c>
      <c r="C30" s="49" t="s">
        <v>153</v>
      </c>
      <c r="D30" s="49" t="s">
        <v>154</v>
      </c>
      <c r="E30" s="49" t="s">
        <v>155</v>
      </c>
      <c r="F30" s="88">
        <v>81</v>
      </c>
      <c r="G30" s="89">
        <v>46</v>
      </c>
      <c r="H30" s="90">
        <f t="shared" si="0"/>
        <v>127</v>
      </c>
      <c r="I30" s="115"/>
      <c r="J30" s="90">
        <f t="shared" si="11"/>
        <v>5</v>
      </c>
      <c r="K30" s="88">
        <v>87</v>
      </c>
      <c r="L30" s="88">
        <v>65</v>
      </c>
      <c r="M30" s="90">
        <f t="shared" si="2"/>
        <v>152</v>
      </c>
      <c r="N30" s="115"/>
      <c r="O30" s="90">
        <f t="shared" si="12"/>
        <v>4</v>
      </c>
      <c r="P30" s="88">
        <v>55</v>
      </c>
      <c r="Q30" s="115"/>
      <c r="R30" s="90">
        <f t="shared" si="13"/>
        <v>3</v>
      </c>
      <c r="S30" s="88">
        <v>97</v>
      </c>
      <c r="T30" s="115"/>
      <c r="U30" s="90">
        <f t="shared" si="5"/>
        <v>5</v>
      </c>
      <c r="V30" s="88">
        <v>88</v>
      </c>
      <c r="W30" s="115"/>
      <c r="X30" s="90">
        <f t="shared" si="6"/>
        <v>5</v>
      </c>
      <c r="Y30" s="88">
        <v>47</v>
      </c>
      <c r="Z30" s="115"/>
      <c r="AA30" s="90">
        <f t="shared" si="14"/>
        <v>5</v>
      </c>
      <c r="AB30" s="88">
        <v>46</v>
      </c>
      <c r="AC30" s="115"/>
      <c r="AD30" s="90">
        <f t="shared" si="15"/>
        <v>5</v>
      </c>
      <c r="AE30" s="90">
        <f t="shared" si="16"/>
        <v>32</v>
      </c>
      <c r="AF30" s="93">
        <f t="shared" si="17"/>
        <v>4.5714285714285712</v>
      </c>
      <c r="AG30" s="95" t="str">
        <f t="shared" si="18"/>
        <v>BETTER</v>
      </c>
      <c r="AH30" s="91">
        <f t="shared" si="19"/>
        <v>612</v>
      </c>
      <c r="AI30" s="61"/>
      <c r="AJ30" s="61"/>
    </row>
    <row r="31" spans="1:36" s="62" customFormat="1">
      <c r="A31" s="55">
        <v>25</v>
      </c>
      <c r="B31" s="48">
        <v>17</v>
      </c>
      <c r="C31" s="48" t="s">
        <v>156</v>
      </c>
      <c r="D31" s="48" t="s">
        <v>157</v>
      </c>
      <c r="E31" s="48" t="s">
        <v>158</v>
      </c>
      <c r="F31" s="88">
        <v>87</v>
      </c>
      <c r="G31" s="89">
        <v>48</v>
      </c>
      <c r="H31" s="90">
        <f t="shared" si="0"/>
        <v>135</v>
      </c>
      <c r="I31" s="115"/>
      <c r="J31" s="90">
        <f t="shared" si="11"/>
        <v>5</v>
      </c>
      <c r="K31" s="88">
        <v>85</v>
      </c>
      <c r="L31" s="88">
        <v>70</v>
      </c>
      <c r="M31" s="90">
        <f t="shared" si="2"/>
        <v>155</v>
      </c>
      <c r="N31" s="115"/>
      <c r="O31" s="90">
        <f t="shared" si="12"/>
        <v>4</v>
      </c>
      <c r="P31" s="88">
        <v>75</v>
      </c>
      <c r="Q31" s="115"/>
      <c r="R31" s="90">
        <f t="shared" si="13"/>
        <v>4</v>
      </c>
      <c r="S31" s="88">
        <v>97</v>
      </c>
      <c r="T31" s="115"/>
      <c r="U31" s="90">
        <f t="shared" si="5"/>
        <v>5</v>
      </c>
      <c r="V31" s="88">
        <v>90</v>
      </c>
      <c r="W31" s="115"/>
      <c r="X31" s="90">
        <f t="shared" si="6"/>
        <v>5</v>
      </c>
      <c r="Y31" s="88">
        <v>45</v>
      </c>
      <c r="Z31" s="115"/>
      <c r="AA31" s="90">
        <f t="shared" si="14"/>
        <v>5</v>
      </c>
      <c r="AB31" s="88">
        <v>47</v>
      </c>
      <c r="AC31" s="115"/>
      <c r="AD31" s="90">
        <f t="shared" si="15"/>
        <v>5</v>
      </c>
      <c r="AE31" s="90">
        <f t="shared" si="16"/>
        <v>33</v>
      </c>
      <c r="AF31" s="93">
        <f t="shared" si="17"/>
        <v>4.7142857142857144</v>
      </c>
      <c r="AG31" s="95" t="str">
        <f t="shared" si="18"/>
        <v>BETTER</v>
      </c>
      <c r="AH31" s="91">
        <f t="shared" si="19"/>
        <v>644</v>
      </c>
      <c r="AI31" s="61"/>
      <c r="AJ31" s="61"/>
    </row>
    <row r="32" spans="1:36" s="62" customFormat="1">
      <c r="A32" s="55">
        <v>26</v>
      </c>
      <c r="B32" s="48">
        <v>19</v>
      </c>
      <c r="C32" s="50" t="s">
        <v>159</v>
      </c>
      <c r="D32" s="50" t="s">
        <v>160</v>
      </c>
      <c r="E32" s="50" t="s">
        <v>161</v>
      </c>
      <c r="F32" s="88">
        <v>68</v>
      </c>
      <c r="G32" s="89">
        <v>43</v>
      </c>
      <c r="H32" s="90">
        <f t="shared" si="0"/>
        <v>111</v>
      </c>
      <c r="I32" s="115"/>
      <c r="J32" s="90">
        <f t="shared" si="11"/>
        <v>4</v>
      </c>
      <c r="K32" s="88">
        <v>85</v>
      </c>
      <c r="L32" s="88">
        <v>78</v>
      </c>
      <c r="M32" s="90">
        <f t="shared" si="2"/>
        <v>163</v>
      </c>
      <c r="N32" s="115"/>
      <c r="O32" s="90">
        <f t="shared" si="12"/>
        <v>5</v>
      </c>
      <c r="P32" s="88">
        <v>58</v>
      </c>
      <c r="Q32" s="115"/>
      <c r="R32" s="90">
        <f t="shared" si="13"/>
        <v>3</v>
      </c>
      <c r="S32" s="88">
        <v>80</v>
      </c>
      <c r="T32" s="115"/>
      <c r="U32" s="90">
        <f t="shared" si="5"/>
        <v>5</v>
      </c>
      <c r="V32" s="88">
        <v>67</v>
      </c>
      <c r="W32" s="115"/>
      <c r="X32" s="90">
        <f t="shared" si="6"/>
        <v>3.5</v>
      </c>
      <c r="Y32" s="88">
        <v>46</v>
      </c>
      <c r="Z32" s="115"/>
      <c r="AA32" s="90">
        <f t="shared" si="14"/>
        <v>5</v>
      </c>
      <c r="AB32" s="88">
        <v>40</v>
      </c>
      <c r="AC32" s="115"/>
      <c r="AD32" s="90">
        <f t="shared" si="15"/>
        <v>5</v>
      </c>
      <c r="AE32" s="90">
        <f t="shared" si="16"/>
        <v>30.5</v>
      </c>
      <c r="AF32" s="93">
        <f t="shared" si="17"/>
        <v>4.3571428571428568</v>
      </c>
      <c r="AG32" s="95" t="str">
        <f t="shared" si="18"/>
        <v>BETTER</v>
      </c>
      <c r="AH32" s="91">
        <f t="shared" si="19"/>
        <v>565</v>
      </c>
      <c r="AI32" s="61"/>
      <c r="AJ32" s="61"/>
    </row>
    <row r="33" spans="1:36" s="62" customFormat="1">
      <c r="A33" s="55">
        <v>27</v>
      </c>
      <c r="B33" s="48">
        <v>22</v>
      </c>
      <c r="C33" s="49" t="s">
        <v>162</v>
      </c>
      <c r="D33" s="49" t="s">
        <v>163</v>
      </c>
      <c r="E33" s="49" t="s">
        <v>164</v>
      </c>
      <c r="F33" s="88">
        <v>59</v>
      </c>
      <c r="G33" s="89">
        <v>41</v>
      </c>
      <c r="H33" s="90">
        <f t="shared" si="0"/>
        <v>100</v>
      </c>
      <c r="I33" s="115"/>
      <c r="J33" s="90">
        <f t="shared" si="11"/>
        <v>3.5</v>
      </c>
      <c r="K33" s="88">
        <v>84</v>
      </c>
      <c r="L33" s="88">
        <v>69</v>
      </c>
      <c r="M33" s="90">
        <f t="shared" si="2"/>
        <v>153</v>
      </c>
      <c r="N33" s="115"/>
      <c r="O33" s="90">
        <f t="shared" si="12"/>
        <v>4</v>
      </c>
      <c r="P33" s="88">
        <v>41</v>
      </c>
      <c r="Q33" s="115"/>
      <c r="R33" s="90">
        <f t="shared" si="13"/>
        <v>2</v>
      </c>
      <c r="S33" s="88">
        <v>66</v>
      </c>
      <c r="T33" s="115"/>
      <c r="U33" s="90">
        <f t="shared" si="5"/>
        <v>3.5</v>
      </c>
      <c r="V33" s="88">
        <v>86</v>
      </c>
      <c r="W33" s="115"/>
      <c r="X33" s="90">
        <f t="shared" si="6"/>
        <v>5</v>
      </c>
      <c r="Y33" s="88">
        <v>44</v>
      </c>
      <c r="Z33" s="115"/>
      <c r="AA33" s="90">
        <f t="shared" si="14"/>
        <v>5</v>
      </c>
      <c r="AB33" s="88">
        <v>44</v>
      </c>
      <c r="AC33" s="115"/>
      <c r="AD33" s="90">
        <f t="shared" si="15"/>
        <v>5</v>
      </c>
      <c r="AE33" s="90">
        <f t="shared" si="16"/>
        <v>28</v>
      </c>
      <c r="AF33" s="93">
        <f t="shared" si="17"/>
        <v>4</v>
      </c>
      <c r="AG33" s="95" t="str">
        <f t="shared" si="18"/>
        <v>BETTER</v>
      </c>
      <c r="AH33" s="91">
        <f t="shared" si="19"/>
        <v>534</v>
      </c>
      <c r="AI33" s="61"/>
      <c r="AJ33" s="61"/>
    </row>
    <row r="34" spans="1:36" s="62" customFormat="1">
      <c r="A34" s="55">
        <v>28</v>
      </c>
      <c r="B34" s="48">
        <v>24</v>
      </c>
      <c r="C34" s="49" t="s">
        <v>165</v>
      </c>
      <c r="D34" s="49" t="s">
        <v>166</v>
      </c>
      <c r="E34" s="49" t="s">
        <v>167</v>
      </c>
      <c r="F34" s="88">
        <v>50</v>
      </c>
      <c r="G34" s="89">
        <v>33</v>
      </c>
      <c r="H34" s="90">
        <f t="shared" si="0"/>
        <v>83</v>
      </c>
      <c r="I34" s="115"/>
      <c r="J34" s="90">
        <f t="shared" si="11"/>
        <v>3</v>
      </c>
      <c r="K34" s="88">
        <v>68</v>
      </c>
      <c r="L34" s="88">
        <v>52</v>
      </c>
      <c r="M34" s="90">
        <f t="shared" si="2"/>
        <v>120</v>
      </c>
      <c r="N34" s="115"/>
      <c r="O34" s="90">
        <f t="shared" si="12"/>
        <v>3.5</v>
      </c>
      <c r="P34" s="88">
        <v>40</v>
      </c>
      <c r="Q34" s="115"/>
      <c r="R34" s="90">
        <f t="shared" si="13"/>
        <v>2</v>
      </c>
      <c r="S34" s="88">
        <v>50</v>
      </c>
      <c r="T34" s="115"/>
      <c r="U34" s="90">
        <f t="shared" si="5"/>
        <v>3</v>
      </c>
      <c r="V34" s="88">
        <v>70</v>
      </c>
      <c r="W34" s="115"/>
      <c r="X34" s="90">
        <f t="shared" si="6"/>
        <v>4</v>
      </c>
      <c r="Y34" s="88">
        <v>31</v>
      </c>
      <c r="Z34" s="115"/>
      <c r="AA34" s="90">
        <f t="shared" si="14"/>
        <v>3.5</v>
      </c>
      <c r="AB34" s="88">
        <v>37</v>
      </c>
      <c r="AC34" s="115"/>
      <c r="AD34" s="90">
        <f t="shared" si="15"/>
        <v>4</v>
      </c>
      <c r="AE34" s="90">
        <f t="shared" si="16"/>
        <v>23</v>
      </c>
      <c r="AF34" s="93">
        <f t="shared" si="17"/>
        <v>3.2857142857142856</v>
      </c>
      <c r="AG34" s="95"/>
      <c r="AH34" s="91">
        <f t="shared" si="19"/>
        <v>431</v>
      </c>
      <c r="AI34" s="61"/>
      <c r="AJ34" s="61"/>
    </row>
    <row r="35" spans="1:36" s="62" customFormat="1">
      <c r="A35" s="55">
        <v>29</v>
      </c>
      <c r="B35" s="48">
        <v>25</v>
      </c>
      <c r="C35" s="49" t="s">
        <v>168</v>
      </c>
      <c r="D35" s="49" t="s">
        <v>169</v>
      </c>
      <c r="E35" s="49" t="s">
        <v>170</v>
      </c>
      <c r="F35" s="88">
        <v>78</v>
      </c>
      <c r="G35" s="89">
        <v>42</v>
      </c>
      <c r="H35" s="90">
        <f t="shared" si="0"/>
        <v>120</v>
      </c>
      <c r="I35" s="115"/>
      <c r="J35" s="90">
        <f t="shared" si="11"/>
        <v>5</v>
      </c>
      <c r="K35" s="88">
        <v>67</v>
      </c>
      <c r="L35" s="88">
        <v>70</v>
      </c>
      <c r="M35" s="90">
        <f t="shared" si="2"/>
        <v>137</v>
      </c>
      <c r="N35" s="115"/>
      <c r="O35" s="90">
        <f t="shared" si="12"/>
        <v>3.5</v>
      </c>
      <c r="P35" s="88">
        <v>50</v>
      </c>
      <c r="Q35" s="115"/>
      <c r="R35" s="90">
        <f t="shared" si="13"/>
        <v>3</v>
      </c>
      <c r="S35" s="88">
        <v>74</v>
      </c>
      <c r="T35" s="115"/>
      <c r="U35" s="90">
        <f t="shared" si="5"/>
        <v>4</v>
      </c>
      <c r="V35" s="88">
        <v>75</v>
      </c>
      <c r="W35" s="115"/>
      <c r="X35" s="90">
        <f t="shared" si="6"/>
        <v>4</v>
      </c>
      <c r="Y35" s="88">
        <v>43</v>
      </c>
      <c r="Z35" s="115"/>
      <c r="AA35" s="90">
        <f t="shared" si="14"/>
        <v>5</v>
      </c>
      <c r="AB35" s="88">
        <v>41</v>
      </c>
      <c r="AC35" s="115"/>
      <c r="AD35" s="90">
        <f t="shared" si="15"/>
        <v>5</v>
      </c>
      <c r="AE35" s="90">
        <f t="shared" si="16"/>
        <v>29.5</v>
      </c>
      <c r="AF35" s="93">
        <f t="shared" si="17"/>
        <v>4.2142857142857144</v>
      </c>
      <c r="AG35" s="95"/>
      <c r="AH35" s="91">
        <f t="shared" si="19"/>
        <v>540</v>
      </c>
      <c r="AI35" s="61"/>
      <c r="AJ35" s="61"/>
    </row>
    <row r="36" spans="1:36" s="62" customFormat="1">
      <c r="A36" s="55">
        <v>30</v>
      </c>
      <c r="B36" s="48">
        <v>30</v>
      </c>
      <c r="C36" s="49" t="s">
        <v>171</v>
      </c>
      <c r="D36" s="49" t="s">
        <v>172</v>
      </c>
      <c r="E36" s="49" t="s">
        <v>173</v>
      </c>
      <c r="F36" s="88">
        <v>65</v>
      </c>
      <c r="G36" s="89">
        <v>35</v>
      </c>
      <c r="H36" s="90">
        <f t="shared" si="0"/>
        <v>100</v>
      </c>
      <c r="I36" s="115"/>
      <c r="J36" s="90">
        <f t="shared" si="11"/>
        <v>3.5</v>
      </c>
      <c r="K36" s="88">
        <v>60</v>
      </c>
      <c r="L36" s="88">
        <v>57</v>
      </c>
      <c r="M36" s="90">
        <f t="shared" si="2"/>
        <v>117</v>
      </c>
      <c r="N36" s="115"/>
      <c r="O36" s="90">
        <f t="shared" si="12"/>
        <v>3</v>
      </c>
      <c r="P36" s="88">
        <v>40</v>
      </c>
      <c r="Q36" s="115"/>
      <c r="R36" s="90">
        <f t="shared" si="13"/>
        <v>2</v>
      </c>
      <c r="S36" s="88">
        <v>61</v>
      </c>
      <c r="T36" s="115"/>
      <c r="U36" s="90">
        <f t="shared" si="5"/>
        <v>3.5</v>
      </c>
      <c r="V36" s="88">
        <v>83</v>
      </c>
      <c r="W36" s="115"/>
      <c r="X36" s="90">
        <f t="shared" si="6"/>
        <v>5</v>
      </c>
      <c r="Y36" s="88">
        <v>37</v>
      </c>
      <c r="Z36" s="115"/>
      <c r="AA36" s="90">
        <f t="shared" si="14"/>
        <v>4</v>
      </c>
      <c r="AB36" s="88">
        <v>41</v>
      </c>
      <c r="AC36" s="115"/>
      <c r="AD36" s="90">
        <f t="shared" si="15"/>
        <v>5</v>
      </c>
      <c r="AE36" s="90">
        <f t="shared" si="16"/>
        <v>26</v>
      </c>
      <c r="AF36" s="93">
        <f t="shared" si="17"/>
        <v>3.7142857142857144</v>
      </c>
      <c r="AG36" s="95"/>
      <c r="AH36" s="91">
        <f t="shared" si="19"/>
        <v>479</v>
      </c>
      <c r="AI36" s="61"/>
      <c r="AJ36" s="61"/>
    </row>
    <row r="37" spans="1:36" s="62" customFormat="1">
      <c r="A37" s="55">
        <v>31</v>
      </c>
      <c r="B37" s="48">
        <v>32</v>
      </c>
      <c r="C37" s="49" t="s">
        <v>174</v>
      </c>
      <c r="D37" s="49" t="s">
        <v>175</v>
      </c>
      <c r="E37" s="49" t="s">
        <v>176</v>
      </c>
      <c r="F37" s="88">
        <v>58</v>
      </c>
      <c r="G37" s="89">
        <v>37</v>
      </c>
      <c r="H37" s="90">
        <f t="shared" si="0"/>
        <v>95</v>
      </c>
      <c r="I37" s="115"/>
      <c r="J37" s="90">
        <f t="shared" si="11"/>
        <v>3.5</v>
      </c>
      <c r="K37" s="88">
        <v>58</v>
      </c>
      <c r="L37" s="88">
        <v>54</v>
      </c>
      <c r="M37" s="90">
        <f t="shared" si="2"/>
        <v>112</v>
      </c>
      <c r="N37" s="115"/>
      <c r="O37" s="90">
        <f t="shared" si="12"/>
        <v>3</v>
      </c>
      <c r="P37" s="88">
        <v>60</v>
      </c>
      <c r="Q37" s="115"/>
      <c r="R37" s="90">
        <f t="shared" si="13"/>
        <v>3.5</v>
      </c>
      <c r="S37" s="88">
        <v>71</v>
      </c>
      <c r="T37" s="115"/>
      <c r="U37" s="90">
        <f t="shared" si="5"/>
        <v>4</v>
      </c>
      <c r="V37" s="88">
        <v>66</v>
      </c>
      <c r="W37" s="115"/>
      <c r="X37" s="90">
        <f t="shared" si="6"/>
        <v>3.5</v>
      </c>
      <c r="Y37" s="88">
        <v>40</v>
      </c>
      <c r="Z37" s="115"/>
      <c r="AA37" s="90">
        <f t="shared" si="14"/>
        <v>5</v>
      </c>
      <c r="AB37" s="88">
        <v>38</v>
      </c>
      <c r="AC37" s="115"/>
      <c r="AD37" s="90">
        <f t="shared" si="15"/>
        <v>4</v>
      </c>
      <c r="AE37" s="90">
        <f t="shared" si="16"/>
        <v>26.5</v>
      </c>
      <c r="AF37" s="93">
        <f t="shared" si="17"/>
        <v>3.7857142857142856</v>
      </c>
      <c r="AG37" s="95"/>
      <c r="AH37" s="91">
        <f t="shared" si="19"/>
        <v>482</v>
      </c>
      <c r="AI37" s="61"/>
      <c r="AJ37" s="61"/>
    </row>
    <row r="38" spans="1:36" s="62" customFormat="1">
      <c r="A38" s="55">
        <v>32</v>
      </c>
      <c r="B38" s="48">
        <v>34</v>
      </c>
      <c r="C38" s="48" t="s">
        <v>177</v>
      </c>
      <c r="D38" s="48" t="s">
        <v>178</v>
      </c>
      <c r="E38" s="48" t="s">
        <v>179</v>
      </c>
      <c r="F38" s="88">
        <v>84</v>
      </c>
      <c r="G38" s="89">
        <v>43</v>
      </c>
      <c r="H38" s="90">
        <f t="shared" si="0"/>
        <v>127</v>
      </c>
      <c r="I38" s="115"/>
      <c r="J38" s="90">
        <f t="shared" si="11"/>
        <v>5</v>
      </c>
      <c r="K38" s="88">
        <v>80</v>
      </c>
      <c r="L38" s="88">
        <v>48</v>
      </c>
      <c r="M38" s="90">
        <f t="shared" si="2"/>
        <v>128</v>
      </c>
      <c r="N38" s="115"/>
      <c r="O38" s="90">
        <f t="shared" si="12"/>
        <v>3.5</v>
      </c>
      <c r="P38" s="88">
        <v>40</v>
      </c>
      <c r="Q38" s="115"/>
      <c r="R38" s="90">
        <f t="shared" si="13"/>
        <v>2</v>
      </c>
      <c r="S38" s="88">
        <v>52</v>
      </c>
      <c r="T38" s="115"/>
      <c r="U38" s="90">
        <f t="shared" si="5"/>
        <v>3</v>
      </c>
      <c r="V38" s="88">
        <v>75</v>
      </c>
      <c r="W38" s="115"/>
      <c r="X38" s="90">
        <f t="shared" si="6"/>
        <v>4</v>
      </c>
      <c r="Y38" s="88">
        <v>41</v>
      </c>
      <c r="Z38" s="115"/>
      <c r="AA38" s="90">
        <f t="shared" si="14"/>
        <v>5</v>
      </c>
      <c r="AB38" s="88">
        <v>45</v>
      </c>
      <c r="AC38" s="115"/>
      <c r="AD38" s="90">
        <f t="shared" si="15"/>
        <v>5</v>
      </c>
      <c r="AE38" s="90">
        <f t="shared" si="16"/>
        <v>27.5</v>
      </c>
      <c r="AF38" s="93">
        <f t="shared" si="17"/>
        <v>3.9285714285714284</v>
      </c>
      <c r="AG38" s="95"/>
      <c r="AH38" s="91">
        <f t="shared" si="19"/>
        <v>508</v>
      </c>
      <c r="AI38" s="61"/>
      <c r="AJ38" s="61"/>
    </row>
    <row r="39" spans="1:36" s="62" customFormat="1">
      <c r="A39" s="55">
        <v>33</v>
      </c>
      <c r="B39" s="48">
        <v>35</v>
      </c>
      <c r="C39" s="48" t="s">
        <v>180</v>
      </c>
      <c r="D39" s="48" t="s">
        <v>181</v>
      </c>
      <c r="E39" s="48" t="s">
        <v>182</v>
      </c>
      <c r="F39" s="88">
        <v>83</v>
      </c>
      <c r="G39" s="89">
        <v>48</v>
      </c>
      <c r="H39" s="90">
        <f t="shared" si="0"/>
        <v>131</v>
      </c>
      <c r="I39" s="115"/>
      <c r="J39" s="90">
        <f t="shared" si="11"/>
        <v>5</v>
      </c>
      <c r="K39" s="88">
        <v>81</v>
      </c>
      <c r="L39" s="88">
        <v>74</v>
      </c>
      <c r="M39" s="90">
        <f t="shared" si="2"/>
        <v>155</v>
      </c>
      <c r="N39" s="115"/>
      <c r="O39" s="90">
        <f t="shared" si="12"/>
        <v>4</v>
      </c>
      <c r="P39" s="88">
        <v>48</v>
      </c>
      <c r="Q39" s="115"/>
      <c r="R39" s="90">
        <f t="shared" si="13"/>
        <v>2</v>
      </c>
      <c r="S39" s="88">
        <v>88</v>
      </c>
      <c r="T39" s="115"/>
      <c r="U39" s="90">
        <f t="shared" si="5"/>
        <v>5</v>
      </c>
      <c r="V39" s="88">
        <v>82</v>
      </c>
      <c r="W39" s="115"/>
      <c r="X39" s="90">
        <f t="shared" si="6"/>
        <v>5</v>
      </c>
      <c r="Y39" s="88">
        <v>47</v>
      </c>
      <c r="Z39" s="115"/>
      <c r="AA39" s="90">
        <f t="shared" si="14"/>
        <v>5</v>
      </c>
      <c r="AB39" s="88">
        <v>41</v>
      </c>
      <c r="AC39" s="115"/>
      <c r="AD39" s="90">
        <f t="shared" si="15"/>
        <v>5</v>
      </c>
      <c r="AE39" s="90">
        <f t="shared" si="16"/>
        <v>31</v>
      </c>
      <c r="AF39" s="93">
        <f t="shared" si="17"/>
        <v>4.4285714285714288</v>
      </c>
      <c r="AG39" s="95"/>
      <c r="AH39" s="91">
        <f t="shared" si="19"/>
        <v>592</v>
      </c>
      <c r="AI39" s="61"/>
      <c r="AJ39" s="61"/>
    </row>
    <row r="40" spans="1:36" s="62" customFormat="1">
      <c r="A40" s="55">
        <v>34</v>
      </c>
      <c r="B40" s="48">
        <v>40</v>
      </c>
      <c r="C40" s="49" t="s">
        <v>183</v>
      </c>
      <c r="D40" s="49" t="s">
        <v>184</v>
      </c>
      <c r="E40" s="49" t="s">
        <v>185</v>
      </c>
      <c r="F40" s="88">
        <v>63</v>
      </c>
      <c r="G40" s="89">
        <v>43</v>
      </c>
      <c r="H40" s="90">
        <f t="shared" si="0"/>
        <v>106</v>
      </c>
      <c r="I40" s="115"/>
      <c r="J40" s="90">
        <f t="shared" si="11"/>
        <v>4</v>
      </c>
      <c r="K40" s="88">
        <v>43</v>
      </c>
      <c r="L40" s="88">
        <v>47</v>
      </c>
      <c r="M40" s="90">
        <f t="shared" si="2"/>
        <v>90</v>
      </c>
      <c r="N40" s="115"/>
      <c r="O40" s="90">
        <f t="shared" si="12"/>
        <v>2</v>
      </c>
      <c r="P40" s="88">
        <v>40</v>
      </c>
      <c r="Q40" s="115"/>
      <c r="R40" s="90">
        <f t="shared" si="13"/>
        <v>2</v>
      </c>
      <c r="S40" s="88">
        <v>67</v>
      </c>
      <c r="T40" s="115"/>
      <c r="U40" s="90">
        <f t="shared" si="5"/>
        <v>3.5</v>
      </c>
      <c r="V40" s="88">
        <v>50</v>
      </c>
      <c r="W40" s="115"/>
      <c r="X40" s="90">
        <f t="shared" si="6"/>
        <v>3</v>
      </c>
      <c r="Y40" s="88">
        <v>40</v>
      </c>
      <c r="Z40" s="115"/>
      <c r="AA40" s="90">
        <f t="shared" si="14"/>
        <v>5</v>
      </c>
      <c r="AB40" s="88">
        <v>34</v>
      </c>
      <c r="AC40" s="115"/>
      <c r="AD40" s="90">
        <f t="shared" si="15"/>
        <v>3.5</v>
      </c>
      <c r="AE40" s="90">
        <f t="shared" si="16"/>
        <v>23</v>
      </c>
      <c r="AF40" s="93">
        <f t="shared" si="17"/>
        <v>3.2857142857142856</v>
      </c>
      <c r="AG40" s="95"/>
      <c r="AH40" s="91">
        <f t="shared" si="19"/>
        <v>427</v>
      </c>
      <c r="AI40" s="61"/>
      <c r="AJ40" s="61"/>
    </row>
    <row r="41" spans="1:36" s="62" customFormat="1">
      <c r="A41" s="55">
        <v>35</v>
      </c>
      <c r="B41" s="48">
        <v>41</v>
      </c>
      <c r="C41" s="48" t="s">
        <v>186</v>
      </c>
      <c r="D41" s="48" t="s">
        <v>187</v>
      </c>
      <c r="E41" s="48" t="s">
        <v>188</v>
      </c>
      <c r="F41" s="88">
        <v>69</v>
      </c>
      <c r="G41" s="89">
        <v>37</v>
      </c>
      <c r="H41" s="90">
        <f t="shared" si="0"/>
        <v>106</v>
      </c>
      <c r="I41" s="115"/>
      <c r="J41" s="90">
        <f t="shared" si="11"/>
        <v>4</v>
      </c>
      <c r="K41" s="88">
        <v>70</v>
      </c>
      <c r="L41" s="88">
        <v>48</v>
      </c>
      <c r="M41" s="90">
        <f t="shared" si="2"/>
        <v>118</v>
      </c>
      <c r="N41" s="115"/>
      <c r="O41" s="90">
        <f t="shared" si="12"/>
        <v>3</v>
      </c>
      <c r="P41" s="88">
        <v>40</v>
      </c>
      <c r="Q41" s="115"/>
      <c r="R41" s="90">
        <f t="shared" si="13"/>
        <v>2</v>
      </c>
      <c r="S41" s="88">
        <v>52</v>
      </c>
      <c r="T41" s="115"/>
      <c r="U41" s="90">
        <f t="shared" si="5"/>
        <v>3</v>
      </c>
      <c r="V41" s="88">
        <v>72</v>
      </c>
      <c r="W41" s="115"/>
      <c r="X41" s="90">
        <f t="shared" si="6"/>
        <v>4</v>
      </c>
      <c r="Y41" s="88">
        <v>37</v>
      </c>
      <c r="Z41" s="115"/>
      <c r="AA41" s="90">
        <f t="shared" si="14"/>
        <v>4</v>
      </c>
      <c r="AB41" s="88">
        <v>36</v>
      </c>
      <c r="AC41" s="115"/>
      <c r="AD41" s="90">
        <f t="shared" si="15"/>
        <v>4</v>
      </c>
      <c r="AE41" s="90">
        <f t="shared" si="16"/>
        <v>24</v>
      </c>
      <c r="AF41" s="93">
        <f t="shared" si="17"/>
        <v>3.4285714285714284</v>
      </c>
      <c r="AG41" s="95" t="str">
        <f t="shared" si="18"/>
        <v>GOOD</v>
      </c>
      <c r="AH41" s="91">
        <f t="shared" si="19"/>
        <v>461</v>
      </c>
      <c r="AI41" s="61"/>
      <c r="AJ41" s="61"/>
    </row>
    <row r="42" spans="1:36" s="62" customFormat="1">
      <c r="A42" s="55">
        <v>36</v>
      </c>
      <c r="B42" s="48">
        <v>44</v>
      </c>
      <c r="C42" s="48" t="s">
        <v>189</v>
      </c>
      <c r="D42" s="48" t="s">
        <v>190</v>
      </c>
      <c r="E42" s="48" t="s">
        <v>191</v>
      </c>
      <c r="F42" s="88">
        <v>45</v>
      </c>
      <c r="G42" s="89">
        <v>23</v>
      </c>
      <c r="H42" s="90">
        <f t="shared" si="0"/>
        <v>68</v>
      </c>
      <c r="I42" s="115"/>
      <c r="J42" s="90">
        <f t="shared" si="11"/>
        <v>2</v>
      </c>
      <c r="K42" s="88">
        <v>62</v>
      </c>
      <c r="L42" s="88">
        <v>40</v>
      </c>
      <c r="M42" s="90">
        <f t="shared" si="2"/>
        <v>102</v>
      </c>
      <c r="N42" s="115"/>
      <c r="O42" s="90">
        <f t="shared" si="12"/>
        <v>3</v>
      </c>
      <c r="P42" s="88">
        <v>16</v>
      </c>
      <c r="Q42" s="115"/>
      <c r="R42" s="90" t="str">
        <f t="shared" si="13"/>
        <v>F</v>
      </c>
      <c r="S42" s="88">
        <v>23</v>
      </c>
      <c r="T42" s="115"/>
      <c r="U42" s="90" t="str">
        <f t="shared" si="5"/>
        <v>F</v>
      </c>
      <c r="V42" s="88">
        <v>43</v>
      </c>
      <c r="W42" s="115"/>
      <c r="X42" s="90">
        <f t="shared" si="6"/>
        <v>2</v>
      </c>
      <c r="Y42" s="88">
        <v>24</v>
      </c>
      <c r="Z42" s="115"/>
      <c r="AA42" s="90">
        <f t="shared" si="14"/>
        <v>2</v>
      </c>
      <c r="AB42" s="88">
        <v>21</v>
      </c>
      <c r="AC42" s="115"/>
      <c r="AD42" s="90">
        <f t="shared" si="15"/>
        <v>2</v>
      </c>
      <c r="AE42" s="90" t="str">
        <f t="shared" si="16"/>
        <v>F</v>
      </c>
      <c r="AF42" s="93" t="str">
        <f t="shared" si="17"/>
        <v>F</v>
      </c>
      <c r="AG42" s="95" t="str">
        <f t="shared" si="18"/>
        <v>NEED TO PROGRESS</v>
      </c>
      <c r="AH42" s="91">
        <f t="shared" si="19"/>
        <v>297</v>
      </c>
      <c r="AI42" s="61"/>
      <c r="AJ42" s="61"/>
    </row>
    <row r="43" spans="1:36" s="62" customFormat="1">
      <c r="A43" s="55">
        <v>37</v>
      </c>
      <c r="B43" s="48">
        <v>45</v>
      </c>
      <c r="C43" s="48" t="s">
        <v>192</v>
      </c>
      <c r="D43" s="48" t="s">
        <v>193</v>
      </c>
      <c r="E43" s="48" t="s">
        <v>194</v>
      </c>
      <c r="F43" s="88">
        <v>56</v>
      </c>
      <c r="G43" s="89">
        <v>29</v>
      </c>
      <c r="H43" s="90">
        <f t="shared" si="0"/>
        <v>85</v>
      </c>
      <c r="I43" s="115"/>
      <c r="J43" s="90">
        <f t="shared" si="11"/>
        <v>3</v>
      </c>
      <c r="K43" s="88">
        <v>50</v>
      </c>
      <c r="L43" s="88">
        <v>21</v>
      </c>
      <c r="M43" s="90">
        <f t="shared" si="2"/>
        <v>71</v>
      </c>
      <c r="N43" s="115"/>
      <c r="O43" s="90" t="str">
        <f t="shared" si="12"/>
        <v>F</v>
      </c>
      <c r="P43" s="88">
        <v>14</v>
      </c>
      <c r="Q43" s="115"/>
      <c r="R43" s="90" t="str">
        <f t="shared" si="13"/>
        <v>F</v>
      </c>
      <c r="S43" s="88">
        <v>40</v>
      </c>
      <c r="T43" s="115"/>
      <c r="U43" s="90">
        <f t="shared" si="5"/>
        <v>2</v>
      </c>
      <c r="V43" s="88">
        <v>41</v>
      </c>
      <c r="W43" s="115"/>
      <c r="X43" s="90">
        <f t="shared" si="6"/>
        <v>2</v>
      </c>
      <c r="Y43" s="88">
        <v>32</v>
      </c>
      <c r="Z43" s="115"/>
      <c r="AA43" s="90">
        <f t="shared" si="14"/>
        <v>3.5</v>
      </c>
      <c r="AB43" s="88">
        <v>30</v>
      </c>
      <c r="AC43" s="115"/>
      <c r="AD43" s="90">
        <f t="shared" si="15"/>
        <v>3.5</v>
      </c>
      <c r="AE43" s="90" t="str">
        <f t="shared" si="16"/>
        <v>F</v>
      </c>
      <c r="AF43" s="93" t="str">
        <f t="shared" si="17"/>
        <v>F</v>
      </c>
      <c r="AG43" s="95" t="str">
        <f t="shared" si="18"/>
        <v>NEED TO PROGRESS</v>
      </c>
      <c r="AH43" s="91">
        <f t="shared" si="19"/>
        <v>313</v>
      </c>
      <c r="AI43" s="61"/>
      <c r="AJ43" s="61"/>
    </row>
    <row r="44" spans="1:36" s="62" customFormat="1">
      <c r="A44" s="55">
        <v>38</v>
      </c>
      <c r="B44" s="48">
        <v>46</v>
      </c>
      <c r="C44" s="48" t="s">
        <v>195</v>
      </c>
      <c r="D44" s="48" t="s">
        <v>196</v>
      </c>
      <c r="E44" s="48" t="s">
        <v>197</v>
      </c>
      <c r="F44" s="88">
        <v>34</v>
      </c>
      <c r="G44" s="89">
        <v>32</v>
      </c>
      <c r="H44" s="90">
        <f t="shared" si="0"/>
        <v>66</v>
      </c>
      <c r="I44" s="115"/>
      <c r="J44" s="90">
        <f t="shared" si="11"/>
        <v>2</v>
      </c>
      <c r="K44" s="88">
        <v>40</v>
      </c>
      <c r="L44" s="88">
        <v>29</v>
      </c>
      <c r="M44" s="90">
        <f t="shared" si="2"/>
        <v>69</v>
      </c>
      <c r="N44" s="115"/>
      <c r="O44" s="90" t="str">
        <f t="shared" si="12"/>
        <v>F</v>
      </c>
      <c r="P44" s="88">
        <v>15</v>
      </c>
      <c r="Q44" s="115"/>
      <c r="R44" s="90" t="str">
        <f t="shared" si="13"/>
        <v>F</v>
      </c>
      <c r="S44" s="88">
        <v>44</v>
      </c>
      <c r="T44" s="115"/>
      <c r="U44" s="90">
        <f t="shared" si="5"/>
        <v>2</v>
      </c>
      <c r="V44" s="88">
        <v>40</v>
      </c>
      <c r="W44" s="115"/>
      <c r="X44" s="90">
        <f t="shared" si="6"/>
        <v>2</v>
      </c>
      <c r="Y44" s="88">
        <v>20</v>
      </c>
      <c r="Z44" s="115"/>
      <c r="AA44" s="90">
        <f t="shared" si="14"/>
        <v>2</v>
      </c>
      <c r="AB44" s="88">
        <v>20</v>
      </c>
      <c r="AC44" s="115"/>
      <c r="AD44" s="90">
        <f t="shared" si="15"/>
        <v>2</v>
      </c>
      <c r="AE44" s="90" t="str">
        <f t="shared" si="16"/>
        <v>F</v>
      </c>
      <c r="AF44" s="93" t="str">
        <f t="shared" si="17"/>
        <v>F</v>
      </c>
      <c r="AG44" s="95" t="str">
        <f t="shared" si="18"/>
        <v>NEED TO PROGRESS</v>
      </c>
      <c r="AH44" s="91">
        <f t="shared" si="19"/>
        <v>274</v>
      </c>
      <c r="AI44" s="61"/>
      <c r="AJ44" s="61"/>
    </row>
    <row r="45" spans="1:36" s="62" customFormat="1">
      <c r="A45" s="55">
        <v>39</v>
      </c>
      <c r="B45" s="48">
        <v>48</v>
      </c>
      <c r="C45" s="48" t="s">
        <v>198</v>
      </c>
      <c r="D45" s="48" t="s">
        <v>199</v>
      </c>
      <c r="E45" s="48" t="s">
        <v>200</v>
      </c>
      <c r="F45" s="88">
        <v>52</v>
      </c>
      <c r="G45" s="89">
        <v>32</v>
      </c>
      <c r="H45" s="90">
        <f t="shared" si="0"/>
        <v>84</v>
      </c>
      <c r="I45" s="115"/>
      <c r="J45" s="90">
        <f t="shared" si="11"/>
        <v>3</v>
      </c>
      <c r="K45" s="88">
        <v>42</v>
      </c>
      <c r="L45" s="88">
        <v>41</v>
      </c>
      <c r="M45" s="90">
        <f t="shared" si="2"/>
        <v>83</v>
      </c>
      <c r="N45" s="115"/>
      <c r="O45" s="90">
        <f t="shared" si="12"/>
        <v>2</v>
      </c>
      <c r="P45" s="88">
        <v>14</v>
      </c>
      <c r="Q45" s="115"/>
      <c r="R45" s="90" t="str">
        <f t="shared" si="13"/>
        <v>F</v>
      </c>
      <c r="S45" s="88">
        <v>47</v>
      </c>
      <c r="T45" s="115"/>
      <c r="U45" s="90">
        <f t="shared" si="5"/>
        <v>2</v>
      </c>
      <c r="V45" s="88">
        <v>47</v>
      </c>
      <c r="W45" s="115"/>
      <c r="X45" s="90">
        <f t="shared" si="6"/>
        <v>2</v>
      </c>
      <c r="Y45" s="88">
        <v>22</v>
      </c>
      <c r="Z45" s="115"/>
      <c r="AA45" s="90">
        <f t="shared" si="14"/>
        <v>2</v>
      </c>
      <c r="AB45" s="88">
        <v>29</v>
      </c>
      <c r="AC45" s="115"/>
      <c r="AD45" s="90">
        <f t="shared" si="15"/>
        <v>3</v>
      </c>
      <c r="AE45" s="90" t="str">
        <f t="shared" si="16"/>
        <v>F</v>
      </c>
      <c r="AF45" s="93" t="str">
        <f t="shared" si="17"/>
        <v>F</v>
      </c>
      <c r="AG45" s="95" t="str">
        <f t="shared" si="18"/>
        <v>NEED TO PROGRESS</v>
      </c>
      <c r="AH45" s="91">
        <f t="shared" si="19"/>
        <v>326</v>
      </c>
      <c r="AI45" s="61"/>
      <c r="AJ45" s="61"/>
    </row>
    <row r="46" spans="1:36" s="62" customFormat="1">
      <c r="A46" s="55">
        <v>40</v>
      </c>
      <c r="B46" s="49">
        <v>52</v>
      </c>
      <c r="C46" s="49" t="s">
        <v>201</v>
      </c>
      <c r="D46" s="49" t="s">
        <v>202</v>
      </c>
      <c r="E46" s="49" t="s">
        <v>203</v>
      </c>
      <c r="F46" s="88">
        <v>31</v>
      </c>
      <c r="G46" s="89">
        <v>37</v>
      </c>
      <c r="H46" s="90">
        <f t="shared" si="0"/>
        <v>68</v>
      </c>
      <c r="I46" s="115"/>
      <c r="J46" s="90">
        <f t="shared" si="11"/>
        <v>2</v>
      </c>
      <c r="K46" s="88">
        <v>29</v>
      </c>
      <c r="L46" s="88">
        <v>41</v>
      </c>
      <c r="M46" s="90">
        <f t="shared" si="2"/>
        <v>70</v>
      </c>
      <c r="N46" s="115"/>
      <c r="O46" s="90" t="str">
        <f t="shared" si="12"/>
        <v>F</v>
      </c>
      <c r="P46" s="88">
        <v>15</v>
      </c>
      <c r="Q46" s="115"/>
      <c r="R46" s="90" t="str">
        <f t="shared" si="13"/>
        <v>F</v>
      </c>
      <c r="S46" s="88">
        <v>65</v>
      </c>
      <c r="T46" s="115"/>
      <c r="U46" s="90">
        <f t="shared" si="5"/>
        <v>3.5</v>
      </c>
      <c r="V46" s="88">
        <v>40</v>
      </c>
      <c r="W46" s="115"/>
      <c r="X46" s="90">
        <f t="shared" si="6"/>
        <v>2</v>
      </c>
      <c r="Y46" s="88">
        <v>29</v>
      </c>
      <c r="Z46" s="115"/>
      <c r="AA46" s="90">
        <f t="shared" si="14"/>
        <v>3</v>
      </c>
      <c r="AB46" s="88">
        <v>29</v>
      </c>
      <c r="AC46" s="115"/>
      <c r="AD46" s="90">
        <f t="shared" si="15"/>
        <v>3</v>
      </c>
      <c r="AE46" s="90" t="str">
        <f t="shared" si="16"/>
        <v>F</v>
      </c>
      <c r="AF46" s="93" t="str">
        <f t="shared" si="17"/>
        <v>F</v>
      </c>
      <c r="AG46" s="95" t="str">
        <f>IF(AF46="F","NEED TO PROGRESS",IF(AF46&gt;=5,"BEST",IF(AF46&gt;=4,"BETTER",IF(AF46&gt;=2,"GOOD"))))</f>
        <v>NEED TO PROGRESS</v>
      </c>
      <c r="AH46" s="91">
        <f t="shared" si="19"/>
        <v>316</v>
      </c>
      <c r="AI46" s="61"/>
      <c r="AJ46" s="61"/>
    </row>
    <row r="47" spans="1:36" s="62" customFormat="1">
      <c r="A47" s="55">
        <v>41</v>
      </c>
      <c r="B47" s="49">
        <v>59</v>
      </c>
      <c r="C47" s="49" t="s">
        <v>204</v>
      </c>
      <c r="D47" s="49" t="s">
        <v>205</v>
      </c>
      <c r="E47" s="49" t="s">
        <v>206</v>
      </c>
      <c r="F47" s="88">
        <v>45</v>
      </c>
      <c r="G47" s="89">
        <v>26</v>
      </c>
      <c r="H47" s="90">
        <f t="shared" si="0"/>
        <v>71</v>
      </c>
      <c r="I47" s="115"/>
      <c r="J47" s="90">
        <f t="shared" si="11"/>
        <v>2</v>
      </c>
      <c r="K47" s="88">
        <v>40</v>
      </c>
      <c r="L47" s="88">
        <v>44</v>
      </c>
      <c r="M47" s="90">
        <f t="shared" si="2"/>
        <v>84</v>
      </c>
      <c r="N47" s="115"/>
      <c r="O47" s="90">
        <f t="shared" si="12"/>
        <v>2</v>
      </c>
      <c r="P47" s="88">
        <v>20</v>
      </c>
      <c r="Q47" s="115"/>
      <c r="R47" s="90" t="str">
        <f t="shared" si="13"/>
        <v>F</v>
      </c>
      <c r="S47" s="88">
        <v>54</v>
      </c>
      <c r="T47" s="115"/>
      <c r="U47" s="90">
        <f t="shared" si="5"/>
        <v>3</v>
      </c>
      <c r="V47" s="88">
        <v>40</v>
      </c>
      <c r="W47" s="115"/>
      <c r="X47" s="90">
        <f t="shared" si="6"/>
        <v>2</v>
      </c>
      <c r="Y47" s="88">
        <v>31</v>
      </c>
      <c r="Z47" s="115"/>
      <c r="AA47" s="90">
        <f t="shared" si="14"/>
        <v>3.5</v>
      </c>
      <c r="AB47" s="88">
        <v>32</v>
      </c>
      <c r="AC47" s="115"/>
      <c r="AD47" s="90">
        <f t="shared" si="15"/>
        <v>3.5</v>
      </c>
      <c r="AE47" s="90" t="str">
        <f t="shared" si="16"/>
        <v>F</v>
      </c>
      <c r="AF47" s="93" t="str">
        <f t="shared" si="17"/>
        <v>F</v>
      </c>
      <c r="AG47" s="96"/>
      <c r="AH47" s="91">
        <f t="shared" si="19"/>
        <v>332</v>
      </c>
      <c r="AI47" s="61"/>
      <c r="AJ47" s="61"/>
    </row>
    <row r="48" spans="1:36" s="62" customFormat="1">
      <c r="A48" s="55">
        <v>42</v>
      </c>
      <c r="B48" s="49">
        <v>61</v>
      </c>
      <c r="C48" s="49" t="s">
        <v>207</v>
      </c>
      <c r="D48" s="49" t="s">
        <v>208</v>
      </c>
      <c r="E48" s="49" t="s">
        <v>209</v>
      </c>
      <c r="F48" s="88">
        <v>49</v>
      </c>
      <c r="G48" s="89">
        <v>37</v>
      </c>
      <c r="H48" s="90">
        <f t="shared" si="0"/>
        <v>86</v>
      </c>
      <c r="I48" s="115"/>
      <c r="J48" s="90">
        <f t="shared" si="11"/>
        <v>3</v>
      </c>
      <c r="K48" s="88">
        <v>43</v>
      </c>
      <c r="L48" s="88">
        <v>22</v>
      </c>
      <c r="M48" s="90">
        <f t="shared" si="2"/>
        <v>65</v>
      </c>
      <c r="N48" s="115"/>
      <c r="O48" s="90" t="str">
        <f t="shared" si="12"/>
        <v>F</v>
      </c>
      <c r="P48" s="88">
        <v>40</v>
      </c>
      <c r="Q48" s="115"/>
      <c r="R48" s="90">
        <f t="shared" si="13"/>
        <v>2</v>
      </c>
      <c r="S48" s="88">
        <v>52</v>
      </c>
      <c r="T48" s="115"/>
      <c r="U48" s="90">
        <f t="shared" si="5"/>
        <v>3</v>
      </c>
      <c r="V48" s="88">
        <v>46</v>
      </c>
      <c r="W48" s="115"/>
      <c r="X48" s="90">
        <f t="shared" si="6"/>
        <v>2</v>
      </c>
      <c r="Y48" s="88">
        <v>27</v>
      </c>
      <c r="Z48" s="115"/>
      <c r="AA48" s="90">
        <f t="shared" si="14"/>
        <v>3</v>
      </c>
      <c r="AB48" s="88">
        <v>24</v>
      </c>
      <c r="AC48" s="115"/>
      <c r="AD48" s="90">
        <f t="shared" si="15"/>
        <v>2</v>
      </c>
      <c r="AE48" s="90" t="str">
        <f t="shared" si="16"/>
        <v>F</v>
      </c>
      <c r="AF48" s="93" t="str">
        <f t="shared" si="17"/>
        <v>F</v>
      </c>
      <c r="AG48" s="96"/>
      <c r="AH48" s="91">
        <f t="shared" si="19"/>
        <v>340</v>
      </c>
      <c r="AI48" s="61"/>
      <c r="AJ48" s="61"/>
    </row>
    <row r="49" spans="1:36" s="62" customFormat="1">
      <c r="A49" s="55">
        <v>43</v>
      </c>
      <c r="B49" s="49">
        <v>62</v>
      </c>
      <c r="C49" s="49" t="s">
        <v>210</v>
      </c>
      <c r="D49" s="49" t="s">
        <v>211</v>
      </c>
      <c r="E49" s="49" t="s">
        <v>212</v>
      </c>
      <c r="F49" s="88">
        <v>74</v>
      </c>
      <c r="G49" s="89">
        <v>31</v>
      </c>
      <c r="H49" s="90">
        <f t="shared" si="0"/>
        <v>105</v>
      </c>
      <c r="I49" s="115"/>
      <c r="J49" s="90">
        <f t="shared" si="11"/>
        <v>4</v>
      </c>
      <c r="K49" s="88">
        <v>47</v>
      </c>
      <c r="L49" s="88">
        <v>43</v>
      </c>
      <c r="M49" s="90">
        <f t="shared" si="2"/>
        <v>90</v>
      </c>
      <c r="N49" s="115"/>
      <c r="O49" s="90">
        <f t="shared" si="12"/>
        <v>2</v>
      </c>
      <c r="P49" s="88">
        <v>25</v>
      </c>
      <c r="Q49" s="115"/>
      <c r="R49" s="90" t="str">
        <f t="shared" si="13"/>
        <v>F</v>
      </c>
      <c r="S49" s="88">
        <v>40</v>
      </c>
      <c r="T49" s="115"/>
      <c r="U49" s="90">
        <f t="shared" si="5"/>
        <v>2</v>
      </c>
      <c r="V49" s="88">
        <v>55</v>
      </c>
      <c r="W49" s="115"/>
      <c r="X49" s="90">
        <f t="shared" si="6"/>
        <v>3</v>
      </c>
      <c r="Y49" s="88">
        <v>31</v>
      </c>
      <c r="Z49" s="115"/>
      <c r="AA49" s="90">
        <f t="shared" si="14"/>
        <v>3.5</v>
      </c>
      <c r="AB49" s="88">
        <v>34</v>
      </c>
      <c r="AC49" s="115"/>
      <c r="AD49" s="90">
        <f t="shared" si="15"/>
        <v>3.5</v>
      </c>
      <c r="AE49" s="90" t="str">
        <f t="shared" si="16"/>
        <v>F</v>
      </c>
      <c r="AF49" s="93" t="str">
        <f t="shared" si="17"/>
        <v>F</v>
      </c>
      <c r="AG49" s="96"/>
      <c r="AH49" s="91">
        <f t="shared" si="19"/>
        <v>380</v>
      </c>
      <c r="AI49" s="61"/>
      <c r="AJ49" s="61"/>
    </row>
    <row r="50" spans="1:36" s="62" customFormat="1">
      <c r="A50" s="55">
        <v>44</v>
      </c>
      <c r="B50" s="49">
        <v>65</v>
      </c>
      <c r="C50" s="49" t="s">
        <v>213</v>
      </c>
      <c r="D50" s="49" t="s">
        <v>214</v>
      </c>
      <c r="E50" s="49" t="s">
        <v>215</v>
      </c>
      <c r="F50" s="88">
        <v>61</v>
      </c>
      <c r="G50" s="89">
        <v>41</v>
      </c>
      <c r="H50" s="90">
        <f t="shared" si="0"/>
        <v>102</v>
      </c>
      <c r="I50" s="115"/>
      <c r="J50" s="90">
        <f t="shared" si="11"/>
        <v>3.5</v>
      </c>
      <c r="K50" s="88">
        <v>75</v>
      </c>
      <c r="L50" s="88">
        <v>51</v>
      </c>
      <c r="M50" s="90">
        <f t="shared" si="2"/>
        <v>126</v>
      </c>
      <c r="N50" s="115"/>
      <c r="O50" s="90">
        <f t="shared" si="12"/>
        <v>3.5</v>
      </c>
      <c r="P50" s="88">
        <v>55</v>
      </c>
      <c r="Q50" s="115"/>
      <c r="R50" s="90">
        <f t="shared" si="13"/>
        <v>3</v>
      </c>
      <c r="S50" s="88">
        <v>80</v>
      </c>
      <c r="T50" s="115"/>
      <c r="U50" s="90">
        <f t="shared" si="5"/>
        <v>5</v>
      </c>
      <c r="V50" s="88">
        <v>70</v>
      </c>
      <c r="W50" s="115"/>
      <c r="X50" s="90">
        <f t="shared" si="6"/>
        <v>4</v>
      </c>
      <c r="Y50" s="88">
        <v>39</v>
      </c>
      <c r="Z50" s="115"/>
      <c r="AA50" s="90">
        <f t="shared" si="14"/>
        <v>4</v>
      </c>
      <c r="AB50" s="88">
        <v>42</v>
      </c>
      <c r="AC50" s="115"/>
      <c r="AD50" s="90">
        <f t="shared" si="15"/>
        <v>5</v>
      </c>
      <c r="AE50" s="90">
        <f t="shared" si="16"/>
        <v>28</v>
      </c>
      <c r="AF50" s="93">
        <f t="shared" si="17"/>
        <v>4</v>
      </c>
      <c r="AG50" s="96"/>
      <c r="AH50" s="91">
        <f t="shared" si="19"/>
        <v>514</v>
      </c>
      <c r="AI50" s="61"/>
      <c r="AJ50" s="61"/>
    </row>
    <row r="51" spans="1:36" s="62" customFormat="1">
      <c r="A51" s="55">
        <v>45</v>
      </c>
      <c r="B51" s="49">
        <v>66</v>
      </c>
      <c r="C51" s="49" t="s">
        <v>216</v>
      </c>
      <c r="D51" s="49" t="s">
        <v>217</v>
      </c>
      <c r="E51" s="49" t="s">
        <v>218</v>
      </c>
      <c r="F51" s="88">
        <v>77</v>
      </c>
      <c r="G51" s="89">
        <v>44</v>
      </c>
      <c r="H51" s="90">
        <f t="shared" si="0"/>
        <v>121</v>
      </c>
      <c r="I51" s="115"/>
      <c r="J51" s="90">
        <f t="shared" si="11"/>
        <v>5</v>
      </c>
      <c r="K51" s="88">
        <v>82</v>
      </c>
      <c r="L51" s="88">
        <v>67</v>
      </c>
      <c r="M51" s="90">
        <f t="shared" si="2"/>
        <v>149</v>
      </c>
      <c r="N51" s="115"/>
      <c r="O51" s="90">
        <f t="shared" si="12"/>
        <v>4</v>
      </c>
      <c r="P51" s="88">
        <v>60</v>
      </c>
      <c r="Q51" s="115"/>
      <c r="R51" s="90">
        <f t="shared" si="13"/>
        <v>3.5</v>
      </c>
      <c r="S51" s="88">
        <v>90</v>
      </c>
      <c r="T51" s="115"/>
      <c r="U51" s="90">
        <f t="shared" si="5"/>
        <v>5</v>
      </c>
      <c r="V51" s="88">
        <v>72</v>
      </c>
      <c r="W51" s="115"/>
      <c r="X51" s="90">
        <f t="shared" si="6"/>
        <v>4</v>
      </c>
      <c r="Y51" s="88">
        <v>46</v>
      </c>
      <c r="Z51" s="115"/>
      <c r="AA51" s="90">
        <f t="shared" si="14"/>
        <v>5</v>
      </c>
      <c r="AB51" s="88">
        <v>40</v>
      </c>
      <c r="AC51" s="115"/>
      <c r="AD51" s="90">
        <f t="shared" si="15"/>
        <v>5</v>
      </c>
      <c r="AE51" s="90">
        <f t="shared" si="16"/>
        <v>31.5</v>
      </c>
      <c r="AF51" s="93">
        <f t="shared" si="17"/>
        <v>4.5</v>
      </c>
      <c r="AG51" s="96"/>
      <c r="AH51" s="91">
        <f t="shared" si="19"/>
        <v>578</v>
      </c>
      <c r="AI51" s="61"/>
      <c r="AJ51" s="61"/>
    </row>
    <row r="52" spans="1:36" s="62" customFormat="1">
      <c r="A52" s="55">
        <v>46</v>
      </c>
      <c r="B52" s="49">
        <v>69</v>
      </c>
      <c r="C52" s="49" t="s">
        <v>219</v>
      </c>
      <c r="D52" s="49" t="s">
        <v>220</v>
      </c>
      <c r="E52" s="49" t="s">
        <v>221</v>
      </c>
      <c r="F52" s="88">
        <v>59</v>
      </c>
      <c r="G52" s="89">
        <v>40</v>
      </c>
      <c r="H52" s="90">
        <f t="shared" si="0"/>
        <v>99</v>
      </c>
      <c r="I52" s="115"/>
      <c r="J52" s="90">
        <f t="shared" si="11"/>
        <v>3.5</v>
      </c>
      <c r="K52" s="88">
        <v>64</v>
      </c>
      <c r="L52" s="88">
        <v>61</v>
      </c>
      <c r="M52" s="90">
        <f t="shared" si="2"/>
        <v>125</v>
      </c>
      <c r="N52" s="115"/>
      <c r="O52" s="90">
        <f t="shared" si="12"/>
        <v>3.5</v>
      </c>
      <c r="P52" s="88">
        <v>53</v>
      </c>
      <c r="Q52" s="115"/>
      <c r="R52" s="90">
        <f t="shared" si="13"/>
        <v>3</v>
      </c>
      <c r="S52" s="88">
        <v>76</v>
      </c>
      <c r="T52" s="115"/>
      <c r="U52" s="90">
        <f t="shared" si="5"/>
        <v>4</v>
      </c>
      <c r="V52" s="88">
        <v>60</v>
      </c>
      <c r="W52" s="115"/>
      <c r="X52" s="90">
        <f t="shared" si="6"/>
        <v>3.5</v>
      </c>
      <c r="Y52" s="88">
        <v>44</v>
      </c>
      <c r="Z52" s="115"/>
      <c r="AA52" s="90">
        <f t="shared" si="14"/>
        <v>5</v>
      </c>
      <c r="AB52" s="88">
        <v>43</v>
      </c>
      <c r="AC52" s="115"/>
      <c r="AD52" s="90">
        <f t="shared" si="15"/>
        <v>5</v>
      </c>
      <c r="AE52" s="90">
        <f t="shared" si="16"/>
        <v>27.5</v>
      </c>
      <c r="AF52" s="93">
        <f t="shared" si="17"/>
        <v>3.9285714285714284</v>
      </c>
      <c r="AG52" s="96"/>
      <c r="AH52" s="91">
        <f t="shared" si="19"/>
        <v>500</v>
      </c>
      <c r="AI52" s="61"/>
      <c r="AJ52" s="61"/>
    </row>
    <row r="53" spans="1:36" s="62" customFormat="1">
      <c r="A53" s="55">
        <v>47</v>
      </c>
      <c r="B53" s="49">
        <v>70</v>
      </c>
      <c r="C53" s="49" t="s">
        <v>222</v>
      </c>
      <c r="D53" s="49" t="s">
        <v>223</v>
      </c>
      <c r="E53" s="49" t="s">
        <v>224</v>
      </c>
      <c r="F53" s="88">
        <v>49</v>
      </c>
      <c r="G53" s="89">
        <v>34</v>
      </c>
      <c r="H53" s="90">
        <f t="shared" si="0"/>
        <v>83</v>
      </c>
      <c r="I53" s="115"/>
      <c r="J53" s="90">
        <f t="shared" si="11"/>
        <v>3</v>
      </c>
      <c r="K53" s="88">
        <v>52</v>
      </c>
      <c r="L53" s="88">
        <v>51</v>
      </c>
      <c r="M53" s="90">
        <f t="shared" si="2"/>
        <v>103</v>
      </c>
      <c r="N53" s="115"/>
      <c r="O53" s="90">
        <f t="shared" si="12"/>
        <v>3</v>
      </c>
      <c r="P53" s="88">
        <v>16</v>
      </c>
      <c r="Q53" s="115"/>
      <c r="R53" s="90" t="str">
        <f t="shared" si="13"/>
        <v>F</v>
      </c>
      <c r="S53" s="88">
        <v>53</v>
      </c>
      <c r="T53" s="115"/>
      <c r="U53" s="90">
        <f t="shared" si="5"/>
        <v>3</v>
      </c>
      <c r="V53" s="88">
        <v>52</v>
      </c>
      <c r="W53" s="115"/>
      <c r="X53" s="90">
        <f t="shared" si="6"/>
        <v>3</v>
      </c>
      <c r="Y53" s="88">
        <v>20</v>
      </c>
      <c r="Z53" s="115"/>
      <c r="AA53" s="90">
        <f t="shared" si="14"/>
        <v>2</v>
      </c>
      <c r="AB53" s="88">
        <v>21</v>
      </c>
      <c r="AC53" s="115"/>
      <c r="AD53" s="90">
        <f t="shared" si="15"/>
        <v>2</v>
      </c>
      <c r="AE53" s="90" t="str">
        <f t="shared" si="16"/>
        <v>F</v>
      </c>
      <c r="AF53" s="93" t="str">
        <f t="shared" si="17"/>
        <v>F</v>
      </c>
      <c r="AG53" s="96"/>
      <c r="AH53" s="91">
        <f t="shared" si="19"/>
        <v>348</v>
      </c>
      <c r="AI53" s="61"/>
      <c r="AJ53" s="61"/>
    </row>
    <row r="54" spans="1:36" s="62" customFormat="1">
      <c r="A54" s="55">
        <v>48</v>
      </c>
      <c r="B54" s="49">
        <v>71</v>
      </c>
      <c r="C54" s="49" t="s">
        <v>225</v>
      </c>
      <c r="D54" s="49" t="s">
        <v>226</v>
      </c>
      <c r="E54" s="49" t="s">
        <v>227</v>
      </c>
      <c r="F54" s="88">
        <v>80</v>
      </c>
      <c r="G54" s="89">
        <v>41</v>
      </c>
      <c r="H54" s="90">
        <f t="shared" si="0"/>
        <v>121</v>
      </c>
      <c r="I54" s="115"/>
      <c r="J54" s="90">
        <f t="shared" si="11"/>
        <v>5</v>
      </c>
      <c r="K54" s="88">
        <v>80</v>
      </c>
      <c r="L54" s="88">
        <v>65</v>
      </c>
      <c r="M54" s="90">
        <f t="shared" si="2"/>
        <v>145</v>
      </c>
      <c r="N54" s="115"/>
      <c r="O54" s="90">
        <f t="shared" si="12"/>
        <v>4</v>
      </c>
      <c r="P54" s="88">
        <v>40</v>
      </c>
      <c r="Q54" s="115"/>
      <c r="R54" s="90">
        <f t="shared" si="13"/>
        <v>2</v>
      </c>
      <c r="S54" s="88">
        <v>85</v>
      </c>
      <c r="T54" s="115"/>
      <c r="U54" s="90">
        <f t="shared" si="5"/>
        <v>5</v>
      </c>
      <c r="V54" s="88">
        <v>81</v>
      </c>
      <c r="W54" s="115"/>
      <c r="X54" s="90">
        <f t="shared" si="6"/>
        <v>5</v>
      </c>
      <c r="Y54" s="88">
        <v>44</v>
      </c>
      <c r="Z54" s="115"/>
      <c r="AA54" s="90">
        <f t="shared" si="14"/>
        <v>5</v>
      </c>
      <c r="AB54" s="88">
        <v>44</v>
      </c>
      <c r="AC54" s="115"/>
      <c r="AD54" s="90">
        <f t="shared" si="15"/>
        <v>5</v>
      </c>
      <c r="AE54" s="90">
        <f t="shared" si="16"/>
        <v>31</v>
      </c>
      <c r="AF54" s="93">
        <f t="shared" si="17"/>
        <v>4.4285714285714288</v>
      </c>
      <c r="AG54" s="96"/>
      <c r="AH54" s="91">
        <f t="shared" si="19"/>
        <v>560</v>
      </c>
      <c r="AI54" s="61"/>
      <c r="AJ54" s="61"/>
    </row>
    <row r="55" spans="1:36" s="62" customFormat="1">
      <c r="A55" s="55">
        <v>49</v>
      </c>
      <c r="B55" s="49">
        <v>73</v>
      </c>
      <c r="C55" s="49" t="s">
        <v>228</v>
      </c>
      <c r="D55" s="49" t="s">
        <v>229</v>
      </c>
      <c r="E55" s="49" t="s">
        <v>230</v>
      </c>
      <c r="F55" s="88">
        <v>55</v>
      </c>
      <c r="G55" s="89">
        <v>31</v>
      </c>
      <c r="H55" s="90">
        <f t="shared" si="0"/>
        <v>86</v>
      </c>
      <c r="I55" s="115"/>
      <c r="J55" s="90">
        <f t="shared" si="11"/>
        <v>3</v>
      </c>
      <c r="K55" s="88">
        <v>75</v>
      </c>
      <c r="L55" s="88">
        <v>51</v>
      </c>
      <c r="M55" s="90">
        <f t="shared" si="2"/>
        <v>126</v>
      </c>
      <c r="N55" s="115"/>
      <c r="O55" s="90">
        <f t="shared" si="12"/>
        <v>3.5</v>
      </c>
      <c r="P55" s="88">
        <v>18</v>
      </c>
      <c r="Q55" s="115"/>
      <c r="R55" s="90" t="str">
        <f t="shared" si="13"/>
        <v>F</v>
      </c>
      <c r="S55" s="88">
        <v>59</v>
      </c>
      <c r="T55" s="115"/>
      <c r="U55" s="90">
        <f t="shared" si="5"/>
        <v>3</v>
      </c>
      <c r="V55" s="88">
        <v>51</v>
      </c>
      <c r="W55" s="115"/>
      <c r="X55" s="90">
        <f t="shared" si="6"/>
        <v>3</v>
      </c>
      <c r="Y55" s="88">
        <v>26</v>
      </c>
      <c r="Z55" s="115"/>
      <c r="AA55" s="90">
        <f t="shared" si="14"/>
        <v>3</v>
      </c>
      <c r="AB55" s="88">
        <v>15</v>
      </c>
      <c r="AC55" s="115"/>
      <c r="AD55" s="90" t="str">
        <f t="shared" si="15"/>
        <v>F</v>
      </c>
      <c r="AE55" s="90" t="str">
        <f t="shared" si="16"/>
        <v>F</v>
      </c>
      <c r="AF55" s="93" t="str">
        <f t="shared" si="17"/>
        <v>F</v>
      </c>
      <c r="AG55" s="96"/>
      <c r="AH55" s="91">
        <f t="shared" si="19"/>
        <v>381</v>
      </c>
      <c r="AI55" s="61"/>
      <c r="AJ55" s="61"/>
    </row>
    <row r="56" spans="1:36" s="62" customFormat="1">
      <c r="A56" s="55">
        <v>50</v>
      </c>
      <c r="B56" s="49">
        <v>76</v>
      </c>
      <c r="C56" s="49" t="s">
        <v>231</v>
      </c>
      <c r="D56" s="49" t="s">
        <v>232</v>
      </c>
      <c r="E56" s="49" t="s">
        <v>233</v>
      </c>
      <c r="F56" s="88">
        <v>90</v>
      </c>
      <c r="G56" s="89">
        <v>45</v>
      </c>
      <c r="H56" s="90">
        <f t="shared" si="0"/>
        <v>135</v>
      </c>
      <c r="I56" s="115"/>
      <c r="J56" s="90">
        <f t="shared" si="11"/>
        <v>5</v>
      </c>
      <c r="K56" s="88">
        <v>72</v>
      </c>
      <c r="L56" s="88">
        <v>57</v>
      </c>
      <c r="M56" s="90">
        <f t="shared" si="2"/>
        <v>129</v>
      </c>
      <c r="N56" s="115"/>
      <c r="O56" s="90">
        <f t="shared" si="12"/>
        <v>3.5</v>
      </c>
      <c r="P56" s="88">
        <v>40</v>
      </c>
      <c r="Q56" s="115"/>
      <c r="R56" s="90">
        <f t="shared" si="13"/>
        <v>2</v>
      </c>
      <c r="S56" s="88">
        <v>80</v>
      </c>
      <c r="T56" s="115"/>
      <c r="U56" s="90">
        <f t="shared" si="5"/>
        <v>5</v>
      </c>
      <c r="V56" s="88">
        <v>87</v>
      </c>
      <c r="W56" s="115"/>
      <c r="X56" s="90">
        <f t="shared" si="6"/>
        <v>5</v>
      </c>
      <c r="Y56" s="88">
        <v>47</v>
      </c>
      <c r="Z56" s="115"/>
      <c r="AA56" s="90">
        <f t="shared" si="14"/>
        <v>5</v>
      </c>
      <c r="AB56" s="88">
        <v>47</v>
      </c>
      <c r="AC56" s="115"/>
      <c r="AD56" s="90">
        <f t="shared" si="15"/>
        <v>5</v>
      </c>
      <c r="AE56" s="90">
        <f t="shared" si="16"/>
        <v>30.5</v>
      </c>
      <c r="AF56" s="93">
        <f t="shared" si="17"/>
        <v>4.3571428571428568</v>
      </c>
      <c r="AG56" s="97" t="str">
        <f>IF(AF56="F","NEED TO PROGRESS",IF(AF56&gt;=5,"BEST",IF(AF56&gt;=4,"BETTER",IF(AF56&gt;=2,"GOOD"))))</f>
        <v>BETTER</v>
      </c>
      <c r="AH56" s="91">
        <f t="shared" si="19"/>
        <v>565</v>
      </c>
      <c r="AI56" s="61"/>
      <c r="AJ56" s="61"/>
    </row>
    <row r="57" spans="1:36" s="62" customFormat="1">
      <c r="A57" s="55">
        <v>51</v>
      </c>
      <c r="B57" s="49">
        <v>77</v>
      </c>
      <c r="C57" s="49" t="s">
        <v>234</v>
      </c>
      <c r="D57" s="49" t="s">
        <v>235</v>
      </c>
      <c r="E57" s="49" t="s">
        <v>236</v>
      </c>
      <c r="F57" s="88">
        <v>74</v>
      </c>
      <c r="G57" s="89">
        <v>35</v>
      </c>
      <c r="H57" s="90">
        <f t="shared" si="0"/>
        <v>109</v>
      </c>
      <c r="I57" s="115"/>
      <c r="J57" s="90">
        <f t="shared" si="11"/>
        <v>4</v>
      </c>
      <c r="K57" s="88">
        <v>79</v>
      </c>
      <c r="L57" s="88">
        <v>62</v>
      </c>
      <c r="M57" s="90">
        <f t="shared" si="2"/>
        <v>141</v>
      </c>
      <c r="N57" s="115"/>
      <c r="O57" s="90">
        <f t="shared" si="12"/>
        <v>4</v>
      </c>
      <c r="P57" s="88">
        <v>25</v>
      </c>
      <c r="Q57" s="115"/>
      <c r="R57" s="90" t="str">
        <f t="shared" si="13"/>
        <v>F</v>
      </c>
      <c r="S57" s="88">
        <v>80</v>
      </c>
      <c r="T57" s="115"/>
      <c r="U57" s="90">
        <f t="shared" si="5"/>
        <v>5</v>
      </c>
      <c r="V57" s="88">
        <v>72</v>
      </c>
      <c r="W57" s="115"/>
      <c r="X57" s="90">
        <f t="shared" si="6"/>
        <v>4</v>
      </c>
      <c r="Y57" s="88">
        <v>41</v>
      </c>
      <c r="Z57" s="115"/>
      <c r="AA57" s="90">
        <f t="shared" si="14"/>
        <v>5</v>
      </c>
      <c r="AB57" s="88">
        <v>46</v>
      </c>
      <c r="AC57" s="115"/>
      <c r="AD57" s="90">
        <f t="shared" si="15"/>
        <v>5</v>
      </c>
      <c r="AE57" s="90" t="str">
        <f t="shared" si="16"/>
        <v>F</v>
      </c>
      <c r="AF57" s="93" t="str">
        <f t="shared" si="17"/>
        <v>F</v>
      </c>
      <c r="AG57" s="95" t="str">
        <f t="shared" ref="AG57:AG64" si="20">IF(AF57="F","NEED TO PROGRESS",IF(AF57&gt;=5,"BEST",IF(AF57&gt;=4,"BETTER",IF(AF57&gt;=2,"GOOD"))))</f>
        <v>NEED TO PROGRESS</v>
      </c>
      <c r="AH57" s="91">
        <f t="shared" si="19"/>
        <v>514</v>
      </c>
      <c r="AI57" s="61"/>
      <c r="AJ57" s="61"/>
    </row>
    <row r="58" spans="1:36" s="62" customFormat="1">
      <c r="A58" s="55">
        <v>52</v>
      </c>
      <c r="B58" s="49">
        <v>84</v>
      </c>
      <c r="C58" s="49" t="s">
        <v>237</v>
      </c>
      <c r="D58" s="49" t="s">
        <v>238</v>
      </c>
      <c r="E58" s="49" t="s">
        <v>239</v>
      </c>
      <c r="F58" s="88">
        <v>53</v>
      </c>
      <c r="G58" s="89">
        <v>33</v>
      </c>
      <c r="H58" s="90">
        <f t="shared" si="0"/>
        <v>86</v>
      </c>
      <c r="I58" s="115"/>
      <c r="J58" s="90">
        <f t="shared" si="11"/>
        <v>3</v>
      </c>
      <c r="K58" s="88">
        <v>65</v>
      </c>
      <c r="L58" s="88">
        <v>48</v>
      </c>
      <c r="M58" s="90">
        <f t="shared" si="2"/>
        <v>113</v>
      </c>
      <c r="N58" s="115"/>
      <c r="O58" s="90">
        <f t="shared" si="12"/>
        <v>3</v>
      </c>
      <c r="P58" s="88">
        <v>20</v>
      </c>
      <c r="Q58" s="115"/>
      <c r="R58" s="90" t="str">
        <f t="shared" si="13"/>
        <v>F</v>
      </c>
      <c r="S58" s="88">
        <v>57</v>
      </c>
      <c r="T58" s="115"/>
      <c r="U58" s="90">
        <f t="shared" si="5"/>
        <v>3</v>
      </c>
      <c r="V58" s="88">
        <v>41</v>
      </c>
      <c r="W58" s="115"/>
      <c r="X58" s="90">
        <f t="shared" si="6"/>
        <v>2</v>
      </c>
      <c r="Y58" s="88">
        <v>20</v>
      </c>
      <c r="Z58" s="115"/>
      <c r="AA58" s="90">
        <f t="shared" si="14"/>
        <v>2</v>
      </c>
      <c r="AB58" s="88">
        <v>12</v>
      </c>
      <c r="AC58" s="115"/>
      <c r="AD58" s="90" t="str">
        <f t="shared" si="15"/>
        <v>F</v>
      </c>
      <c r="AE58" s="90" t="str">
        <f t="shared" si="16"/>
        <v>F</v>
      </c>
      <c r="AF58" s="93" t="str">
        <f t="shared" si="17"/>
        <v>F</v>
      </c>
      <c r="AG58" s="95" t="str">
        <f t="shared" si="20"/>
        <v>NEED TO PROGRESS</v>
      </c>
      <c r="AH58" s="91">
        <f t="shared" si="19"/>
        <v>349</v>
      </c>
      <c r="AI58" s="61"/>
      <c r="AJ58" s="61"/>
    </row>
    <row r="59" spans="1:36" s="62" customFormat="1">
      <c r="A59" s="55">
        <v>53</v>
      </c>
      <c r="B59" s="49">
        <v>85</v>
      </c>
      <c r="C59" s="49" t="s">
        <v>240</v>
      </c>
      <c r="D59" s="49" t="s">
        <v>241</v>
      </c>
      <c r="E59" s="49" t="s">
        <v>242</v>
      </c>
      <c r="F59" s="88">
        <v>78</v>
      </c>
      <c r="G59" s="89">
        <v>42</v>
      </c>
      <c r="H59" s="90">
        <f t="shared" si="0"/>
        <v>120</v>
      </c>
      <c r="I59" s="115"/>
      <c r="J59" s="90">
        <f t="shared" si="11"/>
        <v>5</v>
      </c>
      <c r="K59" s="88">
        <v>70</v>
      </c>
      <c r="L59" s="88">
        <v>69</v>
      </c>
      <c r="M59" s="90">
        <f t="shared" si="2"/>
        <v>139</v>
      </c>
      <c r="N59" s="115"/>
      <c r="O59" s="90">
        <f t="shared" si="12"/>
        <v>4</v>
      </c>
      <c r="P59" s="88">
        <v>40</v>
      </c>
      <c r="Q59" s="115"/>
      <c r="R59" s="90">
        <f t="shared" si="13"/>
        <v>2</v>
      </c>
      <c r="S59" s="88">
        <v>89</v>
      </c>
      <c r="T59" s="115"/>
      <c r="U59" s="90">
        <f t="shared" si="5"/>
        <v>5</v>
      </c>
      <c r="V59" s="88">
        <v>75</v>
      </c>
      <c r="W59" s="115"/>
      <c r="X59" s="90">
        <f t="shared" si="6"/>
        <v>4</v>
      </c>
      <c r="Y59" s="88">
        <v>31</v>
      </c>
      <c r="Z59" s="115"/>
      <c r="AA59" s="90">
        <f t="shared" si="14"/>
        <v>3.5</v>
      </c>
      <c r="AB59" s="88">
        <v>46</v>
      </c>
      <c r="AC59" s="115"/>
      <c r="AD59" s="90">
        <f t="shared" si="15"/>
        <v>5</v>
      </c>
      <c r="AE59" s="90">
        <f t="shared" si="16"/>
        <v>28.5</v>
      </c>
      <c r="AF59" s="93">
        <f t="shared" si="17"/>
        <v>4.0714285714285712</v>
      </c>
      <c r="AG59" s="95" t="str">
        <f t="shared" si="20"/>
        <v>BETTER</v>
      </c>
      <c r="AH59" s="91">
        <f t="shared" si="19"/>
        <v>540</v>
      </c>
      <c r="AI59" s="61"/>
      <c r="AJ59" s="61"/>
    </row>
    <row r="60" spans="1:36" s="62" customFormat="1">
      <c r="A60" s="55">
        <v>54</v>
      </c>
      <c r="B60" s="49">
        <v>89</v>
      </c>
      <c r="C60" s="49" t="s">
        <v>243</v>
      </c>
      <c r="D60" s="49" t="s">
        <v>244</v>
      </c>
      <c r="E60" s="49" t="s">
        <v>245</v>
      </c>
      <c r="F60" s="88">
        <v>55</v>
      </c>
      <c r="G60" s="89">
        <v>37</v>
      </c>
      <c r="H60" s="90">
        <f t="shared" si="0"/>
        <v>92</v>
      </c>
      <c r="I60" s="115"/>
      <c r="J60" s="90">
        <f t="shared" si="11"/>
        <v>3.5</v>
      </c>
      <c r="K60" s="88">
        <v>67</v>
      </c>
      <c r="L60" s="88">
        <v>60</v>
      </c>
      <c r="M60" s="90">
        <f t="shared" si="2"/>
        <v>127</v>
      </c>
      <c r="N60" s="115"/>
      <c r="O60" s="90">
        <f t="shared" si="12"/>
        <v>3.5</v>
      </c>
      <c r="P60" s="88">
        <v>41</v>
      </c>
      <c r="Q60" s="115"/>
      <c r="R60" s="90">
        <f t="shared" si="13"/>
        <v>2</v>
      </c>
      <c r="S60" s="88">
        <v>59</v>
      </c>
      <c r="T60" s="115"/>
      <c r="U60" s="90">
        <f t="shared" si="5"/>
        <v>3</v>
      </c>
      <c r="V60" s="88">
        <v>55</v>
      </c>
      <c r="W60" s="115"/>
      <c r="X60" s="90">
        <f t="shared" si="6"/>
        <v>3</v>
      </c>
      <c r="Y60" s="88">
        <v>26</v>
      </c>
      <c r="Z60" s="115"/>
      <c r="AA60" s="90">
        <f t="shared" si="14"/>
        <v>3</v>
      </c>
      <c r="AB60" s="88">
        <v>20</v>
      </c>
      <c r="AC60" s="115"/>
      <c r="AD60" s="90">
        <f t="shared" si="15"/>
        <v>2</v>
      </c>
      <c r="AE60" s="90">
        <f t="shared" si="16"/>
        <v>20</v>
      </c>
      <c r="AF60" s="93">
        <f t="shared" si="17"/>
        <v>2.8571428571428572</v>
      </c>
      <c r="AG60" s="95" t="str">
        <f t="shared" si="20"/>
        <v>GOOD</v>
      </c>
      <c r="AH60" s="91">
        <f t="shared" si="19"/>
        <v>420</v>
      </c>
      <c r="AI60" s="61"/>
      <c r="AJ60" s="61"/>
    </row>
    <row r="61" spans="1:36" s="62" customFormat="1">
      <c r="A61" s="55">
        <v>55</v>
      </c>
      <c r="B61" s="63"/>
      <c r="C61" s="64"/>
      <c r="D61" s="65"/>
      <c r="E61" s="65"/>
      <c r="F61" s="88"/>
      <c r="G61" s="91"/>
      <c r="H61" s="90">
        <f t="shared" si="0"/>
        <v>0</v>
      </c>
      <c r="I61" s="115"/>
      <c r="J61" s="90" t="str">
        <f t="shared" si="11"/>
        <v>F</v>
      </c>
      <c r="K61" s="91"/>
      <c r="L61" s="91"/>
      <c r="M61" s="90">
        <f t="shared" si="2"/>
        <v>0</v>
      </c>
      <c r="N61" s="115"/>
      <c r="O61" s="90" t="str">
        <f t="shared" si="12"/>
        <v>F</v>
      </c>
      <c r="P61" s="91"/>
      <c r="Q61" s="115"/>
      <c r="R61" s="90" t="str">
        <f t="shared" si="13"/>
        <v>F</v>
      </c>
      <c r="S61" s="91"/>
      <c r="T61" s="115"/>
      <c r="U61" s="90" t="str">
        <f t="shared" si="5"/>
        <v>F</v>
      </c>
      <c r="V61" s="91"/>
      <c r="W61" s="115"/>
      <c r="X61" s="90" t="str">
        <f t="shared" si="6"/>
        <v>F</v>
      </c>
      <c r="Y61" s="91"/>
      <c r="Z61" s="115"/>
      <c r="AA61" s="90" t="str">
        <f t="shared" si="14"/>
        <v>F</v>
      </c>
      <c r="AB61" s="91"/>
      <c r="AC61" s="115"/>
      <c r="AD61" s="90" t="str">
        <f t="shared" si="15"/>
        <v>F</v>
      </c>
      <c r="AE61" s="90" t="str">
        <f t="shared" si="16"/>
        <v>F</v>
      </c>
      <c r="AF61" s="93" t="str">
        <f t="shared" si="17"/>
        <v>F</v>
      </c>
      <c r="AG61" s="95" t="str">
        <f t="shared" si="20"/>
        <v>NEED TO PROGRESS</v>
      </c>
      <c r="AH61" s="91">
        <f t="shared" si="19"/>
        <v>0</v>
      </c>
      <c r="AI61" s="61"/>
      <c r="AJ61" s="61"/>
    </row>
    <row r="62" spans="1:36" s="62" customFormat="1">
      <c r="A62" s="55">
        <v>56</v>
      </c>
      <c r="B62" s="63"/>
      <c r="C62" s="64"/>
      <c r="D62" s="65"/>
      <c r="E62" s="65"/>
      <c r="F62" s="88"/>
      <c r="G62" s="91"/>
      <c r="H62" s="90">
        <f t="shared" si="0"/>
        <v>0</v>
      </c>
      <c r="I62" s="115"/>
      <c r="J62" s="90" t="str">
        <f t="shared" si="11"/>
        <v>F</v>
      </c>
      <c r="K62" s="91"/>
      <c r="L62" s="91"/>
      <c r="M62" s="90">
        <f t="shared" si="2"/>
        <v>0</v>
      </c>
      <c r="N62" s="115"/>
      <c r="O62" s="90" t="str">
        <f t="shared" si="12"/>
        <v>F</v>
      </c>
      <c r="P62" s="91"/>
      <c r="Q62" s="115"/>
      <c r="R62" s="90" t="str">
        <f t="shared" si="13"/>
        <v>F</v>
      </c>
      <c r="S62" s="91"/>
      <c r="T62" s="115"/>
      <c r="U62" s="90" t="str">
        <f t="shared" si="5"/>
        <v>F</v>
      </c>
      <c r="V62" s="91"/>
      <c r="W62" s="115"/>
      <c r="X62" s="90" t="str">
        <f t="shared" si="6"/>
        <v>F</v>
      </c>
      <c r="Y62" s="91"/>
      <c r="Z62" s="115"/>
      <c r="AA62" s="90" t="str">
        <f t="shared" si="14"/>
        <v>F</v>
      </c>
      <c r="AB62" s="91"/>
      <c r="AC62" s="115"/>
      <c r="AD62" s="90" t="str">
        <f t="shared" si="15"/>
        <v>F</v>
      </c>
      <c r="AE62" s="90" t="str">
        <f t="shared" si="16"/>
        <v>F</v>
      </c>
      <c r="AF62" s="93" t="str">
        <f t="shared" si="17"/>
        <v>F</v>
      </c>
      <c r="AG62" s="95" t="str">
        <f t="shared" si="20"/>
        <v>NEED TO PROGRESS</v>
      </c>
      <c r="AH62" s="91">
        <f t="shared" si="19"/>
        <v>0</v>
      </c>
      <c r="AI62" s="61"/>
      <c r="AJ62" s="61"/>
    </row>
    <row r="63" spans="1:36" s="62" customFormat="1">
      <c r="A63" s="55">
        <v>57</v>
      </c>
      <c r="B63" s="63"/>
      <c r="C63" s="64"/>
      <c r="D63" s="65"/>
      <c r="E63" s="65"/>
      <c r="F63" s="88"/>
      <c r="G63" s="91"/>
      <c r="H63" s="90">
        <f t="shared" si="0"/>
        <v>0</v>
      </c>
      <c r="I63" s="115"/>
      <c r="J63" s="90" t="str">
        <f t="shared" si="11"/>
        <v>F</v>
      </c>
      <c r="K63" s="91"/>
      <c r="L63" s="91"/>
      <c r="M63" s="90">
        <f t="shared" si="2"/>
        <v>0</v>
      </c>
      <c r="N63" s="115"/>
      <c r="O63" s="90" t="str">
        <f t="shared" si="12"/>
        <v>F</v>
      </c>
      <c r="P63" s="91"/>
      <c r="Q63" s="115"/>
      <c r="R63" s="90" t="str">
        <f t="shared" si="13"/>
        <v>F</v>
      </c>
      <c r="S63" s="91"/>
      <c r="T63" s="115"/>
      <c r="U63" s="90" t="str">
        <f t="shared" si="5"/>
        <v>F</v>
      </c>
      <c r="V63" s="91"/>
      <c r="W63" s="115"/>
      <c r="X63" s="90" t="str">
        <f t="shared" si="6"/>
        <v>F</v>
      </c>
      <c r="Y63" s="91"/>
      <c r="Z63" s="115"/>
      <c r="AA63" s="90" t="str">
        <f t="shared" si="14"/>
        <v>F</v>
      </c>
      <c r="AB63" s="91"/>
      <c r="AC63" s="115"/>
      <c r="AD63" s="90" t="str">
        <f t="shared" si="15"/>
        <v>F</v>
      </c>
      <c r="AE63" s="90" t="str">
        <f t="shared" si="16"/>
        <v>F</v>
      </c>
      <c r="AF63" s="93" t="str">
        <f t="shared" si="17"/>
        <v>F</v>
      </c>
      <c r="AG63" s="95" t="str">
        <f t="shared" si="20"/>
        <v>NEED TO PROGRESS</v>
      </c>
      <c r="AH63" s="91">
        <f t="shared" si="19"/>
        <v>0</v>
      </c>
      <c r="AI63" s="61"/>
      <c r="AJ63" s="61"/>
    </row>
    <row r="64" spans="1:36" s="62" customFormat="1">
      <c r="A64" s="55">
        <v>58</v>
      </c>
      <c r="B64" s="63"/>
      <c r="C64" s="64"/>
      <c r="D64" s="66"/>
      <c r="E64" s="66"/>
      <c r="F64" s="88"/>
      <c r="G64" s="91"/>
      <c r="H64" s="90">
        <f t="shared" si="0"/>
        <v>0</v>
      </c>
      <c r="I64" s="116"/>
      <c r="J64" s="90" t="str">
        <f t="shared" si="11"/>
        <v>F</v>
      </c>
      <c r="K64" s="91"/>
      <c r="L64" s="91"/>
      <c r="M64" s="90">
        <f t="shared" si="2"/>
        <v>0</v>
      </c>
      <c r="N64" s="116"/>
      <c r="O64" s="90" t="str">
        <f t="shared" si="12"/>
        <v>F</v>
      </c>
      <c r="P64" s="91"/>
      <c r="Q64" s="116"/>
      <c r="R64" s="90" t="str">
        <f t="shared" si="13"/>
        <v>F</v>
      </c>
      <c r="S64" s="91"/>
      <c r="T64" s="116"/>
      <c r="U64" s="90" t="str">
        <f t="shared" si="5"/>
        <v>F</v>
      </c>
      <c r="V64" s="91"/>
      <c r="W64" s="116"/>
      <c r="X64" s="90" t="str">
        <f t="shared" si="6"/>
        <v>F</v>
      </c>
      <c r="Y64" s="91"/>
      <c r="Z64" s="116"/>
      <c r="AA64" s="90" t="str">
        <f t="shared" si="14"/>
        <v>F</v>
      </c>
      <c r="AB64" s="91"/>
      <c r="AC64" s="116"/>
      <c r="AD64" s="90" t="str">
        <f t="shared" si="15"/>
        <v>F</v>
      </c>
      <c r="AE64" s="90" t="str">
        <f t="shared" si="16"/>
        <v>F</v>
      </c>
      <c r="AF64" s="93" t="str">
        <f t="shared" si="17"/>
        <v>F</v>
      </c>
      <c r="AG64" s="95" t="str">
        <f t="shared" si="20"/>
        <v>NEED TO PROGRESS</v>
      </c>
      <c r="AH64" s="91">
        <f t="shared" si="19"/>
        <v>0</v>
      </c>
      <c r="AI64" s="61"/>
      <c r="AJ64" s="61"/>
    </row>
    <row r="68" spans="1:36">
      <c r="A68">
        <v>0</v>
      </c>
      <c r="B68">
        <v>1</v>
      </c>
      <c r="C68">
        <v>2</v>
      </c>
      <c r="D68">
        <v>3</v>
      </c>
      <c r="E68">
        <v>4</v>
      </c>
      <c r="F68">
        <v>5</v>
      </c>
      <c r="G68">
        <v>6</v>
      </c>
      <c r="H68">
        <v>7</v>
      </c>
      <c r="I68">
        <v>8</v>
      </c>
      <c r="J68">
        <v>9</v>
      </c>
      <c r="K68">
        <v>10</v>
      </c>
      <c r="L68">
        <v>11</v>
      </c>
      <c r="M68">
        <v>12</v>
      </c>
      <c r="N68">
        <v>13</v>
      </c>
      <c r="O68">
        <v>14</v>
      </c>
      <c r="P68">
        <v>15</v>
      </c>
      <c r="Q68">
        <v>16</v>
      </c>
      <c r="R68">
        <v>17</v>
      </c>
      <c r="S68">
        <v>18</v>
      </c>
      <c r="T68">
        <v>19</v>
      </c>
      <c r="U68">
        <v>20</v>
      </c>
      <c r="V68">
        <v>21</v>
      </c>
      <c r="W68">
        <v>22</v>
      </c>
      <c r="X68">
        <v>23</v>
      </c>
      <c r="Y68">
        <v>24</v>
      </c>
      <c r="Z68">
        <v>25</v>
      </c>
      <c r="AA68">
        <v>26</v>
      </c>
      <c r="AB68">
        <v>27</v>
      </c>
      <c r="AC68">
        <v>28</v>
      </c>
      <c r="AD68" s="98">
        <v>29</v>
      </c>
      <c r="AE68" s="98">
        <v>30</v>
      </c>
      <c r="AF68" s="98">
        <v>31</v>
      </c>
      <c r="AG68" s="98">
        <v>32</v>
      </c>
      <c r="AH68" s="98">
        <v>33</v>
      </c>
      <c r="AI68">
        <v>34</v>
      </c>
      <c r="AJ68">
        <v>35</v>
      </c>
    </row>
  </sheetData>
  <mergeCells count="44">
    <mergeCell ref="O5:O6"/>
    <mergeCell ref="A1:AJ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A5:AA6"/>
    <mergeCell ref="P5:P6"/>
    <mergeCell ref="Q5:Q6"/>
    <mergeCell ref="R5:R6"/>
    <mergeCell ref="S5:S6"/>
    <mergeCell ref="T5:T6"/>
    <mergeCell ref="U5:U6"/>
    <mergeCell ref="V5:V6"/>
    <mergeCell ref="W5:W6"/>
    <mergeCell ref="X5:X6"/>
    <mergeCell ref="Y5:Y6"/>
    <mergeCell ref="Z5:Z6"/>
    <mergeCell ref="AH5:AH6"/>
    <mergeCell ref="AI5:AI6"/>
    <mergeCell ref="AJ5:AJ6"/>
    <mergeCell ref="I8:I64"/>
    <mergeCell ref="N8:N64"/>
    <mergeCell ref="Q8:Q64"/>
    <mergeCell ref="T8:T64"/>
    <mergeCell ref="W8:W64"/>
    <mergeCell ref="Z8:Z64"/>
    <mergeCell ref="AC8:AC64"/>
    <mergeCell ref="AB5:AB6"/>
    <mergeCell ref="AC5:AC6"/>
    <mergeCell ref="AD5:AD6"/>
    <mergeCell ref="AE5:AE6"/>
    <mergeCell ref="AF5:AF6"/>
    <mergeCell ref="AG5:AG6"/>
  </mergeCells>
  <conditionalFormatting sqref="B7:B18">
    <cfRule type="duplicateValues" dxfId="58" priority="20"/>
  </conditionalFormatting>
  <conditionalFormatting sqref="B19">
    <cfRule type="duplicateValues" dxfId="57" priority="19"/>
  </conditionalFormatting>
  <conditionalFormatting sqref="B20:B23">
    <cfRule type="duplicateValues" dxfId="56" priority="18"/>
  </conditionalFormatting>
  <conditionalFormatting sqref="B24">
    <cfRule type="duplicateValues" dxfId="55" priority="17"/>
  </conditionalFormatting>
  <conditionalFormatting sqref="B25:B26">
    <cfRule type="duplicateValues" dxfId="54" priority="16"/>
  </conditionalFormatting>
  <conditionalFormatting sqref="B27">
    <cfRule type="duplicateValues" dxfId="53" priority="15"/>
  </conditionalFormatting>
  <conditionalFormatting sqref="B28:B29">
    <cfRule type="duplicateValues" dxfId="52" priority="14"/>
  </conditionalFormatting>
  <conditionalFormatting sqref="B30:B45">
    <cfRule type="duplicateValues" dxfId="51" priority="13"/>
  </conditionalFormatting>
  <conditionalFormatting sqref="B46:B54">
    <cfRule type="duplicateValues" dxfId="50" priority="12"/>
  </conditionalFormatting>
  <conditionalFormatting sqref="B53">
    <cfRule type="duplicateValues" dxfId="49" priority="11"/>
  </conditionalFormatting>
  <conditionalFormatting sqref="B54">
    <cfRule type="duplicateValues" dxfId="48" priority="10"/>
  </conditionalFormatting>
  <conditionalFormatting sqref="B55">
    <cfRule type="duplicateValues" dxfId="47" priority="9"/>
  </conditionalFormatting>
  <conditionalFormatting sqref="B56:B57">
    <cfRule type="duplicateValues" dxfId="46" priority="8"/>
  </conditionalFormatting>
  <conditionalFormatting sqref="B58">
    <cfRule type="duplicateValues" dxfId="45" priority="7"/>
  </conditionalFormatting>
  <conditionalFormatting sqref="B59">
    <cfRule type="duplicateValues" dxfId="44" priority="6"/>
  </conditionalFormatting>
  <conditionalFormatting sqref="B60">
    <cfRule type="duplicateValues" dxfId="43" priority="5"/>
  </conditionalFormatting>
  <conditionalFormatting sqref="F7:G60 F8:F64">
    <cfRule type="cellIs" dxfId="42" priority="4" operator="lessThan">
      <formula>28</formula>
    </cfRule>
  </conditionalFormatting>
  <conditionalFormatting sqref="P7:P60">
    <cfRule type="cellIs" dxfId="41" priority="3" operator="lessThan">
      <formula>28</formula>
    </cfRule>
  </conditionalFormatting>
  <conditionalFormatting sqref="S7:S60">
    <cfRule type="cellIs" dxfId="40" priority="2" operator="lessThan">
      <formula>28</formula>
    </cfRule>
  </conditionalFormatting>
  <conditionalFormatting sqref="V7:V60">
    <cfRule type="cellIs" dxfId="39" priority="1" operator="lessThan">
      <formula>28</formula>
    </cfRule>
  </conditionalFormatting>
  <pageMargins left="0.23622047244094491" right="0.23622047244094491" top="0.74803149606299213" bottom="0.74803149606299213" header="0.31496062992125984" footer="0.31496062992125984"/>
  <pageSetup paperSize="5" scale="8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AK98"/>
  <sheetViews>
    <sheetView zoomScale="115" zoomScaleNormal="115" workbookViewId="0">
      <selection activeCell="T6" sqref="T6:T63"/>
    </sheetView>
  </sheetViews>
  <sheetFormatPr defaultColWidth="9.140625" defaultRowHeight="15"/>
  <cols>
    <col min="1" max="1" width="5" customWidth="1"/>
    <col min="2" max="2" width="4.42578125" style="53" bestFit="1" customWidth="1"/>
    <col min="3" max="3" width="23" bestFit="1" customWidth="1"/>
    <col min="4" max="4" width="22.42578125" hidden="1" customWidth="1"/>
    <col min="5" max="5" width="19.140625" hidden="1" customWidth="1"/>
    <col min="6" max="8" width="4.5703125" customWidth="1"/>
    <col min="9" max="9" width="5.5703125" customWidth="1"/>
    <col min="10" max="10" width="4.7109375" customWidth="1"/>
    <col min="11" max="11" width="4.5703125" customWidth="1"/>
    <col min="12" max="12" width="5.140625" customWidth="1"/>
    <col min="13" max="18" width="4.5703125" customWidth="1"/>
    <col min="19" max="19" width="5.28515625" customWidth="1"/>
    <col min="20" max="31" width="4.5703125" customWidth="1"/>
    <col min="32" max="32" width="5.7109375" bestFit="1" customWidth="1"/>
    <col min="33" max="33" width="17.42578125" bestFit="1" customWidth="1"/>
    <col min="34" max="35" width="4.5703125" customWidth="1"/>
    <col min="36" max="36" width="5.42578125" customWidth="1"/>
    <col min="37" max="37" width="7.7109375" customWidth="1"/>
    <col min="38" max="38" width="6.7109375" customWidth="1"/>
    <col min="40" max="40" width="8.42578125" customWidth="1"/>
  </cols>
  <sheetData>
    <row r="1" spans="1:37" ht="20.100000000000001" customHeight="1">
      <c r="A1" s="125" t="s">
        <v>247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</row>
    <row r="2" spans="1:37" ht="20.100000000000001" customHeight="1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</row>
    <row r="3" spans="1:37" ht="20.100000000000001" customHeight="1">
      <c r="A3" s="125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</row>
    <row r="4" spans="1:37" ht="20.100000000000001" customHeight="1">
      <c r="A4" s="125"/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</row>
    <row r="5" spans="1:37" ht="16.5" customHeight="1">
      <c r="A5" s="37" t="s">
        <v>14</v>
      </c>
      <c r="B5" s="37" t="s">
        <v>0</v>
      </c>
      <c r="C5" s="37" t="s">
        <v>1</v>
      </c>
      <c r="D5" s="37" t="s">
        <v>23</v>
      </c>
      <c r="E5" s="37" t="s">
        <v>24</v>
      </c>
      <c r="F5" s="38" t="s">
        <v>9</v>
      </c>
      <c r="G5" s="38" t="s">
        <v>10</v>
      </c>
      <c r="H5" s="36" t="s">
        <v>13</v>
      </c>
      <c r="I5" s="36" t="s">
        <v>30</v>
      </c>
      <c r="J5" s="36" t="s">
        <v>2</v>
      </c>
      <c r="K5" s="39" t="s">
        <v>8</v>
      </c>
      <c r="L5" s="39" t="s">
        <v>11</v>
      </c>
      <c r="M5" s="36" t="s">
        <v>13</v>
      </c>
      <c r="N5" s="36" t="s">
        <v>30</v>
      </c>
      <c r="O5" s="36" t="s">
        <v>2</v>
      </c>
      <c r="P5" s="38" t="s">
        <v>3</v>
      </c>
      <c r="Q5" s="36" t="s">
        <v>30</v>
      </c>
      <c r="R5" s="36" t="s">
        <v>2</v>
      </c>
      <c r="S5" s="38" t="s">
        <v>6</v>
      </c>
      <c r="T5" s="36" t="s">
        <v>30</v>
      </c>
      <c r="U5" s="36" t="s">
        <v>2</v>
      </c>
      <c r="V5" s="38" t="s">
        <v>7</v>
      </c>
      <c r="W5" s="36" t="s">
        <v>30</v>
      </c>
      <c r="X5" s="36" t="s">
        <v>2</v>
      </c>
      <c r="Y5" s="38" t="s">
        <v>12</v>
      </c>
      <c r="Z5" s="36" t="s">
        <v>30</v>
      </c>
      <c r="AA5" s="36" t="s">
        <v>2</v>
      </c>
      <c r="AB5" s="38" t="s">
        <v>32</v>
      </c>
      <c r="AC5" s="36" t="s">
        <v>30</v>
      </c>
      <c r="AD5" s="36" t="s">
        <v>2</v>
      </c>
      <c r="AE5" s="36" t="s">
        <v>4</v>
      </c>
      <c r="AF5" s="36" t="s">
        <v>5</v>
      </c>
      <c r="AG5" s="41" t="s">
        <v>26</v>
      </c>
      <c r="AH5" s="40" t="s">
        <v>27</v>
      </c>
      <c r="AI5" s="40" t="s">
        <v>31</v>
      </c>
      <c r="AJ5" s="40" t="s">
        <v>28</v>
      </c>
      <c r="AK5" s="34"/>
    </row>
    <row r="6" spans="1:37" s="60" customFormat="1" ht="16.5" customHeight="1">
      <c r="A6" s="55">
        <v>1</v>
      </c>
      <c r="B6" s="51">
        <v>1</v>
      </c>
      <c r="C6" s="49" t="s">
        <v>84</v>
      </c>
      <c r="D6" s="49" t="s">
        <v>85</v>
      </c>
      <c r="E6" s="49" t="s">
        <v>86</v>
      </c>
      <c r="F6" s="87">
        <v>69</v>
      </c>
      <c r="G6" s="84">
        <v>46</v>
      </c>
      <c r="H6" s="86">
        <f t="shared" ref="H6" si="0">F6+G6</f>
        <v>115</v>
      </c>
      <c r="I6" s="126">
        <f>MAX(H6:H63)</f>
        <v>117</v>
      </c>
      <c r="J6" s="86">
        <f t="shared" ref="J6" si="1">IF(H6&lt;60,"F",IF(H6&lt;75,2,IF(H6&lt;90,3,IF(H6&lt;105,3.5,IF(H6&lt;120,4,5)))))</f>
        <v>4</v>
      </c>
      <c r="K6" s="84">
        <v>50</v>
      </c>
      <c r="L6" s="84">
        <v>41</v>
      </c>
      <c r="M6" s="86">
        <f t="shared" ref="M6" si="2">K6+L6</f>
        <v>91</v>
      </c>
      <c r="N6" s="126">
        <f>MAX(M6:M63)</f>
        <v>180</v>
      </c>
      <c r="O6" s="86">
        <f t="shared" ref="O6" si="3">IF(M6&lt;80,"F",IF(M6&lt;100,2,IF(M6&lt;120,3,IF(M6&lt;139,3.5,IF(M6&lt;160,4,5)))))</f>
        <v>2</v>
      </c>
      <c r="P6" s="84">
        <v>66</v>
      </c>
      <c r="Q6" s="126">
        <f>MAX(P6:P63)</f>
        <v>91</v>
      </c>
      <c r="R6" s="86">
        <f t="shared" ref="R6" si="4">IF(P6&lt;40,"F",IF(P6&lt;50,2,IF(P6&lt;60,3,IF(P6&lt;70,3.5,IF(P6&lt;80,4,5)))))</f>
        <v>3.5</v>
      </c>
      <c r="S6" s="84">
        <v>89</v>
      </c>
      <c r="T6" s="126">
        <f>MAX(S6:S63)</f>
        <v>95</v>
      </c>
      <c r="U6" s="86">
        <f t="shared" ref="U6" si="5">IF(S6&lt;40,"F",IF(S6&lt;50,2,IF(S6&lt;60,3,IF(S6&lt;70,3.5,IF(S6&lt;80,4,5)))))</f>
        <v>5</v>
      </c>
      <c r="V6" s="84">
        <v>76</v>
      </c>
      <c r="W6" s="126">
        <f>MAX(V6:V63)</f>
        <v>98</v>
      </c>
      <c r="X6" s="86">
        <f t="shared" ref="X6" si="6">IF(V6&lt;40,"F",IF(V6&lt;50,2,IF(V6&lt;60,3,IF(V6&lt;70,3.5,IF(V6&lt;80,4,5)))))</f>
        <v>4</v>
      </c>
      <c r="Y6" s="84">
        <v>46</v>
      </c>
      <c r="Z6" s="126">
        <f>MAX(Y6:Y63)</f>
        <v>50</v>
      </c>
      <c r="AA6" s="86">
        <f t="shared" ref="AA6" si="7">IF(Y6&lt;20,"F",IF(Y6&lt;25,2,IF(Y6&lt;30,3,IF(Y6&lt;35,3.5,IF(Y6&lt;40,4,5)))))</f>
        <v>5</v>
      </c>
      <c r="AB6" s="84">
        <v>37</v>
      </c>
      <c r="AC6" s="126">
        <f>MAX(AB6:AB63)</f>
        <v>47</v>
      </c>
      <c r="AD6" s="86">
        <f t="shared" ref="AD6" si="8">IF(AB6&lt;20,"F",IF(AB6&lt;25,2,IF(AB6&lt;30,3,IF(AB6&lt;35,3.5,IF(AB6&lt;40,4,5)))))</f>
        <v>4</v>
      </c>
      <c r="AE6" s="86">
        <f t="shared" ref="AE6" si="9">IF(J6="F","F",IF(O6="F","F",IF(R6="F","F",IF(U6="F","F",IF(X6="F","F",IF(AA6="F","F",IF(AD6="F","F",SUM(J6+O6+R6+U6+X6+AA6+AD6))))))))</f>
        <v>27.5</v>
      </c>
      <c r="AF6" s="92">
        <f>IF(AE6="F","F", IF(AE6&gt;=35,5,IF(AE6&lt;35,AE6/7)))</f>
        <v>3.9285714285714284</v>
      </c>
      <c r="AG6" s="67" t="str">
        <f t="shared" ref="AG6" si="10">IF(AF6="F","NEED TO PROGRESS",IF(AF6&gt;=5,"BEST",IF(AF6&gt;=4,"BETTER",IF(AF6&gt;=2,"GOOD"))))</f>
        <v>GOOD</v>
      </c>
      <c r="AH6" s="68">
        <f>SUM(H6+M6+P6+S6+V6+Y6+AB6)</f>
        <v>520</v>
      </c>
      <c r="AI6" s="57"/>
      <c r="AJ6" s="57"/>
      <c r="AK6" s="59"/>
    </row>
    <row r="7" spans="1:37" s="62" customFormat="1" ht="15" customHeight="1">
      <c r="A7" s="55">
        <v>2</v>
      </c>
      <c r="B7" s="51">
        <v>3</v>
      </c>
      <c r="C7" s="48" t="s">
        <v>87</v>
      </c>
      <c r="D7" s="48" t="s">
        <v>88</v>
      </c>
      <c r="E7" s="48" t="s">
        <v>89</v>
      </c>
      <c r="F7" s="87">
        <v>69</v>
      </c>
      <c r="G7" s="85">
        <v>44</v>
      </c>
      <c r="H7" s="86">
        <f t="shared" ref="H7:H63" si="11">F7+G7</f>
        <v>113</v>
      </c>
      <c r="I7" s="127"/>
      <c r="J7" s="86">
        <f t="shared" ref="J7:J63" si="12">IF(H7&lt;60,"F",IF(H7&lt;75,2,IF(H7&lt;90,3,IF(H7&lt;105,3.5,IF(H7&lt;120,4,5)))))</f>
        <v>4</v>
      </c>
      <c r="K7" s="84">
        <v>86</v>
      </c>
      <c r="L7" s="84">
        <v>92</v>
      </c>
      <c r="M7" s="86">
        <f t="shared" ref="M7:M63" si="13">K7+L7</f>
        <v>178</v>
      </c>
      <c r="N7" s="127"/>
      <c r="O7" s="86">
        <f t="shared" ref="O7:O55" si="14">IF(M7&lt;80,"F",IF(M7&lt;100,2,IF(M7&lt;120,3,IF(M7&lt;139,3.5,IF(M7&lt;160,4,5)))))</f>
        <v>5</v>
      </c>
      <c r="P7" s="84">
        <v>86</v>
      </c>
      <c r="Q7" s="127"/>
      <c r="R7" s="86">
        <f t="shared" ref="R7:R55" si="15">IF(P7&lt;40,"F",IF(P7&lt;50,2,IF(P7&lt;60,3,IF(P7&lt;70,3.5,IF(P7&lt;80,4,5)))))</f>
        <v>5</v>
      </c>
      <c r="S7" s="84">
        <v>83</v>
      </c>
      <c r="T7" s="127"/>
      <c r="U7" s="86">
        <f t="shared" ref="U7:U55" si="16">IF(S7&lt;40,"F",IF(S7&lt;50,2,IF(S7&lt;60,3,IF(S7&lt;70,3.5,IF(S7&lt;80,4,5)))))</f>
        <v>5</v>
      </c>
      <c r="V7" s="84">
        <v>93</v>
      </c>
      <c r="W7" s="127"/>
      <c r="X7" s="86">
        <f t="shared" ref="X7:X63" si="17">IF(V7&lt;40,"F",IF(V7&lt;50,2,IF(V7&lt;60,3,IF(V7&lt;70,3.5,IF(V7&lt;80,4,5)))))</f>
        <v>5</v>
      </c>
      <c r="Y7" s="84">
        <v>49</v>
      </c>
      <c r="Z7" s="127"/>
      <c r="AA7" s="86">
        <f t="shared" ref="AA7:AA56" si="18">IF(Y7&lt;20,"F",IF(Y7&lt;25,2,IF(Y7&lt;30,3,IF(Y7&lt;35,3.5,IF(Y7&lt;40,4,5)))))</f>
        <v>5</v>
      </c>
      <c r="AB7" s="84">
        <v>37</v>
      </c>
      <c r="AC7" s="127"/>
      <c r="AD7" s="86">
        <f t="shared" ref="AD7:AD63" si="19">IF(AB7&lt;20,"F",IF(AB7&lt;25,2,IF(AB7&lt;30,3,IF(AB7&lt;35,3.5,IF(AB7&lt;40,4,5)))))</f>
        <v>4</v>
      </c>
      <c r="AE7" s="86">
        <f t="shared" ref="AE7:AE63" si="20">IF(J7="F","F",IF(O7="F","F",IF(R7="F","F",IF(U7="F","F",IF(X7="F","F",IF(AA7="F","F",IF(AD7="F","F",SUM(J7+O7+R7+U7+X7+AA7+AD7))))))))</f>
        <v>33</v>
      </c>
      <c r="AF7" s="92">
        <f t="shared" ref="AF7:AF63" si="21">IF(AE7="F","F", IF(AE7&gt;=35,5,IF(AE7&lt;35,AE7/7)))</f>
        <v>4.7142857142857144</v>
      </c>
      <c r="AG7" s="69" t="str">
        <f t="shared" ref="AG7:AG53" si="22">IF(AF7="F","NEED TO PROGRESS",IF(AF7&gt;=5,"BEST",IF(AF7&gt;=4,"BETTER",IF(AF7&gt;=2,"GOOD"))))</f>
        <v>BETTER</v>
      </c>
      <c r="AH7" s="68">
        <f t="shared" ref="AH7:AH63" si="23">SUM(H7+M7+P7+S7+V7+Y7+AB7)</f>
        <v>639</v>
      </c>
      <c r="AI7" s="61"/>
      <c r="AJ7" s="61"/>
    </row>
    <row r="8" spans="1:37" s="62" customFormat="1" ht="15" customHeight="1">
      <c r="A8" s="55">
        <v>3</v>
      </c>
      <c r="B8" s="51">
        <v>4</v>
      </c>
      <c r="C8" s="49" t="s">
        <v>90</v>
      </c>
      <c r="D8" s="49" t="s">
        <v>91</v>
      </c>
      <c r="E8" s="49" t="s">
        <v>92</v>
      </c>
      <c r="F8" s="87">
        <v>69</v>
      </c>
      <c r="G8" s="85">
        <v>44</v>
      </c>
      <c r="H8" s="86">
        <f t="shared" si="11"/>
        <v>113</v>
      </c>
      <c r="I8" s="127"/>
      <c r="J8" s="86">
        <f t="shared" si="12"/>
        <v>4</v>
      </c>
      <c r="K8" s="84">
        <v>70</v>
      </c>
      <c r="L8" s="84">
        <v>74</v>
      </c>
      <c r="M8" s="86">
        <f t="shared" si="13"/>
        <v>144</v>
      </c>
      <c r="N8" s="127"/>
      <c r="O8" s="86">
        <f t="shared" si="14"/>
        <v>4</v>
      </c>
      <c r="P8" s="84">
        <v>86</v>
      </c>
      <c r="Q8" s="127"/>
      <c r="R8" s="86">
        <f t="shared" si="15"/>
        <v>5</v>
      </c>
      <c r="S8" s="84">
        <v>84</v>
      </c>
      <c r="T8" s="127"/>
      <c r="U8" s="86">
        <f t="shared" si="16"/>
        <v>5</v>
      </c>
      <c r="V8" s="84">
        <v>80</v>
      </c>
      <c r="W8" s="127"/>
      <c r="X8" s="86">
        <f t="shared" si="17"/>
        <v>5</v>
      </c>
      <c r="Y8" s="84">
        <v>35</v>
      </c>
      <c r="Z8" s="127"/>
      <c r="AA8" s="86">
        <f t="shared" si="18"/>
        <v>4</v>
      </c>
      <c r="AB8" s="84">
        <v>32</v>
      </c>
      <c r="AC8" s="127"/>
      <c r="AD8" s="86">
        <f t="shared" si="19"/>
        <v>3.5</v>
      </c>
      <c r="AE8" s="86">
        <f t="shared" si="20"/>
        <v>30.5</v>
      </c>
      <c r="AF8" s="92">
        <f t="shared" si="21"/>
        <v>4.3571428571428568</v>
      </c>
      <c r="AG8" s="69" t="str">
        <f t="shared" si="22"/>
        <v>BETTER</v>
      </c>
      <c r="AH8" s="68">
        <f t="shared" si="23"/>
        <v>574</v>
      </c>
      <c r="AI8" s="61"/>
      <c r="AJ8" s="61"/>
    </row>
    <row r="9" spans="1:37" s="62" customFormat="1" ht="15" customHeight="1">
      <c r="A9" s="55">
        <v>4</v>
      </c>
      <c r="B9" s="51">
        <v>6</v>
      </c>
      <c r="C9" s="49" t="s">
        <v>93</v>
      </c>
      <c r="D9" s="49" t="s">
        <v>94</v>
      </c>
      <c r="E9" s="49" t="s">
        <v>95</v>
      </c>
      <c r="F9" s="87">
        <v>69</v>
      </c>
      <c r="G9" s="85">
        <v>46</v>
      </c>
      <c r="H9" s="86">
        <f t="shared" si="11"/>
        <v>115</v>
      </c>
      <c r="I9" s="127"/>
      <c r="J9" s="86">
        <f t="shared" si="12"/>
        <v>4</v>
      </c>
      <c r="K9" s="84">
        <v>68</v>
      </c>
      <c r="L9" s="84">
        <v>92</v>
      </c>
      <c r="M9" s="86">
        <f t="shared" si="13"/>
        <v>160</v>
      </c>
      <c r="N9" s="127"/>
      <c r="O9" s="86">
        <f t="shared" si="14"/>
        <v>5</v>
      </c>
      <c r="P9" s="84">
        <v>86</v>
      </c>
      <c r="Q9" s="127"/>
      <c r="R9" s="86">
        <f t="shared" si="15"/>
        <v>5</v>
      </c>
      <c r="S9" s="84">
        <v>92</v>
      </c>
      <c r="T9" s="127"/>
      <c r="U9" s="86">
        <f t="shared" si="16"/>
        <v>5</v>
      </c>
      <c r="V9" s="84">
        <v>92</v>
      </c>
      <c r="W9" s="127"/>
      <c r="X9" s="86">
        <f t="shared" si="17"/>
        <v>5</v>
      </c>
      <c r="Y9" s="84">
        <v>48</v>
      </c>
      <c r="Z9" s="127"/>
      <c r="AA9" s="86">
        <f t="shared" si="18"/>
        <v>5</v>
      </c>
      <c r="AB9" s="84">
        <v>45</v>
      </c>
      <c r="AC9" s="127"/>
      <c r="AD9" s="86">
        <f t="shared" si="19"/>
        <v>5</v>
      </c>
      <c r="AE9" s="86">
        <f t="shared" si="20"/>
        <v>34</v>
      </c>
      <c r="AF9" s="92">
        <f t="shared" si="21"/>
        <v>4.8571428571428568</v>
      </c>
      <c r="AG9" s="69" t="str">
        <f t="shared" si="22"/>
        <v>BETTER</v>
      </c>
      <c r="AH9" s="68">
        <f t="shared" si="23"/>
        <v>638</v>
      </c>
      <c r="AI9" s="61"/>
      <c r="AJ9" s="61"/>
    </row>
    <row r="10" spans="1:37" s="62" customFormat="1" ht="15" customHeight="1">
      <c r="A10" s="55">
        <v>5</v>
      </c>
      <c r="B10" s="51">
        <v>7</v>
      </c>
      <c r="C10" s="49" t="s">
        <v>96</v>
      </c>
      <c r="D10" s="49" t="s">
        <v>97</v>
      </c>
      <c r="E10" s="49" t="s">
        <v>98</v>
      </c>
      <c r="F10" s="87">
        <v>69</v>
      </c>
      <c r="G10" s="85">
        <v>46</v>
      </c>
      <c r="H10" s="86">
        <f t="shared" si="11"/>
        <v>115</v>
      </c>
      <c r="I10" s="127"/>
      <c r="J10" s="86">
        <f t="shared" si="12"/>
        <v>4</v>
      </c>
      <c r="K10" s="84">
        <v>76</v>
      </c>
      <c r="L10" s="84">
        <v>74</v>
      </c>
      <c r="M10" s="86">
        <f t="shared" si="13"/>
        <v>150</v>
      </c>
      <c r="N10" s="127"/>
      <c r="O10" s="86">
        <f t="shared" si="14"/>
        <v>4</v>
      </c>
      <c r="P10" s="84">
        <v>84</v>
      </c>
      <c r="Q10" s="127"/>
      <c r="R10" s="86">
        <f t="shared" si="15"/>
        <v>5</v>
      </c>
      <c r="S10" s="84">
        <v>75</v>
      </c>
      <c r="T10" s="127"/>
      <c r="U10" s="86">
        <f t="shared" si="16"/>
        <v>4</v>
      </c>
      <c r="V10" s="84">
        <v>82</v>
      </c>
      <c r="W10" s="127"/>
      <c r="X10" s="86">
        <f t="shared" si="17"/>
        <v>5</v>
      </c>
      <c r="Y10" s="84">
        <v>47</v>
      </c>
      <c r="Z10" s="127"/>
      <c r="AA10" s="86">
        <f t="shared" si="18"/>
        <v>5</v>
      </c>
      <c r="AB10" s="84">
        <v>42</v>
      </c>
      <c r="AC10" s="127"/>
      <c r="AD10" s="86">
        <f t="shared" si="19"/>
        <v>5</v>
      </c>
      <c r="AE10" s="86">
        <f t="shared" si="20"/>
        <v>32</v>
      </c>
      <c r="AF10" s="92">
        <f t="shared" si="21"/>
        <v>4.5714285714285712</v>
      </c>
      <c r="AG10" s="69" t="str">
        <f t="shared" si="22"/>
        <v>BETTER</v>
      </c>
      <c r="AH10" s="68">
        <f t="shared" si="23"/>
        <v>595</v>
      </c>
      <c r="AI10" s="61"/>
      <c r="AJ10" s="61"/>
    </row>
    <row r="11" spans="1:37" s="62" customFormat="1" ht="15" customHeight="1">
      <c r="A11" s="55">
        <v>6</v>
      </c>
      <c r="B11" s="51">
        <v>9</v>
      </c>
      <c r="C11" s="49" t="s">
        <v>99</v>
      </c>
      <c r="D11" s="49" t="s">
        <v>100</v>
      </c>
      <c r="E11" s="49" t="s">
        <v>101</v>
      </c>
      <c r="F11" s="87">
        <v>69</v>
      </c>
      <c r="G11" s="85">
        <v>41</v>
      </c>
      <c r="H11" s="86">
        <f t="shared" si="11"/>
        <v>110</v>
      </c>
      <c r="I11" s="127"/>
      <c r="J11" s="86">
        <f t="shared" si="12"/>
        <v>4</v>
      </c>
      <c r="K11" s="84">
        <v>76</v>
      </c>
      <c r="L11" s="84">
        <v>65</v>
      </c>
      <c r="M11" s="86">
        <f t="shared" si="13"/>
        <v>141</v>
      </c>
      <c r="N11" s="127"/>
      <c r="O11" s="86">
        <f t="shared" si="14"/>
        <v>4</v>
      </c>
      <c r="P11" s="84">
        <v>48</v>
      </c>
      <c r="Q11" s="127"/>
      <c r="R11" s="86">
        <f t="shared" si="15"/>
        <v>2</v>
      </c>
      <c r="S11" s="84">
        <v>63</v>
      </c>
      <c r="T11" s="127"/>
      <c r="U11" s="86">
        <f t="shared" si="16"/>
        <v>3.5</v>
      </c>
      <c r="V11" s="84">
        <v>85</v>
      </c>
      <c r="W11" s="127"/>
      <c r="X11" s="86">
        <f t="shared" si="17"/>
        <v>5</v>
      </c>
      <c r="Y11" s="84">
        <v>40</v>
      </c>
      <c r="Z11" s="127"/>
      <c r="AA11" s="86">
        <f t="shared" si="18"/>
        <v>5</v>
      </c>
      <c r="AB11" s="84">
        <v>31</v>
      </c>
      <c r="AC11" s="127"/>
      <c r="AD11" s="86">
        <f t="shared" si="19"/>
        <v>3.5</v>
      </c>
      <c r="AE11" s="86">
        <f t="shared" si="20"/>
        <v>27</v>
      </c>
      <c r="AF11" s="92">
        <f t="shared" si="21"/>
        <v>3.8571428571428572</v>
      </c>
      <c r="AG11" s="69" t="str">
        <f t="shared" si="22"/>
        <v>GOOD</v>
      </c>
      <c r="AH11" s="68">
        <f t="shared" si="23"/>
        <v>518</v>
      </c>
      <c r="AI11" s="61"/>
      <c r="AJ11" s="61"/>
    </row>
    <row r="12" spans="1:37" s="62" customFormat="1" ht="15" customHeight="1">
      <c r="A12" s="55">
        <v>7</v>
      </c>
      <c r="B12" s="51">
        <v>10</v>
      </c>
      <c r="C12" s="49" t="s">
        <v>102</v>
      </c>
      <c r="D12" s="49" t="s">
        <v>103</v>
      </c>
      <c r="E12" s="49" t="s">
        <v>104</v>
      </c>
      <c r="F12" s="87">
        <v>69</v>
      </c>
      <c r="G12" s="85">
        <v>42</v>
      </c>
      <c r="H12" s="86">
        <f t="shared" si="11"/>
        <v>111</v>
      </c>
      <c r="I12" s="127"/>
      <c r="J12" s="86">
        <f t="shared" si="12"/>
        <v>4</v>
      </c>
      <c r="K12" s="84">
        <v>85</v>
      </c>
      <c r="L12" s="84">
        <v>76</v>
      </c>
      <c r="M12" s="86">
        <f t="shared" si="13"/>
        <v>161</v>
      </c>
      <c r="N12" s="127"/>
      <c r="O12" s="86">
        <f t="shared" si="14"/>
        <v>5</v>
      </c>
      <c r="P12" s="84">
        <v>81</v>
      </c>
      <c r="Q12" s="127"/>
      <c r="R12" s="86">
        <f t="shared" si="15"/>
        <v>5</v>
      </c>
      <c r="S12" s="84">
        <v>85</v>
      </c>
      <c r="T12" s="127"/>
      <c r="U12" s="86">
        <f t="shared" si="16"/>
        <v>5</v>
      </c>
      <c r="V12" s="84">
        <v>83</v>
      </c>
      <c r="W12" s="127"/>
      <c r="X12" s="86">
        <f t="shared" si="17"/>
        <v>5</v>
      </c>
      <c r="Y12" s="84">
        <v>45</v>
      </c>
      <c r="Z12" s="127"/>
      <c r="AA12" s="86">
        <f t="shared" si="18"/>
        <v>5</v>
      </c>
      <c r="AB12" s="84">
        <v>35</v>
      </c>
      <c r="AC12" s="127"/>
      <c r="AD12" s="86">
        <f t="shared" si="19"/>
        <v>4</v>
      </c>
      <c r="AE12" s="86">
        <f t="shared" si="20"/>
        <v>33</v>
      </c>
      <c r="AF12" s="92">
        <f t="shared" si="21"/>
        <v>4.7142857142857144</v>
      </c>
      <c r="AG12" s="69" t="str">
        <f t="shared" si="22"/>
        <v>BETTER</v>
      </c>
      <c r="AH12" s="68">
        <f t="shared" si="23"/>
        <v>601</v>
      </c>
      <c r="AI12" s="61"/>
      <c r="AJ12" s="61"/>
    </row>
    <row r="13" spans="1:37" s="62" customFormat="1" ht="15" customHeight="1">
      <c r="A13" s="55">
        <v>8</v>
      </c>
      <c r="B13" s="51">
        <v>13</v>
      </c>
      <c r="C13" s="48" t="s">
        <v>105</v>
      </c>
      <c r="D13" s="48" t="s">
        <v>106</v>
      </c>
      <c r="E13" s="48" t="s">
        <v>107</v>
      </c>
      <c r="F13" s="87">
        <v>69</v>
      </c>
      <c r="G13" s="85">
        <v>43</v>
      </c>
      <c r="H13" s="86">
        <f t="shared" si="11"/>
        <v>112</v>
      </c>
      <c r="I13" s="127"/>
      <c r="J13" s="86">
        <f t="shared" si="12"/>
        <v>4</v>
      </c>
      <c r="K13" s="84">
        <v>58</v>
      </c>
      <c r="L13" s="84">
        <v>63</v>
      </c>
      <c r="M13" s="86">
        <f t="shared" si="13"/>
        <v>121</v>
      </c>
      <c r="N13" s="127"/>
      <c r="O13" s="86">
        <f t="shared" si="14"/>
        <v>3.5</v>
      </c>
      <c r="P13" s="84">
        <v>56</v>
      </c>
      <c r="Q13" s="127"/>
      <c r="R13" s="86">
        <f t="shared" si="15"/>
        <v>3</v>
      </c>
      <c r="S13" s="84">
        <v>76</v>
      </c>
      <c r="T13" s="127"/>
      <c r="U13" s="86">
        <f t="shared" si="16"/>
        <v>4</v>
      </c>
      <c r="V13" s="84">
        <v>92</v>
      </c>
      <c r="W13" s="127"/>
      <c r="X13" s="86">
        <f t="shared" si="17"/>
        <v>5</v>
      </c>
      <c r="Y13" s="84">
        <v>48</v>
      </c>
      <c r="Z13" s="127"/>
      <c r="AA13" s="86">
        <f t="shared" si="18"/>
        <v>5</v>
      </c>
      <c r="AB13" s="84">
        <v>32</v>
      </c>
      <c r="AC13" s="127"/>
      <c r="AD13" s="86">
        <f t="shared" si="19"/>
        <v>3.5</v>
      </c>
      <c r="AE13" s="86">
        <f t="shared" si="20"/>
        <v>28</v>
      </c>
      <c r="AF13" s="92">
        <f t="shared" si="21"/>
        <v>4</v>
      </c>
      <c r="AG13" s="69" t="str">
        <f t="shared" si="22"/>
        <v>BETTER</v>
      </c>
      <c r="AH13" s="68">
        <f t="shared" si="23"/>
        <v>537</v>
      </c>
      <c r="AI13" s="61"/>
      <c r="AJ13" s="61"/>
    </row>
    <row r="14" spans="1:37" s="62" customFormat="1" ht="15.75" customHeight="1">
      <c r="A14" s="55">
        <v>9</v>
      </c>
      <c r="B14" s="51">
        <v>14</v>
      </c>
      <c r="C14" s="48" t="s">
        <v>108</v>
      </c>
      <c r="D14" s="48" t="s">
        <v>109</v>
      </c>
      <c r="E14" s="48" t="s">
        <v>110</v>
      </c>
      <c r="F14" s="87">
        <v>69</v>
      </c>
      <c r="G14" s="85">
        <v>42</v>
      </c>
      <c r="H14" s="86">
        <f t="shared" si="11"/>
        <v>111</v>
      </c>
      <c r="I14" s="127"/>
      <c r="J14" s="86">
        <f t="shared" si="12"/>
        <v>4</v>
      </c>
      <c r="K14" s="84">
        <v>86</v>
      </c>
      <c r="L14" s="84">
        <v>94</v>
      </c>
      <c r="M14" s="86">
        <f t="shared" si="13"/>
        <v>180</v>
      </c>
      <c r="N14" s="127"/>
      <c r="O14" s="86">
        <f t="shared" si="14"/>
        <v>5</v>
      </c>
      <c r="P14" s="84">
        <v>76</v>
      </c>
      <c r="Q14" s="127"/>
      <c r="R14" s="86">
        <f t="shared" si="15"/>
        <v>4</v>
      </c>
      <c r="S14" s="84">
        <v>84</v>
      </c>
      <c r="T14" s="127"/>
      <c r="U14" s="86">
        <f t="shared" si="16"/>
        <v>5</v>
      </c>
      <c r="V14" s="84">
        <v>80</v>
      </c>
      <c r="W14" s="127"/>
      <c r="X14" s="86">
        <f t="shared" si="17"/>
        <v>5</v>
      </c>
      <c r="Y14" s="84">
        <v>49</v>
      </c>
      <c r="Z14" s="127"/>
      <c r="AA14" s="86">
        <f t="shared" si="18"/>
        <v>5</v>
      </c>
      <c r="AB14" s="84">
        <v>47</v>
      </c>
      <c r="AC14" s="127"/>
      <c r="AD14" s="86">
        <f t="shared" si="19"/>
        <v>5</v>
      </c>
      <c r="AE14" s="86">
        <f t="shared" si="20"/>
        <v>33</v>
      </c>
      <c r="AF14" s="92">
        <f t="shared" si="21"/>
        <v>4.7142857142857144</v>
      </c>
      <c r="AG14" s="69" t="str">
        <f t="shared" si="22"/>
        <v>BETTER</v>
      </c>
      <c r="AH14" s="68">
        <f t="shared" si="23"/>
        <v>627</v>
      </c>
      <c r="AI14" s="61"/>
      <c r="AJ14" s="61"/>
    </row>
    <row r="15" spans="1:37" s="62" customFormat="1" ht="15.75" customHeight="1">
      <c r="A15" s="55">
        <v>10</v>
      </c>
      <c r="B15" s="51">
        <v>15</v>
      </c>
      <c r="C15" s="49" t="s">
        <v>111</v>
      </c>
      <c r="D15" s="49" t="s">
        <v>112</v>
      </c>
      <c r="E15" s="49" t="s">
        <v>113</v>
      </c>
      <c r="F15" s="87">
        <v>69</v>
      </c>
      <c r="G15" s="85">
        <v>45</v>
      </c>
      <c r="H15" s="86">
        <f t="shared" si="11"/>
        <v>114</v>
      </c>
      <c r="I15" s="127"/>
      <c r="J15" s="86">
        <f t="shared" si="12"/>
        <v>4</v>
      </c>
      <c r="K15" s="84">
        <v>69</v>
      </c>
      <c r="L15" s="84">
        <v>85</v>
      </c>
      <c r="M15" s="86">
        <f t="shared" si="13"/>
        <v>154</v>
      </c>
      <c r="N15" s="127"/>
      <c r="O15" s="86">
        <f t="shared" si="14"/>
        <v>4</v>
      </c>
      <c r="P15" s="84">
        <v>56</v>
      </c>
      <c r="Q15" s="127"/>
      <c r="R15" s="86">
        <f t="shared" si="15"/>
        <v>3</v>
      </c>
      <c r="S15" s="84">
        <v>88</v>
      </c>
      <c r="T15" s="127"/>
      <c r="U15" s="86">
        <f t="shared" si="16"/>
        <v>5</v>
      </c>
      <c r="V15" s="84">
        <v>92</v>
      </c>
      <c r="W15" s="127"/>
      <c r="X15" s="86">
        <f t="shared" si="17"/>
        <v>5</v>
      </c>
      <c r="Y15" s="84">
        <v>40</v>
      </c>
      <c r="Z15" s="127"/>
      <c r="AA15" s="86">
        <f t="shared" si="18"/>
        <v>5</v>
      </c>
      <c r="AB15" s="84">
        <v>38</v>
      </c>
      <c r="AC15" s="127"/>
      <c r="AD15" s="86">
        <f t="shared" si="19"/>
        <v>4</v>
      </c>
      <c r="AE15" s="86">
        <f t="shared" si="20"/>
        <v>30</v>
      </c>
      <c r="AF15" s="92">
        <f t="shared" si="21"/>
        <v>4.2857142857142856</v>
      </c>
      <c r="AG15" s="69" t="str">
        <f t="shared" si="22"/>
        <v>BETTER</v>
      </c>
      <c r="AH15" s="68">
        <f t="shared" si="23"/>
        <v>582</v>
      </c>
      <c r="AI15" s="61"/>
      <c r="AJ15" s="61"/>
    </row>
    <row r="16" spans="1:37" s="62" customFormat="1" ht="17.25" customHeight="1">
      <c r="A16" s="55">
        <v>11</v>
      </c>
      <c r="B16" s="51">
        <v>29</v>
      </c>
      <c r="C16" s="48" t="s">
        <v>114</v>
      </c>
      <c r="D16" s="48" t="s">
        <v>115</v>
      </c>
      <c r="E16" s="48" t="s">
        <v>116</v>
      </c>
      <c r="F16" s="87">
        <v>69</v>
      </c>
      <c r="G16" s="85">
        <v>43</v>
      </c>
      <c r="H16" s="86">
        <f t="shared" si="11"/>
        <v>112</v>
      </c>
      <c r="I16" s="127"/>
      <c r="J16" s="86">
        <f t="shared" si="12"/>
        <v>4</v>
      </c>
      <c r="K16" s="84">
        <v>67</v>
      </c>
      <c r="L16" s="84">
        <v>73</v>
      </c>
      <c r="M16" s="86">
        <f t="shared" si="13"/>
        <v>140</v>
      </c>
      <c r="N16" s="127"/>
      <c r="O16" s="86">
        <f t="shared" si="14"/>
        <v>4</v>
      </c>
      <c r="P16" s="84">
        <v>81</v>
      </c>
      <c r="Q16" s="127"/>
      <c r="R16" s="86">
        <f t="shared" si="15"/>
        <v>5</v>
      </c>
      <c r="S16" s="84">
        <v>0</v>
      </c>
      <c r="T16" s="127"/>
      <c r="U16" s="86" t="str">
        <f t="shared" si="16"/>
        <v>F</v>
      </c>
      <c r="V16" s="84">
        <v>90</v>
      </c>
      <c r="W16" s="127"/>
      <c r="X16" s="86">
        <f t="shared" si="17"/>
        <v>5</v>
      </c>
      <c r="Y16" s="84">
        <v>46</v>
      </c>
      <c r="Z16" s="127"/>
      <c r="AA16" s="86">
        <f t="shared" si="18"/>
        <v>5</v>
      </c>
      <c r="AB16" s="84">
        <v>40</v>
      </c>
      <c r="AC16" s="127"/>
      <c r="AD16" s="86">
        <f t="shared" si="19"/>
        <v>5</v>
      </c>
      <c r="AE16" s="86" t="str">
        <f t="shared" si="20"/>
        <v>F</v>
      </c>
      <c r="AF16" s="92" t="str">
        <f t="shared" si="21"/>
        <v>F</v>
      </c>
      <c r="AG16" s="69" t="str">
        <f t="shared" si="22"/>
        <v>NEED TO PROGRESS</v>
      </c>
      <c r="AH16" s="68">
        <f t="shared" si="23"/>
        <v>509</v>
      </c>
      <c r="AI16" s="61"/>
      <c r="AJ16" s="61"/>
    </row>
    <row r="17" spans="1:36" s="62" customFormat="1" ht="17.25" customHeight="1">
      <c r="A17" s="55">
        <v>12</v>
      </c>
      <c r="B17" s="51">
        <v>43</v>
      </c>
      <c r="C17" s="48" t="s">
        <v>117</v>
      </c>
      <c r="D17" s="48" t="s">
        <v>118</v>
      </c>
      <c r="E17" s="48" t="s">
        <v>119</v>
      </c>
      <c r="F17" s="87">
        <v>69</v>
      </c>
      <c r="G17" s="85">
        <v>0</v>
      </c>
      <c r="H17" s="86">
        <f t="shared" si="11"/>
        <v>69</v>
      </c>
      <c r="I17" s="127"/>
      <c r="J17" s="86">
        <f t="shared" si="12"/>
        <v>2</v>
      </c>
      <c r="K17" s="84">
        <v>67</v>
      </c>
      <c r="L17" s="84">
        <v>58</v>
      </c>
      <c r="M17" s="86">
        <f t="shared" si="13"/>
        <v>125</v>
      </c>
      <c r="N17" s="127"/>
      <c r="O17" s="86">
        <f t="shared" si="14"/>
        <v>3.5</v>
      </c>
      <c r="P17" s="84">
        <v>83</v>
      </c>
      <c r="Q17" s="127"/>
      <c r="R17" s="86">
        <f t="shared" si="15"/>
        <v>5</v>
      </c>
      <c r="S17" s="84">
        <v>0</v>
      </c>
      <c r="T17" s="127"/>
      <c r="U17" s="86" t="str">
        <f t="shared" si="16"/>
        <v>F</v>
      </c>
      <c r="V17" s="84">
        <v>0</v>
      </c>
      <c r="W17" s="127"/>
      <c r="X17" s="86" t="str">
        <f t="shared" si="17"/>
        <v>F</v>
      </c>
      <c r="Y17" s="84">
        <v>39</v>
      </c>
      <c r="Z17" s="127"/>
      <c r="AA17" s="86">
        <f t="shared" si="18"/>
        <v>4</v>
      </c>
      <c r="AB17" s="84">
        <v>33</v>
      </c>
      <c r="AC17" s="127"/>
      <c r="AD17" s="86">
        <f t="shared" si="19"/>
        <v>3.5</v>
      </c>
      <c r="AE17" s="86" t="str">
        <f t="shared" si="20"/>
        <v>F</v>
      </c>
      <c r="AF17" s="92" t="str">
        <f t="shared" si="21"/>
        <v>F</v>
      </c>
      <c r="AG17" s="69" t="str">
        <f t="shared" si="22"/>
        <v>NEED TO PROGRESS</v>
      </c>
      <c r="AH17" s="68">
        <f t="shared" si="23"/>
        <v>349</v>
      </c>
      <c r="AI17" s="61"/>
      <c r="AJ17" s="61"/>
    </row>
    <row r="18" spans="1:36" s="62" customFormat="1" ht="16.5" customHeight="1">
      <c r="A18" s="55">
        <v>13</v>
      </c>
      <c r="B18" s="52">
        <v>51</v>
      </c>
      <c r="C18" s="49" t="s">
        <v>120</v>
      </c>
      <c r="D18" s="49" t="s">
        <v>121</v>
      </c>
      <c r="E18" s="49" t="s">
        <v>122</v>
      </c>
      <c r="F18" s="87">
        <v>69</v>
      </c>
      <c r="G18" s="85">
        <v>43</v>
      </c>
      <c r="H18" s="86">
        <f t="shared" si="11"/>
        <v>112</v>
      </c>
      <c r="I18" s="127"/>
      <c r="J18" s="86">
        <f t="shared" si="12"/>
        <v>4</v>
      </c>
      <c r="K18" s="84">
        <v>70</v>
      </c>
      <c r="L18" s="84">
        <v>75</v>
      </c>
      <c r="M18" s="86">
        <f t="shared" si="13"/>
        <v>145</v>
      </c>
      <c r="N18" s="127"/>
      <c r="O18" s="86">
        <f t="shared" si="14"/>
        <v>4</v>
      </c>
      <c r="P18" s="84">
        <v>83</v>
      </c>
      <c r="Q18" s="127"/>
      <c r="R18" s="86">
        <f t="shared" si="15"/>
        <v>5</v>
      </c>
      <c r="S18" s="84">
        <v>80</v>
      </c>
      <c r="T18" s="127"/>
      <c r="U18" s="86">
        <f t="shared" si="16"/>
        <v>5</v>
      </c>
      <c r="V18" s="84">
        <v>81</v>
      </c>
      <c r="W18" s="127"/>
      <c r="X18" s="86">
        <f t="shared" si="17"/>
        <v>5</v>
      </c>
      <c r="Y18" s="84">
        <v>43</v>
      </c>
      <c r="Z18" s="127"/>
      <c r="AA18" s="86">
        <f t="shared" si="18"/>
        <v>5</v>
      </c>
      <c r="AB18" s="84">
        <v>37</v>
      </c>
      <c r="AC18" s="127"/>
      <c r="AD18" s="86">
        <f t="shared" si="19"/>
        <v>4</v>
      </c>
      <c r="AE18" s="86">
        <f t="shared" si="20"/>
        <v>32</v>
      </c>
      <c r="AF18" s="92">
        <f t="shared" si="21"/>
        <v>4.5714285714285712</v>
      </c>
      <c r="AG18" s="69" t="str">
        <f t="shared" si="22"/>
        <v>BETTER</v>
      </c>
      <c r="AH18" s="68">
        <f t="shared" si="23"/>
        <v>581</v>
      </c>
      <c r="AI18" s="61"/>
      <c r="AJ18" s="61"/>
    </row>
    <row r="19" spans="1:36" s="62" customFormat="1" ht="17.25" customHeight="1">
      <c r="A19" s="55">
        <v>14</v>
      </c>
      <c r="B19" s="52">
        <v>54</v>
      </c>
      <c r="C19" s="49" t="s">
        <v>123</v>
      </c>
      <c r="D19" s="49" t="s">
        <v>124</v>
      </c>
      <c r="E19" s="49" t="s">
        <v>125</v>
      </c>
      <c r="F19" s="87">
        <v>69</v>
      </c>
      <c r="G19" s="85">
        <v>39</v>
      </c>
      <c r="H19" s="86">
        <f t="shared" si="11"/>
        <v>108</v>
      </c>
      <c r="I19" s="127"/>
      <c r="J19" s="86">
        <f t="shared" si="12"/>
        <v>4</v>
      </c>
      <c r="K19" s="84">
        <v>59</v>
      </c>
      <c r="L19" s="84">
        <v>54</v>
      </c>
      <c r="M19" s="86">
        <f t="shared" si="13"/>
        <v>113</v>
      </c>
      <c r="N19" s="127"/>
      <c r="O19" s="86">
        <f t="shared" si="14"/>
        <v>3</v>
      </c>
      <c r="P19" s="84">
        <v>80</v>
      </c>
      <c r="Q19" s="127"/>
      <c r="R19" s="86">
        <f t="shared" si="15"/>
        <v>5</v>
      </c>
      <c r="S19" s="84">
        <v>86</v>
      </c>
      <c r="T19" s="127"/>
      <c r="U19" s="86">
        <f t="shared" si="16"/>
        <v>5</v>
      </c>
      <c r="V19" s="84">
        <v>64</v>
      </c>
      <c r="W19" s="127"/>
      <c r="X19" s="86">
        <f t="shared" si="17"/>
        <v>3.5</v>
      </c>
      <c r="Y19" s="84">
        <v>42</v>
      </c>
      <c r="Z19" s="127"/>
      <c r="AA19" s="86">
        <f t="shared" si="18"/>
        <v>5</v>
      </c>
      <c r="AB19" s="84">
        <v>34</v>
      </c>
      <c r="AC19" s="127"/>
      <c r="AD19" s="86">
        <f t="shared" si="19"/>
        <v>3.5</v>
      </c>
      <c r="AE19" s="86">
        <f t="shared" si="20"/>
        <v>29</v>
      </c>
      <c r="AF19" s="92">
        <f t="shared" si="21"/>
        <v>4.1428571428571432</v>
      </c>
      <c r="AG19" s="69" t="str">
        <f t="shared" si="22"/>
        <v>BETTER</v>
      </c>
      <c r="AH19" s="68">
        <f t="shared" si="23"/>
        <v>527</v>
      </c>
      <c r="AI19" s="61"/>
      <c r="AJ19" s="61"/>
    </row>
    <row r="20" spans="1:36" s="62" customFormat="1" ht="15" customHeight="1">
      <c r="A20" s="55">
        <v>15</v>
      </c>
      <c r="B20" s="52">
        <v>56</v>
      </c>
      <c r="C20" s="49" t="s">
        <v>126</v>
      </c>
      <c r="D20" s="49" t="s">
        <v>127</v>
      </c>
      <c r="E20" s="49" t="s">
        <v>128</v>
      </c>
      <c r="F20" s="87">
        <v>69</v>
      </c>
      <c r="G20" s="85">
        <v>41</v>
      </c>
      <c r="H20" s="86">
        <f t="shared" si="11"/>
        <v>110</v>
      </c>
      <c r="I20" s="127"/>
      <c r="J20" s="86">
        <f t="shared" si="12"/>
        <v>4</v>
      </c>
      <c r="K20" s="84">
        <v>66</v>
      </c>
      <c r="L20" s="84">
        <v>78</v>
      </c>
      <c r="M20" s="86">
        <f t="shared" si="13"/>
        <v>144</v>
      </c>
      <c r="N20" s="127"/>
      <c r="O20" s="86">
        <f t="shared" si="14"/>
        <v>4</v>
      </c>
      <c r="P20" s="84">
        <v>63</v>
      </c>
      <c r="Q20" s="127"/>
      <c r="R20" s="86">
        <f t="shared" si="15"/>
        <v>3.5</v>
      </c>
      <c r="S20" s="84">
        <v>93</v>
      </c>
      <c r="T20" s="127"/>
      <c r="U20" s="86">
        <f t="shared" si="16"/>
        <v>5</v>
      </c>
      <c r="V20" s="84">
        <v>93</v>
      </c>
      <c r="W20" s="127"/>
      <c r="X20" s="86">
        <f t="shared" si="17"/>
        <v>5</v>
      </c>
      <c r="Y20" s="84">
        <v>43</v>
      </c>
      <c r="Z20" s="127"/>
      <c r="AA20" s="86">
        <f t="shared" si="18"/>
        <v>5</v>
      </c>
      <c r="AB20" s="84">
        <v>36</v>
      </c>
      <c r="AC20" s="127"/>
      <c r="AD20" s="86">
        <f t="shared" si="19"/>
        <v>4</v>
      </c>
      <c r="AE20" s="86">
        <f t="shared" si="20"/>
        <v>30.5</v>
      </c>
      <c r="AF20" s="92">
        <f t="shared" si="21"/>
        <v>4.3571428571428568</v>
      </c>
      <c r="AG20" s="69" t="str">
        <f t="shared" si="22"/>
        <v>BETTER</v>
      </c>
      <c r="AH20" s="68">
        <f t="shared" si="23"/>
        <v>582</v>
      </c>
      <c r="AI20" s="61"/>
      <c r="AJ20" s="61"/>
    </row>
    <row r="21" spans="1:36" s="62" customFormat="1" ht="17.25" customHeight="1">
      <c r="A21" s="55">
        <v>16</v>
      </c>
      <c r="B21" s="52">
        <v>63</v>
      </c>
      <c r="C21" s="49" t="s">
        <v>129</v>
      </c>
      <c r="D21" s="49" t="s">
        <v>130</v>
      </c>
      <c r="E21" s="49" t="s">
        <v>131</v>
      </c>
      <c r="F21" s="87">
        <v>69</v>
      </c>
      <c r="G21" s="85">
        <v>38</v>
      </c>
      <c r="H21" s="86">
        <f t="shared" si="11"/>
        <v>107</v>
      </c>
      <c r="I21" s="127"/>
      <c r="J21" s="86">
        <f t="shared" si="12"/>
        <v>4</v>
      </c>
      <c r="K21" s="84">
        <v>61</v>
      </c>
      <c r="L21" s="84">
        <v>61</v>
      </c>
      <c r="M21" s="86">
        <f t="shared" si="13"/>
        <v>122</v>
      </c>
      <c r="N21" s="127"/>
      <c r="O21" s="86">
        <f t="shared" si="14"/>
        <v>3.5</v>
      </c>
      <c r="P21" s="84">
        <v>84</v>
      </c>
      <c r="Q21" s="127"/>
      <c r="R21" s="86">
        <f t="shared" si="15"/>
        <v>5</v>
      </c>
      <c r="S21" s="84">
        <v>84</v>
      </c>
      <c r="T21" s="127"/>
      <c r="U21" s="86">
        <f t="shared" si="16"/>
        <v>5</v>
      </c>
      <c r="V21" s="84">
        <v>80</v>
      </c>
      <c r="W21" s="127"/>
      <c r="X21" s="86">
        <f t="shared" si="17"/>
        <v>5</v>
      </c>
      <c r="Y21" s="84">
        <v>45</v>
      </c>
      <c r="Z21" s="127"/>
      <c r="AA21" s="86">
        <f t="shared" si="18"/>
        <v>5</v>
      </c>
      <c r="AB21" s="84">
        <v>38</v>
      </c>
      <c r="AC21" s="127"/>
      <c r="AD21" s="86">
        <f t="shared" si="19"/>
        <v>4</v>
      </c>
      <c r="AE21" s="86">
        <f t="shared" si="20"/>
        <v>31.5</v>
      </c>
      <c r="AF21" s="92">
        <f t="shared" si="21"/>
        <v>4.5</v>
      </c>
      <c r="AG21" s="69" t="str">
        <f t="shared" si="22"/>
        <v>BETTER</v>
      </c>
      <c r="AH21" s="68">
        <f t="shared" si="23"/>
        <v>560</v>
      </c>
      <c r="AI21" s="61"/>
      <c r="AJ21" s="61"/>
    </row>
    <row r="22" spans="1:36" s="62" customFormat="1" ht="15.75" customHeight="1">
      <c r="A22" s="55">
        <v>17</v>
      </c>
      <c r="B22" s="52">
        <v>67</v>
      </c>
      <c r="C22" s="49" t="s">
        <v>132</v>
      </c>
      <c r="D22" s="49" t="s">
        <v>133</v>
      </c>
      <c r="E22" s="49" t="s">
        <v>134</v>
      </c>
      <c r="F22" s="87">
        <v>69</v>
      </c>
      <c r="G22" s="85">
        <v>48</v>
      </c>
      <c r="H22" s="86">
        <f t="shared" si="11"/>
        <v>117</v>
      </c>
      <c r="I22" s="127"/>
      <c r="J22" s="86">
        <f t="shared" si="12"/>
        <v>4</v>
      </c>
      <c r="K22" s="84">
        <v>60</v>
      </c>
      <c r="L22" s="84">
        <v>61</v>
      </c>
      <c r="M22" s="86">
        <f t="shared" si="13"/>
        <v>121</v>
      </c>
      <c r="N22" s="127"/>
      <c r="O22" s="86">
        <f t="shared" si="14"/>
        <v>3.5</v>
      </c>
      <c r="P22" s="84">
        <v>60</v>
      </c>
      <c r="Q22" s="127"/>
      <c r="R22" s="86">
        <f t="shared" si="15"/>
        <v>3.5</v>
      </c>
      <c r="S22" s="84">
        <v>80</v>
      </c>
      <c r="T22" s="127"/>
      <c r="U22" s="86">
        <f t="shared" si="16"/>
        <v>5</v>
      </c>
      <c r="V22" s="84">
        <v>97</v>
      </c>
      <c r="W22" s="127"/>
      <c r="X22" s="86">
        <f t="shared" si="17"/>
        <v>5</v>
      </c>
      <c r="Y22" s="84">
        <v>47</v>
      </c>
      <c r="Z22" s="127"/>
      <c r="AA22" s="86">
        <f t="shared" si="18"/>
        <v>5</v>
      </c>
      <c r="AB22" s="84">
        <v>42</v>
      </c>
      <c r="AC22" s="127"/>
      <c r="AD22" s="86">
        <f t="shared" si="19"/>
        <v>5</v>
      </c>
      <c r="AE22" s="86">
        <f t="shared" si="20"/>
        <v>31</v>
      </c>
      <c r="AF22" s="92">
        <f t="shared" si="21"/>
        <v>4.4285714285714288</v>
      </c>
      <c r="AG22" s="69" t="str">
        <f t="shared" si="22"/>
        <v>BETTER</v>
      </c>
      <c r="AH22" s="68">
        <f t="shared" si="23"/>
        <v>564</v>
      </c>
      <c r="AI22" s="61"/>
      <c r="AJ22" s="61"/>
    </row>
    <row r="23" spans="1:36" s="62" customFormat="1" ht="15.75" customHeight="1">
      <c r="A23" s="55">
        <v>18</v>
      </c>
      <c r="B23" s="52">
        <v>74</v>
      </c>
      <c r="C23" s="49" t="s">
        <v>135</v>
      </c>
      <c r="D23" s="49" t="s">
        <v>136</v>
      </c>
      <c r="E23" s="49" t="s">
        <v>137</v>
      </c>
      <c r="F23" s="87">
        <v>69</v>
      </c>
      <c r="G23" s="85">
        <v>46</v>
      </c>
      <c r="H23" s="86">
        <f t="shared" si="11"/>
        <v>115</v>
      </c>
      <c r="I23" s="127"/>
      <c r="J23" s="86">
        <f t="shared" si="12"/>
        <v>4</v>
      </c>
      <c r="K23" s="84">
        <v>83</v>
      </c>
      <c r="L23" s="84">
        <v>86</v>
      </c>
      <c r="M23" s="86">
        <f t="shared" si="13"/>
        <v>169</v>
      </c>
      <c r="N23" s="127"/>
      <c r="O23" s="86">
        <f t="shared" si="14"/>
        <v>5</v>
      </c>
      <c r="P23" s="84">
        <v>91</v>
      </c>
      <c r="Q23" s="127"/>
      <c r="R23" s="86">
        <f t="shared" si="15"/>
        <v>5</v>
      </c>
      <c r="S23" s="84">
        <v>95</v>
      </c>
      <c r="T23" s="127"/>
      <c r="U23" s="86">
        <f t="shared" si="16"/>
        <v>5</v>
      </c>
      <c r="V23" s="84">
        <v>97</v>
      </c>
      <c r="W23" s="127"/>
      <c r="X23" s="86">
        <f t="shared" si="17"/>
        <v>5</v>
      </c>
      <c r="Y23" s="84">
        <v>49</v>
      </c>
      <c r="Z23" s="127"/>
      <c r="AA23" s="86">
        <f t="shared" si="18"/>
        <v>5</v>
      </c>
      <c r="AB23" s="84">
        <v>46</v>
      </c>
      <c r="AC23" s="127"/>
      <c r="AD23" s="86">
        <f t="shared" si="19"/>
        <v>5</v>
      </c>
      <c r="AE23" s="86">
        <f t="shared" si="20"/>
        <v>34</v>
      </c>
      <c r="AF23" s="92">
        <f t="shared" si="21"/>
        <v>4.8571428571428568</v>
      </c>
      <c r="AG23" s="69" t="str">
        <f t="shared" si="22"/>
        <v>BETTER</v>
      </c>
      <c r="AH23" s="68">
        <f t="shared" si="23"/>
        <v>662</v>
      </c>
      <c r="AI23" s="61"/>
      <c r="AJ23" s="61"/>
    </row>
    <row r="24" spans="1:36" s="62" customFormat="1" ht="15" customHeight="1">
      <c r="A24" s="55">
        <v>19</v>
      </c>
      <c r="B24" s="52">
        <v>75</v>
      </c>
      <c r="C24" s="49" t="s">
        <v>138</v>
      </c>
      <c r="D24" s="49" t="s">
        <v>139</v>
      </c>
      <c r="E24" s="49" t="s">
        <v>140</v>
      </c>
      <c r="F24" s="87">
        <v>69</v>
      </c>
      <c r="G24" s="85">
        <v>46</v>
      </c>
      <c r="H24" s="86">
        <f t="shared" si="11"/>
        <v>115</v>
      </c>
      <c r="I24" s="127"/>
      <c r="J24" s="86">
        <f t="shared" si="12"/>
        <v>4</v>
      </c>
      <c r="K24" s="84">
        <v>72</v>
      </c>
      <c r="L24" s="84">
        <v>84</v>
      </c>
      <c r="M24" s="86">
        <f t="shared" si="13"/>
        <v>156</v>
      </c>
      <c r="N24" s="127"/>
      <c r="O24" s="86">
        <f t="shared" si="14"/>
        <v>4</v>
      </c>
      <c r="P24" s="84">
        <v>90</v>
      </c>
      <c r="Q24" s="127"/>
      <c r="R24" s="86">
        <f t="shared" si="15"/>
        <v>5</v>
      </c>
      <c r="S24" s="84">
        <v>89</v>
      </c>
      <c r="T24" s="127"/>
      <c r="U24" s="86">
        <f t="shared" si="16"/>
        <v>5</v>
      </c>
      <c r="V24" s="84">
        <v>97</v>
      </c>
      <c r="W24" s="127"/>
      <c r="X24" s="86">
        <f t="shared" si="17"/>
        <v>5</v>
      </c>
      <c r="Y24" s="84">
        <v>48</v>
      </c>
      <c r="Z24" s="127"/>
      <c r="AA24" s="86">
        <f t="shared" si="18"/>
        <v>5</v>
      </c>
      <c r="AB24" s="84">
        <v>47</v>
      </c>
      <c r="AC24" s="127"/>
      <c r="AD24" s="86">
        <f t="shared" si="19"/>
        <v>5</v>
      </c>
      <c r="AE24" s="86">
        <f t="shared" si="20"/>
        <v>33</v>
      </c>
      <c r="AF24" s="92">
        <f t="shared" si="21"/>
        <v>4.7142857142857144</v>
      </c>
      <c r="AG24" s="69" t="str">
        <f t="shared" si="22"/>
        <v>BETTER</v>
      </c>
      <c r="AH24" s="68">
        <f t="shared" si="23"/>
        <v>642</v>
      </c>
      <c r="AI24" s="61"/>
      <c r="AJ24" s="61"/>
    </row>
    <row r="25" spans="1:36" s="62" customFormat="1" ht="15.75" customHeight="1">
      <c r="A25" s="55">
        <v>20</v>
      </c>
      <c r="B25" s="52">
        <v>79</v>
      </c>
      <c r="C25" s="49" t="s">
        <v>141</v>
      </c>
      <c r="D25" s="49" t="s">
        <v>142</v>
      </c>
      <c r="E25" s="49" t="s">
        <v>143</v>
      </c>
      <c r="F25" s="87">
        <v>69</v>
      </c>
      <c r="G25" s="85">
        <v>47</v>
      </c>
      <c r="H25" s="86">
        <f t="shared" si="11"/>
        <v>116</v>
      </c>
      <c r="I25" s="127"/>
      <c r="J25" s="86">
        <f t="shared" si="12"/>
        <v>4</v>
      </c>
      <c r="K25" s="84">
        <v>82</v>
      </c>
      <c r="L25" s="84">
        <v>70</v>
      </c>
      <c r="M25" s="86">
        <f t="shared" si="13"/>
        <v>152</v>
      </c>
      <c r="N25" s="127"/>
      <c r="O25" s="86">
        <f t="shared" si="14"/>
        <v>4</v>
      </c>
      <c r="P25" s="84">
        <v>82</v>
      </c>
      <c r="Q25" s="127"/>
      <c r="R25" s="86">
        <f t="shared" si="15"/>
        <v>5</v>
      </c>
      <c r="S25" s="84">
        <v>90</v>
      </c>
      <c r="T25" s="127"/>
      <c r="U25" s="86">
        <f t="shared" si="16"/>
        <v>5</v>
      </c>
      <c r="V25" s="84">
        <v>98</v>
      </c>
      <c r="W25" s="127"/>
      <c r="X25" s="86">
        <f t="shared" si="17"/>
        <v>5</v>
      </c>
      <c r="Y25" s="84">
        <v>49</v>
      </c>
      <c r="Z25" s="127"/>
      <c r="AA25" s="86">
        <f t="shared" si="18"/>
        <v>5</v>
      </c>
      <c r="AB25" s="84">
        <v>42</v>
      </c>
      <c r="AC25" s="127"/>
      <c r="AD25" s="86">
        <f t="shared" si="19"/>
        <v>5</v>
      </c>
      <c r="AE25" s="86">
        <f t="shared" si="20"/>
        <v>33</v>
      </c>
      <c r="AF25" s="92">
        <f t="shared" si="21"/>
        <v>4.7142857142857144</v>
      </c>
      <c r="AG25" s="69" t="str">
        <f t="shared" si="22"/>
        <v>BETTER</v>
      </c>
      <c r="AH25" s="68">
        <f t="shared" si="23"/>
        <v>629</v>
      </c>
      <c r="AI25" s="61"/>
      <c r="AJ25" s="61"/>
    </row>
    <row r="26" spans="1:36" s="62" customFormat="1" ht="15.75" customHeight="1">
      <c r="A26" s="55">
        <v>21</v>
      </c>
      <c r="B26" s="52">
        <v>87</v>
      </c>
      <c r="C26" s="49" t="s">
        <v>144</v>
      </c>
      <c r="D26" s="49" t="s">
        <v>145</v>
      </c>
      <c r="E26" s="49" t="s">
        <v>146</v>
      </c>
      <c r="F26" s="87">
        <v>69</v>
      </c>
      <c r="G26" s="85">
        <v>37</v>
      </c>
      <c r="H26" s="86">
        <f t="shared" si="11"/>
        <v>106</v>
      </c>
      <c r="I26" s="127"/>
      <c r="J26" s="86">
        <f t="shared" si="12"/>
        <v>4</v>
      </c>
      <c r="K26" s="84">
        <v>40</v>
      </c>
      <c r="L26" s="84">
        <v>40</v>
      </c>
      <c r="M26" s="86">
        <f t="shared" si="13"/>
        <v>80</v>
      </c>
      <c r="N26" s="127"/>
      <c r="O26" s="86">
        <f t="shared" si="14"/>
        <v>2</v>
      </c>
      <c r="P26" s="84">
        <v>44</v>
      </c>
      <c r="Q26" s="127"/>
      <c r="R26" s="86">
        <f t="shared" si="15"/>
        <v>2</v>
      </c>
      <c r="S26" s="84">
        <v>42</v>
      </c>
      <c r="T26" s="127"/>
      <c r="U26" s="86">
        <f t="shared" si="16"/>
        <v>2</v>
      </c>
      <c r="V26" s="84">
        <v>41</v>
      </c>
      <c r="W26" s="127"/>
      <c r="X26" s="86">
        <f t="shared" si="17"/>
        <v>2</v>
      </c>
      <c r="Y26" s="84">
        <v>22</v>
      </c>
      <c r="Z26" s="127"/>
      <c r="AA26" s="86">
        <f t="shared" si="18"/>
        <v>2</v>
      </c>
      <c r="AB26" s="84">
        <v>22</v>
      </c>
      <c r="AC26" s="127"/>
      <c r="AD26" s="86">
        <f t="shared" si="19"/>
        <v>2</v>
      </c>
      <c r="AE26" s="86">
        <f t="shared" si="20"/>
        <v>16</v>
      </c>
      <c r="AF26" s="92">
        <f t="shared" si="21"/>
        <v>2.2857142857142856</v>
      </c>
      <c r="AG26" s="69" t="str">
        <f t="shared" si="22"/>
        <v>GOOD</v>
      </c>
      <c r="AH26" s="68">
        <f t="shared" si="23"/>
        <v>357</v>
      </c>
      <c r="AI26" s="61"/>
      <c r="AJ26" s="61"/>
    </row>
    <row r="27" spans="1:36" s="62" customFormat="1" ht="15" customHeight="1">
      <c r="A27" s="55">
        <v>22</v>
      </c>
      <c r="B27" s="51">
        <v>90</v>
      </c>
      <c r="C27" s="49" t="s">
        <v>147</v>
      </c>
      <c r="D27" s="49" t="s">
        <v>148</v>
      </c>
      <c r="E27" s="49" t="s">
        <v>149</v>
      </c>
      <c r="F27" s="87">
        <v>69</v>
      </c>
      <c r="G27" s="85">
        <v>40</v>
      </c>
      <c r="H27" s="86">
        <f t="shared" si="11"/>
        <v>109</v>
      </c>
      <c r="I27" s="127"/>
      <c r="J27" s="86">
        <f t="shared" si="12"/>
        <v>4</v>
      </c>
      <c r="K27" s="84">
        <v>42</v>
      </c>
      <c r="L27" s="84">
        <v>57</v>
      </c>
      <c r="M27" s="86">
        <f t="shared" si="13"/>
        <v>99</v>
      </c>
      <c r="N27" s="127"/>
      <c r="O27" s="86">
        <f t="shared" si="14"/>
        <v>2</v>
      </c>
      <c r="P27" s="84">
        <v>58</v>
      </c>
      <c r="Q27" s="127"/>
      <c r="R27" s="86">
        <f t="shared" si="15"/>
        <v>3</v>
      </c>
      <c r="S27" s="84">
        <v>70</v>
      </c>
      <c r="T27" s="127"/>
      <c r="U27" s="86">
        <f t="shared" si="16"/>
        <v>4</v>
      </c>
      <c r="V27" s="84">
        <v>54</v>
      </c>
      <c r="W27" s="127"/>
      <c r="X27" s="86">
        <f t="shared" si="17"/>
        <v>3</v>
      </c>
      <c r="Y27" s="84">
        <v>32</v>
      </c>
      <c r="Z27" s="127"/>
      <c r="AA27" s="86">
        <f t="shared" si="18"/>
        <v>3.5</v>
      </c>
      <c r="AB27" s="84">
        <v>34</v>
      </c>
      <c r="AC27" s="127"/>
      <c r="AD27" s="86">
        <f t="shared" si="19"/>
        <v>3.5</v>
      </c>
      <c r="AE27" s="86">
        <f t="shared" si="20"/>
        <v>23</v>
      </c>
      <c r="AF27" s="92">
        <f t="shared" si="21"/>
        <v>3.2857142857142856</v>
      </c>
      <c r="AG27" s="69" t="str">
        <f t="shared" si="22"/>
        <v>GOOD</v>
      </c>
      <c r="AH27" s="68">
        <f t="shared" si="23"/>
        <v>456</v>
      </c>
      <c r="AI27" s="61"/>
      <c r="AJ27" s="61"/>
    </row>
    <row r="28" spans="1:36" s="62" customFormat="1" ht="16.5" customHeight="1">
      <c r="A28" s="55">
        <v>23</v>
      </c>
      <c r="B28" s="51">
        <v>91</v>
      </c>
      <c r="C28" s="49" t="s">
        <v>150</v>
      </c>
      <c r="D28" s="49" t="s">
        <v>151</v>
      </c>
      <c r="E28" s="49" t="s">
        <v>152</v>
      </c>
      <c r="F28" s="87">
        <v>69</v>
      </c>
      <c r="G28" s="85">
        <v>43</v>
      </c>
      <c r="H28" s="86">
        <f t="shared" si="11"/>
        <v>112</v>
      </c>
      <c r="I28" s="127"/>
      <c r="J28" s="86">
        <f t="shared" si="12"/>
        <v>4</v>
      </c>
      <c r="K28" s="84">
        <v>57</v>
      </c>
      <c r="L28" s="84">
        <v>71</v>
      </c>
      <c r="M28" s="86">
        <f t="shared" si="13"/>
        <v>128</v>
      </c>
      <c r="N28" s="127"/>
      <c r="O28" s="86">
        <f t="shared" si="14"/>
        <v>3.5</v>
      </c>
      <c r="P28" s="84">
        <v>60</v>
      </c>
      <c r="Q28" s="127"/>
      <c r="R28" s="86">
        <f t="shared" si="15"/>
        <v>3.5</v>
      </c>
      <c r="S28" s="84">
        <v>92</v>
      </c>
      <c r="T28" s="127"/>
      <c r="U28" s="86">
        <f t="shared" si="16"/>
        <v>5</v>
      </c>
      <c r="V28" s="84">
        <v>70</v>
      </c>
      <c r="W28" s="127"/>
      <c r="X28" s="86">
        <f t="shared" si="17"/>
        <v>4</v>
      </c>
      <c r="Y28" s="84">
        <v>48</v>
      </c>
      <c r="Z28" s="127"/>
      <c r="AA28" s="86">
        <f t="shared" si="18"/>
        <v>5</v>
      </c>
      <c r="AB28" s="84">
        <v>44</v>
      </c>
      <c r="AC28" s="127"/>
      <c r="AD28" s="86">
        <f t="shared" si="19"/>
        <v>5</v>
      </c>
      <c r="AE28" s="86">
        <f t="shared" si="20"/>
        <v>30</v>
      </c>
      <c r="AF28" s="92">
        <f t="shared" si="21"/>
        <v>4.2857142857142856</v>
      </c>
      <c r="AG28" s="69" t="str">
        <f t="shared" si="22"/>
        <v>BETTER</v>
      </c>
      <c r="AH28" s="68">
        <f t="shared" si="23"/>
        <v>554</v>
      </c>
      <c r="AI28" s="61"/>
      <c r="AJ28" s="61"/>
    </row>
    <row r="29" spans="1:36" s="62" customFormat="1" ht="15.75" customHeight="1">
      <c r="A29" s="55">
        <v>24</v>
      </c>
      <c r="B29" s="51">
        <v>11</v>
      </c>
      <c r="C29" s="49" t="s">
        <v>153</v>
      </c>
      <c r="D29" s="49" t="s">
        <v>154</v>
      </c>
      <c r="E29" s="49" t="s">
        <v>155</v>
      </c>
      <c r="F29" s="87">
        <v>69</v>
      </c>
      <c r="G29" s="85">
        <v>45</v>
      </c>
      <c r="H29" s="86">
        <f t="shared" si="11"/>
        <v>114</v>
      </c>
      <c r="I29" s="127"/>
      <c r="J29" s="86">
        <f t="shared" si="12"/>
        <v>4</v>
      </c>
      <c r="K29" s="84">
        <v>80</v>
      </c>
      <c r="L29" s="84">
        <v>73</v>
      </c>
      <c r="M29" s="86">
        <f t="shared" si="13"/>
        <v>153</v>
      </c>
      <c r="N29" s="127"/>
      <c r="O29" s="86">
        <f t="shared" si="14"/>
        <v>4</v>
      </c>
      <c r="P29" s="84">
        <v>51</v>
      </c>
      <c r="Q29" s="127"/>
      <c r="R29" s="86">
        <f t="shared" si="15"/>
        <v>3</v>
      </c>
      <c r="S29" s="84">
        <v>76</v>
      </c>
      <c r="T29" s="127"/>
      <c r="U29" s="86">
        <f t="shared" si="16"/>
        <v>4</v>
      </c>
      <c r="V29" s="84">
        <v>73</v>
      </c>
      <c r="W29" s="127"/>
      <c r="X29" s="86">
        <f t="shared" si="17"/>
        <v>4</v>
      </c>
      <c r="Y29" s="84">
        <v>46</v>
      </c>
      <c r="Z29" s="127"/>
      <c r="AA29" s="86">
        <f t="shared" si="18"/>
        <v>5</v>
      </c>
      <c r="AB29" s="84">
        <v>35</v>
      </c>
      <c r="AC29" s="127"/>
      <c r="AD29" s="86">
        <f t="shared" si="19"/>
        <v>4</v>
      </c>
      <c r="AE29" s="86">
        <f t="shared" si="20"/>
        <v>28</v>
      </c>
      <c r="AF29" s="92">
        <f t="shared" si="21"/>
        <v>4</v>
      </c>
      <c r="AG29" s="69" t="str">
        <f t="shared" si="22"/>
        <v>BETTER</v>
      </c>
      <c r="AH29" s="68">
        <f t="shared" si="23"/>
        <v>548</v>
      </c>
      <c r="AI29" s="61"/>
      <c r="AJ29" s="61"/>
    </row>
    <row r="30" spans="1:36" s="62" customFormat="1" ht="17.25" customHeight="1">
      <c r="A30" s="55">
        <v>25</v>
      </c>
      <c r="B30" s="51">
        <v>17</v>
      </c>
      <c r="C30" s="48" t="s">
        <v>156</v>
      </c>
      <c r="D30" s="48" t="s">
        <v>157</v>
      </c>
      <c r="E30" s="48" t="s">
        <v>158</v>
      </c>
      <c r="F30" s="87">
        <v>69</v>
      </c>
      <c r="G30" s="85">
        <v>45</v>
      </c>
      <c r="H30" s="86">
        <f t="shared" si="11"/>
        <v>114</v>
      </c>
      <c r="I30" s="127"/>
      <c r="J30" s="86">
        <f t="shared" si="12"/>
        <v>4</v>
      </c>
      <c r="K30" s="84">
        <v>66</v>
      </c>
      <c r="L30" s="84">
        <v>62</v>
      </c>
      <c r="M30" s="86">
        <f t="shared" si="13"/>
        <v>128</v>
      </c>
      <c r="N30" s="127"/>
      <c r="O30" s="86">
        <f t="shared" si="14"/>
        <v>3.5</v>
      </c>
      <c r="P30" s="84">
        <v>60</v>
      </c>
      <c r="Q30" s="127"/>
      <c r="R30" s="86">
        <f t="shared" si="15"/>
        <v>3.5</v>
      </c>
      <c r="S30" s="84">
        <v>76</v>
      </c>
      <c r="T30" s="127"/>
      <c r="U30" s="86">
        <f t="shared" si="16"/>
        <v>4</v>
      </c>
      <c r="V30" s="84">
        <v>85</v>
      </c>
      <c r="W30" s="127"/>
      <c r="X30" s="86">
        <f t="shared" si="17"/>
        <v>5</v>
      </c>
      <c r="Y30" s="84">
        <v>50</v>
      </c>
      <c r="Z30" s="127"/>
      <c r="AA30" s="86">
        <f t="shared" si="18"/>
        <v>5</v>
      </c>
      <c r="AB30" s="84">
        <v>36</v>
      </c>
      <c r="AC30" s="127"/>
      <c r="AD30" s="86">
        <f t="shared" si="19"/>
        <v>4</v>
      </c>
      <c r="AE30" s="86">
        <f t="shared" si="20"/>
        <v>29</v>
      </c>
      <c r="AF30" s="92">
        <f t="shared" si="21"/>
        <v>4.1428571428571432</v>
      </c>
      <c r="AG30" s="69" t="str">
        <f t="shared" si="22"/>
        <v>BETTER</v>
      </c>
      <c r="AH30" s="68">
        <f t="shared" si="23"/>
        <v>549</v>
      </c>
      <c r="AI30" s="61"/>
      <c r="AJ30" s="61"/>
    </row>
    <row r="31" spans="1:36" s="62" customFormat="1" ht="17.25" customHeight="1">
      <c r="A31" s="55">
        <v>26</v>
      </c>
      <c r="B31" s="51">
        <v>19</v>
      </c>
      <c r="C31" s="50" t="s">
        <v>159</v>
      </c>
      <c r="D31" s="50" t="s">
        <v>160</v>
      </c>
      <c r="E31" s="50" t="s">
        <v>161</v>
      </c>
      <c r="F31" s="87">
        <v>69</v>
      </c>
      <c r="G31" s="85">
        <v>42</v>
      </c>
      <c r="H31" s="86">
        <f t="shared" si="11"/>
        <v>111</v>
      </c>
      <c r="I31" s="127"/>
      <c r="J31" s="86">
        <f t="shared" si="12"/>
        <v>4</v>
      </c>
      <c r="K31" s="84">
        <v>73</v>
      </c>
      <c r="L31" s="84">
        <v>72</v>
      </c>
      <c r="M31" s="86">
        <f t="shared" si="13"/>
        <v>145</v>
      </c>
      <c r="N31" s="127"/>
      <c r="O31" s="86">
        <f t="shared" si="14"/>
        <v>4</v>
      </c>
      <c r="P31" s="84">
        <v>60</v>
      </c>
      <c r="Q31" s="127"/>
      <c r="R31" s="86">
        <f t="shared" si="15"/>
        <v>3.5</v>
      </c>
      <c r="S31" s="84">
        <v>52</v>
      </c>
      <c r="T31" s="127"/>
      <c r="U31" s="86">
        <f t="shared" si="16"/>
        <v>3</v>
      </c>
      <c r="V31" s="84">
        <v>87</v>
      </c>
      <c r="W31" s="127"/>
      <c r="X31" s="86">
        <f t="shared" si="17"/>
        <v>5</v>
      </c>
      <c r="Y31" s="84">
        <v>46</v>
      </c>
      <c r="Z31" s="127"/>
      <c r="AA31" s="86">
        <f t="shared" si="18"/>
        <v>5</v>
      </c>
      <c r="AB31" s="84">
        <v>40</v>
      </c>
      <c r="AC31" s="127"/>
      <c r="AD31" s="86">
        <f t="shared" si="19"/>
        <v>5</v>
      </c>
      <c r="AE31" s="86">
        <f t="shared" si="20"/>
        <v>29.5</v>
      </c>
      <c r="AF31" s="92">
        <f t="shared" si="21"/>
        <v>4.2142857142857144</v>
      </c>
      <c r="AG31" s="69" t="str">
        <f t="shared" si="22"/>
        <v>BETTER</v>
      </c>
      <c r="AH31" s="68">
        <f t="shared" si="23"/>
        <v>541</v>
      </c>
      <c r="AI31" s="61"/>
      <c r="AJ31" s="61"/>
    </row>
    <row r="32" spans="1:36" s="62" customFormat="1" ht="17.25" customHeight="1">
      <c r="A32" s="55">
        <v>27</v>
      </c>
      <c r="B32" s="51">
        <v>22</v>
      </c>
      <c r="C32" s="49" t="s">
        <v>162</v>
      </c>
      <c r="D32" s="49" t="s">
        <v>163</v>
      </c>
      <c r="E32" s="49" t="s">
        <v>164</v>
      </c>
      <c r="F32" s="87">
        <v>69</v>
      </c>
      <c r="G32" s="85">
        <v>43</v>
      </c>
      <c r="H32" s="86">
        <f t="shared" si="11"/>
        <v>112</v>
      </c>
      <c r="I32" s="127"/>
      <c r="J32" s="86">
        <f t="shared" si="12"/>
        <v>4</v>
      </c>
      <c r="K32" s="84">
        <v>77</v>
      </c>
      <c r="L32" s="84">
        <v>68</v>
      </c>
      <c r="M32" s="86">
        <f t="shared" si="13"/>
        <v>145</v>
      </c>
      <c r="N32" s="127"/>
      <c r="O32" s="86">
        <f t="shared" si="14"/>
        <v>4</v>
      </c>
      <c r="P32" s="84">
        <v>71</v>
      </c>
      <c r="Q32" s="127"/>
      <c r="R32" s="86">
        <f t="shared" si="15"/>
        <v>4</v>
      </c>
      <c r="S32" s="84">
        <v>88</v>
      </c>
      <c r="T32" s="127"/>
      <c r="U32" s="86">
        <f t="shared" si="16"/>
        <v>5</v>
      </c>
      <c r="V32" s="84">
        <v>84</v>
      </c>
      <c r="W32" s="127"/>
      <c r="X32" s="86">
        <f t="shared" si="17"/>
        <v>5</v>
      </c>
      <c r="Y32" s="84">
        <v>47</v>
      </c>
      <c r="Z32" s="127"/>
      <c r="AA32" s="86">
        <f t="shared" si="18"/>
        <v>5</v>
      </c>
      <c r="AB32" s="84">
        <v>40</v>
      </c>
      <c r="AC32" s="127"/>
      <c r="AD32" s="86">
        <f t="shared" si="19"/>
        <v>5</v>
      </c>
      <c r="AE32" s="86">
        <f t="shared" si="20"/>
        <v>32</v>
      </c>
      <c r="AF32" s="92">
        <f t="shared" si="21"/>
        <v>4.5714285714285712</v>
      </c>
      <c r="AG32" s="69" t="str">
        <f t="shared" si="22"/>
        <v>BETTER</v>
      </c>
      <c r="AH32" s="68">
        <f t="shared" si="23"/>
        <v>587</v>
      </c>
      <c r="AI32" s="61"/>
      <c r="AJ32" s="61"/>
    </row>
    <row r="33" spans="1:36" s="62" customFormat="1" ht="17.25" customHeight="1">
      <c r="A33" s="55">
        <v>28</v>
      </c>
      <c r="B33" s="51">
        <v>24</v>
      </c>
      <c r="C33" s="49" t="s">
        <v>165</v>
      </c>
      <c r="D33" s="49" t="s">
        <v>166</v>
      </c>
      <c r="E33" s="49" t="s">
        <v>167</v>
      </c>
      <c r="F33" s="87">
        <v>69</v>
      </c>
      <c r="G33" s="85">
        <v>44</v>
      </c>
      <c r="H33" s="86">
        <f t="shared" si="11"/>
        <v>113</v>
      </c>
      <c r="I33" s="127"/>
      <c r="J33" s="86">
        <f t="shared" si="12"/>
        <v>4</v>
      </c>
      <c r="K33" s="84">
        <v>54</v>
      </c>
      <c r="L33" s="84">
        <v>59</v>
      </c>
      <c r="M33" s="86">
        <f t="shared" si="13"/>
        <v>113</v>
      </c>
      <c r="N33" s="127"/>
      <c r="O33" s="86">
        <f t="shared" si="14"/>
        <v>3</v>
      </c>
      <c r="P33" s="84">
        <v>66</v>
      </c>
      <c r="Q33" s="127"/>
      <c r="R33" s="86">
        <f t="shared" si="15"/>
        <v>3.5</v>
      </c>
      <c r="S33" s="84">
        <v>85</v>
      </c>
      <c r="T33" s="127"/>
      <c r="U33" s="86">
        <f t="shared" si="16"/>
        <v>5</v>
      </c>
      <c r="V33" s="84">
        <v>80</v>
      </c>
      <c r="W33" s="127"/>
      <c r="X33" s="86">
        <f t="shared" si="17"/>
        <v>5</v>
      </c>
      <c r="Y33" s="84">
        <v>41</v>
      </c>
      <c r="Z33" s="127"/>
      <c r="AA33" s="86">
        <f t="shared" si="18"/>
        <v>5</v>
      </c>
      <c r="AB33" s="84">
        <v>38</v>
      </c>
      <c r="AC33" s="127"/>
      <c r="AD33" s="86">
        <f t="shared" si="19"/>
        <v>4</v>
      </c>
      <c r="AE33" s="86">
        <f t="shared" si="20"/>
        <v>29.5</v>
      </c>
      <c r="AF33" s="92">
        <f t="shared" si="21"/>
        <v>4.2142857142857144</v>
      </c>
      <c r="AG33" s="69" t="str">
        <f t="shared" si="22"/>
        <v>BETTER</v>
      </c>
      <c r="AH33" s="68">
        <f t="shared" si="23"/>
        <v>536</v>
      </c>
      <c r="AI33" s="61"/>
      <c r="AJ33" s="61"/>
    </row>
    <row r="34" spans="1:36" s="62" customFormat="1" ht="17.25" customHeight="1">
      <c r="A34" s="55">
        <v>29</v>
      </c>
      <c r="B34" s="51">
        <v>25</v>
      </c>
      <c r="C34" s="49" t="s">
        <v>168</v>
      </c>
      <c r="D34" s="49" t="s">
        <v>169</v>
      </c>
      <c r="E34" s="49" t="s">
        <v>170</v>
      </c>
      <c r="F34" s="87">
        <v>69</v>
      </c>
      <c r="G34" s="85">
        <v>44</v>
      </c>
      <c r="H34" s="86">
        <f t="shared" si="11"/>
        <v>113</v>
      </c>
      <c r="I34" s="127"/>
      <c r="J34" s="86">
        <f t="shared" si="12"/>
        <v>4</v>
      </c>
      <c r="K34" s="84">
        <v>45</v>
      </c>
      <c r="L34" s="84">
        <v>45</v>
      </c>
      <c r="M34" s="86">
        <f t="shared" si="13"/>
        <v>90</v>
      </c>
      <c r="N34" s="127"/>
      <c r="O34" s="86">
        <f t="shared" si="14"/>
        <v>2</v>
      </c>
      <c r="P34" s="84">
        <v>44</v>
      </c>
      <c r="Q34" s="127"/>
      <c r="R34" s="86">
        <f t="shared" si="15"/>
        <v>2</v>
      </c>
      <c r="S34" s="84">
        <v>62</v>
      </c>
      <c r="T34" s="127"/>
      <c r="U34" s="86">
        <f t="shared" si="16"/>
        <v>3.5</v>
      </c>
      <c r="V34" s="84">
        <v>71</v>
      </c>
      <c r="W34" s="127"/>
      <c r="X34" s="86">
        <f t="shared" si="17"/>
        <v>4</v>
      </c>
      <c r="Y34" s="84">
        <v>41</v>
      </c>
      <c r="Z34" s="127"/>
      <c r="AA34" s="86">
        <f t="shared" si="18"/>
        <v>5</v>
      </c>
      <c r="AB34" s="84">
        <v>25</v>
      </c>
      <c r="AC34" s="127"/>
      <c r="AD34" s="86">
        <f t="shared" si="19"/>
        <v>3</v>
      </c>
      <c r="AE34" s="86">
        <f t="shared" si="20"/>
        <v>23.5</v>
      </c>
      <c r="AF34" s="92">
        <f t="shared" si="21"/>
        <v>3.3571428571428572</v>
      </c>
      <c r="AG34" s="69" t="str">
        <f t="shared" si="22"/>
        <v>GOOD</v>
      </c>
      <c r="AH34" s="68">
        <f t="shared" si="23"/>
        <v>446</v>
      </c>
      <c r="AI34" s="61"/>
      <c r="AJ34" s="61"/>
    </row>
    <row r="35" spans="1:36" s="62" customFormat="1" ht="17.25" customHeight="1">
      <c r="A35" s="55">
        <v>30</v>
      </c>
      <c r="B35" s="51">
        <v>30</v>
      </c>
      <c r="C35" s="49" t="s">
        <v>171</v>
      </c>
      <c r="D35" s="49" t="s">
        <v>172</v>
      </c>
      <c r="E35" s="49" t="s">
        <v>173</v>
      </c>
      <c r="F35" s="87">
        <v>69</v>
      </c>
      <c r="G35" s="85">
        <v>40</v>
      </c>
      <c r="H35" s="86">
        <f t="shared" si="11"/>
        <v>109</v>
      </c>
      <c r="I35" s="127"/>
      <c r="J35" s="86">
        <f t="shared" si="12"/>
        <v>4</v>
      </c>
      <c r="K35" s="84">
        <v>57</v>
      </c>
      <c r="L35" s="84">
        <v>64</v>
      </c>
      <c r="M35" s="86">
        <f t="shared" si="13"/>
        <v>121</v>
      </c>
      <c r="N35" s="127"/>
      <c r="O35" s="86">
        <f t="shared" si="14"/>
        <v>3.5</v>
      </c>
      <c r="P35" s="84">
        <v>71</v>
      </c>
      <c r="Q35" s="127"/>
      <c r="R35" s="86">
        <f t="shared" si="15"/>
        <v>4</v>
      </c>
      <c r="S35" s="84">
        <v>67</v>
      </c>
      <c r="T35" s="127"/>
      <c r="U35" s="86">
        <f t="shared" si="16"/>
        <v>3.5</v>
      </c>
      <c r="V35" s="84">
        <v>46</v>
      </c>
      <c r="W35" s="127"/>
      <c r="X35" s="86">
        <f t="shared" si="17"/>
        <v>2</v>
      </c>
      <c r="Y35" s="84">
        <v>42</v>
      </c>
      <c r="Z35" s="127"/>
      <c r="AA35" s="86">
        <f t="shared" si="18"/>
        <v>5</v>
      </c>
      <c r="AB35" s="84">
        <v>38</v>
      </c>
      <c r="AC35" s="127"/>
      <c r="AD35" s="86">
        <f t="shared" si="19"/>
        <v>4</v>
      </c>
      <c r="AE35" s="86">
        <f t="shared" si="20"/>
        <v>26</v>
      </c>
      <c r="AF35" s="92">
        <f t="shared" si="21"/>
        <v>3.7142857142857144</v>
      </c>
      <c r="AG35" s="69" t="str">
        <f t="shared" si="22"/>
        <v>GOOD</v>
      </c>
      <c r="AH35" s="68">
        <f t="shared" si="23"/>
        <v>494</v>
      </c>
      <c r="AI35" s="61"/>
      <c r="AJ35" s="61"/>
    </row>
    <row r="36" spans="1:36" s="62" customFormat="1" ht="17.25" customHeight="1">
      <c r="A36" s="55">
        <v>31</v>
      </c>
      <c r="B36" s="51">
        <v>32</v>
      </c>
      <c r="C36" s="49" t="s">
        <v>174</v>
      </c>
      <c r="D36" s="49" t="s">
        <v>175</v>
      </c>
      <c r="E36" s="49" t="s">
        <v>176</v>
      </c>
      <c r="F36" s="87">
        <v>69</v>
      </c>
      <c r="G36" s="85">
        <v>43</v>
      </c>
      <c r="H36" s="86">
        <f t="shared" si="11"/>
        <v>112</v>
      </c>
      <c r="I36" s="127"/>
      <c r="J36" s="86">
        <f t="shared" si="12"/>
        <v>4</v>
      </c>
      <c r="K36" s="84">
        <v>66</v>
      </c>
      <c r="L36" s="84">
        <v>72</v>
      </c>
      <c r="M36" s="86">
        <f t="shared" si="13"/>
        <v>138</v>
      </c>
      <c r="N36" s="127"/>
      <c r="O36" s="86">
        <f t="shared" si="14"/>
        <v>3.5</v>
      </c>
      <c r="P36" s="84">
        <v>82</v>
      </c>
      <c r="Q36" s="127"/>
      <c r="R36" s="86">
        <f t="shared" si="15"/>
        <v>5</v>
      </c>
      <c r="S36" s="84">
        <v>80</v>
      </c>
      <c r="T36" s="127"/>
      <c r="U36" s="86">
        <f t="shared" si="16"/>
        <v>5</v>
      </c>
      <c r="V36" s="84">
        <v>76</v>
      </c>
      <c r="W36" s="127"/>
      <c r="X36" s="86">
        <f t="shared" si="17"/>
        <v>4</v>
      </c>
      <c r="Y36" s="84">
        <v>48</v>
      </c>
      <c r="Z36" s="127"/>
      <c r="AA36" s="86">
        <f t="shared" si="18"/>
        <v>5</v>
      </c>
      <c r="AB36" s="84">
        <v>37</v>
      </c>
      <c r="AC36" s="127"/>
      <c r="AD36" s="86">
        <f t="shared" si="19"/>
        <v>4</v>
      </c>
      <c r="AE36" s="86">
        <f t="shared" si="20"/>
        <v>30.5</v>
      </c>
      <c r="AF36" s="92">
        <f t="shared" si="21"/>
        <v>4.3571428571428568</v>
      </c>
      <c r="AG36" s="69" t="str">
        <f t="shared" si="22"/>
        <v>BETTER</v>
      </c>
      <c r="AH36" s="68">
        <f t="shared" si="23"/>
        <v>573</v>
      </c>
      <c r="AI36" s="61"/>
      <c r="AJ36" s="61"/>
    </row>
    <row r="37" spans="1:36" s="62" customFormat="1" ht="17.25" customHeight="1">
      <c r="A37" s="55">
        <v>32</v>
      </c>
      <c r="B37" s="51">
        <v>34</v>
      </c>
      <c r="C37" s="48" t="s">
        <v>177</v>
      </c>
      <c r="D37" s="48" t="s">
        <v>178</v>
      </c>
      <c r="E37" s="48" t="s">
        <v>179</v>
      </c>
      <c r="F37" s="87">
        <v>69</v>
      </c>
      <c r="G37" s="85">
        <v>36</v>
      </c>
      <c r="H37" s="86">
        <f t="shared" si="11"/>
        <v>105</v>
      </c>
      <c r="I37" s="127"/>
      <c r="J37" s="86">
        <f t="shared" si="12"/>
        <v>4</v>
      </c>
      <c r="K37" s="84">
        <v>51</v>
      </c>
      <c r="L37" s="84">
        <v>48</v>
      </c>
      <c r="M37" s="86">
        <f t="shared" si="13"/>
        <v>99</v>
      </c>
      <c r="N37" s="127"/>
      <c r="O37" s="86">
        <f t="shared" si="14"/>
        <v>2</v>
      </c>
      <c r="P37" s="84">
        <v>43</v>
      </c>
      <c r="Q37" s="127"/>
      <c r="R37" s="86">
        <f t="shared" si="15"/>
        <v>2</v>
      </c>
      <c r="S37" s="84">
        <v>72</v>
      </c>
      <c r="T37" s="127"/>
      <c r="U37" s="86">
        <f t="shared" si="16"/>
        <v>4</v>
      </c>
      <c r="V37" s="84">
        <v>66</v>
      </c>
      <c r="W37" s="127"/>
      <c r="X37" s="86">
        <f t="shared" si="17"/>
        <v>3.5</v>
      </c>
      <c r="Y37" s="84">
        <v>30</v>
      </c>
      <c r="Z37" s="127"/>
      <c r="AA37" s="86">
        <f t="shared" si="18"/>
        <v>3.5</v>
      </c>
      <c r="AB37" s="84">
        <v>33</v>
      </c>
      <c r="AC37" s="127"/>
      <c r="AD37" s="86">
        <f t="shared" si="19"/>
        <v>3.5</v>
      </c>
      <c r="AE37" s="86">
        <f t="shared" si="20"/>
        <v>22.5</v>
      </c>
      <c r="AF37" s="92">
        <f t="shared" si="21"/>
        <v>3.2142857142857144</v>
      </c>
      <c r="AG37" s="69" t="str">
        <f t="shared" si="22"/>
        <v>GOOD</v>
      </c>
      <c r="AH37" s="68">
        <f t="shared" si="23"/>
        <v>448</v>
      </c>
      <c r="AI37" s="61"/>
      <c r="AJ37" s="61"/>
    </row>
    <row r="38" spans="1:36" s="62" customFormat="1" ht="17.25" customHeight="1">
      <c r="A38" s="55">
        <v>33</v>
      </c>
      <c r="B38" s="51">
        <v>35</v>
      </c>
      <c r="C38" s="48" t="s">
        <v>180</v>
      </c>
      <c r="D38" s="48" t="s">
        <v>181</v>
      </c>
      <c r="E38" s="48" t="s">
        <v>182</v>
      </c>
      <c r="F38" s="87">
        <v>69</v>
      </c>
      <c r="G38" s="85">
        <v>46</v>
      </c>
      <c r="H38" s="86">
        <f t="shared" si="11"/>
        <v>115</v>
      </c>
      <c r="I38" s="127"/>
      <c r="J38" s="86">
        <f t="shared" si="12"/>
        <v>4</v>
      </c>
      <c r="K38" s="84">
        <v>57</v>
      </c>
      <c r="L38" s="84">
        <v>70</v>
      </c>
      <c r="M38" s="86">
        <f t="shared" si="13"/>
        <v>127</v>
      </c>
      <c r="N38" s="127"/>
      <c r="O38" s="86">
        <f t="shared" si="14"/>
        <v>3.5</v>
      </c>
      <c r="P38" s="84">
        <v>70</v>
      </c>
      <c r="Q38" s="127"/>
      <c r="R38" s="86">
        <f t="shared" si="15"/>
        <v>4</v>
      </c>
      <c r="S38" s="84">
        <v>47</v>
      </c>
      <c r="T38" s="127"/>
      <c r="U38" s="86">
        <f t="shared" si="16"/>
        <v>2</v>
      </c>
      <c r="V38" s="84">
        <v>80</v>
      </c>
      <c r="W38" s="127"/>
      <c r="X38" s="86">
        <f t="shared" si="17"/>
        <v>5</v>
      </c>
      <c r="Y38" s="84">
        <v>41</v>
      </c>
      <c r="Z38" s="127"/>
      <c r="AA38" s="86">
        <f t="shared" si="18"/>
        <v>5</v>
      </c>
      <c r="AB38" s="84">
        <v>40</v>
      </c>
      <c r="AC38" s="127"/>
      <c r="AD38" s="86">
        <f t="shared" si="19"/>
        <v>5</v>
      </c>
      <c r="AE38" s="86">
        <f t="shared" si="20"/>
        <v>28.5</v>
      </c>
      <c r="AF38" s="92">
        <f t="shared" si="21"/>
        <v>4.0714285714285712</v>
      </c>
      <c r="AG38" s="69" t="str">
        <f t="shared" si="22"/>
        <v>BETTER</v>
      </c>
      <c r="AH38" s="68">
        <f t="shared" si="23"/>
        <v>520</v>
      </c>
      <c r="AI38" s="61"/>
      <c r="AJ38" s="61"/>
    </row>
    <row r="39" spans="1:36" s="62" customFormat="1" ht="17.25" customHeight="1">
      <c r="A39" s="55">
        <v>34</v>
      </c>
      <c r="B39" s="51">
        <v>40</v>
      </c>
      <c r="C39" s="49" t="s">
        <v>183</v>
      </c>
      <c r="D39" s="49" t="s">
        <v>184</v>
      </c>
      <c r="E39" s="49" t="s">
        <v>185</v>
      </c>
      <c r="F39" s="87">
        <v>69</v>
      </c>
      <c r="G39" s="85">
        <v>33</v>
      </c>
      <c r="H39" s="86">
        <f t="shared" si="11"/>
        <v>102</v>
      </c>
      <c r="I39" s="127"/>
      <c r="J39" s="86">
        <f t="shared" si="12"/>
        <v>3.5</v>
      </c>
      <c r="K39" s="84">
        <v>52</v>
      </c>
      <c r="L39" s="84">
        <v>40</v>
      </c>
      <c r="M39" s="86">
        <f t="shared" si="13"/>
        <v>92</v>
      </c>
      <c r="N39" s="127"/>
      <c r="O39" s="86">
        <f t="shared" si="14"/>
        <v>2</v>
      </c>
      <c r="P39" s="84">
        <v>50</v>
      </c>
      <c r="Q39" s="127"/>
      <c r="R39" s="86">
        <f t="shared" si="15"/>
        <v>3</v>
      </c>
      <c r="S39" s="84">
        <v>43</v>
      </c>
      <c r="T39" s="127"/>
      <c r="U39" s="86">
        <f t="shared" si="16"/>
        <v>2</v>
      </c>
      <c r="V39" s="84">
        <v>41</v>
      </c>
      <c r="W39" s="127"/>
      <c r="X39" s="86">
        <f t="shared" si="17"/>
        <v>2</v>
      </c>
      <c r="Y39" s="84">
        <v>26</v>
      </c>
      <c r="Z39" s="127"/>
      <c r="AA39" s="86">
        <f t="shared" si="18"/>
        <v>3</v>
      </c>
      <c r="AB39" s="84">
        <v>22</v>
      </c>
      <c r="AC39" s="127"/>
      <c r="AD39" s="86">
        <f t="shared" si="19"/>
        <v>2</v>
      </c>
      <c r="AE39" s="86">
        <f t="shared" si="20"/>
        <v>17.5</v>
      </c>
      <c r="AF39" s="92">
        <f t="shared" si="21"/>
        <v>2.5</v>
      </c>
      <c r="AG39" s="69" t="str">
        <f t="shared" si="22"/>
        <v>GOOD</v>
      </c>
      <c r="AH39" s="68">
        <f t="shared" si="23"/>
        <v>376</v>
      </c>
      <c r="AI39" s="61"/>
      <c r="AJ39" s="61"/>
    </row>
    <row r="40" spans="1:36" s="62" customFormat="1" ht="17.25" customHeight="1">
      <c r="A40" s="55">
        <v>35</v>
      </c>
      <c r="B40" s="51">
        <v>41</v>
      </c>
      <c r="C40" s="48" t="s">
        <v>186</v>
      </c>
      <c r="D40" s="48" t="s">
        <v>187</v>
      </c>
      <c r="E40" s="48" t="s">
        <v>188</v>
      </c>
      <c r="F40" s="87">
        <v>69</v>
      </c>
      <c r="G40" s="85">
        <v>26</v>
      </c>
      <c r="H40" s="86">
        <f t="shared" si="11"/>
        <v>95</v>
      </c>
      <c r="I40" s="127"/>
      <c r="J40" s="86">
        <f t="shared" si="12"/>
        <v>3.5</v>
      </c>
      <c r="K40" s="84">
        <v>64</v>
      </c>
      <c r="L40" s="84">
        <v>54</v>
      </c>
      <c r="M40" s="86">
        <f t="shared" si="13"/>
        <v>118</v>
      </c>
      <c r="N40" s="127"/>
      <c r="O40" s="86">
        <f t="shared" si="14"/>
        <v>3</v>
      </c>
      <c r="P40" s="84">
        <v>42</v>
      </c>
      <c r="Q40" s="127"/>
      <c r="R40" s="86">
        <f t="shared" si="15"/>
        <v>2</v>
      </c>
      <c r="S40" s="84">
        <v>41</v>
      </c>
      <c r="T40" s="127"/>
      <c r="U40" s="86">
        <f t="shared" si="16"/>
        <v>2</v>
      </c>
      <c r="V40" s="84">
        <v>45</v>
      </c>
      <c r="W40" s="127"/>
      <c r="X40" s="86">
        <f t="shared" si="17"/>
        <v>2</v>
      </c>
      <c r="Y40" s="84">
        <v>35</v>
      </c>
      <c r="Z40" s="127"/>
      <c r="AA40" s="86">
        <f t="shared" si="18"/>
        <v>4</v>
      </c>
      <c r="AB40" s="84">
        <v>30</v>
      </c>
      <c r="AC40" s="127"/>
      <c r="AD40" s="86">
        <f t="shared" si="19"/>
        <v>3.5</v>
      </c>
      <c r="AE40" s="86">
        <f t="shared" si="20"/>
        <v>20</v>
      </c>
      <c r="AF40" s="92">
        <f t="shared" si="21"/>
        <v>2.8571428571428572</v>
      </c>
      <c r="AG40" s="69" t="str">
        <f t="shared" si="22"/>
        <v>GOOD</v>
      </c>
      <c r="AH40" s="68">
        <f t="shared" si="23"/>
        <v>406</v>
      </c>
      <c r="AI40" s="61"/>
      <c r="AJ40" s="61"/>
    </row>
    <row r="41" spans="1:36" s="62" customFormat="1" ht="17.25" customHeight="1">
      <c r="A41" s="55">
        <v>36</v>
      </c>
      <c r="B41" s="51">
        <v>44</v>
      </c>
      <c r="C41" s="48" t="s">
        <v>189</v>
      </c>
      <c r="D41" s="48" t="s">
        <v>190</v>
      </c>
      <c r="E41" s="48" t="s">
        <v>191</v>
      </c>
      <c r="F41" s="87">
        <v>69</v>
      </c>
      <c r="G41" s="85">
        <v>26</v>
      </c>
      <c r="H41" s="86">
        <f t="shared" si="11"/>
        <v>95</v>
      </c>
      <c r="I41" s="127"/>
      <c r="J41" s="86">
        <f t="shared" si="12"/>
        <v>3.5</v>
      </c>
      <c r="K41" s="84">
        <v>48</v>
      </c>
      <c r="L41" s="84">
        <v>47</v>
      </c>
      <c r="M41" s="86">
        <f t="shared" si="13"/>
        <v>95</v>
      </c>
      <c r="N41" s="127"/>
      <c r="O41" s="86">
        <f t="shared" si="14"/>
        <v>2</v>
      </c>
      <c r="P41" s="84">
        <v>40</v>
      </c>
      <c r="Q41" s="127"/>
      <c r="R41" s="86">
        <f t="shared" si="15"/>
        <v>2</v>
      </c>
      <c r="S41" s="84">
        <v>48</v>
      </c>
      <c r="T41" s="127"/>
      <c r="U41" s="86">
        <f t="shared" si="16"/>
        <v>2</v>
      </c>
      <c r="V41" s="84">
        <v>41</v>
      </c>
      <c r="W41" s="127"/>
      <c r="X41" s="86">
        <f t="shared" si="17"/>
        <v>2</v>
      </c>
      <c r="Y41" s="84">
        <v>36</v>
      </c>
      <c r="Z41" s="127"/>
      <c r="AA41" s="86">
        <f t="shared" si="18"/>
        <v>4</v>
      </c>
      <c r="AB41" s="84">
        <v>22</v>
      </c>
      <c r="AC41" s="127"/>
      <c r="AD41" s="86">
        <f t="shared" si="19"/>
        <v>2</v>
      </c>
      <c r="AE41" s="86">
        <f t="shared" si="20"/>
        <v>17.5</v>
      </c>
      <c r="AF41" s="92">
        <f t="shared" si="21"/>
        <v>2.5</v>
      </c>
      <c r="AG41" s="69" t="str">
        <f t="shared" si="22"/>
        <v>GOOD</v>
      </c>
      <c r="AH41" s="68">
        <f t="shared" si="23"/>
        <v>377</v>
      </c>
      <c r="AI41" s="61"/>
      <c r="AJ41" s="61"/>
    </row>
    <row r="42" spans="1:36" s="62" customFormat="1" ht="17.25" customHeight="1">
      <c r="A42" s="55">
        <v>37</v>
      </c>
      <c r="B42" s="51">
        <v>45</v>
      </c>
      <c r="C42" s="48" t="s">
        <v>192</v>
      </c>
      <c r="D42" s="48" t="s">
        <v>193</v>
      </c>
      <c r="E42" s="48" t="s">
        <v>194</v>
      </c>
      <c r="F42" s="87">
        <v>69</v>
      </c>
      <c r="G42" s="85">
        <v>28</v>
      </c>
      <c r="H42" s="86">
        <f t="shared" si="11"/>
        <v>97</v>
      </c>
      <c r="I42" s="127"/>
      <c r="J42" s="86">
        <f t="shared" si="12"/>
        <v>3.5</v>
      </c>
      <c r="K42" s="84">
        <v>40</v>
      </c>
      <c r="L42" s="84">
        <v>41</v>
      </c>
      <c r="M42" s="86">
        <f t="shared" si="13"/>
        <v>81</v>
      </c>
      <c r="N42" s="127"/>
      <c r="O42" s="86">
        <f t="shared" si="14"/>
        <v>2</v>
      </c>
      <c r="P42" s="84">
        <v>40</v>
      </c>
      <c r="Q42" s="127"/>
      <c r="R42" s="86">
        <f t="shared" si="15"/>
        <v>2</v>
      </c>
      <c r="S42" s="84">
        <v>0</v>
      </c>
      <c r="T42" s="127"/>
      <c r="U42" s="86" t="str">
        <f t="shared" si="16"/>
        <v>F</v>
      </c>
      <c r="V42" s="84">
        <v>40</v>
      </c>
      <c r="W42" s="127"/>
      <c r="X42" s="86">
        <f t="shared" si="17"/>
        <v>2</v>
      </c>
      <c r="Y42" s="84">
        <v>20</v>
      </c>
      <c r="Z42" s="127"/>
      <c r="AA42" s="86">
        <f t="shared" si="18"/>
        <v>2</v>
      </c>
      <c r="AB42" s="84">
        <v>20</v>
      </c>
      <c r="AC42" s="127"/>
      <c r="AD42" s="86">
        <f t="shared" si="19"/>
        <v>2</v>
      </c>
      <c r="AE42" s="86" t="str">
        <f t="shared" si="20"/>
        <v>F</v>
      </c>
      <c r="AF42" s="92" t="str">
        <f t="shared" si="21"/>
        <v>F</v>
      </c>
      <c r="AG42" s="69" t="str">
        <f t="shared" si="22"/>
        <v>NEED TO PROGRESS</v>
      </c>
      <c r="AH42" s="68">
        <f t="shared" si="23"/>
        <v>298</v>
      </c>
      <c r="AI42" s="61"/>
      <c r="AJ42" s="61"/>
    </row>
    <row r="43" spans="1:36" s="62" customFormat="1" ht="17.25" customHeight="1">
      <c r="A43" s="55">
        <v>38</v>
      </c>
      <c r="B43" s="51">
        <v>46</v>
      </c>
      <c r="C43" s="48" t="s">
        <v>195</v>
      </c>
      <c r="D43" s="48" t="s">
        <v>196</v>
      </c>
      <c r="E43" s="48" t="s">
        <v>197</v>
      </c>
      <c r="F43" s="87">
        <v>69</v>
      </c>
      <c r="G43" s="85">
        <v>34</v>
      </c>
      <c r="H43" s="86">
        <f t="shared" si="11"/>
        <v>103</v>
      </c>
      <c r="I43" s="127"/>
      <c r="J43" s="86">
        <f t="shared" si="12"/>
        <v>3.5</v>
      </c>
      <c r="K43" s="84">
        <v>44</v>
      </c>
      <c r="L43" s="84">
        <v>40</v>
      </c>
      <c r="M43" s="86">
        <f t="shared" si="13"/>
        <v>84</v>
      </c>
      <c r="N43" s="127"/>
      <c r="O43" s="86">
        <f t="shared" si="14"/>
        <v>2</v>
      </c>
      <c r="P43" s="84">
        <v>40</v>
      </c>
      <c r="Q43" s="127"/>
      <c r="R43" s="86">
        <f t="shared" si="15"/>
        <v>2</v>
      </c>
      <c r="S43" s="84">
        <v>57</v>
      </c>
      <c r="T43" s="127"/>
      <c r="U43" s="86">
        <f t="shared" si="16"/>
        <v>3</v>
      </c>
      <c r="V43" s="84">
        <v>57</v>
      </c>
      <c r="W43" s="127"/>
      <c r="X43" s="86">
        <f t="shared" si="17"/>
        <v>3</v>
      </c>
      <c r="Y43" s="84">
        <v>39</v>
      </c>
      <c r="Z43" s="127"/>
      <c r="AA43" s="86">
        <f t="shared" si="18"/>
        <v>4</v>
      </c>
      <c r="AB43" s="84">
        <v>26</v>
      </c>
      <c r="AC43" s="127"/>
      <c r="AD43" s="86">
        <f t="shared" si="19"/>
        <v>3</v>
      </c>
      <c r="AE43" s="86">
        <f t="shared" si="20"/>
        <v>20.5</v>
      </c>
      <c r="AF43" s="92">
        <f t="shared" si="21"/>
        <v>2.9285714285714284</v>
      </c>
      <c r="AG43" s="69" t="str">
        <f t="shared" si="22"/>
        <v>GOOD</v>
      </c>
      <c r="AH43" s="68">
        <f t="shared" si="23"/>
        <v>406</v>
      </c>
      <c r="AI43" s="61"/>
      <c r="AJ43" s="61"/>
    </row>
    <row r="44" spans="1:36" s="62" customFormat="1" ht="17.25" customHeight="1">
      <c r="A44" s="55">
        <v>39</v>
      </c>
      <c r="B44" s="51">
        <v>48</v>
      </c>
      <c r="C44" s="48" t="s">
        <v>198</v>
      </c>
      <c r="D44" s="48" t="s">
        <v>199</v>
      </c>
      <c r="E44" s="48" t="s">
        <v>200</v>
      </c>
      <c r="F44" s="87">
        <v>69</v>
      </c>
      <c r="G44" s="85">
        <v>34</v>
      </c>
      <c r="H44" s="86">
        <f t="shared" si="11"/>
        <v>103</v>
      </c>
      <c r="I44" s="127"/>
      <c r="J44" s="86">
        <f t="shared" si="12"/>
        <v>3.5</v>
      </c>
      <c r="K44" s="84">
        <v>45</v>
      </c>
      <c r="L44" s="84">
        <v>44</v>
      </c>
      <c r="M44" s="86">
        <f t="shared" si="13"/>
        <v>89</v>
      </c>
      <c r="N44" s="127"/>
      <c r="O44" s="86">
        <f t="shared" si="14"/>
        <v>2</v>
      </c>
      <c r="P44" s="84">
        <v>67</v>
      </c>
      <c r="Q44" s="127"/>
      <c r="R44" s="86">
        <f t="shared" si="15"/>
        <v>3.5</v>
      </c>
      <c r="S44" s="84">
        <v>65</v>
      </c>
      <c r="T44" s="127"/>
      <c r="U44" s="86">
        <f t="shared" si="16"/>
        <v>3.5</v>
      </c>
      <c r="V44" s="84">
        <v>64</v>
      </c>
      <c r="W44" s="127"/>
      <c r="X44" s="86">
        <f t="shared" si="17"/>
        <v>3.5</v>
      </c>
      <c r="Y44" s="84">
        <v>46</v>
      </c>
      <c r="Z44" s="127"/>
      <c r="AA44" s="86">
        <f t="shared" si="18"/>
        <v>5</v>
      </c>
      <c r="AB44" s="84">
        <v>27</v>
      </c>
      <c r="AC44" s="127"/>
      <c r="AD44" s="86">
        <f t="shared" si="19"/>
        <v>3</v>
      </c>
      <c r="AE44" s="86">
        <f t="shared" si="20"/>
        <v>24</v>
      </c>
      <c r="AF44" s="92">
        <f t="shared" si="21"/>
        <v>3.4285714285714284</v>
      </c>
      <c r="AG44" s="69" t="str">
        <f t="shared" si="22"/>
        <v>GOOD</v>
      </c>
      <c r="AH44" s="68">
        <f t="shared" si="23"/>
        <v>461</v>
      </c>
      <c r="AI44" s="61"/>
      <c r="AJ44" s="61"/>
    </row>
    <row r="45" spans="1:36" s="62" customFormat="1" ht="17.25" customHeight="1">
      <c r="A45" s="55">
        <v>40</v>
      </c>
      <c r="B45" s="52">
        <v>52</v>
      </c>
      <c r="C45" s="49" t="s">
        <v>201</v>
      </c>
      <c r="D45" s="49" t="s">
        <v>202</v>
      </c>
      <c r="E45" s="49" t="s">
        <v>203</v>
      </c>
      <c r="F45" s="87">
        <v>69</v>
      </c>
      <c r="G45" s="85">
        <v>35</v>
      </c>
      <c r="H45" s="86">
        <f t="shared" si="11"/>
        <v>104</v>
      </c>
      <c r="I45" s="127"/>
      <c r="J45" s="86">
        <f t="shared" si="12"/>
        <v>3.5</v>
      </c>
      <c r="K45" s="84">
        <v>43</v>
      </c>
      <c r="L45" s="84">
        <v>41</v>
      </c>
      <c r="M45" s="86">
        <f t="shared" si="13"/>
        <v>84</v>
      </c>
      <c r="N45" s="127"/>
      <c r="O45" s="86">
        <f t="shared" si="14"/>
        <v>2</v>
      </c>
      <c r="P45" s="84">
        <v>41</v>
      </c>
      <c r="Q45" s="127"/>
      <c r="R45" s="86">
        <f t="shared" si="15"/>
        <v>2</v>
      </c>
      <c r="S45" s="84">
        <v>60</v>
      </c>
      <c r="T45" s="127"/>
      <c r="U45" s="86">
        <f t="shared" si="16"/>
        <v>3.5</v>
      </c>
      <c r="V45" s="84">
        <v>50</v>
      </c>
      <c r="W45" s="127"/>
      <c r="X45" s="86">
        <f t="shared" si="17"/>
        <v>3</v>
      </c>
      <c r="Y45" s="84">
        <v>36</v>
      </c>
      <c r="Z45" s="127"/>
      <c r="AA45" s="86">
        <f t="shared" si="18"/>
        <v>4</v>
      </c>
      <c r="AB45" s="84">
        <v>30</v>
      </c>
      <c r="AC45" s="127"/>
      <c r="AD45" s="86">
        <f t="shared" si="19"/>
        <v>3.5</v>
      </c>
      <c r="AE45" s="86">
        <f t="shared" si="20"/>
        <v>21.5</v>
      </c>
      <c r="AF45" s="92">
        <f t="shared" si="21"/>
        <v>3.0714285714285716</v>
      </c>
      <c r="AG45" s="69" t="str">
        <f t="shared" si="22"/>
        <v>GOOD</v>
      </c>
      <c r="AH45" s="68">
        <f t="shared" si="23"/>
        <v>405</v>
      </c>
      <c r="AI45" s="61"/>
      <c r="AJ45" s="61"/>
    </row>
    <row r="46" spans="1:36" s="62" customFormat="1" ht="17.25" customHeight="1">
      <c r="A46" s="55">
        <v>41</v>
      </c>
      <c r="B46" s="52">
        <v>59</v>
      </c>
      <c r="C46" s="49" t="s">
        <v>204</v>
      </c>
      <c r="D46" s="49" t="s">
        <v>205</v>
      </c>
      <c r="E46" s="49" t="s">
        <v>206</v>
      </c>
      <c r="F46" s="87">
        <v>69</v>
      </c>
      <c r="G46" s="85">
        <v>35</v>
      </c>
      <c r="H46" s="86">
        <f t="shared" si="11"/>
        <v>104</v>
      </c>
      <c r="I46" s="127"/>
      <c r="J46" s="86">
        <f t="shared" si="12"/>
        <v>3.5</v>
      </c>
      <c r="K46" s="84">
        <v>45</v>
      </c>
      <c r="L46" s="84">
        <v>43</v>
      </c>
      <c r="M46" s="86">
        <f t="shared" si="13"/>
        <v>88</v>
      </c>
      <c r="N46" s="127"/>
      <c r="O46" s="86">
        <f t="shared" si="14"/>
        <v>2</v>
      </c>
      <c r="P46" s="84">
        <v>52</v>
      </c>
      <c r="Q46" s="127"/>
      <c r="R46" s="86">
        <f t="shared" si="15"/>
        <v>3</v>
      </c>
      <c r="S46" s="84">
        <v>67</v>
      </c>
      <c r="T46" s="127"/>
      <c r="U46" s="86">
        <f t="shared" si="16"/>
        <v>3.5</v>
      </c>
      <c r="V46" s="84">
        <v>56</v>
      </c>
      <c r="W46" s="127"/>
      <c r="X46" s="86">
        <f t="shared" si="17"/>
        <v>3</v>
      </c>
      <c r="Y46" s="84">
        <v>34</v>
      </c>
      <c r="Z46" s="127"/>
      <c r="AA46" s="86">
        <f t="shared" si="18"/>
        <v>3.5</v>
      </c>
      <c r="AB46" s="84">
        <v>36</v>
      </c>
      <c r="AC46" s="127"/>
      <c r="AD46" s="86">
        <f t="shared" si="19"/>
        <v>4</v>
      </c>
      <c r="AE46" s="86">
        <f t="shared" si="20"/>
        <v>22.5</v>
      </c>
      <c r="AF46" s="92">
        <f t="shared" si="21"/>
        <v>3.2142857142857144</v>
      </c>
      <c r="AG46" s="69" t="str">
        <f t="shared" si="22"/>
        <v>GOOD</v>
      </c>
      <c r="AH46" s="68">
        <f t="shared" si="23"/>
        <v>437</v>
      </c>
      <c r="AI46" s="61"/>
      <c r="AJ46" s="61"/>
    </row>
    <row r="47" spans="1:36" s="62" customFormat="1" ht="17.25" customHeight="1">
      <c r="A47" s="55">
        <v>42</v>
      </c>
      <c r="B47" s="52">
        <v>61</v>
      </c>
      <c r="C47" s="49" t="s">
        <v>207</v>
      </c>
      <c r="D47" s="49" t="s">
        <v>208</v>
      </c>
      <c r="E47" s="49" t="s">
        <v>209</v>
      </c>
      <c r="F47" s="87">
        <v>69</v>
      </c>
      <c r="G47" s="85">
        <v>32</v>
      </c>
      <c r="H47" s="86">
        <f t="shared" si="11"/>
        <v>101</v>
      </c>
      <c r="I47" s="127"/>
      <c r="J47" s="86">
        <f t="shared" si="12"/>
        <v>3.5</v>
      </c>
      <c r="K47" s="84">
        <v>47</v>
      </c>
      <c r="L47" s="84">
        <v>46</v>
      </c>
      <c r="M47" s="86">
        <f t="shared" si="13"/>
        <v>93</v>
      </c>
      <c r="N47" s="127"/>
      <c r="O47" s="86">
        <f t="shared" si="14"/>
        <v>2</v>
      </c>
      <c r="P47" s="84">
        <v>41</v>
      </c>
      <c r="Q47" s="127"/>
      <c r="R47" s="86">
        <f t="shared" si="15"/>
        <v>2</v>
      </c>
      <c r="S47" s="84">
        <v>54</v>
      </c>
      <c r="T47" s="127"/>
      <c r="U47" s="86">
        <f t="shared" si="16"/>
        <v>3</v>
      </c>
      <c r="V47" s="84">
        <v>60</v>
      </c>
      <c r="W47" s="127"/>
      <c r="X47" s="86">
        <f t="shared" si="17"/>
        <v>3.5</v>
      </c>
      <c r="Y47" s="84">
        <v>42</v>
      </c>
      <c r="Z47" s="127"/>
      <c r="AA47" s="86">
        <f t="shared" si="18"/>
        <v>5</v>
      </c>
      <c r="AB47" s="84">
        <v>27</v>
      </c>
      <c r="AC47" s="127"/>
      <c r="AD47" s="86">
        <f t="shared" si="19"/>
        <v>3</v>
      </c>
      <c r="AE47" s="86">
        <f t="shared" si="20"/>
        <v>22</v>
      </c>
      <c r="AF47" s="92">
        <f t="shared" si="21"/>
        <v>3.1428571428571428</v>
      </c>
      <c r="AG47" s="69" t="str">
        <f t="shared" si="22"/>
        <v>GOOD</v>
      </c>
      <c r="AH47" s="68">
        <f t="shared" si="23"/>
        <v>418</v>
      </c>
      <c r="AI47" s="61"/>
      <c r="AJ47" s="61"/>
    </row>
    <row r="48" spans="1:36" s="62" customFormat="1" ht="18.75" customHeight="1">
      <c r="A48" s="55">
        <v>43</v>
      </c>
      <c r="B48" s="52">
        <v>62</v>
      </c>
      <c r="C48" s="49" t="s">
        <v>210</v>
      </c>
      <c r="D48" s="49" t="s">
        <v>211</v>
      </c>
      <c r="E48" s="49" t="s">
        <v>212</v>
      </c>
      <c r="F48" s="87">
        <v>69</v>
      </c>
      <c r="G48" s="85">
        <v>37</v>
      </c>
      <c r="H48" s="86">
        <f t="shared" si="11"/>
        <v>106</v>
      </c>
      <c r="I48" s="127"/>
      <c r="J48" s="86">
        <f t="shared" si="12"/>
        <v>4</v>
      </c>
      <c r="K48" s="84">
        <v>40</v>
      </c>
      <c r="L48" s="84">
        <v>40</v>
      </c>
      <c r="M48" s="86">
        <f t="shared" si="13"/>
        <v>80</v>
      </c>
      <c r="N48" s="127"/>
      <c r="O48" s="86">
        <f t="shared" si="14"/>
        <v>2</v>
      </c>
      <c r="P48" s="84">
        <v>41</v>
      </c>
      <c r="Q48" s="127"/>
      <c r="R48" s="86">
        <f t="shared" si="15"/>
        <v>2</v>
      </c>
      <c r="S48" s="84">
        <v>62</v>
      </c>
      <c r="T48" s="127"/>
      <c r="U48" s="86">
        <f t="shared" si="16"/>
        <v>3.5</v>
      </c>
      <c r="V48" s="84">
        <v>46</v>
      </c>
      <c r="W48" s="127"/>
      <c r="X48" s="86">
        <f t="shared" si="17"/>
        <v>2</v>
      </c>
      <c r="Y48" s="84">
        <v>32</v>
      </c>
      <c r="Z48" s="127"/>
      <c r="AA48" s="86">
        <f t="shared" si="18"/>
        <v>3.5</v>
      </c>
      <c r="AB48" s="84">
        <v>21</v>
      </c>
      <c r="AC48" s="127"/>
      <c r="AD48" s="86">
        <f t="shared" si="19"/>
        <v>2</v>
      </c>
      <c r="AE48" s="86">
        <f t="shared" si="20"/>
        <v>19</v>
      </c>
      <c r="AF48" s="92">
        <f t="shared" si="21"/>
        <v>2.7142857142857144</v>
      </c>
      <c r="AG48" s="69" t="str">
        <f t="shared" si="22"/>
        <v>GOOD</v>
      </c>
      <c r="AH48" s="68">
        <f t="shared" si="23"/>
        <v>388</v>
      </c>
      <c r="AI48" s="61"/>
      <c r="AJ48" s="61"/>
    </row>
    <row r="49" spans="1:36" s="62" customFormat="1" ht="17.25" customHeight="1">
      <c r="A49" s="55">
        <v>44</v>
      </c>
      <c r="B49" s="52">
        <v>65</v>
      </c>
      <c r="C49" s="49" t="s">
        <v>213</v>
      </c>
      <c r="D49" s="49" t="s">
        <v>214</v>
      </c>
      <c r="E49" s="49" t="s">
        <v>215</v>
      </c>
      <c r="F49" s="87">
        <v>69</v>
      </c>
      <c r="G49" s="85">
        <v>38</v>
      </c>
      <c r="H49" s="86">
        <f t="shared" si="11"/>
        <v>107</v>
      </c>
      <c r="I49" s="127"/>
      <c r="J49" s="86">
        <f t="shared" si="12"/>
        <v>4</v>
      </c>
      <c r="K49" s="84">
        <v>60</v>
      </c>
      <c r="L49" s="84">
        <v>55</v>
      </c>
      <c r="M49" s="86">
        <f t="shared" si="13"/>
        <v>115</v>
      </c>
      <c r="N49" s="127"/>
      <c r="O49" s="86">
        <f t="shared" si="14"/>
        <v>3</v>
      </c>
      <c r="P49" s="84">
        <v>60</v>
      </c>
      <c r="Q49" s="127"/>
      <c r="R49" s="86">
        <f t="shared" si="15"/>
        <v>3.5</v>
      </c>
      <c r="S49" s="84">
        <v>60</v>
      </c>
      <c r="T49" s="127"/>
      <c r="U49" s="86">
        <f t="shared" si="16"/>
        <v>3.5</v>
      </c>
      <c r="V49" s="84">
        <v>70</v>
      </c>
      <c r="W49" s="127"/>
      <c r="X49" s="86">
        <f t="shared" si="17"/>
        <v>4</v>
      </c>
      <c r="Y49" s="84">
        <v>43</v>
      </c>
      <c r="Z49" s="127"/>
      <c r="AA49" s="86">
        <f t="shared" si="18"/>
        <v>5</v>
      </c>
      <c r="AB49" s="84">
        <v>37</v>
      </c>
      <c r="AC49" s="127"/>
      <c r="AD49" s="86">
        <f t="shared" si="19"/>
        <v>4</v>
      </c>
      <c r="AE49" s="86">
        <f t="shared" si="20"/>
        <v>27</v>
      </c>
      <c r="AF49" s="92">
        <f t="shared" si="21"/>
        <v>3.8571428571428572</v>
      </c>
      <c r="AG49" s="69" t="str">
        <f t="shared" si="22"/>
        <v>GOOD</v>
      </c>
      <c r="AH49" s="68">
        <f t="shared" si="23"/>
        <v>492</v>
      </c>
      <c r="AI49" s="61"/>
      <c r="AJ49" s="61"/>
    </row>
    <row r="50" spans="1:36" s="62" customFormat="1" ht="15.75" customHeight="1">
      <c r="A50" s="55">
        <v>45</v>
      </c>
      <c r="B50" s="52">
        <v>66</v>
      </c>
      <c r="C50" s="49" t="s">
        <v>216</v>
      </c>
      <c r="D50" s="49" t="s">
        <v>217</v>
      </c>
      <c r="E50" s="49" t="s">
        <v>218</v>
      </c>
      <c r="F50" s="87">
        <v>69</v>
      </c>
      <c r="G50" s="85">
        <v>40</v>
      </c>
      <c r="H50" s="86">
        <f t="shared" si="11"/>
        <v>109</v>
      </c>
      <c r="I50" s="127"/>
      <c r="J50" s="86">
        <f t="shared" si="12"/>
        <v>4</v>
      </c>
      <c r="K50" s="84">
        <v>40</v>
      </c>
      <c r="L50" s="84">
        <v>40</v>
      </c>
      <c r="M50" s="86">
        <f t="shared" si="13"/>
        <v>80</v>
      </c>
      <c r="N50" s="127"/>
      <c r="O50" s="86">
        <f t="shared" si="14"/>
        <v>2</v>
      </c>
      <c r="P50" s="84">
        <v>48</v>
      </c>
      <c r="Q50" s="127"/>
      <c r="R50" s="86">
        <f t="shared" si="15"/>
        <v>2</v>
      </c>
      <c r="S50" s="84">
        <v>40</v>
      </c>
      <c r="T50" s="127"/>
      <c r="U50" s="86">
        <f t="shared" si="16"/>
        <v>2</v>
      </c>
      <c r="V50" s="84">
        <v>48</v>
      </c>
      <c r="W50" s="127"/>
      <c r="X50" s="86">
        <f t="shared" si="17"/>
        <v>2</v>
      </c>
      <c r="Y50" s="84">
        <v>35</v>
      </c>
      <c r="Z50" s="127"/>
      <c r="AA50" s="86">
        <f t="shared" si="18"/>
        <v>4</v>
      </c>
      <c r="AB50" s="84">
        <v>32</v>
      </c>
      <c r="AC50" s="127"/>
      <c r="AD50" s="86">
        <f t="shared" si="19"/>
        <v>3.5</v>
      </c>
      <c r="AE50" s="86">
        <f t="shared" si="20"/>
        <v>19.5</v>
      </c>
      <c r="AF50" s="92">
        <f t="shared" si="21"/>
        <v>2.7857142857142856</v>
      </c>
      <c r="AG50" s="69" t="str">
        <f t="shared" si="22"/>
        <v>GOOD</v>
      </c>
      <c r="AH50" s="68">
        <f t="shared" si="23"/>
        <v>392</v>
      </c>
      <c r="AI50" s="61"/>
      <c r="AJ50" s="61"/>
    </row>
    <row r="51" spans="1:36" s="62" customFormat="1" ht="16.5" customHeight="1">
      <c r="A51" s="55">
        <v>46</v>
      </c>
      <c r="B51" s="52">
        <v>69</v>
      </c>
      <c r="C51" s="49" t="s">
        <v>219</v>
      </c>
      <c r="D51" s="49" t="s">
        <v>220</v>
      </c>
      <c r="E51" s="49" t="s">
        <v>221</v>
      </c>
      <c r="F51" s="87">
        <v>69</v>
      </c>
      <c r="G51" s="85">
        <v>43</v>
      </c>
      <c r="H51" s="86">
        <f t="shared" si="11"/>
        <v>112</v>
      </c>
      <c r="I51" s="127"/>
      <c r="J51" s="86">
        <f t="shared" si="12"/>
        <v>4</v>
      </c>
      <c r="K51" s="84">
        <v>48</v>
      </c>
      <c r="L51" s="84">
        <v>51</v>
      </c>
      <c r="M51" s="86">
        <f t="shared" si="13"/>
        <v>99</v>
      </c>
      <c r="N51" s="127"/>
      <c r="O51" s="86">
        <f t="shared" si="14"/>
        <v>2</v>
      </c>
      <c r="P51" s="84">
        <v>86</v>
      </c>
      <c r="Q51" s="127"/>
      <c r="R51" s="86">
        <f t="shared" si="15"/>
        <v>5</v>
      </c>
      <c r="S51" s="84">
        <v>86</v>
      </c>
      <c r="T51" s="127"/>
      <c r="U51" s="86">
        <f t="shared" si="16"/>
        <v>5</v>
      </c>
      <c r="V51" s="84">
        <v>85</v>
      </c>
      <c r="W51" s="127"/>
      <c r="X51" s="86">
        <f t="shared" si="17"/>
        <v>5</v>
      </c>
      <c r="Y51" s="84">
        <v>48</v>
      </c>
      <c r="Z51" s="127"/>
      <c r="AA51" s="86">
        <f t="shared" si="18"/>
        <v>5</v>
      </c>
      <c r="AB51" s="84">
        <v>42</v>
      </c>
      <c r="AC51" s="127"/>
      <c r="AD51" s="86">
        <f t="shared" si="19"/>
        <v>5</v>
      </c>
      <c r="AE51" s="86">
        <f t="shared" si="20"/>
        <v>31</v>
      </c>
      <c r="AF51" s="92">
        <f t="shared" si="21"/>
        <v>4.4285714285714288</v>
      </c>
      <c r="AG51" s="69" t="str">
        <f t="shared" si="22"/>
        <v>BETTER</v>
      </c>
      <c r="AH51" s="68">
        <f t="shared" si="23"/>
        <v>558</v>
      </c>
      <c r="AI51" s="61"/>
      <c r="AJ51" s="61"/>
    </row>
    <row r="52" spans="1:36" s="62" customFormat="1" ht="17.25" customHeight="1">
      <c r="A52" s="55">
        <v>47</v>
      </c>
      <c r="B52" s="52">
        <v>70</v>
      </c>
      <c r="C52" s="49" t="s">
        <v>222</v>
      </c>
      <c r="D52" s="49" t="s">
        <v>223</v>
      </c>
      <c r="E52" s="49" t="s">
        <v>224</v>
      </c>
      <c r="F52" s="87">
        <v>69</v>
      </c>
      <c r="G52" s="85">
        <v>0</v>
      </c>
      <c r="H52" s="86">
        <f t="shared" si="11"/>
        <v>69</v>
      </c>
      <c r="I52" s="127"/>
      <c r="J52" s="86">
        <f t="shared" si="12"/>
        <v>2</v>
      </c>
      <c r="K52" s="84">
        <v>0</v>
      </c>
      <c r="L52" s="84">
        <v>0</v>
      </c>
      <c r="M52" s="86">
        <f t="shared" si="13"/>
        <v>0</v>
      </c>
      <c r="N52" s="127"/>
      <c r="O52" s="86" t="str">
        <f t="shared" si="14"/>
        <v>F</v>
      </c>
      <c r="P52" s="84">
        <v>0</v>
      </c>
      <c r="Q52" s="127"/>
      <c r="R52" s="86" t="str">
        <f t="shared" si="15"/>
        <v>F</v>
      </c>
      <c r="S52" s="84">
        <v>0</v>
      </c>
      <c r="T52" s="127"/>
      <c r="U52" s="86" t="str">
        <f t="shared" si="16"/>
        <v>F</v>
      </c>
      <c r="V52" s="84">
        <v>0</v>
      </c>
      <c r="W52" s="127"/>
      <c r="X52" s="86" t="str">
        <f t="shared" si="17"/>
        <v>F</v>
      </c>
      <c r="Y52" s="84">
        <v>0</v>
      </c>
      <c r="Z52" s="127"/>
      <c r="AA52" s="86" t="str">
        <f t="shared" si="18"/>
        <v>F</v>
      </c>
      <c r="AB52" s="84">
        <v>0</v>
      </c>
      <c r="AC52" s="127"/>
      <c r="AD52" s="86" t="str">
        <f t="shared" si="19"/>
        <v>F</v>
      </c>
      <c r="AE52" s="86" t="str">
        <f t="shared" si="20"/>
        <v>F</v>
      </c>
      <c r="AF52" s="92" t="str">
        <f t="shared" si="21"/>
        <v>F</v>
      </c>
      <c r="AG52" s="69" t="str">
        <f t="shared" si="22"/>
        <v>NEED TO PROGRESS</v>
      </c>
      <c r="AH52" s="68">
        <f t="shared" si="23"/>
        <v>69</v>
      </c>
      <c r="AI52" s="61"/>
      <c r="AJ52" s="61"/>
    </row>
    <row r="53" spans="1:36" s="62" customFormat="1" ht="15.75" customHeight="1">
      <c r="A53" s="55">
        <v>48</v>
      </c>
      <c r="B53" s="52">
        <v>71</v>
      </c>
      <c r="C53" s="49" t="s">
        <v>225</v>
      </c>
      <c r="D53" s="49" t="s">
        <v>226</v>
      </c>
      <c r="E53" s="49" t="s">
        <v>227</v>
      </c>
      <c r="F53" s="87">
        <v>69</v>
      </c>
      <c r="G53" s="85">
        <v>44</v>
      </c>
      <c r="H53" s="86">
        <f t="shared" si="11"/>
        <v>113</v>
      </c>
      <c r="I53" s="127"/>
      <c r="J53" s="86">
        <f t="shared" si="12"/>
        <v>4</v>
      </c>
      <c r="K53" s="84">
        <v>70</v>
      </c>
      <c r="L53" s="84">
        <v>44</v>
      </c>
      <c r="M53" s="86">
        <f t="shared" si="13"/>
        <v>114</v>
      </c>
      <c r="N53" s="127"/>
      <c r="O53" s="86">
        <f t="shared" si="14"/>
        <v>3</v>
      </c>
      <c r="P53" s="84">
        <v>45</v>
      </c>
      <c r="Q53" s="127"/>
      <c r="R53" s="86">
        <f t="shared" si="15"/>
        <v>2</v>
      </c>
      <c r="S53" s="84">
        <v>63</v>
      </c>
      <c r="T53" s="127"/>
      <c r="U53" s="86">
        <f t="shared" si="16"/>
        <v>3.5</v>
      </c>
      <c r="V53" s="84">
        <v>90</v>
      </c>
      <c r="W53" s="127"/>
      <c r="X53" s="86">
        <f t="shared" si="17"/>
        <v>5</v>
      </c>
      <c r="Y53" s="84">
        <v>47</v>
      </c>
      <c r="Z53" s="127"/>
      <c r="AA53" s="86">
        <f t="shared" si="18"/>
        <v>5</v>
      </c>
      <c r="AB53" s="84">
        <v>32</v>
      </c>
      <c r="AC53" s="127"/>
      <c r="AD53" s="86">
        <f t="shared" si="19"/>
        <v>3.5</v>
      </c>
      <c r="AE53" s="86">
        <f t="shared" si="20"/>
        <v>26</v>
      </c>
      <c r="AF53" s="92">
        <f t="shared" si="21"/>
        <v>3.7142857142857144</v>
      </c>
      <c r="AG53" s="69" t="str">
        <f t="shared" si="22"/>
        <v>GOOD</v>
      </c>
      <c r="AH53" s="68">
        <f t="shared" si="23"/>
        <v>504</v>
      </c>
      <c r="AI53" s="61"/>
      <c r="AJ53" s="61"/>
    </row>
    <row r="54" spans="1:36" s="62" customFormat="1" ht="17.25" customHeight="1">
      <c r="A54" s="55">
        <v>49</v>
      </c>
      <c r="B54" s="52">
        <v>73</v>
      </c>
      <c r="C54" s="49" t="s">
        <v>228</v>
      </c>
      <c r="D54" s="49" t="s">
        <v>229</v>
      </c>
      <c r="E54" s="49" t="s">
        <v>230</v>
      </c>
      <c r="F54" s="87">
        <v>69</v>
      </c>
      <c r="G54" s="85">
        <v>36</v>
      </c>
      <c r="H54" s="86">
        <f t="shared" si="11"/>
        <v>105</v>
      </c>
      <c r="I54" s="127"/>
      <c r="J54" s="86">
        <f t="shared" si="12"/>
        <v>4</v>
      </c>
      <c r="K54" s="84">
        <v>53</v>
      </c>
      <c r="L54" s="84">
        <v>66</v>
      </c>
      <c r="M54" s="86">
        <f t="shared" si="13"/>
        <v>119</v>
      </c>
      <c r="N54" s="127"/>
      <c r="O54" s="86">
        <f t="shared" si="14"/>
        <v>3</v>
      </c>
      <c r="P54" s="84">
        <v>50</v>
      </c>
      <c r="Q54" s="127"/>
      <c r="R54" s="86">
        <f t="shared" si="15"/>
        <v>3</v>
      </c>
      <c r="S54" s="84">
        <v>76</v>
      </c>
      <c r="T54" s="127"/>
      <c r="U54" s="86">
        <f t="shared" si="16"/>
        <v>4</v>
      </c>
      <c r="V54" s="84">
        <v>64</v>
      </c>
      <c r="W54" s="127"/>
      <c r="X54" s="86">
        <f t="shared" si="17"/>
        <v>3.5</v>
      </c>
      <c r="Y54" s="84">
        <v>43</v>
      </c>
      <c r="Z54" s="127"/>
      <c r="AA54" s="86">
        <f t="shared" si="18"/>
        <v>5</v>
      </c>
      <c r="AB54" s="84">
        <v>40</v>
      </c>
      <c r="AC54" s="127"/>
      <c r="AD54" s="86">
        <f t="shared" si="19"/>
        <v>5</v>
      </c>
      <c r="AE54" s="86">
        <f t="shared" si="20"/>
        <v>27.5</v>
      </c>
      <c r="AF54" s="92">
        <f t="shared" si="21"/>
        <v>3.9285714285714284</v>
      </c>
      <c r="AG54" s="69" t="str">
        <f>IF(AF54="F","NEED TO PROGRESS",IF(AF54&gt;=5,"BEST",IF(AF54&gt;=4,"BETTER",IF(AF54&gt;=2,"GOOD"))))</f>
        <v>GOOD</v>
      </c>
      <c r="AH54" s="68">
        <f t="shared" si="23"/>
        <v>497</v>
      </c>
      <c r="AI54" s="61"/>
      <c r="AJ54" s="61"/>
    </row>
    <row r="55" spans="1:36" s="62" customFormat="1" ht="15.75" customHeight="1">
      <c r="A55" s="55">
        <v>50</v>
      </c>
      <c r="B55" s="52">
        <v>76</v>
      </c>
      <c r="C55" s="49" t="s">
        <v>231</v>
      </c>
      <c r="D55" s="49" t="s">
        <v>232</v>
      </c>
      <c r="E55" s="49" t="s">
        <v>233</v>
      </c>
      <c r="F55" s="87">
        <v>69</v>
      </c>
      <c r="G55" s="85">
        <v>40</v>
      </c>
      <c r="H55" s="86">
        <f t="shared" si="11"/>
        <v>109</v>
      </c>
      <c r="I55" s="127"/>
      <c r="J55" s="86">
        <f t="shared" si="12"/>
        <v>4</v>
      </c>
      <c r="K55" s="84">
        <v>58</v>
      </c>
      <c r="L55" s="84">
        <v>62</v>
      </c>
      <c r="M55" s="86">
        <f t="shared" si="13"/>
        <v>120</v>
      </c>
      <c r="N55" s="127"/>
      <c r="O55" s="86">
        <f t="shared" si="14"/>
        <v>3.5</v>
      </c>
      <c r="P55" s="84">
        <v>82</v>
      </c>
      <c r="Q55" s="127"/>
      <c r="R55" s="86">
        <f t="shared" si="15"/>
        <v>5</v>
      </c>
      <c r="S55" s="84">
        <v>74</v>
      </c>
      <c r="T55" s="127"/>
      <c r="U55" s="86">
        <f t="shared" si="16"/>
        <v>4</v>
      </c>
      <c r="V55" s="84">
        <v>93</v>
      </c>
      <c r="W55" s="127"/>
      <c r="X55" s="86">
        <f t="shared" si="17"/>
        <v>5</v>
      </c>
      <c r="Y55" s="84">
        <v>40</v>
      </c>
      <c r="Z55" s="127"/>
      <c r="AA55" s="86">
        <f t="shared" si="18"/>
        <v>5</v>
      </c>
      <c r="AB55" s="84">
        <v>42</v>
      </c>
      <c r="AC55" s="127"/>
      <c r="AD55" s="86">
        <f t="shared" si="19"/>
        <v>5</v>
      </c>
      <c r="AE55" s="86">
        <f t="shared" si="20"/>
        <v>31.5</v>
      </c>
      <c r="AF55" s="92">
        <f t="shared" si="21"/>
        <v>4.5</v>
      </c>
      <c r="AG55" s="70" t="str">
        <f>IF(AF55="F","NEED TO PROGRESS",IF(AF55&gt;=5,"BEST",IF(AF55&gt;=4,"BETTER",IF(AF55&gt;=2,"GOOD"))))</f>
        <v>BETTER</v>
      </c>
      <c r="AH55" s="68">
        <f t="shared" si="23"/>
        <v>560</v>
      </c>
      <c r="AI55" s="61"/>
      <c r="AJ55" s="61"/>
    </row>
    <row r="56" spans="1:36" s="62" customFormat="1" ht="18.75" customHeight="1">
      <c r="A56" s="55">
        <v>51</v>
      </c>
      <c r="B56" s="52">
        <v>77</v>
      </c>
      <c r="C56" s="49" t="s">
        <v>234</v>
      </c>
      <c r="D56" s="49" t="s">
        <v>235</v>
      </c>
      <c r="E56" s="49" t="s">
        <v>236</v>
      </c>
      <c r="F56" s="87">
        <v>69</v>
      </c>
      <c r="G56" s="85">
        <v>38</v>
      </c>
      <c r="H56" s="86">
        <f t="shared" si="11"/>
        <v>107</v>
      </c>
      <c r="I56" s="127"/>
      <c r="J56" s="86">
        <f t="shared" si="12"/>
        <v>4</v>
      </c>
      <c r="K56" s="84">
        <v>50</v>
      </c>
      <c r="L56" s="84">
        <v>47</v>
      </c>
      <c r="M56" s="86">
        <f t="shared" si="13"/>
        <v>97</v>
      </c>
      <c r="N56" s="127"/>
      <c r="O56" s="86">
        <f t="shared" ref="O56:O63" si="24">IF(M56&lt;80,"F",IF(M56&lt;100,2,IF(M56&lt;120,3,IF(M56&lt;139,3.5,IF(M56&lt;160,4,5)))))</f>
        <v>2</v>
      </c>
      <c r="P56" s="84">
        <v>51</v>
      </c>
      <c r="Q56" s="127"/>
      <c r="R56" s="86">
        <f t="shared" ref="R56:R63" si="25">IF(P56&lt;40,"F",IF(P56&lt;50,2,IF(P56&lt;60,3,IF(P56&lt;70,3.5,IF(P56&lt;80,4,5)))))</f>
        <v>3</v>
      </c>
      <c r="S56" s="84">
        <v>77</v>
      </c>
      <c r="T56" s="127"/>
      <c r="U56" s="86">
        <f t="shared" ref="U56:U63" si="26">IF(S56&lt;40,"F",IF(S56&lt;50,2,IF(S56&lt;60,3,IF(S56&lt;70,3.5,IF(S56&lt;80,4,5)))))</f>
        <v>4</v>
      </c>
      <c r="V56" s="84">
        <v>74</v>
      </c>
      <c r="W56" s="127"/>
      <c r="X56" s="86">
        <f t="shared" si="17"/>
        <v>4</v>
      </c>
      <c r="Y56" s="84">
        <v>42</v>
      </c>
      <c r="Z56" s="127"/>
      <c r="AA56" s="86">
        <f t="shared" si="18"/>
        <v>5</v>
      </c>
      <c r="AB56" s="84">
        <v>35</v>
      </c>
      <c r="AC56" s="127"/>
      <c r="AD56" s="86">
        <f t="shared" si="19"/>
        <v>4</v>
      </c>
      <c r="AE56" s="86">
        <f t="shared" si="20"/>
        <v>26</v>
      </c>
      <c r="AF56" s="92">
        <f t="shared" si="21"/>
        <v>3.7142857142857144</v>
      </c>
      <c r="AG56" s="69" t="str">
        <f t="shared" ref="AG56:AG63" si="27">IF(AF56="F","NEED TO PROGRESS",IF(AF56&gt;=5,"BEST",IF(AF56&gt;=4,"BETTER",IF(AF56&gt;=2,"GOOD"))))</f>
        <v>GOOD</v>
      </c>
      <c r="AH56" s="68">
        <f t="shared" si="23"/>
        <v>483</v>
      </c>
      <c r="AI56" s="61"/>
      <c r="AJ56" s="61"/>
    </row>
    <row r="57" spans="1:36" s="62" customFormat="1" ht="17.25" customHeight="1">
      <c r="A57" s="55">
        <v>52</v>
      </c>
      <c r="B57" s="52">
        <v>84</v>
      </c>
      <c r="C57" s="49" t="s">
        <v>237</v>
      </c>
      <c r="D57" s="49" t="s">
        <v>238</v>
      </c>
      <c r="E57" s="49" t="s">
        <v>239</v>
      </c>
      <c r="F57" s="87">
        <v>69</v>
      </c>
      <c r="G57" s="85">
        <v>36</v>
      </c>
      <c r="H57" s="86">
        <f t="shared" si="11"/>
        <v>105</v>
      </c>
      <c r="I57" s="127"/>
      <c r="J57" s="86">
        <f t="shared" si="12"/>
        <v>4</v>
      </c>
      <c r="K57" s="84">
        <v>47</v>
      </c>
      <c r="L57" s="84">
        <v>40</v>
      </c>
      <c r="M57" s="86">
        <f t="shared" si="13"/>
        <v>87</v>
      </c>
      <c r="N57" s="127"/>
      <c r="O57" s="86">
        <f t="shared" si="24"/>
        <v>2</v>
      </c>
      <c r="P57" s="84">
        <v>53</v>
      </c>
      <c r="Q57" s="127"/>
      <c r="R57" s="86">
        <f t="shared" si="25"/>
        <v>3</v>
      </c>
      <c r="S57" s="84">
        <v>55</v>
      </c>
      <c r="T57" s="127"/>
      <c r="U57" s="86">
        <f t="shared" si="26"/>
        <v>3</v>
      </c>
      <c r="V57" s="84">
        <v>41</v>
      </c>
      <c r="W57" s="127"/>
      <c r="X57" s="86">
        <f t="shared" si="17"/>
        <v>2</v>
      </c>
      <c r="Y57" s="84">
        <v>35</v>
      </c>
      <c r="Z57" s="127"/>
      <c r="AA57" s="86">
        <f t="shared" ref="AA57:AA63" si="28">IF(Y57&lt;20,"F",IF(Y57&lt;25,2,IF(Y57&lt;30,3,IF(Y57&lt;35,3.5,IF(Y57&lt;40,4,5)))))</f>
        <v>4</v>
      </c>
      <c r="AB57" s="84">
        <v>31</v>
      </c>
      <c r="AC57" s="127"/>
      <c r="AD57" s="86">
        <f t="shared" si="19"/>
        <v>3.5</v>
      </c>
      <c r="AE57" s="86">
        <f t="shared" si="20"/>
        <v>21.5</v>
      </c>
      <c r="AF57" s="92">
        <f t="shared" si="21"/>
        <v>3.0714285714285716</v>
      </c>
      <c r="AG57" s="69" t="str">
        <f t="shared" si="27"/>
        <v>GOOD</v>
      </c>
      <c r="AH57" s="68">
        <f t="shared" si="23"/>
        <v>407</v>
      </c>
      <c r="AI57" s="61"/>
      <c r="AJ57" s="61"/>
    </row>
    <row r="58" spans="1:36" s="62" customFormat="1" ht="15.75" customHeight="1">
      <c r="A58" s="55">
        <v>53</v>
      </c>
      <c r="B58" s="52">
        <v>85</v>
      </c>
      <c r="C58" s="49" t="s">
        <v>240</v>
      </c>
      <c r="D58" s="49" t="s">
        <v>241</v>
      </c>
      <c r="E58" s="49" t="s">
        <v>242</v>
      </c>
      <c r="F58" s="87">
        <v>69</v>
      </c>
      <c r="G58" s="85">
        <v>43</v>
      </c>
      <c r="H58" s="86">
        <f t="shared" si="11"/>
        <v>112</v>
      </c>
      <c r="I58" s="127"/>
      <c r="J58" s="86">
        <f t="shared" si="12"/>
        <v>4</v>
      </c>
      <c r="K58" s="84">
        <v>46</v>
      </c>
      <c r="L58" s="84">
        <v>61</v>
      </c>
      <c r="M58" s="86">
        <f t="shared" si="13"/>
        <v>107</v>
      </c>
      <c r="N58" s="127"/>
      <c r="O58" s="86">
        <f t="shared" si="24"/>
        <v>3</v>
      </c>
      <c r="P58" s="84">
        <v>87</v>
      </c>
      <c r="Q58" s="127"/>
      <c r="R58" s="86">
        <f t="shared" si="25"/>
        <v>5</v>
      </c>
      <c r="S58" s="84">
        <v>86</v>
      </c>
      <c r="T58" s="127"/>
      <c r="U58" s="86">
        <f t="shared" si="26"/>
        <v>5</v>
      </c>
      <c r="V58" s="84">
        <v>87</v>
      </c>
      <c r="W58" s="127"/>
      <c r="X58" s="86">
        <f t="shared" si="17"/>
        <v>5</v>
      </c>
      <c r="Y58" s="84">
        <v>49</v>
      </c>
      <c r="Z58" s="127"/>
      <c r="AA58" s="86">
        <f t="shared" si="28"/>
        <v>5</v>
      </c>
      <c r="AB58" s="84">
        <v>44</v>
      </c>
      <c r="AC58" s="127"/>
      <c r="AD58" s="86">
        <f t="shared" si="19"/>
        <v>5</v>
      </c>
      <c r="AE58" s="86">
        <f t="shared" si="20"/>
        <v>32</v>
      </c>
      <c r="AF58" s="92">
        <f t="shared" si="21"/>
        <v>4.5714285714285712</v>
      </c>
      <c r="AG58" s="69" t="str">
        <f t="shared" si="27"/>
        <v>BETTER</v>
      </c>
      <c r="AH58" s="68">
        <f t="shared" si="23"/>
        <v>572</v>
      </c>
      <c r="AI58" s="61"/>
      <c r="AJ58" s="61"/>
    </row>
    <row r="59" spans="1:36" s="62" customFormat="1" ht="16.5" customHeight="1">
      <c r="A59" s="55">
        <v>54</v>
      </c>
      <c r="B59" s="52">
        <v>89</v>
      </c>
      <c r="C59" s="49" t="s">
        <v>243</v>
      </c>
      <c r="D59" s="49" t="s">
        <v>244</v>
      </c>
      <c r="E59" s="49" t="s">
        <v>245</v>
      </c>
      <c r="F59" s="87">
        <v>69</v>
      </c>
      <c r="G59" s="85">
        <v>0</v>
      </c>
      <c r="H59" s="86">
        <f t="shared" si="11"/>
        <v>69</v>
      </c>
      <c r="I59" s="127"/>
      <c r="J59" s="86">
        <f t="shared" si="12"/>
        <v>2</v>
      </c>
      <c r="K59" s="84">
        <v>0</v>
      </c>
      <c r="L59" s="84">
        <v>0</v>
      </c>
      <c r="M59" s="86">
        <f t="shared" si="13"/>
        <v>0</v>
      </c>
      <c r="N59" s="127"/>
      <c r="O59" s="86" t="str">
        <f t="shared" si="24"/>
        <v>F</v>
      </c>
      <c r="P59" s="84">
        <v>0</v>
      </c>
      <c r="Q59" s="127"/>
      <c r="R59" s="86" t="str">
        <f t="shared" si="25"/>
        <v>F</v>
      </c>
      <c r="S59" s="84">
        <v>0</v>
      </c>
      <c r="T59" s="127"/>
      <c r="U59" s="86" t="str">
        <f t="shared" si="26"/>
        <v>F</v>
      </c>
      <c r="V59" s="84">
        <v>0</v>
      </c>
      <c r="W59" s="127"/>
      <c r="X59" s="86" t="str">
        <f t="shared" si="17"/>
        <v>F</v>
      </c>
      <c r="Y59" s="84">
        <v>0</v>
      </c>
      <c r="Z59" s="127"/>
      <c r="AA59" s="86" t="str">
        <f t="shared" si="28"/>
        <v>F</v>
      </c>
      <c r="AB59" s="84">
        <v>0</v>
      </c>
      <c r="AC59" s="127"/>
      <c r="AD59" s="86" t="str">
        <f t="shared" si="19"/>
        <v>F</v>
      </c>
      <c r="AE59" s="86" t="str">
        <f t="shared" si="20"/>
        <v>F</v>
      </c>
      <c r="AF59" s="92" t="str">
        <f t="shared" si="21"/>
        <v>F</v>
      </c>
      <c r="AG59" s="69" t="str">
        <f t="shared" si="27"/>
        <v>NEED TO PROGRESS</v>
      </c>
      <c r="AH59" s="68">
        <f t="shared" si="23"/>
        <v>69</v>
      </c>
      <c r="AI59" s="61"/>
      <c r="AJ59" s="61"/>
    </row>
    <row r="60" spans="1:36" s="62" customFormat="1" ht="17.25" customHeight="1">
      <c r="A60" s="55">
        <v>55</v>
      </c>
      <c r="B60" s="63"/>
      <c r="C60" s="64"/>
      <c r="D60" s="65"/>
      <c r="E60" s="65"/>
      <c r="F60" s="87"/>
      <c r="G60" s="87"/>
      <c r="H60" s="86">
        <f t="shared" si="11"/>
        <v>0</v>
      </c>
      <c r="I60" s="127"/>
      <c r="J60" s="86" t="str">
        <f t="shared" si="12"/>
        <v>F</v>
      </c>
      <c r="K60" s="87"/>
      <c r="L60" s="87"/>
      <c r="M60" s="86">
        <f t="shared" si="13"/>
        <v>0</v>
      </c>
      <c r="N60" s="127"/>
      <c r="O60" s="86" t="str">
        <f t="shared" si="24"/>
        <v>F</v>
      </c>
      <c r="P60" s="87"/>
      <c r="Q60" s="127"/>
      <c r="R60" s="86" t="str">
        <f t="shared" si="25"/>
        <v>F</v>
      </c>
      <c r="S60" s="87"/>
      <c r="T60" s="127"/>
      <c r="U60" s="86" t="str">
        <f t="shared" si="26"/>
        <v>F</v>
      </c>
      <c r="V60" s="87"/>
      <c r="W60" s="127"/>
      <c r="X60" s="86" t="str">
        <f t="shared" si="17"/>
        <v>F</v>
      </c>
      <c r="Y60" s="87"/>
      <c r="Z60" s="127"/>
      <c r="AA60" s="86" t="str">
        <f t="shared" si="28"/>
        <v>F</v>
      </c>
      <c r="AB60" s="87"/>
      <c r="AC60" s="127"/>
      <c r="AD60" s="86" t="str">
        <f t="shared" si="19"/>
        <v>F</v>
      </c>
      <c r="AE60" s="86" t="str">
        <f t="shared" si="20"/>
        <v>F</v>
      </c>
      <c r="AF60" s="92" t="str">
        <f t="shared" si="21"/>
        <v>F</v>
      </c>
      <c r="AG60" s="69" t="str">
        <f t="shared" si="27"/>
        <v>NEED TO PROGRESS</v>
      </c>
      <c r="AH60" s="68">
        <f t="shared" si="23"/>
        <v>0</v>
      </c>
      <c r="AI60" s="61"/>
      <c r="AJ60" s="61"/>
    </row>
    <row r="61" spans="1:36" s="62" customFormat="1" ht="17.25" customHeight="1">
      <c r="A61" s="55">
        <v>56</v>
      </c>
      <c r="B61" s="63"/>
      <c r="C61" s="64"/>
      <c r="D61" s="65"/>
      <c r="E61" s="65"/>
      <c r="F61" s="87"/>
      <c r="G61" s="87"/>
      <c r="H61" s="86">
        <f t="shared" si="11"/>
        <v>0</v>
      </c>
      <c r="I61" s="127"/>
      <c r="J61" s="86" t="str">
        <f t="shared" si="12"/>
        <v>F</v>
      </c>
      <c r="K61" s="87"/>
      <c r="L61" s="87"/>
      <c r="M61" s="86">
        <f t="shared" si="13"/>
        <v>0</v>
      </c>
      <c r="N61" s="127"/>
      <c r="O61" s="86" t="str">
        <f t="shared" si="24"/>
        <v>F</v>
      </c>
      <c r="P61" s="87"/>
      <c r="Q61" s="127"/>
      <c r="R61" s="86" t="str">
        <f t="shared" si="25"/>
        <v>F</v>
      </c>
      <c r="S61" s="87"/>
      <c r="T61" s="127"/>
      <c r="U61" s="86" t="str">
        <f t="shared" si="26"/>
        <v>F</v>
      </c>
      <c r="V61" s="87"/>
      <c r="W61" s="127"/>
      <c r="X61" s="86" t="str">
        <f t="shared" si="17"/>
        <v>F</v>
      </c>
      <c r="Y61" s="87"/>
      <c r="Z61" s="127"/>
      <c r="AA61" s="86" t="str">
        <f t="shared" si="28"/>
        <v>F</v>
      </c>
      <c r="AB61" s="87"/>
      <c r="AC61" s="127"/>
      <c r="AD61" s="86" t="str">
        <f t="shared" si="19"/>
        <v>F</v>
      </c>
      <c r="AE61" s="86" t="str">
        <f t="shared" si="20"/>
        <v>F</v>
      </c>
      <c r="AF61" s="92" t="str">
        <f t="shared" si="21"/>
        <v>F</v>
      </c>
      <c r="AG61" s="69" t="str">
        <f t="shared" si="27"/>
        <v>NEED TO PROGRESS</v>
      </c>
      <c r="AH61" s="68">
        <f t="shared" si="23"/>
        <v>0</v>
      </c>
      <c r="AI61" s="61"/>
      <c r="AJ61" s="61"/>
    </row>
    <row r="62" spans="1:36" s="62" customFormat="1" ht="17.25" customHeight="1">
      <c r="A62" s="55">
        <v>57</v>
      </c>
      <c r="B62" s="63"/>
      <c r="C62" s="64"/>
      <c r="D62" s="65"/>
      <c r="E62" s="65"/>
      <c r="F62" s="87"/>
      <c r="G62" s="87"/>
      <c r="H62" s="86">
        <f t="shared" si="11"/>
        <v>0</v>
      </c>
      <c r="I62" s="127"/>
      <c r="J62" s="86" t="str">
        <f t="shared" si="12"/>
        <v>F</v>
      </c>
      <c r="K62" s="87"/>
      <c r="L62" s="87"/>
      <c r="M62" s="86">
        <f t="shared" si="13"/>
        <v>0</v>
      </c>
      <c r="N62" s="127"/>
      <c r="O62" s="86" t="str">
        <f t="shared" si="24"/>
        <v>F</v>
      </c>
      <c r="P62" s="87"/>
      <c r="Q62" s="127"/>
      <c r="R62" s="86" t="str">
        <f t="shared" si="25"/>
        <v>F</v>
      </c>
      <c r="S62" s="87"/>
      <c r="T62" s="127"/>
      <c r="U62" s="86" t="str">
        <f t="shared" si="26"/>
        <v>F</v>
      </c>
      <c r="V62" s="87"/>
      <c r="W62" s="127"/>
      <c r="X62" s="86" t="str">
        <f t="shared" si="17"/>
        <v>F</v>
      </c>
      <c r="Y62" s="87"/>
      <c r="Z62" s="127"/>
      <c r="AA62" s="86" t="str">
        <f t="shared" si="28"/>
        <v>F</v>
      </c>
      <c r="AB62" s="87"/>
      <c r="AC62" s="127"/>
      <c r="AD62" s="86" t="str">
        <f t="shared" si="19"/>
        <v>F</v>
      </c>
      <c r="AE62" s="86" t="str">
        <f t="shared" si="20"/>
        <v>F</v>
      </c>
      <c r="AF62" s="92" t="str">
        <f t="shared" si="21"/>
        <v>F</v>
      </c>
      <c r="AG62" s="69" t="str">
        <f t="shared" si="27"/>
        <v>NEED TO PROGRESS</v>
      </c>
      <c r="AH62" s="68">
        <f t="shared" si="23"/>
        <v>0</v>
      </c>
      <c r="AI62" s="61"/>
      <c r="AJ62" s="61"/>
    </row>
    <row r="63" spans="1:36" s="62" customFormat="1" ht="15.75" customHeight="1">
      <c r="A63" s="55">
        <v>58</v>
      </c>
      <c r="B63" s="63"/>
      <c r="C63" s="64"/>
      <c r="D63" s="66"/>
      <c r="E63" s="66"/>
      <c r="F63" s="87"/>
      <c r="G63" s="87"/>
      <c r="H63" s="86">
        <f t="shared" si="11"/>
        <v>0</v>
      </c>
      <c r="I63" s="128"/>
      <c r="J63" s="86" t="str">
        <f t="shared" si="12"/>
        <v>F</v>
      </c>
      <c r="K63" s="87"/>
      <c r="L63" s="87"/>
      <c r="M63" s="86">
        <f t="shared" si="13"/>
        <v>0</v>
      </c>
      <c r="N63" s="128"/>
      <c r="O63" s="86" t="str">
        <f t="shared" si="24"/>
        <v>F</v>
      </c>
      <c r="P63" s="87"/>
      <c r="Q63" s="128"/>
      <c r="R63" s="86" t="str">
        <f t="shared" si="25"/>
        <v>F</v>
      </c>
      <c r="S63" s="87"/>
      <c r="T63" s="128"/>
      <c r="U63" s="86" t="str">
        <f t="shared" si="26"/>
        <v>F</v>
      </c>
      <c r="V63" s="87"/>
      <c r="W63" s="128"/>
      <c r="X63" s="86" t="str">
        <f t="shared" si="17"/>
        <v>F</v>
      </c>
      <c r="Y63" s="87"/>
      <c r="Z63" s="128"/>
      <c r="AA63" s="86" t="str">
        <f t="shared" si="28"/>
        <v>F</v>
      </c>
      <c r="AB63" s="87"/>
      <c r="AC63" s="128"/>
      <c r="AD63" s="86" t="str">
        <f t="shared" si="19"/>
        <v>F</v>
      </c>
      <c r="AE63" s="86" t="str">
        <f t="shared" si="20"/>
        <v>F</v>
      </c>
      <c r="AF63" s="92" t="str">
        <f t="shared" si="21"/>
        <v>F</v>
      </c>
      <c r="AG63" s="69" t="str">
        <f t="shared" si="27"/>
        <v>NEED TO PROGRESS</v>
      </c>
      <c r="AH63" s="68">
        <f t="shared" si="23"/>
        <v>0</v>
      </c>
      <c r="AI63" s="61"/>
      <c r="AJ63" s="61"/>
    </row>
    <row r="67" spans="1:36">
      <c r="A67">
        <v>0</v>
      </c>
      <c r="B67" s="53">
        <v>1</v>
      </c>
      <c r="C67">
        <v>2</v>
      </c>
      <c r="D67">
        <v>3</v>
      </c>
      <c r="E67">
        <v>4</v>
      </c>
      <c r="F67">
        <v>5</v>
      </c>
      <c r="G67">
        <v>6</v>
      </c>
      <c r="H67">
        <v>7</v>
      </c>
      <c r="I67">
        <v>8</v>
      </c>
      <c r="J67">
        <v>9</v>
      </c>
      <c r="K67">
        <v>10</v>
      </c>
      <c r="L67">
        <v>11</v>
      </c>
      <c r="M67">
        <v>12</v>
      </c>
      <c r="N67">
        <v>13</v>
      </c>
      <c r="O67">
        <v>14</v>
      </c>
      <c r="P67">
        <v>15</v>
      </c>
      <c r="Q67">
        <v>16</v>
      </c>
      <c r="R67">
        <v>17</v>
      </c>
      <c r="S67">
        <v>18</v>
      </c>
      <c r="T67">
        <v>19</v>
      </c>
      <c r="U67">
        <v>20</v>
      </c>
      <c r="V67">
        <v>21</v>
      </c>
      <c r="W67">
        <v>22</v>
      </c>
      <c r="X67">
        <v>23</v>
      </c>
      <c r="Y67">
        <v>24</v>
      </c>
      <c r="Z67">
        <v>25</v>
      </c>
      <c r="AA67">
        <v>26</v>
      </c>
      <c r="AB67">
        <v>27</v>
      </c>
      <c r="AC67">
        <v>28</v>
      </c>
      <c r="AD67">
        <v>29</v>
      </c>
      <c r="AE67">
        <v>30</v>
      </c>
      <c r="AF67">
        <v>31</v>
      </c>
      <c r="AG67">
        <v>32</v>
      </c>
      <c r="AH67">
        <v>33</v>
      </c>
      <c r="AI67">
        <v>34</v>
      </c>
      <c r="AJ67">
        <v>35</v>
      </c>
    </row>
    <row r="75" spans="1:36" ht="15" customHeight="1"/>
    <row r="76" spans="1:36" ht="18.75" customHeight="1"/>
    <row r="77" spans="1:36" ht="18.75" customHeight="1"/>
    <row r="78" spans="1:36" ht="18.75" customHeight="1"/>
    <row r="79" spans="1:36" ht="18.75" customHeight="1"/>
    <row r="80" spans="1:36" ht="18.75" customHeight="1"/>
    <row r="81" ht="18.75" customHeight="1"/>
    <row r="92" ht="15" customHeight="1"/>
    <row r="93" ht="20.25" customHeight="1"/>
    <row r="94" ht="23.25" customHeight="1"/>
    <row r="95" ht="18" customHeight="1"/>
    <row r="96" ht="16.5" customHeight="1"/>
    <row r="97" ht="20.25" customHeight="1"/>
    <row r="98" ht="18.75" customHeight="1"/>
  </sheetData>
  <dataConsolidate/>
  <mergeCells count="8">
    <mergeCell ref="A1:AJ4"/>
    <mergeCell ref="Z6:Z63"/>
    <mergeCell ref="AC6:AC63"/>
    <mergeCell ref="I6:I63"/>
    <mergeCell ref="N6:N63"/>
    <mergeCell ref="Q6:Q63"/>
    <mergeCell ref="T6:T63"/>
    <mergeCell ref="W6:W63"/>
  </mergeCells>
  <conditionalFormatting sqref="B6:B17">
    <cfRule type="duplicateValues" dxfId="38" priority="20"/>
  </conditionalFormatting>
  <conditionalFormatting sqref="B18">
    <cfRule type="duplicateValues" dxfId="37" priority="19"/>
  </conditionalFormatting>
  <conditionalFormatting sqref="B19:B22">
    <cfRule type="duplicateValues" dxfId="36" priority="18"/>
  </conditionalFormatting>
  <conditionalFormatting sqref="B23">
    <cfRule type="duplicateValues" dxfId="35" priority="17"/>
  </conditionalFormatting>
  <conditionalFormatting sqref="B24:B25">
    <cfRule type="duplicateValues" dxfId="34" priority="16"/>
  </conditionalFormatting>
  <conditionalFormatting sqref="B26">
    <cfRule type="duplicateValues" dxfId="33" priority="15"/>
  </conditionalFormatting>
  <conditionalFormatting sqref="B27:B28">
    <cfRule type="duplicateValues" dxfId="32" priority="14"/>
  </conditionalFormatting>
  <conditionalFormatting sqref="B29:B44">
    <cfRule type="duplicateValues" dxfId="31" priority="13"/>
  </conditionalFormatting>
  <conditionalFormatting sqref="B45:B53">
    <cfRule type="duplicateValues" dxfId="30" priority="12"/>
  </conditionalFormatting>
  <conditionalFormatting sqref="B52">
    <cfRule type="duplicateValues" dxfId="29" priority="11"/>
  </conditionalFormatting>
  <conditionalFormatting sqref="B53">
    <cfRule type="duplicateValues" dxfId="28" priority="10"/>
  </conditionalFormatting>
  <conditionalFormatting sqref="B54">
    <cfRule type="duplicateValues" dxfId="27" priority="9"/>
  </conditionalFormatting>
  <conditionalFormatting sqref="B55:B56">
    <cfRule type="duplicateValues" dxfId="26" priority="8"/>
  </conditionalFormatting>
  <conditionalFormatting sqref="B57">
    <cfRule type="duplicateValues" dxfId="25" priority="7"/>
  </conditionalFormatting>
  <conditionalFormatting sqref="B58">
    <cfRule type="duplicateValues" dxfId="24" priority="6"/>
  </conditionalFormatting>
  <conditionalFormatting sqref="B59">
    <cfRule type="duplicateValues" dxfId="23" priority="5"/>
  </conditionalFormatting>
  <conditionalFormatting sqref="G6:G59">
    <cfRule type="cellIs" dxfId="22" priority="4" operator="lessThan">
      <formula>28</formula>
    </cfRule>
  </conditionalFormatting>
  <conditionalFormatting sqref="P6:P59">
    <cfRule type="cellIs" dxfId="21" priority="3" operator="lessThan">
      <formula>28</formula>
    </cfRule>
  </conditionalFormatting>
  <conditionalFormatting sqref="S6:S59">
    <cfRule type="cellIs" dxfId="20" priority="2" operator="lessThan">
      <formula>28</formula>
    </cfRule>
  </conditionalFormatting>
  <conditionalFormatting sqref="V6:V59">
    <cfRule type="cellIs" dxfId="19" priority="1" operator="lessThan">
      <formula>28</formula>
    </cfRule>
  </conditionalFormatting>
  <pageMargins left="0" right="0" top="0" bottom="0" header="0.3" footer="0"/>
  <pageSetup paperSize="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AP61"/>
  <sheetViews>
    <sheetView zoomScale="145" zoomScaleNormal="145" workbookViewId="0">
      <pane xSplit="1" ySplit="6" topLeftCell="F40" activePane="bottomRight" state="frozen"/>
      <selection pane="topRight" activeCell="B1" sqref="B1"/>
      <selection pane="bottomLeft" activeCell="A7" sqref="A7"/>
      <selection pane="bottomRight" activeCell="AI27" sqref="AI27"/>
    </sheetView>
  </sheetViews>
  <sheetFormatPr defaultColWidth="3.7109375" defaultRowHeight="15"/>
  <cols>
    <col min="1" max="1" width="3.7109375" style="33"/>
    <col min="2" max="2" width="4.85546875" style="77" bestFit="1" customWidth="1"/>
    <col min="3" max="3" width="23.42578125" style="33" bestFit="1" customWidth="1"/>
    <col min="4" max="4" width="22.42578125" style="33" bestFit="1" customWidth="1"/>
    <col min="5" max="5" width="19.140625" style="33" bestFit="1" customWidth="1"/>
    <col min="6" max="7" width="3.85546875" style="33" bestFit="1" customWidth="1"/>
    <col min="8" max="8" width="8.7109375" style="33" bestFit="1" customWidth="1"/>
    <col min="9" max="9" width="4.140625" style="33" bestFit="1" customWidth="1"/>
    <col min="10" max="12" width="3.85546875" style="33" bestFit="1" customWidth="1"/>
    <col min="13" max="14" width="4.140625" style="33" bestFit="1" customWidth="1"/>
    <col min="15" max="31" width="3.85546875" style="33" bestFit="1" customWidth="1"/>
    <col min="32" max="32" width="4.5703125" style="33" customWidth="1"/>
    <col min="33" max="33" width="17.5703125" style="33" bestFit="1" customWidth="1"/>
    <col min="34" max="34" width="3.7109375" style="33"/>
    <col min="35" max="35" width="4.85546875" style="33" customWidth="1"/>
    <col min="36" max="36" width="3.7109375" style="33"/>
    <col min="37" max="37" width="7.140625" style="33" bestFit="1" customWidth="1"/>
    <col min="38" max="39" width="4" style="33" bestFit="1" customWidth="1"/>
    <col min="40" max="40" width="4.7109375" style="33" bestFit="1" customWidth="1"/>
    <col min="41" max="41" width="4.85546875" style="33" bestFit="1" customWidth="1"/>
    <col min="42" max="16384" width="3.7109375" style="33"/>
  </cols>
  <sheetData>
    <row r="1" spans="1:42" ht="15" customHeight="1">
      <c r="A1" s="129" t="s">
        <v>246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29"/>
      <c r="AL1" s="129"/>
      <c r="AM1" s="129"/>
      <c r="AN1" s="129"/>
      <c r="AO1" s="129"/>
    </row>
    <row r="2" spans="1:42" ht="15" customHeight="1">
      <c r="A2" s="129"/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</row>
    <row r="3" spans="1:42" ht="15" customHeight="1">
      <c r="A3" s="129"/>
      <c r="B3" s="129"/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29"/>
      <c r="AK3" s="129"/>
      <c r="AL3" s="129"/>
      <c r="AM3" s="129"/>
      <c r="AN3" s="129"/>
      <c r="AO3" s="129"/>
    </row>
    <row r="4" spans="1:42" ht="15" customHeight="1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</row>
    <row r="5" spans="1:42" s="45" customFormat="1" ht="10.5">
      <c r="A5" s="137" t="s">
        <v>14</v>
      </c>
      <c r="B5" s="137" t="s">
        <v>0</v>
      </c>
      <c r="C5" s="137" t="s">
        <v>1</v>
      </c>
      <c r="D5" s="137" t="s">
        <v>23</v>
      </c>
      <c r="E5" s="137" t="s">
        <v>24</v>
      </c>
      <c r="F5" s="134" t="s">
        <v>9</v>
      </c>
      <c r="G5" s="134" t="s">
        <v>10</v>
      </c>
      <c r="H5" s="131" t="s">
        <v>13</v>
      </c>
      <c r="I5" s="131" t="s">
        <v>30</v>
      </c>
      <c r="J5" s="131" t="s">
        <v>2</v>
      </c>
      <c r="K5" s="137" t="s">
        <v>8</v>
      </c>
      <c r="L5" s="137" t="s">
        <v>11</v>
      </c>
      <c r="M5" s="131" t="s">
        <v>13</v>
      </c>
      <c r="N5" s="131" t="s">
        <v>30</v>
      </c>
      <c r="O5" s="131" t="s">
        <v>2</v>
      </c>
      <c r="P5" s="134" t="s">
        <v>3</v>
      </c>
      <c r="Q5" s="131" t="s">
        <v>30</v>
      </c>
      <c r="R5" s="131" t="s">
        <v>2</v>
      </c>
      <c r="S5" s="134" t="s">
        <v>6</v>
      </c>
      <c r="T5" s="131" t="s">
        <v>30</v>
      </c>
      <c r="U5" s="131" t="s">
        <v>2</v>
      </c>
      <c r="V5" s="134" t="s">
        <v>7</v>
      </c>
      <c r="W5" s="131" t="s">
        <v>30</v>
      </c>
      <c r="X5" s="131" t="s">
        <v>2</v>
      </c>
      <c r="Y5" s="134" t="s">
        <v>12</v>
      </c>
      <c r="Z5" s="131" t="s">
        <v>30</v>
      </c>
      <c r="AA5" s="131" t="s">
        <v>2</v>
      </c>
      <c r="AB5" s="134" t="s">
        <v>32</v>
      </c>
      <c r="AC5" s="131" t="s">
        <v>30</v>
      </c>
      <c r="AD5" s="131" t="s">
        <v>2</v>
      </c>
      <c r="AE5" s="131" t="s">
        <v>4</v>
      </c>
      <c r="AF5" s="131" t="s">
        <v>5</v>
      </c>
      <c r="AG5" s="138" t="s">
        <v>26</v>
      </c>
      <c r="AH5" s="131" t="s">
        <v>27</v>
      </c>
      <c r="AI5" s="131" t="s">
        <v>31</v>
      </c>
      <c r="AJ5" s="131" t="s">
        <v>28</v>
      </c>
      <c r="AK5" s="136" t="s">
        <v>65</v>
      </c>
      <c r="AL5" s="136"/>
      <c r="AM5" s="136"/>
      <c r="AN5" s="136"/>
      <c r="AO5" s="136"/>
    </row>
    <row r="6" spans="1:42" s="45" customFormat="1" ht="21" customHeight="1">
      <c r="A6" s="137"/>
      <c r="B6" s="137"/>
      <c r="C6" s="137"/>
      <c r="D6" s="137"/>
      <c r="E6" s="137"/>
      <c r="F6" s="135"/>
      <c r="G6" s="135"/>
      <c r="H6" s="131"/>
      <c r="I6" s="131"/>
      <c r="J6" s="131"/>
      <c r="K6" s="137"/>
      <c r="L6" s="137"/>
      <c r="M6" s="131"/>
      <c r="N6" s="131"/>
      <c r="O6" s="131"/>
      <c r="P6" s="135"/>
      <c r="Q6" s="131"/>
      <c r="R6" s="131"/>
      <c r="S6" s="135"/>
      <c r="T6" s="131"/>
      <c r="U6" s="131"/>
      <c r="V6" s="135"/>
      <c r="W6" s="131"/>
      <c r="X6" s="131"/>
      <c r="Y6" s="135"/>
      <c r="Z6" s="131"/>
      <c r="AA6" s="131"/>
      <c r="AB6" s="135"/>
      <c r="AC6" s="131"/>
      <c r="AD6" s="131"/>
      <c r="AE6" s="131"/>
      <c r="AF6" s="131"/>
      <c r="AG6" s="138"/>
      <c r="AH6" s="132"/>
      <c r="AI6" s="132"/>
      <c r="AJ6" s="132"/>
      <c r="AK6" s="46" t="s">
        <v>69</v>
      </c>
      <c r="AL6" s="47" t="s">
        <v>68</v>
      </c>
      <c r="AM6" s="46" t="s">
        <v>70</v>
      </c>
      <c r="AN6" s="47" t="s">
        <v>67</v>
      </c>
      <c r="AO6" s="46" t="s">
        <v>66</v>
      </c>
    </row>
    <row r="7" spans="1:42" s="74" customFormat="1" ht="17.25" customHeight="1">
      <c r="A7" s="71">
        <v>1</v>
      </c>
      <c r="B7" s="51">
        <v>1</v>
      </c>
      <c r="C7" s="49" t="s">
        <v>84</v>
      </c>
      <c r="D7" s="49" t="s">
        <v>85</v>
      </c>
      <c r="E7" s="49" t="s">
        <v>86</v>
      </c>
      <c r="F7" s="82">
        <v>46</v>
      </c>
      <c r="G7" s="82">
        <v>42</v>
      </c>
      <c r="H7" s="82">
        <f t="shared" ref="H7" si="0">F7+G7</f>
        <v>88</v>
      </c>
      <c r="I7" s="133">
        <f>MAX(H7:H59)</f>
        <v>134</v>
      </c>
      <c r="J7" s="82">
        <f t="shared" ref="J7" si="1">IF(H7&lt;60,"F",IF(H7&lt;75,2,IF(H7&lt;90,3,IF(H7&lt;105,3.5,IF(H7&lt;120,4,5)))))</f>
        <v>3</v>
      </c>
      <c r="K7" s="82">
        <v>49</v>
      </c>
      <c r="L7" s="82">
        <v>71</v>
      </c>
      <c r="M7" s="82">
        <f t="shared" ref="M7" si="2">K7+L7</f>
        <v>120</v>
      </c>
      <c r="N7" s="133">
        <f>MAX(M7:M59)</f>
        <v>185</v>
      </c>
      <c r="O7" s="82">
        <f t="shared" ref="O7" si="3">IF(M7&lt;80,"F",IF(M7&lt;100,2,IF(M7&lt;120,3,IF(M7&lt;139,3.5,IF(M7&lt;160,4,5)))))</f>
        <v>3.5</v>
      </c>
      <c r="P7" s="82">
        <v>74</v>
      </c>
      <c r="Q7" s="133">
        <f>MAX(P7:P59)</f>
        <v>99</v>
      </c>
      <c r="R7" s="82">
        <f t="shared" ref="R7" si="4">IF(P7&lt;40,"F",IF(P7&lt;50,2,IF(P7&lt;60,3,IF(P7&lt;70,3.5,IF(P7&lt;80,4,5)))))</f>
        <v>4</v>
      </c>
      <c r="S7" s="82">
        <v>71</v>
      </c>
      <c r="T7" s="133">
        <f>MAX(S7:S59)</f>
        <v>99</v>
      </c>
      <c r="U7" s="82">
        <f t="shared" ref="U7" si="5">IF(S7&lt;40,"F",IF(S7&lt;50,2,IF(S7&lt;60,3,IF(S7&lt;70,3.5,IF(S7&lt;80,4,5)))))</f>
        <v>4</v>
      </c>
      <c r="V7" s="82">
        <v>50</v>
      </c>
      <c r="W7" s="133">
        <f>MAX(V7:V59)</f>
        <v>93</v>
      </c>
      <c r="X7" s="82">
        <f t="shared" ref="X7" si="6">IF(V7&lt;40,"F",IF(V7&lt;50,2,IF(V7&lt;60,3,IF(V7&lt;70,3.5,IF(V7&lt;80,4,5)))))</f>
        <v>3</v>
      </c>
      <c r="Y7" s="82">
        <v>27</v>
      </c>
      <c r="Z7" s="133">
        <f>MAX(Y7:Y59)</f>
        <v>45</v>
      </c>
      <c r="AA7" s="82">
        <f t="shared" ref="AA7" si="7">IF(Y7&lt;20,"F",IF(Y7&lt;25,2,IF(Y7&lt;30,3,IF(Y7&lt;35,3.5,IF(Y7&lt;40,4,5)))))</f>
        <v>3</v>
      </c>
      <c r="AB7" s="82">
        <v>20</v>
      </c>
      <c r="AC7" s="133">
        <f>MAX(AB7:AB59)</f>
        <v>48</v>
      </c>
      <c r="AD7" s="82">
        <f t="shared" ref="AD7" si="8">IF(AB7&lt;20,"F",IF(AB7&lt;25,2,IF(AB7&lt;30,3,IF(AB7&lt;35,3.5,IF(AB7&lt;40,4,5)))))</f>
        <v>2</v>
      </c>
      <c r="AE7" s="82">
        <f t="shared" ref="AE7" si="9">IF(J7="F","F",IF(O7="F","F",IF(R7="F","F",IF(U7="F","F",IF(X7="F","F",IF(AA7="F","F",IF(AD7="F","F",SUM(J7+O7+R7+U7+X7+AA7+AD7))))))))</f>
        <v>22.5</v>
      </c>
      <c r="AF7" s="83">
        <f>IF(AE7="F","F", IF(AE7&gt;=35,5,IF(AE7&lt;35,AE7/7)))</f>
        <v>3.2142857142857144</v>
      </c>
      <c r="AG7" s="80" t="str">
        <f t="shared" ref="AG7" si="10">IF(AF7="F","NEED TO PROGRESS",IF(AF7&gt;=5,"BEST",IF(AF7&gt;=4,"BETTER",IF(AF7&gt;=2,"GOOD"))))</f>
        <v>GOOD</v>
      </c>
      <c r="AH7" s="73">
        <f t="shared" ref="AH7:AH59" si="11">SUM(H7+M7+P7+S7+V7+Y7+AB7)</f>
        <v>450</v>
      </c>
      <c r="AI7" s="72">
        <v>24</v>
      </c>
      <c r="AJ7" s="72"/>
      <c r="AK7" s="58">
        <f>'1st_semester'!AH7</f>
        <v>641</v>
      </c>
      <c r="AL7" s="78">
        <f>'2nd_Semester'!AH6</f>
        <v>520</v>
      </c>
      <c r="AM7" s="78">
        <f>AH7</f>
        <v>450</v>
      </c>
      <c r="AN7" s="79">
        <f>AVERAGE(AK7:AM7)</f>
        <v>537</v>
      </c>
      <c r="AO7" s="78"/>
    </row>
    <row r="8" spans="1:42" s="76" customFormat="1" ht="12.75">
      <c r="A8" s="71">
        <v>2</v>
      </c>
      <c r="B8" s="51">
        <v>3</v>
      </c>
      <c r="C8" s="48" t="s">
        <v>87</v>
      </c>
      <c r="D8" s="48" t="s">
        <v>88</v>
      </c>
      <c r="E8" s="48" t="s">
        <v>89</v>
      </c>
      <c r="F8" s="82">
        <v>83</v>
      </c>
      <c r="G8" s="82">
        <v>44</v>
      </c>
      <c r="H8" s="82">
        <f t="shared" ref="H8:H59" si="12">F8+G8</f>
        <v>127</v>
      </c>
      <c r="I8" s="133"/>
      <c r="J8" s="82">
        <f t="shared" ref="J8:J59" si="13">IF(H8&lt;60,"F",IF(H8&lt;75,2,IF(H8&lt;90,3,IF(H8&lt;105,3.5,IF(H8&lt;120,4,5)))))</f>
        <v>5</v>
      </c>
      <c r="K8" s="82">
        <v>95</v>
      </c>
      <c r="L8" s="82">
        <v>90</v>
      </c>
      <c r="M8" s="82">
        <f t="shared" ref="M8:M30" si="14">K8+L8</f>
        <v>185</v>
      </c>
      <c r="N8" s="133"/>
      <c r="O8" s="82">
        <f t="shared" ref="O8:O59" si="15">IF(M8&lt;80,"F",IF(M8&lt;100,2,IF(M8&lt;120,3,IF(M8&lt;139,3.5,IF(M8&lt;160,4,5)))))</f>
        <v>5</v>
      </c>
      <c r="P8" s="82">
        <v>86</v>
      </c>
      <c r="Q8" s="133"/>
      <c r="R8" s="82">
        <f t="shared" ref="R8:R30" si="16">IF(P8&lt;40,"F",IF(P8&lt;50,2,IF(P8&lt;60,3,IF(P8&lt;70,3.5,IF(P8&lt;80,4,5)))))</f>
        <v>5</v>
      </c>
      <c r="S8" s="82">
        <v>95</v>
      </c>
      <c r="T8" s="133"/>
      <c r="U8" s="82">
        <f t="shared" ref="U8:U30" si="17">IF(S8&lt;40,"F",IF(S8&lt;50,2,IF(S8&lt;60,3,IF(S8&lt;70,3.5,IF(S8&lt;80,4,5)))))</f>
        <v>5</v>
      </c>
      <c r="V8" s="82">
        <v>80</v>
      </c>
      <c r="W8" s="133"/>
      <c r="X8" s="82">
        <f t="shared" ref="X8:X59" si="18">IF(V8&lt;40,"F",IF(V8&lt;50,2,IF(V8&lt;60,3,IF(V8&lt;70,3.5,IF(V8&lt;80,4,5)))))</f>
        <v>5</v>
      </c>
      <c r="Y8" s="82">
        <v>40</v>
      </c>
      <c r="Z8" s="133"/>
      <c r="AA8" s="82">
        <f t="shared" ref="AA8:AA59" si="19">IF(Y8&lt;20,"F",IF(Y8&lt;25,2,IF(Y8&lt;30,3,IF(Y8&lt;35,3.5,IF(Y8&lt;40,4,5)))))</f>
        <v>5</v>
      </c>
      <c r="AB8" s="82">
        <v>42</v>
      </c>
      <c r="AC8" s="133"/>
      <c r="AD8" s="82">
        <f t="shared" ref="AD8:AD59" si="20">IF(AB8&lt;20,"F",IF(AB8&lt;25,2,IF(AB8&lt;30,3,IF(AB8&lt;35,3.5,IF(AB8&lt;40,4,5)))))</f>
        <v>5</v>
      </c>
      <c r="AE8" s="82">
        <f t="shared" ref="AE8:AE59" si="21">IF(J8="F","F",IF(O8="F","F",IF(R8="F","F",IF(U8="F","F",IF(X8="F","F",IF(AA8="F","F",IF(AD8="F","F",SUM(J8+O8+R8+U8+X8+AA8+AD8))))))))</f>
        <v>35</v>
      </c>
      <c r="AF8" s="83">
        <f t="shared" ref="AF8:AF59" si="22">IF(AE8="F","F", IF(AE8&gt;=35,5,IF(AE8&lt;35,AE8/7)))</f>
        <v>5</v>
      </c>
      <c r="AG8" s="81" t="str">
        <f t="shared" ref="AG8:AG58" si="23">IF(AF8="F","NEED TO PROGRESS",IF(AF8&gt;=5,"BEST",IF(AF8&gt;=4,"BETTER",IF(AF8&gt;=2,"GOOD"))))</f>
        <v>BEST</v>
      </c>
      <c r="AH8" s="73">
        <f t="shared" si="11"/>
        <v>655</v>
      </c>
      <c r="AI8" s="75">
        <v>5</v>
      </c>
      <c r="AJ8" s="75"/>
      <c r="AK8" s="58">
        <f>'1st_semester'!AH8</f>
        <v>602</v>
      </c>
      <c r="AL8" s="78">
        <f>'2nd_Semester'!AH7</f>
        <v>639</v>
      </c>
      <c r="AM8" s="78">
        <f t="shared" ref="AM8:AM59" si="24">AH8</f>
        <v>655</v>
      </c>
      <c r="AN8" s="79">
        <f t="shared" ref="AN8:AN59" si="25">AVERAGE(AK8:AM8)</f>
        <v>632</v>
      </c>
      <c r="AO8" s="78"/>
      <c r="AP8" s="74"/>
    </row>
    <row r="9" spans="1:42" s="76" customFormat="1" ht="12.75">
      <c r="A9" s="71">
        <v>3</v>
      </c>
      <c r="B9" s="51">
        <v>4</v>
      </c>
      <c r="C9" s="49" t="s">
        <v>90</v>
      </c>
      <c r="D9" s="49" t="s">
        <v>91</v>
      </c>
      <c r="E9" s="49" t="s">
        <v>92</v>
      </c>
      <c r="F9" s="82">
        <v>84</v>
      </c>
      <c r="G9" s="82">
        <v>33</v>
      </c>
      <c r="H9" s="82">
        <f t="shared" si="12"/>
        <v>117</v>
      </c>
      <c r="I9" s="133"/>
      <c r="J9" s="82">
        <f t="shared" si="13"/>
        <v>4</v>
      </c>
      <c r="K9" s="82">
        <v>93</v>
      </c>
      <c r="L9" s="82">
        <v>75</v>
      </c>
      <c r="M9" s="82">
        <f t="shared" si="14"/>
        <v>168</v>
      </c>
      <c r="N9" s="133"/>
      <c r="O9" s="82">
        <f t="shared" si="15"/>
        <v>5</v>
      </c>
      <c r="P9" s="82">
        <v>71</v>
      </c>
      <c r="Q9" s="133"/>
      <c r="R9" s="82">
        <f t="shared" si="16"/>
        <v>4</v>
      </c>
      <c r="S9" s="82">
        <v>85</v>
      </c>
      <c r="T9" s="133"/>
      <c r="U9" s="82">
        <f t="shared" si="17"/>
        <v>5</v>
      </c>
      <c r="V9" s="82">
        <v>83</v>
      </c>
      <c r="W9" s="133"/>
      <c r="X9" s="82">
        <f t="shared" si="18"/>
        <v>5</v>
      </c>
      <c r="Y9" s="82">
        <v>36</v>
      </c>
      <c r="Z9" s="133"/>
      <c r="AA9" s="82">
        <f t="shared" si="19"/>
        <v>4</v>
      </c>
      <c r="AB9" s="82">
        <v>24</v>
      </c>
      <c r="AC9" s="133"/>
      <c r="AD9" s="82">
        <f t="shared" si="20"/>
        <v>2</v>
      </c>
      <c r="AE9" s="82">
        <f t="shared" si="21"/>
        <v>29</v>
      </c>
      <c r="AF9" s="83">
        <f t="shared" si="22"/>
        <v>4.1428571428571432</v>
      </c>
      <c r="AG9" s="81" t="str">
        <f t="shared" si="23"/>
        <v>BETTER</v>
      </c>
      <c r="AH9" s="73">
        <f t="shared" si="11"/>
        <v>584</v>
      </c>
      <c r="AI9" s="75">
        <v>9</v>
      </c>
      <c r="AJ9" s="75"/>
      <c r="AK9" s="58">
        <f>'1st_semester'!AH9</f>
        <v>664</v>
      </c>
      <c r="AL9" s="78">
        <f>'2nd_Semester'!AH8</f>
        <v>574</v>
      </c>
      <c r="AM9" s="78">
        <f t="shared" si="24"/>
        <v>584</v>
      </c>
      <c r="AN9" s="79">
        <f t="shared" si="25"/>
        <v>607.33333333333337</v>
      </c>
      <c r="AO9" s="78"/>
      <c r="AP9" s="74"/>
    </row>
    <row r="10" spans="1:42" s="76" customFormat="1" ht="12.75">
      <c r="A10" s="71">
        <v>4</v>
      </c>
      <c r="B10" s="51">
        <v>6</v>
      </c>
      <c r="C10" s="49" t="s">
        <v>93</v>
      </c>
      <c r="D10" s="49" t="s">
        <v>94</v>
      </c>
      <c r="E10" s="49" t="s">
        <v>95</v>
      </c>
      <c r="F10" s="82">
        <v>86</v>
      </c>
      <c r="G10" s="82">
        <v>44</v>
      </c>
      <c r="H10" s="82">
        <f>F10+G10</f>
        <v>130</v>
      </c>
      <c r="I10" s="133"/>
      <c r="J10" s="82">
        <f t="shared" si="13"/>
        <v>5</v>
      </c>
      <c r="K10" s="82">
        <v>90</v>
      </c>
      <c r="L10" s="82">
        <v>85</v>
      </c>
      <c r="M10" s="82">
        <f t="shared" si="14"/>
        <v>175</v>
      </c>
      <c r="N10" s="133"/>
      <c r="O10" s="82">
        <f t="shared" si="15"/>
        <v>5</v>
      </c>
      <c r="P10" s="82">
        <v>90</v>
      </c>
      <c r="Q10" s="133"/>
      <c r="R10" s="82">
        <f t="shared" si="16"/>
        <v>5</v>
      </c>
      <c r="S10" s="82">
        <v>99</v>
      </c>
      <c r="T10" s="133"/>
      <c r="U10" s="82">
        <f t="shared" si="17"/>
        <v>5</v>
      </c>
      <c r="V10" s="82">
        <v>87</v>
      </c>
      <c r="W10" s="133"/>
      <c r="X10" s="82">
        <f t="shared" si="18"/>
        <v>5</v>
      </c>
      <c r="Y10" s="82">
        <v>45</v>
      </c>
      <c r="Z10" s="133"/>
      <c r="AA10" s="82">
        <f t="shared" si="19"/>
        <v>5</v>
      </c>
      <c r="AB10" s="82">
        <v>43</v>
      </c>
      <c r="AC10" s="133"/>
      <c r="AD10" s="82">
        <f t="shared" si="20"/>
        <v>5</v>
      </c>
      <c r="AE10" s="82">
        <f t="shared" si="21"/>
        <v>35</v>
      </c>
      <c r="AF10" s="83">
        <f t="shared" si="22"/>
        <v>5</v>
      </c>
      <c r="AG10" s="81" t="str">
        <f t="shared" si="23"/>
        <v>BEST</v>
      </c>
      <c r="AH10" s="73">
        <f t="shared" si="11"/>
        <v>669</v>
      </c>
      <c r="AI10" s="75">
        <v>2</v>
      </c>
      <c r="AJ10" s="75"/>
      <c r="AK10" s="58">
        <f>'1st_semester'!AH10</f>
        <v>671</v>
      </c>
      <c r="AL10" s="78">
        <f>'2nd_Semester'!AH9</f>
        <v>638</v>
      </c>
      <c r="AM10" s="78">
        <f t="shared" si="24"/>
        <v>669</v>
      </c>
      <c r="AN10" s="79">
        <f t="shared" si="25"/>
        <v>659.33333333333337</v>
      </c>
      <c r="AO10" s="78"/>
      <c r="AP10" s="74"/>
    </row>
    <row r="11" spans="1:42" s="76" customFormat="1" ht="12.75">
      <c r="A11" s="71">
        <v>5</v>
      </c>
      <c r="B11" s="51">
        <v>7</v>
      </c>
      <c r="C11" s="49" t="s">
        <v>96</v>
      </c>
      <c r="D11" s="49" t="s">
        <v>97</v>
      </c>
      <c r="E11" s="49" t="s">
        <v>98</v>
      </c>
      <c r="F11" s="82">
        <v>78</v>
      </c>
      <c r="G11" s="82">
        <v>42</v>
      </c>
      <c r="H11" s="82">
        <f t="shared" si="12"/>
        <v>120</v>
      </c>
      <c r="I11" s="133"/>
      <c r="J11" s="82">
        <f t="shared" si="13"/>
        <v>5</v>
      </c>
      <c r="K11" s="82">
        <v>92</v>
      </c>
      <c r="L11" s="82">
        <v>88</v>
      </c>
      <c r="M11" s="82">
        <f t="shared" si="14"/>
        <v>180</v>
      </c>
      <c r="N11" s="133"/>
      <c r="O11" s="82">
        <f t="shared" si="15"/>
        <v>5</v>
      </c>
      <c r="P11" s="82">
        <v>91</v>
      </c>
      <c r="Q11" s="133"/>
      <c r="R11" s="82">
        <f t="shared" si="16"/>
        <v>5</v>
      </c>
      <c r="S11" s="82">
        <v>96</v>
      </c>
      <c r="T11" s="133"/>
      <c r="U11" s="82">
        <f t="shared" si="17"/>
        <v>5</v>
      </c>
      <c r="V11" s="82">
        <v>81</v>
      </c>
      <c r="W11" s="133"/>
      <c r="X11" s="82">
        <f t="shared" si="18"/>
        <v>5</v>
      </c>
      <c r="Y11" s="82">
        <v>41</v>
      </c>
      <c r="Z11" s="133"/>
      <c r="AA11" s="82">
        <f t="shared" si="19"/>
        <v>5</v>
      </c>
      <c r="AB11" s="82">
        <v>30</v>
      </c>
      <c r="AC11" s="133"/>
      <c r="AD11" s="82">
        <f t="shared" si="20"/>
        <v>3.5</v>
      </c>
      <c r="AE11" s="82">
        <f t="shared" si="21"/>
        <v>33.5</v>
      </c>
      <c r="AF11" s="83">
        <f t="shared" si="22"/>
        <v>4.7857142857142856</v>
      </c>
      <c r="AG11" s="81" t="str">
        <f t="shared" si="23"/>
        <v>BETTER</v>
      </c>
      <c r="AH11" s="73">
        <f t="shared" si="11"/>
        <v>639</v>
      </c>
      <c r="AI11" s="75">
        <v>7</v>
      </c>
      <c r="AJ11" s="73"/>
      <c r="AK11" s="58">
        <f>'1st_semester'!AH11</f>
        <v>650</v>
      </c>
      <c r="AL11" s="78">
        <f>'2nd_Semester'!AH10</f>
        <v>595</v>
      </c>
      <c r="AM11" s="78">
        <f t="shared" si="24"/>
        <v>639</v>
      </c>
      <c r="AN11" s="79">
        <f t="shared" si="25"/>
        <v>628</v>
      </c>
      <c r="AO11" s="78"/>
      <c r="AP11" s="74"/>
    </row>
    <row r="12" spans="1:42" s="76" customFormat="1" ht="12.75">
      <c r="A12" s="71">
        <v>6</v>
      </c>
      <c r="B12" s="51">
        <v>9</v>
      </c>
      <c r="C12" s="49" t="s">
        <v>99</v>
      </c>
      <c r="D12" s="49" t="s">
        <v>100</v>
      </c>
      <c r="E12" s="49" t="s">
        <v>101</v>
      </c>
      <c r="F12" s="82">
        <v>80</v>
      </c>
      <c r="G12" s="82">
        <v>37</v>
      </c>
      <c r="H12" s="82">
        <f t="shared" si="12"/>
        <v>117</v>
      </c>
      <c r="I12" s="133"/>
      <c r="J12" s="82">
        <f t="shared" si="13"/>
        <v>4</v>
      </c>
      <c r="K12" s="82">
        <v>88</v>
      </c>
      <c r="L12" s="82">
        <v>87</v>
      </c>
      <c r="M12" s="82">
        <f t="shared" si="14"/>
        <v>175</v>
      </c>
      <c r="N12" s="133"/>
      <c r="O12" s="82">
        <f t="shared" si="15"/>
        <v>5</v>
      </c>
      <c r="P12" s="82">
        <v>75</v>
      </c>
      <c r="Q12" s="133"/>
      <c r="R12" s="82">
        <f t="shared" si="16"/>
        <v>4</v>
      </c>
      <c r="S12" s="82">
        <v>91</v>
      </c>
      <c r="T12" s="133"/>
      <c r="U12" s="82">
        <f t="shared" si="17"/>
        <v>5</v>
      </c>
      <c r="V12" s="82">
        <v>93</v>
      </c>
      <c r="W12" s="133"/>
      <c r="X12" s="82">
        <f t="shared" si="18"/>
        <v>5</v>
      </c>
      <c r="Y12" s="82">
        <v>40</v>
      </c>
      <c r="Z12" s="133"/>
      <c r="AA12" s="82">
        <f t="shared" si="19"/>
        <v>5</v>
      </c>
      <c r="AB12" s="82">
        <v>34</v>
      </c>
      <c r="AC12" s="133"/>
      <c r="AD12" s="82">
        <f t="shared" si="20"/>
        <v>3.5</v>
      </c>
      <c r="AE12" s="82">
        <f t="shared" si="21"/>
        <v>31.5</v>
      </c>
      <c r="AF12" s="83">
        <f t="shared" si="22"/>
        <v>4.5</v>
      </c>
      <c r="AG12" s="81" t="str">
        <f t="shared" si="23"/>
        <v>BETTER</v>
      </c>
      <c r="AH12" s="73">
        <f t="shared" si="11"/>
        <v>625</v>
      </c>
      <c r="AI12" s="75">
        <v>17</v>
      </c>
      <c r="AJ12" s="75"/>
      <c r="AK12" s="58">
        <f>'1st_semester'!AH12</f>
        <v>575</v>
      </c>
      <c r="AL12" s="78">
        <f>'2nd_Semester'!AH11</f>
        <v>518</v>
      </c>
      <c r="AM12" s="78">
        <f t="shared" si="24"/>
        <v>625</v>
      </c>
      <c r="AN12" s="79">
        <f t="shared" si="25"/>
        <v>572.66666666666663</v>
      </c>
      <c r="AO12" s="78"/>
      <c r="AP12" s="74"/>
    </row>
    <row r="13" spans="1:42" s="76" customFormat="1" ht="12.75">
      <c r="A13" s="71">
        <v>7</v>
      </c>
      <c r="B13" s="51">
        <v>10</v>
      </c>
      <c r="C13" s="49" t="s">
        <v>102</v>
      </c>
      <c r="D13" s="49" t="s">
        <v>103</v>
      </c>
      <c r="E13" s="49" t="s">
        <v>104</v>
      </c>
      <c r="F13" s="82">
        <v>78</v>
      </c>
      <c r="G13" s="82">
        <v>44</v>
      </c>
      <c r="H13" s="82">
        <f t="shared" si="12"/>
        <v>122</v>
      </c>
      <c r="I13" s="133"/>
      <c r="J13" s="82">
        <f t="shared" si="13"/>
        <v>5</v>
      </c>
      <c r="K13" s="82">
        <v>87</v>
      </c>
      <c r="L13" s="82">
        <v>73</v>
      </c>
      <c r="M13" s="82">
        <f t="shared" si="14"/>
        <v>160</v>
      </c>
      <c r="N13" s="133"/>
      <c r="O13" s="82">
        <f t="shared" si="15"/>
        <v>5</v>
      </c>
      <c r="P13" s="82">
        <v>92</v>
      </c>
      <c r="Q13" s="133"/>
      <c r="R13" s="82">
        <f t="shared" si="16"/>
        <v>5</v>
      </c>
      <c r="S13" s="82">
        <v>95</v>
      </c>
      <c r="T13" s="133"/>
      <c r="U13" s="82">
        <f t="shared" si="17"/>
        <v>5</v>
      </c>
      <c r="V13" s="82">
        <v>90</v>
      </c>
      <c r="W13" s="133"/>
      <c r="X13" s="82">
        <f t="shared" si="18"/>
        <v>5</v>
      </c>
      <c r="Y13" s="82">
        <v>42</v>
      </c>
      <c r="Z13" s="133"/>
      <c r="AA13" s="82">
        <f t="shared" si="19"/>
        <v>5</v>
      </c>
      <c r="AB13" s="82">
        <v>42</v>
      </c>
      <c r="AC13" s="133"/>
      <c r="AD13" s="82">
        <f t="shared" si="20"/>
        <v>5</v>
      </c>
      <c r="AE13" s="82">
        <f t="shared" si="21"/>
        <v>35</v>
      </c>
      <c r="AF13" s="83">
        <f t="shared" si="22"/>
        <v>5</v>
      </c>
      <c r="AG13" s="81" t="str">
        <f t="shared" si="23"/>
        <v>BEST</v>
      </c>
      <c r="AH13" s="73">
        <f t="shared" si="11"/>
        <v>643</v>
      </c>
      <c r="AI13" s="75">
        <v>10</v>
      </c>
      <c r="AJ13" s="75"/>
      <c r="AK13" s="58">
        <f>'1st_semester'!AH13</f>
        <v>560</v>
      </c>
      <c r="AL13" s="78">
        <f>'2nd_Semester'!AH12</f>
        <v>601</v>
      </c>
      <c r="AM13" s="78">
        <f t="shared" si="24"/>
        <v>643</v>
      </c>
      <c r="AN13" s="79">
        <f t="shared" si="25"/>
        <v>601.33333333333337</v>
      </c>
      <c r="AO13" s="78"/>
      <c r="AP13" s="74"/>
    </row>
    <row r="14" spans="1:42" s="76" customFormat="1" ht="12.75">
      <c r="A14" s="71">
        <v>8</v>
      </c>
      <c r="B14" s="51">
        <v>13</v>
      </c>
      <c r="C14" s="48" t="s">
        <v>105</v>
      </c>
      <c r="D14" s="48" t="s">
        <v>106</v>
      </c>
      <c r="E14" s="48" t="s">
        <v>107</v>
      </c>
      <c r="F14" s="82">
        <v>79</v>
      </c>
      <c r="G14" s="82">
        <v>43</v>
      </c>
      <c r="H14" s="82">
        <f t="shared" si="12"/>
        <v>122</v>
      </c>
      <c r="I14" s="133"/>
      <c r="J14" s="82">
        <f t="shared" si="13"/>
        <v>5</v>
      </c>
      <c r="K14" s="82">
        <v>80</v>
      </c>
      <c r="L14" s="82">
        <v>80</v>
      </c>
      <c r="M14" s="82">
        <f t="shared" si="14"/>
        <v>160</v>
      </c>
      <c r="N14" s="133"/>
      <c r="O14" s="82">
        <f t="shared" si="15"/>
        <v>5</v>
      </c>
      <c r="P14" s="82">
        <v>80</v>
      </c>
      <c r="Q14" s="133"/>
      <c r="R14" s="82">
        <f t="shared" si="16"/>
        <v>5</v>
      </c>
      <c r="S14" s="82">
        <v>75</v>
      </c>
      <c r="T14" s="133"/>
      <c r="U14" s="82">
        <f t="shared" si="17"/>
        <v>4</v>
      </c>
      <c r="V14" s="82">
        <v>88</v>
      </c>
      <c r="W14" s="133"/>
      <c r="X14" s="82">
        <f t="shared" si="18"/>
        <v>5</v>
      </c>
      <c r="Y14" s="82">
        <v>40</v>
      </c>
      <c r="Z14" s="133"/>
      <c r="AA14" s="82">
        <f t="shared" si="19"/>
        <v>5</v>
      </c>
      <c r="AB14" s="82">
        <v>31</v>
      </c>
      <c r="AC14" s="133"/>
      <c r="AD14" s="82">
        <f t="shared" si="20"/>
        <v>3.5</v>
      </c>
      <c r="AE14" s="82">
        <f t="shared" si="21"/>
        <v>32.5</v>
      </c>
      <c r="AF14" s="83">
        <f t="shared" si="22"/>
        <v>4.6428571428571432</v>
      </c>
      <c r="AG14" s="81" t="str">
        <f t="shared" si="23"/>
        <v>BETTER</v>
      </c>
      <c r="AH14" s="73">
        <f t="shared" si="11"/>
        <v>596</v>
      </c>
      <c r="AI14" s="75">
        <v>16</v>
      </c>
      <c r="AJ14" s="75"/>
      <c r="AK14" s="58">
        <f>'1st_semester'!AH14</f>
        <v>589</v>
      </c>
      <c r="AL14" s="78">
        <f>'2nd_Semester'!AH13</f>
        <v>537</v>
      </c>
      <c r="AM14" s="78">
        <f t="shared" si="24"/>
        <v>596</v>
      </c>
      <c r="AN14" s="79">
        <f t="shared" si="25"/>
        <v>574</v>
      </c>
      <c r="AO14" s="78"/>
      <c r="AP14" s="74"/>
    </row>
    <row r="15" spans="1:42" s="76" customFormat="1" ht="12.75">
      <c r="A15" s="71">
        <v>9</v>
      </c>
      <c r="B15" s="51">
        <v>14</v>
      </c>
      <c r="C15" s="48" t="s">
        <v>108</v>
      </c>
      <c r="D15" s="48" t="s">
        <v>109</v>
      </c>
      <c r="E15" s="48" t="s">
        <v>110</v>
      </c>
      <c r="F15" s="82">
        <v>63</v>
      </c>
      <c r="G15" s="82">
        <v>42</v>
      </c>
      <c r="H15" s="82">
        <f t="shared" si="12"/>
        <v>105</v>
      </c>
      <c r="I15" s="133"/>
      <c r="J15" s="82">
        <f t="shared" si="13"/>
        <v>4</v>
      </c>
      <c r="K15" s="82">
        <v>91</v>
      </c>
      <c r="L15" s="82">
        <v>81</v>
      </c>
      <c r="M15" s="82">
        <f t="shared" si="14"/>
        <v>172</v>
      </c>
      <c r="N15" s="133"/>
      <c r="O15" s="82">
        <f t="shared" si="15"/>
        <v>5</v>
      </c>
      <c r="P15" s="82">
        <v>80</v>
      </c>
      <c r="Q15" s="133"/>
      <c r="R15" s="82">
        <f t="shared" si="16"/>
        <v>5</v>
      </c>
      <c r="S15" s="82">
        <v>94</v>
      </c>
      <c r="T15" s="133"/>
      <c r="U15" s="82">
        <f t="shared" si="17"/>
        <v>5</v>
      </c>
      <c r="V15" s="82">
        <v>80</v>
      </c>
      <c r="W15" s="133"/>
      <c r="X15" s="82">
        <f t="shared" si="18"/>
        <v>5</v>
      </c>
      <c r="Y15" s="82">
        <v>42</v>
      </c>
      <c r="Z15" s="133"/>
      <c r="AA15" s="82">
        <f t="shared" si="19"/>
        <v>5</v>
      </c>
      <c r="AB15" s="82">
        <v>30</v>
      </c>
      <c r="AC15" s="133"/>
      <c r="AD15" s="82">
        <f t="shared" si="20"/>
        <v>3.5</v>
      </c>
      <c r="AE15" s="82">
        <f t="shared" si="21"/>
        <v>32.5</v>
      </c>
      <c r="AF15" s="83">
        <f t="shared" si="22"/>
        <v>4.6428571428571432</v>
      </c>
      <c r="AG15" s="81" t="str">
        <f t="shared" si="23"/>
        <v>BETTER</v>
      </c>
      <c r="AH15" s="73">
        <f t="shared" si="11"/>
        <v>603</v>
      </c>
      <c r="AI15" s="75">
        <v>8</v>
      </c>
      <c r="AJ15" s="75"/>
      <c r="AK15" s="58">
        <f>'1st_semester'!AH15</f>
        <v>606</v>
      </c>
      <c r="AL15" s="78">
        <f>'2nd_Semester'!AH14</f>
        <v>627</v>
      </c>
      <c r="AM15" s="78">
        <f t="shared" si="24"/>
        <v>603</v>
      </c>
      <c r="AN15" s="79">
        <f t="shared" si="25"/>
        <v>612</v>
      </c>
      <c r="AO15" s="78"/>
      <c r="AP15" s="74"/>
    </row>
    <row r="16" spans="1:42" s="76" customFormat="1" ht="12.75">
      <c r="A16" s="71">
        <v>10</v>
      </c>
      <c r="B16" s="51">
        <v>15</v>
      </c>
      <c r="C16" s="49" t="s">
        <v>111</v>
      </c>
      <c r="D16" s="49" t="s">
        <v>112</v>
      </c>
      <c r="E16" s="49" t="s">
        <v>113</v>
      </c>
      <c r="F16" s="82">
        <v>62</v>
      </c>
      <c r="G16" s="82">
        <v>46</v>
      </c>
      <c r="H16" s="82">
        <f t="shared" si="12"/>
        <v>108</v>
      </c>
      <c r="I16" s="133"/>
      <c r="J16" s="82">
        <f t="shared" si="13"/>
        <v>4</v>
      </c>
      <c r="K16" s="82">
        <v>86</v>
      </c>
      <c r="L16" s="82">
        <v>77</v>
      </c>
      <c r="M16" s="82">
        <f t="shared" si="14"/>
        <v>163</v>
      </c>
      <c r="N16" s="133"/>
      <c r="O16" s="82">
        <f t="shared" si="15"/>
        <v>5</v>
      </c>
      <c r="P16" s="82">
        <v>80</v>
      </c>
      <c r="Q16" s="133"/>
      <c r="R16" s="82">
        <f t="shared" si="16"/>
        <v>5</v>
      </c>
      <c r="S16" s="82">
        <v>99</v>
      </c>
      <c r="T16" s="133"/>
      <c r="U16" s="82">
        <f t="shared" si="17"/>
        <v>5</v>
      </c>
      <c r="V16" s="82">
        <v>81</v>
      </c>
      <c r="W16" s="133"/>
      <c r="X16" s="82">
        <f t="shared" si="18"/>
        <v>5</v>
      </c>
      <c r="Y16" s="82">
        <v>40</v>
      </c>
      <c r="Z16" s="133"/>
      <c r="AA16" s="82">
        <f t="shared" si="19"/>
        <v>5</v>
      </c>
      <c r="AB16" s="82">
        <v>30</v>
      </c>
      <c r="AC16" s="133"/>
      <c r="AD16" s="82">
        <f t="shared" si="20"/>
        <v>3.5</v>
      </c>
      <c r="AE16" s="82">
        <f t="shared" si="21"/>
        <v>32.5</v>
      </c>
      <c r="AF16" s="83">
        <f t="shared" si="22"/>
        <v>4.6428571428571432</v>
      </c>
      <c r="AG16" s="80" t="str">
        <f t="shared" si="23"/>
        <v>BETTER</v>
      </c>
      <c r="AH16" s="73">
        <f t="shared" si="11"/>
        <v>601</v>
      </c>
      <c r="AI16" s="73">
        <v>11</v>
      </c>
      <c r="AJ16" s="73"/>
      <c r="AK16" s="58">
        <f>'1st_semester'!AH16</f>
        <v>614</v>
      </c>
      <c r="AL16" s="78">
        <f>'2nd_Semester'!AH15</f>
        <v>582</v>
      </c>
      <c r="AM16" s="78">
        <f t="shared" si="24"/>
        <v>601</v>
      </c>
      <c r="AN16" s="79">
        <f t="shared" si="25"/>
        <v>599</v>
      </c>
      <c r="AO16" s="78"/>
      <c r="AP16" s="74"/>
    </row>
    <row r="17" spans="1:42" s="76" customFormat="1" ht="12.75">
      <c r="A17" s="71">
        <v>11</v>
      </c>
      <c r="B17" s="51">
        <v>29</v>
      </c>
      <c r="C17" s="48" t="s">
        <v>114</v>
      </c>
      <c r="D17" s="48" t="s">
        <v>115</v>
      </c>
      <c r="E17" s="48" t="s">
        <v>116</v>
      </c>
      <c r="F17" s="82">
        <v>54</v>
      </c>
      <c r="G17" s="82">
        <v>40</v>
      </c>
      <c r="H17" s="82">
        <f t="shared" si="12"/>
        <v>94</v>
      </c>
      <c r="I17" s="133"/>
      <c r="J17" s="82">
        <f t="shared" si="13"/>
        <v>3.5</v>
      </c>
      <c r="K17" s="82">
        <v>58</v>
      </c>
      <c r="L17" s="82">
        <v>62</v>
      </c>
      <c r="M17" s="82">
        <f t="shared" si="14"/>
        <v>120</v>
      </c>
      <c r="N17" s="133"/>
      <c r="O17" s="82">
        <f t="shared" si="15"/>
        <v>3.5</v>
      </c>
      <c r="P17" s="82">
        <v>76</v>
      </c>
      <c r="Q17" s="133"/>
      <c r="R17" s="82">
        <f t="shared" si="16"/>
        <v>4</v>
      </c>
      <c r="S17" s="82">
        <v>87</v>
      </c>
      <c r="T17" s="133"/>
      <c r="U17" s="82">
        <f t="shared" si="17"/>
        <v>5</v>
      </c>
      <c r="V17" s="82">
        <v>65</v>
      </c>
      <c r="W17" s="133"/>
      <c r="X17" s="82">
        <f t="shared" si="18"/>
        <v>3.5</v>
      </c>
      <c r="Y17" s="82">
        <v>36</v>
      </c>
      <c r="Z17" s="133"/>
      <c r="AA17" s="82">
        <f t="shared" si="19"/>
        <v>4</v>
      </c>
      <c r="AB17" s="82">
        <v>40</v>
      </c>
      <c r="AC17" s="133"/>
      <c r="AD17" s="82">
        <f t="shared" si="20"/>
        <v>5</v>
      </c>
      <c r="AE17" s="82">
        <f t="shared" si="21"/>
        <v>28.5</v>
      </c>
      <c r="AF17" s="83">
        <f t="shared" si="22"/>
        <v>4.0714285714285712</v>
      </c>
      <c r="AG17" s="81" t="str">
        <f t="shared" si="23"/>
        <v>BETTER</v>
      </c>
      <c r="AH17" s="73">
        <f t="shared" si="11"/>
        <v>518</v>
      </c>
      <c r="AI17" s="75">
        <v>36</v>
      </c>
      <c r="AJ17" s="75"/>
      <c r="AK17" s="58">
        <f>'1st_semester'!AH17</f>
        <v>494</v>
      </c>
      <c r="AL17" s="78">
        <f>'2nd_Semester'!AH16</f>
        <v>509</v>
      </c>
      <c r="AM17" s="78">
        <f t="shared" si="24"/>
        <v>518</v>
      </c>
      <c r="AN17" s="79">
        <f t="shared" si="25"/>
        <v>507</v>
      </c>
      <c r="AO17" s="78"/>
      <c r="AP17" s="74"/>
    </row>
    <row r="18" spans="1:42" s="76" customFormat="1" ht="12.75">
      <c r="A18" s="71">
        <v>12</v>
      </c>
      <c r="B18" s="51">
        <v>43</v>
      </c>
      <c r="C18" s="48" t="s">
        <v>117</v>
      </c>
      <c r="D18" s="48" t="s">
        <v>118</v>
      </c>
      <c r="E18" s="48" t="s">
        <v>119</v>
      </c>
      <c r="F18" s="82">
        <v>0</v>
      </c>
      <c r="G18" s="82">
        <v>0</v>
      </c>
      <c r="H18" s="82">
        <f t="shared" si="12"/>
        <v>0</v>
      </c>
      <c r="I18" s="133"/>
      <c r="J18" s="82" t="str">
        <f t="shared" si="13"/>
        <v>F</v>
      </c>
      <c r="K18" s="82">
        <v>0</v>
      </c>
      <c r="L18" s="82">
        <v>0</v>
      </c>
      <c r="M18" s="82">
        <f t="shared" si="14"/>
        <v>0</v>
      </c>
      <c r="N18" s="133"/>
      <c r="O18" s="82" t="str">
        <f t="shared" si="15"/>
        <v>F</v>
      </c>
      <c r="P18" s="82">
        <v>0</v>
      </c>
      <c r="Q18" s="133"/>
      <c r="R18" s="82" t="str">
        <f t="shared" si="16"/>
        <v>F</v>
      </c>
      <c r="S18" s="82">
        <v>0</v>
      </c>
      <c r="T18" s="133"/>
      <c r="U18" s="82" t="str">
        <f t="shared" si="17"/>
        <v>F</v>
      </c>
      <c r="V18" s="82">
        <v>0</v>
      </c>
      <c r="W18" s="133"/>
      <c r="X18" s="82" t="str">
        <f t="shared" si="18"/>
        <v>F</v>
      </c>
      <c r="Y18" s="82">
        <v>0</v>
      </c>
      <c r="Z18" s="133"/>
      <c r="AA18" s="82" t="str">
        <f t="shared" si="19"/>
        <v>F</v>
      </c>
      <c r="AB18" s="82">
        <v>0</v>
      </c>
      <c r="AC18" s="133"/>
      <c r="AD18" s="82" t="str">
        <f t="shared" si="20"/>
        <v>F</v>
      </c>
      <c r="AE18" s="82" t="str">
        <f t="shared" si="21"/>
        <v>F</v>
      </c>
      <c r="AF18" s="83" t="str">
        <f t="shared" si="22"/>
        <v>F</v>
      </c>
      <c r="AG18" s="81" t="str">
        <f t="shared" si="23"/>
        <v>NEED TO PROGRESS</v>
      </c>
      <c r="AH18" s="73">
        <f t="shared" si="11"/>
        <v>0</v>
      </c>
      <c r="AI18" s="75">
        <v>0</v>
      </c>
      <c r="AJ18" s="75"/>
      <c r="AK18" s="58">
        <f>'1st_semester'!AH18</f>
        <v>567</v>
      </c>
      <c r="AL18" s="78">
        <f>'2nd_Semester'!AH17</f>
        <v>349</v>
      </c>
      <c r="AM18" s="78">
        <f t="shared" si="24"/>
        <v>0</v>
      </c>
      <c r="AN18" s="79">
        <f t="shared" si="25"/>
        <v>305.33333333333331</v>
      </c>
      <c r="AO18" s="78"/>
      <c r="AP18" s="74"/>
    </row>
    <row r="19" spans="1:42" s="76" customFormat="1" ht="12.75">
      <c r="A19" s="71">
        <v>13</v>
      </c>
      <c r="B19" s="52">
        <v>51</v>
      </c>
      <c r="C19" s="49" t="s">
        <v>120</v>
      </c>
      <c r="D19" s="49" t="s">
        <v>121</v>
      </c>
      <c r="E19" s="49" t="s">
        <v>122</v>
      </c>
      <c r="F19" s="82">
        <v>68</v>
      </c>
      <c r="G19" s="82">
        <v>45</v>
      </c>
      <c r="H19" s="82">
        <f t="shared" si="12"/>
        <v>113</v>
      </c>
      <c r="I19" s="133"/>
      <c r="J19" s="82">
        <f t="shared" si="13"/>
        <v>4</v>
      </c>
      <c r="K19" s="82">
        <v>80</v>
      </c>
      <c r="L19" s="82">
        <v>81</v>
      </c>
      <c r="M19" s="82">
        <f t="shared" si="14"/>
        <v>161</v>
      </c>
      <c r="N19" s="133"/>
      <c r="O19" s="82">
        <f t="shared" si="15"/>
        <v>5</v>
      </c>
      <c r="P19" s="82">
        <v>91</v>
      </c>
      <c r="Q19" s="133"/>
      <c r="R19" s="82">
        <f t="shared" si="16"/>
        <v>5</v>
      </c>
      <c r="S19" s="82">
        <v>97</v>
      </c>
      <c r="T19" s="133"/>
      <c r="U19" s="82">
        <f t="shared" si="17"/>
        <v>5</v>
      </c>
      <c r="V19" s="82">
        <v>77</v>
      </c>
      <c r="W19" s="133"/>
      <c r="X19" s="82">
        <f t="shared" si="18"/>
        <v>4</v>
      </c>
      <c r="Y19" s="82">
        <v>36</v>
      </c>
      <c r="Z19" s="133"/>
      <c r="AA19" s="82">
        <f t="shared" si="19"/>
        <v>4</v>
      </c>
      <c r="AB19" s="82">
        <v>26</v>
      </c>
      <c r="AC19" s="133"/>
      <c r="AD19" s="82">
        <f t="shared" si="20"/>
        <v>3</v>
      </c>
      <c r="AE19" s="82">
        <f t="shared" si="21"/>
        <v>30</v>
      </c>
      <c r="AF19" s="83">
        <f t="shared" si="22"/>
        <v>4.2857142857142856</v>
      </c>
      <c r="AG19" s="81" t="str">
        <f t="shared" si="23"/>
        <v>BETTER</v>
      </c>
      <c r="AH19" s="73">
        <f t="shared" si="11"/>
        <v>601</v>
      </c>
      <c r="AI19" s="75">
        <v>13</v>
      </c>
      <c r="AJ19" s="75"/>
      <c r="AK19" s="58">
        <f>'1st_semester'!AH19</f>
        <v>595</v>
      </c>
      <c r="AL19" s="78">
        <f>'2nd_Semester'!AH18</f>
        <v>581</v>
      </c>
      <c r="AM19" s="78">
        <f t="shared" si="24"/>
        <v>601</v>
      </c>
      <c r="AN19" s="79">
        <f t="shared" si="25"/>
        <v>592.33333333333337</v>
      </c>
      <c r="AO19" s="78"/>
      <c r="AP19" s="74"/>
    </row>
    <row r="20" spans="1:42" s="76" customFormat="1" ht="12.75">
      <c r="A20" s="71">
        <v>14</v>
      </c>
      <c r="B20" s="52">
        <v>54</v>
      </c>
      <c r="C20" s="49" t="s">
        <v>123</v>
      </c>
      <c r="D20" s="49" t="s">
        <v>124</v>
      </c>
      <c r="E20" s="49" t="s">
        <v>125</v>
      </c>
      <c r="F20" s="82">
        <v>59</v>
      </c>
      <c r="G20" s="82">
        <v>41</v>
      </c>
      <c r="H20" s="82">
        <f t="shared" si="12"/>
        <v>100</v>
      </c>
      <c r="I20" s="133"/>
      <c r="J20" s="82">
        <f t="shared" si="13"/>
        <v>3.5</v>
      </c>
      <c r="K20" s="82">
        <v>68</v>
      </c>
      <c r="L20" s="82">
        <v>45</v>
      </c>
      <c r="M20" s="82">
        <f t="shared" si="14"/>
        <v>113</v>
      </c>
      <c r="N20" s="133"/>
      <c r="O20" s="82">
        <f t="shared" si="15"/>
        <v>3</v>
      </c>
      <c r="P20" s="82">
        <v>63</v>
      </c>
      <c r="Q20" s="133"/>
      <c r="R20" s="82">
        <f t="shared" si="16"/>
        <v>3.5</v>
      </c>
      <c r="S20" s="82">
        <v>81</v>
      </c>
      <c r="T20" s="133"/>
      <c r="U20" s="82">
        <f t="shared" si="17"/>
        <v>5</v>
      </c>
      <c r="V20" s="82">
        <v>80</v>
      </c>
      <c r="W20" s="133"/>
      <c r="X20" s="82">
        <f t="shared" si="18"/>
        <v>5</v>
      </c>
      <c r="Y20" s="82">
        <v>35</v>
      </c>
      <c r="Z20" s="133"/>
      <c r="AA20" s="82">
        <f t="shared" si="19"/>
        <v>4</v>
      </c>
      <c r="AB20" s="82">
        <v>38</v>
      </c>
      <c r="AC20" s="133"/>
      <c r="AD20" s="82">
        <f t="shared" si="20"/>
        <v>4</v>
      </c>
      <c r="AE20" s="82">
        <f t="shared" si="21"/>
        <v>28</v>
      </c>
      <c r="AF20" s="83">
        <f t="shared" si="22"/>
        <v>4</v>
      </c>
      <c r="AG20" s="81" t="str">
        <f t="shared" si="23"/>
        <v>BETTER</v>
      </c>
      <c r="AH20" s="73">
        <f t="shared" si="11"/>
        <v>510</v>
      </c>
      <c r="AI20" s="75">
        <v>30</v>
      </c>
      <c r="AJ20" s="75"/>
      <c r="AK20" s="58">
        <f>'1st_semester'!AH20</f>
        <v>534</v>
      </c>
      <c r="AL20" s="78">
        <f>'2nd_Semester'!AH19</f>
        <v>527</v>
      </c>
      <c r="AM20" s="78">
        <f t="shared" si="24"/>
        <v>510</v>
      </c>
      <c r="AN20" s="79">
        <f t="shared" si="25"/>
        <v>523.66666666666663</v>
      </c>
      <c r="AO20" s="78"/>
      <c r="AP20" s="74"/>
    </row>
    <row r="21" spans="1:42" s="76" customFormat="1" ht="12.75">
      <c r="A21" s="71">
        <v>15</v>
      </c>
      <c r="B21" s="52">
        <v>56</v>
      </c>
      <c r="C21" s="49" t="s">
        <v>126</v>
      </c>
      <c r="D21" s="49" t="s">
        <v>127</v>
      </c>
      <c r="E21" s="49" t="s">
        <v>128</v>
      </c>
      <c r="F21" s="82">
        <v>86</v>
      </c>
      <c r="G21" s="82">
        <v>42</v>
      </c>
      <c r="H21" s="82">
        <f t="shared" si="12"/>
        <v>128</v>
      </c>
      <c r="I21" s="133"/>
      <c r="J21" s="82">
        <f t="shared" si="13"/>
        <v>5</v>
      </c>
      <c r="K21" s="82">
        <v>71</v>
      </c>
      <c r="L21" s="82">
        <v>57</v>
      </c>
      <c r="M21" s="82">
        <f t="shared" si="14"/>
        <v>128</v>
      </c>
      <c r="N21" s="133"/>
      <c r="O21" s="82">
        <f t="shared" si="15"/>
        <v>3.5</v>
      </c>
      <c r="P21" s="82">
        <v>65</v>
      </c>
      <c r="Q21" s="133"/>
      <c r="R21" s="82">
        <f t="shared" si="16"/>
        <v>3.5</v>
      </c>
      <c r="S21" s="82">
        <v>93</v>
      </c>
      <c r="T21" s="133"/>
      <c r="U21" s="82">
        <f t="shared" si="17"/>
        <v>5</v>
      </c>
      <c r="V21" s="82">
        <v>90</v>
      </c>
      <c r="W21" s="133"/>
      <c r="X21" s="82">
        <f t="shared" si="18"/>
        <v>5</v>
      </c>
      <c r="Y21" s="82">
        <v>42</v>
      </c>
      <c r="Z21" s="133"/>
      <c r="AA21" s="82">
        <f t="shared" si="19"/>
        <v>5</v>
      </c>
      <c r="AB21" s="82">
        <v>36</v>
      </c>
      <c r="AC21" s="133"/>
      <c r="AD21" s="82">
        <f t="shared" si="20"/>
        <v>4</v>
      </c>
      <c r="AE21" s="82">
        <f t="shared" si="21"/>
        <v>31</v>
      </c>
      <c r="AF21" s="83">
        <f t="shared" si="22"/>
        <v>4.4285714285714288</v>
      </c>
      <c r="AG21" s="81" t="str">
        <f t="shared" si="23"/>
        <v>BETTER</v>
      </c>
      <c r="AH21" s="73">
        <f t="shared" si="11"/>
        <v>582</v>
      </c>
      <c r="AI21" s="75">
        <v>18</v>
      </c>
      <c r="AJ21" s="75"/>
      <c r="AK21" s="58">
        <f>'1st_semester'!AH21</f>
        <v>530</v>
      </c>
      <c r="AL21" s="78">
        <f>'2nd_Semester'!AH20</f>
        <v>582</v>
      </c>
      <c r="AM21" s="78">
        <f t="shared" si="24"/>
        <v>582</v>
      </c>
      <c r="AN21" s="79">
        <f t="shared" si="25"/>
        <v>564.66666666666663</v>
      </c>
      <c r="AO21" s="78"/>
      <c r="AP21" s="74"/>
    </row>
    <row r="22" spans="1:42" s="76" customFormat="1" ht="12.75">
      <c r="A22" s="71">
        <v>16</v>
      </c>
      <c r="B22" s="52">
        <v>63</v>
      </c>
      <c r="C22" s="49" t="s">
        <v>129</v>
      </c>
      <c r="D22" s="49" t="s">
        <v>130</v>
      </c>
      <c r="E22" s="49" t="s">
        <v>131</v>
      </c>
      <c r="F22" s="82">
        <v>72</v>
      </c>
      <c r="G22" s="82">
        <v>42</v>
      </c>
      <c r="H22" s="82">
        <f t="shared" si="12"/>
        <v>114</v>
      </c>
      <c r="I22" s="133"/>
      <c r="J22" s="82">
        <f t="shared" si="13"/>
        <v>4</v>
      </c>
      <c r="K22" s="82">
        <v>84</v>
      </c>
      <c r="L22" s="82">
        <v>84</v>
      </c>
      <c r="M22" s="82">
        <f t="shared" si="14"/>
        <v>168</v>
      </c>
      <c r="N22" s="133"/>
      <c r="O22" s="82">
        <f t="shared" si="15"/>
        <v>5</v>
      </c>
      <c r="P22" s="82">
        <v>80</v>
      </c>
      <c r="Q22" s="133"/>
      <c r="R22" s="82">
        <f t="shared" si="16"/>
        <v>5</v>
      </c>
      <c r="S22" s="82">
        <v>84</v>
      </c>
      <c r="T22" s="133"/>
      <c r="U22" s="82">
        <f t="shared" si="17"/>
        <v>5</v>
      </c>
      <c r="V22" s="82">
        <v>73</v>
      </c>
      <c r="W22" s="133"/>
      <c r="X22" s="82">
        <f t="shared" si="18"/>
        <v>4</v>
      </c>
      <c r="Y22" s="82">
        <v>37</v>
      </c>
      <c r="Z22" s="133"/>
      <c r="AA22" s="82">
        <f t="shared" si="19"/>
        <v>4</v>
      </c>
      <c r="AB22" s="82">
        <v>24</v>
      </c>
      <c r="AC22" s="133"/>
      <c r="AD22" s="82">
        <f t="shared" si="20"/>
        <v>2</v>
      </c>
      <c r="AE22" s="82">
        <f t="shared" si="21"/>
        <v>29</v>
      </c>
      <c r="AF22" s="83">
        <f t="shared" si="22"/>
        <v>4.1428571428571432</v>
      </c>
      <c r="AG22" s="81" t="str">
        <f t="shared" si="23"/>
        <v>BETTER</v>
      </c>
      <c r="AH22" s="73">
        <f t="shared" si="11"/>
        <v>580</v>
      </c>
      <c r="AI22" s="75">
        <v>15</v>
      </c>
      <c r="AJ22" s="75"/>
      <c r="AK22" s="58">
        <f>'1st_semester'!AH22</f>
        <v>605</v>
      </c>
      <c r="AL22" s="78">
        <f>'2nd_Semester'!AH21</f>
        <v>560</v>
      </c>
      <c r="AM22" s="78">
        <f t="shared" si="24"/>
        <v>580</v>
      </c>
      <c r="AN22" s="79">
        <f t="shared" si="25"/>
        <v>581.66666666666663</v>
      </c>
      <c r="AO22" s="78"/>
      <c r="AP22" s="74"/>
    </row>
    <row r="23" spans="1:42" s="76" customFormat="1" ht="12.75">
      <c r="A23" s="71">
        <v>17</v>
      </c>
      <c r="B23" s="52">
        <v>67</v>
      </c>
      <c r="C23" s="49" t="s">
        <v>132</v>
      </c>
      <c r="D23" s="49" t="s">
        <v>133</v>
      </c>
      <c r="E23" s="49" t="s">
        <v>134</v>
      </c>
      <c r="F23" s="82">
        <v>80</v>
      </c>
      <c r="G23" s="82">
        <v>44</v>
      </c>
      <c r="H23" s="82">
        <f t="shared" si="12"/>
        <v>124</v>
      </c>
      <c r="I23" s="133"/>
      <c r="J23" s="82">
        <f t="shared" si="13"/>
        <v>5</v>
      </c>
      <c r="K23" s="82">
        <v>72</v>
      </c>
      <c r="L23" s="82">
        <v>72</v>
      </c>
      <c r="M23" s="82">
        <f t="shared" si="14"/>
        <v>144</v>
      </c>
      <c r="N23" s="133"/>
      <c r="O23" s="82">
        <f t="shared" si="15"/>
        <v>4</v>
      </c>
      <c r="P23" s="82">
        <v>52</v>
      </c>
      <c r="Q23" s="133"/>
      <c r="R23" s="82">
        <f t="shared" si="16"/>
        <v>3</v>
      </c>
      <c r="S23" s="82">
        <v>92</v>
      </c>
      <c r="T23" s="133"/>
      <c r="U23" s="82">
        <f t="shared" si="17"/>
        <v>5</v>
      </c>
      <c r="V23" s="82">
        <v>90</v>
      </c>
      <c r="W23" s="133"/>
      <c r="X23" s="82">
        <f t="shared" si="18"/>
        <v>5</v>
      </c>
      <c r="Y23" s="82">
        <v>35</v>
      </c>
      <c r="Z23" s="133"/>
      <c r="AA23" s="82">
        <f t="shared" si="19"/>
        <v>4</v>
      </c>
      <c r="AB23" s="82">
        <v>36</v>
      </c>
      <c r="AC23" s="133"/>
      <c r="AD23" s="82">
        <f t="shared" si="20"/>
        <v>4</v>
      </c>
      <c r="AE23" s="82">
        <f t="shared" si="21"/>
        <v>30</v>
      </c>
      <c r="AF23" s="83">
        <f t="shared" si="22"/>
        <v>4.2857142857142856</v>
      </c>
      <c r="AG23" s="81" t="str">
        <f t="shared" si="23"/>
        <v>BETTER</v>
      </c>
      <c r="AH23" s="73">
        <f t="shared" si="11"/>
        <v>573</v>
      </c>
      <c r="AI23" s="75">
        <v>19</v>
      </c>
      <c r="AJ23" s="75"/>
      <c r="AK23" s="58">
        <f>'1st_semester'!AH23</f>
        <v>559</v>
      </c>
      <c r="AL23" s="78">
        <f>'2nd_Semester'!AH22</f>
        <v>564</v>
      </c>
      <c r="AM23" s="78">
        <f t="shared" si="24"/>
        <v>573</v>
      </c>
      <c r="AN23" s="79">
        <f t="shared" si="25"/>
        <v>565.33333333333337</v>
      </c>
      <c r="AO23" s="78"/>
      <c r="AP23" s="74"/>
    </row>
    <row r="24" spans="1:42" s="76" customFormat="1" ht="12.75">
      <c r="A24" s="71">
        <v>18</v>
      </c>
      <c r="B24" s="52">
        <v>74</v>
      </c>
      <c r="C24" s="49" t="s">
        <v>135</v>
      </c>
      <c r="D24" s="49" t="s">
        <v>136</v>
      </c>
      <c r="E24" s="49" t="s">
        <v>137</v>
      </c>
      <c r="F24" s="82">
        <v>88</v>
      </c>
      <c r="G24" s="82">
        <v>45</v>
      </c>
      <c r="H24" s="82">
        <f t="shared" si="12"/>
        <v>133</v>
      </c>
      <c r="I24" s="133"/>
      <c r="J24" s="82">
        <f t="shared" si="13"/>
        <v>5</v>
      </c>
      <c r="K24" s="82">
        <v>86</v>
      </c>
      <c r="L24" s="82">
        <v>80</v>
      </c>
      <c r="M24" s="82">
        <f t="shared" si="14"/>
        <v>166</v>
      </c>
      <c r="N24" s="133"/>
      <c r="O24" s="82">
        <f t="shared" si="15"/>
        <v>5</v>
      </c>
      <c r="P24" s="82">
        <v>99</v>
      </c>
      <c r="Q24" s="133"/>
      <c r="R24" s="82">
        <f t="shared" si="16"/>
        <v>5</v>
      </c>
      <c r="S24" s="82">
        <v>99</v>
      </c>
      <c r="T24" s="133"/>
      <c r="U24" s="82">
        <f t="shared" si="17"/>
        <v>5</v>
      </c>
      <c r="V24" s="82">
        <v>88</v>
      </c>
      <c r="W24" s="133"/>
      <c r="X24" s="82">
        <f t="shared" si="18"/>
        <v>5</v>
      </c>
      <c r="Y24" s="82">
        <v>43</v>
      </c>
      <c r="Z24" s="133"/>
      <c r="AA24" s="82">
        <f t="shared" si="19"/>
        <v>5</v>
      </c>
      <c r="AB24" s="82">
        <v>40</v>
      </c>
      <c r="AC24" s="133"/>
      <c r="AD24" s="82">
        <f t="shared" si="20"/>
        <v>5</v>
      </c>
      <c r="AE24" s="82">
        <f t="shared" si="21"/>
        <v>35</v>
      </c>
      <c r="AF24" s="83">
        <f t="shared" si="22"/>
        <v>5</v>
      </c>
      <c r="AG24" s="81" t="str">
        <f t="shared" si="23"/>
        <v>BEST</v>
      </c>
      <c r="AH24" s="73">
        <f t="shared" si="11"/>
        <v>668</v>
      </c>
      <c r="AI24" s="75">
        <v>1</v>
      </c>
      <c r="AJ24" s="75"/>
      <c r="AK24" s="58">
        <f>'1st_semester'!AH24</f>
        <v>683</v>
      </c>
      <c r="AL24" s="78">
        <f>'2nd_Semester'!AH23</f>
        <v>662</v>
      </c>
      <c r="AM24" s="78">
        <f t="shared" si="24"/>
        <v>668</v>
      </c>
      <c r="AN24" s="79">
        <f t="shared" si="25"/>
        <v>671</v>
      </c>
      <c r="AO24" s="78"/>
      <c r="AP24" s="74"/>
    </row>
    <row r="25" spans="1:42" s="76" customFormat="1" ht="12.75">
      <c r="A25" s="71">
        <v>19</v>
      </c>
      <c r="B25" s="52">
        <v>75</v>
      </c>
      <c r="C25" s="49" t="s">
        <v>138</v>
      </c>
      <c r="D25" s="49" t="s">
        <v>139</v>
      </c>
      <c r="E25" s="49" t="s">
        <v>140</v>
      </c>
      <c r="F25" s="82">
        <v>80</v>
      </c>
      <c r="G25" s="82">
        <v>45</v>
      </c>
      <c r="H25" s="82">
        <f t="shared" si="12"/>
        <v>125</v>
      </c>
      <c r="I25" s="133"/>
      <c r="J25" s="82">
        <f t="shared" si="13"/>
        <v>5</v>
      </c>
      <c r="K25" s="82">
        <v>72</v>
      </c>
      <c r="L25" s="82">
        <v>80</v>
      </c>
      <c r="M25" s="82">
        <f t="shared" si="14"/>
        <v>152</v>
      </c>
      <c r="N25" s="133"/>
      <c r="O25" s="82">
        <f t="shared" si="15"/>
        <v>4</v>
      </c>
      <c r="P25" s="82">
        <v>98</v>
      </c>
      <c r="Q25" s="133"/>
      <c r="R25" s="82">
        <f t="shared" si="16"/>
        <v>5</v>
      </c>
      <c r="S25" s="82">
        <v>89</v>
      </c>
      <c r="T25" s="133"/>
      <c r="U25" s="82">
        <f t="shared" si="17"/>
        <v>5</v>
      </c>
      <c r="V25" s="82">
        <v>84</v>
      </c>
      <c r="W25" s="133"/>
      <c r="X25" s="82">
        <f t="shared" si="18"/>
        <v>5</v>
      </c>
      <c r="Y25" s="82">
        <v>43</v>
      </c>
      <c r="Z25" s="133"/>
      <c r="AA25" s="82">
        <f t="shared" si="19"/>
        <v>5</v>
      </c>
      <c r="AB25" s="82">
        <v>48</v>
      </c>
      <c r="AC25" s="133"/>
      <c r="AD25" s="82">
        <f t="shared" si="20"/>
        <v>5</v>
      </c>
      <c r="AE25" s="82">
        <f t="shared" si="21"/>
        <v>34</v>
      </c>
      <c r="AF25" s="83">
        <f t="shared" si="22"/>
        <v>4.8571428571428568</v>
      </c>
      <c r="AG25" s="81" t="str">
        <f t="shared" si="23"/>
        <v>BETTER</v>
      </c>
      <c r="AH25" s="73">
        <f t="shared" si="11"/>
        <v>639</v>
      </c>
      <c r="AI25" s="75">
        <v>4</v>
      </c>
      <c r="AJ25" s="75"/>
      <c r="AK25" s="58">
        <f>'1st_semester'!AH25</f>
        <v>638</v>
      </c>
      <c r="AL25" s="78">
        <f>'2nd_Semester'!AH24</f>
        <v>642</v>
      </c>
      <c r="AM25" s="78">
        <f t="shared" si="24"/>
        <v>639</v>
      </c>
      <c r="AN25" s="79">
        <f t="shared" si="25"/>
        <v>639.66666666666663</v>
      </c>
      <c r="AO25" s="78"/>
      <c r="AP25" s="74"/>
    </row>
    <row r="26" spans="1:42" s="76" customFormat="1" ht="12.75">
      <c r="A26" s="71">
        <v>20</v>
      </c>
      <c r="B26" s="52">
        <v>79</v>
      </c>
      <c r="C26" s="49" t="s">
        <v>141</v>
      </c>
      <c r="D26" s="49" t="s">
        <v>142</v>
      </c>
      <c r="E26" s="49" t="s">
        <v>143</v>
      </c>
      <c r="F26" s="82">
        <v>88</v>
      </c>
      <c r="G26" s="82">
        <v>46</v>
      </c>
      <c r="H26" s="82">
        <f t="shared" si="12"/>
        <v>134</v>
      </c>
      <c r="I26" s="133"/>
      <c r="J26" s="82">
        <f t="shared" si="13"/>
        <v>5</v>
      </c>
      <c r="K26" s="82">
        <v>90</v>
      </c>
      <c r="L26" s="82">
        <v>74</v>
      </c>
      <c r="M26" s="82">
        <f t="shared" si="14"/>
        <v>164</v>
      </c>
      <c r="N26" s="133"/>
      <c r="O26" s="82">
        <f t="shared" si="15"/>
        <v>5</v>
      </c>
      <c r="P26" s="82">
        <v>86</v>
      </c>
      <c r="Q26" s="133"/>
      <c r="R26" s="82">
        <f t="shared" si="16"/>
        <v>5</v>
      </c>
      <c r="S26" s="82">
        <v>95</v>
      </c>
      <c r="T26" s="133"/>
      <c r="U26" s="82">
        <f t="shared" si="17"/>
        <v>5</v>
      </c>
      <c r="V26" s="82">
        <v>85</v>
      </c>
      <c r="W26" s="133"/>
      <c r="X26" s="82">
        <f t="shared" si="18"/>
        <v>5</v>
      </c>
      <c r="Y26" s="82">
        <v>41</v>
      </c>
      <c r="Z26" s="133"/>
      <c r="AA26" s="82">
        <f t="shared" si="19"/>
        <v>5</v>
      </c>
      <c r="AB26" s="82">
        <v>38</v>
      </c>
      <c r="AC26" s="133"/>
      <c r="AD26" s="82">
        <f t="shared" si="20"/>
        <v>4</v>
      </c>
      <c r="AE26" s="82">
        <f t="shared" si="21"/>
        <v>34</v>
      </c>
      <c r="AF26" s="83">
        <f t="shared" si="22"/>
        <v>4.8571428571428568</v>
      </c>
      <c r="AG26" s="81" t="str">
        <f t="shared" si="23"/>
        <v>BETTER</v>
      </c>
      <c r="AH26" s="73">
        <f t="shared" si="11"/>
        <v>643</v>
      </c>
      <c r="AI26" s="75">
        <v>3</v>
      </c>
      <c r="AJ26" s="75"/>
      <c r="AK26" s="58">
        <f>'1st_semester'!AH26</f>
        <v>669</v>
      </c>
      <c r="AL26" s="78">
        <f>'2nd_Semester'!AH25</f>
        <v>629</v>
      </c>
      <c r="AM26" s="78">
        <f t="shared" si="24"/>
        <v>643</v>
      </c>
      <c r="AN26" s="79">
        <f t="shared" si="25"/>
        <v>647</v>
      </c>
      <c r="AO26" s="78"/>
      <c r="AP26" s="74"/>
    </row>
    <row r="27" spans="1:42" s="76" customFormat="1" ht="12.75">
      <c r="A27" s="71">
        <v>21</v>
      </c>
      <c r="B27" s="52">
        <v>87</v>
      </c>
      <c r="C27" s="49" t="s">
        <v>144</v>
      </c>
      <c r="D27" s="49" t="s">
        <v>145</v>
      </c>
      <c r="E27" s="49" t="s">
        <v>146</v>
      </c>
      <c r="F27" s="82">
        <v>0</v>
      </c>
      <c r="G27" s="82">
        <v>0</v>
      </c>
      <c r="H27" s="82">
        <f t="shared" si="12"/>
        <v>0</v>
      </c>
      <c r="I27" s="133"/>
      <c r="J27" s="82" t="str">
        <f t="shared" si="13"/>
        <v>F</v>
      </c>
      <c r="K27" s="82">
        <v>0</v>
      </c>
      <c r="L27" s="82">
        <v>0</v>
      </c>
      <c r="M27" s="82">
        <f t="shared" si="14"/>
        <v>0</v>
      </c>
      <c r="N27" s="133"/>
      <c r="O27" s="82" t="str">
        <f t="shared" si="15"/>
        <v>F</v>
      </c>
      <c r="P27" s="82">
        <v>0</v>
      </c>
      <c r="Q27" s="133"/>
      <c r="R27" s="82" t="str">
        <f t="shared" si="16"/>
        <v>F</v>
      </c>
      <c r="S27" s="82">
        <v>0</v>
      </c>
      <c r="T27" s="133"/>
      <c r="U27" s="82" t="str">
        <f t="shared" si="17"/>
        <v>F</v>
      </c>
      <c r="V27" s="82">
        <v>0</v>
      </c>
      <c r="W27" s="133"/>
      <c r="X27" s="82" t="str">
        <f t="shared" si="18"/>
        <v>F</v>
      </c>
      <c r="Y27" s="82">
        <v>0</v>
      </c>
      <c r="Z27" s="133"/>
      <c r="AA27" s="82" t="str">
        <f t="shared" si="19"/>
        <v>F</v>
      </c>
      <c r="AB27" s="82">
        <v>0</v>
      </c>
      <c r="AC27" s="133"/>
      <c r="AD27" s="82" t="str">
        <f t="shared" si="20"/>
        <v>F</v>
      </c>
      <c r="AE27" s="82" t="str">
        <f t="shared" si="21"/>
        <v>F</v>
      </c>
      <c r="AF27" s="83" t="str">
        <f t="shared" si="22"/>
        <v>F</v>
      </c>
      <c r="AG27" s="81" t="str">
        <f t="shared" si="23"/>
        <v>NEED TO PROGRESS</v>
      </c>
      <c r="AH27" s="73">
        <f t="shared" si="11"/>
        <v>0</v>
      </c>
      <c r="AI27" s="75">
        <v>0</v>
      </c>
      <c r="AJ27" s="75"/>
      <c r="AK27" s="58">
        <f>'1st_semester'!AH27</f>
        <v>308</v>
      </c>
      <c r="AL27" s="78">
        <f>'2nd_Semester'!AH26</f>
        <v>357</v>
      </c>
      <c r="AM27" s="78">
        <f t="shared" si="24"/>
        <v>0</v>
      </c>
      <c r="AN27" s="79">
        <f t="shared" si="25"/>
        <v>221.66666666666666</v>
      </c>
      <c r="AO27" s="78"/>
      <c r="AP27" s="74"/>
    </row>
    <row r="28" spans="1:42" s="76" customFormat="1" ht="12.75">
      <c r="A28" s="71">
        <v>22</v>
      </c>
      <c r="B28" s="51">
        <v>90</v>
      </c>
      <c r="C28" s="49" t="s">
        <v>147</v>
      </c>
      <c r="D28" s="49" t="s">
        <v>148</v>
      </c>
      <c r="E28" s="49" t="s">
        <v>149</v>
      </c>
      <c r="F28" s="82">
        <v>66</v>
      </c>
      <c r="G28" s="82">
        <v>36</v>
      </c>
      <c r="H28" s="82">
        <f t="shared" si="12"/>
        <v>102</v>
      </c>
      <c r="I28" s="133"/>
      <c r="J28" s="82">
        <f t="shared" si="13"/>
        <v>3.5</v>
      </c>
      <c r="K28" s="82">
        <v>65</v>
      </c>
      <c r="L28" s="82">
        <v>70</v>
      </c>
      <c r="M28" s="82">
        <f t="shared" si="14"/>
        <v>135</v>
      </c>
      <c r="N28" s="133"/>
      <c r="O28" s="82">
        <f t="shared" si="15"/>
        <v>3.5</v>
      </c>
      <c r="P28" s="82">
        <v>58</v>
      </c>
      <c r="Q28" s="133"/>
      <c r="R28" s="82">
        <f t="shared" si="16"/>
        <v>3</v>
      </c>
      <c r="S28" s="82">
        <v>77</v>
      </c>
      <c r="T28" s="133"/>
      <c r="U28" s="82">
        <f t="shared" si="17"/>
        <v>4</v>
      </c>
      <c r="V28" s="82">
        <v>52</v>
      </c>
      <c r="W28" s="133"/>
      <c r="X28" s="82">
        <f t="shared" si="18"/>
        <v>3</v>
      </c>
      <c r="Y28" s="82">
        <v>32</v>
      </c>
      <c r="Z28" s="133"/>
      <c r="AA28" s="82">
        <f t="shared" si="19"/>
        <v>3.5</v>
      </c>
      <c r="AB28" s="82">
        <v>32</v>
      </c>
      <c r="AC28" s="133"/>
      <c r="AD28" s="82">
        <f t="shared" si="20"/>
        <v>3.5</v>
      </c>
      <c r="AE28" s="82">
        <f t="shared" si="21"/>
        <v>24</v>
      </c>
      <c r="AF28" s="83">
        <f t="shared" si="22"/>
        <v>3.4285714285714284</v>
      </c>
      <c r="AG28" s="81" t="str">
        <f t="shared" si="23"/>
        <v>GOOD</v>
      </c>
      <c r="AH28" s="73">
        <f t="shared" si="11"/>
        <v>488</v>
      </c>
      <c r="AI28" s="75">
        <v>38</v>
      </c>
      <c r="AJ28" s="75"/>
      <c r="AK28" s="58">
        <f>'1st_semester'!AH28</f>
        <v>559</v>
      </c>
      <c r="AL28" s="78">
        <f>'2nd_Semester'!AH27</f>
        <v>456</v>
      </c>
      <c r="AM28" s="78">
        <f t="shared" si="24"/>
        <v>488</v>
      </c>
      <c r="AN28" s="79">
        <f t="shared" si="25"/>
        <v>501</v>
      </c>
      <c r="AO28" s="78"/>
      <c r="AP28" s="74"/>
    </row>
    <row r="29" spans="1:42" s="76" customFormat="1" ht="12.75">
      <c r="A29" s="71">
        <v>23</v>
      </c>
      <c r="B29" s="51">
        <v>91</v>
      </c>
      <c r="C29" s="49" t="s">
        <v>150</v>
      </c>
      <c r="D29" s="49" t="s">
        <v>151</v>
      </c>
      <c r="E29" s="49" t="s">
        <v>152</v>
      </c>
      <c r="F29" s="82">
        <v>67</v>
      </c>
      <c r="G29" s="82">
        <v>38</v>
      </c>
      <c r="H29" s="82">
        <f t="shared" si="12"/>
        <v>105</v>
      </c>
      <c r="I29" s="133"/>
      <c r="J29" s="82">
        <f t="shared" si="13"/>
        <v>4</v>
      </c>
      <c r="K29" s="82">
        <v>71</v>
      </c>
      <c r="L29" s="82">
        <v>83</v>
      </c>
      <c r="M29" s="82">
        <f t="shared" si="14"/>
        <v>154</v>
      </c>
      <c r="N29" s="133"/>
      <c r="O29" s="82">
        <f t="shared" si="15"/>
        <v>4</v>
      </c>
      <c r="P29" s="82">
        <v>54</v>
      </c>
      <c r="Q29" s="133"/>
      <c r="R29" s="82">
        <f t="shared" si="16"/>
        <v>3</v>
      </c>
      <c r="S29" s="82">
        <v>75</v>
      </c>
      <c r="T29" s="133"/>
      <c r="U29" s="82">
        <f t="shared" si="17"/>
        <v>4</v>
      </c>
      <c r="V29" s="82">
        <v>50</v>
      </c>
      <c r="W29" s="133"/>
      <c r="X29" s="82">
        <f t="shared" si="18"/>
        <v>3</v>
      </c>
      <c r="Y29" s="82">
        <v>26</v>
      </c>
      <c r="Z29" s="133"/>
      <c r="AA29" s="82">
        <f t="shared" si="19"/>
        <v>3</v>
      </c>
      <c r="AB29" s="82">
        <v>31</v>
      </c>
      <c r="AC29" s="133"/>
      <c r="AD29" s="82">
        <f t="shared" si="20"/>
        <v>3.5</v>
      </c>
      <c r="AE29" s="82">
        <f t="shared" si="21"/>
        <v>24.5</v>
      </c>
      <c r="AF29" s="83">
        <f t="shared" si="22"/>
        <v>3.5</v>
      </c>
      <c r="AG29" s="81" t="str">
        <f t="shared" si="23"/>
        <v>GOOD</v>
      </c>
      <c r="AH29" s="73">
        <f t="shared" si="11"/>
        <v>495</v>
      </c>
      <c r="AI29" s="75">
        <v>44</v>
      </c>
      <c r="AJ29" s="75"/>
      <c r="AK29" s="58">
        <f>'1st_semester'!AH29</f>
        <v>343</v>
      </c>
      <c r="AL29" s="78">
        <f>'2nd_Semester'!AH28</f>
        <v>554</v>
      </c>
      <c r="AM29" s="78">
        <f t="shared" si="24"/>
        <v>495</v>
      </c>
      <c r="AN29" s="79">
        <f t="shared" si="25"/>
        <v>464</v>
      </c>
      <c r="AO29" s="78"/>
      <c r="AP29" s="74"/>
    </row>
    <row r="30" spans="1:42" s="76" customFormat="1" ht="12.75">
      <c r="A30" s="71">
        <v>24</v>
      </c>
      <c r="B30" s="51">
        <v>11</v>
      </c>
      <c r="C30" s="49" t="s">
        <v>153</v>
      </c>
      <c r="D30" s="49" t="s">
        <v>154</v>
      </c>
      <c r="E30" s="49" t="s">
        <v>155</v>
      </c>
      <c r="F30" s="82">
        <v>64</v>
      </c>
      <c r="G30" s="82">
        <v>44</v>
      </c>
      <c r="H30" s="82">
        <f t="shared" si="12"/>
        <v>108</v>
      </c>
      <c r="I30" s="133"/>
      <c r="J30" s="82">
        <f t="shared" si="13"/>
        <v>4</v>
      </c>
      <c r="K30" s="82">
        <v>78</v>
      </c>
      <c r="L30" s="82">
        <v>66</v>
      </c>
      <c r="M30" s="82">
        <f t="shared" si="14"/>
        <v>144</v>
      </c>
      <c r="N30" s="133"/>
      <c r="O30" s="82">
        <f t="shared" si="15"/>
        <v>4</v>
      </c>
      <c r="P30" s="82">
        <v>57</v>
      </c>
      <c r="Q30" s="133"/>
      <c r="R30" s="82">
        <f t="shared" si="16"/>
        <v>3</v>
      </c>
      <c r="S30" s="82">
        <v>64</v>
      </c>
      <c r="T30" s="133"/>
      <c r="U30" s="82">
        <f t="shared" si="17"/>
        <v>3.5</v>
      </c>
      <c r="V30" s="82">
        <v>58</v>
      </c>
      <c r="W30" s="133"/>
      <c r="X30" s="82">
        <f t="shared" si="18"/>
        <v>3</v>
      </c>
      <c r="Y30" s="82">
        <v>32</v>
      </c>
      <c r="Z30" s="133"/>
      <c r="AA30" s="82">
        <f t="shared" si="19"/>
        <v>3.5</v>
      </c>
      <c r="AB30" s="82">
        <v>20</v>
      </c>
      <c r="AC30" s="133"/>
      <c r="AD30" s="82">
        <f t="shared" ref="AD30:AD55" si="26">IF(AB30&lt;20,"F",IF(AB30&lt;25,2,IF(AB30&lt;30,3,IF(AB30&lt;35,3.5,IF(AB30&lt;40,4,5)))))</f>
        <v>2</v>
      </c>
      <c r="AE30" s="82">
        <f t="shared" ref="AE30:AE55" si="27">IF(J30="F","F",IF(O30="F","F",IF(R30="F","F",IF(U30="F","F",IF(X30="F","F",IF(AA30="F","F",IF(AD30="F","F",SUM(J30+O30+R30+U30+X30+AA30+AD30))))))))</f>
        <v>23</v>
      </c>
      <c r="AF30" s="83">
        <f t="shared" ref="AF30:AF55" si="28">IF(AE30="F","F", IF(AE30&gt;=35,5,IF(AE30&lt;35,AE30/7)))</f>
        <v>3.2857142857142856</v>
      </c>
      <c r="AG30" s="81" t="str">
        <f t="shared" si="23"/>
        <v>GOOD</v>
      </c>
      <c r="AH30" s="73">
        <f t="shared" si="11"/>
        <v>483</v>
      </c>
      <c r="AI30" s="75">
        <v>22</v>
      </c>
      <c r="AJ30" s="75"/>
      <c r="AK30" s="58">
        <f>'1st_semester'!AH30</f>
        <v>612</v>
      </c>
      <c r="AL30" s="78">
        <f>'2nd_Semester'!AH29</f>
        <v>548</v>
      </c>
      <c r="AM30" s="78">
        <f t="shared" si="24"/>
        <v>483</v>
      </c>
      <c r="AN30" s="79">
        <f t="shared" si="25"/>
        <v>547.66666666666663</v>
      </c>
      <c r="AO30" s="78"/>
      <c r="AP30" s="74"/>
    </row>
    <row r="31" spans="1:42" s="76" customFormat="1" ht="12.75">
      <c r="A31" s="71">
        <v>25</v>
      </c>
      <c r="B31" s="51">
        <v>17</v>
      </c>
      <c r="C31" s="48" t="s">
        <v>156</v>
      </c>
      <c r="D31" s="48" t="s">
        <v>157</v>
      </c>
      <c r="E31" s="48" t="s">
        <v>158</v>
      </c>
      <c r="F31" s="82">
        <v>79</v>
      </c>
      <c r="G31" s="82">
        <v>45</v>
      </c>
      <c r="H31" s="82">
        <f t="shared" si="12"/>
        <v>124</v>
      </c>
      <c r="I31" s="133"/>
      <c r="J31" s="82">
        <f t="shared" si="13"/>
        <v>5</v>
      </c>
      <c r="K31" s="82">
        <v>84</v>
      </c>
      <c r="L31" s="82">
        <v>78</v>
      </c>
      <c r="M31" s="82">
        <f t="shared" ref="M31:M59" si="29">K31+L31</f>
        <v>162</v>
      </c>
      <c r="N31" s="133"/>
      <c r="O31" s="82">
        <f t="shared" si="15"/>
        <v>5</v>
      </c>
      <c r="P31" s="82">
        <v>70</v>
      </c>
      <c r="Q31" s="133"/>
      <c r="R31" s="82">
        <f t="shared" ref="R31:R59" si="30">IF(P31&lt;40,"F",IF(P31&lt;50,2,IF(P31&lt;60,3,IF(P31&lt;70,3.5,IF(P31&lt;80,4,5)))))</f>
        <v>4</v>
      </c>
      <c r="S31" s="82">
        <v>91</v>
      </c>
      <c r="T31" s="133"/>
      <c r="U31" s="82">
        <f t="shared" ref="U31:U59" si="31">IF(S31&lt;40,"F",IF(S31&lt;50,2,IF(S31&lt;60,3,IF(S31&lt;70,3.5,IF(S31&lt;80,4,5)))))</f>
        <v>5</v>
      </c>
      <c r="V31" s="82">
        <v>87</v>
      </c>
      <c r="W31" s="133"/>
      <c r="X31" s="82">
        <f t="shared" si="18"/>
        <v>5</v>
      </c>
      <c r="Y31" s="82">
        <v>40</v>
      </c>
      <c r="Z31" s="133"/>
      <c r="AA31" s="82">
        <f t="shared" si="19"/>
        <v>5</v>
      </c>
      <c r="AB31" s="82">
        <v>28</v>
      </c>
      <c r="AC31" s="133"/>
      <c r="AD31" s="82">
        <f t="shared" si="26"/>
        <v>3</v>
      </c>
      <c r="AE31" s="82">
        <f t="shared" si="27"/>
        <v>32</v>
      </c>
      <c r="AF31" s="83">
        <f t="shared" si="28"/>
        <v>4.5714285714285712</v>
      </c>
      <c r="AG31" s="81" t="str">
        <f t="shared" si="23"/>
        <v>BETTER</v>
      </c>
      <c r="AH31" s="73">
        <f t="shared" si="11"/>
        <v>602</v>
      </c>
      <c r="AI31" s="75">
        <v>12</v>
      </c>
      <c r="AJ31" s="75"/>
      <c r="AK31" s="58">
        <f>'1st_semester'!AH31</f>
        <v>644</v>
      </c>
      <c r="AL31" s="78">
        <f>'2nd_Semester'!AH30</f>
        <v>549</v>
      </c>
      <c r="AM31" s="78">
        <f t="shared" si="24"/>
        <v>602</v>
      </c>
      <c r="AN31" s="79">
        <f t="shared" si="25"/>
        <v>598.33333333333337</v>
      </c>
      <c r="AO31" s="78"/>
      <c r="AP31" s="74"/>
    </row>
    <row r="32" spans="1:42" s="76" customFormat="1" ht="12.75">
      <c r="A32" s="71">
        <v>26</v>
      </c>
      <c r="B32" s="51">
        <v>19</v>
      </c>
      <c r="C32" s="50" t="s">
        <v>159</v>
      </c>
      <c r="D32" s="50" t="s">
        <v>160</v>
      </c>
      <c r="E32" s="50" t="s">
        <v>161</v>
      </c>
      <c r="F32" s="82">
        <v>66</v>
      </c>
      <c r="G32" s="82">
        <v>42</v>
      </c>
      <c r="H32" s="82">
        <f t="shared" si="12"/>
        <v>108</v>
      </c>
      <c r="I32" s="133"/>
      <c r="J32" s="82">
        <f t="shared" si="13"/>
        <v>4</v>
      </c>
      <c r="K32" s="82">
        <v>69</v>
      </c>
      <c r="L32" s="82">
        <v>66</v>
      </c>
      <c r="M32" s="82">
        <f t="shared" si="29"/>
        <v>135</v>
      </c>
      <c r="N32" s="133"/>
      <c r="O32" s="82">
        <f t="shared" si="15"/>
        <v>3.5</v>
      </c>
      <c r="P32" s="82">
        <v>55</v>
      </c>
      <c r="Q32" s="133"/>
      <c r="R32" s="82">
        <f t="shared" si="30"/>
        <v>3</v>
      </c>
      <c r="S32" s="82">
        <v>72</v>
      </c>
      <c r="T32" s="133"/>
      <c r="U32" s="82">
        <f t="shared" si="31"/>
        <v>4</v>
      </c>
      <c r="V32" s="82">
        <v>76</v>
      </c>
      <c r="W32" s="133"/>
      <c r="X32" s="82">
        <f t="shared" si="18"/>
        <v>4</v>
      </c>
      <c r="Y32" s="82">
        <v>34</v>
      </c>
      <c r="Z32" s="133"/>
      <c r="AA32" s="82">
        <f t="shared" si="19"/>
        <v>3.5</v>
      </c>
      <c r="AB32" s="82">
        <v>23</v>
      </c>
      <c r="AC32" s="133"/>
      <c r="AD32" s="82">
        <f t="shared" si="26"/>
        <v>2</v>
      </c>
      <c r="AE32" s="82">
        <f t="shared" si="27"/>
        <v>24</v>
      </c>
      <c r="AF32" s="83">
        <f t="shared" si="28"/>
        <v>3.4285714285714284</v>
      </c>
      <c r="AG32" s="81" t="str">
        <f t="shared" si="23"/>
        <v>GOOD</v>
      </c>
      <c r="AH32" s="73">
        <f t="shared" si="11"/>
        <v>503</v>
      </c>
      <c r="AI32" s="75">
        <v>25</v>
      </c>
      <c r="AJ32" s="75"/>
      <c r="AK32" s="58">
        <f>'1st_semester'!AH32</f>
        <v>565</v>
      </c>
      <c r="AL32" s="78">
        <f>'2nd_Semester'!AH31</f>
        <v>541</v>
      </c>
      <c r="AM32" s="78">
        <f t="shared" si="24"/>
        <v>503</v>
      </c>
      <c r="AN32" s="79">
        <f t="shared" si="25"/>
        <v>536.33333333333337</v>
      </c>
      <c r="AO32" s="78"/>
      <c r="AP32" s="74"/>
    </row>
    <row r="33" spans="1:42" s="76" customFormat="1" ht="12.75">
      <c r="A33" s="71">
        <v>27</v>
      </c>
      <c r="B33" s="51">
        <v>22</v>
      </c>
      <c r="C33" s="49" t="s">
        <v>162</v>
      </c>
      <c r="D33" s="49" t="s">
        <v>163</v>
      </c>
      <c r="E33" s="49" t="s">
        <v>164</v>
      </c>
      <c r="F33" s="82">
        <v>61</v>
      </c>
      <c r="G33" s="82">
        <v>38</v>
      </c>
      <c r="H33" s="82">
        <f t="shared" si="12"/>
        <v>99</v>
      </c>
      <c r="I33" s="133"/>
      <c r="J33" s="82">
        <f t="shared" si="13"/>
        <v>3.5</v>
      </c>
      <c r="K33" s="82">
        <v>66</v>
      </c>
      <c r="L33" s="82">
        <v>60</v>
      </c>
      <c r="M33" s="82">
        <f t="shared" si="29"/>
        <v>126</v>
      </c>
      <c r="N33" s="133"/>
      <c r="O33" s="82">
        <f t="shared" si="15"/>
        <v>3.5</v>
      </c>
      <c r="P33" s="82">
        <v>62</v>
      </c>
      <c r="Q33" s="133"/>
      <c r="R33" s="82">
        <f t="shared" si="30"/>
        <v>3.5</v>
      </c>
      <c r="S33" s="82">
        <v>75</v>
      </c>
      <c r="T33" s="133"/>
      <c r="U33" s="82">
        <f t="shared" si="31"/>
        <v>4</v>
      </c>
      <c r="V33" s="82">
        <v>70</v>
      </c>
      <c r="W33" s="133"/>
      <c r="X33" s="82">
        <f t="shared" si="18"/>
        <v>4</v>
      </c>
      <c r="Y33" s="82">
        <v>25</v>
      </c>
      <c r="Z33" s="133"/>
      <c r="AA33" s="82">
        <f t="shared" si="19"/>
        <v>3</v>
      </c>
      <c r="AB33" s="82">
        <v>26</v>
      </c>
      <c r="AC33" s="133"/>
      <c r="AD33" s="82">
        <f t="shared" si="26"/>
        <v>3</v>
      </c>
      <c r="AE33" s="82">
        <f t="shared" si="27"/>
        <v>24.5</v>
      </c>
      <c r="AF33" s="83">
        <f t="shared" si="28"/>
        <v>3.5</v>
      </c>
      <c r="AG33" s="81" t="str">
        <f t="shared" si="23"/>
        <v>GOOD</v>
      </c>
      <c r="AH33" s="73">
        <f t="shared" si="11"/>
        <v>483</v>
      </c>
      <c r="AI33" s="75">
        <v>26</v>
      </c>
      <c r="AJ33" s="75"/>
      <c r="AK33" s="58">
        <f>'1st_semester'!AH33</f>
        <v>534</v>
      </c>
      <c r="AL33" s="78">
        <f>'2nd_Semester'!AH32</f>
        <v>587</v>
      </c>
      <c r="AM33" s="78">
        <f t="shared" si="24"/>
        <v>483</v>
      </c>
      <c r="AN33" s="79">
        <f t="shared" si="25"/>
        <v>534.66666666666663</v>
      </c>
      <c r="AO33" s="78"/>
      <c r="AP33" s="74"/>
    </row>
    <row r="34" spans="1:42" s="76" customFormat="1" ht="12.75">
      <c r="A34" s="71">
        <v>28</v>
      </c>
      <c r="B34" s="51">
        <v>24</v>
      </c>
      <c r="C34" s="49" t="s">
        <v>165</v>
      </c>
      <c r="D34" s="49" t="s">
        <v>166</v>
      </c>
      <c r="E34" s="49" t="s">
        <v>167</v>
      </c>
      <c r="F34" s="82">
        <v>56</v>
      </c>
      <c r="G34" s="82">
        <v>30</v>
      </c>
      <c r="H34" s="82">
        <f t="shared" si="12"/>
        <v>86</v>
      </c>
      <c r="I34" s="133"/>
      <c r="J34" s="82">
        <f t="shared" si="13"/>
        <v>3</v>
      </c>
      <c r="K34" s="82">
        <v>54</v>
      </c>
      <c r="L34" s="82">
        <v>40</v>
      </c>
      <c r="M34" s="82">
        <f t="shared" si="29"/>
        <v>94</v>
      </c>
      <c r="N34" s="133"/>
      <c r="O34" s="82">
        <f t="shared" si="15"/>
        <v>2</v>
      </c>
      <c r="P34" s="82">
        <v>57</v>
      </c>
      <c r="Q34" s="133"/>
      <c r="R34" s="82">
        <f t="shared" si="30"/>
        <v>3</v>
      </c>
      <c r="S34" s="82">
        <v>60</v>
      </c>
      <c r="T34" s="133"/>
      <c r="U34" s="82">
        <f t="shared" si="31"/>
        <v>3.5</v>
      </c>
      <c r="V34" s="82">
        <v>64</v>
      </c>
      <c r="W34" s="133"/>
      <c r="X34" s="82">
        <f t="shared" si="18"/>
        <v>3.5</v>
      </c>
      <c r="Y34" s="82">
        <v>30</v>
      </c>
      <c r="Z34" s="133"/>
      <c r="AA34" s="82">
        <f t="shared" si="19"/>
        <v>3.5</v>
      </c>
      <c r="AB34" s="82">
        <v>23</v>
      </c>
      <c r="AC34" s="133"/>
      <c r="AD34" s="82">
        <f t="shared" si="26"/>
        <v>2</v>
      </c>
      <c r="AE34" s="82">
        <f t="shared" si="27"/>
        <v>20.5</v>
      </c>
      <c r="AF34" s="83">
        <f t="shared" si="28"/>
        <v>2.9285714285714284</v>
      </c>
      <c r="AG34" s="81" t="str">
        <f t="shared" si="23"/>
        <v>GOOD</v>
      </c>
      <c r="AH34" s="73">
        <f t="shared" si="11"/>
        <v>414</v>
      </c>
      <c r="AI34" s="75">
        <v>45</v>
      </c>
      <c r="AJ34" s="75"/>
      <c r="AK34" s="58">
        <f>'1st_semester'!AH34</f>
        <v>431</v>
      </c>
      <c r="AL34" s="78">
        <f>'2nd_Semester'!AH33</f>
        <v>536</v>
      </c>
      <c r="AM34" s="78">
        <f t="shared" si="24"/>
        <v>414</v>
      </c>
      <c r="AN34" s="79">
        <f t="shared" si="25"/>
        <v>460.33333333333331</v>
      </c>
      <c r="AO34" s="78"/>
      <c r="AP34" s="74"/>
    </row>
    <row r="35" spans="1:42" s="76" customFormat="1" ht="12.75">
      <c r="A35" s="71">
        <v>29</v>
      </c>
      <c r="B35" s="51">
        <v>25</v>
      </c>
      <c r="C35" s="49" t="s">
        <v>168</v>
      </c>
      <c r="D35" s="49" t="s">
        <v>169</v>
      </c>
      <c r="E35" s="49" t="s">
        <v>170</v>
      </c>
      <c r="F35" s="82">
        <v>48</v>
      </c>
      <c r="G35" s="82">
        <v>40</v>
      </c>
      <c r="H35" s="82">
        <f t="shared" si="12"/>
        <v>88</v>
      </c>
      <c r="I35" s="133"/>
      <c r="J35" s="82">
        <f t="shared" si="13"/>
        <v>3</v>
      </c>
      <c r="K35" s="82">
        <v>76</v>
      </c>
      <c r="L35" s="82">
        <v>57</v>
      </c>
      <c r="M35" s="82">
        <f t="shared" si="29"/>
        <v>133</v>
      </c>
      <c r="N35" s="133"/>
      <c r="O35" s="82">
        <f t="shared" si="15"/>
        <v>3.5</v>
      </c>
      <c r="P35" s="82">
        <v>43</v>
      </c>
      <c r="Q35" s="133"/>
      <c r="R35" s="82">
        <f t="shared" si="30"/>
        <v>2</v>
      </c>
      <c r="S35" s="82">
        <v>55</v>
      </c>
      <c r="T35" s="133"/>
      <c r="U35" s="82">
        <f t="shared" si="31"/>
        <v>3</v>
      </c>
      <c r="V35" s="82">
        <v>57</v>
      </c>
      <c r="W35" s="133"/>
      <c r="X35" s="82">
        <f t="shared" si="18"/>
        <v>3</v>
      </c>
      <c r="Y35" s="82">
        <v>33</v>
      </c>
      <c r="Z35" s="133"/>
      <c r="AA35" s="82">
        <f t="shared" si="19"/>
        <v>3.5</v>
      </c>
      <c r="AB35" s="82">
        <v>24</v>
      </c>
      <c r="AC35" s="133"/>
      <c r="AD35" s="82">
        <f t="shared" si="26"/>
        <v>2</v>
      </c>
      <c r="AE35" s="82">
        <f t="shared" si="27"/>
        <v>20</v>
      </c>
      <c r="AF35" s="83">
        <f t="shared" si="28"/>
        <v>2.8571428571428572</v>
      </c>
      <c r="AG35" s="81" t="str">
        <f t="shared" si="23"/>
        <v>GOOD</v>
      </c>
      <c r="AH35" s="73">
        <f t="shared" si="11"/>
        <v>433</v>
      </c>
      <c r="AI35" s="75">
        <v>42</v>
      </c>
      <c r="AJ35" s="75"/>
      <c r="AK35" s="58">
        <f>'1st_semester'!AH35</f>
        <v>540</v>
      </c>
      <c r="AL35" s="78">
        <f>'2nd_Semester'!AH34</f>
        <v>446</v>
      </c>
      <c r="AM35" s="78">
        <f t="shared" si="24"/>
        <v>433</v>
      </c>
      <c r="AN35" s="79">
        <f t="shared" si="25"/>
        <v>473</v>
      </c>
      <c r="AO35" s="78"/>
      <c r="AP35" s="74"/>
    </row>
    <row r="36" spans="1:42" s="76" customFormat="1" ht="12.75">
      <c r="A36" s="71">
        <v>30</v>
      </c>
      <c r="B36" s="51">
        <v>30</v>
      </c>
      <c r="C36" s="49" t="s">
        <v>171</v>
      </c>
      <c r="D36" s="49" t="s">
        <v>172</v>
      </c>
      <c r="E36" s="49" t="s">
        <v>173</v>
      </c>
      <c r="F36" s="82">
        <v>64</v>
      </c>
      <c r="G36" s="82">
        <v>28</v>
      </c>
      <c r="H36" s="82">
        <f t="shared" si="12"/>
        <v>92</v>
      </c>
      <c r="I36" s="133"/>
      <c r="J36" s="82">
        <f t="shared" si="13"/>
        <v>3.5</v>
      </c>
      <c r="K36" s="82">
        <v>69</v>
      </c>
      <c r="L36" s="82">
        <v>63</v>
      </c>
      <c r="M36" s="82">
        <f t="shared" si="29"/>
        <v>132</v>
      </c>
      <c r="N36" s="133"/>
      <c r="O36" s="82">
        <f t="shared" si="15"/>
        <v>3.5</v>
      </c>
      <c r="P36" s="82">
        <v>74</v>
      </c>
      <c r="Q36" s="133"/>
      <c r="R36" s="82">
        <f t="shared" si="30"/>
        <v>4</v>
      </c>
      <c r="S36" s="82">
        <v>61</v>
      </c>
      <c r="T36" s="133"/>
      <c r="U36" s="82">
        <f t="shared" si="31"/>
        <v>3.5</v>
      </c>
      <c r="V36" s="82">
        <v>68</v>
      </c>
      <c r="W36" s="133"/>
      <c r="X36" s="82">
        <f t="shared" si="18"/>
        <v>3.5</v>
      </c>
      <c r="Y36" s="82">
        <v>29</v>
      </c>
      <c r="Z36" s="133"/>
      <c r="AA36" s="82">
        <f t="shared" si="19"/>
        <v>3</v>
      </c>
      <c r="AB36" s="82">
        <v>30</v>
      </c>
      <c r="AC36" s="133"/>
      <c r="AD36" s="82">
        <f t="shared" si="26"/>
        <v>3.5</v>
      </c>
      <c r="AE36" s="82">
        <f t="shared" si="27"/>
        <v>24.5</v>
      </c>
      <c r="AF36" s="83">
        <f t="shared" si="28"/>
        <v>3.5</v>
      </c>
      <c r="AG36" s="81" t="str">
        <f t="shared" si="23"/>
        <v>GOOD</v>
      </c>
      <c r="AH36" s="73">
        <f t="shared" si="11"/>
        <v>486</v>
      </c>
      <c r="AI36" s="75">
        <v>41</v>
      </c>
      <c r="AJ36" s="75"/>
      <c r="AK36" s="58">
        <f>'1st_semester'!AH36</f>
        <v>479</v>
      </c>
      <c r="AL36" s="78">
        <f>'2nd_Semester'!AH35</f>
        <v>494</v>
      </c>
      <c r="AM36" s="78">
        <f t="shared" si="24"/>
        <v>486</v>
      </c>
      <c r="AN36" s="79">
        <f t="shared" si="25"/>
        <v>486.33333333333331</v>
      </c>
      <c r="AO36" s="78"/>
      <c r="AP36" s="74"/>
    </row>
    <row r="37" spans="1:42" s="76" customFormat="1" ht="12.75">
      <c r="A37" s="71">
        <v>31</v>
      </c>
      <c r="B37" s="51">
        <v>32</v>
      </c>
      <c r="C37" s="49" t="s">
        <v>174</v>
      </c>
      <c r="D37" s="49" t="s">
        <v>175</v>
      </c>
      <c r="E37" s="49" t="s">
        <v>176</v>
      </c>
      <c r="F37" s="82">
        <v>49</v>
      </c>
      <c r="G37" s="82">
        <v>36</v>
      </c>
      <c r="H37" s="82">
        <f t="shared" si="12"/>
        <v>85</v>
      </c>
      <c r="I37" s="133"/>
      <c r="J37" s="82">
        <f t="shared" si="13"/>
        <v>3</v>
      </c>
      <c r="K37" s="82">
        <v>58</v>
      </c>
      <c r="L37" s="82">
        <v>75</v>
      </c>
      <c r="M37" s="82">
        <f t="shared" si="29"/>
        <v>133</v>
      </c>
      <c r="N37" s="133"/>
      <c r="O37" s="82">
        <f t="shared" si="15"/>
        <v>3.5</v>
      </c>
      <c r="P37" s="82">
        <v>86</v>
      </c>
      <c r="Q37" s="133"/>
      <c r="R37" s="82">
        <f t="shared" si="30"/>
        <v>5</v>
      </c>
      <c r="S37" s="82">
        <v>67</v>
      </c>
      <c r="T37" s="133"/>
      <c r="U37" s="82">
        <f t="shared" si="31"/>
        <v>3.5</v>
      </c>
      <c r="V37" s="82">
        <v>54</v>
      </c>
      <c r="W37" s="133"/>
      <c r="X37" s="82">
        <f t="shared" si="18"/>
        <v>3</v>
      </c>
      <c r="Y37" s="82">
        <v>34</v>
      </c>
      <c r="Z37" s="133"/>
      <c r="AA37" s="82">
        <f t="shared" si="19"/>
        <v>3.5</v>
      </c>
      <c r="AB37" s="82">
        <v>30</v>
      </c>
      <c r="AC37" s="133"/>
      <c r="AD37" s="82">
        <f t="shared" si="26"/>
        <v>3.5</v>
      </c>
      <c r="AE37" s="82">
        <f t="shared" si="27"/>
        <v>25</v>
      </c>
      <c r="AF37" s="83">
        <f t="shared" si="28"/>
        <v>3.5714285714285716</v>
      </c>
      <c r="AG37" s="81" t="str">
        <f t="shared" si="23"/>
        <v>GOOD</v>
      </c>
      <c r="AH37" s="73">
        <f t="shared" si="11"/>
        <v>489</v>
      </c>
      <c r="AI37" s="75">
        <v>35</v>
      </c>
      <c r="AJ37" s="75"/>
      <c r="AK37" s="58">
        <f>'1st_semester'!AH37</f>
        <v>482</v>
      </c>
      <c r="AL37" s="78">
        <f>'2nd_Semester'!AH36</f>
        <v>573</v>
      </c>
      <c r="AM37" s="78">
        <f t="shared" si="24"/>
        <v>489</v>
      </c>
      <c r="AN37" s="79">
        <f t="shared" si="25"/>
        <v>514.66666666666663</v>
      </c>
      <c r="AO37" s="78"/>
      <c r="AP37" s="74"/>
    </row>
    <row r="38" spans="1:42" s="76" customFormat="1" ht="12.75">
      <c r="A38" s="71">
        <v>32</v>
      </c>
      <c r="B38" s="51">
        <v>34</v>
      </c>
      <c r="C38" s="48" t="s">
        <v>177</v>
      </c>
      <c r="D38" s="48" t="s">
        <v>178</v>
      </c>
      <c r="E38" s="48" t="s">
        <v>179</v>
      </c>
      <c r="F38" s="82">
        <v>71</v>
      </c>
      <c r="G38" s="82">
        <v>27</v>
      </c>
      <c r="H38" s="82">
        <f t="shared" si="12"/>
        <v>98</v>
      </c>
      <c r="I38" s="133"/>
      <c r="J38" s="82">
        <f t="shared" si="13"/>
        <v>3.5</v>
      </c>
      <c r="K38" s="82">
        <v>67</v>
      </c>
      <c r="L38" s="82">
        <v>46</v>
      </c>
      <c r="M38" s="82">
        <f t="shared" si="29"/>
        <v>113</v>
      </c>
      <c r="N38" s="133"/>
      <c r="O38" s="82">
        <f t="shared" si="15"/>
        <v>3</v>
      </c>
      <c r="P38" s="82">
        <v>56</v>
      </c>
      <c r="Q38" s="133"/>
      <c r="R38" s="82">
        <f t="shared" si="30"/>
        <v>3</v>
      </c>
      <c r="S38" s="82">
        <v>62</v>
      </c>
      <c r="T38" s="133"/>
      <c r="U38" s="82">
        <f t="shared" si="31"/>
        <v>3.5</v>
      </c>
      <c r="V38" s="82">
        <v>68</v>
      </c>
      <c r="W38" s="133"/>
      <c r="X38" s="82">
        <f t="shared" si="18"/>
        <v>3.5</v>
      </c>
      <c r="Y38" s="82">
        <v>26</v>
      </c>
      <c r="Z38" s="133"/>
      <c r="AA38" s="82">
        <f t="shared" si="19"/>
        <v>3</v>
      </c>
      <c r="AB38" s="82">
        <v>29</v>
      </c>
      <c r="AC38" s="133"/>
      <c r="AD38" s="82">
        <f t="shared" si="26"/>
        <v>3</v>
      </c>
      <c r="AE38" s="82">
        <f t="shared" si="27"/>
        <v>22.5</v>
      </c>
      <c r="AF38" s="83">
        <f t="shared" si="28"/>
        <v>3.2142857142857144</v>
      </c>
      <c r="AG38" s="81" t="str">
        <f t="shared" si="23"/>
        <v>GOOD</v>
      </c>
      <c r="AH38" s="73">
        <f t="shared" si="11"/>
        <v>452</v>
      </c>
      <c r="AI38" s="75">
        <v>43</v>
      </c>
      <c r="AJ38" s="75"/>
      <c r="AK38" s="58">
        <f>'1st_semester'!AH38</f>
        <v>508</v>
      </c>
      <c r="AL38" s="78">
        <f>'2nd_Semester'!AH37</f>
        <v>448</v>
      </c>
      <c r="AM38" s="78">
        <f t="shared" si="24"/>
        <v>452</v>
      </c>
      <c r="AN38" s="79">
        <f t="shared" si="25"/>
        <v>469.33333333333331</v>
      </c>
      <c r="AO38" s="78"/>
      <c r="AP38" s="74"/>
    </row>
    <row r="39" spans="1:42" s="76" customFormat="1" ht="12.75">
      <c r="A39" s="71">
        <v>33</v>
      </c>
      <c r="B39" s="51">
        <v>35</v>
      </c>
      <c r="C39" s="48" t="s">
        <v>180</v>
      </c>
      <c r="D39" s="48" t="s">
        <v>181</v>
      </c>
      <c r="E39" s="48" t="s">
        <v>182</v>
      </c>
      <c r="F39" s="82">
        <v>57</v>
      </c>
      <c r="G39" s="82">
        <v>41</v>
      </c>
      <c r="H39" s="82">
        <f t="shared" si="12"/>
        <v>98</v>
      </c>
      <c r="I39" s="133"/>
      <c r="J39" s="82">
        <f t="shared" si="13"/>
        <v>3.5</v>
      </c>
      <c r="K39" s="82">
        <v>85</v>
      </c>
      <c r="L39" s="82">
        <v>68</v>
      </c>
      <c r="M39" s="82">
        <f t="shared" si="29"/>
        <v>153</v>
      </c>
      <c r="N39" s="133"/>
      <c r="O39" s="82">
        <f t="shared" si="15"/>
        <v>4</v>
      </c>
      <c r="P39" s="82">
        <v>55</v>
      </c>
      <c r="Q39" s="133"/>
      <c r="R39" s="82">
        <f t="shared" si="30"/>
        <v>3</v>
      </c>
      <c r="S39" s="82">
        <v>48</v>
      </c>
      <c r="T39" s="133"/>
      <c r="U39" s="82">
        <f t="shared" si="31"/>
        <v>2</v>
      </c>
      <c r="V39" s="82">
        <v>50</v>
      </c>
      <c r="W39" s="133"/>
      <c r="X39" s="82">
        <f t="shared" si="18"/>
        <v>3</v>
      </c>
      <c r="Y39" s="82">
        <v>23</v>
      </c>
      <c r="Z39" s="133"/>
      <c r="AA39" s="82">
        <f t="shared" si="19"/>
        <v>2</v>
      </c>
      <c r="AB39" s="82">
        <v>24</v>
      </c>
      <c r="AC39" s="133"/>
      <c r="AD39" s="82">
        <f t="shared" si="26"/>
        <v>2</v>
      </c>
      <c r="AE39" s="82">
        <f t="shared" si="27"/>
        <v>19.5</v>
      </c>
      <c r="AF39" s="83">
        <f t="shared" si="28"/>
        <v>2.7857142857142856</v>
      </c>
      <c r="AG39" s="81" t="str">
        <f t="shared" si="23"/>
        <v>GOOD</v>
      </c>
      <c r="AH39" s="73">
        <f t="shared" si="11"/>
        <v>451</v>
      </c>
      <c r="AI39" s="75">
        <v>31</v>
      </c>
      <c r="AJ39" s="75"/>
      <c r="AK39" s="58">
        <f>'1st_semester'!AH39</f>
        <v>592</v>
      </c>
      <c r="AL39" s="78">
        <f>'2nd_Semester'!AH38</f>
        <v>520</v>
      </c>
      <c r="AM39" s="78">
        <f t="shared" si="24"/>
        <v>451</v>
      </c>
      <c r="AN39" s="79">
        <f t="shared" si="25"/>
        <v>521</v>
      </c>
      <c r="AO39" s="78"/>
      <c r="AP39" s="74"/>
    </row>
    <row r="40" spans="1:42" s="76" customFormat="1" ht="12.75">
      <c r="A40" s="71">
        <v>34</v>
      </c>
      <c r="B40" s="51">
        <v>40</v>
      </c>
      <c r="C40" s="49" t="s">
        <v>183</v>
      </c>
      <c r="D40" s="49" t="s">
        <v>184</v>
      </c>
      <c r="E40" s="49" t="s">
        <v>185</v>
      </c>
      <c r="F40" s="82">
        <v>40</v>
      </c>
      <c r="G40" s="82">
        <v>20</v>
      </c>
      <c r="H40" s="82">
        <f t="shared" si="12"/>
        <v>60</v>
      </c>
      <c r="I40" s="133"/>
      <c r="J40" s="82">
        <f t="shared" si="13"/>
        <v>2</v>
      </c>
      <c r="K40" s="82">
        <v>40</v>
      </c>
      <c r="L40" s="82">
        <v>40</v>
      </c>
      <c r="M40" s="82">
        <f t="shared" si="29"/>
        <v>80</v>
      </c>
      <c r="N40" s="133"/>
      <c r="O40" s="82">
        <f t="shared" si="15"/>
        <v>2</v>
      </c>
      <c r="P40" s="82">
        <v>58</v>
      </c>
      <c r="Q40" s="133"/>
      <c r="R40" s="82">
        <f t="shared" si="30"/>
        <v>3</v>
      </c>
      <c r="S40" s="82">
        <v>40</v>
      </c>
      <c r="T40" s="133"/>
      <c r="U40" s="82">
        <f t="shared" si="31"/>
        <v>2</v>
      </c>
      <c r="V40" s="82">
        <v>40</v>
      </c>
      <c r="W40" s="133"/>
      <c r="X40" s="82">
        <f t="shared" si="18"/>
        <v>2</v>
      </c>
      <c r="Y40" s="82">
        <v>21</v>
      </c>
      <c r="Z40" s="133"/>
      <c r="AA40" s="82">
        <f t="shared" si="19"/>
        <v>2</v>
      </c>
      <c r="AB40" s="82">
        <v>20</v>
      </c>
      <c r="AC40" s="133"/>
      <c r="AD40" s="82">
        <f t="shared" si="26"/>
        <v>2</v>
      </c>
      <c r="AE40" s="82">
        <f t="shared" si="27"/>
        <v>15</v>
      </c>
      <c r="AF40" s="83">
        <f t="shared" si="28"/>
        <v>2.1428571428571428</v>
      </c>
      <c r="AG40" s="81" t="str">
        <f t="shared" si="23"/>
        <v>GOOD</v>
      </c>
      <c r="AH40" s="73">
        <f t="shared" si="11"/>
        <v>319</v>
      </c>
      <c r="AI40" s="75">
        <v>55</v>
      </c>
      <c r="AJ40" s="75"/>
      <c r="AK40" s="58">
        <f>'1st_semester'!AH40</f>
        <v>427</v>
      </c>
      <c r="AL40" s="78">
        <f>'2nd_Semester'!AH39</f>
        <v>376</v>
      </c>
      <c r="AM40" s="78">
        <f t="shared" si="24"/>
        <v>319</v>
      </c>
      <c r="AN40" s="79">
        <f t="shared" si="25"/>
        <v>374</v>
      </c>
      <c r="AO40" s="78"/>
      <c r="AP40" s="74"/>
    </row>
    <row r="41" spans="1:42" s="76" customFormat="1" ht="12.75">
      <c r="A41" s="71">
        <v>35</v>
      </c>
      <c r="B41" s="51">
        <v>41</v>
      </c>
      <c r="C41" s="48" t="s">
        <v>186</v>
      </c>
      <c r="D41" s="48" t="s">
        <v>187</v>
      </c>
      <c r="E41" s="48" t="s">
        <v>188</v>
      </c>
      <c r="F41" s="82">
        <v>59</v>
      </c>
      <c r="G41" s="82">
        <v>20</v>
      </c>
      <c r="H41" s="82">
        <f t="shared" si="12"/>
        <v>79</v>
      </c>
      <c r="I41" s="133"/>
      <c r="J41" s="82">
        <f t="shared" si="13"/>
        <v>3</v>
      </c>
      <c r="K41" s="82">
        <v>56</v>
      </c>
      <c r="L41" s="82">
        <v>84</v>
      </c>
      <c r="M41" s="82">
        <f t="shared" si="29"/>
        <v>140</v>
      </c>
      <c r="N41" s="133"/>
      <c r="O41" s="82">
        <f t="shared" si="15"/>
        <v>4</v>
      </c>
      <c r="P41" s="82">
        <v>62</v>
      </c>
      <c r="Q41" s="133"/>
      <c r="R41" s="82">
        <f t="shared" si="30"/>
        <v>3.5</v>
      </c>
      <c r="S41" s="82">
        <v>70</v>
      </c>
      <c r="T41" s="133"/>
      <c r="U41" s="82">
        <f t="shared" si="31"/>
        <v>4</v>
      </c>
      <c r="V41" s="82">
        <v>71</v>
      </c>
      <c r="W41" s="133"/>
      <c r="X41" s="82">
        <f t="shared" si="18"/>
        <v>4</v>
      </c>
      <c r="Y41" s="82">
        <v>34</v>
      </c>
      <c r="Z41" s="133"/>
      <c r="AA41" s="82">
        <f t="shared" si="19"/>
        <v>3.5</v>
      </c>
      <c r="AB41" s="82">
        <v>24</v>
      </c>
      <c r="AC41" s="133"/>
      <c r="AD41" s="82">
        <f t="shared" si="26"/>
        <v>2</v>
      </c>
      <c r="AE41" s="82">
        <f t="shared" si="27"/>
        <v>24</v>
      </c>
      <c r="AF41" s="83">
        <f t="shared" si="28"/>
        <v>3.4285714285714284</v>
      </c>
      <c r="AG41" s="81" t="str">
        <f t="shared" si="23"/>
        <v>GOOD</v>
      </c>
      <c r="AH41" s="73">
        <f t="shared" si="11"/>
        <v>480</v>
      </c>
      <c r="AI41" s="75">
        <v>47</v>
      </c>
      <c r="AJ41" s="75"/>
      <c r="AK41" s="58">
        <f>'1st_semester'!AH41</f>
        <v>461</v>
      </c>
      <c r="AL41" s="78">
        <f>'2nd_Semester'!AH40</f>
        <v>406</v>
      </c>
      <c r="AM41" s="78">
        <f t="shared" si="24"/>
        <v>480</v>
      </c>
      <c r="AN41" s="79">
        <f t="shared" si="25"/>
        <v>449</v>
      </c>
      <c r="AO41" s="78"/>
      <c r="AP41" s="74"/>
    </row>
    <row r="42" spans="1:42" s="76" customFormat="1" ht="12.75">
      <c r="A42" s="71">
        <v>36</v>
      </c>
      <c r="B42" s="51">
        <v>44</v>
      </c>
      <c r="C42" s="48" t="s">
        <v>189</v>
      </c>
      <c r="D42" s="48" t="s">
        <v>190</v>
      </c>
      <c r="E42" s="48" t="s">
        <v>191</v>
      </c>
      <c r="F42" s="82">
        <v>71</v>
      </c>
      <c r="G42" s="82">
        <v>20</v>
      </c>
      <c r="H42" s="82">
        <f t="shared" si="12"/>
        <v>91</v>
      </c>
      <c r="I42" s="133"/>
      <c r="J42" s="82">
        <f t="shared" si="13"/>
        <v>3.5</v>
      </c>
      <c r="K42" s="82">
        <v>63</v>
      </c>
      <c r="L42" s="82">
        <v>45</v>
      </c>
      <c r="M42" s="82">
        <f t="shared" si="29"/>
        <v>108</v>
      </c>
      <c r="N42" s="133"/>
      <c r="O42" s="82">
        <f t="shared" si="15"/>
        <v>3</v>
      </c>
      <c r="P42" s="82">
        <v>56</v>
      </c>
      <c r="Q42" s="133"/>
      <c r="R42" s="82">
        <f t="shared" si="30"/>
        <v>3</v>
      </c>
      <c r="S42" s="82">
        <v>56</v>
      </c>
      <c r="T42" s="133"/>
      <c r="U42" s="82">
        <f t="shared" si="31"/>
        <v>3</v>
      </c>
      <c r="V42" s="82">
        <v>70</v>
      </c>
      <c r="W42" s="133"/>
      <c r="X42" s="82">
        <f t="shared" si="18"/>
        <v>4</v>
      </c>
      <c r="Y42" s="82">
        <v>28</v>
      </c>
      <c r="Z42" s="133"/>
      <c r="AA42" s="82">
        <f t="shared" si="19"/>
        <v>3</v>
      </c>
      <c r="AB42" s="82">
        <v>31</v>
      </c>
      <c r="AC42" s="133"/>
      <c r="AD42" s="82">
        <f t="shared" si="26"/>
        <v>3.5</v>
      </c>
      <c r="AE42" s="82">
        <f t="shared" si="27"/>
        <v>23</v>
      </c>
      <c r="AF42" s="83">
        <f t="shared" si="28"/>
        <v>3.2857142857142856</v>
      </c>
      <c r="AG42" s="81" t="str">
        <f t="shared" si="23"/>
        <v>GOOD</v>
      </c>
      <c r="AH42" s="73">
        <f t="shared" si="11"/>
        <v>440</v>
      </c>
      <c r="AI42" s="75">
        <v>56</v>
      </c>
      <c r="AJ42" s="75"/>
      <c r="AK42" s="58">
        <f>'1st_semester'!AH42</f>
        <v>297</v>
      </c>
      <c r="AL42" s="78">
        <f>'2nd_Semester'!AH41</f>
        <v>377</v>
      </c>
      <c r="AM42" s="78">
        <f t="shared" si="24"/>
        <v>440</v>
      </c>
      <c r="AN42" s="79">
        <f t="shared" si="25"/>
        <v>371.33333333333331</v>
      </c>
      <c r="AO42" s="78"/>
      <c r="AP42" s="74"/>
    </row>
    <row r="43" spans="1:42" s="76" customFormat="1" ht="12.75">
      <c r="A43" s="71">
        <v>37</v>
      </c>
      <c r="B43" s="51">
        <v>45</v>
      </c>
      <c r="C43" s="48" t="s">
        <v>192</v>
      </c>
      <c r="D43" s="48" t="s">
        <v>193</v>
      </c>
      <c r="E43" s="48" t="s">
        <v>194</v>
      </c>
      <c r="F43" s="82">
        <v>46</v>
      </c>
      <c r="G43" s="82">
        <v>20</v>
      </c>
      <c r="H43" s="82">
        <f t="shared" si="12"/>
        <v>66</v>
      </c>
      <c r="I43" s="133"/>
      <c r="J43" s="82">
        <f t="shared" si="13"/>
        <v>2</v>
      </c>
      <c r="K43" s="82">
        <v>40</v>
      </c>
      <c r="L43" s="82">
        <v>40</v>
      </c>
      <c r="M43" s="82">
        <f t="shared" si="29"/>
        <v>80</v>
      </c>
      <c r="N43" s="133"/>
      <c r="O43" s="82">
        <f t="shared" si="15"/>
        <v>2</v>
      </c>
      <c r="P43" s="82">
        <v>40</v>
      </c>
      <c r="Q43" s="133"/>
      <c r="R43" s="82">
        <f t="shared" si="30"/>
        <v>2</v>
      </c>
      <c r="S43" s="82">
        <v>40</v>
      </c>
      <c r="T43" s="133"/>
      <c r="U43" s="82">
        <f t="shared" si="31"/>
        <v>2</v>
      </c>
      <c r="V43" s="82">
        <v>53</v>
      </c>
      <c r="W43" s="133"/>
      <c r="X43" s="82">
        <f t="shared" si="18"/>
        <v>3</v>
      </c>
      <c r="Y43" s="82">
        <v>21</v>
      </c>
      <c r="Z43" s="133"/>
      <c r="AA43" s="82">
        <f t="shared" si="19"/>
        <v>2</v>
      </c>
      <c r="AB43" s="82">
        <v>30</v>
      </c>
      <c r="AC43" s="133"/>
      <c r="AD43" s="82">
        <f t="shared" si="26"/>
        <v>3.5</v>
      </c>
      <c r="AE43" s="82">
        <f t="shared" si="27"/>
        <v>16.5</v>
      </c>
      <c r="AF43" s="83">
        <f t="shared" si="28"/>
        <v>2.3571428571428572</v>
      </c>
      <c r="AG43" s="81" t="str">
        <f t="shared" si="23"/>
        <v>GOOD</v>
      </c>
      <c r="AH43" s="73">
        <f t="shared" si="11"/>
        <v>330</v>
      </c>
      <c r="AI43" s="75">
        <v>62</v>
      </c>
      <c r="AJ43" s="75"/>
      <c r="AK43" s="58">
        <f>'1st_semester'!AH43</f>
        <v>313</v>
      </c>
      <c r="AL43" s="78">
        <f>'2nd_Semester'!AH42</f>
        <v>298</v>
      </c>
      <c r="AM43" s="78">
        <f t="shared" si="24"/>
        <v>330</v>
      </c>
      <c r="AN43" s="79">
        <f t="shared" si="25"/>
        <v>313.66666666666669</v>
      </c>
      <c r="AO43" s="78"/>
      <c r="AP43" s="74"/>
    </row>
    <row r="44" spans="1:42" s="76" customFormat="1" ht="12.75">
      <c r="A44" s="71">
        <v>38</v>
      </c>
      <c r="B44" s="51">
        <v>46</v>
      </c>
      <c r="C44" s="48" t="s">
        <v>195</v>
      </c>
      <c r="D44" s="48" t="s">
        <v>196</v>
      </c>
      <c r="E44" s="48" t="s">
        <v>197</v>
      </c>
      <c r="F44" s="82">
        <v>51</v>
      </c>
      <c r="G44" s="82">
        <v>22</v>
      </c>
      <c r="H44" s="82">
        <f t="shared" si="12"/>
        <v>73</v>
      </c>
      <c r="I44" s="133"/>
      <c r="J44" s="82">
        <f t="shared" si="13"/>
        <v>2</v>
      </c>
      <c r="K44" s="82">
        <v>40</v>
      </c>
      <c r="L44" s="82">
        <v>40</v>
      </c>
      <c r="M44" s="82">
        <f t="shared" si="29"/>
        <v>80</v>
      </c>
      <c r="N44" s="133"/>
      <c r="O44" s="82">
        <f t="shared" si="15"/>
        <v>2</v>
      </c>
      <c r="P44" s="82">
        <v>58</v>
      </c>
      <c r="Q44" s="133"/>
      <c r="R44" s="82">
        <f t="shared" si="30"/>
        <v>3</v>
      </c>
      <c r="S44" s="82">
        <v>58</v>
      </c>
      <c r="T44" s="133"/>
      <c r="U44" s="82">
        <f t="shared" si="31"/>
        <v>3</v>
      </c>
      <c r="V44" s="82">
        <v>57</v>
      </c>
      <c r="W44" s="133"/>
      <c r="X44" s="82">
        <f t="shared" si="18"/>
        <v>3</v>
      </c>
      <c r="Y44" s="82">
        <v>22</v>
      </c>
      <c r="Z44" s="133"/>
      <c r="AA44" s="82">
        <f t="shared" si="19"/>
        <v>2</v>
      </c>
      <c r="AB44" s="82">
        <v>26</v>
      </c>
      <c r="AC44" s="133"/>
      <c r="AD44" s="82">
        <f t="shared" si="26"/>
        <v>3</v>
      </c>
      <c r="AE44" s="82">
        <f t="shared" si="27"/>
        <v>18</v>
      </c>
      <c r="AF44" s="83">
        <f t="shared" si="28"/>
        <v>2.5714285714285716</v>
      </c>
      <c r="AG44" s="81" t="str">
        <f t="shared" si="23"/>
        <v>GOOD</v>
      </c>
      <c r="AH44" s="73">
        <f t="shared" si="11"/>
        <v>374</v>
      </c>
      <c r="AI44" s="75">
        <v>60</v>
      </c>
      <c r="AJ44" s="75"/>
      <c r="AK44" s="58">
        <f>'1st_semester'!AH44</f>
        <v>274</v>
      </c>
      <c r="AL44" s="78">
        <f>'2nd_Semester'!AH43</f>
        <v>406</v>
      </c>
      <c r="AM44" s="78">
        <f t="shared" si="24"/>
        <v>374</v>
      </c>
      <c r="AN44" s="79">
        <f t="shared" si="25"/>
        <v>351.33333333333331</v>
      </c>
      <c r="AO44" s="78"/>
      <c r="AP44" s="74"/>
    </row>
    <row r="45" spans="1:42" s="76" customFormat="1" ht="12.75">
      <c r="A45" s="71">
        <v>39</v>
      </c>
      <c r="B45" s="51">
        <v>48</v>
      </c>
      <c r="C45" s="48" t="s">
        <v>198</v>
      </c>
      <c r="D45" s="48" t="s">
        <v>199</v>
      </c>
      <c r="E45" s="48" t="s">
        <v>200</v>
      </c>
      <c r="F45" s="82">
        <v>42</v>
      </c>
      <c r="G45" s="82">
        <v>26</v>
      </c>
      <c r="H45" s="82">
        <f t="shared" si="12"/>
        <v>68</v>
      </c>
      <c r="I45" s="133"/>
      <c r="J45" s="82">
        <f t="shared" si="13"/>
        <v>2</v>
      </c>
      <c r="K45" s="82">
        <v>40</v>
      </c>
      <c r="L45" s="82">
        <v>40</v>
      </c>
      <c r="M45" s="82">
        <f t="shared" si="29"/>
        <v>80</v>
      </c>
      <c r="N45" s="133"/>
      <c r="O45" s="82">
        <f t="shared" si="15"/>
        <v>2</v>
      </c>
      <c r="P45" s="82">
        <v>70</v>
      </c>
      <c r="Q45" s="133"/>
      <c r="R45" s="82">
        <f t="shared" si="30"/>
        <v>4</v>
      </c>
      <c r="S45" s="82">
        <v>67</v>
      </c>
      <c r="T45" s="133"/>
      <c r="U45" s="82">
        <f t="shared" si="31"/>
        <v>3.5</v>
      </c>
      <c r="V45" s="82">
        <v>43</v>
      </c>
      <c r="W45" s="133"/>
      <c r="X45" s="82">
        <f t="shared" si="18"/>
        <v>2</v>
      </c>
      <c r="Y45" s="82">
        <v>24</v>
      </c>
      <c r="Z45" s="133"/>
      <c r="AA45" s="82">
        <f t="shared" si="19"/>
        <v>2</v>
      </c>
      <c r="AB45" s="82">
        <v>21</v>
      </c>
      <c r="AC45" s="133"/>
      <c r="AD45" s="82">
        <f t="shared" si="26"/>
        <v>2</v>
      </c>
      <c r="AE45" s="82">
        <f t="shared" si="27"/>
        <v>17.5</v>
      </c>
      <c r="AF45" s="83">
        <f t="shared" si="28"/>
        <v>2.5</v>
      </c>
      <c r="AG45" s="81" t="str">
        <f t="shared" si="23"/>
        <v>GOOD</v>
      </c>
      <c r="AH45" s="73">
        <f t="shared" si="11"/>
        <v>373</v>
      </c>
      <c r="AI45" s="75">
        <v>53</v>
      </c>
      <c r="AJ45" s="75"/>
      <c r="AK45" s="58">
        <f>'1st_semester'!AH45</f>
        <v>326</v>
      </c>
      <c r="AL45" s="78">
        <f>'2nd_Semester'!AH44</f>
        <v>461</v>
      </c>
      <c r="AM45" s="78">
        <f t="shared" si="24"/>
        <v>373</v>
      </c>
      <c r="AN45" s="79">
        <f t="shared" si="25"/>
        <v>386.66666666666669</v>
      </c>
      <c r="AO45" s="78"/>
      <c r="AP45" s="74"/>
    </row>
    <row r="46" spans="1:42" s="76" customFormat="1" ht="12.75">
      <c r="A46" s="71">
        <v>40</v>
      </c>
      <c r="B46" s="52">
        <v>52</v>
      </c>
      <c r="C46" s="49" t="s">
        <v>201</v>
      </c>
      <c r="D46" s="49" t="s">
        <v>202</v>
      </c>
      <c r="E46" s="49" t="s">
        <v>203</v>
      </c>
      <c r="F46" s="82">
        <v>57</v>
      </c>
      <c r="G46" s="82">
        <v>28</v>
      </c>
      <c r="H46" s="82">
        <f t="shared" si="12"/>
        <v>85</v>
      </c>
      <c r="I46" s="133"/>
      <c r="J46" s="82">
        <f t="shared" si="13"/>
        <v>3</v>
      </c>
      <c r="K46" s="82">
        <v>43</v>
      </c>
      <c r="L46" s="82">
        <v>40</v>
      </c>
      <c r="M46" s="82">
        <f t="shared" si="29"/>
        <v>83</v>
      </c>
      <c r="N46" s="133"/>
      <c r="O46" s="82">
        <f t="shared" si="15"/>
        <v>2</v>
      </c>
      <c r="P46" s="82">
        <v>63</v>
      </c>
      <c r="Q46" s="133"/>
      <c r="R46" s="82">
        <f t="shared" si="30"/>
        <v>3.5</v>
      </c>
      <c r="S46" s="82">
        <v>63</v>
      </c>
      <c r="T46" s="133"/>
      <c r="U46" s="82">
        <f t="shared" si="31"/>
        <v>3.5</v>
      </c>
      <c r="V46" s="82">
        <v>56</v>
      </c>
      <c r="W46" s="133"/>
      <c r="X46" s="82">
        <f t="shared" si="18"/>
        <v>3</v>
      </c>
      <c r="Y46" s="82">
        <v>34</v>
      </c>
      <c r="Z46" s="133"/>
      <c r="AA46" s="82">
        <f t="shared" si="19"/>
        <v>3.5</v>
      </c>
      <c r="AB46" s="82">
        <v>25</v>
      </c>
      <c r="AC46" s="133"/>
      <c r="AD46" s="82">
        <f t="shared" si="26"/>
        <v>3</v>
      </c>
      <c r="AE46" s="82">
        <f t="shared" si="27"/>
        <v>21.5</v>
      </c>
      <c r="AF46" s="83">
        <f t="shared" si="28"/>
        <v>3.0714285714285716</v>
      </c>
      <c r="AG46" s="81" t="str">
        <f t="shared" si="23"/>
        <v>GOOD</v>
      </c>
      <c r="AH46" s="73">
        <f t="shared" si="11"/>
        <v>409</v>
      </c>
      <c r="AI46" s="75">
        <v>54</v>
      </c>
      <c r="AJ46" s="75"/>
      <c r="AK46" s="58">
        <f>'1st_semester'!AH46</f>
        <v>316</v>
      </c>
      <c r="AL46" s="78">
        <f>'2nd_Semester'!AH45</f>
        <v>405</v>
      </c>
      <c r="AM46" s="78">
        <f t="shared" si="24"/>
        <v>409</v>
      </c>
      <c r="AN46" s="79">
        <f t="shared" si="25"/>
        <v>376.66666666666669</v>
      </c>
      <c r="AO46" s="78"/>
      <c r="AP46" s="74"/>
    </row>
    <row r="47" spans="1:42" s="76" customFormat="1" ht="12.75">
      <c r="A47" s="71">
        <v>41</v>
      </c>
      <c r="B47" s="52">
        <v>59</v>
      </c>
      <c r="C47" s="49" t="s">
        <v>204</v>
      </c>
      <c r="D47" s="49" t="s">
        <v>205</v>
      </c>
      <c r="E47" s="49" t="s">
        <v>206</v>
      </c>
      <c r="F47" s="82">
        <v>56</v>
      </c>
      <c r="G47" s="82">
        <v>32</v>
      </c>
      <c r="H47" s="82">
        <f t="shared" si="12"/>
        <v>88</v>
      </c>
      <c r="I47" s="133"/>
      <c r="J47" s="82">
        <f t="shared" si="13"/>
        <v>3</v>
      </c>
      <c r="K47" s="82">
        <v>40</v>
      </c>
      <c r="L47" s="82">
        <v>40</v>
      </c>
      <c r="M47" s="82">
        <f t="shared" si="29"/>
        <v>80</v>
      </c>
      <c r="N47" s="133"/>
      <c r="O47" s="82">
        <f t="shared" si="15"/>
        <v>2</v>
      </c>
      <c r="P47" s="82">
        <v>70</v>
      </c>
      <c r="Q47" s="133"/>
      <c r="R47" s="82">
        <f t="shared" si="30"/>
        <v>4</v>
      </c>
      <c r="S47" s="82">
        <v>60</v>
      </c>
      <c r="T47" s="133"/>
      <c r="U47" s="82">
        <f t="shared" si="31"/>
        <v>3.5</v>
      </c>
      <c r="V47" s="82">
        <v>70</v>
      </c>
      <c r="W47" s="133"/>
      <c r="X47" s="82">
        <f t="shared" si="18"/>
        <v>4</v>
      </c>
      <c r="Y47" s="82">
        <v>21</v>
      </c>
      <c r="Z47" s="133"/>
      <c r="AA47" s="82">
        <f t="shared" si="19"/>
        <v>2</v>
      </c>
      <c r="AB47" s="82">
        <v>28</v>
      </c>
      <c r="AC47" s="133"/>
      <c r="AD47" s="82">
        <f t="shared" si="26"/>
        <v>3</v>
      </c>
      <c r="AE47" s="82">
        <f t="shared" si="27"/>
        <v>21.5</v>
      </c>
      <c r="AF47" s="83">
        <f t="shared" si="28"/>
        <v>3.0714285714285716</v>
      </c>
      <c r="AG47" s="81" t="str">
        <f t="shared" si="23"/>
        <v>GOOD</v>
      </c>
      <c r="AH47" s="73">
        <f t="shared" si="11"/>
        <v>417</v>
      </c>
      <c r="AI47" s="75">
        <v>52</v>
      </c>
      <c r="AJ47" s="75"/>
      <c r="AK47" s="58">
        <f>'1st_semester'!AH47</f>
        <v>332</v>
      </c>
      <c r="AL47" s="78">
        <f>'2nd_Semester'!AH46</f>
        <v>437</v>
      </c>
      <c r="AM47" s="78">
        <f t="shared" si="24"/>
        <v>417</v>
      </c>
      <c r="AN47" s="79">
        <f t="shared" si="25"/>
        <v>395.33333333333331</v>
      </c>
      <c r="AO47" s="78"/>
      <c r="AP47" s="74"/>
    </row>
    <row r="48" spans="1:42" s="76" customFormat="1" ht="12.75">
      <c r="A48" s="71">
        <v>42</v>
      </c>
      <c r="B48" s="52">
        <v>61</v>
      </c>
      <c r="C48" s="49" t="s">
        <v>207</v>
      </c>
      <c r="D48" s="49" t="s">
        <v>208</v>
      </c>
      <c r="E48" s="49" t="s">
        <v>209</v>
      </c>
      <c r="F48" s="82">
        <v>51</v>
      </c>
      <c r="G48" s="82">
        <v>21</v>
      </c>
      <c r="H48" s="82">
        <f t="shared" si="12"/>
        <v>72</v>
      </c>
      <c r="I48" s="133"/>
      <c r="J48" s="82">
        <f t="shared" si="13"/>
        <v>2</v>
      </c>
      <c r="K48" s="82">
        <v>42</v>
      </c>
      <c r="L48" s="82">
        <v>40</v>
      </c>
      <c r="M48" s="82">
        <f t="shared" si="29"/>
        <v>82</v>
      </c>
      <c r="N48" s="133"/>
      <c r="O48" s="82">
        <f t="shared" si="15"/>
        <v>2</v>
      </c>
      <c r="P48" s="82">
        <v>63</v>
      </c>
      <c r="Q48" s="133"/>
      <c r="R48" s="82">
        <f t="shared" si="30"/>
        <v>3.5</v>
      </c>
      <c r="S48" s="82">
        <v>42</v>
      </c>
      <c r="T48" s="133"/>
      <c r="U48" s="82">
        <f t="shared" si="31"/>
        <v>2</v>
      </c>
      <c r="V48" s="82">
        <v>40</v>
      </c>
      <c r="W48" s="133"/>
      <c r="X48" s="82">
        <f t="shared" si="18"/>
        <v>2</v>
      </c>
      <c r="Y48" s="82">
        <v>24</v>
      </c>
      <c r="Z48" s="133"/>
      <c r="AA48" s="82">
        <f t="shared" si="19"/>
        <v>2</v>
      </c>
      <c r="AB48" s="82">
        <v>20</v>
      </c>
      <c r="AC48" s="133"/>
      <c r="AD48" s="82">
        <f t="shared" si="26"/>
        <v>2</v>
      </c>
      <c r="AE48" s="82">
        <f t="shared" si="27"/>
        <v>15.5</v>
      </c>
      <c r="AF48" s="83">
        <f t="shared" si="28"/>
        <v>2.2142857142857144</v>
      </c>
      <c r="AG48" s="81" t="str">
        <f t="shared" si="23"/>
        <v>GOOD</v>
      </c>
      <c r="AH48" s="73">
        <f t="shared" si="11"/>
        <v>343</v>
      </c>
      <c r="AI48" s="75">
        <v>57</v>
      </c>
      <c r="AJ48" s="75"/>
      <c r="AK48" s="58">
        <f>'1st_semester'!AH48</f>
        <v>340</v>
      </c>
      <c r="AL48" s="78">
        <f>'2nd_Semester'!AH47</f>
        <v>418</v>
      </c>
      <c r="AM48" s="78">
        <f t="shared" si="24"/>
        <v>343</v>
      </c>
      <c r="AN48" s="79">
        <f t="shared" si="25"/>
        <v>367</v>
      </c>
      <c r="AO48" s="78"/>
      <c r="AP48" s="74"/>
    </row>
    <row r="49" spans="1:42" s="76" customFormat="1" ht="12.75">
      <c r="A49" s="71">
        <v>43</v>
      </c>
      <c r="B49" s="52">
        <v>62</v>
      </c>
      <c r="C49" s="49" t="s">
        <v>210</v>
      </c>
      <c r="D49" s="49" t="s">
        <v>211</v>
      </c>
      <c r="E49" s="49" t="s">
        <v>212</v>
      </c>
      <c r="F49" s="82">
        <v>54</v>
      </c>
      <c r="G49" s="82">
        <v>26</v>
      </c>
      <c r="H49" s="82">
        <f t="shared" si="12"/>
        <v>80</v>
      </c>
      <c r="I49" s="133"/>
      <c r="J49" s="82">
        <f t="shared" si="13"/>
        <v>3</v>
      </c>
      <c r="K49" s="82">
        <v>40</v>
      </c>
      <c r="L49" s="82">
        <v>40</v>
      </c>
      <c r="M49" s="82">
        <f t="shared" si="29"/>
        <v>80</v>
      </c>
      <c r="N49" s="133"/>
      <c r="O49" s="82">
        <f t="shared" si="15"/>
        <v>2</v>
      </c>
      <c r="P49" s="82">
        <v>42</v>
      </c>
      <c r="Q49" s="133"/>
      <c r="R49" s="82">
        <f t="shared" si="30"/>
        <v>2</v>
      </c>
      <c r="S49" s="82">
        <v>40</v>
      </c>
      <c r="T49" s="133"/>
      <c r="U49" s="82">
        <f t="shared" si="31"/>
        <v>2</v>
      </c>
      <c r="V49" s="82">
        <v>50</v>
      </c>
      <c r="W49" s="133"/>
      <c r="X49" s="82">
        <f t="shared" si="18"/>
        <v>3</v>
      </c>
      <c r="Y49" s="82">
        <v>21</v>
      </c>
      <c r="Z49" s="133"/>
      <c r="AA49" s="82">
        <f t="shared" si="19"/>
        <v>2</v>
      </c>
      <c r="AB49" s="82">
        <v>20</v>
      </c>
      <c r="AC49" s="133"/>
      <c r="AD49" s="82">
        <f t="shared" si="26"/>
        <v>2</v>
      </c>
      <c r="AE49" s="82">
        <f t="shared" si="27"/>
        <v>16</v>
      </c>
      <c r="AF49" s="83">
        <f t="shared" si="28"/>
        <v>2.2857142857142856</v>
      </c>
      <c r="AG49" s="81" t="str">
        <f t="shared" si="23"/>
        <v>GOOD</v>
      </c>
      <c r="AH49" s="73">
        <f t="shared" si="11"/>
        <v>333</v>
      </c>
      <c r="AI49" s="75">
        <v>58</v>
      </c>
      <c r="AJ49" s="75"/>
      <c r="AK49" s="58">
        <f>'1st_semester'!AH49</f>
        <v>380</v>
      </c>
      <c r="AL49" s="78">
        <f>'2nd_Semester'!AH48</f>
        <v>388</v>
      </c>
      <c r="AM49" s="78">
        <f t="shared" si="24"/>
        <v>333</v>
      </c>
      <c r="AN49" s="79">
        <f t="shared" si="25"/>
        <v>367</v>
      </c>
      <c r="AO49" s="78"/>
      <c r="AP49" s="74"/>
    </row>
    <row r="50" spans="1:42" s="76" customFormat="1" ht="12.75">
      <c r="A50" s="71">
        <v>44</v>
      </c>
      <c r="B50" s="52">
        <v>65</v>
      </c>
      <c r="C50" s="49" t="s">
        <v>213</v>
      </c>
      <c r="D50" s="49" t="s">
        <v>214</v>
      </c>
      <c r="E50" s="49" t="s">
        <v>215</v>
      </c>
      <c r="F50" s="82">
        <v>71</v>
      </c>
      <c r="G50" s="82">
        <v>35</v>
      </c>
      <c r="H50" s="82">
        <f t="shared" si="12"/>
        <v>106</v>
      </c>
      <c r="I50" s="133"/>
      <c r="J50" s="82">
        <f t="shared" si="13"/>
        <v>4</v>
      </c>
      <c r="K50" s="82">
        <v>63</v>
      </c>
      <c r="L50" s="82">
        <v>61</v>
      </c>
      <c r="M50" s="82">
        <f t="shared" si="29"/>
        <v>124</v>
      </c>
      <c r="N50" s="133"/>
      <c r="O50" s="82">
        <f t="shared" si="15"/>
        <v>3.5</v>
      </c>
      <c r="P50" s="82">
        <v>72</v>
      </c>
      <c r="Q50" s="133"/>
      <c r="R50" s="82">
        <f t="shared" si="30"/>
        <v>4</v>
      </c>
      <c r="S50" s="82">
        <v>65</v>
      </c>
      <c r="T50" s="133"/>
      <c r="U50" s="82">
        <f t="shared" si="31"/>
        <v>3.5</v>
      </c>
      <c r="V50" s="82">
        <v>70</v>
      </c>
      <c r="W50" s="133"/>
      <c r="X50" s="82">
        <f t="shared" si="18"/>
        <v>4</v>
      </c>
      <c r="Y50" s="82">
        <v>36</v>
      </c>
      <c r="Z50" s="133"/>
      <c r="AA50" s="82">
        <f t="shared" si="19"/>
        <v>4</v>
      </c>
      <c r="AB50" s="82">
        <v>32</v>
      </c>
      <c r="AC50" s="133"/>
      <c r="AD50" s="82">
        <f t="shared" si="26"/>
        <v>3.5</v>
      </c>
      <c r="AE50" s="82">
        <f t="shared" si="27"/>
        <v>26.5</v>
      </c>
      <c r="AF50" s="83">
        <f t="shared" si="28"/>
        <v>3.7857142857142856</v>
      </c>
      <c r="AG50" s="81" t="str">
        <f t="shared" si="23"/>
        <v>GOOD</v>
      </c>
      <c r="AH50" s="73">
        <f t="shared" si="11"/>
        <v>505</v>
      </c>
      <c r="AI50" s="75">
        <v>37</v>
      </c>
      <c r="AJ50" s="75"/>
      <c r="AK50" s="58">
        <f>'1st_semester'!AH50</f>
        <v>514</v>
      </c>
      <c r="AL50" s="78">
        <f>'2nd_Semester'!AH49</f>
        <v>492</v>
      </c>
      <c r="AM50" s="78">
        <f t="shared" si="24"/>
        <v>505</v>
      </c>
      <c r="AN50" s="79">
        <f t="shared" si="25"/>
        <v>503.66666666666669</v>
      </c>
      <c r="AO50" s="78"/>
      <c r="AP50" s="74"/>
    </row>
    <row r="51" spans="1:42" s="76" customFormat="1" ht="12.75">
      <c r="A51" s="71">
        <v>45</v>
      </c>
      <c r="B51" s="52">
        <v>66</v>
      </c>
      <c r="C51" s="49" t="s">
        <v>216</v>
      </c>
      <c r="D51" s="49" t="s">
        <v>217</v>
      </c>
      <c r="E51" s="49" t="s">
        <v>218</v>
      </c>
      <c r="F51" s="82">
        <v>46</v>
      </c>
      <c r="G51" s="82">
        <v>36</v>
      </c>
      <c r="H51" s="82">
        <f t="shared" si="12"/>
        <v>82</v>
      </c>
      <c r="I51" s="133"/>
      <c r="J51" s="82">
        <f t="shared" si="13"/>
        <v>3</v>
      </c>
      <c r="K51" s="82">
        <v>43</v>
      </c>
      <c r="L51" s="82">
        <v>40</v>
      </c>
      <c r="M51" s="82">
        <f t="shared" si="29"/>
        <v>83</v>
      </c>
      <c r="N51" s="133"/>
      <c r="O51" s="82">
        <f t="shared" si="15"/>
        <v>2</v>
      </c>
      <c r="P51" s="82">
        <v>44</v>
      </c>
      <c r="Q51" s="133"/>
      <c r="R51" s="82">
        <f t="shared" si="30"/>
        <v>2</v>
      </c>
      <c r="S51" s="82">
        <v>40</v>
      </c>
      <c r="T51" s="133"/>
      <c r="U51" s="82">
        <f t="shared" si="31"/>
        <v>2</v>
      </c>
      <c r="V51" s="82">
        <v>74</v>
      </c>
      <c r="W51" s="133"/>
      <c r="X51" s="82">
        <f t="shared" si="18"/>
        <v>4</v>
      </c>
      <c r="Y51" s="82">
        <v>34</v>
      </c>
      <c r="Z51" s="133"/>
      <c r="AA51" s="82">
        <f t="shared" si="19"/>
        <v>3.5</v>
      </c>
      <c r="AB51" s="82">
        <v>20</v>
      </c>
      <c r="AC51" s="133"/>
      <c r="AD51" s="82">
        <f t="shared" si="26"/>
        <v>2</v>
      </c>
      <c r="AE51" s="82">
        <f t="shared" si="27"/>
        <v>18.5</v>
      </c>
      <c r="AF51" s="83">
        <f t="shared" si="28"/>
        <v>2.6428571428571428</v>
      </c>
      <c r="AG51" s="81" t="str">
        <f t="shared" si="23"/>
        <v>GOOD</v>
      </c>
      <c r="AH51" s="73">
        <f t="shared" si="11"/>
        <v>377</v>
      </c>
      <c r="AI51" s="75">
        <v>48</v>
      </c>
      <c r="AJ51" s="75"/>
      <c r="AK51" s="58">
        <f>'1st_semester'!AH51</f>
        <v>578</v>
      </c>
      <c r="AL51" s="78">
        <f>'2nd_Semester'!AH50</f>
        <v>392</v>
      </c>
      <c r="AM51" s="78">
        <f t="shared" si="24"/>
        <v>377</v>
      </c>
      <c r="AN51" s="79">
        <f t="shared" si="25"/>
        <v>449</v>
      </c>
      <c r="AO51" s="78"/>
      <c r="AP51" s="74"/>
    </row>
    <row r="52" spans="1:42" s="76" customFormat="1" ht="12.75">
      <c r="A52" s="71">
        <v>46</v>
      </c>
      <c r="B52" s="52">
        <v>69</v>
      </c>
      <c r="C52" s="49" t="s">
        <v>219</v>
      </c>
      <c r="D52" s="49" t="s">
        <v>220</v>
      </c>
      <c r="E52" s="49" t="s">
        <v>221</v>
      </c>
      <c r="F52" s="82">
        <v>78</v>
      </c>
      <c r="G52" s="82">
        <v>36</v>
      </c>
      <c r="H52" s="82">
        <f t="shared" si="12"/>
        <v>114</v>
      </c>
      <c r="I52" s="133"/>
      <c r="J52" s="82">
        <f t="shared" si="13"/>
        <v>4</v>
      </c>
      <c r="K52" s="82">
        <v>46</v>
      </c>
      <c r="L52" s="82">
        <v>71</v>
      </c>
      <c r="M52" s="82">
        <f t="shared" si="29"/>
        <v>117</v>
      </c>
      <c r="N52" s="133"/>
      <c r="O52" s="82">
        <f t="shared" si="15"/>
        <v>3</v>
      </c>
      <c r="P52" s="82">
        <v>87</v>
      </c>
      <c r="Q52" s="133"/>
      <c r="R52" s="82">
        <f t="shared" si="30"/>
        <v>5</v>
      </c>
      <c r="S52" s="82">
        <v>74</v>
      </c>
      <c r="T52" s="133"/>
      <c r="U52" s="82">
        <f t="shared" si="31"/>
        <v>4</v>
      </c>
      <c r="V52" s="82">
        <v>72</v>
      </c>
      <c r="W52" s="133"/>
      <c r="X52" s="82">
        <f t="shared" si="18"/>
        <v>4</v>
      </c>
      <c r="Y52" s="82">
        <v>41</v>
      </c>
      <c r="Z52" s="133"/>
      <c r="AA52" s="82">
        <f t="shared" si="19"/>
        <v>5</v>
      </c>
      <c r="AB52" s="82">
        <v>30</v>
      </c>
      <c r="AC52" s="133"/>
      <c r="AD52" s="82">
        <f t="shared" si="26"/>
        <v>3.5</v>
      </c>
      <c r="AE52" s="82">
        <f t="shared" si="27"/>
        <v>28.5</v>
      </c>
      <c r="AF52" s="83">
        <f t="shared" si="28"/>
        <v>4.0714285714285712</v>
      </c>
      <c r="AG52" s="81" t="str">
        <f t="shared" si="23"/>
        <v>BETTER</v>
      </c>
      <c r="AH52" s="73">
        <f t="shared" si="11"/>
        <v>535</v>
      </c>
      <c r="AI52" s="75">
        <v>29</v>
      </c>
      <c r="AJ52" s="75"/>
      <c r="AK52" s="58">
        <f>'1st_semester'!AH52</f>
        <v>500</v>
      </c>
      <c r="AL52" s="78">
        <f>'2nd_Semester'!AH51</f>
        <v>558</v>
      </c>
      <c r="AM52" s="78">
        <f t="shared" si="24"/>
        <v>535</v>
      </c>
      <c r="AN52" s="79">
        <f t="shared" si="25"/>
        <v>531</v>
      </c>
      <c r="AO52" s="78"/>
      <c r="AP52" s="74"/>
    </row>
    <row r="53" spans="1:42" s="76" customFormat="1" ht="12.75">
      <c r="A53" s="71">
        <v>47</v>
      </c>
      <c r="B53" s="52">
        <v>70</v>
      </c>
      <c r="C53" s="49" t="s">
        <v>222</v>
      </c>
      <c r="D53" s="49" t="s">
        <v>223</v>
      </c>
      <c r="E53" s="49" t="s">
        <v>224</v>
      </c>
      <c r="F53" s="82">
        <v>0</v>
      </c>
      <c r="G53" s="82">
        <v>0</v>
      </c>
      <c r="H53" s="82">
        <f t="shared" si="12"/>
        <v>0</v>
      </c>
      <c r="I53" s="133"/>
      <c r="J53" s="82" t="str">
        <f t="shared" si="13"/>
        <v>F</v>
      </c>
      <c r="K53" s="82">
        <v>0</v>
      </c>
      <c r="L53" s="82">
        <v>0</v>
      </c>
      <c r="M53" s="82">
        <f t="shared" si="29"/>
        <v>0</v>
      </c>
      <c r="N53" s="133"/>
      <c r="O53" s="82" t="str">
        <f t="shared" si="15"/>
        <v>F</v>
      </c>
      <c r="P53" s="82">
        <v>0</v>
      </c>
      <c r="Q53" s="133"/>
      <c r="R53" s="82" t="str">
        <f t="shared" si="30"/>
        <v>F</v>
      </c>
      <c r="S53" s="82">
        <v>0</v>
      </c>
      <c r="T53" s="133"/>
      <c r="U53" s="82" t="str">
        <f t="shared" si="31"/>
        <v>F</v>
      </c>
      <c r="V53" s="82">
        <v>0</v>
      </c>
      <c r="W53" s="133"/>
      <c r="X53" s="82" t="str">
        <f t="shared" si="18"/>
        <v>F</v>
      </c>
      <c r="Y53" s="82">
        <v>0</v>
      </c>
      <c r="Z53" s="133"/>
      <c r="AA53" s="82" t="str">
        <f t="shared" si="19"/>
        <v>F</v>
      </c>
      <c r="AB53" s="82">
        <v>0</v>
      </c>
      <c r="AC53" s="133"/>
      <c r="AD53" s="82" t="str">
        <f t="shared" si="26"/>
        <v>F</v>
      </c>
      <c r="AE53" s="82" t="str">
        <f t="shared" si="27"/>
        <v>F</v>
      </c>
      <c r="AF53" s="83" t="str">
        <f t="shared" si="28"/>
        <v>F</v>
      </c>
      <c r="AG53" s="81" t="str">
        <f t="shared" si="23"/>
        <v>NEED TO PROGRESS</v>
      </c>
      <c r="AH53" s="73">
        <f t="shared" si="11"/>
        <v>0</v>
      </c>
      <c r="AI53" s="75">
        <v>0</v>
      </c>
      <c r="AJ53" s="75"/>
      <c r="AK53" s="58">
        <f>'1st_semester'!AH53</f>
        <v>348</v>
      </c>
      <c r="AL53" s="78">
        <f>'2nd_Semester'!AH52</f>
        <v>69</v>
      </c>
      <c r="AM53" s="78">
        <f t="shared" si="24"/>
        <v>0</v>
      </c>
      <c r="AN53" s="79">
        <f t="shared" si="25"/>
        <v>139</v>
      </c>
      <c r="AO53" s="78"/>
      <c r="AP53" s="74"/>
    </row>
    <row r="54" spans="1:42" s="76" customFormat="1" ht="12.75">
      <c r="A54" s="71">
        <v>48</v>
      </c>
      <c r="B54" s="52">
        <v>71</v>
      </c>
      <c r="C54" s="49" t="s">
        <v>225</v>
      </c>
      <c r="D54" s="49" t="s">
        <v>226</v>
      </c>
      <c r="E54" s="49" t="s">
        <v>227</v>
      </c>
      <c r="F54" s="82">
        <v>81</v>
      </c>
      <c r="G54" s="82">
        <v>44</v>
      </c>
      <c r="H54" s="82">
        <f t="shared" si="12"/>
        <v>125</v>
      </c>
      <c r="I54" s="133"/>
      <c r="J54" s="82">
        <f t="shared" si="13"/>
        <v>5</v>
      </c>
      <c r="K54" s="82">
        <v>73</v>
      </c>
      <c r="L54" s="82">
        <v>73</v>
      </c>
      <c r="M54" s="82">
        <f t="shared" si="29"/>
        <v>146</v>
      </c>
      <c r="N54" s="133"/>
      <c r="O54" s="82">
        <f t="shared" si="15"/>
        <v>4</v>
      </c>
      <c r="P54" s="82">
        <v>44</v>
      </c>
      <c r="Q54" s="133"/>
      <c r="R54" s="82">
        <f t="shared" si="30"/>
        <v>2</v>
      </c>
      <c r="S54" s="82">
        <v>52</v>
      </c>
      <c r="T54" s="133"/>
      <c r="U54" s="82">
        <f t="shared" si="31"/>
        <v>3</v>
      </c>
      <c r="V54" s="82">
        <v>71</v>
      </c>
      <c r="W54" s="133"/>
      <c r="X54" s="82">
        <f t="shared" si="18"/>
        <v>4</v>
      </c>
      <c r="Y54" s="82">
        <v>37</v>
      </c>
      <c r="Z54" s="133"/>
      <c r="AA54" s="82">
        <f t="shared" si="19"/>
        <v>4</v>
      </c>
      <c r="AB54" s="82">
        <v>25</v>
      </c>
      <c r="AC54" s="133"/>
      <c r="AD54" s="82">
        <f t="shared" si="26"/>
        <v>3</v>
      </c>
      <c r="AE54" s="82">
        <f t="shared" si="27"/>
        <v>25</v>
      </c>
      <c r="AF54" s="83">
        <f t="shared" si="28"/>
        <v>3.5714285714285716</v>
      </c>
      <c r="AG54" s="81" t="str">
        <f t="shared" si="23"/>
        <v>GOOD</v>
      </c>
      <c r="AH54" s="73">
        <f t="shared" si="11"/>
        <v>500</v>
      </c>
      <c r="AI54" s="75">
        <v>32</v>
      </c>
      <c r="AJ54" s="75"/>
      <c r="AK54" s="58">
        <f>'1st_semester'!AH54</f>
        <v>560</v>
      </c>
      <c r="AL54" s="78">
        <f>'2nd_Semester'!AH53</f>
        <v>504</v>
      </c>
      <c r="AM54" s="78">
        <f t="shared" si="24"/>
        <v>500</v>
      </c>
      <c r="AN54" s="79">
        <f t="shared" si="25"/>
        <v>521.33333333333337</v>
      </c>
      <c r="AO54" s="78"/>
      <c r="AP54" s="74"/>
    </row>
    <row r="55" spans="1:42" s="76" customFormat="1" ht="12.75">
      <c r="A55" s="71">
        <v>49</v>
      </c>
      <c r="B55" s="52">
        <v>73</v>
      </c>
      <c r="C55" s="49" t="s">
        <v>228</v>
      </c>
      <c r="D55" s="49" t="s">
        <v>229</v>
      </c>
      <c r="E55" s="49" t="s">
        <v>230</v>
      </c>
      <c r="F55" s="82">
        <v>57</v>
      </c>
      <c r="G55" s="82">
        <v>20</v>
      </c>
      <c r="H55" s="82">
        <f t="shared" si="12"/>
        <v>77</v>
      </c>
      <c r="I55" s="133"/>
      <c r="J55" s="82">
        <f t="shared" si="13"/>
        <v>3</v>
      </c>
      <c r="K55" s="82">
        <v>40</v>
      </c>
      <c r="L55" s="82">
        <v>42</v>
      </c>
      <c r="M55" s="82">
        <f t="shared" si="29"/>
        <v>82</v>
      </c>
      <c r="N55" s="133"/>
      <c r="O55" s="82">
        <f t="shared" si="15"/>
        <v>2</v>
      </c>
      <c r="P55" s="82">
        <v>44</v>
      </c>
      <c r="Q55" s="133"/>
      <c r="R55" s="82">
        <f t="shared" si="30"/>
        <v>2</v>
      </c>
      <c r="S55" s="82">
        <v>40</v>
      </c>
      <c r="T55" s="133"/>
      <c r="U55" s="82">
        <f t="shared" si="31"/>
        <v>2</v>
      </c>
      <c r="V55" s="82">
        <v>40</v>
      </c>
      <c r="W55" s="133"/>
      <c r="X55" s="82">
        <f t="shared" si="18"/>
        <v>2</v>
      </c>
      <c r="Y55" s="82">
        <v>20</v>
      </c>
      <c r="Z55" s="133"/>
      <c r="AA55" s="82">
        <f t="shared" si="19"/>
        <v>2</v>
      </c>
      <c r="AB55" s="82">
        <v>20</v>
      </c>
      <c r="AC55" s="133"/>
      <c r="AD55" s="82">
        <f t="shared" si="26"/>
        <v>2</v>
      </c>
      <c r="AE55" s="82">
        <f t="shared" si="27"/>
        <v>15</v>
      </c>
      <c r="AF55" s="83">
        <f t="shared" si="28"/>
        <v>2.1428571428571428</v>
      </c>
      <c r="AG55" s="81" t="str">
        <f t="shared" si="23"/>
        <v>GOOD</v>
      </c>
      <c r="AH55" s="73">
        <f t="shared" si="11"/>
        <v>323</v>
      </c>
      <c r="AI55" s="75">
        <v>51</v>
      </c>
      <c r="AJ55" s="75"/>
      <c r="AK55" s="58">
        <f>'1st_semester'!AH55</f>
        <v>381</v>
      </c>
      <c r="AL55" s="78">
        <f>'2nd_Semester'!AH54</f>
        <v>497</v>
      </c>
      <c r="AM55" s="78">
        <f t="shared" si="24"/>
        <v>323</v>
      </c>
      <c r="AN55" s="79">
        <f t="shared" si="25"/>
        <v>400.33333333333331</v>
      </c>
      <c r="AO55" s="78"/>
      <c r="AP55" s="74"/>
    </row>
    <row r="56" spans="1:42" s="76" customFormat="1" ht="12.75">
      <c r="A56" s="71">
        <v>50</v>
      </c>
      <c r="B56" s="52">
        <v>76</v>
      </c>
      <c r="C56" s="49" t="s">
        <v>231</v>
      </c>
      <c r="D56" s="49" t="s">
        <v>232</v>
      </c>
      <c r="E56" s="49" t="s">
        <v>233</v>
      </c>
      <c r="F56" s="82">
        <v>77</v>
      </c>
      <c r="G56" s="82">
        <v>43</v>
      </c>
      <c r="H56" s="82">
        <f t="shared" si="12"/>
        <v>120</v>
      </c>
      <c r="I56" s="133"/>
      <c r="J56" s="82">
        <f t="shared" si="13"/>
        <v>5</v>
      </c>
      <c r="K56" s="82">
        <v>63</v>
      </c>
      <c r="L56" s="82">
        <v>45</v>
      </c>
      <c r="M56" s="82">
        <f t="shared" si="29"/>
        <v>108</v>
      </c>
      <c r="N56" s="133"/>
      <c r="O56" s="82">
        <f t="shared" si="15"/>
        <v>3</v>
      </c>
      <c r="P56" s="82">
        <v>56</v>
      </c>
      <c r="Q56" s="133"/>
      <c r="R56" s="82">
        <f t="shared" si="30"/>
        <v>3</v>
      </c>
      <c r="S56" s="82">
        <v>77</v>
      </c>
      <c r="T56" s="133"/>
      <c r="U56" s="82">
        <f t="shared" si="31"/>
        <v>4</v>
      </c>
      <c r="V56" s="82">
        <v>73</v>
      </c>
      <c r="W56" s="133"/>
      <c r="X56" s="82">
        <f t="shared" si="18"/>
        <v>4</v>
      </c>
      <c r="Y56" s="82">
        <v>33</v>
      </c>
      <c r="Z56" s="133"/>
      <c r="AA56" s="82">
        <f t="shared" si="19"/>
        <v>3.5</v>
      </c>
      <c r="AB56" s="82">
        <v>25</v>
      </c>
      <c r="AC56" s="133"/>
      <c r="AD56" s="82">
        <f t="shared" si="20"/>
        <v>3</v>
      </c>
      <c r="AE56" s="82">
        <f t="shared" si="21"/>
        <v>25.5</v>
      </c>
      <c r="AF56" s="83">
        <f t="shared" si="22"/>
        <v>3.6428571428571428</v>
      </c>
      <c r="AG56" s="81" t="str">
        <f t="shared" si="23"/>
        <v>GOOD</v>
      </c>
      <c r="AH56" s="73">
        <f t="shared" si="11"/>
        <v>492</v>
      </c>
      <c r="AI56" s="75">
        <v>23</v>
      </c>
      <c r="AJ56" s="75"/>
      <c r="AK56" s="58">
        <f>'1st_semester'!AH56</f>
        <v>565</v>
      </c>
      <c r="AL56" s="78">
        <f>'2nd_Semester'!AH55</f>
        <v>560</v>
      </c>
      <c r="AM56" s="78">
        <f t="shared" si="24"/>
        <v>492</v>
      </c>
      <c r="AN56" s="79">
        <f t="shared" si="25"/>
        <v>539</v>
      </c>
      <c r="AO56" s="78"/>
      <c r="AP56" s="74"/>
    </row>
    <row r="57" spans="1:42" s="76" customFormat="1" ht="12.75">
      <c r="A57" s="71">
        <v>51</v>
      </c>
      <c r="B57" s="52">
        <v>77</v>
      </c>
      <c r="C57" s="49" t="s">
        <v>234</v>
      </c>
      <c r="D57" s="49" t="s">
        <v>235</v>
      </c>
      <c r="E57" s="49" t="s">
        <v>236</v>
      </c>
      <c r="F57" s="82">
        <v>62</v>
      </c>
      <c r="G57" s="82">
        <v>27</v>
      </c>
      <c r="H57" s="82">
        <f t="shared" si="12"/>
        <v>89</v>
      </c>
      <c r="I57" s="133"/>
      <c r="J57" s="82">
        <f t="shared" si="13"/>
        <v>3</v>
      </c>
      <c r="K57" s="82">
        <v>69</v>
      </c>
      <c r="L57" s="82">
        <v>41</v>
      </c>
      <c r="M57" s="82">
        <f t="shared" si="29"/>
        <v>110</v>
      </c>
      <c r="N57" s="133"/>
      <c r="O57" s="82">
        <f t="shared" si="15"/>
        <v>3</v>
      </c>
      <c r="P57" s="82">
        <v>66</v>
      </c>
      <c r="Q57" s="133"/>
      <c r="R57" s="82">
        <f t="shared" si="30"/>
        <v>3.5</v>
      </c>
      <c r="S57" s="82">
        <v>67</v>
      </c>
      <c r="T57" s="133"/>
      <c r="U57" s="82">
        <f t="shared" si="31"/>
        <v>3.5</v>
      </c>
      <c r="V57" s="82">
        <v>75</v>
      </c>
      <c r="W57" s="133"/>
      <c r="X57" s="82">
        <f t="shared" si="18"/>
        <v>4</v>
      </c>
      <c r="Y57" s="82">
        <v>41</v>
      </c>
      <c r="Z57" s="133"/>
      <c r="AA57" s="82">
        <f t="shared" si="19"/>
        <v>5</v>
      </c>
      <c r="AB57" s="82">
        <v>38</v>
      </c>
      <c r="AC57" s="133"/>
      <c r="AD57" s="82">
        <f t="shared" si="20"/>
        <v>4</v>
      </c>
      <c r="AE57" s="82">
        <f t="shared" si="21"/>
        <v>26</v>
      </c>
      <c r="AF57" s="83">
        <f t="shared" si="22"/>
        <v>3.7142857142857144</v>
      </c>
      <c r="AG57" s="81" t="str">
        <f t="shared" si="23"/>
        <v>GOOD</v>
      </c>
      <c r="AH57" s="73">
        <f t="shared" si="11"/>
        <v>486</v>
      </c>
      <c r="AI57" s="75">
        <v>39</v>
      </c>
      <c r="AJ57" s="75"/>
      <c r="AK57" s="58">
        <f>'1st_semester'!AH57</f>
        <v>514</v>
      </c>
      <c r="AL57" s="78">
        <f>'2nd_Semester'!AH56</f>
        <v>483</v>
      </c>
      <c r="AM57" s="78">
        <f t="shared" si="24"/>
        <v>486</v>
      </c>
      <c r="AN57" s="79">
        <f t="shared" si="25"/>
        <v>494.33333333333331</v>
      </c>
      <c r="AO57" s="78"/>
      <c r="AP57" s="74"/>
    </row>
    <row r="58" spans="1:42" s="76" customFormat="1" ht="12.75">
      <c r="A58" s="71">
        <v>52</v>
      </c>
      <c r="B58" s="52">
        <v>84</v>
      </c>
      <c r="C58" s="49" t="s">
        <v>237</v>
      </c>
      <c r="D58" s="49" t="s">
        <v>238</v>
      </c>
      <c r="E58" s="49" t="s">
        <v>239</v>
      </c>
      <c r="F58" s="82">
        <v>60</v>
      </c>
      <c r="G58" s="82">
        <v>20</v>
      </c>
      <c r="H58" s="82">
        <f t="shared" si="12"/>
        <v>80</v>
      </c>
      <c r="I58" s="133"/>
      <c r="J58" s="82">
        <f t="shared" si="13"/>
        <v>3</v>
      </c>
      <c r="K58" s="82">
        <v>40</v>
      </c>
      <c r="L58" s="82">
        <v>50</v>
      </c>
      <c r="M58" s="82">
        <f t="shared" si="29"/>
        <v>90</v>
      </c>
      <c r="N58" s="133"/>
      <c r="O58" s="82">
        <f t="shared" si="15"/>
        <v>2</v>
      </c>
      <c r="P58" s="82">
        <v>43</v>
      </c>
      <c r="Q58" s="133"/>
      <c r="R58" s="82">
        <f t="shared" si="30"/>
        <v>2</v>
      </c>
      <c r="S58" s="82">
        <v>47</v>
      </c>
      <c r="T58" s="133"/>
      <c r="U58" s="82">
        <f t="shared" si="31"/>
        <v>2</v>
      </c>
      <c r="V58" s="82">
        <v>40</v>
      </c>
      <c r="W58" s="133"/>
      <c r="X58" s="82">
        <f t="shared" si="18"/>
        <v>2</v>
      </c>
      <c r="Y58" s="82">
        <v>25</v>
      </c>
      <c r="Z58" s="133"/>
      <c r="AA58" s="82">
        <f t="shared" si="19"/>
        <v>3</v>
      </c>
      <c r="AB58" s="82">
        <v>20</v>
      </c>
      <c r="AC58" s="133"/>
      <c r="AD58" s="82">
        <f t="shared" si="20"/>
        <v>2</v>
      </c>
      <c r="AE58" s="82">
        <f t="shared" si="21"/>
        <v>16</v>
      </c>
      <c r="AF58" s="83">
        <f t="shared" si="22"/>
        <v>2.2857142857142856</v>
      </c>
      <c r="AG58" s="81" t="str">
        <f t="shared" si="23"/>
        <v>GOOD</v>
      </c>
      <c r="AH58" s="73">
        <f t="shared" si="11"/>
        <v>345</v>
      </c>
      <c r="AI58" s="75">
        <v>59</v>
      </c>
      <c r="AJ58" s="75"/>
      <c r="AK58" s="58">
        <f>'1st_semester'!AH58</f>
        <v>349</v>
      </c>
      <c r="AL58" s="78">
        <f>'2nd_Semester'!AH57</f>
        <v>407</v>
      </c>
      <c r="AM58" s="78">
        <f t="shared" si="24"/>
        <v>345</v>
      </c>
      <c r="AN58" s="79">
        <f t="shared" si="25"/>
        <v>367</v>
      </c>
      <c r="AO58" s="78"/>
      <c r="AP58" s="74"/>
    </row>
    <row r="59" spans="1:42" s="76" customFormat="1" ht="12.75">
      <c r="A59" s="71">
        <v>53</v>
      </c>
      <c r="B59" s="52">
        <v>85</v>
      </c>
      <c r="C59" s="49" t="s">
        <v>240</v>
      </c>
      <c r="D59" s="49" t="s">
        <v>241</v>
      </c>
      <c r="E59" s="49" t="s">
        <v>242</v>
      </c>
      <c r="F59" s="82">
        <v>71</v>
      </c>
      <c r="G59" s="82">
        <v>37</v>
      </c>
      <c r="H59" s="82">
        <f t="shared" si="12"/>
        <v>108</v>
      </c>
      <c r="I59" s="133"/>
      <c r="J59" s="82">
        <f t="shared" si="13"/>
        <v>4</v>
      </c>
      <c r="K59" s="82">
        <v>63</v>
      </c>
      <c r="L59" s="82">
        <v>82</v>
      </c>
      <c r="M59" s="82">
        <f t="shared" si="29"/>
        <v>145</v>
      </c>
      <c r="N59" s="133"/>
      <c r="O59" s="82">
        <f t="shared" si="15"/>
        <v>4</v>
      </c>
      <c r="P59" s="82">
        <v>69</v>
      </c>
      <c r="Q59" s="133"/>
      <c r="R59" s="82">
        <f t="shared" si="30"/>
        <v>3.5</v>
      </c>
      <c r="S59" s="82">
        <v>92</v>
      </c>
      <c r="T59" s="133"/>
      <c r="U59" s="82">
        <f t="shared" si="31"/>
        <v>5</v>
      </c>
      <c r="V59" s="82">
        <v>80</v>
      </c>
      <c r="W59" s="133"/>
      <c r="X59" s="82">
        <f t="shared" si="18"/>
        <v>5</v>
      </c>
      <c r="Y59" s="82">
        <v>33</v>
      </c>
      <c r="Z59" s="133"/>
      <c r="AA59" s="82">
        <f t="shared" si="19"/>
        <v>3.5</v>
      </c>
      <c r="AB59" s="82">
        <v>33</v>
      </c>
      <c r="AC59" s="133"/>
      <c r="AD59" s="82">
        <f t="shared" si="20"/>
        <v>3.5</v>
      </c>
      <c r="AE59" s="82">
        <f t="shared" si="21"/>
        <v>28.5</v>
      </c>
      <c r="AF59" s="83">
        <f t="shared" si="22"/>
        <v>4.0714285714285712</v>
      </c>
      <c r="AG59" s="81" t="str">
        <f>IF(AF59="F","NEED TO PROGRESS",IF(AF59&gt;=5,"BEST",IF(AF59&gt;=4,"BETTER",IF(AF59&gt;=2,"GOOD"))))</f>
        <v>BETTER</v>
      </c>
      <c r="AH59" s="73">
        <f t="shared" si="11"/>
        <v>560</v>
      </c>
      <c r="AI59" s="75">
        <v>20</v>
      </c>
      <c r="AJ59" s="75"/>
      <c r="AK59" s="58">
        <f>'1st_semester'!AH59</f>
        <v>540</v>
      </c>
      <c r="AL59" s="78">
        <f>'2nd_Semester'!AH58</f>
        <v>572</v>
      </c>
      <c r="AM59" s="78">
        <f t="shared" si="24"/>
        <v>560</v>
      </c>
      <c r="AN59" s="79">
        <f t="shared" si="25"/>
        <v>557.33333333333337</v>
      </c>
      <c r="AO59" s="78"/>
      <c r="AP59" s="74"/>
    </row>
    <row r="61" spans="1:42">
      <c r="A61" s="33">
        <v>0</v>
      </c>
      <c r="B61" s="77">
        <v>1</v>
      </c>
      <c r="C61" s="33">
        <v>2</v>
      </c>
      <c r="D61" s="33">
        <v>3</v>
      </c>
      <c r="E61" s="33">
        <v>4</v>
      </c>
      <c r="F61" s="33">
        <v>5</v>
      </c>
      <c r="G61" s="77">
        <v>6</v>
      </c>
      <c r="H61" s="33">
        <v>7</v>
      </c>
      <c r="I61" s="33">
        <v>8</v>
      </c>
      <c r="J61" s="33">
        <v>9</v>
      </c>
      <c r="K61" s="33">
        <v>10</v>
      </c>
      <c r="L61" s="77">
        <v>11</v>
      </c>
      <c r="M61" s="33">
        <v>12</v>
      </c>
      <c r="N61" s="33">
        <v>13</v>
      </c>
      <c r="O61" s="33">
        <v>14</v>
      </c>
      <c r="P61" s="33">
        <v>15</v>
      </c>
      <c r="Q61" s="77">
        <v>16</v>
      </c>
      <c r="R61" s="33">
        <v>17</v>
      </c>
      <c r="S61" s="33">
        <v>18</v>
      </c>
      <c r="T61" s="33">
        <v>19</v>
      </c>
      <c r="U61" s="33">
        <v>20</v>
      </c>
      <c r="V61" s="77">
        <v>21</v>
      </c>
      <c r="W61" s="33">
        <v>22</v>
      </c>
      <c r="X61" s="33">
        <v>23</v>
      </c>
      <c r="Y61" s="33">
        <v>24</v>
      </c>
      <c r="Z61" s="33">
        <v>25</v>
      </c>
      <c r="AA61" s="77">
        <v>26</v>
      </c>
      <c r="AB61" s="33">
        <v>27</v>
      </c>
      <c r="AC61" s="33">
        <v>28</v>
      </c>
      <c r="AD61" s="33">
        <v>29</v>
      </c>
      <c r="AE61" s="33">
        <v>30</v>
      </c>
      <c r="AF61" s="77">
        <v>31</v>
      </c>
      <c r="AG61" s="33">
        <v>32</v>
      </c>
      <c r="AH61" s="33">
        <v>33</v>
      </c>
      <c r="AI61" s="33">
        <v>34</v>
      </c>
      <c r="AJ61" s="33">
        <v>35</v>
      </c>
      <c r="AK61" s="77">
        <v>36</v>
      </c>
      <c r="AL61" s="33">
        <v>37</v>
      </c>
      <c r="AM61" s="33">
        <v>38</v>
      </c>
      <c r="AN61" s="33">
        <v>39</v>
      </c>
      <c r="AO61" s="33">
        <v>40</v>
      </c>
    </row>
  </sheetData>
  <mergeCells count="45">
    <mergeCell ref="AK5:AO5"/>
    <mergeCell ref="O5:O6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AG5:AG6"/>
    <mergeCell ref="N5:N6"/>
    <mergeCell ref="AA5:AA6"/>
    <mergeCell ref="P5:P6"/>
    <mergeCell ref="Q5:Q6"/>
    <mergeCell ref="R5:R6"/>
    <mergeCell ref="S5:S6"/>
    <mergeCell ref="T5:T6"/>
    <mergeCell ref="U5:U6"/>
    <mergeCell ref="V5:V6"/>
    <mergeCell ref="W5:W6"/>
    <mergeCell ref="X5:X6"/>
    <mergeCell ref="Y5:Y6"/>
    <mergeCell ref="Z5:Z6"/>
    <mergeCell ref="A1:AO4"/>
    <mergeCell ref="AH5:AH6"/>
    <mergeCell ref="AI5:AI6"/>
    <mergeCell ref="AJ5:AJ6"/>
    <mergeCell ref="I7:I59"/>
    <mergeCell ref="N7:N59"/>
    <mergeCell ref="Q7:Q59"/>
    <mergeCell ref="T7:T59"/>
    <mergeCell ref="W7:W59"/>
    <mergeCell ref="Z7:Z59"/>
    <mergeCell ref="AC7:AC59"/>
    <mergeCell ref="AB5:AB6"/>
    <mergeCell ref="AC5:AC6"/>
    <mergeCell ref="AD5:AD6"/>
    <mergeCell ref="AE5:AE6"/>
    <mergeCell ref="AF5:AF6"/>
  </mergeCells>
  <conditionalFormatting sqref="B7:B18">
    <cfRule type="duplicateValues" dxfId="18" priority="16"/>
  </conditionalFormatting>
  <conditionalFormatting sqref="B19">
    <cfRule type="duplicateValues" dxfId="17" priority="15"/>
  </conditionalFormatting>
  <conditionalFormatting sqref="B20:B23">
    <cfRule type="duplicateValues" dxfId="16" priority="14"/>
  </conditionalFormatting>
  <conditionalFormatting sqref="B24">
    <cfRule type="duplicateValues" dxfId="15" priority="13"/>
  </conditionalFormatting>
  <conditionalFormatting sqref="B25:B26">
    <cfRule type="duplicateValues" dxfId="14" priority="12"/>
  </conditionalFormatting>
  <conditionalFormatting sqref="B27">
    <cfRule type="duplicateValues" dxfId="13" priority="11"/>
  </conditionalFormatting>
  <conditionalFormatting sqref="B28:B29">
    <cfRule type="duplicateValues" dxfId="12" priority="10"/>
  </conditionalFormatting>
  <conditionalFormatting sqref="B30:B45">
    <cfRule type="duplicateValues" dxfId="11" priority="9"/>
  </conditionalFormatting>
  <conditionalFormatting sqref="B46:B54">
    <cfRule type="duplicateValues" dxfId="10" priority="8"/>
  </conditionalFormatting>
  <conditionalFormatting sqref="B53">
    <cfRule type="duplicateValues" dxfId="9" priority="7"/>
  </conditionalFormatting>
  <conditionalFormatting sqref="B54">
    <cfRule type="duplicateValues" dxfId="8" priority="6"/>
  </conditionalFormatting>
  <conditionalFormatting sqref="B55">
    <cfRule type="duplicateValues" dxfId="7" priority="5"/>
  </conditionalFormatting>
  <conditionalFormatting sqref="B56:B57">
    <cfRule type="duplicateValues" dxfId="6" priority="4"/>
  </conditionalFormatting>
  <conditionalFormatting sqref="B58">
    <cfRule type="duplicateValues" dxfId="5" priority="3"/>
  </conditionalFormatting>
  <conditionalFormatting sqref="B59">
    <cfRule type="duplicateValues" dxfId="4" priority="2"/>
  </conditionalFormatting>
  <pageMargins left="0.23622047244094491" right="0.23622047244094491" top="0.74803149606299213" bottom="0.74803149606299213" header="0.31496062992125984" footer="0.31496062992125984"/>
  <pageSetup paperSize="9" scale="12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M34"/>
  <sheetViews>
    <sheetView topLeftCell="C13" zoomScale="145" zoomScaleNormal="145" workbookViewId="0">
      <selection activeCell="J9" sqref="J9:M9"/>
    </sheetView>
  </sheetViews>
  <sheetFormatPr defaultRowHeight="15"/>
  <cols>
    <col min="1" max="1" width="0.7109375" hidden="1" customWidth="1"/>
    <col min="2" max="2" width="9.140625" hidden="1" customWidth="1"/>
    <col min="3" max="3" width="2" customWidth="1"/>
    <col min="4" max="4" width="12.85546875" customWidth="1"/>
    <col min="5" max="5" width="13.28515625" customWidth="1"/>
    <col min="6" max="7" width="4.85546875" customWidth="1"/>
    <col min="8" max="8" width="6" customWidth="1"/>
    <col min="9" max="9" width="6.7109375" customWidth="1"/>
    <col min="10" max="10" width="5.7109375" customWidth="1"/>
    <col min="11" max="11" width="5.28515625" customWidth="1"/>
    <col min="12" max="12" width="5.42578125" customWidth="1"/>
    <col min="13" max="13" width="5.28515625" customWidth="1"/>
  </cols>
  <sheetData>
    <row r="1" spans="4:13" ht="25.5" customHeight="1"/>
    <row r="2" spans="4:13" ht="15" customHeight="1">
      <c r="D2" s="160" t="s">
        <v>37</v>
      </c>
      <c r="E2" s="161"/>
      <c r="F2" s="161"/>
      <c r="G2" s="161"/>
      <c r="H2" s="161"/>
      <c r="I2" s="161"/>
      <c r="J2" s="161"/>
      <c r="K2" s="161"/>
      <c r="L2" s="161"/>
      <c r="M2" s="161"/>
    </row>
    <row r="3" spans="4:13" ht="15" customHeight="1">
      <c r="D3" s="161"/>
      <c r="E3" s="161"/>
      <c r="F3" s="161"/>
      <c r="G3" s="161"/>
      <c r="H3" s="161"/>
      <c r="I3" s="161"/>
      <c r="J3" s="161"/>
      <c r="K3" s="161"/>
      <c r="L3" s="161"/>
      <c r="M3" s="161"/>
    </row>
    <row r="4" spans="4:13" ht="15" customHeight="1">
      <c r="D4" s="161"/>
      <c r="E4" s="161"/>
      <c r="F4" s="161"/>
      <c r="G4" s="161"/>
      <c r="H4" s="161"/>
      <c r="I4" s="161"/>
      <c r="J4" s="161"/>
      <c r="K4" s="161"/>
      <c r="L4" s="161"/>
      <c r="M4" s="161"/>
    </row>
    <row r="5" spans="4:13" ht="36.75" customHeight="1">
      <c r="D5" s="161"/>
      <c r="E5" s="161"/>
      <c r="F5" s="161"/>
      <c r="G5" s="161"/>
      <c r="H5" s="161"/>
      <c r="I5" s="161"/>
      <c r="J5" s="161"/>
      <c r="K5" s="161"/>
      <c r="L5" s="161"/>
      <c r="M5" s="161"/>
    </row>
    <row r="6" spans="4:13" ht="18" customHeight="1">
      <c r="D6" s="26" t="s">
        <v>46</v>
      </c>
      <c r="E6" s="27" t="str">
        <f>IFERROR(VLOOKUP($J$8,'2nd_Semester'!B5:AG$64,2,0),"ENTER THE RIGHT ROLL")</f>
        <v xml:space="preserve">Saifa Jahan </v>
      </c>
      <c r="F6" s="27"/>
      <c r="G6" s="27"/>
      <c r="H6" s="143" t="s">
        <v>43</v>
      </c>
      <c r="I6" s="143"/>
      <c r="J6" s="162" t="e">
        <f>'2nd_Semester'!#REF!</f>
        <v>#REF!</v>
      </c>
      <c r="K6" s="146"/>
      <c r="L6" s="146"/>
      <c r="M6" s="147"/>
    </row>
    <row r="7" spans="4:13">
      <c r="D7" s="26" t="s">
        <v>47</v>
      </c>
      <c r="E7" s="27" t="str">
        <f>IFERROR(VLOOKUP(J8,'2nd_Semester'!B$6:AG$64,3,0),"")</f>
        <v xml:space="preserve">Shafayet Hossain </v>
      </c>
      <c r="F7" s="27"/>
      <c r="G7" s="27"/>
      <c r="H7" s="143" t="s">
        <v>44</v>
      </c>
      <c r="I7" s="143"/>
      <c r="J7" s="146" t="e">
        <f>'2nd_Semester'!#REF!</f>
        <v>#REF!</v>
      </c>
      <c r="K7" s="146"/>
      <c r="L7" s="146"/>
      <c r="M7" s="147"/>
    </row>
    <row r="8" spans="4:13" ht="15.75" customHeight="1">
      <c r="D8" s="26" t="s">
        <v>48</v>
      </c>
      <c r="E8" s="27" t="str">
        <f>IFERROR(VLOOKUP(J8,'2nd_Semester'!B$6:AG64,4,0),"")</f>
        <v>Sabina Yasmin</v>
      </c>
      <c r="F8" s="27"/>
      <c r="G8" s="27"/>
      <c r="H8" s="143" t="s">
        <v>45</v>
      </c>
      <c r="I8" s="143"/>
      <c r="J8" s="150">
        <v>74</v>
      </c>
      <c r="K8" s="150"/>
      <c r="L8" s="150"/>
      <c r="M8" s="151"/>
    </row>
    <row r="9" spans="4:13" ht="15.75" customHeight="1">
      <c r="D9" s="26" t="s">
        <v>49</v>
      </c>
      <c r="E9" s="27" t="e">
        <f>'2nd_Semester'!#REF!</f>
        <v>#REF!</v>
      </c>
      <c r="F9" s="27"/>
      <c r="G9" s="27"/>
      <c r="H9" s="152" t="s">
        <v>50</v>
      </c>
      <c r="I9" s="152"/>
      <c r="J9" s="163">
        <v>42</v>
      </c>
      <c r="K9" s="163"/>
      <c r="L9" s="163"/>
      <c r="M9" s="164"/>
    </row>
    <row r="10" spans="4:13" ht="15.75" customHeight="1">
      <c r="D10" s="28" t="s">
        <v>34</v>
      </c>
      <c r="E10" s="139" t="e">
        <f>'2nd_Semester'!#REF!</f>
        <v>#REF!</v>
      </c>
      <c r="F10" s="139"/>
      <c r="G10" s="29"/>
      <c r="H10" s="30"/>
      <c r="I10" s="31"/>
      <c r="J10" s="31"/>
      <c r="K10" s="31"/>
      <c r="L10" s="31"/>
      <c r="M10" s="32"/>
    </row>
    <row r="11" spans="4:13" ht="15.75" customHeight="1">
      <c r="D11" s="148" t="s">
        <v>15</v>
      </c>
      <c r="E11" s="148"/>
      <c r="F11" s="148"/>
      <c r="G11" s="171" t="s">
        <v>16</v>
      </c>
      <c r="H11" s="171" t="s">
        <v>40</v>
      </c>
      <c r="I11" s="171" t="s">
        <v>33</v>
      </c>
      <c r="J11" s="171" t="s">
        <v>22</v>
      </c>
      <c r="K11" s="156" t="s">
        <v>2</v>
      </c>
      <c r="L11" s="156" t="s">
        <v>38</v>
      </c>
      <c r="M11" s="165" t="s">
        <v>5</v>
      </c>
    </row>
    <row r="12" spans="4:13" ht="15.75" customHeight="1">
      <c r="D12" s="148"/>
      <c r="E12" s="148"/>
      <c r="F12" s="148"/>
      <c r="G12" s="171"/>
      <c r="H12" s="171"/>
      <c r="I12" s="171"/>
      <c r="J12" s="171"/>
      <c r="K12" s="157"/>
      <c r="L12" s="157"/>
      <c r="M12" s="166"/>
    </row>
    <row r="13" spans="4:13" ht="25.5" customHeight="1">
      <c r="D13" s="148"/>
      <c r="E13" s="148"/>
      <c r="F13" s="148"/>
      <c r="G13" s="171"/>
      <c r="H13" s="171"/>
      <c r="I13" s="171"/>
      <c r="J13" s="171"/>
      <c r="K13" s="157"/>
      <c r="L13" s="157"/>
      <c r="M13" s="166"/>
    </row>
    <row r="14" spans="4:13" ht="15" customHeight="1">
      <c r="D14" s="148"/>
      <c r="E14" s="148"/>
      <c r="F14" s="148"/>
      <c r="G14" s="171"/>
      <c r="H14" s="171"/>
      <c r="I14" s="171"/>
      <c r="J14" s="171"/>
      <c r="K14" s="157"/>
      <c r="L14" s="157"/>
      <c r="M14" s="166"/>
    </row>
    <row r="15" spans="4:13" ht="15.75" customHeight="1">
      <c r="D15" s="148"/>
      <c r="E15" s="148"/>
      <c r="F15" s="148"/>
      <c r="G15" s="171"/>
      <c r="H15" s="171"/>
      <c r="I15" s="171"/>
      <c r="J15" s="171"/>
      <c r="K15" s="157"/>
      <c r="L15" s="157"/>
      <c r="M15" s="166"/>
    </row>
    <row r="16" spans="4:13" ht="20.100000000000001" customHeight="1">
      <c r="D16" s="149" t="s">
        <v>19</v>
      </c>
      <c r="E16" s="149"/>
      <c r="F16" s="149"/>
      <c r="G16" s="1">
        <v>100</v>
      </c>
      <c r="H16" s="1">
        <f>IFERROR(VLOOKUP($J$8,'2nd_Semester'!B$5:AG$64,5,0),"")</f>
        <v>69</v>
      </c>
      <c r="I16" s="149">
        <f>IFERROR(VLOOKUP(J8,'2nd_Semester'!B$5:AF$64,7,0),"")</f>
        <v>115</v>
      </c>
      <c r="J16" s="149">
        <f>'2nd_Semester'!I6</f>
        <v>117</v>
      </c>
      <c r="K16" s="149">
        <f>IFERROR(VLOOKUP(J8,'2nd_Semester'!B$5:AF$64,9,0),"")</f>
        <v>4</v>
      </c>
      <c r="L16" s="154" t="str">
        <f>IF(K16="F","F",IF(K16&lt;2.5,"D",IF(K16&lt;3,"C",IF(K16&lt;3.5,"B",IF(K16&lt;4,"A-",IF(K16&lt;5,"A","A+"))))))</f>
        <v>A</v>
      </c>
      <c r="M16" s="167">
        <f>IFERROR(VLOOKUP(J8,'2nd_Semester'!B$5:AG$64,31,0),"")</f>
        <v>4.8571428571428568</v>
      </c>
    </row>
    <row r="17" spans="4:13" ht="20.100000000000001" customHeight="1">
      <c r="D17" s="149" t="s">
        <v>20</v>
      </c>
      <c r="E17" s="149"/>
      <c r="F17" s="149"/>
      <c r="G17" s="1">
        <v>50</v>
      </c>
      <c r="H17" s="1">
        <f>IFERROR(VLOOKUP($J$8,'2nd_Semester'!B$6:AG$64,6,0),"")</f>
        <v>46</v>
      </c>
      <c r="I17" s="149"/>
      <c r="J17" s="149"/>
      <c r="K17" s="149"/>
      <c r="L17" s="155"/>
      <c r="M17" s="167"/>
    </row>
    <row r="18" spans="4:13" ht="20.100000000000001" customHeight="1">
      <c r="D18" s="168" t="s">
        <v>21</v>
      </c>
      <c r="E18" s="169"/>
      <c r="F18" s="170"/>
      <c r="G18" s="1">
        <v>100</v>
      </c>
      <c r="H18" s="1">
        <f>IFERROR(VLOOKUP($J$8,'2nd_Semester'!B$6:AG$64,10,0),"")</f>
        <v>83</v>
      </c>
      <c r="I18" s="154">
        <f>IFERROR(VLOOKUP(J8,'2nd_Semester'!B$6:AF$64,12,0),"")</f>
        <v>169</v>
      </c>
      <c r="J18" s="154">
        <f>'2nd_Semester'!N6</f>
        <v>180</v>
      </c>
      <c r="K18" s="149">
        <f>IFERROR(VLOOKUP(J8,'2nd_Semester'!B$6:AF$64,14,0),"")</f>
        <v>5</v>
      </c>
      <c r="L18" s="154" t="str">
        <f>IF(K18="F","F",IF(K18&lt;2.5,"D",IF(K18&lt;3,"C",IF(K18&lt;3.5,"B",IF(K18&lt;4,"A-",IF(K18&lt;5,"A","A+"))))))</f>
        <v>A+</v>
      </c>
      <c r="M18" s="167"/>
    </row>
    <row r="19" spans="4:13" ht="20.100000000000001" customHeight="1">
      <c r="D19" s="149" t="s">
        <v>17</v>
      </c>
      <c r="E19" s="149"/>
      <c r="F19" s="149"/>
      <c r="G19" s="1">
        <v>100</v>
      </c>
      <c r="H19" s="1">
        <f>IFERROR(VLOOKUP($J$8,'2nd_Semester'!B$6:AG$64,11,0),"")</f>
        <v>86</v>
      </c>
      <c r="I19" s="155"/>
      <c r="J19" s="155"/>
      <c r="K19" s="149"/>
      <c r="L19" s="155"/>
      <c r="M19" s="167"/>
    </row>
    <row r="20" spans="4:13" ht="20.100000000000001" customHeight="1">
      <c r="D20" s="149" t="s">
        <v>18</v>
      </c>
      <c r="E20" s="149"/>
      <c r="F20" s="149"/>
      <c r="G20" s="1">
        <v>100</v>
      </c>
      <c r="H20" s="1">
        <f>IFERROR(VLOOKUP($J$8,'2nd_Semester'!B$6:AG$64,15,0),"")</f>
        <v>91</v>
      </c>
      <c r="I20" s="16"/>
      <c r="J20" s="1">
        <f>'2nd_Semester'!Q6</f>
        <v>91</v>
      </c>
      <c r="K20" s="1">
        <f>IFERROR(VLOOKUP(J8,'2nd_Semester'!B$5:AF$64,17,0),"")</f>
        <v>5</v>
      </c>
      <c r="L20" s="1" t="str">
        <f>IF(K20="F","F",IF(K20&lt;2.5,"D",IF(K20&lt;3,"C",IF(K20&lt;3.5,"B",IF(K20&lt;4,"A-",IF(K20&lt;5,"A","A+"))))))</f>
        <v>A+</v>
      </c>
      <c r="M20" s="167"/>
    </row>
    <row r="21" spans="4:13" ht="20.100000000000001" customHeight="1">
      <c r="D21" s="149" t="s">
        <v>6</v>
      </c>
      <c r="E21" s="149"/>
      <c r="F21" s="149"/>
      <c r="G21" s="1">
        <v>100</v>
      </c>
      <c r="H21" s="1">
        <f>IFERROR(VLOOKUP($J$8,'2nd_Semester'!B$6:AG$64,18,0),"")</f>
        <v>95</v>
      </c>
      <c r="I21" s="16"/>
      <c r="J21" s="1">
        <f>'2nd_Semester'!T6</f>
        <v>95</v>
      </c>
      <c r="K21" s="1">
        <f>IFERROR(VLOOKUP(J8,'2nd_Semester'!B$5:AF$64,20,0),"")</f>
        <v>5</v>
      </c>
      <c r="L21" s="1" t="str">
        <f>IF(K21="F","F",IF(K21&lt;2.5,"D",IF(K21&lt;3,"C",IF(K21&lt;3.5,"B",IF(K21&lt;4,"A-",IF(K21&lt;5,"A","A+"))))))</f>
        <v>A+</v>
      </c>
      <c r="M21" s="167"/>
    </row>
    <row r="22" spans="4:13" ht="20.100000000000001" customHeight="1">
      <c r="D22" s="172" t="s">
        <v>7</v>
      </c>
      <c r="E22" s="172"/>
      <c r="F22" s="172"/>
      <c r="G22" s="1">
        <v>100</v>
      </c>
      <c r="H22" s="1">
        <f>IFERROR(VLOOKUP($J$8,'2nd_Semester'!B$6:AG$64,21,0),"")</f>
        <v>97</v>
      </c>
      <c r="I22" s="16"/>
      <c r="J22" s="1">
        <f>'2nd_Semester'!W6</f>
        <v>98</v>
      </c>
      <c r="K22" s="1">
        <f>IFERROR(VLOOKUP(J8,'2nd_Semester'!B$6:AF$64,23,0),"")</f>
        <v>5</v>
      </c>
      <c r="L22" s="1" t="str">
        <f>IF(K22="F","F",IF(K22&lt;2.5,"D",IF(K22&lt;3,"C",IF(K22&lt;3.5,"B",IF(K22&lt;4,"A-",IF(K22&lt;5,"A","A+"))))))</f>
        <v>A+</v>
      </c>
      <c r="M22" s="167"/>
    </row>
    <row r="23" spans="4:13" ht="20.100000000000001" customHeight="1">
      <c r="D23" s="149" t="s">
        <v>12</v>
      </c>
      <c r="E23" s="149"/>
      <c r="F23" s="149"/>
      <c r="G23" s="1">
        <v>50</v>
      </c>
      <c r="H23" s="1">
        <f>IFERROR(VLOOKUP($J$8,'2nd_Semester'!B$6:AG$64,24,0),"")</f>
        <v>49</v>
      </c>
      <c r="I23" s="16"/>
      <c r="J23" s="1">
        <f>'2nd_Semester'!Z6</f>
        <v>50</v>
      </c>
      <c r="K23" s="1">
        <f>IFERROR(VLOOKUP(J8,'2nd_Semester'!B$6:AF$64,26,0),"")</f>
        <v>5</v>
      </c>
      <c r="L23" s="1" t="str">
        <f>IF(K23="F","F",IF(K23&lt;2.5,"D",IF(K23&lt;3,"C",IF(K23&lt;3.5,"B",IF(K23&lt;4,"A-",IF(K23&lt;5,"A","A+"))))))</f>
        <v>A+</v>
      </c>
      <c r="M23" s="167"/>
    </row>
    <row r="24" spans="4:13" ht="20.100000000000001" customHeight="1">
      <c r="D24" s="149" t="s">
        <v>32</v>
      </c>
      <c r="E24" s="149"/>
      <c r="F24" s="149"/>
      <c r="G24" s="1">
        <v>50</v>
      </c>
      <c r="H24" s="1">
        <f>IFERROR(VLOOKUP($J$8,'2nd_Semester'!B$6:AG$64,27,0),"")</f>
        <v>46</v>
      </c>
      <c r="I24" s="16"/>
      <c r="J24" s="1">
        <f>'2nd_Semester'!AC6</f>
        <v>47</v>
      </c>
      <c r="K24" s="1">
        <f>IFERROR(VLOOKUP(J8,'2nd_Semester'!B$6:AF$64,29,0),"")</f>
        <v>5</v>
      </c>
      <c r="L24" s="1" t="str">
        <f>IF(K24="F","F",IF(K24&lt;2.5,"D",IF(K24&lt;3,"C",IF(K24&lt;3.5,"B",IF(K24&lt;4,"A-",IF(K24&lt;5,"A","A+"))))))</f>
        <v>A+</v>
      </c>
      <c r="M24" s="167"/>
    </row>
    <row r="25" spans="4:13" ht="20.100000000000001" customHeight="1">
      <c r="D25" s="145" t="s">
        <v>29</v>
      </c>
      <c r="E25" s="145"/>
      <c r="F25" s="145"/>
      <c r="G25" s="17">
        <f>SUM(G16:G24)</f>
        <v>750</v>
      </c>
      <c r="H25" s="17">
        <f>SUM(H16:H24)</f>
        <v>662</v>
      </c>
      <c r="I25" s="168"/>
      <c r="J25" s="169"/>
      <c r="K25" s="169"/>
      <c r="L25" s="170"/>
      <c r="M25" s="167"/>
    </row>
    <row r="26" spans="4:13" ht="18.75" customHeight="1">
      <c r="D26" s="2"/>
      <c r="E26" s="3"/>
      <c r="F26" s="3"/>
      <c r="G26" s="4"/>
      <c r="H26" s="5"/>
      <c r="I26" s="6"/>
      <c r="J26" s="6"/>
      <c r="K26" s="6"/>
      <c r="L26" s="6"/>
      <c r="M26" s="7"/>
    </row>
    <row r="27" spans="4:13" ht="15.6" customHeight="1">
      <c r="D27" s="20" t="s">
        <v>36</v>
      </c>
      <c r="E27" s="18">
        <f>IFERROR(VLOOKUP(J8,'2nd_Semester'!B5:BI64,34),"")</f>
        <v>0</v>
      </c>
      <c r="F27" s="14"/>
      <c r="G27" s="18"/>
      <c r="H27" s="14"/>
      <c r="I27" s="14"/>
      <c r="J27" s="14"/>
      <c r="K27" s="13" t="str">
        <f>IFERROR(VLOOKUP($J$8,'2nd_Semester'!B5:AI53,69,0),"")</f>
        <v/>
      </c>
      <c r="L27" s="13"/>
      <c r="M27" s="7"/>
    </row>
    <row r="28" spans="4:13" ht="12" customHeight="1">
      <c r="D28" s="19" t="s">
        <v>35</v>
      </c>
      <c r="E28" s="18">
        <f>IFERROR(VLOOKUP(J8,'2nd_Semester'!B5:BJ64,35),"")</f>
        <v>0</v>
      </c>
      <c r="F28" s="15"/>
      <c r="G28" s="144" t="str">
        <f>IFERROR(VLOOKUP(J8,'2nd_Semester'!B5:AJ53,67,0),"")</f>
        <v/>
      </c>
      <c r="H28" s="144"/>
      <c r="I28" s="144"/>
      <c r="J28" s="6"/>
      <c r="K28" s="6"/>
      <c r="L28" s="6"/>
      <c r="M28" s="7"/>
    </row>
    <row r="29" spans="4:13" ht="15" customHeight="1">
      <c r="D29" s="158" t="s">
        <v>39</v>
      </c>
      <c r="E29" s="159"/>
      <c r="F29" s="153" t="str">
        <f>IFERROR(VLOOKUP(J8,'2nd_Semester'!B6:AK63,32),"")</f>
        <v>GOOD</v>
      </c>
      <c r="G29" s="153"/>
      <c r="H29" s="153"/>
      <c r="I29" s="153"/>
      <c r="J29" s="9"/>
      <c r="K29" s="9"/>
      <c r="L29" s="9"/>
      <c r="M29" s="10"/>
    </row>
    <row r="30" spans="4:13" ht="15" customHeight="1">
      <c r="D30" s="8"/>
      <c r="E30" s="6"/>
      <c r="F30" s="6"/>
      <c r="G30" s="6"/>
      <c r="H30" s="6"/>
      <c r="I30" s="6"/>
      <c r="J30" s="9"/>
      <c r="K30" s="9"/>
      <c r="L30" s="9"/>
      <c r="M30" s="10"/>
    </row>
    <row r="31" spans="4:13" ht="15" customHeight="1">
      <c r="D31" s="140" t="s">
        <v>42</v>
      </c>
      <c r="E31" s="141"/>
      <c r="F31" s="141"/>
      <c r="G31" s="141"/>
      <c r="H31" s="141"/>
      <c r="I31" s="141"/>
      <c r="J31" s="141"/>
      <c r="K31" s="141"/>
      <c r="L31" s="141"/>
      <c r="M31" s="142"/>
    </row>
    <row r="32" spans="4:13" ht="15" customHeight="1">
      <c r="D32" s="21"/>
      <c r="E32" s="22"/>
      <c r="F32" s="22"/>
      <c r="G32" s="22"/>
      <c r="H32" s="22"/>
      <c r="I32" s="22"/>
      <c r="J32" s="22"/>
      <c r="K32" s="22"/>
      <c r="L32" s="22"/>
      <c r="M32" s="23"/>
    </row>
    <row r="33" spans="4:13" ht="15" customHeight="1">
      <c r="D33" s="21"/>
      <c r="E33" s="22"/>
      <c r="F33" s="22"/>
      <c r="G33" s="22"/>
      <c r="H33" s="22"/>
      <c r="I33" s="22"/>
      <c r="J33" s="22"/>
      <c r="K33" s="25" t="s">
        <v>51</v>
      </c>
      <c r="L33" s="25"/>
      <c r="M33" s="23"/>
    </row>
    <row r="34" spans="4:13" ht="33" customHeight="1">
      <c r="D34" s="24" t="s">
        <v>41</v>
      </c>
      <c r="E34" s="11"/>
      <c r="F34" s="11"/>
      <c r="G34" s="11"/>
      <c r="H34" s="11"/>
      <c r="I34" s="11"/>
      <c r="J34" s="11"/>
      <c r="K34" s="11"/>
      <c r="L34" s="11"/>
      <c r="M34" s="12"/>
    </row>
  </sheetData>
  <mergeCells count="42">
    <mergeCell ref="D23:F23"/>
    <mergeCell ref="D19:F19"/>
    <mergeCell ref="D20:F20"/>
    <mergeCell ref="D21:F21"/>
    <mergeCell ref="D22:F22"/>
    <mergeCell ref="H11:H15"/>
    <mergeCell ref="I25:L25"/>
    <mergeCell ref="L18:L19"/>
    <mergeCell ref="J11:J15"/>
    <mergeCell ref="I11:I15"/>
    <mergeCell ref="D29:E29"/>
    <mergeCell ref="D2:M5"/>
    <mergeCell ref="D16:F16"/>
    <mergeCell ref="D17:F17"/>
    <mergeCell ref="J6:M6"/>
    <mergeCell ref="K11:K15"/>
    <mergeCell ref="J9:M9"/>
    <mergeCell ref="J16:J17"/>
    <mergeCell ref="M11:M15"/>
    <mergeCell ref="H6:I6"/>
    <mergeCell ref="M16:M25"/>
    <mergeCell ref="D18:F18"/>
    <mergeCell ref="I18:I19"/>
    <mergeCell ref="D24:F24"/>
    <mergeCell ref="H8:I8"/>
    <mergeCell ref="G11:G15"/>
    <mergeCell ref="E10:F10"/>
    <mergeCell ref="D31:M31"/>
    <mergeCell ref="H7:I7"/>
    <mergeCell ref="G28:I28"/>
    <mergeCell ref="D25:F25"/>
    <mergeCell ref="J7:M7"/>
    <mergeCell ref="D11:F15"/>
    <mergeCell ref="I16:I17"/>
    <mergeCell ref="K16:K17"/>
    <mergeCell ref="K18:K19"/>
    <mergeCell ref="J8:M8"/>
    <mergeCell ref="H9:I9"/>
    <mergeCell ref="F29:I29"/>
    <mergeCell ref="J18:J19"/>
    <mergeCell ref="L11:L15"/>
    <mergeCell ref="L16:L17"/>
  </mergeCells>
  <conditionalFormatting sqref="M16">
    <cfRule type="cellIs" dxfId="3" priority="1" operator="equal">
      <formula>0</formula>
    </cfRule>
    <cfRule type="cellIs" dxfId="2" priority="2" operator="equal">
      <formula>0</formula>
    </cfRule>
    <cfRule type="cellIs" dxfId="1" priority="3" operator="equal">
      <formula>0</formula>
    </cfRule>
    <cfRule type="cellIs" dxfId="0" priority="4" operator="equal">
      <formula>"0.00=F"</formula>
    </cfRule>
  </conditionalFormatting>
  <pageMargins left="0" right="0" top="0" bottom="0" header="0.31496062992125984" footer="0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B1:S32"/>
  <sheetViews>
    <sheetView tabSelected="1" workbookViewId="0">
      <selection activeCell="D9" sqref="D9"/>
    </sheetView>
  </sheetViews>
  <sheetFormatPr defaultRowHeight="15"/>
  <cols>
    <col min="1" max="1" width="4.42578125" customWidth="1"/>
    <col min="2" max="2" width="27" customWidth="1"/>
    <col min="3" max="3" width="8.7109375" style="35" customWidth="1"/>
    <col min="4" max="19" width="9.7109375" customWidth="1"/>
  </cols>
  <sheetData>
    <row r="1" spans="2:19" ht="20.100000000000001" customHeight="1">
      <c r="B1" s="175" t="s">
        <v>254</v>
      </c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</row>
    <row r="2" spans="2:19" ht="20.100000000000001" customHeight="1">
      <c r="B2" s="175"/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</row>
    <row r="3" spans="2:19" ht="20.100000000000001" customHeight="1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</row>
    <row r="4" spans="2:19" ht="18" customHeight="1">
      <c r="B4" s="175"/>
      <c r="C4" s="175"/>
      <c r="D4" s="175"/>
      <c r="E4" s="175"/>
      <c r="F4" s="175"/>
      <c r="G4" s="175"/>
      <c r="H4" s="175"/>
      <c r="I4" s="175"/>
      <c r="J4" s="175"/>
      <c r="K4" s="175"/>
      <c r="L4" s="175"/>
      <c r="M4" s="175"/>
      <c r="N4" s="175"/>
      <c r="O4" s="175"/>
      <c r="P4" s="175"/>
      <c r="Q4" s="175"/>
      <c r="R4" s="175"/>
      <c r="S4" s="175"/>
    </row>
    <row r="5" spans="2:19" s="42" customFormat="1" ht="20.100000000000001" customHeight="1">
      <c r="B5" s="107" t="s">
        <v>52</v>
      </c>
      <c r="C5" s="99" t="s">
        <v>53</v>
      </c>
      <c r="D5" s="107" t="str">
        <f>IFERROR(VLOOKUP(D$8,'1st_semester'!B$5:AF$66,2,0),"Pease Enter Right Roll")</f>
        <v xml:space="preserve">Rafit Sheikh </v>
      </c>
      <c r="E5" s="107"/>
      <c r="F5" s="101"/>
      <c r="G5" s="101"/>
      <c r="H5" s="101"/>
      <c r="I5" s="102"/>
      <c r="J5" s="102"/>
      <c r="K5" s="102"/>
      <c r="L5" s="102"/>
      <c r="M5" s="102"/>
      <c r="N5" s="179" t="s">
        <v>71</v>
      </c>
      <c r="O5" s="179"/>
      <c r="P5" s="179"/>
      <c r="Q5" s="179"/>
      <c r="R5" s="179"/>
      <c r="S5" s="107">
        <f>IFERROR(VLOOKUP(D$8,'3rd_Semester'!B7:AJ59,34,0),"")</f>
        <v>47</v>
      </c>
    </row>
    <row r="6" spans="2:19" s="42" customFormat="1" ht="20.100000000000001" customHeight="1">
      <c r="B6" s="107" t="s">
        <v>54</v>
      </c>
      <c r="C6" s="99" t="s">
        <v>53</v>
      </c>
      <c r="D6" s="107" t="s">
        <v>25</v>
      </c>
      <c r="E6" s="107"/>
      <c r="F6" s="101"/>
      <c r="G6" s="108"/>
      <c r="H6" s="108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</row>
    <row r="7" spans="2:19" s="42" customFormat="1" ht="20.100000000000001" customHeight="1">
      <c r="B7" s="107" t="s">
        <v>55</v>
      </c>
      <c r="C7" s="99" t="s">
        <v>53</v>
      </c>
      <c r="D7" s="107" t="s">
        <v>253</v>
      </c>
      <c r="E7" s="107"/>
      <c r="F7" s="101"/>
      <c r="G7" s="108"/>
      <c r="H7" s="108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</row>
    <row r="8" spans="2:19" s="42" customFormat="1" ht="20.100000000000001" customHeight="1">
      <c r="B8" s="107" t="s">
        <v>56</v>
      </c>
      <c r="C8" s="99" t="s">
        <v>53</v>
      </c>
      <c r="D8" s="107">
        <v>41</v>
      </c>
      <c r="E8" s="109"/>
      <c r="F8" s="108"/>
      <c r="G8" s="108"/>
      <c r="H8" s="108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2"/>
    </row>
    <row r="9" spans="2:19" s="42" customFormat="1" ht="20.100000000000001" customHeight="1">
      <c r="B9" s="107" t="s">
        <v>57</v>
      </c>
      <c r="C9" s="99" t="s">
        <v>53</v>
      </c>
      <c r="D9" s="107" t="str">
        <f>IFERROR(VLOOKUP(D$8,'1st_semester'!B$5:AF$66,3,0),"")</f>
        <v xml:space="preserve">Md Lokman Sheikh </v>
      </c>
      <c r="E9" s="107"/>
      <c r="F9" s="101"/>
      <c r="G9" s="101"/>
      <c r="H9" s="108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</row>
    <row r="10" spans="2:19" s="42" customFormat="1" ht="20.100000000000001" customHeight="1">
      <c r="B10" s="107" t="s">
        <v>58</v>
      </c>
      <c r="C10" s="99" t="s">
        <v>53</v>
      </c>
      <c r="D10" s="107" t="str">
        <f>IFERROR(VLOOKUP(D$8,'1st_semester'!B$5:AF$66,4,0),"")</f>
        <v xml:space="preserve">Rabeya Akter Reba </v>
      </c>
      <c r="E10" s="107"/>
      <c r="F10" s="100"/>
      <c r="G10" s="100"/>
      <c r="H10" s="108"/>
      <c r="I10" s="102"/>
      <c r="J10" s="102"/>
      <c r="K10" s="102"/>
      <c r="L10" s="102"/>
      <c r="M10" s="102"/>
      <c r="N10" s="102"/>
      <c r="O10" s="102"/>
      <c r="P10" s="102"/>
      <c r="Q10" s="102"/>
      <c r="R10" s="102"/>
      <c r="S10" s="102"/>
    </row>
    <row r="11" spans="2:19" s="42" customFormat="1" ht="20.100000000000001" customHeight="1">
      <c r="B11" s="107" t="s">
        <v>59</v>
      </c>
      <c r="C11" s="99" t="s">
        <v>53</v>
      </c>
      <c r="D11" s="107" t="s">
        <v>252</v>
      </c>
      <c r="E11" s="107"/>
      <c r="F11" s="101"/>
      <c r="G11" s="101"/>
      <c r="H11" s="101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</row>
    <row r="12" spans="2:19" ht="30" customHeight="1">
      <c r="B12" s="176" t="s">
        <v>60</v>
      </c>
      <c r="C12" s="176"/>
      <c r="D12" s="177" t="s">
        <v>249</v>
      </c>
      <c r="E12" s="177"/>
      <c r="F12" s="177"/>
      <c r="G12" s="177"/>
      <c r="H12" s="177" t="s">
        <v>250</v>
      </c>
      <c r="I12" s="177"/>
      <c r="J12" s="177"/>
      <c r="K12" s="177"/>
      <c r="L12" s="177" t="s">
        <v>251</v>
      </c>
      <c r="M12" s="177"/>
      <c r="N12" s="177"/>
      <c r="O12" s="177"/>
      <c r="P12" s="177" t="s">
        <v>61</v>
      </c>
      <c r="Q12" s="177"/>
      <c r="R12" s="177"/>
      <c r="S12" s="177"/>
    </row>
    <row r="13" spans="2:19" ht="30" customHeight="1">
      <c r="B13" s="176"/>
      <c r="C13" s="176"/>
      <c r="D13" s="184" t="s">
        <v>40</v>
      </c>
      <c r="E13" s="174" t="s">
        <v>13</v>
      </c>
      <c r="F13" s="174" t="s">
        <v>62</v>
      </c>
      <c r="G13" s="174" t="s">
        <v>2</v>
      </c>
      <c r="H13" s="184" t="s">
        <v>40</v>
      </c>
      <c r="I13" s="174" t="s">
        <v>13</v>
      </c>
      <c r="J13" s="174" t="s">
        <v>62</v>
      </c>
      <c r="K13" s="174" t="s">
        <v>2</v>
      </c>
      <c r="L13" s="184" t="s">
        <v>40</v>
      </c>
      <c r="M13" s="174" t="s">
        <v>13</v>
      </c>
      <c r="N13" s="174" t="s">
        <v>62</v>
      </c>
      <c r="O13" s="174" t="s">
        <v>2</v>
      </c>
      <c r="P13" s="178" t="s">
        <v>63</v>
      </c>
      <c r="Q13" s="174" t="s">
        <v>13</v>
      </c>
      <c r="R13" s="174" t="s">
        <v>2</v>
      </c>
      <c r="S13" s="174" t="s">
        <v>64</v>
      </c>
    </row>
    <row r="14" spans="2:19" ht="30" customHeight="1">
      <c r="B14" s="176"/>
      <c r="C14" s="176"/>
      <c r="D14" s="184"/>
      <c r="E14" s="174"/>
      <c r="F14" s="174"/>
      <c r="G14" s="174"/>
      <c r="H14" s="184"/>
      <c r="I14" s="174"/>
      <c r="J14" s="174"/>
      <c r="K14" s="174"/>
      <c r="L14" s="184"/>
      <c r="M14" s="174"/>
      <c r="N14" s="174"/>
      <c r="O14" s="174"/>
      <c r="P14" s="178"/>
      <c r="Q14" s="174"/>
      <c r="R14" s="174"/>
      <c r="S14" s="174"/>
    </row>
    <row r="15" spans="2:19" ht="30" customHeight="1">
      <c r="B15" s="176"/>
      <c r="C15" s="176"/>
      <c r="D15" s="184"/>
      <c r="E15" s="174"/>
      <c r="F15" s="174"/>
      <c r="G15" s="174"/>
      <c r="H15" s="184"/>
      <c r="I15" s="174"/>
      <c r="J15" s="174"/>
      <c r="K15" s="174"/>
      <c r="L15" s="184"/>
      <c r="M15" s="174"/>
      <c r="N15" s="174"/>
      <c r="O15" s="174"/>
      <c r="P15" s="178"/>
      <c r="Q15" s="174"/>
      <c r="R15" s="174"/>
      <c r="S15" s="174"/>
    </row>
    <row r="16" spans="2:19" ht="30" customHeight="1">
      <c r="B16" s="176"/>
      <c r="C16" s="176"/>
      <c r="D16" s="184"/>
      <c r="E16" s="174"/>
      <c r="F16" s="174"/>
      <c r="G16" s="174"/>
      <c r="H16" s="184"/>
      <c r="I16" s="174"/>
      <c r="J16" s="174"/>
      <c r="K16" s="174"/>
      <c r="L16" s="184"/>
      <c r="M16" s="174"/>
      <c r="N16" s="174"/>
      <c r="O16" s="174"/>
      <c r="P16" s="178"/>
      <c r="Q16" s="174"/>
      <c r="R16" s="174"/>
      <c r="S16" s="174"/>
    </row>
    <row r="17" spans="2:19" ht="30" customHeight="1">
      <c r="B17" s="176"/>
      <c r="C17" s="176"/>
      <c r="D17" s="184"/>
      <c r="E17" s="174"/>
      <c r="F17" s="174"/>
      <c r="G17" s="174"/>
      <c r="H17" s="184"/>
      <c r="I17" s="174"/>
      <c r="J17" s="174"/>
      <c r="K17" s="174"/>
      <c r="L17" s="184"/>
      <c r="M17" s="174"/>
      <c r="N17" s="174"/>
      <c r="O17" s="174"/>
      <c r="P17" s="178"/>
      <c r="Q17" s="174"/>
      <c r="R17" s="174"/>
      <c r="S17" s="174"/>
    </row>
    <row r="18" spans="2:19" ht="35.1" customHeight="1">
      <c r="B18" s="177" t="s">
        <v>72</v>
      </c>
      <c r="C18" s="177"/>
      <c r="D18" s="103">
        <f>IFERROR(VLOOKUP(D$8,'1st_semester'!B$5:AF$66,5,0),"")</f>
        <v>69</v>
      </c>
      <c r="E18" s="180">
        <f>IFERROR(VLOOKUP(D$8,'1st_semester'!B$5:AG$66,7,0),"")</f>
        <v>106</v>
      </c>
      <c r="F18" s="180">
        <f>'1st_semester'!I8</f>
        <v>138</v>
      </c>
      <c r="G18" s="173">
        <f>IFERROR(VLOOKUP(D$8,'1st_semester'!B$5:AI$66,9,0),"")</f>
        <v>4</v>
      </c>
      <c r="H18" s="103">
        <f>IFERROR(VLOOKUP(D$8,'2nd_Semester'!B$5:AJ$65,5,0),"")</f>
        <v>69</v>
      </c>
      <c r="I18" s="180">
        <f>IFERROR(VLOOKUP(D$8,'2nd_Semester'!B$5:AK$65,7,0),"")</f>
        <v>95</v>
      </c>
      <c r="J18" s="180">
        <f>'2nd_Semester'!I6</f>
        <v>117</v>
      </c>
      <c r="K18" s="173">
        <f>IFERROR(VLOOKUP(D$8,'2nd_Semester'!B$5:AM$65,9,0),"")</f>
        <v>3.5</v>
      </c>
      <c r="L18" s="104">
        <f>IFERROR(VLOOKUP(D$8,'3rd_Semester'!B$5:AN$60,5,0),"")</f>
        <v>59</v>
      </c>
      <c r="M18" s="180">
        <f>IFERROR(VLOOKUP(D$8,'3rd_Semester'!B$5:AO$60,7,0),"")</f>
        <v>79</v>
      </c>
      <c r="N18" s="180">
        <f>'3rd_Semester'!I7</f>
        <v>134</v>
      </c>
      <c r="O18" s="173">
        <f>IFERROR(VLOOKUP(D$8,'3rd_Semester'!B$5:AQ$60,9,0),"")</f>
        <v>3</v>
      </c>
      <c r="P18" s="105">
        <f>SUM(D18,H18,L18)/3</f>
        <v>65.666666666666671</v>
      </c>
      <c r="Q18" s="173">
        <f>SUM(E18,I18,M18)/3</f>
        <v>93.333333333333329</v>
      </c>
      <c r="R18" s="173">
        <f>SUM(G18,K18,O18)/3</f>
        <v>3.5</v>
      </c>
      <c r="S18" s="181">
        <f>IF(R18="F","F",IF(R20="F","F",IF(R22="F","F",IF(R23="F","F",IF(R24="F","F",IF(R25="F","F",IF(R26="F","F",IF(SUM(R18:R26)&gt;35,5,SUM(R18:R26)/7))))))))</f>
        <v>3.2380952380952381</v>
      </c>
    </row>
    <row r="19" spans="2:19" ht="35.1" customHeight="1">
      <c r="B19" s="177" t="s">
        <v>73</v>
      </c>
      <c r="C19" s="177"/>
      <c r="D19" s="103">
        <f>IFERROR(VLOOKUP(D$8,'1st_semester'!B$5:AF$66,6,0),"")</f>
        <v>37</v>
      </c>
      <c r="E19" s="180" t="str">
        <f>IFERROR(VLOOKUP(E$8,'1st_semester'!C$5:AG$66,5,0),"")</f>
        <v/>
      </c>
      <c r="F19" s="180"/>
      <c r="G19" s="173" t="str">
        <f>IFERROR(VLOOKUP(G$8,'1st_semester'!E$5:AI$66,5,0),"")</f>
        <v/>
      </c>
      <c r="H19" s="103">
        <f>IFERROR(VLOOKUP(D$8,'2nd_Semester'!B$5:AJ$65,6,0),"")</f>
        <v>26</v>
      </c>
      <c r="I19" s="180"/>
      <c r="J19" s="180"/>
      <c r="K19" s="173" t="str">
        <f>IFERROR(VLOOKUP(K$8,'1st_semester'!I$5:AM$66,5,0),"")</f>
        <v/>
      </c>
      <c r="L19" s="104">
        <f>IFERROR(VLOOKUP(D$8,'3rd_Semester'!B$5:AN$60,6,0),"")</f>
        <v>20</v>
      </c>
      <c r="M19" s="180"/>
      <c r="N19" s="180"/>
      <c r="O19" s="173" t="str">
        <f>IFERROR(VLOOKUP(G$8,'3rd_Semester'!E$5:AQ$60,5,0),"")</f>
        <v/>
      </c>
      <c r="P19" s="105">
        <f t="shared" ref="P19:P26" si="0">SUM(D19,H19,L19)/3</f>
        <v>27.666666666666668</v>
      </c>
      <c r="Q19" s="177"/>
      <c r="R19" s="173"/>
      <c r="S19" s="181"/>
    </row>
    <row r="20" spans="2:19" ht="35.1" customHeight="1">
      <c r="B20" s="177" t="s">
        <v>74</v>
      </c>
      <c r="C20" s="177"/>
      <c r="D20" s="103">
        <f>IFERROR(VLOOKUP(D$8,'1st_semester'!B$5:AF$66,10,0),"")</f>
        <v>70</v>
      </c>
      <c r="E20" s="180">
        <f>IFERROR(VLOOKUP(D$8,'1st_semester'!B$5:AG$66,12,0),"")</f>
        <v>118</v>
      </c>
      <c r="F20" s="180">
        <f>'1st_semester'!N8</f>
        <v>169</v>
      </c>
      <c r="G20" s="173">
        <f>IFERROR(VLOOKUP(D$8,'1st_semester'!B$5:AI$66,14,0),"")</f>
        <v>3</v>
      </c>
      <c r="H20" s="103">
        <f>IFERROR(VLOOKUP(D$8,'2nd_Semester'!B$5:AJ$65,10,0),"")</f>
        <v>64</v>
      </c>
      <c r="I20" s="180">
        <f>IFERROR(VLOOKUP(D$8,'2nd_Semester'!B$5:AK$65,12,0),"")</f>
        <v>118</v>
      </c>
      <c r="J20" s="180">
        <f>'2nd_Semester'!N6</f>
        <v>180</v>
      </c>
      <c r="K20" s="173">
        <f>IFERROR(VLOOKUP(D$8,'2nd_Semester'!B$5:AM$65,14,0),"")</f>
        <v>3</v>
      </c>
      <c r="L20" s="104">
        <f>IFERROR(VLOOKUP(D$8,'3rd_Semester'!B$5:AN$60,10,0),"")</f>
        <v>56</v>
      </c>
      <c r="M20" s="180">
        <f>IFERROR(VLOOKUP(D$8,'3rd_Semester'!B$5:AO$60,12,0),"")</f>
        <v>140</v>
      </c>
      <c r="N20" s="180">
        <f>'3rd_Semester'!N7</f>
        <v>185</v>
      </c>
      <c r="O20" s="173">
        <f>IFERROR(VLOOKUP(D$8,'3rd_Semester'!B$5:AQ$60,14,0),"")</f>
        <v>4</v>
      </c>
      <c r="P20" s="105">
        <f t="shared" si="0"/>
        <v>63.333333333333336</v>
      </c>
      <c r="Q20" s="173">
        <f>SUM(E20,I20,M20)/3</f>
        <v>125.33333333333333</v>
      </c>
      <c r="R20" s="173">
        <f>SUM(G20,K20,O20)/3</f>
        <v>3.3333333333333335</v>
      </c>
      <c r="S20" s="181"/>
    </row>
    <row r="21" spans="2:19" ht="35.1" customHeight="1">
      <c r="B21" s="177" t="s">
        <v>75</v>
      </c>
      <c r="C21" s="177"/>
      <c r="D21" s="103">
        <f>IFERROR(VLOOKUP(D$8,'1st_semester'!B$5:AF$66,11,0),"")</f>
        <v>48</v>
      </c>
      <c r="E21" s="180" t="str">
        <f>IFERROR(VLOOKUP(E$8,'1st_semester'!C$5:AG$66,5,0),"")</f>
        <v/>
      </c>
      <c r="F21" s="180"/>
      <c r="G21" s="173" t="str">
        <f>IFERROR(VLOOKUP(G$8,'1st_semester'!E$5:AI$66,5,0),"")</f>
        <v/>
      </c>
      <c r="H21" s="103">
        <f>IFERROR(VLOOKUP(D$8,'2nd_Semester'!B$5:AJ$65,11,0),"")</f>
        <v>54</v>
      </c>
      <c r="I21" s="180" t="str">
        <f>IFERROR(VLOOKUP(I$8,'1st_semester'!G$5:AK$66,5,0),"")</f>
        <v/>
      </c>
      <c r="J21" s="180"/>
      <c r="K21" s="173" t="str">
        <f>IFERROR(VLOOKUP(K$8,'1st_semester'!I$5:AM$66,5,0),"")</f>
        <v/>
      </c>
      <c r="L21" s="104">
        <f>IFERROR(VLOOKUP(D$8,'3rd_Semester'!B$5:AN$60,11,0),"")</f>
        <v>84</v>
      </c>
      <c r="M21" s="180" t="str">
        <f>IFERROR(VLOOKUP(E$8,'3rd_Semester'!C$5:AO$60,5,0),"")</f>
        <v/>
      </c>
      <c r="N21" s="180"/>
      <c r="O21" s="173" t="str">
        <f>IFERROR(VLOOKUP(G$8,'3rd_Semester'!E$5:AQ$60,5,0),"")</f>
        <v/>
      </c>
      <c r="P21" s="105">
        <f t="shared" si="0"/>
        <v>62</v>
      </c>
      <c r="Q21" s="177"/>
      <c r="R21" s="173"/>
      <c r="S21" s="181"/>
    </row>
    <row r="22" spans="2:19" ht="35.1" customHeight="1">
      <c r="B22" s="177" t="s">
        <v>76</v>
      </c>
      <c r="C22" s="177"/>
      <c r="D22" s="103">
        <f>IFERROR(VLOOKUP(D$8,'1st_semester'!B$5:AF$66,15,0),"")</f>
        <v>40</v>
      </c>
      <c r="E22" s="177" t="str">
        <f>IFERROR(VLOOKUP(#REF!,'[1]1st_Semester'!B$5:BJ$52,30,0),"")</f>
        <v/>
      </c>
      <c r="F22" s="104">
        <f>'1st_semester'!Q8</f>
        <v>94</v>
      </c>
      <c r="G22" s="105">
        <f>IFERROR(VLOOKUP(D$8,'1st_semester'!B$5:AI$66,17,0),"")</f>
        <v>2</v>
      </c>
      <c r="H22" s="103">
        <f>IFERROR(VLOOKUP(D$8,'2nd_Semester'!B$5:AJ$65,15,0),"")</f>
        <v>42</v>
      </c>
      <c r="I22" s="177" t="str">
        <f>IFERROR(VLOOKUP(#REF!,'[1]2nd_Semester'!B$5:BP$52,31,0),"")</f>
        <v/>
      </c>
      <c r="J22" s="104">
        <f>'2nd_Semester'!Q6</f>
        <v>91</v>
      </c>
      <c r="K22" s="105">
        <f>IFERROR(VLOOKUP(D$8,'2nd_Semester'!B$5:AM$65,17,0),"")</f>
        <v>2</v>
      </c>
      <c r="L22" s="104">
        <f>IFERROR(VLOOKUP(D$8,'3rd_Semester'!B$5:AN$60,15,0),"")</f>
        <v>62</v>
      </c>
      <c r="M22" s="180" t="str">
        <f>IFERROR(VLOOKUP(#REF!,'[1]3rd_Semester'!B$5:BV$52,31,0),"")</f>
        <v/>
      </c>
      <c r="N22" s="104">
        <f>'3rd_Semester'!Q7</f>
        <v>99</v>
      </c>
      <c r="O22" s="105">
        <f>IFERROR(VLOOKUP(D$8,'3rd_Semester'!B$5:AQ$60,17,0),"")</f>
        <v>3.5</v>
      </c>
      <c r="P22" s="105">
        <f t="shared" si="0"/>
        <v>48</v>
      </c>
      <c r="Q22" s="173"/>
      <c r="R22" s="105">
        <f>SUM(G22,K22,O22)/3</f>
        <v>2.5</v>
      </c>
      <c r="S22" s="181"/>
    </row>
    <row r="23" spans="2:19" ht="35.1" customHeight="1">
      <c r="B23" s="177" t="s">
        <v>77</v>
      </c>
      <c r="C23" s="177"/>
      <c r="D23" s="103">
        <f>IFERROR(VLOOKUP(D$8,'1st_semester'!B$5:AF$66,18,0),"")</f>
        <v>52</v>
      </c>
      <c r="E23" s="177"/>
      <c r="F23" s="104">
        <f>'1st_semester'!T8</f>
        <v>98</v>
      </c>
      <c r="G23" s="105">
        <f>IFERROR(VLOOKUP(D$8,'1st_semester'!B$5:AI$66,20,0),"")</f>
        <v>3</v>
      </c>
      <c r="H23" s="103">
        <f>IFERROR(VLOOKUP(D$8,'2nd_Semester'!B$5:AJ$65,18,0),"")</f>
        <v>41</v>
      </c>
      <c r="I23" s="177"/>
      <c r="J23" s="104">
        <f>'2nd_Semester'!T6</f>
        <v>95</v>
      </c>
      <c r="K23" s="105">
        <f>IFERROR(VLOOKUP(D$8,'2nd_Semester'!B$5:AM$65,20,0),"")</f>
        <v>2</v>
      </c>
      <c r="L23" s="104">
        <f>IFERROR(VLOOKUP(D$8,'3rd_Semester'!B$5:AN$60,18,0),"")</f>
        <v>70</v>
      </c>
      <c r="M23" s="180"/>
      <c r="N23" s="104">
        <f>'3rd_Semester'!T7</f>
        <v>99</v>
      </c>
      <c r="O23" s="105">
        <f>IFERROR(VLOOKUP(D$8,'3rd_Semester'!B$5:AQ$60,20,0),"")</f>
        <v>4</v>
      </c>
      <c r="P23" s="105">
        <f t="shared" si="0"/>
        <v>54.333333333333336</v>
      </c>
      <c r="Q23" s="173"/>
      <c r="R23" s="105">
        <f>SUM(G23,K23,O23)/3</f>
        <v>3</v>
      </c>
      <c r="S23" s="181"/>
    </row>
    <row r="24" spans="2:19" ht="35.1" customHeight="1">
      <c r="B24" s="177" t="s">
        <v>78</v>
      </c>
      <c r="C24" s="177"/>
      <c r="D24" s="103">
        <f>IFERROR(VLOOKUP(D$8,'1st_semester'!B$5:AF$66,21,0),"")</f>
        <v>72</v>
      </c>
      <c r="E24" s="177"/>
      <c r="F24" s="104">
        <f>'1st_semester'!W8</f>
        <v>98</v>
      </c>
      <c r="G24" s="105">
        <f>IFERROR(VLOOKUP(D$8,'1st_semester'!B$5:AI$66,23,0),"")</f>
        <v>4</v>
      </c>
      <c r="H24" s="103">
        <f>IFERROR(VLOOKUP(D$8,'2nd_Semester'!B$5:AJ$65,21,0),"")</f>
        <v>45</v>
      </c>
      <c r="I24" s="177"/>
      <c r="J24" s="104">
        <f>'2nd_Semester'!W6</f>
        <v>98</v>
      </c>
      <c r="K24" s="105">
        <f>IFERROR(VLOOKUP(D$8,'2nd_Semester'!B$5:AM$65,23,0),"")</f>
        <v>2</v>
      </c>
      <c r="L24" s="104">
        <f>IFERROR(VLOOKUP(D$8,'3rd_Semester'!B$5:AN$60,21,0),"")</f>
        <v>71</v>
      </c>
      <c r="M24" s="180"/>
      <c r="N24" s="104">
        <f>'3rd_Semester'!W7</f>
        <v>93</v>
      </c>
      <c r="O24" s="105">
        <f>IFERROR(VLOOKUP(D$8,'3rd_Semester'!B$5:AQ$60,23,0),"")</f>
        <v>4</v>
      </c>
      <c r="P24" s="105">
        <f t="shared" si="0"/>
        <v>62.666666666666664</v>
      </c>
      <c r="Q24" s="173"/>
      <c r="R24" s="105">
        <f>SUM(G24,K24,O24)/3</f>
        <v>3.3333333333333335</v>
      </c>
      <c r="S24" s="181"/>
    </row>
    <row r="25" spans="2:19" ht="35.1" customHeight="1">
      <c r="B25" s="177" t="s">
        <v>79</v>
      </c>
      <c r="C25" s="177"/>
      <c r="D25" s="103">
        <f>IFERROR(VLOOKUP(D$8,'1st_semester'!B$5:AF$66,24,0),"")</f>
        <v>37</v>
      </c>
      <c r="E25" s="177"/>
      <c r="F25" s="104">
        <f>'1st_semester'!Z8</f>
        <v>50</v>
      </c>
      <c r="G25" s="105">
        <f>IFERROR(VLOOKUP(D$8,'1st_semester'!B$5:AI$66,26,0),"")</f>
        <v>4</v>
      </c>
      <c r="H25" s="103">
        <f>IFERROR(VLOOKUP(D$8,'2nd_Semester'!B$5:AJ$65,24,0),"")</f>
        <v>35</v>
      </c>
      <c r="I25" s="177"/>
      <c r="J25" s="104">
        <f>'2nd_Semester'!Z6</f>
        <v>50</v>
      </c>
      <c r="K25" s="105">
        <f>IFERROR(VLOOKUP(D$8,'2nd_Semester'!B$5:AM$65,26,0),"")</f>
        <v>4</v>
      </c>
      <c r="L25" s="104">
        <f>IFERROR(VLOOKUP(D$8,'3rd_Semester'!B$5:AN$60,24,0),"")</f>
        <v>34</v>
      </c>
      <c r="M25" s="180"/>
      <c r="N25" s="104">
        <f>'3rd_Semester'!Z7</f>
        <v>45</v>
      </c>
      <c r="O25" s="105">
        <f>IFERROR(VLOOKUP(D$8,'3rd_Semester'!B$5:AQ$60,26,0),"")</f>
        <v>3.5</v>
      </c>
      <c r="P25" s="105">
        <f t="shared" si="0"/>
        <v>35.333333333333336</v>
      </c>
      <c r="Q25" s="173"/>
      <c r="R25" s="105">
        <f>SUM(G25,K25,O25)/3</f>
        <v>3.8333333333333335</v>
      </c>
      <c r="S25" s="181"/>
    </row>
    <row r="26" spans="2:19" ht="35.1" customHeight="1">
      <c r="B26" s="177" t="s">
        <v>80</v>
      </c>
      <c r="C26" s="177"/>
      <c r="D26" s="103">
        <f>IFERROR(VLOOKUP(D$8,'1st_semester'!B$5:AF$66,27,0),"")</f>
        <v>36</v>
      </c>
      <c r="E26" s="177"/>
      <c r="F26" s="104">
        <f>'1st_semester'!AC8</f>
        <v>50</v>
      </c>
      <c r="G26" s="105">
        <f>IFERROR(VLOOKUP(D$8,'1st_semester'!B$5:AI$66,29,0),"")</f>
        <v>4</v>
      </c>
      <c r="H26" s="103">
        <f>IFERROR(VLOOKUP(D$8,'2nd_Semester'!B$5:AJ$65,27,0),"")</f>
        <v>30</v>
      </c>
      <c r="I26" s="177"/>
      <c r="J26" s="104">
        <f>'2nd_Semester'!AC6</f>
        <v>47</v>
      </c>
      <c r="K26" s="105">
        <f>IFERROR(VLOOKUP(D$8,'2nd_Semester'!B$5:AM$65,29,0),"")</f>
        <v>3.5</v>
      </c>
      <c r="L26" s="104">
        <f>IFERROR(VLOOKUP(D$8,'3rd_Semester'!B$5:AN$60,27,0),"")</f>
        <v>24</v>
      </c>
      <c r="M26" s="180"/>
      <c r="N26" s="104">
        <f>'3rd_Semester'!AC7</f>
        <v>48</v>
      </c>
      <c r="O26" s="105">
        <f>IFERROR(VLOOKUP(D$8,'3rd_Semester'!B$5:AQ$60,29,0),"")</f>
        <v>2</v>
      </c>
      <c r="P26" s="105">
        <f t="shared" si="0"/>
        <v>30</v>
      </c>
      <c r="Q26" s="173"/>
      <c r="R26" s="105">
        <f>SUM(G26,K26,O26)/3</f>
        <v>3.1666666666666665</v>
      </c>
      <c r="S26" s="181"/>
    </row>
    <row r="27" spans="2:19" ht="35.1" customHeight="1">
      <c r="B27" s="182" t="s">
        <v>81</v>
      </c>
      <c r="C27" s="182"/>
      <c r="D27" s="106">
        <f>SUM(D18:D26)</f>
        <v>461</v>
      </c>
      <c r="E27" s="183"/>
      <c r="F27" s="183"/>
      <c r="G27" s="183"/>
      <c r="H27" s="106">
        <f>SUM(H18:H26)</f>
        <v>406</v>
      </c>
      <c r="I27" s="183"/>
      <c r="J27" s="183"/>
      <c r="K27" s="183"/>
      <c r="L27" s="106">
        <f>SUM(L18:L26)</f>
        <v>480</v>
      </c>
      <c r="M27" s="183"/>
      <c r="N27" s="183"/>
      <c r="O27" s="183"/>
      <c r="P27" s="106">
        <f>SUM(P18:P26)</f>
        <v>449</v>
      </c>
      <c r="Q27" s="183"/>
      <c r="R27" s="183"/>
      <c r="S27" s="183"/>
    </row>
    <row r="32" spans="2:19">
      <c r="B32" s="110" t="s">
        <v>59</v>
      </c>
      <c r="C32"/>
      <c r="I32" s="43" t="s">
        <v>82</v>
      </c>
      <c r="Q32" s="43" t="s">
        <v>83</v>
      </c>
    </row>
  </sheetData>
  <mergeCells count="64">
    <mergeCell ref="I27:K27"/>
    <mergeCell ref="M27:O27"/>
    <mergeCell ref="Q27:S27"/>
    <mergeCell ref="D13:D17"/>
    <mergeCell ref="H13:H17"/>
    <mergeCell ref="L13:L17"/>
    <mergeCell ref="E22:E26"/>
    <mergeCell ref="I22:I26"/>
    <mergeCell ref="M22:M26"/>
    <mergeCell ref="N20:N21"/>
    <mergeCell ref="O20:O21"/>
    <mergeCell ref="Q20:Q21"/>
    <mergeCell ref="R20:R21"/>
    <mergeCell ref="Q18:Q19"/>
    <mergeCell ref="R18:R19"/>
    <mergeCell ref="J18:J19"/>
    <mergeCell ref="B27:C27"/>
    <mergeCell ref="E27:G27"/>
    <mergeCell ref="B23:C23"/>
    <mergeCell ref="B24:C24"/>
    <mergeCell ref="B25:C25"/>
    <mergeCell ref="B26:C26"/>
    <mergeCell ref="B21:C21"/>
    <mergeCell ref="B22:C22"/>
    <mergeCell ref="S18:S26"/>
    <mergeCell ref="B19:C19"/>
    <mergeCell ref="B20:C20"/>
    <mergeCell ref="E20:E21"/>
    <mergeCell ref="F20:F21"/>
    <mergeCell ref="G20:G21"/>
    <mergeCell ref="I20:I21"/>
    <mergeCell ref="J20:J21"/>
    <mergeCell ref="K20:K21"/>
    <mergeCell ref="M20:M21"/>
    <mergeCell ref="K18:K19"/>
    <mergeCell ref="M18:M19"/>
    <mergeCell ref="N18:N19"/>
    <mergeCell ref="O18:O19"/>
    <mergeCell ref="B18:C18"/>
    <mergeCell ref="E18:E19"/>
    <mergeCell ref="F18:F19"/>
    <mergeCell ref="G18:G19"/>
    <mergeCell ref="I18:I19"/>
    <mergeCell ref="B1:S4"/>
    <mergeCell ref="B12:C17"/>
    <mergeCell ref="D12:G12"/>
    <mergeCell ref="H12:K12"/>
    <mergeCell ref="L12:O12"/>
    <mergeCell ref="P12:S12"/>
    <mergeCell ref="P13:P17"/>
    <mergeCell ref="Q13:Q17"/>
    <mergeCell ref="R13:R17"/>
    <mergeCell ref="S13:S17"/>
    <mergeCell ref="J13:J17"/>
    <mergeCell ref="K13:K17"/>
    <mergeCell ref="M13:M17"/>
    <mergeCell ref="N13:N17"/>
    <mergeCell ref="O13:O17"/>
    <mergeCell ref="N5:R5"/>
    <mergeCell ref="Q22:Q26"/>
    <mergeCell ref="E13:E17"/>
    <mergeCell ref="F13:F17"/>
    <mergeCell ref="G13:G17"/>
    <mergeCell ref="I13:I17"/>
  </mergeCells>
  <printOptions horizontalCentered="1" verticalCentered="1"/>
  <pageMargins left="0" right="0" top="0" bottom="0" header="0" footer="0"/>
  <pageSetup paperSize="9" scale="7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1st_semester</vt:lpstr>
      <vt:lpstr>2nd_Semester</vt:lpstr>
      <vt:lpstr>3rd_Semester</vt:lpstr>
      <vt:lpstr>Result card </vt:lpstr>
      <vt:lpstr>ANNUAL_CARD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2025-12-24T06:58:27Z</cp:lastPrinted>
  <dcterms:created xsi:type="dcterms:W3CDTF">2020-11-16T05:16:13Z</dcterms:created>
  <dcterms:modified xsi:type="dcterms:W3CDTF">2025-12-24T06:58:31Z</dcterms:modified>
</cp:coreProperties>
</file>