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9040" windowHeight="15840" activeTab="3"/>
  </bookViews>
  <sheets>
    <sheet name="1st_Semester" sheetId="4" r:id="rId1"/>
    <sheet name="2nd_Semester" sheetId="1" r:id="rId2"/>
    <sheet name="3rd_Semester" sheetId="3" r:id="rId3"/>
    <sheet name="ANNUAL_CARD" sheetId="5" r:id="rId4"/>
    <sheet name="Result card " sheetId="2" r:id="rId5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Z10" i="3"/>
  <c r="BZ11"/>
  <c r="BZ12"/>
  <c r="BZ13"/>
  <c r="BZ14"/>
  <c r="BZ15"/>
  <c r="BZ16"/>
  <c r="BZ17"/>
  <c r="BZ18"/>
  <c r="BZ19"/>
  <c r="BZ20"/>
  <c r="BZ21"/>
  <c r="BZ22"/>
  <c r="BZ23"/>
  <c r="BZ9"/>
  <c r="BY10"/>
  <c r="BY11"/>
  <c r="BY12"/>
  <c r="BY13"/>
  <c r="BY14"/>
  <c r="BY15"/>
  <c r="BY16"/>
  <c r="BY17"/>
  <c r="BY18"/>
  <c r="BY19"/>
  <c r="BY20"/>
  <c r="BY21"/>
  <c r="BY22"/>
  <c r="BY23"/>
  <c r="BY9"/>
  <c r="BX10"/>
  <c r="BX11"/>
  <c r="BX12"/>
  <c r="BX13"/>
  <c r="BX14"/>
  <c r="BX15"/>
  <c r="BX16"/>
  <c r="BX17"/>
  <c r="BX18"/>
  <c r="BX19"/>
  <c r="BX20"/>
  <c r="BX21"/>
  <c r="BX22"/>
  <c r="BX23"/>
  <c r="BX9"/>
  <c r="BW10"/>
  <c r="BW11"/>
  <c r="BW12"/>
  <c r="BW13"/>
  <c r="BW14"/>
  <c r="BW15"/>
  <c r="BW16"/>
  <c r="BW17"/>
  <c r="BW18"/>
  <c r="BW19"/>
  <c r="BW20"/>
  <c r="BW21"/>
  <c r="BW22"/>
  <c r="BW23"/>
  <c r="BW9"/>
  <c r="BT10" i="4" l="1"/>
  <c r="BT11"/>
  <c r="BT12"/>
  <c r="BT13"/>
  <c r="BT14"/>
  <c r="BT15"/>
  <c r="BT16"/>
  <c r="BT17"/>
  <c r="BT18"/>
  <c r="BT19"/>
  <c r="BT20"/>
  <c r="BT21"/>
  <c r="BT22"/>
  <c r="BT23"/>
  <c r="BT9"/>
  <c r="BT10" i="1"/>
  <c r="BT11"/>
  <c r="BT12"/>
  <c r="BT13"/>
  <c r="BT14"/>
  <c r="BT15"/>
  <c r="BT16"/>
  <c r="BT17"/>
  <c r="BT18"/>
  <c r="BT19"/>
  <c r="BT20"/>
  <c r="BT21"/>
  <c r="BT22"/>
  <c r="BT23"/>
  <c r="BT9"/>
  <c r="BQ10" i="4"/>
  <c r="BQ11"/>
  <c r="BQ12"/>
  <c r="BQ13"/>
  <c r="BQ14"/>
  <c r="BQ15"/>
  <c r="BQ16"/>
  <c r="BQ17"/>
  <c r="BQ18"/>
  <c r="BQ19"/>
  <c r="BQ20"/>
  <c r="BQ21"/>
  <c r="BQ22"/>
  <c r="BQ23"/>
  <c r="BQ9"/>
  <c r="BP9"/>
  <c r="BQ10" i="1"/>
  <c r="BQ11"/>
  <c r="BQ12"/>
  <c r="BQ13"/>
  <c r="BQ14"/>
  <c r="BQ15"/>
  <c r="BQ16"/>
  <c r="BQ17"/>
  <c r="BQ18"/>
  <c r="BQ19"/>
  <c r="BQ20"/>
  <c r="BQ21"/>
  <c r="BQ22"/>
  <c r="BQ23"/>
  <c r="BQ9"/>
  <c r="BP9"/>
  <c r="BP15"/>
  <c r="BP16"/>
  <c r="BE22"/>
  <c r="BE21"/>
  <c r="BE20"/>
  <c r="BE19"/>
  <c r="BE18"/>
  <c r="BE17"/>
  <c r="BE16"/>
  <c r="BE15"/>
  <c r="BE14"/>
  <c r="BE13"/>
  <c r="BE12"/>
  <c r="BE11"/>
  <c r="BE10"/>
  <c r="BE9"/>
  <c r="AX22"/>
  <c r="AX21"/>
  <c r="AX20"/>
  <c r="AX19"/>
  <c r="AX18"/>
  <c r="AX17"/>
  <c r="AX16"/>
  <c r="AX15"/>
  <c r="AX14"/>
  <c r="AX13"/>
  <c r="AX12"/>
  <c r="AX11"/>
  <c r="AX10"/>
  <c r="AX9"/>
  <c r="AL22"/>
  <c r="AL21"/>
  <c r="AL20"/>
  <c r="AL19"/>
  <c r="AL18"/>
  <c r="AL17"/>
  <c r="AL16"/>
  <c r="AL15"/>
  <c r="AL14"/>
  <c r="AL13"/>
  <c r="AL12"/>
  <c r="AL11"/>
  <c r="AL10"/>
  <c r="AL9"/>
  <c r="AE22"/>
  <c r="AE21"/>
  <c r="AE20"/>
  <c r="AE19"/>
  <c r="AE18"/>
  <c r="AE17"/>
  <c r="AE16"/>
  <c r="AE15"/>
  <c r="AE14"/>
  <c r="AE13"/>
  <c r="AE12"/>
  <c r="AE11"/>
  <c r="AE10"/>
  <c r="AE9"/>
  <c r="X23"/>
  <c r="U23"/>
  <c r="O22"/>
  <c r="N23"/>
  <c r="P23"/>
  <c r="K23"/>
  <c r="I23"/>
  <c r="U22"/>
  <c r="U21"/>
  <c r="U20"/>
  <c r="U19"/>
  <c r="U18"/>
  <c r="U17"/>
  <c r="U16"/>
  <c r="U15"/>
  <c r="U14"/>
  <c r="U13"/>
  <c r="U12"/>
  <c r="U11"/>
  <c r="U10"/>
  <c r="U9"/>
  <c r="O10"/>
  <c r="O11"/>
  <c r="O12"/>
  <c r="O14"/>
  <c r="O15"/>
  <c r="O16"/>
  <c r="O17"/>
  <c r="O18"/>
  <c r="O19"/>
  <c r="O20"/>
  <c r="O21"/>
  <c r="O9"/>
  <c r="N22"/>
  <c r="I22"/>
  <c r="K22" s="1"/>
  <c r="N21"/>
  <c r="K21"/>
  <c r="I21"/>
  <c r="N20"/>
  <c r="K20"/>
  <c r="I20"/>
  <c r="N19"/>
  <c r="K19"/>
  <c r="I19"/>
  <c r="N18"/>
  <c r="K18"/>
  <c r="I18"/>
  <c r="N17"/>
  <c r="K17"/>
  <c r="I17"/>
  <c r="N16"/>
  <c r="K16"/>
  <c r="I16"/>
  <c r="N15"/>
  <c r="K15"/>
  <c r="I15"/>
  <c r="N14"/>
  <c r="K14"/>
  <c r="I14"/>
  <c r="N13"/>
  <c r="O13" s="1"/>
  <c r="K13"/>
  <c r="I13"/>
  <c r="N12"/>
  <c r="K12"/>
  <c r="I12"/>
  <c r="N11"/>
  <c r="K11"/>
  <c r="I11"/>
  <c r="N10"/>
  <c r="K10"/>
  <c r="I10"/>
  <c r="N9"/>
  <c r="K9"/>
  <c r="I9"/>
  <c r="BE21" i="4" l="1"/>
  <c r="BE20"/>
  <c r="BE19"/>
  <c r="BE18"/>
  <c r="BE17"/>
  <c r="BE16"/>
  <c r="BE15"/>
  <c r="BE14"/>
  <c r="BE13"/>
  <c r="BE12"/>
  <c r="BE11"/>
  <c r="BE10"/>
  <c r="BE9"/>
  <c r="AX21"/>
  <c r="AX20"/>
  <c r="AX19"/>
  <c r="AX18"/>
  <c r="AX17"/>
  <c r="AX16"/>
  <c r="AX15"/>
  <c r="AX14"/>
  <c r="AX13"/>
  <c r="AX12"/>
  <c r="AX11"/>
  <c r="AX10"/>
  <c r="AX9"/>
  <c r="I22" l="1"/>
  <c r="K22" s="1"/>
  <c r="P22" s="1"/>
  <c r="N22"/>
  <c r="O22" s="1"/>
  <c r="I23"/>
  <c r="K23" s="1"/>
  <c r="P23" s="1"/>
  <c r="N23"/>
  <c r="O23" s="1"/>
  <c r="Y5" i="5" l="1"/>
  <c r="L19"/>
  <c r="Q26"/>
  <c r="Q25"/>
  <c r="Q24"/>
  <c r="Q23"/>
  <c r="Q22"/>
  <c r="Q21"/>
  <c r="Q20"/>
  <c r="Q19"/>
  <c r="Q18"/>
  <c r="Q17"/>
  <c r="P25"/>
  <c r="P24"/>
  <c r="P23"/>
  <c r="P22"/>
  <c r="P21"/>
  <c r="P17"/>
  <c r="O26"/>
  <c r="O25"/>
  <c r="O24"/>
  <c r="O22"/>
  <c r="O21"/>
  <c r="O20"/>
  <c r="O19"/>
  <c r="O18"/>
  <c r="O17"/>
  <c r="N26"/>
  <c r="N25"/>
  <c r="N24"/>
  <c r="N23"/>
  <c r="N22"/>
  <c r="N21"/>
  <c r="N19"/>
  <c r="L26"/>
  <c r="L25"/>
  <c r="L24"/>
  <c r="L23"/>
  <c r="L22"/>
  <c r="L21"/>
  <c r="K26"/>
  <c r="K25"/>
  <c r="K24"/>
  <c r="K23"/>
  <c r="E26"/>
  <c r="E25"/>
  <c r="E24"/>
  <c r="E23"/>
  <c r="K22"/>
  <c r="K21"/>
  <c r="K20"/>
  <c r="K19"/>
  <c r="K18"/>
  <c r="K17"/>
  <c r="J24"/>
  <c r="J23"/>
  <c r="J25"/>
  <c r="J22"/>
  <c r="J21"/>
  <c r="J17"/>
  <c r="I26"/>
  <c r="I25"/>
  <c r="I24"/>
  <c r="I22"/>
  <c r="I21"/>
  <c r="I20"/>
  <c r="I19"/>
  <c r="I18"/>
  <c r="I17"/>
  <c r="E22"/>
  <c r="E21"/>
  <c r="E20"/>
  <c r="E19"/>
  <c r="E18"/>
  <c r="E17"/>
  <c r="D25"/>
  <c r="D24"/>
  <c r="D23"/>
  <c r="D22"/>
  <c r="D21"/>
  <c r="C26"/>
  <c r="C25"/>
  <c r="C24"/>
  <c r="C22"/>
  <c r="C21"/>
  <c r="C20"/>
  <c r="C19"/>
  <c r="C18"/>
  <c r="D17"/>
  <c r="C10"/>
  <c r="C9"/>
  <c r="C5"/>
  <c r="C17"/>
  <c r="BL23" i="3"/>
  <c r="BM23" s="1"/>
  <c r="BE23"/>
  <c r="BG23" s="1"/>
  <c r="BI23" s="1"/>
  <c r="AX23"/>
  <c r="AZ23" s="1"/>
  <c r="BB23" s="1"/>
  <c r="AS23"/>
  <c r="AU23" s="1"/>
  <c r="T23" i="5" s="1"/>
  <c r="AL23" i="3"/>
  <c r="AN23" s="1"/>
  <c r="AP23" s="1"/>
  <c r="AE23"/>
  <c r="AG23" s="1"/>
  <c r="AI23" s="1"/>
  <c r="X23"/>
  <c r="U23"/>
  <c r="N23"/>
  <c r="O23" s="1"/>
  <c r="I23"/>
  <c r="K23" s="1"/>
  <c r="BL22"/>
  <c r="BM22" s="1"/>
  <c r="BE22"/>
  <c r="BG22" s="1"/>
  <c r="BI22" s="1"/>
  <c r="AX22"/>
  <c r="AZ22" s="1"/>
  <c r="BB22" s="1"/>
  <c r="AS22"/>
  <c r="AU22" s="1"/>
  <c r="AL22"/>
  <c r="AN22" s="1"/>
  <c r="AP22" s="1"/>
  <c r="AE22"/>
  <c r="AG22" s="1"/>
  <c r="AI22" s="1"/>
  <c r="X22"/>
  <c r="U22"/>
  <c r="N22"/>
  <c r="O22" s="1"/>
  <c r="I22"/>
  <c r="K22" s="1"/>
  <c r="BL21"/>
  <c r="BM21" s="1"/>
  <c r="BE21"/>
  <c r="BG21" s="1"/>
  <c r="BI21" s="1"/>
  <c r="AX21"/>
  <c r="AZ21" s="1"/>
  <c r="BB21" s="1"/>
  <c r="AS21"/>
  <c r="AU21" s="1"/>
  <c r="AL21"/>
  <c r="AN21" s="1"/>
  <c r="AP21" s="1"/>
  <c r="AE21"/>
  <c r="AG21" s="1"/>
  <c r="AI21" s="1"/>
  <c r="X21"/>
  <c r="U21"/>
  <c r="N21"/>
  <c r="O21" s="1"/>
  <c r="I21"/>
  <c r="K21" s="1"/>
  <c r="BL20"/>
  <c r="BM20" s="1"/>
  <c r="BE20"/>
  <c r="BG20" s="1"/>
  <c r="BI20" s="1"/>
  <c r="AX20"/>
  <c r="AZ20" s="1"/>
  <c r="BB20" s="1"/>
  <c r="AS20"/>
  <c r="AU20" s="1"/>
  <c r="AL20"/>
  <c r="AN20" s="1"/>
  <c r="AP20" s="1"/>
  <c r="AE20"/>
  <c r="AG20" s="1"/>
  <c r="AI20" s="1"/>
  <c r="X20"/>
  <c r="U20"/>
  <c r="N20"/>
  <c r="O20" s="1"/>
  <c r="I20"/>
  <c r="K20" s="1"/>
  <c r="BL19"/>
  <c r="BM19" s="1"/>
  <c r="BE19"/>
  <c r="BG19" s="1"/>
  <c r="BI19" s="1"/>
  <c r="AX19"/>
  <c r="AZ19" s="1"/>
  <c r="BB19" s="1"/>
  <c r="AS19"/>
  <c r="AU19" s="1"/>
  <c r="AL19"/>
  <c r="AN19" s="1"/>
  <c r="AP19" s="1"/>
  <c r="AE19"/>
  <c r="AG19" s="1"/>
  <c r="AI19" s="1"/>
  <c r="X19"/>
  <c r="U19"/>
  <c r="N19"/>
  <c r="O19" s="1"/>
  <c r="I19"/>
  <c r="K19" s="1"/>
  <c r="BL18"/>
  <c r="BM18" s="1"/>
  <c r="R26" i="5" s="1"/>
  <c r="BE18" i="3"/>
  <c r="BG18" s="1"/>
  <c r="BI18" s="1"/>
  <c r="T25" i="5" s="1"/>
  <c r="AX18" i="3"/>
  <c r="AZ18" s="1"/>
  <c r="BB18" s="1"/>
  <c r="T24" i="5" s="1"/>
  <c r="AS18" i="3"/>
  <c r="AU18" s="1"/>
  <c r="AL18"/>
  <c r="AN18" s="1"/>
  <c r="AP18" s="1"/>
  <c r="AE18"/>
  <c r="AG18" s="1"/>
  <c r="AI18" s="1"/>
  <c r="X18"/>
  <c r="U18"/>
  <c r="N18"/>
  <c r="O18" s="1"/>
  <c r="I18"/>
  <c r="K18" s="1"/>
  <c r="BL17"/>
  <c r="BM17" s="1"/>
  <c r="BE17"/>
  <c r="BG17" s="1"/>
  <c r="BI17" s="1"/>
  <c r="AX17"/>
  <c r="AZ17" s="1"/>
  <c r="BB17" s="1"/>
  <c r="AS17"/>
  <c r="AU17" s="1"/>
  <c r="AL17"/>
  <c r="AN17" s="1"/>
  <c r="AP17" s="1"/>
  <c r="AE17"/>
  <c r="AG17" s="1"/>
  <c r="AI17" s="1"/>
  <c r="X17"/>
  <c r="U17"/>
  <c r="N17"/>
  <c r="O17" s="1"/>
  <c r="I17"/>
  <c r="K17" s="1"/>
  <c r="BL16"/>
  <c r="BM16" s="1"/>
  <c r="BE16"/>
  <c r="BG16" s="1"/>
  <c r="BI16" s="1"/>
  <c r="AX16"/>
  <c r="AZ16" s="1"/>
  <c r="BB16" s="1"/>
  <c r="AS16"/>
  <c r="AU16" s="1"/>
  <c r="AL16"/>
  <c r="AN16" s="1"/>
  <c r="AP16" s="1"/>
  <c r="AE16"/>
  <c r="AG16" s="1"/>
  <c r="AI16" s="1"/>
  <c r="X16"/>
  <c r="U16"/>
  <c r="N16"/>
  <c r="O16" s="1"/>
  <c r="I16"/>
  <c r="K16" s="1"/>
  <c r="BL15"/>
  <c r="BM15" s="1"/>
  <c r="BE15"/>
  <c r="BG15" s="1"/>
  <c r="BI15" s="1"/>
  <c r="AX15"/>
  <c r="AZ15" s="1"/>
  <c r="BB15" s="1"/>
  <c r="AS15"/>
  <c r="AU15" s="1"/>
  <c r="AL15"/>
  <c r="AN15" s="1"/>
  <c r="AP15" s="1"/>
  <c r="AE15"/>
  <c r="AG15" s="1"/>
  <c r="AI15" s="1"/>
  <c r="X15"/>
  <c r="U15"/>
  <c r="N15"/>
  <c r="O15" s="1"/>
  <c r="I15"/>
  <c r="K15" s="1"/>
  <c r="BL14"/>
  <c r="BM14" s="1"/>
  <c r="BE14"/>
  <c r="BG14" s="1"/>
  <c r="BI14" s="1"/>
  <c r="AX14"/>
  <c r="AZ14" s="1"/>
  <c r="BB14" s="1"/>
  <c r="AS14"/>
  <c r="AU14" s="1"/>
  <c r="AL14"/>
  <c r="AN14" s="1"/>
  <c r="AP14" s="1"/>
  <c r="AE14"/>
  <c r="AG14" s="1"/>
  <c r="AI14" s="1"/>
  <c r="X14"/>
  <c r="U14"/>
  <c r="N14"/>
  <c r="O14" s="1"/>
  <c r="I14"/>
  <c r="K14" s="1"/>
  <c r="BL13"/>
  <c r="BM13" s="1"/>
  <c r="BE13"/>
  <c r="BG13" s="1"/>
  <c r="BI13" s="1"/>
  <c r="AX13"/>
  <c r="AZ13" s="1"/>
  <c r="BB13" s="1"/>
  <c r="AS13"/>
  <c r="AU13" s="1"/>
  <c r="AL13"/>
  <c r="AN13" s="1"/>
  <c r="AP13" s="1"/>
  <c r="AE13"/>
  <c r="AG13" s="1"/>
  <c r="AI13" s="1"/>
  <c r="X13"/>
  <c r="U13"/>
  <c r="N13"/>
  <c r="O13" s="1"/>
  <c r="I13"/>
  <c r="K13" s="1"/>
  <c r="BL12"/>
  <c r="BM12" s="1"/>
  <c r="BE12"/>
  <c r="BG12" s="1"/>
  <c r="BI12" s="1"/>
  <c r="AX12"/>
  <c r="AZ12" s="1"/>
  <c r="BB12" s="1"/>
  <c r="AS12"/>
  <c r="AU12" s="1"/>
  <c r="AL12"/>
  <c r="AN12" s="1"/>
  <c r="AP12" s="1"/>
  <c r="AE12"/>
  <c r="AG12" s="1"/>
  <c r="AI12" s="1"/>
  <c r="X12"/>
  <c r="U12"/>
  <c r="N12"/>
  <c r="O12" s="1"/>
  <c r="I12"/>
  <c r="K12" s="1"/>
  <c r="BL11"/>
  <c r="BM11" s="1"/>
  <c r="BE11"/>
  <c r="BG11" s="1"/>
  <c r="BI11" s="1"/>
  <c r="AX11"/>
  <c r="AZ11" s="1"/>
  <c r="BB11" s="1"/>
  <c r="AS11"/>
  <c r="AU11" s="1"/>
  <c r="AL11"/>
  <c r="AN11" s="1"/>
  <c r="AP11" s="1"/>
  <c r="AE11"/>
  <c r="AG11" s="1"/>
  <c r="AI11" s="1"/>
  <c r="X11"/>
  <c r="U11"/>
  <c r="N11"/>
  <c r="O11" s="1"/>
  <c r="I11"/>
  <c r="K11" s="1"/>
  <c r="BL10"/>
  <c r="BM10" s="1"/>
  <c r="BE10"/>
  <c r="BG10" s="1"/>
  <c r="BI10" s="1"/>
  <c r="AX10"/>
  <c r="AZ10" s="1"/>
  <c r="BB10" s="1"/>
  <c r="AS10"/>
  <c r="AU10" s="1"/>
  <c r="AL10"/>
  <c r="AN10" s="1"/>
  <c r="AP10" s="1"/>
  <c r="AE10"/>
  <c r="AG10" s="1"/>
  <c r="AI10" s="1"/>
  <c r="X10"/>
  <c r="U10"/>
  <c r="N10"/>
  <c r="O10" s="1"/>
  <c r="I10"/>
  <c r="K10" s="1"/>
  <c r="BL9"/>
  <c r="BE9"/>
  <c r="BG9" s="1"/>
  <c r="AX9"/>
  <c r="AZ9" s="1"/>
  <c r="AS9"/>
  <c r="AL9"/>
  <c r="AN9" s="1"/>
  <c r="AE9"/>
  <c r="AG9" s="1"/>
  <c r="X9"/>
  <c r="U9"/>
  <c r="N9"/>
  <c r="O9" s="1"/>
  <c r="I9"/>
  <c r="K9" s="1"/>
  <c r="AS10" i="1"/>
  <c r="AS11"/>
  <c r="AS12"/>
  <c r="AS13"/>
  <c r="AS14"/>
  <c r="AS15"/>
  <c r="AS16"/>
  <c r="AS17"/>
  <c r="AS18"/>
  <c r="AS19"/>
  <c r="AS20"/>
  <c r="AS21"/>
  <c r="AS22"/>
  <c r="AS23"/>
  <c r="AS9"/>
  <c r="T22" i="5" l="1"/>
  <c r="T21"/>
  <c r="Y23" i="3"/>
  <c r="Z23" s="1"/>
  <c r="AB23" s="1"/>
  <c r="Y13"/>
  <c r="Z13" s="1"/>
  <c r="AB13" s="1"/>
  <c r="P13"/>
  <c r="Y14"/>
  <c r="Z14" s="1"/>
  <c r="AB14" s="1"/>
  <c r="P14"/>
  <c r="P21"/>
  <c r="BT21" s="1"/>
  <c r="U26" i="5"/>
  <c r="W25"/>
  <c r="Y17" i="3"/>
  <c r="Z17" s="1"/>
  <c r="AB17" s="1"/>
  <c r="Y16"/>
  <c r="Z16" s="1"/>
  <c r="AB16" s="1"/>
  <c r="P22"/>
  <c r="P10"/>
  <c r="Y19"/>
  <c r="Z19" s="1"/>
  <c r="AB19" s="1"/>
  <c r="AT9"/>
  <c r="S23" i="5" s="1"/>
  <c r="Y21" i="3"/>
  <c r="Z21" s="1"/>
  <c r="AB21" s="1"/>
  <c r="Y22"/>
  <c r="Z22" s="1"/>
  <c r="AB22" s="1"/>
  <c r="U17" i="5"/>
  <c r="V25"/>
  <c r="U25"/>
  <c r="W26"/>
  <c r="R22"/>
  <c r="Y15" i="3"/>
  <c r="Z15" s="1"/>
  <c r="AB15" s="1"/>
  <c r="R25" i="5"/>
  <c r="BO12" i="3"/>
  <c r="R24" i="5"/>
  <c r="R23"/>
  <c r="Y9" i="3"/>
  <c r="Z9" s="1"/>
  <c r="AB9" s="1"/>
  <c r="Y10"/>
  <c r="Z10" s="1"/>
  <c r="AB10" s="1"/>
  <c r="BO14"/>
  <c r="P16"/>
  <c r="BO23"/>
  <c r="Y18"/>
  <c r="Z18" s="1"/>
  <c r="AB18" s="1"/>
  <c r="R21" i="5"/>
  <c r="P9" i="3"/>
  <c r="Y11"/>
  <c r="Z11" s="1"/>
  <c r="AB11" s="1"/>
  <c r="Y12"/>
  <c r="Z12" s="1"/>
  <c r="AB12" s="1"/>
  <c r="Y20"/>
  <c r="Z20" s="1"/>
  <c r="AB20" s="1"/>
  <c r="P12"/>
  <c r="P20"/>
  <c r="P17"/>
  <c r="P18"/>
  <c r="P11"/>
  <c r="BT11" s="1"/>
  <c r="BH9"/>
  <c r="S25" i="5" s="1"/>
  <c r="BI9" i="3"/>
  <c r="P19"/>
  <c r="BA9"/>
  <c r="S24" i="5" s="1"/>
  <c r="BB9" i="3"/>
  <c r="R21"/>
  <c r="AO9"/>
  <c r="S22" i="5" s="1"/>
  <c r="AH9" i="3"/>
  <c r="S21" i="5" s="1"/>
  <c r="AI9" i="3"/>
  <c r="P15"/>
  <c r="P23"/>
  <c r="BM9"/>
  <c r="BN9" s="1"/>
  <c r="S26" i="5" s="1"/>
  <c r="AP9" i="3"/>
  <c r="BO10"/>
  <c r="BO18"/>
  <c r="BO22"/>
  <c r="BO11"/>
  <c r="BO15"/>
  <c r="BO19"/>
  <c r="BO16"/>
  <c r="BO20"/>
  <c r="AU9"/>
  <c r="BO13"/>
  <c r="BO17"/>
  <c r="BO21"/>
  <c r="BT15" l="1"/>
  <c r="BT17"/>
  <c r="BT14"/>
  <c r="R9"/>
  <c r="BT9"/>
  <c r="T26" i="5"/>
  <c r="BT19" i="3"/>
  <c r="R19" i="5"/>
  <c r="BT22" i="3"/>
  <c r="R16"/>
  <c r="BP16" s="1"/>
  <c r="BT16"/>
  <c r="R10"/>
  <c r="BP10" s="1"/>
  <c r="BQ10" s="1"/>
  <c r="BT10"/>
  <c r="T19" i="5"/>
  <c r="R13" i="3"/>
  <c r="BT13"/>
  <c r="R12"/>
  <c r="BP12" s="1"/>
  <c r="BQ12" s="1"/>
  <c r="BT12"/>
  <c r="R20"/>
  <c r="BP20" s="1"/>
  <c r="BT20"/>
  <c r="BT23"/>
  <c r="R17" i="5"/>
  <c r="BT18" i="3"/>
  <c r="R14"/>
  <c r="BP14" s="1"/>
  <c r="BQ14" s="1"/>
  <c r="R22"/>
  <c r="BP22" s="1"/>
  <c r="BQ22" s="1"/>
  <c r="BP13"/>
  <c r="BQ13" s="1"/>
  <c r="BP21"/>
  <c r="AA9"/>
  <c r="S19" i="5" s="1"/>
  <c r="R15" i="3"/>
  <c r="BO9"/>
  <c r="BP9" s="1"/>
  <c r="BQ9" s="1"/>
  <c r="R23"/>
  <c r="R19"/>
  <c r="R11"/>
  <c r="R18"/>
  <c r="BP18" s="1"/>
  <c r="BQ18" s="1"/>
  <c r="Q9"/>
  <c r="S17" i="5" s="1"/>
  <c r="R17" i="3"/>
  <c r="R27" i="5" l="1"/>
  <c r="BQ16" i="3"/>
  <c r="BR16" s="1"/>
  <c r="BS20"/>
  <c r="BQ20"/>
  <c r="BR20" s="1"/>
  <c r="BS21"/>
  <c r="BQ21"/>
  <c r="BR21" s="1"/>
  <c r="BS22"/>
  <c r="BR22"/>
  <c r="BS13"/>
  <c r="BR13"/>
  <c r="BR14"/>
  <c r="BS14"/>
  <c r="BS10"/>
  <c r="BR10"/>
  <c r="BS12"/>
  <c r="BR12"/>
  <c r="BP17"/>
  <c r="BP19"/>
  <c r="BQ19" s="1"/>
  <c r="BP15"/>
  <c r="BP23"/>
  <c r="BP11"/>
  <c r="BS18"/>
  <c r="T17" i="5"/>
  <c r="BR9" i="3"/>
  <c r="BS9"/>
  <c r="BS16" l="1"/>
  <c r="BQ17"/>
  <c r="BR17" s="1"/>
  <c r="BQ15"/>
  <c r="BR15" s="1"/>
  <c r="BS23"/>
  <c r="BQ23"/>
  <c r="BR23" s="1"/>
  <c r="BQ11"/>
  <c r="BS11" s="1"/>
  <c r="BS19"/>
  <c r="BR19"/>
  <c r="BR18"/>
  <c r="BL23" i="1"/>
  <c r="BM23" s="1"/>
  <c r="BE23"/>
  <c r="BG23" s="1"/>
  <c r="BI23" s="1"/>
  <c r="AX23"/>
  <c r="AZ23" s="1"/>
  <c r="BB23" s="1"/>
  <c r="AU23"/>
  <c r="AL23"/>
  <c r="AN23" s="1"/>
  <c r="AP23" s="1"/>
  <c r="AE23"/>
  <c r="AG23" s="1"/>
  <c r="AI23" s="1"/>
  <c r="BL22"/>
  <c r="BM22" s="1"/>
  <c r="BG22"/>
  <c r="BI22" s="1"/>
  <c r="AZ22"/>
  <c r="BB22" s="1"/>
  <c r="AU22"/>
  <c r="AN22"/>
  <c r="AP22" s="1"/>
  <c r="AG22"/>
  <c r="AI22" s="1"/>
  <c r="X22"/>
  <c r="BL21"/>
  <c r="BM21" s="1"/>
  <c r="BG21"/>
  <c r="BI21" s="1"/>
  <c r="AZ21"/>
  <c r="BB21" s="1"/>
  <c r="AU21"/>
  <c r="AN21"/>
  <c r="AP21" s="1"/>
  <c r="AG21"/>
  <c r="AI21" s="1"/>
  <c r="X21"/>
  <c r="BL20"/>
  <c r="BG20"/>
  <c r="BI20" s="1"/>
  <c r="AZ20"/>
  <c r="BB20" s="1"/>
  <c r="AU20"/>
  <c r="AN20"/>
  <c r="AP20" s="1"/>
  <c r="AG20"/>
  <c r="AI20" s="1"/>
  <c r="X20"/>
  <c r="BL19"/>
  <c r="BM19" s="1"/>
  <c r="BG19"/>
  <c r="BI19" s="1"/>
  <c r="AZ19"/>
  <c r="BB19" s="1"/>
  <c r="AU19"/>
  <c r="AN19"/>
  <c r="AP19" s="1"/>
  <c r="AG19"/>
  <c r="AI19" s="1"/>
  <c r="X19"/>
  <c r="BL18"/>
  <c r="BM18" s="1"/>
  <c r="BG18"/>
  <c r="BI18" s="1"/>
  <c r="AZ18"/>
  <c r="BB18" s="1"/>
  <c r="AU18"/>
  <c r="AN18"/>
  <c r="AP18" s="1"/>
  <c r="AG18"/>
  <c r="AI18" s="1"/>
  <c r="X18"/>
  <c r="BL17"/>
  <c r="BM17" s="1"/>
  <c r="BG17"/>
  <c r="BI17" s="1"/>
  <c r="AZ17"/>
  <c r="BB17" s="1"/>
  <c r="AN17"/>
  <c r="AP17" s="1"/>
  <c r="AG17"/>
  <c r="AI17" s="1"/>
  <c r="X17"/>
  <c r="BL16"/>
  <c r="BG16"/>
  <c r="BI16" s="1"/>
  <c r="AZ16"/>
  <c r="BB16" s="1"/>
  <c r="AU16"/>
  <c r="AN16"/>
  <c r="AP16" s="1"/>
  <c r="AG16"/>
  <c r="AI16" s="1"/>
  <c r="X16"/>
  <c r="BL15"/>
  <c r="BG15"/>
  <c r="BI15" s="1"/>
  <c r="AZ15"/>
  <c r="BB15" s="1"/>
  <c r="AU15"/>
  <c r="AN15"/>
  <c r="AP15" s="1"/>
  <c r="AG15"/>
  <c r="AI15" s="1"/>
  <c r="X15"/>
  <c r="BL14"/>
  <c r="BM14" s="1"/>
  <c r="BG14"/>
  <c r="BI14" s="1"/>
  <c r="AZ14"/>
  <c r="BB14" s="1"/>
  <c r="AU14"/>
  <c r="AN14"/>
  <c r="AP14" s="1"/>
  <c r="AG14"/>
  <c r="AI14" s="1"/>
  <c r="X14"/>
  <c r="BL13"/>
  <c r="BM13" s="1"/>
  <c r="BG13"/>
  <c r="BI13" s="1"/>
  <c r="AZ13"/>
  <c r="BB13" s="1"/>
  <c r="AU13"/>
  <c r="AN13"/>
  <c r="AP13" s="1"/>
  <c r="AG13"/>
  <c r="AI13" s="1"/>
  <c r="X13"/>
  <c r="BL12"/>
  <c r="BG12"/>
  <c r="BI12" s="1"/>
  <c r="AZ12"/>
  <c r="BB12" s="1"/>
  <c r="AU12"/>
  <c r="AN12"/>
  <c r="AP12" s="1"/>
  <c r="AG12"/>
  <c r="AI12" s="1"/>
  <c r="X12"/>
  <c r="Y12" s="1"/>
  <c r="Z12" s="1"/>
  <c r="AB12" s="1"/>
  <c r="BL11"/>
  <c r="BG11"/>
  <c r="AZ11"/>
  <c r="BB11" s="1"/>
  <c r="AU11"/>
  <c r="AN11"/>
  <c r="AP11" s="1"/>
  <c r="AG11"/>
  <c r="AI11" s="1"/>
  <c r="X11"/>
  <c r="BL10"/>
  <c r="BM10" s="1"/>
  <c r="BG10"/>
  <c r="BI10" s="1"/>
  <c r="AZ10"/>
  <c r="BB10" s="1"/>
  <c r="AU10"/>
  <c r="AN10"/>
  <c r="AP10" s="1"/>
  <c r="AG10"/>
  <c r="AI10" s="1"/>
  <c r="X10"/>
  <c r="BL9"/>
  <c r="BM9" s="1"/>
  <c r="BG9"/>
  <c r="BI9" s="1"/>
  <c r="AZ9"/>
  <c r="AU9"/>
  <c r="AN9"/>
  <c r="AG9"/>
  <c r="X9"/>
  <c r="AS10" i="4"/>
  <c r="AS11"/>
  <c r="AS12"/>
  <c r="AS13"/>
  <c r="AS14"/>
  <c r="AS15"/>
  <c r="AS16"/>
  <c r="AS17"/>
  <c r="AS18"/>
  <c r="AS19"/>
  <c r="AS20"/>
  <c r="AS21"/>
  <c r="AS22"/>
  <c r="AS23"/>
  <c r="F23" i="5" s="1"/>
  <c r="AS9" i="4"/>
  <c r="BR11" i="3" l="1"/>
  <c r="BS17"/>
  <c r="BS15"/>
  <c r="BM20" i="1"/>
  <c r="BO20" s="1"/>
  <c r="BO15"/>
  <c r="BM15"/>
  <c r="BO16"/>
  <c r="BM16"/>
  <c r="BM11"/>
  <c r="BO11" s="1"/>
  <c r="BO12"/>
  <c r="BM12"/>
  <c r="Y16"/>
  <c r="Z16" s="1"/>
  <c r="AB16" s="1"/>
  <c r="P16"/>
  <c r="Y18"/>
  <c r="Z18" s="1"/>
  <c r="AB18" s="1"/>
  <c r="Y15"/>
  <c r="Z15" s="1"/>
  <c r="AB15" s="1"/>
  <c r="Y19"/>
  <c r="Z19" s="1"/>
  <c r="AB19" s="1"/>
  <c r="Y9"/>
  <c r="Z9" s="1"/>
  <c r="AB9" s="1"/>
  <c r="P21"/>
  <c r="R21" s="1"/>
  <c r="Y11"/>
  <c r="Z11" s="1"/>
  <c r="AB11" s="1"/>
  <c r="P13"/>
  <c r="R13" s="1"/>
  <c r="Y20"/>
  <c r="Z20" s="1"/>
  <c r="AB20" s="1"/>
  <c r="Y23"/>
  <c r="Z23" s="1"/>
  <c r="AB23" s="1"/>
  <c r="P11"/>
  <c r="AT9"/>
  <c r="M23" i="5" s="1"/>
  <c r="L17"/>
  <c r="Y17" i="1"/>
  <c r="Z17" s="1"/>
  <c r="AB17" s="1"/>
  <c r="Y13"/>
  <c r="Z13" s="1"/>
  <c r="AB13" s="1"/>
  <c r="P20"/>
  <c r="P10"/>
  <c r="R10" s="1"/>
  <c r="BO19"/>
  <c r="BO13"/>
  <c r="Y22"/>
  <c r="Z22" s="1"/>
  <c r="AB22" s="1"/>
  <c r="AU17"/>
  <c r="P22"/>
  <c r="R22" s="1"/>
  <c r="BP22" s="1"/>
  <c r="BO9"/>
  <c r="P12"/>
  <c r="P19"/>
  <c r="Y21"/>
  <c r="Z21" s="1"/>
  <c r="AB21" s="1"/>
  <c r="P18"/>
  <c r="Y14"/>
  <c r="Z14" s="1"/>
  <c r="AB14" s="1"/>
  <c r="BO21"/>
  <c r="P15"/>
  <c r="P14"/>
  <c r="BO23"/>
  <c r="Y10"/>
  <c r="Z10" s="1"/>
  <c r="AB10" s="1"/>
  <c r="BO17"/>
  <c r="R16"/>
  <c r="AH9"/>
  <c r="M21" i="5" s="1"/>
  <c r="R18" i="1"/>
  <c r="BA9"/>
  <c r="M24" i="5" s="1"/>
  <c r="BB9" i="1"/>
  <c r="P9"/>
  <c r="BH9"/>
  <c r="M25" i="5" s="1"/>
  <c r="BI11" i="1"/>
  <c r="P17"/>
  <c r="R11"/>
  <c r="AO9"/>
  <c r="M22" i="5" s="1"/>
  <c r="AP9" i="1"/>
  <c r="BO10"/>
  <c r="BO14"/>
  <c r="BO18"/>
  <c r="BO22"/>
  <c r="AI9"/>
  <c r="R23" l="1"/>
  <c r="N17" i="5" s="1"/>
  <c r="BP11" i="1"/>
  <c r="BP18"/>
  <c r="BR18" s="1"/>
  <c r="BP21"/>
  <c r="BP13"/>
  <c r="BP10"/>
  <c r="R14"/>
  <c r="BS22"/>
  <c r="R15"/>
  <c r="BN9"/>
  <c r="M26" i="5" s="1"/>
  <c r="R12" i="1"/>
  <c r="R20"/>
  <c r="R19"/>
  <c r="AA9"/>
  <c r="M19" i="5" s="1"/>
  <c r="Q9" i="1"/>
  <c r="M17" i="5" s="1"/>
  <c r="R9" i="1"/>
  <c r="R17"/>
  <c r="BR10" l="1"/>
  <c r="BS10"/>
  <c r="BP23"/>
  <c r="BR23" s="1"/>
  <c r="BR16"/>
  <c r="BS16"/>
  <c r="BS21"/>
  <c r="BR21"/>
  <c r="BS13"/>
  <c r="BR13"/>
  <c r="BP12"/>
  <c r="BP17"/>
  <c r="BP20"/>
  <c r="BP14"/>
  <c r="BR22"/>
  <c r="BR9"/>
  <c r="BP19"/>
  <c r="BS19" s="1"/>
  <c r="BR15"/>
  <c r="BS18"/>
  <c r="BS11"/>
  <c r="BR11"/>
  <c r="BR17" l="1"/>
  <c r="BS17"/>
  <c r="BS23"/>
  <c r="BR19"/>
  <c r="BS15"/>
  <c r="BS20"/>
  <c r="BR20"/>
  <c r="BR14"/>
  <c r="BS14"/>
  <c r="BR12"/>
  <c r="BS12"/>
  <c r="BS9"/>
  <c r="BL23" i="4"/>
  <c r="BM23" s="1"/>
  <c r="F26" i="5" s="1"/>
  <c r="X26" s="1"/>
  <c r="BG23" i="4"/>
  <c r="AX23"/>
  <c r="AZ23" s="1"/>
  <c r="AU23"/>
  <c r="H23" i="5" s="1"/>
  <c r="AL23" i="4"/>
  <c r="AN23" s="1"/>
  <c r="AE23"/>
  <c r="AG23" s="1"/>
  <c r="X23"/>
  <c r="U23"/>
  <c r="BL22"/>
  <c r="BM22" s="1"/>
  <c r="BG22"/>
  <c r="BI22" s="1"/>
  <c r="AX22"/>
  <c r="AZ22" s="1"/>
  <c r="BB22" s="1"/>
  <c r="AU22"/>
  <c r="AL22"/>
  <c r="AN22" s="1"/>
  <c r="AP22" s="1"/>
  <c r="AE22"/>
  <c r="AG22" s="1"/>
  <c r="AI22" s="1"/>
  <c r="X22"/>
  <c r="U22"/>
  <c r="BL21"/>
  <c r="BM21" s="1"/>
  <c r="BG21"/>
  <c r="BI21" s="1"/>
  <c r="AZ21"/>
  <c r="BB21" s="1"/>
  <c r="AU21"/>
  <c r="AL21"/>
  <c r="AN21" s="1"/>
  <c r="AP21" s="1"/>
  <c r="AE21"/>
  <c r="AG21" s="1"/>
  <c r="AI21" s="1"/>
  <c r="X21"/>
  <c r="U21"/>
  <c r="N21"/>
  <c r="O21" s="1"/>
  <c r="I21"/>
  <c r="K21" s="1"/>
  <c r="BL20"/>
  <c r="BM20" s="1"/>
  <c r="BG20"/>
  <c r="BI20" s="1"/>
  <c r="AZ20"/>
  <c r="BB20" s="1"/>
  <c r="AU20"/>
  <c r="AL20"/>
  <c r="AN20" s="1"/>
  <c r="AP20" s="1"/>
  <c r="AE20"/>
  <c r="AG20" s="1"/>
  <c r="AI20" s="1"/>
  <c r="X20"/>
  <c r="U20"/>
  <c r="N20"/>
  <c r="O20" s="1"/>
  <c r="I20"/>
  <c r="K20" s="1"/>
  <c r="BL19"/>
  <c r="BM19" s="1"/>
  <c r="BG19"/>
  <c r="BI19" s="1"/>
  <c r="AZ19"/>
  <c r="BB19" s="1"/>
  <c r="AU19"/>
  <c r="AL19"/>
  <c r="AN19" s="1"/>
  <c r="AP19" s="1"/>
  <c r="AE19"/>
  <c r="AG19" s="1"/>
  <c r="AI19" s="1"/>
  <c r="X19"/>
  <c r="U19"/>
  <c r="N19"/>
  <c r="O19" s="1"/>
  <c r="K19"/>
  <c r="I19"/>
  <c r="BL18"/>
  <c r="BM18" s="1"/>
  <c r="BG18"/>
  <c r="BI18" s="1"/>
  <c r="AZ18"/>
  <c r="BB18" s="1"/>
  <c r="AU18"/>
  <c r="AL18"/>
  <c r="AN18" s="1"/>
  <c r="AP18" s="1"/>
  <c r="AE18"/>
  <c r="AG18" s="1"/>
  <c r="AI18" s="1"/>
  <c r="X18"/>
  <c r="U18"/>
  <c r="N18"/>
  <c r="O18" s="1"/>
  <c r="I18"/>
  <c r="K18" s="1"/>
  <c r="BL17"/>
  <c r="BM17" s="1"/>
  <c r="BG17"/>
  <c r="BI17" s="1"/>
  <c r="AZ17"/>
  <c r="BB17" s="1"/>
  <c r="AU17"/>
  <c r="AL17"/>
  <c r="AN17" s="1"/>
  <c r="AP17" s="1"/>
  <c r="AE17"/>
  <c r="AG17" s="1"/>
  <c r="AI17" s="1"/>
  <c r="X17"/>
  <c r="U17"/>
  <c r="N17"/>
  <c r="O17" s="1"/>
  <c r="I17"/>
  <c r="K17" s="1"/>
  <c r="BL16"/>
  <c r="BM16" s="1"/>
  <c r="BG16"/>
  <c r="BI16" s="1"/>
  <c r="AZ16"/>
  <c r="BB16" s="1"/>
  <c r="AU16"/>
  <c r="AL16"/>
  <c r="AN16" s="1"/>
  <c r="AP16" s="1"/>
  <c r="AE16"/>
  <c r="AG16" s="1"/>
  <c r="AI16" s="1"/>
  <c r="X16"/>
  <c r="U16"/>
  <c r="N16"/>
  <c r="O16" s="1"/>
  <c r="I16"/>
  <c r="K16" s="1"/>
  <c r="BL15"/>
  <c r="BM15" s="1"/>
  <c r="BG15"/>
  <c r="BI15" s="1"/>
  <c r="AZ15"/>
  <c r="BB15" s="1"/>
  <c r="AU15"/>
  <c r="AL15"/>
  <c r="AN15" s="1"/>
  <c r="AP15" s="1"/>
  <c r="AE15"/>
  <c r="AG15" s="1"/>
  <c r="AI15" s="1"/>
  <c r="X15"/>
  <c r="U15"/>
  <c r="N15"/>
  <c r="O15" s="1"/>
  <c r="I15"/>
  <c r="K15" s="1"/>
  <c r="BL14"/>
  <c r="BM14" s="1"/>
  <c r="BG14"/>
  <c r="BI14" s="1"/>
  <c r="AZ14"/>
  <c r="BB14" s="1"/>
  <c r="AU14"/>
  <c r="AL14"/>
  <c r="AN14" s="1"/>
  <c r="AP14" s="1"/>
  <c r="AE14"/>
  <c r="AG14" s="1"/>
  <c r="AI14" s="1"/>
  <c r="X14"/>
  <c r="U14"/>
  <c r="N14"/>
  <c r="O14" s="1"/>
  <c r="I14"/>
  <c r="K14" s="1"/>
  <c r="BL13"/>
  <c r="BM13" s="1"/>
  <c r="BG13"/>
  <c r="BI13" s="1"/>
  <c r="AZ13"/>
  <c r="BB13" s="1"/>
  <c r="AU13"/>
  <c r="AL13"/>
  <c r="AN13" s="1"/>
  <c r="AP13" s="1"/>
  <c r="AE13"/>
  <c r="AG13" s="1"/>
  <c r="AI13" s="1"/>
  <c r="X13"/>
  <c r="U13"/>
  <c r="N13"/>
  <c r="O13" s="1"/>
  <c r="I13"/>
  <c r="K13" s="1"/>
  <c r="BL12"/>
  <c r="BM12" s="1"/>
  <c r="BG12"/>
  <c r="BI12" s="1"/>
  <c r="AZ12"/>
  <c r="BB12" s="1"/>
  <c r="AU12"/>
  <c r="AL12"/>
  <c r="AN12" s="1"/>
  <c r="AP12" s="1"/>
  <c r="AE12"/>
  <c r="AG12" s="1"/>
  <c r="AI12" s="1"/>
  <c r="X12"/>
  <c r="U12"/>
  <c r="N12"/>
  <c r="O12" s="1"/>
  <c r="I12"/>
  <c r="K12" s="1"/>
  <c r="BL11"/>
  <c r="BM11" s="1"/>
  <c r="BG11"/>
  <c r="BI11" s="1"/>
  <c r="AZ11"/>
  <c r="BB11" s="1"/>
  <c r="AU11"/>
  <c r="AL11"/>
  <c r="AN11" s="1"/>
  <c r="AP11" s="1"/>
  <c r="AE11"/>
  <c r="AG11" s="1"/>
  <c r="AI11" s="1"/>
  <c r="X11"/>
  <c r="U11"/>
  <c r="N11"/>
  <c r="O11" s="1"/>
  <c r="I11"/>
  <c r="K11" s="1"/>
  <c r="BL10"/>
  <c r="BM10" s="1"/>
  <c r="BG10"/>
  <c r="BI10" s="1"/>
  <c r="AZ10"/>
  <c r="BB10" s="1"/>
  <c r="AU10"/>
  <c r="AL10"/>
  <c r="AN10" s="1"/>
  <c r="AP10" s="1"/>
  <c r="AE10"/>
  <c r="AG10" s="1"/>
  <c r="AI10" s="1"/>
  <c r="X10"/>
  <c r="U10"/>
  <c r="N10"/>
  <c r="O10" s="1"/>
  <c r="I10"/>
  <c r="K10" s="1"/>
  <c r="BL9"/>
  <c r="BM9" s="1"/>
  <c r="BG9"/>
  <c r="AZ9"/>
  <c r="AT9"/>
  <c r="G23" i="5" s="1"/>
  <c r="AU9" i="4"/>
  <c r="AN9"/>
  <c r="AP9" s="1"/>
  <c r="AL9"/>
  <c r="AE9"/>
  <c r="AG9" s="1"/>
  <c r="X9"/>
  <c r="U9"/>
  <c r="N9"/>
  <c r="O9" s="1"/>
  <c r="I9"/>
  <c r="K9" s="1"/>
  <c r="AI23" l="1"/>
  <c r="H21" i="5" s="1"/>
  <c r="F21"/>
  <c r="BI23" i="4"/>
  <c r="H25" i="5" s="1"/>
  <c r="Y25" s="1"/>
  <c r="F25"/>
  <c r="BB23" i="4"/>
  <c r="H24" i="5" s="1"/>
  <c r="F24"/>
  <c r="AP23" i="4"/>
  <c r="H22" i="5" s="1"/>
  <c r="F22"/>
  <c r="BO17" i="4"/>
  <c r="P19"/>
  <c r="P21"/>
  <c r="R21" s="1"/>
  <c r="Y17"/>
  <c r="Z17" s="1"/>
  <c r="AB17" s="1"/>
  <c r="Y20"/>
  <c r="Z20" s="1"/>
  <c r="AB20" s="1"/>
  <c r="BO18"/>
  <c r="P20"/>
  <c r="R20" s="1"/>
  <c r="Y21"/>
  <c r="Z21" s="1"/>
  <c r="AB21" s="1"/>
  <c r="Y23"/>
  <c r="Z23" s="1"/>
  <c r="P18"/>
  <c r="R18" s="1"/>
  <c r="Y11"/>
  <c r="Z11" s="1"/>
  <c r="AB11" s="1"/>
  <c r="Y9"/>
  <c r="Z9" s="1"/>
  <c r="AB9" s="1"/>
  <c r="BO21"/>
  <c r="Y13"/>
  <c r="Z13" s="1"/>
  <c r="AB13" s="1"/>
  <c r="Y15"/>
  <c r="Z15" s="1"/>
  <c r="AB15" s="1"/>
  <c r="BO10"/>
  <c r="P10"/>
  <c r="R10" s="1"/>
  <c r="Y16"/>
  <c r="Z16" s="1"/>
  <c r="AB16" s="1"/>
  <c r="Y18"/>
  <c r="Z18" s="1"/>
  <c r="AB18" s="1"/>
  <c r="BO22"/>
  <c r="BO14"/>
  <c r="P11"/>
  <c r="R11" s="1"/>
  <c r="Y14"/>
  <c r="Z14" s="1"/>
  <c r="AB14" s="1"/>
  <c r="P9"/>
  <c r="BO13"/>
  <c r="Y19"/>
  <c r="Z19" s="1"/>
  <c r="AB19" s="1"/>
  <c r="P16"/>
  <c r="R16" s="1"/>
  <c r="BO19"/>
  <c r="Y22"/>
  <c r="Z22" s="1"/>
  <c r="AB22" s="1"/>
  <c r="Y12"/>
  <c r="Z12" s="1"/>
  <c r="AB12" s="1"/>
  <c r="BO23"/>
  <c r="H26" i="5" s="1"/>
  <c r="Y26" s="1"/>
  <c r="BO15" i="4"/>
  <c r="P14"/>
  <c r="R14" s="1"/>
  <c r="Y10"/>
  <c r="Z10" s="1"/>
  <c r="AB10" s="1"/>
  <c r="P13"/>
  <c r="R13" s="1"/>
  <c r="BI9"/>
  <c r="BH9"/>
  <c r="G25" i="5" s="1"/>
  <c r="P15" i="4"/>
  <c r="AO9"/>
  <c r="G22" i="5" s="1"/>
  <c r="P12" i="4"/>
  <c r="BO12"/>
  <c r="BA9"/>
  <c r="G24" i="5" s="1"/>
  <c r="BB9" i="4"/>
  <c r="P17"/>
  <c r="AH9"/>
  <c r="G21" i="5" s="1"/>
  <c r="BO16" i="4"/>
  <c r="BO20"/>
  <c r="BO9"/>
  <c r="BO11"/>
  <c r="AI9"/>
  <c r="BP13" l="1"/>
  <c r="BR13" s="1"/>
  <c r="BP10"/>
  <c r="BS10" s="1"/>
  <c r="R23"/>
  <c r="H17" i="5" s="1"/>
  <c r="Y17" s="1"/>
  <c r="F17"/>
  <c r="AB23" i="4"/>
  <c r="H19" i="5" s="1"/>
  <c r="F19"/>
  <c r="BP16" i="4"/>
  <c r="BP21"/>
  <c r="BP20"/>
  <c r="BS20" s="1"/>
  <c r="BP11"/>
  <c r="BR11" s="1"/>
  <c r="BP18"/>
  <c r="BP14"/>
  <c r="BS14" s="1"/>
  <c r="R19"/>
  <c r="R9"/>
  <c r="R22"/>
  <c r="AA9"/>
  <c r="G19" i="5" s="1"/>
  <c r="R12" i="4"/>
  <c r="BN9"/>
  <c r="G26" i="5" s="1"/>
  <c r="R17" i="4"/>
  <c r="R15"/>
  <c r="Q9"/>
  <c r="G17" i="5" s="1"/>
  <c r="BP23" i="4" l="1"/>
  <c r="BS23" s="1"/>
  <c r="BS18"/>
  <c r="BR18"/>
  <c r="X17" i="5"/>
  <c r="F27"/>
  <c r="BR16" i="4"/>
  <c r="BS16"/>
  <c r="BS21"/>
  <c r="BR21"/>
  <c r="BP22"/>
  <c r="BS11"/>
  <c r="BR20"/>
  <c r="BP17"/>
  <c r="BS17" s="1"/>
  <c r="BP19"/>
  <c r="BP15"/>
  <c r="BP12"/>
  <c r="BS13"/>
  <c r="BR14"/>
  <c r="BR10"/>
  <c r="BR23" l="1"/>
  <c r="BR12"/>
  <c r="BS12"/>
  <c r="BS9"/>
  <c r="BR9"/>
  <c r="BS19"/>
  <c r="BR19"/>
  <c r="BR15"/>
  <c r="BS15"/>
  <c r="BR22"/>
  <c r="BS22"/>
  <c r="BR17"/>
  <c r="N18" i="5"/>
  <c r="L18"/>
  <c r="L27" s="1"/>
  <c r="H18"/>
  <c r="G27" i="2"/>
  <c r="J26"/>
  <c r="J25"/>
  <c r="I22"/>
  <c r="H22"/>
  <c r="I21"/>
  <c r="I20"/>
  <c r="I19"/>
  <c r="I18"/>
  <c r="H26"/>
  <c r="H25"/>
  <c r="J22"/>
  <c r="J23"/>
  <c r="J24"/>
  <c r="H24"/>
  <c r="H23"/>
  <c r="J21"/>
  <c r="M26"/>
  <c r="J20"/>
  <c r="J19"/>
  <c r="J18"/>
  <c r="I26"/>
  <c r="I25"/>
  <c r="I23"/>
  <c r="I24"/>
  <c r="H21"/>
  <c r="H20"/>
  <c r="H19"/>
  <c r="H18"/>
  <c r="E9"/>
  <c r="E8"/>
  <c r="E7"/>
  <c r="M24"/>
  <c r="M23"/>
  <c r="M22"/>
  <c r="U24" i="5" l="1"/>
  <c r="U22"/>
  <c r="U21"/>
  <c r="Y24"/>
  <c r="Y22"/>
  <c r="M25" i="2"/>
  <c r="N25" s="1"/>
  <c r="K23"/>
  <c r="K22"/>
  <c r="W24" i="5"/>
  <c r="W22"/>
  <c r="U20"/>
  <c r="V24"/>
  <c r="W18"/>
  <c r="V21"/>
  <c r="W19"/>
  <c r="U18"/>
  <c r="V22"/>
  <c r="U19"/>
  <c r="V23"/>
  <c r="W17"/>
  <c r="V17"/>
  <c r="W21"/>
  <c r="W23"/>
  <c r="G29" i="2"/>
  <c r="K25"/>
  <c r="K24"/>
  <c r="N24"/>
  <c r="K26"/>
  <c r="N23"/>
  <c r="N26"/>
  <c r="N22"/>
  <c r="K18"/>
  <c r="Y23" i="5" l="1"/>
  <c r="Y21"/>
  <c r="W20"/>
  <c r="X21"/>
  <c r="X23"/>
  <c r="K20" i="2"/>
  <c r="M20"/>
  <c r="N20" s="1"/>
  <c r="X22" i="5"/>
  <c r="X24"/>
  <c r="Y19"/>
  <c r="X19"/>
  <c r="L25" i="2"/>
  <c r="L26"/>
  <c r="Z17" i="5" l="1"/>
  <c r="X25"/>
  <c r="X27" s="1"/>
  <c r="L20" i="2"/>
  <c r="O18"/>
  <c r="M29"/>
  <c r="M18"/>
  <c r="N18" s="1"/>
  <c r="K27"/>
  <c r="L22"/>
  <c r="L18"/>
  <c r="L24"/>
  <c r="L23"/>
  <c r="G30" l="1"/>
</calcChain>
</file>

<file path=xl/sharedStrings.xml><?xml version="1.0" encoding="utf-8"?>
<sst xmlns="http://schemas.openxmlformats.org/spreadsheetml/2006/main" count="540" uniqueCount="174">
  <si>
    <t>ROLL</t>
  </si>
  <si>
    <t>GP</t>
  </si>
  <si>
    <t>T-GP</t>
  </si>
  <si>
    <t>GPA</t>
  </si>
  <si>
    <t>SCIENCE</t>
  </si>
  <si>
    <t>BGS</t>
  </si>
  <si>
    <t>ICT</t>
  </si>
  <si>
    <t>TOTAL</t>
  </si>
  <si>
    <t>NAME OF SUBJECT</t>
  </si>
  <si>
    <t>FULL
MARKS</t>
  </si>
  <si>
    <t>ENGLISH 2ND</t>
  </si>
  <si>
    <t>MATHEMATICS</t>
  </si>
  <si>
    <t>MT</t>
  </si>
  <si>
    <t>BANGLA 1ST PAPER</t>
  </si>
  <si>
    <t>BANGLA 2ND PAPER</t>
  </si>
  <si>
    <t>HIGHEST MARK</t>
  </si>
  <si>
    <t>ENGLISH 1ST PAPER</t>
  </si>
  <si>
    <t xml:space="preserve">            GRAND TOTAL MARKS</t>
  </si>
  <si>
    <t>RELIGION</t>
  </si>
  <si>
    <t>SEVEN</t>
  </si>
  <si>
    <t>MOBILE NO.</t>
  </si>
  <si>
    <t>ASSIGNMENT-20</t>
  </si>
  <si>
    <t>TOTAL MARKS</t>
  </si>
  <si>
    <t>MID-TERM</t>
  </si>
  <si>
    <t>GRADE</t>
  </si>
  <si>
    <r>
      <t xml:space="preserve">                          WORKING DAYS</t>
    </r>
    <r>
      <rPr>
        <b/>
        <sz val="18"/>
        <color theme="1"/>
        <rFont val="Tempus Sans ITC"/>
        <family val="5"/>
      </rPr>
      <t>:</t>
    </r>
  </si>
  <si>
    <r>
      <t>STUDENT BEHABIOURS AND SKILL</t>
    </r>
    <r>
      <rPr>
        <b/>
        <sz val="20"/>
        <color theme="1"/>
        <rFont val="Tempus Sans ITC"/>
        <family val="5"/>
      </rPr>
      <t>:</t>
    </r>
  </si>
  <si>
    <r>
      <t xml:space="preserve">                           POSSITION</t>
    </r>
    <r>
      <rPr>
        <b/>
        <sz val="18"/>
        <color theme="1"/>
        <rFont val="Tempus Sans ITC"/>
        <family val="5"/>
      </rPr>
      <t xml:space="preserve">: </t>
    </r>
  </si>
  <si>
    <t>TAHMINA AKTER</t>
  </si>
  <si>
    <r>
      <t xml:space="preserve">       </t>
    </r>
    <r>
      <rPr>
        <sz val="18"/>
        <color rgb="FF00B050"/>
        <rFont val="Times New Roman"/>
        <family val="1"/>
      </rPr>
      <t>AMIN CADET ACADEMY</t>
    </r>
    <r>
      <rPr>
        <sz val="12"/>
        <color rgb="FF00B0F0"/>
        <rFont val="Times New Roman"/>
        <family val="1"/>
      </rPr>
      <t xml:space="preserve">
</t>
    </r>
    <r>
      <rPr>
        <sz val="11"/>
        <color rgb="FF00B0F0"/>
        <rFont val="Times New Roman"/>
        <family val="1"/>
      </rPr>
      <t xml:space="preserve">Amin Model Town, Savar Cantonment, Ashulia, Dhaka-1344.
</t>
    </r>
    <r>
      <rPr>
        <sz val="17"/>
        <color theme="1"/>
        <rFont val="Times New Roman"/>
        <family val="1"/>
      </rPr>
      <t>2nd Semester  Examination-2023</t>
    </r>
    <r>
      <rPr>
        <sz val="11"/>
        <color theme="1"/>
        <rFont val="Times New Roman"/>
        <family val="1"/>
      </rPr>
      <t xml:space="preserve">
     </t>
    </r>
    <r>
      <rPr>
        <sz val="15"/>
        <color theme="1"/>
        <rFont val="Times New Roman"/>
        <family val="1"/>
      </rPr>
      <t xml:space="preserve"> </t>
    </r>
    <r>
      <rPr>
        <sz val="15"/>
        <color theme="0" tint="-0.499984740745262"/>
        <rFont val="Times New Roman"/>
        <family val="1"/>
      </rPr>
      <t xml:space="preserve"> Progressive Report </t>
    </r>
  </si>
  <si>
    <t xml:space="preserve">CREATIVES </t>
  </si>
  <si>
    <t xml:space="preserve">             Class Teacher</t>
  </si>
  <si>
    <t>Co-Ordinator</t>
  </si>
  <si>
    <t>Vice-Principal</t>
  </si>
  <si>
    <t xml:space="preserve">              Gaurdian                                                                                                                                                              </t>
  </si>
  <si>
    <r>
      <t xml:space="preserve">STUDENT NAME   </t>
    </r>
    <r>
      <rPr>
        <b/>
        <sz val="14"/>
        <color theme="3" tint="0.39997558519241921"/>
        <rFont val="Tempus Sans ITC"/>
        <family val="5"/>
      </rPr>
      <t xml:space="preserve">: </t>
    </r>
  </si>
  <si>
    <r>
      <t xml:space="preserve">FATHER'S NAME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</si>
  <si>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MOTHER'S NAME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</si>
  <si>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CLASS TEACHER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</si>
  <si>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CLASS      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</si>
  <si>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SECTION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</si>
  <si>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ROLL NO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</si>
  <si>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TOTAL STUDENT   </t>
    </r>
    <r>
      <rPr>
        <b/>
        <sz val="16"/>
        <color theme="3" tint="0.39997558519241921"/>
        <rFont val="Tempus Sans ITC"/>
        <family val="5"/>
      </rPr>
      <t>:</t>
    </r>
  </si>
  <si>
    <t>ALL</t>
  </si>
  <si>
    <t>CONTINUOUS
ASSESSMENT-20</t>
  </si>
  <si>
    <t>HIGHEST MARKS</t>
  </si>
  <si>
    <t>CREATIVE</t>
  </si>
  <si>
    <t>:</t>
  </si>
  <si>
    <t>Term Exam</t>
  </si>
  <si>
    <t>Final Result</t>
  </si>
  <si>
    <t>Average Marks of Continuous Assesment</t>
  </si>
  <si>
    <t>Average Marks of  Creative</t>
  </si>
  <si>
    <t>C.GPA</t>
  </si>
  <si>
    <t xml:space="preserve">Name Of The Student 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</si>
  <si>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</si>
  <si>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</si>
  <si>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</si>
  <si>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</si>
  <si>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</si>
  <si>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</si>
  <si>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</si>
  <si>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Final Position of The Examination :</t>
  </si>
  <si>
    <t>Principal(Acting)</t>
  </si>
  <si>
    <t>S.L</t>
  </si>
  <si>
    <t>Student's Name</t>
  </si>
  <si>
    <t>Fahther`s Name</t>
  </si>
  <si>
    <t>Mother's Name</t>
  </si>
  <si>
    <t>Mobile No.</t>
  </si>
  <si>
    <t>BANGLA -1ST</t>
  </si>
  <si>
    <t>TOTAL 100%</t>
  </si>
  <si>
    <t>BANGLA- 2ND</t>
  </si>
  <si>
    <t>H
MARK</t>
  </si>
  <si>
    <t>ENGLISH</t>
  </si>
  <si>
    <t>AGICULTURE</t>
  </si>
  <si>
    <t>BEHABIOUR</t>
  </si>
  <si>
    <t>GRAND TOTAL 
MARKS</t>
  </si>
  <si>
    <t>RANK OF STUDENT</t>
  </si>
  <si>
    <t>WORKING 
DAYS</t>
  </si>
  <si>
    <t>CR</t>
  </si>
  <si>
    <t>MT+CR</t>
  </si>
  <si>
    <t>OB</t>
  </si>
  <si>
    <t>1st</t>
  </si>
  <si>
    <t>MT+80%</t>
  </si>
  <si>
    <t>2nd</t>
  </si>
  <si>
    <t>PR</t>
  </si>
  <si>
    <t>Mahadi Hasan Latif</t>
  </si>
  <si>
    <t>OBJECTIVE</t>
  </si>
  <si>
    <t>Average Marks of OBJECTIVE</t>
  </si>
  <si>
    <t>BANGLA 1ST PAPER-100</t>
  </si>
  <si>
    <t>BANGLA 2ND PAPER-50</t>
  </si>
  <si>
    <t>ENGLISH 1ST PAPER-100</t>
  </si>
  <si>
    <t>ENGLISH 2ND PAPER-50</t>
  </si>
  <si>
    <t>G. MATHEMATICS-100</t>
  </si>
  <si>
    <t>RELIGION-100</t>
  </si>
  <si>
    <t>ICT-50</t>
  </si>
  <si>
    <t>SCIENCE-100</t>
  </si>
  <si>
    <t>BGS-100</t>
  </si>
  <si>
    <t>AGRICULTURE-50</t>
  </si>
  <si>
    <t>TOTAL MARKS - 800</t>
  </si>
  <si>
    <t>SIX</t>
  </si>
  <si>
    <t>SHIMU AKTER</t>
  </si>
  <si>
    <t>Rumaiya Akter</t>
  </si>
  <si>
    <t>Md. Roman Islam</t>
  </si>
  <si>
    <t>Mst. Jhana Akter</t>
  </si>
  <si>
    <t>01877-520928</t>
  </si>
  <si>
    <t xml:space="preserve">Joynta Shil </t>
  </si>
  <si>
    <t>Manik Shil</t>
  </si>
  <si>
    <t xml:space="preserve">Saya Rani </t>
  </si>
  <si>
    <t xml:space="preserve">Ezma Islam Eva </t>
  </si>
  <si>
    <t>Md. Eakub Molla</t>
  </si>
  <si>
    <t>Lima Akteri</t>
  </si>
  <si>
    <t xml:space="preserve">01719-780584       </t>
  </si>
  <si>
    <t>Amina Akter</t>
  </si>
  <si>
    <t>Md. Habibullah</t>
  </si>
  <si>
    <t>Lucky Habib</t>
  </si>
  <si>
    <t>01825-891653</t>
  </si>
  <si>
    <t xml:space="preserve">Md. Alif Hasan </t>
  </si>
  <si>
    <t>Momotaj Biswas Shopna</t>
  </si>
  <si>
    <t>01608-757635</t>
  </si>
  <si>
    <t xml:space="preserve">Most. Nusrat Jahan </t>
  </si>
  <si>
    <t xml:space="preserve">Md. Nur Jamal </t>
  </si>
  <si>
    <t>Mily</t>
  </si>
  <si>
    <t xml:space="preserve">01710-543102  </t>
  </si>
  <si>
    <t xml:space="preserve">Md. Safin Hasan </t>
  </si>
  <si>
    <t xml:space="preserve">Md. Mostafa Kamal </t>
  </si>
  <si>
    <t>Lipy Begum</t>
  </si>
  <si>
    <t>01996-016790</t>
  </si>
  <si>
    <t xml:space="preserve">Khadija Akter Mim </t>
  </si>
  <si>
    <t>Md. Amen</t>
  </si>
  <si>
    <t xml:space="preserve">Popy Akter </t>
  </si>
  <si>
    <t xml:space="preserve">01576-566118 </t>
  </si>
  <si>
    <t xml:space="preserve">Md.  Sohan </t>
  </si>
  <si>
    <t xml:space="preserve">Md. Nurul Islam </t>
  </si>
  <si>
    <t>Mst. Shemu Khatun</t>
  </si>
  <si>
    <t>01700- 553865</t>
  </si>
  <si>
    <t xml:space="preserve">Md. Salman Hossen </t>
  </si>
  <si>
    <t xml:space="preserve">Md. Abu Saeid </t>
  </si>
  <si>
    <t xml:space="preserve">Mst. Sima Akter </t>
  </si>
  <si>
    <t xml:space="preserve">01935-842769   </t>
  </si>
  <si>
    <t xml:space="preserve">Jannat Islam Jerin </t>
  </si>
  <si>
    <t xml:space="preserve">Abdur Rahim </t>
  </si>
  <si>
    <t xml:space="preserve">Momana Akter </t>
  </si>
  <si>
    <t xml:space="preserve">01747-207101 </t>
  </si>
  <si>
    <t xml:space="preserve">Md. Shahria Nafij </t>
  </si>
  <si>
    <t xml:space="preserve">Md. Razzak Mia </t>
  </si>
  <si>
    <t xml:space="preserve">Nasrin Sultana </t>
  </si>
  <si>
    <t xml:space="preserve">01898-525015                            </t>
  </si>
  <si>
    <t xml:space="preserve">Nusrat Faria Rodrosi </t>
  </si>
  <si>
    <t>Habib</t>
  </si>
  <si>
    <t>Asa</t>
  </si>
  <si>
    <t xml:space="preserve">01325-576784   </t>
  </si>
  <si>
    <t>Shakib Khan</t>
  </si>
  <si>
    <t xml:space="preserve">Jewel Khan </t>
  </si>
  <si>
    <t>01818-073690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</si>
  <si>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SIX (PROTTAY)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</si>
  <si>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SIX (PROTTAY)</t>
    </r>
  </si>
  <si>
    <t>Afia Tabassum</t>
  </si>
  <si>
    <t>Chaina Akter</t>
  </si>
  <si>
    <t>Asa Akter</t>
  </si>
  <si>
    <t>01788-010781</t>
  </si>
  <si>
    <t>Lima Akter</t>
  </si>
  <si>
    <t>Rubel Forazi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</si>
  <si>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3RD SEMESTER TABULATION SHEET-2025
CLASS- SIX (PROTTOY)</t>
    </r>
  </si>
  <si>
    <t>PROTTOY</t>
  </si>
  <si>
    <t>All Semester Total Marks</t>
  </si>
  <si>
    <t xml:space="preserve">1st </t>
  </si>
  <si>
    <t xml:space="preserve">2nd </t>
  </si>
  <si>
    <t xml:space="preserve">3rd </t>
  </si>
  <si>
    <t>Avg-Total</t>
  </si>
  <si>
    <t>Rank</t>
  </si>
  <si>
    <r>
      <rPr>
        <b/>
        <sz val="22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</si>
  <si>
    <r>
      <t>1</t>
    </r>
    <r>
      <rPr>
        <b/>
        <vertAlign val="superscript"/>
        <sz val="12"/>
        <color theme="1"/>
        <rFont val="Cambria"/>
        <family val="1"/>
        <scheme val="major"/>
      </rPr>
      <t xml:space="preserve">st  </t>
    </r>
    <r>
      <rPr>
        <b/>
        <sz val="12"/>
        <color theme="1"/>
        <rFont val="Cambria"/>
        <family val="1"/>
        <scheme val="major"/>
      </rPr>
      <t>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</si>
  <si>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>nd</t>
    </r>
    <r>
      <rPr>
        <b/>
        <sz val="12"/>
        <color theme="1"/>
        <rFont val="Cambria"/>
        <family val="1"/>
        <scheme val="major"/>
      </rPr>
      <t xml:space="preserve"> </t>
    </r>
    <r>
      <rPr>
        <b/>
        <vertAlign val="superscript"/>
        <sz val="12"/>
        <color theme="1"/>
        <rFont val="Cambria"/>
        <family val="1"/>
        <scheme val="major"/>
      </rPr>
      <t xml:space="preserve">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</si>
  <si>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 </t>
    </r>
    <r>
      <rPr>
        <b/>
        <sz val="12"/>
        <color theme="1"/>
        <rFont val="Cambria"/>
        <family val="1"/>
        <scheme val="major"/>
      </rPr>
      <t>Term Exam</t>
    </r>
  </si>
</sst>
</file>

<file path=xl/styles.xml><?xml version="1.0" encoding="utf-8"?>
<styleSheet xmlns="http://schemas.openxmlformats.org/spreadsheetml/2006/main">
  <numFmts count="4">
    <numFmt numFmtId="164" formatCode="00000\-0000"/>
    <numFmt numFmtId="165" formatCode="0.0"/>
    <numFmt numFmtId="166" formatCode="0.00;[Red]0.00"/>
    <numFmt numFmtId="167" formatCode="00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Tempus Sans ITC"/>
      <family val="5"/>
    </font>
    <font>
      <b/>
      <sz val="12"/>
      <color theme="3" tint="0.39997558519241921"/>
      <name val="Tempus Sans ITC"/>
      <family val="5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rgb="FF00B0F0"/>
      <name val="Tempus Sans ITC"/>
      <family val="5"/>
    </font>
    <font>
      <b/>
      <sz val="11"/>
      <color theme="1" tint="0.499984740745262"/>
      <name val="Tempus Sans ITC"/>
      <family val="5"/>
    </font>
    <font>
      <b/>
      <sz val="12"/>
      <color theme="1" tint="0.499984740745262"/>
      <name val="Tempus Sans ITC"/>
      <family val="5"/>
    </font>
    <font>
      <sz val="12"/>
      <color theme="1" tint="0.499984740745262"/>
      <name val="Times New Roman"/>
      <family val="1"/>
    </font>
    <font>
      <b/>
      <sz val="14"/>
      <color theme="1" tint="0.499984740745262"/>
      <name val="Times New Roman"/>
      <family val="1"/>
    </font>
    <font>
      <b/>
      <sz val="11"/>
      <color theme="3" tint="0.39997558519241921"/>
      <name val="Tempus Sans ITC"/>
      <family val="5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2"/>
      <name val="Tempus Sans ITC"/>
      <family val="5"/>
    </font>
    <font>
      <b/>
      <sz val="14"/>
      <color theme="3" tint="0.39997558519241921"/>
      <name val="Tempus Sans ITC"/>
      <family val="5"/>
    </font>
    <font>
      <b/>
      <sz val="11"/>
      <color theme="1"/>
      <name val="Tempus Sans ITC"/>
      <family val="5"/>
    </font>
    <font>
      <b/>
      <sz val="18"/>
      <color theme="1"/>
      <name val="Tempus Sans ITC"/>
      <family val="5"/>
    </font>
    <font>
      <b/>
      <sz val="20"/>
      <color theme="1"/>
      <name val="Tempus Sans ITC"/>
      <family val="5"/>
    </font>
    <font>
      <sz val="17"/>
      <color theme="1"/>
      <name val="Times New Roman"/>
      <family val="1"/>
    </font>
    <font>
      <sz val="12"/>
      <color rgb="FF00B0F0"/>
      <name val="Times New Roman"/>
      <family val="1"/>
    </font>
    <font>
      <sz val="18"/>
      <color rgb="FF00B050"/>
      <name val="Times New Roman"/>
      <family val="1"/>
    </font>
    <font>
      <sz val="11"/>
      <color rgb="FF00B0F0"/>
      <name val="Times New Roman"/>
      <family val="1"/>
    </font>
    <font>
      <sz val="11"/>
      <color theme="1"/>
      <name val="Times New Roman"/>
      <family val="1"/>
    </font>
    <font>
      <sz val="15"/>
      <color theme="1"/>
      <name val="Times New Roman"/>
      <family val="1"/>
    </font>
    <font>
      <sz val="15"/>
      <color theme="0" tint="-0.499984740745262"/>
      <name val="Times New Roman"/>
      <family val="1"/>
    </font>
    <font>
      <b/>
      <sz val="8"/>
      <name val="Times New Roman"/>
      <family val="1"/>
    </font>
    <font>
      <b/>
      <sz val="10"/>
      <color theme="1" tint="0.499984740745262"/>
      <name val="Tempus Sans ITC"/>
      <family val="5"/>
    </font>
    <font>
      <sz val="11"/>
      <color theme="1" tint="0.499984740745262"/>
      <name val="Times New Roman"/>
      <family val="1"/>
    </font>
    <font>
      <b/>
      <sz val="16"/>
      <color theme="3" tint="0.39997558519241921"/>
      <name val="Tempus Sans ITC"/>
      <family val="5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mbria"/>
      <family val="1"/>
      <scheme val="major"/>
    </font>
    <font>
      <sz val="11"/>
      <name val="Calibri"/>
      <family val="2"/>
      <scheme val="minor"/>
    </font>
    <font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8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5"/>
      <color theme="1"/>
      <name val="Algerian"/>
      <family val="5"/>
    </font>
    <font>
      <b/>
      <sz val="28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1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8"/>
      <color theme="1"/>
      <name val="Arial"/>
      <family val="2"/>
    </font>
    <font>
      <b/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arial"/>
    </font>
    <font>
      <b/>
      <sz val="12"/>
      <name val="Aarial"/>
    </font>
    <font>
      <b/>
      <sz val="8"/>
      <name val="Cambria"/>
      <family val="1"/>
      <scheme val="maj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Times New Roman"/>
      <family val="1"/>
    </font>
    <font>
      <b/>
      <sz val="22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vertAlign val="superscript"/>
      <sz val="12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1" fillId="0" borderId="0"/>
  </cellStyleXfs>
  <cellXfs count="265">
    <xf numFmtId="0" fontId="0" fillId="0" borderId="0" xfId="0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3" borderId="5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5" xfId="0" applyFill="1" applyBorder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9" xfId="0" applyFont="1" applyFill="1" applyBorder="1"/>
    <xf numFmtId="0" fontId="4" fillId="3" borderId="10" xfId="0" applyFont="1" applyFill="1" applyBorder="1"/>
    <xf numFmtId="0" fontId="4" fillId="3" borderId="7" xfId="0" applyFont="1" applyFill="1" applyBorder="1"/>
    <xf numFmtId="0" fontId="10" fillId="3" borderId="0" xfId="0" applyFont="1" applyFill="1"/>
    <xf numFmtId="164" fontId="10" fillId="3" borderId="0" xfId="0" applyNumberFormat="1" applyFont="1" applyFill="1"/>
    <xf numFmtId="0" fontId="3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/>
    </xf>
    <xf numFmtId="0" fontId="11" fillId="3" borderId="0" xfId="0" applyFont="1" applyFill="1"/>
    <xf numFmtId="0" fontId="11" fillId="3" borderId="5" xfId="0" applyFont="1" applyFill="1" applyBorder="1"/>
    <xf numFmtId="0" fontId="10" fillId="3" borderId="5" xfId="0" applyFont="1" applyFill="1" applyBorder="1"/>
    <xf numFmtId="0" fontId="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/>
    </xf>
    <xf numFmtId="165" fontId="6" fillId="3" borderId="1" xfId="0" applyNumberFormat="1" applyFont="1" applyFill="1" applyBorder="1" applyAlignment="1">
      <alignment horizontal="center" vertical="center"/>
    </xf>
    <xf numFmtId="1" fontId="6" fillId="3" borderId="1" xfId="0" applyNumberFormat="1" applyFont="1" applyFill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/>
    </xf>
    <xf numFmtId="1" fontId="12" fillId="3" borderId="1" xfId="0" applyNumberFormat="1" applyFont="1" applyFill="1" applyBorder="1" applyAlignment="1">
      <alignment horizontal="center" vertical="center"/>
    </xf>
    <xf numFmtId="0" fontId="32" fillId="3" borderId="0" xfId="0" applyFont="1" applyFill="1"/>
    <xf numFmtId="49" fontId="32" fillId="3" borderId="0" xfId="0" applyNumberFormat="1" applyFont="1" applyFill="1"/>
    <xf numFmtId="1" fontId="33" fillId="3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28" fillId="3" borderId="0" xfId="0" applyFont="1" applyFill="1" applyAlignment="1">
      <alignment vertical="center"/>
    </xf>
    <xf numFmtId="0" fontId="14" fillId="3" borderId="4" xfId="0" applyFont="1" applyFill="1" applyBorder="1"/>
    <xf numFmtId="0" fontId="35" fillId="0" borderId="0" xfId="0" applyFont="1"/>
    <xf numFmtId="0" fontId="38" fillId="0" borderId="0" xfId="0" applyFont="1"/>
    <xf numFmtId="0" fontId="37" fillId="2" borderId="15" xfId="0" applyFont="1" applyFill="1" applyBorder="1" applyAlignment="1">
      <alignment horizontal="left" vertical="center"/>
    </xf>
    <xf numFmtId="0" fontId="37" fillId="2" borderId="13" xfId="0" applyFont="1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39" fillId="2" borderId="13" xfId="0" applyFont="1" applyFill="1" applyBorder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2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0" applyFont="1"/>
    <xf numFmtId="0" fontId="41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left" vertical="center"/>
    </xf>
    <xf numFmtId="0" fontId="45" fillId="2" borderId="1" xfId="0" applyFont="1" applyFill="1" applyBorder="1" applyAlignment="1">
      <alignment horizontal="center" vertical="center"/>
    </xf>
    <xf numFmtId="1" fontId="45" fillId="2" borderId="1" xfId="0" applyNumberFormat="1" applyFont="1" applyFill="1" applyBorder="1" applyAlignment="1">
      <alignment horizontal="center" vertical="center"/>
    </xf>
    <xf numFmtId="2" fontId="45" fillId="2" borderId="1" xfId="1" applyNumberFormat="1" applyFont="1" applyFill="1" applyBorder="1" applyAlignment="1">
      <alignment horizontal="center" vertical="center"/>
    </xf>
    <xf numFmtId="2" fontId="45" fillId="2" borderId="2" xfId="1" applyNumberFormat="1" applyFont="1" applyFill="1" applyBorder="1" applyAlignment="1">
      <alignment horizontal="center" vertical="center"/>
    </xf>
    <xf numFmtId="0" fontId="45" fillId="2" borderId="24" xfId="0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2" fillId="2" borderId="1" xfId="0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0" fillId="0" borderId="10" xfId="0" applyBorder="1"/>
    <xf numFmtId="0" fontId="2" fillId="0" borderId="10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8" fillId="0" borderId="0" xfId="0" applyFont="1"/>
    <xf numFmtId="1" fontId="17" fillId="2" borderId="1" xfId="0" applyNumberFormat="1" applyFont="1" applyFill="1" applyBorder="1" applyAlignment="1">
      <alignment horizontal="center" vertical="center"/>
    </xf>
    <xf numFmtId="167" fontId="52" fillId="0" borderId="6" xfId="2" applyNumberFormat="1" applyFont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1" fontId="53" fillId="2" borderId="1" xfId="0" applyNumberFormat="1" applyFont="1" applyFill="1" applyBorder="1" applyAlignment="1">
      <alignment horizontal="center" vertical="center"/>
    </xf>
    <xf numFmtId="167" fontId="52" fillId="0" borderId="1" xfId="2" applyNumberFormat="1" applyFont="1" applyBorder="1" applyAlignment="1">
      <alignment horizontal="center" vertical="center"/>
    </xf>
    <xf numFmtId="2" fontId="53" fillId="2" borderId="1" xfId="1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" fontId="17" fillId="2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55" fillId="0" borderId="9" xfId="0" applyFont="1" applyBorder="1" applyAlignment="1">
      <alignment vertical="center" wrapText="1"/>
    </xf>
    <xf numFmtId="0" fontId="54" fillId="0" borderId="0" xfId="0" applyFont="1" applyAlignment="1">
      <alignment vertical="center"/>
    </xf>
    <xf numFmtId="0" fontId="54" fillId="0" borderId="0" xfId="0" applyFont="1"/>
    <xf numFmtId="0" fontId="40" fillId="0" borderId="0" xfId="0" applyFont="1" applyAlignment="1">
      <alignment horizontal="right"/>
    </xf>
    <xf numFmtId="0" fontId="0" fillId="2" borderId="13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37" fillId="2" borderId="17" xfId="0" applyFont="1" applyFill="1" applyBorder="1" applyAlignment="1">
      <alignment horizontal="left" vertical="center"/>
    </xf>
    <xf numFmtId="0" fontId="0" fillId="2" borderId="18" xfId="0" applyFill="1" applyBorder="1" applyAlignment="1">
      <alignment vertical="center"/>
    </xf>
    <xf numFmtId="0" fontId="37" fillId="2" borderId="17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56" fillId="0" borderId="1" xfId="2" applyFont="1" applyBorder="1" applyAlignment="1">
      <alignment horizontal="center" vertical="center" wrapText="1"/>
    </xf>
    <xf numFmtId="0" fontId="42" fillId="0" borderId="1" xfId="2" applyFont="1" applyBorder="1" applyAlignment="1">
      <alignment vertical="center" wrapText="1"/>
    </xf>
    <xf numFmtId="0" fontId="56" fillId="0" borderId="1" xfId="2" applyFont="1" applyBorder="1" applyAlignment="1">
      <alignment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42" fillId="0" borderId="1" xfId="2" applyFont="1" applyBorder="1" applyAlignment="1">
      <alignment horizontal="center" vertical="center" wrapText="1"/>
    </xf>
    <xf numFmtId="0" fontId="57" fillId="0" borderId="0" xfId="0" applyFont="1"/>
    <xf numFmtId="0" fontId="45" fillId="2" borderId="29" xfId="0" applyFont="1" applyFill="1" applyBorder="1" applyAlignment="1">
      <alignment horizontal="center" vertical="center"/>
    </xf>
    <xf numFmtId="0" fontId="45" fillId="2" borderId="8" xfId="0" applyFont="1" applyFill="1" applyBorder="1" applyAlignment="1">
      <alignment horizontal="center" vertical="center"/>
    </xf>
    <xf numFmtId="0" fontId="57" fillId="0" borderId="10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53" fillId="2" borderId="1" xfId="0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1" fontId="61" fillId="2" borderId="1" xfId="0" applyNumberFormat="1" applyFont="1" applyFill="1" applyBorder="1" applyAlignment="1">
      <alignment horizontal="center" vertical="center"/>
    </xf>
    <xf numFmtId="2" fontId="61" fillId="2" borderId="1" xfId="1" applyNumberFormat="1" applyFont="1" applyFill="1" applyBorder="1" applyAlignment="1">
      <alignment horizontal="center" vertical="center"/>
    </xf>
    <xf numFmtId="167" fontId="62" fillId="0" borderId="6" xfId="2" applyNumberFormat="1" applyFont="1" applyBorder="1" applyAlignment="1">
      <alignment horizontal="center" vertical="center"/>
    </xf>
    <xf numFmtId="0" fontId="63" fillId="2" borderId="1" xfId="0" applyFont="1" applyFill="1" applyBorder="1" applyAlignment="1">
      <alignment horizontal="center" vertical="center"/>
    </xf>
    <xf numFmtId="1" fontId="63" fillId="2" borderId="1" xfId="0" applyNumberFormat="1" applyFont="1" applyFill="1" applyBorder="1" applyAlignment="1">
      <alignment horizontal="center" vertical="center"/>
    </xf>
    <xf numFmtId="167" fontId="62" fillId="0" borderId="1" xfId="2" applyNumberFormat="1" applyFont="1" applyBorder="1" applyAlignment="1">
      <alignment horizontal="center" vertical="center"/>
    </xf>
    <xf numFmtId="2" fontId="63" fillId="2" borderId="1" xfId="1" applyNumberFormat="1" applyFont="1" applyFill="1" applyBorder="1" applyAlignment="1">
      <alignment horizontal="center" vertical="center"/>
    </xf>
    <xf numFmtId="2" fontId="63" fillId="2" borderId="2" xfId="1" applyNumberFormat="1" applyFont="1" applyFill="1" applyBorder="1" applyAlignment="1">
      <alignment horizontal="center" vertical="center"/>
    </xf>
    <xf numFmtId="0" fontId="61" fillId="0" borderId="0" xfId="0" applyFont="1"/>
    <xf numFmtId="0" fontId="65" fillId="0" borderId="1" xfId="2" applyFont="1" applyBorder="1" applyAlignment="1">
      <alignment horizontal="center" vertical="center" wrapText="1"/>
    </xf>
    <xf numFmtId="0" fontId="60" fillId="0" borderId="1" xfId="2" applyFont="1" applyBorder="1" applyAlignment="1">
      <alignment vertical="center" wrapText="1"/>
    </xf>
    <xf numFmtId="0" fontId="65" fillId="0" borderId="1" xfId="2" applyFont="1" applyBorder="1" applyAlignment="1">
      <alignment vertical="center" wrapText="1"/>
    </xf>
    <xf numFmtId="0" fontId="60" fillId="0" borderId="1" xfId="2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" fontId="61" fillId="2" borderId="0" xfId="0" applyNumberFormat="1" applyFont="1" applyFill="1" applyBorder="1" applyAlignment="1">
      <alignment horizontal="center" vertical="center"/>
    </xf>
    <xf numFmtId="0" fontId="64" fillId="0" borderId="0" xfId="0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66" fillId="0" borderId="0" xfId="0" applyFont="1"/>
    <xf numFmtId="1" fontId="67" fillId="2" borderId="1" xfId="0" applyNumberFormat="1" applyFont="1" applyFill="1" applyBorder="1" applyAlignment="1">
      <alignment horizontal="center" vertical="center"/>
    </xf>
    <xf numFmtId="0" fontId="67" fillId="2" borderId="1" xfId="0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69" fillId="5" borderId="1" xfId="0" applyFont="1" applyFill="1" applyBorder="1" applyAlignment="1">
      <alignment horizontal="center" vertical="center"/>
    </xf>
    <xf numFmtId="0" fontId="69" fillId="5" borderId="1" xfId="0" applyFont="1" applyFill="1" applyBorder="1" applyAlignment="1">
      <alignment horizontal="center" vertical="center" wrapText="1"/>
    </xf>
    <xf numFmtId="0" fontId="71" fillId="2" borderId="1" xfId="0" applyFont="1" applyFill="1" applyBorder="1" applyAlignment="1">
      <alignment horizontal="center" vertical="center"/>
    </xf>
    <xf numFmtId="1" fontId="71" fillId="2" borderId="1" xfId="0" applyNumberFormat="1" applyFont="1" applyFill="1" applyBorder="1" applyAlignment="1">
      <alignment horizontal="center" vertical="center"/>
    </xf>
    <xf numFmtId="1" fontId="70" fillId="0" borderId="1" xfId="0" applyNumberFormat="1" applyFont="1" applyBorder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71" fillId="2" borderId="0" xfId="0" applyFont="1" applyFill="1" applyBorder="1" applyAlignment="1">
      <alignment horizontal="center" vertical="center"/>
    </xf>
    <xf numFmtId="1" fontId="71" fillId="2" borderId="0" xfId="0" applyNumberFormat="1" applyFont="1" applyFill="1" applyBorder="1" applyAlignment="1">
      <alignment horizontal="center" vertical="center"/>
    </xf>
    <xf numFmtId="0" fontId="0" fillId="0" borderId="0" xfId="0" applyBorder="1"/>
    <xf numFmtId="0" fontId="17" fillId="0" borderId="0" xfId="0" applyFont="1" applyBorder="1" applyAlignment="1">
      <alignment vertical="center"/>
    </xf>
    <xf numFmtId="0" fontId="46" fillId="0" borderId="0" xfId="0" applyFont="1" applyAlignment="1">
      <alignment horizontal="center" vertical="center" wrapText="1"/>
    </xf>
    <xf numFmtId="1" fontId="61" fillId="2" borderId="2" xfId="0" applyNumberFormat="1" applyFont="1" applyFill="1" applyBorder="1" applyAlignment="1">
      <alignment horizontal="center" vertical="center"/>
    </xf>
    <xf numFmtId="1" fontId="61" fillId="2" borderId="11" xfId="0" applyNumberFormat="1" applyFont="1" applyFill="1" applyBorder="1" applyAlignment="1">
      <alignment horizontal="center" vertical="center"/>
    </xf>
    <xf numFmtId="1" fontId="61" fillId="2" borderId="3" xfId="0" applyNumberFormat="1" applyFont="1" applyFill="1" applyBorder="1" applyAlignment="1">
      <alignment horizontal="center" vertical="center"/>
    </xf>
    <xf numFmtId="0" fontId="61" fillId="2" borderId="2" xfId="0" applyFont="1" applyFill="1" applyBorder="1" applyAlignment="1">
      <alignment horizontal="center" vertical="center"/>
    </xf>
    <xf numFmtId="0" fontId="61" fillId="2" borderId="11" xfId="0" applyFont="1" applyFill="1" applyBorder="1" applyAlignment="1">
      <alignment horizontal="center" vertical="center"/>
    </xf>
    <xf numFmtId="0" fontId="61" fillId="2" borderId="3" xfId="0" applyFont="1" applyFill="1" applyBorder="1" applyAlignment="1">
      <alignment horizontal="center" vertical="center"/>
    </xf>
    <xf numFmtId="1" fontId="67" fillId="2" borderId="2" xfId="0" applyNumberFormat="1" applyFont="1" applyFill="1" applyBorder="1" applyAlignment="1">
      <alignment horizontal="center" vertical="center"/>
    </xf>
    <xf numFmtId="1" fontId="67" fillId="2" borderId="11" xfId="0" applyNumberFormat="1" applyFont="1" applyFill="1" applyBorder="1" applyAlignment="1">
      <alignment horizontal="center" vertical="center"/>
    </xf>
    <xf numFmtId="1" fontId="67" fillId="2" borderId="3" xfId="0" applyNumberFormat="1" applyFont="1" applyFill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3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1" fontId="63" fillId="2" borderId="2" xfId="0" applyNumberFormat="1" applyFont="1" applyFill="1" applyBorder="1" applyAlignment="1">
      <alignment horizontal="center" vertical="center"/>
    </xf>
    <xf numFmtId="1" fontId="63" fillId="2" borderId="11" xfId="0" applyNumberFormat="1" applyFont="1" applyFill="1" applyBorder="1" applyAlignment="1">
      <alignment horizontal="center" vertical="center"/>
    </xf>
    <xf numFmtId="1" fontId="63" fillId="2" borderId="3" xfId="0" applyNumberFormat="1" applyFont="1" applyFill="1" applyBorder="1" applyAlignment="1">
      <alignment horizontal="center" vertical="center"/>
    </xf>
    <xf numFmtId="0" fontId="63" fillId="2" borderId="2" xfId="0" applyFont="1" applyFill="1" applyBorder="1" applyAlignment="1">
      <alignment horizontal="center" vertical="center"/>
    </xf>
    <xf numFmtId="0" fontId="63" fillId="2" borderId="11" xfId="0" applyFont="1" applyFill="1" applyBorder="1" applyAlignment="1">
      <alignment horizontal="center" vertical="center"/>
    </xf>
    <xf numFmtId="0" fontId="63" fillId="2" borderId="3" xfId="0" applyFont="1" applyFill="1" applyBorder="1" applyAlignment="1">
      <alignment horizontal="center" vertical="center"/>
    </xf>
    <xf numFmtId="0" fontId="69" fillId="5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1" fontId="53" fillId="2" borderId="1" xfId="0" applyNumberFormat="1" applyFont="1" applyFill="1" applyBorder="1" applyAlignment="1">
      <alignment horizontal="center" vertical="center"/>
    </xf>
    <xf numFmtId="1" fontId="53" fillId="2" borderId="2" xfId="0" applyNumberFormat="1" applyFont="1" applyFill="1" applyBorder="1" applyAlignment="1">
      <alignment horizontal="center" vertical="center"/>
    </xf>
    <xf numFmtId="1" fontId="53" fillId="2" borderId="11" xfId="0" applyNumberFormat="1" applyFont="1" applyFill="1" applyBorder="1" applyAlignment="1">
      <alignment horizontal="center" vertical="center"/>
    </xf>
    <xf numFmtId="1" fontId="53" fillId="2" borderId="3" xfId="0" applyNumberFormat="1" applyFont="1" applyFill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0" fontId="37" fillId="2" borderId="15" xfId="0" applyFont="1" applyFill="1" applyBorder="1" applyAlignment="1">
      <alignment horizontal="center" wrapText="1"/>
    </xf>
    <xf numFmtId="0" fontId="37" fillId="2" borderId="13" xfId="0" applyFont="1" applyFill="1" applyBorder="1" applyAlignment="1">
      <alignment horizontal="center" wrapText="1"/>
    </xf>
    <xf numFmtId="0" fontId="37" fillId="2" borderId="16" xfId="0" applyFont="1" applyFill="1" applyBorder="1" applyAlignment="1">
      <alignment horizontal="center" wrapText="1"/>
    </xf>
    <xf numFmtId="0" fontId="37" fillId="2" borderId="17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18" xfId="0" applyFont="1" applyFill="1" applyBorder="1" applyAlignment="1">
      <alignment horizontal="center" wrapText="1"/>
    </xf>
    <xf numFmtId="0" fontId="37" fillId="2" borderId="19" xfId="0" applyFont="1" applyFill="1" applyBorder="1" applyAlignment="1">
      <alignment horizontal="center" wrapText="1"/>
    </xf>
    <xf numFmtId="0" fontId="37" fillId="2" borderId="14" xfId="0" applyFont="1" applyFill="1" applyBorder="1" applyAlignment="1">
      <alignment horizontal="center" wrapText="1"/>
    </xf>
    <xf numFmtId="0" fontId="37" fillId="2" borderId="20" xfId="0" applyFont="1" applyFill="1" applyBorder="1" applyAlignment="1">
      <alignment horizontal="center" wrapText="1"/>
    </xf>
    <xf numFmtId="164" fontId="10" fillId="3" borderId="0" xfId="0" applyNumberFormat="1" applyFont="1" applyFill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8" fillId="3" borderId="9" xfId="0" applyFont="1" applyFill="1" applyBorder="1" applyAlignment="1">
      <alignment horizontal="left" vertical="top"/>
    </xf>
    <xf numFmtId="0" fontId="28" fillId="3" borderId="10" xfId="0" applyFont="1" applyFill="1" applyBorder="1" applyAlignment="1">
      <alignment horizontal="left" vertical="top"/>
    </xf>
    <xf numFmtId="0" fontId="28" fillId="3" borderId="7" xfId="0" applyFont="1" applyFill="1" applyBorder="1" applyAlignment="1">
      <alignment horizontal="left" vertical="top"/>
    </xf>
    <xf numFmtId="0" fontId="21" fillId="3" borderId="4" xfId="0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1" fillId="3" borderId="4" xfId="0" applyFont="1" applyFill="1" applyBorder="1" applyAlignment="1">
      <alignment horizontal="center"/>
    </xf>
    <xf numFmtId="0" fontId="21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1" fontId="6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textRotation="90" wrapText="1"/>
    </xf>
    <xf numFmtId="0" fontId="5" fillId="3" borderId="2" xfId="0" applyFont="1" applyFill="1" applyBorder="1" applyAlignment="1">
      <alignment horizontal="center" vertical="center" textRotation="90" wrapText="1"/>
    </xf>
    <xf numFmtId="0" fontId="5" fillId="3" borderId="11" xfId="0" applyFont="1" applyFill="1" applyBorder="1" applyAlignment="1">
      <alignment horizontal="center" vertical="center" textRotation="90" wrapText="1"/>
    </xf>
    <xf numFmtId="0" fontId="5" fillId="3" borderId="2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6" fillId="3" borderId="2" xfId="0" applyNumberFormat="1" applyFont="1" applyFill="1" applyBorder="1" applyAlignment="1">
      <alignment horizontal="center" vertical="center"/>
    </xf>
    <xf numFmtId="165" fontId="6" fillId="3" borderId="3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" fontId="6" fillId="3" borderId="2" xfId="0" applyNumberFormat="1" applyFont="1" applyFill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37" fillId="2" borderId="13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" fontId="72" fillId="2" borderId="0" xfId="0" applyNumberFormat="1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7" fillId="2" borderId="14" xfId="0" applyFont="1" applyFill="1" applyBorder="1" applyAlignment="1">
      <alignment horizontal="left" vertical="center"/>
    </xf>
    <xf numFmtId="0" fontId="74" fillId="2" borderId="15" xfId="0" applyFont="1" applyFill="1" applyBorder="1" applyAlignment="1">
      <alignment horizontal="center" vertical="center" wrapText="1"/>
    </xf>
    <xf numFmtId="0" fontId="74" fillId="2" borderId="16" xfId="0" applyFont="1" applyFill="1" applyBorder="1" applyAlignment="1">
      <alignment horizontal="center" vertical="center" wrapText="1"/>
    </xf>
    <xf numFmtId="1" fontId="74" fillId="2" borderId="22" xfId="0" applyNumberFormat="1" applyFont="1" applyFill="1" applyBorder="1" applyAlignment="1">
      <alignment horizontal="center" vertical="center" textRotation="90" wrapText="1"/>
    </xf>
    <xf numFmtId="0" fontId="74" fillId="2" borderId="25" xfId="0" applyFont="1" applyFill="1" applyBorder="1" applyAlignment="1">
      <alignment horizontal="center" vertical="center"/>
    </xf>
    <xf numFmtId="0" fontId="74" fillId="2" borderId="27" xfId="0" applyFont="1" applyFill="1" applyBorder="1" applyAlignment="1">
      <alignment horizontal="center" vertical="center"/>
    </xf>
    <xf numFmtId="0" fontId="74" fillId="2" borderId="26" xfId="0" applyFont="1" applyFill="1" applyBorder="1" applyAlignment="1">
      <alignment horizontal="center" vertical="center"/>
    </xf>
    <xf numFmtId="0" fontId="74" fillId="2" borderId="17" xfId="0" applyFont="1" applyFill="1" applyBorder="1" applyAlignment="1">
      <alignment horizontal="center" vertical="center" wrapText="1"/>
    </xf>
    <xf numFmtId="0" fontId="74" fillId="2" borderId="18" xfId="0" applyFont="1" applyFill="1" applyBorder="1" applyAlignment="1">
      <alignment horizontal="center" vertical="center" wrapText="1"/>
    </xf>
    <xf numFmtId="1" fontId="74" fillId="2" borderId="28" xfId="0" applyNumberFormat="1" applyFont="1" applyFill="1" applyBorder="1" applyAlignment="1">
      <alignment horizontal="center" vertical="center" textRotation="90" wrapText="1"/>
    </xf>
    <xf numFmtId="0" fontId="74" fillId="2" borderId="22" xfId="0" applyFont="1" applyFill="1" applyBorder="1" applyAlignment="1">
      <alignment horizontal="center" vertical="center" textRotation="90"/>
    </xf>
    <xf numFmtId="0" fontId="74" fillId="2" borderId="22" xfId="0" applyFont="1" applyFill="1" applyBorder="1" applyAlignment="1">
      <alignment horizontal="center" vertical="center" textRotation="90" wrapText="1"/>
    </xf>
    <xf numFmtId="0" fontId="74" fillId="2" borderId="28" xfId="0" applyFont="1" applyFill="1" applyBorder="1" applyAlignment="1">
      <alignment horizontal="center" vertical="center" textRotation="90"/>
    </xf>
    <xf numFmtId="0" fontId="74" fillId="2" borderId="28" xfId="0" applyFont="1" applyFill="1" applyBorder="1" applyAlignment="1">
      <alignment horizontal="center" vertical="center" textRotation="90" wrapText="1"/>
    </xf>
    <xf numFmtId="0" fontId="74" fillId="2" borderId="19" xfId="0" applyFont="1" applyFill="1" applyBorder="1" applyAlignment="1">
      <alignment horizontal="center" vertical="center" wrapText="1"/>
    </xf>
    <xf numFmtId="0" fontId="74" fillId="2" borderId="20" xfId="0" applyFont="1" applyFill="1" applyBorder="1" applyAlignment="1">
      <alignment horizontal="center" vertical="center" wrapText="1"/>
    </xf>
    <xf numFmtId="1" fontId="74" fillId="2" borderId="23" xfId="0" applyNumberFormat="1" applyFont="1" applyFill="1" applyBorder="1" applyAlignment="1">
      <alignment horizontal="center" vertical="center" textRotation="90" wrapText="1"/>
    </xf>
    <xf numFmtId="0" fontId="74" fillId="2" borderId="23" xfId="0" applyFont="1" applyFill="1" applyBorder="1" applyAlignment="1">
      <alignment horizontal="center" vertical="center" textRotation="90"/>
    </xf>
    <xf numFmtId="0" fontId="74" fillId="2" borderId="23" xfId="0" applyFont="1" applyFill="1" applyBorder="1" applyAlignment="1">
      <alignment horizontal="center" vertical="center" textRotation="90" wrapText="1"/>
    </xf>
    <xf numFmtId="0" fontId="74" fillId="4" borderId="25" xfId="0" applyFont="1" applyFill="1" applyBorder="1" applyAlignment="1">
      <alignment horizontal="center" vertical="center"/>
    </xf>
    <xf numFmtId="0" fontId="74" fillId="4" borderId="26" xfId="0" applyFont="1" applyFill="1" applyBorder="1" applyAlignment="1">
      <alignment horizontal="center" vertical="center"/>
    </xf>
    <xf numFmtId="0" fontId="74" fillId="2" borderId="21" xfId="0" applyFont="1" applyFill="1" applyBorder="1" applyAlignment="1">
      <alignment horizontal="center" vertical="center"/>
    </xf>
    <xf numFmtId="1" fontId="74" fillId="2" borderId="22" xfId="0" applyNumberFormat="1" applyFont="1" applyFill="1" applyBorder="1" applyAlignment="1">
      <alignment horizontal="center" vertical="center"/>
    </xf>
    <xf numFmtId="165" fontId="74" fillId="2" borderId="21" xfId="0" applyNumberFormat="1" applyFont="1" applyFill="1" applyBorder="1" applyAlignment="1">
      <alignment horizontal="center" vertical="center"/>
    </xf>
    <xf numFmtId="1" fontId="74" fillId="2" borderId="21" xfId="0" applyNumberFormat="1" applyFont="1" applyFill="1" applyBorder="1" applyAlignment="1">
      <alignment horizontal="center" vertical="center"/>
    </xf>
    <xf numFmtId="165" fontId="74" fillId="2" borderId="22" xfId="0" applyNumberFormat="1" applyFont="1" applyFill="1" applyBorder="1" applyAlignment="1">
      <alignment horizontal="center" vertical="center"/>
    </xf>
    <xf numFmtId="2" fontId="74" fillId="2" borderId="21" xfId="0" applyNumberFormat="1" applyFont="1" applyFill="1" applyBorder="1" applyAlignment="1">
      <alignment horizontal="center" vertical="center"/>
    </xf>
    <xf numFmtId="2" fontId="74" fillId="2" borderId="22" xfId="0" applyNumberFormat="1" applyFont="1" applyFill="1" applyBorder="1" applyAlignment="1">
      <alignment horizontal="center" vertical="center"/>
    </xf>
    <xf numFmtId="166" fontId="74" fillId="2" borderId="22" xfId="0" applyNumberFormat="1" applyFont="1" applyFill="1" applyBorder="1" applyAlignment="1">
      <alignment horizontal="center" vertical="center"/>
    </xf>
    <xf numFmtId="1" fontId="74" fillId="2" borderId="23" xfId="0" applyNumberFormat="1" applyFont="1" applyFill="1" applyBorder="1" applyAlignment="1">
      <alignment horizontal="center" vertical="center"/>
    </xf>
    <xf numFmtId="165" fontId="74" fillId="2" borderId="23" xfId="0" applyNumberFormat="1" applyFont="1" applyFill="1" applyBorder="1" applyAlignment="1">
      <alignment horizontal="center" vertical="center"/>
    </xf>
    <xf numFmtId="2" fontId="74" fillId="2" borderId="23" xfId="0" applyNumberFormat="1" applyFont="1" applyFill="1" applyBorder="1" applyAlignment="1">
      <alignment horizontal="center" vertical="center"/>
    </xf>
    <xf numFmtId="166" fontId="74" fillId="2" borderId="28" xfId="0" applyNumberFormat="1" applyFont="1" applyFill="1" applyBorder="1" applyAlignment="1">
      <alignment horizontal="center" vertical="center"/>
    </xf>
    <xf numFmtId="166" fontId="74" fillId="2" borderId="23" xfId="0" applyNumberFormat="1" applyFont="1" applyFill="1" applyBorder="1" applyAlignment="1">
      <alignment horizontal="center" vertical="center"/>
    </xf>
    <xf numFmtId="1" fontId="74" fillId="4" borderId="21" xfId="0" applyNumberFormat="1" applyFont="1" applyFill="1" applyBorder="1"/>
    <xf numFmtId="0" fontId="74" fillId="4" borderId="21" xfId="0" applyFont="1" applyFill="1" applyBorder="1"/>
    <xf numFmtId="1" fontId="74" fillId="4" borderId="21" xfId="0" applyNumberFormat="1" applyFont="1" applyFill="1" applyBorder="1" applyAlignment="1">
      <alignment horizontal="center" vertical="center"/>
    </xf>
    <xf numFmtId="0" fontId="74" fillId="4" borderId="25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4" fillId="4" borderId="26" xfId="0" applyFont="1" applyFill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146695</xdr:colOff>
      <xdr:row>0</xdr:row>
      <xdr:rowOff>266967</xdr:rowOff>
    </xdr:from>
    <xdr:to>
      <xdr:col>22</xdr:col>
      <xdr:colOff>186284</xdr:colOff>
      <xdr:row>4</xdr:row>
      <xdr:rowOff>292930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921401" y="266967"/>
          <a:ext cx="1182589" cy="133649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253406</xdr:colOff>
      <xdr:row>0</xdr:row>
      <xdr:rowOff>90729</xdr:rowOff>
    </xdr:from>
    <xdr:to>
      <xdr:col>21</xdr:col>
      <xdr:colOff>89647</xdr:colOff>
      <xdr:row>5</xdr:row>
      <xdr:rowOff>185616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059053" y="90729"/>
          <a:ext cx="979241" cy="120426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44161</xdr:colOff>
      <xdr:row>0</xdr:row>
      <xdr:rowOff>59555</xdr:rowOff>
    </xdr:from>
    <xdr:to>
      <xdr:col>22</xdr:col>
      <xdr:colOff>29033</xdr:colOff>
      <xdr:row>5</xdr:row>
      <xdr:rowOff>102176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703752" y="59555"/>
          <a:ext cx="1127872" cy="125489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</xdr:colOff>
      <xdr:row>28</xdr:row>
      <xdr:rowOff>17970</xdr:rowOff>
    </xdr:from>
    <xdr:to>
      <xdr:col>23</xdr:col>
      <xdr:colOff>476256</xdr:colOff>
      <xdr:row>30</xdr:row>
      <xdr:rowOff>4861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357DF0A3-09A0-0AA3-FCE5-293C6A6C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1490475" y="9141036"/>
          <a:ext cx="364296" cy="988447"/>
        </a:xfrm>
        <a:prstGeom prst="rect">
          <a:avLst/>
        </a:prstGeom>
      </xdr:spPr>
    </xdr:pic>
    <xdr:clientData/>
  </xdr:twoCellAnchor>
  <xdr:twoCellAnchor editAs="oneCell">
    <xdr:from>
      <xdr:col>5</xdr:col>
      <xdr:colOff>152758</xdr:colOff>
      <xdr:row>0</xdr:row>
      <xdr:rowOff>136778</xdr:rowOff>
    </xdr:from>
    <xdr:to>
      <xdr:col>6</xdr:col>
      <xdr:colOff>404362</xdr:colOff>
      <xdr:row>3</xdr:row>
      <xdr:rowOff>184621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3405635" y="136778"/>
          <a:ext cx="709883" cy="80265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680356</xdr:colOff>
      <xdr:row>1</xdr:row>
      <xdr:rowOff>174170</xdr:rowOff>
    </xdr:from>
    <xdr:to>
      <xdr:col>3</xdr:col>
      <xdr:colOff>1364164</xdr:colOff>
      <xdr:row>4</xdr:row>
      <xdr:rowOff>349899</xdr:rowOff>
    </xdr:to>
    <xdr:pic>
      <xdr:nvPicPr>
        <xdr:cNvPr id="3" name="Picture 2" descr="logo.pn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05" y="494910"/>
          <a:ext cx="683808" cy="7588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V26"/>
  <sheetViews>
    <sheetView topLeftCell="Y1" zoomScale="85" zoomScaleNormal="85" zoomScaleSheetLayoutView="40" workbookViewId="0">
      <pane ySplit="9" topLeftCell="A10" activePane="bottomLeft" state="frozen"/>
      <selection pane="bottomLeft" activeCell="BT9" sqref="BT9:BT23"/>
    </sheetView>
  </sheetViews>
  <sheetFormatPr defaultColWidth="3.7109375" defaultRowHeight="15.75"/>
  <cols>
    <col min="1" max="1" width="5.7109375" style="97" customWidth="1"/>
    <col min="2" max="2" width="6.140625" style="82" customWidth="1"/>
    <col min="3" max="3" width="26" bestFit="1" customWidth="1"/>
    <col min="4" max="4" width="27.5703125" hidden="1" customWidth="1"/>
    <col min="5" max="5" width="27.7109375" hidden="1" customWidth="1"/>
    <col min="6" max="6" width="18.140625" hidden="1" customWidth="1"/>
    <col min="7" max="70" width="5.7109375" customWidth="1"/>
    <col min="71" max="71" width="19.140625" bestFit="1" customWidth="1"/>
    <col min="72" max="72" width="12.5703125" bestFit="1" customWidth="1"/>
    <col min="73" max="73" width="7.7109375" customWidth="1"/>
    <col min="74" max="74" width="10.85546875" customWidth="1"/>
  </cols>
  <sheetData>
    <row r="1" spans="1:74">
      <c r="B1" s="140" t="s">
        <v>155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</row>
    <row r="2" spans="1:74" ht="27.95" customHeight="1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</row>
    <row r="3" spans="1:74" ht="27.95" customHeight="1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</row>
    <row r="4" spans="1:74" ht="27.95" customHeight="1"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</row>
    <row r="5" spans="1:74" ht="27.95" customHeight="1"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140"/>
      <c r="BU5" s="140"/>
    </row>
    <row r="6" spans="1:74" s="66" customFormat="1" ht="23.25">
      <c r="A6" s="100"/>
      <c r="B6" s="80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8"/>
    </row>
    <row r="7" spans="1:74" s="69" customFormat="1" ht="27.95" customHeight="1">
      <c r="A7" s="153" t="s">
        <v>63</v>
      </c>
      <c r="B7" s="154" t="s">
        <v>0</v>
      </c>
      <c r="C7" s="155" t="s">
        <v>64</v>
      </c>
      <c r="D7" s="155" t="s">
        <v>65</v>
      </c>
      <c r="E7" s="155" t="s">
        <v>66</v>
      </c>
      <c r="F7" s="155" t="s">
        <v>67</v>
      </c>
      <c r="G7" s="151" t="s">
        <v>68</v>
      </c>
      <c r="H7" s="151"/>
      <c r="I7" s="151"/>
      <c r="J7" s="151"/>
      <c r="K7" s="150" t="s">
        <v>69</v>
      </c>
      <c r="L7" s="151" t="s">
        <v>70</v>
      </c>
      <c r="M7" s="151"/>
      <c r="N7" s="151"/>
      <c r="O7" s="150" t="s">
        <v>69</v>
      </c>
      <c r="P7" s="152" t="s">
        <v>7</v>
      </c>
      <c r="Q7" s="152" t="s">
        <v>71</v>
      </c>
      <c r="R7" s="152" t="s">
        <v>1</v>
      </c>
      <c r="S7" s="151" t="s">
        <v>72</v>
      </c>
      <c r="T7" s="151"/>
      <c r="U7" s="151"/>
      <c r="V7" s="151"/>
      <c r="W7" s="151"/>
      <c r="X7" s="151"/>
      <c r="Y7" s="150" t="s">
        <v>69</v>
      </c>
      <c r="Z7" s="150" t="s">
        <v>7</v>
      </c>
      <c r="AA7" s="152" t="s">
        <v>71</v>
      </c>
      <c r="AB7" s="152" t="s">
        <v>1</v>
      </c>
      <c r="AC7" s="151" t="s">
        <v>11</v>
      </c>
      <c r="AD7" s="151"/>
      <c r="AE7" s="151"/>
      <c r="AF7" s="151"/>
      <c r="AG7" s="152" t="s">
        <v>7</v>
      </c>
      <c r="AH7" s="152" t="s">
        <v>71</v>
      </c>
      <c r="AI7" s="152" t="s">
        <v>1</v>
      </c>
      <c r="AJ7" s="151" t="s">
        <v>18</v>
      </c>
      <c r="AK7" s="151"/>
      <c r="AL7" s="151"/>
      <c r="AM7" s="151"/>
      <c r="AN7" s="152" t="s">
        <v>7</v>
      </c>
      <c r="AO7" s="152" t="s">
        <v>71</v>
      </c>
      <c r="AP7" s="152" t="s">
        <v>1</v>
      </c>
      <c r="AQ7" s="151" t="s">
        <v>6</v>
      </c>
      <c r="AR7" s="151"/>
      <c r="AS7" s="152" t="s">
        <v>7</v>
      </c>
      <c r="AT7" s="152" t="s">
        <v>71</v>
      </c>
      <c r="AU7" s="152" t="s">
        <v>1</v>
      </c>
      <c r="AV7" s="151" t="s">
        <v>4</v>
      </c>
      <c r="AW7" s="151"/>
      <c r="AX7" s="151"/>
      <c r="AY7" s="151"/>
      <c r="AZ7" s="152" t="s">
        <v>7</v>
      </c>
      <c r="BA7" s="152" t="s">
        <v>71</v>
      </c>
      <c r="BB7" s="152" t="s">
        <v>1</v>
      </c>
      <c r="BC7" s="151" t="s">
        <v>5</v>
      </c>
      <c r="BD7" s="151"/>
      <c r="BE7" s="151"/>
      <c r="BF7" s="151"/>
      <c r="BG7" s="152" t="s">
        <v>7</v>
      </c>
      <c r="BH7" s="152" t="s">
        <v>71</v>
      </c>
      <c r="BI7" s="152" t="s">
        <v>1</v>
      </c>
      <c r="BJ7" s="151" t="s">
        <v>73</v>
      </c>
      <c r="BK7" s="151"/>
      <c r="BL7" s="151"/>
      <c r="BM7" s="152" t="s">
        <v>7</v>
      </c>
      <c r="BN7" s="152" t="s">
        <v>71</v>
      </c>
      <c r="BO7" s="152" t="s">
        <v>1</v>
      </c>
      <c r="BP7" s="152" t="s">
        <v>2</v>
      </c>
      <c r="BQ7" s="152" t="s">
        <v>3</v>
      </c>
      <c r="BR7" s="150" t="s">
        <v>24</v>
      </c>
      <c r="BS7" s="150" t="s">
        <v>74</v>
      </c>
      <c r="BT7" s="150" t="s">
        <v>75</v>
      </c>
      <c r="BU7" s="150" t="s">
        <v>76</v>
      </c>
      <c r="BV7" s="150" t="s">
        <v>77</v>
      </c>
    </row>
    <row r="8" spans="1:74" ht="27.95" customHeight="1">
      <c r="A8" s="153"/>
      <c r="B8" s="154"/>
      <c r="C8" s="155"/>
      <c r="D8" s="155"/>
      <c r="E8" s="155"/>
      <c r="F8" s="155"/>
      <c r="G8" s="53" t="s">
        <v>12</v>
      </c>
      <c r="H8" s="55" t="s">
        <v>78</v>
      </c>
      <c r="I8" s="55" t="s">
        <v>79</v>
      </c>
      <c r="J8" s="55" t="s">
        <v>80</v>
      </c>
      <c r="K8" s="151"/>
      <c r="L8" s="53" t="s">
        <v>12</v>
      </c>
      <c r="M8" s="55" t="s">
        <v>78</v>
      </c>
      <c r="N8" s="55" t="s">
        <v>79</v>
      </c>
      <c r="O8" s="151"/>
      <c r="P8" s="152"/>
      <c r="Q8" s="152"/>
      <c r="R8" s="152"/>
      <c r="S8" s="53" t="s">
        <v>12</v>
      </c>
      <c r="T8" s="55" t="s">
        <v>81</v>
      </c>
      <c r="U8" s="55" t="s">
        <v>82</v>
      </c>
      <c r="V8" s="55" t="s">
        <v>12</v>
      </c>
      <c r="W8" s="55" t="s">
        <v>83</v>
      </c>
      <c r="X8" s="55" t="s">
        <v>82</v>
      </c>
      <c r="Y8" s="151"/>
      <c r="Z8" s="151"/>
      <c r="AA8" s="152"/>
      <c r="AB8" s="152"/>
      <c r="AC8" s="53" t="s">
        <v>12</v>
      </c>
      <c r="AD8" s="55" t="s">
        <v>78</v>
      </c>
      <c r="AE8" s="55" t="s">
        <v>79</v>
      </c>
      <c r="AF8" s="55" t="s">
        <v>80</v>
      </c>
      <c r="AG8" s="152"/>
      <c r="AH8" s="152"/>
      <c r="AI8" s="152"/>
      <c r="AJ8" s="53" t="s">
        <v>12</v>
      </c>
      <c r="AK8" s="55" t="s">
        <v>78</v>
      </c>
      <c r="AL8" s="55" t="s">
        <v>79</v>
      </c>
      <c r="AM8" s="55" t="s">
        <v>80</v>
      </c>
      <c r="AN8" s="152"/>
      <c r="AO8" s="152"/>
      <c r="AP8" s="152"/>
      <c r="AQ8" s="55" t="s">
        <v>80</v>
      </c>
      <c r="AR8" s="55" t="s">
        <v>84</v>
      </c>
      <c r="AS8" s="152"/>
      <c r="AT8" s="152"/>
      <c r="AU8" s="152"/>
      <c r="AV8" s="53" t="s">
        <v>12</v>
      </c>
      <c r="AW8" s="55" t="s">
        <v>78</v>
      </c>
      <c r="AX8" s="55" t="s">
        <v>79</v>
      </c>
      <c r="AY8" s="55" t="s">
        <v>80</v>
      </c>
      <c r="AZ8" s="152"/>
      <c r="BA8" s="152"/>
      <c r="BB8" s="152"/>
      <c r="BC8" s="53" t="s">
        <v>12</v>
      </c>
      <c r="BD8" s="55" t="s">
        <v>78</v>
      </c>
      <c r="BE8" s="55" t="s">
        <v>79</v>
      </c>
      <c r="BF8" s="55" t="s">
        <v>80</v>
      </c>
      <c r="BG8" s="152"/>
      <c r="BH8" s="152"/>
      <c r="BI8" s="152"/>
      <c r="BJ8" s="53" t="s">
        <v>12</v>
      </c>
      <c r="BK8" s="55" t="s">
        <v>78</v>
      </c>
      <c r="BL8" s="55" t="s">
        <v>79</v>
      </c>
      <c r="BM8" s="152"/>
      <c r="BN8" s="152"/>
      <c r="BO8" s="152"/>
      <c r="BP8" s="152"/>
      <c r="BQ8" s="152"/>
      <c r="BR8" s="151"/>
      <c r="BS8" s="151"/>
      <c r="BT8" s="151"/>
      <c r="BU8" s="151"/>
      <c r="BV8" s="151"/>
    </row>
    <row r="9" spans="1:74" ht="27.95" customHeight="1">
      <c r="A9" s="101">
        <v>1</v>
      </c>
      <c r="B9" s="116">
        <v>27</v>
      </c>
      <c r="C9" s="117" t="s">
        <v>101</v>
      </c>
      <c r="D9" s="63" t="s">
        <v>102</v>
      </c>
      <c r="E9" s="63" t="s">
        <v>103</v>
      </c>
      <c r="F9" s="64" t="s">
        <v>104</v>
      </c>
      <c r="G9" s="105">
        <v>16</v>
      </c>
      <c r="H9" s="106">
        <v>18</v>
      </c>
      <c r="I9" s="107">
        <f>H9+G9</f>
        <v>34</v>
      </c>
      <c r="J9" s="106">
        <v>20</v>
      </c>
      <c r="K9" s="107">
        <f>I9+J9</f>
        <v>54</v>
      </c>
      <c r="L9" s="105">
        <v>7</v>
      </c>
      <c r="M9" s="106">
        <v>37</v>
      </c>
      <c r="N9" s="107">
        <f>M9+L9</f>
        <v>44</v>
      </c>
      <c r="O9" s="107">
        <f>N9</f>
        <v>44</v>
      </c>
      <c r="P9" s="107">
        <f t="shared" ref="P9:P23" si="0">K9+O9</f>
        <v>98</v>
      </c>
      <c r="Q9" s="141">
        <f>MAX(P9:P23)</f>
        <v>126</v>
      </c>
      <c r="R9" s="106">
        <f>IF(P9&lt;60,"F",IF(P9&lt;75,2,IF(P9&lt;90,3,IF(P9&lt;105,3.5,IF(P9&lt;120,4,5)))))</f>
        <v>3.5</v>
      </c>
      <c r="S9" s="105">
        <v>14</v>
      </c>
      <c r="T9" s="106">
        <v>48</v>
      </c>
      <c r="U9" s="107">
        <f>T9+S9</f>
        <v>62</v>
      </c>
      <c r="V9" s="106">
        <v>6</v>
      </c>
      <c r="W9" s="106">
        <v>31</v>
      </c>
      <c r="X9" s="107">
        <f>W9+V9</f>
        <v>37</v>
      </c>
      <c r="Y9" s="107">
        <f>U9+X9</f>
        <v>99</v>
      </c>
      <c r="Z9" s="107">
        <f t="shared" ref="Z9:Z23" si="1">Y9</f>
        <v>99</v>
      </c>
      <c r="AA9" s="141">
        <f>MAX(Z9:Z23)</f>
        <v>107</v>
      </c>
      <c r="AB9" s="106">
        <f>IF(Z9&lt;60,0,IF(Z9&lt;75,2,IF(Z9&lt;90,3,IF(Z9&lt;105,3.5,IF(Z9&lt;120,4,5)))))</f>
        <v>3.5</v>
      </c>
      <c r="AC9" s="105">
        <v>13</v>
      </c>
      <c r="AD9" s="106">
        <v>46</v>
      </c>
      <c r="AE9" s="107">
        <f>AD9+AC9</f>
        <v>59</v>
      </c>
      <c r="AF9" s="106">
        <v>20</v>
      </c>
      <c r="AG9" s="107">
        <f>AE9+AF9</f>
        <v>79</v>
      </c>
      <c r="AH9" s="141">
        <f>MAX(AG9:AG23)</f>
        <v>89</v>
      </c>
      <c r="AI9" s="106">
        <f>IF(AG9&lt;40,"F",IF(AG9&lt;50,2,IF(AG9&lt;60,3,IF(AG9&lt;70,3.5,IF(AG9&lt;80,4,5)))))</f>
        <v>4</v>
      </c>
      <c r="AJ9" s="105">
        <v>17</v>
      </c>
      <c r="AK9" s="106">
        <v>39</v>
      </c>
      <c r="AL9" s="107">
        <f>AK9+AJ9</f>
        <v>56</v>
      </c>
      <c r="AM9" s="106">
        <v>21</v>
      </c>
      <c r="AN9" s="107">
        <f>+AL9+AM9</f>
        <v>77</v>
      </c>
      <c r="AO9" s="141">
        <f>MAX(AN9:AN23)</f>
        <v>84</v>
      </c>
      <c r="AP9" s="106">
        <f>IF(AN9&lt;40,"F",IF(AN9&lt;50,2,IF(AN9&lt;60,3,IF(AN9&lt;70,3.5,IF(AN9&lt;80,4,5)))))</f>
        <v>4</v>
      </c>
      <c r="AQ9" s="106">
        <v>18</v>
      </c>
      <c r="AR9" s="106">
        <v>23</v>
      </c>
      <c r="AS9" s="106">
        <f>AQ9+AR9</f>
        <v>41</v>
      </c>
      <c r="AT9" s="144">
        <f>MAX(AS9:AS23)</f>
        <v>41</v>
      </c>
      <c r="AU9" s="106">
        <f>IF(AS9&lt;20,"F",IF(AS9&lt;25,2,IF(AS9&lt;30,3,IF(AS9&lt;35,3.5,IF(AS9&lt;40,4,5)))))</f>
        <v>5</v>
      </c>
      <c r="AV9" s="105">
        <v>19</v>
      </c>
      <c r="AW9" s="106">
        <v>43</v>
      </c>
      <c r="AX9" s="107">
        <f>AW9+AV9</f>
        <v>62</v>
      </c>
      <c r="AY9" s="106">
        <v>28</v>
      </c>
      <c r="AZ9" s="107">
        <f>AX9+AY9</f>
        <v>90</v>
      </c>
      <c r="BA9" s="141">
        <f>MAX(AZ9:AZ23)</f>
        <v>90</v>
      </c>
      <c r="BB9" s="106">
        <f>IF(AZ9&lt;40,"F",IF(AZ9&lt;50,2,IF(AZ9&lt;60,3,IF(AZ9&lt;70,3.5,IF(AZ9&lt;80,4,5)))))</f>
        <v>5</v>
      </c>
      <c r="BC9" s="128">
        <v>14</v>
      </c>
      <c r="BD9" s="127">
        <v>27</v>
      </c>
      <c r="BE9" s="126">
        <f>BD9+BC9</f>
        <v>41</v>
      </c>
      <c r="BF9" s="127">
        <v>17</v>
      </c>
      <c r="BG9" s="126">
        <f>BE9+BF9</f>
        <v>58</v>
      </c>
      <c r="BH9" s="147">
        <f>MAX(BG9:BG23)</f>
        <v>66</v>
      </c>
      <c r="BI9" s="127">
        <f>IF(BG9&lt;40,"F",IF(BG9&lt;50,2,IF(BG9&lt;60,3,IF(BG9&lt;70,3.5,IF(BG9&lt;80,4,5)))))</f>
        <v>3</v>
      </c>
      <c r="BJ9" s="128">
        <v>9</v>
      </c>
      <c r="BK9" s="127">
        <v>32</v>
      </c>
      <c r="BL9" s="126">
        <f>BK9+BJ9</f>
        <v>41</v>
      </c>
      <c r="BM9" s="107">
        <f>BL9</f>
        <v>41</v>
      </c>
      <c r="BN9" s="141">
        <f>MAX(BM9:BM23)</f>
        <v>44</v>
      </c>
      <c r="BO9" s="106">
        <f t="shared" ref="BO9:BO23" si="2">IF(BL9&lt;20,"F",IF(BM9&lt;20,"F",IF(BM9&lt;25,2,IF(BM9&lt;30,3,IF(BM9&lt;35,3.5,IF(BM9&lt;40,4,5))))))</f>
        <v>5</v>
      </c>
      <c r="BP9" s="106">
        <f>IF(R9="F","F",IF(AB9="F","F",IF(AI9="F","F",IF(AP9="F","F",IF(BB9="F","F",IF(BI9="F","F",IF(AU9="F","F",IF(BO9="F","F",SUM(R9,AB9,AI9,AP9,AU9,BB9,BO9,BI9)))))))))</f>
        <v>33</v>
      </c>
      <c r="BQ9" s="108">
        <f>IF(BP9="F","F",IF(BP9&gt;=45,5,IF(BP9&lt;45,BP9/8)))</f>
        <v>4.125</v>
      </c>
      <c r="BR9" s="60" t="str">
        <f>IF(BQ9="F","F",IF(BQ9&lt;2.5,"D",IF(BQ9&lt;3,"C",IF(BQ9&lt;3.5,"B",IF(BQ9&lt;4,"A-",IF(BQ9&lt;5,"A","A+"))))))</f>
        <v>A</v>
      </c>
      <c r="BS9" s="61" t="str">
        <f t="shared" ref="BS9:BS23" si="3">IF(BQ9="F","NEED TO PROGRESS",IF(BQ9&gt;=5,"BEST",IF(BQ9&gt;=4,"BETTER",IF(BQ9&gt;=2,"GOOD"))))</f>
        <v>BETTER</v>
      </c>
      <c r="BT9" s="126">
        <f>P9+Z9+AG9+AN9+AS9+AZ9+BG9+BM9</f>
        <v>583</v>
      </c>
      <c r="BU9" s="127">
        <v>1</v>
      </c>
      <c r="BV9" s="129">
        <v>70</v>
      </c>
    </row>
    <row r="10" spans="1:74" ht="27.95" customHeight="1">
      <c r="A10" s="101">
        <v>2</v>
      </c>
      <c r="B10" s="116">
        <v>28</v>
      </c>
      <c r="C10" s="117" t="s">
        <v>105</v>
      </c>
      <c r="D10" s="63" t="s">
        <v>106</v>
      </c>
      <c r="E10" s="63" t="s">
        <v>107</v>
      </c>
      <c r="F10" s="64">
        <v>1773297398</v>
      </c>
      <c r="G10" s="105">
        <v>19</v>
      </c>
      <c r="H10" s="106">
        <v>36</v>
      </c>
      <c r="I10" s="107">
        <f>H10+G10</f>
        <v>55</v>
      </c>
      <c r="J10" s="106">
        <v>20</v>
      </c>
      <c r="K10" s="107">
        <f>I10+J10</f>
        <v>75</v>
      </c>
      <c r="L10" s="105">
        <v>9</v>
      </c>
      <c r="M10" s="106">
        <v>37</v>
      </c>
      <c r="N10" s="107">
        <f>M10+L10</f>
        <v>46</v>
      </c>
      <c r="O10" s="107">
        <f t="shared" ref="O10:O23" si="4">N10</f>
        <v>46</v>
      </c>
      <c r="P10" s="107">
        <f t="shared" si="0"/>
        <v>121</v>
      </c>
      <c r="Q10" s="142"/>
      <c r="R10" s="106">
        <f t="shared" ref="R10:R23" si="5">IF(P10&lt;60,"F",IF(P10&lt;75,2,IF(P10&lt;90,3,IF(P10&lt;105,3.5,IF(P10&lt;120,4,5)))))</f>
        <v>5</v>
      </c>
      <c r="S10" s="105">
        <v>14</v>
      </c>
      <c r="T10" s="106">
        <v>60</v>
      </c>
      <c r="U10" s="107">
        <f t="shared" ref="U10:U23" si="6">T10+S10</f>
        <v>74</v>
      </c>
      <c r="V10" s="106">
        <v>7</v>
      </c>
      <c r="W10" s="106">
        <v>26</v>
      </c>
      <c r="X10" s="107">
        <f t="shared" ref="X10:X23" si="7">W10+V10</f>
        <v>33</v>
      </c>
      <c r="Y10" s="107">
        <f t="shared" ref="Y10:Y23" si="8">U10+X10</f>
        <v>107</v>
      </c>
      <c r="Z10" s="107">
        <f t="shared" si="1"/>
        <v>107</v>
      </c>
      <c r="AA10" s="142"/>
      <c r="AB10" s="106">
        <f t="shared" ref="AB10:AB23" si="9">IF(Z10&lt;60,0,IF(Z10&lt;75,2,IF(Z10&lt;90,3,IF(Z10&lt;105,3.5,IF(Z10&lt;120,4,5)))))</f>
        <v>4</v>
      </c>
      <c r="AC10" s="105">
        <v>19</v>
      </c>
      <c r="AD10" s="106">
        <v>37</v>
      </c>
      <c r="AE10" s="107">
        <f t="shared" ref="AE10:AE23" si="10">AD10+AC10</f>
        <v>56</v>
      </c>
      <c r="AF10" s="106">
        <v>19</v>
      </c>
      <c r="AG10" s="107">
        <f t="shared" ref="AG10:AG23" si="11">AE10+AF10</f>
        <v>75</v>
      </c>
      <c r="AH10" s="142"/>
      <c r="AI10" s="106">
        <f t="shared" ref="AI10:AI23" si="12">IF(AG10&lt;40,"F",IF(AG10&lt;50,2,IF(AG10&lt;60,3,IF(AG10&lt;70,3.5,IF(AG10&lt;80,4,5)))))</f>
        <v>4</v>
      </c>
      <c r="AJ10" s="105">
        <v>20</v>
      </c>
      <c r="AK10" s="106">
        <v>36</v>
      </c>
      <c r="AL10" s="107">
        <f t="shared" ref="AL10:AL23" si="13">AK10+AJ10</f>
        <v>56</v>
      </c>
      <c r="AM10" s="106">
        <v>28</v>
      </c>
      <c r="AN10" s="107">
        <f t="shared" ref="AN10:AN23" si="14">+AL10+AM10</f>
        <v>84</v>
      </c>
      <c r="AO10" s="142"/>
      <c r="AP10" s="106">
        <f t="shared" ref="AP10:AP23" si="15">IF(AN10&lt;40,"F",IF(AN10&lt;50,2,IF(AN10&lt;60,3,IF(AN10&lt;70,3.5,IF(AN10&lt;80,4,5)))))</f>
        <v>5</v>
      </c>
      <c r="AQ10" s="106">
        <v>17</v>
      </c>
      <c r="AR10" s="106">
        <v>23</v>
      </c>
      <c r="AS10" s="106">
        <f t="shared" ref="AS10:AS23" si="16">AQ10+AR10</f>
        <v>40</v>
      </c>
      <c r="AT10" s="145"/>
      <c r="AU10" s="106">
        <f t="shared" ref="AU10:AU23" si="17">IF(AS10&lt;20,"F",IF(AS10&lt;25,2,IF(AS10&lt;30,3,IF(AS10&lt;35,3.5,IF(AS10&lt;40,4,5)))))</f>
        <v>5</v>
      </c>
      <c r="AV10" s="105">
        <v>13</v>
      </c>
      <c r="AW10" s="106">
        <v>17</v>
      </c>
      <c r="AX10" s="107">
        <f t="shared" ref="AX10:AX21" si="18">AW10+AV10</f>
        <v>30</v>
      </c>
      <c r="AY10" s="106">
        <v>26</v>
      </c>
      <c r="AZ10" s="107">
        <f t="shared" ref="AZ10:AZ23" si="19">AX10+AY10</f>
        <v>56</v>
      </c>
      <c r="BA10" s="142"/>
      <c r="BB10" s="106">
        <f t="shared" ref="BB10:BB23" si="20">IF(AZ10&lt;40,"F",IF(AZ10&lt;50,2,IF(AZ10&lt;60,3,IF(AZ10&lt;70,3.5,IF(AZ10&lt;80,4,5)))))</f>
        <v>3</v>
      </c>
      <c r="BC10" s="128">
        <v>15</v>
      </c>
      <c r="BD10" s="127">
        <v>29</v>
      </c>
      <c r="BE10" s="126">
        <f t="shared" ref="BE10:BE21" si="21">BD10+BC10</f>
        <v>44</v>
      </c>
      <c r="BF10" s="127">
        <v>22</v>
      </c>
      <c r="BG10" s="126">
        <f t="shared" ref="BG10:BG23" si="22">BE10+BF10</f>
        <v>66</v>
      </c>
      <c r="BH10" s="148"/>
      <c r="BI10" s="127">
        <f t="shared" ref="BI10:BI23" si="23">IF(BG10&lt;40,"F",IF(BG10&lt;50,2,IF(BG10&lt;60,3,IF(BG10&lt;70,3.5,IF(BG10&lt;80,4,5)))))</f>
        <v>3.5</v>
      </c>
      <c r="BJ10" s="128">
        <v>10</v>
      </c>
      <c r="BK10" s="127">
        <v>28</v>
      </c>
      <c r="BL10" s="126">
        <f t="shared" ref="BL10:BL23" si="24">BK10+BJ10</f>
        <v>38</v>
      </c>
      <c r="BM10" s="107">
        <f t="shared" ref="BM10:BM23" si="25">BL10</f>
        <v>38</v>
      </c>
      <c r="BN10" s="142"/>
      <c r="BO10" s="106">
        <f t="shared" si="2"/>
        <v>4</v>
      </c>
      <c r="BP10" s="106">
        <f t="shared" ref="BP10:BP23" si="26">IF(R10="F","F",IF(AB10="F","F",IF(AI10="F","F",IF(AP10="F","F",IF(BB10="F","F",IF(BI10="F","F",IF(AU10="F","F",IF(BO10="F","F",SUM(R10,AB10,AI10,AP10,AU10,BB10,BO10,BI10)))))))))</f>
        <v>33.5</v>
      </c>
      <c r="BQ10" s="108">
        <f t="shared" ref="BQ10:BQ23" si="27">IF(BP10="F","F",IF(BP10&gt;=45,5,IF(BP10&lt;45,BP10/8)))</f>
        <v>4.1875</v>
      </c>
      <c r="BR10" s="60" t="str">
        <f t="shared" ref="BR10:BR23" si="28">IF(BQ10="F","F",IF(BQ10&lt;2.5,"D",IF(BQ10&lt;3,"C",IF(BQ10&lt;3.5,"B",IF(BQ10&lt;4,"A-",IF(BQ10&lt;5,"A","A+"))))))</f>
        <v>A</v>
      </c>
      <c r="BS10" s="61" t="str">
        <f t="shared" si="3"/>
        <v>BETTER</v>
      </c>
      <c r="BT10" s="126">
        <f t="shared" ref="BT10:BT23" si="29">P10+Z10+AG10+AN10+AS10+AZ10+BG10+BM10</f>
        <v>587</v>
      </c>
      <c r="BU10" s="127">
        <v>8</v>
      </c>
      <c r="BV10" s="129">
        <v>65</v>
      </c>
    </row>
    <row r="11" spans="1:74" ht="27.95" customHeight="1">
      <c r="A11" s="101">
        <v>3</v>
      </c>
      <c r="B11" s="116">
        <v>31</v>
      </c>
      <c r="C11" s="117" t="s">
        <v>108</v>
      </c>
      <c r="D11" s="63" t="s">
        <v>109</v>
      </c>
      <c r="E11" s="63" t="s">
        <v>110</v>
      </c>
      <c r="F11" s="64" t="s">
        <v>111</v>
      </c>
      <c r="G11" s="105">
        <v>14</v>
      </c>
      <c r="H11" s="106">
        <v>30</v>
      </c>
      <c r="I11" s="107">
        <f t="shared" ref="I11:I23" si="30">H11+G11</f>
        <v>44</v>
      </c>
      <c r="J11" s="106">
        <v>17</v>
      </c>
      <c r="K11" s="107">
        <f t="shared" ref="K11:K23" si="31">I11+J11</f>
        <v>61</v>
      </c>
      <c r="L11" s="105">
        <v>9</v>
      </c>
      <c r="M11" s="106">
        <v>36</v>
      </c>
      <c r="N11" s="107">
        <f t="shared" ref="N11:N23" si="32">M11+L11</f>
        <v>45</v>
      </c>
      <c r="O11" s="107">
        <f t="shared" si="4"/>
        <v>45</v>
      </c>
      <c r="P11" s="107">
        <f t="shared" si="0"/>
        <v>106</v>
      </c>
      <c r="Q11" s="142"/>
      <c r="R11" s="106">
        <f t="shared" si="5"/>
        <v>4</v>
      </c>
      <c r="S11" s="105">
        <v>13</v>
      </c>
      <c r="T11" s="106">
        <v>55</v>
      </c>
      <c r="U11" s="107">
        <f t="shared" si="6"/>
        <v>68</v>
      </c>
      <c r="V11" s="106">
        <v>7</v>
      </c>
      <c r="W11" s="106">
        <v>26</v>
      </c>
      <c r="X11" s="107">
        <f t="shared" si="7"/>
        <v>33</v>
      </c>
      <c r="Y11" s="107">
        <f t="shared" si="8"/>
        <v>101</v>
      </c>
      <c r="Z11" s="107">
        <f t="shared" si="1"/>
        <v>101</v>
      </c>
      <c r="AA11" s="142"/>
      <c r="AB11" s="106">
        <f t="shared" si="9"/>
        <v>3.5</v>
      </c>
      <c r="AC11" s="105">
        <v>11</v>
      </c>
      <c r="AD11" s="106">
        <v>26</v>
      </c>
      <c r="AE11" s="107">
        <f t="shared" si="10"/>
        <v>37</v>
      </c>
      <c r="AF11" s="106">
        <v>20</v>
      </c>
      <c r="AG11" s="107">
        <f t="shared" si="11"/>
        <v>57</v>
      </c>
      <c r="AH11" s="142"/>
      <c r="AI11" s="106">
        <f t="shared" si="12"/>
        <v>3</v>
      </c>
      <c r="AJ11" s="105">
        <v>14</v>
      </c>
      <c r="AK11" s="106">
        <v>33</v>
      </c>
      <c r="AL11" s="107">
        <f t="shared" si="13"/>
        <v>47</v>
      </c>
      <c r="AM11" s="106">
        <v>17</v>
      </c>
      <c r="AN11" s="107">
        <f t="shared" si="14"/>
        <v>64</v>
      </c>
      <c r="AO11" s="142"/>
      <c r="AP11" s="106">
        <f t="shared" si="15"/>
        <v>3.5</v>
      </c>
      <c r="AQ11" s="106">
        <v>17</v>
      </c>
      <c r="AR11" s="106">
        <v>23</v>
      </c>
      <c r="AS11" s="106">
        <f t="shared" si="16"/>
        <v>40</v>
      </c>
      <c r="AT11" s="145"/>
      <c r="AU11" s="106">
        <f t="shared" si="17"/>
        <v>5</v>
      </c>
      <c r="AV11" s="105">
        <v>16</v>
      </c>
      <c r="AW11" s="106">
        <v>31</v>
      </c>
      <c r="AX11" s="107">
        <f t="shared" si="18"/>
        <v>47</v>
      </c>
      <c r="AY11" s="106">
        <v>23</v>
      </c>
      <c r="AZ11" s="107">
        <f t="shared" si="19"/>
        <v>70</v>
      </c>
      <c r="BA11" s="142"/>
      <c r="BB11" s="106">
        <f t="shared" si="20"/>
        <v>4</v>
      </c>
      <c r="BC11" s="128">
        <v>12</v>
      </c>
      <c r="BD11" s="127">
        <v>28</v>
      </c>
      <c r="BE11" s="126">
        <f t="shared" si="21"/>
        <v>40</v>
      </c>
      <c r="BF11" s="127">
        <v>19</v>
      </c>
      <c r="BG11" s="126">
        <f t="shared" si="22"/>
        <v>59</v>
      </c>
      <c r="BH11" s="148"/>
      <c r="BI11" s="127">
        <f t="shared" si="23"/>
        <v>3</v>
      </c>
      <c r="BJ11" s="128">
        <v>10</v>
      </c>
      <c r="BK11" s="127">
        <v>34</v>
      </c>
      <c r="BL11" s="126">
        <f t="shared" si="24"/>
        <v>44</v>
      </c>
      <c r="BM11" s="107">
        <f t="shared" si="25"/>
        <v>44</v>
      </c>
      <c r="BN11" s="142"/>
      <c r="BO11" s="106">
        <f t="shared" si="2"/>
        <v>5</v>
      </c>
      <c r="BP11" s="106">
        <f t="shared" si="26"/>
        <v>31</v>
      </c>
      <c r="BQ11" s="108">
        <f t="shared" si="27"/>
        <v>3.875</v>
      </c>
      <c r="BR11" s="60" t="str">
        <f t="shared" si="28"/>
        <v>A-</v>
      </c>
      <c r="BS11" s="61" t="str">
        <f t="shared" si="3"/>
        <v>GOOD</v>
      </c>
      <c r="BT11" s="126">
        <f t="shared" si="29"/>
        <v>541</v>
      </c>
      <c r="BU11" s="127">
        <v>13</v>
      </c>
      <c r="BV11" s="129">
        <v>68</v>
      </c>
    </row>
    <row r="12" spans="1:74" ht="27.95" customHeight="1">
      <c r="A12" s="101">
        <v>4</v>
      </c>
      <c r="B12" s="116">
        <v>33</v>
      </c>
      <c r="C12" s="118" t="s">
        <v>112</v>
      </c>
      <c r="D12" s="56" t="s">
        <v>113</v>
      </c>
      <c r="E12" s="56" t="s">
        <v>114</v>
      </c>
      <c r="F12" s="95" t="s">
        <v>115</v>
      </c>
      <c r="G12" s="105">
        <v>16</v>
      </c>
      <c r="H12" s="106">
        <v>52</v>
      </c>
      <c r="I12" s="107">
        <f t="shared" si="30"/>
        <v>68</v>
      </c>
      <c r="J12" s="106">
        <v>14</v>
      </c>
      <c r="K12" s="107">
        <f t="shared" si="31"/>
        <v>82</v>
      </c>
      <c r="L12" s="105">
        <v>9</v>
      </c>
      <c r="M12" s="106">
        <v>35</v>
      </c>
      <c r="N12" s="107">
        <f t="shared" si="32"/>
        <v>44</v>
      </c>
      <c r="O12" s="107">
        <f t="shared" si="4"/>
        <v>44</v>
      </c>
      <c r="P12" s="107">
        <f t="shared" si="0"/>
        <v>126</v>
      </c>
      <c r="Q12" s="142"/>
      <c r="R12" s="106">
        <f t="shared" si="5"/>
        <v>5</v>
      </c>
      <c r="S12" s="105">
        <v>13</v>
      </c>
      <c r="T12" s="106">
        <v>51</v>
      </c>
      <c r="U12" s="107">
        <f t="shared" si="6"/>
        <v>64</v>
      </c>
      <c r="V12" s="106">
        <v>7</v>
      </c>
      <c r="W12" s="106">
        <v>31</v>
      </c>
      <c r="X12" s="107">
        <f t="shared" si="7"/>
        <v>38</v>
      </c>
      <c r="Y12" s="107">
        <f t="shared" si="8"/>
        <v>102</v>
      </c>
      <c r="Z12" s="107">
        <f t="shared" si="1"/>
        <v>102</v>
      </c>
      <c r="AA12" s="142"/>
      <c r="AB12" s="106">
        <f t="shared" si="9"/>
        <v>3.5</v>
      </c>
      <c r="AC12" s="105">
        <v>8</v>
      </c>
      <c r="AD12" s="106">
        <v>7</v>
      </c>
      <c r="AE12" s="107">
        <f t="shared" si="10"/>
        <v>15</v>
      </c>
      <c r="AF12" s="106">
        <v>15</v>
      </c>
      <c r="AG12" s="107">
        <f t="shared" si="11"/>
        <v>30</v>
      </c>
      <c r="AH12" s="142"/>
      <c r="AI12" s="106" t="str">
        <f t="shared" si="12"/>
        <v>F</v>
      </c>
      <c r="AJ12" s="105">
        <v>14</v>
      </c>
      <c r="AK12" s="106">
        <v>33</v>
      </c>
      <c r="AL12" s="107">
        <f t="shared" si="13"/>
        <v>47</v>
      </c>
      <c r="AM12" s="106">
        <v>14</v>
      </c>
      <c r="AN12" s="107">
        <f t="shared" si="14"/>
        <v>61</v>
      </c>
      <c r="AO12" s="142"/>
      <c r="AP12" s="106">
        <f t="shared" si="15"/>
        <v>3.5</v>
      </c>
      <c r="AQ12" s="106">
        <v>18</v>
      </c>
      <c r="AR12" s="106">
        <v>23</v>
      </c>
      <c r="AS12" s="106">
        <f t="shared" si="16"/>
        <v>41</v>
      </c>
      <c r="AT12" s="145"/>
      <c r="AU12" s="106">
        <f t="shared" si="17"/>
        <v>5</v>
      </c>
      <c r="AV12" s="105">
        <v>11</v>
      </c>
      <c r="AW12" s="106">
        <v>7</v>
      </c>
      <c r="AX12" s="107">
        <f t="shared" si="18"/>
        <v>18</v>
      </c>
      <c r="AY12" s="106">
        <v>12</v>
      </c>
      <c r="AZ12" s="107">
        <f t="shared" si="19"/>
        <v>30</v>
      </c>
      <c r="BA12" s="142"/>
      <c r="BB12" s="106" t="str">
        <f t="shared" si="20"/>
        <v>F</v>
      </c>
      <c r="BC12" s="128">
        <v>12</v>
      </c>
      <c r="BD12" s="127">
        <v>33</v>
      </c>
      <c r="BE12" s="126">
        <f t="shared" si="21"/>
        <v>45</v>
      </c>
      <c r="BF12" s="127">
        <v>14</v>
      </c>
      <c r="BG12" s="126">
        <f t="shared" si="22"/>
        <v>59</v>
      </c>
      <c r="BH12" s="148"/>
      <c r="BI12" s="127">
        <f t="shared" si="23"/>
        <v>3</v>
      </c>
      <c r="BJ12" s="128">
        <v>9</v>
      </c>
      <c r="BK12" s="127">
        <v>28</v>
      </c>
      <c r="BL12" s="126">
        <f t="shared" si="24"/>
        <v>37</v>
      </c>
      <c r="BM12" s="107">
        <f t="shared" si="25"/>
        <v>37</v>
      </c>
      <c r="BN12" s="142"/>
      <c r="BO12" s="106">
        <f t="shared" si="2"/>
        <v>4</v>
      </c>
      <c r="BP12" s="106" t="str">
        <f t="shared" si="26"/>
        <v>F</v>
      </c>
      <c r="BQ12" s="108" t="str">
        <f t="shared" si="27"/>
        <v>F</v>
      </c>
      <c r="BR12" s="60" t="str">
        <f t="shared" si="28"/>
        <v>F</v>
      </c>
      <c r="BS12" s="61" t="str">
        <f t="shared" si="3"/>
        <v>NEED TO PROGRESS</v>
      </c>
      <c r="BT12" s="126">
        <f t="shared" si="29"/>
        <v>486</v>
      </c>
      <c r="BU12" s="127">
        <v>21</v>
      </c>
      <c r="BV12" s="129">
        <v>69</v>
      </c>
    </row>
    <row r="13" spans="1:74" ht="27.95" customHeight="1">
      <c r="A13" s="101">
        <v>5</v>
      </c>
      <c r="B13" s="116">
        <v>49</v>
      </c>
      <c r="C13" s="118" t="s">
        <v>116</v>
      </c>
      <c r="D13" s="56" t="s">
        <v>85</v>
      </c>
      <c r="E13" s="56" t="s">
        <v>117</v>
      </c>
      <c r="F13" s="95" t="s">
        <v>118</v>
      </c>
      <c r="G13" s="105">
        <v>16</v>
      </c>
      <c r="H13" s="106">
        <v>22</v>
      </c>
      <c r="I13" s="107">
        <f t="shared" si="30"/>
        <v>38</v>
      </c>
      <c r="J13" s="106">
        <v>15</v>
      </c>
      <c r="K13" s="107">
        <f t="shared" si="31"/>
        <v>53</v>
      </c>
      <c r="L13" s="105">
        <v>9</v>
      </c>
      <c r="M13" s="106">
        <v>28</v>
      </c>
      <c r="N13" s="107">
        <f t="shared" si="32"/>
        <v>37</v>
      </c>
      <c r="O13" s="107">
        <f t="shared" si="4"/>
        <v>37</v>
      </c>
      <c r="P13" s="107">
        <f t="shared" si="0"/>
        <v>90</v>
      </c>
      <c r="Q13" s="142"/>
      <c r="R13" s="106">
        <f t="shared" si="5"/>
        <v>3.5</v>
      </c>
      <c r="S13" s="105">
        <v>16</v>
      </c>
      <c r="T13" s="106">
        <v>52</v>
      </c>
      <c r="U13" s="107">
        <f t="shared" si="6"/>
        <v>68</v>
      </c>
      <c r="V13" s="106">
        <v>7</v>
      </c>
      <c r="W13" s="106">
        <v>19</v>
      </c>
      <c r="X13" s="107">
        <f t="shared" si="7"/>
        <v>26</v>
      </c>
      <c r="Y13" s="107">
        <f t="shared" si="8"/>
        <v>94</v>
      </c>
      <c r="Z13" s="107">
        <f t="shared" si="1"/>
        <v>94</v>
      </c>
      <c r="AA13" s="142"/>
      <c r="AB13" s="106">
        <f t="shared" si="9"/>
        <v>3.5</v>
      </c>
      <c r="AC13" s="105">
        <v>16</v>
      </c>
      <c r="AD13" s="106">
        <v>20</v>
      </c>
      <c r="AE13" s="107">
        <f t="shared" si="10"/>
        <v>36</v>
      </c>
      <c r="AF13" s="106">
        <v>12</v>
      </c>
      <c r="AG13" s="107">
        <f t="shared" si="11"/>
        <v>48</v>
      </c>
      <c r="AH13" s="142"/>
      <c r="AI13" s="106">
        <f t="shared" si="12"/>
        <v>2</v>
      </c>
      <c r="AJ13" s="105">
        <v>13</v>
      </c>
      <c r="AK13" s="106">
        <v>20</v>
      </c>
      <c r="AL13" s="107">
        <f t="shared" si="13"/>
        <v>33</v>
      </c>
      <c r="AM13" s="106">
        <v>13</v>
      </c>
      <c r="AN13" s="107">
        <f t="shared" si="14"/>
        <v>46</v>
      </c>
      <c r="AO13" s="142"/>
      <c r="AP13" s="106">
        <f t="shared" si="15"/>
        <v>2</v>
      </c>
      <c r="AQ13" s="106">
        <v>17</v>
      </c>
      <c r="AR13" s="106">
        <v>23</v>
      </c>
      <c r="AS13" s="106">
        <f t="shared" si="16"/>
        <v>40</v>
      </c>
      <c r="AT13" s="145"/>
      <c r="AU13" s="106">
        <f t="shared" si="17"/>
        <v>5</v>
      </c>
      <c r="AV13" s="105">
        <v>13</v>
      </c>
      <c r="AW13" s="106">
        <v>12</v>
      </c>
      <c r="AX13" s="107">
        <f t="shared" si="18"/>
        <v>25</v>
      </c>
      <c r="AY13" s="106">
        <v>12</v>
      </c>
      <c r="AZ13" s="107">
        <f t="shared" si="19"/>
        <v>37</v>
      </c>
      <c r="BA13" s="142"/>
      <c r="BB13" s="106" t="str">
        <f t="shared" si="20"/>
        <v>F</v>
      </c>
      <c r="BC13" s="128">
        <v>12</v>
      </c>
      <c r="BD13" s="127">
        <v>11</v>
      </c>
      <c r="BE13" s="126">
        <f t="shared" si="21"/>
        <v>23</v>
      </c>
      <c r="BF13" s="127">
        <v>12</v>
      </c>
      <c r="BG13" s="126">
        <f t="shared" si="22"/>
        <v>35</v>
      </c>
      <c r="BH13" s="148"/>
      <c r="BI13" s="127" t="str">
        <f t="shared" si="23"/>
        <v>F</v>
      </c>
      <c r="BJ13" s="128">
        <v>6</v>
      </c>
      <c r="BK13" s="127">
        <v>24</v>
      </c>
      <c r="BL13" s="126">
        <f t="shared" si="24"/>
        <v>30</v>
      </c>
      <c r="BM13" s="107">
        <f t="shared" si="25"/>
        <v>30</v>
      </c>
      <c r="BN13" s="142"/>
      <c r="BO13" s="106">
        <f t="shared" si="2"/>
        <v>3.5</v>
      </c>
      <c r="BP13" s="106" t="str">
        <f t="shared" si="26"/>
        <v>F</v>
      </c>
      <c r="BQ13" s="108" t="str">
        <f t="shared" si="27"/>
        <v>F</v>
      </c>
      <c r="BR13" s="60" t="str">
        <f t="shared" si="28"/>
        <v>F</v>
      </c>
      <c r="BS13" s="61" t="str">
        <f t="shared" si="3"/>
        <v>NEED TO PROGRESS</v>
      </c>
      <c r="BT13" s="126">
        <f t="shared" si="29"/>
        <v>420</v>
      </c>
      <c r="BU13" s="127">
        <v>4</v>
      </c>
      <c r="BV13" s="129">
        <v>64</v>
      </c>
    </row>
    <row r="14" spans="1:74" ht="27.95" customHeight="1">
      <c r="A14" s="101">
        <v>6</v>
      </c>
      <c r="B14" s="119">
        <v>60</v>
      </c>
      <c r="C14" s="117" t="s">
        <v>119</v>
      </c>
      <c r="D14" s="63" t="s">
        <v>120</v>
      </c>
      <c r="E14" s="63" t="s">
        <v>121</v>
      </c>
      <c r="F14" s="64" t="s">
        <v>122</v>
      </c>
      <c r="G14" s="105">
        <v>14</v>
      </c>
      <c r="H14" s="106">
        <v>46</v>
      </c>
      <c r="I14" s="107">
        <f t="shared" si="30"/>
        <v>60</v>
      </c>
      <c r="J14" s="106">
        <v>20</v>
      </c>
      <c r="K14" s="107">
        <f t="shared" si="31"/>
        <v>80</v>
      </c>
      <c r="L14" s="105">
        <v>9</v>
      </c>
      <c r="M14" s="106">
        <v>35</v>
      </c>
      <c r="N14" s="107">
        <f t="shared" si="32"/>
        <v>44</v>
      </c>
      <c r="O14" s="107">
        <f t="shared" si="4"/>
        <v>44</v>
      </c>
      <c r="P14" s="107">
        <f t="shared" si="0"/>
        <v>124</v>
      </c>
      <c r="Q14" s="142"/>
      <c r="R14" s="106">
        <f t="shared" si="5"/>
        <v>5</v>
      </c>
      <c r="S14" s="105">
        <v>14</v>
      </c>
      <c r="T14" s="106">
        <v>48</v>
      </c>
      <c r="U14" s="107">
        <f t="shared" si="6"/>
        <v>62</v>
      </c>
      <c r="V14" s="106">
        <v>5</v>
      </c>
      <c r="W14" s="106">
        <v>18</v>
      </c>
      <c r="X14" s="107">
        <f t="shared" si="7"/>
        <v>23</v>
      </c>
      <c r="Y14" s="107">
        <f t="shared" si="8"/>
        <v>85</v>
      </c>
      <c r="Z14" s="107">
        <f t="shared" si="1"/>
        <v>85</v>
      </c>
      <c r="AA14" s="142"/>
      <c r="AB14" s="106">
        <f t="shared" si="9"/>
        <v>3</v>
      </c>
      <c r="AC14" s="105">
        <v>11</v>
      </c>
      <c r="AD14" s="106">
        <v>18</v>
      </c>
      <c r="AE14" s="107">
        <f t="shared" si="10"/>
        <v>29</v>
      </c>
      <c r="AF14" s="106">
        <v>14</v>
      </c>
      <c r="AG14" s="107">
        <f t="shared" si="11"/>
        <v>43</v>
      </c>
      <c r="AH14" s="142"/>
      <c r="AI14" s="106">
        <f t="shared" si="12"/>
        <v>2</v>
      </c>
      <c r="AJ14" s="105">
        <v>10</v>
      </c>
      <c r="AK14" s="106">
        <v>22</v>
      </c>
      <c r="AL14" s="107">
        <f t="shared" si="13"/>
        <v>32</v>
      </c>
      <c r="AM14" s="106">
        <v>13</v>
      </c>
      <c r="AN14" s="107">
        <f t="shared" si="14"/>
        <v>45</v>
      </c>
      <c r="AO14" s="142"/>
      <c r="AP14" s="106">
        <f t="shared" si="15"/>
        <v>2</v>
      </c>
      <c r="AQ14" s="106">
        <v>16</v>
      </c>
      <c r="AR14" s="106">
        <v>23</v>
      </c>
      <c r="AS14" s="106">
        <f t="shared" si="16"/>
        <v>39</v>
      </c>
      <c r="AT14" s="145"/>
      <c r="AU14" s="106">
        <f t="shared" si="17"/>
        <v>4</v>
      </c>
      <c r="AV14" s="105">
        <v>10</v>
      </c>
      <c r="AW14" s="106">
        <v>18</v>
      </c>
      <c r="AX14" s="107">
        <f t="shared" si="18"/>
        <v>28</v>
      </c>
      <c r="AY14" s="106">
        <v>18</v>
      </c>
      <c r="AZ14" s="107">
        <f t="shared" si="19"/>
        <v>46</v>
      </c>
      <c r="BA14" s="142"/>
      <c r="BB14" s="106">
        <f t="shared" si="20"/>
        <v>2</v>
      </c>
      <c r="BC14" s="128">
        <v>10</v>
      </c>
      <c r="BD14" s="127">
        <v>25</v>
      </c>
      <c r="BE14" s="126">
        <f t="shared" si="21"/>
        <v>35</v>
      </c>
      <c r="BF14" s="127">
        <v>13</v>
      </c>
      <c r="BG14" s="126">
        <f t="shared" si="22"/>
        <v>48</v>
      </c>
      <c r="BH14" s="148"/>
      <c r="BI14" s="127">
        <f t="shared" si="23"/>
        <v>2</v>
      </c>
      <c r="BJ14" s="128">
        <v>8</v>
      </c>
      <c r="BK14" s="127">
        <v>28</v>
      </c>
      <c r="BL14" s="126">
        <f t="shared" si="24"/>
        <v>36</v>
      </c>
      <c r="BM14" s="107">
        <f t="shared" si="25"/>
        <v>36</v>
      </c>
      <c r="BN14" s="142"/>
      <c r="BO14" s="106">
        <f t="shared" si="2"/>
        <v>4</v>
      </c>
      <c r="BP14" s="106">
        <f t="shared" si="26"/>
        <v>24</v>
      </c>
      <c r="BQ14" s="108">
        <f t="shared" si="27"/>
        <v>3</v>
      </c>
      <c r="BR14" s="60" t="str">
        <f t="shared" si="28"/>
        <v>B</v>
      </c>
      <c r="BS14" s="61" t="str">
        <f t="shared" si="3"/>
        <v>GOOD</v>
      </c>
      <c r="BT14" s="126">
        <f t="shared" si="29"/>
        <v>466</v>
      </c>
      <c r="BU14" s="127">
        <v>3</v>
      </c>
      <c r="BV14" s="129">
        <v>64</v>
      </c>
    </row>
    <row r="15" spans="1:74" ht="27.95" customHeight="1">
      <c r="A15" s="101">
        <v>7</v>
      </c>
      <c r="B15" s="119">
        <v>68</v>
      </c>
      <c r="C15" s="117" t="s">
        <v>123</v>
      </c>
      <c r="D15" s="63" t="s">
        <v>124</v>
      </c>
      <c r="E15" s="63" t="s">
        <v>125</v>
      </c>
      <c r="F15" s="64" t="s">
        <v>126</v>
      </c>
      <c r="G15" s="105">
        <v>11</v>
      </c>
      <c r="H15" s="106">
        <v>10</v>
      </c>
      <c r="I15" s="107">
        <f t="shared" si="30"/>
        <v>21</v>
      </c>
      <c r="J15" s="106">
        <v>12</v>
      </c>
      <c r="K15" s="107">
        <f t="shared" si="31"/>
        <v>33</v>
      </c>
      <c r="L15" s="105">
        <v>6</v>
      </c>
      <c r="M15" s="106">
        <v>16</v>
      </c>
      <c r="N15" s="107">
        <f t="shared" si="32"/>
        <v>22</v>
      </c>
      <c r="O15" s="107">
        <f t="shared" si="4"/>
        <v>22</v>
      </c>
      <c r="P15" s="107">
        <f t="shared" si="0"/>
        <v>55</v>
      </c>
      <c r="Q15" s="142"/>
      <c r="R15" s="106" t="str">
        <f t="shared" si="5"/>
        <v>F</v>
      </c>
      <c r="S15" s="105">
        <v>8</v>
      </c>
      <c r="T15" s="106">
        <v>45</v>
      </c>
      <c r="U15" s="107">
        <f t="shared" si="6"/>
        <v>53</v>
      </c>
      <c r="V15" s="106">
        <v>5</v>
      </c>
      <c r="W15" s="106">
        <v>18</v>
      </c>
      <c r="X15" s="107">
        <f t="shared" si="7"/>
        <v>23</v>
      </c>
      <c r="Y15" s="107">
        <f t="shared" si="8"/>
        <v>76</v>
      </c>
      <c r="Z15" s="107">
        <f t="shared" si="1"/>
        <v>76</v>
      </c>
      <c r="AA15" s="142"/>
      <c r="AB15" s="106">
        <f t="shared" si="9"/>
        <v>3</v>
      </c>
      <c r="AC15" s="105">
        <v>16</v>
      </c>
      <c r="AD15" s="106">
        <v>12</v>
      </c>
      <c r="AE15" s="107">
        <f t="shared" si="10"/>
        <v>28</v>
      </c>
      <c r="AF15" s="106">
        <v>12</v>
      </c>
      <c r="AG15" s="107">
        <f t="shared" si="11"/>
        <v>40</v>
      </c>
      <c r="AH15" s="142"/>
      <c r="AI15" s="106">
        <f t="shared" si="12"/>
        <v>2</v>
      </c>
      <c r="AJ15" s="105">
        <v>11</v>
      </c>
      <c r="AK15" s="106">
        <v>9</v>
      </c>
      <c r="AL15" s="107">
        <f t="shared" si="13"/>
        <v>20</v>
      </c>
      <c r="AM15" s="106">
        <v>10</v>
      </c>
      <c r="AN15" s="107">
        <f t="shared" si="14"/>
        <v>30</v>
      </c>
      <c r="AO15" s="142"/>
      <c r="AP15" s="106" t="str">
        <f t="shared" si="15"/>
        <v>F</v>
      </c>
      <c r="AQ15" s="106">
        <v>14</v>
      </c>
      <c r="AR15" s="106">
        <v>23</v>
      </c>
      <c r="AS15" s="106">
        <f t="shared" si="16"/>
        <v>37</v>
      </c>
      <c r="AT15" s="145"/>
      <c r="AU15" s="106">
        <f t="shared" si="17"/>
        <v>4</v>
      </c>
      <c r="AV15" s="105">
        <v>11</v>
      </c>
      <c r="AW15" s="106">
        <v>1</v>
      </c>
      <c r="AX15" s="107">
        <f t="shared" si="18"/>
        <v>12</v>
      </c>
      <c r="AY15" s="106">
        <v>9</v>
      </c>
      <c r="AZ15" s="107">
        <f t="shared" si="19"/>
        <v>21</v>
      </c>
      <c r="BA15" s="142"/>
      <c r="BB15" s="106" t="str">
        <f t="shared" si="20"/>
        <v>F</v>
      </c>
      <c r="BC15" s="128">
        <v>10</v>
      </c>
      <c r="BD15" s="127">
        <v>4</v>
      </c>
      <c r="BE15" s="126">
        <f t="shared" si="21"/>
        <v>14</v>
      </c>
      <c r="BF15" s="127">
        <v>12</v>
      </c>
      <c r="BG15" s="126">
        <f t="shared" si="22"/>
        <v>26</v>
      </c>
      <c r="BH15" s="148"/>
      <c r="BI15" s="127" t="str">
        <f t="shared" si="23"/>
        <v>F</v>
      </c>
      <c r="BJ15" s="128">
        <v>6</v>
      </c>
      <c r="BK15" s="127">
        <v>30</v>
      </c>
      <c r="BL15" s="126">
        <f t="shared" si="24"/>
        <v>36</v>
      </c>
      <c r="BM15" s="107">
        <f t="shared" si="25"/>
        <v>36</v>
      </c>
      <c r="BN15" s="142"/>
      <c r="BO15" s="106">
        <f t="shared" si="2"/>
        <v>4</v>
      </c>
      <c r="BP15" s="106" t="str">
        <f t="shared" si="26"/>
        <v>F</v>
      </c>
      <c r="BQ15" s="108" t="str">
        <f t="shared" si="27"/>
        <v>F</v>
      </c>
      <c r="BR15" s="60" t="str">
        <f t="shared" si="28"/>
        <v>F</v>
      </c>
      <c r="BS15" s="61" t="str">
        <f t="shared" si="3"/>
        <v>NEED TO PROGRESS</v>
      </c>
      <c r="BT15" s="126">
        <f t="shared" si="29"/>
        <v>321</v>
      </c>
      <c r="BU15" s="127">
        <v>19</v>
      </c>
      <c r="BV15" s="129">
        <v>68</v>
      </c>
    </row>
    <row r="16" spans="1:74" ht="27.95" customHeight="1">
      <c r="A16" s="101">
        <v>8</v>
      </c>
      <c r="B16" s="119">
        <v>78</v>
      </c>
      <c r="C16" s="117" t="s">
        <v>127</v>
      </c>
      <c r="D16" s="63" t="s">
        <v>128</v>
      </c>
      <c r="E16" s="63" t="s">
        <v>129</v>
      </c>
      <c r="F16" s="64" t="s">
        <v>130</v>
      </c>
      <c r="G16" s="105">
        <v>12</v>
      </c>
      <c r="H16" s="106">
        <v>26</v>
      </c>
      <c r="I16" s="107">
        <f t="shared" si="30"/>
        <v>38</v>
      </c>
      <c r="J16" s="106">
        <v>18</v>
      </c>
      <c r="K16" s="107">
        <f t="shared" si="31"/>
        <v>56</v>
      </c>
      <c r="L16" s="105">
        <v>5</v>
      </c>
      <c r="M16" s="106">
        <v>28</v>
      </c>
      <c r="N16" s="107">
        <f t="shared" si="32"/>
        <v>33</v>
      </c>
      <c r="O16" s="107">
        <f t="shared" si="4"/>
        <v>33</v>
      </c>
      <c r="P16" s="107">
        <f t="shared" si="0"/>
        <v>89</v>
      </c>
      <c r="Q16" s="142"/>
      <c r="R16" s="106">
        <f t="shared" si="5"/>
        <v>3</v>
      </c>
      <c r="S16" s="105">
        <v>7</v>
      </c>
      <c r="T16" s="106">
        <v>29</v>
      </c>
      <c r="U16" s="107">
        <f t="shared" si="6"/>
        <v>36</v>
      </c>
      <c r="V16" s="106">
        <v>4</v>
      </c>
      <c r="W16" s="106">
        <v>16</v>
      </c>
      <c r="X16" s="107">
        <f t="shared" si="7"/>
        <v>20</v>
      </c>
      <c r="Y16" s="107">
        <f t="shared" si="8"/>
        <v>56</v>
      </c>
      <c r="Z16" s="107">
        <f t="shared" si="1"/>
        <v>56</v>
      </c>
      <c r="AA16" s="142"/>
      <c r="AB16" s="106">
        <f t="shared" si="9"/>
        <v>0</v>
      </c>
      <c r="AC16" s="105">
        <v>6</v>
      </c>
      <c r="AD16" s="106">
        <v>22</v>
      </c>
      <c r="AE16" s="107">
        <f t="shared" si="10"/>
        <v>28</v>
      </c>
      <c r="AF16" s="106">
        <v>12</v>
      </c>
      <c r="AG16" s="107">
        <f t="shared" si="11"/>
        <v>40</v>
      </c>
      <c r="AH16" s="142"/>
      <c r="AI16" s="106">
        <f t="shared" si="12"/>
        <v>2</v>
      </c>
      <c r="AJ16" s="105">
        <v>7</v>
      </c>
      <c r="AK16" s="106">
        <v>19</v>
      </c>
      <c r="AL16" s="107">
        <f t="shared" si="13"/>
        <v>26</v>
      </c>
      <c r="AM16" s="106">
        <v>15</v>
      </c>
      <c r="AN16" s="107">
        <f t="shared" si="14"/>
        <v>41</v>
      </c>
      <c r="AO16" s="142"/>
      <c r="AP16" s="106">
        <f t="shared" si="15"/>
        <v>2</v>
      </c>
      <c r="AQ16" s="106">
        <v>10</v>
      </c>
      <c r="AR16" s="106">
        <v>23</v>
      </c>
      <c r="AS16" s="106">
        <f t="shared" si="16"/>
        <v>33</v>
      </c>
      <c r="AT16" s="145"/>
      <c r="AU16" s="106">
        <f t="shared" si="17"/>
        <v>3.5</v>
      </c>
      <c r="AV16" s="105">
        <v>11</v>
      </c>
      <c r="AW16" s="106">
        <v>4</v>
      </c>
      <c r="AX16" s="107">
        <f t="shared" si="18"/>
        <v>15</v>
      </c>
      <c r="AY16" s="106">
        <v>13</v>
      </c>
      <c r="AZ16" s="107">
        <f t="shared" si="19"/>
        <v>28</v>
      </c>
      <c r="BA16" s="142"/>
      <c r="BB16" s="106" t="str">
        <f t="shared" si="20"/>
        <v>F</v>
      </c>
      <c r="BC16" s="128">
        <v>7</v>
      </c>
      <c r="BD16" s="127">
        <v>5</v>
      </c>
      <c r="BE16" s="126">
        <f t="shared" si="21"/>
        <v>12</v>
      </c>
      <c r="BF16" s="127">
        <v>17</v>
      </c>
      <c r="BG16" s="126">
        <f t="shared" si="22"/>
        <v>29</v>
      </c>
      <c r="BH16" s="148"/>
      <c r="BI16" s="127" t="str">
        <f t="shared" si="23"/>
        <v>F</v>
      </c>
      <c r="BJ16" s="128">
        <v>5</v>
      </c>
      <c r="BK16" s="127">
        <v>32</v>
      </c>
      <c r="BL16" s="126">
        <f t="shared" si="24"/>
        <v>37</v>
      </c>
      <c r="BM16" s="107">
        <f t="shared" si="25"/>
        <v>37</v>
      </c>
      <c r="BN16" s="142"/>
      <c r="BO16" s="106">
        <f t="shared" si="2"/>
        <v>4</v>
      </c>
      <c r="BP16" s="106" t="str">
        <f t="shared" si="26"/>
        <v>F</v>
      </c>
      <c r="BQ16" s="108" t="str">
        <f t="shared" si="27"/>
        <v>F</v>
      </c>
      <c r="BR16" s="60" t="str">
        <f t="shared" si="28"/>
        <v>F</v>
      </c>
      <c r="BS16" s="61" t="str">
        <f t="shared" si="3"/>
        <v>NEED TO PROGRESS</v>
      </c>
      <c r="BT16" s="126">
        <f t="shared" si="29"/>
        <v>353</v>
      </c>
      <c r="BU16" s="127">
        <v>39</v>
      </c>
      <c r="BV16" s="129">
        <v>68</v>
      </c>
    </row>
    <row r="17" spans="1:74" ht="27.95" customHeight="1">
      <c r="A17" s="101">
        <v>9</v>
      </c>
      <c r="B17" s="119">
        <v>80</v>
      </c>
      <c r="C17" s="117" t="s">
        <v>131</v>
      </c>
      <c r="D17" s="63" t="s">
        <v>132</v>
      </c>
      <c r="E17" s="63" t="s">
        <v>133</v>
      </c>
      <c r="F17" s="64" t="s">
        <v>134</v>
      </c>
      <c r="G17" s="105">
        <v>11</v>
      </c>
      <c r="H17" s="106">
        <v>20</v>
      </c>
      <c r="I17" s="107">
        <f t="shared" si="30"/>
        <v>31</v>
      </c>
      <c r="J17" s="106">
        <v>18</v>
      </c>
      <c r="K17" s="107">
        <f t="shared" si="31"/>
        <v>49</v>
      </c>
      <c r="L17" s="105">
        <v>8</v>
      </c>
      <c r="M17" s="106">
        <v>28</v>
      </c>
      <c r="N17" s="107">
        <f t="shared" si="32"/>
        <v>36</v>
      </c>
      <c r="O17" s="107">
        <f t="shared" si="4"/>
        <v>36</v>
      </c>
      <c r="P17" s="107">
        <f t="shared" si="0"/>
        <v>85</v>
      </c>
      <c r="Q17" s="142"/>
      <c r="R17" s="106">
        <f t="shared" si="5"/>
        <v>3</v>
      </c>
      <c r="S17" s="105">
        <v>13</v>
      </c>
      <c r="T17" s="106">
        <v>44</v>
      </c>
      <c r="U17" s="107">
        <f t="shared" si="6"/>
        <v>57</v>
      </c>
      <c r="V17" s="106">
        <v>5</v>
      </c>
      <c r="W17" s="106">
        <v>24</v>
      </c>
      <c r="X17" s="107">
        <f t="shared" si="7"/>
        <v>29</v>
      </c>
      <c r="Y17" s="107">
        <f t="shared" si="8"/>
        <v>86</v>
      </c>
      <c r="Z17" s="107">
        <f t="shared" si="1"/>
        <v>86</v>
      </c>
      <c r="AA17" s="142"/>
      <c r="AB17" s="106">
        <f t="shared" si="9"/>
        <v>3</v>
      </c>
      <c r="AC17" s="105">
        <v>17</v>
      </c>
      <c r="AD17" s="106">
        <v>28</v>
      </c>
      <c r="AE17" s="107">
        <f t="shared" si="10"/>
        <v>45</v>
      </c>
      <c r="AF17" s="106">
        <v>19</v>
      </c>
      <c r="AG17" s="107">
        <f t="shared" si="11"/>
        <v>64</v>
      </c>
      <c r="AH17" s="142"/>
      <c r="AI17" s="106">
        <f t="shared" si="12"/>
        <v>3.5</v>
      </c>
      <c r="AJ17" s="105">
        <v>15</v>
      </c>
      <c r="AK17" s="106">
        <v>23</v>
      </c>
      <c r="AL17" s="107">
        <f t="shared" si="13"/>
        <v>38</v>
      </c>
      <c r="AM17" s="106">
        <v>15</v>
      </c>
      <c r="AN17" s="107">
        <f t="shared" si="14"/>
        <v>53</v>
      </c>
      <c r="AO17" s="142"/>
      <c r="AP17" s="106">
        <f t="shared" si="15"/>
        <v>3</v>
      </c>
      <c r="AQ17" s="106">
        <v>17</v>
      </c>
      <c r="AR17" s="106">
        <v>23</v>
      </c>
      <c r="AS17" s="106">
        <f t="shared" si="16"/>
        <v>40</v>
      </c>
      <c r="AT17" s="145"/>
      <c r="AU17" s="106">
        <f t="shared" si="17"/>
        <v>5</v>
      </c>
      <c r="AV17" s="105">
        <v>15</v>
      </c>
      <c r="AW17" s="106">
        <v>14</v>
      </c>
      <c r="AX17" s="107">
        <f t="shared" si="18"/>
        <v>29</v>
      </c>
      <c r="AY17" s="106">
        <v>16</v>
      </c>
      <c r="AZ17" s="107">
        <f t="shared" si="19"/>
        <v>45</v>
      </c>
      <c r="BA17" s="142"/>
      <c r="BB17" s="106">
        <f t="shared" si="20"/>
        <v>2</v>
      </c>
      <c r="BC17" s="128">
        <v>12</v>
      </c>
      <c r="BD17" s="127">
        <v>12</v>
      </c>
      <c r="BE17" s="126">
        <f t="shared" si="21"/>
        <v>24</v>
      </c>
      <c r="BF17" s="127">
        <v>16</v>
      </c>
      <c r="BG17" s="126">
        <f t="shared" si="22"/>
        <v>40</v>
      </c>
      <c r="BH17" s="148"/>
      <c r="BI17" s="127">
        <f t="shared" si="23"/>
        <v>2</v>
      </c>
      <c r="BJ17" s="128">
        <v>10</v>
      </c>
      <c r="BK17" s="127">
        <v>31</v>
      </c>
      <c r="BL17" s="126">
        <f t="shared" si="24"/>
        <v>41</v>
      </c>
      <c r="BM17" s="107">
        <f t="shared" si="25"/>
        <v>41</v>
      </c>
      <c r="BN17" s="142"/>
      <c r="BO17" s="106">
        <f t="shared" si="2"/>
        <v>5</v>
      </c>
      <c r="BP17" s="106">
        <f t="shared" si="26"/>
        <v>26.5</v>
      </c>
      <c r="BQ17" s="108">
        <f t="shared" si="27"/>
        <v>3.3125</v>
      </c>
      <c r="BR17" s="60" t="str">
        <f t="shared" si="28"/>
        <v>B</v>
      </c>
      <c r="BS17" s="61" t="str">
        <f t="shared" si="3"/>
        <v>GOOD</v>
      </c>
      <c r="BT17" s="126">
        <f t="shared" si="29"/>
        <v>454</v>
      </c>
      <c r="BU17" s="127">
        <v>23</v>
      </c>
      <c r="BV17" s="129">
        <v>67</v>
      </c>
    </row>
    <row r="18" spans="1:74" ht="27.95" customHeight="1">
      <c r="A18" s="101">
        <v>10</v>
      </c>
      <c r="B18" s="119">
        <v>81</v>
      </c>
      <c r="C18" s="117" t="s">
        <v>135</v>
      </c>
      <c r="D18" s="63" t="s">
        <v>136</v>
      </c>
      <c r="E18" s="63" t="s">
        <v>137</v>
      </c>
      <c r="F18" s="64" t="s">
        <v>138</v>
      </c>
      <c r="G18" s="105">
        <v>11</v>
      </c>
      <c r="H18" s="106">
        <v>30</v>
      </c>
      <c r="I18" s="107">
        <f t="shared" si="30"/>
        <v>41</v>
      </c>
      <c r="J18" s="106">
        <v>18</v>
      </c>
      <c r="K18" s="107">
        <f t="shared" si="31"/>
        <v>59</v>
      </c>
      <c r="L18" s="105">
        <v>6</v>
      </c>
      <c r="M18" s="106">
        <v>22</v>
      </c>
      <c r="N18" s="107">
        <f t="shared" si="32"/>
        <v>28</v>
      </c>
      <c r="O18" s="107">
        <f t="shared" si="4"/>
        <v>28</v>
      </c>
      <c r="P18" s="107">
        <f t="shared" si="0"/>
        <v>87</v>
      </c>
      <c r="Q18" s="142"/>
      <c r="R18" s="106">
        <f t="shared" si="5"/>
        <v>3</v>
      </c>
      <c r="S18" s="105">
        <v>9</v>
      </c>
      <c r="T18" s="106">
        <v>50</v>
      </c>
      <c r="U18" s="107">
        <f t="shared" si="6"/>
        <v>59</v>
      </c>
      <c r="V18" s="106">
        <v>5</v>
      </c>
      <c r="W18" s="106">
        <v>23</v>
      </c>
      <c r="X18" s="107">
        <f t="shared" si="7"/>
        <v>28</v>
      </c>
      <c r="Y18" s="107">
        <f t="shared" si="8"/>
        <v>87</v>
      </c>
      <c r="Z18" s="107">
        <f t="shared" si="1"/>
        <v>87</v>
      </c>
      <c r="AA18" s="142"/>
      <c r="AB18" s="106">
        <f t="shared" si="9"/>
        <v>3</v>
      </c>
      <c r="AC18" s="105">
        <v>16</v>
      </c>
      <c r="AD18" s="106">
        <v>27</v>
      </c>
      <c r="AE18" s="107">
        <f t="shared" si="10"/>
        <v>43</v>
      </c>
      <c r="AF18" s="106">
        <v>19</v>
      </c>
      <c r="AG18" s="107">
        <f t="shared" si="11"/>
        <v>62</v>
      </c>
      <c r="AH18" s="142"/>
      <c r="AI18" s="106">
        <f t="shared" si="12"/>
        <v>3.5</v>
      </c>
      <c r="AJ18" s="105">
        <v>11</v>
      </c>
      <c r="AK18" s="106">
        <v>19</v>
      </c>
      <c r="AL18" s="107">
        <f t="shared" si="13"/>
        <v>30</v>
      </c>
      <c r="AM18" s="106">
        <v>17</v>
      </c>
      <c r="AN18" s="107">
        <f t="shared" si="14"/>
        <v>47</v>
      </c>
      <c r="AO18" s="142"/>
      <c r="AP18" s="106">
        <f t="shared" si="15"/>
        <v>2</v>
      </c>
      <c r="AQ18" s="106">
        <v>16</v>
      </c>
      <c r="AR18" s="106">
        <v>23</v>
      </c>
      <c r="AS18" s="106">
        <f t="shared" si="16"/>
        <v>39</v>
      </c>
      <c r="AT18" s="145"/>
      <c r="AU18" s="106">
        <f t="shared" si="17"/>
        <v>4</v>
      </c>
      <c r="AV18" s="105">
        <v>8</v>
      </c>
      <c r="AW18" s="106">
        <v>14</v>
      </c>
      <c r="AX18" s="107">
        <f t="shared" si="18"/>
        <v>22</v>
      </c>
      <c r="AY18" s="106">
        <v>21</v>
      </c>
      <c r="AZ18" s="107">
        <f t="shared" si="19"/>
        <v>43</v>
      </c>
      <c r="BA18" s="142"/>
      <c r="BB18" s="106">
        <f t="shared" si="20"/>
        <v>2</v>
      </c>
      <c r="BC18" s="128">
        <v>10</v>
      </c>
      <c r="BD18" s="127">
        <v>20</v>
      </c>
      <c r="BE18" s="126">
        <f t="shared" si="21"/>
        <v>30</v>
      </c>
      <c r="BF18" s="127">
        <v>19</v>
      </c>
      <c r="BG18" s="126">
        <f t="shared" si="22"/>
        <v>49</v>
      </c>
      <c r="BH18" s="148"/>
      <c r="BI18" s="127">
        <f t="shared" si="23"/>
        <v>2</v>
      </c>
      <c r="BJ18" s="128">
        <v>5</v>
      </c>
      <c r="BK18" s="127">
        <v>30</v>
      </c>
      <c r="BL18" s="126">
        <f t="shared" si="24"/>
        <v>35</v>
      </c>
      <c r="BM18" s="107">
        <f t="shared" si="25"/>
        <v>35</v>
      </c>
      <c r="BN18" s="142"/>
      <c r="BO18" s="106">
        <f t="shared" si="2"/>
        <v>4</v>
      </c>
      <c r="BP18" s="106">
        <f t="shared" si="26"/>
        <v>23.5</v>
      </c>
      <c r="BQ18" s="108">
        <f t="shared" si="27"/>
        <v>2.9375</v>
      </c>
      <c r="BR18" s="60" t="str">
        <f t="shared" si="28"/>
        <v>C</v>
      </c>
      <c r="BS18" s="61" t="str">
        <f t="shared" si="3"/>
        <v>GOOD</v>
      </c>
      <c r="BT18" s="126">
        <f t="shared" si="29"/>
        <v>449</v>
      </c>
      <c r="BU18" s="127">
        <v>27</v>
      </c>
      <c r="BV18" s="129">
        <v>65</v>
      </c>
    </row>
    <row r="19" spans="1:74" ht="27.95" customHeight="1">
      <c r="A19" s="101">
        <v>11</v>
      </c>
      <c r="B19" s="119">
        <v>82</v>
      </c>
      <c r="C19" s="117" t="s">
        <v>139</v>
      </c>
      <c r="D19" s="63" t="s">
        <v>140</v>
      </c>
      <c r="E19" s="63" t="s">
        <v>141</v>
      </c>
      <c r="F19" s="64" t="s">
        <v>142</v>
      </c>
      <c r="G19" s="105">
        <v>12</v>
      </c>
      <c r="H19" s="106">
        <v>10</v>
      </c>
      <c r="I19" s="107">
        <f t="shared" si="30"/>
        <v>22</v>
      </c>
      <c r="J19" s="106">
        <v>11</v>
      </c>
      <c r="K19" s="107">
        <f t="shared" si="31"/>
        <v>33</v>
      </c>
      <c r="L19" s="105">
        <v>7</v>
      </c>
      <c r="M19" s="106">
        <v>31</v>
      </c>
      <c r="N19" s="107">
        <f t="shared" si="32"/>
        <v>38</v>
      </c>
      <c r="O19" s="107">
        <f t="shared" si="4"/>
        <v>38</v>
      </c>
      <c r="P19" s="107">
        <f t="shared" si="0"/>
        <v>71</v>
      </c>
      <c r="Q19" s="142"/>
      <c r="R19" s="106">
        <f t="shared" si="5"/>
        <v>2</v>
      </c>
      <c r="S19" s="105">
        <v>8</v>
      </c>
      <c r="T19" s="106">
        <v>27</v>
      </c>
      <c r="U19" s="107">
        <f t="shared" si="6"/>
        <v>35</v>
      </c>
      <c r="V19" s="106">
        <v>5</v>
      </c>
      <c r="W19" s="106">
        <v>16</v>
      </c>
      <c r="X19" s="107">
        <f t="shared" si="7"/>
        <v>21</v>
      </c>
      <c r="Y19" s="107">
        <f t="shared" si="8"/>
        <v>56</v>
      </c>
      <c r="Z19" s="107">
        <f t="shared" si="1"/>
        <v>56</v>
      </c>
      <c r="AA19" s="142"/>
      <c r="AB19" s="106">
        <f t="shared" si="9"/>
        <v>0</v>
      </c>
      <c r="AC19" s="105">
        <v>8</v>
      </c>
      <c r="AD19" s="106">
        <v>20</v>
      </c>
      <c r="AE19" s="107">
        <f t="shared" si="10"/>
        <v>28</v>
      </c>
      <c r="AF19" s="106">
        <v>14</v>
      </c>
      <c r="AG19" s="107">
        <f t="shared" si="11"/>
        <v>42</v>
      </c>
      <c r="AH19" s="142"/>
      <c r="AI19" s="106">
        <f t="shared" si="12"/>
        <v>2</v>
      </c>
      <c r="AJ19" s="105">
        <v>7</v>
      </c>
      <c r="AK19" s="106">
        <v>7</v>
      </c>
      <c r="AL19" s="107">
        <f t="shared" si="13"/>
        <v>14</v>
      </c>
      <c r="AM19" s="106">
        <v>11</v>
      </c>
      <c r="AN19" s="107">
        <f t="shared" si="14"/>
        <v>25</v>
      </c>
      <c r="AO19" s="142"/>
      <c r="AP19" s="106" t="str">
        <f t="shared" si="15"/>
        <v>F</v>
      </c>
      <c r="AQ19" s="106">
        <v>9</v>
      </c>
      <c r="AR19" s="106">
        <v>23</v>
      </c>
      <c r="AS19" s="106">
        <f t="shared" si="16"/>
        <v>32</v>
      </c>
      <c r="AT19" s="145"/>
      <c r="AU19" s="106">
        <f t="shared" si="17"/>
        <v>3.5</v>
      </c>
      <c r="AV19" s="105">
        <v>7</v>
      </c>
      <c r="AW19" s="106">
        <v>10</v>
      </c>
      <c r="AX19" s="107">
        <f t="shared" si="18"/>
        <v>17</v>
      </c>
      <c r="AY19" s="106">
        <v>8</v>
      </c>
      <c r="AZ19" s="107">
        <f t="shared" si="19"/>
        <v>25</v>
      </c>
      <c r="BA19" s="142"/>
      <c r="BB19" s="106" t="str">
        <f t="shared" si="20"/>
        <v>F</v>
      </c>
      <c r="BC19" s="128">
        <v>5</v>
      </c>
      <c r="BD19" s="127">
        <v>6</v>
      </c>
      <c r="BE19" s="126">
        <f t="shared" si="21"/>
        <v>11</v>
      </c>
      <c r="BF19" s="127">
        <v>16</v>
      </c>
      <c r="BG19" s="126">
        <f t="shared" si="22"/>
        <v>27</v>
      </c>
      <c r="BH19" s="148"/>
      <c r="BI19" s="127" t="str">
        <f t="shared" si="23"/>
        <v>F</v>
      </c>
      <c r="BJ19" s="128">
        <v>6</v>
      </c>
      <c r="BK19" s="127">
        <v>32</v>
      </c>
      <c r="BL19" s="126">
        <f t="shared" si="24"/>
        <v>38</v>
      </c>
      <c r="BM19" s="107">
        <f t="shared" si="25"/>
        <v>38</v>
      </c>
      <c r="BN19" s="142"/>
      <c r="BO19" s="106">
        <f t="shared" si="2"/>
        <v>4</v>
      </c>
      <c r="BP19" s="106" t="str">
        <f t="shared" si="26"/>
        <v>F</v>
      </c>
      <c r="BQ19" s="108" t="str">
        <f t="shared" si="27"/>
        <v>F</v>
      </c>
      <c r="BR19" s="60" t="str">
        <f t="shared" si="28"/>
        <v>F</v>
      </c>
      <c r="BS19" s="61" t="str">
        <f t="shared" si="3"/>
        <v>NEED TO PROGRESS</v>
      </c>
      <c r="BT19" s="126">
        <f t="shared" si="29"/>
        <v>316</v>
      </c>
      <c r="BU19" s="127">
        <v>11</v>
      </c>
      <c r="BV19" s="129">
        <v>62</v>
      </c>
    </row>
    <row r="20" spans="1:74" s="39" customFormat="1" ht="27.95" customHeight="1">
      <c r="A20" s="101">
        <v>12</v>
      </c>
      <c r="B20" s="119">
        <v>83</v>
      </c>
      <c r="C20" s="117" t="s">
        <v>143</v>
      </c>
      <c r="D20" s="63" t="s">
        <v>144</v>
      </c>
      <c r="E20" s="63" t="s">
        <v>145</v>
      </c>
      <c r="F20" s="64" t="s">
        <v>146</v>
      </c>
      <c r="G20" s="105">
        <v>13</v>
      </c>
      <c r="H20" s="106">
        <v>22</v>
      </c>
      <c r="I20" s="107">
        <f t="shared" si="30"/>
        <v>35</v>
      </c>
      <c r="J20" s="106">
        <v>18</v>
      </c>
      <c r="K20" s="107">
        <f t="shared" si="31"/>
        <v>53</v>
      </c>
      <c r="L20" s="105">
        <v>9</v>
      </c>
      <c r="M20" s="106">
        <v>33</v>
      </c>
      <c r="N20" s="107">
        <f t="shared" si="32"/>
        <v>42</v>
      </c>
      <c r="O20" s="107">
        <f t="shared" si="4"/>
        <v>42</v>
      </c>
      <c r="P20" s="107">
        <f t="shared" si="0"/>
        <v>95</v>
      </c>
      <c r="Q20" s="142"/>
      <c r="R20" s="106">
        <f t="shared" si="5"/>
        <v>3.5</v>
      </c>
      <c r="S20" s="105">
        <v>13</v>
      </c>
      <c r="T20" s="106">
        <v>48</v>
      </c>
      <c r="U20" s="107">
        <f t="shared" si="6"/>
        <v>61</v>
      </c>
      <c r="V20" s="106">
        <v>5</v>
      </c>
      <c r="W20" s="106">
        <v>22</v>
      </c>
      <c r="X20" s="107">
        <f t="shared" si="7"/>
        <v>27</v>
      </c>
      <c r="Y20" s="107">
        <f t="shared" si="8"/>
        <v>88</v>
      </c>
      <c r="Z20" s="107">
        <f t="shared" si="1"/>
        <v>88</v>
      </c>
      <c r="AA20" s="142"/>
      <c r="AB20" s="106">
        <f t="shared" si="9"/>
        <v>3</v>
      </c>
      <c r="AC20" s="105">
        <v>20</v>
      </c>
      <c r="AD20" s="106">
        <v>48</v>
      </c>
      <c r="AE20" s="107">
        <f t="shared" si="10"/>
        <v>68</v>
      </c>
      <c r="AF20" s="106">
        <v>21</v>
      </c>
      <c r="AG20" s="107">
        <f t="shared" si="11"/>
        <v>89</v>
      </c>
      <c r="AH20" s="142"/>
      <c r="AI20" s="106">
        <f t="shared" si="12"/>
        <v>5</v>
      </c>
      <c r="AJ20" s="105">
        <v>11</v>
      </c>
      <c r="AK20" s="106">
        <v>17</v>
      </c>
      <c r="AL20" s="107">
        <f t="shared" si="13"/>
        <v>28</v>
      </c>
      <c r="AM20" s="106">
        <v>18</v>
      </c>
      <c r="AN20" s="107">
        <f t="shared" si="14"/>
        <v>46</v>
      </c>
      <c r="AO20" s="142"/>
      <c r="AP20" s="106">
        <f t="shared" si="15"/>
        <v>2</v>
      </c>
      <c r="AQ20" s="106">
        <v>17</v>
      </c>
      <c r="AR20" s="106">
        <v>23</v>
      </c>
      <c r="AS20" s="106">
        <f t="shared" si="16"/>
        <v>40</v>
      </c>
      <c r="AT20" s="145"/>
      <c r="AU20" s="106">
        <f t="shared" si="17"/>
        <v>5</v>
      </c>
      <c r="AV20" s="105">
        <v>15</v>
      </c>
      <c r="AW20" s="106">
        <v>15</v>
      </c>
      <c r="AX20" s="107">
        <f t="shared" si="18"/>
        <v>30</v>
      </c>
      <c r="AY20" s="106">
        <v>20</v>
      </c>
      <c r="AZ20" s="107">
        <f t="shared" si="19"/>
        <v>50</v>
      </c>
      <c r="BA20" s="142"/>
      <c r="BB20" s="106">
        <f t="shared" si="20"/>
        <v>3</v>
      </c>
      <c r="BC20" s="128">
        <v>12</v>
      </c>
      <c r="BD20" s="127">
        <v>17</v>
      </c>
      <c r="BE20" s="126">
        <f t="shared" si="21"/>
        <v>29</v>
      </c>
      <c r="BF20" s="127">
        <v>17</v>
      </c>
      <c r="BG20" s="126">
        <f t="shared" si="22"/>
        <v>46</v>
      </c>
      <c r="BH20" s="148"/>
      <c r="BI20" s="127">
        <f t="shared" si="23"/>
        <v>2</v>
      </c>
      <c r="BJ20" s="128">
        <v>10</v>
      </c>
      <c r="BK20" s="127">
        <v>31</v>
      </c>
      <c r="BL20" s="126">
        <f t="shared" si="24"/>
        <v>41</v>
      </c>
      <c r="BM20" s="107">
        <f t="shared" si="25"/>
        <v>41</v>
      </c>
      <c r="BN20" s="142"/>
      <c r="BO20" s="106">
        <f t="shared" si="2"/>
        <v>5</v>
      </c>
      <c r="BP20" s="106">
        <f t="shared" si="26"/>
        <v>28.5</v>
      </c>
      <c r="BQ20" s="108">
        <f t="shared" si="27"/>
        <v>3.5625</v>
      </c>
      <c r="BR20" s="60" t="str">
        <f t="shared" si="28"/>
        <v>A-</v>
      </c>
      <c r="BS20" s="61" t="str">
        <f t="shared" si="3"/>
        <v>GOOD</v>
      </c>
      <c r="BT20" s="126">
        <f t="shared" si="29"/>
        <v>495</v>
      </c>
      <c r="BU20" s="127"/>
      <c r="BV20" s="129">
        <v>55</v>
      </c>
    </row>
    <row r="21" spans="1:74" ht="27.95" customHeight="1">
      <c r="A21" s="101">
        <v>13</v>
      </c>
      <c r="B21" s="119">
        <v>88</v>
      </c>
      <c r="C21" s="117" t="s">
        <v>147</v>
      </c>
      <c r="D21" s="63" t="s">
        <v>148</v>
      </c>
      <c r="E21" s="63" t="s">
        <v>158</v>
      </c>
      <c r="F21" s="64" t="s">
        <v>150</v>
      </c>
      <c r="G21" s="105">
        <v>19</v>
      </c>
      <c r="H21" s="106">
        <v>14</v>
      </c>
      <c r="I21" s="107">
        <f t="shared" si="30"/>
        <v>33</v>
      </c>
      <c r="J21" s="106">
        <v>18</v>
      </c>
      <c r="K21" s="107">
        <f t="shared" si="31"/>
        <v>51</v>
      </c>
      <c r="L21" s="106">
        <v>9</v>
      </c>
      <c r="M21" s="106">
        <v>30</v>
      </c>
      <c r="N21" s="107">
        <f t="shared" si="32"/>
        <v>39</v>
      </c>
      <c r="O21" s="107">
        <f t="shared" si="4"/>
        <v>39</v>
      </c>
      <c r="P21" s="107">
        <f t="shared" si="0"/>
        <v>90</v>
      </c>
      <c r="Q21" s="142"/>
      <c r="R21" s="106">
        <f t="shared" si="5"/>
        <v>3.5</v>
      </c>
      <c r="S21" s="105">
        <v>12</v>
      </c>
      <c r="T21" s="106">
        <v>30</v>
      </c>
      <c r="U21" s="107">
        <f t="shared" si="6"/>
        <v>42</v>
      </c>
      <c r="V21" s="106">
        <v>5</v>
      </c>
      <c r="W21" s="106">
        <v>22</v>
      </c>
      <c r="X21" s="107">
        <f t="shared" si="7"/>
        <v>27</v>
      </c>
      <c r="Y21" s="107">
        <f t="shared" si="8"/>
        <v>69</v>
      </c>
      <c r="Z21" s="107">
        <f t="shared" si="1"/>
        <v>69</v>
      </c>
      <c r="AA21" s="142"/>
      <c r="AB21" s="106">
        <f t="shared" si="9"/>
        <v>2</v>
      </c>
      <c r="AC21" s="105">
        <v>10</v>
      </c>
      <c r="AD21" s="106">
        <v>18</v>
      </c>
      <c r="AE21" s="107">
        <f t="shared" si="10"/>
        <v>28</v>
      </c>
      <c r="AF21" s="106">
        <v>16</v>
      </c>
      <c r="AG21" s="107">
        <f t="shared" si="11"/>
        <v>44</v>
      </c>
      <c r="AH21" s="142"/>
      <c r="AI21" s="106">
        <f t="shared" si="12"/>
        <v>2</v>
      </c>
      <c r="AJ21" s="105">
        <v>12</v>
      </c>
      <c r="AK21" s="106">
        <v>14</v>
      </c>
      <c r="AL21" s="107">
        <f t="shared" si="13"/>
        <v>26</v>
      </c>
      <c r="AM21" s="106">
        <v>16</v>
      </c>
      <c r="AN21" s="107">
        <f t="shared" si="14"/>
        <v>42</v>
      </c>
      <c r="AO21" s="142"/>
      <c r="AP21" s="106">
        <f t="shared" si="15"/>
        <v>2</v>
      </c>
      <c r="AQ21" s="106">
        <v>13</v>
      </c>
      <c r="AR21" s="106">
        <v>23</v>
      </c>
      <c r="AS21" s="106">
        <f t="shared" si="16"/>
        <v>36</v>
      </c>
      <c r="AT21" s="145"/>
      <c r="AU21" s="106">
        <f t="shared" si="17"/>
        <v>4</v>
      </c>
      <c r="AV21" s="105">
        <v>12</v>
      </c>
      <c r="AW21" s="106">
        <v>16</v>
      </c>
      <c r="AX21" s="107">
        <f t="shared" si="18"/>
        <v>28</v>
      </c>
      <c r="AY21" s="106">
        <v>19</v>
      </c>
      <c r="AZ21" s="107">
        <f t="shared" si="19"/>
        <v>47</v>
      </c>
      <c r="BA21" s="142"/>
      <c r="BB21" s="106">
        <f t="shared" si="20"/>
        <v>2</v>
      </c>
      <c r="BC21" s="128">
        <v>10</v>
      </c>
      <c r="BD21" s="127">
        <v>6</v>
      </c>
      <c r="BE21" s="126">
        <f t="shared" si="21"/>
        <v>16</v>
      </c>
      <c r="BF21" s="127">
        <v>12</v>
      </c>
      <c r="BG21" s="126">
        <f t="shared" si="22"/>
        <v>28</v>
      </c>
      <c r="BH21" s="148"/>
      <c r="BI21" s="127" t="str">
        <f t="shared" si="23"/>
        <v>F</v>
      </c>
      <c r="BJ21" s="128">
        <v>9</v>
      </c>
      <c r="BK21" s="127">
        <v>28</v>
      </c>
      <c r="BL21" s="126">
        <f t="shared" si="24"/>
        <v>37</v>
      </c>
      <c r="BM21" s="107">
        <f t="shared" si="25"/>
        <v>37</v>
      </c>
      <c r="BN21" s="142"/>
      <c r="BO21" s="106">
        <f t="shared" si="2"/>
        <v>4</v>
      </c>
      <c r="BP21" s="106" t="str">
        <f t="shared" si="26"/>
        <v>F</v>
      </c>
      <c r="BQ21" s="108" t="str">
        <f t="shared" si="27"/>
        <v>F</v>
      </c>
      <c r="BR21" s="60" t="str">
        <f t="shared" si="28"/>
        <v>F</v>
      </c>
      <c r="BS21" s="61" t="str">
        <f t="shared" si="3"/>
        <v>NEED TO PROGRESS</v>
      </c>
      <c r="BT21" s="126">
        <f t="shared" si="29"/>
        <v>393</v>
      </c>
      <c r="BU21" s="127">
        <v>30</v>
      </c>
      <c r="BV21" s="129">
        <v>56</v>
      </c>
    </row>
    <row r="22" spans="1:74" ht="27.95" customHeight="1">
      <c r="A22" s="101">
        <v>14</v>
      </c>
      <c r="B22" s="96">
        <v>92</v>
      </c>
      <c r="C22" s="93" t="s">
        <v>151</v>
      </c>
      <c r="D22" s="50" t="s">
        <v>152</v>
      </c>
      <c r="E22" s="63" t="s">
        <v>160</v>
      </c>
      <c r="F22" s="65" t="s">
        <v>153</v>
      </c>
      <c r="G22" s="105"/>
      <c r="H22" s="106"/>
      <c r="I22" s="107">
        <f t="shared" si="30"/>
        <v>0</v>
      </c>
      <c r="J22" s="106"/>
      <c r="K22" s="107">
        <f t="shared" si="31"/>
        <v>0</v>
      </c>
      <c r="L22" s="105"/>
      <c r="M22" s="106"/>
      <c r="N22" s="107">
        <f t="shared" si="32"/>
        <v>0</v>
      </c>
      <c r="O22" s="107">
        <f t="shared" si="4"/>
        <v>0</v>
      </c>
      <c r="P22" s="107">
        <f t="shared" si="0"/>
        <v>0</v>
      </c>
      <c r="Q22" s="142"/>
      <c r="R22" s="106" t="str">
        <f t="shared" si="5"/>
        <v>F</v>
      </c>
      <c r="S22" s="105"/>
      <c r="T22" s="106"/>
      <c r="U22" s="107">
        <f t="shared" si="6"/>
        <v>0</v>
      </c>
      <c r="V22" s="106"/>
      <c r="W22" s="106"/>
      <c r="X22" s="107">
        <f t="shared" si="7"/>
        <v>0</v>
      </c>
      <c r="Y22" s="107">
        <f t="shared" si="8"/>
        <v>0</v>
      </c>
      <c r="Z22" s="107">
        <f t="shared" si="1"/>
        <v>0</v>
      </c>
      <c r="AA22" s="142"/>
      <c r="AB22" s="106">
        <f t="shared" si="9"/>
        <v>0</v>
      </c>
      <c r="AC22" s="105"/>
      <c r="AD22" s="106"/>
      <c r="AE22" s="107">
        <f t="shared" si="10"/>
        <v>0</v>
      </c>
      <c r="AF22" s="106"/>
      <c r="AG22" s="107">
        <f t="shared" si="11"/>
        <v>0</v>
      </c>
      <c r="AH22" s="142"/>
      <c r="AI22" s="106" t="str">
        <f t="shared" si="12"/>
        <v>F</v>
      </c>
      <c r="AJ22" s="105"/>
      <c r="AK22" s="106"/>
      <c r="AL22" s="107">
        <f t="shared" si="13"/>
        <v>0</v>
      </c>
      <c r="AM22" s="106"/>
      <c r="AN22" s="107">
        <f t="shared" si="14"/>
        <v>0</v>
      </c>
      <c r="AO22" s="142"/>
      <c r="AP22" s="106" t="str">
        <f t="shared" si="15"/>
        <v>F</v>
      </c>
      <c r="AQ22" s="106"/>
      <c r="AR22" s="106"/>
      <c r="AS22" s="106">
        <f t="shared" si="16"/>
        <v>0</v>
      </c>
      <c r="AT22" s="145"/>
      <c r="AU22" s="106" t="str">
        <f t="shared" si="17"/>
        <v>F</v>
      </c>
      <c r="AV22" s="105"/>
      <c r="AW22" s="106"/>
      <c r="AX22" s="107">
        <f t="shared" ref="AX22:AX23" si="33">AW22+AV22</f>
        <v>0</v>
      </c>
      <c r="AY22" s="106"/>
      <c r="AZ22" s="107">
        <f t="shared" si="19"/>
        <v>0</v>
      </c>
      <c r="BA22" s="142"/>
      <c r="BB22" s="106" t="str">
        <f t="shared" si="20"/>
        <v>F</v>
      </c>
      <c r="BC22" s="128"/>
      <c r="BD22" s="127"/>
      <c r="BE22" s="126"/>
      <c r="BF22" s="127"/>
      <c r="BG22" s="126">
        <f t="shared" si="22"/>
        <v>0</v>
      </c>
      <c r="BH22" s="148"/>
      <c r="BI22" s="127" t="str">
        <f t="shared" si="23"/>
        <v>F</v>
      </c>
      <c r="BJ22" s="128"/>
      <c r="BK22" s="127"/>
      <c r="BL22" s="126">
        <f t="shared" si="24"/>
        <v>0</v>
      </c>
      <c r="BM22" s="107">
        <f t="shared" si="25"/>
        <v>0</v>
      </c>
      <c r="BN22" s="142"/>
      <c r="BO22" s="106" t="str">
        <f t="shared" si="2"/>
        <v>F</v>
      </c>
      <c r="BP22" s="106" t="str">
        <f t="shared" si="26"/>
        <v>F</v>
      </c>
      <c r="BQ22" s="108" t="str">
        <f t="shared" si="27"/>
        <v>F</v>
      </c>
      <c r="BR22" s="60" t="str">
        <f t="shared" si="28"/>
        <v>F</v>
      </c>
      <c r="BS22" s="61" t="str">
        <f t="shared" si="3"/>
        <v>NEED TO PROGRESS</v>
      </c>
      <c r="BT22" s="126">
        <f t="shared" si="29"/>
        <v>0</v>
      </c>
      <c r="BU22" s="127">
        <v>31</v>
      </c>
      <c r="BV22" s="129">
        <v>58</v>
      </c>
    </row>
    <row r="23" spans="1:74" ht="27.95" customHeight="1">
      <c r="A23" s="101">
        <v>15</v>
      </c>
      <c r="B23" s="49">
        <v>94</v>
      </c>
      <c r="C23" s="50" t="s">
        <v>156</v>
      </c>
      <c r="D23" s="50" t="s">
        <v>161</v>
      </c>
      <c r="E23" s="50" t="s">
        <v>157</v>
      </c>
      <c r="F23" s="65" t="s">
        <v>159</v>
      </c>
      <c r="G23" s="105"/>
      <c r="H23" s="106"/>
      <c r="I23" s="107">
        <f t="shared" si="30"/>
        <v>0</v>
      </c>
      <c r="J23" s="106"/>
      <c r="K23" s="107">
        <f t="shared" si="31"/>
        <v>0</v>
      </c>
      <c r="L23" s="105"/>
      <c r="M23" s="106"/>
      <c r="N23" s="107">
        <f t="shared" si="32"/>
        <v>0</v>
      </c>
      <c r="O23" s="107">
        <f t="shared" si="4"/>
        <v>0</v>
      </c>
      <c r="P23" s="107">
        <f t="shared" si="0"/>
        <v>0</v>
      </c>
      <c r="Q23" s="143"/>
      <c r="R23" s="106" t="str">
        <f t="shared" si="5"/>
        <v>F</v>
      </c>
      <c r="S23" s="105"/>
      <c r="T23" s="106"/>
      <c r="U23" s="107">
        <f t="shared" si="6"/>
        <v>0</v>
      </c>
      <c r="V23" s="106"/>
      <c r="W23" s="106"/>
      <c r="X23" s="107">
        <f t="shared" si="7"/>
        <v>0</v>
      </c>
      <c r="Y23" s="107">
        <f t="shared" si="8"/>
        <v>0</v>
      </c>
      <c r="Z23" s="107">
        <f t="shared" si="1"/>
        <v>0</v>
      </c>
      <c r="AA23" s="143"/>
      <c r="AB23" s="106">
        <f t="shared" si="9"/>
        <v>0</v>
      </c>
      <c r="AC23" s="105"/>
      <c r="AD23" s="106"/>
      <c r="AE23" s="107">
        <f t="shared" si="10"/>
        <v>0</v>
      </c>
      <c r="AF23" s="106"/>
      <c r="AG23" s="107">
        <f t="shared" si="11"/>
        <v>0</v>
      </c>
      <c r="AH23" s="143"/>
      <c r="AI23" s="106" t="str">
        <f t="shared" si="12"/>
        <v>F</v>
      </c>
      <c r="AJ23" s="105"/>
      <c r="AK23" s="106"/>
      <c r="AL23" s="107">
        <f t="shared" si="13"/>
        <v>0</v>
      </c>
      <c r="AM23" s="106"/>
      <c r="AN23" s="107">
        <f t="shared" si="14"/>
        <v>0</v>
      </c>
      <c r="AO23" s="143"/>
      <c r="AP23" s="106" t="str">
        <f t="shared" si="15"/>
        <v>F</v>
      </c>
      <c r="AQ23" s="106"/>
      <c r="AR23" s="106"/>
      <c r="AS23" s="106">
        <f t="shared" si="16"/>
        <v>0</v>
      </c>
      <c r="AT23" s="146"/>
      <c r="AU23" s="106" t="str">
        <f t="shared" si="17"/>
        <v>F</v>
      </c>
      <c r="AV23" s="105"/>
      <c r="AW23" s="106"/>
      <c r="AX23" s="107">
        <f t="shared" si="33"/>
        <v>0</v>
      </c>
      <c r="AY23" s="106"/>
      <c r="AZ23" s="107">
        <f t="shared" si="19"/>
        <v>0</v>
      </c>
      <c r="BA23" s="143"/>
      <c r="BB23" s="106" t="str">
        <f t="shared" si="20"/>
        <v>F</v>
      </c>
      <c r="BC23" s="128"/>
      <c r="BD23" s="127"/>
      <c r="BE23" s="126"/>
      <c r="BF23" s="127"/>
      <c r="BG23" s="126">
        <f t="shared" si="22"/>
        <v>0</v>
      </c>
      <c r="BH23" s="149"/>
      <c r="BI23" s="127" t="str">
        <f t="shared" si="23"/>
        <v>F</v>
      </c>
      <c r="BJ23" s="128"/>
      <c r="BK23" s="127"/>
      <c r="BL23" s="126">
        <f t="shared" si="24"/>
        <v>0</v>
      </c>
      <c r="BM23" s="107">
        <f t="shared" si="25"/>
        <v>0</v>
      </c>
      <c r="BN23" s="143"/>
      <c r="BO23" s="106" t="str">
        <f t="shared" si="2"/>
        <v>F</v>
      </c>
      <c r="BP23" s="106" t="str">
        <f t="shared" si="26"/>
        <v>F</v>
      </c>
      <c r="BQ23" s="108" t="str">
        <f t="shared" si="27"/>
        <v>F</v>
      </c>
      <c r="BR23" s="59" t="str">
        <f t="shared" si="28"/>
        <v>F</v>
      </c>
      <c r="BS23" s="99" t="str">
        <f t="shared" si="3"/>
        <v>NEED TO PROGRESS</v>
      </c>
      <c r="BT23" s="126">
        <f t="shared" si="29"/>
        <v>0</v>
      </c>
      <c r="BU23" s="127">
        <v>47</v>
      </c>
      <c r="BV23" s="129">
        <v>57</v>
      </c>
    </row>
    <row r="26" spans="1:74" s="47" customFormat="1">
      <c r="A26" s="102">
        <v>0</v>
      </c>
      <c r="B26" s="81">
        <v>1</v>
      </c>
      <c r="C26" s="77">
        <v>2</v>
      </c>
      <c r="D26" s="77">
        <v>3</v>
      </c>
      <c r="E26" s="76">
        <v>4</v>
      </c>
      <c r="F26" s="77">
        <v>5</v>
      </c>
      <c r="G26" s="77">
        <v>6</v>
      </c>
      <c r="H26" s="77">
        <v>7</v>
      </c>
      <c r="I26" s="76">
        <v>8</v>
      </c>
      <c r="J26" s="77">
        <v>9</v>
      </c>
      <c r="K26" s="77">
        <v>10</v>
      </c>
      <c r="L26" s="77">
        <v>11</v>
      </c>
      <c r="M26" s="76">
        <v>12</v>
      </c>
      <c r="N26" s="77">
        <v>13</v>
      </c>
      <c r="O26" s="77">
        <v>14</v>
      </c>
      <c r="P26" s="77">
        <v>15</v>
      </c>
      <c r="Q26" s="76">
        <v>16</v>
      </c>
      <c r="R26" s="77">
        <v>17</v>
      </c>
      <c r="S26" s="77">
        <v>18</v>
      </c>
      <c r="T26" s="77">
        <v>19</v>
      </c>
      <c r="U26" s="76">
        <v>20</v>
      </c>
      <c r="V26" s="77">
        <v>21</v>
      </c>
      <c r="W26" s="77">
        <v>22</v>
      </c>
      <c r="X26" s="77">
        <v>23</v>
      </c>
      <c r="Y26" s="76">
        <v>24</v>
      </c>
      <c r="Z26" s="77">
        <v>25</v>
      </c>
      <c r="AA26" s="77">
        <v>26</v>
      </c>
      <c r="AB26" s="77">
        <v>27</v>
      </c>
      <c r="AC26" s="76">
        <v>28</v>
      </c>
      <c r="AD26" s="77">
        <v>29</v>
      </c>
      <c r="AE26" s="77">
        <v>30</v>
      </c>
      <c r="AF26" s="77">
        <v>31</v>
      </c>
      <c r="AG26" s="76">
        <v>32</v>
      </c>
      <c r="AH26" s="77">
        <v>33</v>
      </c>
      <c r="AI26" s="77">
        <v>34</v>
      </c>
      <c r="AJ26" s="77">
        <v>35</v>
      </c>
      <c r="AK26" s="76">
        <v>36</v>
      </c>
      <c r="AL26" s="77">
        <v>37</v>
      </c>
      <c r="AM26" s="77">
        <v>38</v>
      </c>
      <c r="AN26" s="77">
        <v>39</v>
      </c>
      <c r="AO26" s="76">
        <v>40</v>
      </c>
      <c r="AP26" s="77">
        <v>41</v>
      </c>
      <c r="AQ26" s="77">
        <v>42</v>
      </c>
      <c r="AR26" s="77">
        <v>43</v>
      </c>
      <c r="AS26" s="76">
        <v>44</v>
      </c>
      <c r="AT26" s="77">
        <v>45</v>
      </c>
      <c r="AU26" s="77">
        <v>46</v>
      </c>
      <c r="AV26" s="77">
        <v>47</v>
      </c>
      <c r="AW26" s="76">
        <v>48</v>
      </c>
      <c r="AX26" s="77">
        <v>49</v>
      </c>
      <c r="AY26" s="77">
        <v>50</v>
      </c>
      <c r="AZ26" s="77">
        <v>51</v>
      </c>
      <c r="BA26" s="76">
        <v>52</v>
      </c>
      <c r="BB26" s="77">
        <v>53</v>
      </c>
      <c r="BC26" s="77">
        <v>54</v>
      </c>
      <c r="BD26" s="77">
        <v>55</v>
      </c>
      <c r="BE26" s="76">
        <v>56</v>
      </c>
      <c r="BF26" s="77">
        <v>57</v>
      </c>
      <c r="BG26" s="77">
        <v>58</v>
      </c>
      <c r="BH26" s="77">
        <v>59</v>
      </c>
      <c r="BI26" s="76">
        <v>60</v>
      </c>
      <c r="BJ26" s="77">
        <v>61</v>
      </c>
      <c r="BK26" s="77">
        <v>62</v>
      </c>
      <c r="BL26" s="77">
        <v>63</v>
      </c>
      <c r="BM26" s="76">
        <v>64</v>
      </c>
      <c r="BN26" s="77">
        <v>65</v>
      </c>
      <c r="BO26" s="77">
        <v>66</v>
      </c>
      <c r="BP26" s="77">
        <v>67</v>
      </c>
      <c r="BQ26" s="76">
        <v>68</v>
      </c>
      <c r="BR26" s="77">
        <v>69</v>
      </c>
      <c r="BS26" s="77">
        <v>70</v>
      </c>
      <c r="BT26" s="77">
        <v>71</v>
      </c>
      <c r="BU26" s="76">
        <v>72</v>
      </c>
      <c r="BV26" s="77">
        <v>73</v>
      </c>
    </row>
  </sheetData>
  <mergeCells count="58">
    <mergeCell ref="AZ7:AZ8"/>
    <mergeCell ref="AB7:AB8"/>
    <mergeCell ref="AU7:AU8"/>
    <mergeCell ref="AO7:AO8"/>
    <mergeCell ref="A7:A8"/>
    <mergeCell ref="B7:B8"/>
    <mergeCell ref="C7:C8"/>
    <mergeCell ref="D7:D8"/>
    <mergeCell ref="E7:E8"/>
    <mergeCell ref="O7:O8"/>
    <mergeCell ref="R7:R8"/>
    <mergeCell ref="AH7:AH8"/>
    <mergeCell ref="AI7:AI8"/>
    <mergeCell ref="AN7:AN8"/>
    <mergeCell ref="F7:F8"/>
    <mergeCell ref="G7:J7"/>
    <mergeCell ref="AV7:AY7"/>
    <mergeCell ref="AP7:AP8"/>
    <mergeCell ref="AQ7:AR7"/>
    <mergeCell ref="AS7:AS8"/>
    <mergeCell ref="AT7:AT8"/>
    <mergeCell ref="Z7:Z8"/>
    <mergeCell ref="AA7:AA8"/>
    <mergeCell ref="AC7:AF7"/>
    <mergeCell ref="AG7:AG8"/>
    <mergeCell ref="AJ7:AM7"/>
    <mergeCell ref="K7:K8"/>
    <mergeCell ref="L7:N7"/>
    <mergeCell ref="P7:P8"/>
    <mergeCell ref="BV7:BV8"/>
    <mergeCell ref="BN9:BN23"/>
    <mergeCell ref="BN7:BN8"/>
    <mergeCell ref="BO7:BO8"/>
    <mergeCell ref="BP7:BP8"/>
    <mergeCell ref="BQ7:BQ8"/>
    <mergeCell ref="BR7:BR8"/>
    <mergeCell ref="BB7:BB8"/>
    <mergeCell ref="BC7:BF7"/>
    <mergeCell ref="BA7:BA8"/>
    <mergeCell ref="Q7:Q8"/>
    <mergeCell ref="S7:X7"/>
    <mergeCell ref="Y7:Y8"/>
    <mergeCell ref="B1:BU5"/>
    <mergeCell ref="Q9:Q23"/>
    <mergeCell ref="AA9:AA23"/>
    <mergeCell ref="AH9:AH23"/>
    <mergeCell ref="AO9:AO23"/>
    <mergeCell ref="AT9:AT23"/>
    <mergeCell ref="BA9:BA23"/>
    <mergeCell ref="BH9:BH23"/>
    <mergeCell ref="BS7:BS8"/>
    <mergeCell ref="BT7:BT8"/>
    <mergeCell ref="BU7:BU8"/>
    <mergeCell ref="BG7:BG8"/>
    <mergeCell ref="BH7:BH8"/>
    <mergeCell ref="BI7:BI8"/>
    <mergeCell ref="BJ7:BL7"/>
    <mergeCell ref="BM7:BM8"/>
  </mergeCells>
  <conditionalFormatting sqref="B9 B11:B13">
    <cfRule type="duplicateValues" dxfId="11" priority="4"/>
  </conditionalFormatting>
  <conditionalFormatting sqref="B10">
    <cfRule type="duplicateValues" dxfId="10" priority="3"/>
  </conditionalFormatting>
  <conditionalFormatting sqref="B14:B15">
    <cfRule type="duplicateValues" dxfId="9" priority="2"/>
  </conditionalFormatting>
  <conditionalFormatting sqref="B16:B21">
    <cfRule type="duplicateValues" dxfId="8" priority="1"/>
  </conditionalFormatting>
  <pageMargins left="0.23622047244094491" right="0.23622047244094491" top="0.74803149606299213" bottom="0.74803149606299213" header="0.31496062992125984" footer="0.31496062992125984"/>
  <pageSetup paperSize="5" scale="7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V26"/>
  <sheetViews>
    <sheetView topLeftCell="Y1" zoomScale="85" zoomScaleNormal="85" workbookViewId="0">
      <selection activeCell="BT9" sqref="BT9:BT23"/>
    </sheetView>
  </sheetViews>
  <sheetFormatPr defaultColWidth="9.140625" defaultRowHeight="15.75"/>
  <cols>
    <col min="1" max="1" width="5.7109375" style="115" customWidth="1"/>
    <col min="2" max="2" width="6.42578125" style="125" bestFit="1" customWidth="1"/>
    <col min="3" max="3" width="26" style="125" bestFit="1" customWidth="1"/>
    <col min="4" max="4" width="35" hidden="1" customWidth="1"/>
    <col min="5" max="5" width="34.7109375" hidden="1" customWidth="1"/>
    <col min="6" max="6" width="16.42578125" hidden="1" customWidth="1"/>
    <col min="7" max="26" width="5.7109375" customWidth="1"/>
    <col min="27" max="27" width="6.140625" customWidth="1"/>
    <col min="28" max="33" width="5.7109375" customWidth="1"/>
    <col min="34" max="34" width="5.140625" customWidth="1"/>
    <col min="35" max="35" width="6" bestFit="1" customWidth="1"/>
    <col min="36" max="46" width="5.7109375" customWidth="1"/>
    <col min="47" max="47" width="4.140625" bestFit="1" customWidth="1"/>
    <col min="48" max="53" width="5.7109375" customWidth="1"/>
    <col min="54" max="54" width="6" bestFit="1" customWidth="1"/>
    <col min="55" max="55" width="5.7109375" style="40" customWidth="1"/>
    <col min="56" max="60" width="5.7109375" customWidth="1"/>
    <col min="61" max="61" width="6" bestFit="1" customWidth="1"/>
    <col min="62" max="66" width="5.7109375" customWidth="1"/>
    <col min="67" max="67" width="5" customWidth="1"/>
    <col min="68" max="68" width="5.7109375" customWidth="1"/>
    <col min="69" max="69" width="7.42578125" customWidth="1"/>
    <col min="70" max="70" width="5.7109375" customWidth="1"/>
    <col min="71" max="71" width="18.5703125" customWidth="1"/>
    <col min="72" max="72" width="10.7109375" customWidth="1"/>
    <col min="73" max="74" width="9.5703125" customWidth="1"/>
  </cols>
  <sheetData>
    <row r="1" spans="1:74" ht="15" customHeight="1">
      <c r="B1" s="140" t="s">
        <v>154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</row>
    <row r="2" spans="1:74" ht="17.45" customHeight="1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</row>
    <row r="3" spans="1:74" ht="20.100000000000001" customHeight="1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</row>
    <row r="4" spans="1:74" ht="20.25" customHeight="1"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</row>
    <row r="5" spans="1:74" ht="15" customHeight="1"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140"/>
      <c r="BU5" s="140"/>
    </row>
    <row r="6" spans="1:74" ht="20.25" customHeight="1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</row>
    <row r="7" spans="1:74" ht="27.95" customHeight="1">
      <c r="A7" s="156" t="s">
        <v>63</v>
      </c>
      <c r="B7" s="157" t="s">
        <v>0</v>
      </c>
      <c r="C7" s="158" t="s">
        <v>64</v>
      </c>
      <c r="D7" s="155" t="s">
        <v>65</v>
      </c>
      <c r="E7" s="155" t="s">
        <v>66</v>
      </c>
      <c r="F7" s="155" t="s">
        <v>67</v>
      </c>
      <c r="G7" s="152" t="s">
        <v>68</v>
      </c>
      <c r="H7" s="152"/>
      <c r="I7" s="152"/>
      <c r="J7" s="152"/>
      <c r="K7" s="150" t="s">
        <v>69</v>
      </c>
      <c r="L7" s="152" t="s">
        <v>70</v>
      </c>
      <c r="M7" s="152"/>
      <c r="N7" s="152"/>
      <c r="O7" s="150" t="s">
        <v>69</v>
      </c>
      <c r="P7" s="152" t="s">
        <v>7</v>
      </c>
      <c r="Q7" s="152" t="s">
        <v>71</v>
      </c>
      <c r="R7" s="152" t="s">
        <v>1</v>
      </c>
      <c r="S7" s="152" t="s">
        <v>72</v>
      </c>
      <c r="T7" s="152"/>
      <c r="U7" s="152"/>
      <c r="V7" s="152"/>
      <c r="W7" s="152"/>
      <c r="X7" s="152"/>
      <c r="Y7" s="150" t="s">
        <v>69</v>
      </c>
      <c r="Z7" s="150" t="s">
        <v>7</v>
      </c>
      <c r="AA7" s="152" t="s">
        <v>71</v>
      </c>
      <c r="AB7" s="152" t="s">
        <v>1</v>
      </c>
      <c r="AC7" s="152" t="s">
        <v>11</v>
      </c>
      <c r="AD7" s="152"/>
      <c r="AE7" s="152"/>
      <c r="AF7" s="152"/>
      <c r="AG7" s="152" t="s">
        <v>7</v>
      </c>
      <c r="AH7" s="152" t="s">
        <v>71</v>
      </c>
      <c r="AI7" s="152" t="s">
        <v>1</v>
      </c>
      <c r="AJ7" s="152" t="s">
        <v>18</v>
      </c>
      <c r="AK7" s="152"/>
      <c r="AL7" s="152"/>
      <c r="AM7" s="152"/>
      <c r="AN7" s="152" t="s">
        <v>7</v>
      </c>
      <c r="AO7" s="152" t="s">
        <v>71</v>
      </c>
      <c r="AP7" s="152" t="s">
        <v>1</v>
      </c>
      <c r="AQ7" s="152" t="s">
        <v>6</v>
      </c>
      <c r="AR7" s="152"/>
      <c r="AS7" s="152" t="s">
        <v>7</v>
      </c>
      <c r="AT7" s="152" t="s">
        <v>71</v>
      </c>
      <c r="AU7" s="152" t="s">
        <v>1</v>
      </c>
      <c r="AV7" s="152" t="s">
        <v>4</v>
      </c>
      <c r="AW7" s="152"/>
      <c r="AX7" s="152"/>
      <c r="AY7" s="152"/>
      <c r="AZ7" s="152" t="s">
        <v>7</v>
      </c>
      <c r="BA7" s="152" t="s">
        <v>71</v>
      </c>
      <c r="BB7" s="152" t="s">
        <v>1</v>
      </c>
      <c r="BC7" s="152" t="s">
        <v>5</v>
      </c>
      <c r="BD7" s="152"/>
      <c r="BE7" s="152"/>
      <c r="BF7" s="152"/>
      <c r="BG7" s="152" t="s">
        <v>7</v>
      </c>
      <c r="BH7" s="152" t="s">
        <v>71</v>
      </c>
      <c r="BI7" s="152" t="s">
        <v>1</v>
      </c>
      <c r="BJ7" s="152" t="s">
        <v>73</v>
      </c>
      <c r="BK7" s="152"/>
      <c r="BL7" s="152"/>
      <c r="BM7" s="152" t="s">
        <v>7</v>
      </c>
      <c r="BN7" s="152" t="s">
        <v>71</v>
      </c>
      <c r="BO7" s="152" t="s">
        <v>1</v>
      </c>
      <c r="BP7" s="152" t="s">
        <v>2</v>
      </c>
      <c r="BQ7" s="152" t="s">
        <v>3</v>
      </c>
      <c r="BR7" s="150" t="s">
        <v>24</v>
      </c>
      <c r="BS7" s="150" t="s">
        <v>74</v>
      </c>
      <c r="BT7" s="150" t="s">
        <v>75</v>
      </c>
      <c r="BU7" s="150" t="s">
        <v>76</v>
      </c>
      <c r="BV7" s="150" t="s">
        <v>77</v>
      </c>
    </row>
    <row r="8" spans="1:74" ht="27.95" customHeight="1">
      <c r="A8" s="156"/>
      <c r="B8" s="157"/>
      <c r="C8" s="158"/>
      <c r="D8" s="155"/>
      <c r="E8" s="155"/>
      <c r="F8" s="155"/>
      <c r="G8" s="54" t="s">
        <v>12</v>
      </c>
      <c r="H8" s="55" t="s">
        <v>78</v>
      </c>
      <c r="I8" s="55" t="s">
        <v>79</v>
      </c>
      <c r="J8" s="55" t="s">
        <v>80</v>
      </c>
      <c r="K8" s="151"/>
      <c r="L8" s="54" t="s">
        <v>12</v>
      </c>
      <c r="M8" s="55" t="s">
        <v>78</v>
      </c>
      <c r="N8" s="55" t="s">
        <v>79</v>
      </c>
      <c r="O8" s="151"/>
      <c r="P8" s="152"/>
      <c r="Q8" s="152"/>
      <c r="R8" s="152"/>
      <c r="S8" s="54" t="s">
        <v>12</v>
      </c>
      <c r="T8" s="55" t="s">
        <v>81</v>
      </c>
      <c r="U8" s="55" t="s">
        <v>82</v>
      </c>
      <c r="V8" s="55" t="s">
        <v>12</v>
      </c>
      <c r="W8" s="55" t="s">
        <v>83</v>
      </c>
      <c r="X8" s="55" t="s">
        <v>82</v>
      </c>
      <c r="Y8" s="151"/>
      <c r="Z8" s="151"/>
      <c r="AA8" s="152"/>
      <c r="AB8" s="152"/>
      <c r="AC8" s="54" t="s">
        <v>12</v>
      </c>
      <c r="AD8" s="55" t="s">
        <v>78</v>
      </c>
      <c r="AE8" s="55" t="s">
        <v>79</v>
      </c>
      <c r="AF8" s="55" t="s">
        <v>80</v>
      </c>
      <c r="AG8" s="152"/>
      <c r="AH8" s="152"/>
      <c r="AI8" s="152"/>
      <c r="AJ8" s="54" t="s">
        <v>12</v>
      </c>
      <c r="AK8" s="55" t="s">
        <v>78</v>
      </c>
      <c r="AL8" s="55" t="s">
        <v>79</v>
      </c>
      <c r="AM8" s="55" t="s">
        <v>80</v>
      </c>
      <c r="AN8" s="152"/>
      <c r="AO8" s="152"/>
      <c r="AP8" s="152"/>
      <c r="AQ8" s="55" t="s">
        <v>80</v>
      </c>
      <c r="AR8" s="55" t="s">
        <v>84</v>
      </c>
      <c r="AS8" s="152"/>
      <c r="AT8" s="152"/>
      <c r="AU8" s="152"/>
      <c r="AV8" s="54" t="s">
        <v>12</v>
      </c>
      <c r="AW8" s="55" t="s">
        <v>78</v>
      </c>
      <c r="AX8" s="55" t="s">
        <v>79</v>
      </c>
      <c r="AY8" s="55" t="s">
        <v>80</v>
      </c>
      <c r="AZ8" s="152"/>
      <c r="BA8" s="152"/>
      <c r="BB8" s="152"/>
      <c r="BC8" s="54" t="s">
        <v>12</v>
      </c>
      <c r="BD8" s="55" t="s">
        <v>78</v>
      </c>
      <c r="BE8" s="55" t="s">
        <v>79</v>
      </c>
      <c r="BF8" s="55" t="s">
        <v>80</v>
      </c>
      <c r="BG8" s="152"/>
      <c r="BH8" s="152"/>
      <c r="BI8" s="152"/>
      <c r="BJ8" s="54" t="s">
        <v>12</v>
      </c>
      <c r="BK8" s="55" t="s">
        <v>78</v>
      </c>
      <c r="BL8" s="55" t="s">
        <v>79</v>
      </c>
      <c r="BM8" s="152"/>
      <c r="BN8" s="152"/>
      <c r="BO8" s="152"/>
      <c r="BP8" s="152"/>
      <c r="BQ8" s="152"/>
      <c r="BR8" s="151"/>
      <c r="BS8" s="151"/>
      <c r="BT8" s="151"/>
      <c r="BU8" s="151"/>
      <c r="BV8" s="151"/>
    </row>
    <row r="9" spans="1:74" ht="27.95" customHeight="1">
      <c r="A9" s="107">
        <v>1</v>
      </c>
      <c r="B9" s="116">
        <v>27</v>
      </c>
      <c r="C9" s="117" t="s">
        <v>101</v>
      </c>
      <c r="D9" s="63" t="s">
        <v>102</v>
      </c>
      <c r="E9" s="63" t="s">
        <v>103</v>
      </c>
      <c r="F9" s="64" t="s">
        <v>104</v>
      </c>
      <c r="G9" s="109">
        <v>17</v>
      </c>
      <c r="H9" s="110">
        <v>36</v>
      </c>
      <c r="I9" s="111">
        <f>G9+H9</f>
        <v>53</v>
      </c>
      <c r="J9" s="110">
        <v>28</v>
      </c>
      <c r="K9" s="111">
        <f>I9+J9</f>
        <v>81</v>
      </c>
      <c r="L9" s="112">
        <v>7</v>
      </c>
      <c r="M9" s="110">
        <v>37</v>
      </c>
      <c r="N9" s="111">
        <f>L9+M9</f>
        <v>44</v>
      </c>
      <c r="O9" s="111">
        <f>N9+M9</f>
        <v>81</v>
      </c>
      <c r="P9" s="111">
        <f t="shared" ref="P9:P22" si="0">K9+O9</f>
        <v>162</v>
      </c>
      <c r="Q9" s="159">
        <f>MAX(P9:P23)</f>
        <v>162</v>
      </c>
      <c r="R9" s="110">
        <f>IF(P9&lt;60,"F",IF(P9&lt;75,2,IF(P9&lt;90,3,IF(P9&lt;105,3.5,IF(P9&lt;120,4,5)))))</f>
        <v>5</v>
      </c>
      <c r="S9" s="112">
        <v>18</v>
      </c>
      <c r="T9" s="110">
        <v>50</v>
      </c>
      <c r="U9" s="111">
        <f>S9+T9</f>
        <v>68</v>
      </c>
      <c r="V9" s="112">
        <v>10</v>
      </c>
      <c r="W9" s="110">
        <v>33</v>
      </c>
      <c r="X9" s="111">
        <f>W9+V9</f>
        <v>43</v>
      </c>
      <c r="Y9" s="111">
        <f>U9+X9</f>
        <v>111</v>
      </c>
      <c r="Z9" s="111">
        <f t="shared" ref="Z9:Z23" si="1">Y9</f>
        <v>111</v>
      </c>
      <c r="AA9" s="159">
        <f>MAX(Z9:Z23)</f>
        <v>111</v>
      </c>
      <c r="AB9" s="110">
        <f>IF(Z9&lt;60,0,IF(Z9&lt;75,2,IF(Z9&lt;90,3,IF(Z9&lt;105,3.5,IF(Z9&lt;120,4,5)))))</f>
        <v>4</v>
      </c>
      <c r="AC9" s="112">
        <v>18</v>
      </c>
      <c r="AD9" s="110">
        <v>44</v>
      </c>
      <c r="AE9" s="111">
        <f>AD9+AC9</f>
        <v>62</v>
      </c>
      <c r="AF9" s="110">
        <v>22</v>
      </c>
      <c r="AG9" s="111">
        <f>AE9+AF9</f>
        <v>84</v>
      </c>
      <c r="AH9" s="159">
        <f>MAX(AG9:AG23)</f>
        <v>84</v>
      </c>
      <c r="AI9" s="110">
        <f>IF(AG9&lt;40,"F",IF(AG9&lt;50,2,IF(AG9&lt;60,3,IF(AG9&lt;70,3.5,IF(AG9&lt;80,4,5)))))</f>
        <v>5</v>
      </c>
      <c r="AJ9" s="112">
        <v>20</v>
      </c>
      <c r="AK9" s="110">
        <v>44</v>
      </c>
      <c r="AL9" s="111">
        <f>AK9+AJ9</f>
        <v>64</v>
      </c>
      <c r="AM9" s="110">
        <v>28</v>
      </c>
      <c r="AN9" s="111">
        <f>+AL9+AM9</f>
        <v>92</v>
      </c>
      <c r="AO9" s="159">
        <f>MAX(AN9:AN23)</f>
        <v>92</v>
      </c>
      <c r="AP9" s="110">
        <f>IF(AN9&lt;40,"F",IF(AN9&lt;50,2,IF(AN9&lt;60,3,IF(AN9&lt;70,3.5,IF(AN9&lt;80,4,5)))))</f>
        <v>5</v>
      </c>
      <c r="AQ9" s="110">
        <v>23</v>
      </c>
      <c r="AR9" s="110">
        <v>25</v>
      </c>
      <c r="AS9" s="110">
        <f>AQ9+AR9</f>
        <v>48</v>
      </c>
      <c r="AT9" s="162">
        <f>MAX(AS9:AS23)</f>
        <v>50</v>
      </c>
      <c r="AU9" s="110">
        <f>IF(AS9&lt;20,"F",IF(AS9&lt;25,2,IF(AS9&lt;30,3,IF(AS9&lt;35,3.5,IF(AS9&lt;40,4,5)))))</f>
        <v>5</v>
      </c>
      <c r="AV9" s="112">
        <v>20</v>
      </c>
      <c r="AW9" s="110">
        <v>46</v>
      </c>
      <c r="AX9" s="111">
        <f>AW9+AV9</f>
        <v>66</v>
      </c>
      <c r="AY9" s="110">
        <v>29</v>
      </c>
      <c r="AZ9" s="111">
        <f>AX9+AY9</f>
        <v>95</v>
      </c>
      <c r="BA9" s="159">
        <f>MAX(AZ9:AZ23)</f>
        <v>95</v>
      </c>
      <c r="BB9" s="110">
        <f>IF(AZ9&lt;40,"F",IF(AZ9&lt;50,2,IF(AZ9&lt;60,3,IF(AZ9&lt;70,3.5,IF(AZ9&lt;80,4,5)))))</f>
        <v>5</v>
      </c>
      <c r="BC9" s="112">
        <v>16</v>
      </c>
      <c r="BD9" s="110">
        <v>36</v>
      </c>
      <c r="BE9" s="111">
        <f>BD9+BC9</f>
        <v>52</v>
      </c>
      <c r="BF9" s="110">
        <v>24</v>
      </c>
      <c r="BG9" s="111">
        <f>BE9+BF9</f>
        <v>76</v>
      </c>
      <c r="BH9" s="159">
        <f>MAX(BG9:BG23)</f>
        <v>76</v>
      </c>
      <c r="BI9" s="110">
        <f>IF(BG9&lt;40,"F",IF(BG9&lt;50,2,IF(BG9&lt;60,3,IF(BG9&lt;70,3.5,IF(BG9&lt;80,4,5)))))</f>
        <v>4</v>
      </c>
      <c r="BJ9" s="112">
        <v>19</v>
      </c>
      <c r="BK9" s="110">
        <v>30</v>
      </c>
      <c r="BL9" s="111">
        <f>BK9+BJ9</f>
        <v>49</v>
      </c>
      <c r="BM9" s="111">
        <f>BL9</f>
        <v>49</v>
      </c>
      <c r="BN9" s="159">
        <f>MAX(BM9:BM23)</f>
        <v>50</v>
      </c>
      <c r="BO9" s="110">
        <f t="shared" ref="BO9:BO23" si="2">IF(BL9&lt;20,"F",IF(BM9&lt;20,"F",IF(BM9&lt;25,2,IF(BM9&lt;30,3,IF(BM9&lt;35,3.5,IF(BM9&lt;40,4,5))))))</f>
        <v>5</v>
      </c>
      <c r="BP9" s="110">
        <f>IF(R9="F","F",IF(AB9="F","F",IF(AI9="F","F",IF(AP9="F","F",IF(BB9="F","F",IF(BI9="F","F",IF(AU9="F","F",IF(BO9="F","F",SUM(R9,AB9,AI9,AP9,AU9,BB9,BO9,BI9)))))))))</f>
        <v>38</v>
      </c>
      <c r="BQ9" s="113">
        <f>IF(BP9="F","F",IF(BP9&gt;=45,5,IF(BP9&lt;45,BP9/8)))</f>
        <v>4.75</v>
      </c>
      <c r="BR9" s="114" t="str">
        <f>IF(BQ9="F","F",IF(BQ9&lt;2.5,"D",IF(BQ9&lt;3,"C",IF(BQ9&lt;3.5,"B",IF(BQ9&lt;4,"A-",IF(BQ9&lt;5,"A","A+"))))))</f>
        <v>A</v>
      </c>
      <c r="BS9" s="98" t="str">
        <f t="shared" ref="BS9:BS23" si="3">IF(BQ9="F","NEED TO PROGRESS",IF(BQ9&gt;=5,"BEST",IF(BQ9&gt;=4,"BETTER",IF(BQ9&gt;=2,"GOOD"))))</f>
        <v>BETTER</v>
      </c>
      <c r="BT9" s="58">
        <f>P9+Z9+AG9+AN9+AS9+AZ9+BG9+BM9</f>
        <v>717</v>
      </c>
      <c r="BU9" s="57"/>
      <c r="BV9" s="62"/>
    </row>
    <row r="10" spans="1:74" ht="27.95" customHeight="1">
      <c r="A10" s="107">
        <v>2</v>
      </c>
      <c r="B10" s="116">
        <v>28</v>
      </c>
      <c r="C10" s="117" t="s">
        <v>105</v>
      </c>
      <c r="D10" s="63" t="s">
        <v>106</v>
      </c>
      <c r="E10" s="63" t="s">
        <v>107</v>
      </c>
      <c r="F10" s="64">
        <v>1773297398</v>
      </c>
      <c r="G10" s="109">
        <v>17</v>
      </c>
      <c r="H10" s="110">
        <v>28</v>
      </c>
      <c r="I10" s="111">
        <f t="shared" ref="I10:I23" si="4">G10+H10</f>
        <v>45</v>
      </c>
      <c r="J10" s="110">
        <v>23</v>
      </c>
      <c r="K10" s="111">
        <f t="shared" ref="K10:K23" si="5">I10+J10</f>
        <v>68</v>
      </c>
      <c r="L10" s="112">
        <v>7</v>
      </c>
      <c r="M10" s="110">
        <v>36</v>
      </c>
      <c r="N10" s="111">
        <f t="shared" ref="N10:N22" si="6">L10+M10</f>
        <v>43</v>
      </c>
      <c r="O10" s="111">
        <f t="shared" ref="O10:O22" si="7">N10+M10</f>
        <v>79</v>
      </c>
      <c r="P10" s="111">
        <f t="shared" si="0"/>
        <v>147</v>
      </c>
      <c r="Q10" s="160"/>
      <c r="R10" s="110">
        <f t="shared" ref="R10:R23" si="8">IF(P10&lt;60,"F",IF(P10&lt;75,2,IF(P10&lt;90,3,IF(P10&lt;105,3.5,IF(P10&lt;120,4,5)))))</f>
        <v>5</v>
      </c>
      <c r="S10" s="112">
        <v>14</v>
      </c>
      <c r="T10" s="110">
        <v>29</v>
      </c>
      <c r="U10" s="111">
        <f t="shared" ref="U10:U23" si="9">S10+T10</f>
        <v>43</v>
      </c>
      <c r="V10" s="112">
        <v>9</v>
      </c>
      <c r="W10" s="110">
        <v>25</v>
      </c>
      <c r="X10" s="111">
        <f t="shared" ref="X10:X23" si="10">W10+V10</f>
        <v>34</v>
      </c>
      <c r="Y10" s="111">
        <f t="shared" ref="Y10:Y23" si="11">U10+X10</f>
        <v>77</v>
      </c>
      <c r="Z10" s="111">
        <f t="shared" si="1"/>
        <v>77</v>
      </c>
      <c r="AA10" s="160"/>
      <c r="AB10" s="110">
        <f t="shared" ref="AB10:AB23" si="12">IF(Z10&lt;60,0,IF(Z10&lt;75,2,IF(Z10&lt;90,3,IF(Z10&lt;105,3.5,IF(Z10&lt;120,4,5)))))</f>
        <v>3</v>
      </c>
      <c r="AC10" s="112">
        <v>19</v>
      </c>
      <c r="AD10" s="110">
        <v>33</v>
      </c>
      <c r="AE10" s="111">
        <f t="shared" ref="AE10:AE22" si="13">AD10+AC10</f>
        <v>52</v>
      </c>
      <c r="AF10" s="110">
        <v>23</v>
      </c>
      <c r="AG10" s="111">
        <f t="shared" ref="AG10:AG23" si="14">AE10+AF10</f>
        <v>75</v>
      </c>
      <c r="AH10" s="160"/>
      <c r="AI10" s="110">
        <f t="shared" ref="AI10:AI23" si="15">IF(AG10&lt;40,"F",IF(AG10&lt;50,2,IF(AG10&lt;60,3,IF(AG10&lt;70,3.5,IF(AG10&lt;80,4,5)))))</f>
        <v>4</v>
      </c>
      <c r="AJ10" s="112">
        <v>20</v>
      </c>
      <c r="AK10" s="110">
        <v>37</v>
      </c>
      <c r="AL10" s="111">
        <f t="shared" ref="AL10:AL22" si="16">AK10+AJ10</f>
        <v>57</v>
      </c>
      <c r="AM10" s="110">
        <v>27</v>
      </c>
      <c r="AN10" s="111">
        <f t="shared" ref="AN10:AN23" si="17">+AL10+AM10</f>
        <v>84</v>
      </c>
      <c r="AO10" s="160"/>
      <c r="AP10" s="110">
        <f t="shared" ref="AP10:AP23" si="18">IF(AN10&lt;40,"F",IF(AN10&lt;50,2,IF(AN10&lt;60,3,IF(AN10&lt;70,3.5,IF(AN10&lt;80,4,5)))))</f>
        <v>5</v>
      </c>
      <c r="AQ10" s="110">
        <v>25</v>
      </c>
      <c r="AR10" s="110">
        <v>25</v>
      </c>
      <c r="AS10" s="110">
        <f t="shared" ref="AS10:AS23" si="19">AQ10+AR10</f>
        <v>50</v>
      </c>
      <c r="AT10" s="163"/>
      <c r="AU10" s="110">
        <f t="shared" ref="AU10:AU23" si="20">IF(AS10&lt;20,"F",IF(AS10&lt;25,2,IF(AS10&lt;30,3,IF(AS10&lt;35,3.5,IF(AS10&lt;40,4,5)))))</f>
        <v>5</v>
      </c>
      <c r="AV10" s="112">
        <v>20</v>
      </c>
      <c r="AW10" s="110">
        <v>36</v>
      </c>
      <c r="AX10" s="111">
        <f t="shared" ref="AX10:AX22" si="21">AW10+AV10</f>
        <v>56</v>
      </c>
      <c r="AY10" s="110">
        <v>27</v>
      </c>
      <c r="AZ10" s="111">
        <f t="shared" ref="AZ10:AZ23" si="22">AX10+AY10</f>
        <v>83</v>
      </c>
      <c r="BA10" s="160"/>
      <c r="BB10" s="110">
        <f t="shared" ref="BB10:BB23" si="23">IF(AZ10&lt;40,"F",IF(AZ10&lt;50,2,IF(AZ10&lt;60,3,IF(AZ10&lt;70,3.5,IF(AZ10&lt;80,4,5)))))</f>
        <v>5</v>
      </c>
      <c r="BC10" s="112">
        <v>18</v>
      </c>
      <c r="BD10" s="110">
        <v>23</v>
      </c>
      <c r="BE10" s="111">
        <f t="shared" ref="BE10:BE22" si="24">BD10+BC10</f>
        <v>41</v>
      </c>
      <c r="BF10" s="110">
        <v>26</v>
      </c>
      <c r="BG10" s="111">
        <f t="shared" ref="BG10:BG23" si="25">BE10+BF10</f>
        <v>67</v>
      </c>
      <c r="BH10" s="160"/>
      <c r="BI10" s="110">
        <f t="shared" ref="BI10:BI23" si="26">IF(BG10&lt;40,"F",IF(BG10&lt;50,2,IF(BG10&lt;60,3,IF(BG10&lt;70,3.5,IF(BG10&lt;80,4,5)))))</f>
        <v>3.5</v>
      </c>
      <c r="BJ10" s="112">
        <v>19</v>
      </c>
      <c r="BK10" s="110">
        <v>30</v>
      </c>
      <c r="BL10" s="111">
        <f t="shared" ref="BL10:BL23" si="27">BK10+BJ10</f>
        <v>49</v>
      </c>
      <c r="BM10" s="111">
        <f t="shared" ref="BM10:BM23" si="28">BL10</f>
        <v>49</v>
      </c>
      <c r="BN10" s="160"/>
      <c r="BO10" s="110">
        <f t="shared" si="2"/>
        <v>5</v>
      </c>
      <c r="BP10" s="110">
        <f t="shared" ref="BP10:BP23" si="29">IF(R10="F","F",IF(AB10="F","F",IF(AI10="F","F",IF(AP10="F","F",IF(BB10="F","F",IF(BI10="F","F",IF(AU10="F","F",IF(BO10="F","F",SUM(R10,AB10,AI10,AP10,AU10,BB10,BO10,BI10)))))))))</f>
        <v>35.5</v>
      </c>
      <c r="BQ10" s="113">
        <f t="shared" ref="BQ10:BQ23" si="30">IF(BP10="F","F",IF(BP10&gt;=45,5,IF(BP10&lt;45,BP10/8)))</f>
        <v>4.4375</v>
      </c>
      <c r="BR10" s="114" t="str">
        <f t="shared" ref="BR10:BR23" si="31">IF(BQ10="F","F",IF(BQ10&lt;2.5,"D",IF(BQ10&lt;3,"C",IF(BQ10&lt;3.5,"B",IF(BQ10&lt;4,"A-",IF(BQ10&lt;5,"A","A+"))))))</f>
        <v>A</v>
      </c>
      <c r="BS10" s="98" t="str">
        <f t="shared" si="3"/>
        <v>BETTER</v>
      </c>
      <c r="BT10" s="58">
        <f t="shared" ref="BT10:BT23" si="32">P10+Z10+AG10+AN10+AS10+AZ10+BG10+BM10</f>
        <v>632</v>
      </c>
      <c r="BU10" s="57"/>
      <c r="BV10" s="62"/>
    </row>
    <row r="11" spans="1:74" ht="27.95" customHeight="1">
      <c r="A11" s="107">
        <v>3</v>
      </c>
      <c r="B11" s="116">
        <v>31</v>
      </c>
      <c r="C11" s="117" t="s">
        <v>108</v>
      </c>
      <c r="D11" s="63" t="s">
        <v>109</v>
      </c>
      <c r="E11" s="63" t="s">
        <v>110</v>
      </c>
      <c r="F11" s="64" t="s">
        <v>111</v>
      </c>
      <c r="G11" s="109">
        <v>14</v>
      </c>
      <c r="H11" s="110">
        <v>38</v>
      </c>
      <c r="I11" s="111">
        <f t="shared" si="4"/>
        <v>52</v>
      </c>
      <c r="J11" s="110">
        <v>18</v>
      </c>
      <c r="K11" s="111">
        <f t="shared" si="5"/>
        <v>70</v>
      </c>
      <c r="L11" s="112">
        <v>7</v>
      </c>
      <c r="M11" s="110">
        <v>32</v>
      </c>
      <c r="N11" s="111">
        <f t="shared" si="6"/>
        <v>39</v>
      </c>
      <c r="O11" s="111">
        <f t="shared" si="7"/>
        <v>71</v>
      </c>
      <c r="P11" s="111">
        <f t="shared" si="0"/>
        <v>141</v>
      </c>
      <c r="Q11" s="160"/>
      <c r="R11" s="110">
        <f t="shared" si="8"/>
        <v>5</v>
      </c>
      <c r="S11" s="112">
        <v>20</v>
      </c>
      <c r="T11" s="110">
        <v>15</v>
      </c>
      <c r="U11" s="111">
        <f t="shared" si="9"/>
        <v>35</v>
      </c>
      <c r="V11" s="112">
        <v>9</v>
      </c>
      <c r="W11" s="110">
        <v>32</v>
      </c>
      <c r="X11" s="111">
        <f t="shared" si="10"/>
        <v>41</v>
      </c>
      <c r="Y11" s="111">
        <f t="shared" si="11"/>
        <v>76</v>
      </c>
      <c r="Z11" s="111">
        <f t="shared" si="1"/>
        <v>76</v>
      </c>
      <c r="AA11" s="160"/>
      <c r="AB11" s="110">
        <f t="shared" si="12"/>
        <v>3</v>
      </c>
      <c r="AC11" s="112">
        <v>19</v>
      </c>
      <c r="AD11" s="110">
        <v>36</v>
      </c>
      <c r="AE11" s="111">
        <f t="shared" si="13"/>
        <v>55</v>
      </c>
      <c r="AF11" s="110">
        <v>16</v>
      </c>
      <c r="AG11" s="111">
        <f t="shared" si="14"/>
        <v>71</v>
      </c>
      <c r="AH11" s="160"/>
      <c r="AI11" s="110">
        <f t="shared" si="15"/>
        <v>4</v>
      </c>
      <c r="AJ11" s="112">
        <v>15</v>
      </c>
      <c r="AK11" s="110">
        <v>24</v>
      </c>
      <c r="AL11" s="111">
        <f t="shared" si="16"/>
        <v>39</v>
      </c>
      <c r="AM11" s="110">
        <v>25</v>
      </c>
      <c r="AN11" s="111">
        <f t="shared" si="17"/>
        <v>64</v>
      </c>
      <c r="AO11" s="160"/>
      <c r="AP11" s="110">
        <f t="shared" si="18"/>
        <v>3.5</v>
      </c>
      <c r="AQ11" s="110">
        <v>22</v>
      </c>
      <c r="AR11" s="110">
        <v>25</v>
      </c>
      <c r="AS11" s="110">
        <f t="shared" si="19"/>
        <v>47</v>
      </c>
      <c r="AT11" s="163"/>
      <c r="AU11" s="110">
        <f t="shared" si="20"/>
        <v>5</v>
      </c>
      <c r="AV11" s="112">
        <v>19</v>
      </c>
      <c r="AW11" s="110">
        <v>39</v>
      </c>
      <c r="AX11" s="111">
        <f t="shared" si="21"/>
        <v>58</v>
      </c>
      <c r="AY11" s="110">
        <v>29</v>
      </c>
      <c r="AZ11" s="111">
        <f t="shared" si="22"/>
        <v>87</v>
      </c>
      <c r="BA11" s="160"/>
      <c r="BB11" s="110">
        <f t="shared" si="23"/>
        <v>5</v>
      </c>
      <c r="BC11" s="112">
        <v>16</v>
      </c>
      <c r="BD11" s="110">
        <v>33</v>
      </c>
      <c r="BE11" s="111">
        <f t="shared" si="24"/>
        <v>49</v>
      </c>
      <c r="BF11" s="110">
        <v>21</v>
      </c>
      <c r="BG11" s="111">
        <f t="shared" si="25"/>
        <v>70</v>
      </c>
      <c r="BH11" s="160"/>
      <c r="BI11" s="110">
        <f t="shared" si="26"/>
        <v>4</v>
      </c>
      <c r="BJ11" s="112">
        <v>20</v>
      </c>
      <c r="BK11" s="110">
        <v>30</v>
      </c>
      <c r="BL11" s="111">
        <f t="shared" si="27"/>
        <v>50</v>
      </c>
      <c r="BM11" s="111">
        <f t="shared" si="28"/>
        <v>50</v>
      </c>
      <c r="BN11" s="160"/>
      <c r="BO11" s="110">
        <f t="shared" si="2"/>
        <v>5</v>
      </c>
      <c r="BP11" s="110">
        <f t="shared" si="29"/>
        <v>34.5</v>
      </c>
      <c r="BQ11" s="113">
        <f t="shared" si="30"/>
        <v>4.3125</v>
      </c>
      <c r="BR11" s="114" t="str">
        <f t="shared" si="31"/>
        <v>A</v>
      </c>
      <c r="BS11" s="98" t="str">
        <f t="shared" si="3"/>
        <v>BETTER</v>
      </c>
      <c r="BT11" s="58">
        <f t="shared" si="32"/>
        <v>606</v>
      </c>
      <c r="BU11" s="57"/>
      <c r="BV11" s="62"/>
    </row>
    <row r="12" spans="1:74" ht="27.95" customHeight="1">
      <c r="A12" s="107">
        <v>4</v>
      </c>
      <c r="B12" s="116">
        <v>33</v>
      </c>
      <c r="C12" s="118" t="s">
        <v>112</v>
      </c>
      <c r="D12" s="56" t="s">
        <v>113</v>
      </c>
      <c r="E12" s="56" t="s">
        <v>114</v>
      </c>
      <c r="F12" s="95" t="s">
        <v>115</v>
      </c>
      <c r="G12" s="109">
        <v>15</v>
      </c>
      <c r="H12" s="110">
        <v>36</v>
      </c>
      <c r="I12" s="111">
        <f t="shared" si="4"/>
        <v>51</v>
      </c>
      <c r="J12" s="110">
        <v>20</v>
      </c>
      <c r="K12" s="111">
        <f t="shared" si="5"/>
        <v>71</v>
      </c>
      <c r="L12" s="112">
        <v>7</v>
      </c>
      <c r="M12" s="110">
        <v>29</v>
      </c>
      <c r="N12" s="111">
        <f t="shared" si="6"/>
        <v>36</v>
      </c>
      <c r="O12" s="111">
        <f t="shared" si="7"/>
        <v>65</v>
      </c>
      <c r="P12" s="111">
        <f t="shared" si="0"/>
        <v>136</v>
      </c>
      <c r="Q12" s="160"/>
      <c r="R12" s="110">
        <f t="shared" si="8"/>
        <v>5</v>
      </c>
      <c r="S12" s="112">
        <v>14</v>
      </c>
      <c r="T12" s="110">
        <v>42</v>
      </c>
      <c r="U12" s="111">
        <f t="shared" si="9"/>
        <v>56</v>
      </c>
      <c r="V12" s="112">
        <v>9</v>
      </c>
      <c r="W12" s="110">
        <v>28</v>
      </c>
      <c r="X12" s="111">
        <f t="shared" si="10"/>
        <v>37</v>
      </c>
      <c r="Y12" s="111">
        <f t="shared" si="11"/>
        <v>93</v>
      </c>
      <c r="Z12" s="111">
        <f t="shared" si="1"/>
        <v>93</v>
      </c>
      <c r="AA12" s="160"/>
      <c r="AB12" s="110">
        <f t="shared" si="12"/>
        <v>3.5</v>
      </c>
      <c r="AC12" s="112">
        <v>19</v>
      </c>
      <c r="AD12" s="110">
        <v>25</v>
      </c>
      <c r="AE12" s="111">
        <f t="shared" si="13"/>
        <v>44</v>
      </c>
      <c r="AF12" s="110">
        <v>17</v>
      </c>
      <c r="AG12" s="111">
        <f t="shared" si="14"/>
        <v>61</v>
      </c>
      <c r="AH12" s="160"/>
      <c r="AI12" s="110">
        <f t="shared" si="15"/>
        <v>3.5</v>
      </c>
      <c r="AJ12" s="112">
        <v>16</v>
      </c>
      <c r="AK12" s="110">
        <v>24</v>
      </c>
      <c r="AL12" s="111">
        <f t="shared" si="16"/>
        <v>40</v>
      </c>
      <c r="AM12" s="110">
        <v>25</v>
      </c>
      <c r="AN12" s="111">
        <f t="shared" si="17"/>
        <v>65</v>
      </c>
      <c r="AO12" s="160"/>
      <c r="AP12" s="110">
        <f t="shared" si="18"/>
        <v>3.5</v>
      </c>
      <c r="AQ12" s="110">
        <v>21</v>
      </c>
      <c r="AR12" s="110">
        <v>25</v>
      </c>
      <c r="AS12" s="110">
        <f t="shared" si="19"/>
        <v>46</v>
      </c>
      <c r="AT12" s="163"/>
      <c r="AU12" s="110">
        <f t="shared" si="20"/>
        <v>5</v>
      </c>
      <c r="AV12" s="112">
        <v>20</v>
      </c>
      <c r="AW12" s="110">
        <v>37</v>
      </c>
      <c r="AX12" s="111">
        <f t="shared" si="21"/>
        <v>57</v>
      </c>
      <c r="AY12" s="110">
        <v>18</v>
      </c>
      <c r="AZ12" s="111">
        <f t="shared" si="22"/>
        <v>75</v>
      </c>
      <c r="BA12" s="160"/>
      <c r="BB12" s="110">
        <f t="shared" si="23"/>
        <v>4</v>
      </c>
      <c r="BC12" s="112">
        <v>15</v>
      </c>
      <c r="BD12" s="110">
        <v>31</v>
      </c>
      <c r="BE12" s="111">
        <f t="shared" si="24"/>
        <v>46</v>
      </c>
      <c r="BF12" s="110">
        <v>16</v>
      </c>
      <c r="BG12" s="111">
        <f t="shared" si="25"/>
        <v>62</v>
      </c>
      <c r="BH12" s="160"/>
      <c r="BI12" s="110">
        <f t="shared" si="26"/>
        <v>3.5</v>
      </c>
      <c r="BJ12" s="112">
        <v>18</v>
      </c>
      <c r="BK12" s="110">
        <v>28</v>
      </c>
      <c r="BL12" s="111">
        <f t="shared" si="27"/>
        <v>46</v>
      </c>
      <c r="BM12" s="111">
        <f t="shared" si="28"/>
        <v>46</v>
      </c>
      <c r="BN12" s="160"/>
      <c r="BO12" s="110">
        <f t="shared" si="2"/>
        <v>5</v>
      </c>
      <c r="BP12" s="110">
        <f t="shared" si="29"/>
        <v>33</v>
      </c>
      <c r="BQ12" s="113">
        <f t="shared" si="30"/>
        <v>4.125</v>
      </c>
      <c r="BR12" s="114" t="str">
        <f t="shared" si="31"/>
        <v>A</v>
      </c>
      <c r="BS12" s="98" t="str">
        <f t="shared" si="3"/>
        <v>BETTER</v>
      </c>
      <c r="BT12" s="58">
        <f t="shared" si="32"/>
        <v>584</v>
      </c>
      <c r="BU12" s="57"/>
      <c r="BV12" s="62"/>
    </row>
    <row r="13" spans="1:74" ht="27.95" customHeight="1">
      <c r="A13" s="107">
        <v>5</v>
      </c>
      <c r="B13" s="116">
        <v>49</v>
      </c>
      <c r="C13" s="118" t="s">
        <v>116</v>
      </c>
      <c r="D13" s="56" t="s">
        <v>85</v>
      </c>
      <c r="E13" s="56" t="s">
        <v>117</v>
      </c>
      <c r="F13" s="95" t="s">
        <v>118</v>
      </c>
      <c r="G13" s="109">
        <v>14</v>
      </c>
      <c r="H13" s="110">
        <v>28</v>
      </c>
      <c r="I13" s="111">
        <f t="shared" si="4"/>
        <v>42</v>
      </c>
      <c r="J13" s="110">
        <v>13</v>
      </c>
      <c r="K13" s="111">
        <f t="shared" si="5"/>
        <v>55</v>
      </c>
      <c r="L13" s="112">
        <v>6</v>
      </c>
      <c r="M13" s="110">
        <v>29</v>
      </c>
      <c r="N13" s="111">
        <f t="shared" si="6"/>
        <v>35</v>
      </c>
      <c r="O13" s="111">
        <f t="shared" si="7"/>
        <v>64</v>
      </c>
      <c r="P13" s="111">
        <f t="shared" si="0"/>
        <v>119</v>
      </c>
      <c r="Q13" s="160"/>
      <c r="R13" s="110">
        <f t="shared" si="8"/>
        <v>4</v>
      </c>
      <c r="S13" s="112">
        <v>17</v>
      </c>
      <c r="T13" s="110">
        <v>34</v>
      </c>
      <c r="U13" s="111">
        <f t="shared" si="9"/>
        <v>51</v>
      </c>
      <c r="V13" s="112">
        <v>9</v>
      </c>
      <c r="W13" s="110">
        <v>22</v>
      </c>
      <c r="X13" s="111">
        <f t="shared" si="10"/>
        <v>31</v>
      </c>
      <c r="Y13" s="111">
        <f t="shared" si="11"/>
        <v>82</v>
      </c>
      <c r="Z13" s="111">
        <f t="shared" si="1"/>
        <v>82</v>
      </c>
      <c r="AA13" s="160"/>
      <c r="AB13" s="110">
        <f t="shared" si="12"/>
        <v>3</v>
      </c>
      <c r="AC13" s="112">
        <v>11</v>
      </c>
      <c r="AD13" s="110">
        <v>33</v>
      </c>
      <c r="AE13" s="111">
        <f t="shared" si="13"/>
        <v>44</v>
      </c>
      <c r="AF13" s="110">
        <v>19</v>
      </c>
      <c r="AG13" s="111">
        <f t="shared" si="14"/>
        <v>63</v>
      </c>
      <c r="AH13" s="160"/>
      <c r="AI13" s="110">
        <f t="shared" si="15"/>
        <v>3.5</v>
      </c>
      <c r="AJ13" s="112">
        <v>13</v>
      </c>
      <c r="AK13" s="110">
        <v>14</v>
      </c>
      <c r="AL13" s="111">
        <f t="shared" si="16"/>
        <v>27</v>
      </c>
      <c r="AM13" s="110">
        <v>16</v>
      </c>
      <c r="AN13" s="111">
        <f t="shared" si="17"/>
        <v>43</v>
      </c>
      <c r="AO13" s="160"/>
      <c r="AP13" s="110">
        <f t="shared" si="18"/>
        <v>2</v>
      </c>
      <c r="AQ13" s="110">
        <v>23</v>
      </c>
      <c r="AR13" s="110">
        <v>25</v>
      </c>
      <c r="AS13" s="110">
        <f t="shared" si="19"/>
        <v>48</v>
      </c>
      <c r="AT13" s="163"/>
      <c r="AU13" s="110">
        <f t="shared" si="20"/>
        <v>5</v>
      </c>
      <c r="AV13" s="112">
        <v>19</v>
      </c>
      <c r="AW13" s="110">
        <v>24</v>
      </c>
      <c r="AX13" s="111">
        <f t="shared" si="21"/>
        <v>43</v>
      </c>
      <c r="AY13" s="110">
        <v>14</v>
      </c>
      <c r="AZ13" s="111">
        <f t="shared" si="22"/>
        <v>57</v>
      </c>
      <c r="BA13" s="160"/>
      <c r="BB13" s="110">
        <f t="shared" si="23"/>
        <v>3</v>
      </c>
      <c r="BC13" s="112">
        <v>14</v>
      </c>
      <c r="BD13" s="110">
        <v>21</v>
      </c>
      <c r="BE13" s="111">
        <f t="shared" si="24"/>
        <v>35</v>
      </c>
      <c r="BF13" s="110">
        <v>17</v>
      </c>
      <c r="BG13" s="111">
        <f t="shared" si="25"/>
        <v>52</v>
      </c>
      <c r="BH13" s="160"/>
      <c r="BI13" s="110">
        <f t="shared" si="26"/>
        <v>3</v>
      </c>
      <c r="BJ13" s="112">
        <v>13</v>
      </c>
      <c r="BK13" s="110">
        <v>29</v>
      </c>
      <c r="BL13" s="111">
        <f t="shared" si="27"/>
        <v>42</v>
      </c>
      <c r="BM13" s="111">
        <f t="shared" si="28"/>
        <v>42</v>
      </c>
      <c r="BN13" s="160"/>
      <c r="BO13" s="110">
        <f t="shared" si="2"/>
        <v>5</v>
      </c>
      <c r="BP13" s="110">
        <f t="shared" si="29"/>
        <v>28.5</v>
      </c>
      <c r="BQ13" s="113">
        <f t="shared" si="30"/>
        <v>3.5625</v>
      </c>
      <c r="BR13" s="114" t="str">
        <f t="shared" si="31"/>
        <v>A-</v>
      </c>
      <c r="BS13" s="98" t="str">
        <f t="shared" si="3"/>
        <v>GOOD</v>
      </c>
      <c r="BT13" s="58">
        <f t="shared" si="32"/>
        <v>506</v>
      </c>
      <c r="BU13" s="57"/>
      <c r="BV13" s="62"/>
    </row>
    <row r="14" spans="1:74" ht="27.95" customHeight="1">
      <c r="A14" s="107">
        <v>6</v>
      </c>
      <c r="B14" s="119">
        <v>60</v>
      </c>
      <c r="C14" s="117" t="s">
        <v>119</v>
      </c>
      <c r="D14" s="63" t="s">
        <v>120</v>
      </c>
      <c r="E14" s="63" t="s">
        <v>121</v>
      </c>
      <c r="F14" s="64" t="s">
        <v>122</v>
      </c>
      <c r="G14" s="109">
        <v>17</v>
      </c>
      <c r="H14" s="110">
        <v>41</v>
      </c>
      <c r="I14" s="111">
        <f t="shared" si="4"/>
        <v>58</v>
      </c>
      <c r="J14" s="110">
        <v>18</v>
      </c>
      <c r="K14" s="111">
        <f t="shared" si="5"/>
        <v>76</v>
      </c>
      <c r="L14" s="112">
        <v>7</v>
      </c>
      <c r="M14" s="110">
        <v>28</v>
      </c>
      <c r="N14" s="111">
        <f t="shared" si="6"/>
        <v>35</v>
      </c>
      <c r="O14" s="111">
        <f t="shared" si="7"/>
        <v>63</v>
      </c>
      <c r="P14" s="111">
        <f t="shared" si="0"/>
        <v>139</v>
      </c>
      <c r="Q14" s="160"/>
      <c r="R14" s="110">
        <f t="shared" si="8"/>
        <v>5</v>
      </c>
      <c r="S14" s="112">
        <v>14</v>
      </c>
      <c r="T14" s="110">
        <v>43</v>
      </c>
      <c r="U14" s="111">
        <f t="shared" si="9"/>
        <v>57</v>
      </c>
      <c r="V14" s="112">
        <v>8</v>
      </c>
      <c r="W14" s="110">
        <v>18</v>
      </c>
      <c r="X14" s="111">
        <f t="shared" si="10"/>
        <v>26</v>
      </c>
      <c r="Y14" s="111">
        <f t="shared" si="11"/>
        <v>83</v>
      </c>
      <c r="Z14" s="111">
        <f t="shared" si="1"/>
        <v>83</v>
      </c>
      <c r="AA14" s="160"/>
      <c r="AB14" s="110">
        <f t="shared" si="12"/>
        <v>3</v>
      </c>
      <c r="AC14" s="112">
        <v>18</v>
      </c>
      <c r="AD14" s="110">
        <v>34</v>
      </c>
      <c r="AE14" s="111">
        <f t="shared" si="13"/>
        <v>52</v>
      </c>
      <c r="AF14" s="110">
        <v>21</v>
      </c>
      <c r="AG14" s="111">
        <f t="shared" si="14"/>
        <v>73</v>
      </c>
      <c r="AH14" s="160"/>
      <c r="AI14" s="110">
        <f t="shared" si="15"/>
        <v>4</v>
      </c>
      <c r="AJ14" s="112">
        <v>15</v>
      </c>
      <c r="AK14" s="110">
        <v>23</v>
      </c>
      <c r="AL14" s="111">
        <f t="shared" si="16"/>
        <v>38</v>
      </c>
      <c r="AM14" s="110">
        <v>26</v>
      </c>
      <c r="AN14" s="111">
        <f t="shared" si="17"/>
        <v>64</v>
      </c>
      <c r="AO14" s="160"/>
      <c r="AP14" s="110">
        <f t="shared" si="18"/>
        <v>3.5</v>
      </c>
      <c r="AQ14" s="110">
        <v>23</v>
      </c>
      <c r="AR14" s="110">
        <v>25</v>
      </c>
      <c r="AS14" s="110">
        <f t="shared" si="19"/>
        <v>48</v>
      </c>
      <c r="AT14" s="163"/>
      <c r="AU14" s="110">
        <f t="shared" si="20"/>
        <v>5</v>
      </c>
      <c r="AV14" s="112">
        <v>19</v>
      </c>
      <c r="AW14" s="110">
        <v>41</v>
      </c>
      <c r="AX14" s="111">
        <f t="shared" si="21"/>
        <v>60</v>
      </c>
      <c r="AY14" s="110">
        <v>27</v>
      </c>
      <c r="AZ14" s="111">
        <f t="shared" si="22"/>
        <v>87</v>
      </c>
      <c r="BA14" s="160"/>
      <c r="BB14" s="110">
        <f t="shared" si="23"/>
        <v>5</v>
      </c>
      <c r="BC14" s="112">
        <v>15</v>
      </c>
      <c r="BD14" s="110">
        <v>26</v>
      </c>
      <c r="BE14" s="111">
        <f t="shared" si="24"/>
        <v>41</v>
      </c>
      <c r="BF14" s="110">
        <v>20</v>
      </c>
      <c r="BG14" s="111">
        <f t="shared" si="25"/>
        <v>61</v>
      </c>
      <c r="BH14" s="160"/>
      <c r="BI14" s="110">
        <f t="shared" si="26"/>
        <v>3.5</v>
      </c>
      <c r="BJ14" s="112">
        <v>18</v>
      </c>
      <c r="BK14" s="110">
        <v>28</v>
      </c>
      <c r="BL14" s="111">
        <f t="shared" si="27"/>
        <v>46</v>
      </c>
      <c r="BM14" s="111">
        <f t="shared" si="28"/>
        <v>46</v>
      </c>
      <c r="BN14" s="160"/>
      <c r="BO14" s="110">
        <f t="shared" si="2"/>
        <v>5</v>
      </c>
      <c r="BP14" s="110">
        <f t="shared" si="29"/>
        <v>34</v>
      </c>
      <c r="BQ14" s="113">
        <f t="shared" si="30"/>
        <v>4.25</v>
      </c>
      <c r="BR14" s="114" t="str">
        <f t="shared" si="31"/>
        <v>A</v>
      </c>
      <c r="BS14" s="98" t="str">
        <f t="shared" si="3"/>
        <v>BETTER</v>
      </c>
      <c r="BT14" s="58">
        <f t="shared" si="32"/>
        <v>601</v>
      </c>
      <c r="BU14" s="57"/>
      <c r="BV14" s="62"/>
    </row>
    <row r="15" spans="1:74" ht="27.95" customHeight="1">
      <c r="A15" s="107">
        <v>7</v>
      </c>
      <c r="B15" s="119">
        <v>68</v>
      </c>
      <c r="C15" s="117" t="s">
        <v>123</v>
      </c>
      <c r="D15" s="63" t="s">
        <v>124</v>
      </c>
      <c r="E15" s="63" t="s">
        <v>125</v>
      </c>
      <c r="F15" s="64" t="s">
        <v>126</v>
      </c>
      <c r="G15" s="109">
        <v>10</v>
      </c>
      <c r="H15" s="110">
        <v>23</v>
      </c>
      <c r="I15" s="111">
        <f t="shared" si="4"/>
        <v>33</v>
      </c>
      <c r="J15" s="110">
        <v>11</v>
      </c>
      <c r="K15" s="111">
        <f t="shared" si="5"/>
        <v>44</v>
      </c>
      <c r="L15" s="112">
        <v>5</v>
      </c>
      <c r="M15" s="110">
        <v>16</v>
      </c>
      <c r="N15" s="111">
        <f t="shared" si="6"/>
        <v>21</v>
      </c>
      <c r="O15" s="111">
        <f t="shared" si="7"/>
        <v>37</v>
      </c>
      <c r="P15" s="111">
        <f t="shared" si="0"/>
        <v>81</v>
      </c>
      <c r="Q15" s="160"/>
      <c r="R15" s="110">
        <f t="shared" si="8"/>
        <v>3</v>
      </c>
      <c r="S15" s="112">
        <v>12</v>
      </c>
      <c r="T15" s="110">
        <v>8</v>
      </c>
      <c r="U15" s="111">
        <f t="shared" si="9"/>
        <v>20</v>
      </c>
      <c r="V15" s="112">
        <v>7</v>
      </c>
      <c r="W15" s="110">
        <v>6</v>
      </c>
      <c r="X15" s="111">
        <f t="shared" si="10"/>
        <v>13</v>
      </c>
      <c r="Y15" s="111">
        <f t="shared" si="11"/>
        <v>33</v>
      </c>
      <c r="Z15" s="111">
        <f t="shared" si="1"/>
        <v>33</v>
      </c>
      <c r="AA15" s="160"/>
      <c r="AB15" s="110">
        <f t="shared" si="12"/>
        <v>0</v>
      </c>
      <c r="AC15" s="112">
        <v>11</v>
      </c>
      <c r="AD15" s="110">
        <v>6</v>
      </c>
      <c r="AE15" s="111">
        <f t="shared" si="13"/>
        <v>17</v>
      </c>
      <c r="AF15" s="110">
        <v>20</v>
      </c>
      <c r="AG15" s="111">
        <f t="shared" si="14"/>
        <v>37</v>
      </c>
      <c r="AH15" s="160"/>
      <c r="AI15" s="110" t="str">
        <f t="shared" si="15"/>
        <v>F</v>
      </c>
      <c r="AJ15" s="112">
        <v>9</v>
      </c>
      <c r="AK15" s="110">
        <v>8</v>
      </c>
      <c r="AL15" s="111">
        <f t="shared" si="16"/>
        <v>17</v>
      </c>
      <c r="AM15" s="110">
        <v>18</v>
      </c>
      <c r="AN15" s="111">
        <f t="shared" si="17"/>
        <v>35</v>
      </c>
      <c r="AO15" s="160"/>
      <c r="AP15" s="110" t="str">
        <f t="shared" si="18"/>
        <v>F</v>
      </c>
      <c r="AQ15" s="110">
        <v>20</v>
      </c>
      <c r="AR15" s="110">
        <v>25</v>
      </c>
      <c r="AS15" s="110">
        <f t="shared" si="19"/>
        <v>45</v>
      </c>
      <c r="AT15" s="163"/>
      <c r="AU15" s="110">
        <f t="shared" si="20"/>
        <v>5</v>
      </c>
      <c r="AV15" s="112">
        <v>19</v>
      </c>
      <c r="AW15" s="110">
        <v>0</v>
      </c>
      <c r="AX15" s="111">
        <f t="shared" si="21"/>
        <v>19</v>
      </c>
      <c r="AY15" s="110">
        <v>0</v>
      </c>
      <c r="AZ15" s="111">
        <f t="shared" si="22"/>
        <v>19</v>
      </c>
      <c r="BA15" s="160"/>
      <c r="BB15" s="110" t="str">
        <f t="shared" si="23"/>
        <v>F</v>
      </c>
      <c r="BC15" s="112">
        <v>14</v>
      </c>
      <c r="BD15" s="110">
        <v>5</v>
      </c>
      <c r="BE15" s="111">
        <f t="shared" si="24"/>
        <v>19</v>
      </c>
      <c r="BF15" s="110">
        <v>12</v>
      </c>
      <c r="BG15" s="111">
        <f t="shared" si="25"/>
        <v>31</v>
      </c>
      <c r="BH15" s="160"/>
      <c r="BI15" s="110" t="str">
        <f t="shared" si="26"/>
        <v>F</v>
      </c>
      <c r="BJ15" s="112">
        <v>13</v>
      </c>
      <c r="BK15" s="110">
        <v>28</v>
      </c>
      <c r="BL15" s="111">
        <f t="shared" si="27"/>
        <v>41</v>
      </c>
      <c r="BM15" s="111">
        <f t="shared" si="28"/>
        <v>41</v>
      </c>
      <c r="BN15" s="160"/>
      <c r="BO15" s="110">
        <f t="shared" si="2"/>
        <v>5</v>
      </c>
      <c r="BP15" s="110" t="str">
        <f t="shared" ref="BP15:BP16" si="33">IF(R15="F","F",IF(AB15="F","F",IF(AI15="F","F",IF(AP15="F","F",IF(BB15="F","F",IF(BI15="F","F",IF(AU15="F","F",IF(BO15="F","F",SUM(R15,AB15,AI15,AP15,AU15,BB15,BO15,BI15)))))))))</f>
        <v>F</v>
      </c>
      <c r="BQ15" s="113" t="str">
        <f t="shared" si="30"/>
        <v>F</v>
      </c>
      <c r="BR15" s="114" t="str">
        <f t="shared" si="31"/>
        <v>F</v>
      </c>
      <c r="BS15" s="98" t="str">
        <f t="shared" si="3"/>
        <v>NEED TO PROGRESS</v>
      </c>
      <c r="BT15" s="58">
        <f t="shared" si="32"/>
        <v>322</v>
      </c>
      <c r="BU15" s="57"/>
      <c r="BV15" s="62"/>
    </row>
    <row r="16" spans="1:74" ht="27.95" customHeight="1">
      <c r="A16" s="107">
        <v>8</v>
      </c>
      <c r="B16" s="119">
        <v>78</v>
      </c>
      <c r="C16" s="117" t="s">
        <v>127</v>
      </c>
      <c r="D16" s="63" t="s">
        <v>128</v>
      </c>
      <c r="E16" s="63" t="s">
        <v>129</v>
      </c>
      <c r="F16" s="64" t="s">
        <v>130</v>
      </c>
      <c r="G16" s="109">
        <v>9</v>
      </c>
      <c r="H16" s="110">
        <v>23</v>
      </c>
      <c r="I16" s="111">
        <f t="shared" si="4"/>
        <v>32</v>
      </c>
      <c r="J16" s="110">
        <v>19</v>
      </c>
      <c r="K16" s="111">
        <f t="shared" si="5"/>
        <v>51</v>
      </c>
      <c r="L16" s="112">
        <v>5</v>
      </c>
      <c r="M16" s="110">
        <v>30</v>
      </c>
      <c r="N16" s="111">
        <f t="shared" si="6"/>
        <v>35</v>
      </c>
      <c r="O16" s="111">
        <f t="shared" si="7"/>
        <v>65</v>
      </c>
      <c r="P16" s="111">
        <f t="shared" si="0"/>
        <v>116</v>
      </c>
      <c r="Q16" s="160"/>
      <c r="R16" s="110">
        <f t="shared" si="8"/>
        <v>4</v>
      </c>
      <c r="S16" s="112">
        <v>20</v>
      </c>
      <c r="T16" s="110">
        <v>24</v>
      </c>
      <c r="U16" s="111">
        <f t="shared" si="9"/>
        <v>44</v>
      </c>
      <c r="V16" s="112">
        <v>6</v>
      </c>
      <c r="W16" s="110">
        <v>18</v>
      </c>
      <c r="X16" s="111">
        <f t="shared" si="10"/>
        <v>24</v>
      </c>
      <c r="Y16" s="111">
        <f t="shared" si="11"/>
        <v>68</v>
      </c>
      <c r="Z16" s="111">
        <f t="shared" si="1"/>
        <v>68</v>
      </c>
      <c r="AA16" s="160"/>
      <c r="AB16" s="110">
        <f t="shared" si="12"/>
        <v>2</v>
      </c>
      <c r="AC16" s="112">
        <v>16</v>
      </c>
      <c r="AD16" s="110">
        <v>31</v>
      </c>
      <c r="AE16" s="111">
        <f t="shared" si="13"/>
        <v>47</v>
      </c>
      <c r="AF16" s="110">
        <v>23</v>
      </c>
      <c r="AG16" s="111">
        <f t="shared" si="14"/>
        <v>70</v>
      </c>
      <c r="AH16" s="160"/>
      <c r="AI16" s="110">
        <f t="shared" si="15"/>
        <v>4</v>
      </c>
      <c r="AJ16" s="112">
        <v>15</v>
      </c>
      <c r="AK16" s="110">
        <v>16</v>
      </c>
      <c r="AL16" s="111">
        <f t="shared" si="16"/>
        <v>31</v>
      </c>
      <c r="AM16" s="110">
        <v>20</v>
      </c>
      <c r="AN16" s="111">
        <f t="shared" si="17"/>
        <v>51</v>
      </c>
      <c r="AO16" s="160"/>
      <c r="AP16" s="110">
        <f t="shared" si="18"/>
        <v>3</v>
      </c>
      <c r="AQ16" s="110">
        <v>22</v>
      </c>
      <c r="AR16" s="110">
        <v>25</v>
      </c>
      <c r="AS16" s="110">
        <f t="shared" si="19"/>
        <v>47</v>
      </c>
      <c r="AT16" s="163"/>
      <c r="AU16" s="110">
        <f t="shared" si="20"/>
        <v>5</v>
      </c>
      <c r="AV16" s="112">
        <v>19</v>
      </c>
      <c r="AW16" s="110">
        <v>33</v>
      </c>
      <c r="AX16" s="111">
        <f t="shared" si="21"/>
        <v>52</v>
      </c>
      <c r="AY16" s="110">
        <v>28</v>
      </c>
      <c r="AZ16" s="111">
        <f t="shared" si="22"/>
        <v>80</v>
      </c>
      <c r="BA16" s="160"/>
      <c r="BB16" s="110">
        <f t="shared" si="23"/>
        <v>5</v>
      </c>
      <c r="BC16" s="112">
        <v>10</v>
      </c>
      <c r="BD16" s="110">
        <v>20</v>
      </c>
      <c r="BE16" s="111">
        <f t="shared" si="24"/>
        <v>30</v>
      </c>
      <c r="BF16" s="110">
        <v>12</v>
      </c>
      <c r="BG16" s="111">
        <f t="shared" si="25"/>
        <v>42</v>
      </c>
      <c r="BH16" s="160"/>
      <c r="BI16" s="110">
        <f t="shared" si="26"/>
        <v>2</v>
      </c>
      <c r="BJ16" s="112">
        <v>14</v>
      </c>
      <c r="BK16" s="110">
        <v>27</v>
      </c>
      <c r="BL16" s="111">
        <f t="shared" si="27"/>
        <v>41</v>
      </c>
      <c r="BM16" s="111">
        <f t="shared" si="28"/>
        <v>41</v>
      </c>
      <c r="BN16" s="160"/>
      <c r="BO16" s="110">
        <f t="shared" si="2"/>
        <v>5</v>
      </c>
      <c r="BP16" s="110">
        <f t="shared" si="33"/>
        <v>30</v>
      </c>
      <c r="BQ16" s="113">
        <f t="shared" si="30"/>
        <v>3.75</v>
      </c>
      <c r="BR16" s="114" t="str">
        <f t="shared" si="31"/>
        <v>A-</v>
      </c>
      <c r="BS16" s="98" t="str">
        <f t="shared" si="3"/>
        <v>GOOD</v>
      </c>
      <c r="BT16" s="58">
        <f t="shared" si="32"/>
        <v>515</v>
      </c>
      <c r="BU16" s="57"/>
      <c r="BV16" s="62"/>
    </row>
    <row r="17" spans="1:74" ht="27.95" customHeight="1">
      <c r="A17" s="107">
        <v>9</v>
      </c>
      <c r="B17" s="119">
        <v>80</v>
      </c>
      <c r="C17" s="117" t="s">
        <v>131</v>
      </c>
      <c r="D17" s="63" t="s">
        <v>132</v>
      </c>
      <c r="E17" s="63" t="s">
        <v>133</v>
      </c>
      <c r="F17" s="64" t="s">
        <v>134</v>
      </c>
      <c r="G17" s="109">
        <v>18</v>
      </c>
      <c r="H17" s="110">
        <v>37</v>
      </c>
      <c r="I17" s="111">
        <f t="shared" si="4"/>
        <v>55</v>
      </c>
      <c r="J17" s="110">
        <v>21</v>
      </c>
      <c r="K17" s="111">
        <f t="shared" si="5"/>
        <v>76</v>
      </c>
      <c r="L17" s="112">
        <v>6</v>
      </c>
      <c r="M17" s="110">
        <v>28</v>
      </c>
      <c r="N17" s="111">
        <f t="shared" si="6"/>
        <v>34</v>
      </c>
      <c r="O17" s="111">
        <f t="shared" si="7"/>
        <v>62</v>
      </c>
      <c r="P17" s="111">
        <f t="shared" si="0"/>
        <v>138</v>
      </c>
      <c r="Q17" s="160"/>
      <c r="R17" s="110">
        <f t="shared" si="8"/>
        <v>5</v>
      </c>
      <c r="S17" s="112">
        <v>15</v>
      </c>
      <c r="T17" s="110">
        <v>35</v>
      </c>
      <c r="U17" s="111">
        <f t="shared" si="9"/>
        <v>50</v>
      </c>
      <c r="V17" s="112">
        <v>9</v>
      </c>
      <c r="W17" s="110">
        <v>18</v>
      </c>
      <c r="X17" s="111">
        <f t="shared" si="10"/>
        <v>27</v>
      </c>
      <c r="Y17" s="111">
        <f t="shared" si="11"/>
        <v>77</v>
      </c>
      <c r="Z17" s="111">
        <f t="shared" si="1"/>
        <v>77</v>
      </c>
      <c r="AA17" s="160"/>
      <c r="AB17" s="110">
        <f t="shared" si="12"/>
        <v>3</v>
      </c>
      <c r="AC17" s="112">
        <v>19</v>
      </c>
      <c r="AD17" s="110">
        <v>35</v>
      </c>
      <c r="AE17" s="111">
        <f t="shared" si="13"/>
        <v>54</v>
      </c>
      <c r="AF17" s="110">
        <v>22</v>
      </c>
      <c r="AG17" s="111">
        <f t="shared" si="14"/>
        <v>76</v>
      </c>
      <c r="AH17" s="160"/>
      <c r="AI17" s="110">
        <f t="shared" si="15"/>
        <v>4</v>
      </c>
      <c r="AJ17" s="112">
        <v>15</v>
      </c>
      <c r="AK17" s="110">
        <v>36</v>
      </c>
      <c r="AL17" s="111">
        <f t="shared" si="16"/>
        <v>51</v>
      </c>
      <c r="AM17" s="110">
        <v>28</v>
      </c>
      <c r="AN17" s="111">
        <f t="shared" si="17"/>
        <v>79</v>
      </c>
      <c r="AO17" s="160"/>
      <c r="AP17" s="110">
        <f t="shared" si="18"/>
        <v>4</v>
      </c>
      <c r="AQ17" s="110">
        <v>23</v>
      </c>
      <c r="AR17" s="110">
        <v>25</v>
      </c>
      <c r="AS17" s="110">
        <f t="shared" si="19"/>
        <v>48</v>
      </c>
      <c r="AT17" s="163"/>
      <c r="AU17" s="110">
        <f t="shared" si="20"/>
        <v>5</v>
      </c>
      <c r="AV17" s="112">
        <v>19</v>
      </c>
      <c r="AW17" s="110">
        <v>36</v>
      </c>
      <c r="AX17" s="111">
        <f t="shared" si="21"/>
        <v>55</v>
      </c>
      <c r="AY17" s="110">
        <v>25</v>
      </c>
      <c r="AZ17" s="111">
        <f t="shared" si="22"/>
        <v>80</v>
      </c>
      <c r="BA17" s="160"/>
      <c r="BB17" s="110">
        <f t="shared" si="23"/>
        <v>5</v>
      </c>
      <c r="BC17" s="112">
        <v>17</v>
      </c>
      <c r="BD17" s="110">
        <v>31</v>
      </c>
      <c r="BE17" s="111">
        <f t="shared" si="24"/>
        <v>48</v>
      </c>
      <c r="BF17" s="110">
        <v>21</v>
      </c>
      <c r="BG17" s="111">
        <f t="shared" si="25"/>
        <v>69</v>
      </c>
      <c r="BH17" s="160"/>
      <c r="BI17" s="110">
        <f t="shared" si="26"/>
        <v>3.5</v>
      </c>
      <c r="BJ17" s="112">
        <v>16</v>
      </c>
      <c r="BK17" s="110">
        <v>30</v>
      </c>
      <c r="BL17" s="111">
        <f t="shared" si="27"/>
        <v>46</v>
      </c>
      <c r="BM17" s="111">
        <f t="shared" si="28"/>
        <v>46</v>
      </c>
      <c r="BN17" s="160"/>
      <c r="BO17" s="110">
        <f t="shared" si="2"/>
        <v>5</v>
      </c>
      <c r="BP17" s="110">
        <f t="shared" si="29"/>
        <v>34.5</v>
      </c>
      <c r="BQ17" s="113">
        <f t="shared" si="30"/>
        <v>4.3125</v>
      </c>
      <c r="BR17" s="114" t="str">
        <f t="shared" si="31"/>
        <v>A</v>
      </c>
      <c r="BS17" s="98" t="str">
        <f t="shared" si="3"/>
        <v>BETTER</v>
      </c>
      <c r="BT17" s="58">
        <f t="shared" si="32"/>
        <v>613</v>
      </c>
      <c r="BU17" s="57"/>
      <c r="BV17" s="62"/>
    </row>
    <row r="18" spans="1:74" ht="27.95" customHeight="1">
      <c r="A18" s="107">
        <v>10</v>
      </c>
      <c r="B18" s="119">
        <v>81</v>
      </c>
      <c r="C18" s="117" t="s">
        <v>135</v>
      </c>
      <c r="D18" s="63" t="s">
        <v>136</v>
      </c>
      <c r="E18" s="63" t="s">
        <v>137</v>
      </c>
      <c r="F18" s="64" t="s">
        <v>138</v>
      </c>
      <c r="G18" s="109">
        <v>15</v>
      </c>
      <c r="H18" s="110">
        <v>26</v>
      </c>
      <c r="I18" s="111">
        <f t="shared" si="4"/>
        <v>41</v>
      </c>
      <c r="J18" s="110">
        <v>16</v>
      </c>
      <c r="K18" s="111">
        <f t="shared" si="5"/>
        <v>57</v>
      </c>
      <c r="L18" s="112">
        <v>6</v>
      </c>
      <c r="M18" s="110">
        <v>25</v>
      </c>
      <c r="N18" s="111">
        <f t="shared" si="6"/>
        <v>31</v>
      </c>
      <c r="O18" s="111">
        <f t="shared" si="7"/>
        <v>56</v>
      </c>
      <c r="P18" s="111">
        <f t="shared" si="0"/>
        <v>113</v>
      </c>
      <c r="Q18" s="160"/>
      <c r="R18" s="110">
        <f t="shared" si="8"/>
        <v>4</v>
      </c>
      <c r="S18" s="112">
        <v>14</v>
      </c>
      <c r="T18" s="110">
        <v>28</v>
      </c>
      <c r="U18" s="111">
        <f t="shared" si="9"/>
        <v>42</v>
      </c>
      <c r="V18" s="112">
        <v>8</v>
      </c>
      <c r="W18" s="110">
        <v>23</v>
      </c>
      <c r="X18" s="111">
        <f t="shared" si="10"/>
        <v>31</v>
      </c>
      <c r="Y18" s="111">
        <f t="shared" si="11"/>
        <v>73</v>
      </c>
      <c r="Z18" s="111">
        <f t="shared" si="1"/>
        <v>73</v>
      </c>
      <c r="AA18" s="160"/>
      <c r="AB18" s="110">
        <f t="shared" si="12"/>
        <v>2</v>
      </c>
      <c r="AC18" s="112">
        <v>20</v>
      </c>
      <c r="AD18" s="110">
        <v>33</v>
      </c>
      <c r="AE18" s="111">
        <f t="shared" si="13"/>
        <v>53</v>
      </c>
      <c r="AF18" s="110">
        <v>18</v>
      </c>
      <c r="AG18" s="111">
        <f t="shared" si="14"/>
        <v>71</v>
      </c>
      <c r="AH18" s="160"/>
      <c r="AI18" s="110">
        <f t="shared" si="15"/>
        <v>4</v>
      </c>
      <c r="AJ18" s="112">
        <v>9</v>
      </c>
      <c r="AK18" s="110">
        <v>21</v>
      </c>
      <c r="AL18" s="111">
        <f t="shared" si="16"/>
        <v>30</v>
      </c>
      <c r="AM18" s="110">
        <v>26</v>
      </c>
      <c r="AN18" s="111">
        <f t="shared" si="17"/>
        <v>56</v>
      </c>
      <c r="AO18" s="160"/>
      <c r="AP18" s="110">
        <f t="shared" si="18"/>
        <v>3</v>
      </c>
      <c r="AQ18" s="110">
        <v>23</v>
      </c>
      <c r="AR18" s="110">
        <v>25</v>
      </c>
      <c r="AS18" s="110">
        <f t="shared" si="19"/>
        <v>48</v>
      </c>
      <c r="AT18" s="163"/>
      <c r="AU18" s="110">
        <f t="shared" si="20"/>
        <v>5</v>
      </c>
      <c r="AV18" s="112">
        <v>19</v>
      </c>
      <c r="AW18" s="110">
        <v>31</v>
      </c>
      <c r="AX18" s="111">
        <f t="shared" si="21"/>
        <v>50</v>
      </c>
      <c r="AY18" s="110">
        <v>22</v>
      </c>
      <c r="AZ18" s="111">
        <f t="shared" si="22"/>
        <v>72</v>
      </c>
      <c r="BA18" s="160"/>
      <c r="BB18" s="110">
        <f t="shared" si="23"/>
        <v>4</v>
      </c>
      <c r="BC18" s="112">
        <v>17</v>
      </c>
      <c r="BD18" s="110">
        <v>30</v>
      </c>
      <c r="BE18" s="111">
        <f t="shared" si="24"/>
        <v>47</v>
      </c>
      <c r="BF18" s="110">
        <v>22</v>
      </c>
      <c r="BG18" s="111">
        <f t="shared" si="25"/>
        <v>69</v>
      </c>
      <c r="BH18" s="160"/>
      <c r="BI18" s="110">
        <f t="shared" si="26"/>
        <v>3.5</v>
      </c>
      <c r="BJ18" s="112">
        <v>16</v>
      </c>
      <c r="BK18" s="110">
        <v>29</v>
      </c>
      <c r="BL18" s="111">
        <f t="shared" si="27"/>
        <v>45</v>
      </c>
      <c r="BM18" s="111">
        <f t="shared" si="28"/>
        <v>45</v>
      </c>
      <c r="BN18" s="160"/>
      <c r="BO18" s="110">
        <f t="shared" si="2"/>
        <v>5</v>
      </c>
      <c r="BP18" s="110">
        <f t="shared" si="29"/>
        <v>30.5</v>
      </c>
      <c r="BQ18" s="113">
        <f t="shared" si="30"/>
        <v>3.8125</v>
      </c>
      <c r="BR18" s="114" t="str">
        <f t="shared" si="31"/>
        <v>A-</v>
      </c>
      <c r="BS18" s="98" t="str">
        <f t="shared" si="3"/>
        <v>GOOD</v>
      </c>
      <c r="BT18" s="58">
        <f t="shared" si="32"/>
        <v>547</v>
      </c>
      <c r="BU18" s="57"/>
      <c r="BV18" s="62"/>
    </row>
    <row r="19" spans="1:74" ht="27.95" customHeight="1">
      <c r="A19" s="107">
        <v>11</v>
      </c>
      <c r="B19" s="119">
        <v>82</v>
      </c>
      <c r="C19" s="117" t="s">
        <v>139</v>
      </c>
      <c r="D19" s="63" t="s">
        <v>140</v>
      </c>
      <c r="E19" s="63" t="s">
        <v>141</v>
      </c>
      <c r="F19" s="64" t="s">
        <v>142</v>
      </c>
      <c r="G19" s="109">
        <v>11</v>
      </c>
      <c r="H19" s="110">
        <v>20</v>
      </c>
      <c r="I19" s="111">
        <f t="shared" si="4"/>
        <v>31</v>
      </c>
      <c r="J19" s="110">
        <v>11</v>
      </c>
      <c r="K19" s="111">
        <f t="shared" si="5"/>
        <v>42</v>
      </c>
      <c r="L19" s="112">
        <v>7</v>
      </c>
      <c r="M19" s="110">
        <v>19</v>
      </c>
      <c r="N19" s="111">
        <f t="shared" si="6"/>
        <v>26</v>
      </c>
      <c r="O19" s="111">
        <f t="shared" si="7"/>
        <v>45</v>
      </c>
      <c r="P19" s="111">
        <f t="shared" si="0"/>
        <v>87</v>
      </c>
      <c r="Q19" s="160"/>
      <c r="R19" s="110">
        <f t="shared" si="8"/>
        <v>3</v>
      </c>
      <c r="S19" s="112">
        <v>11</v>
      </c>
      <c r="T19" s="110">
        <v>15</v>
      </c>
      <c r="U19" s="111">
        <f t="shared" si="9"/>
        <v>26</v>
      </c>
      <c r="V19" s="112">
        <v>7</v>
      </c>
      <c r="W19" s="110">
        <v>16</v>
      </c>
      <c r="X19" s="111">
        <f t="shared" si="10"/>
        <v>23</v>
      </c>
      <c r="Y19" s="111">
        <f t="shared" si="11"/>
        <v>49</v>
      </c>
      <c r="Z19" s="111">
        <f t="shared" si="1"/>
        <v>49</v>
      </c>
      <c r="AA19" s="160"/>
      <c r="AB19" s="110">
        <f t="shared" si="12"/>
        <v>0</v>
      </c>
      <c r="AC19" s="112">
        <v>13</v>
      </c>
      <c r="AD19" s="110">
        <v>9</v>
      </c>
      <c r="AE19" s="111">
        <f t="shared" si="13"/>
        <v>22</v>
      </c>
      <c r="AF19" s="110">
        <v>12</v>
      </c>
      <c r="AG19" s="111">
        <f t="shared" si="14"/>
        <v>34</v>
      </c>
      <c r="AH19" s="160"/>
      <c r="AI19" s="110" t="str">
        <f t="shared" si="15"/>
        <v>F</v>
      </c>
      <c r="AJ19" s="112">
        <v>9</v>
      </c>
      <c r="AK19" s="110">
        <v>8</v>
      </c>
      <c r="AL19" s="111">
        <f t="shared" si="16"/>
        <v>17</v>
      </c>
      <c r="AM19" s="110">
        <v>8</v>
      </c>
      <c r="AN19" s="111">
        <f t="shared" si="17"/>
        <v>25</v>
      </c>
      <c r="AO19" s="160"/>
      <c r="AP19" s="110" t="str">
        <f t="shared" si="18"/>
        <v>F</v>
      </c>
      <c r="AQ19" s="110">
        <v>20</v>
      </c>
      <c r="AR19" s="110">
        <v>25</v>
      </c>
      <c r="AS19" s="110">
        <f t="shared" si="19"/>
        <v>45</v>
      </c>
      <c r="AT19" s="163"/>
      <c r="AU19" s="110">
        <f t="shared" si="20"/>
        <v>5</v>
      </c>
      <c r="AV19" s="112">
        <v>17</v>
      </c>
      <c r="AW19" s="110">
        <v>26</v>
      </c>
      <c r="AX19" s="111">
        <f t="shared" si="21"/>
        <v>43</v>
      </c>
      <c r="AY19" s="110">
        <v>12</v>
      </c>
      <c r="AZ19" s="111">
        <f t="shared" si="22"/>
        <v>55</v>
      </c>
      <c r="BA19" s="160"/>
      <c r="BB19" s="110">
        <f t="shared" si="23"/>
        <v>3</v>
      </c>
      <c r="BC19" s="112">
        <v>10</v>
      </c>
      <c r="BD19" s="110">
        <v>8</v>
      </c>
      <c r="BE19" s="111">
        <f t="shared" si="24"/>
        <v>18</v>
      </c>
      <c r="BF19" s="110">
        <v>12</v>
      </c>
      <c r="BG19" s="111">
        <f t="shared" si="25"/>
        <v>30</v>
      </c>
      <c r="BH19" s="160"/>
      <c r="BI19" s="110" t="str">
        <f t="shared" si="26"/>
        <v>F</v>
      </c>
      <c r="BJ19" s="112">
        <v>10</v>
      </c>
      <c r="BK19" s="110">
        <v>28</v>
      </c>
      <c r="BL19" s="111">
        <f t="shared" si="27"/>
        <v>38</v>
      </c>
      <c r="BM19" s="111">
        <f t="shared" si="28"/>
        <v>38</v>
      </c>
      <c r="BN19" s="160"/>
      <c r="BO19" s="110">
        <f t="shared" si="2"/>
        <v>4</v>
      </c>
      <c r="BP19" s="110" t="str">
        <f t="shared" si="29"/>
        <v>F</v>
      </c>
      <c r="BQ19" s="113" t="str">
        <f t="shared" si="30"/>
        <v>F</v>
      </c>
      <c r="BR19" s="114" t="str">
        <f t="shared" si="31"/>
        <v>F</v>
      </c>
      <c r="BS19" s="98" t="str">
        <f t="shared" si="3"/>
        <v>NEED TO PROGRESS</v>
      </c>
      <c r="BT19" s="58">
        <f t="shared" si="32"/>
        <v>363</v>
      </c>
      <c r="BU19" s="57"/>
      <c r="BV19" s="62"/>
    </row>
    <row r="20" spans="1:74" ht="27.95" customHeight="1">
      <c r="A20" s="107">
        <v>12</v>
      </c>
      <c r="B20" s="119">
        <v>83</v>
      </c>
      <c r="C20" s="117" t="s">
        <v>143</v>
      </c>
      <c r="D20" s="63" t="s">
        <v>144</v>
      </c>
      <c r="E20" s="63" t="s">
        <v>145</v>
      </c>
      <c r="F20" s="64" t="s">
        <v>146</v>
      </c>
      <c r="G20" s="109">
        <v>18</v>
      </c>
      <c r="H20" s="110">
        <v>29</v>
      </c>
      <c r="I20" s="111">
        <f t="shared" si="4"/>
        <v>47</v>
      </c>
      <c r="J20" s="110">
        <v>17</v>
      </c>
      <c r="K20" s="111">
        <f t="shared" si="5"/>
        <v>64</v>
      </c>
      <c r="L20" s="112">
        <v>7</v>
      </c>
      <c r="M20" s="110">
        <v>34</v>
      </c>
      <c r="N20" s="111">
        <f t="shared" si="6"/>
        <v>41</v>
      </c>
      <c r="O20" s="111">
        <f t="shared" si="7"/>
        <v>75</v>
      </c>
      <c r="P20" s="111">
        <f t="shared" si="0"/>
        <v>139</v>
      </c>
      <c r="Q20" s="160"/>
      <c r="R20" s="110">
        <f t="shared" si="8"/>
        <v>5</v>
      </c>
      <c r="S20" s="112">
        <v>14</v>
      </c>
      <c r="T20" s="110">
        <v>28</v>
      </c>
      <c r="U20" s="111">
        <f t="shared" si="9"/>
        <v>42</v>
      </c>
      <c r="V20" s="112">
        <v>7</v>
      </c>
      <c r="W20" s="110">
        <v>22</v>
      </c>
      <c r="X20" s="111">
        <f t="shared" si="10"/>
        <v>29</v>
      </c>
      <c r="Y20" s="111">
        <f t="shared" si="11"/>
        <v>71</v>
      </c>
      <c r="Z20" s="111">
        <f t="shared" si="1"/>
        <v>71</v>
      </c>
      <c r="AA20" s="160"/>
      <c r="AB20" s="110">
        <f t="shared" si="12"/>
        <v>2</v>
      </c>
      <c r="AC20" s="112">
        <v>20</v>
      </c>
      <c r="AD20" s="110">
        <v>44</v>
      </c>
      <c r="AE20" s="111">
        <f t="shared" si="13"/>
        <v>64</v>
      </c>
      <c r="AF20" s="110">
        <v>20</v>
      </c>
      <c r="AG20" s="111">
        <f t="shared" si="14"/>
        <v>84</v>
      </c>
      <c r="AH20" s="160"/>
      <c r="AI20" s="110">
        <f t="shared" si="15"/>
        <v>5</v>
      </c>
      <c r="AJ20" s="112">
        <v>16</v>
      </c>
      <c r="AK20" s="110">
        <v>18</v>
      </c>
      <c r="AL20" s="111">
        <f t="shared" si="16"/>
        <v>34</v>
      </c>
      <c r="AM20" s="110">
        <v>25</v>
      </c>
      <c r="AN20" s="111">
        <f t="shared" si="17"/>
        <v>59</v>
      </c>
      <c r="AO20" s="160"/>
      <c r="AP20" s="110">
        <f t="shared" si="18"/>
        <v>3</v>
      </c>
      <c r="AQ20" s="110">
        <v>23</v>
      </c>
      <c r="AR20" s="110">
        <v>25</v>
      </c>
      <c r="AS20" s="110">
        <f t="shared" si="19"/>
        <v>48</v>
      </c>
      <c r="AT20" s="163"/>
      <c r="AU20" s="110">
        <f t="shared" si="20"/>
        <v>5</v>
      </c>
      <c r="AV20" s="112">
        <v>19</v>
      </c>
      <c r="AW20" s="110">
        <v>29</v>
      </c>
      <c r="AX20" s="111">
        <f t="shared" si="21"/>
        <v>48</v>
      </c>
      <c r="AY20" s="110">
        <v>28</v>
      </c>
      <c r="AZ20" s="111">
        <f t="shared" si="22"/>
        <v>76</v>
      </c>
      <c r="BA20" s="160"/>
      <c r="BB20" s="110">
        <f t="shared" si="23"/>
        <v>4</v>
      </c>
      <c r="BC20" s="112">
        <v>17</v>
      </c>
      <c r="BD20" s="110">
        <v>31</v>
      </c>
      <c r="BE20" s="111">
        <f t="shared" si="24"/>
        <v>48</v>
      </c>
      <c r="BF20" s="110">
        <v>22</v>
      </c>
      <c r="BG20" s="111">
        <f t="shared" si="25"/>
        <v>70</v>
      </c>
      <c r="BH20" s="160"/>
      <c r="BI20" s="110">
        <f t="shared" si="26"/>
        <v>4</v>
      </c>
      <c r="BJ20" s="112">
        <v>18</v>
      </c>
      <c r="BK20" s="110">
        <v>29</v>
      </c>
      <c r="BL20" s="111">
        <f t="shared" si="27"/>
        <v>47</v>
      </c>
      <c r="BM20" s="111">
        <f t="shared" si="28"/>
        <v>47</v>
      </c>
      <c r="BN20" s="160"/>
      <c r="BO20" s="110">
        <f t="shared" si="2"/>
        <v>5</v>
      </c>
      <c r="BP20" s="110">
        <f t="shared" si="29"/>
        <v>33</v>
      </c>
      <c r="BQ20" s="113">
        <f t="shared" si="30"/>
        <v>4.125</v>
      </c>
      <c r="BR20" s="114" t="str">
        <f t="shared" si="31"/>
        <v>A</v>
      </c>
      <c r="BS20" s="98" t="str">
        <f t="shared" si="3"/>
        <v>BETTER</v>
      </c>
      <c r="BT20" s="58">
        <f t="shared" si="32"/>
        <v>594</v>
      </c>
      <c r="BU20" s="57"/>
      <c r="BV20" s="62"/>
    </row>
    <row r="21" spans="1:74" ht="27.95" customHeight="1">
      <c r="A21" s="107">
        <v>13</v>
      </c>
      <c r="B21" s="119">
        <v>88</v>
      </c>
      <c r="C21" s="117" t="s">
        <v>147</v>
      </c>
      <c r="D21" s="63" t="s">
        <v>148</v>
      </c>
      <c r="E21" s="63" t="s">
        <v>149</v>
      </c>
      <c r="F21" s="64" t="s">
        <v>150</v>
      </c>
      <c r="G21" s="109">
        <v>14</v>
      </c>
      <c r="H21" s="110">
        <v>31</v>
      </c>
      <c r="I21" s="111">
        <f t="shared" si="4"/>
        <v>45</v>
      </c>
      <c r="J21" s="110">
        <v>22</v>
      </c>
      <c r="K21" s="111">
        <f t="shared" si="5"/>
        <v>67</v>
      </c>
      <c r="L21" s="112">
        <v>7</v>
      </c>
      <c r="M21" s="110">
        <v>27</v>
      </c>
      <c r="N21" s="111">
        <f t="shared" si="6"/>
        <v>34</v>
      </c>
      <c r="O21" s="111">
        <f t="shared" si="7"/>
        <v>61</v>
      </c>
      <c r="P21" s="111">
        <f t="shared" si="0"/>
        <v>128</v>
      </c>
      <c r="Q21" s="160"/>
      <c r="R21" s="110">
        <f t="shared" si="8"/>
        <v>5</v>
      </c>
      <c r="S21" s="112">
        <v>11</v>
      </c>
      <c r="T21" s="110">
        <v>25</v>
      </c>
      <c r="U21" s="111">
        <f t="shared" si="9"/>
        <v>36</v>
      </c>
      <c r="V21" s="112">
        <v>9</v>
      </c>
      <c r="W21" s="110">
        <v>20</v>
      </c>
      <c r="X21" s="111">
        <f t="shared" si="10"/>
        <v>29</v>
      </c>
      <c r="Y21" s="111">
        <f t="shared" si="11"/>
        <v>65</v>
      </c>
      <c r="Z21" s="111">
        <f t="shared" si="1"/>
        <v>65</v>
      </c>
      <c r="AA21" s="160"/>
      <c r="AB21" s="110">
        <f t="shared" si="12"/>
        <v>2</v>
      </c>
      <c r="AC21" s="112">
        <v>17</v>
      </c>
      <c r="AD21" s="110">
        <v>18</v>
      </c>
      <c r="AE21" s="111">
        <f t="shared" si="13"/>
        <v>35</v>
      </c>
      <c r="AF21" s="110">
        <v>15</v>
      </c>
      <c r="AG21" s="111">
        <f t="shared" si="14"/>
        <v>50</v>
      </c>
      <c r="AH21" s="160"/>
      <c r="AI21" s="110">
        <f t="shared" si="15"/>
        <v>3</v>
      </c>
      <c r="AJ21" s="112">
        <v>14</v>
      </c>
      <c r="AK21" s="110">
        <v>18</v>
      </c>
      <c r="AL21" s="111">
        <f t="shared" si="16"/>
        <v>32</v>
      </c>
      <c r="AM21" s="110">
        <v>17</v>
      </c>
      <c r="AN21" s="111">
        <f t="shared" si="17"/>
        <v>49</v>
      </c>
      <c r="AO21" s="160"/>
      <c r="AP21" s="110">
        <f t="shared" si="18"/>
        <v>2</v>
      </c>
      <c r="AQ21" s="110">
        <v>20</v>
      </c>
      <c r="AR21" s="110">
        <v>25</v>
      </c>
      <c r="AS21" s="110">
        <f t="shared" si="19"/>
        <v>45</v>
      </c>
      <c r="AT21" s="163"/>
      <c r="AU21" s="110">
        <f t="shared" si="20"/>
        <v>5</v>
      </c>
      <c r="AV21" s="112">
        <v>19</v>
      </c>
      <c r="AW21" s="110">
        <v>29</v>
      </c>
      <c r="AX21" s="111">
        <f t="shared" si="21"/>
        <v>48</v>
      </c>
      <c r="AY21" s="110">
        <v>15</v>
      </c>
      <c r="AZ21" s="111">
        <f t="shared" si="22"/>
        <v>63</v>
      </c>
      <c r="BA21" s="160"/>
      <c r="BB21" s="110">
        <f t="shared" si="23"/>
        <v>3.5</v>
      </c>
      <c r="BC21" s="112">
        <v>11</v>
      </c>
      <c r="BD21" s="110">
        <v>21</v>
      </c>
      <c r="BE21" s="111">
        <f t="shared" si="24"/>
        <v>32</v>
      </c>
      <c r="BF21" s="110">
        <v>12</v>
      </c>
      <c r="BG21" s="111">
        <f t="shared" si="25"/>
        <v>44</v>
      </c>
      <c r="BH21" s="160"/>
      <c r="BI21" s="110">
        <f t="shared" si="26"/>
        <v>2</v>
      </c>
      <c r="BJ21" s="112">
        <v>15</v>
      </c>
      <c r="BK21" s="110">
        <v>27</v>
      </c>
      <c r="BL21" s="111">
        <f t="shared" si="27"/>
        <v>42</v>
      </c>
      <c r="BM21" s="111">
        <f t="shared" si="28"/>
        <v>42</v>
      </c>
      <c r="BN21" s="160"/>
      <c r="BO21" s="110">
        <f t="shared" si="2"/>
        <v>5</v>
      </c>
      <c r="BP21" s="110">
        <f t="shared" si="29"/>
        <v>27.5</v>
      </c>
      <c r="BQ21" s="113">
        <f t="shared" si="30"/>
        <v>3.4375</v>
      </c>
      <c r="BR21" s="114" t="str">
        <f t="shared" si="31"/>
        <v>B</v>
      </c>
      <c r="BS21" s="98" t="str">
        <f t="shared" si="3"/>
        <v>GOOD</v>
      </c>
      <c r="BT21" s="58">
        <f t="shared" si="32"/>
        <v>486</v>
      </c>
      <c r="BU21" s="57"/>
      <c r="BV21" s="62"/>
    </row>
    <row r="22" spans="1:74" ht="27.95" customHeight="1">
      <c r="A22" s="107">
        <v>14</v>
      </c>
      <c r="B22" s="119">
        <v>92</v>
      </c>
      <c r="C22" s="117" t="s">
        <v>151</v>
      </c>
      <c r="D22" s="50" t="s">
        <v>152</v>
      </c>
      <c r="E22" s="63" t="s">
        <v>160</v>
      </c>
      <c r="F22" s="65" t="s">
        <v>153</v>
      </c>
      <c r="G22" s="109">
        <v>12</v>
      </c>
      <c r="H22" s="110">
        <v>22</v>
      </c>
      <c r="I22" s="111">
        <f t="shared" si="4"/>
        <v>34</v>
      </c>
      <c r="J22" s="110">
        <v>20</v>
      </c>
      <c r="K22" s="111">
        <f t="shared" si="5"/>
        <v>54</v>
      </c>
      <c r="L22" s="112">
        <v>6</v>
      </c>
      <c r="M22" s="110">
        <v>22</v>
      </c>
      <c r="N22" s="111">
        <f t="shared" si="6"/>
        <v>28</v>
      </c>
      <c r="O22" s="111">
        <f t="shared" si="7"/>
        <v>50</v>
      </c>
      <c r="P22" s="111">
        <f t="shared" si="0"/>
        <v>104</v>
      </c>
      <c r="Q22" s="160"/>
      <c r="R22" s="110">
        <f t="shared" si="8"/>
        <v>3.5</v>
      </c>
      <c r="S22" s="112">
        <v>12</v>
      </c>
      <c r="T22" s="110">
        <v>26</v>
      </c>
      <c r="U22" s="111">
        <f t="shared" si="9"/>
        <v>38</v>
      </c>
      <c r="V22" s="112">
        <v>7</v>
      </c>
      <c r="W22" s="110">
        <v>16</v>
      </c>
      <c r="X22" s="111">
        <f t="shared" si="10"/>
        <v>23</v>
      </c>
      <c r="Y22" s="111">
        <f t="shared" si="11"/>
        <v>61</v>
      </c>
      <c r="Z22" s="111">
        <f t="shared" si="1"/>
        <v>61</v>
      </c>
      <c r="AA22" s="160"/>
      <c r="AB22" s="110">
        <f t="shared" si="12"/>
        <v>2</v>
      </c>
      <c r="AC22" s="112">
        <v>16</v>
      </c>
      <c r="AD22" s="110">
        <v>21</v>
      </c>
      <c r="AE22" s="111">
        <f t="shared" si="13"/>
        <v>37</v>
      </c>
      <c r="AF22" s="110">
        <v>17</v>
      </c>
      <c r="AG22" s="111">
        <f t="shared" si="14"/>
        <v>54</v>
      </c>
      <c r="AH22" s="160"/>
      <c r="AI22" s="110">
        <f t="shared" si="15"/>
        <v>3</v>
      </c>
      <c r="AJ22" s="112">
        <v>12</v>
      </c>
      <c r="AK22" s="110">
        <v>14</v>
      </c>
      <c r="AL22" s="111">
        <f t="shared" si="16"/>
        <v>26</v>
      </c>
      <c r="AM22" s="110">
        <v>22</v>
      </c>
      <c r="AN22" s="111">
        <f t="shared" si="17"/>
        <v>48</v>
      </c>
      <c r="AO22" s="160"/>
      <c r="AP22" s="110">
        <f t="shared" si="18"/>
        <v>2</v>
      </c>
      <c r="AQ22" s="110">
        <v>21</v>
      </c>
      <c r="AR22" s="110">
        <v>25</v>
      </c>
      <c r="AS22" s="110">
        <f t="shared" si="19"/>
        <v>46</v>
      </c>
      <c r="AT22" s="163"/>
      <c r="AU22" s="110">
        <f t="shared" si="20"/>
        <v>5</v>
      </c>
      <c r="AV22" s="112">
        <v>19</v>
      </c>
      <c r="AW22" s="110">
        <v>24</v>
      </c>
      <c r="AX22" s="111">
        <f t="shared" si="21"/>
        <v>43</v>
      </c>
      <c r="AY22" s="110">
        <v>22</v>
      </c>
      <c r="AZ22" s="111">
        <f t="shared" si="22"/>
        <v>65</v>
      </c>
      <c r="BA22" s="160"/>
      <c r="BB22" s="110">
        <f t="shared" si="23"/>
        <v>3.5</v>
      </c>
      <c r="BC22" s="112">
        <v>10</v>
      </c>
      <c r="BD22" s="110">
        <v>17</v>
      </c>
      <c r="BE22" s="111">
        <f t="shared" si="24"/>
        <v>27</v>
      </c>
      <c r="BF22" s="110">
        <v>13</v>
      </c>
      <c r="BG22" s="111">
        <f t="shared" si="25"/>
        <v>40</v>
      </c>
      <c r="BH22" s="160"/>
      <c r="BI22" s="110">
        <f t="shared" si="26"/>
        <v>2</v>
      </c>
      <c r="BJ22" s="112">
        <v>12</v>
      </c>
      <c r="BK22" s="110">
        <v>28</v>
      </c>
      <c r="BL22" s="111">
        <f t="shared" si="27"/>
        <v>40</v>
      </c>
      <c r="BM22" s="111">
        <f t="shared" si="28"/>
        <v>40</v>
      </c>
      <c r="BN22" s="160"/>
      <c r="BO22" s="110">
        <f t="shared" si="2"/>
        <v>5</v>
      </c>
      <c r="BP22" s="110">
        <f t="shared" si="29"/>
        <v>26</v>
      </c>
      <c r="BQ22" s="113">
        <f t="shared" si="30"/>
        <v>3.25</v>
      </c>
      <c r="BR22" s="114" t="str">
        <f t="shared" si="31"/>
        <v>B</v>
      </c>
      <c r="BS22" s="98" t="str">
        <f t="shared" si="3"/>
        <v>GOOD</v>
      </c>
      <c r="BT22" s="58">
        <f t="shared" si="32"/>
        <v>458</v>
      </c>
      <c r="BU22" s="57"/>
      <c r="BV22" s="62"/>
    </row>
    <row r="23" spans="1:74" ht="27.95" customHeight="1">
      <c r="A23" s="107">
        <v>15</v>
      </c>
      <c r="B23" s="120">
        <v>94</v>
      </c>
      <c r="C23" s="121" t="s">
        <v>156</v>
      </c>
      <c r="D23" s="50" t="s">
        <v>161</v>
      </c>
      <c r="E23" s="50" t="s">
        <v>157</v>
      </c>
      <c r="F23" s="65" t="s">
        <v>159</v>
      </c>
      <c r="G23" s="109"/>
      <c r="H23" s="110"/>
      <c r="I23" s="111">
        <f t="shared" si="4"/>
        <v>0</v>
      </c>
      <c r="J23" s="110"/>
      <c r="K23" s="111">
        <f t="shared" si="5"/>
        <v>0</v>
      </c>
      <c r="L23" s="112"/>
      <c r="M23" s="110"/>
      <c r="N23" s="111">
        <f t="shared" ref="N23" si="34">L23+M23</f>
        <v>0</v>
      </c>
      <c r="O23" s="110"/>
      <c r="P23" s="111">
        <f t="shared" ref="P23" si="35">K23+O23</f>
        <v>0</v>
      </c>
      <c r="Q23" s="161"/>
      <c r="R23" s="110" t="str">
        <f t="shared" si="8"/>
        <v>F</v>
      </c>
      <c r="S23" s="112">
        <v>0</v>
      </c>
      <c r="T23" s="110">
        <v>0</v>
      </c>
      <c r="U23" s="111">
        <f t="shared" si="9"/>
        <v>0</v>
      </c>
      <c r="V23" s="112"/>
      <c r="W23" s="110"/>
      <c r="X23" s="111">
        <f t="shared" si="10"/>
        <v>0</v>
      </c>
      <c r="Y23" s="111">
        <f t="shared" si="11"/>
        <v>0</v>
      </c>
      <c r="Z23" s="111">
        <f t="shared" si="1"/>
        <v>0</v>
      </c>
      <c r="AA23" s="161"/>
      <c r="AB23" s="110">
        <f t="shared" si="12"/>
        <v>0</v>
      </c>
      <c r="AC23" s="112"/>
      <c r="AD23" s="110"/>
      <c r="AE23" s="111">
        <f t="shared" ref="AE23" si="36">AD23+AC23</f>
        <v>0</v>
      </c>
      <c r="AF23" s="110"/>
      <c r="AG23" s="111">
        <f t="shared" si="14"/>
        <v>0</v>
      </c>
      <c r="AH23" s="161"/>
      <c r="AI23" s="110" t="str">
        <f t="shared" si="15"/>
        <v>F</v>
      </c>
      <c r="AJ23" s="112"/>
      <c r="AK23" s="110"/>
      <c r="AL23" s="111">
        <f t="shared" ref="AL23" si="37">AK23+AJ23</f>
        <v>0</v>
      </c>
      <c r="AM23" s="110"/>
      <c r="AN23" s="111">
        <f t="shared" si="17"/>
        <v>0</v>
      </c>
      <c r="AO23" s="161"/>
      <c r="AP23" s="110" t="str">
        <f t="shared" si="18"/>
        <v>F</v>
      </c>
      <c r="AQ23" s="110"/>
      <c r="AR23" s="110"/>
      <c r="AS23" s="110">
        <f t="shared" si="19"/>
        <v>0</v>
      </c>
      <c r="AT23" s="164"/>
      <c r="AU23" s="110" t="str">
        <f t="shared" si="20"/>
        <v>F</v>
      </c>
      <c r="AV23" s="112"/>
      <c r="AW23" s="110"/>
      <c r="AX23" s="111">
        <f t="shared" ref="AX23" si="38">AW23+AV23</f>
        <v>0</v>
      </c>
      <c r="AY23" s="110"/>
      <c r="AZ23" s="111">
        <f t="shared" si="22"/>
        <v>0</v>
      </c>
      <c r="BA23" s="161"/>
      <c r="BB23" s="110" t="str">
        <f t="shared" si="23"/>
        <v>F</v>
      </c>
      <c r="BC23" s="112"/>
      <c r="BD23" s="110"/>
      <c r="BE23" s="111">
        <f t="shared" ref="BE23" si="39">BD23+BC23</f>
        <v>0</v>
      </c>
      <c r="BF23" s="110"/>
      <c r="BG23" s="111">
        <f t="shared" si="25"/>
        <v>0</v>
      </c>
      <c r="BH23" s="161"/>
      <c r="BI23" s="110" t="str">
        <f t="shared" si="26"/>
        <v>F</v>
      </c>
      <c r="BJ23" s="112"/>
      <c r="BK23" s="110"/>
      <c r="BL23" s="111">
        <f t="shared" si="27"/>
        <v>0</v>
      </c>
      <c r="BM23" s="111">
        <f t="shared" si="28"/>
        <v>0</v>
      </c>
      <c r="BN23" s="161"/>
      <c r="BO23" s="110" t="str">
        <f t="shared" si="2"/>
        <v>F</v>
      </c>
      <c r="BP23" s="110" t="str">
        <f t="shared" si="29"/>
        <v>F</v>
      </c>
      <c r="BQ23" s="113" t="str">
        <f t="shared" si="30"/>
        <v>F</v>
      </c>
      <c r="BR23" s="113" t="str">
        <f t="shared" si="31"/>
        <v>F</v>
      </c>
      <c r="BS23" s="57" t="str">
        <f t="shared" si="3"/>
        <v>NEED TO PROGRESS</v>
      </c>
      <c r="BT23" s="58">
        <f t="shared" si="32"/>
        <v>0</v>
      </c>
      <c r="BU23" s="57"/>
      <c r="BV23" s="62"/>
    </row>
    <row r="26" spans="1:74" s="47" customFormat="1">
      <c r="A26" s="122">
        <v>0</v>
      </c>
      <c r="B26" s="123">
        <v>1</v>
      </c>
      <c r="C26" s="124">
        <v>2</v>
      </c>
      <c r="D26" s="77">
        <v>3</v>
      </c>
      <c r="E26" s="78">
        <v>4</v>
      </c>
      <c r="F26" s="79">
        <v>5</v>
      </c>
      <c r="G26" s="77">
        <v>6</v>
      </c>
      <c r="H26" s="77">
        <v>7</v>
      </c>
      <c r="I26" s="78">
        <v>8</v>
      </c>
      <c r="J26" s="79">
        <v>9</v>
      </c>
      <c r="K26" s="77">
        <v>10</v>
      </c>
      <c r="L26" s="77">
        <v>11</v>
      </c>
      <c r="M26" s="78">
        <v>12</v>
      </c>
      <c r="N26" s="79">
        <v>13</v>
      </c>
      <c r="O26" s="77">
        <v>14</v>
      </c>
      <c r="P26" s="77">
        <v>15</v>
      </c>
      <c r="Q26" s="78">
        <v>16</v>
      </c>
      <c r="R26" s="79">
        <v>17</v>
      </c>
      <c r="S26" s="77">
        <v>18</v>
      </c>
      <c r="T26" s="77">
        <v>19</v>
      </c>
      <c r="U26" s="78">
        <v>20</v>
      </c>
      <c r="V26" s="79">
        <v>21</v>
      </c>
      <c r="W26" s="77">
        <v>22</v>
      </c>
      <c r="X26" s="77">
        <v>23</v>
      </c>
      <c r="Y26" s="78">
        <v>24</v>
      </c>
      <c r="Z26" s="79">
        <v>25</v>
      </c>
      <c r="AA26" s="77">
        <v>26</v>
      </c>
      <c r="AB26" s="77">
        <v>27</v>
      </c>
      <c r="AC26" s="78">
        <v>28</v>
      </c>
      <c r="AD26" s="79">
        <v>29</v>
      </c>
      <c r="AE26" s="77">
        <v>30</v>
      </c>
      <c r="AF26" s="77">
        <v>31</v>
      </c>
      <c r="AG26" s="78">
        <v>32</v>
      </c>
      <c r="AH26" s="79">
        <v>33</v>
      </c>
      <c r="AI26" s="77">
        <v>34</v>
      </c>
      <c r="AJ26" s="77">
        <v>35</v>
      </c>
      <c r="AK26" s="78">
        <v>36</v>
      </c>
      <c r="AL26" s="79">
        <v>37</v>
      </c>
      <c r="AM26" s="77">
        <v>38</v>
      </c>
      <c r="AN26" s="77">
        <v>39</v>
      </c>
      <c r="AO26" s="78">
        <v>40</v>
      </c>
      <c r="AP26" s="79">
        <v>41</v>
      </c>
      <c r="AQ26" s="77">
        <v>42</v>
      </c>
      <c r="AR26" s="77">
        <v>43</v>
      </c>
      <c r="AS26" s="78">
        <v>44</v>
      </c>
      <c r="AT26" s="79">
        <v>45</v>
      </c>
      <c r="AU26" s="77">
        <v>46</v>
      </c>
      <c r="AV26" s="77">
        <v>47</v>
      </c>
      <c r="AW26" s="78">
        <v>48</v>
      </c>
      <c r="AX26" s="79">
        <v>49</v>
      </c>
      <c r="AY26" s="77">
        <v>50</v>
      </c>
      <c r="AZ26" s="77">
        <v>51</v>
      </c>
      <c r="BA26" s="78">
        <v>52</v>
      </c>
      <c r="BB26" s="79">
        <v>53</v>
      </c>
      <c r="BC26" s="77">
        <v>54</v>
      </c>
      <c r="BD26" s="77">
        <v>55</v>
      </c>
      <c r="BE26" s="78">
        <v>56</v>
      </c>
      <c r="BF26" s="79">
        <v>57</v>
      </c>
      <c r="BG26" s="77">
        <v>58</v>
      </c>
      <c r="BH26" s="77">
        <v>59</v>
      </c>
      <c r="BI26" s="78">
        <v>60</v>
      </c>
      <c r="BJ26" s="79">
        <v>61</v>
      </c>
      <c r="BK26" s="77">
        <v>62</v>
      </c>
      <c r="BL26" s="77">
        <v>63</v>
      </c>
      <c r="BM26" s="78">
        <v>64</v>
      </c>
      <c r="BN26" s="79">
        <v>65</v>
      </c>
      <c r="BO26" s="77">
        <v>66</v>
      </c>
      <c r="BP26" s="77">
        <v>67</v>
      </c>
      <c r="BQ26" s="78">
        <v>68</v>
      </c>
      <c r="BR26" s="79">
        <v>69</v>
      </c>
      <c r="BS26" s="77">
        <v>70</v>
      </c>
      <c r="BT26" s="77">
        <v>71</v>
      </c>
      <c r="BU26" s="78">
        <v>72</v>
      </c>
      <c r="BV26" s="79">
        <v>73</v>
      </c>
    </row>
  </sheetData>
  <mergeCells count="58">
    <mergeCell ref="Q9:Q23"/>
    <mergeCell ref="AA9:AA23"/>
    <mergeCell ref="AH9:AH23"/>
    <mergeCell ref="AO9:AO23"/>
    <mergeCell ref="AT9:AT23"/>
    <mergeCell ref="BA9:BA23"/>
    <mergeCell ref="BH9:BH23"/>
    <mergeCell ref="BN9:BN23"/>
    <mergeCell ref="BT7:BT8"/>
    <mergeCell ref="BU7:BU8"/>
    <mergeCell ref="BH7:BH8"/>
    <mergeCell ref="BI7:BI8"/>
    <mergeCell ref="BJ7:BL7"/>
    <mergeCell ref="BM7:BM8"/>
    <mergeCell ref="BN7:BN8"/>
    <mergeCell ref="BV7:BV8"/>
    <mergeCell ref="BO7:BO8"/>
    <mergeCell ref="BP7:BP8"/>
    <mergeCell ref="BQ7:BQ8"/>
    <mergeCell ref="BR7:BR8"/>
    <mergeCell ref="BS7:BS8"/>
    <mergeCell ref="AG7:AG8"/>
    <mergeCell ref="AJ7:AM7"/>
    <mergeCell ref="AV7:AY7"/>
    <mergeCell ref="BC7:BF7"/>
    <mergeCell ref="BG7:BG8"/>
    <mergeCell ref="AP7:AP8"/>
    <mergeCell ref="AQ7:AR7"/>
    <mergeCell ref="AT7:AT8"/>
    <mergeCell ref="AU7:AU8"/>
    <mergeCell ref="AN7:AN8"/>
    <mergeCell ref="AZ7:AZ8"/>
    <mergeCell ref="AS7:AS8"/>
    <mergeCell ref="AI7:AI8"/>
    <mergeCell ref="AO7:AO8"/>
    <mergeCell ref="AH7:AH8"/>
    <mergeCell ref="F7:F8"/>
    <mergeCell ref="G7:J7"/>
    <mergeCell ref="K7:K8"/>
    <mergeCell ref="L7:N7"/>
    <mergeCell ref="P7:P8"/>
    <mergeCell ref="O7:O8"/>
    <mergeCell ref="B1:BU6"/>
    <mergeCell ref="A7:A8"/>
    <mergeCell ref="B7:B8"/>
    <mergeCell ref="C7:C8"/>
    <mergeCell ref="E7:E8"/>
    <mergeCell ref="D7:D8"/>
    <mergeCell ref="AB7:AB8"/>
    <mergeCell ref="R7:R8"/>
    <mergeCell ref="BA7:BA8"/>
    <mergeCell ref="BB7:BB8"/>
    <mergeCell ref="Q7:Q8"/>
    <mergeCell ref="S7:X7"/>
    <mergeCell ref="Y7:Y8"/>
    <mergeCell ref="Z7:Z8"/>
    <mergeCell ref="AA7:AA8"/>
    <mergeCell ref="AC7:AF7"/>
  </mergeCells>
  <conditionalFormatting sqref="B9 B11:B13">
    <cfRule type="duplicateValues" dxfId="7" priority="4"/>
  </conditionalFormatting>
  <conditionalFormatting sqref="B10">
    <cfRule type="duplicateValues" dxfId="6" priority="3"/>
  </conditionalFormatting>
  <conditionalFormatting sqref="B14:B15">
    <cfRule type="duplicateValues" dxfId="5" priority="2"/>
  </conditionalFormatting>
  <conditionalFormatting sqref="B16:B21">
    <cfRule type="duplicateValues" dxfId="4" priority="1"/>
  </conditionalFormatting>
  <pageMargins left="0.23622047244094491" right="0.23622047244094491" top="0.74803149606299213" bottom="0.74803149606299213" header="0.31496062992125984" footer="0.31496062992125984"/>
  <pageSetup paperSize="5" scale="7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E26"/>
  <sheetViews>
    <sheetView zoomScale="85" zoomScaleNormal="85" workbookViewId="0">
      <pane xSplit="2" ySplit="8" topLeftCell="AM9" activePane="bottomRight" state="frozen"/>
      <selection pane="topRight" activeCell="C1" sqref="C1"/>
      <selection pane="bottomLeft" activeCell="A9" sqref="A9"/>
      <selection pane="bottomRight" activeCell="BU24" sqref="BU24"/>
    </sheetView>
  </sheetViews>
  <sheetFormatPr defaultColWidth="3.7109375" defaultRowHeight="15"/>
  <cols>
    <col min="1" max="1" width="5.7109375" customWidth="1"/>
    <col min="2" max="2" width="5.5703125" bestFit="1" customWidth="1"/>
    <col min="3" max="3" width="31.85546875" bestFit="1" customWidth="1"/>
    <col min="4" max="4" width="27.5703125" bestFit="1" customWidth="1"/>
    <col min="5" max="5" width="27.7109375" bestFit="1" customWidth="1"/>
    <col min="6" max="6" width="17.140625" customWidth="1"/>
    <col min="7" max="70" width="5.7109375" customWidth="1"/>
    <col min="71" max="71" width="17.85546875" bestFit="1" customWidth="1"/>
    <col min="72" max="72" width="12.5703125" bestFit="1" customWidth="1"/>
    <col min="73" max="73" width="8.28515625" bestFit="1" customWidth="1"/>
    <col min="74" max="74" width="9.42578125" bestFit="1" customWidth="1"/>
    <col min="75" max="79" width="10.7109375" customWidth="1"/>
  </cols>
  <sheetData>
    <row r="1" spans="1:79" ht="20.100000000000001" customHeight="1">
      <c r="B1" s="140" t="s">
        <v>162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</row>
    <row r="2" spans="1:79" ht="20.100000000000001" customHeight="1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</row>
    <row r="3" spans="1:79" ht="20.100000000000001" customHeight="1"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</row>
    <row r="4" spans="1:79" ht="20.100000000000001" customHeight="1"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</row>
    <row r="5" spans="1:79" ht="20.100000000000001" customHeight="1"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140"/>
      <c r="BU5" s="140"/>
    </row>
    <row r="6" spans="1:79" ht="20.100000000000001" customHeight="1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</row>
    <row r="7" spans="1:79" s="51" customFormat="1" ht="27.95" customHeight="1">
      <c r="A7" s="166" t="s">
        <v>63</v>
      </c>
      <c r="B7" s="166" t="s">
        <v>0</v>
      </c>
      <c r="C7" s="155" t="s">
        <v>64</v>
      </c>
      <c r="D7" s="155" t="s">
        <v>65</v>
      </c>
      <c r="E7" s="155" t="s">
        <v>66</v>
      </c>
      <c r="F7" s="155" t="s">
        <v>67</v>
      </c>
      <c r="G7" s="152" t="s">
        <v>68</v>
      </c>
      <c r="H7" s="152"/>
      <c r="I7" s="152"/>
      <c r="J7" s="152"/>
      <c r="K7" s="150" t="s">
        <v>69</v>
      </c>
      <c r="L7" s="152" t="s">
        <v>70</v>
      </c>
      <c r="M7" s="152"/>
      <c r="N7" s="152"/>
      <c r="O7" s="150" t="s">
        <v>69</v>
      </c>
      <c r="P7" s="152" t="s">
        <v>7</v>
      </c>
      <c r="Q7" s="152" t="s">
        <v>71</v>
      </c>
      <c r="R7" s="152" t="s">
        <v>1</v>
      </c>
      <c r="S7" s="152" t="s">
        <v>72</v>
      </c>
      <c r="T7" s="152"/>
      <c r="U7" s="152"/>
      <c r="V7" s="152"/>
      <c r="W7" s="152"/>
      <c r="X7" s="152"/>
      <c r="Y7" s="150" t="s">
        <v>69</v>
      </c>
      <c r="Z7" s="150" t="s">
        <v>7</v>
      </c>
      <c r="AA7" s="152" t="s">
        <v>71</v>
      </c>
      <c r="AB7" s="152" t="s">
        <v>1</v>
      </c>
      <c r="AC7" s="152" t="s">
        <v>11</v>
      </c>
      <c r="AD7" s="152"/>
      <c r="AE7" s="152"/>
      <c r="AF7" s="152"/>
      <c r="AG7" s="152" t="s">
        <v>7</v>
      </c>
      <c r="AH7" s="152" t="s">
        <v>71</v>
      </c>
      <c r="AI7" s="152" t="s">
        <v>1</v>
      </c>
      <c r="AJ7" s="152" t="s">
        <v>18</v>
      </c>
      <c r="AK7" s="152"/>
      <c r="AL7" s="152"/>
      <c r="AM7" s="152"/>
      <c r="AN7" s="152" t="s">
        <v>7</v>
      </c>
      <c r="AO7" s="152" t="s">
        <v>71</v>
      </c>
      <c r="AP7" s="152" t="s">
        <v>1</v>
      </c>
      <c r="AQ7" s="167" t="s">
        <v>6</v>
      </c>
      <c r="AR7" s="167"/>
      <c r="AS7" s="152" t="s">
        <v>7</v>
      </c>
      <c r="AT7" s="152" t="s">
        <v>71</v>
      </c>
      <c r="AU7" s="152" t="s">
        <v>1</v>
      </c>
      <c r="AV7" s="152" t="s">
        <v>4</v>
      </c>
      <c r="AW7" s="152"/>
      <c r="AX7" s="152"/>
      <c r="AY7" s="152"/>
      <c r="AZ7" s="152" t="s">
        <v>7</v>
      </c>
      <c r="BA7" s="152" t="s">
        <v>71</v>
      </c>
      <c r="BB7" s="152" t="s">
        <v>1</v>
      </c>
      <c r="BC7" s="152" t="s">
        <v>5</v>
      </c>
      <c r="BD7" s="152"/>
      <c r="BE7" s="152"/>
      <c r="BF7" s="152"/>
      <c r="BG7" s="152" t="s">
        <v>7</v>
      </c>
      <c r="BH7" s="152" t="s">
        <v>71</v>
      </c>
      <c r="BI7" s="152" t="s">
        <v>1</v>
      </c>
      <c r="BJ7" s="152" t="s">
        <v>73</v>
      </c>
      <c r="BK7" s="152"/>
      <c r="BL7" s="152"/>
      <c r="BM7" s="152" t="s">
        <v>7</v>
      </c>
      <c r="BN7" s="152" t="s">
        <v>71</v>
      </c>
      <c r="BO7" s="152" t="s">
        <v>1</v>
      </c>
      <c r="BP7" s="152" t="s">
        <v>2</v>
      </c>
      <c r="BQ7" s="152" t="s">
        <v>3</v>
      </c>
      <c r="BR7" s="152" t="s">
        <v>24</v>
      </c>
      <c r="BS7" s="152" t="s">
        <v>74</v>
      </c>
      <c r="BT7" s="152" t="s">
        <v>75</v>
      </c>
      <c r="BU7" s="152" t="s">
        <v>76</v>
      </c>
      <c r="BV7" s="152" t="s">
        <v>77</v>
      </c>
      <c r="BW7" s="165" t="s">
        <v>164</v>
      </c>
      <c r="BX7" s="165"/>
      <c r="BY7" s="165"/>
      <c r="BZ7" s="165"/>
      <c r="CA7" s="165"/>
    </row>
    <row r="8" spans="1:79" s="52" customFormat="1" ht="27.95" customHeight="1">
      <c r="A8" s="166"/>
      <c r="B8" s="166"/>
      <c r="C8" s="155"/>
      <c r="D8" s="155"/>
      <c r="E8" s="155"/>
      <c r="F8" s="155"/>
      <c r="G8" s="54" t="s">
        <v>12</v>
      </c>
      <c r="H8" s="55" t="s">
        <v>78</v>
      </c>
      <c r="I8" s="55" t="s">
        <v>79</v>
      </c>
      <c r="J8" s="55" t="s">
        <v>80</v>
      </c>
      <c r="K8" s="151"/>
      <c r="L8" s="54" t="s">
        <v>12</v>
      </c>
      <c r="M8" s="55" t="s">
        <v>78</v>
      </c>
      <c r="N8" s="55" t="s">
        <v>79</v>
      </c>
      <c r="O8" s="151"/>
      <c r="P8" s="152"/>
      <c r="Q8" s="152"/>
      <c r="R8" s="152"/>
      <c r="S8" s="54" t="s">
        <v>12</v>
      </c>
      <c r="T8" s="55" t="s">
        <v>81</v>
      </c>
      <c r="U8" s="55" t="s">
        <v>82</v>
      </c>
      <c r="V8" s="55" t="s">
        <v>12</v>
      </c>
      <c r="W8" s="55" t="s">
        <v>83</v>
      </c>
      <c r="X8" s="55" t="s">
        <v>82</v>
      </c>
      <c r="Y8" s="151"/>
      <c r="Z8" s="151"/>
      <c r="AA8" s="152"/>
      <c r="AB8" s="152"/>
      <c r="AC8" s="54" t="s">
        <v>12</v>
      </c>
      <c r="AD8" s="103" t="s">
        <v>78</v>
      </c>
      <c r="AE8" s="103" t="s">
        <v>79</v>
      </c>
      <c r="AF8" s="103" t="s">
        <v>80</v>
      </c>
      <c r="AG8" s="152"/>
      <c r="AH8" s="152"/>
      <c r="AI8" s="152"/>
      <c r="AJ8" s="54" t="s">
        <v>12</v>
      </c>
      <c r="AK8" s="103" t="s">
        <v>78</v>
      </c>
      <c r="AL8" s="103" t="s">
        <v>79</v>
      </c>
      <c r="AM8" s="103" t="s">
        <v>80</v>
      </c>
      <c r="AN8" s="152"/>
      <c r="AO8" s="152"/>
      <c r="AP8" s="152"/>
      <c r="AQ8" s="103" t="s">
        <v>80</v>
      </c>
      <c r="AR8" s="103" t="s">
        <v>84</v>
      </c>
      <c r="AS8" s="152"/>
      <c r="AT8" s="152"/>
      <c r="AU8" s="152"/>
      <c r="AV8" s="54" t="s">
        <v>12</v>
      </c>
      <c r="AW8" s="103" t="s">
        <v>78</v>
      </c>
      <c r="AX8" s="103" t="s">
        <v>79</v>
      </c>
      <c r="AY8" s="103" t="s">
        <v>80</v>
      </c>
      <c r="AZ8" s="152"/>
      <c r="BA8" s="152"/>
      <c r="BB8" s="152"/>
      <c r="BC8" s="54" t="s">
        <v>12</v>
      </c>
      <c r="BD8" s="103" t="s">
        <v>78</v>
      </c>
      <c r="BE8" s="103" t="s">
        <v>79</v>
      </c>
      <c r="BF8" s="103" t="s">
        <v>80</v>
      </c>
      <c r="BG8" s="152"/>
      <c r="BH8" s="152"/>
      <c r="BI8" s="152"/>
      <c r="BJ8" s="54" t="s">
        <v>12</v>
      </c>
      <c r="BK8" s="103" t="s">
        <v>78</v>
      </c>
      <c r="BL8" s="103" t="s">
        <v>79</v>
      </c>
      <c r="BM8" s="152"/>
      <c r="BN8" s="152"/>
      <c r="BO8" s="152"/>
      <c r="BP8" s="152"/>
      <c r="BQ8" s="152"/>
      <c r="BR8" s="152"/>
      <c r="BS8" s="152"/>
      <c r="BT8" s="152"/>
      <c r="BU8" s="152"/>
      <c r="BV8" s="152"/>
      <c r="BW8" s="130" t="s">
        <v>165</v>
      </c>
      <c r="BX8" s="131" t="s">
        <v>166</v>
      </c>
      <c r="BY8" s="130" t="s">
        <v>167</v>
      </c>
      <c r="BZ8" s="131" t="s">
        <v>168</v>
      </c>
      <c r="CA8" s="130" t="s">
        <v>169</v>
      </c>
    </row>
    <row r="9" spans="1:79" ht="27.95" customHeight="1">
      <c r="A9" s="70">
        <v>1</v>
      </c>
      <c r="B9" s="92">
        <v>27</v>
      </c>
      <c r="C9" s="93" t="s">
        <v>101</v>
      </c>
      <c r="D9" s="63" t="s">
        <v>102</v>
      </c>
      <c r="E9" s="63" t="s">
        <v>103</v>
      </c>
      <c r="F9" s="64" t="s">
        <v>104</v>
      </c>
      <c r="G9" s="71">
        <v>20</v>
      </c>
      <c r="H9" s="72">
        <v>49</v>
      </c>
      <c r="I9" s="73">
        <f>H9+G9</f>
        <v>69</v>
      </c>
      <c r="J9" s="72">
        <v>28</v>
      </c>
      <c r="K9" s="73">
        <f>I9+J9</f>
        <v>97</v>
      </c>
      <c r="L9" s="74">
        <v>10</v>
      </c>
      <c r="M9" s="72">
        <v>39</v>
      </c>
      <c r="N9" s="73">
        <f>M9+L9</f>
        <v>49</v>
      </c>
      <c r="O9" s="73">
        <f>N9</f>
        <v>49</v>
      </c>
      <c r="P9" s="73">
        <f t="shared" ref="P9:P23" si="0">K9+O9</f>
        <v>146</v>
      </c>
      <c r="Q9" s="169">
        <f>MAX(P9:P23)</f>
        <v>146</v>
      </c>
      <c r="R9" s="72">
        <f>IF(P9&lt;60,"F",IF(P9&lt;75,2,IF(P9&lt;90,3,IF(P9&lt;105,3.5,IF(P9&lt;120,4,5)))))</f>
        <v>5</v>
      </c>
      <c r="S9" s="74">
        <v>19</v>
      </c>
      <c r="T9" s="72">
        <v>61</v>
      </c>
      <c r="U9" s="73">
        <f>T9+S9</f>
        <v>80</v>
      </c>
      <c r="V9" s="74">
        <v>10</v>
      </c>
      <c r="W9" s="72">
        <v>28</v>
      </c>
      <c r="X9" s="73">
        <f>W9+V9</f>
        <v>38</v>
      </c>
      <c r="Y9" s="73">
        <f>U9+X9</f>
        <v>118</v>
      </c>
      <c r="Z9" s="73">
        <f t="shared" ref="Z9:Z23" si="1">Y9</f>
        <v>118</v>
      </c>
      <c r="AA9" s="169">
        <f>MAX(Z9:Z23)</f>
        <v>118</v>
      </c>
      <c r="AB9" s="72">
        <f>IF(Z9&lt;60,0,IF(Z9&lt;75,2,IF(Z9&lt;90,3,IF(Z9&lt;105,3.5,IF(Z9&lt;120,4,5)))))</f>
        <v>4</v>
      </c>
      <c r="AC9" s="74">
        <v>20</v>
      </c>
      <c r="AD9" s="72">
        <v>44</v>
      </c>
      <c r="AE9" s="73">
        <f>AD9+AC9</f>
        <v>64</v>
      </c>
      <c r="AF9" s="72">
        <v>23</v>
      </c>
      <c r="AG9" s="73">
        <f>AE9+AF9</f>
        <v>87</v>
      </c>
      <c r="AH9" s="168">
        <f>MAX(AG9:AG23)</f>
        <v>87</v>
      </c>
      <c r="AI9" s="72">
        <f>IF(AG9&lt;40,"F",IF(AG9&lt;50,2,IF(AG9&lt;60,3,IF(AG9&lt;70,3.5,IF(AG9&lt;80,4,5)))))</f>
        <v>5</v>
      </c>
      <c r="AJ9" s="74">
        <v>20</v>
      </c>
      <c r="AK9" s="72">
        <v>46</v>
      </c>
      <c r="AL9" s="73">
        <f>AK9+AJ9</f>
        <v>66</v>
      </c>
      <c r="AM9" s="72">
        <v>23</v>
      </c>
      <c r="AN9" s="73">
        <f>+AL9+AM9</f>
        <v>89</v>
      </c>
      <c r="AO9" s="168">
        <f>MAX(AN9:AN23)</f>
        <v>89</v>
      </c>
      <c r="AP9" s="72">
        <f>IF(AN9&lt;40,"F",IF(AN9&lt;50,2,IF(AN9&lt;60,3,IF(AN9&lt;70,3.5,IF(AN9&lt;80,4,5)))))</f>
        <v>5</v>
      </c>
      <c r="AQ9" s="72">
        <v>25</v>
      </c>
      <c r="AR9" s="72">
        <v>25</v>
      </c>
      <c r="AS9" s="72">
        <f>AQ9+AR9</f>
        <v>50</v>
      </c>
      <c r="AT9" s="172">
        <f>MAX(AS9:AS23)</f>
        <v>50</v>
      </c>
      <c r="AU9" s="72">
        <f>IF(AS9&lt;20,"F",IF(AS9&lt;25,2,IF(AS9&lt;30,3,IF(AS9&lt;35,3.5,IF(AS9&lt;40,4,5)))))</f>
        <v>5</v>
      </c>
      <c r="AV9" s="74">
        <v>20</v>
      </c>
      <c r="AW9" s="72">
        <v>49</v>
      </c>
      <c r="AX9" s="73">
        <f>AW9+AV9</f>
        <v>69</v>
      </c>
      <c r="AY9" s="72">
        <v>30</v>
      </c>
      <c r="AZ9" s="73">
        <f>AX9+AY9</f>
        <v>99</v>
      </c>
      <c r="BA9" s="168">
        <f>MAX(AZ9:AZ23)</f>
        <v>99</v>
      </c>
      <c r="BB9" s="72">
        <f>IF(AZ9&lt;40,"F",IF(AZ9&lt;50,2,IF(AZ9&lt;60,3,IF(AZ9&lt;70,3.5,IF(AZ9&lt;80,4,5)))))</f>
        <v>5</v>
      </c>
      <c r="BC9" s="74">
        <v>20</v>
      </c>
      <c r="BD9" s="72">
        <v>38</v>
      </c>
      <c r="BE9" s="73">
        <f>BD9+BC9</f>
        <v>58</v>
      </c>
      <c r="BF9" s="72">
        <v>25</v>
      </c>
      <c r="BG9" s="73">
        <f>BE9+BF9</f>
        <v>83</v>
      </c>
      <c r="BH9" s="168">
        <f>MAX(BG9:BG23)</f>
        <v>88</v>
      </c>
      <c r="BI9" s="72">
        <f>IF(BG9&lt;40,"F",IF(BG9&lt;50,2,IF(BG9&lt;60,3,IF(BG9&lt;70,3.5,IF(BG9&lt;80,4,5)))))</f>
        <v>5</v>
      </c>
      <c r="BJ9" s="74">
        <v>20</v>
      </c>
      <c r="BK9" s="72">
        <v>30</v>
      </c>
      <c r="BL9" s="73">
        <f>BK9+BJ9</f>
        <v>50</v>
      </c>
      <c r="BM9" s="73">
        <f>BL9</f>
        <v>50</v>
      </c>
      <c r="BN9" s="168">
        <f>MAX(BM9:BM23)</f>
        <v>50</v>
      </c>
      <c r="BO9" s="72">
        <f t="shared" ref="BO9:BO23" si="2">IF(BL9&lt;20,"F",IF(BM9&lt;20,"F",IF(BM9&lt;25,2,IF(BM9&lt;30,3,IF(BM9&lt;35,3.5,IF(BM9&lt;40,4,5))))))</f>
        <v>5</v>
      </c>
      <c r="BP9" s="72">
        <f>IF(R9="F","F",IF(AB9="F","F",IF(AI9="F","F",IF(AP9="F","F",IF(BB9="F","F",IF(BI9="F","F",IF(AU9="F","F",IF(BO9="F","F",SUM(R9,AB9,AI9,AP9,AU9,BB9,BO9,BI9)))))))))</f>
        <v>39</v>
      </c>
      <c r="BQ9" s="75">
        <f>IF(BP9="F","F",IF(BP9&gt;=45,5,IF(BP9&lt;45,BP9/8)))</f>
        <v>4.875</v>
      </c>
      <c r="BR9" s="75" t="str">
        <f>IF(BQ9="F","F",IF(BQ9&lt;2.5,"D",IF(BQ9&lt;3,"C",IF(BQ9&lt;3.5,"B",IF(BQ9&lt;4,"A-",IF(BQ9&lt;5,"A","A+"))))))</f>
        <v>A</v>
      </c>
      <c r="BS9" s="57" t="str">
        <f t="shared" ref="BS9:BS23" si="3">IF(BQ9="F","NEED TO PROGRESS",IF(BQ9&gt;=5,"BEST",IF(BQ9&gt;=4,"BETTER",IF(BQ9&gt;=2,"GOOD"))))</f>
        <v>BETTER</v>
      </c>
      <c r="BT9" s="58">
        <f>P9+Z9+AG9+AN9+AS9+AZ9+BG9+BM9</f>
        <v>722</v>
      </c>
      <c r="BU9" s="57">
        <v>6</v>
      </c>
      <c r="BV9" s="62"/>
      <c r="BW9" s="134">
        <f>'1st_Semester'!BT9</f>
        <v>583</v>
      </c>
      <c r="BX9" s="133">
        <f>'2nd_Semester'!BT9</f>
        <v>717</v>
      </c>
      <c r="BY9" s="133">
        <f>BT9</f>
        <v>722</v>
      </c>
      <c r="BZ9" s="133">
        <f>AVERAGE(BW9:BY9)</f>
        <v>674</v>
      </c>
      <c r="CA9" s="132"/>
    </row>
    <row r="10" spans="1:79" ht="27.95" customHeight="1">
      <c r="A10" s="70">
        <v>2</v>
      </c>
      <c r="B10" s="92">
        <v>28</v>
      </c>
      <c r="C10" s="93" t="s">
        <v>105</v>
      </c>
      <c r="D10" s="63" t="s">
        <v>106</v>
      </c>
      <c r="E10" s="63" t="s">
        <v>107</v>
      </c>
      <c r="F10" s="64">
        <v>1773297398</v>
      </c>
      <c r="G10" s="71">
        <v>20</v>
      </c>
      <c r="H10" s="72">
        <v>49</v>
      </c>
      <c r="I10" s="73">
        <f t="shared" ref="I10:I23" si="4">H10+G10</f>
        <v>69</v>
      </c>
      <c r="J10" s="72">
        <v>26</v>
      </c>
      <c r="K10" s="73">
        <f>I10+J10</f>
        <v>95</v>
      </c>
      <c r="L10" s="74">
        <v>10</v>
      </c>
      <c r="M10" s="72">
        <v>39</v>
      </c>
      <c r="N10" s="73">
        <f>M10+L10</f>
        <v>49</v>
      </c>
      <c r="O10" s="73">
        <f t="shared" ref="O10:O23" si="5">N10</f>
        <v>49</v>
      </c>
      <c r="P10" s="73">
        <f t="shared" si="0"/>
        <v>144</v>
      </c>
      <c r="Q10" s="170"/>
      <c r="R10" s="72">
        <f t="shared" ref="R10:R23" si="6">IF(P10&lt;60,"F",IF(P10&lt;75,2,IF(P10&lt;90,3,IF(P10&lt;105,3.5,IF(P10&lt;120,4,5)))))</f>
        <v>5</v>
      </c>
      <c r="S10" s="74">
        <v>17</v>
      </c>
      <c r="T10" s="72">
        <v>42</v>
      </c>
      <c r="U10" s="73">
        <f t="shared" ref="U10:U23" si="7">T10+S10</f>
        <v>59</v>
      </c>
      <c r="V10" s="74">
        <v>10</v>
      </c>
      <c r="W10" s="72">
        <v>31</v>
      </c>
      <c r="X10" s="73">
        <f t="shared" ref="X10:X23" si="8">W10+V10</f>
        <v>41</v>
      </c>
      <c r="Y10" s="73">
        <f t="shared" ref="Y10:Y23" si="9">U10+X10</f>
        <v>100</v>
      </c>
      <c r="Z10" s="73">
        <f t="shared" si="1"/>
        <v>100</v>
      </c>
      <c r="AA10" s="170"/>
      <c r="AB10" s="72">
        <f t="shared" ref="AB10:AB23" si="10">IF(Z10&lt;60,0,IF(Z10&lt;75,2,IF(Z10&lt;90,3,IF(Z10&lt;105,3.5,IF(Z10&lt;120,4,5)))))</f>
        <v>3.5</v>
      </c>
      <c r="AC10" s="74">
        <v>19</v>
      </c>
      <c r="AD10" s="72">
        <v>35</v>
      </c>
      <c r="AE10" s="73">
        <f t="shared" ref="AE10:AE23" si="11">AD10+AC10</f>
        <v>54</v>
      </c>
      <c r="AF10" s="72">
        <v>21</v>
      </c>
      <c r="AG10" s="73">
        <f t="shared" ref="AG10:AG23" si="12">AE10+AF10</f>
        <v>75</v>
      </c>
      <c r="AH10" s="168"/>
      <c r="AI10" s="72">
        <f t="shared" ref="AI10:AI23" si="13">IF(AG10&lt;40,"F",IF(AG10&lt;50,2,IF(AG10&lt;60,3,IF(AG10&lt;70,3.5,IF(AG10&lt;80,4,5)))))</f>
        <v>4</v>
      </c>
      <c r="AJ10" s="74">
        <v>20</v>
      </c>
      <c r="AK10" s="72">
        <v>39</v>
      </c>
      <c r="AL10" s="73">
        <f t="shared" ref="AL10:AL23" si="14">AK10+AJ10</f>
        <v>59</v>
      </c>
      <c r="AM10" s="72">
        <v>29</v>
      </c>
      <c r="AN10" s="73">
        <f t="shared" ref="AN10:AN23" si="15">+AL10+AM10</f>
        <v>88</v>
      </c>
      <c r="AO10" s="168"/>
      <c r="AP10" s="72">
        <f t="shared" ref="AP10:AP23" si="16">IF(AN10&lt;40,"F",IF(AN10&lt;50,2,IF(AN10&lt;60,3,IF(AN10&lt;70,3.5,IF(AN10&lt;80,4,5)))))</f>
        <v>5</v>
      </c>
      <c r="AQ10" s="72">
        <v>25</v>
      </c>
      <c r="AR10" s="104">
        <v>25</v>
      </c>
      <c r="AS10" s="72">
        <f t="shared" ref="AS10:AS23" si="17">AQ10+AR10</f>
        <v>50</v>
      </c>
      <c r="AT10" s="172"/>
      <c r="AU10" s="72">
        <f t="shared" ref="AU10:AU23" si="18">IF(AS10&lt;20,"F",IF(AS10&lt;25,2,IF(AS10&lt;30,3,IF(AS10&lt;35,3.5,IF(AS10&lt;40,4,5)))))</f>
        <v>5</v>
      </c>
      <c r="AV10" s="74">
        <v>20</v>
      </c>
      <c r="AW10" s="72">
        <v>35</v>
      </c>
      <c r="AX10" s="73">
        <f t="shared" ref="AX10:AX23" si="19">AW10+AV10</f>
        <v>55</v>
      </c>
      <c r="AY10" s="72">
        <v>27</v>
      </c>
      <c r="AZ10" s="73">
        <f t="shared" ref="AZ10:AZ23" si="20">AX10+AY10</f>
        <v>82</v>
      </c>
      <c r="BA10" s="168"/>
      <c r="BB10" s="72">
        <f t="shared" ref="BB10:BB23" si="21">IF(AZ10&lt;40,"F",IF(AZ10&lt;50,2,IF(AZ10&lt;60,3,IF(AZ10&lt;70,3.5,IF(AZ10&lt;80,4,5)))))</f>
        <v>5</v>
      </c>
      <c r="BC10" s="74">
        <v>19</v>
      </c>
      <c r="BD10" s="72">
        <v>34</v>
      </c>
      <c r="BE10" s="73">
        <f t="shared" ref="BE10:BE23" si="22">BD10+BC10</f>
        <v>53</v>
      </c>
      <c r="BF10" s="72">
        <v>27</v>
      </c>
      <c r="BG10" s="73">
        <f t="shared" ref="BG10:BG23" si="23">BE10+BF10</f>
        <v>80</v>
      </c>
      <c r="BH10" s="168"/>
      <c r="BI10" s="72">
        <f t="shared" ref="BI10:BI23" si="24">IF(BG10&lt;40,"F",IF(BG10&lt;50,2,IF(BG10&lt;60,3,IF(BG10&lt;70,3.5,IF(BG10&lt;80,4,5)))))</f>
        <v>5</v>
      </c>
      <c r="BJ10" s="74">
        <v>20</v>
      </c>
      <c r="BK10" s="72">
        <v>30</v>
      </c>
      <c r="BL10" s="73">
        <f t="shared" ref="BL10:BL23" si="25">BK10+BJ10</f>
        <v>50</v>
      </c>
      <c r="BM10" s="73">
        <f t="shared" ref="BM10:BM23" si="26">BL10</f>
        <v>50</v>
      </c>
      <c r="BN10" s="168"/>
      <c r="BO10" s="72">
        <f t="shared" si="2"/>
        <v>5</v>
      </c>
      <c r="BP10" s="72">
        <f t="shared" ref="BP10:BP23" si="27">IF(R10="F","F",IF(AB10="F","F",IF(AI10="F","F",IF(AP10="F","F",IF(BB10="F","F",IF(BI10="F","F",IF(AU10="F","F",IF(BO10="F","F",SUM(R10,AB10,AI10,AP10,AU10,BB10,BO10,BI10)))))))))</f>
        <v>37.5</v>
      </c>
      <c r="BQ10" s="75">
        <f t="shared" ref="BQ10:BQ23" si="28">IF(BP10="F","F",IF(BP10&gt;=45,5,IF(BP10&lt;45,BP10/8)))</f>
        <v>4.6875</v>
      </c>
      <c r="BR10" s="75" t="str">
        <f t="shared" ref="BR10:BR23" si="29">IF(BQ10="F","F",IF(BQ10&lt;2.5,"D",IF(BQ10&lt;3,"C",IF(BQ10&lt;3.5,"B",IF(BQ10&lt;4,"A-",IF(BQ10&lt;5,"A","A+"))))))</f>
        <v>A</v>
      </c>
      <c r="BS10" s="57" t="str">
        <f t="shared" si="3"/>
        <v>BETTER</v>
      </c>
      <c r="BT10" s="58">
        <f t="shared" ref="BT10:BT23" si="30">P10+Z10+AG10+AN10+AS10+AZ10+BG10+BM10</f>
        <v>669</v>
      </c>
      <c r="BU10" s="57">
        <v>14</v>
      </c>
      <c r="BV10" s="62"/>
      <c r="BW10" s="134">
        <f>'1st_Semester'!BT10</f>
        <v>587</v>
      </c>
      <c r="BX10" s="133">
        <f>'2nd_Semester'!BT10</f>
        <v>632</v>
      </c>
      <c r="BY10" s="133">
        <f t="shared" ref="BY10:BY23" si="31">BT10</f>
        <v>669</v>
      </c>
      <c r="BZ10" s="133">
        <f t="shared" ref="BZ10:BZ23" si="32">AVERAGE(BW10:BY10)</f>
        <v>629.33333333333337</v>
      </c>
      <c r="CA10" s="132"/>
    </row>
    <row r="11" spans="1:79" ht="27.95" customHeight="1">
      <c r="A11" s="70">
        <v>3</v>
      </c>
      <c r="B11" s="92">
        <v>31</v>
      </c>
      <c r="C11" s="93" t="s">
        <v>108</v>
      </c>
      <c r="D11" s="63" t="s">
        <v>109</v>
      </c>
      <c r="E11" s="63" t="s">
        <v>110</v>
      </c>
      <c r="F11" s="64" t="s">
        <v>111</v>
      </c>
      <c r="G11" s="71">
        <v>20</v>
      </c>
      <c r="H11" s="72">
        <v>36</v>
      </c>
      <c r="I11" s="73">
        <f t="shared" si="4"/>
        <v>56</v>
      </c>
      <c r="J11" s="72">
        <v>21</v>
      </c>
      <c r="K11" s="73">
        <f t="shared" ref="K11:K23" si="33">I11+J11</f>
        <v>77</v>
      </c>
      <c r="L11" s="74">
        <v>10</v>
      </c>
      <c r="M11" s="72">
        <v>38</v>
      </c>
      <c r="N11" s="73">
        <f t="shared" ref="N11:N23" si="34">M11+L11</f>
        <v>48</v>
      </c>
      <c r="O11" s="73">
        <f t="shared" si="5"/>
        <v>48</v>
      </c>
      <c r="P11" s="73">
        <f t="shared" si="0"/>
        <v>125</v>
      </c>
      <c r="Q11" s="170"/>
      <c r="R11" s="72">
        <f t="shared" si="6"/>
        <v>5</v>
      </c>
      <c r="S11" s="74">
        <v>17</v>
      </c>
      <c r="T11" s="72">
        <v>56</v>
      </c>
      <c r="U11" s="73">
        <f t="shared" si="7"/>
        <v>73</v>
      </c>
      <c r="V11" s="74">
        <v>10</v>
      </c>
      <c r="W11" s="72">
        <v>32</v>
      </c>
      <c r="X11" s="73">
        <f t="shared" si="8"/>
        <v>42</v>
      </c>
      <c r="Y11" s="73">
        <f t="shared" si="9"/>
        <v>115</v>
      </c>
      <c r="Z11" s="73">
        <f t="shared" si="1"/>
        <v>115</v>
      </c>
      <c r="AA11" s="170"/>
      <c r="AB11" s="72">
        <f t="shared" si="10"/>
        <v>4</v>
      </c>
      <c r="AC11" s="74">
        <v>16</v>
      </c>
      <c r="AD11" s="72">
        <v>39</v>
      </c>
      <c r="AE11" s="73">
        <f t="shared" si="11"/>
        <v>55</v>
      </c>
      <c r="AF11" s="72">
        <v>21</v>
      </c>
      <c r="AG11" s="73">
        <f t="shared" si="12"/>
        <v>76</v>
      </c>
      <c r="AH11" s="168"/>
      <c r="AI11" s="72">
        <f t="shared" si="13"/>
        <v>4</v>
      </c>
      <c r="AJ11" s="74">
        <v>19</v>
      </c>
      <c r="AK11" s="72">
        <v>29</v>
      </c>
      <c r="AL11" s="73">
        <f t="shared" si="14"/>
        <v>48</v>
      </c>
      <c r="AM11" s="72">
        <v>16</v>
      </c>
      <c r="AN11" s="73">
        <f t="shared" si="15"/>
        <v>64</v>
      </c>
      <c r="AO11" s="168"/>
      <c r="AP11" s="72">
        <f t="shared" si="16"/>
        <v>3.5</v>
      </c>
      <c r="AQ11" s="72">
        <v>25</v>
      </c>
      <c r="AR11" s="104">
        <v>25</v>
      </c>
      <c r="AS11" s="72">
        <f t="shared" si="17"/>
        <v>50</v>
      </c>
      <c r="AT11" s="172"/>
      <c r="AU11" s="72">
        <f t="shared" si="18"/>
        <v>5</v>
      </c>
      <c r="AV11" s="74">
        <v>16</v>
      </c>
      <c r="AW11" s="72">
        <v>38</v>
      </c>
      <c r="AX11" s="73">
        <f t="shared" si="19"/>
        <v>54</v>
      </c>
      <c r="AY11" s="72">
        <v>15</v>
      </c>
      <c r="AZ11" s="73">
        <f t="shared" si="20"/>
        <v>69</v>
      </c>
      <c r="BA11" s="168"/>
      <c r="BB11" s="72">
        <f t="shared" si="21"/>
        <v>3.5</v>
      </c>
      <c r="BC11" s="74">
        <v>17</v>
      </c>
      <c r="BD11" s="72">
        <v>36</v>
      </c>
      <c r="BE11" s="73">
        <f t="shared" si="22"/>
        <v>53</v>
      </c>
      <c r="BF11" s="72">
        <v>25</v>
      </c>
      <c r="BG11" s="73">
        <f t="shared" si="23"/>
        <v>78</v>
      </c>
      <c r="BH11" s="168"/>
      <c r="BI11" s="72">
        <f t="shared" si="24"/>
        <v>4</v>
      </c>
      <c r="BJ11" s="74">
        <v>20</v>
      </c>
      <c r="BK11" s="72">
        <v>30</v>
      </c>
      <c r="BL11" s="73">
        <f t="shared" si="25"/>
        <v>50</v>
      </c>
      <c r="BM11" s="73">
        <f t="shared" si="26"/>
        <v>50</v>
      </c>
      <c r="BN11" s="168"/>
      <c r="BO11" s="72">
        <f t="shared" si="2"/>
        <v>5</v>
      </c>
      <c r="BP11" s="72">
        <f t="shared" si="27"/>
        <v>34</v>
      </c>
      <c r="BQ11" s="75">
        <f t="shared" si="28"/>
        <v>4.25</v>
      </c>
      <c r="BR11" s="75" t="str">
        <f t="shared" si="29"/>
        <v>A</v>
      </c>
      <c r="BS11" s="57" t="str">
        <f t="shared" si="3"/>
        <v>BETTER</v>
      </c>
      <c r="BT11" s="58">
        <f t="shared" si="30"/>
        <v>627</v>
      </c>
      <c r="BU11" s="57">
        <v>21</v>
      </c>
      <c r="BV11" s="62"/>
      <c r="BW11" s="134">
        <f>'1st_Semester'!BT11</f>
        <v>541</v>
      </c>
      <c r="BX11" s="133">
        <f>'2nd_Semester'!BT11</f>
        <v>606</v>
      </c>
      <c r="BY11" s="133">
        <f t="shared" si="31"/>
        <v>627</v>
      </c>
      <c r="BZ11" s="133">
        <f t="shared" si="32"/>
        <v>591.33333333333337</v>
      </c>
      <c r="CA11" s="132"/>
    </row>
    <row r="12" spans="1:79" ht="27.95" customHeight="1">
      <c r="A12" s="70">
        <v>4</v>
      </c>
      <c r="B12" s="92">
        <v>33</v>
      </c>
      <c r="C12" s="94" t="s">
        <v>112</v>
      </c>
      <c r="D12" s="56" t="s">
        <v>113</v>
      </c>
      <c r="E12" s="56" t="s">
        <v>114</v>
      </c>
      <c r="F12" s="95" t="s">
        <v>115</v>
      </c>
      <c r="G12" s="71">
        <v>19</v>
      </c>
      <c r="H12" s="72">
        <v>36</v>
      </c>
      <c r="I12" s="73">
        <f t="shared" si="4"/>
        <v>55</v>
      </c>
      <c r="J12" s="72">
        <v>27</v>
      </c>
      <c r="K12" s="73">
        <f t="shared" si="33"/>
        <v>82</v>
      </c>
      <c r="L12" s="74">
        <v>10</v>
      </c>
      <c r="M12" s="72">
        <v>36</v>
      </c>
      <c r="N12" s="73">
        <f t="shared" si="34"/>
        <v>46</v>
      </c>
      <c r="O12" s="73">
        <f t="shared" si="5"/>
        <v>46</v>
      </c>
      <c r="P12" s="73">
        <f t="shared" si="0"/>
        <v>128</v>
      </c>
      <c r="Q12" s="170"/>
      <c r="R12" s="72">
        <f t="shared" si="6"/>
        <v>5</v>
      </c>
      <c r="S12" s="74">
        <v>17</v>
      </c>
      <c r="T12" s="72">
        <v>58</v>
      </c>
      <c r="U12" s="73">
        <f t="shared" si="7"/>
        <v>75</v>
      </c>
      <c r="V12" s="74">
        <v>10</v>
      </c>
      <c r="W12" s="72">
        <v>31</v>
      </c>
      <c r="X12" s="73">
        <f t="shared" si="8"/>
        <v>41</v>
      </c>
      <c r="Y12" s="73">
        <f t="shared" si="9"/>
        <v>116</v>
      </c>
      <c r="Z12" s="73">
        <f t="shared" si="1"/>
        <v>116</v>
      </c>
      <c r="AA12" s="170"/>
      <c r="AB12" s="72">
        <f t="shared" si="10"/>
        <v>4</v>
      </c>
      <c r="AC12" s="74">
        <v>15</v>
      </c>
      <c r="AD12" s="72">
        <v>40</v>
      </c>
      <c r="AE12" s="73">
        <f t="shared" si="11"/>
        <v>55</v>
      </c>
      <c r="AF12" s="72">
        <v>22</v>
      </c>
      <c r="AG12" s="73">
        <f t="shared" si="12"/>
        <v>77</v>
      </c>
      <c r="AH12" s="168"/>
      <c r="AI12" s="72">
        <f t="shared" si="13"/>
        <v>4</v>
      </c>
      <c r="AJ12" s="74">
        <v>13</v>
      </c>
      <c r="AK12" s="72">
        <v>31</v>
      </c>
      <c r="AL12" s="73">
        <f t="shared" si="14"/>
        <v>44</v>
      </c>
      <c r="AM12" s="72">
        <v>17</v>
      </c>
      <c r="AN12" s="73">
        <f t="shared" si="15"/>
        <v>61</v>
      </c>
      <c r="AO12" s="168"/>
      <c r="AP12" s="72">
        <f t="shared" si="16"/>
        <v>3.5</v>
      </c>
      <c r="AQ12" s="72">
        <v>24</v>
      </c>
      <c r="AR12" s="104">
        <v>25</v>
      </c>
      <c r="AS12" s="72">
        <f t="shared" si="17"/>
        <v>49</v>
      </c>
      <c r="AT12" s="172"/>
      <c r="AU12" s="72">
        <f t="shared" si="18"/>
        <v>5</v>
      </c>
      <c r="AV12" s="74">
        <v>18</v>
      </c>
      <c r="AW12" s="72">
        <v>38</v>
      </c>
      <c r="AX12" s="73">
        <f t="shared" si="19"/>
        <v>56</v>
      </c>
      <c r="AY12" s="72">
        <v>27</v>
      </c>
      <c r="AZ12" s="73">
        <f t="shared" si="20"/>
        <v>83</v>
      </c>
      <c r="BA12" s="168"/>
      <c r="BB12" s="72">
        <f t="shared" si="21"/>
        <v>5</v>
      </c>
      <c r="BC12" s="74">
        <v>17</v>
      </c>
      <c r="BD12" s="72">
        <v>28</v>
      </c>
      <c r="BE12" s="73">
        <f t="shared" si="22"/>
        <v>45</v>
      </c>
      <c r="BF12" s="72">
        <v>23</v>
      </c>
      <c r="BG12" s="73">
        <f t="shared" si="23"/>
        <v>68</v>
      </c>
      <c r="BH12" s="168"/>
      <c r="BI12" s="72">
        <f t="shared" si="24"/>
        <v>3.5</v>
      </c>
      <c r="BJ12" s="74">
        <v>19</v>
      </c>
      <c r="BK12" s="72">
        <v>29</v>
      </c>
      <c r="BL12" s="73">
        <f t="shared" si="25"/>
        <v>48</v>
      </c>
      <c r="BM12" s="73">
        <f t="shared" si="26"/>
        <v>48</v>
      </c>
      <c r="BN12" s="168"/>
      <c r="BO12" s="72">
        <f t="shared" si="2"/>
        <v>5</v>
      </c>
      <c r="BP12" s="72">
        <f t="shared" si="27"/>
        <v>35</v>
      </c>
      <c r="BQ12" s="75">
        <f t="shared" si="28"/>
        <v>4.375</v>
      </c>
      <c r="BR12" s="75" t="str">
        <f t="shared" si="29"/>
        <v>A</v>
      </c>
      <c r="BS12" s="57" t="str">
        <f t="shared" si="3"/>
        <v>BETTER</v>
      </c>
      <c r="BT12" s="58">
        <f t="shared" si="30"/>
        <v>630</v>
      </c>
      <c r="BU12" s="57">
        <v>28</v>
      </c>
      <c r="BV12" s="62"/>
      <c r="BW12" s="134">
        <f>'1st_Semester'!BT12</f>
        <v>486</v>
      </c>
      <c r="BX12" s="133">
        <f>'2nd_Semester'!BT12</f>
        <v>584</v>
      </c>
      <c r="BY12" s="133">
        <f t="shared" si="31"/>
        <v>630</v>
      </c>
      <c r="BZ12" s="133">
        <f t="shared" si="32"/>
        <v>566.66666666666663</v>
      </c>
      <c r="CA12" s="132"/>
    </row>
    <row r="13" spans="1:79" ht="27.95" customHeight="1">
      <c r="A13" s="70">
        <v>5</v>
      </c>
      <c r="B13" s="92">
        <v>49</v>
      </c>
      <c r="C13" s="94" t="s">
        <v>116</v>
      </c>
      <c r="D13" s="56" t="s">
        <v>85</v>
      </c>
      <c r="E13" s="56" t="s">
        <v>117</v>
      </c>
      <c r="F13" s="95" t="s">
        <v>118</v>
      </c>
      <c r="G13" s="71">
        <v>19</v>
      </c>
      <c r="H13" s="72">
        <v>33</v>
      </c>
      <c r="I13" s="73">
        <f t="shared" si="4"/>
        <v>52</v>
      </c>
      <c r="J13" s="72">
        <v>27</v>
      </c>
      <c r="K13" s="73">
        <f t="shared" si="33"/>
        <v>79</v>
      </c>
      <c r="L13" s="74">
        <v>10</v>
      </c>
      <c r="M13" s="72">
        <v>29</v>
      </c>
      <c r="N13" s="73">
        <f t="shared" si="34"/>
        <v>39</v>
      </c>
      <c r="O13" s="73">
        <f t="shared" si="5"/>
        <v>39</v>
      </c>
      <c r="P13" s="73">
        <f t="shared" si="0"/>
        <v>118</v>
      </c>
      <c r="Q13" s="170"/>
      <c r="R13" s="72">
        <f t="shared" si="6"/>
        <v>4</v>
      </c>
      <c r="S13" s="74">
        <v>18</v>
      </c>
      <c r="T13" s="72">
        <v>47</v>
      </c>
      <c r="U13" s="73">
        <f t="shared" si="7"/>
        <v>65</v>
      </c>
      <c r="V13" s="74">
        <v>10</v>
      </c>
      <c r="W13" s="72">
        <v>32</v>
      </c>
      <c r="X13" s="73">
        <f t="shared" si="8"/>
        <v>42</v>
      </c>
      <c r="Y13" s="73">
        <f t="shared" si="9"/>
        <v>107</v>
      </c>
      <c r="Z13" s="73">
        <f t="shared" si="1"/>
        <v>107</v>
      </c>
      <c r="AA13" s="170"/>
      <c r="AB13" s="72">
        <f t="shared" si="10"/>
        <v>4</v>
      </c>
      <c r="AC13" s="74">
        <v>17</v>
      </c>
      <c r="AD13" s="72">
        <v>20</v>
      </c>
      <c r="AE13" s="73">
        <f t="shared" si="11"/>
        <v>37</v>
      </c>
      <c r="AF13" s="72">
        <v>16</v>
      </c>
      <c r="AG13" s="73">
        <f t="shared" si="12"/>
        <v>53</v>
      </c>
      <c r="AH13" s="168"/>
      <c r="AI13" s="72">
        <f t="shared" si="13"/>
        <v>3</v>
      </c>
      <c r="AJ13" s="74">
        <v>15</v>
      </c>
      <c r="AK13" s="72">
        <v>23</v>
      </c>
      <c r="AL13" s="73">
        <f t="shared" si="14"/>
        <v>38</v>
      </c>
      <c r="AM13" s="72">
        <v>12</v>
      </c>
      <c r="AN13" s="73">
        <f t="shared" si="15"/>
        <v>50</v>
      </c>
      <c r="AO13" s="168"/>
      <c r="AP13" s="72">
        <f t="shared" si="16"/>
        <v>3</v>
      </c>
      <c r="AQ13" s="72">
        <v>22</v>
      </c>
      <c r="AR13" s="104">
        <v>25</v>
      </c>
      <c r="AS13" s="72">
        <f t="shared" si="17"/>
        <v>47</v>
      </c>
      <c r="AT13" s="172"/>
      <c r="AU13" s="72">
        <f t="shared" si="18"/>
        <v>5</v>
      </c>
      <c r="AV13" s="74">
        <v>16</v>
      </c>
      <c r="AW13" s="72">
        <v>25</v>
      </c>
      <c r="AX13" s="73">
        <f t="shared" si="19"/>
        <v>41</v>
      </c>
      <c r="AY13" s="72">
        <v>6</v>
      </c>
      <c r="AZ13" s="73">
        <f t="shared" si="20"/>
        <v>47</v>
      </c>
      <c r="BA13" s="168"/>
      <c r="BB13" s="72">
        <f t="shared" si="21"/>
        <v>2</v>
      </c>
      <c r="BC13" s="74">
        <v>16</v>
      </c>
      <c r="BD13" s="72">
        <v>31</v>
      </c>
      <c r="BE13" s="73">
        <f t="shared" si="22"/>
        <v>47</v>
      </c>
      <c r="BF13" s="72">
        <v>25</v>
      </c>
      <c r="BG13" s="73">
        <f t="shared" si="23"/>
        <v>72</v>
      </c>
      <c r="BH13" s="168"/>
      <c r="BI13" s="72">
        <f t="shared" si="24"/>
        <v>4</v>
      </c>
      <c r="BJ13" s="74">
        <v>16</v>
      </c>
      <c r="BK13" s="72">
        <v>26</v>
      </c>
      <c r="BL13" s="73">
        <f t="shared" si="25"/>
        <v>42</v>
      </c>
      <c r="BM13" s="73">
        <f t="shared" si="26"/>
        <v>42</v>
      </c>
      <c r="BN13" s="168"/>
      <c r="BO13" s="72">
        <f t="shared" si="2"/>
        <v>5</v>
      </c>
      <c r="BP13" s="72">
        <f t="shared" si="27"/>
        <v>30</v>
      </c>
      <c r="BQ13" s="75">
        <f t="shared" si="28"/>
        <v>3.75</v>
      </c>
      <c r="BR13" s="75" t="str">
        <f t="shared" si="29"/>
        <v>A-</v>
      </c>
      <c r="BS13" s="57" t="str">
        <f t="shared" si="3"/>
        <v>GOOD</v>
      </c>
      <c r="BT13" s="58">
        <f t="shared" si="30"/>
        <v>536</v>
      </c>
      <c r="BU13" s="57">
        <v>46</v>
      </c>
      <c r="BV13" s="62"/>
      <c r="BW13" s="134">
        <f>'1st_Semester'!BT13</f>
        <v>420</v>
      </c>
      <c r="BX13" s="133">
        <f>'2nd_Semester'!BT13</f>
        <v>506</v>
      </c>
      <c r="BY13" s="133">
        <f t="shared" si="31"/>
        <v>536</v>
      </c>
      <c r="BZ13" s="133">
        <f t="shared" si="32"/>
        <v>487.33333333333331</v>
      </c>
      <c r="CA13" s="132"/>
    </row>
    <row r="14" spans="1:79" ht="27.95" customHeight="1">
      <c r="A14" s="70">
        <v>6</v>
      </c>
      <c r="B14" s="96">
        <v>60</v>
      </c>
      <c r="C14" s="93" t="s">
        <v>119</v>
      </c>
      <c r="D14" s="63" t="s">
        <v>120</v>
      </c>
      <c r="E14" s="63" t="s">
        <v>121</v>
      </c>
      <c r="F14" s="64" t="s">
        <v>122</v>
      </c>
      <c r="G14" s="71">
        <v>20</v>
      </c>
      <c r="H14" s="72">
        <v>36</v>
      </c>
      <c r="I14" s="73">
        <f t="shared" si="4"/>
        <v>56</v>
      </c>
      <c r="J14" s="72">
        <v>25</v>
      </c>
      <c r="K14" s="73">
        <f t="shared" si="33"/>
        <v>81</v>
      </c>
      <c r="L14" s="74">
        <v>10</v>
      </c>
      <c r="M14" s="72">
        <v>36</v>
      </c>
      <c r="N14" s="73">
        <f t="shared" si="34"/>
        <v>46</v>
      </c>
      <c r="O14" s="73">
        <f t="shared" si="5"/>
        <v>46</v>
      </c>
      <c r="P14" s="73">
        <f t="shared" si="0"/>
        <v>127</v>
      </c>
      <c r="Q14" s="170"/>
      <c r="R14" s="72">
        <f t="shared" si="6"/>
        <v>5</v>
      </c>
      <c r="S14" s="74">
        <v>19</v>
      </c>
      <c r="T14" s="72">
        <v>43</v>
      </c>
      <c r="U14" s="73">
        <f t="shared" si="7"/>
        <v>62</v>
      </c>
      <c r="V14" s="74">
        <v>9</v>
      </c>
      <c r="W14" s="72">
        <v>24</v>
      </c>
      <c r="X14" s="73">
        <f t="shared" si="8"/>
        <v>33</v>
      </c>
      <c r="Y14" s="73">
        <f t="shared" si="9"/>
        <v>95</v>
      </c>
      <c r="Z14" s="73">
        <f t="shared" si="1"/>
        <v>95</v>
      </c>
      <c r="AA14" s="170"/>
      <c r="AB14" s="72">
        <f t="shared" si="10"/>
        <v>3.5</v>
      </c>
      <c r="AC14" s="74">
        <v>19</v>
      </c>
      <c r="AD14" s="72">
        <v>36</v>
      </c>
      <c r="AE14" s="73">
        <f t="shared" si="11"/>
        <v>55</v>
      </c>
      <c r="AF14" s="72">
        <v>20</v>
      </c>
      <c r="AG14" s="73">
        <f t="shared" si="12"/>
        <v>75</v>
      </c>
      <c r="AH14" s="168"/>
      <c r="AI14" s="72">
        <f t="shared" si="13"/>
        <v>4</v>
      </c>
      <c r="AJ14" s="74">
        <v>16</v>
      </c>
      <c r="AK14" s="72">
        <v>28</v>
      </c>
      <c r="AL14" s="73">
        <f t="shared" si="14"/>
        <v>44</v>
      </c>
      <c r="AM14" s="72">
        <v>14</v>
      </c>
      <c r="AN14" s="73">
        <f t="shared" si="15"/>
        <v>58</v>
      </c>
      <c r="AO14" s="168"/>
      <c r="AP14" s="72">
        <f t="shared" si="16"/>
        <v>3</v>
      </c>
      <c r="AQ14" s="72">
        <v>24</v>
      </c>
      <c r="AR14" s="104">
        <v>25</v>
      </c>
      <c r="AS14" s="72">
        <f t="shared" si="17"/>
        <v>49</v>
      </c>
      <c r="AT14" s="172"/>
      <c r="AU14" s="72">
        <f t="shared" si="18"/>
        <v>5</v>
      </c>
      <c r="AV14" s="74">
        <v>17</v>
      </c>
      <c r="AW14" s="72">
        <v>34</v>
      </c>
      <c r="AX14" s="73">
        <f t="shared" si="19"/>
        <v>51</v>
      </c>
      <c r="AY14" s="72">
        <v>21</v>
      </c>
      <c r="AZ14" s="73">
        <f t="shared" si="20"/>
        <v>72</v>
      </c>
      <c r="BA14" s="168"/>
      <c r="BB14" s="72">
        <f t="shared" si="21"/>
        <v>4</v>
      </c>
      <c r="BC14" s="74">
        <v>18</v>
      </c>
      <c r="BD14" s="72">
        <v>31</v>
      </c>
      <c r="BE14" s="73">
        <f t="shared" si="22"/>
        <v>49</v>
      </c>
      <c r="BF14" s="72">
        <v>22</v>
      </c>
      <c r="BG14" s="73">
        <f t="shared" si="23"/>
        <v>71</v>
      </c>
      <c r="BH14" s="168"/>
      <c r="BI14" s="72">
        <f t="shared" si="24"/>
        <v>4</v>
      </c>
      <c r="BJ14" s="74">
        <v>19</v>
      </c>
      <c r="BK14" s="72">
        <v>29</v>
      </c>
      <c r="BL14" s="73">
        <f t="shared" si="25"/>
        <v>48</v>
      </c>
      <c r="BM14" s="73">
        <f t="shared" si="26"/>
        <v>48</v>
      </c>
      <c r="BN14" s="168"/>
      <c r="BO14" s="72">
        <f t="shared" si="2"/>
        <v>5</v>
      </c>
      <c r="BP14" s="72">
        <f t="shared" si="27"/>
        <v>33.5</v>
      </c>
      <c r="BQ14" s="75">
        <f t="shared" si="28"/>
        <v>4.1875</v>
      </c>
      <c r="BR14" s="75" t="str">
        <f t="shared" si="29"/>
        <v>A</v>
      </c>
      <c r="BS14" s="57" t="str">
        <f t="shared" si="3"/>
        <v>BETTER</v>
      </c>
      <c r="BT14" s="58">
        <f t="shared" si="30"/>
        <v>595</v>
      </c>
      <c r="BU14" s="57">
        <v>34</v>
      </c>
      <c r="BV14" s="62"/>
      <c r="BW14" s="134">
        <f>'1st_Semester'!BT14</f>
        <v>466</v>
      </c>
      <c r="BX14" s="133">
        <f>'2nd_Semester'!BT14</f>
        <v>601</v>
      </c>
      <c r="BY14" s="133">
        <f t="shared" si="31"/>
        <v>595</v>
      </c>
      <c r="BZ14" s="133">
        <f t="shared" si="32"/>
        <v>554</v>
      </c>
      <c r="CA14" s="132"/>
    </row>
    <row r="15" spans="1:79" ht="27.95" customHeight="1">
      <c r="A15" s="70">
        <v>7</v>
      </c>
      <c r="B15" s="96">
        <v>68</v>
      </c>
      <c r="C15" s="93" t="s">
        <v>123</v>
      </c>
      <c r="D15" s="63" t="s">
        <v>124</v>
      </c>
      <c r="E15" s="63" t="s">
        <v>125</v>
      </c>
      <c r="F15" s="64" t="s">
        <v>126</v>
      </c>
      <c r="G15" s="71">
        <v>0</v>
      </c>
      <c r="H15" s="72">
        <v>0</v>
      </c>
      <c r="I15" s="73">
        <f t="shared" si="4"/>
        <v>0</v>
      </c>
      <c r="J15" s="72">
        <v>0</v>
      </c>
      <c r="K15" s="73">
        <f t="shared" si="33"/>
        <v>0</v>
      </c>
      <c r="L15" s="74">
        <v>0</v>
      </c>
      <c r="M15" s="72">
        <v>0</v>
      </c>
      <c r="N15" s="73">
        <f t="shared" si="34"/>
        <v>0</v>
      </c>
      <c r="O15" s="73">
        <f t="shared" si="5"/>
        <v>0</v>
      </c>
      <c r="P15" s="73">
        <f t="shared" si="0"/>
        <v>0</v>
      </c>
      <c r="Q15" s="170"/>
      <c r="R15" s="72" t="str">
        <f t="shared" si="6"/>
        <v>F</v>
      </c>
      <c r="S15" s="74">
        <v>0</v>
      </c>
      <c r="T15" s="72">
        <v>0</v>
      </c>
      <c r="U15" s="73">
        <f t="shared" si="7"/>
        <v>0</v>
      </c>
      <c r="V15" s="74">
        <v>0</v>
      </c>
      <c r="W15" s="72">
        <v>0</v>
      </c>
      <c r="X15" s="73">
        <f t="shared" si="8"/>
        <v>0</v>
      </c>
      <c r="Y15" s="73">
        <f t="shared" si="9"/>
        <v>0</v>
      </c>
      <c r="Z15" s="73">
        <f t="shared" si="1"/>
        <v>0</v>
      </c>
      <c r="AA15" s="170"/>
      <c r="AB15" s="72">
        <f t="shared" si="10"/>
        <v>0</v>
      </c>
      <c r="AC15" s="74">
        <v>0</v>
      </c>
      <c r="AD15" s="72">
        <v>0</v>
      </c>
      <c r="AE15" s="73">
        <f t="shared" si="11"/>
        <v>0</v>
      </c>
      <c r="AF15" s="72">
        <v>0</v>
      </c>
      <c r="AG15" s="73">
        <f t="shared" si="12"/>
        <v>0</v>
      </c>
      <c r="AH15" s="168"/>
      <c r="AI15" s="72" t="str">
        <f t="shared" si="13"/>
        <v>F</v>
      </c>
      <c r="AJ15" s="74">
        <v>0</v>
      </c>
      <c r="AK15" s="72">
        <v>0</v>
      </c>
      <c r="AL15" s="73">
        <f t="shared" si="14"/>
        <v>0</v>
      </c>
      <c r="AM15" s="72">
        <v>0</v>
      </c>
      <c r="AN15" s="73">
        <f t="shared" si="15"/>
        <v>0</v>
      </c>
      <c r="AO15" s="168"/>
      <c r="AP15" s="72" t="str">
        <f t="shared" si="16"/>
        <v>F</v>
      </c>
      <c r="AQ15" s="72">
        <v>0</v>
      </c>
      <c r="AR15" s="72">
        <v>0</v>
      </c>
      <c r="AS15" s="72">
        <f t="shared" si="17"/>
        <v>0</v>
      </c>
      <c r="AT15" s="172"/>
      <c r="AU15" s="72" t="str">
        <f t="shared" si="18"/>
        <v>F</v>
      </c>
      <c r="AV15" s="74">
        <v>0</v>
      </c>
      <c r="AW15" s="72">
        <v>0</v>
      </c>
      <c r="AX15" s="73">
        <f t="shared" si="19"/>
        <v>0</v>
      </c>
      <c r="AY15" s="72">
        <v>0</v>
      </c>
      <c r="AZ15" s="73">
        <f t="shared" si="20"/>
        <v>0</v>
      </c>
      <c r="BA15" s="168"/>
      <c r="BB15" s="72" t="str">
        <f t="shared" si="21"/>
        <v>F</v>
      </c>
      <c r="BC15" s="74">
        <v>0</v>
      </c>
      <c r="BD15" s="72">
        <v>0</v>
      </c>
      <c r="BE15" s="73">
        <f t="shared" si="22"/>
        <v>0</v>
      </c>
      <c r="BF15" s="72">
        <v>0</v>
      </c>
      <c r="BG15" s="73">
        <f t="shared" si="23"/>
        <v>0</v>
      </c>
      <c r="BH15" s="168"/>
      <c r="BI15" s="72" t="str">
        <f t="shared" si="24"/>
        <v>F</v>
      </c>
      <c r="BJ15" s="74">
        <v>0</v>
      </c>
      <c r="BK15" s="72">
        <v>0</v>
      </c>
      <c r="BL15" s="73">
        <f t="shared" si="25"/>
        <v>0</v>
      </c>
      <c r="BM15" s="73">
        <f t="shared" si="26"/>
        <v>0</v>
      </c>
      <c r="BN15" s="168"/>
      <c r="BO15" s="72" t="str">
        <f t="shared" si="2"/>
        <v>F</v>
      </c>
      <c r="BP15" s="72" t="str">
        <f t="shared" si="27"/>
        <v>F</v>
      </c>
      <c r="BQ15" s="75" t="str">
        <f t="shared" si="28"/>
        <v>F</v>
      </c>
      <c r="BR15" s="75" t="str">
        <f t="shared" si="29"/>
        <v>F</v>
      </c>
      <c r="BS15" s="57" t="str">
        <f t="shared" si="3"/>
        <v>NEED TO PROGRESS</v>
      </c>
      <c r="BT15" s="58">
        <f t="shared" si="30"/>
        <v>0</v>
      </c>
      <c r="BU15" s="57"/>
      <c r="BV15" s="62"/>
      <c r="BW15" s="134">
        <f>'1st_Semester'!BT15</f>
        <v>321</v>
      </c>
      <c r="BX15" s="133">
        <f>'2nd_Semester'!BT15</f>
        <v>322</v>
      </c>
      <c r="BY15" s="133">
        <f t="shared" si="31"/>
        <v>0</v>
      </c>
      <c r="BZ15" s="133">
        <f t="shared" si="32"/>
        <v>214.33333333333334</v>
      </c>
      <c r="CA15" s="132"/>
    </row>
    <row r="16" spans="1:79" ht="27.95" customHeight="1">
      <c r="A16" s="70">
        <v>8</v>
      </c>
      <c r="B16" s="96">
        <v>78</v>
      </c>
      <c r="C16" s="93" t="s">
        <v>127</v>
      </c>
      <c r="D16" s="63" t="s">
        <v>128</v>
      </c>
      <c r="E16" s="63" t="s">
        <v>129</v>
      </c>
      <c r="F16" s="64" t="s">
        <v>130</v>
      </c>
      <c r="G16" s="71">
        <v>19</v>
      </c>
      <c r="H16" s="72">
        <v>21</v>
      </c>
      <c r="I16" s="73">
        <f t="shared" si="4"/>
        <v>40</v>
      </c>
      <c r="J16" s="72">
        <v>17</v>
      </c>
      <c r="K16" s="73">
        <f t="shared" si="33"/>
        <v>57</v>
      </c>
      <c r="L16" s="74">
        <v>10</v>
      </c>
      <c r="M16" s="72">
        <v>34</v>
      </c>
      <c r="N16" s="73">
        <f t="shared" si="34"/>
        <v>44</v>
      </c>
      <c r="O16" s="73">
        <f t="shared" si="5"/>
        <v>44</v>
      </c>
      <c r="P16" s="73">
        <f t="shared" si="0"/>
        <v>101</v>
      </c>
      <c r="Q16" s="170"/>
      <c r="R16" s="72">
        <f t="shared" si="6"/>
        <v>3.5</v>
      </c>
      <c r="S16" s="74">
        <v>14</v>
      </c>
      <c r="T16" s="72">
        <v>27</v>
      </c>
      <c r="U16" s="73">
        <f t="shared" si="7"/>
        <v>41</v>
      </c>
      <c r="V16" s="74">
        <v>9</v>
      </c>
      <c r="W16" s="72">
        <v>19</v>
      </c>
      <c r="X16" s="73">
        <f t="shared" si="8"/>
        <v>28</v>
      </c>
      <c r="Y16" s="73">
        <f t="shared" si="9"/>
        <v>69</v>
      </c>
      <c r="Z16" s="73">
        <f t="shared" si="1"/>
        <v>69</v>
      </c>
      <c r="AA16" s="170"/>
      <c r="AB16" s="72">
        <f t="shared" si="10"/>
        <v>2</v>
      </c>
      <c r="AC16" s="74">
        <v>18</v>
      </c>
      <c r="AD16" s="72">
        <v>21</v>
      </c>
      <c r="AE16" s="73">
        <f t="shared" si="11"/>
        <v>39</v>
      </c>
      <c r="AF16" s="72">
        <v>12</v>
      </c>
      <c r="AG16" s="73">
        <f t="shared" si="12"/>
        <v>51</v>
      </c>
      <c r="AH16" s="168"/>
      <c r="AI16" s="72">
        <f t="shared" si="13"/>
        <v>3</v>
      </c>
      <c r="AJ16" s="74">
        <v>11</v>
      </c>
      <c r="AK16" s="72">
        <v>20</v>
      </c>
      <c r="AL16" s="73">
        <f t="shared" si="14"/>
        <v>31</v>
      </c>
      <c r="AM16" s="72">
        <v>19</v>
      </c>
      <c r="AN16" s="73">
        <f t="shared" si="15"/>
        <v>50</v>
      </c>
      <c r="AO16" s="168"/>
      <c r="AP16" s="72">
        <f t="shared" si="16"/>
        <v>3</v>
      </c>
      <c r="AQ16" s="72">
        <v>22</v>
      </c>
      <c r="AR16" s="72">
        <v>25</v>
      </c>
      <c r="AS16" s="72">
        <f t="shared" si="17"/>
        <v>47</v>
      </c>
      <c r="AT16" s="172"/>
      <c r="AU16" s="72">
        <f t="shared" si="18"/>
        <v>5</v>
      </c>
      <c r="AV16" s="74">
        <v>14</v>
      </c>
      <c r="AW16" s="72">
        <v>20</v>
      </c>
      <c r="AX16" s="73">
        <f t="shared" si="19"/>
        <v>34</v>
      </c>
      <c r="AY16" s="72">
        <v>20</v>
      </c>
      <c r="AZ16" s="73">
        <f t="shared" si="20"/>
        <v>54</v>
      </c>
      <c r="BA16" s="168"/>
      <c r="BB16" s="72">
        <f t="shared" si="21"/>
        <v>3</v>
      </c>
      <c r="BC16" s="74">
        <v>13</v>
      </c>
      <c r="BD16" s="72">
        <v>20</v>
      </c>
      <c r="BE16" s="73">
        <f t="shared" si="22"/>
        <v>33</v>
      </c>
      <c r="BF16" s="72">
        <v>21</v>
      </c>
      <c r="BG16" s="73">
        <f t="shared" si="23"/>
        <v>54</v>
      </c>
      <c r="BH16" s="168"/>
      <c r="BI16" s="72">
        <f t="shared" si="24"/>
        <v>3</v>
      </c>
      <c r="BJ16" s="74">
        <v>20</v>
      </c>
      <c r="BK16" s="72">
        <v>30</v>
      </c>
      <c r="BL16" s="73">
        <f t="shared" si="25"/>
        <v>50</v>
      </c>
      <c r="BM16" s="73">
        <f t="shared" si="26"/>
        <v>50</v>
      </c>
      <c r="BN16" s="168"/>
      <c r="BO16" s="72">
        <f t="shared" si="2"/>
        <v>5</v>
      </c>
      <c r="BP16" s="72">
        <f t="shared" si="27"/>
        <v>27.5</v>
      </c>
      <c r="BQ16" s="75">
        <f t="shared" si="28"/>
        <v>3.4375</v>
      </c>
      <c r="BR16" s="75" t="str">
        <f t="shared" si="29"/>
        <v>B</v>
      </c>
      <c r="BS16" s="57" t="str">
        <f t="shared" si="3"/>
        <v>GOOD</v>
      </c>
      <c r="BT16" s="58">
        <f t="shared" si="30"/>
        <v>476</v>
      </c>
      <c r="BU16" s="57">
        <v>50</v>
      </c>
      <c r="BV16" s="62"/>
      <c r="BW16" s="134">
        <f>'1st_Semester'!BT16</f>
        <v>353</v>
      </c>
      <c r="BX16" s="133">
        <f>'2nd_Semester'!BT16</f>
        <v>515</v>
      </c>
      <c r="BY16" s="133">
        <f t="shared" si="31"/>
        <v>476</v>
      </c>
      <c r="BZ16" s="133">
        <f t="shared" si="32"/>
        <v>448</v>
      </c>
      <c r="CA16" s="132"/>
    </row>
    <row r="17" spans="1:83" ht="27.95" customHeight="1">
      <c r="A17" s="70">
        <v>9</v>
      </c>
      <c r="B17" s="96">
        <v>80</v>
      </c>
      <c r="C17" s="93" t="s">
        <v>131</v>
      </c>
      <c r="D17" s="63" t="s">
        <v>132</v>
      </c>
      <c r="E17" s="63" t="s">
        <v>133</v>
      </c>
      <c r="F17" s="64" t="s">
        <v>134</v>
      </c>
      <c r="G17" s="71">
        <v>20</v>
      </c>
      <c r="H17" s="72">
        <v>48</v>
      </c>
      <c r="I17" s="73">
        <f t="shared" si="4"/>
        <v>68</v>
      </c>
      <c r="J17" s="72">
        <v>27</v>
      </c>
      <c r="K17" s="73">
        <f t="shared" si="33"/>
        <v>95</v>
      </c>
      <c r="L17" s="74">
        <v>10</v>
      </c>
      <c r="M17" s="72">
        <v>37</v>
      </c>
      <c r="N17" s="73">
        <f t="shared" si="34"/>
        <v>47</v>
      </c>
      <c r="O17" s="73">
        <f t="shared" si="5"/>
        <v>47</v>
      </c>
      <c r="P17" s="73">
        <f t="shared" si="0"/>
        <v>142</v>
      </c>
      <c r="Q17" s="170"/>
      <c r="R17" s="72">
        <f t="shared" si="6"/>
        <v>5</v>
      </c>
      <c r="S17" s="74">
        <v>17</v>
      </c>
      <c r="T17" s="72">
        <v>43</v>
      </c>
      <c r="U17" s="73">
        <f t="shared" si="7"/>
        <v>60</v>
      </c>
      <c r="V17" s="74">
        <v>10</v>
      </c>
      <c r="W17" s="72">
        <v>30</v>
      </c>
      <c r="X17" s="73">
        <f t="shared" si="8"/>
        <v>40</v>
      </c>
      <c r="Y17" s="73">
        <f t="shared" si="9"/>
        <v>100</v>
      </c>
      <c r="Z17" s="73">
        <f t="shared" si="1"/>
        <v>100</v>
      </c>
      <c r="AA17" s="170"/>
      <c r="AB17" s="72">
        <f t="shared" si="10"/>
        <v>3.5</v>
      </c>
      <c r="AC17" s="74">
        <v>20</v>
      </c>
      <c r="AD17" s="72">
        <v>33</v>
      </c>
      <c r="AE17" s="73">
        <f t="shared" si="11"/>
        <v>53</v>
      </c>
      <c r="AF17" s="72">
        <v>23</v>
      </c>
      <c r="AG17" s="73">
        <f t="shared" si="12"/>
        <v>76</v>
      </c>
      <c r="AH17" s="168"/>
      <c r="AI17" s="72">
        <f t="shared" si="13"/>
        <v>4</v>
      </c>
      <c r="AJ17" s="74">
        <v>16</v>
      </c>
      <c r="AK17" s="72">
        <v>29</v>
      </c>
      <c r="AL17" s="73">
        <f t="shared" si="14"/>
        <v>45</v>
      </c>
      <c r="AM17" s="72">
        <v>19</v>
      </c>
      <c r="AN17" s="73">
        <f t="shared" si="15"/>
        <v>64</v>
      </c>
      <c r="AO17" s="168"/>
      <c r="AP17" s="72">
        <f t="shared" si="16"/>
        <v>3.5</v>
      </c>
      <c r="AQ17" s="72">
        <v>25</v>
      </c>
      <c r="AR17" s="104">
        <v>25</v>
      </c>
      <c r="AS17" s="72">
        <f t="shared" si="17"/>
        <v>50</v>
      </c>
      <c r="AT17" s="172"/>
      <c r="AU17" s="72">
        <f t="shared" si="18"/>
        <v>5</v>
      </c>
      <c r="AV17" s="74">
        <v>19</v>
      </c>
      <c r="AW17" s="72">
        <v>40</v>
      </c>
      <c r="AX17" s="73">
        <f t="shared" si="19"/>
        <v>59</v>
      </c>
      <c r="AY17" s="72">
        <v>24</v>
      </c>
      <c r="AZ17" s="73">
        <f t="shared" si="20"/>
        <v>83</v>
      </c>
      <c r="BA17" s="168"/>
      <c r="BB17" s="72">
        <f t="shared" si="21"/>
        <v>5</v>
      </c>
      <c r="BC17" s="74">
        <v>19</v>
      </c>
      <c r="BD17" s="72">
        <v>41</v>
      </c>
      <c r="BE17" s="73">
        <f t="shared" si="22"/>
        <v>60</v>
      </c>
      <c r="BF17" s="72">
        <v>28</v>
      </c>
      <c r="BG17" s="73">
        <f t="shared" si="23"/>
        <v>88</v>
      </c>
      <c r="BH17" s="168"/>
      <c r="BI17" s="72">
        <f t="shared" si="24"/>
        <v>5</v>
      </c>
      <c r="BJ17" s="74">
        <v>15</v>
      </c>
      <c r="BK17" s="72">
        <v>25</v>
      </c>
      <c r="BL17" s="73">
        <f t="shared" si="25"/>
        <v>40</v>
      </c>
      <c r="BM17" s="73">
        <f t="shared" si="26"/>
        <v>40</v>
      </c>
      <c r="BN17" s="168"/>
      <c r="BO17" s="72">
        <f t="shared" si="2"/>
        <v>5</v>
      </c>
      <c r="BP17" s="72">
        <f t="shared" si="27"/>
        <v>36</v>
      </c>
      <c r="BQ17" s="75">
        <f t="shared" si="28"/>
        <v>4.5</v>
      </c>
      <c r="BR17" s="75" t="str">
        <f t="shared" si="29"/>
        <v>A</v>
      </c>
      <c r="BS17" s="57" t="str">
        <f t="shared" si="3"/>
        <v>BETTER</v>
      </c>
      <c r="BT17" s="58">
        <f t="shared" si="30"/>
        <v>643</v>
      </c>
      <c r="BU17" s="57">
        <v>27</v>
      </c>
      <c r="BV17" s="62"/>
      <c r="BW17" s="134">
        <f>'1st_Semester'!BT17</f>
        <v>454</v>
      </c>
      <c r="BX17" s="133">
        <f>'2nd_Semester'!BT17</f>
        <v>613</v>
      </c>
      <c r="BY17" s="133">
        <f t="shared" si="31"/>
        <v>643</v>
      </c>
      <c r="BZ17" s="133">
        <f t="shared" si="32"/>
        <v>570</v>
      </c>
      <c r="CA17" s="132"/>
    </row>
    <row r="18" spans="1:83" ht="27.95" customHeight="1">
      <c r="A18" s="70">
        <v>10</v>
      </c>
      <c r="B18" s="96">
        <v>81</v>
      </c>
      <c r="C18" s="93" t="s">
        <v>135</v>
      </c>
      <c r="D18" s="63" t="s">
        <v>136</v>
      </c>
      <c r="E18" s="63" t="s">
        <v>137</v>
      </c>
      <c r="F18" s="64" t="s">
        <v>138</v>
      </c>
      <c r="G18" s="71">
        <v>19</v>
      </c>
      <c r="H18" s="72">
        <v>32</v>
      </c>
      <c r="I18" s="73">
        <f t="shared" si="4"/>
        <v>51</v>
      </c>
      <c r="J18" s="72">
        <v>27</v>
      </c>
      <c r="K18" s="73">
        <f t="shared" si="33"/>
        <v>78</v>
      </c>
      <c r="L18" s="74">
        <v>10</v>
      </c>
      <c r="M18" s="72">
        <v>32</v>
      </c>
      <c r="N18" s="73">
        <f t="shared" si="34"/>
        <v>42</v>
      </c>
      <c r="O18" s="73">
        <f t="shared" si="5"/>
        <v>42</v>
      </c>
      <c r="P18" s="73">
        <f t="shared" si="0"/>
        <v>120</v>
      </c>
      <c r="Q18" s="170"/>
      <c r="R18" s="72">
        <f t="shared" si="6"/>
        <v>5</v>
      </c>
      <c r="S18" s="74">
        <v>16</v>
      </c>
      <c r="T18" s="72">
        <v>57</v>
      </c>
      <c r="U18" s="73">
        <f t="shared" si="7"/>
        <v>73</v>
      </c>
      <c r="V18" s="74">
        <v>10</v>
      </c>
      <c r="W18" s="72">
        <v>29</v>
      </c>
      <c r="X18" s="73">
        <f t="shared" si="8"/>
        <v>39</v>
      </c>
      <c r="Y18" s="73">
        <f t="shared" si="9"/>
        <v>112</v>
      </c>
      <c r="Z18" s="73">
        <f t="shared" si="1"/>
        <v>112</v>
      </c>
      <c r="AA18" s="170"/>
      <c r="AB18" s="72">
        <f t="shared" si="10"/>
        <v>4</v>
      </c>
      <c r="AC18" s="74">
        <v>17</v>
      </c>
      <c r="AD18" s="72">
        <v>26</v>
      </c>
      <c r="AE18" s="73">
        <f t="shared" si="11"/>
        <v>43</v>
      </c>
      <c r="AF18" s="72">
        <v>19</v>
      </c>
      <c r="AG18" s="73">
        <f t="shared" si="12"/>
        <v>62</v>
      </c>
      <c r="AH18" s="168"/>
      <c r="AI18" s="72">
        <f t="shared" si="13"/>
        <v>3.5</v>
      </c>
      <c r="AJ18" s="74">
        <v>15</v>
      </c>
      <c r="AK18" s="72">
        <v>22</v>
      </c>
      <c r="AL18" s="73">
        <f t="shared" si="14"/>
        <v>37</v>
      </c>
      <c r="AM18" s="72">
        <v>12</v>
      </c>
      <c r="AN18" s="73">
        <f t="shared" si="15"/>
        <v>49</v>
      </c>
      <c r="AO18" s="168"/>
      <c r="AP18" s="72">
        <f t="shared" si="16"/>
        <v>2</v>
      </c>
      <c r="AQ18" s="72">
        <v>22</v>
      </c>
      <c r="AR18" s="104">
        <v>25</v>
      </c>
      <c r="AS18" s="72">
        <f t="shared" si="17"/>
        <v>47</v>
      </c>
      <c r="AT18" s="172"/>
      <c r="AU18" s="72">
        <f t="shared" si="18"/>
        <v>5</v>
      </c>
      <c r="AV18" s="74">
        <v>18</v>
      </c>
      <c r="AW18" s="72">
        <v>30</v>
      </c>
      <c r="AX18" s="73">
        <f t="shared" si="19"/>
        <v>48</v>
      </c>
      <c r="AY18" s="72">
        <v>25</v>
      </c>
      <c r="AZ18" s="73">
        <f t="shared" si="20"/>
        <v>73</v>
      </c>
      <c r="BA18" s="168"/>
      <c r="BB18" s="72">
        <f t="shared" si="21"/>
        <v>4</v>
      </c>
      <c r="BC18" s="74">
        <v>16</v>
      </c>
      <c r="BD18" s="72">
        <v>34</v>
      </c>
      <c r="BE18" s="73">
        <f t="shared" si="22"/>
        <v>50</v>
      </c>
      <c r="BF18" s="72">
        <v>26</v>
      </c>
      <c r="BG18" s="73">
        <f t="shared" si="23"/>
        <v>76</v>
      </c>
      <c r="BH18" s="168"/>
      <c r="BI18" s="72">
        <f t="shared" si="24"/>
        <v>4</v>
      </c>
      <c r="BJ18" s="74">
        <v>18</v>
      </c>
      <c r="BK18" s="72">
        <v>28</v>
      </c>
      <c r="BL18" s="73">
        <f t="shared" si="25"/>
        <v>46</v>
      </c>
      <c r="BM18" s="73">
        <f t="shared" si="26"/>
        <v>46</v>
      </c>
      <c r="BN18" s="168"/>
      <c r="BO18" s="72">
        <f t="shared" si="2"/>
        <v>5</v>
      </c>
      <c r="BP18" s="72">
        <f t="shared" si="27"/>
        <v>32.5</v>
      </c>
      <c r="BQ18" s="75">
        <f t="shared" si="28"/>
        <v>4.0625</v>
      </c>
      <c r="BR18" s="75" t="str">
        <f t="shared" si="29"/>
        <v>A</v>
      </c>
      <c r="BS18" s="57" t="str">
        <f t="shared" si="3"/>
        <v>BETTER</v>
      </c>
      <c r="BT18" s="58">
        <f t="shared" si="30"/>
        <v>585</v>
      </c>
      <c r="BU18" s="57">
        <v>40</v>
      </c>
      <c r="BV18" s="62"/>
      <c r="BW18" s="134">
        <f>'1st_Semester'!BT18</f>
        <v>449</v>
      </c>
      <c r="BX18" s="133">
        <f>'2nd_Semester'!BT18</f>
        <v>547</v>
      </c>
      <c r="BY18" s="133">
        <f t="shared" si="31"/>
        <v>585</v>
      </c>
      <c r="BZ18" s="133">
        <f t="shared" si="32"/>
        <v>527</v>
      </c>
      <c r="CA18" s="132"/>
    </row>
    <row r="19" spans="1:83" ht="27.95" customHeight="1">
      <c r="A19" s="70">
        <v>11</v>
      </c>
      <c r="B19" s="96">
        <v>82</v>
      </c>
      <c r="C19" s="93" t="s">
        <v>139</v>
      </c>
      <c r="D19" s="63" t="s">
        <v>140</v>
      </c>
      <c r="E19" s="63" t="s">
        <v>141</v>
      </c>
      <c r="F19" s="64" t="s">
        <v>142</v>
      </c>
      <c r="G19" s="71">
        <v>19</v>
      </c>
      <c r="H19" s="72">
        <v>21</v>
      </c>
      <c r="I19" s="73">
        <f t="shared" si="4"/>
        <v>40</v>
      </c>
      <c r="J19" s="72">
        <v>15</v>
      </c>
      <c r="K19" s="73">
        <f t="shared" si="33"/>
        <v>55</v>
      </c>
      <c r="L19" s="74">
        <v>10</v>
      </c>
      <c r="M19" s="72">
        <v>16</v>
      </c>
      <c r="N19" s="73">
        <f t="shared" si="34"/>
        <v>26</v>
      </c>
      <c r="O19" s="73">
        <f t="shared" si="5"/>
        <v>26</v>
      </c>
      <c r="P19" s="73">
        <f t="shared" si="0"/>
        <v>81</v>
      </c>
      <c r="Q19" s="170"/>
      <c r="R19" s="72">
        <f t="shared" si="6"/>
        <v>3</v>
      </c>
      <c r="S19" s="74">
        <v>13</v>
      </c>
      <c r="T19" s="72">
        <v>27</v>
      </c>
      <c r="U19" s="73">
        <f t="shared" si="7"/>
        <v>40</v>
      </c>
      <c r="V19" s="74">
        <v>9</v>
      </c>
      <c r="W19" s="72">
        <v>20</v>
      </c>
      <c r="X19" s="73">
        <f t="shared" si="8"/>
        <v>29</v>
      </c>
      <c r="Y19" s="73">
        <f t="shared" si="9"/>
        <v>69</v>
      </c>
      <c r="Z19" s="73">
        <f t="shared" si="1"/>
        <v>69</v>
      </c>
      <c r="AA19" s="170"/>
      <c r="AB19" s="72">
        <f t="shared" si="10"/>
        <v>2</v>
      </c>
      <c r="AC19" s="74">
        <v>14</v>
      </c>
      <c r="AD19" s="72">
        <v>20</v>
      </c>
      <c r="AE19" s="73">
        <f t="shared" si="11"/>
        <v>34</v>
      </c>
      <c r="AF19" s="72">
        <v>12</v>
      </c>
      <c r="AG19" s="73">
        <f t="shared" si="12"/>
        <v>46</v>
      </c>
      <c r="AH19" s="168"/>
      <c r="AI19" s="72">
        <f t="shared" si="13"/>
        <v>2</v>
      </c>
      <c r="AJ19" s="74">
        <v>9</v>
      </c>
      <c r="AK19" s="72">
        <v>20</v>
      </c>
      <c r="AL19" s="73">
        <f t="shared" si="14"/>
        <v>29</v>
      </c>
      <c r="AM19" s="72">
        <v>12</v>
      </c>
      <c r="AN19" s="73">
        <f t="shared" si="15"/>
        <v>41</v>
      </c>
      <c r="AO19" s="168"/>
      <c r="AP19" s="72">
        <f t="shared" si="16"/>
        <v>2</v>
      </c>
      <c r="AQ19" s="72">
        <v>19</v>
      </c>
      <c r="AR19" s="104">
        <v>25</v>
      </c>
      <c r="AS19" s="72">
        <f t="shared" si="17"/>
        <v>44</v>
      </c>
      <c r="AT19" s="172"/>
      <c r="AU19" s="72">
        <f t="shared" si="18"/>
        <v>5</v>
      </c>
      <c r="AV19" s="74">
        <v>14</v>
      </c>
      <c r="AW19" s="72">
        <v>20</v>
      </c>
      <c r="AX19" s="73">
        <f t="shared" si="19"/>
        <v>34</v>
      </c>
      <c r="AY19" s="72">
        <v>12</v>
      </c>
      <c r="AZ19" s="73">
        <f t="shared" si="20"/>
        <v>46</v>
      </c>
      <c r="BA19" s="168"/>
      <c r="BB19" s="72">
        <f t="shared" si="21"/>
        <v>2</v>
      </c>
      <c r="BC19" s="74">
        <v>13</v>
      </c>
      <c r="BD19" s="72">
        <v>21</v>
      </c>
      <c r="BE19" s="73">
        <f t="shared" si="22"/>
        <v>34</v>
      </c>
      <c r="BF19" s="72">
        <v>12</v>
      </c>
      <c r="BG19" s="73">
        <f t="shared" si="23"/>
        <v>46</v>
      </c>
      <c r="BH19" s="168"/>
      <c r="BI19" s="72">
        <f t="shared" si="24"/>
        <v>2</v>
      </c>
      <c r="BJ19" s="74">
        <v>8</v>
      </c>
      <c r="BK19" s="72">
        <v>25</v>
      </c>
      <c r="BL19" s="73">
        <f t="shared" si="25"/>
        <v>33</v>
      </c>
      <c r="BM19" s="73">
        <f t="shared" si="26"/>
        <v>33</v>
      </c>
      <c r="BN19" s="168"/>
      <c r="BO19" s="72">
        <f t="shared" si="2"/>
        <v>3.5</v>
      </c>
      <c r="BP19" s="72">
        <f t="shared" si="27"/>
        <v>21.5</v>
      </c>
      <c r="BQ19" s="75">
        <f t="shared" si="28"/>
        <v>2.6875</v>
      </c>
      <c r="BR19" s="75" t="str">
        <f t="shared" si="29"/>
        <v>C</v>
      </c>
      <c r="BS19" s="57" t="str">
        <f t="shared" si="3"/>
        <v>GOOD</v>
      </c>
      <c r="BT19" s="58">
        <f t="shared" si="30"/>
        <v>406</v>
      </c>
      <c r="BU19" s="57">
        <v>61</v>
      </c>
      <c r="BV19" s="62"/>
      <c r="BW19" s="134">
        <f>'1st_Semester'!BT19</f>
        <v>316</v>
      </c>
      <c r="BX19" s="133">
        <f>'2nd_Semester'!BT19</f>
        <v>363</v>
      </c>
      <c r="BY19" s="133">
        <f t="shared" si="31"/>
        <v>406</v>
      </c>
      <c r="BZ19" s="133">
        <f t="shared" si="32"/>
        <v>361.66666666666669</v>
      </c>
      <c r="CA19" s="132"/>
    </row>
    <row r="20" spans="1:83" ht="27.95" customHeight="1">
      <c r="A20" s="70">
        <v>12</v>
      </c>
      <c r="B20" s="96">
        <v>83</v>
      </c>
      <c r="C20" s="93" t="s">
        <v>143</v>
      </c>
      <c r="D20" s="63" t="s">
        <v>144</v>
      </c>
      <c r="E20" s="63" t="s">
        <v>145</v>
      </c>
      <c r="F20" s="64" t="s">
        <v>146</v>
      </c>
      <c r="G20" s="71">
        <v>20</v>
      </c>
      <c r="H20" s="72">
        <v>48</v>
      </c>
      <c r="I20" s="73">
        <f t="shared" si="4"/>
        <v>68</v>
      </c>
      <c r="J20" s="72">
        <v>29</v>
      </c>
      <c r="K20" s="73">
        <f t="shared" si="33"/>
        <v>97</v>
      </c>
      <c r="L20" s="74">
        <v>10</v>
      </c>
      <c r="M20" s="72">
        <v>38</v>
      </c>
      <c r="N20" s="73">
        <f t="shared" si="34"/>
        <v>48</v>
      </c>
      <c r="O20" s="73">
        <f t="shared" si="5"/>
        <v>48</v>
      </c>
      <c r="P20" s="73">
        <f t="shared" si="0"/>
        <v>145</v>
      </c>
      <c r="Q20" s="170"/>
      <c r="R20" s="72">
        <f t="shared" si="6"/>
        <v>5</v>
      </c>
      <c r="S20" s="74">
        <v>17</v>
      </c>
      <c r="T20" s="72">
        <v>38</v>
      </c>
      <c r="U20" s="73">
        <f t="shared" si="7"/>
        <v>55</v>
      </c>
      <c r="V20" s="74">
        <v>9</v>
      </c>
      <c r="W20" s="72">
        <v>24</v>
      </c>
      <c r="X20" s="73">
        <f t="shared" si="8"/>
        <v>33</v>
      </c>
      <c r="Y20" s="73">
        <f t="shared" si="9"/>
        <v>88</v>
      </c>
      <c r="Z20" s="73">
        <f t="shared" si="1"/>
        <v>88</v>
      </c>
      <c r="AA20" s="170"/>
      <c r="AB20" s="72">
        <f t="shared" si="10"/>
        <v>3</v>
      </c>
      <c r="AC20" s="74">
        <v>19</v>
      </c>
      <c r="AD20" s="72">
        <v>39</v>
      </c>
      <c r="AE20" s="73">
        <f t="shared" si="11"/>
        <v>58</v>
      </c>
      <c r="AF20" s="72">
        <v>23</v>
      </c>
      <c r="AG20" s="73">
        <f t="shared" si="12"/>
        <v>81</v>
      </c>
      <c r="AH20" s="168"/>
      <c r="AI20" s="72">
        <f t="shared" si="13"/>
        <v>5</v>
      </c>
      <c r="AJ20" s="74">
        <v>18</v>
      </c>
      <c r="AK20" s="72">
        <v>21</v>
      </c>
      <c r="AL20" s="73">
        <f t="shared" si="14"/>
        <v>39</v>
      </c>
      <c r="AM20" s="72">
        <v>12</v>
      </c>
      <c r="AN20" s="73">
        <f t="shared" si="15"/>
        <v>51</v>
      </c>
      <c r="AO20" s="168"/>
      <c r="AP20" s="72">
        <f t="shared" si="16"/>
        <v>3</v>
      </c>
      <c r="AQ20" s="72">
        <v>22</v>
      </c>
      <c r="AR20" s="104">
        <v>25</v>
      </c>
      <c r="AS20" s="72">
        <f t="shared" si="17"/>
        <v>47</v>
      </c>
      <c r="AT20" s="172"/>
      <c r="AU20" s="72">
        <f t="shared" si="18"/>
        <v>5</v>
      </c>
      <c r="AV20" s="74">
        <v>18</v>
      </c>
      <c r="AW20" s="72">
        <v>12</v>
      </c>
      <c r="AX20" s="73">
        <f t="shared" si="19"/>
        <v>30</v>
      </c>
      <c r="AY20" s="72">
        <v>24</v>
      </c>
      <c r="AZ20" s="73">
        <f t="shared" si="20"/>
        <v>54</v>
      </c>
      <c r="BA20" s="168"/>
      <c r="BB20" s="72">
        <f t="shared" si="21"/>
        <v>3</v>
      </c>
      <c r="BC20" s="74">
        <v>14</v>
      </c>
      <c r="BD20" s="72">
        <v>21</v>
      </c>
      <c r="BE20" s="73">
        <f t="shared" si="22"/>
        <v>35</v>
      </c>
      <c r="BF20" s="72">
        <v>28</v>
      </c>
      <c r="BG20" s="73">
        <f t="shared" si="23"/>
        <v>63</v>
      </c>
      <c r="BH20" s="168"/>
      <c r="BI20" s="72">
        <f t="shared" si="24"/>
        <v>3.5</v>
      </c>
      <c r="BJ20" s="74">
        <v>19</v>
      </c>
      <c r="BK20" s="72">
        <v>29</v>
      </c>
      <c r="BL20" s="73">
        <f t="shared" si="25"/>
        <v>48</v>
      </c>
      <c r="BM20" s="73">
        <f t="shared" si="26"/>
        <v>48</v>
      </c>
      <c r="BN20" s="168"/>
      <c r="BO20" s="72">
        <f t="shared" si="2"/>
        <v>5</v>
      </c>
      <c r="BP20" s="72">
        <f t="shared" si="27"/>
        <v>32.5</v>
      </c>
      <c r="BQ20" s="75">
        <f t="shared" si="28"/>
        <v>4.0625</v>
      </c>
      <c r="BR20" s="75" t="str">
        <f t="shared" si="29"/>
        <v>A</v>
      </c>
      <c r="BS20" s="57" t="str">
        <f t="shared" si="3"/>
        <v>BETTER</v>
      </c>
      <c r="BT20" s="58">
        <f t="shared" si="30"/>
        <v>577</v>
      </c>
      <c r="BU20" s="57">
        <v>33</v>
      </c>
      <c r="BV20" s="62"/>
      <c r="BW20" s="134">
        <f>'1st_Semester'!BT20</f>
        <v>495</v>
      </c>
      <c r="BX20" s="133">
        <f>'2nd_Semester'!BT20</f>
        <v>594</v>
      </c>
      <c r="BY20" s="133">
        <f t="shared" si="31"/>
        <v>577</v>
      </c>
      <c r="BZ20" s="133">
        <f t="shared" si="32"/>
        <v>555.33333333333337</v>
      </c>
      <c r="CA20" s="132"/>
    </row>
    <row r="21" spans="1:83" ht="27.95" customHeight="1">
      <c r="A21" s="70">
        <v>13</v>
      </c>
      <c r="B21" s="96">
        <v>88</v>
      </c>
      <c r="C21" s="93" t="s">
        <v>147</v>
      </c>
      <c r="D21" s="63" t="s">
        <v>148</v>
      </c>
      <c r="E21" s="63" t="s">
        <v>149</v>
      </c>
      <c r="F21" s="64" t="s">
        <v>150</v>
      </c>
      <c r="G21" s="71">
        <v>20</v>
      </c>
      <c r="H21" s="72">
        <v>21</v>
      </c>
      <c r="I21" s="73">
        <f t="shared" si="4"/>
        <v>41</v>
      </c>
      <c r="J21" s="72">
        <v>24</v>
      </c>
      <c r="K21" s="73">
        <f t="shared" si="33"/>
        <v>65</v>
      </c>
      <c r="L21" s="74">
        <v>10</v>
      </c>
      <c r="M21" s="72">
        <v>34</v>
      </c>
      <c r="N21" s="73">
        <f t="shared" si="34"/>
        <v>44</v>
      </c>
      <c r="O21" s="73">
        <f t="shared" si="5"/>
        <v>44</v>
      </c>
      <c r="P21" s="73">
        <f t="shared" si="0"/>
        <v>109</v>
      </c>
      <c r="Q21" s="170"/>
      <c r="R21" s="72">
        <f t="shared" si="6"/>
        <v>4</v>
      </c>
      <c r="S21" s="74">
        <v>14</v>
      </c>
      <c r="T21" s="72">
        <v>32</v>
      </c>
      <c r="U21" s="73">
        <f t="shared" si="7"/>
        <v>46</v>
      </c>
      <c r="V21" s="74">
        <v>10</v>
      </c>
      <c r="W21" s="72">
        <v>24</v>
      </c>
      <c r="X21" s="73">
        <f t="shared" si="8"/>
        <v>34</v>
      </c>
      <c r="Y21" s="73">
        <f t="shared" si="9"/>
        <v>80</v>
      </c>
      <c r="Z21" s="73">
        <f t="shared" si="1"/>
        <v>80</v>
      </c>
      <c r="AA21" s="170"/>
      <c r="AB21" s="72">
        <f t="shared" si="10"/>
        <v>3</v>
      </c>
      <c r="AC21" s="74">
        <v>19</v>
      </c>
      <c r="AD21" s="72">
        <v>15</v>
      </c>
      <c r="AE21" s="73">
        <f t="shared" si="11"/>
        <v>34</v>
      </c>
      <c r="AF21" s="72">
        <v>12</v>
      </c>
      <c r="AG21" s="73">
        <f t="shared" si="12"/>
        <v>46</v>
      </c>
      <c r="AH21" s="168"/>
      <c r="AI21" s="72">
        <f t="shared" si="13"/>
        <v>2</v>
      </c>
      <c r="AJ21" s="74">
        <v>13</v>
      </c>
      <c r="AK21" s="72">
        <v>20</v>
      </c>
      <c r="AL21" s="73">
        <f t="shared" si="14"/>
        <v>33</v>
      </c>
      <c r="AM21" s="72">
        <v>13</v>
      </c>
      <c r="AN21" s="73">
        <f t="shared" si="15"/>
        <v>46</v>
      </c>
      <c r="AO21" s="168"/>
      <c r="AP21" s="72">
        <f t="shared" si="16"/>
        <v>2</v>
      </c>
      <c r="AQ21" s="72">
        <v>24</v>
      </c>
      <c r="AR21" s="104">
        <v>25</v>
      </c>
      <c r="AS21" s="72">
        <f t="shared" si="17"/>
        <v>49</v>
      </c>
      <c r="AT21" s="172"/>
      <c r="AU21" s="72">
        <f t="shared" si="18"/>
        <v>5</v>
      </c>
      <c r="AV21" s="74">
        <v>18</v>
      </c>
      <c r="AW21" s="72">
        <v>20</v>
      </c>
      <c r="AX21" s="73">
        <f t="shared" si="19"/>
        <v>38</v>
      </c>
      <c r="AY21" s="72">
        <v>22</v>
      </c>
      <c r="AZ21" s="73">
        <f t="shared" si="20"/>
        <v>60</v>
      </c>
      <c r="BA21" s="168"/>
      <c r="BB21" s="72">
        <f t="shared" si="21"/>
        <v>3.5</v>
      </c>
      <c r="BC21" s="74">
        <v>13</v>
      </c>
      <c r="BD21" s="72">
        <v>15</v>
      </c>
      <c r="BE21" s="73">
        <f t="shared" si="22"/>
        <v>28</v>
      </c>
      <c r="BF21" s="72">
        <v>22</v>
      </c>
      <c r="BG21" s="73">
        <f t="shared" si="23"/>
        <v>50</v>
      </c>
      <c r="BH21" s="168"/>
      <c r="BI21" s="72">
        <f t="shared" si="24"/>
        <v>3</v>
      </c>
      <c r="BJ21" s="74">
        <v>20</v>
      </c>
      <c r="BK21" s="72">
        <v>30</v>
      </c>
      <c r="BL21" s="73">
        <f t="shared" si="25"/>
        <v>50</v>
      </c>
      <c r="BM21" s="73">
        <f t="shared" si="26"/>
        <v>50</v>
      </c>
      <c r="BN21" s="168"/>
      <c r="BO21" s="72">
        <f t="shared" si="2"/>
        <v>5</v>
      </c>
      <c r="BP21" s="72">
        <f t="shared" si="27"/>
        <v>27.5</v>
      </c>
      <c r="BQ21" s="75">
        <f t="shared" si="28"/>
        <v>3.4375</v>
      </c>
      <c r="BR21" s="75" t="str">
        <f t="shared" si="29"/>
        <v>B</v>
      </c>
      <c r="BS21" s="57" t="str">
        <f t="shared" si="3"/>
        <v>GOOD</v>
      </c>
      <c r="BT21" s="58">
        <f t="shared" si="30"/>
        <v>490</v>
      </c>
      <c r="BU21" s="57">
        <v>49</v>
      </c>
      <c r="BV21" s="62"/>
      <c r="BW21" s="134">
        <f>'1st_Semester'!BT21</f>
        <v>393</v>
      </c>
      <c r="BX21" s="133">
        <f>'2nd_Semester'!BT21</f>
        <v>486</v>
      </c>
      <c r="BY21" s="133">
        <f t="shared" si="31"/>
        <v>490</v>
      </c>
      <c r="BZ21" s="133">
        <f t="shared" si="32"/>
        <v>456.33333333333331</v>
      </c>
      <c r="CA21" s="132"/>
    </row>
    <row r="22" spans="1:83" ht="27.95" customHeight="1">
      <c r="A22" s="70">
        <v>14</v>
      </c>
      <c r="B22" s="96">
        <v>92</v>
      </c>
      <c r="C22" s="93" t="s">
        <v>151</v>
      </c>
      <c r="D22" s="50" t="s">
        <v>152</v>
      </c>
      <c r="E22" s="63" t="s">
        <v>160</v>
      </c>
      <c r="F22" s="65" t="s">
        <v>153</v>
      </c>
      <c r="G22" s="71">
        <v>19</v>
      </c>
      <c r="H22" s="72">
        <v>30</v>
      </c>
      <c r="I22" s="73">
        <f t="shared" si="4"/>
        <v>49</v>
      </c>
      <c r="J22" s="72">
        <v>20</v>
      </c>
      <c r="K22" s="73">
        <f t="shared" si="33"/>
        <v>69</v>
      </c>
      <c r="L22" s="74">
        <v>10</v>
      </c>
      <c r="M22" s="72">
        <v>21</v>
      </c>
      <c r="N22" s="73">
        <f t="shared" si="34"/>
        <v>31</v>
      </c>
      <c r="O22" s="73">
        <f t="shared" si="5"/>
        <v>31</v>
      </c>
      <c r="P22" s="73">
        <f t="shared" si="0"/>
        <v>100</v>
      </c>
      <c r="Q22" s="170"/>
      <c r="R22" s="72">
        <f t="shared" si="6"/>
        <v>3.5</v>
      </c>
      <c r="S22" s="74">
        <v>14</v>
      </c>
      <c r="T22" s="72">
        <v>36</v>
      </c>
      <c r="U22" s="73">
        <f t="shared" si="7"/>
        <v>50</v>
      </c>
      <c r="V22" s="74">
        <v>9</v>
      </c>
      <c r="W22" s="72">
        <v>20</v>
      </c>
      <c r="X22" s="73">
        <f t="shared" si="8"/>
        <v>29</v>
      </c>
      <c r="Y22" s="73">
        <f t="shared" si="9"/>
        <v>79</v>
      </c>
      <c r="Z22" s="73">
        <f t="shared" si="1"/>
        <v>79</v>
      </c>
      <c r="AA22" s="170"/>
      <c r="AB22" s="72">
        <f t="shared" si="10"/>
        <v>3</v>
      </c>
      <c r="AC22" s="74">
        <v>18</v>
      </c>
      <c r="AD22" s="72">
        <v>26</v>
      </c>
      <c r="AE22" s="73">
        <f t="shared" si="11"/>
        <v>44</v>
      </c>
      <c r="AF22" s="72">
        <v>12</v>
      </c>
      <c r="AG22" s="73">
        <f t="shared" si="12"/>
        <v>56</v>
      </c>
      <c r="AH22" s="168"/>
      <c r="AI22" s="72">
        <f t="shared" si="13"/>
        <v>3</v>
      </c>
      <c r="AJ22" s="74">
        <v>14</v>
      </c>
      <c r="AK22" s="72">
        <v>20</v>
      </c>
      <c r="AL22" s="73">
        <f t="shared" si="14"/>
        <v>34</v>
      </c>
      <c r="AM22" s="72">
        <v>12</v>
      </c>
      <c r="AN22" s="73">
        <f t="shared" si="15"/>
        <v>46</v>
      </c>
      <c r="AO22" s="168"/>
      <c r="AP22" s="72">
        <f t="shared" si="16"/>
        <v>2</v>
      </c>
      <c r="AQ22" s="72">
        <v>18</v>
      </c>
      <c r="AR22" s="104">
        <v>25</v>
      </c>
      <c r="AS22" s="72">
        <f t="shared" si="17"/>
        <v>43</v>
      </c>
      <c r="AT22" s="172"/>
      <c r="AU22" s="72">
        <f t="shared" si="18"/>
        <v>5</v>
      </c>
      <c r="AV22" s="74">
        <v>14</v>
      </c>
      <c r="AW22" s="72">
        <v>20</v>
      </c>
      <c r="AX22" s="73">
        <f t="shared" si="19"/>
        <v>34</v>
      </c>
      <c r="AY22" s="72">
        <v>20</v>
      </c>
      <c r="AZ22" s="73">
        <f t="shared" si="20"/>
        <v>54</v>
      </c>
      <c r="BA22" s="168"/>
      <c r="BB22" s="72">
        <f t="shared" si="21"/>
        <v>3</v>
      </c>
      <c r="BC22" s="74">
        <v>15</v>
      </c>
      <c r="BD22" s="72">
        <v>20</v>
      </c>
      <c r="BE22" s="73">
        <f t="shared" si="22"/>
        <v>35</v>
      </c>
      <c r="BF22" s="72">
        <v>20</v>
      </c>
      <c r="BG22" s="73">
        <f t="shared" si="23"/>
        <v>55</v>
      </c>
      <c r="BH22" s="168"/>
      <c r="BI22" s="72">
        <f t="shared" si="24"/>
        <v>3</v>
      </c>
      <c r="BJ22" s="74">
        <v>10</v>
      </c>
      <c r="BK22" s="72">
        <v>25</v>
      </c>
      <c r="BL22" s="73">
        <f t="shared" si="25"/>
        <v>35</v>
      </c>
      <c r="BM22" s="73">
        <f t="shared" si="26"/>
        <v>35</v>
      </c>
      <c r="BN22" s="168"/>
      <c r="BO22" s="72">
        <f t="shared" si="2"/>
        <v>4</v>
      </c>
      <c r="BP22" s="72">
        <f t="shared" si="27"/>
        <v>26.5</v>
      </c>
      <c r="BQ22" s="75">
        <f t="shared" si="28"/>
        <v>3.3125</v>
      </c>
      <c r="BR22" s="75" t="str">
        <f t="shared" si="29"/>
        <v>B</v>
      </c>
      <c r="BS22" s="57" t="str">
        <f t="shared" si="3"/>
        <v>GOOD</v>
      </c>
      <c r="BT22" s="58">
        <f t="shared" si="30"/>
        <v>468</v>
      </c>
      <c r="BU22" s="57">
        <v>63</v>
      </c>
      <c r="BV22" s="62"/>
      <c r="BW22" s="134">
        <f>'1st_Semester'!BT22</f>
        <v>0</v>
      </c>
      <c r="BX22" s="133">
        <f>'2nd_Semester'!BT22</f>
        <v>458</v>
      </c>
      <c r="BY22" s="133">
        <f t="shared" si="31"/>
        <v>468</v>
      </c>
      <c r="BZ22" s="133">
        <f t="shared" si="32"/>
        <v>308.66666666666669</v>
      </c>
      <c r="CA22" s="132"/>
    </row>
    <row r="23" spans="1:83" ht="27.95" customHeight="1">
      <c r="A23" s="70">
        <v>15</v>
      </c>
      <c r="B23" s="49">
        <v>94</v>
      </c>
      <c r="C23" s="50" t="s">
        <v>156</v>
      </c>
      <c r="D23" s="50" t="s">
        <v>161</v>
      </c>
      <c r="E23" s="50" t="s">
        <v>157</v>
      </c>
      <c r="F23" s="65" t="s">
        <v>159</v>
      </c>
      <c r="G23" s="71">
        <v>20</v>
      </c>
      <c r="H23" s="72">
        <v>21</v>
      </c>
      <c r="I23" s="73">
        <f t="shared" si="4"/>
        <v>41</v>
      </c>
      <c r="J23" s="72">
        <v>23</v>
      </c>
      <c r="K23" s="73">
        <f t="shared" si="33"/>
        <v>64</v>
      </c>
      <c r="L23" s="74">
        <v>10</v>
      </c>
      <c r="M23" s="72">
        <v>37</v>
      </c>
      <c r="N23" s="73">
        <f t="shared" si="34"/>
        <v>47</v>
      </c>
      <c r="O23" s="73">
        <f t="shared" si="5"/>
        <v>47</v>
      </c>
      <c r="P23" s="73">
        <f t="shared" si="0"/>
        <v>111</v>
      </c>
      <c r="Q23" s="171"/>
      <c r="R23" s="72">
        <f t="shared" si="6"/>
        <v>4</v>
      </c>
      <c r="S23" s="74">
        <v>14</v>
      </c>
      <c r="T23" s="72">
        <v>27</v>
      </c>
      <c r="U23" s="73">
        <f t="shared" si="7"/>
        <v>41</v>
      </c>
      <c r="V23" s="74">
        <v>9</v>
      </c>
      <c r="W23" s="72">
        <v>23</v>
      </c>
      <c r="X23" s="73">
        <f t="shared" si="8"/>
        <v>32</v>
      </c>
      <c r="Y23" s="73">
        <f t="shared" si="9"/>
        <v>73</v>
      </c>
      <c r="Z23" s="73">
        <f t="shared" si="1"/>
        <v>73</v>
      </c>
      <c r="AA23" s="171"/>
      <c r="AB23" s="72">
        <f t="shared" si="10"/>
        <v>2</v>
      </c>
      <c r="AC23" s="74">
        <v>17</v>
      </c>
      <c r="AD23" s="72">
        <v>15</v>
      </c>
      <c r="AE23" s="73">
        <f t="shared" si="11"/>
        <v>32</v>
      </c>
      <c r="AF23" s="72">
        <v>15</v>
      </c>
      <c r="AG23" s="73">
        <f t="shared" si="12"/>
        <v>47</v>
      </c>
      <c r="AH23" s="168"/>
      <c r="AI23" s="72">
        <f t="shared" si="13"/>
        <v>2</v>
      </c>
      <c r="AJ23" s="74">
        <v>15</v>
      </c>
      <c r="AK23" s="72">
        <v>20</v>
      </c>
      <c r="AL23" s="73">
        <f t="shared" si="14"/>
        <v>35</v>
      </c>
      <c r="AM23" s="72">
        <v>19</v>
      </c>
      <c r="AN23" s="73">
        <f t="shared" si="15"/>
        <v>54</v>
      </c>
      <c r="AO23" s="168"/>
      <c r="AP23" s="72">
        <f t="shared" si="16"/>
        <v>3</v>
      </c>
      <c r="AQ23" s="72">
        <v>20</v>
      </c>
      <c r="AR23" s="104">
        <v>25</v>
      </c>
      <c r="AS23" s="72">
        <f t="shared" si="17"/>
        <v>45</v>
      </c>
      <c r="AT23" s="172"/>
      <c r="AU23" s="72">
        <f t="shared" si="18"/>
        <v>5</v>
      </c>
      <c r="AV23" s="74">
        <v>17</v>
      </c>
      <c r="AW23" s="72">
        <v>20</v>
      </c>
      <c r="AX23" s="73">
        <f t="shared" si="19"/>
        <v>37</v>
      </c>
      <c r="AY23" s="72">
        <v>12</v>
      </c>
      <c r="AZ23" s="73">
        <f t="shared" si="20"/>
        <v>49</v>
      </c>
      <c r="BA23" s="168"/>
      <c r="BB23" s="72">
        <f t="shared" si="21"/>
        <v>2</v>
      </c>
      <c r="BC23" s="74">
        <v>16</v>
      </c>
      <c r="BD23" s="72">
        <v>17</v>
      </c>
      <c r="BE23" s="73">
        <f t="shared" si="22"/>
        <v>33</v>
      </c>
      <c r="BF23" s="72">
        <v>18</v>
      </c>
      <c r="BG23" s="73">
        <f t="shared" si="23"/>
        <v>51</v>
      </c>
      <c r="BH23" s="168"/>
      <c r="BI23" s="72">
        <f t="shared" si="24"/>
        <v>3</v>
      </c>
      <c r="BJ23" s="74">
        <v>20</v>
      </c>
      <c r="BK23" s="72">
        <v>30</v>
      </c>
      <c r="BL23" s="73">
        <f t="shared" si="25"/>
        <v>50</v>
      </c>
      <c r="BM23" s="73">
        <f t="shared" si="26"/>
        <v>50</v>
      </c>
      <c r="BN23" s="168"/>
      <c r="BO23" s="72">
        <f t="shared" si="2"/>
        <v>5</v>
      </c>
      <c r="BP23" s="72">
        <f t="shared" si="27"/>
        <v>26</v>
      </c>
      <c r="BQ23" s="75">
        <f t="shared" si="28"/>
        <v>3.25</v>
      </c>
      <c r="BR23" s="75" t="str">
        <f t="shared" si="29"/>
        <v>B</v>
      </c>
      <c r="BS23" s="57" t="str">
        <f t="shared" si="3"/>
        <v>GOOD</v>
      </c>
      <c r="BT23" s="58">
        <f t="shared" si="30"/>
        <v>480</v>
      </c>
      <c r="BU23" s="57">
        <v>64</v>
      </c>
      <c r="BV23" s="62"/>
      <c r="BW23" s="134">
        <f>'1st_Semester'!BT23</f>
        <v>0</v>
      </c>
      <c r="BX23" s="133">
        <f>'2nd_Semester'!BT23</f>
        <v>0</v>
      </c>
      <c r="BY23" s="133">
        <f t="shared" si="31"/>
        <v>480</v>
      </c>
      <c r="BZ23" s="133">
        <f t="shared" si="32"/>
        <v>160</v>
      </c>
      <c r="CA23" s="132"/>
    </row>
    <row r="24" spans="1:83" ht="15.75" customHeight="1">
      <c r="BC24" s="40"/>
      <c r="BW24" s="135"/>
      <c r="BX24" s="136"/>
      <c r="BY24" s="136"/>
      <c r="BZ24" s="137"/>
      <c r="CA24" s="136"/>
      <c r="CB24" s="138"/>
      <c r="CC24" s="138"/>
      <c r="CD24" s="138"/>
      <c r="CE24" s="138"/>
    </row>
    <row r="25" spans="1:83" ht="12" customHeight="1">
      <c r="BC25" s="40"/>
      <c r="BW25" s="135"/>
      <c r="BX25" s="136"/>
      <c r="BY25" s="136"/>
      <c r="BZ25" s="137"/>
      <c r="CA25" s="136"/>
      <c r="CB25" s="138"/>
      <c r="CC25" s="138"/>
      <c r="CD25" s="138"/>
      <c r="CE25" s="138"/>
    </row>
    <row r="26" spans="1:83" s="77" customFormat="1" ht="27.95" customHeight="1">
      <c r="A26" s="78">
        <v>0</v>
      </c>
      <c r="B26" s="79">
        <v>1</v>
      </c>
      <c r="C26" s="77">
        <v>2</v>
      </c>
      <c r="D26" s="77">
        <v>3</v>
      </c>
      <c r="E26" s="78">
        <v>4</v>
      </c>
      <c r="F26" s="79">
        <v>5</v>
      </c>
      <c r="G26" s="77">
        <v>6</v>
      </c>
      <c r="H26" s="77">
        <v>7</v>
      </c>
      <c r="I26" s="78">
        <v>8</v>
      </c>
      <c r="J26" s="79">
        <v>9</v>
      </c>
      <c r="K26" s="77">
        <v>10</v>
      </c>
      <c r="L26" s="77">
        <v>11</v>
      </c>
      <c r="M26" s="78">
        <v>12</v>
      </c>
      <c r="N26" s="79">
        <v>13</v>
      </c>
      <c r="O26" s="77">
        <v>14</v>
      </c>
      <c r="P26" s="77">
        <v>15</v>
      </c>
      <c r="Q26" s="78">
        <v>16</v>
      </c>
      <c r="R26" s="79">
        <v>17</v>
      </c>
      <c r="S26" s="77">
        <v>18</v>
      </c>
      <c r="T26" s="77">
        <v>19</v>
      </c>
      <c r="U26" s="78">
        <v>20</v>
      </c>
      <c r="V26" s="79">
        <v>21</v>
      </c>
      <c r="W26" s="77">
        <v>22</v>
      </c>
      <c r="X26" s="77">
        <v>23</v>
      </c>
      <c r="Y26" s="78">
        <v>24</v>
      </c>
      <c r="Z26" s="79">
        <v>25</v>
      </c>
      <c r="AA26" s="77">
        <v>26</v>
      </c>
      <c r="AB26" s="77">
        <v>27</v>
      </c>
      <c r="AC26" s="78">
        <v>28</v>
      </c>
      <c r="AD26" s="79">
        <v>29</v>
      </c>
      <c r="AE26" s="77">
        <v>30</v>
      </c>
      <c r="AF26" s="77">
        <v>31</v>
      </c>
      <c r="AG26" s="78">
        <v>32</v>
      </c>
      <c r="AH26" s="79">
        <v>33</v>
      </c>
      <c r="AI26" s="77">
        <v>34</v>
      </c>
      <c r="AJ26" s="77">
        <v>35</v>
      </c>
      <c r="AK26" s="78">
        <v>36</v>
      </c>
      <c r="AL26" s="79">
        <v>37</v>
      </c>
      <c r="AM26" s="77">
        <v>38</v>
      </c>
      <c r="AN26" s="77">
        <v>39</v>
      </c>
      <c r="AO26" s="78">
        <v>40</v>
      </c>
      <c r="AP26" s="79">
        <v>41</v>
      </c>
      <c r="AQ26" s="77">
        <v>42</v>
      </c>
      <c r="AR26" s="77">
        <v>43</v>
      </c>
      <c r="AS26" s="78">
        <v>44</v>
      </c>
      <c r="AT26" s="79">
        <v>45</v>
      </c>
      <c r="AU26" s="77">
        <v>46</v>
      </c>
      <c r="AV26" s="77">
        <v>47</v>
      </c>
      <c r="AW26" s="78">
        <v>48</v>
      </c>
      <c r="AX26" s="79">
        <v>49</v>
      </c>
      <c r="AY26" s="77">
        <v>50</v>
      </c>
      <c r="AZ26" s="77">
        <v>51</v>
      </c>
      <c r="BA26" s="78">
        <v>52</v>
      </c>
      <c r="BB26" s="79">
        <v>53</v>
      </c>
      <c r="BC26" s="77">
        <v>54</v>
      </c>
      <c r="BD26" s="77">
        <v>55</v>
      </c>
      <c r="BE26" s="78">
        <v>56</v>
      </c>
      <c r="BF26" s="79">
        <v>57</v>
      </c>
      <c r="BG26" s="77">
        <v>58</v>
      </c>
      <c r="BH26" s="77">
        <v>59</v>
      </c>
      <c r="BI26" s="78">
        <v>60</v>
      </c>
      <c r="BJ26" s="79">
        <v>61</v>
      </c>
      <c r="BK26" s="77">
        <v>62</v>
      </c>
      <c r="BL26" s="77">
        <v>63</v>
      </c>
      <c r="BM26" s="78">
        <v>64</v>
      </c>
      <c r="BN26" s="79">
        <v>65</v>
      </c>
      <c r="BO26" s="77">
        <v>66</v>
      </c>
      <c r="BP26" s="77">
        <v>67</v>
      </c>
      <c r="BQ26" s="78">
        <v>68</v>
      </c>
      <c r="BR26" s="79">
        <v>69</v>
      </c>
      <c r="BS26" s="77">
        <v>70</v>
      </c>
      <c r="BT26" s="77">
        <v>71</v>
      </c>
      <c r="BU26" s="78">
        <v>72</v>
      </c>
      <c r="BV26" s="79">
        <v>73</v>
      </c>
      <c r="BW26" s="135"/>
      <c r="BX26" s="136"/>
      <c r="BY26" s="136"/>
      <c r="BZ26" s="137"/>
      <c r="CA26" s="136"/>
      <c r="CB26" s="139"/>
      <c r="CC26" s="139"/>
      <c r="CD26" s="139"/>
      <c r="CE26" s="139"/>
    </row>
  </sheetData>
  <mergeCells count="59">
    <mergeCell ref="Q9:Q23"/>
    <mergeCell ref="AA9:AA23"/>
    <mergeCell ref="AH9:AH23"/>
    <mergeCell ref="AO9:AO23"/>
    <mergeCell ref="AT9:AT23"/>
    <mergeCell ref="BA9:BA23"/>
    <mergeCell ref="BH9:BH23"/>
    <mergeCell ref="BN9:BN23"/>
    <mergeCell ref="BV7:BV8"/>
    <mergeCell ref="BQ7:BQ8"/>
    <mergeCell ref="BR7:BR8"/>
    <mergeCell ref="BS7:BS8"/>
    <mergeCell ref="BT7:BT8"/>
    <mergeCell ref="BU7:BU8"/>
    <mergeCell ref="BP7:BP8"/>
    <mergeCell ref="BG7:BG8"/>
    <mergeCell ref="BH7:BH8"/>
    <mergeCell ref="BI7:BI8"/>
    <mergeCell ref="BA7:BA8"/>
    <mergeCell ref="BB7:BB8"/>
    <mergeCell ref="BO7:BO8"/>
    <mergeCell ref="BM7:BM8"/>
    <mergeCell ref="B1:BU6"/>
    <mergeCell ref="F7:F8"/>
    <mergeCell ref="G7:J7"/>
    <mergeCell ref="K7:K8"/>
    <mergeCell ref="L7:N7"/>
    <mergeCell ref="R7:R8"/>
    <mergeCell ref="S7:X7"/>
    <mergeCell ref="AA7:AA8"/>
    <mergeCell ref="AB7:AB8"/>
    <mergeCell ref="AC7:AF7"/>
    <mergeCell ref="AG7:AG8"/>
    <mergeCell ref="AH7:AH8"/>
    <mergeCell ref="AI7:AI8"/>
    <mergeCell ref="AJ7:AM7"/>
    <mergeCell ref="AN7:AN8"/>
    <mergeCell ref="AO7:AO8"/>
    <mergeCell ref="A7:A8"/>
    <mergeCell ref="B7:B8"/>
    <mergeCell ref="C7:C8"/>
    <mergeCell ref="D7:D8"/>
    <mergeCell ref="E7:E8"/>
    <mergeCell ref="BW7:CA7"/>
    <mergeCell ref="AP7:AP8"/>
    <mergeCell ref="O7:O8"/>
    <mergeCell ref="Z7:Z8"/>
    <mergeCell ref="Y7:Y8"/>
    <mergeCell ref="P7:P8"/>
    <mergeCell ref="Q7:Q8"/>
    <mergeCell ref="AQ7:AR7"/>
    <mergeCell ref="AS7:AS8"/>
    <mergeCell ref="AT7:AT8"/>
    <mergeCell ref="AU7:AU8"/>
    <mergeCell ref="AV7:AY7"/>
    <mergeCell ref="AZ7:AZ8"/>
    <mergeCell ref="BC7:BF7"/>
    <mergeCell ref="BJ7:BL7"/>
    <mergeCell ref="BN7:BN8"/>
  </mergeCells>
  <conditionalFormatting sqref="B9 B11:B13">
    <cfRule type="duplicateValues" dxfId="3" priority="4"/>
  </conditionalFormatting>
  <conditionalFormatting sqref="B10">
    <cfRule type="duplicateValues" dxfId="2" priority="3"/>
  </conditionalFormatting>
  <conditionalFormatting sqref="B14:B15">
    <cfRule type="duplicateValues" dxfId="1" priority="2"/>
  </conditionalFormatting>
  <conditionalFormatting sqref="B16:B21">
    <cfRule type="duplicateValues" dxfId="0" priority="1"/>
  </conditionalFormatting>
  <pageMargins left="0.23622047244094491" right="0.23622047244094491" top="0.74803149606299213" bottom="0.74803149606299213" header="0.31496062992125984" footer="0.31496062992125984"/>
  <pageSetup paperSize="5" scale="8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Z31"/>
  <sheetViews>
    <sheetView tabSelected="1" zoomScale="106" zoomScaleNormal="106" workbookViewId="0">
      <selection activeCell="C8" sqref="C8"/>
    </sheetView>
  </sheetViews>
  <sheetFormatPr defaultRowHeight="15"/>
  <cols>
    <col min="1" max="1" width="23.140625" bestFit="1" customWidth="1"/>
    <col min="2" max="2" width="5" style="47" customWidth="1"/>
    <col min="3" max="20" width="6.85546875" customWidth="1"/>
    <col min="21" max="21" width="8.85546875" customWidth="1"/>
    <col min="22" max="22" width="6.85546875" customWidth="1"/>
    <col min="23" max="23" width="7.7109375" customWidth="1"/>
    <col min="24" max="24" width="8.140625" customWidth="1"/>
    <col min="25" max="25" width="7.140625" customWidth="1"/>
    <col min="26" max="26" width="6" customWidth="1"/>
  </cols>
  <sheetData>
    <row r="1" spans="1:26" ht="20.100000000000001" customHeight="1">
      <c r="A1" s="173" t="s">
        <v>170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5"/>
    </row>
    <row r="2" spans="1:26" ht="20.100000000000001" customHeight="1">
      <c r="A2" s="176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8"/>
    </row>
    <row r="3" spans="1:26" ht="20.100000000000001" customHeight="1">
      <c r="A3" s="176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8"/>
    </row>
    <row r="4" spans="1:26" ht="20.100000000000001" customHeight="1">
      <c r="A4" s="179"/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1"/>
    </row>
    <row r="5" spans="1:26" s="47" customFormat="1" ht="21.95" customHeight="1">
      <c r="A5" s="41" t="s">
        <v>53</v>
      </c>
      <c r="B5" s="44" t="s">
        <v>47</v>
      </c>
      <c r="C5" s="220" t="str">
        <f>IFERROR(VLOOKUP(C$8,'1st_Semester'!B$6:BV$25,2,0),"Please Enter The Right Roll")</f>
        <v>Afia Tabassum</v>
      </c>
      <c r="D5" s="220"/>
      <c r="E5" s="220"/>
      <c r="F5" s="220"/>
      <c r="G5" s="220"/>
      <c r="H5" s="220"/>
      <c r="I5" s="220"/>
      <c r="J5" s="220"/>
      <c r="K5" s="220"/>
      <c r="L5" s="84"/>
      <c r="M5" s="84"/>
      <c r="N5" s="84"/>
      <c r="O5" s="84"/>
      <c r="P5" s="84"/>
      <c r="S5" s="84"/>
      <c r="T5" s="42" t="s">
        <v>61</v>
      </c>
      <c r="U5" s="84"/>
      <c r="V5" s="42"/>
      <c r="X5" s="84"/>
      <c r="Y5" s="42">
        <f>IFERROR(VLOOKUP(C$8,'3rd_Semester'!B$7:BV$25,72,0),"")</f>
        <v>64</v>
      </c>
      <c r="Z5" s="85"/>
    </row>
    <row r="6" spans="1:26" s="47" customFormat="1" ht="21.95" customHeight="1">
      <c r="A6" s="86" t="s">
        <v>54</v>
      </c>
      <c r="B6" s="45" t="s">
        <v>47</v>
      </c>
      <c r="C6" s="221" t="s">
        <v>99</v>
      </c>
      <c r="D6" s="221"/>
      <c r="E6" s="221"/>
      <c r="F6" s="221"/>
      <c r="G6" s="221"/>
      <c r="H6" s="222"/>
      <c r="I6" s="222"/>
      <c r="J6" s="222"/>
      <c r="K6" s="222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87"/>
    </row>
    <row r="7" spans="1:26" s="47" customFormat="1" ht="21.95" customHeight="1">
      <c r="A7" s="88" t="s">
        <v>55</v>
      </c>
      <c r="B7" s="45" t="s">
        <v>47</v>
      </c>
      <c r="C7" s="221" t="s">
        <v>163</v>
      </c>
      <c r="D7" s="221"/>
      <c r="E7" s="221"/>
      <c r="F7" s="221"/>
      <c r="G7" s="221"/>
      <c r="H7" s="222"/>
      <c r="I7" s="222"/>
      <c r="J7" s="222"/>
      <c r="K7" s="222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87"/>
    </row>
    <row r="8" spans="1:26" s="47" customFormat="1" ht="21.95" customHeight="1">
      <c r="A8" s="88" t="s">
        <v>56</v>
      </c>
      <c r="B8" s="45" t="s">
        <v>47</v>
      </c>
      <c r="C8" s="223">
        <v>94</v>
      </c>
      <c r="D8" s="222"/>
      <c r="E8" s="222"/>
      <c r="F8" s="222"/>
      <c r="G8" s="222"/>
      <c r="H8" s="222"/>
      <c r="I8" s="222"/>
      <c r="J8" s="222"/>
      <c r="K8" s="222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87"/>
    </row>
    <row r="9" spans="1:26" s="47" customFormat="1" ht="21.95" customHeight="1">
      <c r="A9" s="88" t="s">
        <v>57</v>
      </c>
      <c r="B9" s="45" t="s">
        <v>47</v>
      </c>
      <c r="C9" s="221" t="str">
        <f>IFERROR(VLOOKUP(C$8,'1st_Semester'!B$6:BV$25,3,0),"Please Enter The Right Roll")</f>
        <v>Rubel Forazi</v>
      </c>
      <c r="D9" s="221"/>
      <c r="E9" s="221"/>
      <c r="F9" s="221"/>
      <c r="G9" s="221"/>
      <c r="H9" s="221"/>
      <c r="I9" s="221"/>
      <c r="J9" s="222"/>
      <c r="K9" s="222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87"/>
    </row>
    <row r="10" spans="1:26" s="47" customFormat="1" ht="21.95" customHeight="1">
      <c r="A10" s="88" t="s">
        <v>58</v>
      </c>
      <c r="B10" s="45" t="s">
        <v>47</v>
      </c>
      <c r="C10" s="221" t="str">
        <f>IFERROR(VLOOKUP(C$8,'1st_Semester'!B$6:BV$25,4,0),"Please Enter The Right Roll")</f>
        <v>Chaina Akter</v>
      </c>
      <c r="D10" s="224"/>
      <c r="E10" s="224"/>
      <c r="F10" s="224"/>
      <c r="G10" s="224"/>
      <c r="H10" s="224"/>
      <c r="I10" s="224"/>
      <c r="J10" s="224"/>
      <c r="K10" s="222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87"/>
    </row>
    <row r="11" spans="1:26" s="47" customFormat="1" ht="21.95" customHeight="1">
      <c r="A11" s="89" t="s">
        <v>59</v>
      </c>
      <c r="B11" s="46" t="s">
        <v>47</v>
      </c>
      <c r="C11" s="225" t="s">
        <v>100</v>
      </c>
      <c r="D11" s="225"/>
      <c r="E11" s="225"/>
      <c r="F11" s="225"/>
      <c r="G11" s="225"/>
      <c r="H11" s="225"/>
      <c r="I11" s="225"/>
      <c r="J11" s="225"/>
      <c r="K11" s="225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1"/>
    </row>
    <row r="12" spans="1:26" ht="30" customHeight="1">
      <c r="A12" s="226" t="s">
        <v>60</v>
      </c>
      <c r="B12" s="227"/>
      <c r="C12" s="228" t="s">
        <v>44</v>
      </c>
      <c r="D12" s="229" t="s">
        <v>171</v>
      </c>
      <c r="E12" s="230"/>
      <c r="F12" s="230"/>
      <c r="G12" s="230"/>
      <c r="H12" s="231"/>
      <c r="I12" s="228" t="s">
        <v>44</v>
      </c>
      <c r="J12" s="229" t="s">
        <v>172</v>
      </c>
      <c r="K12" s="230"/>
      <c r="L12" s="230"/>
      <c r="M12" s="230"/>
      <c r="N12" s="231"/>
      <c r="O12" s="228" t="s">
        <v>44</v>
      </c>
      <c r="P12" s="229" t="s">
        <v>173</v>
      </c>
      <c r="Q12" s="230"/>
      <c r="R12" s="230"/>
      <c r="S12" s="230"/>
      <c r="T12" s="231"/>
      <c r="U12" s="229" t="s">
        <v>49</v>
      </c>
      <c r="V12" s="230"/>
      <c r="W12" s="230"/>
      <c r="X12" s="230"/>
      <c r="Y12" s="230"/>
      <c r="Z12" s="231"/>
    </row>
    <row r="13" spans="1:26" ht="30" customHeight="1">
      <c r="A13" s="232"/>
      <c r="B13" s="233"/>
      <c r="C13" s="234"/>
      <c r="D13" s="229" t="s">
        <v>48</v>
      </c>
      <c r="E13" s="231"/>
      <c r="F13" s="235" t="s">
        <v>7</v>
      </c>
      <c r="G13" s="235" t="s">
        <v>45</v>
      </c>
      <c r="H13" s="235" t="s">
        <v>1</v>
      </c>
      <c r="I13" s="234"/>
      <c r="J13" s="229" t="s">
        <v>48</v>
      </c>
      <c r="K13" s="231"/>
      <c r="L13" s="235" t="s">
        <v>7</v>
      </c>
      <c r="M13" s="235" t="s">
        <v>45</v>
      </c>
      <c r="N13" s="235" t="s">
        <v>1</v>
      </c>
      <c r="O13" s="234"/>
      <c r="P13" s="229" t="s">
        <v>48</v>
      </c>
      <c r="Q13" s="231"/>
      <c r="R13" s="235" t="s">
        <v>7</v>
      </c>
      <c r="S13" s="235" t="s">
        <v>45</v>
      </c>
      <c r="T13" s="235" t="s">
        <v>1</v>
      </c>
      <c r="U13" s="236" t="s">
        <v>50</v>
      </c>
      <c r="V13" s="236" t="s">
        <v>87</v>
      </c>
      <c r="W13" s="236" t="s">
        <v>51</v>
      </c>
      <c r="X13" s="235" t="s">
        <v>7</v>
      </c>
      <c r="Y13" s="235" t="s">
        <v>1</v>
      </c>
      <c r="Z13" s="235" t="s">
        <v>52</v>
      </c>
    </row>
    <row r="14" spans="1:26" ht="30" customHeight="1">
      <c r="A14" s="232"/>
      <c r="B14" s="233"/>
      <c r="C14" s="234"/>
      <c r="D14" s="235" t="s">
        <v>86</v>
      </c>
      <c r="E14" s="235" t="s">
        <v>46</v>
      </c>
      <c r="F14" s="237"/>
      <c r="G14" s="237"/>
      <c r="H14" s="237"/>
      <c r="I14" s="234"/>
      <c r="J14" s="235" t="s">
        <v>86</v>
      </c>
      <c r="K14" s="235" t="s">
        <v>46</v>
      </c>
      <c r="L14" s="237"/>
      <c r="M14" s="237"/>
      <c r="N14" s="237"/>
      <c r="O14" s="234"/>
      <c r="P14" s="235" t="s">
        <v>86</v>
      </c>
      <c r="Q14" s="235" t="s">
        <v>46</v>
      </c>
      <c r="R14" s="237"/>
      <c r="S14" s="237"/>
      <c r="T14" s="237"/>
      <c r="U14" s="238"/>
      <c r="V14" s="238"/>
      <c r="W14" s="238"/>
      <c r="X14" s="237"/>
      <c r="Y14" s="237"/>
      <c r="Z14" s="237"/>
    </row>
    <row r="15" spans="1:26" ht="30" customHeight="1">
      <c r="A15" s="232"/>
      <c r="B15" s="233"/>
      <c r="C15" s="234"/>
      <c r="D15" s="237"/>
      <c r="E15" s="237"/>
      <c r="F15" s="237"/>
      <c r="G15" s="237"/>
      <c r="H15" s="237"/>
      <c r="I15" s="234"/>
      <c r="J15" s="237"/>
      <c r="K15" s="237"/>
      <c r="L15" s="237"/>
      <c r="M15" s="237"/>
      <c r="N15" s="237"/>
      <c r="O15" s="234"/>
      <c r="P15" s="237"/>
      <c r="Q15" s="237"/>
      <c r="R15" s="237"/>
      <c r="S15" s="237"/>
      <c r="T15" s="237"/>
      <c r="U15" s="238"/>
      <c r="V15" s="238"/>
      <c r="W15" s="238"/>
      <c r="X15" s="237"/>
      <c r="Y15" s="237"/>
      <c r="Z15" s="237"/>
    </row>
    <row r="16" spans="1:26" ht="30" customHeight="1">
      <c r="A16" s="239"/>
      <c r="B16" s="240"/>
      <c r="C16" s="241"/>
      <c r="D16" s="242"/>
      <c r="E16" s="242"/>
      <c r="F16" s="242"/>
      <c r="G16" s="242"/>
      <c r="H16" s="242"/>
      <c r="I16" s="241"/>
      <c r="J16" s="242"/>
      <c r="K16" s="242"/>
      <c r="L16" s="242"/>
      <c r="M16" s="242"/>
      <c r="N16" s="242"/>
      <c r="O16" s="241"/>
      <c r="P16" s="242"/>
      <c r="Q16" s="242"/>
      <c r="R16" s="242"/>
      <c r="S16" s="242"/>
      <c r="T16" s="242"/>
      <c r="U16" s="243"/>
      <c r="V16" s="243"/>
      <c r="W16" s="243"/>
      <c r="X16" s="242"/>
      <c r="Y16" s="242"/>
      <c r="Z16" s="242"/>
    </row>
    <row r="17" spans="1:26" ht="32.1" customHeight="1">
      <c r="A17" s="229" t="s">
        <v>88</v>
      </c>
      <c r="B17" s="231"/>
      <c r="C17" s="246">
        <f>IFERROR(VLOOKUP(C$8,'1st_Semester'!B$6:BV$25,6,0),"")</f>
        <v>0</v>
      </c>
      <c r="D17" s="246">
        <f>IFERROR(VLOOKUP(C$8,'1st_Semester'!B$6:BV$25,9,0),"")</f>
        <v>0</v>
      </c>
      <c r="E17" s="246">
        <f>IFERROR(VLOOKUP(C$8,'1st_Semester'!B$6:BVV$25,7,0),"")</f>
        <v>0</v>
      </c>
      <c r="F17" s="247">
        <f>IFERROR(VLOOKUP(C$8,'1st_Semester'!B$6:BV$25,15,0),"")</f>
        <v>0</v>
      </c>
      <c r="G17" s="247">
        <f>'1st_Semester'!Q9</f>
        <v>126</v>
      </c>
      <c r="H17" s="248" t="str">
        <f>IFERROR(VLOOKUP(C$8,'1st_Semester'!B$6:BV$25,17,0),"")</f>
        <v>F</v>
      </c>
      <c r="I17" s="246">
        <f>IFERROR(VLOOKUP(C$8,'2nd_Semester'!B$5:BV$25,6,0),"")</f>
        <v>0</v>
      </c>
      <c r="J17" s="246">
        <f>IFERROR(VLOOKUP(C$8,'2nd_Semester'!B$5:BV$25,9,0),"")</f>
        <v>0</v>
      </c>
      <c r="K17" s="246">
        <f>IFERROR(VLOOKUP(C$8,'2nd_Semester'!B$5:BV$25,7,0),"")</f>
        <v>0</v>
      </c>
      <c r="L17" s="249">
        <f>IFERROR(VLOOKUP(C$8,'2nd_Semester'!B$5:BV$25,15,0),"")</f>
        <v>0</v>
      </c>
      <c r="M17" s="247">
        <f>'2nd_Semester'!Q9</f>
        <v>162</v>
      </c>
      <c r="N17" s="248" t="str">
        <f>IFERROR(VLOOKUP(C$8,'2nd_Semester'!B$5:BV$25,17,0),"")</f>
        <v>F</v>
      </c>
      <c r="O17" s="249">
        <f>IFERROR(VLOOKUP(C$8,'3rd_Semester'!B$7:BV$24,6,0),"")</f>
        <v>20</v>
      </c>
      <c r="P17" s="249">
        <f>IFERROR(VLOOKUP(C$8,'3rd_Semester'!B$7:BV$24,9,0),"")</f>
        <v>23</v>
      </c>
      <c r="Q17" s="249">
        <f>IFERROR(VLOOKUP(C$8,'3rd_Semester'!B$7:BV$24,7,0),"")</f>
        <v>21</v>
      </c>
      <c r="R17" s="247">
        <f>IFERROR(VLOOKUP(C$8,'3rd_Semester'!B$7:BV$24,15,0),"")</f>
        <v>111</v>
      </c>
      <c r="S17" s="247">
        <f>'3rd_Semester'!Q9</f>
        <v>146</v>
      </c>
      <c r="T17" s="250">
        <f>IFERROR(VLOOKUP(C$8,'3rd_Semester'!B$7:BV$25,17,0),"")</f>
        <v>4</v>
      </c>
      <c r="U17" s="251">
        <f>AVERAGE(C17,I17,O17)</f>
        <v>6.666666666666667</v>
      </c>
      <c r="V17" s="251">
        <f>AVERAGE(D17,J17,P17)</f>
        <v>7.666666666666667</v>
      </c>
      <c r="W17" s="251">
        <f>AVERAGE(E17,K17,Q17)</f>
        <v>7</v>
      </c>
      <c r="X17" s="252">
        <f>AVERAGE(F17,L17,R17)</f>
        <v>37</v>
      </c>
      <c r="Y17" s="252">
        <f>SUM(H17,N17,T17)/3</f>
        <v>1.3333333333333333</v>
      </c>
      <c r="Z17" s="253">
        <f>IF(Y17="F","F",IF(Y19="F","F",IF(Y21="F","F",IF(Y22="F","F",IF(Y23="F","F",IF(Y24="F","F",IF(Y25="F","F",IF(Y26="F","F",IF(SUM(Y17:Y26)&gt;40,5,SUM(Y17:Y26)/8)))))))))</f>
        <v>1.0833333333333333</v>
      </c>
    </row>
    <row r="18" spans="1:26" ht="32.1" customHeight="1">
      <c r="A18" s="229" t="s">
        <v>89</v>
      </c>
      <c r="B18" s="231"/>
      <c r="C18" s="246">
        <f>IFERROR(VLOOKUP(C$8,'1st_Semester'!B$6:BV$25,11,0),"")</f>
        <v>0</v>
      </c>
      <c r="D18" s="246"/>
      <c r="E18" s="246">
        <f>IFERROR(VLOOKUP(C$8,'1st_Semester'!B$6:BVV$25,12,0),"")</f>
        <v>0</v>
      </c>
      <c r="F18" s="254"/>
      <c r="G18" s="254"/>
      <c r="H18" s="248" t="str">
        <f>IFERROR(VLOOKUP(F$8,'1st_Semester'!E$6:BF$23,5,0),"")</f>
        <v/>
      </c>
      <c r="I18" s="246">
        <f>IFERROR(VLOOKUP(C$8,'2nd_Semester'!B$5:BV$25,11,0),"")</f>
        <v>0</v>
      </c>
      <c r="J18" s="246"/>
      <c r="K18" s="246">
        <f>IFERROR(VLOOKUP(C$8,'2nd_Semester'!B$5:BV$25,12,0),"")</f>
        <v>0</v>
      </c>
      <c r="L18" s="249" t="str">
        <f>IFERROR(VLOOKUP(D$8,'2nd_Semester'!C$5:BI$23,5,0),"")</f>
        <v/>
      </c>
      <c r="M18" s="254"/>
      <c r="N18" s="248" t="str">
        <f>IFERROR(VLOOKUP(F$8,'2nd_Semester'!E$5:BK$23,5,0),"")</f>
        <v/>
      </c>
      <c r="O18" s="249">
        <f>IFERROR(VLOOKUP(C$8,'3rd_Semester'!B$7:BV$24,11,0),"")</f>
        <v>10</v>
      </c>
      <c r="P18" s="249"/>
      <c r="Q18" s="249">
        <f>IFERROR(VLOOKUP(C$8,'3rd_Semester'!B$7:BV$24,12,0),"")</f>
        <v>37</v>
      </c>
      <c r="R18" s="254"/>
      <c r="S18" s="254"/>
      <c r="T18" s="255"/>
      <c r="U18" s="251">
        <f>AVERAGE(C18,I18,O18)</f>
        <v>3.3333333333333335</v>
      </c>
      <c r="V18" s="251"/>
      <c r="W18" s="251">
        <f t="shared" ref="W18:W24" si="0">AVERAGE(E18,K18,Q18)</f>
        <v>12.333333333333334</v>
      </c>
      <c r="X18" s="256"/>
      <c r="Y18" s="256"/>
      <c r="Z18" s="257"/>
    </row>
    <row r="19" spans="1:26" ht="32.1" customHeight="1">
      <c r="A19" s="229" t="s">
        <v>90</v>
      </c>
      <c r="B19" s="231"/>
      <c r="C19" s="246">
        <f>IFERROR(VLOOKUP(C$8,'1st_Semester'!B$6:BV$25,18,0),"")</f>
        <v>0</v>
      </c>
      <c r="D19" s="246"/>
      <c r="E19" s="246">
        <f>IFERROR(VLOOKUP(C$8,'1st_Semester'!B$6:BVV$25,19,0),"")</f>
        <v>0</v>
      </c>
      <c r="F19" s="247">
        <f>IFERROR(VLOOKUP(C$8,'1st_Semester'!B$6:BV$25,25,0),"")</f>
        <v>0</v>
      </c>
      <c r="G19" s="247">
        <f>'1st_Semester'!AA9</f>
        <v>107</v>
      </c>
      <c r="H19" s="250">
        <f>IFERROR(VLOOKUP(C$8,'1st_Semester'!B$6:BV$25,27,0),"")</f>
        <v>0</v>
      </c>
      <c r="I19" s="246">
        <f>IFERROR(VLOOKUP(C$8,'2nd_Semester'!B$5:BV$25,18,0),"")</f>
        <v>0</v>
      </c>
      <c r="J19" s="246"/>
      <c r="K19" s="246">
        <f>IFERROR(VLOOKUP(C$8,'2nd_Semester'!B$5:BV$25,19,0),"")</f>
        <v>0</v>
      </c>
      <c r="L19" s="247">
        <f>IFERROR(VLOOKUP(C$8,'2nd_Semester'!B$5:BV$25,25,0),"")</f>
        <v>0</v>
      </c>
      <c r="M19" s="247">
        <f>'2nd_Semester'!AA9</f>
        <v>111</v>
      </c>
      <c r="N19" s="250">
        <f>IFERROR(VLOOKUP(C$8,'2nd_Semester'!B$5:BV$25,27,0),"")</f>
        <v>0</v>
      </c>
      <c r="O19" s="249">
        <f>IFERROR(VLOOKUP(C$8,'3rd_Semester'!B$7:BV$24,18,0),"")</f>
        <v>14</v>
      </c>
      <c r="P19" s="249"/>
      <c r="Q19" s="249">
        <f>IFERROR(VLOOKUP(C$8,'3rd_Semester'!B$7:BV$24,19,0),"")</f>
        <v>27</v>
      </c>
      <c r="R19" s="247">
        <f>IFERROR(VLOOKUP(C$8,'3rd_Semester'!B$7:BV$24,25,0),"")</f>
        <v>73</v>
      </c>
      <c r="S19" s="247">
        <f>'3rd_Semester'!AA9</f>
        <v>118</v>
      </c>
      <c r="T19" s="250">
        <f>IFERROR(VLOOKUP(C$8,'3rd_Semester'!B$7:BV$25,27,0),"")</f>
        <v>2</v>
      </c>
      <c r="U19" s="251">
        <f>AVERAGE(C19,I19,O19)</f>
        <v>4.666666666666667</v>
      </c>
      <c r="V19" s="251"/>
      <c r="W19" s="251">
        <f t="shared" si="0"/>
        <v>9</v>
      </c>
      <c r="X19" s="252">
        <f>AVERAGE(F19,L19,R19)</f>
        <v>24.333333333333332</v>
      </c>
      <c r="Y19" s="252">
        <f>SUM(H19,N19,T19)/3</f>
        <v>0.66666666666666663</v>
      </c>
      <c r="Z19" s="257"/>
    </row>
    <row r="20" spans="1:26" ht="32.1" customHeight="1">
      <c r="A20" s="229" t="s">
        <v>91</v>
      </c>
      <c r="B20" s="231"/>
      <c r="C20" s="246">
        <f>IFERROR(VLOOKUP(C$8,'1st_Semester'!B$6:BV$25,21,0),"")</f>
        <v>0</v>
      </c>
      <c r="D20" s="246"/>
      <c r="E20" s="246">
        <f>IFERROR(VLOOKUP(C$8,'1st_Semester'!B$6:BVV$25,22,0),"")</f>
        <v>0</v>
      </c>
      <c r="F20" s="254"/>
      <c r="G20" s="254"/>
      <c r="H20" s="255"/>
      <c r="I20" s="246">
        <f>IFERROR(VLOOKUP(C$8,'2nd_Semester'!B$5:BV$25,21,0),"")</f>
        <v>0</v>
      </c>
      <c r="J20" s="246"/>
      <c r="K20" s="246">
        <f>IFERROR(VLOOKUP(C$8,'2nd_Semester'!B$5:BV$25,22,0),"")</f>
        <v>0</v>
      </c>
      <c r="L20" s="254"/>
      <c r="M20" s="254"/>
      <c r="N20" s="255"/>
      <c r="O20" s="249">
        <f>IFERROR(VLOOKUP(C$8,'3rd_Semester'!B$7:BV$24,21,0),"")</f>
        <v>9</v>
      </c>
      <c r="P20" s="249"/>
      <c r="Q20" s="249">
        <f>IFERROR(VLOOKUP(C$8,'3rd_Semester'!B$7:BV$24,22,0),"")</f>
        <v>23</v>
      </c>
      <c r="R20" s="254"/>
      <c r="S20" s="254"/>
      <c r="T20" s="255"/>
      <c r="U20" s="251">
        <f>AVERAGE(C20,I20,O20)</f>
        <v>3</v>
      </c>
      <c r="V20" s="251"/>
      <c r="W20" s="251">
        <f t="shared" si="0"/>
        <v>7.666666666666667</v>
      </c>
      <c r="X20" s="256"/>
      <c r="Y20" s="256"/>
      <c r="Z20" s="257"/>
    </row>
    <row r="21" spans="1:26" ht="32.1" customHeight="1">
      <c r="A21" s="229" t="s">
        <v>92</v>
      </c>
      <c r="B21" s="231"/>
      <c r="C21" s="246">
        <f>IFERROR(VLOOKUP(C$8,'1st_Semester'!B$6:BV$25,28,0),"")</f>
        <v>0</v>
      </c>
      <c r="D21" s="246">
        <f>IFERROR(VLOOKUP(C$8,'1st_Semester'!B$6:BV$25,31,0),"")</f>
        <v>0</v>
      </c>
      <c r="E21" s="246">
        <f>IFERROR(VLOOKUP(C$8,'1st_Semester'!B$6:BVV$25,29,0),"")</f>
        <v>0</v>
      </c>
      <c r="F21" s="246">
        <f>IFERROR(VLOOKUP(C$8,'1st_Semester'!B$6:BV$25,32,0),"")</f>
        <v>0</v>
      </c>
      <c r="G21" s="249">
        <f>'1st_Semester'!AH9</f>
        <v>89</v>
      </c>
      <c r="H21" s="248" t="str">
        <f>IFERROR(VLOOKUP(C$8,'1st_Semester'!B$6:BV$25,34,0),"")</f>
        <v>F</v>
      </c>
      <c r="I21" s="246">
        <f>IFERROR(VLOOKUP(C$8,'2nd_Semester'!B$5:BV$25,28,0),"")</f>
        <v>0</v>
      </c>
      <c r="J21" s="246">
        <f>IFERROR(VLOOKUP(C$8,'2nd_Semester'!B$5:BV$25,31,0),"")</f>
        <v>0</v>
      </c>
      <c r="K21" s="246">
        <f>IFERROR(VLOOKUP(C$8,'2nd_Semester'!B$5:BV$25,29,0),"")</f>
        <v>0</v>
      </c>
      <c r="L21" s="246">
        <f>IFERROR(VLOOKUP(C$8,'2nd_Semester'!B$5:BV$25,32,0),"")</f>
        <v>0</v>
      </c>
      <c r="M21" s="249">
        <f>'2nd_Semester'!AH9</f>
        <v>84</v>
      </c>
      <c r="N21" s="248" t="str">
        <f>IFERROR(VLOOKUP(C$8,'2nd_Semester'!B$5:BV$25,34,0),"")</f>
        <v>F</v>
      </c>
      <c r="O21" s="249">
        <f>IFERROR(VLOOKUP(C$8,'3rd_Semester'!B$7:BV$24,28,0),"")</f>
        <v>17</v>
      </c>
      <c r="P21" s="249">
        <f>IFERROR(VLOOKUP(C$8,'3rd_Semester'!B$7:BV$24,31,0),"")</f>
        <v>15</v>
      </c>
      <c r="Q21" s="249">
        <f>IFERROR(VLOOKUP(C$8,'3rd_Semester'!B$7:BV$24,29,0),"")</f>
        <v>15</v>
      </c>
      <c r="R21" s="249">
        <f>IFERROR(VLOOKUP(C$8,'3rd_Semester'!B$7:BV$24,32,0),"")</f>
        <v>47</v>
      </c>
      <c r="S21" s="249">
        <f>'3rd_Semester'!AH9</f>
        <v>87</v>
      </c>
      <c r="T21" s="248">
        <f>IFERROR(VLOOKUP(C$8,'3rd_Semester'!B$7:BV$25,34,0),"")</f>
        <v>2</v>
      </c>
      <c r="U21" s="251">
        <f>AVERAGE(C21,I21,O21)</f>
        <v>5.666666666666667</v>
      </c>
      <c r="V21" s="251">
        <f>AVERAGE(D21,J21,P21)</f>
        <v>5</v>
      </c>
      <c r="W21" s="251">
        <f t="shared" si="0"/>
        <v>5</v>
      </c>
      <c r="X21" s="251">
        <f>AVERAGE(F21,L21,R21)</f>
        <v>15.666666666666666</v>
      </c>
      <c r="Y21" s="251">
        <f>SUM(H21,N21,T21)/3</f>
        <v>0.66666666666666663</v>
      </c>
      <c r="Z21" s="257"/>
    </row>
    <row r="22" spans="1:26" ht="32.1" customHeight="1">
      <c r="A22" s="229" t="s">
        <v>93</v>
      </c>
      <c r="B22" s="231"/>
      <c r="C22" s="246">
        <f>IFERROR(VLOOKUP(C$8,'1st_Semester'!B$6:BV$25,35,0),"")</f>
        <v>0</v>
      </c>
      <c r="D22" s="246">
        <f>IFERROR(VLOOKUP(C$8,'1st_Semester'!B$6:BV$25,38,0),"")</f>
        <v>0</v>
      </c>
      <c r="E22" s="246">
        <f>IFERROR(VLOOKUP(C$8,'1st_Semester'!B$6:BVV$25,36,0),"")</f>
        <v>0</v>
      </c>
      <c r="F22" s="246">
        <f>IFERROR(VLOOKUP(C$8,'1st_Semester'!B$6:BV$25,39,0),"")</f>
        <v>0</v>
      </c>
      <c r="G22" s="249">
        <f>'1st_Semester'!AO9</f>
        <v>84</v>
      </c>
      <c r="H22" s="248" t="str">
        <f>IFERROR(VLOOKUP(C$8,'1st_Semester'!B$6:BV$25,41,0),"")</f>
        <v>F</v>
      </c>
      <c r="I22" s="246">
        <f>IFERROR(VLOOKUP(C$8,'2nd_Semester'!B$5:BV$25,35,0),"")</f>
        <v>0</v>
      </c>
      <c r="J22" s="246">
        <f>IFERROR(VLOOKUP(C$8,'2nd_Semester'!B$5:BV$25,38,0),"")</f>
        <v>0</v>
      </c>
      <c r="K22" s="246">
        <f>IFERROR(VLOOKUP(C$8,'2nd_Semester'!B$5:BV$25,36,0),"")</f>
        <v>0</v>
      </c>
      <c r="L22" s="246">
        <f>IFERROR(VLOOKUP(C$8,'2nd_Semester'!B$5:BV$25,39,0),"")</f>
        <v>0</v>
      </c>
      <c r="M22" s="249">
        <f>'2nd_Semester'!AO9</f>
        <v>92</v>
      </c>
      <c r="N22" s="248" t="str">
        <f>IFERROR(VLOOKUP(C$8,'2nd_Semester'!B$5:BV$25,41,0),"")</f>
        <v>F</v>
      </c>
      <c r="O22" s="249">
        <f>IFERROR(VLOOKUP(C$8,'3rd_Semester'!B$7:BV$24,35,0),"")</f>
        <v>15</v>
      </c>
      <c r="P22" s="249">
        <f>IFERROR(VLOOKUP(C$8,'3rd_Semester'!B$7:BV$24,38,0),"")</f>
        <v>19</v>
      </c>
      <c r="Q22" s="249">
        <f>IFERROR(VLOOKUP(C$8,'3rd_Semester'!B$7:BV$24,36,0),"")</f>
        <v>20</v>
      </c>
      <c r="R22" s="249">
        <f>IFERROR(VLOOKUP(C$8,'3rd_Semester'!B$7:BV$24,39,0),"")</f>
        <v>54</v>
      </c>
      <c r="S22" s="249">
        <f>'3rd_Semester'!AO9</f>
        <v>89</v>
      </c>
      <c r="T22" s="248">
        <f>IFERROR(VLOOKUP(C$8,'3rd_Semester'!B$7:BV$25,41,0),"")</f>
        <v>3</v>
      </c>
      <c r="U22" s="251">
        <f>AVERAGE(C22,I22,O22)</f>
        <v>5</v>
      </c>
      <c r="V22" s="251">
        <f>AVERAGE(D22,J22,P22)</f>
        <v>6.333333333333333</v>
      </c>
      <c r="W22" s="251">
        <f t="shared" si="0"/>
        <v>6.666666666666667</v>
      </c>
      <c r="X22" s="251">
        <f t="shared" ref="X22:X26" si="1">AVERAGE(F22,L22,R22)</f>
        <v>18</v>
      </c>
      <c r="Y22" s="251">
        <f t="shared" ref="Y22:Y24" si="2">SUM(H22,N22,T22)/3</f>
        <v>1</v>
      </c>
      <c r="Z22" s="257"/>
    </row>
    <row r="23" spans="1:26" ht="32.1" customHeight="1">
      <c r="A23" s="229" t="s">
        <v>94</v>
      </c>
      <c r="B23" s="231"/>
      <c r="C23" s="246"/>
      <c r="D23" s="246">
        <f>IFERROR(VLOOKUP(C$8,'1st_Semester'!B$6:BV$25,42,0),"")</f>
        <v>0</v>
      </c>
      <c r="E23" s="246">
        <f>IFERROR(VLOOKUP(C$8,'1st_Semester'!B$6:BVV$25,43,0),"")</f>
        <v>0</v>
      </c>
      <c r="F23" s="246">
        <f>IFERROR(VLOOKUP(C$8,'1st_Semester'!B$6:BV$25,44,0),"")</f>
        <v>0</v>
      </c>
      <c r="G23" s="249">
        <f>'1st_Semester'!AT9</f>
        <v>41</v>
      </c>
      <c r="H23" s="248" t="str">
        <f>IFERROR(VLOOKUP(C$8,'1st_Semester'!B$6:BV$25,46,0),"")</f>
        <v>F</v>
      </c>
      <c r="I23" s="246"/>
      <c r="J23" s="246">
        <f>IFERROR(VLOOKUP(C$8,'2nd_Semester'!B$5:BV$25,42,0),"")</f>
        <v>0</v>
      </c>
      <c r="K23" s="246">
        <f>IFERROR(VLOOKUP(C$8,'2nd_Semester'!B$5:BV$25,43,0),"")</f>
        <v>0</v>
      </c>
      <c r="L23" s="246">
        <f>IFERROR(VLOOKUP(C$8,'2nd_Semester'!B$5:BV$25,44,0),"")</f>
        <v>0</v>
      </c>
      <c r="M23" s="249">
        <f>'2nd_Semester'!AT9</f>
        <v>50</v>
      </c>
      <c r="N23" s="248" t="str">
        <f>IFERROR(VLOOKUP(C$8,'2nd_Semester'!B$5:BV$25,46,0),"")</f>
        <v>F</v>
      </c>
      <c r="O23" s="249"/>
      <c r="P23" s="249">
        <f>IFERROR(VLOOKUP(C$8,'3rd_Semester'!B$7:BV$24,42,0),"")</f>
        <v>20</v>
      </c>
      <c r="Q23" s="249">
        <f>IFERROR(VLOOKUP(C$8,'3rd_Semester'!B$7:BV$24,43,0),"")</f>
        <v>25</v>
      </c>
      <c r="R23" s="249">
        <f>IFERROR(VLOOKUP(C$8,'3rd_Semester'!B$7:BV$24,44,0),"")</f>
        <v>45</v>
      </c>
      <c r="S23" s="249">
        <f>'3rd_Semester'!AT9</f>
        <v>50</v>
      </c>
      <c r="T23" s="248">
        <f>IFERROR(VLOOKUP(C$8,'3rd_Semester'!B$7:BV$25,46,0),"")</f>
        <v>5</v>
      </c>
      <c r="U23" s="251"/>
      <c r="V23" s="251">
        <f>AVERAGE(D23,J23,P23)</f>
        <v>6.666666666666667</v>
      </c>
      <c r="W23" s="251">
        <f t="shared" si="0"/>
        <v>8.3333333333333339</v>
      </c>
      <c r="X23" s="251">
        <f t="shared" si="1"/>
        <v>15</v>
      </c>
      <c r="Y23" s="251">
        <f t="shared" si="2"/>
        <v>1.6666666666666667</v>
      </c>
      <c r="Z23" s="257"/>
    </row>
    <row r="24" spans="1:26" ht="32.1" customHeight="1">
      <c r="A24" s="229" t="s">
        <v>95</v>
      </c>
      <c r="B24" s="231"/>
      <c r="C24" s="246">
        <f>IFERROR(VLOOKUP(C$8,'1st_Semester'!B$6:BV$25,47,0),"")</f>
        <v>0</v>
      </c>
      <c r="D24" s="246">
        <f>IFERROR(VLOOKUP(C$8,'1st_Semester'!B$6:BV$25,50,0),"")</f>
        <v>0</v>
      </c>
      <c r="E24" s="246">
        <f>IFERROR(VLOOKUP(C$8,'1st_Semester'!B$6:BVV$25,48,0),"")</f>
        <v>0</v>
      </c>
      <c r="F24" s="246">
        <f>IFERROR(VLOOKUP(C$8,'1st_Semester'!B$6:BV$25,51,0),"")</f>
        <v>0</v>
      </c>
      <c r="G24" s="249">
        <f>'1st_Semester'!BA9</f>
        <v>90</v>
      </c>
      <c r="H24" s="248" t="str">
        <f>IFERROR(VLOOKUP(C$8,'1st_Semester'!B$6:BV$25,53,0),"")</f>
        <v>F</v>
      </c>
      <c r="I24" s="246">
        <f>IFERROR(VLOOKUP(C$8,'2nd_Semester'!B$5:BV$25,47,0),"")</f>
        <v>0</v>
      </c>
      <c r="J24" s="246">
        <f>IFERROR(VLOOKUP(C$8,'2nd_Semester'!B$5:BV$25,50,0),"")</f>
        <v>0</v>
      </c>
      <c r="K24" s="246">
        <f>IFERROR(VLOOKUP(C$8,'2nd_Semester'!B$5:BV$25,48,0),"")</f>
        <v>0</v>
      </c>
      <c r="L24" s="246">
        <f>IFERROR(VLOOKUP(C$8,'2nd_Semester'!B$5:BV$25,51,0),"")</f>
        <v>0</v>
      </c>
      <c r="M24" s="249">
        <f>'2nd_Semester'!BA9</f>
        <v>95</v>
      </c>
      <c r="N24" s="248" t="str">
        <f>IFERROR(VLOOKUP(C$8,'2nd_Semester'!B$5:BV$25,53,0),"")</f>
        <v>F</v>
      </c>
      <c r="O24" s="249">
        <f>IFERROR(VLOOKUP(C$8,'3rd_Semester'!B$7:BV$24,47,0),"")</f>
        <v>17</v>
      </c>
      <c r="P24" s="249">
        <f>IFERROR(VLOOKUP(C$8,'3rd_Semester'!B$7:BV$24,50,0),"")</f>
        <v>12</v>
      </c>
      <c r="Q24" s="249">
        <f>IFERROR(VLOOKUP(C$8,'3rd_Semester'!B$7:BV$24,48,0),"")</f>
        <v>20</v>
      </c>
      <c r="R24" s="249">
        <f>IFERROR(VLOOKUP(C$8,'3rd_Semester'!B$7:BV$24,51,0),"")</f>
        <v>49</v>
      </c>
      <c r="S24" s="249">
        <f>'3rd_Semester'!BA9</f>
        <v>99</v>
      </c>
      <c r="T24" s="248">
        <f>IFERROR(VLOOKUP(C$8,'3rd_Semester'!B$7:BV$25,53,0),"")</f>
        <v>2</v>
      </c>
      <c r="U24" s="251">
        <f>AVERAGE(C24,I24,O24)</f>
        <v>5.666666666666667</v>
      </c>
      <c r="V24" s="251">
        <f>AVERAGE(D24,J24,P24)</f>
        <v>4</v>
      </c>
      <c r="W24" s="251">
        <f t="shared" si="0"/>
        <v>6.666666666666667</v>
      </c>
      <c r="X24" s="251">
        <f t="shared" si="1"/>
        <v>16.333333333333332</v>
      </c>
      <c r="Y24" s="251">
        <f t="shared" si="2"/>
        <v>0.66666666666666663</v>
      </c>
      <c r="Z24" s="257"/>
    </row>
    <row r="25" spans="1:26" ht="32.1" customHeight="1">
      <c r="A25" s="229" t="s">
        <v>96</v>
      </c>
      <c r="B25" s="231"/>
      <c r="C25" s="246">
        <f>IFERROR(VLOOKUP(C$8,'1st_Semester'!B$6:BV$25,54,0),"")</f>
        <v>0</v>
      </c>
      <c r="D25" s="246">
        <f>IFERROR(VLOOKUP(C$8,'1st_Semester'!B$6:BV$25,57,0),"")</f>
        <v>0</v>
      </c>
      <c r="E25" s="246">
        <f>IFERROR(VLOOKUP(C$8,'1st_Semester'!B$6:BVV$25,55,0),"")</f>
        <v>0</v>
      </c>
      <c r="F25" s="246">
        <f>IFERROR(VLOOKUP(C$8,'1st_Semester'!B$6:BV$25,58,0),"")</f>
        <v>0</v>
      </c>
      <c r="G25" s="249">
        <f>'1st_Semester'!BH9</f>
        <v>66</v>
      </c>
      <c r="H25" s="248" t="str">
        <f>IFERROR(VLOOKUP(C$8,'1st_Semester'!B$6:BV$25,60,0),"")</f>
        <v>F</v>
      </c>
      <c r="I25" s="246">
        <f>IFERROR(VLOOKUP(C$8,'2nd_Semester'!B$5:BV$25,54,0),"")</f>
        <v>0</v>
      </c>
      <c r="J25" s="246">
        <f>IFERROR(VLOOKUP(C$8,'2nd_Semester'!B$5:BV$25,57,0),"")</f>
        <v>0</v>
      </c>
      <c r="K25" s="246">
        <f>IFERROR(VLOOKUP(C$8,'2nd_Semester'!B$5:BV$25,55,0),"")</f>
        <v>0</v>
      </c>
      <c r="L25" s="246">
        <f>IFERROR(VLOOKUP(C$8,'2nd_Semester'!B$5:BV$25,58,0),"")</f>
        <v>0</v>
      </c>
      <c r="M25" s="249">
        <f>'2nd_Semester'!BH9</f>
        <v>76</v>
      </c>
      <c r="N25" s="248" t="str">
        <f>IFERROR(VLOOKUP(C$8,'2nd_Semester'!B$5:BV$25,60,0),"")</f>
        <v>F</v>
      </c>
      <c r="O25" s="249">
        <f>IFERROR(VLOOKUP(C$8,'3rd_Semester'!B$7:BV$24,54,0),"")</f>
        <v>16</v>
      </c>
      <c r="P25" s="249">
        <f>IFERROR(VLOOKUP(C$8,'3rd_Semester'!B$7:BV$24,57,0),"")</f>
        <v>18</v>
      </c>
      <c r="Q25" s="249">
        <f>IFERROR(VLOOKUP(C$8,'3rd_Semester'!B$7:BV$24,55,0),"")</f>
        <v>17</v>
      </c>
      <c r="R25" s="249">
        <f>IFERROR(VLOOKUP(C$8,'3rd_Semester'!B$7:BV$24,58,0),"")</f>
        <v>51</v>
      </c>
      <c r="S25" s="249">
        <f>'3rd_Semester'!BH9</f>
        <v>88</v>
      </c>
      <c r="T25" s="248">
        <f>IFERROR(VLOOKUP(C$8,'3rd_Semester'!B$7:BV$25,60,0),"")</f>
        <v>3</v>
      </c>
      <c r="U25" s="251">
        <f>AVERAGE(C25,I25,O25)</f>
        <v>5.333333333333333</v>
      </c>
      <c r="V25" s="251">
        <f>AVERAGE(D25,J25,P25)</f>
        <v>6</v>
      </c>
      <c r="W25" s="251">
        <f t="shared" ref="W25:W26" si="3">AVERAGE(E25,K25,Q25)</f>
        <v>5.666666666666667</v>
      </c>
      <c r="X25" s="251">
        <f t="shared" si="1"/>
        <v>17</v>
      </c>
      <c r="Y25" s="251">
        <f>SUM(H25,N25,T25)/3</f>
        <v>1</v>
      </c>
      <c r="Z25" s="257"/>
    </row>
    <row r="26" spans="1:26" ht="32.1" customHeight="1">
      <c r="A26" s="229" t="s">
        <v>97</v>
      </c>
      <c r="B26" s="231"/>
      <c r="C26" s="246">
        <f>IFERROR(VLOOKUP(C$8,'1st_Semester'!B$6:BV$25,61,0),"")</f>
        <v>0</v>
      </c>
      <c r="D26" s="246"/>
      <c r="E26" s="246">
        <f>IFERROR(VLOOKUP(C$8,'1st_Semester'!B$6:BVV$25,62,0),"")</f>
        <v>0</v>
      </c>
      <c r="F26" s="246">
        <f>IFERROR(VLOOKUP(C$8,'1st_Semester'!B$6:BV$25,64,0),"")</f>
        <v>0</v>
      </c>
      <c r="G26" s="249">
        <f>'1st_Semester'!BN9</f>
        <v>44</v>
      </c>
      <c r="H26" s="248" t="str">
        <f>IFERROR(VLOOKUP(C$8,'1st_Semester'!B$6:BV$25,66,0),"")</f>
        <v>F</v>
      </c>
      <c r="I26" s="246">
        <f>IFERROR(VLOOKUP(C$8,'2nd_Semester'!B$5:BV$25,61,0),"")</f>
        <v>0</v>
      </c>
      <c r="J26" s="246"/>
      <c r="K26" s="246">
        <f>IFERROR(VLOOKUP(C$8,'2nd_Semester'!B$5:BV$25,62,0),"")</f>
        <v>0</v>
      </c>
      <c r="L26" s="246">
        <f>IFERROR(VLOOKUP(C$8,'2nd_Semester'!B$5:BV$25,64,0),"")</f>
        <v>0</v>
      </c>
      <c r="M26" s="249">
        <f>'2nd_Semester'!BN9</f>
        <v>50</v>
      </c>
      <c r="N26" s="248" t="str">
        <f>IFERROR(VLOOKUP(C$8,'2nd_Semester'!B$5:BV$25,66,0),"")</f>
        <v>F</v>
      </c>
      <c r="O26" s="249">
        <f>IFERROR(VLOOKUP(C$8,'3rd_Semester'!B$7:BV$24,61,0),"")</f>
        <v>20</v>
      </c>
      <c r="P26" s="249"/>
      <c r="Q26" s="249">
        <f>IFERROR(VLOOKUP(C$8,'3rd_Semester'!B$7:BV$24,62,0),"")</f>
        <v>30</v>
      </c>
      <c r="R26" s="249">
        <f>IFERROR(VLOOKUP(C$8,'3rd_Semester'!B$7:BV$24,64,0),"")</f>
        <v>50</v>
      </c>
      <c r="S26" s="249">
        <f>'3rd_Semester'!BN9</f>
        <v>50</v>
      </c>
      <c r="T26" s="248">
        <f>IFERROR(VLOOKUP(C$8,'3rd_Semester'!B$7:BV$25,66,0),"")</f>
        <v>5</v>
      </c>
      <c r="U26" s="251">
        <f>AVERAGE(C26,I26,O26)</f>
        <v>6.666666666666667</v>
      </c>
      <c r="V26" s="248"/>
      <c r="W26" s="251">
        <f t="shared" si="3"/>
        <v>10</v>
      </c>
      <c r="X26" s="251">
        <f t="shared" si="1"/>
        <v>16.666666666666668</v>
      </c>
      <c r="Y26" s="251">
        <f>SUM(H26,N26,T26)/3</f>
        <v>1.6666666666666667</v>
      </c>
      <c r="Z26" s="258"/>
    </row>
    <row r="27" spans="1:26" ht="32.1" customHeight="1">
      <c r="A27" s="244" t="s">
        <v>98</v>
      </c>
      <c r="B27" s="245"/>
      <c r="C27" s="259"/>
      <c r="D27" s="260"/>
      <c r="E27" s="259"/>
      <c r="F27" s="261">
        <f>SUM(F17:F26)</f>
        <v>0</v>
      </c>
      <c r="G27" s="244"/>
      <c r="H27" s="245"/>
      <c r="I27" s="259"/>
      <c r="J27" s="260"/>
      <c r="K27" s="259"/>
      <c r="L27" s="261">
        <f>SUM(L17:L26)</f>
        <v>0</v>
      </c>
      <c r="M27" s="244"/>
      <c r="N27" s="245"/>
      <c r="O27" s="259"/>
      <c r="P27" s="260"/>
      <c r="Q27" s="259"/>
      <c r="R27" s="261">
        <f>SUM(R17:R26)</f>
        <v>480</v>
      </c>
      <c r="S27" s="244"/>
      <c r="T27" s="245"/>
      <c r="U27" s="262"/>
      <c r="V27" s="263"/>
      <c r="W27" s="264"/>
      <c r="X27" s="261">
        <f>SUM(X17:X26)</f>
        <v>159.99999999999997</v>
      </c>
      <c r="Y27" s="262"/>
      <c r="Z27" s="264"/>
    </row>
    <row r="31" spans="1:26">
      <c r="A31" s="83" t="s">
        <v>59</v>
      </c>
      <c r="L31" s="48" t="s">
        <v>32</v>
      </c>
      <c r="W31" s="48" t="s">
        <v>62</v>
      </c>
    </row>
  </sheetData>
  <mergeCells count="70">
    <mergeCell ref="E14:E16"/>
    <mergeCell ref="Z17:Z26"/>
    <mergeCell ref="L19:L20"/>
    <mergeCell ref="H19:H20"/>
    <mergeCell ref="H13:H16"/>
    <mergeCell ref="J13:K13"/>
    <mergeCell ref="L13:L16"/>
    <mergeCell ref="M13:M16"/>
    <mergeCell ref="J14:J16"/>
    <mergeCell ref="K14:K16"/>
    <mergeCell ref="M17:M18"/>
    <mergeCell ref="Y13:Y16"/>
    <mergeCell ref="Z13:Z16"/>
    <mergeCell ref="N19:N20"/>
    <mergeCell ref="N13:N16"/>
    <mergeCell ref="Q14:Q16"/>
    <mergeCell ref="A18:B18"/>
    <mergeCell ref="A17:B17"/>
    <mergeCell ref="F19:F20"/>
    <mergeCell ref="G19:G20"/>
    <mergeCell ref="A20:B20"/>
    <mergeCell ref="A19:B19"/>
    <mergeCell ref="F17:F18"/>
    <mergeCell ref="G17:G18"/>
    <mergeCell ref="A21:B21"/>
    <mergeCell ref="A27:B27"/>
    <mergeCell ref="A22:B22"/>
    <mergeCell ref="A23:B23"/>
    <mergeCell ref="A24:B24"/>
    <mergeCell ref="A25:B25"/>
    <mergeCell ref="A26:B26"/>
    <mergeCell ref="G27:H27"/>
    <mergeCell ref="Y17:Y18"/>
    <mergeCell ref="Y19:Y20"/>
    <mergeCell ref="X19:X20"/>
    <mergeCell ref="U27:W27"/>
    <mergeCell ref="Y27:Z27"/>
    <mergeCell ref="S27:T27"/>
    <mergeCell ref="R17:R18"/>
    <mergeCell ref="S17:S18"/>
    <mergeCell ref="T17:T18"/>
    <mergeCell ref="R19:R20"/>
    <mergeCell ref="S19:S20"/>
    <mergeCell ref="T19:T20"/>
    <mergeCell ref="X17:X18"/>
    <mergeCell ref="M27:N27"/>
    <mergeCell ref="M19:M20"/>
    <mergeCell ref="A1:Z4"/>
    <mergeCell ref="U12:Z12"/>
    <mergeCell ref="C11:K11"/>
    <mergeCell ref="A12:B16"/>
    <mergeCell ref="C12:C16"/>
    <mergeCell ref="D14:D16"/>
    <mergeCell ref="I12:I16"/>
    <mergeCell ref="D12:H12"/>
    <mergeCell ref="D13:E13"/>
    <mergeCell ref="F13:F16"/>
    <mergeCell ref="G13:G16"/>
    <mergeCell ref="W13:W16"/>
    <mergeCell ref="U13:U16"/>
    <mergeCell ref="V13:V16"/>
    <mergeCell ref="T13:T16"/>
    <mergeCell ref="X13:X16"/>
    <mergeCell ref="J12:N12"/>
    <mergeCell ref="O12:O16"/>
    <mergeCell ref="P12:T12"/>
    <mergeCell ref="P13:Q13"/>
    <mergeCell ref="R13:R16"/>
    <mergeCell ref="S13:S16"/>
    <mergeCell ref="P14:P16"/>
  </mergeCells>
  <phoneticPr fontId="36" type="noConversion"/>
  <printOptions horizontalCentered="1" verticalCentered="1"/>
  <pageMargins left="0" right="0" top="0" bottom="0" header="0" footer="0"/>
  <pageSetup paperSize="9" scale="72" orientation="landscape" r:id="rId1"/>
  <ignoredErrors>
    <ignoredError sqref="C18 E18 L22 L19 H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O33"/>
  <sheetViews>
    <sheetView topLeftCell="C10" zoomScale="98" zoomScaleNormal="98" workbookViewId="0">
      <selection activeCell="W24" sqref="W24"/>
    </sheetView>
  </sheetViews>
  <sheetFormatPr defaultRowHeight="15"/>
  <cols>
    <col min="1" max="1" width="0.7109375" hidden="1" customWidth="1"/>
    <col min="2" max="2" width="9.140625" hidden="1" customWidth="1"/>
    <col min="3" max="3" width="2.5703125" customWidth="1"/>
    <col min="4" max="4" width="21.5703125" customWidth="1"/>
    <col min="5" max="5" width="9.140625" customWidth="1"/>
    <col min="6" max="6" width="7.42578125" customWidth="1"/>
    <col min="7" max="14" width="6.5703125" customWidth="1"/>
    <col min="15" max="15" width="8.7109375" customWidth="1"/>
  </cols>
  <sheetData>
    <row r="1" spans="4:15" ht="25.5" customHeight="1"/>
    <row r="2" spans="4:15" ht="15" customHeight="1">
      <c r="D2" s="206" t="s">
        <v>29</v>
      </c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</row>
    <row r="3" spans="4:15" ht="15" customHeight="1"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</row>
    <row r="4" spans="4:15" ht="15" customHeight="1"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</row>
    <row r="5" spans="4:15" ht="36.75" customHeight="1"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</row>
    <row r="6" spans="4:15" ht="16.5" customHeight="1"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</row>
    <row r="7" spans="4:15" ht="17.25" customHeight="1">
      <c r="D7" s="38" t="s">
        <v>35</v>
      </c>
      <c r="E7" s="32" t="str">
        <f>IFERROR(VLOOKUP(L$9,'2nd_Semester'!B$7:BF$23,2,0),"ENTER THE RIGHT ROLL")</f>
        <v>ENTER THE RIGHT ROLL</v>
      </c>
      <c r="F7" s="16"/>
      <c r="G7" s="16"/>
      <c r="H7" s="18"/>
      <c r="I7" s="208" t="s">
        <v>39</v>
      </c>
      <c r="J7" s="208"/>
      <c r="K7" s="208"/>
      <c r="L7" s="33" t="s">
        <v>19</v>
      </c>
      <c r="M7" s="16"/>
      <c r="N7" s="16"/>
      <c r="O7" s="25"/>
    </row>
    <row r="8" spans="4:15" ht="18" customHeight="1">
      <c r="D8" s="38" t="s">
        <v>36</v>
      </c>
      <c r="E8" s="32" t="str">
        <f>IFERROR(VLOOKUP(L9,'2nd_Semester'!B7:BF23,3,0),"")</f>
        <v/>
      </c>
      <c r="F8" s="16"/>
      <c r="G8" s="16"/>
      <c r="H8" s="19"/>
      <c r="I8" s="209" t="s">
        <v>40</v>
      </c>
      <c r="J8" s="209"/>
      <c r="K8" s="209"/>
      <c r="L8" s="16" t="s">
        <v>43</v>
      </c>
      <c r="M8" s="23"/>
      <c r="N8" s="23"/>
      <c r="O8" s="24"/>
    </row>
    <row r="9" spans="4:15" ht="15.75" customHeight="1">
      <c r="D9" s="38" t="s">
        <v>37</v>
      </c>
      <c r="E9" s="32" t="str">
        <f>IFERROR(VLOOKUP(L9,'2nd_Semester'!B7:BF23,4,0),"")</f>
        <v/>
      </c>
      <c r="F9" s="16"/>
      <c r="G9" s="16"/>
      <c r="H9" s="20"/>
      <c r="I9" s="210" t="s">
        <v>41</v>
      </c>
      <c r="J9" s="210"/>
      <c r="K9" s="210"/>
      <c r="L9" s="26">
        <v>106</v>
      </c>
      <c r="M9" s="21"/>
      <c r="N9" s="21"/>
      <c r="O9" s="22"/>
    </row>
    <row r="10" spans="4:15" ht="15.75" customHeight="1">
      <c r="D10" s="38" t="s">
        <v>38</v>
      </c>
      <c r="E10" s="32" t="s">
        <v>28</v>
      </c>
      <c r="F10" s="16"/>
      <c r="G10" s="16"/>
      <c r="H10" s="210" t="s">
        <v>42</v>
      </c>
      <c r="I10" s="210"/>
      <c r="J10" s="210"/>
      <c r="K10" s="210"/>
      <c r="L10" s="27">
        <v>86</v>
      </c>
      <c r="M10" s="23"/>
      <c r="N10" s="23"/>
      <c r="O10" s="24"/>
    </row>
    <row r="11" spans="4:15" ht="15.75" customHeight="1">
      <c r="D11" s="38" t="s">
        <v>20</v>
      </c>
      <c r="E11" s="182">
        <v>1778840512</v>
      </c>
      <c r="F11" s="182"/>
      <c r="G11" s="17"/>
      <c r="H11" s="2"/>
      <c r="I11" s="2"/>
      <c r="J11" s="1"/>
      <c r="K11" s="2"/>
      <c r="L11" s="2"/>
      <c r="M11" s="2"/>
      <c r="N11" s="2"/>
      <c r="O11" s="3"/>
    </row>
    <row r="12" spans="4:15" ht="15.75" customHeight="1">
      <c r="D12" s="13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5"/>
    </row>
    <row r="13" spans="4:15" ht="15.75" customHeight="1">
      <c r="D13" s="213" t="s">
        <v>8</v>
      </c>
      <c r="E13" s="213"/>
      <c r="F13" s="213"/>
      <c r="G13" s="195" t="s">
        <v>9</v>
      </c>
      <c r="H13" s="195" t="s">
        <v>21</v>
      </c>
      <c r="I13" s="195" t="s">
        <v>23</v>
      </c>
      <c r="J13" s="195" t="s">
        <v>30</v>
      </c>
      <c r="K13" s="195" t="s">
        <v>22</v>
      </c>
      <c r="L13" s="195" t="s">
        <v>15</v>
      </c>
      <c r="M13" s="198" t="s">
        <v>1</v>
      </c>
      <c r="N13" s="198" t="s">
        <v>24</v>
      </c>
      <c r="O13" s="196" t="s">
        <v>3</v>
      </c>
    </row>
    <row r="14" spans="4:15" ht="15.75" customHeight="1">
      <c r="D14" s="213"/>
      <c r="E14" s="213"/>
      <c r="F14" s="213"/>
      <c r="G14" s="195"/>
      <c r="H14" s="195"/>
      <c r="I14" s="195"/>
      <c r="J14" s="195"/>
      <c r="K14" s="195"/>
      <c r="L14" s="195"/>
      <c r="M14" s="199"/>
      <c r="N14" s="199"/>
      <c r="O14" s="197"/>
    </row>
    <row r="15" spans="4:15" ht="25.5" customHeight="1">
      <c r="D15" s="213"/>
      <c r="E15" s="213"/>
      <c r="F15" s="213"/>
      <c r="G15" s="195"/>
      <c r="H15" s="195"/>
      <c r="I15" s="195"/>
      <c r="J15" s="195"/>
      <c r="K15" s="195"/>
      <c r="L15" s="195"/>
      <c r="M15" s="199"/>
      <c r="N15" s="199"/>
      <c r="O15" s="197"/>
    </row>
    <row r="16" spans="4:15" ht="18.75" customHeight="1">
      <c r="D16" s="213"/>
      <c r="E16" s="213"/>
      <c r="F16" s="213"/>
      <c r="G16" s="195"/>
      <c r="H16" s="195"/>
      <c r="I16" s="195"/>
      <c r="J16" s="195"/>
      <c r="K16" s="195"/>
      <c r="L16" s="195"/>
      <c r="M16" s="199"/>
      <c r="N16" s="199"/>
      <c r="O16" s="197"/>
    </row>
    <row r="17" spans="4:15" ht="20.25" customHeight="1">
      <c r="D17" s="213"/>
      <c r="E17" s="213"/>
      <c r="F17" s="213"/>
      <c r="G17" s="195"/>
      <c r="H17" s="195"/>
      <c r="I17" s="195"/>
      <c r="J17" s="195"/>
      <c r="K17" s="195"/>
      <c r="L17" s="195"/>
      <c r="M17" s="199"/>
      <c r="N17" s="199"/>
      <c r="O17" s="197"/>
    </row>
    <row r="18" spans="4:15" ht="26.25" customHeight="1">
      <c r="D18" s="205" t="s">
        <v>13</v>
      </c>
      <c r="E18" s="205"/>
      <c r="F18" s="205"/>
      <c r="G18" s="29">
        <v>100</v>
      </c>
      <c r="H18" s="29" t="str">
        <f>IFERROR(VLOOKUP($L$9,'2nd_Semester'!B7:BF23,6,0),"")</f>
        <v/>
      </c>
      <c r="I18" s="29" t="str">
        <f>IFERROR(VLOOKUP(L$9,'2nd_Semester'!B$7:BF$23,5,0),"")</f>
        <v/>
      </c>
      <c r="J18" s="29" t="str">
        <f>IFERROR(VLOOKUP($L$9,'2nd_Semester'!B7:BF23,7,0),"")</f>
        <v/>
      </c>
      <c r="K18" s="194" t="str">
        <f>IFERROR(VLOOKUP(L9,'2nd_Semester'!B$7:BF$23,13,0),"")</f>
        <v/>
      </c>
      <c r="L18" s="194" t="e">
        <f>'2nd_Semester'!#REF!</f>
        <v>#REF!</v>
      </c>
      <c r="M18" s="214" t="str">
        <f>IFERROR(VLOOKUP(L9,'2nd_Semester'!B7:BF$23,15,0),"")</f>
        <v/>
      </c>
      <c r="N18" s="200" t="str">
        <f>IF(M18="F","F",IF(M18&lt;2.5,"D",IF(M18&lt;3,"C",IF(M18&lt;3.5,"B",IF(M18&lt;4,"A-",IF(M18&lt;5,"A","A+"))))))</f>
        <v>A+</v>
      </c>
      <c r="O18" s="207" t="str">
        <f>IFERROR(VLOOKUP(L9,'2nd_Semester'!B7:BF$23,60,0),"")</f>
        <v/>
      </c>
    </row>
    <row r="19" spans="4:15" ht="31.5" customHeight="1">
      <c r="D19" s="205" t="s">
        <v>14</v>
      </c>
      <c r="E19" s="205"/>
      <c r="F19" s="205"/>
      <c r="G19" s="29">
        <v>50</v>
      </c>
      <c r="H19" s="29" t="str">
        <f>IFERROR(VLOOKUP($L$9,'2nd_Semester'!B8:BF23,10,0),"")</f>
        <v/>
      </c>
      <c r="I19" s="30" t="str">
        <f>IFERROR(VLOOKUP(L$9,'2nd_Semester'!B$7:BF$23,9,0),"")</f>
        <v/>
      </c>
      <c r="J19" s="29" t="str">
        <f>IFERROR(VLOOKUP($L$9,'2nd_Semester'!B7:BF23,11,0),"")</f>
        <v/>
      </c>
      <c r="K19" s="194"/>
      <c r="L19" s="194"/>
      <c r="M19" s="215"/>
      <c r="N19" s="201"/>
      <c r="O19" s="207"/>
    </row>
    <row r="20" spans="4:15" ht="29.25" customHeight="1">
      <c r="D20" s="205" t="s">
        <v>16</v>
      </c>
      <c r="E20" s="205"/>
      <c r="F20" s="205"/>
      <c r="G20" s="29">
        <v>100</v>
      </c>
      <c r="H20" s="29" t="str">
        <f>IFERROR(VLOOKUP($L$9,'2nd_Semester'!B7:BF23,17,0),"")</f>
        <v/>
      </c>
      <c r="I20" s="30" t="str">
        <f>IFERROR(VLOOKUP(L$9,'2nd_Semester'!B$7:BF$23,16,0),"")</f>
        <v/>
      </c>
      <c r="J20" s="29" t="str">
        <f>IFERROR(VLOOKUP($L$9,'2nd_Semester'!B7:BF23,18,0),"")</f>
        <v/>
      </c>
      <c r="K20" s="217" t="str">
        <f>IFERROR(VLOOKUP(L$9,'2nd_Semester'!B$7:BF$23,25,0),"")</f>
        <v/>
      </c>
      <c r="L20" s="194">
        <f>'2nd_Semester'!Z9</f>
        <v>111</v>
      </c>
      <c r="M20" s="216" t="str">
        <f>IFERROR(VLOOKUP(L9,'2nd_Semester'!B9:BF$23,27,0),"")</f>
        <v/>
      </c>
      <c r="N20" s="200" t="str">
        <f>IF(M20="F","F",IF(M20&lt;2.5,"D",IF(M20&lt;3,"C",IF(M20&lt;3.5,"B",IF(M20&lt;4,"A-",IF(M20&lt;5,"A","A+"))))))</f>
        <v>A+</v>
      </c>
      <c r="O20" s="207"/>
    </row>
    <row r="21" spans="4:15" ht="27.75" customHeight="1">
      <c r="D21" s="205" t="s">
        <v>10</v>
      </c>
      <c r="E21" s="205"/>
      <c r="F21" s="205"/>
      <c r="G21" s="29">
        <v>50</v>
      </c>
      <c r="H21" s="29" t="str">
        <f>IFERROR(VLOOKUP($L$9,'2nd_Semester'!B8:BF23,21,0),"")</f>
        <v/>
      </c>
      <c r="I21" s="30" t="str">
        <f>IFERROR(VLOOKUP(L$9,'2nd_Semester'!B$7:BF$23,20,0),"")</f>
        <v/>
      </c>
      <c r="J21" s="29" t="str">
        <f>IFERROR(VLOOKUP($L$9,'2nd_Semester'!B7:BF23,23,0),"")</f>
        <v/>
      </c>
      <c r="K21" s="218"/>
      <c r="L21" s="194"/>
      <c r="M21" s="216"/>
      <c r="N21" s="201"/>
      <c r="O21" s="207"/>
    </row>
    <row r="22" spans="4:15" ht="28.5" customHeight="1">
      <c r="D22" s="205" t="s">
        <v>11</v>
      </c>
      <c r="E22" s="205"/>
      <c r="F22" s="205"/>
      <c r="G22" s="29">
        <v>100</v>
      </c>
      <c r="H22" s="29" t="str">
        <f>IFERROR(VLOOKUP($L$9,'2nd_Semester'!B7:BF23,28,0),"")</f>
        <v/>
      </c>
      <c r="I22" s="29" t="str">
        <f>IFERROR(VLOOKUP(L$9,'2nd_Semester'!B$12:BF$23,29,0),"")</f>
        <v/>
      </c>
      <c r="J22" s="29" t="str">
        <f>IFERROR(VLOOKUP($L$9,'2nd_Semester'!B7:BF23,30,0),"")</f>
        <v/>
      </c>
      <c r="K22" s="29" t="str">
        <f>IFERROR(VLOOKUP(L9,'2nd_Semester'!B$7:BF$23,31,0),"")</f>
        <v/>
      </c>
      <c r="L22" s="29">
        <f>'2nd_Semester'!AF9</f>
        <v>22</v>
      </c>
      <c r="M22" s="28" t="str">
        <f>IFERROR(VLOOKUP(L9,'2nd_Semester'!B5:BF$23,33,0),"")</f>
        <v/>
      </c>
      <c r="N22" s="4" t="str">
        <f>IF(M22="F","F",IF(M22&lt;2.5,"D",IF(M22&lt;3,"C",IF(M22&lt;3.5,"B",IF(M22&lt;4,"A-",IF(M22&lt;5,"A","A+"))))))</f>
        <v>A+</v>
      </c>
      <c r="O22" s="207"/>
    </row>
    <row r="23" spans="4:15" ht="25.5" customHeight="1">
      <c r="D23" s="205" t="s">
        <v>4</v>
      </c>
      <c r="E23" s="205"/>
      <c r="F23" s="205"/>
      <c r="G23" s="29">
        <v>100</v>
      </c>
      <c r="H23" s="29" t="str">
        <f>IFERROR(VLOOKUP($L$9,'2nd_Semester'!B7:BF23,35,0),"")</f>
        <v/>
      </c>
      <c r="I23" s="29" t="str">
        <f>IFERROR(VLOOKUP(L$9,'2nd_Semester'!B$12:BF$23,34,0),"")</f>
        <v/>
      </c>
      <c r="J23" s="29" t="str">
        <f>IFERROR(VLOOKUP($L$9,'2nd_Semester'!B7:BF23,36,0),"")</f>
        <v/>
      </c>
      <c r="K23" s="29" t="str">
        <f>IFERROR(VLOOKUP(L9,'2nd_Semester'!B7:BF$23,37,0),"")</f>
        <v/>
      </c>
      <c r="L23" s="29">
        <f>'2nd_Semester'!AL9</f>
        <v>64</v>
      </c>
      <c r="M23" s="28" t="str">
        <f>IFERROR(VLOOKUP(L9,'2nd_Semester'!B7:BF$23,39,0),"")</f>
        <v/>
      </c>
      <c r="N23" s="4" t="str">
        <f>IF(M23="F","F",IF(M23&lt;2.5,"D",IF(M23&lt;3,"C",IF(M23&lt;3.5,"B",IF(M23&lt;4,"A-",IF(M23&lt;5,"A","A+"))))))</f>
        <v>A+</v>
      </c>
      <c r="O23" s="207"/>
    </row>
    <row r="24" spans="4:15" ht="29.25" customHeight="1">
      <c r="D24" s="219" t="s">
        <v>5</v>
      </c>
      <c r="E24" s="219"/>
      <c r="F24" s="219"/>
      <c r="G24" s="29">
        <v>100</v>
      </c>
      <c r="H24" s="29" t="str">
        <f>IFERROR(VLOOKUP($L$9,'2nd_Semester'!B7:BF23,41,0),"")</f>
        <v/>
      </c>
      <c r="I24" s="29">
        <f>IFERROR(VLOOKUP(L$9,'2nd_Semester'!B$13:BF$23,40),"")</f>
        <v>0</v>
      </c>
      <c r="J24" s="29" t="str">
        <f>IFERROR(VLOOKUP($L$9,'2nd_Semester'!B7:BF23,42,0),"")</f>
        <v/>
      </c>
      <c r="K24" s="29" t="str">
        <f>IFERROR(VLOOKUP(L9,'2nd_Semester'!B7:BF$23,43,0),"")</f>
        <v/>
      </c>
      <c r="L24" s="29">
        <f>'2nd_Semester'!AQ9</f>
        <v>23</v>
      </c>
      <c r="M24" s="28" t="str">
        <f>IFERROR(VLOOKUP(L9,'2nd_Semester'!B7:BF23,45,0),"")</f>
        <v/>
      </c>
      <c r="N24" s="4" t="str">
        <f>IF(M24="F","F",IF(M24&lt;2.5,"D",IF(M24&lt;3,"C",IF(M24&lt;3.5,"B",IF(M24&lt;4,"A-",IF(M24&lt;5,"A","A+"))))))</f>
        <v>A+</v>
      </c>
      <c r="O24" s="207"/>
    </row>
    <row r="25" spans="4:15" ht="29.25" customHeight="1">
      <c r="D25" s="219" t="s">
        <v>18</v>
      </c>
      <c r="E25" s="219"/>
      <c r="F25" s="219"/>
      <c r="G25" s="29">
        <v>100</v>
      </c>
      <c r="H25" s="29" t="str">
        <f>IFERROR(VLOOKUP($L$9,'2nd_Semester'!B7:BF23,47,0),"")</f>
        <v/>
      </c>
      <c r="I25" s="29" t="str">
        <f>IFERROR(VLOOKUP(L$9,'2nd_Semester'!B$14:BF$23,46,0),"")</f>
        <v/>
      </c>
      <c r="J25" s="29" t="str">
        <f>IFERROR(VLOOKUP($L$9,'2nd_Semester'!B7:BF23,48,0),"")</f>
        <v/>
      </c>
      <c r="K25" s="29" t="str">
        <f>IFERROR(VLOOKUP(L9,'2nd_Semester'!B7:BF$23,49,0),"")</f>
        <v/>
      </c>
      <c r="L25" s="29">
        <f>'2nd_Semester'!AW9</f>
        <v>46</v>
      </c>
      <c r="M25" s="28" t="str">
        <f>IFERROR(VLOOKUP(L9,'2nd_Semester'!B7:BF23,51,0),"")</f>
        <v/>
      </c>
      <c r="N25" s="4" t="str">
        <f>IF(M25="F","F",IF(M25&lt;2.5,"D",IF(M25&lt;3,"C",IF(M25&lt;3.5,"B",IF(M25&lt;4,"A-",IF(M25&lt;5,"A","A+"))))))</f>
        <v>A+</v>
      </c>
      <c r="O25" s="207"/>
    </row>
    <row r="26" spans="4:15" ht="28.5" customHeight="1">
      <c r="D26" s="205" t="s">
        <v>6</v>
      </c>
      <c r="E26" s="205"/>
      <c r="F26" s="205"/>
      <c r="G26" s="29">
        <v>50</v>
      </c>
      <c r="H26" s="29" t="str">
        <f>IFERROR(VLOOKUP($L$9,'2nd_Semester'!B$8:BF$23,53,0),"")</f>
        <v/>
      </c>
      <c r="I26" s="29">
        <f>IFERROR(VLOOKUP(L$9,'2nd_Semester'!B$14:BF$23,52),"")</f>
        <v>0</v>
      </c>
      <c r="J26" s="28" t="str">
        <f>IFERROR(VLOOKUP($L$9,'2nd_Semester'!B7:BF23,55,0),"")</f>
        <v/>
      </c>
      <c r="K26" s="28" t="str">
        <f>IFERROR(VLOOKUP(L9,'2nd_Semester'!B7:BF$23,56,0),"")</f>
        <v/>
      </c>
      <c r="L26" s="29">
        <f>'2nd_Semester'!BD9</f>
        <v>36</v>
      </c>
      <c r="M26" s="28" t="str">
        <f>IFERROR(VLOOKUP(L9,'2nd_Semester'!B7:BF$23,58,0),"")</f>
        <v/>
      </c>
      <c r="N26" s="4" t="str">
        <f>IF(M26="F","F",IF(M26&lt;2.5,"D",IF(M26&lt;3,"C",IF(M26&lt;3.5,"B",IF(M26&lt;4,"A-",IF(M26&lt;5,"A","A+"))))))</f>
        <v>A+</v>
      </c>
      <c r="O26" s="207"/>
    </row>
    <row r="27" spans="4:15" ht="31.5" customHeight="1">
      <c r="D27" s="212" t="s">
        <v>17</v>
      </c>
      <c r="E27" s="212"/>
      <c r="F27" s="212"/>
      <c r="G27" s="34">
        <f>SUM(G18:G26)</f>
        <v>750</v>
      </c>
      <c r="H27" s="211"/>
      <c r="I27" s="211"/>
      <c r="J27" s="211"/>
      <c r="K27" s="31">
        <f>SUM(K18:K26)</f>
        <v>0</v>
      </c>
      <c r="L27" s="202"/>
      <c r="M27" s="203"/>
      <c r="N27" s="204"/>
      <c r="O27" s="207"/>
    </row>
    <row r="28" spans="4:15" ht="18.75" customHeight="1">
      <c r="D28" s="5"/>
      <c r="E28" s="6"/>
      <c r="F28" s="6"/>
      <c r="G28" s="7"/>
      <c r="H28" s="8"/>
      <c r="I28" s="8"/>
      <c r="J28" s="9"/>
      <c r="K28" s="8"/>
      <c r="L28" s="8"/>
      <c r="M28" s="8"/>
      <c r="N28" s="8"/>
      <c r="O28" s="10"/>
    </row>
    <row r="29" spans="4:15" ht="30.75" customHeight="1">
      <c r="D29" s="189" t="s">
        <v>25</v>
      </c>
      <c r="E29" s="190"/>
      <c r="F29" s="190"/>
      <c r="G29" s="11" t="str">
        <f>IFERROR(VLOOKUP(L9,'2nd_Semester'!B7:BF$23,64,0),"")</f>
        <v/>
      </c>
      <c r="H29" s="190" t="s">
        <v>27</v>
      </c>
      <c r="I29" s="190"/>
      <c r="J29" s="190"/>
      <c r="K29" s="190"/>
      <c r="L29" s="190"/>
      <c r="M29" s="12" t="str">
        <f>IFERROR(VLOOKUP($L$9,'2nd_Semester'!B7:BF$27,63,0),"")</f>
        <v/>
      </c>
      <c r="N29" s="12"/>
      <c r="O29" s="10"/>
    </row>
    <row r="30" spans="4:15" ht="28.5" customHeight="1">
      <c r="D30" s="191" t="s">
        <v>26</v>
      </c>
      <c r="E30" s="192"/>
      <c r="F30" s="192"/>
      <c r="G30" s="193" t="str">
        <f>IFERROR(VLOOKUP(L9,'2nd_Semester'!B7:BF$23,61,0),"")</f>
        <v/>
      </c>
      <c r="H30" s="193"/>
      <c r="I30" s="193"/>
      <c r="J30" s="193"/>
      <c r="K30" s="193"/>
      <c r="L30" s="8"/>
      <c r="M30" s="8"/>
      <c r="N30" s="8"/>
      <c r="O30" s="10"/>
    </row>
    <row r="31" spans="4:15" ht="26.25" customHeight="1">
      <c r="D31" s="36" t="s">
        <v>31</v>
      </c>
      <c r="E31" s="37"/>
      <c r="F31" s="37"/>
      <c r="G31" s="37" t="s">
        <v>32</v>
      </c>
      <c r="H31" s="37"/>
      <c r="I31" s="37"/>
      <c r="J31" s="37"/>
      <c r="K31" s="37"/>
      <c r="L31" s="37" t="s">
        <v>33</v>
      </c>
      <c r="M31" s="37"/>
      <c r="N31" s="37"/>
      <c r="O31" s="35"/>
    </row>
    <row r="32" spans="4:15" ht="23.25" customHeight="1">
      <c r="D32" s="183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5"/>
    </row>
    <row r="33" spans="4:15" ht="25.5" customHeight="1">
      <c r="D33" s="186" t="s">
        <v>34</v>
      </c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8"/>
    </row>
  </sheetData>
  <mergeCells count="43">
    <mergeCell ref="G13:G17"/>
    <mergeCell ref="H13:H17"/>
    <mergeCell ref="J13:J17"/>
    <mergeCell ref="K13:K17"/>
    <mergeCell ref="I13:I17"/>
    <mergeCell ref="D20:F20"/>
    <mergeCell ref="D21:F21"/>
    <mergeCell ref="D22:F22"/>
    <mergeCell ref="D25:F25"/>
    <mergeCell ref="D23:F23"/>
    <mergeCell ref="D24:F24"/>
    <mergeCell ref="D2:O6"/>
    <mergeCell ref="D18:F18"/>
    <mergeCell ref="D19:F19"/>
    <mergeCell ref="M13:M17"/>
    <mergeCell ref="O18:O27"/>
    <mergeCell ref="I7:K7"/>
    <mergeCell ref="I8:K8"/>
    <mergeCell ref="I9:K9"/>
    <mergeCell ref="H27:J27"/>
    <mergeCell ref="D27:F27"/>
    <mergeCell ref="D13:F17"/>
    <mergeCell ref="K18:K19"/>
    <mergeCell ref="M18:M19"/>
    <mergeCell ref="M20:M21"/>
    <mergeCell ref="K20:K21"/>
    <mergeCell ref="H10:K10"/>
    <mergeCell ref="E11:F11"/>
    <mergeCell ref="D32:O32"/>
    <mergeCell ref="D33:O33"/>
    <mergeCell ref="D29:F29"/>
    <mergeCell ref="D30:F30"/>
    <mergeCell ref="H29:L29"/>
    <mergeCell ref="G30:K30"/>
    <mergeCell ref="L18:L19"/>
    <mergeCell ref="L20:L21"/>
    <mergeCell ref="L13:L17"/>
    <mergeCell ref="O13:O17"/>
    <mergeCell ref="N13:N17"/>
    <mergeCell ref="N18:N19"/>
    <mergeCell ref="N20:N21"/>
    <mergeCell ref="L27:N27"/>
    <mergeCell ref="D26:F26"/>
  </mergeCells>
  <pageMargins left="0" right="0" top="0" bottom="0" header="0" footer="0"/>
  <pageSetup paperSize="9" orientation="portrait" r:id="rId1"/>
  <ignoredErrors>
    <ignoredError sqref="L22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ANNUAL_CARD</vt:lpstr>
      <vt:lpstr>Result card 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2025-12-24T05:25:57Z</cp:lastPrinted>
  <dcterms:created xsi:type="dcterms:W3CDTF">2020-11-16T05:16:13Z</dcterms:created>
  <dcterms:modified xsi:type="dcterms:W3CDTF">2025-12-24T05:26:25Z</dcterms:modified>
</cp:coreProperties>
</file>