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-120" yWindow="-120" windowWidth="29040" windowHeight="15840" activeTab="3"/>
  </bookViews>
  <sheets>
    <sheet name="1st_Semester" sheetId="4" r:id="rId1"/>
    <sheet name="2nd_Semester" sheetId="1" r:id="rId2"/>
    <sheet name="3rd_Semester" sheetId="3" r:id="rId3"/>
    <sheet name="ANNUAL_CARD" sheetId="5" r:id="rId4"/>
    <sheet name="Result card " sheetId="2" r:id="rId5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5"/>
  <c r="Q9" i="3"/>
  <c r="AA9"/>
  <c r="AH9"/>
  <c r="AO9"/>
  <c r="AT9"/>
  <c r="BA9"/>
  <c r="BH9"/>
  <c r="BN9"/>
  <c r="BA9" i="1"/>
  <c r="BH9"/>
  <c r="AT9"/>
  <c r="AO9"/>
  <c r="AH9"/>
  <c r="AA9"/>
  <c r="Q9"/>
  <c r="CC10" i="3"/>
  <c r="CC11"/>
  <c r="CC12"/>
  <c r="CC13"/>
  <c r="CC14"/>
  <c r="CC15"/>
  <c r="CC16"/>
  <c r="CC17"/>
  <c r="CC18"/>
  <c r="CC19"/>
  <c r="CC20"/>
  <c r="CC21"/>
  <c r="CC22"/>
  <c r="CC23"/>
  <c r="CC24"/>
  <c r="CC25"/>
  <c r="CC26"/>
  <c r="CC27"/>
  <c r="CC28"/>
  <c r="CC29"/>
  <c r="CC30"/>
  <c r="CC31"/>
  <c r="CC32"/>
  <c r="CC33"/>
  <c r="CC34"/>
  <c r="CC35"/>
  <c r="CC36"/>
  <c r="CC37"/>
  <c r="CC38"/>
  <c r="CC39"/>
  <c r="CC40"/>
  <c r="CC41"/>
  <c r="CC42"/>
  <c r="CC43"/>
  <c r="CC44"/>
  <c r="CC45"/>
  <c r="CC46"/>
  <c r="CC47"/>
  <c r="CC48"/>
  <c r="CC49"/>
  <c r="CC50"/>
  <c r="CC51"/>
  <c r="CC52"/>
  <c r="CC53"/>
  <c r="CC54"/>
  <c r="CC55"/>
  <c r="CC56"/>
  <c r="CC57"/>
  <c r="CC58"/>
  <c r="CC59"/>
  <c r="CC60"/>
  <c r="CC61"/>
  <c r="CC62"/>
  <c r="CC63"/>
  <c r="CC64"/>
  <c r="CC65"/>
  <c r="CC66"/>
  <c r="CC67"/>
  <c r="CC68"/>
  <c r="CC69"/>
  <c r="CC70"/>
  <c r="CC71"/>
  <c r="CC72"/>
  <c r="CC73"/>
  <c r="CC74"/>
  <c r="CC75"/>
  <c r="CC76"/>
  <c r="CC77"/>
  <c r="CC78"/>
  <c r="CC79"/>
  <c r="CC80"/>
  <c r="CC81"/>
  <c r="CC82"/>
  <c r="CC83"/>
  <c r="CC84"/>
  <c r="CC85"/>
  <c r="CC86"/>
  <c r="CC87"/>
  <c r="CC88"/>
  <c r="CC89"/>
  <c r="CC90"/>
  <c r="CC91"/>
  <c r="CC92"/>
  <c r="CC93"/>
  <c r="CB10"/>
  <c r="CB11"/>
  <c r="CB12"/>
  <c r="CB13"/>
  <c r="CB14"/>
  <c r="CB15"/>
  <c r="CB16"/>
  <c r="CB17"/>
  <c r="CB19"/>
  <c r="CB20"/>
  <c r="CB22"/>
  <c r="CB23"/>
  <c r="CB24"/>
  <c r="CB25"/>
  <c r="CB26"/>
  <c r="CB27"/>
  <c r="CB28"/>
  <c r="CB29"/>
  <c r="CB30"/>
  <c r="CB31"/>
  <c r="CB32"/>
  <c r="CB33"/>
  <c r="CB34"/>
  <c r="CB35"/>
  <c r="CB36"/>
  <c r="CB37"/>
  <c r="CB38"/>
  <c r="CB39"/>
  <c r="CB40"/>
  <c r="CB41"/>
  <c r="CB42"/>
  <c r="CB43"/>
  <c r="CB45"/>
  <c r="CB46"/>
  <c r="CB47"/>
  <c r="CB48"/>
  <c r="CB49"/>
  <c r="CB50"/>
  <c r="CB51"/>
  <c r="CB52"/>
  <c r="CB53"/>
  <c r="CB54"/>
  <c r="CB55"/>
  <c r="CB56"/>
  <c r="CB57"/>
  <c r="CB58"/>
  <c r="CB59"/>
  <c r="CB60"/>
  <c r="CB61"/>
  <c r="CB62"/>
  <c r="CB63"/>
  <c r="CB64"/>
  <c r="CB65"/>
  <c r="CB66"/>
  <c r="CB67"/>
  <c r="CB68"/>
  <c r="CB69"/>
  <c r="CB70"/>
  <c r="CB71"/>
  <c r="CB72"/>
  <c r="CB73"/>
  <c r="CB74"/>
  <c r="CB75"/>
  <c r="CB76"/>
  <c r="CB77"/>
  <c r="CB78"/>
  <c r="CB79"/>
  <c r="CB80"/>
  <c r="CB81"/>
  <c r="CB82"/>
  <c r="CB83"/>
  <c r="CB84"/>
  <c r="CB85"/>
  <c r="CB86"/>
  <c r="CB87"/>
  <c r="CB88"/>
  <c r="CB89"/>
  <c r="CB90"/>
  <c r="CB91"/>
  <c r="CB92"/>
  <c r="CB93"/>
  <c r="CB94"/>
  <c r="CC9"/>
  <c r="CB9"/>
  <c r="BY10" l="1"/>
  <c r="BY11"/>
  <c r="BY12"/>
  <c r="BY13"/>
  <c r="BY14"/>
  <c r="BY15"/>
  <c r="BY16"/>
  <c r="BY17"/>
  <c r="BY18"/>
  <c r="BY19"/>
  <c r="BY20"/>
  <c r="BY21"/>
  <c r="BY22"/>
  <c r="BY23"/>
  <c r="BY24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BY48"/>
  <c r="BY49"/>
  <c r="BY50"/>
  <c r="BY51"/>
  <c r="BY52"/>
  <c r="BY53"/>
  <c r="BY54"/>
  <c r="BY55"/>
  <c r="BY56"/>
  <c r="BY57"/>
  <c r="BY58"/>
  <c r="BY59"/>
  <c r="BY60"/>
  <c r="BY61"/>
  <c r="BY62"/>
  <c r="BY63"/>
  <c r="BY64"/>
  <c r="BY65"/>
  <c r="BY66"/>
  <c r="BY67"/>
  <c r="BY68"/>
  <c r="BY69"/>
  <c r="BY70"/>
  <c r="BY71"/>
  <c r="BY72"/>
  <c r="BY73"/>
  <c r="BY74"/>
  <c r="BY75"/>
  <c r="BY76"/>
  <c r="BY77"/>
  <c r="BY78"/>
  <c r="BY79"/>
  <c r="BY80"/>
  <c r="BY81"/>
  <c r="BY82"/>
  <c r="BY83"/>
  <c r="BY84"/>
  <c r="BY85"/>
  <c r="BY86"/>
  <c r="BY87"/>
  <c r="BY88"/>
  <c r="BY89"/>
  <c r="BY90"/>
  <c r="BY91"/>
  <c r="BY92"/>
  <c r="BY93"/>
  <c r="BX10"/>
  <c r="BX11"/>
  <c r="BX12"/>
  <c r="BX13"/>
  <c r="BX14"/>
  <c r="BX15"/>
  <c r="BX16"/>
  <c r="BX17"/>
  <c r="BX19"/>
  <c r="BX20"/>
  <c r="BX22"/>
  <c r="BX23"/>
  <c r="BX24"/>
  <c r="BX25"/>
  <c r="BX26"/>
  <c r="BX27"/>
  <c r="BX28"/>
  <c r="BX29"/>
  <c r="BX30"/>
  <c r="BX31"/>
  <c r="BX32"/>
  <c r="BX33"/>
  <c r="BX34"/>
  <c r="BX35"/>
  <c r="BX36"/>
  <c r="BX37"/>
  <c r="BX38"/>
  <c r="BX39"/>
  <c r="BX40"/>
  <c r="BX41"/>
  <c r="BX42"/>
  <c r="BX43"/>
  <c r="BX45"/>
  <c r="BX46"/>
  <c r="BX47"/>
  <c r="BX48"/>
  <c r="BX49"/>
  <c r="BX50"/>
  <c r="BX51"/>
  <c r="BX52"/>
  <c r="BX53"/>
  <c r="BX54"/>
  <c r="BX55"/>
  <c r="BX56"/>
  <c r="BX57"/>
  <c r="BX58"/>
  <c r="BX59"/>
  <c r="BX60"/>
  <c r="BX61"/>
  <c r="BX62"/>
  <c r="BX63"/>
  <c r="BX64"/>
  <c r="BX65"/>
  <c r="BX66"/>
  <c r="BX67"/>
  <c r="BX68"/>
  <c r="BX69"/>
  <c r="BX70"/>
  <c r="BX71"/>
  <c r="BX72"/>
  <c r="BX73"/>
  <c r="BX74"/>
  <c r="BX75"/>
  <c r="BX76"/>
  <c r="BX77"/>
  <c r="BX78"/>
  <c r="BX79"/>
  <c r="BX80"/>
  <c r="BX81"/>
  <c r="BX82"/>
  <c r="BX83"/>
  <c r="BX84"/>
  <c r="BX85"/>
  <c r="BX86"/>
  <c r="BX87"/>
  <c r="BX88"/>
  <c r="BX89"/>
  <c r="BX90"/>
  <c r="BX91"/>
  <c r="BX92"/>
  <c r="BX93"/>
  <c r="BX94"/>
  <c r="BX9"/>
  <c r="BY9"/>
  <c r="BQ10" l="1"/>
  <c r="BQ11"/>
  <c r="BQ12"/>
  <c r="BQ13"/>
  <c r="BQ14"/>
  <c r="BQ15"/>
  <c r="BQ16"/>
  <c r="BQ17"/>
  <c r="BQ18"/>
  <c r="BQ19"/>
  <c r="BQ20"/>
  <c r="BQ21"/>
  <c r="BQ22"/>
  <c r="BQ23"/>
  <c r="BQ24"/>
  <c r="BQ25"/>
  <c r="BQ26"/>
  <c r="BQ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Q47"/>
  <c r="BQ48"/>
  <c r="BQ49"/>
  <c r="BQ50"/>
  <c r="BQ51"/>
  <c r="BQ52"/>
  <c r="BQ53"/>
  <c r="BQ54"/>
  <c r="BQ55"/>
  <c r="BQ56"/>
  <c r="BQ57"/>
  <c r="BQ58"/>
  <c r="BQ59"/>
  <c r="BQ60"/>
  <c r="BQ61"/>
  <c r="BQ62"/>
  <c r="BQ63"/>
  <c r="BQ64"/>
  <c r="BQ65"/>
  <c r="BQ66"/>
  <c r="BQ67"/>
  <c r="BQ68"/>
  <c r="BQ69"/>
  <c r="BQ70"/>
  <c r="BQ71"/>
  <c r="BQ72"/>
  <c r="BQ73"/>
  <c r="BQ74"/>
  <c r="BQ75"/>
  <c r="BQ76"/>
  <c r="BQ77"/>
  <c r="BQ78"/>
  <c r="BQ79"/>
  <c r="BQ80"/>
  <c r="BQ81"/>
  <c r="BQ82"/>
  <c r="BQ83"/>
  <c r="BQ84"/>
  <c r="BQ85"/>
  <c r="BQ86"/>
  <c r="BQ87"/>
  <c r="BQ88"/>
  <c r="BQ89"/>
  <c r="BQ90"/>
  <c r="BQ91"/>
  <c r="BQ92"/>
  <c r="BQ93"/>
  <c r="BQ9"/>
  <c r="BT10"/>
  <c r="BT11"/>
  <c r="BT12"/>
  <c r="BT13"/>
  <c r="BT14"/>
  <c r="BT15"/>
  <c r="BT16"/>
  <c r="BT17"/>
  <c r="BT18"/>
  <c r="BT19"/>
  <c r="BT20"/>
  <c r="BT21"/>
  <c r="BT22"/>
  <c r="BT23"/>
  <c r="BT24"/>
  <c r="BT25"/>
  <c r="BT26"/>
  <c r="BT27"/>
  <c r="BT28"/>
  <c r="BT29"/>
  <c r="BT30"/>
  <c r="BT31"/>
  <c r="BT32"/>
  <c r="BT33"/>
  <c r="BT34"/>
  <c r="BT35"/>
  <c r="BT36"/>
  <c r="BT37"/>
  <c r="BT38"/>
  <c r="BT39"/>
  <c r="BT40"/>
  <c r="BT41"/>
  <c r="BT42"/>
  <c r="BT43"/>
  <c r="BT44"/>
  <c r="BT45"/>
  <c r="BT46"/>
  <c r="BT47"/>
  <c r="BT48"/>
  <c r="BT49"/>
  <c r="BT50"/>
  <c r="BT51"/>
  <c r="BT52"/>
  <c r="BT53"/>
  <c r="BT54"/>
  <c r="BT55"/>
  <c r="BT56"/>
  <c r="BT57"/>
  <c r="BT58"/>
  <c r="BT59"/>
  <c r="BT60"/>
  <c r="BT61"/>
  <c r="BT62"/>
  <c r="BT63"/>
  <c r="BT64"/>
  <c r="BT65"/>
  <c r="BT66"/>
  <c r="BT67"/>
  <c r="BT68"/>
  <c r="BT69"/>
  <c r="BT70"/>
  <c r="BT71"/>
  <c r="BT72"/>
  <c r="BT73"/>
  <c r="BT74"/>
  <c r="BT75"/>
  <c r="BT76"/>
  <c r="BT77"/>
  <c r="BT78"/>
  <c r="BT79"/>
  <c r="BT80"/>
  <c r="BT81"/>
  <c r="BT82"/>
  <c r="BT83"/>
  <c r="BT84"/>
  <c r="BT85"/>
  <c r="BT86"/>
  <c r="BT87"/>
  <c r="BT88"/>
  <c r="BT89"/>
  <c r="BT90"/>
  <c r="BT91"/>
  <c r="BT92"/>
  <c r="BT93"/>
  <c r="BT9"/>
  <c r="BQ10" i="1"/>
  <c r="BQ11"/>
  <c r="BQ12"/>
  <c r="BQ13"/>
  <c r="BQ14"/>
  <c r="BQ15"/>
  <c r="BQ16"/>
  <c r="BQ17"/>
  <c r="BQ19"/>
  <c r="BQ20"/>
  <c r="BQ22"/>
  <c r="BQ23"/>
  <c r="BQ24"/>
  <c r="BQ25"/>
  <c r="BQ26"/>
  <c r="BQ27"/>
  <c r="BQ28"/>
  <c r="BQ29"/>
  <c r="BQ30"/>
  <c r="BQ31"/>
  <c r="BQ32"/>
  <c r="BQ33"/>
  <c r="BQ34"/>
  <c r="BQ35"/>
  <c r="BQ36"/>
  <c r="BQ37"/>
  <c r="BQ38"/>
  <c r="BQ39"/>
  <c r="BQ40"/>
  <c r="BQ41"/>
  <c r="BQ42"/>
  <c r="BQ43"/>
  <c r="BQ45"/>
  <c r="BQ46"/>
  <c r="BQ47"/>
  <c r="BQ48"/>
  <c r="BQ49"/>
  <c r="BQ50"/>
  <c r="BQ51"/>
  <c r="BQ52"/>
  <c r="BQ53"/>
  <c r="BQ54"/>
  <c r="BQ55"/>
  <c r="BQ56"/>
  <c r="BQ57"/>
  <c r="BQ58"/>
  <c r="BQ59"/>
  <c r="BQ60"/>
  <c r="BQ61"/>
  <c r="BQ62"/>
  <c r="BQ63"/>
  <c r="BQ64"/>
  <c r="BQ65"/>
  <c r="BQ66"/>
  <c r="BQ67"/>
  <c r="BQ68"/>
  <c r="BQ69"/>
  <c r="BQ70"/>
  <c r="BQ71"/>
  <c r="BQ72"/>
  <c r="BQ73"/>
  <c r="BQ74"/>
  <c r="BQ75"/>
  <c r="BQ76"/>
  <c r="BQ77"/>
  <c r="BQ78"/>
  <c r="BQ79"/>
  <c r="BQ80"/>
  <c r="BQ81"/>
  <c r="BQ82"/>
  <c r="BQ83"/>
  <c r="BQ84"/>
  <c r="BQ85"/>
  <c r="BQ86"/>
  <c r="BQ87"/>
  <c r="BQ88"/>
  <c r="BQ89"/>
  <c r="BQ90"/>
  <c r="BQ91"/>
  <c r="BQ92"/>
  <c r="BQ93"/>
  <c r="BQ94"/>
  <c r="BQ9"/>
  <c r="BT10"/>
  <c r="BT11"/>
  <c r="BT12"/>
  <c r="BT13"/>
  <c r="BT14"/>
  <c r="BT15"/>
  <c r="BT16"/>
  <c r="BT17"/>
  <c r="BT19"/>
  <c r="BT20"/>
  <c r="BT22"/>
  <c r="BT23"/>
  <c r="BT24"/>
  <c r="BT25"/>
  <c r="BT26"/>
  <c r="BT27"/>
  <c r="BT28"/>
  <c r="BT29"/>
  <c r="BT30"/>
  <c r="BT31"/>
  <c r="BT32"/>
  <c r="BT33"/>
  <c r="BT34"/>
  <c r="BT35"/>
  <c r="BT36"/>
  <c r="BT37"/>
  <c r="BT38"/>
  <c r="BT39"/>
  <c r="BT40"/>
  <c r="BT41"/>
  <c r="BT42"/>
  <c r="BT43"/>
  <c r="BT45"/>
  <c r="BT46"/>
  <c r="BT47"/>
  <c r="BT48"/>
  <c r="BT49"/>
  <c r="BT50"/>
  <c r="BT51"/>
  <c r="BT52"/>
  <c r="BT53"/>
  <c r="BT54"/>
  <c r="BT55"/>
  <c r="BT56"/>
  <c r="BT57"/>
  <c r="BT58"/>
  <c r="BT59"/>
  <c r="BT60"/>
  <c r="BT61"/>
  <c r="BT62"/>
  <c r="BT63"/>
  <c r="BT64"/>
  <c r="BT65"/>
  <c r="BT66"/>
  <c r="BT67"/>
  <c r="BT68"/>
  <c r="BT69"/>
  <c r="BT70"/>
  <c r="BT71"/>
  <c r="BT72"/>
  <c r="BT73"/>
  <c r="BT74"/>
  <c r="BT75"/>
  <c r="BT76"/>
  <c r="BT77"/>
  <c r="BT78"/>
  <c r="BT79"/>
  <c r="BT80"/>
  <c r="BT81"/>
  <c r="BT82"/>
  <c r="BT83"/>
  <c r="BT84"/>
  <c r="BT85"/>
  <c r="BT86"/>
  <c r="BT87"/>
  <c r="BT88"/>
  <c r="BT89"/>
  <c r="BT90"/>
  <c r="BT91"/>
  <c r="BT92"/>
  <c r="BT93"/>
  <c r="BT94"/>
  <c r="BT9"/>
  <c r="BP10"/>
  <c r="BP11"/>
  <c r="BP12"/>
  <c r="BP13"/>
  <c r="BP14"/>
  <c r="BP15"/>
  <c r="BP16"/>
  <c r="BP17"/>
  <c r="BP19"/>
  <c r="BP20"/>
  <c r="BP22"/>
  <c r="BP23"/>
  <c r="BP24"/>
  <c r="BP25"/>
  <c r="BP26"/>
  <c r="BP27"/>
  <c r="BP28"/>
  <c r="BP29"/>
  <c r="BP30"/>
  <c r="BP31"/>
  <c r="BP32"/>
  <c r="BP33"/>
  <c r="BP34"/>
  <c r="BP35"/>
  <c r="BP36"/>
  <c r="BP37"/>
  <c r="BP38"/>
  <c r="BP39"/>
  <c r="BP40"/>
  <c r="BP41"/>
  <c r="BP42"/>
  <c r="BP43"/>
  <c r="BP45"/>
  <c r="BP46"/>
  <c r="BP47"/>
  <c r="BP48"/>
  <c r="BP49"/>
  <c r="BP50"/>
  <c r="BP51"/>
  <c r="BP52"/>
  <c r="BP53"/>
  <c r="BP54"/>
  <c r="BP55"/>
  <c r="BP56"/>
  <c r="BP57"/>
  <c r="BP58"/>
  <c r="BP61"/>
  <c r="BP64"/>
  <c r="BP66"/>
  <c r="BP67"/>
  <c r="BP68"/>
  <c r="BP69"/>
  <c r="BP70"/>
  <c r="BP71"/>
  <c r="BP74"/>
  <c r="BP75"/>
  <c r="BP76"/>
  <c r="BP77"/>
  <c r="BP78"/>
  <c r="BP79"/>
  <c r="BP80"/>
  <c r="BP81"/>
  <c r="BP82"/>
  <c r="BP83"/>
  <c r="BP84"/>
  <c r="BP85"/>
  <c r="BP86"/>
  <c r="BP88"/>
  <c r="BP91"/>
  <c r="BP92"/>
  <c r="BP93"/>
  <c r="BP94"/>
  <c r="BP9"/>
  <c r="L19" i="5"/>
  <c r="Q26"/>
  <c r="Q25"/>
  <c r="Q24"/>
  <c r="Q23"/>
  <c r="Q22"/>
  <c r="Q21"/>
  <c r="Q20"/>
  <c r="Q19"/>
  <c r="Q18"/>
  <c r="Q17"/>
  <c r="P25"/>
  <c r="P24"/>
  <c r="P23"/>
  <c r="P22"/>
  <c r="P21"/>
  <c r="P17"/>
  <c r="O26"/>
  <c r="O25"/>
  <c r="O24"/>
  <c r="O22"/>
  <c r="O21"/>
  <c r="O20"/>
  <c r="O19"/>
  <c r="O18"/>
  <c r="O17"/>
  <c r="N26"/>
  <c r="N25"/>
  <c r="N24"/>
  <c r="N23"/>
  <c r="N22"/>
  <c r="N21"/>
  <c r="N19"/>
  <c r="N17"/>
  <c r="M25"/>
  <c r="M24"/>
  <c r="M23"/>
  <c r="M22"/>
  <c r="M21"/>
  <c r="M19"/>
  <c r="M17"/>
  <c r="L26"/>
  <c r="L25"/>
  <c r="L24"/>
  <c r="L23"/>
  <c r="L22"/>
  <c r="L21"/>
  <c r="L17"/>
  <c r="K26"/>
  <c r="K25"/>
  <c r="K24"/>
  <c r="K23"/>
  <c r="E26"/>
  <c r="E25"/>
  <c r="E24"/>
  <c r="E23"/>
  <c r="K22"/>
  <c r="K21"/>
  <c r="K20"/>
  <c r="K19"/>
  <c r="K18"/>
  <c r="K17"/>
  <c r="J24"/>
  <c r="J23"/>
  <c r="J25"/>
  <c r="J22"/>
  <c r="J21"/>
  <c r="J17"/>
  <c r="I26"/>
  <c r="I25"/>
  <c r="I24"/>
  <c r="I22"/>
  <c r="I21"/>
  <c r="I20"/>
  <c r="I19"/>
  <c r="I18"/>
  <c r="I17"/>
  <c r="E22"/>
  <c r="E21"/>
  <c r="E20"/>
  <c r="E19"/>
  <c r="E18"/>
  <c r="E17"/>
  <c r="D25"/>
  <c r="D24"/>
  <c r="D23"/>
  <c r="D22"/>
  <c r="D21"/>
  <c r="C26"/>
  <c r="C25"/>
  <c r="C24"/>
  <c r="C22"/>
  <c r="C21"/>
  <c r="C20"/>
  <c r="C19"/>
  <c r="C18"/>
  <c r="D17"/>
  <c r="C10"/>
  <c r="C9"/>
  <c r="C17"/>
  <c r="BL94" i="3"/>
  <c r="BM94" s="1"/>
  <c r="BT94" s="1"/>
  <c r="BY94" s="1"/>
  <c r="BE94"/>
  <c r="BG94" s="1"/>
  <c r="BI94" s="1"/>
  <c r="AX94"/>
  <c r="AZ94" s="1"/>
  <c r="BB94" s="1"/>
  <c r="AS94"/>
  <c r="AU94" s="1"/>
  <c r="AN94"/>
  <c r="AP94" s="1"/>
  <c r="AE94"/>
  <c r="AG94" s="1"/>
  <c r="AI94" s="1"/>
  <c r="U94"/>
  <c r="N94"/>
  <c r="O94" s="1"/>
  <c r="I94"/>
  <c r="K94" s="1"/>
  <c r="BL93"/>
  <c r="BM93" s="1"/>
  <c r="BO93" s="1"/>
  <c r="BE93"/>
  <c r="BG93" s="1"/>
  <c r="BI93" s="1"/>
  <c r="AX93"/>
  <c r="AZ93" s="1"/>
  <c r="BB93" s="1"/>
  <c r="AS93"/>
  <c r="AU93" s="1"/>
  <c r="AL93"/>
  <c r="AN93" s="1"/>
  <c r="AE93"/>
  <c r="AG93" s="1"/>
  <c r="AI93" s="1"/>
  <c r="X93"/>
  <c r="U93"/>
  <c r="N93"/>
  <c r="O93" s="1"/>
  <c r="I93"/>
  <c r="K93" s="1"/>
  <c r="BL92"/>
  <c r="BM92" s="1"/>
  <c r="BE92"/>
  <c r="BG92" s="1"/>
  <c r="BI92" s="1"/>
  <c r="AX92"/>
  <c r="AZ92" s="1"/>
  <c r="BB92" s="1"/>
  <c r="AS92"/>
  <c r="AU92" s="1"/>
  <c r="AL92"/>
  <c r="AN92" s="1"/>
  <c r="AP92" s="1"/>
  <c r="AE92"/>
  <c r="AG92" s="1"/>
  <c r="AI92" s="1"/>
  <c r="X92"/>
  <c r="U92"/>
  <c r="N92"/>
  <c r="O92" s="1"/>
  <c r="I92"/>
  <c r="K92" s="1"/>
  <c r="BL91"/>
  <c r="BM91" s="1"/>
  <c r="BE91"/>
  <c r="BG91" s="1"/>
  <c r="BI91" s="1"/>
  <c r="AX91"/>
  <c r="AZ91" s="1"/>
  <c r="BB91" s="1"/>
  <c r="AS91"/>
  <c r="AU91" s="1"/>
  <c r="AL91"/>
  <c r="AN91" s="1"/>
  <c r="AP91" s="1"/>
  <c r="AE91"/>
  <c r="AG91" s="1"/>
  <c r="AI91" s="1"/>
  <c r="X91"/>
  <c r="U91"/>
  <c r="N91"/>
  <c r="O91" s="1"/>
  <c r="I91"/>
  <c r="K91" s="1"/>
  <c r="BL90"/>
  <c r="BM90" s="1"/>
  <c r="BE90"/>
  <c r="BG90" s="1"/>
  <c r="BI90" s="1"/>
  <c r="AX90"/>
  <c r="AZ90" s="1"/>
  <c r="BB90" s="1"/>
  <c r="AS90"/>
  <c r="AU90" s="1"/>
  <c r="AL90"/>
  <c r="AN90" s="1"/>
  <c r="AP90" s="1"/>
  <c r="AE90"/>
  <c r="AG90" s="1"/>
  <c r="AI90" s="1"/>
  <c r="X90"/>
  <c r="U90"/>
  <c r="N90"/>
  <c r="O90" s="1"/>
  <c r="I90"/>
  <c r="K90" s="1"/>
  <c r="BL89"/>
  <c r="BE89"/>
  <c r="BG89" s="1"/>
  <c r="BI89" s="1"/>
  <c r="AX89"/>
  <c r="AZ89" s="1"/>
  <c r="BB89" s="1"/>
  <c r="AS89"/>
  <c r="AU89" s="1"/>
  <c r="AL89"/>
  <c r="AN89" s="1"/>
  <c r="AP89" s="1"/>
  <c r="AE89"/>
  <c r="AG89" s="1"/>
  <c r="AI89" s="1"/>
  <c r="X89"/>
  <c r="U89"/>
  <c r="N89"/>
  <c r="O89" s="1"/>
  <c r="I89"/>
  <c r="K89" s="1"/>
  <c r="BL88"/>
  <c r="BM88" s="1"/>
  <c r="BG88"/>
  <c r="BI88" s="1"/>
  <c r="BE88"/>
  <c r="AX88"/>
  <c r="AZ88" s="1"/>
  <c r="BB88" s="1"/>
  <c r="AS88"/>
  <c r="AU88" s="1"/>
  <c r="AL88"/>
  <c r="AN88" s="1"/>
  <c r="AP88" s="1"/>
  <c r="AE88"/>
  <c r="AG88" s="1"/>
  <c r="AI88" s="1"/>
  <c r="X88"/>
  <c r="U88"/>
  <c r="N88"/>
  <c r="O88" s="1"/>
  <c r="I88"/>
  <c r="K88" s="1"/>
  <c r="BL87"/>
  <c r="BM87" s="1"/>
  <c r="BE87"/>
  <c r="BG87" s="1"/>
  <c r="BI87" s="1"/>
  <c r="AX87"/>
  <c r="AZ87" s="1"/>
  <c r="BB87" s="1"/>
  <c r="AS87"/>
  <c r="AU87" s="1"/>
  <c r="AL87"/>
  <c r="AN87" s="1"/>
  <c r="AP87" s="1"/>
  <c r="AE87"/>
  <c r="AG87" s="1"/>
  <c r="AI87" s="1"/>
  <c r="X87"/>
  <c r="U87"/>
  <c r="N87"/>
  <c r="O87" s="1"/>
  <c r="I87"/>
  <c r="K87" s="1"/>
  <c r="BL86"/>
  <c r="BM86" s="1"/>
  <c r="BE86"/>
  <c r="BG86" s="1"/>
  <c r="BI86" s="1"/>
  <c r="AX86"/>
  <c r="AZ86" s="1"/>
  <c r="BB86" s="1"/>
  <c r="AU86"/>
  <c r="AS86"/>
  <c r="AL86"/>
  <c r="AN86" s="1"/>
  <c r="AP86" s="1"/>
  <c r="AE86"/>
  <c r="AG86" s="1"/>
  <c r="AI86" s="1"/>
  <c r="X86"/>
  <c r="U86"/>
  <c r="N86"/>
  <c r="O86" s="1"/>
  <c r="I86"/>
  <c r="K86" s="1"/>
  <c r="BL85"/>
  <c r="BO85" s="1"/>
  <c r="BE85"/>
  <c r="BG85" s="1"/>
  <c r="BI85" s="1"/>
  <c r="AX85"/>
  <c r="AZ85" s="1"/>
  <c r="BB85" s="1"/>
  <c r="AS85"/>
  <c r="AU85" s="1"/>
  <c r="AL85"/>
  <c r="AN85" s="1"/>
  <c r="AP85" s="1"/>
  <c r="AE85"/>
  <c r="AG85" s="1"/>
  <c r="AI85" s="1"/>
  <c r="X85"/>
  <c r="U85"/>
  <c r="N85"/>
  <c r="O85" s="1"/>
  <c r="I85"/>
  <c r="K85" s="1"/>
  <c r="BL84"/>
  <c r="BM84" s="1"/>
  <c r="BE84"/>
  <c r="BG84" s="1"/>
  <c r="BI84" s="1"/>
  <c r="AX84"/>
  <c r="AZ84" s="1"/>
  <c r="BB84" s="1"/>
  <c r="AS84"/>
  <c r="AU84" s="1"/>
  <c r="AL84"/>
  <c r="AN84" s="1"/>
  <c r="AP84" s="1"/>
  <c r="AE84"/>
  <c r="AG84" s="1"/>
  <c r="AI84" s="1"/>
  <c r="X84"/>
  <c r="U84"/>
  <c r="N84"/>
  <c r="O84" s="1"/>
  <c r="I84"/>
  <c r="K84" s="1"/>
  <c r="BL83"/>
  <c r="BM83" s="1"/>
  <c r="BE83"/>
  <c r="BG83" s="1"/>
  <c r="BI83" s="1"/>
  <c r="AX83"/>
  <c r="AZ83" s="1"/>
  <c r="BB83" s="1"/>
  <c r="AS83"/>
  <c r="AU83" s="1"/>
  <c r="AL83"/>
  <c r="AN83" s="1"/>
  <c r="AP83" s="1"/>
  <c r="AE83"/>
  <c r="AG83" s="1"/>
  <c r="AI83" s="1"/>
  <c r="X83"/>
  <c r="U83"/>
  <c r="N83"/>
  <c r="O83" s="1"/>
  <c r="I83"/>
  <c r="K83" s="1"/>
  <c r="BL82"/>
  <c r="BM82" s="1"/>
  <c r="BE82"/>
  <c r="BG82" s="1"/>
  <c r="BI82" s="1"/>
  <c r="AX82"/>
  <c r="AZ82" s="1"/>
  <c r="BB82" s="1"/>
  <c r="AS82"/>
  <c r="AU82" s="1"/>
  <c r="AL82"/>
  <c r="AN82" s="1"/>
  <c r="AP82" s="1"/>
  <c r="AE82"/>
  <c r="AG82" s="1"/>
  <c r="AI82" s="1"/>
  <c r="X82"/>
  <c r="U82"/>
  <c r="N82"/>
  <c r="O82" s="1"/>
  <c r="I82"/>
  <c r="K82" s="1"/>
  <c r="BL81"/>
  <c r="BM81" s="1"/>
  <c r="BE81"/>
  <c r="BG81" s="1"/>
  <c r="BI81" s="1"/>
  <c r="AX81"/>
  <c r="AZ81" s="1"/>
  <c r="BB81" s="1"/>
  <c r="AS81"/>
  <c r="AU81" s="1"/>
  <c r="AL81"/>
  <c r="AN81" s="1"/>
  <c r="AP81" s="1"/>
  <c r="AE81"/>
  <c r="AG81" s="1"/>
  <c r="AI81" s="1"/>
  <c r="X81"/>
  <c r="U81"/>
  <c r="N81"/>
  <c r="O81" s="1"/>
  <c r="I81"/>
  <c r="K81" s="1"/>
  <c r="BL80"/>
  <c r="BM80" s="1"/>
  <c r="BE80"/>
  <c r="BG80" s="1"/>
  <c r="BI80" s="1"/>
  <c r="AX80"/>
  <c r="AZ80" s="1"/>
  <c r="BB80" s="1"/>
  <c r="AS80"/>
  <c r="AU80" s="1"/>
  <c r="AL80"/>
  <c r="AN80" s="1"/>
  <c r="AP80" s="1"/>
  <c r="AE80"/>
  <c r="AG80" s="1"/>
  <c r="AI80" s="1"/>
  <c r="X80"/>
  <c r="U80"/>
  <c r="N80"/>
  <c r="O80" s="1"/>
  <c r="I80"/>
  <c r="K80" s="1"/>
  <c r="BL79"/>
  <c r="BM79" s="1"/>
  <c r="BO79" s="1"/>
  <c r="BE79"/>
  <c r="BG79" s="1"/>
  <c r="BI79" s="1"/>
  <c r="AX79"/>
  <c r="AZ79" s="1"/>
  <c r="BB79" s="1"/>
  <c r="AS79"/>
  <c r="AU79" s="1"/>
  <c r="AL79"/>
  <c r="AN79" s="1"/>
  <c r="AP79" s="1"/>
  <c r="AE79"/>
  <c r="AG79" s="1"/>
  <c r="AI79" s="1"/>
  <c r="X79"/>
  <c r="U79"/>
  <c r="N79"/>
  <c r="O79" s="1"/>
  <c r="I79"/>
  <c r="K79" s="1"/>
  <c r="BL78"/>
  <c r="BM78" s="1"/>
  <c r="BE78"/>
  <c r="BG78" s="1"/>
  <c r="BI78" s="1"/>
  <c r="AX78"/>
  <c r="AZ78" s="1"/>
  <c r="BB78" s="1"/>
  <c r="AS78"/>
  <c r="AU78" s="1"/>
  <c r="AL78"/>
  <c r="AN78" s="1"/>
  <c r="AP78" s="1"/>
  <c r="AE78"/>
  <c r="AG78" s="1"/>
  <c r="AI78" s="1"/>
  <c r="X78"/>
  <c r="U78"/>
  <c r="N78"/>
  <c r="O78" s="1"/>
  <c r="I78"/>
  <c r="K78" s="1"/>
  <c r="BL77"/>
  <c r="BM77" s="1"/>
  <c r="BO77" s="1"/>
  <c r="BE77"/>
  <c r="BG77" s="1"/>
  <c r="BI77" s="1"/>
  <c r="AX77"/>
  <c r="AZ77" s="1"/>
  <c r="BB77" s="1"/>
  <c r="AS77"/>
  <c r="AU77" s="1"/>
  <c r="AL77"/>
  <c r="AN77" s="1"/>
  <c r="AP77" s="1"/>
  <c r="AE77"/>
  <c r="AG77" s="1"/>
  <c r="AI77" s="1"/>
  <c r="X77"/>
  <c r="U77"/>
  <c r="N77"/>
  <c r="O77" s="1"/>
  <c r="I77"/>
  <c r="K77" s="1"/>
  <c r="BL76"/>
  <c r="BE76"/>
  <c r="BG76" s="1"/>
  <c r="BI76" s="1"/>
  <c r="AX76"/>
  <c r="AZ76" s="1"/>
  <c r="BB76" s="1"/>
  <c r="AS76"/>
  <c r="AU76" s="1"/>
  <c r="AL76"/>
  <c r="AN76" s="1"/>
  <c r="AP76" s="1"/>
  <c r="AE76"/>
  <c r="AG76" s="1"/>
  <c r="AI76" s="1"/>
  <c r="X76"/>
  <c r="U76"/>
  <c r="N76"/>
  <c r="O76" s="1"/>
  <c r="I76"/>
  <c r="K76" s="1"/>
  <c r="BL75"/>
  <c r="BM75" s="1"/>
  <c r="BE75"/>
  <c r="BG75" s="1"/>
  <c r="BI75" s="1"/>
  <c r="AX75"/>
  <c r="AZ75" s="1"/>
  <c r="BB75" s="1"/>
  <c r="AS75"/>
  <c r="AU75" s="1"/>
  <c r="AL75"/>
  <c r="AN75" s="1"/>
  <c r="AP75" s="1"/>
  <c r="AE75"/>
  <c r="AG75" s="1"/>
  <c r="AI75" s="1"/>
  <c r="X75"/>
  <c r="U75"/>
  <c r="N75"/>
  <c r="O75" s="1"/>
  <c r="I75"/>
  <c r="K75" s="1"/>
  <c r="BL74"/>
  <c r="BM74" s="1"/>
  <c r="BE74"/>
  <c r="BG74" s="1"/>
  <c r="BI74" s="1"/>
  <c r="AX74"/>
  <c r="AZ74" s="1"/>
  <c r="BB74" s="1"/>
  <c r="AS74"/>
  <c r="AU74" s="1"/>
  <c r="AL74"/>
  <c r="AN74" s="1"/>
  <c r="AP74" s="1"/>
  <c r="AE74"/>
  <c r="AG74" s="1"/>
  <c r="AI74" s="1"/>
  <c r="X74"/>
  <c r="U74"/>
  <c r="N74"/>
  <c r="O74" s="1"/>
  <c r="I74"/>
  <c r="K74" s="1"/>
  <c r="BL73"/>
  <c r="BM73" s="1"/>
  <c r="BO73" s="1"/>
  <c r="BE73"/>
  <c r="BG73" s="1"/>
  <c r="BI73" s="1"/>
  <c r="AX73"/>
  <c r="AZ73" s="1"/>
  <c r="BB73" s="1"/>
  <c r="AS73"/>
  <c r="AU73" s="1"/>
  <c r="AL73"/>
  <c r="AN73" s="1"/>
  <c r="AP73" s="1"/>
  <c r="AE73"/>
  <c r="AG73" s="1"/>
  <c r="AI73" s="1"/>
  <c r="X73"/>
  <c r="U73"/>
  <c r="N73"/>
  <c r="O73" s="1"/>
  <c r="I73"/>
  <c r="K73" s="1"/>
  <c r="BL72"/>
  <c r="BM72" s="1"/>
  <c r="BE72"/>
  <c r="BG72" s="1"/>
  <c r="BI72" s="1"/>
  <c r="AX72"/>
  <c r="AZ72" s="1"/>
  <c r="BB72" s="1"/>
  <c r="AS72"/>
  <c r="AU72" s="1"/>
  <c r="AL72"/>
  <c r="AN72" s="1"/>
  <c r="AP72" s="1"/>
  <c r="AE72"/>
  <c r="AG72" s="1"/>
  <c r="AI72" s="1"/>
  <c r="X72"/>
  <c r="U72"/>
  <c r="N72"/>
  <c r="O72" s="1"/>
  <c r="I72"/>
  <c r="K72" s="1"/>
  <c r="BL71"/>
  <c r="BM71" s="1"/>
  <c r="BE71"/>
  <c r="BG71" s="1"/>
  <c r="BI71" s="1"/>
  <c r="AX71"/>
  <c r="AZ71" s="1"/>
  <c r="BB71" s="1"/>
  <c r="AS71"/>
  <c r="AU71" s="1"/>
  <c r="AL71"/>
  <c r="AN71" s="1"/>
  <c r="AP71" s="1"/>
  <c r="AE71"/>
  <c r="AG71" s="1"/>
  <c r="AI71" s="1"/>
  <c r="X71"/>
  <c r="U71"/>
  <c r="N71"/>
  <c r="O71" s="1"/>
  <c r="I71"/>
  <c r="K71" s="1"/>
  <c r="BL70"/>
  <c r="BM70" s="1"/>
  <c r="BE70"/>
  <c r="BG70" s="1"/>
  <c r="BI70" s="1"/>
  <c r="AX70"/>
  <c r="AZ70" s="1"/>
  <c r="BB70" s="1"/>
  <c r="AS70"/>
  <c r="AU70" s="1"/>
  <c r="AL70"/>
  <c r="AN70" s="1"/>
  <c r="AP70" s="1"/>
  <c r="AE70"/>
  <c r="AG70" s="1"/>
  <c r="AI70" s="1"/>
  <c r="X70"/>
  <c r="U70"/>
  <c r="N70"/>
  <c r="O70" s="1"/>
  <c r="I70"/>
  <c r="K70" s="1"/>
  <c r="BL69"/>
  <c r="BM69" s="1"/>
  <c r="BO69" s="1"/>
  <c r="BE69"/>
  <c r="BG69" s="1"/>
  <c r="BI69" s="1"/>
  <c r="AX69"/>
  <c r="AZ69" s="1"/>
  <c r="BB69" s="1"/>
  <c r="AS69"/>
  <c r="AU69" s="1"/>
  <c r="AL69"/>
  <c r="AN69" s="1"/>
  <c r="AP69" s="1"/>
  <c r="AE69"/>
  <c r="AG69" s="1"/>
  <c r="AI69" s="1"/>
  <c r="X69"/>
  <c r="U69"/>
  <c r="N69"/>
  <c r="O69" s="1"/>
  <c r="I69"/>
  <c r="K69" s="1"/>
  <c r="BL68"/>
  <c r="BE68"/>
  <c r="BG68" s="1"/>
  <c r="BI68" s="1"/>
  <c r="AX68"/>
  <c r="AZ68" s="1"/>
  <c r="BB68" s="1"/>
  <c r="AS68"/>
  <c r="AU68" s="1"/>
  <c r="AL68"/>
  <c r="AN68" s="1"/>
  <c r="AP68" s="1"/>
  <c r="AE68"/>
  <c r="AG68" s="1"/>
  <c r="AI68" s="1"/>
  <c r="X68"/>
  <c r="U68"/>
  <c r="N68"/>
  <c r="O68" s="1"/>
  <c r="I68"/>
  <c r="K68" s="1"/>
  <c r="BL67"/>
  <c r="BM67" s="1"/>
  <c r="BE67"/>
  <c r="BG67" s="1"/>
  <c r="BI67" s="1"/>
  <c r="AX67"/>
  <c r="AZ67" s="1"/>
  <c r="BB67" s="1"/>
  <c r="AS67"/>
  <c r="AU67" s="1"/>
  <c r="AL67"/>
  <c r="AN67" s="1"/>
  <c r="AP67" s="1"/>
  <c r="AE67"/>
  <c r="AG67" s="1"/>
  <c r="AI67" s="1"/>
  <c r="X67"/>
  <c r="U67"/>
  <c r="N67"/>
  <c r="O67" s="1"/>
  <c r="I67"/>
  <c r="K67" s="1"/>
  <c r="BL66"/>
  <c r="BM66" s="1"/>
  <c r="BE66"/>
  <c r="BG66" s="1"/>
  <c r="BI66" s="1"/>
  <c r="AX66"/>
  <c r="AZ66" s="1"/>
  <c r="BB66" s="1"/>
  <c r="AS66"/>
  <c r="AU66" s="1"/>
  <c r="AL66"/>
  <c r="AN66" s="1"/>
  <c r="AP66" s="1"/>
  <c r="AE66"/>
  <c r="AG66" s="1"/>
  <c r="AI66" s="1"/>
  <c r="U66"/>
  <c r="N66"/>
  <c r="O66" s="1"/>
  <c r="I66"/>
  <c r="K66" s="1"/>
  <c r="BL65"/>
  <c r="BM65" s="1"/>
  <c r="BO65" s="1"/>
  <c r="BE65"/>
  <c r="BG65" s="1"/>
  <c r="BI65" s="1"/>
  <c r="AX65"/>
  <c r="AZ65" s="1"/>
  <c r="BB65" s="1"/>
  <c r="AS65"/>
  <c r="AU65" s="1"/>
  <c r="AL65"/>
  <c r="AN65" s="1"/>
  <c r="AP65" s="1"/>
  <c r="AE65"/>
  <c r="AG65" s="1"/>
  <c r="AI65" s="1"/>
  <c r="U65"/>
  <c r="N65"/>
  <c r="O65" s="1"/>
  <c r="I65"/>
  <c r="K65" s="1"/>
  <c r="BL64"/>
  <c r="BE64"/>
  <c r="BG64" s="1"/>
  <c r="BI64" s="1"/>
  <c r="AX64"/>
  <c r="AZ64" s="1"/>
  <c r="BB64" s="1"/>
  <c r="AS64"/>
  <c r="AU64" s="1"/>
  <c r="AL64"/>
  <c r="AN64" s="1"/>
  <c r="AP64" s="1"/>
  <c r="AE64"/>
  <c r="AG64" s="1"/>
  <c r="AI64" s="1"/>
  <c r="X64"/>
  <c r="U64"/>
  <c r="N64"/>
  <c r="O64" s="1"/>
  <c r="I64"/>
  <c r="K64" s="1"/>
  <c r="BL63"/>
  <c r="BM63" s="1"/>
  <c r="BE63"/>
  <c r="BG63" s="1"/>
  <c r="BI63" s="1"/>
  <c r="AX63"/>
  <c r="AZ63" s="1"/>
  <c r="BB63" s="1"/>
  <c r="AS63"/>
  <c r="AU63" s="1"/>
  <c r="AL63"/>
  <c r="AN63" s="1"/>
  <c r="AP63" s="1"/>
  <c r="AE63"/>
  <c r="AG63" s="1"/>
  <c r="AI63" s="1"/>
  <c r="X63"/>
  <c r="U63"/>
  <c r="N63"/>
  <c r="O63" s="1"/>
  <c r="I63"/>
  <c r="K63" s="1"/>
  <c r="BL62"/>
  <c r="BM62" s="1"/>
  <c r="BE62"/>
  <c r="BG62" s="1"/>
  <c r="BI62" s="1"/>
  <c r="AX62"/>
  <c r="AZ62" s="1"/>
  <c r="BB62" s="1"/>
  <c r="AS62"/>
  <c r="AU62" s="1"/>
  <c r="AL62"/>
  <c r="AN62" s="1"/>
  <c r="AP62" s="1"/>
  <c r="AE62"/>
  <c r="AG62" s="1"/>
  <c r="AI62" s="1"/>
  <c r="X62"/>
  <c r="U62"/>
  <c r="N62"/>
  <c r="O62" s="1"/>
  <c r="I62"/>
  <c r="K62" s="1"/>
  <c r="BL61"/>
  <c r="BM61" s="1"/>
  <c r="BO61" s="1"/>
  <c r="BE61"/>
  <c r="BG61" s="1"/>
  <c r="BI61" s="1"/>
  <c r="AX61"/>
  <c r="AZ61" s="1"/>
  <c r="BB61" s="1"/>
  <c r="AS61"/>
  <c r="AU61" s="1"/>
  <c r="AL61"/>
  <c r="AN61" s="1"/>
  <c r="AP61" s="1"/>
  <c r="AE61"/>
  <c r="AG61" s="1"/>
  <c r="AI61" s="1"/>
  <c r="X61"/>
  <c r="U61"/>
  <c r="N61"/>
  <c r="O61" s="1"/>
  <c r="I61"/>
  <c r="K61" s="1"/>
  <c r="BL60"/>
  <c r="BE60"/>
  <c r="BG60" s="1"/>
  <c r="BI60" s="1"/>
  <c r="AX60"/>
  <c r="AZ60" s="1"/>
  <c r="BB60" s="1"/>
  <c r="AS60"/>
  <c r="AU60" s="1"/>
  <c r="AL60"/>
  <c r="AN60" s="1"/>
  <c r="AP60" s="1"/>
  <c r="AE60"/>
  <c r="AG60" s="1"/>
  <c r="AI60" s="1"/>
  <c r="X60"/>
  <c r="U60"/>
  <c r="N60"/>
  <c r="O60" s="1"/>
  <c r="I60"/>
  <c r="K60" s="1"/>
  <c r="BL59"/>
  <c r="BM59" s="1"/>
  <c r="BE59"/>
  <c r="BG59" s="1"/>
  <c r="BI59" s="1"/>
  <c r="AX59"/>
  <c r="AZ59" s="1"/>
  <c r="BB59" s="1"/>
  <c r="AS59"/>
  <c r="AU59" s="1"/>
  <c r="AL59"/>
  <c r="AN59" s="1"/>
  <c r="AP59" s="1"/>
  <c r="AE59"/>
  <c r="AG59" s="1"/>
  <c r="AI59" s="1"/>
  <c r="X59"/>
  <c r="U59"/>
  <c r="N59"/>
  <c r="O59" s="1"/>
  <c r="I59"/>
  <c r="K59" s="1"/>
  <c r="BL58"/>
  <c r="BM58" s="1"/>
  <c r="BE58"/>
  <c r="BG58" s="1"/>
  <c r="BI58" s="1"/>
  <c r="AX58"/>
  <c r="AZ58" s="1"/>
  <c r="BB58" s="1"/>
  <c r="AS58"/>
  <c r="AU58" s="1"/>
  <c r="AL58"/>
  <c r="AN58" s="1"/>
  <c r="AP58" s="1"/>
  <c r="AE58"/>
  <c r="AG58" s="1"/>
  <c r="AI58" s="1"/>
  <c r="X58"/>
  <c r="U58"/>
  <c r="N58"/>
  <c r="O58" s="1"/>
  <c r="I58"/>
  <c r="K58" s="1"/>
  <c r="BL57"/>
  <c r="BM57" s="1"/>
  <c r="BO57" s="1"/>
  <c r="BE57"/>
  <c r="BG57" s="1"/>
  <c r="BI57" s="1"/>
  <c r="AX57"/>
  <c r="AZ57" s="1"/>
  <c r="BB57" s="1"/>
  <c r="AS57"/>
  <c r="AU57" s="1"/>
  <c r="AL57"/>
  <c r="AN57" s="1"/>
  <c r="AP57" s="1"/>
  <c r="AE57"/>
  <c r="AG57" s="1"/>
  <c r="AI57" s="1"/>
  <c r="X57"/>
  <c r="U57"/>
  <c r="N57"/>
  <c r="O57" s="1"/>
  <c r="I57"/>
  <c r="K57" s="1"/>
  <c r="BL56"/>
  <c r="BE56"/>
  <c r="BG56" s="1"/>
  <c r="BI56" s="1"/>
  <c r="AX56"/>
  <c r="AZ56" s="1"/>
  <c r="BB56" s="1"/>
  <c r="AS56"/>
  <c r="AU56" s="1"/>
  <c r="AL56"/>
  <c r="AN56" s="1"/>
  <c r="AP56" s="1"/>
  <c r="AE56"/>
  <c r="AG56" s="1"/>
  <c r="AI56" s="1"/>
  <c r="X56"/>
  <c r="U56"/>
  <c r="N56"/>
  <c r="O56" s="1"/>
  <c r="I56"/>
  <c r="K56" s="1"/>
  <c r="BL55"/>
  <c r="BM55" s="1"/>
  <c r="BE55"/>
  <c r="BG55" s="1"/>
  <c r="BI55" s="1"/>
  <c r="AX55"/>
  <c r="AZ55" s="1"/>
  <c r="BB55" s="1"/>
  <c r="AS55"/>
  <c r="AU55" s="1"/>
  <c r="AL55"/>
  <c r="AN55" s="1"/>
  <c r="AP55" s="1"/>
  <c r="AE55"/>
  <c r="AG55" s="1"/>
  <c r="AI55" s="1"/>
  <c r="X55"/>
  <c r="U55"/>
  <c r="N55"/>
  <c r="O55" s="1"/>
  <c r="I55"/>
  <c r="K55" s="1"/>
  <c r="BL54"/>
  <c r="BM54" s="1"/>
  <c r="BE54"/>
  <c r="BG54" s="1"/>
  <c r="BI54" s="1"/>
  <c r="AX54"/>
  <c r="AZ54" s="1"/>
  <c r="BB54" s="1"/>
  <c r="AS54"/>
  <c r="AU54" s="1"/>
  <c r="AL54"/>
  <c r="AN54" s="1"/>
  <c r="AP54" s="1"/>
  <c r="AE54"/>
  <c r="AG54" s="1"/>
  <c r="AI54" s="1"/>
  <c r="X54"/>
  <c r="U54"/>
  <c r="N54"/>
  <c r="O54" s="1"/>
  <c r="I54"/>
  <c r="K54" s="1"/>
  <c r="BL53"/>
  <c r="BM53" s="1"/>
  <c r="BE53"/>
  <c r="BG53" s="1"/>
  <c r="BI53" s="1"/>
  <c r="AX53"/>
  <c r="AZ53" s="1"/>
  <c r="BB53" s="1"/>
  <c r="AS53"/>
  <c r="AU53" s="1"/>
  <c r="AL53"/>
  <c r="AN53" s="1"/>
  <c r="AP53" s="1"/>
  <c r="AE53"/>
  <c r="AG53" s="1"/>
  <c r="AI53" s="1"/>
  <c r="X53"/>
  <c r="U53"/>
  <c r="N53"/>
  <c r="O53" s="1"/>
  <c r="I53"/>
  <c r="K53" s="1"/>
  <c r="BL52"/>
  <c r="BE52"/>
  <c r="BG52" s="1"/>
  <c r="BI52" s="1"/>
  <c r="AX52"/>
  <c r="AZ52" s="1"/>
  <c r="BB52" s="1"/>
  <c r="AS52"/>
  <c r="AU52" s="1"/>
  <c r="AL52"/>
  <c r="AN52" s="1"/>
  <c r="AP52" s="1"/>
  <c r="AE52"/>
  <c r="AG52" s="1"/>
  <c r="AI52" s="1"/>
  <c r="X52"/>
  <c r="U52"/>
  <c r="N52"/>
  <c r="O52" s="1"/>
  <c r="I52"/>
  <c r="K52" s="1"/>
  <c r="BL51"/>
  <c r="BM51" s="1"/>
  <c r="BE51"/>
  <c r="BG51" s="1"/>
  <c r="AX51"/>
  <c r="AZ51" s="1"/>
  <c r="AS51"/>
  <c r="AU51" s="1"/>
  <c r="AL51"/>
  <c r="AN51" s="1"/>
  <c r="AP51" s="1"/>
  <c r="AE51"/>
  <c r="AG51" s="1"/>
  <c r="X51"/>
  <c r="U51"/>
  <c r="N51"/>
  <c r="O51" s="1"/>
  <c r="I51"/>
  <c r="K51" s="1"/>
  <c r="BL50"/>
  <c r="BM50" s="1"/>
  <c r="BE50"/>
  <c r="BG50" s="1"/>
  <c r="BI50" s="1"/>
  <c r="AX50"/>
  <c r="AZ50" s="1"/>
  <c r="BB50" s="1"/>
  <c r="AS50"/>
  <c r="AU50" s="1"/>
  <c r="AL50"/>
  <c r="AN50" s="1"/>
  <c r="AP50" s="1"/>
  <c r="AE50"/>
  <c r="AG50" s="1"/>
  <c r="AI50" s="1"/>
  <c r="X50"/>
  <c r="U50"/>
  <c r="N50"/>
  <c r="O50" s="1"/>
  <c r="I50"/>
  <c r="K50" s="1"/>
  <c r="BL49"/>
  <c r="BM49" s="1"/>
  <c r="BE49"/>
  <c r="BG49" s="1"/>
  <c r="BI49" s="1"/>
  <c r="AX49"/>
  <c r="AZ49" s="1"/>
  <c r="BB49" s="1"/>
  <c r="AS49"/>
  <c r="AU49" s="1"/>
  <c r="AL49"/>
  <c r="AN49" s="1"/>
  <c r="AP49" s="1"/>
  <c r="AE49"/>
  <c r="AG49" s="1"/>
  <c r="AI49" s="1"/>
  <c r="X49"/>
  <c r="U49"/>
  <c r="N49"/>
  <c r="O49" s="1"/>
  <c r="I49"/>
  <c r="K49" s="1"/>
  <c r="BL48"/>
  <c r="BM48" s="1"/>
  <c r="BE48"/>
  <c r="BG48" s="1"/>
  <c r="BI48" s="1"/>
  <c r="AX48"/>
  <c r="AZ48" s="1"/>
  <c r="BB48" s="1"/>
  <c r="AS48"/>
  <c r="AU48" s="1"/>
  <c r="AL48"/>
  <c r="AN48" s="1"/>
  <c r="AP48" s="1"/>
  <c r="AE48"/>
  <c r="AG48" s="1"/>
  <c r="AI48" s="1"/>
  <c r="X48"/>
  <c r="U48"/>
  <c r="N48"/>
  <c r="O48" s="1"/>
  <c r="I48"/>
  <c r="K48" s="1"/>
  <c r="BL47"/>
  <c r="BM47" s="1"/>
  <c r="BE47"/>
  <c r="BG47" s="1"/>
  <c r="BI47" s="1"/>
  <c r="AX47"/>
  <c r="AZ47" s="1"/>
  <c r="BB47" s="1"/>
  <c r="AS47"/>
  <c r="AU47" s="1"/>
  <c r="AL47"/>
  <c r="AN47" s="1"/>
  <c r="AP47" s="1"/>
  <c r="AE47"/>
  <c r="AG47" s="1"/>
  <c r="AI47" s="1"/>
  <c r="X47"/>
  <c r="U47"/>
  <c r="N47"/>
  <c r="O47" s="1"/>
  <c r="I47"/>
  <c r="K47" s="1"/>
  <c r="BL46"/>
  <c r="BM46" s="1"/>
  <c r="BE46"/>
  <c r="BG46" s="1"/>
  <c r="BI46" s="1"/>
  <c r="AX46"/>
  <c r="AZ46" s="1"/>
  <c r="BB46" s="1"/>
  <c r="AS46"/>
  <c r="AU46" s="1"/>
  <c r="AL46"/>
  <c r="AN46" s="1"/>
  <c r="AP46" s="1"/>
  <c r="AE46"/>
  <c r="AG46" s="1"/>
  <c r="AI46" s="1"/>
  <c r="X46"/>
  <c r="U46"/>
  <c r="N46"/>
  <c r="O46" s="1"/>
  <c r="I46"/>
  <c r="K46" s="1"/>
  <c r="BL45"/>
  <c r="BM45" s="1"/>
  <c r="BE45"/>
  <c r="BG45" s="1"/>
  <c r="BI45" s="1"/>
  <c r="AX45"/>
  <c r="AZ45" s="1"/>
  <c r="BB45" s="1"/>
  <c r="AS45"/>
  <c r="AU45" s="1"/>
  <c r="AL45"/>
  <c r="AN45" s="1"/>
  <c r="AP45" s="1"/>
  <c r="AE45"/>
  <c r="AG45" s="1"/>
  <c r="AI45" s="1"/>
  <c r="X45"/>
  <c r="U45"/>
  <c r="N45"/>
  <c r="O45" s="1"/>
  <c r="I45"/>
  <c r="K45" s="1"/>
  <c r="BL44"/>
  <c r="BM44" s="1"/>
  <c r="BE44"/>
  <c r="BG44" s="1"/>
  <c r="BI44" s="1"/>
  <c r="AX44"/>
  <c r="AZ44" s="1"/>
  <c r="BB44" s="1"/>
  <c r="AS44"/>
  <c r="AU44" s="1"/>
  <c r="AL44"/>
  <c r="AN44" s="1"/>
  <c r="AP44" s="1"/>
  <c r="AE44"/>
  <c r="AG44" s="1"/>
  <c r="AI44" s="1"/>
  <c r="X44"/>
  <c r="U44"/>
  <c r="N44"/>
  <c r="O44" s="1"/>
  <c r="I44"/>
  <c r="K44" s="1"/>
  <c r="BL43"/>
  <c r="BM43" s="1"/>
  <c r="BE43"/>
  <c r="BG43" s="1"/>
  <c r="BI43" s="1"/>
  <c r="AX43"/>
  <c r="AZ43" s="1"/>
  <c r="BB43" s="1"/>
  <c r="AS43"/>
  <c r="AU43" s="1"/>
  <c r="AL43"/>
  <c r="AN43" s="1"/>
  <c r="AP43" s="1"/>
  <c r="AE43"/>
  <c r="AG43" s="1"/>
  <c r="AI43" s="1"/>
  <c r="X43"/>
  <c r="U43"/>
  <c r="N43"/>
  <c r="O43" s="1"/>
  <c r="I43"/>
  <c r="K43" s="1"/>
  <c r="BL42"/>
  <c r="BM42" s="1"/>
  <c r="BE42"/>
  <c r="BG42" s="1"/>
  <c r="BI42" s="1"/>
  <c r="AX42"/>
  <c r="AZ42" s="1"/>
  <c r="BB42" s="1"/>
  <c r="AS42"/>
  <c r="AU42" s="1"/>
  <c r="AL42"/>
  <c r="AN42" s="1"/>
  <c r="AP42" s="1"/>
  <c r="AE42"/>
  <c r="AG42" s="1"/>
  <c r="AI42" s="1"/>
  <c r="X42"/>
  <c r="U42"/>
  <c r="N42"/>
  <c r="O42" s="1"/>
  <c r="I42"/>
  <c r="K42" s="1"/>
  <c r="BL41"/>
  <c r="BM41" s="1"/>
  <c r="BE41"/>
  <c r="BG41" s="1"/>
  <c r="BI41" s="1"/>
  <c r="AX41"/>
  <c r="AZ41" s="1"/>
  <c r="BB41" s="1"/>
  <c r="AS41"/>
  <c r="AU41" s="1"/>
  <c r="AL41"/>
  <c r="AN41" s="1"/>
  <c r="AP41" s="1"/>
  <c r="AE41"/>
  <c r="AG41" s="1"/>
  <c r="AI41" s="1"/>
  <c r="X41"/>
  <c r="U41"/>
  <c r="N41"/>
  <c r="O41" s="1"/>
  <c r="I41"/>
  <c r="K41" s="1"/>
  <c r="BL40"/>
  <c r="BM40" s="1"/>
  <c r="BE40"/>
  <c r="BG40" s="1"/>
  <c r="BI40" s="1"/>
  <c r="AX40"/>
  <c r="AZ40" s="1"/>
  <c r="BB40" s="1"/>
  <c r="AS40"/>
  <c r="AU40" s="1"/>
  <c r="AL40"/>
  <c r="AN40" s="1"/>
  <c r="AP40" s="1"/>
  <c r="AE40"/>
  <c r="AG40" s="1"/>
  <c r="AI40" s="1"/>
  <c r="X40"/>
  <c r="U40"/>
  <c r="N40"/>
  <c r="O40" s="1"/>
  <c r="I40"/>
  <c r="K40" s="1"/>
  <c r="BL39"/>
  <c r="BM39" s="1"/>
  <c r="BE39"/>
  <c r="BG39" s="1"/>
  <c r="BI39" s="1"/>
  <c r="AX39"/>
  <c r="AZ39" s="1"/>
  <c r="BB39" s="1"/>
  <c r="AS39"/>
  <c r="AU39" s="1"/>
  <c r="AL39"/>
  <c r="AN39" s="1"/>
  <c r="AP39" s="1"/>
  <c r="AE39"/>
  <c r="AG39" s="1"/>
  <c r="AI39" s="1"/>
  <c r="X39"/>
  <c r="U39"/>
  <c r="N39"/>
  <c r="O39" s="1"/>
  <c r="I39"/>
  <c r="K39" s="1"/>
  <c r="BL38"/>
  <c r="BM38" s="1"/>
  <c r="BE38"/>
  <c r="BG38" s="1"/>
  <c r="BI38" s="1"/>
  <c r="AX38"/>
  <c r="AZ38" s="1"/>
  <c r="BB38" s="1"/>
  <c r="AS38"/>
  <c r="AU38" s="1"/>
  <c r="AL38"/>
  <c r="AN38" s="1"/>
  <c r="AP38" s="1"/>
  <c r="AE38"/>
  <c r="AG38" s="1"/>
  <c r="AI38" s="1"/>
  <c r="X38"/>
  <c r="U38"/>
  <c r="N38"/>
  <c r="O38" s="1"/>
  <c r="I38"/>
  <c r="K38" s="1"/>
  <c r="BL37"/>
  <c r="BM37" s="1"/>
  <c r="BE37"/>
  <c r="BG37" s="1"/>
  <c r="BI37" s="1"/>
  <c r="AX37"/>
  <c r="AZ37" s="1"/>
  <c r="BB37" s="1"/>
  <c r="AS37"/>
  <c r="AU37" s="1"/>
  <c r="AL37"/>
  <c r="AN37" s="1"/>
  <c r="AP37" s="1"/>
  <c r="AE37"/>
  <c r="AG37" s="1"/>
  <c r="AI37" s="1"/>
  <c r="X37"/>
  <c r="U37"/>
  <c r="N37"/>
  <c r="O37" s="1"/>
  <c r="I37"/>
  <c r="K37" s="1"/>
  <c r="BL36"/>
  <c r="BM36" s="1"/>
  <c r="BE36"/>
  <c r="BG36" s="1"/>
  <c r="BI36" s="1"/>
  <c r="AX36"/>
  <c r="AZ36" s="1"/>
  <c r="BB36" s="1"/>
  <c r="AS36"/>
  <c r="AU36" s="1"/>
  <c r="AL36"/>
  <c r="AN36" s="1"/>
  <c r="AP36" s="1"/>
  <c r="AE36"/>
  <c r="AG36" s="1"/>
  <c r="AI36" s="1"/>
  <c r="X36"/>
  <c r="U36"/>
  <c r="N36"/>
  <c r="O36" s="1"/>
  <c r="I36"/>
  <c r="K36" s="1"/>
  <c r="BL35"/>
  <c r="BM35" s="1"/>
  <c r="BE35"/>
  <c r="BG35" s="1"/>
  <c r="BI35" s="1"/>
  <c r="AX35"/>
  <c r="AZ35" s="1"/>
  <c r="BB35" s="1"/>
  <c r="AS35"/>
  <c r="AU35" s="1"/>
  <c r="AL35"/>
  <c r="AN35" s="1"/>
  <c r="AP35" s="1"/>
  <c r="AE35"/>
  <c r="AG35" s="1"/>
  <c r="AI35" s="1"/>
  <c r="X35"/>
  <c r="U35"/>
  <c r="N35"/>
  <c r="O35" s="1"/>
  <c r="I35"/>
  <c r="K35" s="1"/>
  <c r="BL34"/>
  <c r="BM34" s="1"/>
  <c r="BE34"/>
  <c r="BG34" s="1"/>
  <c r="BI34" s="1"/>
  <c r="AX34"/>
  <c r="AZ34" s="1"/>
  <c r="BB34" s="1"/>
  <c r="AS34"/>
  <c r="AU34" s="1"/>
  <c r="AL34"/>
  <c r="AN34" s="1"/>
  <c r="AP34" s="1"/>
  <c r="AE34"/>
  <c r="AG34" s="1"/>
  <c r="AI34" s="1"/>
  <c r="X34"/>
  <c r="U34"/>
  <c r="N34"/>
  <c r="O34" s="1"/>
  <c r="I34"/>
  <c r="K34" s="1"/>
  <c r="BL33"/>
  <c r="BM33" s="1"/>
  <c r="BE33"/>
  <c r="BG33" s="1"/>
  <c r="BI33" s="1"/>
  <c r="AX33"/>
  <c r="AZ33" s="1"/>
  <c r="BB33" s="1"/>
  <c r="AS33"/>
  <c r="AU33" s="1"/>
  <c r="AL33"/>
  <c r="AN33" s="1"/>
  <c r="AP33" s="1"/>
  <c r="AE33"/>
  <c r="AG33" s="1"/>
  <c r="AI33" s="1"/>
  <c r="X33"/>
  <c r="U33"/>
  <c r="N33"/>
  <c r="O33" s="1"/>
  <c r="I33"/>
  <c r="K33" s="1"/>
  <c r="BL32"/>
  <c r="BM32" s="1"/>
  <c r="BE32"/>
  <c r="BG32" s="1"/>
  <c r="BI32" s="1"/>
  <c r="AX32"/>
  <c r="AZ32" s="1"/>
  <c r="BB32" s="1"/>
  <c r="AS32"/>
  <c r="AU32" s="1"/>
  <c r="AL32"/>
  <c r="AN32" s="1"/>
  <c r="AP32" s="1"/>
  <c r="AE32"/>
  <c r="AG32" s="1"/>
  <c r="AI32" s="1"/>
  <c r="X32"/>
  <c r="U32"/>
  <c r="N32"/>
  <c r="O32" s="1"/>
  <c r="I32"/>
  <c r="K32" s="1"/>
  <c r="BL31"/>
  <c r="BM31" s="1"/>
  <c r="BE31"/>
  <c r="BG31" s="1"/>
  <c r="BI31" s="1"/>
  <c r="AX31"/>
  <c r="AZ31" s="1"/>
  <c r="BB31" s="1"/>
  <c r="AS31"/>
  <c r="AU31" s="1"/>
  <c r="AL31"/>
  <c r="AN31" s="1"/>
  <c r="AP31" s="1"/>
  <c r="AE31"/>
  <c r="AG31" s="1"/>
  <c r="AI31" s="1"/>
  <c r="X31"/>
  <c r="U31"/>
  <c r="N31"/>
  <c r="O31" s="1"/>
  <c r="I31"/>
  <c r="K31" s="1"/>
  <c r="BL30"/>
  <c r="BE30"/>
  <c r="BG30" s="1"/>
  <c r="BI30" s="1"/>
  <c r="AX30"/>
  <c r="AZ30" s="1"/>
  <c r="BB30" s="1"/>
  <c r="AS30"/>
  <c r="AU30" s="1"/>
  <c r="AL30"/>
  <c r="AN30" s="1"/>
  <c r="AP30" s="1"/>
  <c r="AE30"/>
  <c r="AG30" s="1"/>
  <c r="AI30" s="1"/>
  <c r="X30"/>
  <c r="U30"/>
  <c r="N30"/>
  <c r="O30" s="1"/>
  <c r="I30"/>
  <c r="K30" s="1"/>
  <c r="BL29"/>
  <c r="BM29" s="1"/>
  <c r="BE29"/>
  <c r="BG29" s="1"/>
  <c r="BI29" s="1"/>
  <c r="AX29"/>
  <c r="AZ29" s="1"/>
  <c r="BB29" s="1"/>
  <c r="AS29"/>
  <c r="AU29" s="1"/>
  <c r="AL29"/>
  <c r="AN29" s="1"/>
  <c r="AP29" s="1"/>
  <c r="AE29"/>
  <c r="AG29" s="1"/>
  <c r="AI29" s="1"/>
  <c r="X29"/>
  <c r="U29"/>
  <c r="N29"/>
  <c r="O29" s="1"/>
  <c r="I29"/>
  <c r="K29" s="1"/>
  <c r="BL28"/>
  <c r="BM28" s="1"/>
  <c r="BE28"/>
  <c r="BG28" s="1"/>
  <c r="BI28" s="1"/>
  <c r="AX28"/>
  <c r="AZ28" s="1"/>
  <c r="BB28" s="1"/>
  <c r="AS28"/>
  <c r="AU28" s="1"/>
  <c r="AL28"/>
  <c r="AN28" s="1"/>
  <c r="AP28" s="1"/>
  <c r="AE28"/>
  <c r="AG28" s="1"/>
  <c r="AI28" s="1"/>
  <c r="X28"/>
  <c r="U28"/>
  <c r="N28"/>
  <c r="O28" s="1"/>
  <c r="I28"/>
  <c r="K28" s="1"/>
  <c r="BL27"/>
  <c r="BM27" s="1"/>
  <c r="BE27"/>
  <c r="BG27" s="1"/>
  <c r="BI27" s="1"/>
  <c r="AX27"/>
  <c r="AZ27" s="1"/>
  <c r="BB27" s="1"/>
  <c r="AS27"/>
  <c r="AU27" s="1"/>
  <c r="AL27"/>
  <c r="AN27" s="1"/>
  <c r="AP27" s="1"/>
  <c r="AE27"/>
  <c r="AG27" s="1"/>
  <c r="AI27" s="1"/>
  <c r="X27"/>
  <c r="U27"/>
  <c r="N27"/>
  <c r="O27" s="1"/>
  <c r="I27"/>
  <c r="K27" s="1"/>
  <c r="BL26"/>
  <c r="BM26" s="1"/>
  <c r="BE26"/>
  <c r="BG26" s="1"/>
  <c r="BI26" s="1"/>
  <c r="AX26"/>
  <c r="AZ26" s="1"/>
  <c r="BB26" s="1"/>
  <c r="AS26"/>
  <c r="AU26" s="1"/>
  <c r="AL26"/>
  <c r="AN26" s="1"/>
  <c r="AP26" s="1"/>
  <c r="AE26"/>
  <c r="AG26" s="1"/>
  <c r="AI26" s="1"/>
  <c r="X26"/>
  <c r="U26"/>
  <c r="N26"/>
  <c r="O26" s="1"/>
  <c r="I26"/>
  <c r="K26" s="1"/>
  <c r="BL25"/>
  <c r="BM25" s="1"/>
  <c r="BE25"/>
  <c r="BG25" s="1"/>
  <c r="BI25" s="1"/>
  <c r="AX25"/>
  <c r="AZ25" s="1"/>
  <c r="BB25" s="1"/>
  <c r="AS25"/>
  <c r="AU25" s="1"/>
  <c r="AL25"/>
  <c r="AN25" s="1"/>
  <c r="AP25" s="1"/>
  <c r="AE25"/>
  <c r="AG25" s="1"/>
  <c r="AI25" s="1"/>
  <c r="X25"/>
  <c r="U25"/>
  <c r="N25"/>
  <c r="O25" s="1"/>
  <c r="I25"/>
  <c r="K25" s="1"/>
  <c r="BL24"/>
  <c r="BM24" s="1"/>
  <c r="BE24"/>
  <c r="BG24" s="1"/>
  <c r="BI24" s="1"/>
  <c r="AX24"/>
  <c r="AZ24" s="1"/>
  <c r="BB24" s="1"/>
  <c r="AS24"/>
  <c r="AU24" s="1"/>
  <c r="AL24"/>
  <c r="AN24" s="1"/>
  <c r="AP24" s="1"/>
  <c r="AE24"/>
  <c r="AG24" s="1"/>
  <c r="AI24" s="1"/>
  <c r="X24"/>
  <c r="U24"/>
  <c r="N24"/>
  <c r="O24" s="1"/>
  <c r="I24"/>
  <c r="K24" s="1"/>
  <c r="BL23"/>
  <c r="BM23" s="1"/>
  <c r="BE23"/>
  <c r="BG23" s="1"/>
  <c r="BI23" s="1"/>
  <c r="AX23"/>
  <c r="AZ23" s="1"/>
  <c r="BB23" s="1"/>
  <c r="AS23"/>
  <c r="AU23" s="1"/>
  <c r="AL23"/>
  <c r="AN23" s="1"/>
  <c r="AP23" s="1"/>
  <c r="AE23"/>
  <c r="AG23" s="1"/>
  <c r="AI23" s="1"/>
  <c r="X23"/>
  <c r="U23"/>
  <c r="N23"/>
  <c r="O23" s="1"/>
  <c r="I23"/>
  <c r="K23" s="1"/>
  <c r="BL22"/>
  <c r="BM22" s="1"/>
  <c r="BE22"/>
  <c r="BG22" s="1"/>
  <c r="BI22" s="1"/>
  <c r="AX22"/>
  <c r="AZ22" s="1"/>
  <c r="BB22" s="1"/>
  <c r="AS22"/>
  <c r="AU22" s="1"/>
  <c r="AL22"/>
  <c r="AN22" s="1"/>
  <c r="AP22" s="1"/>
  <c r="AE22"/>
  <c r="AG22" s="1"/>
  <c r="AI22" s="1"/>
  <c r="X22"/>
  <c r="U22"/>
  <c r="N22"/>
  <c r="O22" s="1"/>
  <c r="I22"/>
  <c r="K22" s="1"/>
  <c r="BL21"/>
  <c r="BM21" s="1"/>
  <c r="BE21"/>
  <c r="BG21" s="1"/>
  <c r="BI21" s="1"/>
  <c r="AX21"/>
  <c r="AZ21" s="1"/>
  <c r="BB21" s="1"/>
  <c r="AS21"/>
  <c r="AU21" s="1"/>
  <c r="AL21"/>
  <c r="AN21" s="1"/>
  <c r="AP21" s="1"/>
  <c r="AE21"/>
  <c r="AG21" s="1"/>
  <c r="AI21" s="1"/>
  <c r="X21"/>
  <c r="U21"/>
  <c r="N21"/>
  <c r="O21" s="1"/>
  <c r="I21"/>
  <c r="K21" s="1"/>
  <c r="BL20"/>
  <c r="BM20" s="1"/>
  <c r="BE20"/>
  <c r="BG20" s="1"/>
  <c r="BI20" s="1"/>
  <c r="AX20"/>
  <c r="AZ20" s="1"/>
  <c r="BB20" s="1"/>
  <c r="AS20"/>
  <c r="AU20" s="1"/>
  <c r="AL20"/>
  <c r="AN20" s="1"/>
  <c r="AP20" s="1"/>
  <c r="AE20"/>
  <c r="AG20" s="1"/>
  <c r="AI20" s="1"/>
  <c r="X20"/>
  <c r="U20"/>
  <c r="N20"/>
  <c r="O20" s="1"/>
  <c r="I20"/>
  <c r="K20" s="1"/>
  <c r="BL19"/>
  <c r="BM19" s="1"/>
  <c r="BE19"/>
  <c r="BG19" s="1"/>
  <c r="BI19" s="1"/>
  <c r="AX19"/>
  <c r="AZ19" s="1"/>
  <c r="BB19" s="1"/>
  <c r="AS19"/>
  <c r="AU19" s="1"/>
  <c r="AL19"/>
  <c r="AN19" s="1"/>
  <c r="AP19" s="1"/>
  <c r="AE19"/>
  <c r="AG19" s="1"/>
  <c r="AI19" s="1"/>
  <c r="X19"/>
  <c r="U19"/>
  <c r="N19"/>
  <c r="O19" s="1"/>
  <c r="I19"/>
  <c r="K19" s="1"/>
  <c r="BL18"/>
  <c r="BM18" s="1"/>
  <c r="R26" i="5" s="1"/>
  <c r="BE18" i="3"/>
  <c r="BG18" s="1"/>
  <c r="BI18" s="1"/>
  <c r="T25" i="5" s="1"/>
  <c r="AX18" i="3"/>
  <c r="AZ18" s="1"/>
  <c r="BB18" s="1"/>
  <c r="T24" i="5" s="1"/>
  <c r="AS18" i="3"/>
  <c r="AU18" s="1"/>
  <c r="T23" i="5" s="1"/>
  <c r="AL18" i="3"/>
  <c r="AN18" s="1"/>
  <c r="AP18" s="1"/>
  <c r="T22" i="5" s="1"/>
  <c r="AE18" i="3"/>
  <c r="AG18" s="1"/>
  <c r="AI18" s="1"/>
  <c r="T21" i="5" s="1"/>
  <c r="X18" i="3"/>
  <c r="U18"/>
  <c r="N18"/>
  <c r="O18" s="1"/>
  <c r="I18"/>
  <c r="K18" s="1"/>
  <c r="BL17"/>
  <c r="BM17" s="1"/>
  <c r="BE17"/>
  <c r="BG17" s="1"/>
  <c r="BI17" s="1"/>
  <c r="AX17"/>
  <c r="AZ17" s="1"/>
  <c r="BB17" s="1"/>
  <c r="AS17"/>
  <c r="AU17" s="1"/>
  <c r="AL17"/>
  <c r="AN17" s="1"/>
  <c r="AP17" s="1"/>
  <c r="AE17"/>
  <c r="AG17" s="1"/>
  <c r="AI17" s="1"/>
  <c r="X17"/>
  <c r="U17"/>
  <c r="N17"/>
  <c r="O17" s="1"/>
  <c r="I17"/>
  <c r="K17" s="1"/>
  <c r="BL16"/>
  <c r="BM16" s="1"/>
  <c r="BE16"/>
  <c r="BG16" s="1"/>
  <c r="BI16" s="1"/>
  <c r="AX16"/>
  <c r="AZ16" s="1"/>
  <c r="BB16" s="1"/>
  <c r="AS16"/>
  <c r="AU16" s="1"/>
  <c r="AL16"/>
  <c r="AN16" s="1"/>
  <c r="AP16" s="1"/>
  <c r="AE16"/>
  <c r="AG16" s="1"/>
  <c r="AI16" s="1"/>
  <c r="X16"/>
  <c r="U16"/>
  <c r="N16"/>
  <c r="O16" s="1"/>
  <c r="I16"/>
  <c r="K16" s="1"/>
  <c r="BL15"/>
  <c r="BM15" s="1"/>
  <c r="BE15"/>
  <c r="BG15" s="1"/>
  <c r="BI15" s="1"/>
  <c r="AX15"/>
  <c r="AZ15" s="1"/>
  <c r="BB15" s="1"/>
  <c r="AS15"/>
  <c r="AU15" s="1"/>
  <c r="AL15"/>
  <c r="AN15" s="1"/>
  <c r="AP15" s="1"/>
  <c r="AE15"/>
  <c r="AG15" s="1"/>
  <c r="AI15" s="1"/>
  <c r="X15"/>
  <c r="U15"/>
  <c r="N15"/>
  <c r="O15" s="1"/>
  <c r="I15"/>
  <c r="K15" s="1"/>
  <c r="BL14"/>
  <c r="BM14" s="1"/>
  <c r="BE14"/>
  <c r="BG14" s="1"/>
  <c r="BI14" s="1"/>
  <c r="AX14"/>
  <c r="AZ14" s="1"/>
  <c r="BB14" s="1"/>
  <c r="AS14"/>
  <c r="AU14" s="1"/>
  <c r="AL14"/>
  <c r="AN14" s="1"/>
  <c r="AP14" s="1"/>
  <c r="AE14"/>
  <c r="AG14" s="1"/>
  <c r="AI14" s="1"/>
  <c r="X14"/>
  <c r="U14"/>
  <c r="N14"/>
  <c r="O14" s="1"/>
  <c r="I14"/>
  <c r="K14" s="1"/>
  <c r="BL13"/>
  <c r="BM13" s="1"/>
  <c r="BE13"/>
  <c r="BG13" s="1"/>
  <c r="BI13" s="1"/>
  <c r="AX13"/>
  <c r="AZ13" s="1"/>
  <c r="BB13" s="1"/>
  <c r="AS13"/>
  <c r="AU13" s="1"/>
  <c r="AL13"/>
  <c r="AN13" s="1"/>
  <c r="AP13" s="1"/>
  <c r="AE13"/>
  <c r="AG13" s="1"/>
  <c r="AI13" s="1"/>
  <c r="X13"/>
  <c r="U13"/>
  <c r="N13"/>
  <c r="O13" s="1"/>
  <c r="I13"/>
  <c r="K13" s="1"/>
  <c r="BL12"/>
  <c r="BM12" s="1"/>
  <c r="BE12"/>
  <c r="BG12" s="1"/>
  <c r="BI12" s="1"/>
  <c r="AX12"/>
  <c r="AZ12" s="1"/>
  <c r="BB12" s="1"/>
  <c r="AS12"/>
  <c r="AU12" s="1"/>
  <c r="AL12"/>
  <c r="AN12" s="1"/>
  <c r="AP12" s="1"/>
  <c r="AE12"/>
  <c r="AG12" s="1"/>
  <c r="AI12" s="1"/>
  <c r="X12"/>
  <c r="U12"/>
  <c r="N12"/>
  <c r="O12" s="1"/>
  <c r="I12"/>
  <c r="K12" s="1"/>
  <c r="BL11"/>
  <c r="BM11" s="1"/>
  <c r="BE11"/>
  <c r="BG11" s="1"/>
  <c r="BI11" s="1"/>
  <c r="AX11"/>
  <c r="AZ11" s="1"/>
  <c r="BB11" s="1"/>
  <c r="AS11"/>
  <c r="AU11" s="1"/>
  <c r="AL11"/>
  <c r="AN11" s="1"/>
  <c r="AP11" s="1"/>
  <c r="AE11"/>
  <c r="AG11" s="1"/>
  <c r="AI11" s="1"/>
  <c r="X11"/>
  <c r="U11"/>
  <c r="N11"/>
  <c r="O11" s="1"/>
  <c r="I11"/>
  <c r="K11" s="1"/>
  <c r="BL10"/>
  <c r="BM10" s="1"/>
  <c r="BE10"/>
  <c r="BG10" s="1"/>
  <c r="BI10" s="1"/>
  <c r="AX10"/>
  <c r="AZ10" s="1"/>
  <c r="BB10" s="1"/>
  <c r="AS10"/>
  <c r="AU10" s="1"/>
  <c r="AL10"/>
  <c r="AN10" s="1"/>
  <c r="AP10" s="1"/>
  <c r="AE10"/>
  <c r="AG10" s="1"/>
  <c r="AI10" s="1"/>
  <c r="X10"/>
  <c r="U10"/>
  <c r="N10"/>
  <c r="O10" s="1"/>
  <c r="I10"/>
  <c r="K10" s="1"/>
  <c r="BL9"/>
  <c r="BE9"/>
  <c r="BG9" s="1"/>
  <c r="AX9"/>
  <c r="AZ9" s="1"/>
  <c r="AS9"/>
  <c r="AL9"/>
  <c r="AN9" s="1"/>
  <c r="AE9"/>
  <c r="AG9" s="1"/>
  <c r="X9"/>
  <c r="U9"/>
  <c r="N9"/>
  <c r="O9" s="1"/>
  <c r="I9"/>
  <c r="K9" s="1"/>
  <c r="BM10" i="1"/>
  <c r="BM11"/>
  <c r="BM12"/>
  <c r="BM13"/>
  <c r="BM14"/>
  <c r="BM15"/>
  <c r="BM16"/>
  <c r="BM17"/>
  <c r="BM19"/>
  <c r="BM20"/>
  <c r="BM22"/>
  <c r="BM23"/>
  <c r="BM24"/>
  <c r="BM25"/>
  <c r="BM26"/>
  <c r="BM27"/>
  <c r="BM28"/>
  <c r="BM29"/>
  <c r="BM30"/>
  <c r="BM31"/>
  <c r="BM32"/>
  <c r="BM33"/>
  <c r="BM34"/>
  <c r="BM35"/>
  <c r="BM36"/>
  <c r="BM37"/>
  <c r="BM38"/>
  <c r="BM39"/>
  <c r="BM40"/>
  <c r="BM41"/>
  <c r="BM42"/>
  <c r="BM43"/>
  <c r="BM45"/>
  <c r="BM46"/>
  <c r="BM47"/>
  <c r="BM48"/>
  <c r="BM49"/>
  <c r="BM50"/>
  <c r="BM51"/>
  <c r="BM52"/>
  <c r="BM53"/>
  <c r="BM54"/>
  <c r="BM55"/>
  <c r="BM56"/>
  <c r="BM57"/>
  <c r="BM58"/>
  <c r="BM59"/>
  <c r="BM60"/>
  <c r="BM61"/>
  <c r="BM62"/>
  <c r="BM63"/>
  <c r="BM64"/>
  <c r="BM65"/>
  <c r="BM66"/>
  <c r="BM67"/>
  <c r="BM68"/>
  <c r="BM69"/>
  <c r="BM70"/>
  <c r="BM71"/>
  <c r="BM72"/>
  <c r="BM73"/>
  <c r="BM74"/>
  <c r="BM75"/>
  <c r="BM76"/>
  <c r="BM77"/>
  <c r="BM78"/>
  <c r="BM79"/>
  <c r="BM80"/>
  <c r="BM81"/>
  <c r="BM82"/>
  <c r="BM83"/>
  <c r="BM84"/>
  <c r="BM85"/>
  <c r="BM86"/>
  <c r="BM87"/>
  <c r="BM88"/>
  <c r="BM89"/>
  <c r="BM90"/>
  <c r="BM91"/>
  <c r="BM92"/>
  <c r="BM93"/>
  <c r="BM94"/>
  <c r="BM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U54" s="1"/>
  <c r="AS55"/>
  <c r="AU55" s="1"/>
  <c r="AS56"/>
  <c r="AS57"/>
  <c r="AS58"/>
  <c r="AU58" s="1"/>
  <c r="AS59"/>
  <c r="AS60"/>
  <c r="AS61"/>
  <c r="AS62"/>
  <c r="AS63"/>
  <c r="AS64"/>
  <c r="AS65"/>
  <c r="AS66"/>
  <c r="AU66" s="1"/>
  <c r="AS67"/>
  <c r="AS68"/>
  <c r="AS69"/>
  <c r="AS70"/>
  <c r="AU70" s="1"/>
  <c r="AS71"/>
  <c r="AS72"/>
  <c r="AU72" s="1"/>
  <c r="AS73"/>
  <c r="AS74"/>
  <c r="AS75"/>
  <c r="AS76"/>
  <c r="AS77"/>
  <c r="AS78"/>
  <c r="AS79"/>
  <c r="AS80"/>
  <c r="AU80" s="1"/>
  <c r="AS81"/>
  <c r="AS82"/>
  <c r="AU82" s="1"/>
  <c r="AS83"/>
  <c r="AS84"/>
  <c r="AU84" s="1"/>
  <c r="AS85"/>
  <c r="AU85" s="1"/>
  <c r="AS86"/>
  <c r="AU86" s="1"/>
  <c r="AS87"/>
  <c r="AU87" s="1"/>
  <c r="AS88"/>
  <c r="AS89"/>
  <c r="AS90"/>
  <c r="AU90" s="1"/>
  <c r="AS91"/>
  <c r="AU91" s="1"/>
  <c r="AS92"/>
  <c r="AS93"/>
  <c r="AS94"/>
  <c r="AU94" s="1"/>
  <c r="AS9"/>
  <c r="O82"/>
  <c r="BL94"/>
  <c r="BG94"/>
  <c r="BI94" s="1"/>
  <c r="BE94"/>
  <c r="AZ94"/>
  <c r="BB94" s="1"/>
  <c r="AX94"/>
  <c r="AL94"/>
  <c r="AN94" s="1"/>
  <c r="AP94" s="1"/>
  <c r="AE94"/>
  <c r="AG94" s="1"/>
  <c r="AI94" s="1"/>
  <c r="X94"/>
  <c r="U94"/>
  <c r="N94"/>
  <c r="O94" s="1"/>
  <c r="I94"/>
  <c r="K94" s="1"/>
  <c r="BL93"/>
  <c r="BE93"/>
  <c r="BG93" s="1"/>
  <c r="BI93" s="1"/>
  <c r="AX93"/>
  <c r="AZ93" s="1"/>
  <c r="BB93" s="1"/>
  <c r="AU93"/>
  <c r="AL93"/>
  <c r="AN93" s="1"/>
  <c r="AP93" s="1"/>
  <c r="AE93"/>
  <c r="AG93" s="1"/>
  <c r="AI93" s="1"/>
  <c r="X93"/>
  <c r="Y93" s="1"/>
  <c r="Z93" s="1"/>
  <c r="AB93" s="1"/>
  <c r="U93"/>
  <c r="N93"/>
  <c r="O93" s="1"/>
  <c r="K93"/>
  <c r="I93"/>
  <c r="BL92"/>
  <c r="BE92"/>
  <c r="BG92" s="1"/>
  <c r="BI92" s="1"/>
  <c r="AX92"/>
  <c r="AZ92" s="1"/>
  <c r="BB92" s="1"/>
  <c r="AU92"/>
  <c r="AL92"/>
  <c r="AN92" s="1"/>
  <c r="AP92" s="1"/>
  <c r="AE92"/>
  <c r="AG92" s="1"/>
  <c r="AI92" s="1"/>
  <c r="X92"/>
  <c r="U92"/>
  <c r="Y92" s="1"/>
  <c r="Z92" s="1"/>
  <c r="AB92" s="1"/>
  <c r="N92"/>
  <c r="O92" s="1"/>
  <c r="I92"/>
  <c r="K92" s="1"/>
  <c r="BL91"/>
  <c r="BE91"/>
  <c r="BG91" s="1"/>
  <c r="BI91" s="1"/>
  <c r="AX91"/>
  <c r="AZ91" s="1"/>
  <c r="BB91" s="1"/>
  <c r="AL91"/>
  <c r="AN91" s="1"/>
  <c r="AP91" s="1"/>
  <c r="AE91"/>
  <c r="AG91" s="1"/>
  <c r="AI91" s="1"/>
  <c r="X91"/>
  <c r="U91"/>
  <c r="N91"/>
  <c r="O91" s="1"/>
  <c r="I91"/>
  <c r="K91" s="1"/>
  <c r="BL90"/>
  <c r="BE90"/>
  <c r="BG90" s="1"/>
  <c r="BI90" s="1"/>
  <c r="AX90"/>
  <c r="AZ90" s="1"/>
  <c r="BB90" s="1"/>
  <c r="AL90"/>
  <c r="AN90" s="1"/>
  <c r="AP90" s="1"/>
  <c r="AE90"/>
  <c r="AG90" s="1"/>
  <c r="AI90" s="1"/>
  <c r="X90"/>
  <c r="U90"/>
  <c r="Y90" s="1"/>
  <c r="Z90" s="1"/>
  <c r="AB90" s="1"/>
  <c r="N90"/>
  <c r="O90" s="1"/>
  <c r="K90"/>
  <c r="I90"/>
  <c r="BL89"/>
  <c r="BE89"/>
  <c r="BG89" s="1"/>
  <c r="BI89" s="1"/>
  <c r="BP89" s="1"/>
  <c r="AX89"/>
  <c r="AZ89" s="1"/>
  <c r="BB89" s="1"/>
  <c r="AU89"/>
  <c r="AL89"/>
  <c r="AN89" s="1"/>
  <c r="AP89" s="1"/>
  <c r="AG89"/>
  <c r="AI89" s="1"/>
  <c r="AE89"/>
  <c r="X89"/>
  <c r="U89"/>
  <c r="N89"/>
  <c r="O89" s="1"/>
  <c r="I89"/>
  <c r="K89" s="1"/>
  <c r="BL88"/>
  <c r="BO88" s="1"/>
  <c r="BE88"/>
  <c r="BG88" s="1"/>
  <c r="BI88" s="1"/>
  <c r="AX88"/>
  <c r="AZ88" s="1"/>
  <c r="BB88" s="1"/>
  <c r="AU88"/>
  <c r="AL88"/>
  <c r="AN88" s="1"/>
  <c r="AP88" s="1"/>
  <c r="AE88"/>
  <c r="AG88" s="1"/>
  <c r="AI88" s="1"/>
  <c r="X88"/>
  <c r="U88"/>
  <c r="N88"/>
  <c r="O88" s="1"/>
  <c r="I88"/>
  <c r="K88" s="1"/>
  <c r="BL87"/>
  <c r="BE87"/>
  <c r="BG87" s="1"/>
  <c r="BI87" s="1"/>
  <c r="AX87"/>
  <c r="AZ87" s="1"/>
  <c r="BB87" s="1"/>
  <c r="AL87"/>
  <c r="AN87" s="1"/>
  <c r="AP87" s="1"/>
  <c r="AE87"/>
  <c r="AG87" s="1"/>
  <c r="AI87" s="1"/>
  <c r="BP87" s="1"/>
  <c r="X87"/>
  <c r="U87"/>
  <c r="N87"/>
  <c r="O87" s="1"/>
  <c r="K87"/>
  <c r="I87"/>
  <c r="BL86"/>
  <c r="BE86"/>
  <c r="BG86" s="1"/>
  <c r="BI86" s="1"/>
  <c r="AX86"/>
  <c r="AZ86" s="1"/>
  <c r="BB86" s="1"/>
  <c r="AL86"/>
  <c r="AN86" s="1"/>
  <c r="AP86" s="1"/>
  <c r="AE86"/>
  <c r="AG86" s="1"/>
  <c r="AI86" s="1"/>
  <c r="X86"/>
  <c r="U86"/>
  <c r="N86"/>
  <c r="O86" s="1"/>
  <c r="I86"/>
  <c r="K86" s="1"/>
  <c r="BL85"/>
  <c r="BE85"/>
  <c r="BG85" s="1"/>
  <c r="BI85" s="1"/>
  <c r="AZ85"/>
  <c r="BB85" s="1"/>
  <c r="AX85"/>
  <c r="AL85"/>
  <c r="AN85" s="1"/>
  <c r="AP85" s="1"/>
  <c r="AE85"/>
  <c r="AG85" s="1"/>
  <c r="AI85" s="1"/>
  <c r="X85"/>
  <c r="U85"/>
  <c r="N85"/>
  <c r="O85" s="1"/>
  <c r="I85"/>
  <c r="K85" s="1"/>
  <c r="BL84"/>
  <c r="BO84" s="1"/>
  <c r="BE84"/>
  <c r="BG84" s="1"/>
  <c r="BI84" s="1"/>
  <c r="AX84"/>
  <c r="AZ84" s="1"/>
  <c r="BB84" s="1"/>
  <c r="AL84"/>
  <c r="AN84" s="1"/>
  <c r="AP84" s="1"/>
  <c r="AE84"/>
  <c r="AG84" s="1"/>
  <c r="AI84" s="1"/>
  <c r="X84"/>
  <c r="U84"/>
  <c r="N84"/>
  <c r="O84" s="1"/>
  <c r="I84"/>
  <c r="K84" s="1"/>
  <c r="BL83"/>
  <c r="BE83"/>
  <c r="BG83" s="1"/>
  <c r="BI83" s="1"/>
  <c r="AX83"/>
  <c r="AZ83" s="1"/>
  <c r="BB83" s="1"/>
  <c r="AU83"/>
  <c r="AL83"/>
  <c r="AN83" s="1"/>
  <c r="AP83" s="1"/>
  <c r="AE83"/>
  <c r="AG83" s="1"/>
  <c r="AI83" s="1"/>
  <c r="X83"/>
  <c r="U83"/>
  <c r="N83"/>
  <c r="O83" s="1"/>
  <c r="I83"/>
  <c r="K83" s="1"/>
  <c r="BL82"/>
  <c r="BE82"/>
  <c r="BG82" s="1"/>
  <c r="BI82" s="1"/>
  <c r="AX82"/>
  <c r="AZ82" s="1"/>
  <c r="BB82" s="1"/>
  <c r="AL82"/>
  <c r="AN82" s="1"/>
  <c r="AP82" s="1"/>
  <c r="AE82"/>
  <c r="AG82" s="1"/>
  <c r="AI82" s="1"/>
  <c r="X82"/>
  <c r="U82"/>
  <c r="N82"/>
  <c r="I82"/>
  <c r="K82" s="1"/>
  <c r="BL81"/>
  <c r="BE81"/>
  <c r="BG81" s="1"/>
  <c r="BI81" s="1"/>
  <c r="AX81"/>
  <c r="AZ81" s="1"/>
  <c r="BB81" s="1"/>
  <c r="AU81"/>
  <c r="AL81"/>
  <c r="AN81" s="1"/>
  <c r="AP81" s="1"/>
  <c r="AE81"/>
  <c r="AG81" s="1"/>
  <c r="AI81" s="1"/>
  <c r="X81"/>
  <c r="U81"/>
  <c r="N81"/>
  <c r="O81" s="1"/>
  <c r="I81"/>
  <c r="K81" s="1"/>
  <c r="BL80"/>
  <c r="BO80" s="1"/>
  <c r="BE80"/>
  <c r="BG80" s="1"/>
  <c r="BI80" s="1"/>
  <c r="AX80"/>
  <c r="AZ80" s="1"/>
  <c r="BB80" s="1"/>
  <c r="AL80"/>
  <c r="AN80" s="1"/>
  <c r="AP80" s="1"/>
  <c r="AE80"/>
  <c r="AG80" s="1"/>
  <c r="AI80" s="1"/>
  <c r="X80"/>
  <c r="U80"/>
  <c r="N80"/>
  <c r="O80" s="1"/>
  <c r="I80"/>
  <c r="K80" s="1"/>
  <c r="BL79"/>
  <c r="BE79"/>
  <c r="BG79" s="1"/>
  <c r="BI79" s="1"/>
  <c r="AX79"/>
  <c r="AZ79" s="1"/>
  <c r="BB79" s="1"/>
  <c r="AU79"/>
  <c r="AL79"/>
  <c r="AN79" s="1"/>
  <c r="AP79" s="1"/>
  <c r="AE79"/>
  <c r="AG79" s="1"/>
  <c r="AI79" s="1"/>
  <c r="X79"/>
  <c r="U79"/>
  <c r="N79"/>
  <c r="O79" s="1"/>
  <c r="I79"/>
  <c r="K79" s="1"/>
  <c r="BL78"/>
  <c r="BG78"/>
  <c r="BI78" s="1"/>
  <c r="BE78"/>
  <c r="AX78"/>
  <c r="AZ78" s="1"/>
  <c r="BB78" s="1"/>
  <c r="AU78"/>
  <c r="AP78"/>
  <c r="AN78"/>
  <c r="AL78"/>
  <c r="AE78"/>
  <c r="AG78" s="1"/>
  <c r="AI78" s="1"/>
  <c r="X78"/>
  <c r="U78"/>
  <c r="N78"/>
  <c r="O78" s="1"/>
  <c r="I78"/>
  <c r="K78" s="1"/>
  <c r="BL77"/>
  <c r="BE77"/>
  <c r="BG77" s="1"/>
  <c r="BI77" s="1"/>
  <c r="AX77"/>
  <c r="AZ77" s="1"/>
  <c r="BB77" s="1"/>
  <c r="AU77"/>
  <c r="AL77"/>
  <c r="AN77" s="1"/>
  <c r="AP77" s="1"/>
  <c r="AE77"/>
  <c r="AG77" s="1"/>
  <c r="AI77" s="1"/>
  <c r="X77"/>
  <c r="U77"/>
  <c r="Y77" s="1"/>
  <c r="Z77" s="1"/>
  <c r="AB77" s="1"/>
  <c r="N77"/>
  <c r="O77" s="1"/>
  <c r="I77"/>
  <c r="K77" s="1"/>
  <c r="BL76"/>
  <c r="BE76"/>
  <c r="BG76" s="1"/>
  <c r="BI76" s="1"/>
  <c r="AX76"/>
  <c r="AZ76" s="1"/>
  <c r="BB76" s="1"/>
  <c r="AU76"/>
  <c r="AL76"/>
  <c r="AN76" s="1"/>
  <c r="AP76" s="1"/>
  <c r="AE76"/>
  <c r="AG76" s="1"/>
  <c r="AI76" s="1"/>
  <c r="X76"/>
  <c r="U76"/>
  <c r="N76"/>
  <c r="O76" s="1"/>
  <c r="I76"/>
  <c r="K76" s="1"/>
  <c r="BL75"/>
  <c r="BE75"/>
  <c r="BG75" s="1"/>
  <c r="BI75" s="1"/>
  <c r="AX75"/>
  <c r="AZ75" s="1"/>
  <c r="BB75" s="1"/>
  <c r="AU75"/>
  <c r="AL75"/>
  <c r="AN75" s="1"/>
  <c r="AP75" s="1"/>
  <c r="AE75"/>
  <c r="AG75" s="1"/>
  <c r="AI75" s="1"/>
  <c r="X75"/>
  <c r="U75"/>
  <c r="N75"/>
  <c r="O75" s="1"/>
  <c r="I75"/>
  <c r="K75" s="1"/>
  <c r="BL74"/>
  <c r="BE74"/>
  <c r="BG74" s="1"/>
  <c r="BI74" s="1"/>
  <c r="AX74"/>
  <c r="AZ74" s="1"/>
  <c r="BB74" s="1"/>
  <c r="AU74"/>
  <c r="AN74"/>
  <c r="AP74" s="1"/>
  <c r="AL74"/>
  <c r="AE74"/>
  <c r="AG74" s="1"/>
  <c r="AI74" s="1"/>
  <c r="X74"/>
  <c r="U74"/>
  <c r="Y74" s="1"/>
  <c r="Z74" s="1"/>
  <c r="AB74" s="1"/>
  <c r="N74"/>
  <c r="O74" s="1"/>
  <c r="I74"/>
  <c r="K74" s="1"/>
  <c r="BL73"/>
  <c r="BE73"/>
  <c r="BG73" s="1"/>
  <c r="BI73" s="1"/>
  <c r="AZ73"/>
  <c r="BB73" s="1"/>
  <c r="AX73"/>
  <c r="AU73"/>
  <c r="AL73"/>
  <c r="AN73" s="1"/>
  <c r="AP73" s="1"/>
  <c r="AE73"/>
  <c r="AG73" s="1"/>
  <c r="AI73" s="1"/>
  <c r="BP73" s="1"/>
  <c r="X73"/>
  <c r="U73"/>
  <c r="N73"/>
  <c r="O73" s="1"/>
  <c r="I73"/>
  <c r="K73" s="1"/>
  <c r="BL72"/>
  <c r="BO72" s="1"/>
  <c r="BE72"/>
  <c r="BG72" s="1"/>
  <c r="BI72" s="1"/>
  <c r="AX72"/>
  <c r="AZ72" s="1"/>
  <c r="BB72" s="1"/>
  <c r="AL72"/>
  <c r="AN72" s="1"/>
  <c r="AP72" s="1"/>
  <c r="AE72"/>
  <c r="AG72" s="1"/>
  <c r="AI72" s="1"/>
  <c r="BP72" s="1"/>
  <c r="X72"/>
  <c r="U72"/>
  <c r="N72"/>
  <c r="O72" s="1"/>
  <c r="I72"/>
  <c r="K72" s="1"/>
  <c r="BL71"/>
  <c r="BE71"/>
  <c r="BG71" s="1"/>
  <c r="BI71" s="1"/>
  <c r="AX71"/>
  <c r="AZ71" s="1"/>
  <c r="BB71" s="1"/>
  <c r="AU71"/>
  <c r="AL71"/>
  <c r="AN71" s="1"/>
  <c r="AP71" s="1"/>
  <c r="AE71"/>
  <c r="AG71" s="1"/>
  <c r="AI71" s="1"/>
  <c r="X71"/>
  <c r="U71"/>
  <c r="Y71" s="1"/>
  <c r="Z71" s="1"/>
  <c r="AB71" s="1"/>
  <c r="N71"/>
  <c r="O71" s="1"/>
  <c r="I71"/>
  <c r="K71" s="1"/>
  <c r="BL70"/>
  <c r="BE70"/>
  <c r="BG70" s="1"/>
  <c r="BI70" s="1"/>
  <c r="AX70"/>
  <c r="AZ70" s="1"/>
  <c r="BB70" s="1"/>
  <c r="AL70"/>
  <c r="AN70" s="1"/>
  <c r="AP70" s="1"/>
  <c r="AE70"/>
  <c r="AG70" s="1"/>
  <c r="AI70" s="1"/>
  <c r="X70"/>
  <c r="U70"/>
  <c r="N70"/>
  <c r="O70" s="1"/>
  <c r="K70"/>
  <c r="I70"/>
  <c r="BL69"/>
  <c r="BE69"/>
  <c r="BG69" s="1"/>
  <c r="BI69" s="1"/>
  <c r="AX69"/>
  <c r="AZ69" s="1"/>
  <c r="BB69" s="1"/>
  <c r="AU69"/>
  <c r="AL69"/>
  <c r="AN69" s="1"/>
  <c r="AP69" s="1"/>
  <c r="AE69"/>
  <c r="AG69" s="1"/>
  <c r="AI69" s="1"/>
  <c r="X69"/>
  <c r="U69"/>
  <c r="N69"/>
  <c r="O69" s="1"/>
  <c r="I69"/>
  <c r="K69" s="1"/>
  <c r="BL68"/>
  <c r="BO68" s="1"/>
  <c r="BE68"/>
  <c r="BG68" s="1"/>
  <c r="BI68" s="1"/>
  <c r="AX68"/>
  <c r="AZ68" s="1"/>
  <c r="BB68" s="1"/>
  <c r="AU68"/>
  <c r="AL68"/>
  <c r="AN68" s="1"/>
  <c r="AP68" s="1"/>
  <c r="AE68"/>
  <c r="AG68" s="1"/>
  <c r="AI68" s="1"/>
  <c r="X68"/>
  <c r="U68"/>
  <c r="N68"/>
  <c r="O68" s="1"/>
  <c r="I68"/>
  <c r="K68" s="1"/>
  <c r="BL67"/>
  <c r="BE67"/>
  <c r="BG67" s="1"/>
  <c r="BI67" s="1"/>
  <c r="AX67"/>
  <c r="AZ67" s="1"/>
  <c r="BB67" s="1"/>
  <c r="AU67"/>
  <c r="AL67"/>
  <c r="AN67" s="1"/>
  <c r="AP67" s="1"/>
  <c r="AE67"/>
  <c r="AG67" s="1"/>
  <c r="AI67" s="1"/>
  <c r="X67"/>
  <c r="U67"/>
  <c r="N67"/>
  <c r="O67" s="1"/>
  <c r="I67"/>
  <c r="K67" s="1"/>
  <c r="BL66"/>
  <c r="BO66" s="1"/>
  <c r="BE66"/>
  <c r="BG66" s="1"/>
  <c r="BI66" s="1"/>
  <c r="AX66"/>
  <c r="AZ66" s="1"/>
  <c r="BB66" s="1"/>
  <c r="AL66"/>
  <c r="AN66" s="1"/>
  <c r="AP66" s="1"/>
  <c r="AE66"/>
  <c r="AG66" s="1"/>
  <c r="AI66" s="1"/>
  <c r="X66"/>
  <c r="U66"/>
  <c r="N66"/>
  <c r="O66" s="1"/>
  <c r="I66"/>
  <c r="K66" s="1"/>
  <c r="BL65"/>
  <c r="BE65"/>
  <c r="BG65" s="1"/>
  <c r="BI65" s="1"/>
  <c r="AX65"/>
  <c r="AZ65" s="1"/>
  <c r="BB65" s="1"/>
  <c r="AU65"/>
  <c r="AL65"/>
  <c r="AN65" s="1"/>
  <c r="AP65" s="1"/>
  <c r="AG65"/>
  <c r="AI65" s="1"/>
  <c r="AE65"/>
  <c r="X65"/>
  <c r="U65"/>
  <c r="N65"/>
  <c r="O65" s="1"/>
  <c r="I65"/>
  <c r="K65" s="1"/>
  <c r="BL64"/>
  <c r="BE64"/>
  <c r="BG64" s="1"/>
  <c r="BI64" s="1"/>
  <c r="AX64"/>
  <c r="AZ64" s="1"/>
  <c r="BB64" s="1"/>
  <c r="AU64"/>
  <c r="AL64"/>
  <c r="AN64" s="1"/>
  <c r="AP64" s="1"/>
  <c r="AE64"/>
  <c r="AG64" s="1"/>
  <c r="AI64" s="1"/>
  <c r="X64"/>
  <c r="U64"/>
  <c r="N64"/>
  <c r="O64" s="1"/>
  <c r="I64"/>
  <c r="K64" s="1"/>
  <c r="BL63"/>
  <c r="BE63"/>
  <c r="BG63" s="1"/>
  <c r="BI63" s="1"/>
  <c r="AX63"/>
  <c r="AZ63" s="1"/>
  <c r="BB63" s="1"/>
  <c r="AU63"/>
  <c r="AL63"/>
  <c r="AN63" s="1"/>
  <c r="AP63" s="1"/>
  <c r="AE63"/>
  <c r="AG63" s="1"/>
  <c r="AI63" s="1"/>
  <c r="BP63" s="1"/>
  <c r="X63"/>
  <c r="U63"/>
  <c r="N63"/>
  <c r="O63" s="1"/>
  <c r="I63"/>
  <c r="K63" s="1"/>
  <c r="BL62"/>
  <c r="BO62" s="1"/>
  <c r="BE62"/>
  <c r="BG62" s="1"/>
  <c r="BI62" s="1"/>
  <c r="AX62"/>
  <c r="AZ62" s="1"/>
  <c r="BB62" s="1"/>
  <c r="AU62"/>
  <c r="AL62"/>
  <c r="AN62" s="1"/>
  <c r="AP62" s="1"/>
  <c r="AE62"/>
  <c r="AG62" s="1"/>
  <c r="AI62" s="1"/>
  <c r="BP62" s="1"/>
  <c r="X62"/>
  <c r="U62"/>
  <c r="Y62" s="1"/>
  <c r="Z62" s="1"/>
  <c r="AB62" s="1"/>
  <c r="N62"/>
  <c r="O62" s="1"/>
  <c r="I62"/>
  <c r="K62" s="1"/>
  <c r="BL61"/>
  <c r="BE61"/>
  <c r="BG61" s="1"/>
  <c r="BI61" s="1"/>
  <c r="AX61"/>
  <c r="AZ61" s="1"/>
  <c r="BB61" s="1"/>
  <c r="AU61"/>
  <c r="AL61"/>
  <c r="AN61" s="1"/>
  <c r="AP61" s="1"/>
  <c r="AE61"/>
  <c r="AG61" s="1"/>
  <c r="AI61" s="1"/>
  <c r="X61"/>
  <c r="U61"/>
  <c r="N61"/>
  <c r="O61" s="1"/>
  <c r="I61"/>
  <c r="K61" s="1"/>
  <c r="BL60"/>
  <c r="BO60" s="1"/>
  <c r="BE60"/>
  <c r="BG60" s="1"/>
  <c r="BI60" s="1"/>
  <c r="AX60"/>
  <c r="AZ60" s="1"/>
  <c r="BB60" s="1"/>
  <c r="AU60"/>
  <c r="AL60"/>
  <c r="AN60" s="1"/>
  <c r="AP60" s="1"/>
  <c r="AE60"/>
  <c r="AG60" s="1"/>
  <c r="AI60" s="1"/>
  <c r="BP60" s="1"/>
  <c r="X60"/>
  <c r="U60"/>
  <c r="N60"/>
  <c r="O60" s="1"/>
  <c r="I60"/>
  <c r="K60" s="1"/>
  <c r="BL59"/>
  <c r="BE59"/>
  <c r="BG59" s="1"/>
  <c r="BI59" s="1"/>
  <c r="AX59"/>
  <c r="AZ59" s="1"/>
  <c r="BB59" s="1"/>
  <c r="AU59"/>
  <c r="AL59"/>
  <c r="AN59" s="1"/>
  <c r="AP59" s="1"/>
  <c r="AE59"/>
  <c r="AG59" s="1"/>
  <c r="AI59" s="1"/>
  <c r="BP59" s="1"/>
  <c r="X59"/>
  <c r="U59"/>
  <c r="Y59" s="1"/>
  <c r="Z59" s="1"/>
  <c r="AB59" s="1"/>
  <c r="N59"/>
  <c r="O59" s="1"/>
  <c r="I59"/>
  <c r="K59" s="1"/>
  <c r="BL58"/>
  <c r="BO58" s="1"/>
  <c r="BE58"/>
  <c r="BG58" s="1"/>
  <c r="BI58" s="1"/>
  <c r="AX58"/>
  <c r="AZ58" s="1"/>
  <c r="BB58" s="1"/>
  <c r="AL58"/>
  <c r="AN58" s="1"/>
  <c r="AP58" s="1"/>
  <c r="AE58"/>
  <c r="AG58" s="1"/>
  <c r="AI58" s="1"/>
  <c r="X58"/>
  <c r="U58"/>
  <c r="N58"/>
  <c r="O58" s="1"/>
  <c r="I58"/>
  <c r="K58" s="1"/>
  <c r="BL57"/>
  <c r="BE57"/>
  <c r="BG57" s="1"/>
  <c r="BI57" s="1"/>
  <c r="AX57"/>
  <c r="AZ57" s="1"/>
  <c r="BB57" s="1"/>
  <c r="AU57"/>
  <c r="AL57"/>
  <c r="AN57" s="1"/>
  <c r="AP57" s="1"/>
  <c r="AE57"/>
  <c r="AG57" s="1"/>
  <c r="AI57" s="1"/>
  <c r="X57"/>
  <c r="U57"/>
  <c r="N57"/>
  <c r="O57" s="1"/>
  <c r="I57"/>
  <c r="K57" s="1"/>
  <c r="P57" s="1"/>
  <c r="BL56"/>
  <c r="BO56" s="1"/>
  <c r="BE56"/>
  <c r="BG56" s="1"/>
  <c r="BI56" s="1"/>
  <c r="AZ56"/>
  <c r="BB56" s="1"/>
  <c r="AX56"/>
  <c r="AU56"/>
  <c r="AL56"/>
  <c r="AN56" s="1"/>
  <c r="AP56" s="1"/>
  <c r="AE56"/>
  <c r="AG56" s="1"/>
  <c r="AI56" s="1"/>
  <c r="X56"/>
  <c r="U56"/>
  <c r="N56"/>
  <c r="O56" s="1"/>
  <c r="I56"/>
  <c r="K56" s="1"/>
  <c r="BL55"/>
  <c r="BE55"/>
  <c r="BG55" s="1"/>
  <c r="BI55" s="1"/>
  <c r="AX55"/>
  <c r="AZ55" s="1"/>
  <c r="BB55" s="1"/>
  <c r="AL55"/>
  <c r="AN55" s="1"/>
  <c r="AP55" s="1"/>
  <c r="AG55"/>
  <c r="AI55" s="1"/>
  <c r="AE55"/>
  <c r="X55"/>
  <c r="U55"/>
  <c r="N55"/>
  <c r="O55" s="1"/>
  <c r="I55"/>
  <c r="K55" s="1"/>
  <c r="BL54"/>
  <c r="BO54" s="1"/>
  <c r="BE54"/>
  <c r="BG54" s="1"/>
  <c r="BI54" s="1"/>
  <c r="AZ54"/>
  <c r="BB54" s="1"/>
  <c r="AX54"/>
  <c r="AN54"/>
  <c r="AP54" s="1"/>
  <c r="AL54"/>
  <c r="AE54"/>
  <c r="AG54" s="1"/>
  <c r="AI54" s="1"/>
  <c r="X54"/>
  <c r="U54"/>
  <c r="Y54" s="1"/>
  <c r="Z54" s="1"/>
  <c r="AB54" s="1"/>
  <c r="N54"/>
  <c r="O54" s="1"/>
  <c r="I54"/>
  <c r="K54" s="1"/>
  <c r="BL53"/>
  <c r="BG53"/>
  <c r="BI53" s="1"/>
  <c r="BE53"/>
  <c r="AX53"/>
  <c r="AZ53" s="1"/>
  <c r="BB53" s="1"/>
  <c r="AU53"/>
  <c r="AL53"/>
  <c r="AN53" s="1"/>
  <c r="AP53" s="1"/>
  <c r="AG53"/>
  <c r="AI53" s="1"/>
  <c r="AE53"/>
  <c r="X53"/>
  <c r="U53"/>
  <c r="N53"/>
  <c r="O53" s="1"/>
  <c r="I53"/>
  <c r="K53" s="1"/>
  <c r="BL52"/>
  <c r="BO52" s="1"/>
  <c r="BE52"/>
  <c r="BG52" s="1"/>
  <c r="BI52" s="1"/>
  <c r="AX52"/>
  <c r="AZ52" s="1"/>
  <c r="BB52" s="1"/>
  <c r="AU52"/>
  <c r="AL52"/>
  <c r="AN52" s="1"/>
  <c r="AP52" s="1"/>
  <c r="AE52"/>
  <c r="AG52" s="1"/>
  <c r="X52"/>
  <c r="U52"/>
  <c r="N52"/>
  <c r="O52" s="1"/>
  <c r="I52"/>
  <c r="K52" s="1"/>
  <c r="BL51"/>
  <c r="BE51"/>
  <c r="BG51" s="1"/>
  <c r="AX51"/>
  <c r="AZ51" s="1"/>
  <c r="AU51"/>
  <c r="AL51"/>
  <c r="AN51" s="1"/>
  <c r="AP51" s="1"/>
  <c r="AE51"/>
  <c r="AG51" s="1"/>
  <c r="AI51" s="1"/>
  <c r="X51"/>
  <c r="U51"/>
  <c r="N51"/>
  <c r="O51" s="1"/>
  <c r="I51"/>
  <c r="K51" s="1"/>
  <c r="BP90" l="1"/>
  <c r="U26" i="5"/>
  <c r="BO89" i="3"/>
  <c r="Y91"/>
  <c r="Z91" s="1"/>
  <c r="AB91" s="1"/>
  <c r="Y83"/>
  <c r="Z83" s="1"/>
  <c r="AB83" s="1"/>
  <c r="Y80"/>
  <c r="Z80" s="1"/>
  <c r="AB80" s="1"/>
  <c r="Y79"/>
  <c r="Z79" s="1"/>
  <c r="AB79" s="1"/>
  <c r="Y76"/>
  <c r="Z76" s="1"/>
  <c r="AB76" s="1"/>
  <c r="Y62"/>
  <c r="Z62" s="1"/>
  <c r="AB62" s="1"/>
  <c r="Y60"/>
  <c r="Z60" s="1"/>
  <c r="AB60" s="1"/>
  <c r="Y56"/>
  <c r="Z56" s="1"/>
  <c r="AB56" s="1"/>
  <c r="Y55"/>
  <c r="Z55" s="1"/>
  <c r="AB55" s="1"/>
  <c r="Y47"/>
  <c r="Z47" s="1"/>
  <c r="AB47" s="1"/>
  <c r="Y46"/>
  <c r="Z46" s="1"/>
  <c r="AB46" s="1"/>
  <c r="Y38"/>
  <c r="Z38" s="1"/>
  <c r="AB38" s="1"/>
  <c r="Y37"/>
  <c r="Z37" s="1"/>
  <c r="AB37" s="1"/>
  <c r="Y19"/>
  <c r="Z19" s="1"/>
  <c r="AB19" s="1"/>
  <c r="Y65"/>
  <c r="Z65" s="1"/>
  <c r="AB65" s="1"/>
  <c r="Y44"/>
  <c r="Z44" s="1"/>
  <c r="AB44" s="1"/>
  <c r="Y30"/>
  <c r="Z30" s="1"/>
  <c r="AB30" s="1"/>
  <c r="P47"/>
  <c r="R47" s="1"/>
  <c r="P39"/>
  <c r="R39" s="1"/>
  <c r="P13"/>
  <c r="BO81"/>
  <c r="BM30"/>
  <c r="BO30" s="1"/>
  <c r="BM85"/>
  <c r="BM89"/>
  <c r="S23" i="5"/>
  <c r="W25"/>
  <c r="Y25" i="3"/>
  <c r="Z25" s="1"/>
  <c r="AB25" s="1"/>
  <c r="Y39"/>
  <c r="Z39" s="1"/>
  <c r="AB39" s="1"/>
  <c r="Y88"/>
  <c r="Z88" s="1"/>
  <c r="AB88" s="1"/>
  <c r="Y67"/>
  <c r="Z67" s="1"/>
  <c r="AB67" s="1"/>
  <c r="Y86"/>
  <c r="Z86" s="1"/>
  <c r="AB86" s="1"/>
  <c r="Y26"/>
  <c r="Z26" s="1"/>
  <c r="AB26" s="1"/>
  <c r="Y34"/>
  <c r="Z34" s="1"/>
  <c r="AB34" s="1"/>
  <c r="Y40"/>
  <c r="Z40" s="1"/>
  <c r="AB40" s="1"/>
  <c r="Y13"/>
  <c r="Z13" s="1"/>
  <c r="AB13" s="1"/>
  <c r="Y49"/>
  <c r="Z49" s="1"/>
  <c r="AB49" s="1"/>
  <c r="Y14"/>
  <c r="Z14" s="1"/>
  <c r="AB14" s="1"/>
  <c r="Y21"/>
  <c r="Z21" s="1"/>
  <c r="AB21" s="1"/>
  <c r="Y51"/>
  <c r="Z51" s="1"/>
  <c r="AB51" s="1"/>
  <c r="Y28"/>
  <c r="Z28" s="1"/>
  <c r="AB28" s="1"/>
  <c r="Y52"/>
  <c r="Z52" s="1"/>
  <c r="AB52" s="1"/>
  <c r="Y61"/>
  <c r="Z61" s="1"/>
  <c r="AB61" s="1"/>
  <c r="Y22"/>
  <c r="Z22" s="1"/>
  <c r="AB22" s="1"/>
  <c r="Y16"/>
  <c r="Z16" s="1"/>
  <c r="AB16" s="1"/>
  <c r="Y29"/>
  <c r="Z29" s="1"/>
  <c r="AB29" s="1"/>
  <c r="Y31"/>
  <c r="Z31" s="1"/>
  <c r="AB31" s="1"/>
  <c r="Y93"/>
  <c r="Z93" s="1"/>
  <c r="Y17"/>
  <c r="Z17" s="1"/>
  <c r="AB17" s="1"/>
  <c r="Y24"/>
  <c r="Z24" s="1"/>
  <c r="AB24" s="1"/>
  <c r="Y32"/>
  <c r="Z32" s="1"/>
  <c r="AB32" s="1"/>
  <c r="Y92"/>
  <c r="Z92" s="1"/>
  <c r="AB92" s="1"/>
  <c r="Y87"/>
  <c r="Z87" s="1"/>
  <c r="AB87" s="1"/>
  <c r="Y75"/>
  <c r="Z75" s="1"/>
  <c r="AB75" s="1"/>
  <c r="Y84"/>
  <c r="Z84" s="1"/>
  <c r="AB84" s="1"/>
  <c r="Y23"/>
  <c r="Z23" s="1"/>
  <c r="AB23" s="1"/>
  <c r="Y64"/>
  <c r="Z64" s="1"/>
  <c r="AB64" s="1"/>
  <c r="Y57"/>
  <c r="Z57" s="1"/>
  <c r="AB57" s="1"/>
  <c r="Y59"/>
  <c r="Z59" s="1"/>
  <c r="AB59" s="1"/>
  <c r="P91"/>
  <c r="P51"/>
  <c r="R51" s="1"/>
  <c r="P52"/>
  <c r="R52" s="1"/>
  <c r="P14"/>
  <c r="R14" s="1"/>
  <c r="P21"/>
  <c r="P53"/>
  <c r="R53" s="1"/>
  <c r="P55"/>
  <c r="R55" s="1"/>
  <c r="P66"/>
  <c r="R66" s="1"/>
  <c r="P67"/>
  <c r="P22"/>
  <c r="R22" s="1"/>
  <c r="P82"/>
  <c r="R82" s="1"/>
  <c r="P56"/>
  <c r="R56" s="1"/>
  <c r="P58"/>
  <c r="R58" s="1"/>
  <c r="P76"/>
  <c r="P10"/>
  <c r="P38"/>
  <c r="R38" s="1"/>
  <c r="P69"/>
  <c r="R69" s="1"/>
  <c r="P70"/>
  <c r="R70" s="1"/>
  <c r="BP70" s="1"/>
  <c r="P83"/>
  <c r="P86"/>
  <c r="P72"/>
  <c r="R72" s="1"/>
  <c r="P93"/>
  <c r="R93" s="1"/>
  <c r="P81"/>
  <c r="R81" s="1"/>
  <c r="P85"/>
  <c r="R85" s="1"/>
  <c r="U17" i="5"/>
  <c r="V25"/>
  <c r="U25"/>
  <c r="W26"/>
  <c r="P89" i="3"/>
  <c r="R89" s="1"/>
  <c r="AP93"/>
  <c r="R22" i="5"/>
  <c r="AB93" i="3"/>
  <c r="P77"/>
  <c r="R77" s="1"/>
  <c r="Y15"/>
  <c r="Z15" s="1"/>
  <c r="AB15" s="1"/>
  <c r="Y50"/>
  <c r="Z50" s="1"/>
  <c r="AB50" s="1"/>
  <c r="BO72"/>
  <c r="BO80"/>
  <c r="R25" i="5"/>
  <c r="BO12" i="3"/>
  <c r="P65"/>
  <c r="R65" s="1"/>
  <c r="BO92"/>
  <c r="P24"/>
  <c r="Y33"/>
  <c r="Z33" s="1"/>
  <c r="AB33" s="1"/>
  <c r="Y41"/>
  <c r="Z41" s="1"/>
  <c r="AB41" s="1"/>
  <c r="Y42"/>
  <c r="Z42" s="1"/>
  <c r="AB42" s="1"/>
  <c r="Y94"/>
  <c r="Z94" s="1"/>
  <c r="AB94" s="1"/>
  <c r="R24" i="5"/>
  <c r="P50" i="3"/>
  <c r="R50" s="1"/>
  <c r="BO88"/>
  <c r="P94"/>
  <c r="R94" s="1"/>
  <c r="R23" i="5"/>
  <c r="Y9" i="3"/>
  <c r="Z9" s="1"/>
  <c r="AB9" s="1"/>
  <c r="Y10"/>
  <c r="Z10" s="1"/>
  <c r="AB10" s="1"/>
  <c r="BO14"/>
  <c r="P16"/>
  <c r="R16" s="1"/>
  <c r="BO23"/>
  <c r="P33"/>
  <c r="P41"/>
  <c r="R41" s="1"/>
  <c r="P42"/>
  <c r="Y43"/>
  <c r="Z43" s="1"/>
  <c r="AB43" s="1"/>
  <c r="Y78"/>
  <c r="Z78" s="1"/>
  <c r="AB78" s="1"/>
  <c r="BO84"/>
  <c r="Y18"/>
  <c r="Z18" s="1"/>
  <c r="AB18" s="1"/>
  <c r="T19" i="5" s="1"/>
  <c r="Y27" i="3"/>
  <c r="Z27" s="1"/>
  <c r="AB27" s="1"/>
  <c r="Y35"/>
  <c r="Z35" s="1"/>
  <c r="AB35" s="1"/>
  <c r="Y45"/>
  <c r="Z45" s="1"/>
  <c r="AB45" s="1"/>
  <c r="Y58"/>
  <c r="Z58" s="1"/>
  <c r="AB58" s="1"/>
  <c r="Y77"/>
  <c r="Z77" s="1"/>
  <c r="AB77" s="1"/>
  <c r="Y82"/>
  <c r="Z82" s="1"/>
  <c r="AB82" s="1"/>
  <c r="P88"/>
  <c r="BO91"/>
  <c r="BO94"/>
  <c r="R21" i="5"/>
  <c r="P9" i="3"/>
  <c r="Y11"/>
  <c r="Z11" s="1"/>
  <c r="AB11" s="1"/>
  <c r="Y36"/>
  <c r="Z36" s="1"/>
  <c r="AB36" s="1"/>
  <c r="P43"/>
  <c r="R43" s="1"/>
  <c r="P44"/>
  <c r="Y54"/>
  <c r="Z54" s="1"/>
  <c r="AB54" s="1"/>
  <c r="Y73"/>
  <c r="Z73" s="1"/>
  <c r="AB73" s="1"/>
  <c r="Y74"/>
  <c r="Z74" s="1"/>
  <c r="AB74" s="1"/>
  <c r="P79"/>
  <c r="Y81"/>
  <c r="Z81" s="1"/>
  <c r="AB81" s="1"/>
  <c r="Y90"/>
  <c r="Z90" s="1"/>
  <c r="AB90" s="1"/>
  <c r="P90"/>
  <c r="Y12"/>
  <c r="Z12" s="1"/>
  <c r="AB12" s="1"/>
  <c r="Y20"/>
  <c r="Z20" s="1"/>
  <c r="AB20" s="1"/>
  <c r="P30"/>
  <c r="P45"/>
  <c r="Y53"/>
  <c r="Z53" s="1"/>
  <c r="AB53" s="1"/>
  <c r="Y63"/>
  <c r="Z63" s="1"/>
  <c r="AB63" s="1"/>
  <c r="Y66"/>
  <c r="Z66" s="1"/>
  <c r="AB66" s="1"/>
  <c r="Y69"/>
  <c r="Z69" s="1"/>
  <c r="AB69" s="1"/>
  <c r="Y70"/>
  <c r="Z70" s="1"/>
  <c r="AB70" s="1"/>
  <c r="Y71"/>
  <c r="Z71" s="1"/>
  <c r="AB71" s="1"/>
  <c r="Y72"/>
  <c r="Z72" s="1"/>
  <c r="AB72" s="1"/>
  <c r="Y89"/>
  <c r="Z89" s="1"/>
  <c r="AB89" s="1"/>
  <c r="BO53"/>
  <c r="P57"/>
  <c r="P73"/>
  <c r="R73" s="1"/>
  <c r="BO90"/>
  <c r="P12"/>
  <c r="P20"/>
  <c r="R20" s="1"/>
  <c r="Y48"/>
  <c r="Z48" s="1"/>
  <c r="AB48" s="1"/>
  <c r="P60"/>
  <c r="R60" s="1"/>
  <c r="P61"/>
  <c r="R61" s="1"/>
  <c r="P62"/>
  <c r="Y68"/>
  <c r="Z68" s="1"/>
  <c r="AB68" s="1"/>
  <c r="BM76"/>
  <c r="BO76" s="1"/>
  <c r="Y85"/>
  <c r="Z85" s="1"/>
  <c r="AB85" s="1"/>
  <c r="P25"/>
  <c r="P40"/>
  <c r="P84"/>
  <c r="R79"/>
  <c r="P17"/>
  <c r="P26"/>
  <c r="P31"/>
  <c r="P32"/>
  <c r="P34"/>
  <c r="P78"/>
  <c r="P18"/>
  <c r="R17" i="5" s="1"/>
  <c r="P27" i="3"/>
  <c r="P35"/>
  <c r="P54"/>
  <c r="P59"/>
  <c r="P74"/>
  <c r="P75"/>
  <c r="P87"/>
  <c r="P11"/>
  <c r="P36"/>
  <c r="S25" i="5"/>
  <c r="BI9" i="3"/>
  <c r="P19"/>
  <c r="P28"/>
  <c r="P29"/>
  <c r="P37"/>
  <c r="P46"/>
  <c r="P63"/>
  <c r="P71"/>
  <c r="S24" i="5"/>
  <c r="BB9" i="3"/>
  <c r="BI51"/>
  <c r="BB51"/>
  <c r="P64"/>
  <c r="P68"/>
  <c r="S22" i="5"/>
  <c r="P48" i="3"/>
  <c r="P80"/>
  <c r="S21" i="5"/>
  <c r="AI9" i="3"/>
  <c r="P15"/>
  <c r="P23"/>
  <c r="P49"/>
  <c r="P92"/>
  <c r="BM9"/>
  <c r="BM52"/>
  <c r="BO52" s="1"/>
  <c r="BM56"/>
  <c r="BO56" s="1"/>
  <c r="BM60"/>
  <c r="BO60" s="1"/>
  <c r="BM64"/>
  <c r="BO64" s="1"/>
  <c r="BM68"/>
  <c r="BO68" s="1"/>
  <c r="AP9"/>
  <c r="BO10"/>
  <c r="BO18"/>
  <c r="T26" i="5" s="1"/>
  <c r="BO22" i="3"/>
  <c r="BO26"/>
  <c r="BO34"/>
  <c r="BO38"/>
  <c r="BO42"/>
  <c r="BO46"/>
  <c r="BO50"/>
  <c r="AI51"/>
  <c r="BO11"/>
  <c r="BO15"/>
  <c r="BO19"/>
  <c r="BO27"/>
  <c r="BO31"/>
  <c r="BO35"/>
  <c r="BO39"/>
  <c r="BO43"/>
  <c r="BO47"/>
  <c r="BO54"/>
  <c r="BO58"/>
  <c r="BO62"/>
  <c r="BO66"/>
  <c r="BO70"/>
  <c r="BO74"/>
  <c r="BO78"/>
  <c r="BO82"/>
  <c r="BO86"/>
  <c r="BO16"/>
  <c r="BO20"/>
  <c r="BO24"/>
  <c r="BO28"/>
  <c r="BO32"/>
  <c r="BO36"/>
  <c r="BO40"/>
  <c r="BO44"/>
  <c r="BO48"/>
  <c r="BO51"/>
  <c r="BO55"/>
  <c r="BO59"/>
  <c r="BO63"/>
  <c r="BO67"/>
  <c r="BO71"/>
  <c r="BO75"/>
  <c r="BO83"/>
  <c r="BO87"/>
  <c r="AU9"/>
  <c r="BO13"/>
  <c r="BO17"/>
  <c r="BO21"/>
  <c r="BO25"/>
  <c r="BO29"/>
  <c r="BO33"/>
  <c r="BO37"/>
  <c r="BO41"/>
  <c r="BO45"/>
  <c r="BO49"/>
  <c r="Y78" i="1"/>
  <c r="Z78" s="1"/>
  <c r="AB78" s="1"/>
  <c r="Y86"/>
  <c r="Z86" s="1"/>
  <c r="AB86" s="1"/>
  <c r="Y94"/>
  <c r="Z94" s="1"/>
  <c r="AB94" s="1"/>
  <c r="Y87"/>
  <c r="Z87" s="1"/>
  <c r="AB87" s="1"/>
  <c r="Y61"/>
  <c r="Z61" s="1"/>
  <c r="AB61" s="1"/>
  <c r="Y81"/>
  <c r="Z81" s="1"/>
  <c r="AB81" s="1"/>
  <c r="Y64"/>
  <c r="Z64" s="1"/>
  <c r="AB64" s="1"/>
  <c r="Y52"/>
  <c r="Z52" s="1"/>
  <c r="AB52" s="1"/>
  <c r="Y89"/>
  <c r="Z89" s="1"/>
  <c r="AB89" s="1"/>
  <c r="Y53"/>
  <c r="Z53" s="1"/>
  <c r="AB53" s="1"/>
  <c r="Y66"/>
  <c r="Z66" s="1"/>
  <c r="AB66" s="1"/>
  <c r="P82"/>
  <c r="R82" s="1"/>
  <c r="Y56"/>
  <c r="Z56" s="1"/>
  <c r="AB56" s="1"/>
  <c r="P51"/>
  <c r="P58"/>
  <c r="P52"/>
  <c r="P63"/>
  <c r="R63" s="1"/>
  <c r="P61"/>
  <c r="R61" s="1"/>
  <c r="P81"/>
  <c r="R81" s="1"/>
  <c r="Y82"/>
  <c r="Z82" s="1"/>
  <c r="AB82" s="1"/>
  <c r="Y70"/>
  <c r="Z70" s="1"/>
  <c r="AB70" s="1"/>
  <c r="Y83"/>
  <c r="Z83" s="1"/>
  <c r="AB83" s="1"/>
  <c r="Y84"/>
  <c r="Z84" s="1"/>
  <c r="AB84" s="1"/>
  <c r="Y72"/>
  <c r="Z72" s="1"/>
  <c r="AB72" s="1"/>
  <c r="Y85"/>
  <c r="Z85" s="1"/>
  <c r="AB85" s="1"/>
  <c r="P66"/>
  <c r="R66" s="1"/>
  <c r="BR66" s="1"/>
  <c r="Y88"/>
  <c r="Z88" s="1"/>
  <c r="AB88" s="1"/>
  <c r="P72"/>
  <c r="Y73"/>
  <c r="Z73" s="1"/>
  <c r="AB73" s="1"/>
  <c r="P85"/>
  <c r="Y51"/>
  <c r="Z51" s="1"/>
  <c r="Y58"/>
  <c r="Z58" s="1"/>
  <c r="AB58" s="1"/>
  <c r="Y60"/>
  <c r="Z60" s="1"/>
  <c r="AB60" s="1"/>
  <c r="P90"/>
  <c r="R90" s="1"/>
  <c r="P78"/>
  <c r="R78" s="1"/>
  <c r="P86"/>
  <c r="R86" s="1"/>
  <c r="BS86" s="1"/>
  <c r="P70"/>
  <c r="R70" s="1"/>
  <c r="P59"/>
  <c r="R59" s="1"/>
  <c r="P83"/>
  <c r="R83" s="1"/>
  <c r="P74"/>
  <c r="R74" s="1"/>
  <c r="P94"/>
  <c r="R94" s="1"/>
  <c r="BO91"/>
  <c r="BO92"/>
  <c r="P60"/>
  <c r="R60" s="1"/>
  <c r="Y57"/>
  <c r="Z57" s="1"/>
  <c r="AB57" s="1"/>
  <c r="BO64"/>
  <c r="P84"/>
  <c r="BO70"/>
  <c r="P62"/>
  <c r="R62" s="1"/>
  <c r="BO59"/>
  <c r="Y76"/>
  <c r="Z76" s="1"/>
  <c r="AB76" s="1"/>
  <c r="BO74"/>
  <c r="P54"/>
  <c r="Y63"/>
  <c r="Z63" s="1"/>
  <c r="AB63" s="1"/>
  <c r="P64"/>
  <c r="R64" s="1"/>
  <c r="Y68"/>
  <c r="Z68" s="1"/>
  <c r="AB68" s="1"/>
  <c r="Y69"/>
  <c r="Z69" s="1"/>
  <c r="AB69" s="1"/>
  <c r="BO87"/>
  <c r="Y91"/>
  <c r="Z91" s="1"/>
  <c r="AB91" s="1"/>
  <c r="BO63"/>
  <c r="Y75"/>
  <c r="Z75" s="1"/>
  <c r="AB75" s="1"/>
  <c r="P76"/>
  <c r="BO76"/>
  <c r="Y79"/>
  <c r="Z79" s="1"/>
  <c r="AB79" s="1"/>
  <c r="Y80"/>
  <c r="Z80" s="1"/>
  <c r="AB80" s="1"/>
  <c r="BO86"/>
  <c r="BO75"/>
  <c r="Y55"/>
  <c r="Z55" s="1"/>
  <c r="AB55" s="1"/>
  <c r="P56"/>
  <c r="R56" s="1"/>
  <c r="Y65"/>
  <c r="Z65" s="1"/>
  <c r="AB65" s="1"/>
  <c r="Y67"/>
  <c r="Z67" s="1"/>
  <c r="AB67" s="1"/>
  <c r="P68"/>
  <c r="BO71"/>
  <c r="P75"/>
  <c r="P80"/>
  <c r="R80" s="1"/>
  <c r="P92"/>
  <c r="R92" s="1"/>
  <c r="P93"/>
  <c r="R93" s="1"/>
  <c r="BO90"/>
  <c r="BO79"/>
  <c r="BO78"/>
  <c r="BO94"/>
  <c r="BO67"/>
  <c r="BO83"/>
  <c r="BO82"/>
  <c r="BO55"/>
  <c r="AI52"/>
  <c r="P53"/>
  <c r="P55"/>
  <c r="P67"/>
  <c r="R57"/>
  <c r="R76"/>
  <c r="BI51"/>
  <c r="P65"/>
  <c r="P73"/>
  <c r="P79"/>
  <c r="R72"/>
  <c r="P88"/>
  <c r="P89"/>
  <c r="P69"/>
  <c r="P87"/>
  <c r="AB51"/>
  <c r="R52"/>
  <c r="P71"/>
  <c r="P91"/>
  <c r="R58"/>
  <c r="P77"/>
  <c r="R51"/>
  <c r="BB51"/>
  <c r="BO53"/>
  <c r="BO57"/>
  <c r="BO61"/>
  <c r="BO65"/>
  <c r="BO69"/>
  <c r="BO73"/>
  <c r="BO77"/>
  <c r="BO81"/>
  <c r="BO85"/>
  <c r="BO89"/>
  <c r="BO93"/>
  <c r="BO51"/>
  <c r="BS66" l="1"/>
  <c r="BP93" i="3"/>
  <c r="BS93" s="1"/>
  <c r="BP58"/>
  <c r="BS58" s="1"/>
  <c r="BP51"/>
  <c r="R86"/>
  <c r="BP86" s="1"/>
  <c r="BS86" s="1"/>
  <c r="R67"/>
  <c r="BP67" s="1"/>
  <c r="R13"/>
  <c r="BP13" s="1"/>
  <c r="R88"/>
  <c r="BP88" s="1"/>
  <c r="R83"/>
  <c r="BP83" s="1"/>
  <c r="BR83" s="1"/>
  <c r="R76"/>
  <c r="BP76" s="1"/>
  <c r="R62"/>
  <c r="BP62" s="1"/>
  <c r="R30"/>
  <c r="BP30" s="1"/>
  <c r="R21"/>
  <c r="BP21" s="1"/>
  <c r="R10"/>
  <c r="BP10" s="1"/>
  <c r="R9"/>
  <c r="BP9" s="1"/>
  <c r="S26" i="5"/>
  <c r="R19"/>
  <c r="R27" s="1"/>
  <c r="S19"/>
  <c r="R91" i="3"/>
  <c r="BP91" s="1"/>
  <c r="R57"/>
  <c r="BP57" s="1"/>
  <c r="R33"/>
  <c r="BP33" s="1"/>
  <c r="BP60"/>
  <c r="BP77"/>
  <c r="BP53"/>
  <c r="BP20"/>
  <c r="BP52"/>
  <c r="BP39"/>
  <c r="BP66"/>
  <c r="BP55"/>
  <c r="BP41"/>
  <c r="BP61"/>
  <c r="BP81"/>
  <c r="BP65"/>
  <c r="BP82"/>
  <c r="BP50"/>
  <c r="R24"/>
  <c r="BP38"/>
  <c r="BS38" s="1"/>
  <c r="BP94"/>
  <c r="BQ94" s="1"/>
  <c r="CC94" s="1"/>
  <c r="BP69"/>
  <c r="BP73"/>
  <c r="BP14"/>
  <c r="BR14" s="1"/>
  <c r="R12"/>
  <c r="R90"/>
  <c r="BP47"/>
  <c r="BS47" s="1"/>
  <c r="BP72"/>
  <c r="BP89"/>
  <c r="BP79"/>
  <c r="BS79" s="1"/>
  <c r="BP22"/>
  <c r="BR22" s="1"/>
  <c r="BP43"/>
  <c r="BP85"/>
  <c r="BP16"/>
  <c r="BP56"/>
  <c r="R44"/>
  <c r="BR70"/>
  <c r="R45"/>
  <c r="R42"/>
  <c r="R15"/>
  <c r="R32"/>
  <c r="BO9"/>
  <c r="R23"/>
  <c r="R19"/>
  <c r="R11"/>
  <c r="R34"/>
  <c r="R49"/>
  <c r="R64"/>
  <c r="R28"/>
  <c r="R36"/>
  <c r="R18"/>
  <c r="BP18" s="1"/>
  <c r="R78"/>
  <c r="R25"/>
  <c r="R92"/>
  <c r="R68"/>
  <c r="R29"/>
  <c r="R27"/>
  <c r="R40"/>
  <c r="R37"/>
  <c r="R35"/>
  <c r="R84"/>
  <c r="S17" i="5"/>
  <c r="R46" i="3"/>
  <c r="R54"/>
  <c r="R59"/>
  <c r="R63"/>
  <c r="R74"/>
  <c r="R48"/>
  <c r="R71"/>
  <c r="R75"/>
  <c r="R87"/>
  <c r="R17"/>
  <c r="R80"/>
  <c r="R26"/>
  <c r="R31"/>
  <c r="BS83" i="1"/>
  <c r="BS78"/>
  <c r="BS60"/>
  <c r="R85"/>
  <c r="BS85" s="1"/>
  <c r="BS70"/>
  <c r="BR86"/>
  <c r="R84"/>
  <c r="BS84" s="1"/>
  <c r="R68"/>
  <c r="BS68" s="1"/>
  <c r="R75"/>
  <c r="BS75" s="1"/>
  <c r="R54"/>
  <c r="BS54" s="1"/>
  <c r="BR83"/>
  <c r="BR64"/>
  <c r="BS64"/>
  <c r="BR92"/>
  <c r="BS92"/>
  <c r="BR72"/>
  <c r="BS72"/>
  <c r="R91"/>
  <c r="R65"/>
  <c r="R77"/>
  <c r="BR56"/>
  <c r="BS56"/>
  <c r="R73"/>
  <c r="BR63"/>
  <c r="BS63"/>
  <c r="BR93"/>
  <c r="BS93"/>
  <c r="R79"/>
  <c r="BR58"/>
  <c r="BS58"/>
  <c r="BR82"/>
  <c r="BS82"/>
  <c r="R88"/>
  <c r="BR76"/>
  <c r="BS76"/>
  <c r="R53"/>
  <c r="R89"/>
  <c r="R55"/>
  <c r="BR62"/>
  <c r="BS62"/>
  <c r="BS51"/>
  <c r="BR51"/>
  <c r="BR80"/>
  <c r="BS80"/>
  <c r="R67"/>
  <c r="BR90"/>
  <c r="BS90"/>
  <c r="R69"/>
  <c r="BR81"/>
  <c r="BS81"/>
  <c r="BS57"/>
  <c r="BR57"/>
  <c r="BR94"/>
  <c r="BS94"/>
  <c r="BR59"/>
  <c r="BS59"/>
  <c r="R87"/>
  <c r="R71"/>
  <c r="BR74"/>
  <c r="BS74"/>
  <c r="BS61"/>
  <c r="BR61"/>
  <c r="BP65" l="1"/>
  <c r="BR65" i="3"/>
  <c r="BS65"/>
  <c r="BR43"/>
  <c r="BS43"/>
  <c r="BR86"/>
  <c r="BS83"/>
  <c r="BS82"/>
  <c r="BR82"/>
  <c r="BR13"/>
  <c r="BS13"/>
  <c r="BS41"/>
  <c r="BR41"/>
  <c r="BR56"/>
  <c r="BS56"/>
  <c r="BS30"/>
  <c r="BR30"/>
  <c r="BS62"/>
  <c r="BR62"/>
  <c r="BS69"/>
  <c r="BR69"/>
  <c r="BS14"/>
  <c r="BS22"/>
  <c r="BR50"/>
  <c r="BS50"/>
  <c r="BS66"/>
  <c r="BR66"/>
  <c r="BS60"/>
  <c r="BR60"/>
  <c r="BS73"/>
  <c r="BR73"/>
  <c r="BS55"/>
  <c r="BR55"/>
  <c r="BS77"/>
  <c r="BR77"/>
  <c r="BS91"/>
  <c r="BR91"/>
  <c r="BS10"/>
  <c r="BR10"/>
  <c r="BS57"/>
  <c r="BR57"/>
  <c r="BS61"/>
  <c r="BR61"/>
  <c r="BS53"/>
  <c r="BR53"/>
  <c r="BS88"/>
  <c r="BR88"/>
  <c r="BS20"/>
  <c r="BR20"/>
  <c r="BS76"/>
  <c r="BR76"/>
  <c r="BS81"/>
  <c r="BR81"/>
  <c r="BS85"/>
  <c r="BR85"/>
  <c r="BS21"/>
  <c r="BR21"/>
  <c r="BS67"/>
  <c r="BR67"/>
  <c r="BS39"/>
  <c r="BR39"/>
  <c r="BR16"/>
  <c r="BS16"/>
  <c r="BR94"/>
  <c r="BS94"/>
  <c r="BR52"/>
  <c r="BS52"/>
  <c r="BS72"/>
  <c r="BR72"/>
  <c r="BR33"/>
  <c r="BS33"/>
  <c r="BS89"/>
  <c r="BR89"/>
  <c r="BP71"/>
  <c r="BS71" s="1"/>
  <c r="BP75"/>
  <c r="BP68"/>
  <c r="BP36"/>
  <c r="BR36" s="1"/>
  <c r="BR47"/>
  <c r="BR38"/>
  <c r="BP46"/>
  <c r="BR46" s="1"/>
  <c r="BP74"/>
  <c r="BS74" s="1"/>
  <c r="BP25"/>
  <c r="BP23"/>
  <c r="BP44"/>
  <c r="BP12"/>
  <c r="BP87"/>
  <c r="BR87" s="1"/>
  <c r="BP37"/>
  <c r="BP29"/>
  <c r="BP49"/>
  <c r="BP15"/>
  <c r="BR15" s="1"/>
  <c r="BP90"/>
  <c r="BP24"/>
  <c r="BP17"/>
  <c r="BS17" s="1"/>
  <c r="BP48"/>
  <c r="BP63"/>
  <c r="BP64"/>
  <c r="BS64" s="1"/>
  <c r="BP27"/>
  <c r="BP45"/>
  <c r="BS45" s="1"/>
  <c r="BP59"/>
  <c r="BP31"/>
  <c r="BP78"/>
  <c r="BP54"/>
  <c r="BP35"/>
  <c r="BP19"/>
  <c r="BS19" s="1"/>
  <c r="BP32"/>
  <c r="BP42"/>
  <c r="BP26"/>
  <c r="BS26" s="1"/>
  <c r="BP80"/>
  <c r="BS80" s="1"/>
  <c r="BP84"/>
  <c r="BP92"/>
  <c r="BR92" s="1"/>
  <c r="BP28"/>
  <c r="BS28" s="1"/>
  <c r="BP34"/>
  <c r="BP40"/>
  <c r="BS40" s="1"/>
  <c r="BP11"/>
  <c r="BS11" s="1"/>
  <c r="BR79"/>
  <c r="BR93"/>
  <c r="BS18"/>
  <c r="T17" i="5"/>
  <c r="BS70" i="3"/>
  <c r="BR58"/>
  <c r="BR51"/>
  <c r="BS51"/>
  <c r="BR9"/>
  <c r="BS9"/>
  <c r="BR84" i="1"/>
  <c r="BR78"/>
  <c r="BR60"/>
  <c r="BR85"/>
  <c r="BR70"/>
  <c r="BR75"/>
  <c r="BR54"/>
  <c r="BR68"/>
  <c r="BS69"/>
  <c r="BR69"/>
  <c r="BR79"/>
  <c r="BS79"/>
  <c r="BR87"/>
  <c r="BS87"/>
  <c r="BS53"/>
  <c r="BR53"/>
  <c r="BR52"/>
  <c r="BS52"/>
  <c r="BR77"/>
  <c r="BS77"/>
  <c r="BR71"/>
  <c r="BS71"/>
  <c r="BR55"/>
  <c r="BS55"/>
  <c r="BR89"/>
  <c r="BS89"/>
  <c r="BR88"/>
  <c r="BS88"/>
  <c r="BS73"/>
  <c r="BR73"/>
  <c r="BR91"/>
  <c r="BS91"/>
  <c r="BR67"/>
  <c r="BS67"/>
  <c r="BR65" l="1"/>
  <c r="BS65"/>
  <c r="BR37" i="3"/>
  <c r="BS37"/>
  <c r="BS49"/>
  <c r="BR49"/>
  <c r="BR74"/>
  <c r="BR32"/>
  <c r="BS32"/>
  <c r="BR68"/>
  <c r="BS68"/>
  <c r="BR54"/>
  <c r="BS54"/>
  <c r="BR63"/>
  <c r="BS63"/>
  <c r="BS59"/>
  <c r="BR59"/>
  <c r="BS78"/>
  <c r="BR78"/>
  <c r="BS23"/>
  <c r="BR23"/>
  <c r="BR26"/>
  <c r="BR40"/>
  <c r="BS87"/>
  <c r="BR12"/>
  <c r="BS12"/>
  <c r="BS31"/>
  <c r="BR31"/>
  <c r="BS84"/>
  <c r="BR84"/>
  <c r="BS29"/>
  <c r="BR29"/>
  <c r="BS42"/>
  <c r="BR42"/>
  <c r="BS48"/>
  <c r="BR48"/>
  <c r="BS35"/>
  <c r="BR35"/>
  <c r="BS75"/>
  <c r="BR75"/>
  <c r="BS25"/>
  <c r="BR25"/>
  <c r="BS27"/>
  <c r="BR27"/>
  <c r="BS34"/>
  <c r="BR34"/>
  <c r="BS90"/>
  <c r="BR90"/>
  <c r="BS24"/>
  <c r="BR24"/>
  <c r="BR64"/>
  <c r="BS46"/>
  <c r="BS36"/>
  <c r="BS92"/>
  <c r="BS15"/>
  <c r="BR11"/>
  <c r="BR80"/>
  <c r="BR19"/>
  <c r="BR45"/>
  <c r="BR71"/>
  <c r="BR28"/>
  <c r="BR17"/>
  <c r="BR44"/>
  <c r="BS44"/>
  <c r="BR18"/>
  <c r="BL50" i="1"/>
  <c r="BE50"/>
  <c r="BG50" s="1"/>
  <c r="BI50" s="1"/>
  <c r="AX50"/>
  <c r="AZ50" s="1"/>
  <c r="BB50" s="1"/>
  <c r="AU50"/>
  <c r="AL50"/>
  <c r="AN50" s="1"/>
  <c r="AP50" s="1"/>
  <c r="AE50"/>
  <c r="AG50" s="1"/>
  <c r="AI50" s="1"/>
  <c r="X50"/>
  <c r="U50"/>
  <c r="N50"/>
  <c r="O50" s="1"/>
  <c r="I50"/>
  <c r="K50" s="1"/>
  <c r="BL49"/>
  <c r="BE49"/>
  <c r="BG49" s="1"/>
  <c r="BI49" s="1"/>
  <c r="AX49"/>
  <c r="AZ49" s="1"/>
  <c r="BB49" s="1"/>
  <c r="AU49"/>
  <c r="AL49"/>
  <c r="AN49" s="1"/>
  <c r="AP49" s="1"/>
  <c r="AE49"/>
  <c r="AG49" s="1"/>
  <c r="AI49" s="1"/>
  <c r="X49"/>
  <c r="U49"/>
  <c r="N49"/>
  <c r="O49" s="1"/>
  <c r="I49"/>
  <c r="K49" s="1"/>
  <c r="BL48"/>
  <c r="BE48"/>
  <c r="BG48" s="1"/>
  <c r="BI48" s="1"/>
  <c r="AX48"/>
  <c r="AZ48" s="1"/>
  <c r="BB48" s="1"/>
  <c r="AU48"/>
  <c r="AL48"/>
  <c r="AN48" s="1"/>
  <c r="AP48" s="1"/>
  <c r="AE48"/>
  <c r="AG48" s="1"/>
  <c r="AI48" s="1"/>
  <c r="X48"/>
  <c r="U48"/>
  <c r="N48"/>
  <c r="O48" s="1"/>
  <c r="I48"/>
  <c r="K48" s="1"/>
  <c r="BL47"/>
  <c r="BE47"/>
  <c r="BG47" s="1"/>
  <c r="BI47" s="1"/>
  <c r="AX47"/>
  <c r="AZ47" s="1"/>
  <c r="BB47" s="1"/>
  <c r="AU47"/>
  <c r="AL47"/>
  <c r="AN47" s="1"/>
  <c r="AP47" s="1"/>
  <c r="AE47"/>
  <c r="AG47" s="1"/>
  <c r="AI47" s="1"/>
  <c r="X47"/>
  <c r="U47"/>
  <c r="N47"/>
  <c r="O47" s="1"/>
  <c r="I47"/>
  <c r="K47" s="1"/>
  <c r="BL46"/>
  <c r="BE46"/>
  <c r="BG46" s="1"/>
  <c r="BI46" s="1"/>
  <c r="AX46"/>
  <c r="AZ46" s="1"/>
  <c r="BB46" s="1"/>
  <c r="AU46"/>
  <c r="AL46"/>
  <c r="AN46" s="1"/>
  <c r="AP46" s="1"/>
  <c r="AE46"/>
  <c r="AG46" s="1"/>
  <c r="AI46" s="1"/>
  <c r="X46"/>
  <c r="U46"/>
  <c r="N46"/>
  <c r="I46"/>
  <c r="K46" s="1"/>
  <c r="BL45"/>
  <c r="BE45"/>
  <c r="BG45" s="1"/>
  <c r="BI45" s="1"/>
  <c r="AX45"/>
  <c r="AZ45" s="1"/>
  <c r="BB45" s="1"/>
  <c r="AU45"/>
  <c r="AL45"/>
  <c r="AN45" s="1"/>
  <c r="AP45" s="1"/>
  <c r="AE45"/>
  <c r="AG45" s="1"/>
  <c r="AI45" s="1"/>
  <c r="X45"/>
  <c r="U45"/>
  <c r="N45"/>
  <c r="O45" s="1"/>
  <c r="I45"/>
  <c r="K45" s="1"/>
  <c r="BL44"/>
  <c r="BM44" s="1"/>
  <c r="BT44" s="1"/>
  <c r="BX44" i="3" s="1"/>
  <c r="BE44" i="1"/>
  <c r="BG44" s="1"/>
  <c r="BI44" s="1"/>
  <c r="AX44"/>
  <c r="AZ44" s="1"/>
  <c r="BB44" s="1"/>
  <c r="AU44"/>
  <c r="AL44"/>
  <c r="AN44" s="1"/>
  <c r="AP44" s="1"/>
  <c r="AE44"/>
  <c r="AG44" s="1"/>
  <c r="AI44" s="1"/>
  <c r="X44"/>
  <c r="U44"/>
  <c r="N44"/>
  <c r="O44" s="1"/>
  <c r="K44"/>
  <c r="I44"/>
  <c r="BL43"/>
  <c r="BE43"/>
  <c r="BG43" s="1"/>
  <c r="BI43" s="1"/>
  <c r="AZ43"/>
  <c r="BB43" s="1"/>
  <c r="AX43"/>
  <c r="AU43"/>
  <c r="AL43"/>
  <c r="AN43" s="1"/>
  <c r="AP43" s="1"/>
  <c r="AE43"/>
  <c r="AG43" s="1"/>
  <c r="AI43" s="1"/>
  <c r="X43"/>
  <c r="U43"/>
  <c r="Y43" s="1"/>
  <c r="Z43" s="1"/>
  <c r="AB43" s="1"/>
  <c r="N43"/>
  <c r="O43" s="1"/>
  <c r="I43"/>
  <c r="K43" s="1"/>
  <c r="BL42"/>
  <c r="BE42"/>
  <c r="BG42" s="1"/>
  <c r="BI42" s="1"/>
  <c r="AX42"/>
  <c r="AZ42" s="1"/>
  <c r="BB42" s="1"/>
  <c r="AU42"/>
  <c r="AL42"/>
  <c r="AN42" s="1"/>
  <c r="AP42" s="1"/>
  <c r="AE42"/>
  <c r="AG42" s="1"/>
  <c r="AI42" s="1"/>
  <c r="X42"/>
  <c r="U42"/>
  <c r="N42"/>
  <c r="O42" s="1"/>
  <c r="I42"/>
  <c r="K42" s="1"/>
  <c r="BL41"/>
  <c r="BE41"/>
  <c r="BG41" s="1"/>
  <c r="BI41" s="1"/>
  <c r="AX41"/>
  <c r="AZ41" s="1"/>
  <c r="BB41" s="1"/>
  <c r="AU41"/>
  <c r="AL41"/>
  <c r="AN41" s="1"/>
  <c r="AP41" s="1"/>
  <c r="AE41"/>
  <c r="AG41" s="1"/>
  <c r="AI41" s="1"/>
  <c r="X41"/>
  <c r="U41"/>
  <c r="N41"/>
  <c r="O41" s="1"/>
  <c r="I41"/>
  <c r="K41" s="1"/>
  <c r="BL40"/>
  <c r="BO40" s="1"/>
  <c r="BE40"/>
  <c r="BG40" s="1"/>
  <c r="BI40" s="1"/>
  <c r="AX40"/>
  <c r="AZ40" s="1"/>
  <c r="BB40" s="1"/>
  <c r="AU40"/>
  <c r="AL40"/>
  <c r="AN40" s="1"/>
  <c r="AP40" s="1"/>
  <c r="AE40"/>
  <c r="AG40" s="1"/>
  <c r="AI40" s="1"/>
  <c r="X40"/>
  <c r="U40"/>
  <c r="N40"/>
  <c r="O40" s="1"/>
  <c r="I40"/>
  <c r="K40" s="1"/>
  <c r="BL39"/>
  <c r="BE39"/>
  <c r="BG39" s="1"/>
  <c r="BI39" s="1"/>
  <c r="AX39"/>
  <c r="AZ39" s="1"/>
  <c r="BB39" s="1"/>
  <c r="AU39"/>
  <c r="AL39"/>
  <c r="AN39" s="1"/>
  <c r="AP39" s="1"/>
  <c r="AE39"/>
  <c r="AG39" s="1"/>
  <c r="AI39" s="1"/>
  <c r="X39"/>
  <c r="U39"/>
  <c r="Y39" s="1"/>
  <c r="Z39" s="1"/>
  <c r="AB39" s="1"/>
  <c r="N39"/>
  <c r="O39" s="1"/>
  <c r="I39"/>
  <c r="K39" s="1"/>
  <c r="BL38"/>
  <c r="BE38"/>
  <c r="BG38" s="1"/>
  <c r="BI38" s="1"/>
  <c r="AX38"/>
  <c r="AZ38" s="1"/>
  <c r="BB38" s="1"/>
  <c r="AU38"/>
  <c r="AL38"/>
  <c r="AN38" s="1"/>
  <c r="AP38" s="1"/>
  <c r="AE38"/>
  <c r="AG38" s="1"/>
  <c r="AI38" s="1"/>
  <c r="X38"/>
  <c r="U38"/>
  <c r="N38"/>
  <c r="I38"/>
  <c r="K38" s="1"/>
  <c r="BL37"/>
  <c r="BE37"/>
  <c r="BG37" s="1"/>
  <c r="BI37" s="1"/>
  <c r="AX37"/>
  <c r="AZ37" s="1"/>
  <c r="BB37" s="1"/>
  <c r="AU37"/>
  <c r="AL37"/>
  <c r="AN37" s="1"/>
  <c r="AP37" s="1"/>
  <c r="AE37"/>
  <c r="AG37" s="1"/>
  <c r="AI37" s="1"/>
  <c r="X37"/>
  <c r="U37"/>
  <c r="N37"/>
  <c r="O37" s="1"/>
  <c r="I37"/>
  <c r="K37" s="1"/>
  <c r="BL36"/>
  <c r="BO36" s="1"/>
  <c r="BE36"/>
  <c r="BG36" s="1"/>
  <c r="BI36" s="1"/>
  <c r="AX36"/>
  <c r="AZ36" s="1"/>
  <c r="BB36" s="1"/>
  <c r="AU36"/>
  <c r="AL36"/>
  <c r="AN36" s="1"/>
  <c r="AP36" s="1"/>
  <c r="AE36"/>
  <c r="AG36" s="1"/>
  <c r="AI36" s="1"/>
  <c r="X36"/>
  <c r="Y36" s="1"/>
  <c r="Z36" s="1"/>
  <c r="AB36" s="1"/>
  <c r="U36"/>
  <c r="N36"/>
  <c r="O36" s="1"/>
  <c r="I36"/>
  <c r="K36" s="1"/>
  <c r="BL35"/>
  <c r="BE35"/>
  <c r="BG35" s="1"/>
  <c r="BI35" s="1"/>
  <c r="AZ35"/>
  <c r="BB35" s="1"/>
  <c r="AX35"/>
  <c r="AU35"/>
  <c r="AL35"/>
  <c r="AN35" s="1"/>
  <c r="AP35" s="1"/>
  <c r="AE35"/>
  <c r="AG35" s="1"/>
  <c r="AI35" s="1"/>
  <c r="X35"/>
  <c r="U35"/>
  <c r="N35"/>
  <c r="O35" s="1"/>
  <c r="I35"/>
  <c r="K35" s="1"/>
  <c r="BL34"/>
  <c r="BE34"/>
  <c r="BG34" s="1"/>
  <c r="BI34" s="1"/>
  <c r="AX34"/>
  <c r="AZ34" s="1"/>
  <c r="BB34" s="1"/>
  <c r="AU34"/>
  <c r="AL34"/>
  <c r="AN34" s="1"/>
  <c r="AP34" s="1"/>
  <c r="AE34"/>
  <c r="AG34" s="1"/>
  <c r="AI34" s="1"/>
  <c r="X34"/>
  <c r="U34"/>
  <c r="N34"/>
  <c r="O34" s="1"/>
  <c r="I34"/>
  <c r="K34" s="1"/>
  <c r="BL33"/>
  <c r="BE33"/>
  <c r="BG33" s="1"/>
  <c r="BI33" s="1"/>
  <c r="AX33"/>
  <c r="AZ33" s="1"/>
  <c r="BB33" s="1"/>
  <c r="AU33"/>
  <c r="AL33"/>
  <c r="AN33" s="1"/>
  <c r="AP33" s="1"/>
  <c r="AE33"/>
  <c r="AG33" s="1"/>
  <c r="AI33" s="1"/>
  <c r="X33"/>
  <c r="U33"/>
  <c r="N33"/>
  <c r="O33" s="1"/>
  <c r="I33"/>
  <c r="K33" s="1"/>
  <c r="BL32"/>
  <c r="BO32" s="1"/>
  <c r="BE32"/>
  <c r="BG32" s="1"/>
  <c r="BI32" s="1"/>
  <c r="AX32"/>
  <c r="AZ32" s="1"/>
  <c r="BB32" s="1"/>
  <c r="AU32"/>
  <c r="AL32"/>
  <c r="AN32" s="1"/>
  <c r="AP32" s="1"/>
  <c r="AE32"/>
  <c r="AG32" s="1"/>
  <c r="AI32" s="1"/>
  <c r="X32"/>
  <c r="U32"/>
  <c r="N32"/>
  <c r="O32" s="1"/>
  <c r="I32"/>
  <c r="K32" s="1"/>
  <c r="BO31"/>
  <c r="BL31"/>
  <c r="BE31"/>
  <c r="BG31" s="1"/>
  <c r="BI31" s="1"/>
  <c r="AX31"/>
  <c r="AZ31" s="1"/>
  <c r="BB31" s="1"/>
  <c r="AU31"/>
  <c r="AL31"/>
  <c r="AN31" s="1"/>
  <c r="AP31" s="1"/>
  <c r="AE31"/>
  <c r="AG31" s="1"/>
  <c r="AI31" s="1"/>
  <c r="X31"/>
  <c r="U31"/>
  <c r="N31"/>
  <c r="O31" s="1"/>
  <c r="I31"/>
  <c r="K31" s="1"/>
  <c r="BL30"/>
  <c r="BE30"/>
  <c r="BG30" s="1"/>
  <c r="BI30" s="1"/>
  <c r="AX30"/>
  <c r="AZ30" s="1"/>
  <c r="BB30" s="1"/>
  <c r="AU30"/>
  <c r="AL30"/>
  <c r="AN30" s="1"/>
  <c r="AP30" s="1"/>
  <c r="AE30"/>
  <c r="AG30" s="1"/>
  <c r="AI30" s="1"/>
  <c r="X30"/>
  <c r="U30"/>
  <c r="N30"/>
  <c r="O30" s="1"/>
  <c r="I30"/>
  <c r="K30" s="1"/>
  <c r="BL29"/>
  <c r="BE29"/>
  <c r="BG29" s="1"/>
  <c r="BI29" s="1"/>
  <c r="BB29"/>
  <c r="AZ29"/>
  <c r="AX29"/>
  <c r="AU29"/>
  <c r="AL29"/>
  <c r="AN29" s="1"/>
  <c r="AP29" s="1"/>
  <c r="AE29"/>
  <c r="AG29" s="1"/>
  <c r="AI29" s="1"/>
  <c r="X29"/>
  <c r="U29"/>
  <c r="N29"/>
  <c r="O29" s="1"/>
  <c r="I29"/>
  <c r="K29" s="1"/>
  <c r="BL28"/>
  <c r="BO28" s="1"/>
  <c r="BG28"/>
  <c r="BI28" s="1"/>
  <c r="BE28"/>
  <c r="AX28"/>
  <c r="AZ28" s="1"/>
  <c r="BB28" s="1"/>
  <c r="AU28"/>
  <c r="AL28"/>
  <c r="AN28" s="1"/>
  <c r="AP28" s="1"/>
  <c r="AE28"/>
  <c r="AG28" s="1"/>
  <c r="AI28" s="1"/>
  <c r="X28"/>
  <c r="U28"/>
  <c r="N28"/>
  <c r="O28" s="1"/>
  <c r="I28"/>
  <c r="K28" s="1"/>
  <c r="BL27"/>
  <c r="BE27"/>
  <c r="BG27" s="1"/>
  <c r="BI27" s="1"/>
  <c r="AZ27"/>
  <c r="BB27" s="1"/>
  <c r="AX27"/>
  <c r="AU27"/>
  <c r="AL27"/>
  <c r="AN27" s="1"/>
  <c r="AP27" s="1"/>
  <c r="AG27"/>
  <c r="AI27" s="1"/>
  <c r="AE27"/>
  <c r="X27"/>
  <c r="U27"/>
  <c r="N27"/>
  <c r="O27" s="1"/>
  <c r="I27"/>
  <c r="K27" s="1"/>
  <c r="BL26"/>
  <c r="BE26"/>
  <c r="BG26" s="1"/>
  <c r="BI26" s="1"/>
  <c r="AX26"/>
  <c r="AZ26" s="1"/>
  <c r="BB26" s="1"/>
  <c r="AU26"/>
  <c r="AL26"/>
  <c r="AN26" s="1"/>
  <c r="AP26" s="1"/>
  <c r="AE26"/>
  <c r="AG26" s="1"/>
  <c r="AI26" s="1"/>
  <c r="X26"/>
  <c r="Y26" s="1"/>
  <c r="Z26" s="1"/>
  <c r="AB26" s="1"/>
  <c r="U26"/>
  <c r="N26"/>
  <c r="O26" s="1"/>
  <c r="I26"/>
  <c r="K26" s="1"/>
  <c r="BL25"/>
  <c r="BE25"/>
  <c r="BG25" s="1"/>
  <c r="BI25" s="1"/>
  <c r="AX25"/>
  <c r="AZ25" s="1"/>
  <c r="BB25" s="1"/>
  <c r="AU25"/>
  <c r="AL25"/>
  <c r="AN25" s="1"/>
  <c r="AP25" s="1"/>
  <c r="AE25"/>
  <c r="AG25" s="1"/>
  <c r="AI25" s="1"/>
  <c r="X25"/>
  <c r="U25"/>
  <c r="N25"/>
  <c r="O25" s="1"/>
  <c r="I25"/>
  <c r="K25" s="1"/>
  <c r="BL24"/>
  <c r="BO24" s="1"/>
  <c r="BE24"/>
  <c r="BG24" s="1"/>
  <c r="BI24" s="1"/>
  <c r="AX24"/>
  <c r="AZ24" s="1"/>
  <c r="BB24" s="1"/>
  <c r="AU24"/>
  <c r="AL24"/>
  <c r="AN24" s="1"/>
  <c r="AP24" s="1"/>
  <c r="AE24"/>
  <c r="AG24" s="1"/>
  <c r="AI24" s="1"/>
  <c r="X24"/>
  <c r="Y24" s="1"/>
  <c r="Z24" s="1"/>
  <c r="AB24" s="1"/>
  <c r="U24"/>
  <c r="N24"/>
  <c r="O24" s="1"/>
  <c r="I24"/>
  <c r="K24" s="1"/>
  <c r="BL23"/>
  <c r="BE23"/>
  <c r="BG23" s="1"/>
  <c r="BI23" s="1"/>
  <c r="AX23"/>
  <c r="AZ23" s="1"/>
  <c r="BB23" s="1"/>
  <c r="AU23"/>
  <c r="AL23"/>
  <c r="AN23" s="1"/>
  <c r="AP23" s="1"/>
  <c r="AE23"/>
  <c r="AG23" s="1"/>
  <c r="AI23" s="1"/>
  <c r="X23"/>
  <c r="U23"/>
  <c r="N23"/>
  <c r="O23" s="1"/>
  <c r="I23"/>
  <c r="K23" s="1"/>
  <c r="BL22"/>
  <c r="BE22"/>
  <c r="BG22" s="1"/>
  <c r="BI22" s="1"/>
  <c r="AX22"/>
  <c r="AZ22" s="1"/>
  <c r="BB22" s="1"/>
  <c r="AU22"/>
  <c r="AL22"/>
  <c r="AN22" s="1"/>
  <c r="AP22" s="1"/>
  <c r="AE22"/>
  <c r="AG22" s="1"/>
  <c r="AI22" s="1"/>
  <c r="X22"/>
  <c r="U22"/>
  <c r="N22"/>
  <c r="O22" s="1"/>
  <c r="I22"/>
  <c r="K22" s="1"/>
  <c r="BL21"/>
  <c r="BM21" s="1"/>
  <c r="BT21" s="1"/>
  <c r="BX21" i="3" s="1"/>
  <c r="BE21" i="1"/>
  <c r="BG21" s="1"/>
  <c r="BI21" s="1"/>
  <c r="AX21"/>
  <c r="AZ21" s="1"/>
  <c r="BB21" s="1"/>
  <c r="AU21"/>
  <c r="AL21"/>
  <c r="AN21" s="1"/>
  <c r="AP21" s="1"/>
  <c r="AE21"/>
  <c r="AG21" s="1"/>
  <c r="AI21" s="1"/>
  <c r="X21"/>
  <c r="U21"/>
  <c r="N21"/>
  <c r="O21" s="1"/>
  <c r="I21"/>
  <c r="K21" s="1"/>
  <c r="BL20"/>
  <c r="BO20" s="1"/>
  <c r="BE20"/>
  <c r="BG20" s="1"/>
  <c r="BI20" s="1"/>
  <c r="AX20"/>
  <c r="AZ20" s="1"/>
  <c r="BB20" s="1"/>
  <c r="AU20"/>
  <c r="AL20"/>
  <c r="AN20" s="1"/>
  <c r="AP20" s="1"/>
  <c r="AE20"/>
  <c r="AG20" s="1"/>
  <c r="AI20" s="1"/>
  <c r="X20"/>
  <c r="U20"/>
  <c r="N20"/>
  <c r="O20" s="1"/>
  <c r="I20"/>
  <c r="K20" s="1"/>
  <c r="BL19"/>
  <c r="BE19"/>
  <c r="BG19" s="1"/>
  <c r="BI19" s="1"/>
  <c r="AZ19"/>
  <c r="BB19" s="1"/>
  <c r="AX19"/>
  <c r="AU19"/>
  <c r="AL19"/>
  <c r="AN19" s="1"/>
  <c r="AP19" s="1"/>
  <c r="AE19"/>
  <c r="AG19" s="1"/>
  <c r="AI19" s="1"/>
  <c r="X19"/>
  <c r="U19"/>
  <c r="N19"/>
  <c r="O19" s="1"/>
  <c r="I19"/>
  <c r="K19" s="1"/>
  <c r="BL18"/>
  <c r="BM18" s="1"/>
  <c r="BE18"/>
  <c r="BG18" s="1"/>
  <c r="BI18" s="1"/>
  <c r="AX18"/>
  <c r="AZ18" s="1"/>
  <c r="BB18" s="1"/>
  <c r="AU18"/>
  <c r="AL18"/>
  <c r="AN18" s="1"/>
  <c r="AP18" s="1"/>
  <c r="AE18"/>
  <c r="AG18" s="1"/>
  <c r="AI18" s="1"/>
  <c r="X18"/>
  <c r="U18"/>
  <c r="N18"/>
  <c r="O18" s="1"/>
  <c r="I18"/>
  <c r="K18" s="1"/>
  <c r="BL17"/>
  <c r="BE17"/>
  <c r="BG17" s="1"/>
  <c r="BI17" s="1"/>
  <c r="AX17"/>
  <c r="AZ17" s="1"/>
  <c r="BB17" s="1"/>
  <c r="AL17"/>
  <c r="AN17" s="1"/>
  <c r="AP17" s="1"/>
  <c r="AE17"/>
  <c r="AG17" s="1"/>
  <c r="AI17" s="1"/>
  <c r="X17"/>
  <c r="U17"/>
  <c r="N17"/>
  <c r="O17" s="1"/>
  <c r="I17"/>
  <c r="K17" s="1"/>
  <c r="BL16"/>
  <c r="BO16" s="1"/>
  <c r="BE16"/>
  <c r="BG16" s="1"/>
  <c r="BI16" s="1"/>
  <c r="AX16"/>
  <c r="AZ16" s="1"/>
  <c r="BB16" s="1"/>
  <c r="AU16"/>
  <c r="AL16"/>
  <c r="AN16" s="1"/>
  <c r="AP16" s="1"/>
  <c r="AE16"/>
  <c r="AG16" s="1"/>
  <c r="AI16" s="1"/>
  <c r="X16"/>
  <c r="U16"/>
  <c r="N16"/>
  <c r="O16" s="1"/>
  <c r="I16"/>
  <c r="K16" s="1"/>
  <c r="BL15"/>
  <c r="BO15" s="1"/>
  <c r="BE15"/>
  <c r="BG15" s="1"/>
  <c r="BI15" s="1"/>
  <c r="AX15"/>
  <c r="AZ15" s="1"/>
  <c r="BB15" s="1"/>
  <c r="AU15"/>
  <c r="AL15"/>
  <c r="AN15" s="1"/>
  <c r="AP15" s="1"/>
  <c r="AE15"/>
  <c r="AG15" s="1"/>
  <c r="AI15" s="1"/>
  <c r="X15"/>
  <c r="U15"/>
  <c r="N15"/>
  <c r="O15" s="1"/>
  <c r="I15"/>
  <c r="K15" s="1"/>
  <c r="BL14"/>
  <c r="BG14"/>
  <c r="BI14" s="1"/>
  <c r="BE14"/>
  <c r="AX14"/>
  <c r="AZ14" s="1"/>
  <c r="BB14" s="1"/>
  <c r="AU14"/>
  <c r="AL14"/>
  <c r="AN14" s="1"/>
  <c r="AP14" s="1"/>
  <c r="AE14"/>
  <c r="AG14" s="1"/>
  <c r="AI14" s="1"/>
  <c r="X14"/>
  <c r="U14"/>
  <c r="N14"/>
  <c r="O14" s="1"/>
  <c r="I14"/>
  <c r="K14" s="1"/>
  <c r="BL13"/>
  <c r="BE13"/>
  <c r="BG13" s="1"/>
  <c r="BI13" s="1"/>
  <c r="AX13"/>
  <c r="AZ13" s="1"/>
  <c r="BB13" s="1"/>
  <c r="AU13"/>
  <c r="AL13"/>
  <c r="AN13" s="1"/>
  <c r="AP13" s="1"/>
  <c r="AE13"/>
  <c r="AG13" s="1"/>
  <c r="AI13" s="1"/>
  <c r="X13"/>
  <c r="U13"/>
  <c r="N13"/>
  <c r="O13" s="1"/>
  <c r="I13"/>
  <c r="K13" s="1"/>
  <c r="BL12"/>
  <c r="BO12" s="1"/>
  <c r="BE12"/>
  <c r="BG12" s="1"/>
  <c r="BI12" s="1"/>
  <c r="AX12"/>
  <c r="AZ12" s="1"/>
  <c r="BB12" s="1"/>
  <c r="AU12"/>
  <c r="AL12"/>
  <c r="AN12" s="1"/>
  <c r="AP12" s="1"/>
  <c r="AE12"/>
  <c r="AG12" s="1"/>
  <c r="AI12" s="1"/>
  <c r="X12"/>
  <c r="Y12" s="1"/>
  <c r="Z12" s="1"/>
  <c r="AB12" s="1"/>
  <c r="U12"/>
  <c r="N12"/>
  <c r="O12" s="1"/>
  <c r="I12"/>
  <c r="K12" s="1"/>
  <c r="BL11"/>
  <c r="BO11" s="1"/>
  <c r="BE11"/>
  <c r="BG11" s="1"/>
  <c r="AX11"/>
  <c r="AZ11" s="1"/>
  <c r="BB11" s="1"/>
  <c r="AU11"/>
  <c r="AL11"/>
  <c r="AN11" s="1"/>
  <c r="AP11" s="1"/>
  <c r="AE11"/>
  <c r="AG11" s="1"/>
  <c r="AI11" s="1"/>
  <c r="X11"/>
  <c r="U11"/>
  <c r="N11"/>
  <c r="O11" s="1"/>
  <c r="I11"/>
  <c r="K11" s="1"/>
  <c r="BL10"/>
  <c r="BE10"/>
  <c r="BG10" s="1"/>
  <c r="BI10" s="1"/>
  <c r="AX10"/>
  <c r="AZ10" s="1"/>
  <c r="BB10" s="1"/>
  <c r="AU10"/>
  <c r="AL10"/>
  <c r="AN10" s="1"/>
  <c r="AP10" s="1"/>
  <c r="AE10"/>
  <c r="AG10" s="1"/>
  <c r="AI10" s="1"/>
  <c r="X10"/>
  <c r="U10"/>
  <c r="N10"/>
  <c r="O10" s="1"/>
  <c r="I10"/>
  <c r="K10" s="1"/>
  <c r="BL9"/>
  <c r="BE9"/>
  <c r="BG9" s="1"/>
  <c r="BI9" s="1"/>
  <c r="AX9"/>
  <c r="AZ9" s="1"/>
  <c r="AU9"/>
  <c r="AL9"/>
  <c r="AN9" s="1"/>
  <c r="AE9"/>
  <c r="AG9" s="1"/>
  <c r="X9"/>
  <c r="U9"/>
  <c r="N9"/>
  <c r="O9" s="1"/>
  <c r="I9"/>
  <c r="K9" s="1"/>
  <c r="O93" i="4"/>
  <c r="AS10"/>
  <c r="AS11"/>
  <c r="AS12"/>
  <c r="AS13"/>
  <c r="F23" i="5" s="1"/>
  <c r="AS14" i="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U53" s="1"/>
  <c r="AS54"/>
  <c r="AS55"/>
  <c r="AU55" s="1"/>
  <c r="AS56"/>
  <c r="AS57"/>
  <c r="AU57" s="1"/>
  <c r="AS58"/>
  <c r="AU58" s="1"/>
  <c r="AS59"/>
  <c r="AS60"/>
  <c r="AS61"/>
  <c r="AU61" s="1"/>
  <c r="AS62"/>
  <c r="AU62" s="1"/>
  <c r="AS63"/>
  <c r="AS64"/>
  <c r="AS65"/>
  <c r="AS66"/>
  <c r="AS67"/>
  <c r="AU67" s="1"/>
  <c r="AS68"/>
  <c r="AU68" s="1"/>
  <c r="AS69"/>
  <c r="AU69" s="1"/>
  <c r="AS70"/>
  <c r="AU70" s="1"/>
  <c r="AS71"/>
  <c r="AS72"/>
  <c r="AS73"/>
  <c r="AU73" s="1"/>
  <c r="AS74"/>
  <c r="AU74" s="1"/>
  <c r="AS75"/>
  <c r="AS76"/>
  <c r="AU76" s="1"/>
  <c r="AS77"/>
  <c r="AU77" s="1"/>
  <c r="AS78"/>
  <c r="AU78" s="1"/>
  <c r="AS79"/>
  <c r="AS80"/>
  <c r="AS81"/>
  <c r="AU81" s="1"/>
  <c r="AS82"/>
  <c r="AU82" s="1"/>
  <c r="AS83"/>
  <c r="AS84"/>
  <c r="AU84" s="1"/>
  <c r="AS85"/>
  <c r="AU85" s="1"/>
  <c r="AS86"/>
  <c r="AU86" s="1"/>
  <c r="AS87"/>
  <c r="AU87" s="1"/>
  <c r="AS88"/>
  <c r="AU88" s="1"/>
  <c r="AS89"/>
  <c r="AU89" s="1"/>
  <c r="AS90"/>
  <c r="AS91"/>
  <c r="AU91" s="1"/>
  <c r="AS92"/>
  <c r="AU92" s="1"/>
  <c r="AS93"/>
  <c r="AU93" s="1"/>
  <c r="AS94"/>
  <c r="AU94" s="1"/>
  <c r="AS9"/>
  <c r="BL94"/>
  <c r="BM94" s="1"/>
  <c r="BE94"/>
  <c r="BG94" s="1"/>
  <c r="BI94" s="1"/>
  <c r="AX94"/>
  <c r="AZ94" s="1"/>
  <c r="BB94" s="1"/>
  <c r="AL94"/>
  <c r="AN94" s="1"/>
  <c r="AP94" s="1"/>
  <c r="AE94"/>
  <c r="AG94" s="1"/>
  <c r="AI94" s="1"/>
  <c r="X94"/>
  <c r="U94"/>
  <c r="N94"/>
  <c r="O94" s="1"/>
  <c r="I94"/>
  <c r="K94" s="1"/>
  <c r="BL93"/>
  <c r="BM93" s="1"/>
  <c r="BE93"/>
  <c r="BG93" s="1"/>
  <c r="BI93" s="1"/>
  <c r="AX93"/>
  <c r="AZ93" s="1"/>
  <c r="BB93" s="1"/>
  <c r="AL93"/>
  <c r="AN93" s="1"/>
  <c r="AP93" s="1"/>
  <c r="AE93"/>
  <c r="AG93" s="1"/>
  <c r="AI93" s="1"/>
  <c r="X93"/>
  <c r="Y93" s="1"/>
  <c r="Z93" s="1"/>
  <c r="AB93" s="1"/>
  <c r="U93"/>
  <c r="N93"/>
  <c r="I93"/>
  <c r="K93" s="1"/>
  <c r="BL92"/>
  <c r="BM92" s="1"/>
  <c r="BE92"/>
  <c r="BG92" s="1"/>
  <c r="BI92" s="1"/>
  <c r="AX92"/>
  <c r="AZ92" s="1"/>
  <c r="BB92" s="1"/>
  <c r="AL92"/>
  <c r="AN92" s="1"/>
  <c r="AP92" s="1"/>
  <c r="AE92"/>
  <c r="AG92" s="1"/>
  <c r="AI92" s="1"/>
  <c r="X92"/>
  <c r="U92"/>
  <c r="N92"/>
  <c r="O92" s="1"/>
  <c r="I92"/>
  <c r="K92" s="1"/>
  <c r="BL91"/>
  <c r="BM91" s="1"/>
  <c r="BE91"/>
  <c r="BG91" s="1"/>
  <c r="BI91" s="1"/>
  <c r="AX91"/>
  <c r="AZ91" s="1"/>
  <c r="BB91" s="1"/>
  <c r="AL91"/>
  <c r="AN91" s="1"/>
  <c r="AP91" s="1"/>
  <c r="AE91"/>
  <c r="AG91" s="1"/>
  <c r="AI91" s="1"/>
  <c r="X91"/>
  <c r="U91"/>
  <c r="N91"/>
  <c r="O91" s="1"/>
  <c r="I91"/>
  <c r="K91" s="1"/>
  <c r="BL90"/>
  <c r="BM90" s="1"/>
  <c r="BE90"/>
  <c r="BG90" s="1"/>
  <c r="BI90" s="1"/>
  <c r="AX90"/>
  <c r="AZ90" s="1"/>
  <c r="BB90" s="1"/>
  <c r="AU90"/>
  <c r="AL90"/>
  <c r="AN90" s="1"/>
  <c r="AP90" s="1"/>
  <c r="AE90"/>
  <c r="AG90" s="1"/>
  <c r="AI90" s="1"/>
  <c r="X90"/>
  <c r="U90"/>
  <c r="N90"/>
  <c r="O90" s="1"/>
  <c r="I90"/>
  <c r="K90" s="1"/>
  <c r="BL89"/>
  <c r="BM89" s="1"/>
  <c r="BE89"/>
  <c r="BG89" s="1"/>
  <c r="BI89" s="1"/>
  <c r="AX89"/>
  <c r="AZ89" s="1"/>
  <c r="BB89" s="1"/>
  <c r="AL89"/>
  <c r="AN89" s="1"/>
  <c r="AP89" s="1"/>
  <c r="AE89"/>
  <c r="AG89" s="1"/>
  <c r="AI89" s="1"/>
  <c r="X89"/>
  <c r="U89"/>
  <c r="N89"/>
  <c r="O89" s="1"/>
  <c r="I89"/>
  <c r="K89" s="1"/>
  <c r="BL88"/>
  <c r="BM88" s="1"/>
  <c r="BE88"/>
  <c r="BG88" s="1"/>
  <c r="BI88" s="1"/>
  <c r="AX88"/>
  <c r="AZ88" s="1"/>
  <c r="BB88" s="1"/>
  <c r="AL88"/>
  <c r="AN88" s="1"/>
  <c r="AP88" s="1"/>
  <c r="AE88"/>
  <c r="AG88" s="1"/>
  <c r="AI88" s="1"/>
  <c r="X88"/>
  <c r="U88"/>
  <c r="N88"/>
  <c r="O88" s="1"/>
  <c r="I88"/>
  <c r="K88" s="1"/>
  <c r="BL87"/>
  <c r="BM87" s="1"/>
  <c r="BE87"/>
  <c r="BG87" s="1"/>
  <c r="BI87" s="1"/>
  <c r="AX87"/>
  <c r="AZ87" s="1"/>
  <c r="BB87" s="1"/>
  <c r="AL87"/>
  <c r="AN87" s="1"/>
  <c r="AP87" s="1"/>
  <c r="AE87"/>
  <c r="AG87" s="1"/>
  <c r="AI87" s="1"/>
  <c r="X87"/>
  <c r="U87"/>
  <c r="N87"/>
  <c r="O87" s="1"/>
  <c r="I87"/>
  <c r="K87" s="1"/>
  <c r="BL86"/>
  <c r="BM86" s="1"/>
  <c r="BE86"/>
  <c r="BG86" s="1"/>
  <c r="BI86" s="1"/>
  <c r="AX86"/>
  <c r="AZ86" s="1"/>
  <c r="BB86" s="1"/>
  <c r="AL86"/>
  <c r="AN86" s="1"/>
  <c r="AP86" s="1"/>
  <c r="AE86"/>
  <c r="AG86" s="1"/>
  <c r="AI86" s="1"/>
  <c r="X86"/>
  <c r="U86"/>
  <c r="N86"/>
  <c r="O86" s="1"/>
  <c r="I86"/>
  <c r="K86" s="1"/>
  <c r="BL85"/>
  <c r="BM85" s="1"/>
  <c r="BE85"/>
  <c r="BG85" s="1"/>
  <c r="BI85" s="1"/>
  <c r="AX85"/>
  <c r="AZ85" s="1"/>
  <c r="BB85" s="1"/>
  <c r="AL85"/>
  <c r="AN85" s="1"/>
  <c r="AP85" s="1"/>
  <c r="AE85"/>
  <c r="AG85" s="1"/>
  <c r="AI85" s="1"/>
  <c r="X85"/>
  <c r="U85"/>
  <c r="N85"/>
  <c r="O85" s="1"/>
  <c r="I85"/>
  <c r="K85" s="1"/>
  <c r="BL84"/>
  <c r="BM84" s="1"/>
  <c r="BE84"/>
  <c r="BG84" s="1"/>
  <c r="BI84" s="1"/>
  <c r="AX84"/>
  <c r="AZ84" s="1"/>
  <c r="BB84" s="1"/>
  <c r="AL84"/>
  <c r="AN84" s="1"/>
  <c r="AP84" s="1"/>
  <c r="AE84"/>
  <c r="AG84" s="1"/>
  <c r="AI84" s="1"/>
  <c r="X84"/>
  <c r="U84"/>
  <c r="N84"/>
  <c r="O84" s="1"/>
  <c r="I84"/>
  <c r="K84" s="1"/>
  <c r="BL83"/>
  <c r="BM83" s="1"/>
  <c r="BE83"/>
  <c r="BG83" s="1"/>
  <c r="BI83" s="1"/>
  <c r="AX83"/>
  <c r="AZ83" s="1"/>
  <c r="BB83" s="1"/>
  <c r="AU83"/>
  <c r="AL83"/>
  <c r="AN83" s="1"/>
  <c r="AP83" s="1"/>
  <c r="AE83"/>
  <c r="AG83" s="1"/>
  <c r="AI83" s="1"/>
  <c r="X83"/>
  <c r="U83"/>
  <c r="N83"/>
  <c r="O83" s="1"/>
  <c r="I83"/>
  <c r="K83" s="1"/>
  <c r="BL82"/>
  <c r="BM82" s="1"/>
  <c r="BE82"/>
  <c r="BG82" s="1"/>
  <c r="BI82" s="1"/>
  <c r="AX82"/>
  <c r="AZ82" s="1"/>
  <c r="BB82" s="1"/>
  <c r="AL82"/>
  <c r="AN82" s="1"/>
  <c r="AP82" s="1"/>
  <c r="AE82"/>
  <c r="AG82" s="1"/>
  <c r="AI82" s="1"/>
  <c r="X82"/>
  <c r="U82"/>
  <c r="N82"/>
  <c r="O82" s="1"/>
  <c r="I82"/>
  <c r="K82" s="1"/>
  <c r="BL81"/>
  <c r="BM81" s="1"/>
  <c r="BE81"/>
  <c r="BG81" s="1"/>
  <c r="BI81" s="1"/>
  <c r="AX81"/>
  <c r="AZ81" s="1"/>
  <c r="BB81" s="1"/>
  <c r="AL81"/>
  <c r="AN81" s="1"/>
  <c r="AP81" s="1"/>
  <c r="AE81"/>
  <c r="AG81" s="1"/>
  <c r="AI81" s="1"/>
  <c r="X81"/>
  <c r="U81"/>
  <c r="N81"/>
  <c r="O81" s="1"/>
  <c r="I81"/>
  <c r="K81" s="1"/>
  <c r="BL80"/>
  <c r="BM80" s="1"/>
  <c r="BE80"/>
  <c r="BG80" s="1"/>
  <c r="BI80" s="1"/>
  <c r="AX80"/>
  <c r="AZ80" s="1"/>
  <c r="BB80" s="1"/>
  <c r="AU80"/>
  <c r="AL80"/>
  <c r="AN80" s="1"/>
  <c r="AP80" s="1"/>
  <c r="AE80"/>
  <c r="AG80" s="1"/>
  <c r="AI80" s="1"/>
  <c r="X80"/>
  <c r="U80"/>
  <c r="N80"/>
  <c r="O80" s="1"/>
  <c r="I80"/>
  <c r="K80" s="1"/>
  <c r="BL79"/>
  <c r="BM79" s="1"/>
  <c r="BE79"/>
  <c r="BG79" s="1"/>
  <c r="BI79" s="1"/>
  <c r="AX79"/>
  <c r="AZ79" s="1"/>
  <c r="BB79" s="1"/>
  <c r="AU79"/>
  <c r="AL79"/>
  <c r="AN79" s="1"/>
  <c r="AP79" s="1"/>
  <c r="AE79"/>
  <c r="AG79" s="1"/>
  <c r="AI79" s="1"/>
  <c r="X79"/>
  <c r="U79"/>
  <c r="N79"/>
  <c r="O79" s="1"/>
  <c r="I79"/>
  <c r="K79" s="1"/>
  <c r="BL78"/>
  <c r="BM78" s="1"/>
  <c r="BE78"/>
  <c r="BG78" s="1"/>
  <c r="BI78" s="1"/>
  <c r="AX78"/>
  <c r="AZ78" s="1"/>
  <c r="BB78" s="1"/>
  <c r="AL78"/>
  <c r="AN78" s="1"/>
  <c r="AP78" s="1"/>
  <c r="AE78"/>
  <c r="AG78" s="1"/>
  <c r="AI78" s="1"/>
  <c r="X78"/>
  <c r="U78"/>
  <c r="N78"/>
  <c r="O78" s="1"/>
  <c r="I78"/>
  <c r="K78" s="1"/>
  <c r="BL77"/>
  <c r="BM77" s="1"/>
  <c r="BE77"/>
  <c r="BG77" s="1"/>
  <c r="BI77" s="1"/>
  <c r="AX77"/>
  <c r="AZ77" s="1"/>
  <c r="BB77" s="1"/>
  <c r="AL77"/>
  <c r="AN77" s="1"/>
  <c r="AP77" s="1"/>
  <c r="AE77"/>
  <c r="AG77" s="1"/>
  <c r="AI77" s="1"/>
  <c r="X77"/>
  <c r="U77"/>
  <c r="N77"/>
  <c r="O77" s="1"/>
  <c r="I77"/>
  <c r="K77" s="1"/>
  <c r="BL76"/>
  <c r="BM76" s="1"/>
  <c r="BE76"/>
  <c r="BG76" s="1"/>
  <c r="BI76" s="1"/>
  <c r="AX76"/>
  <c r="AZ76" s="1"/>
  <c r="BB76" s="1"/>
  <c r="AL76"/>
  <c r="AN76" s="1"/>
  <c r="AP76" s="1"/>
  <c r="AE76"/>
  <c r="AG76" s="1"/>
  <c r="AI76" s="1"/>
  <c r="X76"/>
  <c r="U76"/>
  <c r="N76"/>
  <c r="O76" s="1"/>
  <c r="I76"/>
  <c r="K76" s="1"/>
  <c r="BL75"/>
  <c r="BM75" s="1"/>
  <c r="BE75"/>
  <c r="BG75" s="1"/>
  <c r="BI75" s="1"/>
  <c r="AX75"/>
  <c r="AZ75" s="1"/>
  <c r="BB75" s="1"/>
  <c r="AU75"/>
  <c r="AL75"/>
  <c r="AN75" s="1"/>
  <c r="AP75" s="1"/>
  <c r="AE75"/>
  <c r="AG75" s="1"/>
  <c r="AI75" s="1"/>
  <c r="X75"/>
  <c r="U75"/>
  <c r="N75"/>
  <c r="O75" s="1"/>
  <c r="I75"/>
  <c r="K75" s="1"/>
  <c r="BL74"/>
  <c r="BM74" s="1"/>
  <c r="BE74"/>
  <c r="BG74" s="1"/>
  <c r="BI74" s="1"/>
  <c r="AX74"/>
  <c r="AZ74" s="1"/>
  <c r="BB74" s="1"/>
  <c r="AL74"/>
  <c r="AN74" s="1"/>
  <c r="AP74" s="1"/>
  <c r="AE74"/>
  <c r="AG74" s="1"/>
  <c r="AI74" s="1"/>
  <c r="X74"/>
  <c r="U74"/>
  <c r="N74"/>
  <c r="O74" s="1"/>
  <c r="I74"/>
  <c r="K74" s="1"/>
  <c r="BL73"/>
  <c r="BM73" s="1"/>
  <c r="BE73"/>
  <c r="BG73" s="1"/>
  <c r="BI73" s="1"/>
  <c r="AX73"/>
  <c r="AZ73" s="1"/>
  <c r="BB73" s="1"/>
  <c r="AL73"/>
  <c r="AN73" s="1"/>
  <c r="AP73" s="1"/>
  <c r="AE73"/>
  <c r="AG73" s="1"/>
  <c r="AI73" s="1"/>
  <c r="X73"/>
  <c r="U73"/>
  <c r="N73"/>
  <c r="O73" s="1"/>
  <c r="I73"/>
  <c r="K73" s="1"/>
  <c r="BL72"/>
  <c r="BM72" s="1"/>
  <c r="BE72"/>
  <c r="BG72" s="1"/>
  <c r="BI72" s="1"/>
  <c r="AX72"/>
  <c r="AZ72" s="1"/>
  <c r="BB72" s="1"/>
  <c r="AU72"/>
  <c r="AL72"/>
  <c r="AN72" s="1"/>
  <c r="AP72" s="1"/>
  <c r="AE72"/>
  <c r="AG72" s="1"/>
  <c r="AI72" s="1"/>
  <c r="X72"/>
  <c r="U72"/>
  <c r="Y72" s="1"/>
  <c r="Z72" s="1"/>
  <c r="AB72" s="1"/>
  <c r="N72"/>
  <c r="O72" s="1"/>
  <c r="I72"/>
  <c r="K72" s="1"/>
  <c r="BL71"/>
  <c r="BM71" s="1"/>
  <c r="BE71"/>
  <c r="BG71" s="1"/>
  <c r="BI71" s="1"/>
  <c r="AX71"/>
  <c r="AZ71" s="1"/>
  <c r="BB71" s="1"/>
  <c r="AU71"/>
  <c r="AL71"/>
  <c r="AN71" s="1"/>
  <c r="AP71" s="1"/>
  <c r="AE71"/>
  <c r="AG71" s="1"/>
  <c r="AI71" s="1"/>
  <c r="X71"/>
  <c r="U71"/>
  <c r="N71"/>
  <c r="O71" s="1"/>
  <c r="I71"/>
  <c r="K71" s="1"/>
  <c r="BL70"/>
  <c r="BM70" s="1"/>
  <c r="BE70"/>
  <c r="BG70" s="1"/>
  <c r="BI70" s="1"/>
  <c r="AX70"/>
  <c r="AZ70" s="1"/>
  <c r="BB70" s="1"/>
  <c r="AL70"/>
  <c r="AN70" s="1"/>
  <c r="AP70" s="1"/>
  <c r="AE70"/>
  <c r="AG70" s="1"/>
  <c r="AI70" s="1"/>
  <c r="X70"/>
  <c r="U70"/>
  <c r="N70"/>
  <c r="O70" s="1"/>
  <c r="I70"/>
  <c r="K70" s="1"/>
  <c r="BL69"/>
  <c r="BM69" s="1"/>
  <c r="BE69"/>
  <c r="BG69" s="1"/>
  <c r="BI69" s="1"/>
  <c r="AX69"/>
  <c r="AZ69" s="1"/>
  <c r="BB69" s="1"/>
  <c r="AL69"/>
  <c r="AN69" s="1"/>
  <c r="AP69" s="1"/>
  <c r="AE69"/>
  <c r="AG69" s="1"/>
  <c r="AI69" s="1"/>
  <c r="X69"/>
  <c r="Y69" s="1"/>
  <c r="Z69" s="1"/>
  <c r="AB69" s="1"/>
  <c r="U69"/>
  <c r="N69"/>
  <c r="O69" s="1"/>
  <c r="I69"/>
  <c r="K69" s="1"/>
  <c r="BL68"/>
  <c r="BM68" s="1"/>
  <c r="BE68"/>
  <c r="BG68" s="1"/>
  <c r="BI68" s="1"/>
  <c r="AX68"/>
  <c r="AZ68" s="1"/>
  <c r="BB68" s="1"/>
  <c r="AL68"/>
  <c r="AN68" s="1"/>
  <c r="AP68" s="1"/>
  <c r="AE68"/>
  <c r="AG68" s="1"/>
  <c r="AI68" s="1"/>
  <c r="X68"/>
  <c r="U68"/>
  <c r="N68"/>
  <c r="O68" s="1"/>
  <c r="I68"/>
  <c r="K68" s="1"/>
  <c r="BL67"/>
  <c r="BM67" s="1"/>
  <c r="BE67"/>
  <c r="BG67" s="1"/>
  <c r="BI67" s="1"/>
  <c r="AX67"/>
  <c r="AZ67" s="1"/>
  <c r="BB67" s="1"/>
  <c r="AL67"/>
  <c r="AN67" s="1"/>
  <c r="AP67" s="1"/>
  <c r="AE67"/>
  <c r="AG67" s="1"/>
  <c r="AI67" s="1"/>
  <c r="X67"/>
  <c r="U67"/>
  <c r="N67"/>
  <c r="O67" s="1"/>
  <c r="I67"/>
  <c r="K67" s="1"/>
  <c r="BL66"/>
  <c r="BM66" s="1"/>
  <c r="BE66"/>
  <c r="BG66" s="1"/>
  <c r="BI66" s="1"/>
  <c r="AX66"/>
  <c r="AZ66" s="1"/>
  <c r="BB66" s="1"/>
  <c r="AU66"/>
  <c r="AL66"/>
  <c r="AN66" s="1"/>
  <c r="AP66" s="1"/>
  <c r="AE66"/>
  <c r="AG66" s="1"/>
  <c r="AI66" s="1"/>
  <c r="X66"/>
  <c r="U66"/>
  <c r="N66"/>
  <c r="O66" s="1"/>
  <c r="I66"/>
  <c r="K66" s="1"/>
  <c r="BL65"/>
  <c r="BM65" s="1"/>
  <c r="BE65"/>
  <c r="BG65" s="1"/>
  <c r="BI65" s="1"/>
  <c r="AX65"/>
  <c r="AZ65" s="1"/>
  <c r="BB65" s="1"/>
  <c r="AU65"/>
  <c r="AL65"/>
  <c r="AN65" s="1"/>
  <c r="AP65" s="1"/>
  <c r="AE65"/>
  <c r="AG65" s="1"/>
  <c r="AI65" s="1"/>
  <c r="X65"/>
  <c r="U65"/>
  <c r="N65"/>
  <c r="O65" s="1"/>
  <c r="I65"/>
  <c r="K65" s="1"/>
  <c r="BL64"/>
  <c r="BM64" s="1"/>
  <c r="BE64"/>
  <c r="BG64" s="1"/>
  <c r="BI64" s="1"/>
  <c r="AX64"/>
  <c r="AZ64" s="1"/>
  <c r="BB64" s="1"/>
  <c r="AU64"/>
  <c r="AL64"/>
  <c r="AN64" s="1"/>
  <c r="AP64" s="1"/>
  <c r="AE64"/>
  <c r="AG64" s="1"/>
  <c r="AI64" s="1"/>
  <c r="X64"/>
  <c r="U64"/>
  <c r="N64"/>
  <c r="O64" s="1"/>
  <c r="I64"/>
  <c r="K64" s="1"/>
  <c r="BL63"/>
  <c r="BM63" s="1"/>
  <c r="BE63"/>
  <c r="BG63" s="1"/>
  <c r="BI63" s="1"/>
  <c r="AX63"/>
  <c r="AZ63" s="1"/>
  <c r="BB63" s="1"/>
  <c r="AU63"/>
  <c r="AL63"/>
  <c r="AN63" s="1"/>
  <c r="AP63" s="1"/>
  <c r="AE63"/>
  <c r="AG63" s="1"/>
  <c r="AI63" s="1"/>
  <c r="X63"/>
  <c r="U63"/>
  <c r="N63"/>
  <c r="O63" s="1"/>
  <c r="I63"/>
  <c r="K63" s="1"/>
  <c r="BL62"/>
  <c r="BM62" s="1"/>
  <c r="BE62"/>
  <c r="BG62" s="1"/>
  <c r="BI62" s="1"/>
  <c r="AX62"/>
  <c r="AZ62" s="1"/>
  <c r="BB62" s="1"/>
  <c r="AL62"/>
  <c r="AN62" s="1"/>
  <c r="AP62" s="1"/>
  <c r="AE62"/>
  <c r="AG62" s="1"/>
  <c r="AI62" s="1"/>
  <c r="X62"/>
  <c r="U62"/>
  <c r="N62"/>
  <c r="O62" s="1"/>
  <c r="I62"/>
  <c r="K62" s="1"/>
  <c r="BL61"/>
  <c r="BM61" s="1"/>
  <c r="BE61"/>
  <c r="BG61" s="1"/>
  <c r="BI61" s="1"/>
  <c r="AX61"/>
  <c r="AZ61" s="1"/>
  <c r="BB61" s="1"/>
  <c r="AL61"/>
  <c r="AN61" s="1"/>
  <c r="AP61" s="1"/>
  <c r="AE61"/>
  <c r="AG61" s="1"/>
  <c r="AI61" s="1"/>
  <c r="X61"/>
  <c r="U61"/>
  <c r="N61"/>
  <c r="O61" s="1"/>
  <c r="I61"/>
  <c r="K61" s="1"/>
  <c r="BL60"/>
  <c r="BM60" s="1"/>
  <c r="BE60"/>
  <c r="BG60" s="1"/>
  <c r="BI60" s="1"/>
  <c r="AX60"/>
  <c r="AZ60" s="1"/>
  <c r="BB60" s="1"/>
  <c r="AU60"/>
  <c r="AL60"/>
  <c r="AN60" s="1"/>
  <c r="AP60" s="1"/>
  <c r="AE60"/>
  <c r="AG60" s="1"/>
  <c r="AI60" s="1"/>
  <c r="X60"/>
  <c r="U60"/>
  <c r="N60"/>
  <c r="O60" s="1"/>
  <c r="I60"/>
  <c r="K60" s="1"/>
  <c r="BL59"/>
  <c r="BM59" s="1"/>
  <c r="BE59"/>
  <c r="BG59" s="1"/>
  <c r="BI59" s="1"/>
  <c r="AX59"/>
  <c r="AZ59" s="1"/>
  <c r="BB59" s="1"/>
  <c r="AU59"/>
  <c r="AL59"/>
  <c r="AN59" s="1"/>
  <c r="AP59" s="1"/>
  <c r="AE59"/>
  <c r="AG59" s="1"/>
  <c r="AI59" s="1"/>
  <c r="X59"/>
  <c r="U59"/>
  <c r="N59"/>
  <c r="O59" s="1"/>
  <c r="I59"/>
  <c r="K59" s="1"/>
  <c r="BL58"/>
  <c r="BM58" s="1"/>
  <c r="BE58"/>
  <c r="BG58" s="1"/>
  <c r="BI58" s="1"/>
  <c r="AX58"/>
  <c r="AZ58" s="1"/>
  <c r="BB58" s="1"/>
  <c r="AL58"/>
  <c r="AN58" s="1"/>
  <c r="AP58" s="1"/>
  <c r="AE58"/>
  <c r="AG58" s="1"/>
  <c r="AI58" s="1"/>
  <c r="X58"/>
  <c r="U58"/>
  <c r="N58"/>
  <c r="O58" s="1"/>
  <c r="I58"/>
  <c r="K58" s="1"/>
  <c r="BL57"/>
  <c r="BM57" s="1"/>
  <c r="BE57"/>
  <c r="BG57" s="1"/>
  <c r="BI57" s="1"/>
  <c r="AX57"/>
  <c r="AZ57" s="1"/>
  <c r="BB57" s="1"/>
  <c r="AL57"/>
  <c r="AN57" s="1"/>
  <c r="AP57" s="1"/>
  <c r="AE57"/>
  <c r="AG57" s="1"/>
  <c r="AI57" s="1"/>
  <c r="X57"/>
  <c r="U57"/>
  <c r="N57"/>
  <c r="O57" s="1"/>
  <c r="I57"/>
  <c r="K57" s="1"/>
  <c r="BL56"/>
  <c r="BM56" s="1"/>
  <c r="BE56"/>
  <c r="BG56" s="1"/>
  <c r="BI56" s="1"/>
  <c r="AX56"/>
  <c r="AZ56" s="1"/>
  <c r="BB56" s="1"/>
  <c r="AU56"/>
  <c r="AL56"/>
  <c r="AN56" s="1"/>
  <c r="AP56" s="1"/>
  <c r="AE56"/>
  <c r="AG56" s="1"/>
  <c r="AI56" s="1"/>
  <c r="X56"/>
  <c r="U56"/>
  <c r="N56"/>
  <c r="O56" s="1"/>
  <c r="I56"/>
  <c r="K56" s="1"/>
  <c r="BL55"/>
  <c r="BM55" s="1"/>
  <c r="BE55"/>
  <c r="BG55" s="1"/>
  <c r="BI55" s="1"/>
  <c r="AX55"/>
  <c r="AZ55" s="1"/>
  <c r="BB55" s="1"/>
  <c r="AL55"/>
  <c r="AN55" s="1"/>
  <c r="AP55" s="1"/>
  <c r="AE55"/>
  <c r="AG55" s="1"/>
  <c r="AI55" s="1"/>
  <c r="X55"/>
  <c r="U55"/>
  <c r="N55"/>
  <c r="O55" s="1"/>
  <c r="I55"/>
  <c r="K55" s="1"/>
  <c r="BL54"/>
  <c r="BM54" s="1"/>
  <c r="BE54"/>
  <c r="BG54" s="1"/>
  <c r="BI54" s="1"/>
  <c r="AX54"/>
  <c r="AZ54" s="1"/>
  <c r="BB54" s="1"/>
  <c r="AU54"/>
  <c r="AL54"/>
  <c r="AN54" s="1"/>
  <c r="AP54" s="1"/>
  <c r="AE54"/>
  <c r="AG54" s="1"/>
  <c r="AI54" s="1"/>
  <c r="X54"/>
  <c r="U54"/>
  <c r="N54"/>
  <c r="O54" s="1"/>
  <c r="I54"/>
  <c r="K54" s="1"/>
  <c r="BL53"/>
  <c r="BM53" s="1"/>
  <c r="BE53"/>
  <c r="BG53" s="1"/>
  <c r="BI53" s="1"/>
  <c r="AX53"/>
  <c r="AZ53" s="1"/>
  <c r="BB53" s="1"/>
  <c r="AL53"/>
  <c r="AN53" s="1"/>
  <c r="AP53" s="1"/>
  <c r="AE53"/>
  <c r="AG53" s="1"/>
  <c r="AI53" s="1"/>
  <c r="X53"/>
  <c r="U53"/>
  <c r="N53"/>
  <c r="O53" s="1"/>
  <c r="I53"/>
  <c r="K53" s="1"/>
  <c r="BL52"/>
  <c r="BM52" s="1"/>
  <c r="BE52"/>
  <c r="BG52" s="1"/>
  <c r="BI52" s="1"/>
  <c r="AX52"/>
  <c r="AZ52" s="1"/>
  <c r="BB52" s="1"/>
  <c r="AU52"/>
  <c r="AL52"/>
  <c r="AN52" s="1"/>
  <c r="AP52" s="1"/>
  <c r="AE52"/>
  <c r="AG52" s="1"/>
  <c r="AI52" s="1"/>
  <c r="X52"/>
  <c r="U52"/>
  <c r="N52"/>
  <c r="O52" s="1"/>
  <c r="I52"/>
  <c r="K52" s="1"/>
  <c r="BL51"/>
  <c r="BM51" s="1"/>
  <c r="BE51"/>
  <c r="BG51" s="1"/>
  <c r="AX51"/>
  <c r="AZ51" s="1"/>
  <c r="AU51"/>
  <c r="AL51"/>
  <c r="AN51" s="1"/>
  <c r="AP51" s="1"/>
  <c r="AE51"/>
  <c r="AG51" s="1"/>
  <c r="X51"/>
  <c r="Y51" s="1"/>
  <c r="Z51" s="1"/>
  <c r="AB51" s="1"/>
  <c r="U51"/>
  <c r="N51"/>
  <c r="O51" s="1"/>
  <c r="I51"/>
  <c r="K51" s="1"/>
  <c r="BN9" i="1" l="1"/>
  <c r="M26" i="5" s="1"/>
  <c r="BT18" i="1"/>
  <c r="BX18" i="3" s="1"/>
  <c r="Y73" i="4"/>
  <c r="Z73" s="1"/>
  <c r="AB73" s="1"/>
  <c r="AT9"/>
  <c r="Y81"/>
  <c r="Z81" s="1"/>
  <c r="AB81" s="1"/>
  <c r="Y76"/>
  <c r="Z76" s="1"/>
  <c r="AB76" s="1"/>
  <c r="Y86"/>
  <c r="Z86" s="1"/>
  <c r="AB86" s="1"/>
  <c r="Y56"/>
  <c r="Z56" s="1"/>
  <c r="AB56" s="1"/>
  <c r="Y84"/>
  <c r="Z84" s="1"/>
  <c r="AB84" s="1"/>
  <c r="BO94"/>
  <c r="Y94"/>
  <c r="Z94" s="1"/>
  <c r="AB94" s="1"/>
  <c r="BO27" i="1"/>
  <c r="Y16"/>
  <c r="Z16" s="1"/>
  <c r="AB16" s="1"/>
  <c r="Y34"/>
  <c r="Z34" s="1"/>
  <c r="AB34" s="1"/>
  <c r="P16"/>
  <c r="Y18"/>
  <c r="Z18" s="1"/>
  <c r="AB18" s="1"/>
  <c r="Y28"/>
  <c r="Z28" s="1"/>
  <c r="AB28" s="1"/>
  <c r="Y27"/>
  <c r="Z27" s="1"/>
  <c r="AB27" s="1"/>
  <c r="Y42"/>
  <c r="Z42" s="1"/>
  <c r="AB42" s="1"/>
  <c r="Y15"/>
  <c r="Z15" s="1"/>
  <c r="AB15" s="1"/>
  <c r="O38"/>
  <c r="P38" s="1"/>
  <c r="R38" s="1"/>
  <c r="Y19"/>
  <c r="Z19" s="1"/>
  <c r="AB19" s="1"/>
  <c r="P32"/>
  <c r="Y35"/>
  <c r="Z35" s="1"/>
  <c r="AB35" s="1"/>
  <c r="P37"/>
  <c r="O46"/>
  <c r="P46" s="1"/>
  <c r="R46" s="1"/>
  <c r="Y9"/>
  <c r="Z9" s="1"/>
  <c r="P21"/>
  <c r="R21" s="1"/>
  <c r="Y11"/>
  <c r="Z11" s="1"/>
  <c r="AB11" s="1"/>
  <c r="P13"/>
  <c r="R13" s="1"/>
  <c r="Y31"/>
  <c r="Z31" s="1"/>
  <c r="AB31" s="1"/>
  <c r="BO48"/>
  <c r="Y20"/>
  <c r="Z20" s="1"/>
  <c r="AB20" s="1"/>
  <c r="P30"/>
  <c r="R30" s="1"/>
  <c r="Y23"/>
  <c r="Z23" s="1"/>
  <c r="AB23" s="1"/>
  <c r="P11"/>
  <c r="Y25"/>
  <c r="Z25" s="1"/>
  <c r="AB25" s="1"/>
  <c r="P29"/>
  <c r="P23"/>
  <c r="Y47"/>
  <c r="Z47" s="1"/>
  <c r="AB47" s="1"/>
  <c r="P24"/>
  <c r="Y41"/>
  <c r="Z41" s="1"/>
  <c r="AB41" s="1"/>
  <c r="Y17"/>
  <c r="Z17" s="1"/>
  <c r="AB17" s="1"/>
  <c r="P45"/>
  <c r="BO44"/>
  <c r="BP44" s="1"/>
  <c r="BQ44" s="1"/>
  <c r="CB44" i="3" s="1"/>
  <c r="Y32" i="1"/>
  <c r="Z32" s="1"/>
  <c r="AB32" s="1"/>
  <c r="Y33"/>
  <c r="Z33" s="1"/>
  <c r="AB33" s="1"/>
  <c r="BO39"/>
  <c r="P48"/>
  <c r="R48" s="1"/>
  <c r="BO43"/>
  <c r="BO47"/>
  <c r="Y13"/>
  <c r="Z13" s="1"/>
  <c r="AB13" s="1"/>
  <c r="P39"/>
  <c r="P20"/>
  <c r="P40"/>
  <c r="P10"/>
  <c r="R10" s="1"/>
  <c r="BO19"/>
  <c r="P26"/>
  <c r="BO35"/>
  <c r="P42"/>
  <c r="Y44"/>
  <c r="Z44" s="1"/>
  <c r="AB44" s="1"/>
  <c r="BO13"/>
  <c r="Y22"/>
  <c r="Z22" s="1"/>
  <c r="AB22" s="1"/>
  <c r="BO29"/>
  <c r="Y38"/>
  <c r="Z38" s="1"/>
  <c r="AB38" s="1"/>
  <c r="BO45"/>
  <c r="BO49"/>
  <c r="AU17"/>
  <c r="P22"/>
  <c r="R22" s="1"/>
  <c r="Y40"/>
  <c r="Z40" s="1"/>
  <c r="AB40" s="1"/>
  <c r="BO9"/>
  <c r="P12"/>
  <c r="BO25"/>
  <c r="P28"/>
  <c r="BO41"/>
  <c r="P44"/>
  <c r="R44" s="1"/>
  <c r="P19"/>
  <c r="Y21"/>
  <c r="Z21" s="1"/>
  <c r="AB21" s="1"/>
  <c r="P35"/>
  <c r="R35" s="1"/>
  <c r="Y37"/>
  <c r="Z37" s="1"/>
  <c r="AB37" s="1"/>
  <c r="P18"/>
  <c r="P34"/>
  <c r="Y14"/>
  <c r="Z14" s="1"/>
  <c r="AB14" s="1"/>
  <c r="BO21"/>
  <c r="BP21" s="1"/>
  <c r="BQ21" s="1"/>
  <c r="CB21" i="3" s="1"/>
  <c r="Y30" i="1"/>
  <c r="Z30" s="1"/>
  <c r="AB30" s="1"/>
  <c r="BO37"/>
  <c r="Y46"/>
  <c r="Z46" s="1"/>
  <c r="AB46" s="1"/>
  <c r="P15"/>
  <c r="P31"/>
  <c r="P47"/>
  <c r="Y50"/>
  <c r="Z50" s="1"/>
  <c r="AB50" s="1"/>
  <c r="P14"/>
  <c r="BO23"/>
  <c r="Y10"/>
  <c r="Z10" s="1"/>
  <c r="AB10" s="1"/>
  <c r="BO17"/>
  <c r="BO33"/>
  <c r="P36"/>
  <c r="Y49"/>
  <c r="Z49" s="1"/>
  <c r="AB49" s="1"/>
  <c r="P50"/>
  <c r="R50" s="1"/>
  <c r="P27"/>
  <c r="R27" s="1"/>
  <c r="Y29"/>
  <c r="Z29" s="1"/>
  <c r="AB29" s="1"/>
  <c r="P43"/>
  <c r="Y45"/>
  <c r="Z45" s="1"/>
  <c r="AB45" s="1"/>
  <c r="Y48"/>
  <c r="Z48" s="1"/>
  <c r="AB48" s="1"/>
  <c r="R26"/>
  <c r="P49"/>
  <c r="R16"/>
  <c r="R32"/>
  <c r="R23"/>
  <c r="P25"/>
  <c r="P41"/>
  <c r="R18"/>
  <c r="R37"/>
  <c r="BB9"/>
  <c r="P9"/>
  <c r="BI11"/>
  <c r="R14"/>
  <c r="R36"/>
  <c r="P17"/>
  <c r="P33"/>
  <c r="R11"/>
  <c r="AB9"/>
  <c r="AP9"/>
  <c r="BO10"/>
  <c r="BO14"/>
  <c r="BO18"/>
  <c r="BP18" s="1"/>
  <c r="BQ18" s="1"/>
  <c r="CB18" i="3" s="1"/>
  <c r="BO22" i="1"/>
  <c r="BO26"/>
  <c r="BO30"/>
  <c r="BO34"/>
  <c r="BO38"/>
  <c r="BO42"/>
  <c r="BO46"/>
  <c r="BO50"/>
  <c r="AI9"/>
  <c r="P56" i="4"/>
  <c r="Y57"/>
  <c r="Z57" s="1"/>
  <c r="AB57" s="1"/>
  <c r="Y89"/>
  <c r="Z89" s="1"/>
  <c r="AB89" s="1"/>
  <c r="Y85"/>
  <c r="Z85" s="1"/>
  <c r="AB85" s="1"/>
  <c r="Y59"/>
  <c r="Z59" s="1"/>
  <c r="AB59" s="1"/>
  <c r="Y66"/>
  <c r="Z66" s="1"/>
  <c r="AB66" s="1"/>
  <c r="Y79"/>
  <c r="Z79" s="1"/>
  <c r="AB79" s="1"/>
  <c r="P60"/>
  <c r="Y75"/>
  <c r="Z75" s="1"/>
  <c r="AB75" s="1"/>
  <c r="Y54"/>
  <c r="Z54" s="1"/>
  <c r="AB54" s="1"/>
  <c r="Y62"/>
  <c r="Z62" s="1"/>
  <c r="AB62" s="1"/>
  <c r="Y88"/>
  <c r="Z88" s="1"/>
  <c r="AB88" s="1"/>
  <c r="P55"/>
  <c r="Y63"/>
  <c r="Z63" s="1"/>
  <c r="AB63" s="1"/>
  <c r="Y77"/>
  <c r="Z77" s="1"/>
  <c r="AB77" s="1"/>
  <c r="Y83"/>
  <c r="Z83" s="1"/>
  <c r="AB83" s="1"/>
  <c r="Y52"/>
  <c r="Z52" s="1"/>
  <c r="Y53"/>
  <c r="Z53" s="1"/>
  <c r="AB53" s="1"/>
  <c r="P79"/>
  <c r="Y87"/>
  <c r="Z87" s="1"/>
  <c r="AB87" s="1"/>
  <c r="P59"/>
  <c r="P88"/>
  <c r="BT88" s="1"/>
  <c r="BW88" i="3" s="1"/>
  <c r="BZ88" s="1"/>
  <c r="Y61" i="4"/>
  <c r="Z61" s="1"/>
  <c r="AB61" s="1"/>
  <c r="Y82"/>
  <c r="Z82" s="1"/>
  <c r="AB82" s="1"/>
  <c r="Y90"/>
  <c r="Z90" s="1"/>
  <c r="AB90" s="1"/>
  <c r="P58"/>
  <c r="BO59"/>
  <c r="P63"/>
  <c r="P83"/>
  <c r="Y92"/>
  <c r="Z92" s="1"/>
  <c r="AB92" s="1"/>
  <c r="BO67"/>
  <c r="Y65"/>
  <c r="Z65" s="1"/>
  <c r="AB65" s="1"/>
  <c r="Y67"/>
  <c r="Z67" s="1"/>
  <c r="AB67" s="1"/>
  <c r="P92"/>
  <c r="BT92" s="1"/>
  <c r="BW92" i="3" s="1"/>
  <c r="BZ92" s="1"/>
  <c r="BO63" i="4"/>
  <c r="P67"/>
  <c r="BO83"/>
  <c r="P87"/>
  <c r="BO71"/>
  <c r="P75"/>
  <c r="P62"/>
  <c r="P54"/>
  <c r="BO82"/>
  <c r="P74"/>
  <c r="Y80"/>
  <c r="Z80" s="1"/>
  <c r="AB80" s="1"/>
  <c r="BO87"/>
  <c r="P80"/>
  <c r="P82"/>
  <c r="BT82" s="1"/>
  <c r="BW82" i="3" s="1"/>
  <c r="BZ82" s="1"/>
  <c r="BO51" i="4"/>
  <c r="Y58"/>
  <c r="Z58" s="1"/>
  <c r="AB58" s="1"/>
  <c r="Y64"/>
  <c r="Z64" s="1"/>
  <c r="AB64" s="1"/>
  <c r="Y71"/>
  <c r="Z71" s="1"/>
  <c r="AB71" s="1"/>
  <c r="P72"/>
  <c r="Y91"/>
  <c r="Z91" s="1"/>
  <c r="AB91" s="1"/>
  <c r="BO58"/>
  <c r="P64"/>
  <c r="P66"/>
  <c r="BT66" s="1"/>
  <c r="BW66" i="3" s="1"/>
  <c r="BZ66" s="1"/>
  <c r="P71" i="4"/>
  <c r="P91"/>
  <c r="R91" s="1"/>
  <c r="P94"/>
  <c r="P52"/>
  <c r="Y55"/>
  <c r="Z55" s="1"/>
  <c r="AB55" s="1"/>
  <c r="Y78"/>
  <c r="Z78" s="1"/>
  <c r="AB78" s="1"/>
  <c r="BO79"/>
  <c r="BO74"/>
  <c r="Y70"/>
  <c r="Z70" s="1"/>
  <c r="AB70" s="1"/>
  <c r="BO91"/>
  <c r="BO75"/>
  <c r="P76"/>
  <c r="BO78"/>
  <c r="P84"/>
  <c r="BT84" s="1"/>
  <c r="BW84" i="3" s="1"/>
  <c r="BZ84" s="1"/>
  <c r="P86" i="4"/>
  <c r="BO55"/>
  <c r="Y68"/>
  <c r="Z68" s="1"/>
  <c r="AB68" s="1"/>
  <c r="BO70"/>
  <c r="P78"/>
  <c r="BO62"/>
  <c r="P68"/>
  <c r="BT68" s="1"/>
  <c r="BW68" i="3" s="1"/>
  <c r="BZ68" s="1"/>
  <c r="BO66" i="4"/>
  <c r="BO54"/>
  <c r="Y60"/>
  <c r="Z60" s="1"/>
  <c r="AB60" s="1"/>
  <c r="P70"/>
  <c r="Y74"/>
  <c r="Z74" s="1"/>
  <c r="AB74" s="1"/>
  <c r="P90"/>
  <c r="BT90" s="1"/>
  <c r="BW90" i="3" s="1"/>
  <c r="BZ90" s="1"/>
  <c r="BO86" i="4"/>
  <c r="BO90"/>
  <c r="P77"/>
  <c r="BT77" s="1"/>
  <c r="BW77" i="3" s="1"/>
  <c r="BZ77" s="1"/>
  <c r="P53" i="4"/>
  <c r="P81"/>
  <c r="BO80"/>
  <c r="BB51"/>
  <c r="R56"/>
  <c r="P57"/>
  <c r="BT57" s="1"/>
  <c r="BW57" i="3" s="1"/>
  <c r="BZ57" s="1"/>
  <c r="P85" i="4"/>
  <c r="BT85" s="1"/>
  <c r="BW85" i="3" s="1"/>
  <c r="BZ85" s="1"/>
  <c r="P89" i="4"/>
  <c r="BT89" s="1"/>
  <c r="BW89" i="3" s="1"/>
  <c r="BZ89" s="1"/>
  <c r="R60" i="4"/>
  <c r="BI51"/>
  <c r="BO56"/>
  <c r="P61"/>
  <c r="P93"/>
  <c r="BT93" s="1"/>
  <c r="BW93" i="3" s="1"/>
  <c r="BZ93" s="1"/>
  <c r="R74" i="4"/>
  <c r="BO60"/>
  <c r="P51"/>
  <c r="BT51" s="1"/>
  <c r="BW51" i="3" s="1"/>
  <c r="BZ51" s="1"/>
  <c r="P65" i="4"/>
  <c r="BT65" s="1"/>
  <c r="BW65" i="3" s="1"/>
  <c r="BZ65" s="1"/>
  <c r="BO64" i="4"/>
  <c r="P69"/>
  <c r="BT69" s="1"/>
  <c r="BW69" i="3" s="1"/>
  <c r="BZ69" s="1"/>
  <c r="P73" i="4"/>
  <c r="BT73" s="1"/>
  <c r="BW73" i="3" s="1"/>
  <c r="BZ73" s="1"/>
  <c r="AB52" i="4"/>
  <c r="BO52"/>
  <c r="BO68"/>
  <c r="BO72"/>
  <c r="BO76"/>
  <c r="BO84"/>
  <c r="BO88"/>
  <c r="BO92"/>
  <c r="BO53"/>
  <c r="BO57"/>
  <c r="BO61"/>
  <c r="BO65"/>
  <c r="BO69"/>
  <c r="BO73"/>
  <c r="BO77"/>
  <c r="BO81"/>
  <c r="BO85"/>
  <c r="BO89"/>
  <c r="BO93"/>
  <c r="AI51"/>
  <c r="R79" l="1"/>
  <c r="BP79" s="1"/>
  <c r="BQ79" s="1"/>
  <c r="CA79" i="3" s="1"/>
  <c r="CD79" s="1"/>
  <c r="BT79" i="4"/>
  <c r="BW79" i="3" s="1"/>
  <c r="BZ79" s="1"/>
  <c r="BP70" i="4"/>
  <c r="BQ70" s="1"/>
  <c r="CA70" i="3" s="1"/>
  <c r="CD70" s="1"/>
  <c r="R59" i="4"/>
  <c r="BP59" s="1"/>
  <c r="BQ59" s="1"/>
  <c r="CA59" i="3" s="1"/>
  <c r="CD59" s="1"/>
  <c r="BT59" i="4"/>
  <c r="BW59" i="3" s="1"/>
  <c r="BZ59" s="1"/>
  <c r="R54" i="4"/>
  <c r="BP54" s="1"/>
  <c r="BQ54" s="1"/>
  <c r="CA54" i="3" s="1"/>
  <c r="CD54" s="1"/>
  <c r="BT54" i="4"/>
  <c r="BW54" i="3" s="1"/>
  <c r="BZ54" s="1"/>
  <c r="R64" i="4"/>
  <c r="BT64"/>
  <c r="BW64" i="3" s="1"/>
  <c r="BZ64" s="1"/>
  <c r="BT74" i="4"/>
  <c r="BW74" i="3" s="1"/>
  <c r="BZ74" s="1"/>
  <c r="BT60" i="4"/>
  <c r="BW60" i="3" s="1"/>
  <c r="BZ60" s="1"/>
  <c r="R76" i="4"/>
  <c r="BT76"/>
  <c r="BW76" i="3" s="1"/>
  <c r="BZ76" s="1"/>
  <c r="R71" i="4"/>
  <c r="BP71" s="1"/>
  <c r="BQ71" s="1"/>
  <c r="CA71" i="3" s="1"/>
  <c r="CD71" s="1"/>
  <c r="BT71" i="4"/>
  <c r="BW71" i="3" s="1"/>
  <c r="BZ71" s="1"/>
  <c r="R80" i="4"/>
  <c r="BT80"/>
  <c r="BW80" i="3" s="1"/>
  <c r="BZ80" s="1"/>
  <c r="R86" i="4"/>
  <c r="BT86"/>
  <c r="BW86" i="3" s="1"/>
  <c r="BZ86" s="1"/>
  <c r="R94" i="4"/>
  <c r="BP94" s="1"/>
  <c r="BQ94" s="1"/>
  <c r="CA94" i="3" s="1"/>
  <c r="CD94" s="1"/>
  <c r="BT94" i="4"/>
  <c r="BW94" i="3" s="1"/>
  <c r="BZ94" s="1"/>
  <c r="R52" i="4"/>
  <c r="BP52" s="1"/>
  <c r="BQ52" s="1"/>
  <c r="CA52" i="3" s="1"/>
  <c r="CD52" s="1"/>
  <c r="BT52" i="4"/>
  <c r="BW52" i="3" s="1"/>
  <c r="BZ52" s="1"/>
  <c r="R55" i="4"/>
  <c r="BP55" s="1"/>
  <c r="BQ55" s="1"/>
  <c r="CA55" i="3" s="1"/>
  <c r="CD55" s="1"/>
  <c r="BT55" i="4"/>
  <c r="BW55" i="3" s="1"/>
  <c r="BZ55" s="1"/>
  <c r="BT91" i="4"/>
  <c r="BW91" i="3" s="1"/>
  <c r="BZ91" s="1"/>
  <c r="R66" i="4"/>
  <c r="BT67"/>
  <c r="BW67" i="3" s="1"/>
  <c r="BZ67" s="1"/>
  <c r="R92" i="4"/>
  <c r="BP92" s="1"/>
  <c r="BQ92" s="1"/>
  <c r="CA92" i="3" s="1"/>
  <c r="CD92" s="1"/>
  <c r="BT56" i="4"/>
  <c r="BW56" i="3" s="1"/>
  <c r="BZ56" s="1"/>
  <c r="R87" i="4"/>
  <c r="BP87" s="1"/>
  <c r="BQ87" s="1"/>
  <c r="CA87" i="3" s="1"/>
  <c r="CD87" s="1"/>
  <c r="BT87" i="4"/>
  <c r="BW87" i="3" s="1"/>
  <c r="BZ87" s="1"/>
  <c r="R70" i="4"/>
  <c r="BT70"/>
  <c r="BW70" i="3" s="1"/>
  <c r="BZ70" s="1"/>
  <c r="R58" i="4"/>
  <c r="BP58" s="1"/>
  <c r="BQ58" s="1"/>
  <c r="CA58" i="3" s="1"/>
  <c r="CD58" s="1"/>
  <c r="BT58" i="4"/>
  <c r="BW58" i="3" s="1"/>
  <c r="BZ58" s="1"/>
  <c r="R78" i="4"/>
  <c r="BP78" s="1"/>
  <c r="BQ78" s="1"/>
  <c r="CA78" i="3" s="1"/>
  <c r="CD78" s="1"/>
  <c r="BT78" i="4"/>
  <c r="BW78" i="3" s="1"/>
  <c r="BZ78" s="1"/>
  <c r="R72" i="4"/>
  <c r="BP72" s="1"/>
  <c r="BQ72" s="1"/>
  <c r="CA72" i="3" s="1"/>
  <c r="CD72" s="1"/>
  <c r="BT72" i="4"/>
  <c r="BW72" i="3" s="1"/>
  <c r="BZ72" s="1"/>
  <c r="R62" i="4"/>
  <c r="BT62"/>
  <c r="BW62" i="3" s="1"/>
  <c r="BZ62" s="1"/>
  <c r="R83" i="4"/>
  <c r="BT83"/>
  <c r="BW83" i="3" s="1"/>
  <c r="BZ83" s="1"/>
  <c r="BP60" i="4"/>
  <c r="BQ60" s="1"/>
  <c r="CA60" i="3" s="1"/>
  <c r="CD60" s="1"/>
  <c r="BT53" i="4"/>
  <c r="BW53" i="3" s="1"/>
  <c r="BZ53" s="1"/>
  <c r="BT75" i="4"/>
  <c r="BW75" i="3" s="1"/>
  <c r="BZ75" s="1"/>
  <c r="BT63" i="4"/>
  <c r="BW63" i="3" s="1"/>
  <c r="BZ63" s="1"/>
  <c r="BT61" i="4"/>
  <c r="BW61" i="3" s="1"/>
  <c r="BZ61" s="1"/>
  <c r="BT81" i="4"/>
  <c r="BW81" i="3" s="1"/>
  <c r="BZ81" s="1"/>
  <c r="BP91" i="4"/>
  <c r="BQ91" s="1"/>
  <c r="CA91" i="3" s="1"/>
  <c r="CD91" s="1"/>
  <c r="BP64" i="4"/>
  <c r="BQ64" s="1"/>
  <c r="CA64" i="3" s="1"/>
  <c r="CD64" s="1"/>
  <c r="BP80" i="4"/>
  <c r="BQ80" s="1"/>
  <c r="CA80" i="3" s="1"/>
  <c r="CD80" s="1"/>
  <c r="BP76" i="4"/>
  <c r="BQ76" s="1"/>
  <c r="CA76" i="3" s="1"/>
  <c r="CD76" s="1"/>
  <c r="BP74" i="4"/>
  <c r="BQ74" s="1"/>
  <c r="CA74" i="3" s="1"/>
  <c r="CD74" s="1"/>
  <c r="BP86" i="4"/>
  <c r="BQ86" s="1"/>
  <c r="CA86" i="3" s="1"/>
  <c r="CD86" s="1"/>
  <c r="BP62" i="4"/>
  <c r="BQ62" s="1"/>
  <c r="CA62" i="3" s="1"/>
  <c r="CD62" s="1"/>
  <c r="BP83" i="4"/>
  <c r="BQ83" s="1"/>
  <c r="CA83" i="3" s="1"/>
  <c r="CD83" s="1"/>
  <c r="BP66" i="4"/>
  <c r="BQ66" s="1"/>
  <c r="CA66" i="3" s="1"/>
  <c r="CD66" s="1"/>
  <c r="BS59" i="4"/>
  <c r="BP56"/>
  <c r="BQ56" s="1"/>
  <c r="CA56" i="3" s="1"/>
  <c r="CD56" s="1"/>
  <c r="BS94" i="4"/>
  <c r="BS48" i="1"/>
  <c r="BR18"/>
  <c r="BS38"/>
  <c r="BS22"/>
  <c r="BS30"/>
  <c r="R15"/>
  <c r="BR15" s="1"/>
  <c r="R12"/>
  <c r="R40"/>
  <c r="BS40" s="1"/>
  <c r="R20"/>
  <c r="BS20" s="1"/>
  <c r="R29"/>
  <c r="BR29" s="1"/>
  <c r="R45"/>
  <c r="BR45" s="1"/>
  <c r="R47"/>
  <c r="BS47" s="1"/>
  <c r="R43"/>
  <c r="BR43" s="1"/>
  <c r="R42"/>
  <c r="BR42" s="1"/>
  <c r="R24"/>
  <c r="BS24" s="1"/>
  <c r="R39"/>
  <c r="BS39" s="1"/>
  <c r="R19"/>
  <c r="BS19" s="1"/>
  <c r="R31"/>
  <c r="BS31" s="1"/>
  <c r="R34"/>
  <c r="BR34" s="1"/>
  <c r="R28"/>
  <c r="BS28" s="1"/>
  <c r="BR46"/>
  <c r="BR36"/>
  <c r="BS36"/>
  <c r="R41"/>
  <c r="BR10"/>
  <c r="BS10"/>
  <c r="R9"/>
  <c r="BR38"/>
  <c r="BR50"/>
  <c r="BS50"/>
  <c r="BR37"/>
  <c r="BS37"/>
  <c r="BS32"/>
  <c r="BR32"/>
  <c r="BR26"/>
  <c r="BS26"/>
  <c r="BR35"/>
  <c r="BS35"/>
  <c r="R17"/>
  <c r="BR14"/>
  <c r="BS14"/>
  <c r="BS12"/>
  <c r="BR12"/>
  <c r="R33"/>
  <c r="BR23"/>
  <c r="BS23"/>
  <c r="R49"/>
  <c r="BR27"/>
  <c r="BS27"/>
  <c r="BR44"/>
  <c r="BS44"/>
  <c r="BS13"/>
  <c r="BR13"/>
  <c r="BS21"/>
  <c r="BR21"/>
  <c r="BS16"/>
  <c r="BR16"/>
  <c r="R25"/>
  <c r="BR22"/>
  <c r="R88" i="4"/>
  <c r="R84"/>
  <c r="R68"/>
  <c r="R67"/>
  <c r="R82"/>
  <c r="R63"/>
  <c r="R75"/>
  <c r="R90"/>
  <c r="BR60"/>
  <c r="R65"/>
  <c r="R85"/>
  <c r="R89"/>
  <c r="R77"/>
  <c r="BR91"/>
  <c r="R61"/>
  <c r="R53"/>
  <c r="R93"/>
  <c r="R81"/>
  <c r="R69"/>
  <c r="R73"/>
  <c r="R51"/>
  <c r="BR70"/>
  <c r="BS70"/>
  <c r="R57"/>
  <c r="BS58" l="1"/>
  <c r="BS52"/>
  <c r="BR64"/>
  <c r="BS64"/>
  <c r="BS91"/>
  <c r="BS71"/>
  <c r="BR71"/>
  <c r="BS56"/>
  <c r="BR56"/>
  <c r="BS76"/>
  <c r="BR76"/>
  <c r="BS78"/>
  <c r="BR78"/>
  <c r="BS86"/>
  <c r="BR86"/>
  <c r="BR79"/>
  <c r="BS79"/>
  <c r="BS92"/>
  <c r="BR92"/>
  <c r="BS55"/>
  <c r="BR55"/>
  <c r="BS74"/>
  <c r="BR74"/>
  <c r="BR62"/>
  <c r="BS62"/>
  <c r="BS87"/>
  <c r="BR87"/>
  <c r="BR80"/>
  <c r="BS80"/>
  <c r="BR83"/>
  <c r="BS83"/>
  <c r="BR72"/>
  <c r="BS72"/>
  <c r="BR66"/>
  <c r="BS66"/>
  <c r="BR54"/>
  <c r="BS54"/>
  <c r="BP73"/>
  <c r="BQ73" s="1"/>
  <c r="CA73" i="3" s="1"/>
  <c r="CD73" s="1"/>
  <c r="BR59" i="4"/>
  <c r="BR57"/>
  <c r="BP57"/>
  <c r="BQ57" s="1"/>
  <c r="CA57" i="3" s="1"/>
  <c r="CD57" s="1"/>
  <c r="BP69" i="4"/>
  <c r="BQ69" s="1"/>
  <c r="CA69" i="3" s="1"/>
  <c r="CD69" s="1"/>
  <c r="BP81" i="4"/>
  <c r="BQ81" s="1"/>
  <c r="CA81" i="3" s="1"/>
  <c r="CD81" s="1"/>
  <c r="BP77" i="4"/>
  <c r="BQ77" s="1"/>
  <c r="CA77" i="3" s="1"/>
  <c r="CD77" s="1"/>
  <c r="BP89" i="4"/>
  <c r="BQ89" s="1"/>
  <c r="CA89" i="3" s="1"/>
  <c r="CD89" s="1"/>
  <c r="BP65" i="4"/>
  <c r="BQ65" s="1"/>
  <c r="CA65" i="3" s="1"/>
  <c r="CD65" s="1"/>
  <c r="BP51" i="4"/>
  <c r="BQ51" s="1"/>
  <c r="CA51" i="3" s="1"/>
  <c r="CD51" s="1"/>
  <c r="BP61" i="4"/>
  <c r="BQ61" s="1"/>
  <c r="CA61" i="3" s="1"/>
  <c r="CD61" s="1"/>
  <c r="BP75" i="4"/>
  <c r="BQ75" s="1"/>
  <c r="CA75" i="3" s="1"/>
  <c r="CD75" s="1"/>
  <c r="BP53" i="4"/>
  <c r="BR84"/>
  <c r="BP84"/>
  <c r="BQ84" s="1"/>
  <c r="CA84" i="3" s="1"/>
  <c r="CD84" s="1"/>
  <c r="BP68" i="4"/>
  <c r="BQ68" s="1"/>
  <c r="CA68" i="3" s="1"/>
  <c r="CD68" s="1"/>
  <c r="BP88" i="4"/>
  <c r="BQ88" s="1"/>
  <c r="CA88" i="3" s="1"/>
  <c r="CD88" s="1"/>
  <c r="BP93" i="4"/>
  <c r="BQ93" s="1"/>
  <c r="CA93" i="3" s="1"/>
  <c r="CD93" s="1"/>
  <c r="BP85" i="4"/>
  <c r="BQ85" s="1"/>
  <c r="CA85" i="3" s="1"/>
  <c r="CD85" s="1"/>
  <c r="BP90" i="4"/>
  <c r="BQ90" s="1"/>
  <c r="CA90" i="3" s="1"/>
  <c r="CD90" s="1"/>
  <c r="BP67" i="4"/>
  <c r="BQ67" s="1"/>
  <c r="CA67" i="3" s="1"/>
  <c r="CD67" s="1"/>
  <c r="BP82" i="4"/>
  <c r="BQ82" s="1"/>
  <c r="CA82" i="3" s="1"/>
  <c r="CD82" s="1"/>
  <c r="BP63" i="4"/>
  <c r="BQ63" s="1"/>
  <c r="CA63" i="3" s="1"/>
  <c r="CD63" s="1"/>
  <c r="BR48" i="1"/>
  <c r="BS18"/>
  <c r="BS60" i="4"/>
  <c r="BR94"/>
  <c r="BS34" i="1"/>
  <c r="BS29"/>
  <c r="BR30"/>
  <c r="BS15"/>
  <c r="BR31"/>
  <c r="BR40"/>
  <c r="BR20"/>
  <c r="BR19"/>
  <c r="BR47"/>
  <c r="BS43"/>
  <c r="BS45"/>
  <c r="BS42"/>
  <c r="BS46"/>
  <c r="BR28"/>
  <c r="BR24"/>
  <c r="BR39"/>
  <c r="BS25"/>
  <c r="BR25"/>
  <c r="BS11"/>
  <c r="BR11"/>
  <c r="BR41"/>
  <c r="BS41"/>
  <c r="BR49"/>
  <c r="BS49"/>
  <c r="BS33"/>
  <c r="BR33"/>
  <c r="BS17"/>
  <c r="BR17"/>
  <c r="BS9"/>
  <c r="BR9"/>
  <c r="BR52" i="4"/>
  <c r="BR58"/>
  <c r="BS67" l="1"/>
  <c r="BS51"/>
  <c r="BS90"/>
  <c r="BS68"/>
  <c r="BQ53"/>
  <c r="CA53" i="3" s="1"/>
  <c r="CD53" s="1"/>
  <c r="BR51" i="4"/>
  <c r="BR68"/>
  <c r="BR89"/>
  <c r="BS77"/>
  <c r="BS89"/>
  <c r="BR67"/>
  <c r="BS65"/>
  <c r="BR65"/>
  <c r="BR93"/>
  <c r="BS93"/>
  <c r="BS85"/>
  <c r="BR85"/>
  <c r="BR61"/>
  <c r="BS61"/>
  <c r="BS75"/>
  <c r="BR75"/>
  <c r="BR69"/>
  <c r="BS69"/>
  <c r="BS73"/>
  <c r="BR73"/>
  <c r="BS81"/>
  <c r="BR81"/>
  <c r="BS63"/>
  <c r="BR63"/>
  <c r="BS57"/>
  <c r="BR77"/>
  <c r="BR90"/>
  <c r="BS82"/>
  <c r="BR82"/>
  <c r="BS88"/>
  <c r="BR88"/>
  <c r="BS84"/>
  <c r="BL50"/>
  <c r="BM50" s="1"/>
  <c r="BE50"/>
  <c r="BG50" s="1"/>
  <c r="BI50" s="1"/>
  <c r="AX50"/>
  <c r="AZ50" s="1"/>
  <c r="BB50" s="1"/>
  <c r="AU50"/>
  <c r="AL50"/>
  <c r="AN50" s="1"/>
  <c r="AP50" s="1"/>
  <c r="AE50"/>
  <c r="AG50" s="1"/>
  <c r="AI50" s="1"/>
  <c r="X50"/>
  <c r="U50"/>
  <c r="N50"/>
  <c r="O50" s="1"/>
  <c r="I50"/>
  <c r="K50" s="1"/>
  <c r="BL49"/>
  <c r="BM49" s="1"/>
  <c r="BE49"/>
  <c r="BG49" s="1"/>
  <c r="BI49" s="1"/>
  <c r="AX49"/>
  <c r="AZ49" s="1"/>
  <c r="BB49" s="1"/>
  <c r="AU49"/>
  <c r="AL49"/>
  <c r="AN49" s="1"/>
  <c r="AP49" s="1"/>
  <c r="AE49"/>
  <c r="AG49" s="1"/>
  <c r="AI49" s="1"/>
  <c r="X49"/>
  <c r="U49"/>
  <c r="N49"/>
  <c r="O49" s="1"/>
  <c r="I49"/>
  <c r="K49" s="1"/>
  <c r="BL48"/>
  <c r="BM48" s="1"/>
  <c r="BE48"/>
  <c r="BG48" s="1"/>
  <c r="BI48" s="1"/>
  <c r="AX48"/>
  <c r="AZ48" s="1"/>
  <c r="BB48" s="1"/>
  <c r="AU48"/>
  <c r="AL48"/>
  <c r="AN48" s="1"/>
  <c r="AP48" s="1"/>
  <c r="AE48"/>
  <c r="AG48" s="1"/>
  <c r="AI48" s="1"/>
  <c r="X48"/>
  <c r="U48"/>
  <c r="N48"/>
  <c r="O48" s="1"/>
  <c r="I48"/>
  <c r="K48" s="1"/>
  <c r="BL47"/>
  <c r="BM47" s="1"/>
  <c r="BE47"/>
  <c r="BG47" s="1"/>
  <c r="BI47" s="1"/>
  <c r="AX47"/>
  <c r="AZ47" s="1"/>
  <c r="BB47" s="1"/>
  <c r="AU47"/>
  <c r="AL47"/>
  <c r="AN47" s="1"/>
  <c r="AP47" s="1"/>
  <c r="AE47"/>
  <c r="AG47" s="1"/>
  <c r="AI47" s="1"/>
  <c r="X47"/>
  <c r="U47"/>
  <c r="N47"/>
  <c r="O47" s="1"/>
  <c r="I47"/>
  <c r="K47" s="1"/>
  <c r="BL46"/>
  <c r="BM46" s="1"/>
  <c r="BE46"/>
  <c r="BG46" s="1"/>
  <c r="BI46" s="1"/>
  <c r="AX46"/>
  <c r="AZ46" s="1"/>
  <c r="BB46" s="1"/>
  <c r="AU46"/>
  <c r="AL46"/>
  <c r="AN46" s="1"/>
  <c r="AP46" s="1"/>
  <c r="AE46"/>
  <c r="AG46" s="1"/>
  <c r="AI46" s="1"/>
  <c r="X46"/>
  <c r="U46"/>
  <c r="N46"/>
  <c r="O46" s="1"/>
  <c r="I46"/>
  <c r="K46" s="1"/>
  <c r="BL45"/>
  <c r="BM45" s="1"/>
  <c r="BE45"/>
  <c r="BG45" s="1"/>
  <c r="BI45" s="1"/>
  <c r="AX45"/>
  <c r="AZ45" s="1"/>
  <c r="BB45" s="1"/>
  <c r="AU45"/>
  <c r="AL45"/>
  <c r="AN45" s="1"/>
  <c r="AP45" s="1"/>
  <c r="AE45"/>
  <c r="AG45" s="1"/>
  <c r="AI45" s="1"/>
  <c r="X45"/>
  <c r="U45"/>
  <c r="N45"/>
  <c r="O45" s="1"/>
  <c r="I45"/>
  <c r="K45" s="1"/>
  <c r="BL44"/>
  <c r="BM44" s="1"/>
  <c r="BE44"/>
  <c r="BG44" s="1"/>
  <c r="BI44" s="1"/>
  <c r="AX44"/>
  <c r="AZ44" s="1"/>
  <c r="BB44" s="1"/>
  <c r="AU44"/>
  <c r="AL44"/>
  <c r="AN44" s="1"/>
  <c r="AP44" s="1"/>
  <c r="AE44"/>
  <c r="AG44" s="1"/>
  <c r="AI44" s="1"/>
  <c r="X44"/>
  <c r="U44"/>
  <c r="N44"/>
  <c r="O44" s="1"/>
  <c r="I44"/>
  <c r="K44" s="1"/>
  <c r="BL43"/>
  <c r="BM43" s="1"/>
  <c r="BE43"/>
  <c r="BG43" s="1"/>
  <c r="BI43" s="1"/>
  <c r="AX43"/>
  <c r="AZ43" s="1"/>
  <c r="BB43" s="1"/>
  <c r="AU43"/>
  <c r="AL43"/>
  <c r="AN43" s="1"/>
  <c r="AP43" s="1"/>
  <c r="AE43"/>
  <c r="AG43" s="1"/>
  <c r="AI43" s="1"/>
  <c r="X43"/>
  <c r="U43"/>
  <c r="N43"/>
  <c r="O43" s="1"/>
  <c r="I43"/>
  <c r="K43" s="1"/>
  <c r="BL42"/>
  <c r="BM42" s="1"/>
  <c r="BE42"/>
  <c r="BG42" s="1"/>
  <c r="BI42" s="1"/>
  <c r="AX42"/>
  <c r="AZ42" s="1"/>
  <c r="BB42" s="1"/>
  <c r="AU42"/>
  <c r="AL42"/>
  <c r="AN42" s="1"/>
  <c r="AP42" s="1"/>
  <c r="AE42"/>
  <c r="AG42" s="1"/>
  <c r="AI42" s="1"/>
  <c r="X42"/>
  <c r="U42"/>
  <c r="N42"/>
  <c r="O42" s="1"/>
  <c r="I42"/>
  <c r="K42" s="1"/>
  <c r="BL41"/>
  <c r="BM41" s="1"/>
  <c r="BE41"/>
  <c r="BG41" s="1"/>
  <c r="BI41" s="1"/>
  <c r="AX41"/>
  <c r="AZ41" s="1"/>
  <c r="BB41" s="1"/>
  <c r="AU41"/>
  <c r="AL41"/>
  <c r="AN41" s="1"/>
  <c r="AP41" s="1"/>
  <c r="AE41"/>
  <c r="AG41" s="1"/>
  <c r="AI41" s="1"/>
  <c r="X41"/>
  <c r="U41"/>
  <c r="N41"/>
  <c r="O41" s="1"/>
  <c r="I41"/>
  <c r="K41" s="1"/>
  <c r="BL40"/>
  <c r="BM40" s="1"/>
  <c r="BE40"/>
  <c r="BG40" s="1"/>
  <c r="BI40" s="1"/>
  <c r="AX40"/>
  <c r="AZ40" s="1"/>
  <c r="BB40" s="1"/>
  <c r="AU40"/>
  <c r="AL40"/>
  <c r="AN40" s="1"/>
  <c r="AP40" s="1"/>
  <c r="AE40"/>
  <c r="AG40" s="1"/>
  <c r="AI40" s="1"/>
  <c r="X40"/>
  <c r="U40"/>
  <c r="N40"/>
  <c r="O40" s="1"/>
  <c r="I40"/>
  <c r="K40" s="1"/>
  <c r="BL39"/>
  <c r="BM39" s="1"/>
  <c r="BE39"/>
  <c r="BG39" s="1"/>
  <c r="BI39" s="1"/>
  <c r="AX39"/>
  <c r="AZ39" s="1"/>
  <c r="BB39" s="1"/>
  <c r="AU39"/>
  <c r="AL39"/>
  <c r="AN39" s="1"/>
  <c r="AP39" s="1"/>
  <c r="AE39"/>
  <c r="AG39" s="1"/>
  <c r="AI39" s="1"/>
  <c r="X39"/>
  <c r="U39"/>
  <c r="N39"/>
  <c r="O39" s="1"/>
  <c r="I39"/>
  <c r="K39" s="1"/>
  <c r="BL38"/>
  <c r="BM38" s="1"/>
  <c r="BG38"/>
  <c r="BI38" s="1"/>
  <c r="BE38"/>
  <c r="AX38"/>
  <c r="AZ38" s="1"/>
  <c r="BB38" s="1"/>
  <c r="AU38"/>
  <c r="AL38"/>
  <c r="AN38" s="1"/>
  <c r="AP38" s="1"/>
  <c r="AE38"/>
  <c r="AG38" s="1"/>
  <c r="AI38" s="1"/>
  <c r="X38"/>
  <c r="U38"/>
  <c r="N38"/>
  <c r="O38" s="1"/>
  <c r="I38"/>
  <c r="K38" s="1"/>
  <c r="BL37"/>
  <c r="BM37" s="1"/>
  <c r="BE37"/>
  <c r="BG37" s="1"/>
  <c r="BI37" s="1"/>
  <c r="AX37"/>
  <c r="AZ37" s="1"/>
  <c r="BB37" s="1"/>
  <c r="AU37"/>
  <c r="AL37"/>
  <c r="AN37" s="1"/>
  <c r="AP37" s="1"/>
  <c r="AE37"/>
  <c r="AG37" s="1"/>
  <c r="AI37" s="1"/>
  <c r="X37"/>
  <c r="U37"/>
  <c r="N37"/>
  <c r="O37" s="1"/>
  <c r="I37"/>
  <c r="K37" s="1"/>
  <c r="BL36"/>
  <c r="BM36" s="1"/>
  <c r="BE36"/>
  <c r="BG36" s="1"/>
  <c r="BI36" s="1"/>
  <c r="AX36"/>
  <c r="AZ36" s="1"/>
  <c r="BB36" s="1"/>
  <c r="AU36"/>
  <c r="AL36"/>
  <c r="AN36" s="1"/>
  <c r="AP36" s="1"/>
  <c r="AE36"/>
  <c r="AG36" s="1"/>
  <c r="AI36" s="1"/>
  <c r="X36"/>
  <c r="U36"/>
  <c r="N36"/>
  <c r="O36" s="1"/>
  <c r="I36"/>
  <c r="K36" s="1"/>
  <c r="BL35"/>
  <c r="BM35" s="1"/>
  <c r="BE35"/>
  <c r="BG35" s="1"/>
  <c r="BI35" s="1"/>
  <c r="AX35"/>
  <c r="AZ35" s="1"/>
  <c r="BB35" s="1"/>
  <c r="AU35"/>
  <c r="AL35"/>
  <c r="AN35" s="1"/>
  <c r="AP35" s="1"/>
  <c r="AE35"/>
  <c r="AG35" s="1"/>
  <c r="AI35" s="1"/>
  <c r="X35"/>
  <c r="U35"/>
  <c r="N35"/>
  <c r="O35" s="1"/>
  <c r="I35"/>
  <c r="K35" s="1"/>
  <c r="BL34"/>
  <c r="BM34" s="1"/>
  <c r="BE34"/>
  <c r="BG34" s="1"/>
  <c r="BI34" s="1"/>
  <c r="AX34"/>
  <c r="AZ34" s="1"/>
  <c r="BB34" s="1"/>
  <c r="AU34"/>
  <c r="AL34"/>
  <c r="AN34" s="1"/>
  <c r="AP34" s="1"/>
  <c r="AE34"/>
  <c r="AG34" s="1"/>
  <c r="AI34" s="1"/>
  <c r="X34"/>
  <c r="U34"/>
  <c r="N34"/>
  <c r="O34" s="1"/>
  <c r="I34"/>
  <c r="K34" s="1"/>
  <c r="BL33"/>
  <c r="BM33" s="1"/>
  <c r="BE33"/>
  <c r="BG33" s="1"/>
  <c r="BI33" s="1"/>
  <c r="AX33"/>
  <c r="AZ33" s="1"/>
  <c r="BB33" s="1"/>
  <c r="AU33"/>
  <c r="AL33"/>
  <c r="AN33" s="1"/>
  <c r="AP33" s="1"/>
  <c r="AE33"/>
  <c r="AG33" s="1"/>
  <c r="AI33" s="1"/>
  <c r="X33"/>
  <c r="U33"/>
  <c r="N33"/>
  <c r="O33" s="1"/>
  <c r="I33"/>
  <c r="K33" s="1"/>
  <c r="BL32"/>
  <c r="BM32" s="1"/>
  <c r="BE32"/>
  <c r="BG32" s="1"/>
  <c r="BI32" s="1"/>
  <c r="AX32"/>
  <c r="AZ32" s="1"/>
  <c r="BB32" s="1"/>
  <c r="AU32"/>
  <c r="AL32"/>
  <c r="AN32" s="1"/>
  <c r="AP32" s="1"/>
  <c r="AE32"/>
  <c r="AG32" s="1"/>
  <c r="AI32" s="1"/>
  <c r="X32"/>
  <c r="U32"/>
  <c r="N32"/>
  <c r="O32" s="1"/>
  <c r="I32"/>
  <c r="K32" s="1"/>
  <c r="BL31"/>
  <c r="BM31" s="1"/>
  <c r="BE31"/>
  <c r="BG31" s="1"/>
  <c r="BI31" s="1"/>
  <c r="AX31"/>
  <c r="AZ31" s="1"/>
  <c r="BB31" s="1"/>
  <c r="AU31"/>
  <c r="AL31"/>
  <c r="AN31" s="1"/>
  <c r="AP31" s="1"/>
  <c r="AE31"/>
  <c r="AG31" s="1"/>
  <c r="AI31" s="1"/>
  <c r="X31"/>
  <c r="U31"/>
  <c r="N31"/>
  <c r="O31" s="1"/>
  <c r="I31"/>
  <c r="K31" s="1"/>
  <c r="BL30"/>
  <c r="BM30" s="1"/>
  <c r="BE30"/>
  <c r="BG30" s="1"/>
  <c r="BI30" s="1"/>
  <c r="AX30"/>
  <c r="AZ30" s="1"/>
  <c r="BB30" s="1"/>
  <c r="AU30"/>
  <c r="AL30"/>
  <c r="AN30" s="1"/>
  <c r="AP30" s="1"/>
  <c r="AE30"/>
  <c r="AG30" s="1"/>
  <c r="AI30" s="1"/>
  <c r="X30"/>
  <c r="U30"/>
  <c r="N30"/>
  <c r="O30" s="1"/>
  <c r="I30"/>
  <c r="K30" s="1"/>
  <c r="BL29"/>
  <c r="BM29" s="1"/>
  <c r="BE29"/>
  <c r="BG29" s="1"/>
  <c r="BI29" s="1"/>
  <c r="AX29"/>
  <c r="AZ29" s="1"/>
  <c r="BB29" s="1"/>
  <c r="AU29"/>
  <c r="AL29"/>
  <c r="AN29" s="1"/>
  <c r="AP29" s="1"/>
  <c r="AE29"/>
  <c r="AG29" s="1"/>
  <c r="AI29" s="1"/>
  <c r="X29"/>
  <c r="U29"/>
  <c r="N29"/>
  <c r="O29" s="1"/>
  <c r="I29"/>
  <c r="K29" s="1"/>
  <c r="BL28"/>
  <c r="BM28" s="1"/>
  <c r="BE28"/>
  <c r="BG28" s="1"/>
  <c r="BI28" s="1"/>
  <c r="AX28"/>
  <c r="AZ28" s="1"/>
  <c r="BB28" s="1"/>
  <c r="AU28"/>
  <c r="AL28"/>
  <c r="AN28" s="1"/>
  <c r="AP28" s="1"/>
  <c r="AE28"/>
  <c r="AG28" s="1"/>
  <c r="AI28" s="1"/>
  <c r="X28"/>
  <c r="U28"/>
  <c r="N28"/>
  <c r="O28" s="1"/>
  <c r="I28"/>
  <c r="K28" s="1"/>
  <c r="BL27"/>
  <c r="BM27" s="1"/>
  <c r="BE27"/>
  <c r="BG27" s="1"/>
  <c r="BI27" s="1"/>
  <c r="AX27"/>
  <c r="AZ27" s="1"/>
  <c r="BB27" s="1"/>
  <c r="AU27"/>
  <c r="AL27"/>
  <c r="AN27" s="1"/>
  <c r="AP27" s="1"/>
  <c r="AE27"/>
  <c r="AG27" s="1"/>
  <c r="AI27" s="1"/>
  <c r="X27"/>
  <c r="U27"/>
  <c r="N27"/>
  <c r="O27" s="1"/>
  <c r="I27"/>
  <c r="K27" s="1"/>
  <c r="BL26"/>
  <c r="BM26" s="1"/>
  <c r="BE26"/>
  <c r="BG26" s="1"/>
  <c r="BI26" s="1"/>
  <c r="AX26"/>
  <c r="AZ26" s="1"/>
  <c r="BB26" s="1"/>
  <c r="AU26"/>
  <c r="AL26"/>
  <c r="AN26" s="1"/>
  <c r="AP26" s="1"/>
  <c r="AE26"/>
  <c r="AG26" s="1"/>
  <c r="AI26" s="1"/>
  <c r="X26"/>
  <c r="U26"/>
  <c r="N26"/>
  <c r="O26" s="1"/>
  <c r="I26"/>
  <c r="K26" s="1"/>
  <c r="BL25"/>
  <c r="BM25" s="1"/>
  <c r="BE25"/>
  <c r="BG25" s="1"/>
  <c r="BI25" s="1"/>
  <c r="AX25"/>
  <c r="AZ25" s="1"/>
  <c r="BB25" s="1"/>
  <c r="AU25"/>
  <c r="AL25"/>
  <c r="AN25" s="1"/>
  <c r="AP25" s="1"/>
  <c r="AE25"/>
  <c r="AG25" s="1"/>
  <c r="AI25" s="1"/>
  <c r="X25"/>
  <c r="U25"/>
  <c r="N25"/>
  <c r="O25" s="1"/>
  <c r="I25"/>
  <c r="K25" s="1"/>
  <c r="BL24"/>
  <c r="BM24" s="1"/>
  <c r="BE24"/>
  <c r="BG24" s="1"/>
  <c r="BI24" s="1"/>
  <c r="AX24"/>
  <c r="AZ24" s="1"/>
  <c r="BB24" s="1"/>
  <c r="AU24"/>
  <c r="AL24"/>
  <c r="AN24" s="1"/>
  <c r="AP24" s="1"/>
  <c r="AE24"/>
  <c r="AG24" s="1"/>
  <c r="AI24" s="1"/>
  <c r="X24"/>
  <c r="U24"/>
  <c r="N24"/>
  <c r="O24" s="1"/>
  <c r="I24"/>
  <c r="K24" s="1"/>
  <c r="BL23"/>
  <c r="BM23" s="1"/>
  <c r="BE23"/>
  <c r="BG23" s="1"/>
  <c r="BI23" s="1"/>
  <c r="AX23"/>
  <c r="AZ23" s="1"/>
  <c r="BB23" s="1"/>
  <c r="AU23"/>
  <c r="AL23"/>
  <c r="AN23" s="1"/>
  <c r="AP23" s="1"/>
  <c r="AE23"/>
  <c r="AG23" s="1"/>
  <c r="AI23" s="1"/>
  <c r="X23"/>
  <c r="U23"/>
  <c r="N23"/>
  <c r="O23" s="1"/>
  <c r="I23"/>
  <c r="K23" s="1"/>
  <c r="BL22"/>
  <c r="BM22" s="1"/>
  <c r="BE22"/>
  <c r="BG22" s="1"/>
  <c r="BI22" s="1"/>
  <c r="AX22"/>
  <c r="AZ22" s="1"/>
  <c r="BB22" s="1"/>
  <c r="AU22"/>
  <c r="AL22"/>
  <c r="AN22" s="1"/>
  <c r="AP22" s="1"/>
  <c r="AE22"/>
  <c r="AG22" s="1"/>
  <c r="AI22" s="1"/>
  <c r="X22"/>
  <c r="U22"/>
  <c r="N22"/>
  <c r="O22" s="1"/>
  <c r="I22"/>
  <c r="K22" s="1"/>
  <c r="BL21"/>
  <c r="BM21" s="1"/>
  <c r="BE21"/>
  <c r="BG21" s="1"/>
  <c r="BI21" s="1"/>
  <c r="AX21"/>
  <c r="AZ21" s="1"/>
  <c r="BB21" s="1"/>
  <c r="AU21"/>
  <c r="AL21"/>
  <c r="AN21" s="1"/>
  <c r="AP21" s="1"/>
  <c r="AE21"/>
  <c r="AG21" s="1"/>
  <c r="AI21" s="1"/>
  <c r="X21"/>
  <c r="U21"/>
  <c r="N21"/>
  <c r="O21" s="1"/>
  <c r="I21"/>
  <c r="K21" s="1"/>
  <c r="BL20"/>
  <c r="BM20" s="1"/>
  <c r="BE20"/>
  <c r="BG20" s="1"/>
  <c r="BI20" s="1"/>
  <c r="AX20"/>
  <c r="AZ20" s="1"/>
  <c r="BB20" s="1"/>
  <c r="AU20"/>
  <c r="AL20"/>
  <c r="AN20" s="1"/>
  <c r="AP20" s="1"/>
  <c r="AE20"/>
  <c r="AG20" s="1"/>
  <c r="AI20" s="1"/>
  <c r="X20"/>
  <c r="U20"/>
  <c r="N20"/>
  <c r="O20" s="1"/>
  <c r="I20"/>
  <c r="K20" s="1"/>
  <c r="BL19"/>
  <c r="BM19" s="1"/>
  <c r="BE19"/>
  <c r="BG19" s="1"/>
  <c r="BI19" s="1"/>
  <c r="AX19"/>
  <c r="AZ19" s="1"/>
  <c r="BB19" s="1"/>
  <c r="AU19"/>
  <c r="AL19"/>
  <c r="AN19" s="1"/>
  <c r="AP19" s="1"/>
  <c r="AE19"/>
  <c r="AG19" s="1"/>
  <c r="AI19" s="1"/>
  <c r="X19"/>
  <c r="U19"/>
  <c r="N19"/>
  <c r="O19" s="1"/>
  <c r="K19"/>
  <c r="I19"/>
  <c r="BL18"/>
  <c r="BM18" s="1"/>
  <c r="BE18"/>
  <c r="BG18" s="1"/>
  <c r="BI18" s="1"/>
  <c r="AX18"/>
  <c r="AZ18" s="1"/>
  <c r="BB18" s="1"/>
  <c r="AU18"/>
  <c r="AL18"/>
  <c r="AN18" s="1"/>
  <c r="AP18" s="1"/>
  <c r="AE18"/>
  <c r="AG18" s="1"/>
  <c r="AI18" s="1"/>
  <c r="X18"/>
  <c r="U18"/>
  <c r="N18"/>
  <c r="O18" s="1"/>
  <c r="I18"/>
  <c r="K18" s="1"/>
  <c r="BL17"/>
  <c r="BM17" s="1"/>
  <c r="BE17"/>
  <c r="BG17" s="1"/>
  <c r="BI17" s="1"/>
  <c r="AX17"/>
  <c r="AZ17" s="1"/>
  <c r="BB17" s="1"/>
  <c r="AU17"/>
  <c r="AL17"/>
  <c r="AN17" s="1"/>
  <c r="AP17" s="1"/>
  <c r="AG17"/>
  <c r="AI17" s="1"/>
  <c r="AE17"/>
  <c r="X17"/>
  <c r="U17"/>
  <c r="N17"/>
  <c r="O17" s="1"/>
  <c r="I17"/>
  <c r="K17" s="1"/>
  <c r="BL16"/>
  <c r="BM16" s="1"/>
  <c r="BE16"/>
  <c r="BG16" s="1"/>
  <c r="BI16" s="1"/>
  <c r="AX16"/>
  <c r="AZ16" s="1"/>
  <c r="BB16" s="1"/>
  <c r="AU16"/>
  <c r="AL16"/>
  <c r="AN16" s="1"/>
  <c r="AP16" s="1"/>
  <c r="AE16"/>
  <c r="AG16" s="1"/>
  <c r="AI16" s="1"/>
  <c r="X16"/>
  <c r="U16"/>
  <c r="N16"/>
  <c r="O16" s="1"/>
  <c r="I16"/>
  <c r="K16" s="1"/>
  <c r="BL15"/>
  <c r="BM15" s="1"/>
  <c r="BE15"/>
  <c r="BG15" s="1"/>
  <c r="BI15" s="1"/>
  <c r="AX15"/>
  <c r="AZ15" s="1"/>
  <c r="BB15" s="1"/>
  <c r="AU15"/>
  <c r="AL15"/>
  <c r="AN15" s="1"/>
  <c r="AP15" s="1"/>
  <c r="AE15"/>
  <c r="AG15" s="1"/>
  <c r="AI15" s="1"/>
  <c r="X15"/>
  <c r="U15"/>
  <c r="N15"/>
  <c r="O15" s="1"/>
  <c r="I15"/>
  <c r="K15" s="1"/>
  <c r="BL14"/>
  <c r="BM14" s="1"/>
  <c r="BE14"/>
  <c r="BG14" s="1"/>
  <c r="BI14" s="1"/>
  <c r="AX14"/>
  <c r="AZ14" s="1"/>
  <c r="BB14" s="1"/>
  <c r="AU14"/>
  <c r="AL14"/>
  <c r="AN14" s="1"/>
  <c r="AP14" s="1"/>
  <c r="AE14"/>
  <c r="AG14" s="1"/>
  <c r="AI14" s="1"/>
  <c r="X14"/>
  <c r="U14"/>
  <c r="N14"/>
  <c r="O14" s="1"/>
  <c r="I14"/>
  <c r="K14" s="1"/>
  <c r="BL13"/>
  <c r="BE13"/>
  <c r="BG13" s="1"/>
  <c r="AX13"/>
  <c r="AZ13" s="1"/>
  <c r="AU13"/>
  <c r="AL13"/>
  <c r="AN13" s="1"/>
  <c r="AE13"/>
  <c r="AG13" s="1"/>
  <c r="X13"/>
  <c r="U13"/>
  <c r="N13"/>
  <c r="O13" s="1"/>
  <c r="I13"/>
  <c r="K13" s="1"/>
  <c r="BL12"/>
  <c r="BM12" s="1"/>
  <c r="BE12"/>
  <c r="BG12" s="1"/>
  <c r="BI12" s="1"/>
  <c r="AX12"/>
  <c r="AZ12" s="1"/>
  <c r="BB12" s="1"/>
  <c r="AU12"/>
  <c r="AL12"/>
  <c r="AN12" s="1"/>
  <c r="AP12" s="1"/>
  <c r="AE12"/>
  <c r="AG12" s="1"/>
  <c r="AI12" s="1"/>
  <c r="X12"/>
  <c r="U12"/>
  <c r="N12"/>
  <c r="O12" s="1"/>
  <c r="I12"/>
  <c r="K12" s="1"/>
  <c r="BL11"/>
  <c r="BM11" s="1"/>
  <c r="BE11"/>
  <c r="BG11" s="1"/>
  <c r="BI11" s="1"/>
  <c r="AX11"/>
  <c r="AZ11" s="1"/>
  <c r="BB11" s="1"/>
  <c r="AU11"/>
  <c r="AL11"/>
  <c r="AN11" s="1"/>
  <c r="AP11" s="1"/>
  <c r="AE11"/>
  <c r="AG11" s="1"/>
  <c r="AI11" s="1"/>
  <c r="X11"/>
  <c r="U11"/>
  <c r="N11"/>
  <c r="O11" s="1"/>
  <c r="I11"/>
  <c r="K11" s="1"/>
  <c r="BL10"/>
  <c r="BM10" s="1"/>
  <c r="BE10"/>
  <c r="BG10" s="1"/>
  <c r="BI10" s="1"/>
  <c r="AX10"/>
  <c r="AZ10" s="1"/>
  <c r="BB10" s="1"/>
  <c r="AU10"/>
  <c r="AL10"/>
  <c r="AN10" s="1"/>
  <c r="AP10" s="1"/>
  <c r="AE10"/>
  <c r="AG10" s="1"/>
  <c r="AI10" s="1"/>
  <c r="X10"/>
  <c r="U10"/>
  <c r="N10"/>
  <c r="O10" s="1"/>
  <c r="I10"/>
  <c r="K10" s="1"/>
  <c r="BL9"/>
  <c r="BM9" s="1"/>
  <c r="BE9"/>
  <c r="BG9" s="1"/>
  <c r="AX9"/>
  <c r="AZ9" s="1"/>
  <c r="G23" i="5"/>
  <c r="AU9" i="4"/>
  <c r="AN9"/>
  <c r="AL9"/>
  <c r="AG9"/>
  <c r="AE9"/>
  <c r="X9"/>
  <c r="U9"/>
  <c r="N9"/>
  <c r="O9" s="1"/>
  <c r="I9"/>
  <c r="K9" s="1"/>
  <c r="BS53" l="1"/>
  <c r="P40"/>
  <c r="BR53"/>
  <c r="F26" i="5"/>
  <c r="X26" s="1"/>
  <c r="BM13" i="4"/>
  <c r="AH9"/>
  <c r="G21" i="5" s="1"/>
  <c r="AP9" i="4"/>
  <c r="AO9"/>
  <c r="BN9"/>
  <c r="BH9"/>
  <c r="BB13"/>
  <c r="H24" i="5" s="1"/>
  <c r="F24"/>
  <c r="AP13" i="4"/>
  <c r="H22" i="5" s="1"/>
  <c r="F22"/>
  <c r="AI13" i="4"/>
  <c r="H21" i="5" s="1"/>
  <c r="F21"/>
  <c r="P38" i="4"/>
  <c r="Y29"/>
  <c r="Z29" s="1"/>
  <c r="AB29" s="1"/>
  <c r="Y30"/>
  <c r="Z30" s="1"/>
  <c r="AB30" s="1"/>
  <c r="BI13"/>
  <c r="H25" i="5" s="1"/>
  <c r="Y25" s="1"/>
  <c r="F25"/>
  <c r="H23"/>
  <c r="BO49" i="4"/>
  <c r="P30"/>
  <c r="BT30" s="1"/>
  <c r="BW30" i="3" s="1"/>
  <c r="BZ30" s="1"/>
  <c r="P37" i="4"/>
  <c r="P42"/>
  <c r="BO17"/>
  <c r="P19"/>
  <c r="BT19" s="1"/>
  <c r="BW19" i="3" s="1"/>
  <c r="BZ19" s="1"/>
  <c r="Y41" i="4"/>
  <c r="Z41" s="1"/>
  <c r="AB41" s="1"/>
  <c r="P21"/>
  <c r="Y25"/>
  <c r="Z25" s="1"/>
  <c r="AB25" s="1"/>
  <c r="P25"/>
  <c r="Y26"/>
  <c r="Z26" s="1"/>
  <c r="AB26" s="1"/>
  <c r="BO45"/>
  <c r="Y17"/>
  <c r="Z17" s="1"/>
  <c r="AB17" s="1"/>
  <c r="BO34"/>
  <c r="Y20"/>
  <c r="Z20" s="1"/>
  <c r="AB20" s="1"/>
  <c r="BO33"/>
  <c r="BO18"/>
  <c r="P20"/>
  <c r="Y21"/>
  <c r="Z21" s="1"/>
  <c r="AB21" s="1"/>
  <c r="BO38"/>
  <c r="BO50"/>
  <c r="Y23"/>
  <c r="Z23" s="1"/>
  <c r="AB23" s="1"/>
  <c r="Y24"/>
  <c r="Z24" s="1"/>
  <c r="AB24" s="1"/>
  <c r="BO37"/>
  <c r="BO41"/>
  <c r="P18"/>
  <c r="Y45"/>
  <c r="Z45" s="1"/>
  <c r="AB45" s="1"/>
  <c r="Y46"/>
  <c r="Z46" s="1"/>
  <c r="AB46" s="1"/>
  <c r="BO42"/>
  <c r="Y11"/>
  <c r="Z11" s="1"/>
  <c r="AB11" s="1"/>
  <c r="P24"/>
  <c r="BT24" s="1"/>
  <c r="BW24" i="3" s="1"/>
  <c r="BZ24" s="1"/>
  <c r="Y9" i="4"/>
  <c r="Z9" s="1"/>
  <c r="Y47"/>
  <c r="Z47" s="1"/>
  <c r="AB47" s="1"/>
  <c r="BO21"/>
  <c r="BO26"/>
  <c r="BO25"/>
  <c r="Y13"/>
  <c r="Z13" s="1"/>
  <c r="Y15"/>
  <c r="Z15" s="1"/>
  <c r="AB15" s="1"/>
  <c r="P26"/>
  <c r="BT26" s="1"/>
  <c r="BW26" i="3" s="1"/>
  <c r="BZ26" s="1"/>
  <c r="P29" i="4"/>
  <c r="Y32"/>
  <c r="Z32" s="1"/>
  <c r="AB32" s="1"/>
  <c r="Y48"/>
  <c r="Z48" s="1"/>
  <c r="AB48" s="1"/>
  <c r="BO10"/>
  <c r="BO29"/>
  <c r="P10"/>
  <c r="Y16"/>
  <c r="Z16" s="1"/>
  <c r="AB16" s="1"/>
  <c r="Y18"/>
  <c r="Z18" s="1"/>
  <c r="AB18" s="1"/>
  <c r="Y33"/>
  <c r="Z33" s="1"/>
  <c r="AB33" s="1"/>
  <c r="Y34"/>
  <c r="Z34" s="1"/>
  <c r="AB34" s="1"/>
  <c r="Y36"/>
  <c r="Z36" s="1"/>
  <c r="AB36" s="1"/>
  <c r="BO22"/>
  <c r="BO14"/>
  <c r="BO30"/>
  <c r="BO46"/>
  <c r="P11"/>
  <c r="Y14"/>
  <c r="Z14" s="1"/>
  <c r="AB14" s="1"/>
  <c r="P9"/>
  <c r="BO13"/>
  <c r="Y19"/>
  <c r="Z19" s="1"/>
  <c r="AB19" s="1"/>
  <c r="P33"/>
  <c r="P36"/>
  <c r="Y37"/>
  <c r="Z37" s="1"/>
  <c r="AB37" s="1"/>
  <c r="Y39"/>
  <c r="Z39" s="1"/>
  <c r="AB39" s="1"/>
  <c r="Y40"/>
  <c r="Z40" s="1"/>
  <c r="AB40" s="1"/>
  <c r="P16"/>
  <c r="BT16" s="1"/>
  <c r="BW16" i="3" s="1"/>
  <c r="BZ16" s="1"/>
  <c r="P50" i="4"/>
  <c r="BO19"/>
  <c r="P43"/>
  <c r="P49"/>
  <c r="Y31"/>
  <c r="Z31" s="1"/>
  <c r="AB31" s="1"/>
  <c r="P31"/>
  <c r="Y22"/>
  <c r="Z22" s="1"/>
  <c r="AB22" s="1"/>
  <c r="P23"/>
  <c r="Y38"/>
  <c r="Z38" s="1"/>
  <c r="AB38" s="1"/>
  <c r="P39"/>
  <c r="BT39" s="1"/>
  <c r="BW39" i="3" s="1"/>
  <c r="BZ39" s="1"/>
  <c r="P41" i="4"/>
  <c r="BT41" s="1"/>
  <c r="BW41" i="3" s="1"/>
  <c r="BZ41" s="1"/>
  <c r="BO31" i="4"/>
  <c r="Y12"/>
  <c r="Z12" s="1"/>
  <c r="AB12" s="1"/>
  <c r="BO23"/>
  <c r="Y28"/>
  <c r="Z28" s="1"/>
  <c r="AB28" s="1"/>
  <c r="BO39"/>
  <c r="P22"/>
  <c r="BT22" s="1"/>
  <c r="BW22" i="3" s="1"/>
  <c r="BZ22" s="1"/>
  <c r="BO15" i="4"/>
  <c r="P14"/>
  <c r="Y27"/>
  <c r="Z27" s="1"/>
  <c r="AB27" s="1"/>
  <c r="Y35"/>
  <c r="Z35" s="1"/>
  <c r="AB35" s="1"/>
  <c r="Y50"/>
  <c r="Z50" s="1"/>
  <c r="AB50" s="1"/>
  <c r="Y10"/>
  <c r="Z10" s="1"/>
  <c r="AB10" s="1"/>
  <c r="P13"/>
  <c r="BT13" s="1"/>
  <c r="BW13" i="3" s="1"/>
  <c r="BZ13" s="1"/>
  <c r="P27" i="4"/>
  <c r="BT27" s="1"/>
  <c r="BW27" i="3" s="1"/>
  <c r="BZ27" s="1"/>
  <c r="P35" i="4"/>
  <c r="Y49"/>
  <c r="Z49" s="1"/>
  <c r="AB49" s="1"/>
  <c r="P34"/>
  <c r="BT34" s="1"/>
  <c r="BW34" i="3" s="1"/>
  <c r="BZ34" s="1"/>
  <c r="BO27" i="4"/>
  <c r="BO35"/>
  <c r="Y42"/>
  <c r="Z42" s="1"/>
  <c r="AB42" s="1"/>
  <c r="Y43"/>
  <c r="Z43" s="1"/>
  <c r="AB43" s="1"/>
  <c r="Y44"/>
  <c r="Z44" s="1"/>
  <c r="AB44" s="1"/>
  <c r="P46"/>
  <c r="P47"/>
  <c r="BT47" s="1"/>
  <c r="BW47" i="3" s="1"/>
  <c r="BZ47" s="1"/>
  <c r="P44" i="4"/>
  <c r="P32"/>
  <c r="BT32" s="1"/>
  <c r="BW32" i="3" s="1"/>
  <c r="BZ32" s="1"/>
  <c r="P45" i="4"/>
  <c r="BT45" s="1"/>
  <c r="BW45" i="3" s="1"/>
  <c r="BZ45" s="1"/>
  <c r="R40" i="4"/>
  <c r="AB9"/>
  <c r="BI9"/>
  <c r="G25" i="5"/>
  <c r="R42" i="4"/>
  <c r="P15"/>
  <c r="BT15" s="1"/>
  <c r="BW15" i="3" s="1"/>
  <c r="BZ15" s="1"/>
  <c r="G22" i="5"/>
  <c r="P12" i="4"/>
  <c r="BT12" s="1"/>
  <c r="BW12" i="3" s="1"/>
  <c r="BZ12" s="1"/>
  <c r="P28" i="4"/>
  <c r="BT28" s="1"/>
  <c r="BW28" i="3" s="1"/>
  <c r="BZ28" s="1"/>
  <c r="BO12" i="4"/>
  <c r="BA9"/>
  <c r="G24" i="5" s="1"/>
  <c r="BB9" i="4"/>
  <c r="R21"/>
  <c r="P17"/>
  <c r="BT17" s="1"/>
  <c r="BW17" i="3" s="1"/>
  <c r="BZ17" s="1"/>
  <c r="P48" i="4"/>
  <c r="BT48" s="1"/>
  <c r="BW48" i="3" s="1"/>
  <c r="BZ48" s="1"/>
  <c r="BO16" i="4"/>
  <c r="BO20"/>
  <c r="BO24"/>
  <c r="BO28"/>
  <c r="BO32"/>
  <c r="BO36"/>
  <c r="BO40"/>
  <c r="BO44"/>
  <c r="BO48"/>
  <c r="BO9"/>
  <c r="BO11"/>
  <c r="BO43"/>
  <c r="BO47"/>
  <c r="AI9"/>
  <c r="R18" l="1"/>
  <c r="BT18"/>
  <c r="BW18" i="3" s="1"/>
  <c r="BZ18" s="1"/>
  <c r="BT37" i="4"/>
  <c r="BW37" i="3" s="1"/>
  <c r="BZ37" s="1"/>
  <c r="R46" i="4"/>
  <c r="BP46" s="1"/>
  <c r="BQ46" s="1"/>
  <c r="CA46" i="3" s="1"/>
  <c r="CD46" s="1"/>
  <c r="BT46" i="4"/>
  <c r="BW46" i="3" s="1"/>
  <c r="BZ46" s="1"/>
  <c r="BT42" i="4"/>
  <c r="BW42" i="3" s="1"/>
  <c r="BZ42" s="1"/>
  <c r="BT40" i="4"/>
  <c r="BW40" i="3" s="1"/>
  <c r="BZ40" s="1"/>
  <c r="BT29" i="4"/>
  <c r="BW29" i="3" s="1"/>
  <c r="BZ29" s="1"/>
  <c r="BT44" i="4"/>
  <c r="BW44" i="3" s="1"/>
  <c r="BZ44" s="1"/>
  <c r="R50" i="4"/>
  <c r="BT50"/>
  <c r="BW50" i="3" s="1"/>
  <c r="BZ50" s="1"/>
  <c r="R20" i="4"/>
  <c r="BT20"/>
  <c r="BW20" i="3" s="1"/>
  <c r="BZ20" s="1"/>
  <c r="BT38" i="4"/>
  <c r="BW38" i="3" s="1"/>
  <c r="BZ38" s="1"/>
  <c r="BT21" i="4"/>
  <c r="BW21" i="3" s="1"/>
  <c r="BZ21" s="1"/>
  <c r="R11" i="4"/>
  <c r="BP11" s="1"/>
  <c r="BQ11" s="1"/>
  <c r="BT11"/>
  <c r="BW11" i="3" s="1"/>
  <c r="BZ11" s="1"/>
  <c r="BT43" i="4"/>
  <c r="BW43" i="3" s="1"/>
  <c r="BZ43" s="1"/>
  <c r="AA9" i="4"/>
  <c r="G19" i="5" s="1"/>
  <c r="R49" i="4"/>
  <c r="BT49"/>
  <c r="BW49" i="3" s="1"/>
  <c r="BZ49" s="1"/>
  <c r="H26" i="5"/>
  <c r="Y26" s="1"/>
  <c r="R35" i="4"/>
  <c r="BP35" s="1"/>
  <c r="BQ35" s="1"/>
  <c r="CA35" i="3" s="1"/>
  <c r="CD35" s="1"/>
  <c r="BT35" i="4"/>
  <c r="BW35" i="3" s="1"/>
  <c r="BZ35" s="1"/>
  <c r="Q9" i="4"/>
  <c r="BT9"/>
  <c r="BW9" i="3" s="1"/>
  <c r="BZ9" s="1"/>
  <c r="R10" i="4"/>
  <c r="BP10" s="1"/>
  <c r="BQ10" s="1"/>
  <c r="BT10"/>
  <c r="BW10" i="3" s="1"/>
  <c r="BZ10" s="1"/>
  <c r="R25" i="4"/>
  <c r="BT25"/>
  <c r="BW25" i="3" s="1"/>
  <c r="BZ25" s="1"/>
  <c r="BT31" i="4"/>
  <c r="BW31" i="3" s="1"/>
  <c r="BZ31" s="1"/>
  <c r="R14" i="4"/>
  <c r="BP14" s="1"/>
  <c r="BQ14" s="1"/>
  <c r="CA14" i="3" s="1"/>
  <c r="CD14" s="1"/>
  <c r="BT14" i="4"/>
  <c r="BW14" i="3" s="1"/>
  <c r="BZ14" s="1"/>
  <c r="R33" i="4"/>
  <c r="BP33" s="1"/>
  <c r="BQ33" s="1"/>
  <c r="CA33" i="3" s="1"/>
  <c r="CD33" s="1"/>
  <c r="BT33" i="4"/>
  <c r="BW33" i="3" s="1"/>
  <c r="BZ33" s="1"/>
  <c r="BP42" i="4"/>
  <c r="BQ42" s="1"/>
  <c r="CA42" i="3" s="1"/>
  <c r="CD42" s="1"/>
  <c r="BP25" i="4"/>
  <c r="BQ25" s="1"/>
  <c r="CA25" i="3" s="1"/>
  <c r="CD25" s="1"/>
  <c r="BP49" i="4"/>
  <c r="BQ49" s="1"/>
  <c r="CA49" i="3" s="1"/>
  <c r="CD49" s="1"/>
  <c r="R23" i="4"/>
  <c r="BP23" s="1"/>
  <c r="BQ23" s="1"/>
  <c r="BT23"/>
  <c r="BW23" i="3" s="1"/>
  <c r="BZ23" s="1"/>
  <c r="R36" i="4"/>
  <c r="BT36"/>
  <c r="BW36" i="3" s="1"/>
  <c r="BZ36" s="1"/>
  <c r="R16" i="4"/>
  <c r="R38"/>
  <c r="BP38" s="1"/>
  <c r="BQ38" s="1"/>
  <c r="CA38" i="3" s="1"/>
  <c r="CD38" s="1"/>
  <c r="BP16" i="4"/>
  <c r="BQ16" s="1"/>
  <c r="CA16" i="3" s="1"/>
  <c r="CD16" s="1"/>
  <c r="BP36" i="4"/>
  <c r="BQ36" s="1"/>
  <c r="CA36" i="3" s="1"/>
  <c r="CD36" s="1"/>
  <c r="BP20" i="4"/>
  <c r="BQ20" s="1"/>
  <c r="CA20" i="3" s="1"/>
  <c r="CD20" s="1"/>
  <c r="BP18" i="4"/>
  <c r="BQ18" s="1"/>
  <c r="CA18" i="3" s="1"/>
  <c r="CD18" s="1"/>
  <c r="BR46" i="4"/>
  <c r="R13"/>
  <c r="F17" i="5"/>
  <c r="R29" i="4"/>
  <c r="BP21"/>
  <c r="BQ21" s="1"/>
  <c r="CA21" i="3" s="1"/>
  <c r="CD21" s="1"/>
  <c r="AB13" i="4"/>
  <c r="H19" i="5" s="1"/>
  <c r="F19"/>
  <c r="BP50" i="4"/>
  <c r="BQ50" s="1"/>
  <c r="CA50" i="3" s="1"/>
  <c r="CD50" s="1"/>
  <c r="BP40" i="4"/>
  <c r="BQ40" s="1"/>
  <c r="CA40" i="3" s="1"/>
  <c r="CD40" s="1"/>
  <c r="R47" i="4"/>
  <c r="R30"/>
  <c r="R19"/>
  <c r="R37"/>
  <c r="R24"/>
  <c r="R31"/>
  <c r="R43"/>
  <c r="BS49"/>
  <c r="R26"/>
  <c r="R39"/>
  <c r="R9"/>
  <c r="R22"/>
  <c r="R41"/>
  <c r="R34"/>
  <c r="R27"/>
  <c r="BR42"/>
  <c r="R12"/>
  <c r="R44"/>
  <c r="R28"/>
  <c r="G26" i="5"/>
  <c r="R32" i="4"/>
  <c r="R17"/>
  <c r="R15"/>
  <c r="R45"/>
  <c r="G17" i="5"/>
  <c r="R48" i="4"/>
  <c r="CA10" i="3" l="1"/>
  <c r="CD10" s="1"/>
  <c r="BS10" i="4"/>
  <c r="CA23" i="3"/>
  <c r="CD23" s="1"/>
  <c r="BR23" i="4"/>
  <c r="CA11" i="3"/>
  <c r="CD11" s="1"/>
  <c r="BS11" i="4"/>
  <c r="BR11"/>
  <c r="BS50"/>
  <c r="BR50"/>
  <c r="BS38"/>
  <c r="BS16"/>
  <c r="BS25"/>
  <c r="BR16"/>
  <c r="BR25"/>
  <c r="BS14"/>
  <c r="BS35"/>
  <c r="BR35"/>
  <c r="F27" i="5"/>
  <c r="BS46" i="4"/>
  <c r="BS36"/>
  <c r="BR36"/>
  <c r="BS40"/>
  <c r="BR40"/>
  <c r="BS18"/>
  <c r="BR18"/>
  <c r="BS33"/>
  <c r="BR33"/>
  <c r="BS21"/>
  <c r="BR21"/>
  <c r="BS20"/>
  <c r="BR20"/>
  <c r="BP17"/>
  <c r="BQ17" s="1"/>
  <c r="CA17" i="3" s="1"/>
  <c r="CD17" s="1"/>
  <c r="BP27" i="4"/>
  <c r="BQ27" s="1"/>
  <c r="CA27" i="3" s="1"/>
  <c r="CD27" s="1"/>
  <c r="BP28" i="4"/>
  <c r="BQ28" s="1"/>
  <c r="CA28" i="3" s="1"/>
  <c r="CD28" s="1"/>
  <c r="BP43" i="4"/>
  <c r="BP22"/>
  <c r="BQ22" s="1"/>
  <c r="CA22" i="3" s="1"/>
  <c r="CD22" s="1"/>
  <c r="BP47" i="4"/>
  <c r="BQ47" s="1"/>
  <c r="CA47" i="3" s="1"/>
  <c r="CD47" s="1"/>
  <c r="BP45" i="4"/>
  <c r="BQ45" s="1"/>
  <c r="CA45" i="3" s="1"/>
  <c r="CD45" s="1"/>
  <c r="BS23" i="4"/>
  <c r="BP30"/>
  <c r="BQ30" s="1"/>
  <c r="CA30" i="3" s="1"/>
  <c r="CD30" s="1"/>
  <c r="H17" i="5"/>
  <c r="Y17" s="1"/>
  <c r="BP13" i="4"/>
  <c r="BR48"/>
  <c r="BP48"/>
  <c r="BQ48" s="1"/>
  <c r="CA48" i="3" s="1"/>
  <c r="CD48" s="1"/>
  <c r="BP19" i="4"/>
  <c r="BQ19" s="1"/>
  <c r="CA19" i="3" s="1"/>
  <c r="CD19" s="1"/>
  <c r="BP32" i="4"/>
  <c r="BQ32" s="1"/>
  <c r="CA32" i="3" s="1"/>
  <c r="CD32" s="1"/>
  <c r="X17" i="5"/>
  <c r="BP12" i="4"/>
  <c r="BQ12" s="1"/>
  <c r="CA12" i="3" s="1"/>
  <c r="CD12" s="1"/>
  <c r="BP41" i="4"/>
  <c r="BP26"/>
  <c r="BQ26" s="1"/>
  <c r="CA26" i="3" s="1"/>
  <c r="CD26" s="1"/>
  <c r="BP37" i="4"/>
  <c r="BQ37" s="1"/>
  <c r="CA37" i="3" s="1"/>
  <c r="CD37" s="1"/>
  <c r="BS24" i="4"/>
  <c r="BP24"/>
  <c r="BQ24" s="1"/>
  <c r="CA24" i="3" s="1"/>
  <c r="CD24" s="1"/>
  <c r="BP29" i="4"/>
  <c r="BQ29" s="1"/>
  <c r="CA29" i="3" s="1"/>
  <c r="CD29" s="1"/>
  <c r="BP34" i="4"/>
  <c r="BQ34" s="1"/>
  <c r="CA34" i="3" s="1"/>
  <c r="CD34" s="1"/>
  <c r="BP31" i="4"/>
  <c r="BQ31" s="1"/>
  <c r="CA31" i="3" s="1"/>
  <c r="CD31" s="1"/>
  <c r="BP39" i="4"/>
  <c r="BQ39" s="1"/>
  <c r="CA39" i="3" s="1"/>
  <c r="CD39" s="1"/>
  <c r="BP44" i="4"/>
  <c r="BQ44" s="1"/>
  <c r="CA44" i="3" s="1"/>
  <c r="CD44" s="1"/>
  <c r="BP15" i="4"/>
  <c r="BQ15" s="1"/>
  <c r="CA15" i="3" s="1"/>
  <c r="CD15" s="1"/>
  <c r="BP9" i="4"/>
  <c r="BQ9" s="1"/>
  <c r="CA9" i="3" s="1"/>
  <c r="CD9" s="1"/>
  <c r="BR49" i="4"/>
  <c r="BR24"/>
  <c r="BR14"/>
  <c r="BR10"/>
  <c r="BR38"/>
  <c r="BS42"/>
  <c r="BS15" l="1"/>
  <c r="BR15"/>
  <c r="BS22"/>
  <c r="BR9"/>
  <c r="BS9"/>
  <c r="BR44"/>
  <c r="BR17"/>
  <c r="BS26"/>
  <c r="BR37"/>
  <c r="BS37"/>
  <c r="BR13"/>
  <c r="BQ13"/>
  <c r="CA13" i="3" s="1"/>
  <c r="CD13" s="1"/>
  <c r="BQ43" i="4"/>
  <c r="CA43" i="3" s="1"/>
  <c r="CD43" s="1"/>
  <c r="BS32" i="4"/>
  <c r="BR22"/>
  <c r="BS41"/>
  <c r="BQ41"/>
  <c r="CA41" i="3" s="1"/>
  <c r="CD41" s="1"/>
  <c r="BS17" i="4"/>
  <c r="BS48"/>
  <c r="BS47"/>
  <c r="BR47"/>
  <c r="BS45"/>
  <c r="BR45"/>
  <c r="BS44"/>
  <c r="BS34"/>
  <c r="BR34"/>
  <c r="BR30"/>
  <c r="BS30"/>
  <c r="BS39"/>
  <c r="BR39"/>
  <c r="BR28"/>
  <c r="BS28"/>
  <c r="BS12"/>
  <c r="BR12"/>
  <c r="BS27"/>
  <c r="BR27"/>
  <c r="BS29"/>
  <c r="BR29"/>
  <c r="BR32"/>
  <c r="BR26"/>
  <c r="BR41"/>
  <c r="BS31"/>
  <c r="BR31"/>
  <c r="BR19"/>
  <c r="BS19"/>
  <c r="L18" i="5"/>
  <c r="L27" s="1"/>
  <c r="G27" i="2"/>
  <c r="J26"/>
  <c r="J25"/>
  <c r="I22"/>
  <c r="H22"/>
  <c r="I21"/>
  <c r="I20"/>
  <c r="I19"/>
  <c r="I18"/>
  <c r="H26"/>
  <c r="H25"/>
  <c r="J22"/>
  <c r="J23"/>
  <c r="J24"/>
  <c r="H24"/>
  <c r="H23"/>
  <c r="J21"/>
  <c r="M26"/>
  <c r="J20"/>
  <c r="J19"/>
  <c r="J18"/>
  <c r="I26"/>
  <c r="I25"/>
  <c r="I23"/>
  <c r="I24"/>
  <c r="H21"/>
  <c r="H20"/>
  <c r="H19"/>
  <c r="H18"/>
  <c r="E9"/>
  <c r="E8"/>
  <c r="E7"/>
  <c r="M24"/>
  <c r="M23"/>
  <c r="M22"/>
  <c r="BS13" i="4" l="1"/>
  <c r="BS43"/>
  <c r="BR43"/>
  <c r="U24" i="5"/>
  <c r="U22"/>
  <c r="U21"/>
  <c r="Y24"/>
  <c r="Y22"/>
  <c r="M25" i="2"/>
  <c r="N25" s="1"/>
  <c r="K23"/>
  <c r="K22"/>
  <c r="W24" i="5"/>
  <c r="W22"/>
  <c r="U20"/>
  <c r="V24"/>
  <c r="W18"/>
  <c r="V21"/>
  <c r="W19"/>
  <c r="U18"/>
  <c r="V22"/>
  <c r="U19"/>
  <c r="V23"/>
  <c r="W17"/>
  <c r="V17"/>
  <c r="W21"/>
  <c r="W23"/>
  <c r="G29" i="2"/>
  <c r="K25"/>
  <c r="K24"/>
  <c r="N24"/>
  <c r="K26"/>
  <c r="N23"/>
  <c r="N26"/>
  <c r="N22"/>
  <c r="K18"/>
  <c r="Y23" i="5" l="1"/>
  <c r="Y21"/>
  <c r="W20"/>
  <c r="X21"/>
  <c r="X23"/>
  <c r="K20" i="2"/>
  <c r="M20"/>
  <c r="N20" s="1"/>
  <c r="X22" i="5"/>
  <c r="X24"/>
  <c r="Y19"/>
  <c r="X19"/>
  <c r="L25" i="2"/>
  <c r="L26"/>
  <c r="Z17" i="5" l="1"/>
  <c r="X25"/>
  <c r="X27" s="1"/>
  <c r="L20" i="2"/>
  <c r="O18"/>
  <c r="M29"/>
  <c r="M18"/>
  <c r="N18" s="1"/>
  <c r="K27"/>
  <c r="L22"/>
  <c r="L18"/>
  <c r="L24"/>
  <c r="L23"/>
  <c r="G30" l="1"/>
</calcChain>
</file>

<file path=xl/sharedStrings.xml><?xml version="1.0" encoding="utf-8"?>
<sst xmlns="http://schemas.openxmlformats.org/spreadsheetml/2006/main" count="1397" uniqueCount="470">
  <si>
    <t>ROLL</t>
  </si>
  <si>
    <t>GP</t>
  </si>
  <si>
    <t>T-GP</t>
  </si>
  <si>
    <t>GPA</t>
  </si>
  <si>
    <t>SCIENCE</t>
  </si>
  <si>
    <t>BGS</t>
  </si>
  <si>
    <t>ICT</t>
  </si>
  <si>
    <t>TOTAL</t>
  </si>
  <si>
    <t>NAME OF SUBJECT</t>
  </si>
  <si>
    <t>FULL
MARKS</t>
  </si>
  <si>
    <t>ENGLISH 2ND</t>
  </si>
  <si>
    <t>MATHEMATICS</t>
  </si>
  <si>
    <t>MT</t>
  </si>
  <si>
    <t>BANGLA 1ST PAPER</t>
  </si>
  <si>
    <t>BANGLA 2ND PAPER</t>
  </si>
  <si>
    <t>HIGHEST MARK</t>
  </si>
  <si>
    <t>ENGLISH 1ST PAPER</t>
  </si>
  <si>
    <t xml:space="preserve">            GRAND TOTAL MARKS</t>
  </si>
  <si>
    <t>RELIGION</t>
  </si>
  <si>
    <t>SEVEN</t>
  </si>
  <si>
    <t>MOBILE NO.</t>
  </si>
  <si>
    <t>ASSIGNMENT-20</t>
  </si>
  <si>
    <t>TOTAL MARKS</t>
  </si>
  <si>
    <t>MID-TERM</t>
  </si>
  <si>
    <t>GRADE</t>
  </si>
  <si>
    <r>
      <t xml:space="preserve">                          WORKING DAYS</t>
    </r>
    <r>
      <rPr>
        <b/>
        <sz val="18"/>
        <color theme="1"/>
        <rFont val="Tempus Sans ITC"/>
        <family val="5"/>
      </rPr>
      <t>:</t>
    </r>
  </si>
  <si>
    <r>
      <t>STUDENT BEHABIOURS AND SKILL</t>
    </r>
    <r>
      <rPr>
        <b/>
        <sz val="20"/>
        <color theme="1"/>
        <rFont val="Tempus Sans ITC"/>
        <family val="5"/>
      </rPr>
      <t>:</t>
    </r>
  </si>
  <si>
    <r>
      <t xml:space="preserve">                           POSSITION</t>
    </r>
    <r>
      <rPr>
        <b/>
        <sz val="18"/>
        <color theme="1"/>
        <rFont val="Tempus Sans ITC"/>
        <family val="5"/>
      </rPr>
      <t xml:space="preserve">: </t>
    </r>
  </si>
  <si>
    <t>TAHMINA AKTER</t>
  </si>
  <si>
    <r>
      <t xml:space="preserve">       </t>
    </r>
    <r>
      <rPr>
        <sz val="18"/>
        <color rgb="FF00B050"/>
        <rFont val="Times New Roman"/>
        <family val="1"/>
      </rPr>
      <t>AMIN CADET ACADEMY</t>
    </r>
    <r>
      <rPr>
        <sz val="12"/>
        <color rgb="FF00B0F0"/>
        <rFont val="Times New Roman"/>
        <family val="1"/>
      </rPr>
      <t xml:space="preserve">
</t>
    </r>
    <r>
      <rPr>
        <sz val="11"/>
        <color rgb="FF00B0F0"/>
        <rFont val="Times New Roman"/>
        <family val="1"/>
      </rPr>
      <t xml:space="preserve">Amin Model Town, Savar Cantonment, Ashulia, Dhaka-1344.
</t>
    </r>
    <r>
      <rPr>
        <sz val="17"/>
        <color theme="1"/>
        <rFont val="Times New Roman"/>
        <family val="1"/>
      </rPr>
      <t>2nd Semester  Examination-2023</t>
    </r>
    <r>
      <rPr>
        <sz val="11"/>
        <color theme="1"/>
        <rFont val="Times New Roman"/>
        <family val="1"/>
      </rPr>
      <t xml:space="preserve">
     </t>
    </r>
    <r>
      <rPr>
        <sz val="15"/>
        <color theme="1"/>
        <rFont val="Times New Roman"/>
        <family val="1"/>
      </rPr>
      <t xml:space="preserve"> </t>
    </r>
    <r>
      <rPr>
        <sz val="15"/>
        <color theme="0" tint="-0.499984740745262"/>
        <rFont val="Times New Roman"/>
        <family val="1"/>
      </rPr>
      <t xml:space="preserve"> Progressive Report </t>
    </r>
  </si>
  <si>
    <t xml:space="preserve">CREATIVES </t>
  </si>
  <si>
    <t xml:space="preserve">             Class Teacher</t>
  </si>
  <si>
    <t>Co-Ordinator</t>
  </si>
  <si>
    <t>Vice-Principal</t>
  </si>
  <si>
    <t xml:space="preserve">              Gaurdian                                                                                                                                                              </t>
  </si>
  <si>
    <r>
      <t xml:space="preserve">STUDENT NAME   </t>
    </r>
    <r>
      <rPr>
        <b/>
        <sz val="14"/>
        <color theme="3" tint="0.39997558519241921"/>
        <rFont val="Tempus Sans ITC"/>
        <family val="5"/>
      </rPr>
      <t xml:space="preserve">: </t>
    </r>
  </si>
  <si>
    <r>
      <t xml:space="preserve">FATHER'S NAME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</si>
  <si>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MOTHER'S NAME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</si>
  <si>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CLASS TEACHER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</si>
  <si>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CLASS          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</si>
  <si>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SECTION    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</si>
  <si>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ROLL NO       </t>
    </r>
    <r>
      <rPr>
        <b/>
        <sz val="14"/>
        <color theme="3" tint="0.39997558519241921"/>
        <rFont val="Tempus Sans ITC"/>
        <family val="5"/>
      </rPr>
      <t>:</t>
    </r>
  </si>
  <si>
    <r>
      <t xml:space="preserve">TOTAL STUDENT   </t>
    </r>
    <r>
      <rPr>
        <b/>
        <sz val="16"/>
        <color theme="3" tint="0.39997558519241921"/>
        <rFont val="Tempus Sans ITC"/>
        <family val="5"/>
      </rPr>
      <t>:</t>
    </r>
  </si>
  <si>
    <t>ALL</t>
  </si>
  <si>
    <t>CONTINUOUS
ASSESSMENT-20</t>
  </si>
  <si>
    <t>HIGHEST MARKS</t>
  </si>
  <si>
    <t>CREATIVE</t>
  </si>
  <si>
    <t>:</t>
  </si>
  <si>
    <t>Term Exam</t>
  </si>
  <si>
    <t>Final Result</t>
  </si>
  <si>
    <t>Average Marks of Continuous Assesment</t>
  </si>
  <si>
    <t>Average Marks of  Creative</t>
  </si>
  <si>
    <t>C.GPA</t>
  </si>
  <si>
    <t xml:space="preserve">Name Of The Student 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</si>
  <si>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</si>
  <si>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</si>
  <si>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</si>
  <si>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</si>
  <si>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</si>
  <si>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</si>
  <si>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</si>
  <si>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Final Position of The Examination :</t>
  </si>
  <si>
    <t>Principal(Acting)</t>
  </si>
  <si>
    <t>Most. Jakia Yeasmin</t>
  </si>
  <si>
    <t>Md. Jahangir Alam</t>
  </si>
  <si>
    <t>Mst. Samsun Nahar Popi</t>
  </si>
  <si>
    <t>Most. Jafna Yeasmin</t>
  </si>
  <si>
    <t>Mst. Shamsun Nahar Popi</t>
  </si>
  <si>
    <t>Sanjida Akter Mim</t>
  </si>
  <si>
    <t>Md. Mizanur Rahaman</t>
  </si>
  <si>
    <t>Hawa Khatun</t>
  </si>
  <si>
    <t>Jannatul Mawa Ruku</t>
  </si>
  <si>
    <t xml:space="preserve">Md. Shafiqul Islam </t>
  </si>
  <si>
    <t>Mst. Afroza Begum</t>
  </si>
  <si>
    <t>Mst. Rabeya Boshri</t>
  </si>
  <si>
    <t xml:space="preserve">Mohammad Rafiqul Islam </t>
  </si>
  <si>
    <t xml:space="preserve">Sohana Akter </t>
  </si>
  <si>
    <t xml:space="preserve">Mst. Barisa Ahmed </t>
  </si>
  <si>
    <t>Md. Mostak Ahmed</t>
  </si>
  <si>
    <t xml:space="preserve">Kakoli Yasmin </t>
  </si>
  <si>
    <t xml:space="preserve">Jannatara Jinia </t>
  </si>
  <si>
    <t xml:space="preserve">Md. Jahangir Alam </t>
  </si>
  <si>
    <t>Amena Akther</t>
  </si>
  <si>
    <t>Sobuj Khan</t>
  </si>
  <si>
    <t>Mst. Shalina Khatun</t>
  </si>
  <si>
    <t xml:space="preserve">Md. Shazid AL Hasan </t>
  </si>
  <si>
    <t xml:space="preserve">Md. Hilal Uddin </t>
  </si>
  <si>
    <t xml:space="preserve">Sabekun Nahar Sobnom </t>
  </si>
  <si>
    <t>Zannatul Ferdous Ohi</t>
  </si>
  <si>
    <t>Md. Serajul Islam</t>
  </si>
  <si>
    <t>Mst. Fatema Khatun</t>
  </si>
  <si>
    <t xml:space="preserve">Jannatul Ferdous Esha </t>
  </si>
  <si>
    <t xml:space="preserve">Md Eleas Mia </t>
  </si>
  <si>
    <t xml:space="preserve">Sumi Akter </t>
  </si>
  <si>
    <t xml:space="preserve">Md. Junayed </t>
  </si>
  <si>
    <t xml:space="preserve">Md. Azad </t>
  </si>
  <si>
    <t xml:space="preserve">Mst. Laguk Lota </t>
  </si>
  <si>
    <t>Nadim Al Galib</t>
  </si>
  <si>
    <t>Md. Rabiul Islam</t>
  </si>
  <si>
    <t>Mst. Gulshan Ahammed Mary</t>
  </si>
  <si>
    <t>Mrinal Roy</t>
  </si>
  <si>
    <t xml:space="preserve">Rothindro Nath Ray </t>
  </si>
  <si>
    <t xml:space="preserve">Mira Roy </t>
  </si>
  <si>
    <t>Md. Mahmud Hasan</t>
  </si>
  <si>
    <t>Md. Harun Ur Rashid</t>
  </si>
  <si>
    <t>Shirin Akter</t>
  </si>
  <si>
    <t xml:space="preserve">Mst. Jakia Hasan </t>
  </si>
  <si>
    <t xml:space="preserve">Md. Jahid Hossan </t>
  </si>
  <si>
    <t xml:space="preserve">Taslima  </t>
  </si>
  <si>
    <t xml:space="preserve"> Mst. Lamisa Khan </t>
  </si>
  <si>
    <t xml:space="preserve">Md. Rashed Khan </t>
  </si>
  <si>
    <t>Lovely</t>
  </si>
  <si>
    <t>Md. Jihan Ahmad</t>
  </si>
  <si>
    <t>Md. Zahirul Islam</t>
  </si>
  <si>
    <t>Shefali Akter</t>
  </si>
  <si>
    <t xml:space="preserve">Mst. Israt Jahan Mim </t>
  </si>
  <si>
    <t xml:space="preserve">Md. Younush Ali </t>
  </si>
  <si>
    <t xml:space="preserve">Mst. Rina Akter </t>
  </si>
  <si>
    <t>Md. Labib Hasan Limon</t>
  </si>
  <si>
    <t>Md. Babul Mia</t>
  </si>
  <si>
    <t>Mst. Lipi Begum</t>
  </si>
  <si>
    <t>Mishu Binte Titu</t>
  </si>
  <si>
    <t>Salim Miah</t>
  </si>
  <si>
    <t>Mitu</t>
  </si>
  <si>
    <t>Md. Tahbul Islam</t>
  </si>
  <si>
    <t>Md. Alamgir Hossain</t>
  </si>
  <si>
    <t>Mst. Tahmina Begum</t>
  </si>
  <si>
    <t xml:space="preserve">Sadat Araf Ahmed </t>
  </si>
  <si>
    <t xml:space="preserve">Md. Sakil Ahmed </t>
  </si>
  <si>
    <t xml:space="preserve">Elora Akter </t>
  </si>
  <si>
    <t>Md. Tarikul Islam</t>
  </si>
  <si>
    <t>Mohammad Shakib Rana</t>
  </si>
  <si>
    <t>Mst. Kalpana Akter</t>
  </si>
  <si>
    <t xml:space="preserve">Fatema Islam </t>
  </si>
  <si>
    <t xml:space="preserve">Johirul Islam </t>
  </si>
  <si>
    <t xml:space="preserve">Joly Aktar </t>
  </si>
  <si>
    <t xml:space="preserve">Bushra Hasan Rafa </t>
  </si>
  <si>
    <t>Md. Rashedul Hassan Shahen</t>
  </si>
  <si>
    <t xml:space="preserve">Reshma Akter </t>
  </si>
  <si>
    <t>Md. Zihadul Islam</t>
  </si>
  <si>
    <t xml:space="preserve">Md. Jahangir  </t>
  </si>
  <si>
    <t>Mst. Ruma</t>
  </si>
  <si>
    <t>Md. Fahim</t>
  </si>
  <si>
    <t>Md. Arshad</t>
  </si>
  <si>
    <t>Most. Khadiza Akter Reshmi</t>
  </si>
  <si>
    <t>Md. Atikul Islam</t>
  </si>
  <si>
    <t>Md. Nazrul Islam</t>
  </si>
  <si>
    <t>Md. Kulsum Akter</t>
  </si>
  <si>
    <t>Jannat Akter Mim</t>
  </si>
  <si>
    <t>Md. Mamun Hossain</t>
  </si>
  <si>
    <t>Mst. Madina Akter</t>
  </si>
  <si>
    <t xml:space="preserve">Md. Abid Islam Esam </t>
  </si>
  <si>
    <t>Asma Begum</t>
  </si>
  <si>
    <t xml:space="preserve">Md. Masud Hasan </t>
  </si>
  <si>
    <t xml:space="preserve">Md. Tipu Howladar </t>
  </si>
  <si>
    <t xml:space="preserve">Maksuda Begum </t>
  </si>
  <si>
    <t xml:space="preserve">Niloy Hossen </t>
  </si>
  <si>
    <t xml:space="preserve">Md Faruk Hosson </t>
  </si>
  <si>
    <t xml:space="preserve">Lilema Hosson </t>
  </si>
  <si>
    <t xml:space="preserve">Md Shafin Ahmed Soyon </t>
  </si>
  <si>
    <t xml:space="preserve">Md. Tuhin Hossain Hawladar </t>
  </si>
  <si>
    <t xml:space="preserve">Ismot Jahan Dolon </t>
  </si>
  <si>
    <t xml:space="preserve">Faria Kabir </t>
  </si>
  <si>
    <t xml:space="preserve">Mohammad Mohsin Kabir </t>
  </si>
  <si>
    <t xml:space="preserve">Lopa Akter </t>
  </si>
  <si>
    <t xml:space="preserve">Raisa Nasir Nimmi </t>
  </si>
  <si>
    <t xml:space="preserve">Md. Nasir Uddin </t>
  </si>
  <si>
    <t xml:space="preserve">Papia Sultana </t>
  </si>
  <si>
    <t>Md. Abhar Azmair Rohman Azaan</t>
  </si>
  <si>
    <t xml:space="preserve">Md. Adnan Rahman </t>
  </si>
  <si>
    <t xml:space="preserve">Roksana </t>
  </si>
  <si>
    <t xml:space="preserve">Mst. Afsana Zaman </t>
  </si>
  <si>
    <t xml:space="preserve">Ashaduzzaman </t>
  </si>
  <si>
    <t>Mst. Jasna  Begum</t>
  </si>
  <si>
    <t xml:space="preserve">Md. Tahmid Rahman Tonmoy </t>
  </si>
  <si>
    <t xml:space="preserve">Md. Ripon Howlader </t>
  </si>
  <si>
    <t xml:space="preserve">Mst Tania Sultana </t>
  </si>
  <si>
    <t xml:space="preserve">Tanvir Hossain Zarif </t>
  </si>
  <si>
    <t>Kamal Hossain</t>
  </si>
  <si>
    <t>Mst. Nahida</t>
  </si>
  <si>
    <t xml:space="preserve">Md. Shoaieb </t>
  </si>
  <si>
    <t xml:space="preserve">Badal Miah </t>
  </si>
  <si>
    <t xml:space="preserve">Mukta Akter </t>
  </si>
  <si>
    <t xml:space="preserve">Tasin </t>
  </si>
  <si>
    <t>Md. Julhas Uddin</t>
  </si>
  <si>
    <t xml:space="preserve">Israt Jahan </t>
  </si>
  <si>
    <t>S.L</t>
  </si>
  <si>
    <t>Student's Name</t>
  </si>
  <si>
    <t>Fahther`s Name</t>
  </si>
  <si>
    <t>Mother's Name</t>
  </si>
  <si>
    <t>Mobile No.</t>
  </si>
  <si>
    <t>BANGLA -1ST</t>
  </si>
  <si>
    <t>TOTAL 100%</t>
  </si>
  <si>
    <t>BANGLA- 2ND</t>
  </si>
  <si>
    <t>H
MARK</t>
  </si>
  <si>
    <t>ENGLISH</t>
  </si>
  <si>
    <t>AGICULTURE</t>
  </si>
  <si>
    <t>BEHABIOUR</t>
  </si>
  <si>
    <t>GRAND TOTAL 
MARKS</t>
  </si>
  <si>
    <t>RANK OF STUDENT</t>
  </si>
  <si>
    <t>WORKING 
DAYS</t>
  </si>
  <si>
    <t>CR</t>
  </si>
  <si>
    <t>MT+CR</t>
  </si>
  <si>
    <t>OB</t>
  </si>
  <si>
    <t>1st</t>
  </si>
  <si>
    <t>MT+80%</t>
  </si>
  <si>
    <t>2nd</t>
  </si>
  <si>
    <t>PR</t>
  </si>
  <si>
    <t>01725-819818   01719-884204</t>
  </si>
  <si>
    <t>01687-391828   01935-694767</t>
  </si>
  <si>
    <t xml:space="preserve"> 01985-878971</t>
  </si>
  <si>
    <t>01712-615903   01722-194063</t>
  </si>
  <si>
    <t>01841-023461   01720-499942</t>
  </si>
  <si>
    <t>01710-747856
01710-626486</t>
  </si>
  <si>
    <t>01711-501071
01745-120050</t>
  </si>
  <si>
    <t>01715-865163   01300-843961</t>
  </si>
  <si>
    <t>01922-044690     01940-180537</t>
  </si>
  <si>
    <t>01914-614860   01917-919945</t>
  </si>
  <si>
    <t>01759-413918   01888-263744</t>
  </si>
  <si>
    <t>Md. Ismail Hossain Arzu</t>
  </si>
  <si>
    <t>Rajib Hossen</t>
  </si>
  <si>
    <t>Mst. Asma Akter</t>
  </si>
  <si>
    <t>01718-218536   01714-531376</t>
  </si>
  <si>
    <t>01712-124047</t>
  </si>
  <si>
    <t>01934-530355                   01629-981307</t>
  </si>
  <si>
    <t>Junayed Musa</t>
  </si>
  <si>
    <t>Md. Habibur Rahman</t>
  </si>
  <si>
    <t>Shamoly Akter Nusrat</t>
  </si>
  <si>
    <t>01918-721280   01771-884881</t>
  </si>
  <si>
    <t>Sifat Hossain</t>
  </si>
  <si>
    <t>Delwar Hossain</t>
  </si>
  <si>
    <t>Kalpana</t>
  </si>
  <si>
    <t>01302-917289    01851-383960</t>
  </si>
  <si>
    <t xml:space="preserve">Shahariyar Nafiz </t>
  </si>
  <si>
    <t xml:space="preserve">Ujjal </t>
  </si>
  <si>
    <t>Nilufa Easmin</t>
  </si>
  <si>
    <t>01911-595877</t>
  </si>
  <si>
    <t>Yawmin Nur</t>
  </si>
  <si>
    <t>Md. Mahamud Hasan</t>
  </si>
  <si>
    <t>Mst. Aklima Khatun</t>
  </si>
  <si>
    <t>01716-553350   01960-149298</t>
  </si>
  <si>
    <t>Sumona Yesmeen</t>
  </si>
  <si>
    <t>Mohammad Jahidur Rahman</t>
  </si>
  <si>
    <t>Marufa Yesmin Munni</t>
  </si>
  <si>
    <t>01815-070878   01811-544073</t>
  </si>
  <si>
    <t>Touba Hasan Ohi</t>
  </si>
  <si>
    <t>Mahadi Hasan Latif</t>
  </si>
  <si>
    <t>Momotaj Bishwash Shopna</t>
  </si>
  <si>
    <t>01608-757635       01948-908233</t>
  </si>
  <si>
    <t>01776-635965   01758-444492</t>
  </si>
  <si>
    <t>01720-900098   01757-780058</t>
  </si>
  <si>
    <t xml:space="preserve">Md. Munirruzzaman </t>
  </si>
  <si>
    <t>Jamal Uddin</t>
  </si>
  <si>
    <t xml:space="preserve">Mst. Monny Islam </t>
  </si>
  <si>
    <t>01780-639999</t>
  </si>
  <si>
    <t>Rizvi Ahmed</t>
  </si>
  <si>
    <t xml:space="preserve">Shafiqul Islam </t>
  </si>
  <si>
    <t>Nurjahan Akter Baby</t>
  </si>
  <si>
    <t>01707-144720</t>
  </si>
  <si>
    <t>Md. Meskat Shorif</t>
  </si>
  <si>
    <t xml:space="preserve">Md. Raju Hosen </t>
  </si>
  <si>
    <t>Mst. Shapla</t>
  </si>
  <si>
    <t>01739-088008</t>
  </si>
  <si>
    <t xml:space="preserve">Bin Yamin </t>
  </si>
  <si>
    <t>Santa Islam Bethi</t>
  </si>
  <si>
    <t>01707-721711</t>
  </si>
  <si>
    <t xml:space="preserve">Md. Sohardo Khan Saion </t>
  </si>
  <si>
    <t>Md. Abu Bokkor Siddiq</t>
  </si>
  <si>
    <t xml:space="preserve">Sharmin Akther Sima </t>
  </si>
  <si>
    <t>01628-273650      01883-043559</t>
  </si>
  <si>
    <t xml:space="preserve">Abdur Rahman </t>
  </si>
  <si>
    <t>Md. Ohide</t>
  </si>
  <si>
    <t>Mst. Ratna Khatun</t>
  </si>
  <si>
    <t>01777-287546                01778-005456</t>
  </si>
  <si>
    <t>Tayabunnessa Toyaba</t>
  </si>
  <si>
    <t xml:space="preserve">Belayet Hossen </t>
  </si>
  <si>
    <t xml:space="preserve">Olesa </t>
  </si>
  <si>
    <t>01766-084261         01849-842664</t>
  </si>
  <si>
    <t xml:space="preserve">Md Nurnobi </t>
  </si>
  <si>
    <t xml:space="preserve">Md Johirul Islam </t>
  </si>
  <si>
    <t xml:space="preserve">Mst Nargis </t>
  </si>
  <si>
    <t>01631-889021</t>
  </si>
  <si>
    <t xml:space="preserve">Ashrafi Islam </t>
  </si>
  <si>
    <t xml:space="preserve">Md Jasim Uddin </t>
  </si>
  <si>
    <t xml:space="preserve">Mst. Sumiya </t>
  </si>
  <si>
    <t>01768-615732                    01978-174404</t>
  </si>
  <si>
    <t>Md. Tuhin Munshi</t>
  </si>
  <si>
    <t xml:space="preserve">Md. Akter Hossain </t>
  </si>
  <si>
    <t xml:space="preserve">Mst. Nihar Akter </t>
  </si>
  <si>
    <t>01739-118286      01716-816721</t>
  </si>
  <si>
    <t xml:space="preserve">Sajed Mohammad Sami </t>
  </si>
  <si>
    <t xml:space="preserve">Md. Siraj Uddin </t>
  </si>
  <si>
    <t>Mst. Marzina Akter Meto</t>
  </si>
  <si>
    <t>01678-823128     01688-074717</t>
  </si>
  <si>
    <t>01775-226437                      01311-036277</t>
  </si>
  <si>
    <t xml:space="preserve">Md. Rohan Hasan Rodro </t>
  </si>
  <si>
    <t xml:space="preserve">Md. Kamruzzaman Raj </t>
  </si>
  <si>
    <t xml:space="preserve">Shadia Akter </t>
  </si>
  <si>
    <t>01322-035408      01901-026923</t>
  </si>
  <si>
    <t>Raiyan Akter Sunmoon</t>
  </si>
  <si>
    <t xml:space="preserve">Md. Akter Hossen </t>
  </si>
  <si>
    <t xml:space="preserve">Mustari Khan Rita </t>
  </si>
  <si>
    <t>01917-485023                01402-687189</t>
  </si>
  <si>
    <t xml:space="preserve">Mohammad Moudan Ahmmed </t>
  </si>
  <si>
    <t xml:space="preserve">Abdullah All Sakee </t>
  </si>
  <si>
    <t xml:space="preserve">Momataz Akter </t>
  </si>
  <si>
    <t>01727-085258</t>
  </si>
  <si>
    <t>01630-584853                         01823-684508</t>
  </si>
  <si>
    <t>Md. Fahad Akhond</t>
  </si>
  <si>
    <t>Md. Faruk Hossain Akhand</t>
  </si>
  <si>
    <t xml:space="preserve">Ferdousi Begum </t>
  </si>
  <si>
    <t>01829-867533                     01660-138540</t>
  </si>
  <si>
    <t>Md. Arian Ahamed Shihab</t>
  </si>
  <si>
    <t xml:space="preserve">Md. Anwar Hossain </t>
  </si>
  <si>
    <t xml:space="preserve">Urmi Akter </t>
  </si>
  <si>
    <t>01927-214945      01763-655369</t>
  </si>
  <si>
    <t>01625-410932</t>
  </si>
  <si>
    <t>Nusrat Sultana Mitu</t>
  </si>
  <si>
    <t>Muhammad Ali</t>
  </si>
  <si>
    <t xml:space="preserve">Sumaiya Sultana </t>
  </si>
  <si>
    <t>01833-978619  01303-248222</t>
  </si>
  <si>
    <t>Mst. Shamsun Nahar</t>
  </si>
  <si>
    <t>01712-116954                  01932-494940</t>
  </si>
  <si>
    <t>01826-644839</t>
  </si>
  <si>
    <t>Md. Mishkat Islam Badhon</t>
  </si>
  <si>
    <t xml:space="preserve">01726-069093  </t>
  </si>
  <si>
    <t>Md. Omor Shojib</t>
  </si>
  <si>
    <t>Md. Ruhul Amin Sopon</t>
  </si>
  <si>
    <t>Sharmin Akter</t>
  </si>
  <si>
    <t>01939-673734</t>
  </si>
  <si>
    <t>01970-950950       01911-126045</t>
  </si>
  <si>
    <t>01731-749159</t>
  </si>
  <si>
    <t>01680-044382     01632-284778</t>
  </si>
  <si>
    <t>01780-465753                     01725-843448</t>
  </si>
  <si>
    <t xml:space="preserve"> 01645-911246</t>
  </si>
  <si>
    <t>01776- 637365          01311-441355</t>
  </si>
  <si>
    <t xml:space="preserve">Raichi Mahmud Ridhe </t>
  </si>
  <si>
    <t>Md. Rusel Mahamud</t>
  </si>
  <si>
    <t>Nishat Sultana Rita</t>
  </si>
  <si>
    <t>01716-813334   019100-31509</t>
  </si>
  <si>
    <t xml:space="preserve">Md. Miyat Sarkar </t>
  </si>
  <si>
    <t xml:space="preserve">Md. Golam Azam Hashu </t>
  </si>
  <si>
    <t xml:space="preserve">Mst. Nazma Akter </t>
  </si>
  <si>
    <t>01716-237485     01840-316171</t>
  </si>
  <si>
    <t>Abdullah Al Naeem</t>
  </si>
  <si>
    <t xml:space="preserve">Md. Unus Ali </t>
  </si>
  <si>
    <t>Mst. Rubia Khatun</t>
  </si>
  <si>
    <t>01728-803705   01877-783052</t>
  </si>
  <si>
    <t>Md. Yemin Fakir</t>
  </si>
  <si>
    <t>Md. Alom Fokir</t>
  </si>
  <si>
    <t>Mst. Jannat Begum</t>
  </si>
  <si>
    <t>01790-754641 017782-81807</t>
  </si>
  <si>
    <t>01303-093670   01715-266773</t>
  </si>
  <si>
    <t xml:space="preserve">01762-132311                   </t>
  </si>
  <si>
    <t>Md. Rashedul Hassan</t>
  </si>
  <si>
    <t>01703- 977774     01765-374931</t>
  </si>
  <si>
    <t>01927-761728   01922-334325</t>
  </si>
  <si>
    <t xml:space="preserve">Most. Khadiza Akter </t>
  </si>
  <si>
    <t>01671-553108   01794-519676</t>
  </si>
  <si>
    <t>Siam Babu</t>
  </si>
  <si>
    <t>Md. Abdul Awal</t>
  </si>
  <si>
    <t>Shuli Begum</t>
  </si>
  <si>
    <t>01732-941568   01937-849039</t>
  </si>
  <si>
    <t xml:space="preserve">Md. Maruf Islam </t>
  </si>
  <si>
    <t xml:space="preserve">Ahinur Islam </t>
  </si>
  <si>
    <t xml:space="preserve">Mst. Marufa Akter </t>
  </si>
  <si>
    <t>01925-914319 01908-482196</t>
  </si>
  <si>
    <t>01624-581346   01640-731501</t>
  </si>
  <si>
    <t xml:space="preserve">Socoail Chakma </t>
  </si>
  <si>
    <t>Bakul Chakma</t>
  </si>
  <si>
    <t>Asentane Chakma</t>
  </si>
  <si>
    <t xml:space="preserve"> 01641-763585</t>
  </si>
  <si>
    <t>Nibir Rajbongshi</t>
  </si>
  <si>
    <t>Jonor Rajbangshi</t>
  </si>
  <si>
    <t>Rekha Rani Rajbongshi</t>
  </si>
  <si>
    <t>01924-856636</t>
  </si>
  <si>
    <t>Ahmad Mursalin</t>
  </si>
  <si>
    <t>Md. Aminul Haque Molla</t>
  </si>
  <si>
    <t>Rabeya Khatun</t>
  </si>
  <si>
    <t>01677-059053   01632-275747</t>
  </si>
  <si>
    <t>Shishir Islam Sakib</t>
  </si>
  <si>
    <t>Md. Shahin Alam</t>
  </si>
  <si>
    <t>Mst. Sharmin Akter</t>
  </si>
  <si>
    <t>01932-207798   01905-487139</t>
  </si>
  <si>
    <t xml:space="preserve">Jahangir Sarkar </t>
  </si>
  <si>
    <t>Md. Arif Hussain Apu</t>
  </si>
  <si>
    <t xml:space="preserve">Jhumur Akter </t>
  </si>
  <si>
    <t>01920-898411</t>
  </si>
  <si>
    <t>Nirob Hossen</t>
  </si>
  <si>
    <t xml:space="preserve">Raju Ahmmad </t>
  </si>
  <si>
    <t>Nipa Akther</t>
  </si>
  <si>
    <t>01851-085314                01876-322542</t>
  </si>
  <si>
    <t xml:space="preserve">Maksooda Begum </t>
  </si>
  <si>
    <t>01869-863033     01831-121589</t>
  </si>
  <si>
    <t>01724-547150         01634-038488</t>
  </si>
  <si>
    <t>01611-949446                01681-300042</t>
  </si>
  <si>
    <t xml:space="preserve">Shahriar Salman </t>
  </si>
  <si>
    <t xml:space="preserve">Abdul Halim </t>
  </si>
  <si>
    <t>Mst. Shewly Akter</t>
  </si>
  <si>
    <t>01785-744472                01332-631113</t>
  </si>
  <si>
    <t>01671-368339                    01641-079713</t>
  </si>
  <si>
    <t xml:space="preserve">Md. Osman Goni Alif </t>
  </si>
  <si>
    <t xml:space="preserve">Anower Hossain </t>
  </si>
  <si>
    <t xml:space="preserve">Suria Begum </t>
  </si>
  <si>
    <t>01972-741771      01707-537989</t>
  </si>
  <si>
    <t>01711-052998    01836-511456</t>
  </si>
  <si>
    <t xml:space="preserve">Essa Moni </t>
  </si>
  <si>
    <t xml:space="preserve">Md. Rafiqul Islam Rafiq </t>
  </si>
  <si>
    <t xml:space="preserve">Mst. Nasrin Akther </t>
  </si>
  <si>
    <t>01613-441746</t>
  </si>
  <si>
    <t xml:space="preserve">Mst. Jasna </t>
  </si>
  <si>
    <t>01608-434134               01783-748388</t>
  </si>
  <si>
    <t>Md. Mahir Shariyar Rabab</t>
  </si>
  <si>
    <t xml:space="preserve">Md. Uzzol Hoshin Rafis </t>
  </si>
  <si>
    <t xml:space="preserve">Mst. Rupali Khatun </t>
  </si>
  <si>
    <t>01760-369824               01889-061375</t>
  </si>
  <si>
    <t>01725-985590</t>
  </si>
  <si>
    <t>01610-382600</t>
  </si>
  <si>
    <t xml:space="preserve">Ankon Mondol </t>
  </si>
  <si>
    <t xml:space="preserve">Milon Kumar </t>
  </si>
  <si>
    <t xml:space="preserve">Pramila Sarkar </t>
  </si>
  <si>
    <t>01619-315592                       01737-678614</t>
  </si>
  <si>
    <t xml:space="preserve">Tahsin Hasnain Ramin </t>
  </si>
  <si>
    <t xml:space="preserve">Md Forhad Uddin </t>
  </si>
  <si>
    <t>Mst. Hena Banu</t>
  </si>
  <si>
    <t>01715-086710                         01712-384936</t>
  </si>
  <si>
    <t>Abdullah Al Araf</t>
  </si>
  <si>
    <t>Md. Omour Ali Khan</t>
  </si>
  <si>
    <t>Rabeya Akter</t>
  </si>
  <si>
    <t>01726-332395 01906-857295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</si>
  <si>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 SEVEN (DOYEL &amp; KOYEL)</t>
    </r>
  </si>
  <si>
    <t>Md. Omor Sojib</t>
  </si>
  <si>
    <t>Md. Alom Fakir</t>
  </si>
  <si>
    <t xml:space="preserve">Shocial Chakma </t>
  </si>
  <si>
    <t xml:space="preserve">Esha Moni </t>
  </si>
  <si>
    <t>Sinthia Islam</t>
  </si>
  <si>
    <t>Md. Sofiqul Islam</t>
  </si>
  <si>
    <t>Hadia Khanam</t>
  </si>
  <si>
    <t>01853-616991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</si>
  <si>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 SEVEN (DOYEL &amp; KOYEL)</t>
    </r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</si>
  <si>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3RD SEMESTER TABULATION SHEET-2025
CLASS- SEVEN (DOYEL &amp; KOYEL)</t>
    </r>
  </si>
  <si>
    <t>OBJECTIVE</t>
  </si>
  <si>
    <t>Average Marks of OBJECTIVE</t>
  </si>
  <si>
    <t>BANGLA 1ST PAPER-100</t>
  </si>
  <si>
    <t>BANGLA 2ND PAPER-50</t>
  </si>
  <si>
    <t>ENGLISH 1ST PAPER-100</t>
  </si>
  <si>
    <t>ENGLISH 2ND PAPER-50</t>
  </si>
  <si>
    <t>G. MATHEMATICS-100</t>
  </si>
  <si>
    <t>RELIGION-100</t>
  </si>
  <si>
    <t>ICT-50</t>
  </si>
  <si>
    <t>SCIENCE-100</t>
  </si>
  <si>
    <t>BGS-100</t>
  </si>
  <si>
    <t>AGRICULTURE-50</t>
  </si>
  <si>
    <t>TOTAL MARKS - 800</t>
  </si>
  <si>
    <t>SABER AL MASUD &amp; KUMAR BISHAWJIT</t>
  </si>
  <si>
    <t>DOYEL &amp; KOYEL</t>
  </si>
  <si>
    <t xml:space="preserve"> </t>
  </si>
  <si>
    <t>All Semester Total Marks</t>
  </si>
  <si>
    <t xml:space="preserve">1st </t>
  </si>
  <si>
    <t xml:space="preserve">2nd </t>
  </si>
  <si>
    <t xml:space="preserve">3rd </t>
  </si>
  <si>
    <t>Avg-Total</t>
  </si>
  <si>
    <t>1st semester</t>
  </si>
  <si>
    <t>2nd Semester</t>
  </si>
  <si>
    <t>3rd Semester</t>
  </si>
  <si>
    <t>Avarege</t>
  </si>
  <si>
    <r>
      <t>1</t>
    </r>
    <r>
      <rPr>
        <b/>
        <vertAlign val="superscript"/>
        <sz val="12"/>
        <color theme="1"/>
        <rFont val="Cambria"/>
        <family val="1"/>
        <scheme val="major"/>
      </rPr>
      <t xml:space="preserve">st  </t>
    </r>
    <r>
      <rPr>
        <b/>
        <sz val="12"/>
        <color theme="1"/>
        <rFont val="Cambria"/>
        <family val="1"/>
        <scheme val="major"/>
      </rPr>
      <t>Term Exam</t>
    </r>
  </si>
  <si>
    <r>
      <t>2</t>
    </r>
    <r>
      <rPr>
        <b/>
        <vertAlign val="superscript"/>
        <sz val="12"/>
        <color theme="1"/>
        <rFont val="Cambria"/>
        <family val="1"/>
        <scheme val="major"/>
      </rPr>
      <t>nd</t>
    </r>
    <r>
      <rPr>
        <b/>
        <sz val="12"/>
        <color theme="1"/>
        <rFont val="Cambria"/>
        <family val="1"/>
        <scheme val="major"/>
      </rPr>
      <t xml:space="preserve"> </t>
    </r>
    <r>
      <rPr>
        <b/>
        <vertAlign val="superscript"/>
        <sz val="12"/>
        <color theme="1"/>
        <rFont val="Cambria"/>
        <family val="1"/>
        <scheme val="major"/>
      </rPr>
      <t xml:space="preserve"> </t>
    </r>
    <r>
      <rPr>
        <b/>
        <sz val="12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</si>
  <si>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2"/>
        <color theme="1"/>
        <rFont val="Cambria"/>
        <family val="1"/>
        <scheme val="major"/>
      </rPr>
      <t xml:space="preserve">rd  </t>
    </r>
    <r>
      <rPr>
        <b/>
        <sz val="12"/>
        <color theme="1"/>
        <rFont val="Cambria"/>
        <family val="1"/>
        <scheme val="major"/>
      </rPr>
      <t>Term Exam</t>
    </r>
  </si>
  <si>
    <r>
      <rPr>
        <b/>
        <sz val="22"/>
        <color theme="1"/>
        <rFont val="Cambria"/>
        <family val="1"/>
        <scheme val="major"/>
      </rPr>
      <t>AMIN CADET RESIDENTIAL ACADEMY</t>
    </r>
    <r>
      <rPr>
        <b/>
        <sz val="11"/>
        <color theme="1"/>
        <rFont val="Cambria"/>
        <family val="1"/>
        <scheme val="major"/>
      </rPr>
      <t xml:space="preserve">
Amin Model Town, Savar Cantonment, Ashulia, Dhaka-1344.
Annual Examination Result -2025
</t>
    </r>
  </si>
</sst>
</file>

<file path=xl/styles.xml><?xml version="1.0" encoding="utf-8"?>
<styleSheet xmlns="http://schemas.openxmlformats.org/spreadsheetml/2006/main">
  <numFmts count="4">
    <numFmt numFmtId="164" formatCode="00000\-0000"/>
    <numFmt numFmtId="165" formatCode="0.0"/>
    <numFmt numFmtId="166" formatCode="0.00;[Red]0.00"/>
    <numFmt numFmtId="167" formatCode="00"/>
  </numFmts>
  <fonts count="7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Tempus Sans ITC"/>
      <family val="5"/>
    </font>
    <font>
      <b/>
      <sz val="12"/>
      <color theme="3" tint="0.39997558519241921"/>
      <name val="Tempus Sans ITC"/>
      <family val="5"/>
    </font>
    <font>
      <b/>
      <sz val="11"/>
      <color theme="2" tint="-0.499984740745262"/>
      <name val="Times New Roman"/>
      <family val="1"/>
    </font>
    <font>
      <sz val="12"/>
      <color theme="2" tint="-0.499984740745262"/>
      <name val="Times New Roman"/>
      <family val="1"/>
    </font>
    <font>
      <b/>
      <sz val="16"/>
      <color theme="2" tint="-0.49998474074526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rgb="FF00B0F0"/>
      <name val="Tempus Sans ITC"/>
      <family val="5"/>
    </font>
    <font>
      <b/>
      <sz val="11"/>
      <color theme="1" tint="0.499984740745262"/>
      <name val="Tempus Sans ITC"/>
      <family val="5"/>
    </font>
    <font>
      <b/>
      <sz val="12"/>
      <color theme="1" tint="0.499984740745262"/>
      <name val="Tempus Sans ITC"/>
      <family val="5"/>
    </font>
    <font>
      <sz val="12"/>
      <color theme="1" tint="0.499984740745262"/>
      <name val="Times New Roman"/>
      <family val="1"/>
    </font>
    <font>
      <b/>
      <sz val="14"/>
      <color theme="1" tint="0.499984740745262"/>
      <name val="Times New Roman"/>
      <family val="1"/>
    </font>
    <font>
      <b/>
      <sz val="11"/>
      <color theme="3" tint="0.39997558519241921"/>
      <name val="Tempus Sans ITC"/>
      <family val="5"/>
    </font>
    <font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2"/>
      <name val="Tempus Sans ITC"/>
      <family val="5"/>
    </font>
    <font>
      <b/>
      <sz val="14"/>
      <color theme="3" tint="0.39997558519241921"/>
      <name val="Tempus Sans ITC"/>
      <family val="5"/>
    </font>
    <font>
      <b/>
      <sz val="11"/>
      <color theme="1"/>
      <name val="Tempus Sans ITC"/>
      <family val="5"/>
    </font>
    <font>
      <b/>
      <sz val="18"/>
      <color theme="1"/>
      <name val="Tempus Sans ITC"/>
      <family val="5"/>
    </font>
    <font>
      <b/>
      <sz val="20"/>
      <color theme="1"/>
      <name val="Tempus Sans ITC"/>
      <family val="5"/>
    </font>
    <font>
      <sz val="17"/>
      <color theme="1"/>
      <name val="Times New Roman"/>
      <family val="1"/>
    </font>
    <font>
      <sz val="12"/>
      <color rgb="FF00B0F0"/>
      <name val="Times New Roman"/>
      <family val="1"/>
    </font>
    <font>
      <sz val="18"/>
      <color rgb="FF00B050"/>
      <name val="Times New Roman"/>
      <family val="1"/>
    </font>
    <font>
      <sz val="11"/>
      <color rgb="FF00B0F0"/>
      <name val="Times New Roman"/>
      <family val="1"/>
    </font>
    <font>
      <sz val="11"/>
      <color theme="1"/>
      <name val="Times New Roman"/>
      <family val="1"/>
    </font>
    <font>
      <sz val="15"/>
      <color theme="1"/>
      <name val="Times New Roman"/>
      <family val="1"/>
    </font>
    <font>
      <sz val="15"/>
      <color theme="0" tint="-0.499984740745262"/>
      <name val="Times New Roman"/>
      <family val="1"/>
    </font>
    <font>
      <b/>
      <sz val="8"/>
      <name val="Times New Roman"/>
      <family val="1"/>
    </font>
    <font>
      <b/>
      <sz val="10"/>
      <color theme="1" tint="0.499984740745262"/>
      <name val="Tempus Sans ITC"/>
      <family val="5"/>
    </font>
    <font>
      <sz val="11"/>
      <color theme="1" tint="0.499984740745262"/>
      <name val="Times New Roman"/>
      <family val="1"/>
    </font>
    <font>
      <b/>
      <sz val="16"/>
      <color theme="3" tint="0.39997558519241921"/>
      <name val="Tempus Sans ITC"/>
      <family val="5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mbria"/>
      <family val="1"/>
      <scheme val="major"/>
    </font>
    <font>
      <sz val="11"/>
      <name val="Calibri"/>
      <family val="2"/>
      <scheme val="minor"/>
    </font>
    <font>
      <sz val="11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8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5"/>
      <color theme="1"/>
      <name val="Algerian"/>
      <family val="5"/>
    </font>
    <font>
      <b/>
      <sz val="28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10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sz val="10"/>
      <color theme="1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2"/>
      <color theme="1"/>
      <name val="Times New Roman"/>
      <family val="1"/>
    </font>
    <font>
      <b/>
      <sz val="12"/>
      <color theme="1"/>
      <name val="Arial"/>
      <family val="2"/>
    </font>
    <font>
      <sz val="13"/>
      <color theme="1"/>
      <name val="Arial"/>
      <family val="2"/>
    </font>
    <font>
      <sz val="13"/>
      <name val="Arial"/>
      <family val="2"/>
    </font>
    <font>
      <sz val="13"/>
      <color theme="1"/>
      <name val="Times New Roman"/>
      <family val="1"/>
    </font>
    <font>
      <b/>
      <sz val="8"/>
      <name val="Cambria"/>
      <family val="1"/>
      <scheme val="maj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  <font>
      <b/>
      <sz val="11"/>
      <color theme="1"/>
      <name val="Times New Roman"/>
      <family val="1"/>
    </font>
    <font>
      <b/>
      <vertAlign val="superscript"/>
      <sz val="12"/>
      <color theme="1"/>
      <name val="Cambria"/>
      <family val="1"/>
      <scheme val="major"/>
    </font>
    <font>
      <b/>
      <sz val="22"/>
      <color theme="1"/>
      <name val="Cambria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51" fillId="0" borderId="0"/>
  </cellStyleXfs>
  <cellXfs count="304">
    <xf numFmtId="0" fontId="0" fillId="0" borderId="0" xfId="0"/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4" fillId="3" borderId="5" xfId="0" applyFont="1" applyFill="1" applyBorder="1"/>
    <xf numFmtId="0" fontId="6" fillId="3" borderId="1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/>
    <xf numFmtId="0" fontId="8" fillId="3" borderId="0" xfId="0" applyFont="1" applyFill="1" applyAlignment="1">
      <alignment vertic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0" fillId="3" borderId="5" xfId="0" applyFill="1" applyBorder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9" xfId="0" applyFont="1" applyFill="1" applyBorder="1"/>
    <xf numFmtId="0" fontId="4" fillId="3" borderId="10" xfId="0" applyFont="1" applyFill="1" applyBorder="1"/>
    <xf numFmtId="0" fontId="4" fillId="3" borderId="7" xfId="0" applyFont="1" applyFill="1" applyBorder="1"/>
    <xf numFmtId="0" fontId="10" fillId="3" borderId="0" xfId="0" applyFont="1" applyFill="1"/>
    <xf numFmtId="164" fontId="10" fillId="3" borderId="0" xfId="0" applyNumberFormat="1" applyFont="1" applyFill="1"/>
    <xf numFmtId="0" fontId="3" fillId="3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4" fillId="3" borderId="0" xfId="0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/>
    </xf>
    <xf numFmtId="0" fontId="11" fillId="3" borderId="0" xfId="0" applyFont="1" applyFill="1"/>
    <xf numFmtId="0" fontId="11" fillId="3" borderId="5" xfId="0" applyFont="1" applyFill="1" applyBorder="1"/>
    <xf numFmtId="0" fontId="10" fillId="3" borderId="5" xfId="0" applyFont="1" applyFill="1" applyBorder="1"/>
    <xf numFmtId="0" fontId="3" fillId="3" borderId="0" xfId="0" applyFont="1" applyFill="1" applyAlignment="1">
      <alignment horizontal="left" vertical="center"/>
    </xf>
    <xf numFmtId="0" fontId="11" fillId="3" borderId="0" xfId="0" applyFont="1" applyFill="1" applyAlignment="1">
      <alignment horizontal="left"/>
    </xf>
    <xf numFmtId="165" fontId="6" fillId="3" borderId="1" xfId="0" applyNumberFormat="1" applyFont="1" applyFill="1" applyBorder="1" applyAlignment="1">
      <alignment horizontal="center" vertical="center"/>
    </xf>
    <xf numFmtId="1" fontId="6" fillId="3" borderId="1" xfId="0" applyNumberFormat="1" applyFont="1" applyFill="1" applyBorder="1" applyAlignment="1">
      <alignment horizontal="center" vertical="center"/>
    </xf>
    <xf numFmtId="1" fontId="6" fillId="3" borderId="3" xfId="0" applyNumberFormat="1" applyFont="1" applyFill="1" applyBorder="1" applyAlignment="1">
      <alignment horizontal="center" vertical="center"/>
    </xf>
    <xf numFmtId="1" fontId="12" fillId="3" borderId="1" xfId="0" applyNumberFormat="1" applyFont="1" applyFill="1" applyBorder="1" applyAlignment="1">
      <alignment horizontal="center" vertical="center"/>
    </xf>
    <xf numFmtId="0" fontId="32" fillId="3" borderId="0" xfId="0" applyFont="1" applyFill="1"/>
    <xf numFmtId="49" fontId="32" fillId="3" borderId="0" xfId="0" applyNumberFormat="1" applyFont="1" applyFill="1"/>
    <xf numFmtId="1" fontId="33" fillId="3" borderId="1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28" fillId="3" borderId="0" xfId="0" applyFont="1" applyFill="1" applyAlignment="1">
      <alignment vertical="center"/>
    </xf>
    <xf numFmtId="0" fontId="14" fillId="3" borderId="4" xfId="0" applyFont="1" applyFill="1" applyBorder="1"/>
    <xf numFmtId="0" fontId="35" fillId="0" borderId="0" xfId="0" applyFont="1"/>
    <xf numFmtId="0" fontId="0" fillId="0" borderId="0" xfId="0" applyAlignment="1">
      <alignment horizontal="center"/>
    </xf>
    <xf numFmtId="0" fontId="38" fillId="0" borderId="0" xfId="0" applyFont="1"/>
    <xf numFmtId="0" fontId="37" fillId="2" borderId="15" xfId="0" applyFont="1" applyFill="1" applyBorder="1" applyAlignment="1">
      <alignment horizontal="left" vertical="center"/>
    </xf>
    <xf numFmtId="0" fontId="0" fillId="2" borderId="0" xfId="0" applyFill="1" applyAlignment="1">
      <alignment vertical="center"/>
    </xf>
    <xf numFmtId="0" fontId="39" fillId="2" borderId="13" xfId="0" applyFont="1" applyFill="1" applyBorder="1" applyAlignment="1">
      <alignment horizontal="center" vertical="center"/>
    </xf>
    <xf numFmtId="0" fontId="39" fillId="2" borderId="0" xfId="0" applyFont="1" applyFill="1" applyAlignment="1">
      <alignment horizontal="center" vertical="center"/>
    </xf>
    <xf numFmtId="0" fontId="39" fillId="2" borderId="1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0" fillId="0" borderId="0" xfId="0" applyFont="1"/>
    <xf numFmtId="0" fontId="4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left" vertical="center"/>
    </xf>
    <xf numFmtId="0" fontId="42" fillId="0" borderId="1" xfId="0" applyFont="1" applyBorder="1" applyAlignment="1">
      <alignment horizontal="left" vertical="center"/>
    </xf>
    <xf numFmtId="0" fontId="42" fillId="0" borderId="1" xfId="0" applyFont="1" applyBorder="1" applyAlignment="1">
      <alignment horizontal="left" vertical="center" wrapText="1"/>
    </xf>
    <xf numFmtId="0" fontId="4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/>
    </xf>
    <xf numFmtId="1" fontId="45" fillId="2" borderId="1" xfId="0" applyNumberFormat="1" applyFont="1" applyFill="1" applyBorder="1" applyAlignment="1">
      <alignment horizontal="center" vertical="center"/>
    </xf>
    <xf numFmtId="0" fontId="45" fillId="2" borderId="24" xfId="0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45" fillId="2" borderId="2" xfId="0" applyFont="1" applyFill="1" applyBorder="1" applyAlignment="1">
      <alignment horizontal="center" vertical="center"/>
    </xf>
    <xf numFmtId="0" fontId="45" fillId="0" borderId="24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0" fontId="42" fillId="0" borderId="1" xfId="0" applyFont="1" applyBorder="1" applyAlignment="1">
      <alignment horizontal="center" vertical="center" wrapText="1"/>
    </xf>
    <xf numFmtId="0" fontId="0" fillId="0" borderId="10" xfId="0" applyBorder="1"/>
    <xf numFmtId="0" fontId="2" fillId="0" borderId="10" xfId="0" applyFont="1" applyBorder="1" applyAlignment="1">
      <alignment vertical="center" wrapText="1"/>
    </xf>
    <xf numFmtId="0" fontId="2" fillId="0" borderId="7" xfId="0" applyFont="1" applyBorder="1" applyAlignment="1">
      <alignment vertical="center" wrapText="1"/>
    </xf>
    <xf numFmtId="0" fontId="8" fillId="0" borderId="0" xfId="0" applyFont="1"/>
    <xf numFmtId="1" fontId="17" fillId="2" borderId="1" xfId="0" applyNumberFormat="1" applyFont="1" applyFill="1" applyBorder="1" applyAlignment="1">
      <alignment horizontal="center" vertical="center"/>
    </xf>
    <xf numFmtId="167" fontId="52" fillId="0" borderId="6" xfId="2" applyNumberFormat="1" applyFont="1" applyBorder="1" applyAlignment="1">
      <alignment horizontal="center" vertical="center"/>
    </xf>
    <xf numFmtId="0" fontId="53" fillId="2" borderId="1" xfId="0" applyFont="1" applyFill="1" applyBorder="1" applyAlignment="1">
      <alignment horizontal="center" vertical="center"/>
    </xf>
    <xf numFmtId="1" fontId="53" fillId="2" borderId="1" xfId="0" applyNumberFormat="1" applyFont="1" applyFill="1" applyBorder="1" applyAlignment="1">
      <alignment horizontal="center" vertical="center"/>
    </xf>
    <xf numFmtId="167" fontId="52" fillId="0" borderId="1" xfId="2" applyNumberFormat="1" applyFont="1" applyBorder="1" applyAlignment="1">
      <alignment horizontal="center" vertical="center"/>
    </xf>
    <xf numFmtId="2" fontId="53" fillId="2" borderId="1" xfId="1" applyNumberFormat="1" applyFont="1" applyFill="1" applyBorder="1" applyAlignment="1">
      <alignment horizontal="center" vertical="center"/>
    </xf>
    <xf numFmtId="2" fontId="53" fillId="2" borderId="2" xfId="1" applyNumberFormat="1" applyFont="1" applyFill="1" applyBorder="1" applyAlignment="1">
      <alignment horizontal="center" vertical="center"/>
    </xf>
    <xf numFmtId="167" fontId="54" fillId="0" borderId="6" xfId="2" applyNumberFormat="1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1" fontId="53" fillId="0" borderId="1" xfId="0" applyNumberFormat="1" applyFont="1" applyBorder="1" applyAlignment="1">
      <alignment horizontal="center" vertical="center"/>
    </xf>
    <xf numFmtId="2" fontId="53" fillId="0" borderId="1" xfId="1" applyNumberFormat="1" applyFont="1" applyFill="1" applyBorder="1" applyAlignment="1">
      <alignment horizontal="center" vertical="center"/>
    </xf>
    <xf numFmtId="2" fontId="53" fillId="0" borderId="2" xfId="1" applyNumberFormat="1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1" fontId="17" fillId="2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7" fillId="0" borderId="0" xfId="0" applyFont="1"/>
    <xf numFmtId="0" fontId="56" fillId="0" borderId="9" xfId="0" applyFont="1" applyBorder="1" applyAlignment="1">
      <alignment vertical="center" wrapText="1"/>
    </xf>
    <xf numFmtId="0" fontId="55" fillId="0" borderId="0" xfId="0" applyFont="1"/>
    <xf numFmtId="0" fontId="40" fillId="0" borderId="0" xfId="0" applyFont="1" applyAlignment="1">
      <alignment horizontal="right"/>
    </xf>
    <xf numFmtId="0" fontId="0" fillId="2" borderId="13" xfId="0" applyFill="1" applyBorder="1" applyAlignment="1">
      <alignment vertical="center"/>
    </xf>
    <xf numFmtId="0" fontId="0" fillId="2" borderId="16" xfId="0" applyFill="1" applyBorder="1" applyAlignment="1">
      <alignment vertical="center"/>
    </xf>
    <xf numFmtId="0" fontId="37" fillId="2" borderId="17" xfId="0" applyFont="1" applyFill="1" applyBorder="1" applyAlignment="1">
      <alignment horizontal="left" vertical="center"/>
    </xf>
    <xf numFmtId="0" fontId="0" fillId="2" borderId="18" xfId="0" applyFill="1" applyBorder="1" applyAlignment="1">
      <alignment vertical="center"/>
    </xf>
    <xf numFmtId="0" fontId="37" fillId="2" borderId="17" xfId="0" applyFont="1" applyFill="1" applyBorder="1" applyAlignment="1">
      <alignment vertical="center"/>
    </xf>
    <xf numFmtId="0" fontId="37" fillId="2" borderId="19" xfId="0" applyFont="1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20" xfId="0" applyFill="1" applyBorder="1" applyAlignment="1">
      <alignment vertical="center"/>
    </xf>
    <xf numFmtId="1" fontId="17" fillId="5" borderId="1" xfId="0" applyNumberFormat="1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167" fontId="54" fillId="5" borderId="6" xfId="2" applyNumberFormat="1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0" fillId="5" borderId="0" xfId="0" applyFill="1"/>
    <xf numFmtId="0" fontId="41" fillId="5" borderId="1" xfId="0" applyFont="1" applyFill="1" applyBorder="1" applyAlignment="1">
      <alignment horizontal="left" vertical="center"/>
    </xf>
    <xf numFmtId="0" fontId="41" fillId="5" borderId="1" xfId="0" applyFont="1" applyFill="1" applyBorder="1" applyAlignment="1">
      <alignment horizontal="center" vertical="center" wrapText="1"/>
    </xf>
    <xf numFmtId="0" fontId="59" fillId="2" borderId="1" xfId="0" applyFont="1" applyFill="1" applyBorder="1" applyAlignment="1">
      <alignment horizontal="center" vertical="center"/>
    </xf>
    <xf numFmtId="0" fontId="59" fillId="2" borderId="1" xfId="0" applyFont="1" applyFill="1" applyBorder="1" applyAlignment="1">
      <alignment horizontal="left" vertical="center"/>
    </xf>
    <xf numFmtId="0" fontId="59" fillId="2" borderId="1" xfId="0" applyFont="1" applyFill="1" applyBorder="1" applyAlignment="1">
      <alignment horizontal="center" vertical="center" wrapText="1"/>
    </xf>
    <xf numFmtId="0" fontId="60" fillId="2" borderId="1" xfId="0" applyFont="1" applyFill="1" applyBorder="1" applyAlignment="1">
      <alignment horizontal="center" vertical="center"/>
    </xf>
    <xf numFmtId="1" fontId="59" fillId="2" borderId="1" xfId="0" applyNumberFormat="1" applyFont="1" applyFill="1" applyBorder="1" applyAlignment="1">
      <alignment horizontal="center" vertical="center"/>
    </xf>
    <xf numFmtId="2" fontId="59" fillId="2" borderId="1" xfId="1" applyNumberFormat="1" applyFont="1" applyFill="1" applyBorder="1" applyAlignment="1">
      <alignment horizontal="center" vertical="center"/>
    </xf>
    <xf numFmtId="2" fontId="59" fillId="2" borderId="2" xfId="1" applyNumberFormat="1" applyFont="1" applyFill="1" applyBorder="1" applyAlignment="1">
      <alignment horizontal="center" vertical="center"/>
    </xf>
    <xf numFmtId="0" fontId="61" fillId="2" borderId="24" xfId="0" applyFont="1" applyFill="1" applyBorder="1" applyAlignment="1">
      <alignment horizontal="center" vertical="center"/>
    </xf>
    <xf numFmtId="1" fontId="61" fillId="2" borderId="1" xfId="0" applyNumberFormat="1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0" fillId="2" borderId="1" xfId="0" applyFont="1" applyFill="1" applyBorder="1" applyAlignment="1">
      <alignment horizontal="left" vertical="center"/>
    </xf>
    <xf numFmtId="0" fontId="60" fillId="2" borderId="1" xfId="0" applyFont="1" applyFill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2" borderId="6" xfId="0" applyFont="1" applyFill="1" applyBorder="1" applyAlignment="1">
      <alignment horizontal="left" vertical="center"/>
    </xf>
    <xf numFmtId="0" fontId="60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1" fontId="59" fillId="0" borderId="1" xfId="0" applyNumberFormat="1" applyFont="1" applyBorder="1" applyAlignment="1">
      <alignment horizontal="center" vertical="center"/>
    </xf>
    <xf numFmtId="2" fontId="59" fillId="0" borderId="1" xfId="1" applyNumberFormat="1" applyFont="1" applyFill="1" applyBorder="1" applyAlignment="1">
      <alignment horizontal="center" vertical="center"/>
    </xf>
    <xf numFmtId="2" fontId="59" fillId="0" borderId="2" xfId="1" applyNumberFormat="1" applyFont="1" applyFill="1" applyBorder="1" applyAlignment="1">
      <alignment horizontal="center" vertical="center"/>
    </xf>
    <xf numFmtId="0" fontId="61" fillId="0" borderId="24" xfId="0" applyFont="1" applyBorder="1" applyAlignment="1">
      <alignment horizontal="center" vertical="center"/>
    </xf>
    <xf numFmtId="0" fontId="59" fillId="0" borderId="6" xfId="0" applyFont="1" applyBorder="1" applyAlignment="1">
      <alignment horizontal="left" vertical="center"/>
    </xf>
    <xf numFmtId="0" fontId="59" fillId="0" borderId="1" xfId="0" applyFont="1" applyBorder="1" applyAlignment="1">
      <alignment horizontal="left" vertical="center"/>
    </xf>
    <xf numFmtId="0" fontId="60" fillId="0" borderId="6" xfId="0" applyFont="1" applyBorder="1" applyAlignment="1">
      <alignment horizontal="left" vertical="center"/>
    </xf>
    <xf numFmtId="0" fontId="60" fillId="0" borderId="1" xfId="0" applyFont="1" applyBorder="1" applyAlignment="1">
      <alignment horizontal="left" vertical="center"/>
    </xf>
    <xf numFmtId="0" fontId="60" fillId="0" borderId="1" xfId="0" applyFont="1" applyBorder="1" applyAlignment="1">
      <alignment horizontal="center" vertical="center" wrapText="1"/>
    </xf>
    <xf numFmtId="0" fontId="60" fillId="0" borderId="6" xfId="0" applyFont="1" applyBorder="1" applyAlignment="1">
      <alignment horizontal="left" vertical="center" wrapText="1"/>
    </xf>
    <xf numFmtId="0" fontId="60" fillId="0" borderId="1" xfId="0" applyFont="1" applyBorder="1" applyAlignment="1">
      <alignment horizontal="left" vertical="center" wrapText="1"/>
    </xf>
    <xf numFmtId="0" fontId="59" fillId="2" borderId="3" xfId="0" applyFont="1" applyFill="1" applyBorder="1" applyAlignment="1">
      <alignment horizontal="center" vertical="center"/>
    </xf>
    <xf numFmtId="1" fontId="43" fillId="2" borderId="2" xfId="0" applyNumberFormat="1" applyFont="1" applyFill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left" vertical="center"/>
    </xf>
    <xf numFmtId="0" fontId="57" fillId="0" borderId="2" xfId="0" applyFont="1" applyBorder="1" applyAlignment="1">
      <alignment horizontal="center" vertical="center" wrapText="1"/>
    </xf>
    <xf numFmtId="167" fontId="54" fillId="0" borderId="29" xfId="2" applyNumberFormat="1" applyFont="1" applyBorder="1" applyAlignment="1">
      <alignment horizontal="center" vertical="center"/>
    </xf>
    <xf numFmtId="0" fontId="58" fillId="2" borderId="2" xfId="0" applyFont="1" applyFill="1" applyBorder="1" applyAlignment="1">
      <alignment horizontal="center" vertical="center"/>
    </xf>
    <xf numFmtId="1" fontId="58" fillId="2" borderId="2" xfId="0" applyNumberFormat="1" applyFont="1" applyFill="1" applyBorder="1" applyAlignment="1">
      <alignment horizontal="center" vertical="center"/>
    </xf>
    <xf numFmtId="167" fontId="54" fillId="0" borderId="2" xfId="2" applyNumberFormat="1" applyFont="1" applyBorder="1" applyAlignment="1">
      <alignment horizontal="center" vertical="center"/>
    </xf>
    <xf numFmtId="1" fontId="17" fillId="2" borderId="30" xfId="0" applyNumberFormat="1" applyFont="1" applyFill="1" applyBorder="1" applyAlignment="1">
      <alignment horizontal="center" vertical="center"/>
    </xf>
    <xf numFmtId="0" fontId="41" fillId="0" borderId="30" xfId="0" applyFont="1" applyBorder="1" applyAlignment="1">
      <alignment horizontal="center" vertical="center"/>
    </xf>
    <xf numFmtId="0" fontId="42" fillId="0" borderId="30" xfId="0" applyFont="1" applyBorder="1" applyAlignment="1">
      <alignment horizontal="left" vertical="center"/>
    </xf>
    <xf numFmtId="0" fontId="42" fillId="0" borderId="30" xfId="0" applyFont="1" applyBorder="1" applyAlignment="1">
      <alignment horizontal="center" vertical="center" wrapText="1"/>
    </xf>
    <xf numFmtId="0" fontId="0" fillId="0" borderId="32" xfId="0" applyBorder="1"/>
    <xf numFmtId="0" fontId="43" fillId="0" borderId="1" xfId="0" applyFont="1" applyBorder="1" applyAlignment="1">
      <alignment horizontal="center" vertical="center" wrapText="1"/>
    </xf>
    <xf numFmtId="167" fontId="54" fillId="5" borderId="1" xfId="2" applyNumberFormat="1" applyFont="1" applyFill="1" applyBorder="1" applyAlignment="1">
      <alignment horizontal="center" vertical="center"/>
    </xf>
    <xf numFmtId="167" fontId="54" fillId="0" borderId="1" xfId="2" applyNumberFormat="1" applyFont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" fontId="58" fillId="2" borderId="1" xfId="0" applyNumberFormat="1" applyFont="1" applyFill="1" applyBorder="1" applyAlignment="1">
      <alignment horizontal="center" vertical="center"/>
    </xf>
    <xf numFmtId="2" fontId="58" fillId="2" borderId="1" xfId="1" applyNumberFormat="1" applyFont="1" applyFill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1" fontId="44" fillId="2" borderId="1" xfId="0" applyNumberFormat="1" applyFont="1" applyFill="1" applyBorder="1" applyAlignment="1">
      <alignment horizontal="center" vertical="center"/>
    </xf>
    <xf numFmtId="0" fontId="58" fillId="5" borderId="1" xfId="0" applyFont="1" applyFill="1" applyBorder="1" applyAlignment="1">
      <alignment horizontal="center" vertical="center"/>
    </xf>
    <xf numFmtId="1" fontId="58" fillId="5" borderId="1" xfId="0" applyNumberFormat="1" applyFont="1" applyFill="1" applyBorder="1" applyAlignment="1">
      <alignment horizontal="center" vertical="center"/>
    </xf>
    <xf numFmtId="2" fontId="58" fillId="5" borderId="1" xfId="1" applyNumberFormat="1" applyFont="1" applyFill="1" applyBorder="1" applyAlignment="1">
      <alignment horizontal="center" vertical="center"/>
    </xf>
    <xf numFmtId="0" fontId="58" fillId="0" borderId="30" xfId="0" applyFont="1" applyBorder="1" applyAlignment="1">
      <alignment horizontal="center" vertical="center"/>
    </xf>
    <xf numFmtId="1" fontId="58" fillId="0" borderId="30" xfId="0" applyNumberFormat="1" applyFont="1" applyBorder="1" applyAlignment="1">
      <alignment horizontal="center" vertical="center"/>
    </xf>
    <xf numFmtId="167" fontId="54" fillId="0" borderId="30" xfId="2" applyNumberFormat="1" applyFont="1" applyBorder="1" applyAlignment="1">
      <alignment horizontal="center" vertical="center"/>
    </xf>
    <xf numFmtId="1" fontId="58" fillId="2" borderId="30" xfId="0" applyNumberFormat="1" applyFont="1" applyFill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1" fontId="58" fillId="0" borderId="1" xfId="0" applyNumberFormat="1" applyFont="1" applyBorder="1" applyAlignment="1">
      <alignment horizontal="center" vertical="center"/>
    </xf>
    <xf numFmtId="2" fontId="58" fillId="0" borderId="1" xfId="1" applyNumberFormat="1" applyFont="1" applyFill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5" borderId="33" xfId="0" applyFont="1" applyFill="1" applyBorder="1" applyAlignment="1">
      <alignment horizontal="center" vertical="center"/>
    </xf>
    <xf numFmtId="167" fontId="54" fillId="0" borderId="31" xfId="2" applyNumberFormat="1" applyFont="1" applyBorder="1" applyAlignment="1">
      <alignment horizontal="center" vertical="center"/>
    </xf>
    <xf numFmtId="1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center" vertical="center" wrapText="1"/>
    </xf>
    <xf numFmtId="167" fontId="54" fillId="2" borderId="6" xfId="2" applyNumberFormat="1" applyFont="1" applyFill="1" applyBorder="1" applyAlignment="1">
      <alignment horizontal="center" vertical="center"/>
    </xf>
    <xf numFmtId="167" fontId="54" fillId="2" borderId="1" xfId="2" applyNumberFormat="1" applyFont="1" applyFill="1" applyBorder="1" applyAlignment="1">
      <alignment horizontal="center" vertical="center"/>
    </xf>
    <xf numFmtId="0" fontId="0" fillId="2" borderId="0" xfId="0" applyFill="1"/>
    <xf numFmtId="0" fontId="62" fillId="6" borderId="1" xfId="0" applyFont="1" applyFill="1" applyBorder="1" applyAlignment="1">
      <alignment horizontal="center" vertical="center"/>
    </xf>
    <xf numFmtId="0" fontId="62" fillId="6" borderId="1" xfId="0" applyFont="1" applyFill="1" applyBorder="1" applyAlignment="1">
      <alignment horizontal="center" vertical="center" wrapText="1"/>
    </xf>
    <xf numFmtId="1" fontId="63" fillId="0" borderId="1" xfId="0" applyNumberFormat="1" applyFont="1" applyBorder="1" applyAlignment="1">
      <alignment horizontal="center" vertical="center"/>
    </xf>
    <xf numFmtId="1" fontId="64" fillId="2" borderId="1" xfId="0" applyNumberFormat="1" applyFont="1" applyFill="1" applyBorder="1" applyAlignment="1">
      <alignment horizontal="center" vertical="center"/>
    </xf>
    <xf numFmtId="0" fontId="62" fillId="6" borderId="8" xfId="0" applyFont="1" applyFill="1" applyBorder="1" applyAlignment="1"/>
    <xf numFmtId="0" fontId="62" fillId="6" borderId="12" xfId="0" applyFont="1" applyFill="1" applyBorder="1" applyAlignment="1"/>
    <xf numFmtId="2" fontId="44" fillId="0" borderId="1" xfId="0" applyNumberFormat="1" applyFont="1" applyBorder="1" applyAlignment="1">
      <alignment horizontal="center" vertical="center"/>
    </xf>
    <xf numFmtId="0" fontId="37" fillId="2" borderId="13" xfId="0" applyFont="1" applyFill="1" applyBorder="1" applyAlignment="1">
      <alignment vertical="center"/>
    </xf>
    <xf numFmtId="0" fontId="37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1" fontId="67" fillId="2" borderId="0" xfId="0" applyNumberFormat="1" applyFont="1" applyFill="1" applyAlignment="1">
      <alignment horizontal="left" vertical="center"/>
    </xf>
    <xf numFmtId="0" fontId="37" fillId="2" borderId="0" xfId="0" applyFont="1" applyFill="1" applyAlignment="1">
      <alignment horizontal="left" vertical="center"/>
    </xf>
    <xf numFmtId="0" fontId="65" fillId="2" borderId="21" xfId="0" applyFont="1" applyFill="1" applyBorder="1" applyAlignment="1">
      <alignment horizontal="center" vertical="center"/>
    </xf>
    <xf numFmtId="165" fontId="65" fillId="2" borderId="21" xfId="0" applyNumberFormat="1" applyFont="1" applyFill="1" applyBorder="1" applyAlignment="1">
      <alignment horizontal="center" vertical="center"/>
    </xf>
    <xf numFmtId="1" fontId="65" fillId="2" borderId="21" xfId="0" applyNumberFormat="1" applyFont="1" applyFill="1" applyBorder="1" applyAlignment="1">
      <alignment horizontal="center" vertical="center"/>
    </xf>
    <xf numFmtId="2" fontId="65" fillId="2" borderId="21" xfId="0" applyNumberFormat="1" applyFont="1" applyFill="1" applyBorder="1" applyAlignment="1">
      <alignment horizontal="center" vertical="center"/>
    </xf>
    <xf numFmtId="1" fontId="65" fillId="4" borderId="21" xfId="0" applyNumberFormat="1" applyFont="1" applyFill="1" applyBorder="1"/>
    <xf numFmtId="0" fontId="65" fillId="4" borderId="21" xfId="0" applyFont="1" applyFill="1" applyBorder="1"/>
    <xf numFmtId="1" fontId="65" fillId="4" borderId="21" xfId="0" applyNumberFormat="1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2" xfId="0" applyFont="1" applyBorder="1" applyAlignment="1">
      <alignment horizontal="center" vertical="center" wrapText="1"/>
    </xf>
    <xf numFmtId="0" fontId="43" fillId="0" borderId="3" xfId="0" applyFont="1" applyBorder="1" applyAlignment="1">
      <alignment horizontal="center" vertical="center" wrapText="1"/>
    </xf>
    <xf numFmtId="1" fontId="59" fillId="2" borderId="2" xfId="0" applyNumberFormat="1" applyFont="1" applyFill="1" applyBorder="1" applyAlignment="1">
      <alignment horizontal="center" vertical="center"/>
    </xf>
    <xf numFmtId="1" fontId="59" fillId="2" borderId="11" xfId="0" applyNumberFormat="1" applyFont="1" applyFill="1" applyBorder="1" applyAlignment="1">
      <alignment horizontal="center" vertical="center"/>
    </xf>
    <xf numFmtId="1" fontId="59" fillId="2" borderId="3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59" fillId="2" borderId="2" xfId="0" applyFont="1" applyFill="1" applyBorder="1" applyAlignment="1">
      <alignment horizontal="center" vertical="center"/>
    </xf>
    <xf numFmtId="0" fontId="59" fillId="2" borderId="11" xfId="0" applyFont="1" applyFill="1" applyBorder="1" applyAlignment="1">
      <alignment horizontal="center" vertical="center"/>
    </xf>
    <xf numFmtId="0" fontId="59" fillId="2" borderId="3" xfId="0" applyFont="1" applyFill="1" applyBorder="1" applyAlignment="1">
      <alignment horizontal="center" vertical="center"/>
    </xf>
    <xf numFmtId="1" fontId="53" fillId="2" borderId="2" xfId="0" applyNumberFormat="1" applyFont="1" applyFill="1" applyBorder="1" applyAlignment="1">
      <alignment horizontal="center" vertical="center"/>
    </xf>
    <xf numFmtId="1" fontId="53" fillId="2" borderId="11" xfId="0" applyNumberFormat="1" applyFont="1" applyFill="1" applyBorder="1" applyAlignment="1">
      <alignment horizontal="center" vertical="center"/>
    </xf>
    <xf numFmtId="1" fontId="53" fillId="2" borderId="3" xfId="0" applyNumberFormat="1" applyFont="1" applyFill="1" applyBorder="1" applyAlignment="1">
      <alignment horizontal="center" vertical="center"/>
    </xf>
    <xf numFmtId="0" fontId="53" fillId="2" borderId="2" xfId="0" applyFont="1" applyFill="1" applyBorder="1" applyAlignment="1">
      <alignment horizontal="center" vertical="center"/>
    </xf>
    <xf numFmtId="0" fontId="53" fillId="2" borderId="11" xfId="0" applyFont="1" applyFill="1" applyBorder="1" applyAlignment="1">
      <alignment horizontal="center" vertical="center"/>
    </xf>
    <xf numFmtId="0" fontId="53" fillId="2" borderId="3" xfId="0" applyFont="1" applyFill="1" applyBorder="1" applyAlignment="1">
      <alignment horizontal="center" vertical="center"/>
    </xf>
    <xf numFmtId="1" fontId="58" fillId="2" borderId="2" xfId="0" applyNumberFormat="1" applyFont="1" applyFill="1" applyBorder="1" applyAlignment="1">
      <alignment horizontal="center" vertical="center"/>
    </xf>
    <xf numFmtId="1" fontId="58" fillId="2" borderId="11" xfId="0" applyNumberFormat="1" applyFont="1" applyFill="1" applyBorder="1" applyAlignment="1">
      <alignment horizontal="center" vertical="center"/>
    </xf>
    <xf numFmtId="1" fontId="58" fillId="2" borderId="3" xfId="0" applyNumberFormat="1" applyFont="1" applyFill="1" applyBorder="1" applyAlignment="1">
      <alignment horizontal="center" vertical="center"/>
    </xf>
    <xf numFmtId="1" fontId="58" fillId="2" borderId="1" xfId="0" applyNumberFormat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0" fontId="65" fillId="0" borderId="2" xfId="0" applyFont="1" applyBorder="1" applyAlignment="1">
      <alignment horizontal="center" vertical="center" wrapText="1"/>
    </xf>
    <xf numFmtId="0" fontId="65" fillId="0" borderId="3" xfId="0" applyFont="1" applyBorder="1" applyAlignment="1">
      <alignment horizontal="center" vertical="center" wrapText="1"/>
    </xf>
    <xf numFmtId="0" fontId="65" fillId="0" borderId="2" xfId="0" applyFont="1" applyBorder="1" applyAlignment="1">
      <alignment horizontal="center" vertical="center"/>
    </xf>
    <xf numFmtId="0" fontId="65" fillId="0" borderId="3" xfId="0" applyFont="1" applyBorder="1" applyAlignment="1">
      <alignment horizontal="center" vertical="center"/>
    </xf>
    <xf numFmtId="165" fontId="65" fillId="2" borderId="22" xfId="0" applyNumberFormat="1" applyFont="1" applyFill="1" applyBorder="1" applyAlignment="1">
      <alignment horizontal="center" vertical="center"/>
    </xf>
    <xf numFmtId="165" fontId="65" fillId="2" borderId="23" xfId="0" applyNumberFormat="1" applyFont="1" applyFill="1" applyBorder="1" applyAlignment="1">
      <alignment horizontal="center" vertical="center"/>
    </xf>
    <xf numFmtId="0" fontId="65" fillId="2" borderId="22" xfId="0" applyFont="1" applyFill="1" applyBorder="1" applyAlignment="1">
      <alignment horizontal="center" vertical="center" textRotation="90"/>
    </xf>
    <xf numFmtId="0" fontId="65" fillId="2" borderId="28" xfId="0" applyFont="1" applyFill="1" applyBorder="1" applyAlignment="1">
      <alignment horizontal="center" vertical="center" textRotation="90"/>
    </xf>
    <xf numFmtId="0" fontId="65" fillId="2" borderId="23" xfId="0" applyFont="1" applyFill="1" applyBorder="1" applyAlignment="1">
      <alignment horizontal="center" vertical="center" textRotation="90"/>
    </xf>
    <xf numFmtId="166" fontId="65" fillId="2" borderId="22" xfId="0" applyNumberFormat="1" applyFont="1" applyFill="1" applyBorder="1" applyAlignment="1">
      <alignment horizontal="center" vertical="center"/>
    </xf>
    <xf numFmtId="166" fontId="65" fillId="2" borderId="28" xfId="0" applyNumberFormat="1" applyFont="1" applyFill="1" applyBorder="1" applyAlignment="1">
      <alignment horizontal="center" vertical="center"/>
    </xf>
    <xf numFmtId="166" fontId="65" fillId="2" borderId="23" xfId="0" applyNumberFormat="1" applyFont="1" applyFill="1" applyBorder="1" applyAlignment="1">
      <alignment horizontal="center" vertical="center"/>
    </xf>
    <xf numFmtId="1" fontId="65" fillId="2" borderId="22" xfId="0" applyNumberFormat="1" applyFont="1" applyFill="1" applyBorder="1" applyAlignment="1">
      <alignment horizontal="center" vertical="center"/>
    </xf>
    <xf numFmtId="1" fontId="65" fillId="2" borderId="23" xfId="0" applyNumberFormat="1" applyFont="1" applyFill="1" applyBorder="1" applyAlignment="1">
      <alignment horizontal="center" vertical="center"/>
    </xf>
    <xf numFmtId="0" fontId="65" fillId="2" borderId="25" xfId="0" applyFont="1" applyFill="1" applyBorder="1" applyAlignment="1">
      <alignment horizontal="center" vertical="center"/>
    </xf>
    <xf numFmtId="0" fontId="65" fillId="2" borderId="26" xfId="0" applyFont="1" applyFill="1" applyBorder="1" applyAlignment="1">
      <alignment horizontal="center" vertical="center"/>
    </xf>
    <xf numFmtId="0" fontId="65" fillId="4" borderId="25" xfId="0" applyFont="1" applyFill="1" applyBorder="1" applyAlignment="1">
      <alignment horizontal="center" vertical="center"/>
    </xf>
    <xf numFmtId="0" fontId="65" fillId="4" borderId="26" xfId="0" applyFont="1" applyFill="1" applyBorder="1" applyAlignment="1">
      <alignment horizontal="center" vertical="center"/>
    </xf>
    <xf numFmtId="2" fontId="65" fillId="2" borderId="22" xfId="0" applyNumberFormat="1" applyFont="1" applyFill="1" applyBorder="1" applyAlignment="1">
      <alignment horizontal="center" vertical="center"/>
    </xf>
    <xf numFmtId="2" fontId="65" fillId="2" borderId="23" xfId="0" applyNumberFormat="1" applyFont="1" applyFill="1" applyBorder="1" applyAlignment="1">
      <alignment horizontal="center" vertical="center"/>
    </xf>
    <xf numFmtId="0" fontId="65" fillId="4" borderId="25" xfId="0" applyFont="1" applyFill="1" applyBorder="1" applyAlignment="1">
      <alignment horizontal="center"/>
    </xf>
    <xf numFmtId="0" fontId="65" fillId="4" borderId="27" xfId="0" applyFont="1" applyFill="1" applyBorder="1" applyAlignment="1">
      <alignment horizontal="center"/>
    </xf>
    <xf numFmtId="0" fontId="65" fillId="4" borderId="26" xfId="0" applyFont="1" applyFill="1" applyBorder="1" applyAlignment="1">
      <alignment horizontal="center"/>
    </xf>
    <xf numFmtId="0" fontId="37" fillId="2" borderId="15" xfId="0" applyFont="1" applyFill="1" applyBorder="1" applyAlignment="1">
      <alignment horizontal="center" wrapText="1"/>
    </xf>
    <xf numFmtId="0" fontId="37" fillId="2" borderId="13" xfId="0" applyFont="1" applyFill="1" applyBorder="1" applyAlignment="1">
      <alignment horizontal="center" wrapText="1"/>
    </xf>
    <xf numFmtId="0" fontId="37" fillId="2" borderId="16" xfId="0" applyFont="1" applyFill="1" applyBorder="1" applyAlignment="1">
      <alignment horizontal="center" wrapText="1"/>
    </xf>
    <xf numFmtId="0" fontId="37" fillId="2" borderId="17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18" xfId="0" applyFont="1" applyFill="1" applyBorder="1" applyAlignment="1">
      <alignment horizontal="center" wrapText="1"/>
    </xf>
    <xf numFmtId="0" fontId="37" fillId="2" borderId="19" xfId="0" applyFont="1" applyFill="1" applyBorder="1" applyAlignment="1">
      <alignment horizontal="center" wrapText="1"/>
    </xf>
    <xf numFmtId="0" fontId="37" fillId="2" borderId="14" xfId="0" applyFont="1" applyFill="1" applyBorder="1" applyAlignment="1">
      <alignment horizontal="center" wrapText="1"/>
    </xf>
    <xf numFmtId="0" fontId="37" fillId="2" borderId="20" xfId="0" applyFont="1" applyFill="1" applyBorder="1" applyAlignment="1">
      <alignment horizontal="center" wrapText="1"/>
    </xf>
    <xf numFmtId="0" fontId="65" fillId="2" borderId="27" xfId="0" applyFont="1" applyFill="1" applyBorder="1" applyAlignment="1">
      <alignment horizontal="center" vertical="center"/>
    </xf>
    <xf numFmtId="0" fontId="37" fillId="2" borderId="14" xfId="0" applyFont="1" applyFill="1" applyBorder="1" applyAlignment="1">
      <alignment horizontal="left" vertical="center"/>
    </xf>
    <xf numFmtId="0" fontId="65" fillId="2" borderId="15" xfId="0" applyFont="1" applyFill="1" applyBorder="1" applyAlignment="1">
      <alignment horizontal="center" vertical="center" wrapText="1"/>
    </xf>
    <xf numFmtId="0" fontId="65" fillId="2" borderId="16" xfId="0" applyFont="1" applyFill="1" applyBorder="1" applyAlignment="1">
      <alignment horizontal="center" vertical="center" wrapText="1"/>
    </xf>
    <xf numFmtId="0" fontId="65" fillId="2" borderId="17" xfId="0" applyFont="1" applyFill="1" applyBorder="1" applyAlignment="1">
      <alignment horizontal="center" vertical="center" wrapText="1"/>
    </xf>
    <xf numFmtId="0" fontId="65" fillId="2" borderId="18" xfId="0" applyFont="1" applyFill="1" applyBorder="1" applyAlignment="1">
      <alignment horizontal="center" vertical="center" wrapText="1"/>
    </xf>
    <xf numFmtId="0" fontId="65" fillId="2" borderId="19" xfId="0" applyFont="1" applyFill="1" applyBorder="1" applyAlignment="1">
      <alignment horizontal="center" vertical="center" wrapText="1"/>
    </xf>
    <xf numFmtId="0" fontId="65" fillId="2" borderId="20" xfId="0" applyFont="1" applyFill="1" applyBorder="1" applyAlignment="1">
      <alignment horizontal="center" vertical="center" wrapText="1"/>
    </xf>
    <xf numFmtId="1" fontId="65" fillId="2" borderId="22" xfId="0" applyNumberFormat="1" applyFont="1" applyFill="1" applyBorder="1" applyAlignment="1">
      <alignment horizontal="center" vertical="center" textRotation="90" wrapText="1"/>
    </xf>
    <xf numFmtId="1" fontId="65" fillId="2" borderId="28" xfId="0" applyNumberFormat="1" applyFont="1" applyFill="1" applyBorder="1" applyAlignment="1">
      <alignment horizontal="center" vertical="center" textRotation="90" wrapText="1"/>
    </xf>
    <xf numFmtId="1" fontId="65" fillId="2" borderId="23" xfId="0" applyNumberFormat="1" applyFont="1" applyFill="1" applyBorder="1" applyAlignment="1">
      <alignment horizontal="center" vertical="center" textRotation="90" wrapText="1"/>
    </xf>
    <xf numFmtId="0" fontId="65" fillId="2" borderId="22" xfId="0" applyFont="1" applyFill="1" applyBorder="1" applyAlignment="1">
      <alignment horizontal="center" vertical="center" textRotation="90" wrapText="1"/>
    </xf>
    <xf numFmtId="0" fontId="65" fillId="2" borderId="28" xfId="0" applyFont="1" applyFill="1" applyBorder="1" applyAlignment="1">
      <alignment horizontal="center" vertical="center" textRotation="90" wrapText="1"/>
    </xf>
    <xf numFmtId="0" fontId="65" fillId="2" borderId="23" xfId="0" applyFont="1" applyFill="1" applyBorder="1" applyAlignment="1">
      <alignment horizontal="center" vertical="center" textRotation="90" wrapText="1"/>
    </xf>
    <xf numFmtId="0" fontId="66" fillId="2" borderId="1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textRotation="90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2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textRotation="90"/>
    </xf>
    <xf numFmtId="0" fontId="5" fillId="3" borderId="11" xfId="0" applyFont="1" applyFill="1" applyBorder="1" applyAlignment="1">
      <alignment horizontal="center" vertical="center" textRotation="90"/>
    </xf>
    <xf numFmtId="2" fontId="7" fillId="3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4" fillId="3" borderId="0" xfId="0" applyFont="1" applyFill="1" applyAlignment="1">
      <alignment horizontal="left" vertical="center"/>
    </xf>
    <xf numFmtId="0" fontId="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1" fontId="6" fillId="3" borderId="1" xfId="0" applyNumberFormat="1" applyFont="1" applyFill="1" applyBorder="1" applyAlignment="1">
      <alignment horizontal="center" vertical="center"/>
    </xf>
    <xf numFmtId="165" fontId="6" fillId="3" borderId="2" xfId="0" applyNumberFormat="1" applyFont="1" applyFill="1" applyBorder="1" applyAlignment="1">
      <alignment horizontal="center" vertical="center"/>
    </xf>
    <xf numFmtId="165" fontId="6" fillId="3" borderId="3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" fontId="6" fillId="3" borderId="2" xfId="0" applyNumberFormat="1" applyFont="1" applyFill="1" applyBorder="1" applyAlignment="1">
      <alignment horizontal="center" vertical="center"/>
    </xf>
    <xf numFmtId="1" fontId="6" fillId="3" borderId="3" xfId="0" applyNumberFormat="1" applyFont="1" applyFill="1" applyBorder="1" applyAlignment="1">
      <alignment horizontal="center" vertical="center"/>
    </xf>
    <xf numFmtId="164" fontId="10" fillId="3" borderId="0" xfId="0" applyNumberFormat="1" applyFont="1" applyFill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28" fillId="3" borderId="9" xfId="0" applyFont="1" applyFill="1" applyBorder="1" applyAlignment="1">
      <alignment horizontal="left" vertical="top"/>
    </xf>
    <xf numFmtId="0" fontId="28" fillId="3" borderId="10" xfId="0" applyFont="1" applyFill="1" applyBorder="1" applyAlignment="1">
      <alignment horizontal="left" vertical="top"/>
    </xf>
    <xf numFmtId="0" fontId="28" fillId="3" borderId="7" xfId="0" applyFont="1" applyFill="1" applyBorder="1" applyAlignment="1">
      <alignment horizontal="left" vertical="top"/>
    </xf>
    <xf numFmtId="0" fontId="21" fillId="3" borderId="4" xfId="0" applyFont="1" applyFill="1" applyBorder="1" applyAlignment="1">
      <alignment horizontal="center" vertical="center"/>
    </xf>
    <xf numFmtId="0" fontId="21" fillId="3" borderId="0" xfId="0" applyFont="1" applyFill="1" applyAlignment="1">
      <alignment horizontal="center" vertical="center"/>
    </xf>
    <xf numFmtId="0" fontId="21" fillId="3" borderId="4" xfId="0" applyFont="1" applyFill="1" applyBorder="1" applyAlignment="1">
      <alignment horizontal="center"/>
    </xf>
    <xf numFmtId="0" fontId="21" fillId="3" borderId="0" xfId="0" applyFont="1" applyFill="1" applyAlignment="1">
      <alignment horizontal="center"/>
    </xf>
    <xf numFmtId="0" fontId="10" fillId="3" borderId="0" xfId="0" applyFont="1" applyFill="1" applyAlignment="1">
      <alignment horizontal="left"/>
    </xf>
    <xf numFmtId="0" fontId="5" fillId="3" borderId="2" xfId="0" applyFont="1" applyFill="1" applyBorder="1" applyAlignment="1">
      <alignment horizontal="center" vertical="center" textRotation="90" wrapText="1"/>
    </xf>
    <xf numFmtId="0" fontId="5" fillId="3" borderId="11" xfId="0" applyFont="1" applyFill="1" applyBorder="1" applyAlignment="1">
      <alignment horizontal="center" vertical="center" textRotation="90" wrapText="1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00FF00"/>
      <color rgb="FFFF99FF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252351</xdr:colOff>
      <xdr:row>0</xdr:row>
      <xdr:rowOff>305387</xdr:rowOff>
    </xdr:from>
    <xdr:to>
      <xdr:col>28</xdr:col>
      <xdr:colOff>291940</xdr:colOff>
      <xdr:row>4</xdr:row>
      <xdr:rowOff>252349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0403280" y="305387"/>
          <a:ext cx="1182589" cy="136210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253406</xdr:colOff>
      <xdr:row>0</xdr:row>
      <xdr:rowOff>90729</xdr:rowOff>
    </xdr:from>
    <xdr:to>
      <xdr:col>21</xdr:col>
      <xdr:colOff>89647</xdr:colOff>
      <xdr:row>5</xdr:row>
      <xdr:rowOff>185616</xdr:rowOff>
    </xdr:to>
    <xdr:pic>
      <xdr:nvPicPr>
        <xdr:cNvPr id="4" name="Picture 3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059053" y="90729"/>
          <a:ext cx="979241" cy="120426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44161</xdr:colOff>
      <xdr:row>0</xdr:row>
      <xdr:rowOff>59555</xdr:rowOff>
    </xdr:from>
    <xdr:to>
      <xdr:col>22</xdr:col>
      <xdr:colOff>29033</xdr:colOff>
      <xdr:row>5</xdr:row>
      <xdr:rowOff>102176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2703752" y="59555"/>
          <a:ext cx="1127872" cy="125489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413353</xdr:colOff>
      <xdr:row>29</xdr:row>
      <xdr:rowOff>44931</xdr:rowOff>
    </xdr:from>
    <xdr:to>
      <xdr:col>23</xdr:col>
      <xdr:colOff>521185</xdr:colOff>
      <xdr:row>31</xdr:row>
      <xdr:rowOff>31821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357DF0A3-09A0-0AA3-FCE5-293C6A6C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490475" y="8799578"/>
          <a:ext cx="364296" cy="1078304"/>
        </a:xfrm>
        <a:prstGeom prst="rect">
          <a:avLst/>
        </a:prstGeom>
      </xdr:spPr>
    </xdr:pic>
    <xdr:clientData/>
  </xdr:twoCellAnchor>
  <xdr:twoCellAnchor editAs="oneCell">
    <xdr:from>
      <xdr:col>5</xdr:col>
      <xdr:colOff>98484</xdr:colOff>
      <xdr:row>0</xdr:row>
      <xdr:rowOff>71886</xdr:rowOff>
    </xdr:from>
    <xdr:to>
      <xdr:col>6</xdr:col>
      <xdr:colOff>431321</xdr:colOff>
      <xdr:row>4</xdr:row>
      <xdr:rowOff>31861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3351361" y="71886"/>
          <a:ext cx="791116" cy="89450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0</xdr:colOff>
      <xdr:row>29</xdr:row>
      <xdr:rowOff>44928</xdr:rowOff>
    </xdr:from>
    <xdr:to>
      <xdr:col>13</xdr:col>
      <xdr:colOff>58094</xdr:colOff>
      <xdr:row>30</xdr:row>
      <xdr:rowOff>187866</xdr:rowOff>
    </xdr:to>
    <xdr:pic>
      <xdr:nvPicPr>
        <xdr:cNvPr id="5" name="Picture 4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02547" y="9156579"/>
          <a:ext cx="974651" cy="3316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680356</xdr:colOff>
      <xdr:row>1</xdr:row>
      <xdr:rowOff>174170</xdr:rowOff>
    </xdr:from>
    <xdr:to>
      <xdr:col>3</xdr:col>
      <xdr:colOff>1364164</xdr:colOff>
      <xdr:row>4</xdr:row>
      <xdr:rowOff>349899</xdr:rowOff>
    </xdr:to>
    <xdr:pic>
      <xdr:nvPicPr>
        <xdr:cNvPr id="3" name="Picture 2" descr="logo.pn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305" y="494910"/>
          <a:ext cx="683808" cy="75889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U101"/>
  <sheetViews>
    <sheetView zoomScaleSheetLayoutView="40" workbookViewId="0">
      <pane xSplit="2" ySplit="8" topLeftCell="C87" activePane="bottomRight" state="frozen"/>
      <selection pane="topRight" activeCell="C1" sqref="C1"/>
      <selection pane="bottomLeft" activeCell="A9" sqref="A9"/>
      <selection pane="bottomRight" activeCell="A94" sqref="A94"/>
    </sheetView>
  </sheetViews>
  <sheetFormatPr defaultColWidth="3.7109375" defaultRowHeight="15"/>
  <cols>
    <col min="1" max="1" width="5.7109375" customWidth="1"/>
    <col min="2" max="2" width="6.140625" style="88" bestFit="1" customWidth="1"/>
    <col min="3" max="3" width="39.28515625" bestFit="1" customWidth="1"/>
    <col min="4" max="4" width="27.5703125" hidden="1" customWidth="1"/>
    <col min="5" max="5" width="27.7109375" hidden="1" customWidth="1"/>
    <col min="6" max="6" width="18.140625" hidden="1" customWidth="1"/>
    <col min="7" max="68" width="5.7109375" customWidth="1"/>
    <col min="69" max="69" width="6.28515625" bestFit="1" customWidth="1"/>
    <col min="70" max="70" width="5.7109375" customWidth="1"/>
    <col min="71" max="71" width="25.28515625" bestFit="1" customWidth="1"/>
    <col min="72" max="72" width="12.5703125" bestFit="1" customWidth="1"/>
    <col min="73" max="73" width="10.85546875" hidden="1" customWidth="1"/>
  </cols>
  <sheetData>
    <row r="1" spans="1:73" ht="27.95" customHeight="1">
      <c r="B1" s="204" t="s">
        <v>430</v>
      </c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204"/>
      <c r="BK1" s="204"/>
      <c r="BL1" s="204"/>
      <c r="BM1" s="204"/>
      <c r="BN1" s="204"/>
      <c r="BO1" s="204"/>
      <c r="BP1" s="204"/>
      <c r="BQ1" s="204"/>
      <c r="BR1" s="204"/>
      <c r="BS1" s="204"/>
      <c r="BT1" s="204"/>
    </row>
    <row r="2" spans="1:73" ht="27.95" customHeight="1"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</row>
    <row r="3" spans="1:73" ht="27.95" customHeight="1"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204"/>
      <c r="BO3" s="204"/>
      <c r="BP3" s="204"/>
      <c r="BQ3" s="204"/>
      <c r="BR3" s="204"/>
      <c r="BS3" s="204"/>
      <c r="BT3" s="204"/>
    </row>
    <row r="4" spans="1:73" ht="27.95" customHeight="1"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/>
      <c r="AU4" s="204"/>
      <c r="AV4" s="204"/>
      <c r="AW4" s="204"/>
      <c r="AX4" s="204"/>
      <c r="AY4" s="204"/>
      <c r="AZ4" s="204"/>
      <c r="BA4" s="204"/>
      <c r="BB4" s="204"/>
      <c r="BC4" s="204"/>
      <c r="BD4" s="204"/>
      <c r="BE4" s="204"/>
      <c r="BF4" s="204"/>
      <c r="BG4" s="204"/>
      <c r="BH4" s="204"/>
      <c r="BI4" s="204"/>
      <c r="BJ4" s="204"/>
      <c r="BK4" s="204"/>
      <c r="BL4" s="204"/>
      <c r="BM4" s="204"/>
      <c r="BN4" s="204"/>
      <c r="BO4" s="204"/>
      <c r="BP4" s="204"/>
      <c r="BQ4" s="204"/>
      <c r="BR4" s="204"/>
      <c r="BS4" s="204"/>
      <c r="BT4" s="204"/>
    </row>
    <row r="5" spans="1:73" ht="27.95" customHeight="1">
      <c r="B5" s="204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</row>
    <row r="6" spans="1:73" s="67" customFormat="1" ht="23.25">
      <c r="B6" s="87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8"/>
      <c r="AL6" s="68"/>
      <c r="AM6" s="68"/>
      <c r="AN6" s="68"/>
      <c r="AO6" s="68"/>
      <c r="AP6" s="68"/>
      <c r="AQ6" s="68"/>
      <c r="AR6" s="68"/>
      <c r="AS6" s="68"/>
      <c r="AT6" s="68"/>
      <c r="AU6" s="68"/>
      <c r="AV6" s="68"/>
      <c r="AW6" s="68"/>
      <c r="AX6" s="68"/>
      <c r="AY6" s="68"/>
      <c r="AZ6" s="68"/>
      <c r="BA6" s="68"/>
      <c r="BB6" s="68"/>
      <c r="BC6" s="68"/>
      <c r="BD6" s="68"/>
      <c r="BE6" s="69"/>
    </row>
    <row r="7" spans="1:73" s="70" customFormat="1" ht="27.95" customHeight="1">
      <c r="A7" s="196" t="s">
        <v>186</v>
      </c>
      <c r="B7" s="197" t="s">
        <v>0</v>
      </c>
      <c r="C7" s="198" t="s">
        <v>187</v>
      </c>
      <c r="D7" s="198" t="s">
        <v>188</v>
      </c>
      <c r="E7" s="198" t="s">
        <v>189</v>
      </c>
      <c r="F7" s="198" t="s">
        <v>190</v>
      </c>
      <c r="G7" s="200" t="s">
        <v>191</v>
      </c>
      <c r="H7" s="200"/>
      <c r="I7" s="200"/>
      <c r="J7" s="200"/>
      <c r="K7" s="199" t="s">
        <v>192</v>
      </c>
      <c r="L7" s="200" t="s">
        <v>193</v>
      </c>
      <c r="M7" s="200"/>
      <c r="N7" s="200"/>
      <c r="O7" s="199" t="s">
        <v>192</v>
      </c>
      <c r="P7" s="195" t="s">
        <v>7</v>
      </c>
      <c r="Q7" s="195" t="s">
        <v>194</v>
      </c>
      <c r="R7" s="195" t="s">
        <v>1</v>
      </c>
      <c r="S7" s="200" t="s">
        <v>195</v>
      </c>
      <c r="T7" s="200"/>
      <c r="U7" s="200"/>
      <c r="V7" s="200"/>
      <c r="W7" s="200"/>
      <c r="X7" s="200"/>
      <c r="Y7" s="199" t="s">
        <v>192</v>
      </c>
      <c r="Z7" s="199" t="s">
        <v>7</v>
      </c>
      <c r="AA7" s="195" t="s">
        <v>194</v>
      </c>
      <c r="AB7" s="195" t="s">
        <v>1</v>
      </c>
      <c r="AC7" s="200" t="s">
        <v>11</v>
      </c>
      <c r="AD7" s="200"/>
      <c r="AE7" s="200"/>
      <c r="AF7" s="200"/>
      <c r="AG7" s="195" t="s">
        <v>7</v>
      </c>
      <c r="AH7" s="195" t="s">
        <v>194</v>
      </c>
      <c r="AI7" s="195" t="s">
        <v>1</v>
      </c>
      <c r="AJ7" s="200" t="s">
        <v>18</v>
      </c>
      <c r="AK7" s="200"/>
      <c r="AL7" s="200"/>
      <c r="AM7" s="200"/>
      <c r="AN7" s="195" t="s">
        <v>7</v>
      </c>
      <c r="AO7" s="195" t="s">
        <v>194</v>
      </c>
      <c r="AP7" s="195" t="s">
        <v>1</v>
      </c>
      <c r="AQ7" s="200" t="s">
        <v>6</v>
      </c>
      <c r="AR7" s="200"/>
      <c r="AS7" s="195" t="s">
        <v>7</v>
      </c>
      <c r="AT7" s="195" t="s">
        <v>194</v>
      </c>
      <c r="AU7" s="195" t="s">
        <v>1</v>
      </c>
      <c r="AV7" s="200" t="s">
        <v>4</v>
      </c>
      <c r="AW7" s="200"/>
      <c r="AX7" s="200"/>
      <c r="AY7" s="200"/>
      <c r="AZ7" s="195" t="s">
        <v>7</v>
      </c>
      <c r="BA7" s="195" t="s">
        <v>194</v>
      </c>
      <c r="BB7" s="195" t="s">
        <v>1</v>
      </c>
      <c r="BC7" s="200" t="s">
        <v>5</v>
      </c>
      <c r="BD7" s="200"/>
      <c r="BE7" s="200"/>
      <c r="BF7" s="200"/>
      <c r="BG7" s="195" t="s">
        <v>7</v>
      </c>
      <c r="BH7" s="195" t="s">
        <v>194</v>
      </c>
      <c r="BI7" s="195" t="s">
        <v>1</v>
      </c>
      <c r="BJ7" s="200" t="s">
        <v>196</v>
      </c>
      <c r="BK7" s="200"/>
      <c r="BL7" s="200"/>
      <c r="BM7" s="195" t="s">
        <v>7</v>
      </c>
      <c r="BN7" s="195" t="s">
        <v>194</v>
      </c>
      <c r="BO7" s="195" t="s">
        <v>1</v>
      </c>
      <c r="BP7" s="195" t="s">
        <v>2</v>
      </c>
      <c r="BQ7" s="195" t="s">
        <v>3</v>
      </c>
      <c r="BR7" s="199" t="s">
        <v>24</v>
      </c>
      <c r="BS7" s="199" t="s">
        <v>197</v>
      </c>
      <c r="BT7" s="199" t="s">
        <v>198</v>
      </c>
      <c r="BU7" s="199" t="s">
        <v>200</v>
      </c>
    </row>
    <row r="8" spans="1:73" ht="27.95" customHeight="1">
      <c r="A8" s="196"/>
      <c r="B8" s="197"/>
      <c r="C8" s="198"/>
      <c r="D8" s="198"/>
      <c r="E8" s="198"/>
      <c r="F8" s="198"/>
      <c r="G8" s="56" t="s">
        <v>12</v>
      </c>
      <c r="H8" s="58" t="s">
        <v>201</v>
      </c>
      <c r="I8" s="58" t="s">
        <v>202</v>
      </c>
      <c r="J8" s="58" t="s">
        <v>203</v>
      </c>
      <c r="K8" s="200"/>
      <c r="L8" s="56" t="s">
        <v>12</v>
      </c>
      <c r="M8" s="58" t="s">
        <v>201</v>
      </c>
      <c r="N8" s="58" t="s">
        <v>202</v>
      </c>
      <c r="O8" s="200"/>
      <c r="P8" s="195"/>
      <c r="Q8" s="195"/>
      <c r="R8" s="195"/>
      <c r="S8" s="56" t="s">
        <v>12</v>
      </c>
      <c r="T8" s="58" t="s">
        <v>204</v>
      </c>
      <c r="U8" s="58" t="s">
        <v>205</v>
      </c>
      <c r="V8" s="58" t="s">
        <v>12</v>
      </c>
      <c r="W8" s="58" t="s">
        <v>206</v>
      </c>
      <c r="X8" s="58" t="s">
        <v>205</v>
      </c>
      <c r="Y8" s="200"/>
      <c r="Z8" s="200"/>
      <c r="AA8" s="195"/>
      <c r="AB8" s="195"/>
      <c r="AC8" s="56" t="s">
        <v>12</v>
      </c>
      <c r="AD8" s="58" t="s">
        <v>201</v>
      </c>
      <c r="AE8" s="58" t="s">
        <v>202</v>
      </c>
      <c r="AF8" s="58" t="s">
        <v>203</v>
      </c>
      <c r="AG8" s="195"/>
      <c r="AH8" s="195"/>
      <c r="AI8" s="195"/>
      <c r="AJ8" s="56" t="s">
        <v>12</v>
      </c>
      <c r="AK8" s="58" t="s">
        <v>201</v>
      </c>
      <c r="AL8" s="58" t="s">
        <v>202</v>
      </c>
      <c r="AM8" s="58" t="s">
        <v>203</v>
      </c>
      <c r="AN8" s="195"/>
      <c r="AO8" s="195"/>
      <c r="AP8" s="195"/>
      <c r="AQ8" s="58" t="s">
        <v>203</v>
      </c>
      <c r="AR8" s="58" t="s">
        <v>207</v>
      </c>
      <c r="AS8" s="195"/>
      <c r="AT8" s="195"/>
      <c r="AU8" s="195"/>
      <c r="AV8" s="56" t="s">
        <v>12</v>
      </c>
      <c r="AW8" s="58" t="s">
        <v>201</v>
      </c>
      <c r="AX8" s="58" t="s">
        <v>202</v>
      </c>
      <c r="AY8" s="58" t="s">
        <v>203</v>
      </c>
      <c r="AZ8" s="195"/>
      <c r="BA8" s="195"/>
      <c r="BB8" s="195"/>
      <c r="BC8" s="56" t="s">
        <v>12</v>
      </c>
      <c r="BD8" s="58" t="s">
        <v>201</v>
      </c>
      <c r="BE8" s="58" t="s">
        <v>202</v>
      </c>
      <c r="BF8" s="58" t="s">
        <v>203</v>
      </c>
      <c r="BG8" s="195"/>
      <c r="BH8" s="195"/>
      <c r="BI8" s="195"/>
      <c r="BJ8" s="56" t="s">
        <v>12</v>
      </c>
      <c r="BK8" s="58" t="s">
        <v>201</v>
      </c>
      <c r="BL8" s="58" t="s">
        <v>202</v>
      </c>
      <c r="BM8" s="195"/>
      <c r="BN8" s="195"/>
      <c r="BO8" s="195"/>
      <c r="BP8" s="195"/>
      <c r="BQ8" s="195"/>
      <c r="BR8" s="200"/>
      <c r="BS8" s="200"/>
      <c r="BT8" s="200"/>
      <c r="BU8" s="200"/>
    </row>
    <row r="9" spans="1:73" ht="27.95" customHeight="1">
      <c r="A9" s="105">
        <v>1</v>
      </c>
      <c r="B9" s="105">
        <v>1</v>
      </c>
      <c r="C9" s="106" t="s">
        <v>63</v>
      </c>
      <c r="D9" s="106" t="s">
        <v>64</v>
      </c>
      <c r="E9" s="106" t="s">
        <v>65</v>
      </c>
      <c r="F9" s="107" t="s">
        <v>208</v>
      </c>
      <c r="G9" s="108">
        <v>17</v>
      </c>
      <c r="H9" s="105">
        <v>46</v>
      </c>
      <c r="I9" s="109">
        <f>H9+G9</f>
        <v>63</v>
      </c>
      <c r="J9" s="105">
        <v>29</v>
      </c>
      <c r="K9" s="109">
        <f>I9+J9</f>
        <v>92</v>
      </c>
      <c r="L9" s="108">
        <v>10</v>
      </c>
      <c r="M9" s="105">
        <v>39</v>
      </c>
      <c r="N9" s="109">
        <f>M9+L9</f>
        <v>49</v>
      </c>
      <c r="O9" s="109">
        <f>N9</f>
        <v>49</v>
      </c>
      <c r="P9" s="109">
        <f t="shared" ref="P9:P40" si="0">K9+O9</f>
        <v>141</v>
      </c>
      <c r="Q9" s="201">
        <f>MAX(P9:P99)</f>
        <v>144</v>
      </c>
      <c r="R9" s="105">
        <f>IF(P9&lt;60,"F",IF(P9&lt;75,2,IF(P9&lt;90,3,IF(P9&lt;105,3.5,IF(P9&lt;120,4,5)))))</f>
        <v>5</v>
      </c>
      <c r="S9" s="108">
        <v>20</v>
      </c>
      <c r="T9" s="105">
        <v>80</v>
      </c>
      <c r="U9" s="109">
        <f>T9+S9</f>
        <v>100</v>
      </c>
      <c r="V9" s="105">
        <v>10</v>
      </c>
      <c r="W9" s="105">
        <v>38</v>
      </c>
      <c r="X9" s="109">
        <f>W9+V9</f>
        <v>48</v>
      </c>
      <c r="Y9" s="109">
        <f>U9+X9</f>
        <v>148</v>
      </c>
      <c r="Z9" s="109">
        <f t="shared" ref="Z9:Z51" si="1">Y9</f>
        <v>148</v>
      </c>
      <c r="AA9" s="201">
        <f>MAX(Z9:Z99)</f>
        <v>148</v>
      </c>
      <c r="AB9" s="105">
        <f>IF(Z9&lt;60,0,IF(Z9&lt;75,2,IF(Z9&lt;90,3,IF(Z9&lt;105,3.5,IF(Z9&lt;120,4,5)))))</f>
        <v>5</v>
      </c>
      <c r="AC9" s="108">
        <v>20</v>
      </c>
      <c r="AD9" s="105">
        <v>46</v>
      </c>
      <c r="AE9" s="109">
        <f>AD9+AC9</f>
        <v>66</v>
      </c>
      <c r="AF9" s="105">
        <v>30</v>
      </c>
      <c r="AG9" s="109">
        <f>AE9+AF9</f>
        <v>96</v>
      </c>
      <c r="AH9" s="201">
        <f>MAX(AG9:AG99)</f>
        <v>98</v>
      </c>
      <c r="AI9" s="105">
        <f>IF(AG9&lt;40,"F",IF(AG9&lt;50,2,IF(AG9&lt;60,3,IF(AG9&lt;70,3.5,IF(AG9&lt;80,4,5)))))</f>
        <v>5</v>
      </c>
      <c r="AJ9" s="108">
        <v>20</v>
      </c>
      <c r="AK9" s="105">
        <v>50</v>
      </c>
      <c r="AL9" s="109">
        <f>AK9+AJ9</f>
        <v>70</v>
      </c>
      <c r="AM9" s="105">
        <v>27</v>
      </c>
      <c r="AN9" s="109">
        <f>+AL9+AM9</f>
        <v>97</v>
      </c>
      <c r="AO9" s="201">
        <f>MAX(AN9:AN99)</f>
        <v>97</v>
      </c>
      <c r="AP9" s="105">
        <f>IF(AN9&lt;40,"F",IF(AN9&lt;50,2,IF(AN9&lt;60,3,IF(AN9&lt;70,3.5,IF(AN9&lt;80,4,5)))))</f>
        <v>5</v>
      </c>
      <c r="AQ9" s="105">
        <v>25</v>
      </c>
      <c r="AR9" s="105">
        <v>25</v>
      </c>
      <c r="AS9" s="105">
        <f>AQ9+AR9</f>
        <v>50</v>
      </c>
      <c r="AT9" s="205">
        <f>MAX(AS9:AS99)</f>
        <v>50</v>
      </c>
      <c r="AU9" s="105">
        <f>IF(AS9&lt;20,"F",IF(AS9&lt;25,2,IF(AS9&lt;30,3,IF(AS9&lt;35,3.5,IF(AS9&lt;40,4,5)))))</f>
        <v>5</v>
      </c>
      <c r="AV9" s="108">
        <v>20</v>
      </c>
      <c r="AW9" s="105">
        <v>50</v>
      </c>
      <c r="AX9" s="109">
        <f>AW9+AV9</f>
        <v>70</v>
      </c>
      <c r="AY9" s="105">
        <v>30</v>
      </c>
      <c r="AZ9" s="109">
        <f>AX9+AY9</f>
        <v>100</v>
      </c>
      <c r="BA9" s="201">
        <f>MAX(AZ9:AZ50)</f>
        <v>100</v>
      </c>
      <c r="BB9" s="105">
        <f>IF(AZ9&lt;40,"F",IF(AZ9&lt;50,2,IF(AZ9&lt;60,3,IF(AZ9&lt;70,3.5,IF(AZ9&lt;80,4,5)))))</f>
        <v>5</v>
      </c>
      <c r="BC9" s="108">
        <v>20</v>
      </c>
      <c r="BD9" s="105">
        <v>48</v>
      </c>
      <c r="BE9" s="109">
        <f>BD9+BC9</f>
        <v>68</v>
      </c>
      <c r="BF9" s="105">
        <v>30</v>
      </c>
      <c r="BG9" s="109">
        <f>BE9+BF9</f>
        <v>98</v>
      </c>
      <c r="BH9" s="201">
        <f>MAX(BG9:BG99)</f>
        <v>98</v>
      </c>
      <c r="BI9" s="105">
        <f>IF(BG9&lt;40,"F",IF(BG9&lt;50,2,IF(BG9&lt;60,3,IF(BG9&lt;70,3.5,IF(BG9&lt;80,4,5)))))</f>
        <v>5</v>
      </c>
      <c r="BJ9" s="108">
        <v>10</v>
      </c>
      <c r="BK9" s="105">
        <v>32</v>
      </c>
      <c r="BL9" s="109">
        <f>BK9+BJ9</f>
        <v>42</v>
      </c>
      <c r="BM9" s="109">
        <f>BL9</f>
        <v>42</v>
      </c>
      <c r="BN9" s="201">
        <f>MAX(BM9:BM99)</f>
        <v>42</v>
      </c>
      <c r="BO9" s="105">
        <f t="shared" ref="BO9:BO40" si="2">IF(BL9&lt;20,"F",IF(BM9&lt;20,"F",IF(BM9&lt;25,2,IF(BM9&lt;30,3,IF(BM9&lt;35,3.5,IF(BM9&lt;40,4,5))))))</f>
        <v>5</v>
      </c>
      <c r="BP9" s="105">
        <f>IF(R9="F","F",IF(AB9="F","F",IF(AI9="F","F",IF(AP9="F","F",IF(BB9="F","F",IF(BI9="F","F",IF(AU9="F","F",IF(BO9="F","F",SUM(R9,AB9,AI9,AP9,AU9,BB9,BO9,BI9)))))))))</f>
        <v>40</v>
      </c>
      <c r="BQ9" s="110">
        <f>IF(BP9="F","F",IF(BP9&gt;=45,5,IF(BP9&lt;45,BP9/8)))</f>
        <v>5</v>
      </c>
      <c r="BR9" s="111" t="str">
        <f>IF(BQ9="F","F",IF(BQ9&lt;2.5,"D",IF(BQ9&lt;3,"C",IF(BQ9&lt;3.5,"B",IF(BQ9&lt;4,"A-",IF(BQ9&lt;5,"A","A+"))))))</f>
        <v>A+</v>
      </c>
      <c r="BS9" s="112" t="str">
        <f t="shared" ref="BS9:BS72" si="3">IF(BQ9="F","NEED TO PROGRESS",IF(BQ9&gt;=5,"BEST",IF(BQ9&gt;=4,"BETTER",IF(BQ9&gt;=2,"GOOD"))))</f>
        <v>BEST</v>
      </c>
      <c r="BT9" s="113">
        <f>P9+Z9+AG9+AN9+AS9+AZ9+BG9+BM9</f>
        <v>772</v>
      </c>
      <c r="BU9" s="115">
        <v>70</v>
      </c>
    </row>
    <row r="10" spans="1:73" ht="27.95" customHeight="1">
      <c r="A10" s="105">
        <v>2</v>
      </c>
      <c r="B10" s="105">
        <v>3</v>
      </c>
      <c r="C10" s="116" t="s">
        <v>68</v>
      </c>
      <c r="D10" s="116" t="s">
        <v>69</v>
      </c>
      <c r="E10" s="116" t="s">
        <v>70</v>
      </c>
      <c r="F10" s="117" t="s">
        <v>209</v>
      </c>
      <c r="G10" s="108">
        <v>20</v>
      </c>
      <c r="H10" s="105">
        <v>46</v>
      </c>
      <c r="I10" s="109">
        <f>H10+G10</f>
        <v>66</v>
      </c>
      <c r="J10" s="105">
        <v>21</v>
      </c>
      <c r="K10" s="109">
        <f>I10+J10</f>
        <v>87</v>
      </c>
      <c r="L10" s="108">
        <v>10</v>
      </c>
      <c r="M10" s="105">
        <v>35</v>
      </c>
      <c r="N10" s="109">
        <f>M10+L10</f>
        <v>45</v>
      </c>
      <c r="O10" s="109">
        <f t="shared" ref="O10:O73" si="4">N10</f>
        <v>45</v>
      </c>
      <c r="P10" s="109">
        <f t="shared" si="0"/>
        <v>132</v>
      </c>
      <c r="Q10" s="202"/>
      <c r="R10" s="105">
        <f t="shared" ref="R10:R50" si="5">IF(P10&lt;60,"F",IF(P10&lt;75,2,IF(P10&lt;90,3,IF(P10&lt;105,3.5,IF(P10&lt;120,4,5)))))</f>
        <v>5</v>
      </c>
      <c r="S10" s="108">
        <v>19</v>
      </c>
      <c r="T10" s="105">
        <v>73</v>
      </c>
      <c r="U10" s="109">
        <f t="shared" ref="U10:U50" si="6">T10+S10</f>
        <v>92</v>
      </c>
      <c r="V10" s="105">
        <v>7</v>
      </c>
      <c r="W10" s="105">
        <v>32</v>
      </c>
      <c r="X10" s="109">
        <f t="shared" ref="X10:X50" si="7">W10+V10</f>
        <v>39</v>
      </c>
      <c r="Y10" s="109">
        <f t="shared" ref="Y10:Y51" si="8">U10+X10</f>
        <v>131</v>
      </c>
      <c r="Z10" s="109">
        <f t="shared" si="1"/>
        <v>131</v>
      </c>
      <c r="AA10" s="202"/>
      <c r="AB10" s="105">
        <f t="shared" ref="AB10:AB50" si="9">IF(Z10&lt;60,0,IF(Z10&lt;75,2,IF(Z10&lt;90,3,IF(Z10&lt;105,3.5,IF(Z10&lt;120,4,5)))))</f>
        <v>5</v>
      </c>
      <c r="AC10" s="108">
        <v>14</v>
      </c>
      <c r="AD10" s="105">
        <v>35</v>
      </c>
      <c r="AE10" s="109">
        <f t="shared" ref="AE10:AE50" si="10">AD10+AC10</f>
        <v>49</v>
      </c>
      <c r="AF10" s="105">
        <v>20</v>
      </c>
      <c r="AG10" s="109">
        <f t="shared" ref="AG10:AG50" si="11">AE10+AF10</f>
        <v>69</v>
      </c>
      <c r="AH10" s="202"/>
      <c r="AI10" s="105">
        <f t="shared" ref="AI10:AI50" si="12">IF(AG10&lt;40,"F",IF(AG10&lt;50,2,IF(AG10&lt;60,3,IF(AG10&lt;70,3.5,IF(AG10&lt;80,4,5)))))</f>
        <v>3.5</v>
      </c>
      <c r="AJ10" s="108">
        <v>20</v>
      </c>
      <c r="AK10" s="105">
        <v>41</v>
      </c>
      <c r="AL10" s="109">
        <f t="shared" ref="AL10:AL50" si="13">AK10+AJ10</f>
        <v>61</v>
      </c>
      <c r="AM10" s="105">
        <v>22</v>
      </c>
      <c r="AN10" s="109">
        <f t="shared" ref="AN10:AN50" si="14">+AL10+AM10</f>
        <v>83</v>
      </c>
      <c r="AO10" s="202"/>
      <c r="AP10" s="105">
        <f t="shared" ref="AP10:AP50" si="15">IF(AN10&lt;40,"F",IF(AN10&lt;50,2,IF(AN10&lt;60,3,IF(AN10&lt;70,3.5,IF(AN10&lt;80,4,5)))))</f>
        <v>5</v>
      </c>
      <c r="AQ10" s="105">
        <v>25</v>
      </c>
      <c r="AR10" s="105">
        <v>25</v>
      </c>
      <c r="AS10" s="105">
        <f t="shared" ref="AS10:AS73" si="16">AQ10+AR10</f>
        <v>50</v>
      </c>
      <c r="AT10" s="206"/>
      <c r="AU10" s="105">
        <f t="shared" ref="AU10:AU50" si="17">IF(AS10&lt;20,"F",IF(AS10&lt;25,2,IF(AS10&lt;30,3,IF(AS10&lt;35,3.5,IF(AS10&lt;40,4,5)))))</f>
        <v>5</v>
      </c>
      <c r="AV10" s="108">
        <v>20</v>
      </c>
      <c r="AW10" s="105">
        <v>50</v>
      </c>
      <c r="AX10" s="109">
        <f t="shared" ref="AX10:AX50" si="18">AW10+AV10</f>
        <v>70</v>
      </c>
      <c r="AY10" s="105">
        <v>24</v>
      </c>
      <c r="AZ10" s="109">
        <f t="shared" ref="AZ10:AZ50" si="19">AX10+AY10</f>
        <v>94</v>
      </c>
      <c r="BA10" s="202"/>
      <c r="BB10" s="105">
        <f t="shared" ref="BB10:BB50" si="20">IF(AZ10&lt;40,"F",IF(AZ10&lt;50,2,IF(AZ10&lt;60,3,IF(AZ10&lt;70,3.5,IF(AZ10&lt;80,4,5)))))</f>
        <v>5</v>
      </c>
      <c r="BC10" s="108">
        <v>19</v>
      </c>
      <c r="BD10" s="105">
        <v>47</v>
      </c>
      <c r="BE10" s="109">
        <f t="shared" ref="BE10:BE50" si="21">BD10+BC10</f>
        <v>66</v>
      </c>
      <c r="BF10" s="105">
        <v>28</v>
      </c>
      <c r="BG10" s="109">
        <f t="shared" ref="BG10:BG50" si="22">BE10+BF10</f>
        <v>94</v>
      </c>
      <c r="BH10" s="202"/>
      <c r="BI10" s="105">
        <f t="shared" ref="BI10:BI50" si="23">IF(BG10&lt;40,"F",IF(BG10&lt;50,2,IF(BG10&lt;60,3,IF(BG10&lt;70,3.5,IF(BG10&lt;80,4,5)))))</f>
        <v>5</v>
      </c>
      <c r="BJ10" s="108">
        <v>10</v>
      </c>
      <c r="BK10" s="105">
        <v>28</v>
      </c>
      <c r="BL10" s="109">
        <f t="shared" ref="BL10:BL50" si="24">BK10+BJ10</f>
        <v>38</v>
      </c>
      <c r="BM10" s="109">
        <f t="shared" ref="BM10:BM73" si="25">BL10</f>
        <v>38</v>
      </c>
      <c r="BN10" s="202"/>
      <c r="BO10" s="105">
        <f t="shared" si="2"/>
        <v>4</v>
      </c>
      <c r="BP10" s="105">
        <f t="shared" ref="BP10:BP73" si="26">IF(R10="F","F",IF(AB10="F","F",IF(AI10="F","F",IF(AP10="F","F",IF(BB10="F","F",IF(BI10="F","F",IF(AU10="F","F",IF(BO10="F","F",SUM(R10,AB10,AI10,AP10,AU10,BB10,BO10,BI10)))))))))</f>
        <v>37.5</v>
      </c>
      <c r="BQ10" s="110">
        <f t="shared" ref="BQ10:BQ73" si="27">IF(BP10="F","F",IF(BP10&gt;=45,5,IF(BP10&lt;45,BP10/8)))</f>
        <v>4.6875</v>
      </c>
      <c r="BR10" s="111" t="str">
        <f t="shared" ref="BR10:BR50" si="28">IF(BQ10="F","F",IF(BQ10&lt;2.5,"D",IF(BQ10&lt;3,"C",IF(BQ10&lt;3.5,"B",IF(BQ10&lt;4,"A-",IF(BQ10&lt;5,"A","A+"))))))</f>
        <v>A</v>
      </c>
      <c r="BS10" s="112" t="str">
        <f t="shared" si="3"/>
        <v>BETTER</v>
      </c>
      <c r="BT10" s="113">
        <f t="shared" ref="BT10:BT73" si="29">P10+Z10+AG10+AN10+AS10+AZ10+BG10+BM10</f>
        <v>691</v>
      </c>
      <c r="BU10" s="115">
        <v>65</v>
      </c>
    </row>
    <row r="11" spans="1:73" ht="27.95" customHeight="1">
      <c r="A11" s="105">
        <v>3</v>
      </c>
      <c r="B11" s="105">
        <v>5</v>
      </c>
      <c r="C11" s="116" t="s">
        <v>74</v>
      </c>
      <c r="D11" s="116" t="s">
        <v>75</v>
      </c>
      <c r="E11" s="116" t="s">
        <v>76</v>
      </c>
      <c r="F11" s="117" t="s">
        <v>210</v>
      </c>
      <c r="G11" s="108">
        <v>14</v>
      </c>
      <c r="H11" s="105">
        <v>35</v>
      </c>
      <c r="I11" s="109">
        <f t="shared" ref="I11:I50" si="30">H11+G11</f>
        <v>49</v>
      </c>
      <c r="J11" s="105">
        <v>19</v>
      </c>
      <c r="K11" s="109">
        <f t="shared" ref="K11:K50" si="31">I11+J11</f>
        <v>68</v>
      </c>
      <c r="L11" s="108">
        <v>10</v>
      </c>
      <c r="M11" s="105">
        <v>31</v>
      </c>
      <c r="N11" s="109">
        <f t="shared" ref="N11:N50" si="32">M11+L11</f>
        <v>41</v>
      </c>
      <c r="O11" s="109">
        <f t="shared" si="4"/>
        <v>41</v>
      </c>
      <c r="P11" s="109">
        <f t="shared" si="0"/>
        <v>109</v>
      </c>
      <c r="Q11" s="202"/>
      <c r="R11" s="105">
        <f t="shared" si="5"/>
        <v>4</v>
      </c>
      <c r="S11" s="108">
        <v>14</v>
      </c>
      <c r="T11" s="105">
        <v>44</v>
      </c>
      <c r="U11" s="109">
        <f t="shared" si="6"/>
        <v>58</v>
      </c>
      <c r="V11" s="105">
        <v>6</v>
      </c>
      <c r="W11" s="105">
        <v>32</v>
      </c>
      <c r="X11" s="109">
        <f t="shared" si="7"/>
        <v>38</v>
      </c>
      <c r="Y11" s="109">
        <f t="shared" si="8"/>
        <v>96</v>
      </c>
      <c r="Z11" s="109">
        <f t="shared" si="1"/>
        <v>96</v>
      </c>
      <c r="AA11" s="202"/>
      <c r="AB11" s="105">
        <f t="shared" si="9"/>
        <v>3.5</v>
      </c>
      <c r="AC11" s="108">
        <v>14</v>
      </c>
      <c r="AD11" s="105">
        <v>39</v>
      </c>
      <c r="AE11" s="109">
        <f t="shared" si="10"/>
        <v>53</v>
      </c>
      <c r="AF11" s="105">
        <v>20</v>
      </c>
      <c r="AG11" s="109">
        <f t="shared" si="11"/>
        <v>73</v>
      </c>
      <c r="AH11" s="202"/>
      <c r="AI11" s="105">
        <f t="shared" si="12"/>
        <v>4</v>
      </c>
      <c r="AJ11" s="108">
        <v>18</v>
      </c>
      <c r="AK11" s="105">
        <v>30</v>
      </c>
      <c r="AL11" s="109">
        <f t="shared" si="13"/>
        <v>48</v>
      </c>
      <c r="AM11" s="105">
        <v>23</v>
      </c>
      <c r="AN11" s="109">
        <f t="shared" si="14"/>
        <v>71</v>
      </c>
      <c r="AO11" s="202"/>
      <c r="AP11" s="105">
        <f t="shared" si="15"/>
        <v>4</v>
      </c>
      <c r="AQ11" s="105">
        <v>22</v>
      </c>
      <c r="AR11" s="105">
        <v>25</v>
      </c>
      <c r="AS11" s="105">
        <f t="shared" si="16"/>
        <v>47</v>
      </c>
      <c r="AT11" s="206"/>
      <c r="AU11" s="105">
        <f t="shared" si="17"/>
        <v>5</v>
      </c>
      <c r="AV11" s="108">
        <v>17</v>
      </c>
      <c r="AW11" s="105">
        <v>44</v>
      </c>
      <c r="AX11" s="109">
        <f t="shared" si="18"/>
        <v>61</v>
      </c>
      <c r="AY11" s="105">
        <v>25</v>
      </c>
      <c r="AZ11" s="109">
        <f t="shared" si="19"/>
        <v>86</v>
      </c>
      <c r="BA11" s="202"/>
      <c r="BB11" s="105">
        <f t="shared" si="20"/>
        <v>5</v>
      </c>
      <c r="BC11" s="108">
        <v>14</v>
      </c>
      <c r="BD11" s="105">
        <v>44</v>
      </c>
      <c r="BE11" s="109">
        <f t="shared" si="21"/>
        <v>58</v>
      </c>
      <c r="BF11" s="105">
        <v>26</v>
      </c>
      <c r="BG11" s="109">
        <f t="shared" si="22"/>
        <v>84</v>
      </c>
      <c r="BH11" s="202"/>
      <c r="BI11" s="105">
        <f t="shared" si="23"/>
        <v>5</v>
      </c>
      <c r="BJ11" s="108">
        <v>8</v>
      </c>
      <c r="BK11" s="105">
        <v>28</v>
      </c>
      <c r="BL11" s="109">
        <f t="shared" si="24"/>
        <v>36</v>
      </c>
      <c r="BM11" s="109">
        <f t="shared" si="25"/>
        <v>36</v>
      </c>
      <c r="BN11" s="202"/>
      <c r="BO11" s="105">
        <f t="shared" si="2"/>
        <v>4</v>
      </c>
      <c r="BP11" s="105">
        <f t="shared" si="26"/>
        <v>34.5</v>
      </c>
      <c r="BQ11" s="110">
        <f t="shared" si="27"/>
        <v>4.3125</v>
      </c>
      <c r="BR11" s="111" t="str">
        <f t="shared" si="28"/>
        <v>A</v>
      </c>
      <c r="BS11" s="112" t="str">
        <f t="shared" si="3"/>
        <v>BETTER</v>
      </c>
      <c r="BT11" s="113">
        <f t="shared" si="29"/>
        <v>602</v>
      </c>
      <c r="BU11" s="115">
        <v>68</v>
      </c>
    </row>
    <row r="12" spans="1:73" ht="27.95" customHeight="1">
      <c r="A12" s="105">
        <v>4</v>
      </c>
      <c r="B12" s="105">
        <v>7</v>
      </c>
      <c r="C12" s="116" t="s">
        <v>77</v>
      </c>
      <c r="D12" s="116" t="s">
        <v>78</v>
      </c>
      <c r="E12" s="116" t="s">
        <v>79</v>
      </c>
      <c r="F12" s="117" t="s">
        <v>211</v>
      </c>
      <c r="G12" s="108">
        <v>17</v>
      </c>
      <c r="H12" s="105">
        <v>37</v>
      </c>
      <c r="I12" s="109">
        <f t="shared" si="30"/>
        <v>54</v>
      </c>
      <c r="J12" s="105">
        <v>20</v>
      </c>
      <c r="K12" s="109">
        <f t="shared" si="31"/>
        <v>74</v>
      </c>
      <c r="L12" s="108">
        <v>10</v>
      </c>
      <c r="M12" s="105">
        <v>27</v>
      </c>
      <c r="N12" s="109">
        <f t="shared" si="32"/>
        <v>37</v>
      </c>
      <c r="O12" s="109">
        <f t="shared" si="4"/>
        <v>37</v>
      </c>
      <c r="P12" s="109">
        <f t="shared" si="0"/>
        <v>111</v>
      </c>
      <c r="Q12" s="202"/>
      <c r="R12" s="105">
        <f t="shared" si="5"/>
        <v>4</v>
      </c>
      <c r="S12" s="108">
        <v>13</v>
      </c>
      <c r="T12" s="105">
        <v>50</v>
      </c>
      <c r="U12" s="109">
        <f t="shared" si="6"/>
        <v>63</v>
      </c>
      <c r="V12" s="105">
        <v>3</v>
      </c>
      <c r="W12" s="105">
        <v>34</v>
      </c>
      <c r="X12" s="109">
        <f t="shared" si="7"/>
        <v>37</v>
      </c>
      <c r="Y12" s="109">
        <f t="shared" si="8"/>
        <v>100</v>
      </c>
      <c r="Z12" s="109">
        <f t="shared" si="1"/>
        <v>100</v>
      </c>
      <c r="AA12" s="202"/>
      <c r="AB12" s="105">
        <f t="shared" si="9"/>
        <v>3.5</v>
      </c>
      <c r="AC12" s="108">
        <v>10</v>
      </c>
      <c r="AD12" s="105">
        <v>24</v>
      </c>
      <c r="AE12" s="109">
        <f t="shared" si="10"/>
        <v>34</v>
      </c>
      <c r="AF12" s="105">
        <v>16</v>
      </c>
      <c r="AG12" s="109">
        <f t="shared" si="11"/>
        <v>50</v>
      </c>
      <c r="AH12" s="202"/>
      <c r="AI12" s="105">
        <f t="shared" si="12"/>
        <v>3</v>
      </c>
      <c r="AJ12" s="108">
        <v>15</v>
      </c>
      <c r="AK12" s="105">
        <v>29</v>
      </c>
      <c r="AL12" s="109">
        <f t="shared" si="13"/>
        <v>44</v>
      </c>
      <c r="AM12" s="105">
        <v>16</v>
      </c>
      <c r="AN12" s="109">
        <f t="shared" si="14"/>
        <v>60</v>
      </c>
      <c r="AO12" s="202"/>
      <c r="AP12" s="105">
        <f t="shared" si="15"/>
        <v>3.5</v>
      </c>
      <c r="AQ12" s="105">
        <v>24</v>
      </c>
      <c r="AR12" s="105">
        <v>25</v>
      </c>
      <c r="AS12" s="105">
        <f t="shared" si="16"/>
        <v>49</v>
      </c>
      <c r="AT12" s="206"/>
      <c r="AU12" s="105">
        <f t="shared" si="17"/>
        <v>5</v>
      </c>
      <c r="AV12" s="108">
        <v>11</v>
      </c>
      <c r="AW12" s="105">
        <v>49</v>
      </c>
      <c r="AX12" s="109">
        <f t="shared" si="18"/>
        <v>60</v>
      </c>
      <c r="AY12" s="105">
        <v>25</v>
      </c>
      <c r="AZ12" s="109">
        <f t="shared" si="19"/>
        <v>85</v>
      </c>
      <c r="BA12" s="202"/>
      <c r="BB12" s="105">
        <f t="shared" si="20"/>
        <v>5</v>
      </c>
      <c r="BC12" s="108">
        <v>8</v>
      </c>
      <c r="BD12" s="105">
        <v>46</v>
      </c>
      <c r="BE12" s="109">
        <f t="shared" si="21"/>
        <v>54</v>
      </c>
      <c r="BF12" s="105">
        <v>28</v>
      </c>
      <c r="BG12" s="109">
        <f t="shared" si="22"/>
        <v>82</v>
      </c>
      <c r="BH12" s="202"/>
      <c r="BI12" s="105">
        <f t="shared" si="23"/>
        <v>5</v>
      </c>
      <c r="BJ12" s="108">
        <v>6</v>
      </c>
      <c r="BK12" s="105">
        <v>24</v>
      </c>
      <c r="BL12" s="109">
        <f t="shared" si="24"/>
        <v>30</v>
      </c>
      <c r="BM12" s="109">
        <f t="shared" si="25"/>
        <v>30</v>
      </c>
      <c r="BN12" s="202"/>
      <c r="BO12" s="105">
        <f t="shared" si="2"/>
        <v>3.5</v>
      </c>
      <c r="BP12" s="105">
        <f t="shared" si="26"/>
        <v>32.5</v>
      </c>
      <c r="BQ12" s="110">
        <f t="shared" si="27"/>
        <v>4.0625</v>
      </c>
      <c r="BR12" s="111" t="str">
        <f t="shared" si="28"/>
        <v>A</v>
      </c>
      <c r="BS12" s="112" t="str">
        <f t="shared" si="3"/>
        <v>BETTER</v>
      </c>
      <c r="BT12" s="113">
        <f t="shared" si="29"/>
        <v>567</v>
      </c>
      <c r="BU12" s="115">
        <v>69</v>
      </c>
    </row>
    <row r="13" spans="1:73" ht="27.95" customHeight="1">
      <c r="A13" s="105">
        <v>5</v>
      </c>
      <c r="B13" s="105">
        <v>15</v>
      </c>
      <c r="C13" s="116" t="s">
        <v>88</v>
      </c>
      <c r="D13" s="116" t="s">
        <v>89</v>
      </c>
      <c r="E13" s="116" t="s">
        <v>90</v>
      </c>
      <c r="F13" s="117" t="s">
        <v>212</v>
      </c>
      <c r="G13" s="108">
        <v>19</v>
      </c>
      <c r="H13" s="105">
        <v>39</v>
      </c>
      <c r="I13" s="109">
        <f t="shared" si="30"/>
        <v>58</v>
      </c>
      <c r="J13" s="105">
        <v>25</v>
      </c>
      <c r="K13" s="109">
        <f t="shared" si="31"/>
        <v>83</v>
      </c>
      <c r="L13" s="108">
        <v>10</v>
      </c>
      <c r="M13" s="105">
        <v>38</v>
      </c>
      <c r="N13" s="109">
        <f t="shared" si="32"/>
        <v>48</v>
      </c>
      <c r="O13" s="109">
        <f t="shared" si="4"/>
        <v>48</v>
      </c>
      <c r="P13" s="109">
        <f t="shared" si="0"/>
        <v>131</v>
      </c>
      <c r="Q13" s="202"/>
      <c r="R13" s="105">
        <f t="shared" si="5"/>
        <v>5</v>
      </c>
      <c r="S13" s="108">
        <v>19</v>
      </c>
      <c r="T13" s="105">
        <v>76</v>
      </c>
      <c r="U13" s="109">
        <f t="shared" si="6"/>
        <v>95</v>
      </c>
      <c r="V13" s="105">
        <v>10</v>
      </c>
      <c r="W13" s="105">
        <v>37</v>
      </c>
      <c r="X13" s="109">
        <f t="shared" si="7"/>
        <v>47</v>
      </c>
      <c r="Y13" s="109">
        <f t="shared" si="8"/>
        <v>142</v>
      </c>
      <c r="Z13" s="109">
        <f t="shared" si="1"/>
        <v>142</v>
      </c>
      <c r="AA13" s="202"/>
      <c r="AB13" s="105">
        <f t="shared" si="9"/>
        <v>5</v>
      </c>
      <c r="AC13" s="108">
        <v>20</v>
      </c>
      <c r="AD13" s="105">
        <v>47</v>
      </c>
      <c r="AE13" s="109">
        <f t="shared" si="10"/>
        <v>67</v>
      </c>
      <c r="AF13" s="105">
        <v>28</v>
      </c>
      <c r="AG13" s="109">
        <f t="shared" si="11"/>
        <v>95</v>
      </c>
      <c r="AH13" s="202"/>
      <c r="AI13" s="105">
        <f t="shared" si="12"/>
        <v>5</v>
      </c>
      <c r="AJ13" s="108">
        <v>19</v>
      </c>
      <c r="AK13" s="105">
        <v>43</v>
      </c>
      <c r="AL13" s="109">
        <f t="shared" si="13"/>
        <v>62</v>
      </c>
      <c r="AM13" s="105">
        <v>21</v>
      </c>
      <c r="AN13" s="109">
        <f t="shared" si="14"/>
        <v>83</v>
      </c>
      <c r="AO13" s="202"/>
      <c r="AP13" s="105">
        <f t="shared" si="15"/>
        <v>5</v>
      </c>
      <c r="AQ13" s="105">
        <v>25</v>
      </c>
      <c r="AR13" s="105">
        <v>25</v>
      </c>
      <c r="AS13" s="105">
        <f t="shared" si="16"/>
        <v>50</v>
      </c>
      <c r="AT13" s="206"/>
      <c r="AU13" s="105">
        <f t="shared" si="17"/>
        <v>5</v>
      </c>
      <c r="AV13" s="108">
        <v>20</v>
      </c>
      <c r="AW13" s="105">
        <v>47</v>
      </c>
      <c r="AX13" s="109">
        <f t="shared" si="18"/>
        <v>67</v>
      </c>
      <c r="AY13" s="105">
        <v>25</v>
      </c>
      <c r="AZ13" s="109">
        <f t="shared" si="19"/>
        <v>92</v>
      </c>
      <c r="BA13" s="202"/>
      <c r="BB13" s="105">
        <f t="shared" si="20"/>
        <v>5</v>
      </c>
      <c r="BC13" s="108">
        <v>19</v>
      </c>
      <c r="BD13" s="105">
        <v>46</v>
      </c>
      <c r="BE13" s="109">
        <f t="shared" si="21"/>
        <v>65</v>
      </c>
      <c r="BF13" s="105">
        <v>30</v>
      </c>
      <c r="BG13" s="109">
        <f t="shared" si="22"/>
        <v>95</v>
      </c>
      <c r="BH13" s="202"/>
      <c r="BI13" s="105">
        <f t="shared" si="23"/>
        <v>5</v>
      </c>
      <c r="BJ13" s="108">
        <v>10</v>
      </c>
      <c r="BK13" s="105">
        <v>24</v>
      </c>
      <c r="BL13" s="109">
        <f t="shared" si="24"/>
        <v>34</v>
      </c>
      <c r="BM13" s="109">
        <f t="shared" si="25"/>
        <v>34</v>
      </c>
      <c r="BN13" s="202"/>
      <c r="BO13" s="105">
        <f t="shared" si="2"/>
        <v>3.5</v>
      </c>
      <c r="BP13" s="105">
        <f t="shared" si="26"/>
        <v>38.5</v>
      </c>
      <c r="BQ13" s="110">
        <f t="shared" si="27"/>
        <v>4.8125</v>
      </c>
      <c r="BR13" s="111" t="str">
        <f t="shared" si="28"/>
        <v>A</v>
      </c>
      <c r="BS13" s="112" t="str">
        <f t="shared" si="3"/>
        <v>BETTER</v>
      </c>
      <c r="BT13" s="113">
        <f t="shared" si="29"/>
        <v>722</v>
      </c>
      <c r="BU13" s="115">
        <v>64</v>
      </c>
    </row>
    <row r="14" spans="1:73" ht="27.95" customHeight="1">
      <c r="A14" s="105">
        <v>6</v>
      </c>
      <c r="B14" s="105">
        <v>19</v>
      </c>
      <c r="C14" s="116" t="s">
        <v>97</v>
      </c>
      <c r="D14" s="116" t="s">
        <v>98</v>
      </c>
      <c r="E14" s="116" t="s">
        <v>99</v>
      </c>
      <c r="F14" s="117" t="s">
        <v>213</v>
      </c>
      <c r="G14" s="108">
        <v>17</v>
      </c>
      <c r="H14" s="105">
        <v>39</v>
      </c>
      <c r="I14" s="109">
        <f t="shared" si="30"/>
        <v>56</v>
      </c>
      <c r="J14" s="105">
        <v>24</v>
      </c>
      <c r="K14" s="109">
        <f t="shared" si="31"/>
        <v>80</v>
      </c>
      <c r="L14" s="108">
        <v>10</v>
      </c>
      <c r="M14" s="105">
        <v>38</v>
      </c>
      <c r="N14" s="109">
        <f t="shared" si="32"/>
        <v>48</v>
      </c>
      <c r="O14" s="109">
        <f t="shared" si="4"/>
        <v>48</v>
      </c>
      <c r="P14" s="109">
        <f t="shared" si="0"/>
        <v>128</v>
      </c>
      <c r="Q14" s="202"/>
      <c r="R14" s="105">
        <f t="shared" si="5"/>
        <v>5</v>
      </c>
      <c r="S14" s="108">
        <v>18</v>
      </c>
      <c r="T14" s="105">
        <v>76</v>
      </c>
      <c r="U14" s="109">
        <f t="shared" si="6"/>
        <v>94</v>
      </c>
      <c r="V14" s="105">
        <v>10</v>
      </c>
      <c r="W14" s="105">
        <v>36</v>
      </c>
      <c r="X14" s="109">
        <f t="shared" si="7"/>
        <v>46</v>
      </c>
      <c r="Y14" s="109">
        <f t="shared" si="8"/>
        <v>140</v>
      </c>
      <c r="Z14" s="109">
        <f t="shared" si="1"/>
        <v>140</v>
      </c>
      <c r="AA14" s="202"/>
      <c r="AB14" s="105">
        <f t="shared" si="9"/>
        <v>5</v>
      </c>
      <c r="AC14" s="108">
        <v>20</v>
      </c>
      <c r="AD14" s="105">
        <v>48</v>
      </c>
      <c r="AE14" s="109">
        <f t="shared" si="10"/>
        <v>68</v>
      </c>
      <c r="AF14" s="105">
        <v>30</v>
      </c>
      <c r="AG14" s="109">
        <f t="shared" si="11"/>
        <v>98</v>
      </c>
      <c r="AH14" s="202"/>
      <c r="AI14" s="105">
        <f t="shared" si="12"/>
        <v>5</v>
      </c>
      <c r="AJ14" s="108">
        <v>20</v>
      </c>
      <c r="AK14" s="105">
        <v>45</v>
      </c>
      <c r="AL14" s="109">
        <f t="shared" si="13"/>
        <v>65</v>
      </c>
      <c r="AM14" s="105">
        <v>24</v>
      </c>
      <c r="AN14" s="109">
        <f t="shared" si="14"/>
        <v>89</v>
      </c>
      <c r="AO14" s="202"/>
      <c r="AP14" s="105">
        <f t="shared" si="15"/>
        <v>5</v>
      </c>
      <c r="AQ14" s="105">
        <v>25</v>
      </c>
      <c r="AR14" s="105">
        <v>25</v>
      </c>
      <c r="AS14" s="105">
        <f t="shared" si="16"/>
        <v>50</v>
      </c>
      <c r="AT14" s="206"/>
      <c r="AU14" s="105">
        <f t="shared" si="17"/>
        <v>5</v>
      </c>
      <c r="AV14" s="108">
        <v>19</v>
      </c>
      <c r="AW14" s="105">
        <v>50</v>
      </c>
      <c r="AX14" s="109">
        <f t="shared" si="18"/>
        <v>69</v>
      </c>
      <c r="AY14" s="105">
        <v>27</v>
      </c>
      <c r="AZ14" s="109">
        <f t="shared" si="19"/>
        <v>96</v>
      </c>
      <c r="BA14" s="202"/>
      <c r="BB14" s="105">
        <f t="shared" si="20"/>
        <v>5</v>
      </c>
      <c r="BC14" s="108">
        <v>19</v>
      </c>
      <c r="BD14" s="105">
        <v>46</v>
      </c>
      <c r="BE14" s="109">
        <f t="shared" si="21"/>
        <v>65</v>
      </c>
      <c r="BF14" s="105">
        <v>27</v>
      </c>
      <c r="BG14" s="109">
        <f t="shared" si="22"/>
        <v>92</v>
      </c>
      <c r="BH14" s="202"/>
      <c r="BI14" s="105">
        <f t="shared" si="23"/>
        <v>5</v>
      </c>
      <c r="BJ14" s="108">
        <v>10</v>
      </c>
      <c r="BK14" s="105">
        <v>32</v>
      </c>
      <c r="BL14" s="109">
        <f t="shared" si="24"/>
        <v>42</v>
      </c>
      <c r="BM14" s="109">
        <f t="shared" si="25"/>
        <v>42</v>
      </c>
      <c r="BN14" s="202"/>
      <c r="BO14" s="105">
        <f t="shared" si="2"/>
        <v>5</v>
      </c>
      <c r="BP14" s="105">
        <f t="shared" si="26"/>
        <v>40</v>
      </c>
      <c r="BQ14" s="110">
        <f t="shared" si="27"/>
        <v>5</v>
      </c>
      <c r="BR14" s="111" t="str">
        <f t="shared" si="28"/>
        <v>A+</v>
      </c>
      <c r="BS14" s="112" t="str">
        <f t="shared" si="3"/>
        <v>BEST</v>
      </c>
      <c r="BT14" s="113">
        <f t="shared" si="29"/>
        <v>735</v>
      </c>
      <c r="BU14" s="115">
        <v>64</v>
      </c>
    </row>
    <row r="15" spans="1:73" ht="27.95" customHeight="1">
      <c r="A15" s="105">
        <v>7</v>
      </c>
      <c r="B15" s="105">
        <v>21</v>
      </c>
      <c r="C15" s="116" t="s">
        <v>103</v>
      </c>
      <c r="D15" s="116" t="s">
        <v>104</v>
      </c>
      <c r="E15" s="116" t="s">
        <v>105</v>
      </c>
      <c r="F15" s="117" t="s">
        <v>214</v>
      </c>
      <c r="G15" s="108">
        <v>14</v>
      </c>
      <c r="H15" s="105">
        <v>29</v>
      </c>
      <c r="I15" s="109">
        <f t="shared" si="30"/>
        <v>43</v>
      </c>
      <c r="J15" s="105">
        <v>25</v>
      </c>
      <c r="K15" s="109">
        <f t="shared" si="31"/>
        <v>68</v>
      </c>
      <c r="L15" s="108">
        <v>9</v>
      </c>
      <c r="M15" s="105">
        <v>32</v>
      </c>
      <c r="N15" s="109">
        <f t="shared" si="32"/>
        <v>41</v>
      </c>
      <c r="O15" s="109">
        <f t="shared" si="4"/>
        <v>41</v>
      </c>
      <c r="P15" s="109">
        <f t="shared" si="0"/>
        <v>109</v>
      </c>
      <c r="Q15" s="202"/>
      <c r="R15" s="105">
        <f t="shared" si="5"/>
        <v>4</v>
      </c>
      <c r="S15" s="108">
        <v>16</v>
      </c>
      <c r="T15" s="105">
        <v>63</v>
      </c>
      <c r="U15" s="109">
        <f t="shared" si="6"/>
        <v>79</v>
      </c>
      <c r="V15" s="105">
        <v>9</v>
      </c>
      <c r="W15" s="105">
        <v>30</v>
      </c>
      <c r="X15" s="109">
        <f t="shared" si="7"/>
        <v>39</v>
      </c>
      <c r="Y15" s="109">
        <f t="shared" si="8"/>
        <v>118</v>
      </c>
      <c r="Z15" s="109">
        <f t="shared" si="1"/>
        <v>118</v>
      </c>
      <c r="AA15" s="202"/>
      <c r="AB15" s="105">
        <f t="shared" si="9"/>
        <v>4</v>
      </c>
      <c r="AC15" s="108">
        <v>13</v>
      </c>
      <c r="AD15" s="105">
        <v>31</v>
      </c>
      <c r="AE15" s="109">
        <f t="shared" si="10"/>
        <v>44</v>
      </c>
      <c r="AF15" s="105">
        <v>24</v>
      </c>
      <c r="AG15" s="109">
        <f t="shared" si="11"/>
        <v>68</v>
      </c>
      <c r="AH15" s="202"/>
      <c r="AI15" s="105">
        <f t="shared" si="12"/>
        <v>3.5</v>
      </c>
      <c r="AJ15" s="108">
        <v>18</v>
      </c>
      <c r="AK15" s="105">
        <v>33</v>
      </c>
      <c r="AL15" s="109">
        <f t="shared" si="13"/>
        <v>51</v>
      </c>
      <c r="AM15" s="105">
        <v>21</v>
      </c>
      <c r="AN15" s="109">
        <f t="shared" si="14"/>
        <v>72</v>
      </c>
      <c r="AO15" s="202"/>
      <c r="AP15" s="105">
        <f t="shared" si="15"/>
        <v>4</v>
      </c>
      <c r="AQ15" s="105">
        <v>19</v>
      </c>
      <c r="AR15" s="105">
        <v>25</v>
      </c>
      <c r="AS15" s="105">
        <f t="shared" si="16"/>
        <v>44</v>
      </c>
      <c r="AT15" s="206"/>
      <c r="AU15" s="105">
        <f t="shared" si="17"/>
        <v>5</v>
      </c>
      <c r="AV15" s="108">
        <v>16</v>
      </c>
      <c r="AW15" s="105">
        <v>40</v>
      </c>
      <c r="AX15" s="109">
        <f t="shared" si="18"/>
        <v>56</v>
      </c>
      <c r="AY15" s="105">
        <v>25</v>
      </c>
      <c r="AZ15" s="109">
        <f t="shared" si="19"/>
        <v>81</v>
      </c>
      <c r="BA15" s="202"/>
      <c r="BB15" s="105">
        <f t="shared" si="20"/>
        <v>5</v>
      </c>
      <c r="BC15" s="108">
        <v>13</v>
      </c>
      <c r="BD15" s="105">
        <v>40</v>
      </c>
      <c r="BE15" s="109">
        <f t="shared" si="21"/>
        <v>53</v>
      </c>
      <c r="BF15" s="105">
        <v>24</v>
      </c>
      <c r="BG15" s="109">
        <f t="shared" si="22"/>
        <v>77</v>
      </c>
      <c r="BH15" s="202"/>
      <c r="BI15" s="105">
        <f t="shared" si="23"/>
        <v>4</v>
      </c>
      <c r="BJ15" s="108">
        <v>5</v>
      </c>
      <c r="BK15" s="105">
        <v>28</v>
      </c>
      <c r="BL15" s="109">
        <f t="shared" si="24"/>
        <v>33</v>
      </c>
      <c r="BM15" s="109">
        <f t="shared" si="25"/>
        <v>33</v>
      </c>
      <c r="BN15" s="202"/>
      <c r="BO15" s="105">
        <f t="shared" si="2"/>
        <v>3.5</v>
      </c>
      <c r="BP15" s="105">
        <f t="shared" si="26"/>
        <v>33</v>
      </c>
      <c r="BQ15" s="110">
        <f t="shared" si="27"/>
        <v>4.125</v>
      </c>
      <c r="BR15" s="111" t="str">
        <f t="shared" si="28"/>
        <v>A</v>
      </c>
      <c r="BS15" s="112" t="str">
        <f t="shared" si="3"/>
        <v>BETTER</v>
      </c>
      <c r="BT15" s="113">
        <f t="shared" si="29"/>
        <v>602</v>
      </c>
      <c r="BU15" s="115">
        <v>68</v>
      </c>
    </row>
    <row r="16" spans="1:73" ht="27.95" customHeight="1">
      <c r="A16" s="105">
        <v>8</v>
      </c>
      <c r="B16" s="105">
        <v>23</v>
      </c>
      <c r="C16" s="106" t="s">
        <v>109</v>
      </c>
      <c r="D16" s="106" t="s">
        <v>110</v>
      </c>
      <c r="E16" s="106" t="s">
        <v>111</v>
      </c>
      <c r="F16" s="107" t="s">
        <v>215</v>
      </c>
      <c r="G16" s="108">
        <v>14</v>
      </c>
      <c r="H16" s="105">
        <v>26</v>
      </c>
      <c r="I16" s="109">
        <f t="shared" si="30"/>
        <v>40</v>
      </c>
      <c r="J16" s="105">
        <v>18</v>
      </c>
      <c r="K16" s="109">
        <f t="shared" si="31"/>
        <v>58</v>
      </c>
      <c r="L16" s="108">
        <v>10</v>
      </c>
      <c r="M16" s="105">
        <v>34</v>
      </c>
      <c r="N16" s="109">
        <f t="shared" si="32"/>
        <v>44</v>
      </c>
      <c r="O16" s="109">
        <f t="shared" si="4"/>
        <v>44</v>
      </c>
      <c r="P16" s="109">
        <f t="shared" si="0"/>
        <v>102</v>
      </c>
      <c r="Q16" s="202"/>
      <c r="R16" s="105">
        <f t="shared" si="5"/>
        <v>3.5</v>
      </c>
      <c r="S16" s="108">
        <v>18</v>
      </c>
      <c r="T16" s="105">
        <v>38</v>
      </c>
      <c r="U16" s="109">
        <f t="shared" si="6"/>
        <v>56</v>
      </c>
      <c r="V16" s="105">
        <v>6</v>
      </c>
      <c r="W16" s="105">
        <v>20</v>
      </c>
      <c r="X16" s="109">
        <f t="shared" si="7"/>
        <v>26</v>
      </c>
      <c r="Y16" s="109">
        <f t="shared" si="8"/>
        <v>82</v>
      </c>
      <c r="Z16" s="109">
        <f t="shared" si="1"/>
        <v>82</v>
      </c>
      <c r="AA16" s="202"/>
      <c r="AB16" s="105">
        <f t="shared" si="9"/>
        <v>3</v>
      </c>
      <c r="AC16" s="108">
        <v>14</v>
      </c>
      <c r="AD16" s="105">
        <v>16</v>
      </c>
      <c r="AE16" s="109">
        <f t="shared" si="10"/>
        <v>30</v>
      </c>
      <c r="AF16" s="105">
        <v>12</v>
      </c>
      <c r="AG16" s="109">
        <f t="shared" si="11"/>
        <v>42</v>
      </c>
      <c r="AH16" s="202"/>
      <c r="AI16" s="105">
        <f t="shared" si="12"/>
        <v>2</v>
      </c>
      <c r="AJ16" s="108">
        <v>15</v>
      </c>
      <c r="AK16" s="105">
        <v>22</v>
      </c>
      <c r="AL16" s="109">
        <f t="shared" si="13"/>
        <v>37</v>
      </c>
      <c r="AM16" s="105">
        <v>14</v>
      </c>
      <c r="AN16" s="109">
        <f t="shared" si="14"/>
        <v>51</v>
      </c>
      <c r="AO16" s="202"/>
      <c r="AP16" s="105">
        <f t="shared" si="15"/>
        <v>3</v>
      </c>
      <c r="AQ16" s="105">
        <v>24</v>
      </c>
      <c r="AR16" s="105">
        <v>25</v>
      </c>
      <c r="AS16" s="105">
        <f t="shared" si="16"/>
        <v>49</v>
      </c>
      <c r="AT16" s="206"/>
      <c r="AU16" s="105">
        <f t="shared" si="17"/>
        <v>5</v>
      </c>
      <c r="AV16" s="108">
        <v>14</v>
      </c>
      <c r="AW16" s="105">
        <v>35</v>
      </c>
      <c r="AX16" s="109">
        <f t="shared" si="18"/>
        <v>49</v>
      </c>
      <c r="AY16" s="105">
        <v>21</v>
      </c>
      <c r="AZ16" s="109">
        <f t="shared" si="19"/>
        <v>70</v>
      </c>
      <c r="BA16" s="202"/>
      <c r="BB16" s="105">
        <f t="shared" si="20"/>
        <v>4</v>
      </c>
      <c r="BC16" s="108">
        <v>11</v>
      </c>
      <c r="BD16" s="105">
        <v>30</v>
      </c>
      <c r="BE16" s="109">
        <f t="shared" si="21"/>
        <v>41</v>
      </c>
      <c r="BF16" s="105">
        <v>23</v>
      </c>
      <c r="BG16" s="109">
        <f t="shared" si="22"/>
        <v>64</v>
      </c>
      <c r="BH16" s="202"/>
      <c r="BI16" s="105">
        <f t="shared" si="23"/>
        <v>3.5</v>
      </c>
      <c r="BJ16" s="108">
        <v>6</v>
      </c>
      <c r="BK16" s="105">
        <v>28</v>
      </c>
      <c r="BL16" s="109">
        <f t="shared" si="24"/>
        <v>34</v>
      </c>
      <c r="BM16" s="109">
        <f t="shared" si="25"/>
        <v>34</v>
      </c>
      <c r="BN16" s="202"/>
      <c r="BO16" s="105">
        <f t="shared" si="2"/>
        <v>3.5</v>
      </c>
      <c r="BP16" s="105">
        <f t="shared" si="26"/>
        <v>27.5</v>
      </c>
      <c r="BQ16" s="110">
        <f t="shared" si="27"/>
        <v>3.4375</v>
      </c>
      <c r="BR16" s="111" t="str">
        <f t="shared" si="28"/>
        <v>B</v>
      </c>
      <c r="BS16" s="112" t="str">
        <f t="shared" si="3"/>
        <v>GOOD</v>
      </c>
      <c r="BT16" s="113">
        <f t="shared" si="29"/>
        <v>494</v>
      </c>
      <c r="BU16" s="115">
        <v>68</v>
      </c>
    </row>
    <row r="17" spans="1:73" ht="27.95" customHeight="1">
      <c r="A17" s="105">
        <v>9</v>
      </c>
      <c r="B17" s="105">
        <v>25</v>
      </c>
      <c r="C17" s="116" t="s">
        <v>115</v>
      </c>
      <c r="D17" s="116" t="s">
        <v>116</v>
      </c>
      <c r="E17" s="116" t="s">
        <v>117</v>
      </c>
      <c r="F17" s="117" t="s">
        <v>216</v>
      </c>
      <c r="G17" s="108">
        <v>17</v>
      </c>
      <c r="H17" s="105">
        <v>27</v>
      </c>
      <c r="I17" s="109">
        <f t="shared" si="30"/>
        <v>44</v>
      </c>
      <c r="J17" s="105">
        <v>18</v>
      </c>
      <c r="K17" s="109">
        <f t="shared" si="31"/>
        <v>62</v>
      </c>
      <c r="L17" s="108">
        <v>9</v>
      </c>
      <c r="M17" s="105">
        <v>32</v>
      </c>
      <c r="N17" s="109">
        <f t="shared" si="32"/>
        <v>41</v>
      </c>
      <c r="O17" s="109">
        <f t="shared" si="4"/>
        <v>41</v>
      </c>
      <c r="P17" s="109">
        <f t="shared" si="0"/>
        <v>103</v>
      </c>
      <c r="Q17" s="202"/>
      <c r="R17" s="105">
        <f t="shared" si="5"/>
        <v>3.5</v>
      </c>
      <c r="S17" s="108">
        <v>14</v>
      </c>
      <c r="T17" s="105">
        <v>45</v>
      </c>
      <c r="U17" s="109">
        <f t="shared" si="6"/>
        <v>59</v>
      </c>
      <c r="V17" s="105">
        <v>7</v>
      </c>
      <c r="W17" s="105">
        <v>28</v>
      </c>
      <c r="X17" s="109">
        <f t="shared" si="7"/>
        <v>35</v>
      </c>
      <c r="Y17" s="109">
        <f t="shared" si="8"/>
        <v>94</v>
      </c>
      <c r="Z17" s="109">
        <f t="shared" si="1"/>
        <v>94</v>
      </c>
      <c r="AA17" s="202"/>
      <c r="AB17" s="105">
        <f t="shared" si="9"/>
        <v>3.5</v>
      </c>
      <c r="AC17" s="108">
        <v>20</v>
      </c>
      <c r="AD17" s="105">
        <v>37</v>
      </c>
      <c r="AE17" s="109">
        <f t="shared" si="10"/>
        <v>57</v>
      </c>
      <c r="AF17" s="105">
        <v>27</v>
      </c>
      <c r="AG17" s="109">
        <f t="shared" si="11"/>
        <v>84</v>
      </c>
      <c r="AH17" s="202"/>
      <c r="AI17" s="105">
        <f t="shared" si="12"/>
        <v>5</v>
      </c>
      <c r="AJ17" s="108">
        <v>14</v>
      </c>
      <c r="AK17" s="105">
        <v>29</v>
      </c>
      <c r="AL17" s="109">
        <f t="shared" si="13"/>
        <v>43</v>
      </c>
      <c r="AM17" s="105">
        <v>14</v>
      </c>
      <c r="AN17" s="109">
        <f t="shared" si="14"/>
        <v>57</v>
      </c>
      <c r="AO17" s="202"/>
      <c r="AP17" s="105">
        <f t="shared" si="15"/>
        <v>3</v>
      </c>
      <c r="AQ17" s="105">
        <v>25</v>
      </c>
      <c r="AR17" s="105">
        <v>25</v>
      </c>
      <c r="AS17" s="105">
        <f t="shared" si="16"/>
        <v>50</v>
      </c>
      <c r="AT17" s="206"/>
      <c r="AU17" s="105">
        <f t="shared" si="17"/>
        <v>5</v>
      </c>
      <c r="AV17" s="108">
        <v>17</v>
      </c>
      <c r="AW17" s="105">
        <v>39</v>
      </c>
      <c r="AX17" s="109">
        <f t="shared" si="18"/>
        <v>56</v>
      </c>
      <c r="AY17" s="105">
        <v>24</v>
      </c>
      <c r="AZ17" s="109">
        <f t="shared" si="19"/>
        <v>80</v>
      </c>
      <c r="BA17" s="202"/>
      <c r="BB17" s="105">
        <f t="shared" si="20"/>
        <v>5</v>
      </c>
      <c r="BC17" s="108">
        <v>10</v>
      </c>
      <c r="BD17" s="105">
        <v>29</v>
      </c>
      <c r="BE17" s="109">
        <f t="shared" si="21"/>
        <v>39</v>
      </c>
      <c r="BF17" s="105">
        <v>25</v>
      </c>
      <c r="BG17" s="109">
        <f t="shared" si="22"/>
        <v>64</v>
      </c>
      <c r="BH17" s="202"/>
      <c r="BI17" s="105">
        <f t="shared" si="23"/>
        <v>3.5</v>
      </c>
      <c r="BJ17" s="108">
        <v>6</v>
      </c>
      <c r="BK17" s="105">
        <v>28</v>
      </c>
      <c r="BL17" s="109">
        <f t="shared" si="24"/>
        <v>34</v>
      </c>
      <c r="BM17" s="109">
        <f t="shared" si="25"/>
        <v>34</v>
      </c>
      <c r="BN17" s="202"/>
      <c r="BO17" s="105">
        <f t="shared" si="2"/>
        <v>3.5</v>
      </c>
      <c r="BP17" s="105">
        <f t="shared" si="26"/>
        <v>32</v>
      </c>
      <c r="BQ17" s="110">
        <f t="shared" si="27"/>
        <v>4</v>
      </c>
      <c r="BR17" s="111" t="str">
        <f t="shared" si="28"/>
        <v>A</v>
      </c>
      <c r="BS17" s="112" t="str">
        <f t="shared" si="3"/>
        <v>BETTER</v>
      </c>
      <c r="BT17" s="113">
        <f t="shared" si="29"/>
        <v>566</v>
      </c>
      <c r="BU17" s="115">
        <v>67</v>
      </c>
    </row>
    <row r="18" spans="1:73" ht="27.95" customHeight="1">
      <c r="A18" s="105">
        <v>10</v>
      </c>
      <c r="B18" s="105">
        <v>27</v>
      </c>
      <c r="C18" s="106" t="s">
        <v>118</v>
      </c>
      <c r="D18" s="106" t="s">
        <v>119</v>
      </c>
      <c r="E18" s="106" t="s">
        <v>120</v>
      </c>
      <c r="F18" s="107" t="s">
        <v>217</v>
      </c>
      <c r="G18" s="108">
        <v>13</v>
      </c>
      <c r="H18" s="105">
        <v>14</v>
      </c>
      <c r="I18" s="109">
        <f t="shared" si="30"/>
        <v>27</v>
      </c>
      <c r="J18" s="105">
        <v>20</v>
      </c>
      <c r="K18" s="109">
        <f t="shared" si="31"/>
        <v>47</v>
      </c>
      <c r="L18" s="108">
        <v>10</v>
      </c>
      <c r="M18" s="105">
        <v>30</v>
      </c>
      <c r="N18" s="109">
        <f t="shared" si="32"/>
        <v>40</v>
      </c>
      <c r="O18" s="109">
        <f t="shared" si="4"/>
        <v>40</v>
      </c>
      <c r="P18" s="109">
        <f t="shared" si="0"/>
        <v>87</v>
      </c>
      <c r="Q18" s="202"/>
      <c r="R18" s="105">
        <f t="shared" si="5"/>
        <v>3</v>
      </c>
      <c r="S18" s="108">
        <v>12</v>
      </c>
      <c r="T18" s="105">
        <v>57</v>
      </c>
      <c r="U18" s="109">
        <f t="shared" si="6"/>
        <v>69</v>
      </c>
      <c r="V18" s="105">
        <v>7</v>
      </c>
      <c r="W18" s="105">
        <v>30</v>
      </c>
      <c r="X18" s="109">
        <f t="shared" si="7"/>
        <v>37</v>
      </c>
      <c r="Y18" s="109">
        <f t="shared" si="8"/>
        <v>106</v>
      </c>
      <c r="Z18" s="109">
        <f t="shared" si="1"/>
        <v>106</v>
      </c>
      <c r="AA18" s="202"/>
      <c r="AB18" s="105">
        <f t="shared" si="9"/>
        <v>4</v>
      </c>
      <c r="AC18" s="108">
        <v>18</v>
      </c>
      <c r="AD18" s="105">
        <v>34</v>
      </c>
      <c r="AE18" s="109">
        <f t="shared" si="10"/>
        <v>52</v>
      </c>
      <c r="AF18" s="105">
        <v>23</v>
      </c>
      <c r="AG18" s="109">
        <f t="shared" si="11"/>
        <v>75</v>
      </c>
      <c r="AH18" s="202"/>
      <c r="AI18" s="105">
        <f t="shared" si="12"/>
        <v>4</v>
      </c>
      <c r="AJ18" s="108">
        <v>15</v>
      </c>
      <c r="AK18" s="105">
        <v>20</v>
      </c>
      <c r="AL18" s="109">
        <f t="shared" si="13"/>
        <v>35</v>
      </c>
      <c r="AM18" s="105">
        <v>17</v>
      </c>
      <c r="AN18" s="109">
        <f t="shared" si="14"/>
        <v>52</v>
      </c>
      <c r="AO18" s="202"/>
      <c r="AP18" s="105">
        <f t="shared" si="15"/>
        <v>3</v>
      </c>
      <c r="AQ18" s="105">
        <v>25</v>
      </c>
      <c r="AR18" s="105">
        <v>25</v>
      </c>
      <c r="AS18" s="105">
        <f t="shared" si="16"/>
        <v>50</v>
      </c>
      <c r="AT18" s="206"/>
      <c r="AU18" s="105">
        <f t="shared" si="17"/>
        <v>5</v>
      </c>
      <c r="AV18" s="108">
        <v>15</v>
      </c>
      <c r="AW18" s="105">
        <v>42</v>
      </c>
      <c r="AX18" s="109">
        <f t="shared" si="18"/>
        <v>57</v>
      </c>
      <c r="AY18" s="105">
        <v>25</v>
      </c>
      <c r="AZ18" s="109">
        <f t="shared" si="19"/>
        <v>82</v>
      </c>
      <c r="BA18" s="202"/>
      <c r="BB18" s="105">
        <f t="shared" si="20"/>
        <v>5</v>
      </c>
      <c r="BC18" s="108">
        <v>15</v>
      </c>
      <c r="BD18" s="105">
        <v>34</v>
      </c>
      <c r="BE18" s="109">
        <f t="shared" si="21"/>
        <v>49</v>
      </c>
      <c r="BF18" s="105">
        <v>20</v>
      </c>
      <c r="BG18" s="109">
        <f t="shared" si="22"/>
        <v>69</v>
      </c>
      <c r="BH18" s="202"/>
      <c r="BI18" s="105">
        <f t="shared" si="23"/>
        <v>3.5</v>
      </c>
      <c r="BJ18" s="108">
        <v>5</v>
      </c>
      <c r="BK18" s="105">
        <v>24</v>
      </c>
      <c r="BL18" s="109">
        <f t="shared" si="24"/>
        <v>29</v>
      </c>
      <c r="BM18" s="109">
        <f t="shared" si="25"/>
        <v>29</v>
      </c>
      <c r="BN18" s="202"/>
      <c r="BO18" s="105">
        <f t="shared" si="2"/>
        <v>3</v>
      </c>
      <c r="BP18" s="105">
        <f t="shared" si="26"/>
        <v>30.5</v>
      </c>
      <c r="BQ18" s="110">
        <f t="shared" si="27"/>
        <v>3.8125</v>
      </c>
      <c r="BR18" s="111" t="str">
        <f t="shared" si="28"/>
        <v>A-</v>
      </c>
      <c r="BS18" s="112" t="str">
        <f t="shared" si="3"/>
        <v>GOOD</v>
      </c>
      <c r="BT18" s="113">
        <f t="shared" si="29"/>
        <v>550</v>
      </c>
      <c r="BU18" s="115">
        <v>65</v>
      </c>
    </row>
    <row r="19" spans="1:73" ht="27.95" customHeight="1">
      <c r="A19" s="105">
        <v>11</v>
      </c>
      <c r="B19" s="105">
        <v>29</v>
      </c>
      <c r="C19" s="106" t="s">
        <v>121</v>
      </c>
      <c r="D19" s="106" t="s">
        <v>122</v>
      </c>
      <c r="E19" s="106" t="s">
        <v>123</v>
      </c>
      <c r="F19" s="107" t="s">
        <v>218</v>
      </c>
      <c r="G19" s="108">
        <v>14</v>
      </c>
      <c r="H19" s="105">
        <v>33</v>
      </c>
      <c r="I19" s="109">
        <f t="shared" si="30"/>
        <v>47</v>
      </c>
      <c r="J19" s="105">
        <v>21</v>
      </c>
      <c r="K19" s="109">
        <f t="shared" si="31"/>
        <v>68</v>
      </c>
      <c r="L19" s="108">
        <v>10</v>
      </c>
      <c r="M19" s="105">
        <v>34</v>
      </c>
      <c r="N19" s="109">
        <f t="shared" si="32"/>
        <v>44</v>
      </c>
      <c r="O19" s="109">
        <f t="shared" si="4"/>
        <v>44</v>
      </c>
      <c r="P19" s="109">
        <f t="shared" si="0"/>
        <v>112</v>
      </c>
      <c r="Q19" s="202"/>
      <c r="R19" s="105">
        <f t="shared" si="5"/>
        <v>4</v>
      </c>
      <c r="S19" s="108">
        <v>17</v>
      </c>
      <c r="T19" s="105">
        <v>55</v>
      </c>
      <c r="U19" s="109">
        <f t="shared" si="6"/>
        <v>72</v>
      </c>
      <c r="V19" s="105">
        <v>7</v>
      </c>
      <c r="W19" s="105">
        <v>32</v>
      </c>
      <c r="X19" s="109">
        <f t="shared" si="7"/>
        <v>39</v>
      </c>
      <c r="Y19" s="109">
        <f t="shared" si="8"/>
        <v>111</v>
      </c>
      <c r="Z19" s="109">
        <f t="shared" si="1"/>
        <v>111</v>
      </c>
      <c r="AA19" s="202"/>
      <c r="AB19" s="105">
        <f t="shared" si="9"/>
        <v>4</v>
      </c>
      <c r="AC19" s="108">
        <v>20</v>
      </c>
      <c r="AD19" s="105">
        <v>47</v>
      </c>
      <c r="AE19" s="109">
        <f t="shared" si="10"/>
        <v>67</v>
      </c>
      <c r="AF19" s="105">
        <v>28</v>
      </c>
      <c r="AG19" s="109">
        <f t="shared" si="11"/>
        <v>95</v>
      </c>
      <c r="AH19" s="202"/>
      <c r="AI19" s="105">
        <f t="shared" si="12"/>
        <v>5</v>
      </c>
      <c r="AJ19" s="108">
        <v>18</v>
      </c>
      <c r="AK19" s="105">
        <v>41</v>
      </c>
      <c r="AL19" s="109">
        <f t="shared" si="13"/>
        <v>59</v>
      </c>
      <c r="AM19" s="105">
        <v>16</v>
      </c>
      <c r="AN19" s="109">
        <f t="shared" si="14"/>
        <v>75</v>
      </c>
      <c r="AO19" s="202"/>
      <c r="AP19" s="105">
        <f t="shared" si="15"/>
        <v>4</v>
      </c>
      <c r="AQ19" s="105">
        <v>24</v>
      </c>
      <c r="AR19" s="105">
        <v>25</v>
      </c>
      <c r="AS19" s="105">
        <f t="shared" si="16"/>
        <v>49</v>
      </c>
      <c r="AT19" s="206"/>
      <c r="AU19" s="105">
        <f t="shared" si="17"/>
        <v>5</v>
      </c>
      <c r="AV19" s="108">
        <v>19</v>
      </c>
      <c r="AW19" s="105">
        <v>50</v>
      </c>
      <c r="AX19" s="109">
        <f t="shared" si="18"/>
        <v>69</v>
      </c>
      <c r="AY19" s="105">
        <v>25</v>
      </c>
      <c r="AZ19" s="109">
        <f t="shared" si="19"/>
        <v>94</v>
      </c>
      <c r="BA19" s="202"/>
      <c r="BB19" s="105">
        <f t="shared" si="20"/>
        <v>5</v>
      </c>
      <c r="BC19" s="108">
        <v>17</v>
      </c>
      <c r="BD19" s="105">
        <v>46</v>
      </c>
      <c r="BE19" s="109">
        <f t="shared" si="21"/>
        <v>63</v>
      </c>
      <c r="BF19" s="105">
        <v>29</v>
      </c>
      <c r="BG19" s="109">
        <f t="shared" si="22"/>
        <v>92</v>
      </c>
      <c r="BH19" s="202"/>
      <c r="BI19" s="105">
        <f t="shared" si="23"/>
        <v>5</v>
      </c>
      <c r="BJ19" s="108">
        <v>10</v>
      </c>
      <c r="BK19" s="105">
        <v>24</v>
      </c>
      <c r="BL19" s="109">
        <f t="shared" si="24"/>
        <v>34</v>
      </c>
      <c r="BM19" s="109">
        <f t="shared" si="25"/>
        <v>34</v>
      </c>
      <c r="BN19" s="202"/>
      <c r="BO19" s="105">
        <f t="shared" si="2"/>
        <v>3.5</v>
      </c>
      <c r="BP19" s="105">
        <f t="shared" si="26"/>
        <v>35.5</v>
      </c>
      <c r="BQ19" s="110">
        <f t="shared" si="27"/>
        <v>4.4375</v>
      </c>
      <c r="BR19" s="111" t="str">
        <f t="shared" si="28"/>
        <v>A</v>
      </c>
      <c r="BS19" s="112" t="str">
        <f t="shared" si="3"/>
        <v>BETTER</v>
      </c>
      <c r="BT19" s="113">
        <f t="shared" si="29"/>
        <v>662</v>
      </c>
      <c r="BU19" s="115">
        <v>62</v>
      </c>
    </row>
    <row r="20" spans="1:73" s="39" customFormat="1" ht="27.95" customHeight="1">
      <c r="A20" s="105">
        <v>12</v>
      </c>
      <c r="B20" s="105">
        <v>31</v>
      </c>
      <c r="C20" s="116" t="s">
        <v>219</v>
      </c>
      <c r="D20" s="116" t="s">
        <v>220</v>
      </c>
      <c r="E20" s="116" t="s">
        <v>221</v>
      </c>
      <c r="F20" s="117" t="s">
        <v>222</v>
      </c>
      <c r="G20" s="108">
        <v>11</v>
      </c>
      <c r="H20" s="105"/>
      <c r="I20" s="109">
        <f t="shared" si="30"/>
        <v>11</v>
      </c>
      <c r="J20" s="105"/>
      <c r="K20" s="109">
        <f t="shared" si="31"/>
        <v>11</v>
      </c>
      <c r="L20" s="108">
        <v>9</v>
      </c>
      <c r="M20" s="105"/>
      <c r="N20" s="109">
        <f t="shared" si="32"/>
        <v>9</v>
      </c>
      <c r="O20" s="109">
        <f t="shared" si="4"/>
        <v>9</v>
      </c>
      <c r="P20" s="109">
        <f t="shared" si="0"/>
        <v>20</v>
      </c>
      <c r="Q20" s="202"/>
      <c r="R20" s="105" t="str">
        <f t="shared" si="5"/>
        <v>F</v>
      </c>
      <c r="S20" s="108">
        <v>17</v>
      </c>
      <c r="T20" s="105">
        <v>52</v>
      </c>
      <c r="U20" s="109">
        <f t="shared" si="6"/>
        <v>69</v>
      </c>
      <c r="V20" s="105">
        <v>8</v>
      </c>
      <c r="W20" s="105">
        <v>24</v>
      </c>
      <c r="X20" s="109">
        <f t="shared" si="7"/>
        <v>32</v>
      </c>
      <c r="Y20" s="109">
        <f t="shared" si="8"/>
        <v>101</v>
      </c>
      <c r="Z20" s="109">
        <f t="shared" si="1"/>
        <v>101</v>
      </c>
      <c r="AA20" s="202"/>
      <c r="AB20" s="105">
        <f t="shared" si="9"/>
        <v>3.5</v>
      </c>
      <c r="AC20" s="108">
        <v>15</v>
      </c>
      <c r="AD20" s="105">
        <v>22</v>
      </c>
      <c r="AE20" s="109">
        <f t="shared" si="10"/>
        <v>37</v>
      </c>
      <c r="AF20" s="105">
        <v>21</v>
      </c>
      <c r="AG20" s="109">
        <f t="shared" si="11"/>
        <v>58</v>
      </c>
      <c r="AH20" s="202"/>
      <c r="AI20" s="105">
        <f t="shared" si="12"/>
        <v>3</v>
      </c>
      <c r="AJ20" s="108">
        <v>17</v>
      </c>
      <c r="AK20" s="105"/>
      <c r="AL20" s="109">
        <f t="shared" si="13"/>
        <v>17</v>
      </c>
      <c r="AM20" s="105"/>
      <c r="AN20" s="109">
        <f t="shared" si="14"/>
        <v>17</v>
      </c>
      <c r="AO20" s="202"/>
      <c r="AP20" s="105" t="str">
        <f t="shared" si="15"/>
        <v>F</v>
      </c>
      <c r="AQ20" s="105">
        <v>19</v>
      </c>
      <c r="AR20" s="105">
        <v>25</v>
      </c>
      <c r="AS20" s="105">
        <f t="shared" si="16"/>
        <v>44</v>
      </c>
      <c r="AT20" s="206"/>
      <c r="AU20" s="105">
        <f t="shared" si="17"/>
        <v>5</v>
      </c>
      <c r="AV20" s="108">
        <v>13</v>
      </c>
      <c r="AW20" s="105">
        <v>43</v>
      </c>
      <c r="AX20" s="109">
        <f t="shared" si="18"/>
        <v>56</v>
      </c>
      <c r="AY20" s="105">
        <v>24</v>
      </c>
      <c r="AZ20" s="109">
        <f t="shared" si="19"/>
        <v>80</v>
      </c>
      <c r="BA20" s="202"/>
      <c r="BB20" s="105">
        <f t="shared" si="20"/>
        <v>5</v>
      </c>
      <c r="BC20" s="108">
        <v>11</v>
      </c>
      <c r="BD20" s="105">
        <v>28</v>
      </c>
      <c r="BE20" s="109">
        <f t="shared" si="21"/>
        <v>39</v>
      </c>
      <c r="BF20" s="105">
        <v>24</v>
      </c>
      <c r="BG20" s="109">
        <f t="shared" si="22"/>
        <v>63</v>
      </c>
      <c r="BH20" s="202"/>
      <c r="BI20" s="105">
        <f t="shared" si="23"/>
        <v>3.5</v>
      </c>
      <c r="BJ20" s="108">
        <v>7</v>
      </c>
      <c r="BK20" s="105">
        <v>24</v>
      </c>
      <c r="BL20" s="109">
        <f t="shared" si="24"/>
        <v>31</v>
      </c>
      <c r="BM20" s="109">
        <f t="shared" si="25"/>
        <v>31</v>
      </c>
      <c r="BN20" s="202"/>
      <c r="BO20" s="105">
        <f t="shared" si="2"/>
        <v>3.5</v>
      </c>
      <c r="BP20" s="105" t="str">
        <f t="shared" si="26"/>
        <v>F</v>
      </c>
      <c r="BQ20" s="110" t="str">
        <f t="shared" si="27"/>
        <v>F</v>
      </c>
      <c r="BR20" s="111" t="str">
        <f t="shared" si="28"/>
        <v>F</v>
      </c>
      <c r="BS20" s="112" t="str">
        <f t="shared" si="3"/>
        <v>NEED TO PROGRESS</v>
      </c>
      <c r="BT20" s="113">
        <f t="shared" si="29"/>
        <v>414</v>
      </c>
      <c r="BU20" s="115">
        <v>55</v>
      </c>
    </row>
    <row r="21" spans="1:73" ht="27.95" customHeight="1">
      <c r="A21" s="105">
        <v>13</v>
      </c>
      <c r="B21" s="105">
        <v>33</v>
      </c>
      <c r="C21" s="116" t="s">
        <v>124</v>
      </c>
      <c r="D21" s="116" t="s">
        <v>125</v>
      </c>
      <c r="E21" s="116" t="s">
        <v>126</v>
      </c>
      <c r="F21" s="117" t="s">
        <v>223</v>
      </c>
      <c r="G21" s="108">
        <v>11</v>
      </c>
      <c r="H21" s="105">
        <v>28</v>
      </c>
      <c r="I21" s="109">
        <f t="shared" si="30"/>
        <v>39</v>
      </c>
      <c r="J21" s="105">
        <v>21</v>
      </c>
      <c r="K21" s="109">
        <f t="shared" si="31"/>
        <v>60</v>
      </c>
      <c r="L21" s="105">
        <v>10</v>
      </c>
      <c r="M21" s="105">
        <v>30</v>
      </c>
      <c r="N21" s="109">
        <f t="shared" si="32"/>
        <v>40</v>
      </c>
      <c r="O21" s="109">
        <f t="shared" si="4"/>
        <v>40</v>
      </c>
      <c r="P21" s="109">
        <f t="shared" si="0"/>
        <v>100</v>
      </c>
      <c r="Q21" s="202"/>
      <c r="R21" s="105">
        <f t="shared" si="5"/>
        <v>3.5</v>
      </c>
      <c r="S21" s="108">
        <v>13</v>
      </c>
      <c r="T21" s="105">
        <v>59</v>
      </c>
      <c r="U21" s="109">
        <f t="shared" si="6"/>
        <v>72</v>
      </c>
      <c r="V21" s="105">
        <v>5</v>
      </c>
      <c r="W21" s="105">
        <v>25</v>
      </c>
      <c r="X21" s="109">
        <f t="shared" si="7"/>
        <v>30</v>
      </c>
      <c r="Y21" s="109">
        <f t="shared" si="8"/>
        <v>102</v>
      </c>
      <c r="Z21" s="109">
        <f t="shared" si="1"/>
        <v>102</v>
      </c>
      <c r="AA21" s="202"/>
      <c r="AB21" s="105">
        <f t="shared" si="9"/>
        <v>3.5</v>
      </c>
      <c r="AC21" s="108">
        <v>12</v>
      </c>
      <c r="AD21" s="105">
        <v>31</v>
      </c>
      <c r="AE21" s="109">
        <f t="shared" si="10"/>
        <v>43</v>
      </c>
      <c r="AF21" s="105">
        <v>17</v>
      </c>
      <c r="AG21" s="109">
        <f t="shared" si="11"/>
        <v>60</v>
      </c>
      <c r="AH21" s="202"/>
      <c r="AI21" s="105">
        <f t="shared" si="12"/>
        <v>3.5</v>
      </c>
      <c r="AJ21" s="108">
        <v>12</v>
      </c>
      <c r="AK21" s="105">
        <v>30</v>
      </c>
      <c r="AL21" s="109">
        <f t="shared" si="13"/>
        <v>42</v>
      </c>
      <c r="AM21" s="105">
        <v>19</v>
      </c>
      <c r="AN21" s="109">
        <f t="shared" si="14"/>
        <v>61</v>
      </c>
      <c r="AO21" s="202"/>
      <c r="AP21" s="105">
        <f t="shared" si="15"/>
        <v>3.5</v>
      </c>
      <c r="AQ21" s="105">
        <v>23</v>
      </c>
      <c r="AR21" s="105">
        <v>25</v>
      </c>
      <c r="AS21" s="105">
        <f t="shared" si="16"/>
        <v>48</v>
      </c>
      <c r="AT21" s="206"/>
      <c r="AU21" s="105">
        <f t="shared" si="17"/>
        <v>5</v>
      </c>
      <c r="AV21" s="108">
        <v>16</v>
      </c>
      <c r="AW21" s="105">
        <v>39</v>
      </c>
      <c r="AX21" s="109">
        <f t="shared" si="18"/>
        <v>55</v>
      </c>
      <c r="AY21" s="105">
        <v>24</v>
      </c>
      <c r="AZ21" s="109">
        <f t="shared" si="19"/>
        <v>79</v>
      </c>
      <c r="BA21" s="202"/>
      <c r="BB21" s="105">
        <f t="shared" si="20"/>
        <v>4</v>
      </c>
      <c r="BC21" s="108">
        <v>13</v>
      </c>
      <c r="BD21" s="105">
        <v>41</v>
      </c>
      <c r="BE21" s="109">
        <f t="shared" si="21"/>
        <v>54</v>
      </c>
      <c r="BF21" s="105">
        <v>23</v>
      </c>
      <c r="BG21" s="109">
        <f t="shared" si="22"/>
        <v>77</v>
      </c>
      <c r="BH21" s="202"/>
      <c r="BI21" s="105">
        <f t="shared" si="23"/>
        <v>4</v>
      </c>
      <c r="BJ21" s="108">
        <v>8</v>
      </c>
      <c r="BK21" s="105">
        <v>24</v>
      </c>
      <c r="BL21" s="109">
        <f t="shared" si="24"/>
        <v>32</v>
      </c>
      <c r="BM21" s="109">
        <f t="shared" si="25"/>
        <v>32</v>
      </c>
      <c r="BN21" s="202"/>
      <c r="BO21" s="105">
        <f t="shared" si="2"/>
        <v>3.5</v>
      </c>
      <c r="BP21" s="105">
        <f t="shared" si="26"/>
        <v>30.5</v>
      </c>
      <c r="BQ21" s="110">
        <f t="shared" si="27"/>
        <v>3.8125</v>
      </c>
      <c r="BR21" s="111" t="str">
        <f t="shared" si="28"/>
        <v>A-</v>
      </c>
      <c r="BS21" s="112" t="str">
        <f t="shared" si="3"/>
        <v>GOOD</v>
      </c>
      <c r="BT21" s="113">
        <f t="shared" si="29"/>
        <v>559</v>
      </c>
      <c r="BU21" s="115">
        <v>56</v>
      </c>
    </row>
    <row r="22" spans="1:73" ht="27.95" customHeight="1">
      <c r="A22" s="105">
        <v>14</v>
      </c>
      <c r="B22" s="105">
        <v>35</v>
      </c>
      <c r="C22" s="116" t="s">
        <v>127</v>
      </c>
      <c r="D22" s="116" t="s">
        <v>128</v>
      </c>
      <c r="E22" s="116" t="s">
        <v>129</v>
      </c>
      <c r="F22" s="117" t="s">
        <v>224</v>
      </c>
      <c r="G22" s="108">
        <v>14</v>
      </c>
      <c r="H22" s="105">
        <v>21</v>
      </c>
      <c r="I22" s="109">
        <f t="shared" si="30"/>
        <v>35</v>
      </c>
      <c r="J22" s="105">
        <v>15</v>
      </c>
      <c r="K22" s="109">
        <f t="shared" si="31"/>
        <v>50</v>
      </c>
      <c r="L22" s="108">
        <v>10</v>
      </c>
      <c r="M22" s="105">
        <v>30</v>
      </c>
      <c r="N22" s="109">
        <f t="shared" si="32"/>
        <v>40</v>
      </c>
      <c r="O22" s="109">
        <f t="shared" si="4"/>
        <v>40</v>
      </c>
      <c r="P22" s="109">
        <f t="shared" si="0"/>
        <v>90</v>
      </c>
      <c r="Q22" s="202"/>
      <c r="R22" s="105">
        <f t="shared" si="5"/>
        <v>3.5</v>
      </c>
      <c r="S22" s="108">
        <v>19</v>
      </c>
      <c r="T22" s="105">
        <v>62</v>
      </c>
      <c r="U22" s="109">
        <f t="shared" si="6"/>
        <v>81</v>
      </c>
      <c r="V22" s="105">
        <v>10</v>
      </c>
      <c r="W22" s="105">
        <v>28</v>
      </c>
      <c r="X22" s="109">
        <f t="shared" si="7"/>
        <v>38</v>
      </c>
      <c r="Y22" s="109">
        <f t="shared" si="8"/>
        <v>119</v>
      </c>
      <c r="Z22" s="109">
        <f t="shared" si="1"/>
        <v>119</v>
      </c>
      <c r="AA22" s="202"/>
      <c r="AB22" s="105">
        <f t="shared" si="9"/>
        <v>4</v>
      </c>
      <c r="AC22" s="108">
        <v>13</v>
      </c>
      <c r="AD22" s="105">
        <v>40</v>
      </c>
      <c r="AE22" s="109">
        <f t="shared" si="10"/>
        <v>53</v>
      </c>
      <c r="AF22" s="105">
        <v>21</v>
      </c>
      <c r="AG22" s="109">
        <f t="shared" si="11"/>
        <v>74</v>
      </c>
      <c r="AH22" s="202"/>
      <c r="AI22" s="105">
        <f t="shared" si="12"/>
        <v>4</v>
      </c>
      <c r="AJ22" s="108">
        <v>14</v>
      </c>
      <c r="AK22" s="105">
        <v>22</v>
      </c>
      <c r="AL22" s="109">
        <f t="shared" si="13"/>
        <v>36</v>
      </c>
      <c r="AM22" s="105">
        <v>14</v>
      </c>
      <c r="AN22" s="109">
        <f t="shared" si="14"/>
        <v>50</v>
      </c>
      <c r="AO22" s="202"/>
      <c r="AP22" s="105">
        <f t="shared" si="15"/>
        <v>3</v>
      </c>
      <c r="AQ22" s="105">
        <v>24</v>
      </c>
      <c r="AR22" s="105">
        <v>25</v>
      </c>
      <c r="AS22" s="105">
        <f t="shared" si="16"/>
        <v>49</v>
      </c>
      <c r="AT22" s="206"/>
      <c r="AU22" s="105">
        <f t="shared" si="17"/>
        <v>5</v>
      </c>
      <c r="AV22" s="108">
        <v>17</v>
      </c>
      <c r="AW22" s="105">
        <v>34</v>
      </c>
      <c r="AX22" s="109">
        <f t="shared" si="18"/>
        <v>51</v>
      </c>
      <c r="AY22" s="105">
        <v>22</v>
      </c>
      <c r="AZ22" s="109">
        <f t="shared" si="19"/>
        <v>73</v>
      </c>
      <c r="BA22" s="202"/>
      <c r="BB22" s="105">
        <f t="shared" si="20"/>
        <v>4</v>
      </c>
      <c r="BC22" s="108">
        <v>12</v>
      </c>
      <c r="BD22" s="105">
        <v>33</v>
      </c>
      <c r="BE22" s="109">
        <f t="shared" si="21"/>
        <v>45</v>
      </c>
      <c r="BF22" s="105">
        <v>19</v>
      </c>
      <c r="BG22" s="109">
        <f t="shared" si="22"/>
        <v>64</v>
      </c>
      <c r="BH22" s="202"/>
      <c r="BI22" s="105">
        <f t="shared" si="23"/>
        <v>3.5</v>
      </c>
      <c r="BJ22" s="108">
        <v>6</v>
      </c>
      <c r="BK22" s="105">
        <v>24</v>
      </c>
      <c r="BL22" s="109">
        <f t="shared" si="24"/>
        <v>30</v>
      </c>
      <c r="BM22" s="109">
        <f t="shared" si="25"/>
        <v>30</v>
      </c>
      <c r="BN22" s="202"/>
      <c r="BO22" s="105">
        <f t="shared" si="2"/>
        <v>3.5</v>
      </c>
      <c r="BP22" s="105">
        <f t="shared" si="26"/>
        <v>30.5</v>
      </c>
      <c r="BQ22" s="110">
        <f t="shared" si="27"/>
        <v>3.8125</v>
      </c>
      <c r="BR22" s="111" t="str">
        <f t="shared" si="28"/>
        <v>A-</v>
      </c>
      <c r="BS22" s="112" t="str">
        <f t="shared" si="3"/>
        <v>GOOD</v>
      </c>
      <c r="BT22" s="113">
        <f t="shared" si="29"/>
        <v>549</v>
      </c>
      <c r="BU22" s="115">
        <v>58</v>
      </c>
    </row>
    <row r="23" spans="1:73" ht="27.95" customHeight="1">
      <c r="A23" s="105">
        <v>15</v>
      </c>
      <c r="B23" s="105">
        <v>39</v>
      </c>
      <c r="C23" s="106" t="s">
        <v>225</v>
      </c>
      <c r="D23" s="106" t="s">
        <v>226</v>
      </c>
      <c r="E23" s="106" t="s">
        <v>227</v>
      </c>
      <c r="F23" s="107" t="s">
        <v>228</v>
      </c>
      <c r="G23" s="108">
        <v>11</v>
      </c>
      <c r="H23" s="105">
        <v>21</v>
      </c>
      <c r="I23" s="109">
        <f t="shared" si="30"/>
        <v>32</v>
      </c>
      <c r="J23" s="105">
        <v>19</v>
      </c>
      <c r="K23" s="109">
        <f t="shared" si="31"/>
        <v>51</v>
      </c>
      <c r="L23" s="108">
        <v>9</v>
      </c>
      <c r="M23" s="105">
        <v>25</v>
      </c>
      <c r="N23" s="109">
        <f t="shared" si="32"/>
        <v>34</v>
      </c>
      <c r="O23" s="109">
        <f t="shared" si="4"/>
        <v>34</v>
      </c>
      <c r="P23" s="109">
        <f t="shared" si="0"/>
        <v>85</v>
      </c>
      <c r="Q23" s="202"/>
      <c r="R23" s="105">
        <f t="shared" si="5"/>
        <v>3</v>
      </c>
      <c r="S23" s="108">
        <v>14</v>
      </c>
      <c r="T23" s="105">
        <v>38</v>
      </c>
      <c r="U23" s="109">
        <f t="shared" si="6"/>
        <v>52</v>
      </c>
      <c r="V23" s="105">
        <v>5</v>
      </c>
      <c r="W23" s="105">
        <v>24</v>
      </c>
      <c r="X23" s="109">
        <f t="shared" si="7"/>
        <v>29</v>
      </c>
      <c r="Y23" s="109">
        <f t="shared" si="8"/>
        <v>81</v>
      </c>
      <c r="Z23" s="109">
        <f t="shared" si="1"/>
        <v>81</v>
      </c>
      <c r="AA23" s="202"/>
      <c r="AB23" s="105">
        <f t="shared" si="9"/>
        <v>3</v>
      </c>
      <c r="AC23" s="108">
        <v>11</v>
      </c>
      <c r="AD23" s="105">
        <v>10</v>
      </c>
      <c r="AE23" s="109">
        <f t="shared" si="10"/>
        <v>21</v>
      </c>
      <c r="AF23" s="105">
        <v>19</v>
      </c>
      <c r="AG23" s="109">
        <f t="shared" si="11"/>
        <v>40</v>
      </c>
      <c r="AH23" s="202"/>
      <c r="AI23" s="105">
        <f t="shared" si="12"/>
        <v>2</v>
      </c>
      <c r="AJ23" s="108">
        <v>13</v>
      </c>
      <c r="AK23" s="105">
        <v>23</v>
      </c>
      <c r="AL23" s="109">
        <f t="shared" si="13"/>
        <v>36</v>
      </c>
      <c r="AM23" s="105">
        <v>15</v>
      </c>
      <c r="AN23" s="109">
        <f t="shared" si="14"/>
        <v>51</v>
      </c>
      <c r="AO23" s="202"/>
      <c r="AP23" s="105">
        <f t="shared" si="15"/>
        <v>3</v>
      </c>
      <c r="AQ23" s="105">
        <v>24</v>
      </c>
      <c r="AR23" s="105">
        <v>25</v>
      </c>
      <c r="AS23" s="105">
        <f t="shared" si="16"/>
        <v>49</v>
      </c>
      <c r="AT23" s="206"/>
      <c r="AU23" s="105">
        <f t="shared" si="17"/>
        <v>5</v>
      </c>
      <c r="AV23" s="108">
        <v>13</v>
      </c>
      <c r="AW23" s="105">
        <v>32</v>
      </c>
      <c r="AX23" s="109">
        <f t="shared" si="18"/>
        <v>45</v>
      </c>
      <c r="AY23" s="105">
        <v>20</v>
      </c>
      <c r="AZ23" s="109">
        <f t="shared" si="19"/>
        <v>65</v>
      </c>
      <c r="BA23" s="202"/>
      <c r="BB23" s="105">
        <f t="shared" si="20"/>
        <v>3.5</v>
      </c>
      <c r="BC23" s="108">
        <v>10</v>
      </c>
      <c r="BD23" s="105">
        <v>20</v>
      </c>
      <c r="BE23" s="109">
        <f t="shared" si="21"/>
        <v>30</v>
      </c>
      <c r="BF23" s="105">
        <v>16</v>
      </c>
      <c r="BG23" s="109">
        <f t="shared" si="22"/>
        <v>46</v>
      </c>
      <c r="BH23" s="202"/>
      <c r="BI23" s="105">
        <f t="shared" si="23"/>
        <v>2</v>
      </c>
      <c r="BJ23" s="108">
        <v>5</v>
      </c>
      <c r="BK23" s="105">
        <v>28</v>
      </c>
      <c r="BL23" s="109">
        <f t="shared" si="24"/>
        <v>33</v>
      </c>
      <c r="BM23" s="109">
        <f t="shared" si="25"/>
        <v>33</v>
      </c>
      <c r="BN23" s="202"/>
      <c r="BO23" s="105">
        <f t="shared" si="2"/>
        <v>3.5</v>
      </c>
      <c r="BP23" s="105">
        <f t="shared" si="26"/>
        <v>25</v>
      </c>
      <c r="BQ23" s="110">
        <f t="shared" si="27"/>
        <v>3.125</v>
      </c>
      <c r="BR23" s="111" t="str">
        <f t="shared" si="28"/>
        <v>B</v>
      </c>
      <c r="BS23" s="112" t="str">
        <f t="shared" si="3"/>
        <v>GOOD</v>
      </c>
      <c r="BT23" s="113">
        <f t="shared" si="29"/>
        <v>450</v>
      </c>
      <c r="BU23" s="115">
        <v>57</v>
      </c>
    </row>
    <row r="24" spans="1:73" ht="27.95" customHeight="1">
      <c r="A24" s="105">
        <v>16</v>
      </c>
      <c r="B24" s="105">
        <v>45</v>
      </c>
      <c r="C24" s="106" t="s">
        <v>229</v>
      </c>
      <c r="D24" s="106" t="s">
        <v>230</v>
      </c>
      <c r="E24" s="106" t="s">
        <v>231</v>
      </c>
      <c r="F24" s="107" t="s">
        <v>232</v>
      </c>
      <c r="G24" s="108">
        <v>8</v>
      </c>
      <c r="H24" s="105">
        <v>11</v>
      </c>
      <c r="I24" s="109">
        <f t="shared" si="30"/>
        <v>19</v>
      </c>
      <c r="J24" s="105">
        <v>12</v>
      </c>
      <c r="K24" s="109">
        <f t="shared" si="31"/>
        <v>31</v>
      </c>
      <c r="L24" s="108">
        <v>7</v>
      </c>
      <c r="M24" s="105">
        <v>16</v>
      </c>
      <c r="N24" s="109">
        <f t="shared" si="32"/>
        <v>23</v>
      </c>
      <c r="O24" s="109">
        <f t="shared" si="4"/>
        <v>23</v>
      </c>
      <c r="P24" s="109">
        <f t="shared" si="0"/>
        <v>54</v>
      </c>
      <c r="Q24" s="202"/>
      <c r="R24" s="105" t="str">
        <f t="shared" si="5"/>
        <v>F</v>
      </c>
      <c r="S24" s="108">
        <v>9</v>
      </c>
      <c r="T24" s="105">
        <v>37</v>
      </c>
      <c r="U24" s="109">
        <f t="shared" si="6"/>
        <v>46</v>
      </c>
      <c r="V24" s="105">
        <v>2</v>
      </c>
      <c r="W24" s="105">
        <v>18</v>
      </c>
      <c r="X24" s="109">
        <f t="shared" si="7"/>
        <v>20</v>
      </c>
      <c r="Y24" s="109">
        <f t="shared" si="8"/>
        <v>66</v>
      </c>
      <c r="Z24" s="109">
        <f t="shared" si="1"/>
        <v>66</v>
      </c>
      <c r="AA24" s="202"/>
      <c r="AB24" s="105">
        <f t="shared" si="9"/>
        <v>2</v>
      </c>
      <c r="AC24" s="108">
        <v>12</v>
      </c>
      <c r="AD24" s="105">
        <v>20</v>
      </c>
      <c r="AE24" s="109">
        <f t="shared" si="10"/>
        <v>32</v>
      </c>
      <c r="AF24" s="105">
        <v>18</v>
      </c>
      <c r="AG24" s="109">
        <f t="shared" si="11"/>
        <v>50</v>
      </c>
      <c r="AH24" s="202"/>
      <c r="AI24" s="105">
        <f t="shared" si="12"/>
        <v>3</v>
      </c>
      <c r="AJ24" s="108">
        <v>8</v>
      </c>
      <c r="AK24" s="105">
        <v>19</v>
      </c>
      <c r="AL24" s="109">
        <f t="shared" si="13"/>
        <v>27</v>
      </c>
      <c r="AM24" s="105">
        <v>14</v>
      </c>
      <c r="AN24" s="109">
        <f t="shared" si="14"/>
        <v>41</v>
      </c>
      <c r="AO24" s="202"/>
      <c r="AP24" s="105">
        <f t="shared" si="15"/>
        <v>2</v>
      </c>
      <c r="AQ24" s="105">
        <v>21</v>
      </c>
      <c r="AR24" s="105">
        <v>25</v>
      </c>
      <c r="AS24" s="105">
        <f t="shared" si="16"/>
        <v>46</v>
      </c>
      <c r="AT24" s="206"/>
      <c r="AU24" s="105">
        <f t="shared" si="17"/>
        <v>5</v>
      </c>
      <c r="AV24" s="108">
        <v>16</v>
      </c>
      <c r="AW24" s="105">
        <v>24</v>
      </c>
      <c r="AX24" s="109">
        <f t="shared" si="18"/>
        <v>40</v>
      </c>
      <c r="AY24" s="105">
        <v>22</v>
      </c>
      <c r="AZ24" s="109">
        <f t="shared" si="19"/>
        <v>62</v>
      </c>
      <c r="BA24" s="202"/>
      <c r="BB24" s="105">
        <f t="shared" si="20"/>
        <v>3.5</v>
      </c>
      <c r="BC24" s="108">
        <v>10</v>
      </c>
      <c r="BD24" s="105">
        <v>22</v>
      </c>
      <c r="BE24" s="109">
        <f t="shared" si="21"/>
        <v>32</v>
      </c>
      <c r="BF24" s="105">
        <v>19</v>
      </c>
      <c r="BG24" s="109">
        <f t="shared" si="22"/>
        <v>51</v>
      </c>
      <c r="BH24" s="202"/>
      <c r="BI24" s="105">
        <f t="shared" si="23"/>
        <v>3</v>
      </c>
      <c r="BJ24" s="108">
        <v>5</v>
      </c>
      <c r="BK24" s="105">
        <v>28</v>
      </c>
      <c r="BL24" s="109">
        <f t="shared" si="24"/>
        <v>33</v>
      </c>
      <c r="BM24" s="109">
        <f t="shared" si="25"/>
        <v>33</v>
      </c>
      <c r="BN24" s="202"/>
      <c r="BO24" s="105">
        <f t="shared" si="2"/>
        <v>3.5</v>
      </c>
      <c r="BP24" s="105" t="str">
        <f t="shared" si="26"/>
        <v>F</v>
      </c>
      <c r="BQ24" s="110" t="str">
        <f t="shared" si="27"/>
        <v>F</v>
      </c>
      <c r="BR24" s="111" t="str">
        <f t="shared" si="28"/>
        <v>F</v>
      </c>
      <c r="BS24" s="112" t="str">
        <f t="shared" si="3"/>
        <v>NEED TO PROGRESS</v>
      </c>
      <c r="BT24" s="113">
        <f t="shared" si="29"/>
        <v>403</v>
      </c>
      <c r="BU24" s="115">
        <v>64</v>
      </c>
    </row>
    <row r="25" spans="1:73" ht="27.95" customHeight="1">
      <c r="A25" s="105">
        <v>17</v>
      </c>
      <c r="B25" s="105">
        <v>47</v>
      </c>
      <c r="C25" s="106" t="s">
        <v>233</v>
      </c>
      <c r="D25" s="106" t="s">
        <v>234</v>
      </c>
      <c r="E25" s="106" t="s">
        <v>235</v>
      </c>
      <c r="F25" s="107" t="s">
        <v>236</v>
      </c>
      <c r="G25" s="108">
        <v>12</v>
      </c>
      <c r="H25" s="105">
        <v>17</v>
      </c>
      <c r="I25" s="109">
        <f t="shared" si="30"/>
        <v>29</v>
      </c>
      <c r="J25" s="105">
        <v>18</v>
      </c>
      <c r="K25" s="109">
        <f t="shared" si="31"/>
        <v>47</v>
      </c>
      <c r="L25" s="108">
        <v>8</v>
      </c>
      <c r="M25" s="105">
        <v>22</v>
      </c>
      <c r="N25" s="109">
        <f t="shared" si="32"/>
        <v>30</v>
      </c>
      <c r="O25" s="109">
        <f t="shared" si="4"/>
        <v>30</v>
      </c>
      <c r="P25" s="109">
        <f t="shared" si="0"/>
        <v>77</v>
      </c>
      <c r="Q25" s="202"/>
      <c r="R25" s="105">
        <f t="shared" si="5"/>
        <v>3</v>
      </c>
      <c r="S25" s="108">
        <v>8</v>
      </c>
      <c r="T25" s="105">
        <v>32</v>
      </c>
      <c r="U25" s="109">
        <f t="shared" si="6"/>
        <v>40</v>
      </c>
      <c r="V25" s="105">
        <v>5</v>
      </c>
      <c r="W25" s="105">
        <v>26</v>
      </c>
      <c r="X25" s="109">
        <f t="shared" si="7"/>
        <v>31</v>
      </c>
      <c r="Y25" s="109">
        <f t="shared" si="8"/>
        <v>71</v>
      </c>
      <c r="Z25" s="109">
        <f t="shared" si="1"/>
        <v>71</v>
      </c>
      <c r="AA25" s="202"/>
      <c r="AB25" s="105">
        <f t="shared" si="9"/>
        <v>2</v>
      </c>
      <c r="AC25" s="108">
        <v>8</v>
      </c>
      <c r="AD25" s="105">
        <v>18</v>
      </c>
      <c r="AE25" s="109">
        <f t="shared" si="10"/>
        <v>26</v>
      </c>
      <c r="AF25" s="105">
        <v>17</v>
      </c>
      <c r="AG25" s="109">
        <f t="shared" si="11"/>
        <v>43</v>
      </c>
      <c r="AH25" s="202"/>
      <c r="AI25" s="105">
        <f t="shared" si="12"/>
        <v>2</v>
      </c>
      <c r="AJ25" s="108">
        <v>11</v>
      </c>
      <c r="AK25" s="105">
        <v>18</v>
      </c>
      <c r="AL25" s="109">
        <f t="shared" si="13"/>
        <v>29</v>
      </c>
      <c r="AM25" s="105">
        <v>13</v>
      </c>
      <c r="AN25" s="109">
        <f t="shared" si="14"/>
        <v>42</v>
      </c>
      <c r="AO25" s="202"/>
      <c r="AP25" s="105">
        <f t="shared" si="15"/>
        <v>2</v>
      </c>
      <c r="AQ25" s="105">
        <v>23</v>
      </c>
      <c r="AR25" s="105">
        <v>25</v>
      </c>
      <c r="AS25" s="105">
        <f t="shared" si="16"/>
        <v>48</v>
      </c>
      <c r="AT25" s="206"/>
      <c r="AU25" s="105">
        <f t="shared" si="17"/>
        <v>5</v>
      </c>
      <c r="AV25" s="108">
        <v>15</v>
      </c>
      <c r="AW25" s="105">
        <v>29</v>
      </c>
      <c r="AX25" s="109">
        <f t="shared" si="18"/>
        <v>44</v>
      </c>
      <c r="AY25" s="105">
        <v>16</v>
      </c>
      <c r="AZ25" s="109">
        <f t="shared" si="19"/>
        <v>60</v>
      </c>
      <c r="BA25" s="202"/>
      <c r="BB25" s="105">
        <f t="shared" si="20"/>
        <v>3.5</v>
      </c>
      <c r="BC25" s="108">
        <v>8</v>
      </c>
      <c r="BD25" s="105">
        <v>27</v>
      </c>
      <c r="BE25" s="109">
        <f t="shared" si="21"/>
        <v>35</v>
      </c>
      <c r="BF25" s="105">
        <v>15</v>
      </c>
      <c r="BG25" s="109">
        <f t="shared" si="22"/>
        <v>50</v>
      </c>
      <c r="BH25" s="202"/>
      <c r="BI25" s="105">
        <f t="shared" si="23"/>
        <v>3</v>
      </c>
      <c r="BJ25" s="108">
        <v>4</v>
      </c>
      <c r="BK25" s="105">
        <v>24</v>
      </c>
      <c r="BL25" s="109">
        <f t="shared" si="24"/>
        <v>28</v>
      </c>
      <c r="BM25" s="109">
        <f t="shared" si="25"/>
        <v>28</v>
      </c>
      <c r="BN25" s="202"/>
      <c r="BO25" s="105">
        <f t="shared" si="2"/>
        <v>3</v>
      </c>
      <c r="BP25" s="105">
        <f t="shared" si="26"/>
        <v>23.5</v>
      </c>
      <c r="BQ25" s="110">
        <f t="shared" si="27"/>
        <v>2.9375</v>
      </c>
      <c r="BR25" s="111" t="str">
        <f t="shared" si="28"/>
        <v>C</v>
      </c>
      <c r="BS25" s="112" t="str">
        <f t="shared" si="3"/>
        <v>GOOD</v>
      </c>
      <c r="BT25" s="113">
        <f t="shared" si="29"/>
        <v>419</v>
      </c>
      <c r="BU25" s="115">
        <v>64</v>
      </c>
    </row>
    <row r="26" spans="1:73" ht="27.95" customHeight="1">
      <c r="A26" s="105">
        <v>18</v>
      </c>
      <c r="B26" s="105">
        <v>49</v>
      </c>
      <c r="C26" s="106" t="s">
        <v>237</v>
      </c>
      <c r="D26" s="106" t="s">
        <v>238</v>
      </c>
      <c r="E26" s="106" t="s">
        <v>239</v>
      </c>
      <c r="F26" s="107" t="s">
        <v>240</v>
      </c>
      <c r="G26" s="108">
        <v>12</v>
      </c>
      <c r="H26" s="105">
        <v>24</v>
      </c>
      <c r="I26" s="109">
        <f t="shared" si="30"/>
        <v>36</v>
      </c>
      <c r="J26" s="105">
        <v>16</v>
      </c>
      <c r="K26" s="109">
        <f t="shared" si="31"/>
        <v>52</v>
      </c>
      <c r="L26" s="108">
        <v>8</v>
      </c>
      <c r="M26" s="105">
        <v>16</v>
      </c>
      <c r="N26" s="109">
        <f t="shared" si="32"/>
        <v>24</v>
      </c>
      <c r="O26" s="109">
        <f t="shared" si="4"/>
        <v>24</v>
      </c>
      <c r="P26" s="109">
        <f t="shared" si="0"/>
        <v>76</v>
      </c>
      <c r="Q26" s="202"/>
      <c r="R26" s="105">
        <f t="shared" si="5"/>
        <v>3</v>
      </c>
      <c r="S26" s="108">
        <v>13</v>
      </c>
      <c r="T26" s="105">
        <v>27</v>
      </c>
      <c r="U26" s="109">
        <f t="shared" si="6"/>
        <v>40</v>
      </c>
      <c r="V26" s="105">
        <v>5</v>
      </c>
      <c r="W26" s="105">
        <v>17</v>
      </c>
      <c r="X26" s="109">
        <f t="shared" si="7"/>
        <v>22</v>
      </c>
      <c r="Y26" s="109">
        <f t="shared" si="8"/>
        <v>62</v>
      </c>
      <c r="Z26" s="109">
        <f t="shared" si="1"/>
        <v>62</v>
      </c>
      <c r="AA26" s="202"/>
      <c r="AB26" s="105">
        <f t="shared" si="9"/>
        <v>2</v>
      </c>
      <c r="AC26" s="108">
        <v>12</v>
      </c>
      <c r="AD26" s="105">
        <v>16</v>
      </c>
      <c r="AE26" s="109">
        <f t="shared" si="10"/>
        <v>28</v>
      </c>
      <c r="AF26" s="105">
        <v>22</v>
      </c>
      <c r="AG26" s="109">
        <f t="shared" si="11"/>
        <v>50</v>
      </c>
      <c r="AH26" s="202"/>
      <c r="AI26" s="105">
        <f t="shared" si="12"/>
        <v>3</v>
      </c>
      <c r="AJ26" s="108">
        <v>14</v>
      </c>
      <c r="AK26" s="105">
        <v>18</v>
      </c>
      <c r="AL26" s="109">
        <f t="shared" si="13"/>
        <v>32</v>
      </c>
      <c r="AM26" s="105">
        <v>8</v>
      </c>
      <c r="AN26" s="109">
        <f t="shared" si="14"/>
        <v>40</v>
      </c>
      <c r="AO26" s="202"/>
      <c r="AP26" s="105">
        <f t="shared" si="15"/>
        <v>2</v>
      </c>
      <c r="AQ26" s="105">
        <v>25</v>
      </c>
      <c r="AR26" s="105">
        <v>25</v>
      </c>
      <c r="AS26" s="105">
        <f t="shared" si="16"/>
        <v>50</v>
      </c>
      <c r="AT26" s="206"/>
      <c r="AU26" s="105">
        <f t="shared" si="17"/>
        <v>5</v>
      </c>
      <c r="AV26" s="108">
        <v>16</v>
      </c>
      <c r="AW26" s="105">
        <v>23</v>
      </c>
      <c r="AX26" s="109">
        <f t="shared" si="18"/>
        <v>39</v>
      </c>
      <c r="AY26" s="105">
        <v>16</v>
      </c>
      <c r="AZ26" s="109">
        <f t="shared" si="19"/>
        <v>55</v>
      </c>
      <c r="BA26" s="202"/>
      <c r="BB26" s="105">
        <f t="shared" si="20"/>
        <v>3</v>
      </c>
      <c r="BC26" s="108">
        <v>11</v>
      </c>
      <c r="BD26" s="105">
        <v>20</v>
      </c>
      <c r="BE26" s="109">
        <f t="shared" si="21"/>
        <v>31</v>
      </c>
      <c r="BF26" s="105">
        <v>23</v>
      </c>
      <c r="BG26" s="109">
        <f t="shared" si="22"/>
        <v>54</v>
      </c>
      <c r="BH26" s="202"/>
      <c r="BI26" s="105">
        <f t="shared" si="23"/>
        <v>3</v>
      </c>
      <c r="BJ26" s="108">
        <v>6</v>
      </c>
      <c r="BK26" s="105">
        <v>24</v>
      </c>
      <c r="BL26" s="109">
        <f t="shared" si="24"/>
        <v>30</v>
      </c>
      <c r="BM26" s="109">
        <f t="shared" si="25"/>
        <v>30</v>
      </c>
      <c r="BN26" s="202"/>
      <c r="BO26" s="105">
        <f t="shared" si="2"/>
        <v>3.5</v>
      </c>
      <c r="BP26" s="105">
        <f t="shared" si="26"/>
        <v>24.5</v>
      </c>
      <c r="BQ26" s="110">
        <f t="shared" si="27"/>
        <v>3.0625</v>
      </c>
      <c r="BR26" s="111" t="str">
        <f t="shared" si="28"/>
        <v>B</v>
      </c>
      <c r="BS26" s="112" t="str">
        <f t="shared" si="3"/>
        <v>GOOD</v>
      </c>
      <c r="BT26" s="113">
        <f t="shared" si="29"/>
        <v>417</v>
      </c>
      <c r="BU26" s="115">
        <v>68</v>
      </c>
    </row>
    <row r="27" spans="1:73" ht="27.95" customHeight="1">
      <c r="A27" s="105">
        <v>19</v>
      </c>
      <c r="B27" s="105">
        <v>51</v>
      </c>
      <c r="C27" s="106" t="s">
        <v>241</v>
      </c>
      <c r="D27" s="106" t="s">
        <v>242</v>
      </c>
      <c r="E27" s="106" t="s">
        <v>243</v>
      </c>
      <c r="F27" s="107" t="s">
        <v>244</v>
      </c>
      <c r="G27" s="108">
        <v>15</v>
      </c>
      <c r="H27" s="105">
        <v>32</v>
      </c>
      <c r="I27" s="109">
        <f t="shared" si="30"/>
        <v>47</v>
      </c>
      <c r="J27" s="105">
        <v>9</v>
      </c>
      <c r="K27" s="109">
        <f t="shared" si="31"/>
        <v>56</v>
      </c>
      <c r="L27" s="108">
        <v>8</v>
      </c>
      <c r="M27" s="105">
        <v>23</v>
      </c>
      <c r="N27" s="109">
        <f t="shared" si="32"/>
        <v>31</v>
      </c>
      <c r="O27" s="109">
        <f t="shared" si="4"/>
        <v>31</v>
      </c>
      <c r="P27" s="109">
        <f t="shared" si="0"/>
        <v>87</v>
      </c>
      <c r="Q27" s="202"/>
      <c r="R27" s="105">
        <f t="shared" si="5"/>
        <v>3</v>
      </c>
      <c r="S27" s="108">
        <v>17</v>
      </c>
      <c r="T27" s="105">
        <v>52</v>
      </c>
      <c r="U27" s="109">
        <f t="shared" si="6"/>
        <v>69</v>
      </c>
      <c r="V27" s="105">
        <v>8</v>
      </c>
      <c r="W27" s="105">
        <v>31</v>
      </c>
      <c r="X27" s="109">
        <f t="shared" si="7"/>
        <v>39</v>
      </c>
      <c r="Y27" s="109">
        <f t="shared" si="8"/>
        <v>108</v>
      </c>
      <c r="Z27" s="109">
        <f t="shared" si="1"/>
        <v>108</v>
      </c>
      <c r="AA27" s="202"/>
      <c r="AB27" s="105">
        <f t="shared" si="9"/>
        <v>4</v>
      </c>
      <c r="AC27" s="108">
        <v>18</v>
      </c>
      <c r="AD27" s="105">
        <v>29</v>
      </c>
      <c r="AE27" s="109">
        <f t="shared" si="10"/>
        <v>47</v>
      </c>
      <c r="AF27" s="105">
        <v>22</v>
      </c>
      <c r="AG27" s="109">
        <f t="shared" si="11"/>
        <v>69</v>
      </c>
      <c r="AH27" s="202"/>
      <c r="AI27" s="105">
        <f t="shared" si="12"/>
        <v>3.5</v>
      </c>
      <c r="AJ27" s="108">
        <v>11</v>
      </c>
      <c r="AK27" s="105">
        <v>14</v>
      </c>
      <c r="AL27" s="109">
        <f t="shared" si="13"/>
        <v>25</v>
      </c>
      <c r="AM27" s="105">
        <v>10</v>
      </c>
      <c r="AN27" s="109">
        <f t="shared" si="14"/>
        <v>35</v>
      </c>
      <c r="AO27" s="202"/>
      <c r="AP27" s="105" t="str">
        <f t="shared" si="15"/>
        <v>F</v>
      </c>
      <c r="AQ27" s="105">
        <v>24</v>
      </c>
      <c r="AR27" s="105">
        <v>25</v>
      </c>
      <c r="AS27" s="105">
        <f t="shared" si="16"/>
        <v>49</v>
      </c>
      <c r="AT27" s="206"/>
      <c r="AU27" s="105">
        <f t="shared" si="17"/>
        <v>5</v>
      </c>
      <c r="AV27" s="108">
        <v>13</v>
      </c>
      <c r="AW27" s="105">
        <v>33</v>
      </c>
      <c r="AX27" s="109">
        <f t="shared" si="18"/>
        <v>46</v>
      </c>
      <c r="AY27" s="105">
        <v>24</v>
      </c>
      <c r="AZ27" s="109">
        <f t="shared" si="19"/>
        <v>70</v>
      </c>
      <c r="BA27" s="202"/>
      <c r="BB27" s="105">
        <f t="shared" si="20"/>
        <v>4</v>
      </c>
      <c r="BC27" s="108">
        <v>10</v>
      </c>
      <c r="BD27" s="105">
        <v>28</v>
      </c>
      <c r="BE27" s="109">
        <f t="shared" si="21"/>
        <v>38</v>
      </c>
      <c r="BF27" s="105">
        <v>21</v>
      </c>
      <c r="BG27" s="109">
        <f t="shared" si="22"/>
        <v>59</v>
      </c>
      <c r="BH27" s="202"/>
      <c r="BI27" s="105">
        <f t="shared" si="23"/>
        <v>3</v>
      </c>
      <c r="BJ27" s="108">
        <v>7</v>
      </c>
      <c r="BK27" s="105">
        <v>28</v>
      </c>
      <c r="BL27" s="109">
        <f t="shared" si="24"/>
        <v>35</v>
      </c>
      <c r="BM27" s="109">
        <f t="shared" si="25"/>
        <v>35</v>
      </c>
      <c r="BN27" s="202"/>
      <c r="BO27" s="105">
        <f t="shared" si="2"/>
        <v>4</v>
      </c>
      <c r="BP27" s="105" t="str">
        <f t="shared" si="26"/>
        <v>F</v>
      </c>
      <c r="BQ27" s="110" t="str">
        <f t="shared" si="27"/>
        <v>F</v>
      </c>
      <c r="BR27" s="111" t="str">
        <f t="shared" si="28"/>
        <v>F</v>
      </c>
      <c r="BS27" s="112" t="str">
        <f t="shared" si="3"/>
        <v>NEED TO PROGRESS</v>
      </c>
      <c r="BT27" s="113">
        <f t="shared" si="29"/>
        <v>512</v>
      </c>
      <c r="BU27" s="115">
        <v>68</v>
      </c>
    </row>
    <row r="28" spans="1:73" ht="27.95" customHeight="1">
      <c r="A28" s="105">
        <v>20</v>
      </c>
      <c r="B28" s="105">
        <v>53</v>
      </c>
      <c r="C28" s="106" t="s">
        <v>245</v>
      </c>
      <c r="D28" s="106" t="s">
        <v>246</v>
      </c>
      <c r="E28" s="106" t="s">
        <v>247</v>
      </c>
      <c r="F28" s="107" t="s">
        <v>248</v>
      </c>
      <c r="G28" s="108">
        <v>11</v>
      </c>
      <c r="H28" s="105">
        <v>17</v>
      </c>
      <c r="I28" s="109">
        <f t="shared" si="30"/>
        <v>28</v>
      </c>
      <c r="J28" s="105">
        <v>7</v>
      </c>
      <c r="K28" s="109">
        <f t="shared" si="31"/>
        <v>35</v>
      </c>
      <c r="L28" s="108">
        <v>10</v>
      </c>
      <c r="M28" s="105">
        <v>21</v>
      </c>
      <c r="N28" s="109">
        <f t="shared" si="32"/>
        <v>31</v>
      </c>
      <c r="O28" s="109">
        <f t="shared" si="4"/>
        <v>31</v>
      </c>
      <c r="P28" s="109">
        <f t="shared" si="0"/>
        <v>66</v>
      </c>
      <c r="Q28" s="202"/>
      <c r="R28" s="105">
        <f t="shared" si="5"/>
        <v>2</v>
      </c>
      <c r="S28" s="108">
        <v>16</v>
      </c>
      <c r="T28" s="105">
        <v>32</v>
      </c>
      <c r="U28" s="109">
        <f t="shared" si="6"/>
        <v>48</v>
      </c>
      <c r="V28" s="105">
        <v>3</v>
      </c>
      <c r="W28" s="105">
        <v>24</v>
      </c>
      <c r="X28" s="109">
        <f t="shared" si="7"/>
        <v>27</v>
      </c>
      <c r="Y28" s="109">
        <f t="shared" si="8"/>
        <v>75</v>
      </c>
      <c r="Z28" s="109">
        <f t="shared" si="1"/>
        <v>75</v>
      </c>
      <c r="AA28" s="202"/>
      <c r="AB28" s="105">
        <f t="shared" si="9"/>
        <v>3</v>
      </c>
      <c r="AC28" s="108">
        <v>12</v>
      </c>
      <c r="AD28" s="105">
        <v>16</v>
      </c>
      <c r="AE28" s="109">
        <f t="shared" si="10"/>
        <v>28</v>
      </c>
      <c r="AF28" s="105">
        <v>17</v>
      </c>
      <c r="AG28" s="109">
        <f t="shared" si="11"/>
        <v>45</v>
      </c>
      <c r="AH28" s="202"/>
      <c r="AI28" s="105">
        <f t="shared" si="12"/>
        <v>2</v>
      </c>
      <c r="AJ28" s="108">
        <v>9</v>
      </c>
      <c r="AK28" s="105">
        <v>17</v>
      </c>
      <c r="AL28" s="109">
        <f t="shared" si="13"/>
        <v>26</v>
      </c>
      <c r="AM28" s="105">
        <v>7</v>
      </c>
      <c r="AN28" s="109">
        <f t="shared" si="14"/>
        <v>33</v>
      </c>
      <c r="AO28" s="202"/>
      <c r="AP28" s="105" t="str">
        <f t="shared" si="15"/>
        <v>F</v>
      </c>
      <c r="AQ28" s="105">
        <v>23</v>
      </c>
      <c r="AR28" s="105">
        <v>25</v>
      </c>
      <c r="AS28" s="105">
        <f t="shared" si="16"/>
        <v>48</v>
      </c>
      <c r="AT28" s="206"/>
      <c r="AU28" s="105">
        <f t="shared" si="17"/>
        <v>5</v>
      </c>
      <c r="AV28" s="108">
        <v>14</v>
      </c>
      <c r="AW28" s="105">
        <v>24</v>
      </c>
      <c r="AX28" s="109">
        <f t="shared" si="18"/>
        <v>38</v>
      </c>
      <c r="AY28" s="105">
        <v>22</v>
      </c>
      <c r="AZ28" s="109">
        <f t="shared" si="19"/>
        <v>60</v>
      </c>
      <c r="BA28" s="202"/>
      <c r="BB28" s="105">
        <f t="shared" si="20"/>
        <v>3.5</v>
      </c>
      <c r="BC28" s="108">
        <v>8</v>
      </c>
      <c r="BD28" s="105">
        <v>19</v>
      </c>
      <c r="BE28" s="109">
        <f t="shared" si="21"/>
        <v>27</v>
      </c>
      <c r="BF28" s="105">
        <v>17</v>
      </c>
      <c r="BG28" s="109">
        <f t="shared" si="22"/>
        <v>44</v>
      </c>
      <c r="BH28" s="202"/>
      <c r="BI28" s="105">
        <f t="shared" si="23"/>
        <v>2</v>
      </c>
      <c r="BJ28" s="108">
        <v>5</v>
      </c>
      <c r="BK28" s="105">
        <v>24</v>
      </c>
      <c r="BL28" s="109">
        <f t="shared" si="24"/>
        <v>29</v>
      </c>
      <c r="BM28" s="109">
        <f t="shared" si="25"/>
        <v>29</v>
      </c>
      <c r="BN28" s="202"/>
      <c r="BO28" s="105">
        <f t="shared" si="2"/>
        <v>3</v>
      </c>
      <c r="BP28" s="105" t="str">
        <f t="shared" si="26"/>
        <v>F</v>
      </c>
      <c r="BQ28" s="110" t="str">
        <f t="shared" si="27"/>
        <v>F</v>
      </c>
      <c r="BR28" s="111" t="str">
        <f t="shared" si="28"/>
        <v>F</v>
      </c>
      <c r="BS28" s="112" t="str">
        <f t="shared" si="3"/>
        <v>NEED TO PROGRESS</v>
      </c>
      <c r="BT28" s="113">
        <f t="shared" si="29"/>
        <v>400</v>
      </c>
      <c r="BU28" s="115">
        <v>67</v>
      </c>
    </row>
    <row r="29" spans="1:73" ht="27.95" customHeight="1">
      <c r="A29" s="105">
        <v>21</v>
      </c>
      <c r="B29" s="105">
        <v>55</v>
      </c>
      <c r="C29" s="106" t="s">
        <v>145</v>
      </c>
      <c r="D29" s="106" t="s">
        <v>146</v>
      </c>
      <c r="E29" s="106" t="s">
        <v>147</v>
      </c>
      <c r="F29" s="107" t="s">
        <v>249</v>
      </c>
      <c r="G29" s="108">
        <v>11</v>
      </c>
      <c r="H29" s="105">
        <v>28</v>
      </c>
      <c r="I29" s="109">
        <f t="shared" si="30"/>
        <v>39</v>
      </c>
      <c r="J29" s="105">
        <v>17</v>
      </c>
      <c r="K29" s="109">
        <f t="shared" si="31"/>
        <v>56</v>
      </c>
      <c r="L29" s="108">
        <v>10</v>
      </c>
      <c r="M29" s="105">
        <v>14</v>
      </c>
      <c r="N29" s="109">
        <f t="shared" si="32"/>
        <v>24</v>
      </c>
      <c r="O29" s="109">
        <f t="shared" si="4"/>
        <v>24</v>
      </c>
      <c r="P29" s="109">
        <f t="shared" si="0"/>
        <v>80</v>
      </c>
      <c r="Q29" s="202"/>
      <c r="R29" s="105">
        <f t="shared" si="5"/>
        <v>3</v>
      </c>
      <c r="S29" s="108">
        <v>10</v>
      </c>
      <c r="T29" s="105">
        <v>37</v>
      </c>
      <c r="U29" s="109">
        <f t="shared" si="6"/>
        <v>47</v>
      </c>
      <c r="V29" s="105">
        <v>5</v>
      </c>
      <c r="W29" s="105">
        <v>36</v>
      </c>
      <c r="X29" s="109">
        <f t="shared" si="7"/>
        <v>41</v>
      </c>
      <c r="Y29" s="109">
        <f t="shared" si="8"/>
        <v>88</v>
      </c>
      <c r="Z29" s="109">
        <f t="shared" si="1"/>
        <v>88</v>
      </c>
      <c r="AA29" s="202"/>
      <c r="AB29" s="105">
        <f t="shared" si="9"/>
        <v>3</v>
      </c>
      <c r="AC29" s="108">
        <v>10</v>
      </c>
      <c r="AD29" s="105">
        <v>38</v>
      </c>
      <c r="AE29" s="109">
        <f t="shared" si="10"/>
        <v>48</v>
      </c>
      <c r="AF29" s="105">
        <v>19</v>
      </c>
      <c r="AG29" s="109">
        <f t="shared" si="11"/>
        <v>67</v>
      </c>
      <c r="AH29" s="202"/>
      <c r="AI29" s="105">
        <f t="shared" si="12"/>
        <v>3.5</v>
      </c>
      <c r="AJ29" s="108">
        <v>8</v>
      </c>
      <c r="AK29" s="105">
        <v>20</v>
      </c>
      <c r="AL29" s="109">
        <f t="shared" si="13"/>
        <v>28</v>
      </c>
      <c r="AM29" s="105">
        <v>13</v>
      </c>
      <c r="AN29" s="109">
        <f t="shared" si="14"/>
        <v>41</v>
      </c>
      <c r="AO29" s="202"/>
      <c r="AP29" s="105">
        <f t="shared" si="15"/>
        <v>2</v>
      </c>
      <c r="AQ29" s="105">
        <v>25</v>
      </c>
      <c r="AR29" s="105">
        <v>25</v>
      </c>
      <c r="AS29" s="105">
        <f t="shared" si="16"/>
        <v>50</v>
      </c>
      <c r="AT29" s="206"/>
      <c r="AU29" s="105">
        <f t="shared" si="17"/>
        <v>5</v>
      </c>
      <c r="AV29" s="108">
        <v>11</v>
      </c>
      <c r="AW29" s="105">
        <v>28</v>
      </c>
      <c r="AX29" s="109">
        <f t="shared" si="18"/>
        <v>39</v>
      </c>
      <c r="AY29" s="105">
        <v>22</v>
      </c>
      <c r="AZ29" s="109">
        <f t="shared" si="19"/>
        <v>61</v>
      </c>
      <c r="BA29" s="202"/>
      <c r="BB29" s="105">
        <f t="shared" si="20"/>
        <v>3.5</v>
      </c>
      <c r="BC29" s="108">
        <v>9</v>
      </c>
      <c r="BD29" s="105">
        <v>28</v>
      </c>
      <c r="BE29" s="109">
        <f t="shared" si="21"/>
        <v>37</v>
      </c>
      <c r="BF29" s="105">
        <v>23</v>
      </c>
      <c r="BG29" s="109">
        <f t="shared" si="22"/>
        <v>60</v>
      </c>
      <c r="BH29" s="202"/>
      <c r="BI29" s="105">
        <f t="shared" si="23"/>
        <v>3.5</v>
      </c>
      <c r="BJ29" s="108">
        <v>3</v>
      </c>
      <c r="BK29" s="105">
        <v>24</v>
      </c>
      <c r="BL29" s="109">
        <f t="shared" si="24"/>
        <v>27</v>
      </c>
      <c r="BM29" s="109">
        <f t="shared" si="25"/>
        <v>27</v>
      </c>
      <c r="BN29" s="202"/>
      <c r="BO29" s="105">
        <f t="shared" si="2"/>
        <v>3</v>
      </c>
      <c r="BP29" s="105">
        <f t="shared" si="26"/>
        <v>26.5</v>
      </c>
      <c r="BQ29" s="110">
        <f t="shared" si="27"/>
        <v>3.3125</v>
      </c>
      <c r="BR29" s="111" t="str">
        <f t="shared" si="28"/>
        <v>B</v>
      </c>
      <c r="BS29" s="112" t="str">
        <f t="shared" si="3"/>
        <v>GOOD</v>
      </c>
      <c r="BT29" s="113">
        <f t="shared" si="29"/>
        <v>474</v>
      </c>
      <c r="BU29" s="115">
        <v>65</v>
      </c>
    </row>
    <row r="30" spans="1:73" ht="27.95" customHeight="1">
      <c r="A30" s="105">
        <v>22</v>
      </c>
      <c r="B30" s="105">
        <v>59</v>
      </c>
      <c r="C30" s="116" t="s">
        <v>148</v>
      </c>
      <c r="D30" s="116" t="s">
        <v>149</v>
      </c>
      <c r="E30" s="116" t="s">
        <v>150</v>
      </c>
      <c r="F30" s="117" t="s">
        <v>250</v>
      </c>
      <c r="G30" s="108">
        <v>14</v>
      </c>
      <c r="H30" s="105">
        <v>29</v>
      </c>
      <c r="I30" s="109">
        <f t="shared" si="30"/>
        <v>43</v>
      </c>
      <c r="J30" s="105">
        <v>18</v>
      </c>
      <c r="K30" s="109">
        <f t="shared" si="31"/>
        <v>61</v>
      </c>
      <c r="L30" s="108">
        <v>8</v>
      </c>
      <c r="M30" s="105">
        <v>30</v>
      </c>
      <c r="N30" s="109">
        <f t="shared" si="32"/>
        <v>38</v>
      </c>
      <c r="O30" s="109">
        <f t="shared" si="4"/>
        <v>38</v>
      </c>
      <c r="P30" s="109">
        <f t="shared" si="0"/>
        <v>99</v>
      </c>
      <c r="Q30" s="202"/>
      <c r="R30" s="105">
        <f t="shared" si="5"/>
        <v>3.5</v>
      </c>
      <c r="S30" s="108">
        <v>12</v>
      </c>
      <c r="T30" s="105">
        <v>53</v>
      </c>
      <c r="U30" s="109">
        <f t="shared" si="6"/>
        <v>65</v>
      </c>
      <c r="V30" s="105">
        <v>7</v>
      </c>
      <c r="W30" s="105">
        <v>24</v>
      </c>
      <c r="X30" s="109">
        <f t="shared" si="7"/>
        <v>31</v>
      </c>
      <c r="Y30" s="109">
        <f t="shared" si="8"/>
        <v>96</v>
      </c>
      <c r="Z30" s="109">
        <f t="shared" si="1"/>
        <v>96</v>
      </c>
      <c r="AA30" s="202"/>
      <c r="AB30" s="105">
        <f t="shared" si="9"/>
        <v>3.5</v>
      </c>
      <c r="AC30" s="108">
        <v>13</v>
      </c>
      <c r="AD30" s="105">
        <v>36</v>
      </c>
      <c r="AE30" s="109">
        <f t="shared" si="10"/>
        <v>49</v>
      </c>
      <c r="AF30" s="105">
        <v>21</v>
      </c>
      <c r="AG30" s="109">
        <f t="shared" si="11"/>
        <v>70</v>
      </c>
      <c r="AH30" s="202"/>
      <c r="AI30" s="105">
        <f t="shared" si="12"/>
        <v>4</v>
      </c>
      <c r="AJ30" s="108">
        <v>11</v>
      </c>
      <c r="AK30" s="105">
        <v>28</v>
      </c>
      <c r="AL30" s="109">
        <f t="shared" si="13"/>
        <v>39</v>
      </c>
      <c r="AM30" s="105">
        <v>14</v>
      </c>
      <c r="AN30" s="109">
        <f t="shared" si="14"/>
        <v>53</v>
      </c>
      <c r="AO30" s="202"/>
      <c r="AP30" s="105">
        <f t="shared" si="15"/>
        <v>3</v>
      </c>
      <c r="AQ30" s="105">
        <v>24</v>
      </c>
      <c r="AR30" s="105">
        <v>25</v>
      </c>
      <c r="AS30" s="105">
        <f t="shared" si="16"/>
        <v>49</v>
      </c>
      <c r="AT30" s="206"/>
      <c r="AU30" s="105">
        <f t="shared" si="17"/>
        <v>5</v>
      </c>
      <c r="AV30" s="108">
        <v>14</v>
      </c>
      <c r="AW30" s="105">
        <v>41</v>
      </c>
      <c r="AX30" s="109">
        <f t="shared" si="18"/>
        <v>55</v>
      </c>
      <c r="AY30" s="105">
        <v>26</v>
      </c>
      <c r="AZ30" s="109">
        <f t="shared" si="19"/>
        <v>81</v>
      </c>
      <c r="BA30" s="202"/>
      <c r="BB30" s="105">
        <f t="shared" si="20"/>
        <v>5</v>
      </c>
      <c r="BC30" s="108">
        <v>14</v>
      </c>
      <c r="BD30" s="105">
        <v>29</v>
      </c>
      <c r="BE30" s="109">
        <f t="shared" si="21"/>
        <v>43</v>
      </c>
      <c r="BF30" s="105">
        <v>19</v>
      </c>
      <c r="BG30" s="109">
        <f t="shared" si="22"/>
        <v>62</v>
      </c>
      <c r="BH30" s="202"/>
      <c r="BI30" s="105">
        <f t="shared" si="23"/>
        <v>3.5</v>
      </c>
      <c r="BJ30" s="108">
        <v>6</v>
      </c>
      <c r="BK30" s="105">
        <v>28</v>
      </c>
      <c r="BL30" s="109">
        <f t="shared" si="24"/>
        <v>34</v>
      </c>
      <c r="BM30" s="109">
        <f t="shared" si="25"/>
        <v>34</v>
      </c>
      <c r="BN30" s="202"/>
      <c r="BO30" s="105">
        <f t="shared" si="2"/>
        <v>3.5</v>
      </c>
      <c r="BP30" s="105">
        <f t="shared" si="26"/>
        <v>31</v>
      </c>
      <c r="BQ30" s="110">
        <f t="shared" si="27"/>
        <v>3.875</v>
      </c>
      <c r="BR30" s="111" t="str">
        <f t="shared" si="28"/>
        <v>A-</v>
      </c>
      <c r="BS30" s="112" t="str">
        <f t="shared" si="3"/>
        <v>GOOD</v>
      </c>
      <c r="BT30" s="113">
        <f t="shared" si="29"/>
        <v>544</v>
      </c>
      <c r="BU30" s="115">
        <v>62</v>
      </c>
    </row>
    <row r="31" spans="1:73" ht="27.95" customHeight="1">
      <c r="A31" s="105">
        <v>23</v>
      </c>
      <c r="B31" s="105">
        <v>63</v>
      </c>
      <c r="C31" s="116" t="s">
        <v>251</v>
      </c>
      <c r="D31" s="116" t="s">
        <v>252</v>
      </c>
      <c r="E31" s="116" t="s">
        <v>253</v>
      </c>
      <c r="F31" s="108" t="s">
        <v>254</v>
      </c>
      <c r="G31" s="108">
        <v>11</v>
      </c>
      <c r="H31" s="105">
        <v>13</v>
      </c>
      <c r="I31" s="109">
        <f t="shared" si="30"/>
        <v>24</v>
      </c>
      <c r="J31" s="105">
        <v>16</v>
      </c>
      <c r="K31" s="109">
        <f t="shared" si="31"/>
        <v>40</v>
      </c>
      <c r="L31" s="108">
        <v>5</v>
      </c>
      <c r="M31" s="105">
        <v>15</v>
      </c>
      <c r="N31" s="109">
        <f t="shared" si="32"/>
        <v>20</v>
      </c>
      <c r="O31" s="109">
        <f t="shared" si="4"/>
        <v>20</v>
      </c>
      <c r="P31" s="109">
        <f t="shared" si="0"/>
        <v>60</v>
      </c>
      <c r="Q31" s="202"/>
      <c r="R31" s="105">
        <f t="shared" si="5"/>
        <v>2</v>
      </c>
      <c r="S31" s="108">
        <v>8</v>
      </c>
      <c r="T31" s="105">
        <v>16</v>
      </c>
      <c r="U31" s="109">
        <f t="shared" si="6"/>
        <v>24</v>
      </c>
      <c r="V31" s="105">
        <v>2</v>
      </c>
      <c r="W31" s="105">
        <v>18</v>
      </c>
      <c r="X31" s="109">
        <f t="shared" si="7"/>
        <v>20</v>
      </c>
      <c r="Y31" s="109">
        <f t="shared" si="8"/>
        <v>44</v>
      </c>
      <c r="Z31" s="109">
        <f t="shared" si="1"/>
        <v>44</v>
      </c>
      <c r="AA31" s="202"/>
      <c r="AB31" s="105">
        <f t="shared" si="9"/>
        <v>0</v>
      </c>
      <c r="AC31" s="108">
        <v>10</v>
      </c>
      <c r="AD31" s="105">
        <v>10</v>
      </c>
      <c r="AE31" s="109">
        <f t="shared" si="10"/>
        <v>20</v>
      </c>
      <c r="AF31" s="105">
        <v>12</v>
      </c>
      <c r="AG31" s="109">
        <f t="shared" si="11"/>
        <v>32</v>
      </c>
      <c r="AH31" s="202"/>
      <c r="AI31" s="105" t="str">
        <f t="shared" si="12"/>
        <v>F</v>
      </c>
      <c r="AJ31" s="108">
        <v>11</v>
      </c>
      <c r="AK31" s="105">
        <v>18</v>
      </c>
      <c r="AL31" s="109">
        <f t="shared" si="13"/>
        <v>29</v>
      </c>
      <c r="AM31" s="105">
        <v>12</v>
      </c>
      <c r="AN31" s="109">
        <f t="shared" si="14"/>
        <v>41</v>
      </c>
      <c r="AO31" s="202"/>
      <c r="AP31" s="105">
        <f t="shared" si="15"/>
        <v>2</v>
      </c>
      <c r="AQ31" s="105">
        <v>19</v>
      </c>
      <c r="AR31" s="105">
        <v>25</v>
      </c>
      <c r="AS31" s="105">
        <f t="shared" si="16"/>
        <v>44</v>
      </c>
      <c r="AT31" s="206"/>
      <c r="AU31" s="105">
        <f t="shared" si="17"/>
        <v>5</v>
      </c>
      <c r="AV31" s="108">
        <v>14</v>
      </c>
      <c r="AW31" s="105">
        <v>16</v>
      </c>
      <c r="AX31" s="109">
        <f t="shared" si="18"/>
        <v>30</v>
      </c>
      <c r="AY31" s="105">
        <v>14</v>
      </c>
      <c r="AZ31" s="109">
        <f t="shared" si="19"/>
        <v>44</v>
      </c>
      <c r="BA31" s="202"/>
      <c r="BB31" s="105">
        <f t="shared" si="20"/>
        <v>2</v>
      </c>
      <c r="BC31" s="108">
        <v>8</v>
      </c>
      <c r="BD31" s="105">
        <v>22</v>
      </c>
      <c r="BE31" s="109">
        <f t="shared" si="21"/>
        <v>30</v>
      </c>
      <c r="BF31" s="105">
        <v>20</v>
      </c>
      <c r="BG31" s="109">
        <f t="shared" si="22"/>
        <v>50</v>
      </c>
      <c r="BH31" s="202"/>
      <c r="BI31" s="105">
        <f t="shared" si="23"/>
        <v>3</v>
      </c>
      <c r="BJ31" s="108">
        <v>6</v>
      </c>
      <c r="BK31" s="105">
        <v>24</v>
      </c>
      <c r="BL31" s="109">
        <f t="shared" si="24"/>
        <v>30</v>
      </c>
      <c r="BM31" s="109">
        <f t="shared" si="25"/>
        <v>30</v>
      </c>
      <c r="BN31" s="202"/>
      <c r="BO31" s="105">
        <f t="shared" si="2"/>
        <v>3.5</v>
      </c>
      <c r="BP31" s="105" t="str">
        <f t="shared" si="26"/>
        <v>F</v>
      </c>
      <c r="BQ31" s="110" t="str">
        <f t="shared" si="27"/>
        <v>F</v>
      </c>
      <c r="BR31" s="111" t="str">
        <f t="shared" si="28"/>
        <v>F</v>
      </c>
      <c r="BS31" s="112" t="str">
        <f t="shared" si="3"/>
        <v>NEED TO PROGRESS</v>
      </c>
      <c r="BT31" s="113">
        <f t="shared" si="29"/>
        <v>345</v>
      </c>
      <c r="BU31" s="115">
        <v>55</v>
      </c>
    </row>
    <row r="32" spans="1:73" ht="27.95" customHeight="1">
      <c r="A32" s="105">
        <v>24</v>
      </c>
      <c r="B32" s="105">
        <v>67</v>
      </c>
      <c r="C32" s="106" t="s">
        <v>255</v>
      </c>
      <c r="D32" s="106" t="s">
        <v>256</v>
      </c>
      <c r="E32" s="106" t="s">
        <v>257</v>
      </c>
      <c r="F32" s="107" t="s">
        <v>258</v>
      </c>
      <c r="G32" s="108">
        <v>10</v>
      </c>
      <c r="H32" s="105">
        <v>9</v>
      </c>
      <c r="I32" s="109">
        <f t="shared" si="30"/>
        <v>19</v>
      </c>
      <c r="J32" s="105">
        <v>12</v>
      </c>
      <c r="K32" s="109">
        <f t="shared" si="31"/>
        <v>31</v>
      </c>
      <c r="L32" s="108">
        <v>5</v>
      </c>
      <c r="M32" s="105">
        <v>15</v>
      </c>
      <c r="N32" s="109">
        <f t="shared" si="32"/>
        <v>20</v>
      </c>
      <c r="O32" s="109">
        <f t="shared" si="4"/>
        <v>20</v>
      </c>
      <c r="P32" s="109">
        <f t="shared" si="0"/>
        <v>51</v>
      </c>
      <c r="Q32" s="202"/>
      <c r="R32" s="105" t="str">
        <f t="shared" si="5"/>
        <v>F</v>
      </c>
      <c r="S32" s="108">
        <v>8</v>
      </c>
      <c r="T32" s="105">
        <v>21</v>
      </c>
      <c r="U32" s="109">
        <f t="shared" si="6"/>
        <v>29</v>
      </c>
      <c r="V32" s="105">
        <v>2</v>
      </c>
      <c r="W32" s="105">
        <v>19</v>
      </c>
      <c r="X32" s="109">
        <f t="shared" si="7"/>
        <v>21</v>
      </c>
      <c r="Y32" s="109">
        <f t="shared" si="8"/>
        <v>50</v>
      </c>
      <c r="Z32" s="109">
        <f t="shared" si="1"/>
        <v>50</v>
      </c>
      <c r="AA32" s="202"/>
      <c r="AB32" s="105">
        <f t="shared" si="9"/>
        <v>0</v>
      </c>
      <c r="AC32" s="108">
        <v>13</v>
      </c>
      <c r="AD32" s="105">
        <v>15</v>
      </c>
      <c r="AE32" s="109">
        <f t="shared" si="10"/>
        <v>28</v>
      </c>
      <c r="AF32" s="105">
        <v>12</v>
      </c>
      <c r="AG32" s="109">
        <f t="shared" si="11"/>
        <v>40</v>
      </c>
      <c r="AH32" s="202"/>
      <c r="AI32" s="105">
        <f t="shared" si="12"/>
        <v>2</v>
      </c>
      <c r="AJ32" s="108">
        <v>8</v>
      </c>
      <c r="AK32" s="105">
        <v>11</v>
      </c>
      <c r="AL32" s="109">
        <f t="shared" si="13"/>
        <v>19</v>
      </c>
      <c r="AM32" s="105">
        <v>9</v>
      </c>
      <c r="AN32" s="109">
        <f t="shared" si="14"/>
        <v>28</v>
      </c>
      <c r="AO32" s="202"/>
      <c r="AP32" s="105" t="str">
        <f t="shared" si="15"/>
        <v>F</v>
      </c>
      <c r="AQ32" s="105">
        <v>14</v>
      </c>
      <c r="AR32" s="105">
        <v>25</v>
      </c>
      <c r="AS32" s="105">
        <f t="shared" si="16"/>
        <v>39</v>
      </c>
      <c r="AT32" s="206"/>
      <c r="AU32" s="105">
        <f t="shared" si="17"/>
        <v>4</v>
      </c>
      <c r="AV32" s="108">
        <v>14</v>
      </c>
      <c r="AW32" s="105">
        <v>18</v>
      </c>
      <c r="AX32" s="109">
        <f t="shared" si="18"/>
        <v>32</v>
      </c>
      <c r="AY32" s="105">
        <v>16</v>
      </c>
      <c r="AZ32" s="109">
        <f t="shared" si="19"/>
        <v>48</v>
      </c>
      <c r="BA32" s="202"/>
      <c r="BB32" s="105">
        <f t="shared" si="20"/>
        <v>2</v>
      </c>
      <c r="BC32" s="108">
        <v>8</v>
      </c>
      <c r="BD32" s="105">
        <v>27</v>
      </c>
      <c r="BE32" s="109">
        <f t="shared" si="21"/>
        <v>35</v>
      </c>
      <c r="BF32" s="105">
        <v>10</v>
      </c>
      <c r="BG32" s="109">
        <f t="shared" si="22"/>
        <v>45</v>
      </c>
      <c r="BH32" s="202"/>
      <c r="BI32" s="105">
        <f t="shared" si="23"/>
        <v>2</v>
      </c>
      <c r="BJ32" s="108">
        <v>5</v>
      </c>
      <c r="BK32" s="105">
        <v>24</v>
      </c>
      <c r="BL32" s="109">
        <f t="shared" si="24"/>
        <v>29</v>
      </c>
      <c r="BM32" s="109">
        <f t="shared" si="25"/>
        <v>29</v>
      </c>
      <c r="BN32" s="202"/>
      <c r="BO32" s="105">
        <f t="shared" si="2"/>
        <v>3</v>
      </c>
      <c r="BP32" s="105" t="str">
        <f t="shared" si="26"/>
        <v>F</v>
      </c>
      <c r="BQ32" s="110" t="str">
        <f t="shared" si="27"/>
        <v>F</v>
      </c>
      <c r="BR32" s="111" t="str">
        <f t="shared" si="28"/>
        <v>F</v>
      </c>
      <c r="BS32" s="112" t="str">
        <f t="shared" si="3"/>
        <v>NEED TO PROGRESS</v>
      </c>
      <c r="BT32" s="113">
        <f t="shared" si="29"/>
        <v>330</v>
      </c>
      <c r="BU32" s="115">
        <v>56</v>
      </c>
    </row>
    <row r="33" spans="1:73" ht="27.95" customHeight="1">
      <c r="A33" s="105">
        <v>25</v>
      </c>
      <c r="B33" s="105">
        <v>69</v>
      </c>
      <c r="C33" s="106" t="s">
        <v>259</v>
      </c>
      <c r="D33" s="106" t="s">
        <v>260</v>
      </c>
      <c r="E33" s="106" t="s">
        <v>261</v>
      </c>
      <c r="F33" s="107" t="s">
        <v>262</v>
      </c>
      <c r="G33" s="108">
        <v>8</v>
      </c>
      <c r="H33" s="105">
        <v>6</v>
      </c>
      <c r="I33" s="109">
        <f t="shared" si="30"/>
        <v>14</v>
      </c>
      <c r="J33" s="105">
        <v>13</v>
      </c>
      <c r="K33" s="109">
        <f t="shared" si="31"/>
        <v>27</v>
      </c>
      <c r="L33" s="108">
        <v>7</v>
      </c>
      <c r="M33" s="105">
        <v>16</v>
      </c>
      <c r="N33" s="109">
        <f t="shared" si="32"/>
        <v>23</v>
      </c>
      <c r="O33" s="109">
        <f t="shared" si="4"/>
        <v>23</v>
      </c>
      <c r="P33" s="109">
        <f t="shared" si="0"/>
        <v>50</v>
      </c>
      <c r="Q33" s="202"/>
      <c r="R33" s="105" t="str">
        <f t="shared" si="5"/>
        <v>F</v>
      </c>
      <c r="S33" s="108">
        <v>9</v>
      </c>
      <c r="T33" s="105">
        <v>31</v>
      </c>
      <c r="U33" s="109">
        <f t="shared" si="6"/>
        <v>40</v>
      </c>
      <c r="V33" s="105">
        <v>2</v>
      </c>
      <c r="W33" s="105">
        <v>10</v>
      </c>
      <c r="X33" s="109">
        <f t="shared" si="7"/>
        <v>12</v>
      </c>
      <c r="Y33" s="109">
        <f t="shared" si="8"/>
        <v>52</v>
      </c>
      <c r="Z33" s="109">
        <f t="shared" si="1"/>
        <v>52</v>
      </c>
      <c r="AA33" s="202"/>
      <c r="AB33" s="105">
        <f t="shared" si="9"/>
        <v>0</v>
      </c>
      <c r="AC33" s="108">
        <v>3</v>
      </c>
      <c r="AD33" s="105">
        <v>5</v>
      </c>
      <c r="AE33" s="109">
        <f t="shared" si="10"/>
        <v>8</v>
      </c>
      <c r="AF33" s="105">
        <v>8</v>
      </c>
      <c r="AG33" s="109">
        <f t="shared" si="11"/>
        <v>16</v>
      </c>
      <c r="AH33" s="202"/>
      <c r="AI33" s="105" t="str">
        <f t="shared" si="12"/>
        <v>F</v>
      </c>
      <c r="AJ33" s="108">
        <v>8</v>
      </c>
      <c r="AK33" s="105">
        <v>9</v>
      </c>
      <c r="AL33" s="109">
        <f t="shared" si="13"/>
        <v>17</v>
      </c>
      <c r="AM33" s="105">
        <v>8</v>
      </c>
      <c r="AN33" s="109">
        <f t="shared" si="14"/>
        <v>25</v>
      </c>
      <c r="AO33" s="202"/>
      <c r="AP33" s="105" t="str">
        <f t="shared" si="15"/>
        <v>F</v>
      </c>
      <c r="AQ33" s="105">
        <v>19</v>
      </c>
      <c r="AR33" s="105">
        <v>25</v>
      </c>
      <c r="AS33" s="105">
        <f t="shared" si="16"/>
        <v>44</v>
      </c>
      <c r="AT33" s="206"/>
      <c r="AU33" s="105">
        <f t="shared" si="17"/>
        <v>5</v>
      </c>
      <c r="AV33" s="108">
        <v>10</v>
      </c>
      <c r="AW33" s="105">
        <v>18</v>
      </c>
      <c r="AX33" s="109">
        <f t="shared" si="18"/>
        <v>28</v>
      </c>
      <c r="AY33" s="105">
        <v>20</v>
      </c>
      <c r="AZ33" s="109">
        <f t="shared" si="19"/>
        <v>48</v>
      </c>
      <c r="BA33" s="202"/>
      <c r="BB33" s="105">
        <f t="shared" si="20"/>
        <v>2</v>
      </c>
      <c r="BC33" s="108">
        <v>8</v>
      </c>
      <c r="BD33" s="105">
        <v>20</v>
      </c>
      <c r="BE33" s="109">
        <f t="shared" si="21"/>
        <v>28</v>
      </c>
      <c r="BF33" s="105">
        <v>14</v>
      </c>
      <c r="BG33" s="109">
        <f t="shared" si="22"/>
        <v>42</v>
      </c>
      <c r="BH33" s="202"/>
      <c r="BI33" s="105">
        <f t="shared" si="23"/>
        <v>2</v>
      </c>
      <c r="BJ33" s="108">
        <v>5</v>
      </c>
      <c r="BK33" s="105">
        <v>24</v>
      </c>
      <c r="BL33" s="109">
        <f t="shared" si="24"/>
        <v>29</v>
      </c>
      <c r="BM33" s="109">
        <f t="shared" si="25"/>
        <v>29</v>
      </c>
      <c r="BN33" s="202"/>
      <c r="BO33" s="105">
        <f t="shared" si="2"/>
        <v>3</v>
      </c>
      <c r="BP33" s="105" t="str">
        <f t="shared" si="26"/>
        <v>F</v>
      </c>
      <c r="BQ33" s="110" t="str">
        <f t="shared" si="27"/>
        <v>F</v>
      </c>
      <c r="BR33" s="111" t="str">
        <f t="shared" si="28"/>
        <v>F</v>
      </c>
      <c r="BS33" s="112" t="str">
        <f t="shared" si="3"/>
        <v>NEED TO PROGRESS</v>
      </c>
      <c r="BT33" s="113">
        <f t="shared" si="29"/>
        <v>306</v>
      </c>
      <c r="BU33" s="115">
        <v>58</v>
      </c>
    </row>
    <row r="34" spans="1:73" ht="27.95" customHeight="1">
      <c r="A34" s="105">
        <v>26</v>
      </c>
      <c r="B34" s="105">
        <v>71</v>
      </c>
      <c r="C34" s="106" t="s">
        <v>263</v>
      </c>
      <c r="D34" s="106" t="s">
        <v>256</v>
      </c>
      <c r="E34" s="106" t="s">
        <v>264</v>
      </c>
      <c r="F34" s="107" t="s">
        <v>265</v>
      </c>
      <c r="G34" s="108">
        <v>8</v>
      </c>
      <c r="H34" s="105">
        <v>3</v>
      </c>
      <c r="I34" s="109">
        <f t="shared" si="30"/>
        <v>11</v>
      </c>
      <c r="J34" s="105">
        <v>20</v>
      </c>
      <c r="K34" s="109">
        <f t="shared" si="31"/>
        <v>31</v>
      </c>
      <c r="L34" s="108">
        <v>6</v>
      </c>
      <c r="M34" s="105">
        <v>14</v>
      </c>
      <c r="N34" s="109">
        <f t="shared" si="32"/>
        <v>20</v>
      </c>
      <c r="O34" s="109">
        <f t="shared" si="4"/>
        <v>20</v>
      </c>
      <c r="P34" s="109">
        <f t="shared" si="0"/>
        <v>51</v>
      </c>
      <c r="Q34" s="202"/>
      <c r="R34" s="105" t="str">
        <f t="shared" si="5"/>
        <v>F</v>
      </c>
      <c r="S34" s="108">
        <v>7</v>
      </c>
      <c r="T34" s="105">
        <v>20</v>
      </c>
      <c r="U34" s="109">
        <f t="shared" si="6"/>
        <v>27</v>
      </c>
      <c r="V34" s="105">
        <v>2</v>
      </c>
      <c r="W34" s="105">
        <v>20</v>
      </c>
      <c r="X34" s="109">
        <f t="shared" si="7"/>
        <v>22</v>
      </c>
      <c r="Y34" s="109">
        <f t="shared" si="8"/>
        <v>49</v>
      </c>
      <c r="Z34" s="109">
        <f t="shared" si="1"/>
        <v>49</v>
      </c>
      <c r="AA34" s="202"/>
      <c r="AB34" s="105">
        <f t="shared" si="9"/>
        <v>0</v>
      </c>
      <c r="AC34" s="108">
        <v>10</v>
      </c>
      <c r="AD34" s="105">
        <v>8</v>
      </c>
      <c r="AE34" s="109">
        <f t="shared" si="10"/>
        <v>18</v>
      </c>
      <c r="AF34" s="105">
        <v>10</v>
      </c>
      <c r="AG34" s="109">
        <f t="shared" si="11"/>
        <v>28</v>
      </c>
      <c r="AH34" s="202"/>
      <c r="AI34" s="105" t="str">
        <f t="shared" si="12"/>
        <v>F</v>
      </c>
      <c r="AJ34" s="108">
        <v>7</v>
      </c>
      <c r="AK34" s="105">
        <v>12</v>
      </c>
      <c r="AL34" s="109">
        <f t="shared" si="13"/>
        <v>19</v>
      </c>
      <c r="AM34" s="105">
        <v>14</v>
      </c>
      <c r="AN34" s="109">
        <f t="shared" si="14"/>
        <v>33</v>
      </c>
      <c r="AO34" s="202"/>
      <c r="AP34" s="105" t="str">
        <f t="shared" si="15"/>
        <v>F</v>
      </c>
      <c r="AQ34" s="105">
        <v>23</v>
      </c>
      <c r="AR34" s="105">
        <v>25</v>
      </c>
      <c r="AS34" s="105">
        <f t="shared" si="16"/>
        <v>48</v>
      </c>
      <c r="AT34" s="206"/>
      <c r="AU34" s="105">
        <f t="shared" si="17"/>
        <v>5</v>
      </c>
      <c r="AV34" s="108">
        <v>8</v>
      </c>
      <c r="AW34" s="105">
        <v>12</v>
      </c>
      <c r="AX34" s="109">
        <f t="shared" si="18"/>
        <v>20</v>
      </c>
      <c r="AY34" s="105">
        <v>14</v>
      </c>
      <c r="AZ34" s="109">
        <f t="shared" si="19"/>
        <v>34</v>
      </c>
      <c r="BA34" s="202"/>
      <c r="BB34" s="105" t="str">
        <f t="shared" si="20"/>
        <v>F</v>
      </c>
      <c r="BC34" s="108">
        <v>8</v>
      </c>
      <c r="BD34" s="105">
        <v>21</v>
      </c>
      <c r="BE34" s="109">
        <f t="shared" si="21"/>
        <v>29</v>
      </c>
      <c r="BF34" s="105">
        <v>17</v>
      </c>
      <c r="BG34" s="109">
        <f t="shared" si="22"/>
        <v>46</v>
      </c>
      <c r="BH34" s="202"/>
      <c r="BI34" s="105">
        <f t="shared" si="23"/>
        <v>2</v>
      </c>
      <c r="BJ34" s="108">
        <v>4</v>
      </c>
      <c r="BK34" s="105">
        <v>24</v>
      </c>
      <c r="BL34" s="109">
        <f t="shared" si="24"/>
        <v>28</v>
      </c>
      <c r="BM34" s="109">
        <f t="shared" si="25"/>
        <v>28</v>
      </c>
      <c r="BN34" s="202"/>
      <c r="BO34" s="105">
        <f t="shared" si="2"/>
        <v>3</v>
      </c>
      <c r="BP34" s="105" t="str">
        <f t="shared" si="26"/>
        <v>F</v>
      </c>
      <c r="BQ34" s="110" t="str">
        <f t="shared" si="27"/>
        <v>F</v>
      </c>
      <c r="BR34" s="111" t="str">
        <f t="shared" si="28"/>
        <v>F</v>
      </c>
      <c r="BS34" s="112" t="str">
        <f t="shared" si="3"/>
        <v>NEED TO PROGRESS</v>
      </c>
      <c r="BT34" s="113">
        <f t="shared" si="29"/>
        <v>317</v>
      </c>
      <c r="BU34" s="115">
        <v>57</v>
      </c>
    </row>
    <row r="35" spans="1:73" ht="27.95" customHeight="1">
      <c r="A35" s="105">
        <v>27</v>
      </c>
      <c r="B35" s="105">
        <v>73</v>
      </c>
      <c r="C35" s="116" t="s">
        <v>266</v>
      </c>
      <c r="D35" s="116" t="s">
        <v>267</v>
      </c>
      <c r="E35" s="116" t="s">
        <v>268</v>
      </c>
      <c r="F35" s="117" t="s">
        <v>269</v>
      </c>
      <c r="G35" s="108">
        <v>10</v>
      </c>
      <c r="H35" s="105">
        <v>15</v>
      </c>
      <c r="I35" s="109">
        <f t="shared" si="30"/>
        <v>25</v>
      </c>
      <c r="J35" s="105">
        <v>15</v>
      </c>
      <c r="K35" s="109">
        <f t="shared" si="31"/>
        <v>40</v>
      </c>
      <c r="L35" s="108">
        <v>5</v>
      </c>
      <c r="M35" s="105">
        <v>15</v>
      </c>
      <c r="N35" s="109">
        <f t="shared" si="32"/>
        <v>20</v>
      </c>
      <c r="O35" s="109">
        <f t="shared" si="4"/>
        <v>20</v>
      </c>
      <c r="P35" s="109">
        <f t="shared" si="0"/>
        <v>60</v>
      </c>
      <c r="Q35" s="202"/>
      <c r="R35" s="105">
        <f t="shared" si="5"/>
        <v>2</v>
      </c>
      <c r="S35" s="108">
        <v>8</v>
      </c>
      <c r="T35" s="105">
        <v>32</v>
      </c>
      <c r="U35" s="109">
        <f t="shared" si="6"/>
        <v>40</v>
      </c>
      <c r="V35" s="105">
        <v>2</v>
      </c>
      <c r="W35" s="105">
        <v>19</v>
      </c>
      <c r="X35" s="109">
        <f t="shared" si="7"/>
        <v>21</v>
      </c>
      <c r="Y35" s="109">
        <f t="shared" si="8"/>
        <v>61</v>
      </c>
      <c r="Z35" s="109">
        <f t="shared" si="1"/>
        <v>61</v>
      </c>
      <c r="AA35" s="202"/>
      <c r="AB35" s="105">
        <f t="shared" si="9"/>
        <v>2</v>
      </c>
      <c r="AC35" s="108">
        <v>12</v>
      </c>
      <c r="AD35" s="105">
        <v>17</v>
      </c>
      <c r="AE35" s="109">
        <f t="shared" si="10"/>
        <v>29</v>
      </c>
      <c r="AF35" s="105">
        <v>11</v>
      </c>
      <c r="AG35" s="109">
        <f t="shared" si="11"/>
        <v>40</v>
      </c>
      <c r="AH35" s="202"/>
      <c r="AI35" s="105">
        <f t="shared" si="12"/>
        <v>2</v>
      </c>
      <c r="AJ35" s="108">
        <v>8</v>
      </c>
      <c r="AK35" s="105">
        <v>7</v>
      </c>
      <c r="AL35" s="109">
        <f t="shared" si="13"/>
        <v>15</v>
      </c>
      <c r="AM35" s="105">
        <v>7</v>
      </c>
      <c r="AN35" s="109">
        <f t="shared" si="14"/>
        <v>22</v>
      </c>
      <c r="AO35" s="202"/>
      <c r="AP35" s="105" t="str">
        <f t="shared" si="15"/>
        <v>F</v>
      </c>
      <c r="AQ35" s="105">
        <v>15</v>
      </c>
      <c r="AR35" s="105">
        <v>25</v>
      </c>
      <c r="AS35" s="105">
        <f t="shared" si="16"/>
        <v>40</v>
      </c>
      <c r="AT35" s="206"/>
      <c r="AU35" s="105">
        <f t="shared" si="17"/>
        <v>5</v>
      </c>
      <c r="AV35" s="108">
        <v>10</v>
      </c>
      <c r="AW35" s="105">
        <v>22</v>
      </c>
      <c r="AX35" s="109">
        <f t="shared" si="18"/>
        <v>32</v>
      </c>
      <c r="AY35" s="105">
        <v>20</v>
      </c>
      <c r="AZ35" s="109">
        <f t="shared" si="19"/>
        <v>52</v>
      </c>
      <c r="BA35" s="202"/>
      <c r="BB35" s="105">
        <f t="shared" si="20"/>
        <v>3</v>
      </c>
      <c r="BC35" s="108">
        <v>10</v>
      </c>
      <c r="BD35" s="105">
        <v>28</v>
      </c>
      <c r="BE35" s="109">
        <f t="shared" si="21"/>
        <v>38</v>
      </c>
      <c r="BF35" s="105">
        <v>21</v>
      </c>
      <c r="BG35" s="109">
        <f t="shared" si="22"/>
        <v>59</v>
      </c>
      <c r="BH35" s="202"/>
      <c r="BI35" s="105">
        <f t="shared" si="23"/>
        <v>3</v>
      </c>
      <c r="BJ35" s="108">
        <v>5</v>
      </c>
      <c r="BK35" s="105">
        <v>28</v>
      </c>
      <c r="BL35" s="109">
        <f t="shared" si="24"/>
        <v>33</v>
      </c>
      <c r="BM35" s="109">
        <f t="shared" si="25"/>
        <v>33</v>
      </c>
      <c r="BN35" s="202"/>
      <c r="BO35" s="105">
        <f t="shared" si="2"/>
        <v>3.5</v>
      </c>
      <c r="BP35" s="105" t="str">
        <f t="shared" si="26"/>
        <v>F</v>
      </c>
      <c r="BQ35" s="110" t="str">
        <f t="shared" si="27"/>
        <v>F</v>
      </c>
      <c r="BR35" s="111" t="str">
        <f t="shared" si="28"/>
        <v>F</v>
      </c>
      <c r="BS35" s="112" t="str">
        <f t="shared" si="3"/>
        <v>NEED TO PROGRESS</v>
      </c>
      <c r="BT35" s="113">
        <f t="shared" si="29"/>
        <v>367</v>
      </c>
      <c r="BU35" s="115">
        <v>64</v>
      </c>
    </row>
    <row r="36" spans="1:73" ht="27.95" customHeight="1">
      <c r="A36" s="105">
        <v>28</v>
      </c>
      <c r="B36" s="105">
        <v>75</v>
      </c>
      <c r="C36" s="116" t="s">
        <v>270</v>
      </c>
      <c r="D36" s="116" t="s">
        <v>271</v>
      </c>
      <c r="E36" s="116" t="s">
        <v>272</v>
      </c>
      <c r="F36" s="117" t="s">
        <v>273</v>
      </c>
      <c r="G36" s="108">
        <v>8</v>
      </c>
      <c r="H36" s="105">
        <v>1</v>
      </c>
      <c r="I36" s="109">
        <f t="shared" si="30"/>
        <v>9</v>
      </c>
      <c r="J36" s="105">
        <v>20</v>
      </c>
      <c r="K36" s="109">
        <f t="shared" si="31"/>
        <v>29</v>
      </c>
      <c r="L36" s="108">
        <v>4</v>
      </c>
      <c r="M36" s="105">
        <v>6</v>
      </c>
      <c r="N36" s="109">
        <f t="shared" si="32"/>
        <v>10</v>
      </c>
      <c r="O36" s="109">
        <f t="shared" si="4"/>
        <v>10</v>
      </c>
      <c r="P36" s="109">
        <f t="shared" si="0"/>
        <v>39</v>
      </c>
      <c r="Q36" s="202"/>
      <c r="R36" s="105" t="str">
        <f t="shared" si="5"/>
        <v>F</v>
      </c>
      <c r="S36" s="108">
        <v>5</v>
      </c>
      <c r="T36" s="105">
        <v>16</v>
      </c>
      <c r="U36" s="109">
        <f t="shared" si="6"/>
        <v>21</v>
      </c>
      <c r="V36" s="105">
        <v>2</v>
      </c>
      <c r="W36" s="105">
        <v>18</v>
      </c>
      <c r="X36" s="109">
        <f t="shared" si="7"/>
        <v>20</v>
      </c>
      <c r="Y36" s="109">
        <f t="shared" si="8"/>
        <v>41</v>
      </c>
      <c r="Z36" s="109">
        <f t="shared" si="1"/>
        <v>41</v>
      </c>
      <c r="AA36" s="202"/>
      <c r="AB36" s="105">
        <f t="shared" si="9"/>
        <v>0</v>
      </c>
      <c r="AC36" s="108">
        <v>5</v>
      </c>
      <c r="AD36" s="105">
        <v>0</v>
      </c>
      <c r="AE36" s="109">
        <f t="shared" si="10"/>
        <v>5</v>
      </c>
      <c r="AF36" s="105">
        <v>7</v>
      </c>
      <c r="AG36" s="109">
        <f t="shared" si="11"/>
        <v>12</v>
      </c>
      <c r="AH36" s="202"/>
      <c r="AI36" s="105" t="str">
        <f t="shared" si="12"/>
        <v>F</v>
      </c>
      <c r="AJ36" s="108">
        <v>5</v>
      </c>
      <c r="AK36" s="105">
        <v>3</v>
      </c>
      <c r="AL36" s="109">
        <f t="shared" si="13"/>
        <v>8</v>
      </c>
      <c r="AM36" s="105">
        <v>5</v>
      </c>
      <c r="AN36" s="109">
        <f t="shared" si="14"/>
        <v>13</v>
      </c>
      <c r="AO36" s="202"/>
      <c r="AP36" s="105" t="str">
        <f t="shared" si="15"/>
        <v>F</v>
      </c>
      <c r="AQ36" s="105">
        <v>13</v>
      </c>
      <c r="AR36" s="105">
        <v>25</v>
      </c>
      <c r="AS36" s="105">
        <f t="shared" si="16"/>
        <v>38</v>
      </c>
      <c r="AT36" s="206"/>
      <c r="AU36" s="105">
        <f t="shared" si="17"/>
        <v>4</v>
      </c>
      <c r="AV36" s="108">
        <v>9</v>
      </c>
      <c r="AW36" s="105">
        <v>19</v>
      </c>
      <c r="AX36" s="109">
        <f t="shared" si="18"/>
        <v>28</v>
      </c>
      <c r="AY36" s="105">
        <v>14</v>
      </c>
      <c r="AZ36" s="109">
        <f t="shared" si="19"/>
        <v>42</v>
      </c>
      <c r="BA36" s="202"/>
      <c r="BB36" s="105">
        <f t="shared" si="20"/>
        <v>2</v>
      </c>
      <c r="BC36" s="108">
        <v>8</v>
      </c>
      <c r="BD36" s="105">
        <v>20</v>
      </c>
      <c r="BE36" s="109">
        <f t="shared" si="21"/>
        <v>28</v>
      </c>
      <c r="BF36" s="105">
        <v>21</v>
      </c>
      <c r="BG36" s="109">
        <f t="shared" si="22"/>
        <v>49</v>
      </c>
      <c r="BH36" s="202"/>
      <c r="BI36" s="105">
        <f t="shared" si="23"/>
        <v>2</v>
      </c>
      <c r="BJ36" s="108">
        <v>2</v>
      </c>
      <c r="BK36" s="105">
        <v>24</v>
      </c>
      <c r="BL36" s="109">
        <f t="shared" si="24"/>
        <v>26</v>
      </c>
      <c r="BM36" s="109">
        <f t="shared" si="25"/>
        <v>26</v>
      </c>
      <c r="BN36" s="202"/>
      <c r="BO36" s="105">
        <f t="shared" si="2"/>
        <v>3</v>
      </c>
      <c r="BP36" s="105" t="str">
        <f t="shared" si="26"/>
        <v>F</v>
      </c>
      <c r="BQ36" s="110" t="str">
        <f t="shared" si="27"/>
        <v>F</v>
      </c>
      <c r="BR36" s="111" t="str">
        <f t="shared" si="28"/>
        <v>F</v>
      </c>
      <c r="BS36" s="112" t="str">
        <f t="shared" si="3"/>
        <v>NEED TO PROGRESS</v>
      </c>
      <c r="BT36" s="113">
        <f t="shared" si="29"/>
        <v>260</v>
      </c>
      <c r="BU36" s="115">
        <v>64</v>
      </c>
    </row>
    <row r="37" spans="1:73" ht="27.95" customHeight="1">
      <c r="A37" s="105">
        <v>29</v>
      </c>
      <c r="B37" s="108">
        <v>79</v>
      </c>
      <c r="C37" s="116" t="s">
        <v>274</v>
      </c>
      <c r="D37" s="116" t="s">
        <v>275</v>
      </c>
      <c r="E37" s="116" t="s">
        <v>276</v>
      </c>
      <c r="F37" s="117" t="s">
        <v>277</v>
      </c>
      <c r="G37" s="108">
        <v>11</v>
      </c>
      <c r="H37" s="105">
        <v>28</v>
      </c>
      <c r="I37" s="109">
        <f t="shared" si="30"/>
        <v>39</v>
      </c>
      <c r="J37" s="105">
        <v>15</v>
      </c>
      <c r="K37" s="109">
        <f t="shared" si="31"/>
        <v>54</v>
      </c>
      <c r="L37" s="108">
        <v>10</v>
      </c>
      <c r="M37" s="105">
        <v>32</v>
      </c>
      <c r="N37" s="109">
        <f t="shared" si="32"/>
        <v>42</v>
      </c>
      <c r="O37" s="109">
        <f t="shared" si="4"/>
        <v>42</v>
      </c>
      <c r="P37" s="109">
        <f t="shared" si="0"/>
        <v>96</v>
      </c>
      <c r="Q37" s="202"/>
      <c r="R37" s="105">
        <f t="shared" si="5"/>
        <v>3.5</v>
      </c>
      <c r="S37" s="108">
        <v>12</v>
      </c>
      <c r="T37" s="105">
        <v>32</v>
      </c>
      <c r="U37" s="109">
        <f t="shared" si="6"/>
        <v>44</v>
      </c>
      <c r="V37" s="105">
        <v>5</v>
      </c>
      <c r="W37" s="105">
        <v>24</v>
      </c>
      <c r="X37" s="109">
        <f t="shared" si="7"/>
        <v>29</v>
      </c>
      <c r="Y37" s="109">
        <f t="shared" si="8"/>
        <v>73</v>
      </c>
      <c r="Z37" s="109">
        <f t="shared" si="1"/>
        <v>73</v>
      </c>
      <c r="AA37" s="202"/>
      <c r="AB37" s="105">
        <f t="shared" si="9"/>
        <v>2</v>
      </c>
      <c r="AC37" s="108">
        <v>11</v>
      </c>
      <c r="AD37" s="105">
        <v>23</v>
      </c>
      <c r="AE37" s="109">
        <f t="shared" si="10"/>
        <v>34</v>
      </c>
      <c r="AF37" s="105">
        <v>17</v>
      </c>
      <c r="AG37" s="109">
        <f t="shared" si="11"/>
        <v>51</v>
      </c>
      <c r="AH37" s="202"/>
      <c r="AI37" s="105">
        <f t="shared" si="12"/>
        <v>3</v>
      </c>
      <c r="AJ37" s="108">
        <v>13</v>
      </c>
      <c r="AK37" s="105">
        <v>26</v>
      </c>
      <c r="AL37" s="109">
        <f t="shared" si="13"/>
        <v>39</v>
      </c>
      <c r="AM37" s="105">
        <v>14</v>
      </c>
      <c r="AN37" s="109">
        <f t="shared" si="14"/>
        <v>53</v>
      </c>
      <c r="AO37" s="202"/>
      <c r="AP37" s="105">
        <f t="shared" si="15"/>
        <v>3</v>
      </c>
      <c r="AQ37" s="105">
        <v>23</v>
      </c>
      <c r="AR37" s="105">
        <v>25</v>
      </c>
      <c r="AS37" s="105">
        <f t="shared" si="16"/>
        <v>48</v>
      </c>
      <c r="AT37" s="206"/>
      <c r="AU37" s="105">
        <f t="shared" si="17"/>
        <v>5</v>
      </c>
      <c r="AV37" s="108">
        <v>17</v>
      </c>
      <c r="AW37" s="105">
        <v>36</v>
      </c>
      <c r="AX37" s="109">
        <f t="shared" si="18"/>
        <v>53</v>
      </c>
      <c r="AY37" s="105">
        <v>19</v>
      </c>
      <c r="AZ37" s="109">
        <f t="shared" si="19"/>
        <v>72</v>
      </c>
      <c r="BA37" s="202"/>
      <c r="BB37" s="105">
        <f t="shared" si="20"/>
        <v>4</v>
      </c>
      <c r="BC37" s="108">
        <v>10</v>
      </c>
      <c r="BD37" s="105">
        <v>31</v>
      </c>
      <c r="BE37" s="109">
        <f t="shared" si="21"/>
        <v>41</v>
      </c>
      <c r="BF37" s="105">
        <v>21</v>
      </c>
      <c r="BG37" s="109">
        <f t="shared" si="22"/>
        <v>62</v>
      </c>
      <c r="BH37" s="202"/>
      <c r="BI37" s="105">
        <f t="shared" si="23"/>
        <v>3.5</v>
      </c>
      <c r="BJ37" s="108">
        <v>6</v>
      </c>
      <c r="BK37" s="105">
        <v>28</v>
      </c>
      <c r="BL37" s="109">
        <f t="shared" si="24"/>
        <v>34</v>
      </c>
      <c r="BM37" s="109">
        <f t="shared" si="25"/>
        <v>34</v>
      </c>
      <c r="BN37" s="202"/>
      <c r="BO37" s="105">
        <f t="shared" si="2"/>
        <v>3.5</v>
      </c>
      <c r="BP37" s="105">
        <f t="shared" si="26"/>
        <v>27.5</v>
      </c>
      <c r="BQ37" s="110">
        <f t="shared" si="27"/>
        <v>3.4375</v>
      </c>
      <c r="BR37" s="111" t="str">
        <f t="shared" si="28"/>
        <v>B</v>
      </c>
      <c r="BS37" s="112" t="str">
        <f t="shared" si="3"/>
        <v>GOOD</v>
      </c>
      <c r="BT37" s="113">
        <f t="shared" si="29"/>
        <v>489</v>
      </c>
      <c r="BU37" s="115">
        <v>68</v>
      </c>
    </row>
    <row r="38" spans="1:73" ht="27.95" customHeight="1">
      <c r="A38" s="105">
        <v>30</v>
      </c>
      <c r="B38" s="108">
        <v>81</v>
      </c>
      <c r="C38" s="116" t="s">
        <v>278</v>
      </c>
      <c r="D38" s="116" t="s">
        <v>279</v>
      </c>
      <c r="E38" s="116" t="s">
        <v>280</v>
      </c>
      <c r="F38" s="117" t="s">
        <v>281</v>
      </c>
      <c r="G38" s="108">
        <v>12</v>
      </c>
      <c r="H38" s="105">
        <v>13</v>
      </c>
      <c r="I38" s="109">
        <f t="shared" si="30"/>
        <v>25</v>
      </c>
      <c r="J38" s="105">
        <v>18</v>
      </c>
      <c r="K38" s="109">
        <f t="shared" si="31"/>
        <v>43</v>
      </c>
      <c r="L38" s="108">
        <v>4</v>
      </c>
      <c r="M38" s="105">
        <v>13</v>
      </c>
      <c r="N38" s="109">
        <f t="shared" si="32"/>
        <v>17</v>
      </c>
      <c r="O38" s="109">
        <f t="shared" si="4"/>
        <v>17</v>
      </c>
      <c r="P38" s="109">
        <f>K38+O38</f>
        <v>60</v>
      </c>
      <c r="Q38" s="202"/>
      <c r="R38" s="105">
        <f t="shared" si="5"/>
        <v>2</v>
      </c>
      <c r="S38" s="108">
        <v>6</v>
      </c>
      <c r="T38" s="105">
        <v>17</v>
      </c>
      <c r="U38" s="109">
        <f t="shared" si="6"/>
        <v>23</v>
      </c>
      <c r="V38" s="105">
        <v>5</v>
      </c>
      <c r="W38" s="105">
        <v>17</v>
      </c>
      <c r="X38" s="109">
        <f t="shared" si="7"/>
        <v>22</v>
      </c>
      <c r="Y38" s="109">
        <f t="shared" si="8"/>
        <v>45</v>
      </c>
      <c r="Z38" s="109">
        <f t="shared" si="1"/>
        <v>45</v>
      </c>
      <c r="AA38" s="202"/>
      <c r="AB38" s="105">
        <f t="shared" si="9"/>
        <v>0</v>
      </c>
      <c r="AC38" s="108">
        <v>10</v>
      </c>
      <c r="AD38" s="105">
        <v>9</v>
      </c>
      <c r="AE38" s="109">
        <f t="shared" si="10"/>
        <v>19</v>
      </c>
      <c r="AF38" s="105">
        <v>12</v>
      </c>
      <c r="AG38" s="109">
        <f t="shared" si="11"/>
        <v>31</v>
      </c>
      <c r="AH38" s="202"/>
      <c r="AI38" s="105" t="str">
        <f t="shared" si="12"/>
        <v>F</v>
      </c>
      <c r="AJ38" s="108">
        <v>8</v>
      </c>
      <c r="AK38" s="105">
        <v>9</v>
      </c>
      <c r="AL38" s="109">
        <f t="shared" si="13"/>
        <v>17</v>
      </c>
      <c r="AM38" s="105">
        <v>12</v>
      </c>
      <c r="AN38" s="109">
        <f t="shared" si="14"/>
        <v>29</v>
      </c>
      <c r="AO38" s="202"/>
      <c r="AP38" s="105" t="str">
        <f t="shared" si="15"/>
        <v>F</v>
      </c>
      <c r="AQ38" s="105">
        <v>18</v>
      </c>
      <c r="AR38" s="105">
        <v>25</v>
      </c>
      <c r="AS38" s="105">
        <f t="shared" si="16"/>
        <v>43</v>
      </c>
      <c r="AT38" s="206"/>
      <c r="AU38" s="105">
        <f t="shared" si="17"/>
        <v>5</v>
      </c>
      <c r="AV38" s="108">
        <v>12</v>
      </c>
      <c r="AW38" s="105">
        <v>22</v>
      </c>
      <c r="AX38" s="109">
        <f t="shared" si="18"/>
        <v>34</v>
      </c>
      <c r="AY38" s="105">
        <v>13</v>
      </c>
      <c r="AZ38" s="109">
        <f t="shared" si="19"/>
        <v>47</v>
      </c>
      <c r="BA38" s="202"/>
      <c r="BB38" s="105">
        <f t="shared" si="20"/>
        <v>2</v>
      </c>
      <c r="BC38" s="108">
        <v>8</v>
      </c>
      <c r="BD38" s="105">
        <v>23</v>
      </c>
      <c r="BE38" s="109">
        <f t="shared" si="21"/>
        <v>31</v>
      </c>
      <c r="BF38" s="105">
        <v>12</v>
      </c>
      <c r="BG38" s="109">
        <f t="shared" si="22"/>
        <v>43</v>
      </c>
      <c r="BH38" s="202"/>
      <c r="BI38" s="105">
        <f t="shared" si="23"/>
        <v>2</v>
      </c>
      <c r="BJ38" s="108">
        <v>5</v>
      </c>
      <c r="BK38" s="105">
        <v>24</v>
      </c>
      <c r="BL38" s="109">
        <f t="shared" si="24"/>
        <v>29</v>
      </c>
      <c r="BM38" s="109">
        <f t="shared" si="25"/>
        <v>29</v>
      </c>
      <c r="BN38" s="202"/>
      <c r="BO38" s="105">
        <f t="shared" si="2"/>
        <v>3</v>
      </c>
      <c r="BP38" s="105" t="str">
        <f t="shared" si="26"/>
        <v>F</v>
      </c>
      <c r="BQ38" s="110" t="str">
        <f t="shared" si="27"/>
        <v>F</v>
      </c>
      <c r="BR38" s="111" t="str">
        <f t="shared" si="28"/>
        <v>F</v>
      </c>
      <c r="BS38" s="112" t="str">
        <f t="shared" si="3"/>
        <v>NEED TO PROGRESS</v>
      </c>
      <c r="BT38" s="113">
        <f t="shared" si="29"/>
        <v>327</v>
      </c>
      <c r="BU38" s="115">
        <v>68</v>
      </c>
    </row>
    <row r="39" spans="1:73" ht="27.95" customHeight="1">
      <c r="A39" s="105">
        <v>31</v>
      </c>
      <c r="B39" s="108">
        <v>83</v>
      </c>
      <c r="C39" s="116" t="s">
        <v>282</v>
      </c>
      <c r="D39" s="116" t="s">
        <v>283</v>
      </c>
      <c r="E39" s="116" t="s">
        <v>284</v>
      </c>
      <c r="F39" s="117" t="s">
        <v>285</v>
      </c>
      <c r="G39" s="108">
        <v>13</v>
      </c>
      <c r="H39" s="105">
        <v>21</v>
      </c>
      <c r="I39" s="109">
        <f t="shared" si="30"/>
        <v>34</v>
      </c>
      <c r="J39" s="105">
        <v>13</v>
      </c>
      <c r="K39" s="109">
        <f t="shared" si="31"/>
        <v>47</v>
      </c>
      <c r="L39" s="108">
        <v>8</v>
      </c>
      <c r="M39" s="105">
        <v>21</v>
      </c>
      <c r="N39" s="109">
        <f t="shared" si="32"/>
        <v>29</v>
      </c>
      <c r="O39" s="109">
        <f t="shared" si="4"/>
        <v>29</v>
      </c>
      <c r="P39" s="109">
        <f t="shared" si="0"/>
        <v>76</v>
      </c>
      <c r="Q39" s="202"/>
      <c r="R39" s="105">
        <f t="shared" si="5"/>
        <v>3</v>
      </c>
      <c r="S39" s="108">
        <v>9</v>
      </c>
      <c r="T39" s="105">
        <v>31</v>
      </c>
      <c r="U39" s="109">
        <f t="shared" si="6"/>
        <v>40</v>
      </c>
      <c r="V39" s="105">
        <v>4</v>
      </c>
      <c r="W39" s="105">
        <v>21</v>
      </c>
      <c r="X39" s="109">
        <f t="shared" si="7"/>
        <v>25</v>
      </c>
      <c r="Y39" s="109">
        <f t="shared" si="8"/>
        <v>65</v>
      </c>
      <c r="Z39" s="109">
        <f t="shared" si="1"/>
        <v>65</v>
      </c>
      <c r="AA39" s="202"/>
      <c r="AB39" s="105">
        <f t="shared" si="9"/>
        <v>2</v>
      </c>
      <c r="AC39" s="108">
        <v>11</v>
      </c>
      <c r="AD39" s="105">
        <v>17</v>
      </c>
      <c r="AE39" s="109">
        <f t="shared" si="10"/>
        <v>28</v>
      </c>
      <c r="AF39" s="105">
        <v>17</v>
      </c>
      <c r="AG39" s="109">
        <f t="shared" si="11"/>
        <v>45</v>
      </c>
      <c r="AH39" s="202"/>
      <c r="AI39" s="105">
        <f t="shared" si="12"/>
        <v>2</v>
      </c>
      <c r="AJ39" s="108">
        <v>12</v>
      </c>
      <c r="AK39" s="105">
        <v>17</v>
      </c>
      <c r="AL39" s="109">
        <f t="shared" si="13"/>
        <v>29</v>
      </c>
      <c r="AM39" s="105">
        <v>15</v>
      </c>
      <c r="AN39" s="109">
        <f t="shared" si="14"/>
        <v>44</v>
      </c>
      <c r="AO39" s="202"/>
      <c r="AP39" s="105">
        <f t="shared" si="15"/>
        <v>2</v>
      </c>
      <c r="AQ39" s="105">
        <v>22</v>
      </c>
      <c r="AR39" s="105">
        <v>25</v>
      </c>
      <c r="AS39" s="105">
        <f t="shared" si="16"/>
        <v>47</v>
      </c>
      <c r="AT39" s="206"/>
      <c r="AU39" s="105">
        <f t="shared" si="17"/>
        <v>5</v>
      </c>
      <c r="AV39" s="108">
        <v>11</v>
      </c>
      <c r="AW39" s="105">
        <v>27</v>
      </c>
      <c r="AX39" s="109">
        <f t="shared" si="18"/>
        <v>38</v>
      </c>
      <c r="AY39" s="105">
        <v>16</v>
      </c>
      <c r="AZ39" s="109">
        <f t="shared" si="19"/>
        <v>54</v>
      </c>
      <c r="BA39" s="202"/>
      <c r="BB39" s="105">
        <f t="shared" si="20"/>
        <v>3</v>
      </c>
      <c r="BC39" s="108">
        <v>9</v>
      </c>
      <c r="BD39" s="105">
        <v>30</v>
      </c>
      <c r="BE39" s="109">
        <f t="shared" si="21"/>
        <v>39</v>
      </c>
      <c r="BF39" s="105">
        <v>23</v>
      </c>
      <c r="BG39" s="109">
        <f t="shared" si="22"/>
        <v>62</v>
      </c>
      <c r="BH39" s="202"/>
      <c r="BI39" s="105">
        <f t="shared" si="23"/>
        <v>3.5</v>
      </c>
      <c r="BJ39" s="108">
        <v>5</v>
      </c>
      <c r="BK39" s="105">
        <v>24</v>
      </c>
      <c r="BL39" s="109">
        <f t="shared" si="24"/>
        <v>29</v>
      </c>
      <c r="BM39" s="109">
        <f t="shared" si="25"/>
        <v>29</v>
      </c>
      <c r="BN39" s="202"/>
      <c r="BO39" s="105">
        <f t="shared" si="2"/>
        <v>3</v>
      </c>
      <c r="BP39" s="105">
        <f t="shared" si="26"/>
        <v>23.5</v>
      </c>
      <c r="BQ39" s="110">
        <f t="shared" si="27"/>
        <v>2.9375</v>
      </c>
      <c r="BR39" s="111" t="str">
        <f t="shared" si="28"/>
        <v>C</v>
      </c>
      <c r="BS39" s="112" t="str">
        <f t="shared" si="3"/>
        <v>GOOD</v>
      </c>
      <c r="BT39" s="113">
        <f t="shared" si="29"/>
        <v>422</v>
      </c>
      <c r="BU39" s="115">
        <v>67</v>
      </c>
    </row>
    <row r="40" spans="1:73" ht="27.95" customHeight="1">
      <c r="A40" s="105">
        <v>32</v>
      </c>
      <c r="B40" s="108">
        <v>85</v>
      </c>
      <c r="C40" s="116" t="s">
        <v>286</v>
      </c>
      <c r="D40" s="116" t="s">
        <v>287</v>
      </c>
      <c r="E40" s="116" t="s">
        <v>288</v>
      </c>
      <c r="F40" s="117" t="s">
        <v>289</v>
      </c>
      <c r="G40" s="108">
        <v>8</v>
      </c>
      <c r="H40" s="105">
        <v>4</v>
      </c>
      <c r="I40" s="109">
        <f t="shared" si="30"/>
        <v>12</v>
      </c>
      <c r="J40" s="105">
        <v>16</v>
      </c>
      <c r="K40" s="109">
        <f t="shared" si="31"/>
        <v>28</v>
      </c>
      <c r="L40" s="108">
        <v>4</v>
      </c>
      <c r="M40" s="105">
        <v>16</v>
      </c>
      <c r="N40" s="109">
        <f t="shared" si="32"/>
        <v>20</v>
      </c>
      <c r="O40" s="109">
        <f t="shared" si="4"/>
        <v>20</v>
      </c>
      <c r="P40" s="109">
        <f t="shared" si="0"/>
        <v>48</v>
      </c>
      <c r="Q40" s="202"/>
      <c r="R40" s="105" t="str">
        <f t="shared" si="5"/>
        <v>F</v>
      </c>
      <c r="S40" s="108">
        <v>5</v>
      </c>
      <c r="T40" s="105">
        <v>23</v>
      </c>
      <c r="U40" s="109">
        <f t="shared" si="6"/>
        <v>28</v>
      </c>
      <c r="V40" s="105">
        <v>2</v>
      </c>
      <c r="W40" s="105">
        <v>10</v>
      </c>
      <c r="X40" s="109">
        <f t="shared" si="7"/>
        <v>12</v>
      </c>
      <c r="Y40" s="109">
        <f t="shared" si="8"/>
        <v>40</v>
      </c>
      <c r="Z40" s="109">
        <f t="shared" si="1"/>
        <v>40</v>
      </c>
      <c r="AA40" s="202"/>
      <c r="AB40" s="105">
        <f t="shared" si="9"/>
        <v>0</v>
      </c>
      <c r="AC40" s="108">
        <v>13</v>
      </c>
      <c r="AD40" s="105">
        <v>6</v>
      </c>
      <c r="AE40" s="109">
        <f t="shared" si="10"/>
        <v>19</v>
      </c>
      <c r="AF40" s="105">
        <v>12</v>
      </c>
      <c r="AG40" s="109">
        <f t="shared" si="11"/>
        <v>31</v>
      </c>
      <c r="AH40" s="202"/>
      <c r="AI40" s="105" t="str">
        <f t="shared" si="12"/>
        <v>F</v>
      </c>
      <c r="AJ40" s="108">
        <v>4</v>
      </c>
      <c r="AK40" s="105">
        <v>5</v>
      </c>
      <c r="AL40" s="109">
        <f t="shared" si="13"/>
        <v>9</v>
      </c>
      <c r="AM40" s="105">
        <v>9</v>
      </c>
      <c r="AN40" s="109">
        <f t="shared" si="14"/>
        <v>18</v>
      </c>
      <c r="AO40" s="202"/>
      <c r="AP40" s="105" t="str">
        <f t="shared" si="15"/>
        <v>F</v>
      </c>
      <c r="AQ40" s="105">
        <v>16</v>
      </c>
      <c r="AR40" s="105">
        <v>25</v>
      </c>
      <c r="AS40" s="105">
        <f t="shared" si="16"/>
        <v>41</v>
      </c>
      <c r="AT40" s="206"/>
      <c r="AU40" s="105">
        <f t="shared" si="17"/>
        <v>5</v>
      </c>
      <c r="AV40" s="108">
        <v>13</v>
      </c>
      <c r="AW40" s="105">
        <v>33</v>
      </c>
      <c r="AX40" s="109">
        <f t="shared" si="18"/>
        <v>46</v>
      </c>
      <c r="AY40" s="105">
        <v>17</v>
      </c>
      <c r="AZ40" s="109">
        <f t="shared" si="19"/>
        <v>63</v>
      </c>
      <c r="BA40" s="202"/>
      <c r="BB40" s="105">
        <f t="shared" si="20"/>
        <v>3.5</v>
      </c>
      <c r="BC40" s="108">
        <v>9</v>
      </c>
      <c r="BD40" s="105">
        <v>20</v>
      </c>
      <c r="BE40" s="109">
        <f t="shared" si="21"/>
        <v>29</v>
      </c>
      <c r="BF40" s="105">
        <v>15</v>
      </c>
      <c r="BG40" s="109">
        <f t="shared" si="22"/>
        <v>44</v>
      </c>
      <c r="BH40" s="202"/>
      <c r="BI40" s="105">
        <f t="shared" si="23"/>
        <v>2</v>
      </c>
      <c r="BJ40" s="108">
        <v>5</v>
      </c>
      <c r="BK40" s="105">
        <v>24</v>
      </c>
      <c r="BL40" s="109">
        <f t="shared" si="24"/>
        <v>29</v>
      </c>
      <c r="BM40" s="109">
        <f t="shared" si="25"/>
        <v>29</v>
      </c>
      <c r="BN40" s="202"/>
      <c r="BO40" s="105">
        <f t="shared" si="2"/>
        <v>3</v>
      </c>
      <c r="BP40" s="105" t="str">
        <f t="shared" si="26"/>
        <v>F</v>
      </c>
      <c r="BQ40" s="110" t="str">
        <f t="shared" si="27"/>
        <v>F</v>
      </c>
      <c r="BR40" s="111" t="str">
        <f t="shared" si="28"/>
        <v>F</v>
      </c>
      <c r="BS40" s="112" t="str">
        <f t="shared" si="3"/>
        <v>NEED TO PROGRESS</v>
      </c>
      <c r="BT40" s="113">
        <f t="shared" si="29"/>
        <v>314</v>
      </c>
      <c r="BU40" s="115">
        <v>65</v>
      </c>
    </row>
    <row r="41" spans="1:73" ht="27.95" customHeight="1">
      <c r="A41" s="105">
        <v>33</v>
      </c>
      <c r="B41" s="108">
        <v>91</v>
      </c>
      <c r="C41" s="116" t="s">
        <v>290</v>
      </c>
      <c r="D41" s="116" t="s">
        <v>291</v>
      </c>
      <c r="E41" s="116" t="s">
        <v>292</v>
      </c>
      <c r="F41" s="117" t="s">
        <v>293</v>
      </c>
      <c r="G41" s="108">
        <v>9</v>
      </c>
      <c r="H41" s="105">
        <v>4</v>
      </c>
      <c r="I41" s="109">
        <f t="shared" si="30"/>
        <v>13</v>
      </c>
      <c r="J41" s="105">
        <v>14</v>
      </c>
      <c r="K41" s="109">
        <f t="shared" si="31"/>
        <v>27</v>
      </c>
      <c r="L41" s="108">
        <v>4</v>
      </c>
      <c r="M41" s="105">
        <v>16</v>
      </c>
      <c r="N41" s="109">
        <f t="shared" si="32"/>
        <v>20</v>
      </c>
      <c r="O41" s="109">
        <f t="shared" si="4"/>
        <v>20</v>
      </c>
      <c r="P41" s="109">
        <f t="shared" ref="P41:P72" si="33">K41+O41</f>
        <v>47</v>
      </c>
      <c r="Q41" s="202"/>
      <c r="R41" s="105" t="str">
        <f t="shared" si="5"/>
        <v>F</v>
      </c>
      <c r="S41" s="108">
        <v>7</v>
      </c>
      <c r="T41" s="105">
        <v>15</v>
      </c>
      <c r="U41" s="109">
        <f t="shared" si="6"/>
        <v>22</v>
      </c>
      <c r="V41" s="105">
        <v>1</v>
      </c>
      <c r="W41" s="105">
        <v>6</v>
      </c>
      <c r="X41" s="109">
        <f t="shared" si="7"/>
        <v>7</v>
      </c>
      <c r="Y41" s="109">
        <f t="shared" si="8"/>
        <v>29</v>
      </c>
      <c r="Z41" s="109">
        <f t="shared" si="1"/>
        <v>29</v>
      </c>
      <c r="AA41" s="202"/>
      <c r="AB41" s="105">
        <f t="shared" si="9"/>
        <v>0</v>
      </c>
      <c r="AC41" s="108">
        <v>8</v>
      </c>
      <c r="AD41" s="105">
        <v>12</v>
      </c>
      <c r="AE41" s="109">
        <f t="shared" si="10"/>
        <v>20</v>
      </c>
      <c r="AF41" s="105">
        <v>12</v>
      </c>
      <c r="AG41" s="109">
        <f t="shared" si="11"/>
        <v>32</v>
      </c>
      <c r="AH41" s="202"/>
      <c r="AI41" s="105" t="str">
        <f t="shared" si="12"/>
        <v>F</v>
      </c>
      <c r="AJ41" s="108">
        <v>9</v>
      </c>
      <c r="AK41" s="105">
        <v>11</v>
      </c>
      <c r="AL41" s="109">
        <f t="shared" si="13"/>
        <v>20</v>
      </c>
      <c r="AM41" s="105">
        <v>10</v>
      </c>
      <c r="AN41" s="109">
        <f t="shared" si="14"/>
        <v>30</v>
      </c>
      <c r="AO41" s="202"/>
      <c r="AP41" s="105" t="str">
        <f t="shared" si="15"/>
        <v>F</v>
      </c>
      <c r="AQ41" s="105">
        <v>21</v>
      </c>
      <c r="AR41" s="105">
        <v>25</v>
      </c>
      <c r="AS41" s="105">
        <f t="shared" si="16"/>
        <v>46</v>
      </c>
      <c r="AT41" s="206"/>
      <c r="AU41" s="105">
        <f t="shared" si="17"/>
        <v>5</v>
      </c>
      <c r="AV41" s="108">
        <v>9</v>
      </c>
      <c r="AW41" s="105">
        <v>26</v>
      </c>
      <c r="AX41" s="109">
        <f t="shared" si="18"/>
        <v>35</v>
      </c>
      <c r="AY41" s="105">
        <v>19</v>
      </c>
      <c r="AZ41" s="109">
        <f t="shared" si="19"/>
        <v>54</v>
      </c>
      <c r="BA41" s="202"/>
      <c r="BB41" s="105">
        <f t="shared" si="20"/>
        <v>3</v>
      </c>
      <c r="BC41" s="108">
        <v>9</v>
      </c>
      <c r="BD41" s="105">
        <v>20</v>
      </c>
      <c r="BE41" s="109">
        <f t="shared" si="21"/>
        <v>29</v>
      </c>
      <c r="BF41" s="105">
        <v>17</v>
      </c>
      <c r="BG41" s="109">
        <f t="shared" si="22"/>
        <v>46</v>
      </c>
      <c r="BH41" s="202"/>
      <c r="BI41" s="105">
        <f t="shared" si="23"/>
        <v>2</v>
      </c>
      <c r="BJ41" s="108">
        <v>2</v>
      </c>
      <c r="BK41" s="105">
        <v>24</v>
      </c>
      <c r="BL41" s="109">
        <f t="shared" si="24"/>
        <v>26</v>
      </c>
      <c r="BM41" s="109">
        <f t="shared" si="25"/>
        <v>26</v>
      </c>
      <c r="BN41" s="202"/>
      <c r="BO41" s="105">
        <f t="shared" ref="BO41:BO72" si="34">IF(BL41&lt;20,"F",IF(BM41&lt;20,"F",IF(BM41&lt;25,2,IF(BM41&lt;30,3,IF(BM41&lt;35,3.5,IF(BM41&lt;40,4,5))))))</f>
        <v>3</v>
      </c>
      <c r="BP41" s="105" t="str">
        <f t="shared" si="26"/>
        <v>F</v>
      </c>
      <c r="BQ41" s="110" t="str">
        <f t="shared" si="27"/>
        <v>F</v>
      </c>
      <c r="BR41" s="111" t="str">
        <f t="shared" si="28"/>
        <v>F</v>
      </c>
      <c r="BS41" s="112" t="str">
        <f t="shared" si="3"/>
        <v>NEED TO PROGRESS</v>
      </c>
      <c r="BT41" s="113">
        <f t="shared" si="29"/>
        <v>310</v>
      </c>
      <c r="BU41" s="115">
        <v>62</v>
      </c>
    </row>
    <row r="42" spans="1:73" ht="27.95" customHeight="1">
      <c r="A42" s="105">
        <v>34</v>
      </c>
      <c r="B42" s="108">
        <v>93</v>
      </c>
      <c r="C42" s="116" t="s">
        <v>168</v>
      </c>
      <c r="D42" s="116" t="s">
        <v>169</v>
      </c>
      <c r="E42" s="116" t="s">
        <v>170</v>
      </c>
      <c r="F42" s="117" t="s">
        <v>294</v>
      </c>
      <c r="G42" s="108">
        <v>10</v>
      </c>
      <c r="H42" s="105">
        <v>26</v>
      </c>
      <c r="I42" s="109">
        <f t="shared" si="30"/>
        <v>36</v>
      </c>
      <c r="J42" s="105">
        <v>27</v>
      </c>
      <c r="K42" s="109">
        <f t="shared" si="31"/>
        <v>63</v>
      </c>
      <c r="L42" s="108">
        <v>9</v>
      </c>
      <c r="M42" s="105">
        <v>23</v>
      </c>
      <c r="N42" s="109">
        <f t="shared" si="32"/>
        <v>32</v>
      </c>
      <c r="O42" s="109">
        <f t="shared" si="4"/>
        <v>32</v>
      </c>
      <c r="P42" s="109">
        <f t="shared" si="33"/>
        <v>95</v>
      </c>
      <c r="Q42" s="202"/>
      <c r="R42" s="105">
        <f t="shared" si="5"/>
        <v>3.5</v>
      </c>
      <c r="S42" s="108">
        <v>16</v>
      </c>
      <c r="T42" s="105">
        <v>56</v>
      </c>
      <c r="U42" s="109">
        <f t="shared" si="6"/>
        <v>72</v>
      </c>
      <c r="V42" s="105">
        <v>5</v>
      </c>
      <c r="W42" s="105">
        <v>26</v>
      </c>
      <c r="X42" s="109">
        <f t="shared" si="7"/>
        <v>31</v>
      </c>
      <c r="Y42" s="109">
        <f t="shared" si="8"/>
        <v>103</v>
      </c>
      <c r="Z42" s="109">
        <f t="shared" si="1"/>
        <v>103</v>
      </c>
      <c r="AA42" s="202"/>
      <c r="AB42" s="105">
        <f t="shared" si="9"/>
        <v>3.5</v>
      </c>
      <c r="AC42" s="108">
        <v>4</v>
      </c>
      <c r="AD42" s="105">
        <v>24</v>
      </c>
      <c r="AE42" s="109">
        <f t="shared" si="10"/>
        <v>28</v>
      </c>
      <c r="AF42" s="105">
        <v>20</v>
      </c>
      <c r="AG42" s="109">
        <f t="shared" si="11"/>
        <v>48</v>
      </c>
      <c r="AH42" s="202"/>
      <c r="AI42" s="105">
        <f t="shared" si="12"/>
        <v>2</v>
      </c>
      <c r="AJ42" s="108">
        <v>8</v>
      </c>
      <c r="AK42" s="105">
        <v>34</v>
      </c>
      <c r="AL42" s="109">
        <f t="shared" si="13"/>
        <v>42</v>
      </c>
      <c r="AM42" s="105">
        <v>17</v>
      </c>
      <c r="AN42" s="109">
        <f t="shared" si="14"/>
        <v>59</v>
      </c>
      <c r="AO42" s="202"/>
      <c r="AP42" s="105">
        <f t="shared" si="15"/>
        <v>3</v>
      </c>
      <c r="AQ42" s="105">
        <v>23</v>
      </c>
      <c r="AR42" s="105">
        <v>25</v>
      </c>
      <c r="AS42" s="105">
        <f t="shared" si="16"/>
        <v>48</v>
      </c>
      <c r="AT42" s="206"/>
      <c r="AU42" s="105">
        <f t="shared" si="17"/>
        <v>5</v>
      </c>
      <c r="AV42" s="108">
        <v>15</v>
      </c>
      <c r="AW42" s="105">
        <v>37</v>
      </c>
      <c r="AX42" s="109">
        <f t="shared" si="18"/>
        <v>52</v>
      </c>
      <c r="AY42" s="105">
        <v>24</v>
      </c>
      <c r="AZ42" s="109">
        <f t="shared" si="19"/>
        <v>76</v>
      </c>
      <c r="BA42" s="202"/>
      <c r="BB42" s="105">
        <f t="shared" si="20"/>
        <v>4</v>
      </c>
      <c r="BC42" s="108">
        <v>8</v>
      </c>
      <c r="BD42" s="105">
        <v>34</v>
      </c>
      <c r="BE42" s="109">
        <f t="shared" si="21"/>
        <v>42</v>
      </c>
      <c r="BF42" s="105">
        <v>24</v>
      </c>
      <c r="BG42" s="109">
        <f t="shared" si="22"/>
        <v>66</v>
      </c>
      <c r="BH42" s="202"/>
      <c r="BI42" s="105">
        <f t="shared" si="23"/>
        <v>3.5</v>
      </c>
      <c r="BJ42" s="108">
        <v>4</v>
      </c>
      <c r="BK42" s="105">
        <v>24</v>
      </c>
      <c r="BL42" s="109">
        <f t="shared" si="24"/>
        <v>28</v>
      </c>
      <c r="BM42" s="109">
        <f t="shared" si="25"/>
        <v>28</v>
      </c>
      <c r="BN42" s="202"/>
      <c r="BO42" s="105">
        <f t="shared" si="34"/>
        <v>3</v>
      </c>
      <c r="BP42" s="105">
        <f t="shared" si="26"/>
        <v>27.5</v>
      </c>
      <c r="BQ42" s="110">
        <f t="shared" si="27"/>
        <v>3.4375</v>
      </c>
      <c r="BR42" s="111" t="str">
        <f t="shared" si="28"/>
        <v>B</v>
      </c>
      <c r="BS42" s="112" t="str">
        <f t="shared" si="3"/>
        <v>GOOD</v>
      </c>
      <c r="BT42" s="113">
        <f t="shared" si="29"/>
        <v>523</v>
      </c>
      <c r="BU42" s="115">
        <v>55</v>
      </c>
    </row>
    <row r="43" spans="1:73" ht="27.95" customHeight="1">
      <c r="A43" s="105">
        <v>35</v>
      </c>
      <c r="B43" s="108">
        <v>97</v>
      </c>
      <c r="C43" s="116" t="s">
        <v>295</v>
      </c>
      <c r="D43" s="116" t="s">
        <v>296</v>
      </c>
      <c r="E43" s="116" t="s">
        <v>297</v>
      </c>
      <c r="F43" s="117" t="s">
        <v>298</v>
      </c>
      <c r="G43" s="108">
        <v>8</v>
      </c>
      <c r="H43" s="105">
        <v>1</v>
      </c>
      <c r="I43" s="109">
        <f t="shared" si="30"/>
        <v>9</v>
      </c>
      <c r="J43" s="105">
        <v>9</v>
      </c>
      <c r="K43" s="109">
        <f t="shared" si="31"/>
        <v>18</v>
      </c>
      <c r="L43" s="108">
        <v>2</v>
      </c>
      <c r="M43" s="105">
        <v>9</v>
      </c>
      <c r="N43" s="109">
        <f t="shared" si="32"/>
        <v>11</v>
      </c>
      <c r="O43" s="109">
        <f t="shared" si="4"/>
        <v>11</v>
      </c>
      <c r="P43" s="109">
        <f t="shared" si="33"/>
        <v>29</v>
      </c>
      <c r="Q43" s="202"/>
      <c r="R43" s="105" t="str">
        <f t="shared" si="5"/>
        <v>F</v>
      </c>
      <c r="S43" s="108">
        <v>7</v>
      </c>
      <c r="T43" s="105">
        <v>15</v>
      </c>
      <c r="U43" s="109">
        <f t="shared" si="6"/>
        <v>22</v>
      </c>
      <c r="V43" s="105">
        <v>2</v>
      </c>
      <c r="W43" s="105">
        <v>9</v>
      </c>
      <c r="X43" s="109">
        <f t="shared" si="7"/>
        <v>11</v>
      </c>
      <c r="Y43" s="109">
        <f t="shared" si="8"/>
        <v>33</v>
      </c>
      <c r="Z43" s="109">
        <f t="shared" si="1"/>
        <v>33</v>
      </c>
      <c r="AA43" s="202"/>
      <c r="AB43" s="105">
        <f t="shared" si="9"/>
        <v>0</v>
      </c>
      <c r="AC43" s="108">
        <v>8</v>
      </c>
      <c r="AD43" s="105">
        <v>4</v>
      </c>
      <c r="AE43" s="109">
        <f t="shared" si="10"/>
        <v>12</v>
      </c>
      <c r="AF43" s="105">
        <v>14</v>
      </c>
      <c r="AG43" s="109">
        <f t="shared" si="11"/>
        <v>26</v>
      </c>
      <c r="AH43" s="202"/>
      <c r="AI43" s="105" t="str">
        <f t="shared" si="12"/>
        <v>F</v>
      </c>
      <c r="AJ43" s="108">
        <v>8</v>
      </c>
      <c r="AK43" s="105">
        <v>9</v>
      </c>
      <c r="AL43" s="109">
        <f t="shared" si="13"/>
        <v>17</v>
      </c>
      <c r="AM43" s="105">
        <v>3</v>
      </c>
      <c r="AN43" s="109">
        <f t="shared" si="14"/>
        <v>20</v>
      </c>
      <c r="AO43" s="202"/>
      <c r="AP43" s="105" t="str">
        <f t="shared" si="15"/>
        <v>F</v>
      </c>
      <c r="AQ43" s="105">
        <v>12</v>
      </c>
      <c r="AR43" s="105">
        <v>25</v>
      </c>
      <c r="AS43" s="105">
        <f t="shared" si="16"/>
        <v>37</v>
      </c>
      <c r="AT43" s="206"/>
      <c r="AU43" s="105">
        <f t="shared" si="17"/>
        <v>4</v>
      </c>
      <c r="AV43" s="108">
        <v>11</v>
      </c>
      <c r="AW43" s="105">
        <v>18</v>
      </c>
      <c r="AX43" s="109">
        <f t="shared" si="18"/>
        <v>29</v>
      </c>
      <c r="AY43" s="105">
        <v>11</v>
      </c>
      <c r="AZ43" s="109">
        <f t="shared" si="19"/>
        <v>40</v>
      </c>
      <c r="BA43" s="202"/>
      <c r="BB43" s="105">
        <f t="shared" si="20"/>
        <v>2</v>
      </c>
      <c r="BC43" s="108">
        <v>2</v>
      </c>
      <c r="BD43" s="105">
        <v>10</v>
      </c>
      <c r="BE43" s="109">
        <f t="shared" si="21"/>
        <v>12</v>
      </c>
      <c r="BF43" s="105">
        <v>5</v>
      </c>
      <c r="BG43" s="109">
        <f t="shared" si="22"/>
        <v>17</v>
      </c>
      <c r="BH43" s="202"/>
      <c r="BI43" s="105" t="str">
        <f t="shared" si="23"/>
        <v>F</v>
      </c>
      <c r="BJ43" s="108">
        <v>5</v>
      </c>
      <c r="BK43" s="105">
        <v>24</v>
      </c>
      <c r="BL43" s="109">
        <f t="shared" si="24"/>
        <v>29</v>
      </c>
      <c r="BM43" s="109">
        <f t="shared" si="25"/>
        <v>29</v>
      </c>
      <c r="BN43" s="202"/>
      <c r="BO43" s="105">
        <f t="shared" si="34"/>
        <v>3</v>
      </c>
      <c r="BP43" s="105" t="str">
        <f t="shared" si="26"/>
        <v>F</v>
      </c>
      <c r="BQ43" s="110" t="str">
        <f t="shared" si="27"/>
        <v>F</v>
      </c>
      <c r="BR43" s="111" t="str">
        <f t="shared" si="28"/>
        <v>F</v>
      </c>
      <c r="BS43" s="112" t="str">
        <f t="shared" si="3"/>
        <v>NEED TO PROGRESS</v>
      </c>
      <c r="BT43" s="113">
        <f t="shared" si="29"/>
        <v>231</v>
      </c>
      <c r="BU43" s="115">
        <v>56</v>
      </c>
    </row>
    <row r="44" spans="1:73" ht="27.95" customHeight="1">
      <c r="A44" s="105">
        <v>36</v>
      </c>
      <c r="B44" s="108">
        <v>99</v>
      </c>
      <c r="C44" s="116" t="s">
        <v>299</v>
      </c>
      <c r="D44" s="116" t="s">
        <v>300</v>
      </c>
      <c r="E44" s="116" t="s">
        <v>301</v>
      </c>
      <c r="F44" s="117" t="s">
        <v>302</v>
      </c>
      <c r="G44" s="108">
        <v>8</v>
      </c>
      <c r="H44" s="105">
        <v>10</v>
      </c>
      <c r="I44" s="109">
        <f t="shared" si="30"/>
        <v>18</v>
      </c>
      <c r="J44" s="105">
        <v>18</v>
      </c>
      <c r="K44" s="109">
        <f t="shared" si="31"/>
        <v>36</v>
      </c>
      <c r="L44" s="108">
        <v>10</v>
      </c>
      <c r="M44" s="105">
        <v>25</v>
      </c>
      <c r="N44" s="109">
        <f t="shared" si="32"/>
        <v>35</v>
      </c>
      <c r="O44" s="109">
        <f t="shared" si="4"/>
        <v>35</v>
      </c>
      <c r="P44" s="109">
        <f t="shared" si="33"/>
        <v>71</v>
      </c>
      <c r="Q44" s="202"/>
      <c r="R44" s="105">
        <f t="shared" si="5"/>
        <v>2</v>
      </c>
      <c r="S44" s="108">
        <v>11</v>
      </c>
      <c r="T44" s="105">
        <v>29</v>
      </c>
      <c r="U44" s="109">
        <f t="shared" si="6"/>
        <v>40</v>
      </c>
      <c r="V44" s="105">
        <v>6</v>
      </c>
      <c r="W44" s="105">
        <v>20</v>
      </c>
      <c r="X44" s="109">
        <f t="shared" si="7"/>
        <v>26</v>
      </c>
      <c r="Y44" s="109">
        <f t="shared" si="8"/>
        <v>66</v>
      </c>
      <c r="Z44" s="109">
        <f t="shared" si="1"/>
        <v>66</v>
      </c>
      <c r="AA44" s="202"/>
      <c r="AB44" s="105">
        <f t="shared" si="9"/>
        <v>2</v>
      </c>
      <c r="AC44" s="108">
        <v>9</v>
      </c>
      <c r="AD44" s="105">
        <v>20</v>
      </c>
      <c r="AE44" s="109">
        <f t="shared" si="10"/>
        <v>29</v>
      </c>
      <c r="AF44" s="105">
        <v>12</v>
      </c>
      <c r="AG44" s="109">
        <f t="shared" si="11"/>
        <v>41</v>
      </c>
      <c r="AH44" s="202"/>
      <c r="AI44" s="105">
        <f t="shared" si="12"/>
        <v>2</v>
      </c>
      <c r="AJ44" s="108">
        <v>8</v>
      </c>
      <c r="AK44" s="105">
        <v>20</v>
      </c>
      <c r="AL44" s="109">
        <f t="shared" si="13"/>
        <v>28</v>
      </c>
      <c r="AM44" s="105">
        <v>12</v>
      </c>
      <c r="AN44" s="109">
        <f t="shared" si="14"/>
        <v>40</v>
      </c>
      <c r="AO44" s="202"/>
      <c r="AP44" s="105">
        <f t="shared" si="15"/>
        <v>2</v>
      </c>
      <c r="AQ44" s="105">
        <v>18</v>
      </c>
      <c r="AR44" s="105">
        <v>25</v>
      </c>
      <c r="AS44" s="105">
        <f t="shared" si="16"/>
        <v>43</v>
      </c>
      <c r="AT44" s="206"/>
      <c r="AU44" s="105">
        <f t="shared" si="17"/>
        <v>5</v>
      </c>
      <c r="AV44" s="108">
        <v>13</v>
      </c>
      <c r="AW44" s="105">
        <v>31</v>
      </c>
      <c r="AX44" s="109">
        <f t="shared" si="18"/>
        <v>44</v>
      </c>
      <c r="AY44" s="105">
        <v>20</v>
      </c>
      <c r="AZ44" s="109">
        <f t="shared" si="19"/>
        <v>64</v>
      </c>
      <c r="BA44" s="202"/>
      <c r="BB44" s="105">
        <f t="shared" si="20"/>
        <v>3.5</v>
      </c>
      <c r="BC44" s="108">
        <v>10</v>
      </c>
      <c r="BD44" s="105">
        <v>26</v>
      </c>
      <c r="BE44" s="109">
        <f t="shared" si="21"/>
        <v>36</v>
      </c>
      <c r="BF44" s="105">
        <v>23</v>
      </c>
      <c r="BG44" s="109">
        <f t="shared" si="22"/>
        <v>59</v>
      </c>
      <c r="BH44" s="202"/>
      <c r="BI44" s="105">
        <f t="shared" si="23"/>
        <v>3</v>
      </c>
      <c r="BJ44" s="108">
        <v>5</v>
      </c>
      <c r="BK44" s="105">
        <v>24</v>
      </c>
      <c r="BL44" s="109">
        <f t="shared" si="24"/>
        <v>29</v>
      </c>
      <c r="BM44" s="109">
        <f t="shared" si="25"/>
        <v>29</v>
      </c>
      <c r="BN44" s="202"/>
      <c r="BO44" s="105">
        <f t="shared" si="34"/>
        <v>3</v>
      </c>
      <c r="BP44" s="105">
        <f t="shared" si="26"/>
        <v>22.5</v>
      </c>
      <c r="BQ44" s="110">
        <f t="shared" si="27"/>
        <v>2.8125</v>
      </c>
      <c r="BR44" s="111" t="str">
        <f t="shared" si="28"/>
        <v>C</v>
      </c>
      <c r="BS44" s="112" t="str">
        <f t="shared" si="3"/>
        <v>GOOD</v>
      </c>
      <c r="BT44" s="113">
        <f t="shared" si="29"/>
        <v>413</v>
      </c>
      <c r="BU44" s="115">
        <v>58</v>
      </c>
    </row>
    <row r="45" spans="1:73" ht="27.95" customHeight="1">
      <c r="A45" s="105">
        <v>37</v>
      </c>
      <c r="B45" s="108">
        <v>101</v>
      </c>
      <c r="C45" s="116" t="s">
        <v>303</v>
      </c>
      <c r="D45" s="116" t="s">
        <v>304</v>
      </c>
      <c r="E45" s="116" t="s">
        <v>305</v>
      </c>
      <c r="F45" s="117" t="s">
        <v>306</v>
      </c>
      <c r="G45" s="108">
        <v>9</v>
      </c>
      <c r="H45" s="105">
        <v>3</v>
      </c>
      <c r="I45" s="109">
        <f t="shared" si="30"/>
        <v>12</v>
      </c>
      <c r="J45" s="105">
        <v>12</v>
      </c>
      <c r="K45" s="109">
        <f t="shared" si="31"/>
        <v>24</v>
      </c>
      <c r="L45" s="108">
        <v>4</v>
      </c>
      <c r="M45" s="105">
        <v>8</v>
      </c>
      <c r="N45" s="109">
        <f t="shared" si="32"/>
        <v>12</v>
      </c>
      <c r="O45" s="109">
        <f t="shared" si="4"/>
        <v>12</v>
      </c>
      <c r="P45" s="109">
        <f t="shared" si="33"/>
        <v>36</v>
      </c>
      <c r="Q45" s="202"/>
      <c r="R45" s="105" t="str">
        <f t="shared" si="5"/>
        <v>F</v>
      </c>
      <c r="S45" s="108">
        <v>6</v>
      </c>
      <c r="T45" s="105">
        <v>18</v>
      </c>
      <c r="U45" s="109">
        <f t="shared" si="6"/>
        <v>24</v>
      </c>
      <c r="V45" s="105">
        <v>2</v>
      </c>
      <c r="W45" s="105">
        <v>22</v>
      </c>
      <c r="X45" s="109">
        <f t="shared" si="7"/>
        <v>24</v>
      </c>
      <c r="Y45" s="109">
        <f t="shared" si="8"/>
        <v>48</v>
      </c>
      <c r="Z45" s="109">
        <f t="shared" si="1"/>
        <v>48</v>
      </c>
      <c r="AA45" s="202"/>
      <c r="AB45" s="105">
        <f t="shared" si="9"/>
        <v>0</v>
      </c>
      <c r="AC45" s="108">
        <v>10</v>
      </c>
      <c r="AD45" s="105">
        <v>8</v>
      </c>
      <c r="AE45" s="109">
        <f t="shared" si="10"/>
        <v>18</v>
      </c>
      <c r="AF45" s="105">
        <v>13</v>
      </c>
      <c r="AG45" s="109">
        <f t="shared" si="11"/>
        <v>31</v>
      </c>
      <c r="AH45" s="202"/>
      <c r="AI45" s="105" t="str">
        <f t="shared" si="12"/>
        <v>F</v>
      </c>
      <c r="AJ45" s="108">
        <v>8</v>
      </c>
      <c r="AK45" s="105">
        <v>6</v>
      </c>
      <c r="AL45" s="109">
        <f t="shared" si="13"/>
        <v>14</v>
      </c>
      <c r="AM45" s="105">
        <v>9</v>
      </c>
      <c r="AN45" s="109">
        <f t="shared" si="14"/>
        <v>23</v>
      </c>
      <c r="AO45" s="202"/>
      <c r="AP45" s="105" t="str">
        <f t="shared" si="15"/>
        <v>F</v>
      </c>
      <c r="AQ45" s="105">
        <v>12</v>
      </c>
      <c r="AR45" s="105">
        <v>25</v>
      </c>
      <c r="AS45" s="105">
        <f t="shared" si="16"/>
        <v>37</v>
      </c>
      <c r="AT45" s="206"/>
      <c r="AU45" s="105">
        <f t="shared" si="17"/>
        <v>4</v>
      </c>
      <c r="AV45" s="108">
        <v>11</v>
      </c>
      <c r="AW45" s="105">
        <v>16</v>
      </c>
      <c r="AX45" s="109">
        <f t="shared" si="18"/>
        <v>27</v>
      </c>
      <c r="AY45" s="105">
        <v>20</v>
      </c>
      <c r="AZ45" s="109">
        <f t="shared" si="19"/>
        <v>47</v>
      </c>
      <c r="BA45" s="202"/>
      <c r="BB45" s="105">
        <f t="shared" si="20"/>
        <v>2</v>
      </c>
      <c r="BC45" s="108">
        <v>9</v>
      </c>
      <c r="BD45" s="105">
        <v>16</v>
      </c>
      <c r="BE45" s="109">
        <f t="shared" si="21"/>
        <v>25</v>
      </c>
      <c r="BF45" s="105">
        <v>15</v>
      </c>
      <c r="BG45" s="109">
        <f t="shared" si="22"/>
        <v>40</v>
      </c>
      <c r="BH45" s="202"/>
      <c r="BI45" s="105">
        <f t="shared" si="23"/>
        <v>2</v>
      </c>
      <c r="BJ45" s="108">
        <v>5</v>
      </c>
      <c r="BK45" s="105">
        <v>24</v>
      </c>
      <c r="BL45" s="109">
        <f t="shared" si="24"/>
        <v>29</v>
      </c>
      <c r="BM45" s="109">
        <f t="shared" si="25"/>
        <v>29</v>
      </c>
      <c r="BN45" s="202"/>
      <c r="BO45" s="105">
        <f t="shared" si="34"/>
        <v>3</v>
      </c>
      <c r="BP45" s="105" t="str">
        <f t="shared" si="26"/>
        <v>F</v>
      </c>
      <c r="BQ45" s="110" t="str">
        <f t="shared" si="27"/>
        <v>F</v>
      </c>
      <c r="BR45" s="111" t="str">
        <f t="shared" si="28"/>
        <v>F</v>
      </c>
      <c r="BS45" s="112" t="str">
        <f t="shared" si="3"/>
        <v>NEED TO PROGRESS</v>
      </c>
      <c r="BT45" s="113">
        <f t="shared" si="29"/>
        <v>291</v>
      </c>
      <c r="BU45" s="115">
        <v>57</v>
      </c>
    </row>
    <row r="46" spans="1:73" ht="27.95" customHeight="1">
      <c r="A46" s="105">
        <v>38</v>
      </c>
      <c r="B46" s="108">
        <v>103</v>
      </c>
      <c r="C46" s="116" t="s">
        <v>180</v>
      </c>
      <c r="D46" s="116" t="s">
        <v>181</v>
      </c>
      <c r="E46" s="116" t="s">
        <v>182</v>
      </c>
      <c r="F46" s="117" t="s">
        <v>307</v>
      </c>
      <c r="G46" s="108">
        <v>17</v>
      </c>
      <c r="H46" s="105">
        <v>19</v>
      </c>
      <c r="I46" s="109">
        <f t="shared" si="30"/>
        <v>36</v>
      </c>
      <c r="J46" s="105">
        <v>23</v>
      </c>
      <c r="K46" s="109">
        <f t="shared" si="31"/>
        <v>59</v>
      </c>
      <c r="L46" s="108">
        <v>9</v>
      </c>
      <c r="M46" s="105">
        <v>29</v>
      </c>
      <c r="N46" s="109">
        <f t="shared" si="32"/>
        <v>38</v>
      </c>
      <c r="O46" s="109">
        <f t="shared" si="4"/>
        <v>38</v>
      </c>
      <c r="P46" s="109">
        <f t="shared" si="33"/>
        <v>97</v>
      </c>
      <c r="Q46" s="202"/>
      <c r="R46" s="105">
        <f t="shared" si="5"/>
        <v>3.5</v>
      </c>
      <c r="S46" s="108">
        <v>7</v>
      </c>
      <c r="T46" s="105">
        <v>33</v>
      </c>
      <c r="U46" s="109">
        <f t="shared" si="6"/>
        <v>40</v>
      </c>
      <c r="V46" s="105">
        <v>5</v>
      </c>
      <c r="W46" s="105">
        <v>17</v>
      </c>
      <c r="X46" s="109">
        <f t="shared" si="7"/>
        <v>22</v>
      </c>
      <c r="Y46" s="109">
        <f t="shared" si="8"/>
        <v>62</v>
      </c>
      <c r="Z46" s="109">
        <f t="shared" si="1"/>
        <v>62</v>
      </c>
      <c r="AA46" s="202"/>
      <c r="AB46" s="105">
        <f t="shared" si="9"/>
        <v>2</v>
      </c>
      <c r="AC46" s="108">
        <v>12</v>
      </c>
      <c r="AD46" s="105">
        <v>28</v>
      </c>
      <c r="AE46" s="109">
        <f t="shared" si="10"/>
        <v>40</v>
      </c>
      <c r="AF46" s="105">
        <v>12</v>
      </c>
      <c r="AG46" s="109">
        <f t="shared" si="11"/>
        <v>52</v>
      </c>
      <c r="AH46" s="202"/>
      <c r="AI46" s="105">
        <f t="shared" si="12"/>
        <v>3</v>
      </c>
      <c r="AJ46" s="108">
        <v>14</v>
      </c>
      <c r="AK46" s="105">
        <v>34</v>
      </c>
      <c r="AL46" s="109">
        <f t="shared" si="13"/>
        <v>48</v>
      </c>
      <c r="AM46" s="105">
        <v>16</v>
      </c>
      <c r="AN46" s="109">
        <f t="shared" si="14"/>
        <v>64</v>
      </c>
      <c r="AO46" s="202"/>
      <c r="AP46" s="105">
        <f t="shared" si="15"/>
        <v>3.5</v>
      </c>
      <c r="AQ46" s="105">
        <v>18</v>
      </c>
      <c r="AR46" s="105">
        <v>25</v>
      </c>
      <c r="AS46" s="105">
        <f t="shared" si="16"/>
        <v>43</v>
      </c>
      <c r="AT46" s="206"/>
      <c r="AU46" s="105">
        <f t="shared" si="17"/>
        <v>5</v>
      </c>
      <c r="AV46" s="108">
        <v>16</v>
      </c>
      <c r="AW46" s="105">
        <v>26</v>
      </c>
      <c r="AX46" s="109">
        <f t="shared" si="18"/>
        <v>42</v>
      </c>
      <c r="AY46" s="105">
        <v>22</v>
      </c>
      <c r="AZ46" s="109">
        <f t="shared" si="19"/>
        <v>64</v>
      </c>
      <c r="BA46" s="202"/>
      <c r="BB46" s="105">
        <f t="shared" si="20"/>
        <v>3.5</v>
      </c>
      <c r="BC46" s="108">
        <v>8</v>
      </c>
      <c r="BD46" s="105">
        <v>19</v>
      </c>
      <c r="BE46" s="109">
        <f t="shared" si="21"/>
        <v>27</v>
      </c>
      <c r="BF46" s="105">
        <v>28</v>
      </c>
      <c r="BG46" s="109">
        <f t="shared" si="22"/>
        <v>55</v>
      </c>
      <c r="BH46" s="202"/>
      <c r="BI46" s="105">
        <f t="shared" si="23"/>
        <v>3</v>
      </c>
      <c r="BJ46" s="108">
        <v>7</v>
      </c>
      <c r="BK46" s="105">
        <v>24</v>
      </c>
      <c r="BL46" s="109">
        <f t="shared" si="24"/>
        <v>31</v>
      </c>
      <c r="BM46" s="109">
        <f t="shared" si="25"/>
        <v>31</v>
      </c>
      <c r="BN46" s="202"/>
      <c r="BO46" s="105">
        <f t="shared" si="34"/>
        <v>3.5</v>
      </c>
      <c r="BP46" s="105">
        <f t="shared" si="26"/>
        <v>27</v>
      </c>
      <c r="BQ46" s="110">
        <f t="shared" si="27"/>
        <v>3.375</v>
      </c>
      <c r="BR46" s="111" t="str">
        <f t="shared" si="28"/>
        <v>B</v>
      </c>
      <c r="BS46" s="112" t="str">
        <f t="shared" si="3"/>
        <v>GOOD</v>
      </c>
      <c r="BT46" s="113">
        <f t="shared" si="29"/>
        <v>468</v>
      </c>
      <c r="BU46" s="115">
        <v>55</v>
      </c>
    </row>
    <row r="47" spans="1:73" ht="27.95" customHeight="1">
      <c r="A47" s="105">
        <v>39</v>
      </c>
      <c r="B47" s="108">
        <v>105</v>
      </c>
      <c r="C47" s="116" t="s">
        <v>308</v>
      </c>
      <c r="D47" s="116" t="s">
        <v>309</v>
      </c>
      <c r="E47" s="116" t="s">
        <v>310</v>
      </c>
      <c r="F47" s="117" t="s">
        <v>311</v>
      </c>
      <c r="G47" s="108">
        <v>9</v>
      </c>
      <c r="H47" s="105">
        <v>13</v>
      </c>
      <c r="I47" s="109">
        <f t="shared" si="30"/>
        <v>22</v>
      </c>
      <c r="J47" s="105">
        <v>18</v>
      </c>
      <c r="K47" s="109">
        <f t="shared" si="31"/>
        <v>40</v>
      </c>
      <c r="L47" s="108">
        <v>5</v>
      </c>
      <c r="M47" s="105">
        <v>15</v>
      </c>
      <c r="N47" s="109">
        <f t="shared" si="32"/>
        <v>20</v>
      </c>
      <c r="O47" s="109">
        <f t="shared" si="4"/>
        <v>20</v>
      </c>
      <c r="P47" s="109">
        <f t="shared" si="33"/>
        <v>60</v>
      </c>
      <c r="Q47" s="202"/>
      <c r="R47" s="105">
        <f t="shared" si="5"/>
        <v>2</v>
      </c>
      <c r="S47" s="108">
        <v>10</v>
      </c>
      <c r="T47" s="105">
        <v>43</v>
      </c>
      <c r="U47" s="109">
        <f t="shared" si="6"/>
        <v>53</v>
      </c>
      <c r="V47" s="105">
        <v>3</v>
      </c>
      <c r="W47" s="105">
        <v>20</v>
      </c>
      <c r="X47" s="109">
        <f t="shared" si="7"/>
        <v>23</v>
      </c>
      <c r="Y47" s="109">
        <f t="shared" si="8"/>
        <v>76</v>
      </c>
      <c r="Z47" s="109">
        <f t="shared" si="1"/>
        <v>76</v>
      </c>
      <c r="AA47" s="202"/>
      <c r="AB47" s="105">
        <f t="shared" si="9"/>
        <v>3</v>
      </c>
      <c r="AC47" s="108">
        <v>11</v>
      </c>
      <c r="AD47" s="105">
        <v>33</v>
      </c>
      <c r="AE47" s="109">
        <f t="shared" si="10"/>
        <v>44</v>
      </c>
      <c r="AF47" s="105">
        <v>22</v>
      </c>
      <c r="AG47" s="109">
        <f t="shared" si="11"/>
        <v>66</v>
      </c>
      <c r="AH47" s="202"/>
      <c r="AI47" s="105">
        <f t="shared" si="12"/>
        <v>3.5</v>
      </c>
      <c r="AJ47" s="108">
        <v>15</v>
      </c>
      <c r="AK47" s="105">
        <v>28</v>
      </c>
      <c r="AL47" s="109">
        <f t="shared" si="13"/>
        <v>43</v>
      </c>
      <c r="AM47" s="105">
        <v>18</v>
      </c>
      <c r="AN47" s="109">
        <f t="shared" si="14"/>
        <v>61</v>
      </c>
      <c r="AO47" s="202"/>
      <c r="AP47" s="105">
        <f t="shared" si="15"/>
        <v>3.5</v>
      </c>
      <c r="AQ47" s="105">
        <v>16</v>
      </c>
      <c r="AR47" s="105">
        <v>25</v>
      </c>
      <c r="AS47" s="105">
        <f t="shared" si="16"/>
        <v>41</v>
      </c>
      <c r="AT47" s="206"/>
      <c r="AU47" s="105">
        <f t="shared" si="17"/>
        <v>5</v>
      </c>
      <c r="AV47" s="108">
        <v>15</v>
      </c>
      <c r="AW47" s="105">
        <v>29</v>
      </c>
      <c r="AX47" s="109">
        <f t="shared" si="18"/>
        <v>44</v>
      </c>
      <c r="AY47" s="105">
        <v>24</v>
      </c>
      <c r="AZ47" s="109">
        <f t="shared" si="19"/>
        <v>68</v>
      </c>
      <c r="BA47" s="202"/>
      <c r="BB47" s="105">
        <f t="shared" si="20"/>
        <v>3.5</v>
      </c>
      <c r="BC47" s="108">
        <v>9</v>
      </c>
      <c r="BD47" s="105">
        <v>23</v>
      </c>
      <c r="BE47" s="109">
        <f t="shared" si="21"/>
        <v>32</v>
      </c>
      <c r="BF47" s="105">
        <v>20</v>
      </c>
      <c r="BG47" s="109">
        <f t="shared" si="22"/>
        <v>52</v>
      </c>
      <c r="BH47" s="202"/>
      <c r="BI47" s="105">
        <f t="shared" si="23"/>
        <v>3</v>
      </c>
      <c r="BJ47" s="108">
        <v>4</v>
      </c>
      <c r="BK47" s="105">
        <v>24</v>
      </c>
      <c r="BL47" s="109">
        <f t="shared" si="24"/>
        <v>28</v>
      </c>
      <c r="BM47" s="109">
        <f t="shared" si="25"/>
        <v>28</v>
      </c>
      <c r="BN47" s="202"/>
      <c r="BO47" s="105">
        <f t="shared" si="34"/>
        <v>3</v>
      </c>
      <c r="BP47" s="105">
        <f t="shared" si="26"/>
        <v>26.5</v>
      </c>
      <c r="BQ47" s="110">
        <f t="shared" si="27"/>
        <v>3.3125</v>
      </c>
      <c r="BR47" s="111" t="str">
        <f t="shared" si="28"/>
        <v>B</v>
      </c>
      <c r="BS47" s="112" t="str">
        <f t="shared" si="3"/>
        <v>GOOD</v>
      </c>
      <c r="BT47" s="113">
        <f t="shared" si="29"/>
        <v>452</v>
      </c>
      <c r="BU47" s="115">
        <v>54</v>
      </c>
    </row>
    <row r="48" spans="1:73" s="39" customFormat="1" ht="27.95" customHeight="1">
      <c r="A48" s="105">
        <v>40</v>
      </c>
      <c r="B48" s="108">
        <v>106</v>
      </c>
      <c r="C48" s="116" t="s">
        <v>312</v>
      </c>
      <c r="D48" s="116" t="s">
        <v>313</v>
      </c>
      <c r="E48" s="116" t="s">
        <v>314</v>
      </c>
      <c r="F48" s="117" t="s">
        <v>315</v>
      </c>
      <c r="G48" s="108">
        <v>9</v>
      </c>
      <c r="H48" s="105">
        <v>13</v>
      </c>
      <c r="I48" s="109">
        <f t="shared" si="30"/>
        <v>22</v>
      </c>
      <c r="J48" s="105">
        <v>18</v>
      </c>
      <c r="K48" s="109">
        <f t="shared" si="31"/>
        <v>40</v>
      </c>
      <c r="L48" s="108">
        <v>5</v>
      </c>
      <c r="M48" s="105">
        <v>16</v>
      </c>
      <c r="N48" s="109">
        <f t="shared" si="32"/>
        <v>21</v>
      </c>
      <c r="O48" s="109">
        <f t="shared" si="4"/>
        <v>21</v>
      </c>
      <c r="P48" s="109">
        <f t="shared" si="33"/>
        <v>61</v>
      </c>
      <c r="Q48" s="202"/>
      <c r="R48" s="105">
        <f t="shared" si="5"/>
        <v>2</v>
      </c>
      <c r="S48" s="108">
        <v>5</v>
      </c>
      <c r="T48" s="105">
        <v>35</v>
      </c>
      <c r="U48" s="109">
        <f t="shared" si="6"/>
        <v>40</v>
      </c>
      <c r="V48" s="105">
        <v>3</v>
      </c>
      <c r="W48" s="105">
        <v>10</v>
      </c>
      <c r="X48" s="109">
        <f t="shared" si="7"/>
        <v>13</v>
      </c>
      <c r="Y48" s="109">
        <f t="shared" si="8"/>
        <v>53</v>
      </c>
      <c r="Z48" s="109">
        <f t="shared" si="1"/>
        <v>53</v>
      </c>
      <c r="AA48" s="202"/>
      <c r="AB48" s="105">
        <f t="shared" si="9"/>
        <v>0</v>
      </c>
      <c r="AC48" s="108">
        <v>11</v>
      </c>
      <c r="AD48" s="105">
        <v>8</v>
      </c>
      <c r="AE48" s="109">
        <f t="shared" si="10"/>
        <v>19</v>
      </c>
      <c r="AF48" s="105">
        <v>13</v>
      </c>
      <c r="AG48" s="109">
        <f t="shared" si="11"/>
        <v>32</v>
      </c>
      <c r="AH48" s="202"/>
      <c r="AI48" s="105" t="str">
        <f t="shared" si="12"/>
        <v>F</v>
      </c>
      <c r="AJ48" s="108">
        <v>8</v>
      </c>
      <c r="AK48" s="105">
        <v>22</v>
      </c>
      <c r="AL48" s="109">
        <f t="shared" si="13"/>
        <v>30</v>
      </c>
      <c r="AM48" s="105">
        <v>17</v>
      </c>
      <c r="AN48" s="109">
        <f t="shared" si="14"/>
        <v>47</v>
      </c>
      <c r="AO48" s="202"/>
      <c r="AP48" s="105">
        <f t="shared" si="15"/>
        <v>2</v>
      </c>
      <c r="AQ48" s="105">
        <v>22</v>
      </c>
      <c r="AR48" s="105">
        <v>25</v>
      </c>
      <c r="AS48" s="105">
        <f t="shared" si="16"/>
        <v>47</v>
      </c>
      <c r="AT48" s="206"/>
      <c r="AU48" s="105">
        <f t="shared" si="17"/>
        <v>5</v>
      </c>
      <c r="AV48" s="108">
        <v>12</v>
      </c>
      <c r="AW48" s="105">
        <v>23</v>
      </c>
      <c r="AX48" s="109">
        <f t="shared" si="18"/>
        <v>35</v>
      </c>
      <c r="AY48" s="105">
        <v>22</v>
      </c>
      <c r="AZ48" s="109">
        <f t="shared" si="19"/>
        <v>57</v>
      </c>
      <c r="BA48" s="202"/>
      <c r="BB48" s="105">
        <f t="shared" si="20"/>
        <v>3</v>
      </c>
      <c r="BC48" s="108">
        <v>9</v>
      </c>
      <c r="BD48" s="105">
        <v>24</v>
      </c>
      <c r="BE48" s="109">
        <f t="shared" si="21"/>
        <v>33</v>
      </c>
      <c r="BF48" s="105">
        <v>21</v>
      </c>
      <c r="BG48" s="109">
        <f t="shared" si="22"/>
        <v>54</v>
      </c>
      <c r="BH48" s="202"/>
      <c r="BI48" s="105">
        <f t="shared" si="23"/>
        <v>3</v>
      </c>
      <c r="BJ48" s="108">
        <v>5</v>
      </c>
      <c r="BK48" s="105">
        <v>28</v>
      </c>
      <c r="BL48" s="109">
        <f t="shared" si="24"/>
        <v>33</v>
      </c>
      <c r="BM48" s="109">
        <f t="shared" si="25"/>
        <v>33</v>
      </c>
      <c r="BN48" s="202"/>
      <c r="BO48" s="105">
        <f t="shared" si="34"/>
        <v>3.5</v>
      </c>
      <c r="BP48" s="105" t="str">
        <f t="shared" si="26"/>
        <v>F</v>
      </c>
      <c r="BQ48" s="110" t="str">
        <f t="shared" si="27"/>
        <v>F</v>
      </c>
      <c r="BR48" s="111" t="str">
        <f t="shared" si="28"/>
        <v>F</v>
      </c>
      <c r="BS48" s="112" t="str">
        <f t="shared" si="3"/>
        <v>NEED TO PROGRESS</v>
      </c>
      <c r="BT48" s="113">
        <f t="shared" si="29"/>
        <v>384</v>
      </c>
      <c r="BU48" s="115">
        <v>52</v>
      </c>
    </row>
    <row r="49" spans="1:73" ht="27.95" customHeight="1">
      <c r="A49" s="105">
        <v>41</v>
      </c>
      <c r="B49" s="105">
        <v>107</v>
      </c>
      <c r="C49" s="106" t="s">
        <v>183</v>
      </c>
      <c r="D49" s="106" t="s">
        <v>184</v>
      </c>
      <c r="E49" s="106" t="s">
        <v>185</v>
      </c>
      <c r="F49" s="107" t="s">
        <v>316</v>
      </c>
      <c r="G49" s="109">
        <v>13</v>
      </c>
      <c r="H49" s="105">
        <v>24</v>
      </c>
      <c r="I49" s="109">
        <f t="shared" si="30"/>
        <v>37</v>
      </c>
      <c r="J49" s="105">
        <v>21</v>
      </c>
      <c r="K49" s="109">
        <f t="shared" si="31"/>
        <v>58</v>
      </c>
      <c r="L49" s="108">
        <v>9</v>
      </c>
      <c r="M49" s="105">
        <v>30</v>
      </c>
      <c r="N49" s="109">
        <f t="shared" si="32"/>
        <v>39</v>
      </c>
      <c r="O49" s="109">
        <f t="shared" si="4"/>
        <v>39</v>
      </c>
      <c r="P49" s="109">
        <f t="shared" si="33"/>
        <v>97</v>
      </c>
      <c r="Q49" s="202"/>
      <c r="R49" s="105">
        <f t="shared" si="5"/>
        <v>3.5</v>
      </c>
      <c r="S49" s="108">
        <v>17</v>
      </c>
      <c r="T49" s="105">
        <v>57</v>
      </c>
      <c r="U49" s="109">
        <f t="shared" si="6"/>
        <v>74</v>
      </c>
      <c r="V49" s="105">
        <v>5</v>
      </c>
      <c r="W49" s="105">
        <v>26</v>
      </c>
      <c r="X49" s="109">
        <f t="shared" si="7"/>
        <v>31</v>
      </c>
      <c r="Y49" s="109">
        <f t="shared" si="8"/>
        <v>105</v>
      </c>
      <c r="Z49" s="109">
        <f t="shared" si="1"/>
        <v>105</v>
      </c>
      <c r="AA49" s="202"/>
      <c r="AB49" s="105">
        <f t="shared" si="9"/>
        <v>4</v>
      </c>
      <c r="AC49" s="108">
        <v>10</v>
      </c>
      <c r="AD49" s="105">
        <v>29</v>
      </c>
      <c r="AE49" s="109">
        <f t="shared" si="10"/>
        <v>39</v>
      </c>
      <c r="AF49" s="105">
        <v>18</v>
      </c>
      <c r="AG49" s="109">
        <f t="shared" si="11"/>
        <v>57</v>
      </c>
      <c r="AH49" s="202"/>
      <c r="AI49" s="105">
        <f t="shared" si="12"/>
        <v>3</v>
      </c>
      <c r="AJ49" s="108">
        <v>8</v>
      </c>
      <c r="AK49" s="105">
        <v>39</v>
      </c>
      <c r="AL49" s="109">
        <f t="shared" si="13"/>
        <v>47</v>
      </c>
      <c r="AM49" s="105">
        <v>20</v>
      </c>
      <c r="AN49" s="109">
        <f t="shared" si="14"/>
        <v>67</v>
      </c>
      <c r="AO49" s="202"/>
      <c r="AP49" s="105">
        <f t="shared" si="15"/>
        <v>3.5</v>
      </c>
      <c r="AQ49" s="105">
        <v>23</v>
      </c>
      <c r="AR49" s="105">
        <v>25</v>
      </c>
      <c r="AS49" s="105">
        <f t="shared" si="16"/>
        <v>48</v>
      </c>
      <c r="AT49" s="206"/>
      <c r="AU49" s="105">
        <f t="shared" si="17"/>
        <v>5</v>
      </c>
      <c r="AV49" s="108">
        <v>19</v>
      </c>
      <c r="AW49" s="105">
        <v>38</v>
      </c>
      <c r="AX49" s="109">
        <f t="shared" si="18"/>
        <v>57</v>
      </c>
      <c r="AY49" s="105">
        <v>24</v>
      </c>
      <c r="AZ49" s="109">
        <f t="shared" si="19"/>
        <v>81</v>
      </c>
      <c r="BA49" s="202"/>
      <c r="BB49" s="105">
        <f t="shared" si="20"/>
        <v>5</v>
      </c>
      <c r="BC49" s="108">
        <v>9</v>
      </c>
      <c r="BD49" s="105">
        <v>32</v>
      </c>
      <c r="BE49" s="109">
        <f t="shared" si="21"/>
        <v>41</v>
      </c>
      <c r="BF49" s="105">
        <v>21</v>
      </c>
      <c r="BG49" s="109">
        <f t="shared" si="22"/>
        <v>62</v>
      </c>
      <c r="BH49" s="202"/>
      <c r="BI49" s="105">
        <f t="shared" si="23"/>
        <v>3.5</v>
      </c>
      <c r="BJ49" s="108">
        <v>6</v>
      </c>
      <c r="BK49" s="105">
        <v>24</v>
      </c>
      <c r="BL49" s="109">
        <f t="shared" si="24"/>
        <v>30</v>
      </c>
      <c r="BM49" s="109">
        <f t="shared" si="25"/>
        <v>30</v>
      </c>
      <c r="BN49" s="202"/>
      <c r="BO49" s="105">
        <f t="shared" si="34"/>
        <v>3.5</v>
      </c>
      <c r="BP49" s="105">
        <f t="shared" si="26"/>
        <v>31</v>
      </c>
      <c r="BQ49" s="110">
        <f t="shared" si="27"/>
        <v>3.875</v>
      </c>
      <c r="BR49" s="111" t="str">
        <f t="shared" si="28"/>
        <v>A-</v>
      </c>
      <c r="BS49" s="112" t="str">
        <f t="shared" si="3"/>
        <v>GOOD</v>
      </c>
      <c r="BT49" s="113">
        <f t="shared" si="29"/>
        <v>547</v>
      </c>
      <c r="BU49" s="115">
        <v>53</v>
      </c>
    </row>
    <row r="50" spans="1:73" ht="27.95" customHeight="1">
      <c r="A50" s="105">
        <v>42</v>
      </c>
      <c r="B50" s="105">
        <v>109</v>
      </c>
      <c r="C50" s="116" t="s">
        <v>317</v>
      </c>
      <c r="D50" s="116" t="s">
        <v>318</v>
      </c>
      <c r="E50" s="116" t="s">
        <v>319</v>
      </c>
      <c r="F50" s="117" t="s">
        <v>320</v>
      </c>
      <c r="G50" s="105">
        <v>8</v>
      </c>
      <c r="H50" s="105">
        <v>6</v>
      </c>
      <c r="I50" s="109">
        <f t="shared" si="30"/>
        <v>14</v>
      </c>
      <c r="J50" s="105">
        <v>13</v>
      </c>
      <c r="K50" s="109">
        <f t="shared" si="31"/>
        <v>27</v>
      </c>
      <c r="L50" s="108">
        <v>2</v>
      </c>
      <c r="M50" s="105">
        <v>18</v>
      </c>
      <c r="N50" s="109">
        <f t="shared" si="32"/>
        <v>20</v>
      </c>
      <c r="O50" s="109">
        <f t="shared" si="4"/>
        <v>20</v>
      </c>
      <c r="P50" s="109">
        <f t="shared" si="33"/>
        <v>47</v>
      </c>
      <c r="Q50" s="202"/>
      <c r="R50" s="105" t="str">
        <f t="shared" si="5"/>
        <v>F</v>
      </c>
      <c r="S50" s="108"/>
      <c r="T50" s="105">
        <v>17</v>
      </c>
      <c r="U50" s="109">
        <f t="shared" si="6"/>
        <v>17</v>
      </c>
      <c r="V50" s="105"/>
      <c r="W50" s="105">
        <v>21</v>
      </c>
      <c r="X50" s="109">
        <f t="shared" si="7"/>
        <v>21</v>
      </c>
      <c r="Y50" s="109">
        <f t="shared" si="8"/>
        <v>38</v>
      </c>
      <c r="Z50" s="109">
        <f t="shared" si="1"/>
        <v>38</v>
      </c>
      <c r="AA50" s="202"/>
      <c r="AB50" s="105">
        <f t="shared" si="9"/>
        <v>0</v>
      </c>
      <c r="AC50" s="108"/>
      <c r="AD50" s="105">
        <v>4</v>
      </c>
      <c r="AE50" s="109">
        <f t="shared" si="10"/>
        <v>4</v>
      </c>
      <c r="AF50" s="105">
        <v>12</v>
      </c>
      <c r="AG50" s="109">
        <f t="shared" si="11"/>
        <v>16</v>
      </c>
      <c r="AH50" s="202"/>
      <c r="AI50" s="105" t="str">
        <f t="shared" si="12"/>
        <v>F</v>
      </c>
      <c r="AJ50" s="108"/>
      <c r="AK50" s="105">
        <v>21</v>
      </c>
      <c r="AL50" s="109">
        <f t="shared" si="13"/>
        <v>21</v>
      </c>
      <c r="AM50" s="105">
        <v>10</v>
      </c>
      <c r="AN50" s="109">
        <f t="shared" si="14"/>
        <v>31</v>
      </c>
      <c r="AO50" s="202"/>
      <c r="AP50" s="105" t="str">
        <f t="shared" si="15"/>
        <v>F</v>
      </c>
      <c r="AQ50" s="105">
        <v>22</v>
      </c>
      <c r="AR50" s="105">
        <v>25</v>
      </c>
      <c r="AS50" s="105">
        <f t="shared" si="16"/>
        <v>47</v>
      </c>
      <c r="AT50" s="206"/>
      <c r="AU50" s="105">
        <f t="shared" si="17"/>
        <v>5</v>
      </c>
      <c r="AV50" s="108"/>
      <c r="AW50" s="105">
        <v>28</v>
      </c>
      <c r="AX50" s="109">
        <f t="shared" si="18"/>
        <v>28</v>
      </c>
      <c r="AY50" s="105">
        <v>16</v>
      </c>
      <c r="AZ50" s="109">
        <f t="shared" si="19"/>
        <v>44</v>
      </c>
      <c r="BA50" s="202"/>
      <c r="BB50" s="105">
        <f t="shared" si="20"/>
        <v>2</v>
      </c>
      <c r="BC50" s="108"/>
      <c r="BD50" s="105">
        <v>28</v>
      </c>
      <c r="BE50" s="109">
        <f t="shared" si="21"/>
        <v>28</v>
      </c>
      <c r="BF50" s="105">
        <v>12</v>
      </c>
      <c r="BG50" s="109">
        <f t="shared" si="22"/>
        <v>40</v>
      </c>
      <c r="BH50" s="202"/>
      <c r="BI50" s="105">
        <f t="shared" si="23"/>
        <v>2</v>
      </c>
      <c r="BJ50" s="108"/>
      <c r="BK50" s="105">
        <v>28</v>
      </c>
      <c r="BL50" s="109">
        <f t="shared" si="24"/>
        <v>28</v>
      </c>
      <c r="BM50" s="109">
        <f t="shared" si="25"/>
        <v>28</v>
      </c>
      <c r="BN50" s="202"/>
      <c r="BO50" s="105">
        <f t="shared" si="34"/>
        <v>3</v>
      </c>
      <c r="BP50" s="105" t="str">
        <f t="shared" si="26"/>
        <v>F</v>
      </c>
      <c r="BQ50" s="110" t="str">
        <f t="shared" si="27"/>
        <v>F</v>
      </c>
      <c r="BR50" s="110" t="str">
        <f t="shared" si="28"/>
        <v>F</v>
      </c>
      <c r="BS50" s="112" t="str">
        <f t="shared" si="3"/>
        <v>NEED TO PROGRESS</v>
      </c>
      <c r="BT50" s="113">
        <f t="shared" si="29"/>
        <v>291</v>
      </c>
      <c r="BU50" s="114">
        <v>54</v>
      </c>
    </row>
    <row r="51" spans="1:73" ht="27.95" customHeight="1">
      <c r="A51" s="105">
        <v>43</v>
      </c>
      <c r="B51" s="118">
        <v>2</v>
      </c>
      <c r="C51" s="119" t="s">
        <v>66</v>
      </c>
      <c r="D51" s="106" t="s">
        <v>64</v>
      </c>
      <c r="E51" s="106" t="s">
        <v>321</v>
      </c>
      <c r="F51" s="107" t="s">
        <v>208</v>
      </c>
      <c r="G51" s="120">
        <v>19</v>
      </c>
      <c r="H51" s="121">
        <v>47</v>
      </c>
      <c r="I51" s="122">
        <f>H51+G51</f>
        <v>66</v>
      </c>
      <c r="J51" s="121">
        <v>30</v>
      </c>
      <c r="K51" s="122">
        <f>I51+J51</f>
        <v>96</v>
      </c>
      <c r="L51" s="120">
        <v>10</v>
      </c>
      <c r="M51" s="121">
        <v>38</v>
      </c>
      <c r="N51" s="122">
        <f>M51+L51</f>
        <v>48</v>
      </c>
      <c r="O51" s="109">
        <f t="shared" si="4"/>
        <v>48</v>
      </c>
      <c r="P51" s="122">
        <f t="shared" si="33"/>
        <v>144</v>
      </c>
      <c r="Q51" s="202"/>
      <c r="R51" s="121">
        <f>IF(P51&lt;60,"F",IF(P51&lt;70,2,IF(P51&lt;95,3,IF(P51&lt;105,3.5,IF(P51&lt;120,4,5)))))</f>
        <v>5</v>
      </c>
      <c r="S51" s="120">
        <v>20</v>
      </c>
      <c r="T51" s="121">
        <v>76</v>
      </c>
      <c r="U51" s="122">
        <f>T51+S51</f>
        <v>96</v>
      </c>
      <c r="V51" s="121">
        <v>10</v>
      </c>
      <c r="W51" s="121">
        <v>37</v>
      </c>
      <c r="X51" s="122">
        <f>W51+V51</f>
        <v>47</v>
      </c>
      <c r="Y51" s="122">
        <f t="shared" si="8"/>
        <v>143</v>
      </c>
      <c r="Z51" s="122">
        <f t="shared" si="1"/>
        <v>143</v>
      </c>
      <c r="AA51" s="202"/>
      <c r="AB51" s="121">
        <f>IF(Z51&lt;60,"F",IF(Z51&lt;75,2,IF(Z51&lt;90,3,IF(Z51&lt;105,3.5,IF(Z51&lt;120,4,5)))))</f>
        <v>5</v>
      </c>
      <c r="AC51" s="120">
        <v>20</v>
      </c>
      <c r="AD51" s="121">
        <v>50</v>
      </c>
      <c r="AE51" s="122">
        <f>AD51+AC51</f>
        <v>70</v>
      </c>
      <c r="AF51" s="121">
        <v>28</v>
      </c>
      <c r="AG51" s="122">
        <f>AE51+AF51</f>
        <v>98</v>
      </c>
      <c r="AH51" s="202"/>
      <c r="AI51" s="121">
        <f>IF(AG51&lt;40,"F",IF(AG51&lt;50,2,IF(AG51&lt;60,3,IF(AG51&lt;70,3.5,IF(AG51&lt;80,4,5)))))</f>
        <v>5</v>
      </c>
      <c r="AJ51" s="120">
        <v>20</v>
      </c>
      <c r="AK51" s="121">
        <v>50</v>
      </c>
      <c r="AL51" s="122">
        <f>AK51+AJ51</f>
        <v>70</v>
      </c>
      <c r="AM51" s="121">
        <v>27</v>
      </c>
      <c r="AN51" s="122">
        <f>+AL51+AM51</f>
        <v>97</v>
      </c>
      <c r="AO51" s="202"/>
      <c r="AP51" s="121">
        <f>IF(AN51&lt;40,"F",IF(AN51&lt;50,2,IF(AN51&lt;60,3,IF(AN51&lt;70,3.5,IF(AN51&lt;80,4,5)))))</f>
        <v>5</v>
      </c>
      <c r="AQ51" s="121">
        <v>25</v>
      </c>
      <c r="AR51" s="121">
        <v>25</v>
      </c>
      <c r="AS51" s="105">
        <f t="shared" si="16"/>
        <v>50</v>
      </c>
      <c r="AT51" s="206"/>
      <c r="AU51" s="121">
        <f>IF(AS51&lt;20,"F",IF(AS51&lt;25,2,IF(AS51&lt;30,3,IF(AS51&lt;35,3.5,IF(AS51&lt;40,4,5)))))</f>
        <v>5</v>
      </c>
      <c r="AV51" s="120">
        <v>20</v>
      </c>
      <c r="AW51" s="121">
        <v>50</v>
      </c>
      <c r="AX51" s="122">
        <f>AW51+AV51</f>
        <v>70</v>
      </c>
      <c r="AY51" s="121">
        <v>28</v>
      </c>
      <c r="AZ51" s="122">
        <f>AX51+AY51</f>
        <v>98</v>
      </c>
      <c r="BA51" s="202"/>
      <c r="BB51" s="121">
        <f>IF(AZ51&lt;40,"F",IF(AZ51&lt;50,2,IF(AZ51&lt;60,3,IF(AZ51&lt;70,3.5,IF(AZ51&lt;80,4,5)))))</f>
        <v>5</v>
      </c>
      <c r="BC51" s="120">
        <v>20</v>
      </c>
      <c r="BD51" s="121">
        <v>48</v>
      </c>
      <c r="BE51" s="122">
        <f>BD51+BC51</f>
        <v>68</v>
      </c>
      <c r="BF51" s="121">
        <v>30</v>
      </c>
      <c r="BG51" s="122">
        <f>BE51+BF51</f>
        <v>98</v>
      </c>
      <c r="BH51" s="202"/>
      <c r="BI51" s="121">
        <f>IF(BG51&lt;40,"F",IF(BG51&lt;50,2,IF(BG51&lt;60,3,IF(BG51&lt;70,3.5,IF(BG51&lt;80,4,5)))))</f>
        <v>5</v>
      </c>
      <c r="BJ51" s="120">
        <v>10</v>
      </c>
      <c r="BK51" s="121">
        <v>32</v>
      </c>
      <c r="BL51" s="122">
        <f>BK51+BJ51</f>
        <v>42</v>
      </c>
      <c r="BM51" s="109">
        <f t="shared" si="25"/>
        <v>42</v>
      </c>
      <c r="BN51" s="202"/>
      <c r="BO51" s="121">
        <f t="shared" si="34"/>
        <v>5</v>
      </c>
      <c r="BP51" s="105">
        <f t="shared" si="26"/>
        <v>40</v>
      </c>
      <c r="BQ51" s="110">
        <f t="shared" si="27"/>
        <v>5</v>
      </c>
      <c r="BR51" s="124" t="str">
        <f>IF(BQ51="F","F",IF(BQ51&lt;2.5,"D",IF(BQ51&lt;3,"C",IF(BQ51&lt;3.5,"B",IF(BQ51&lt;4,"A-",IF(BQ51&lt;5,"A","A+"))))))</f>
        <v>A+</v>
      </c>
      <c r="BS51" s="125" t="str">
        <f t="shared" si="3"/>
        <v>BEST</v>
      </c>
      <c r="BT51" s="113">
        <f t="shared" si="29"/>
        <v>770</v>
      </c>
      <c r="BU51" s="115">
        <v>70</v>
      </c>
    </row>
    <row r="52" spans="1:73" ht="27.95" customHeight="1">
      <c r="A52" s="105">
        <v>44</v>
      </c>
      <c r="B52" s="118">
        <v>4</v>
      </c>
      <c r="C52" s="126" t="s">
        <v>71</v>
      </c>
      <c r="D52" s="127" t="s">
        <v>72</v>
      </c>
      <c r="E52" s="127" t="s">
        <v>73</v>
      </c>
      <c r="F52" s="118" t="s">
        <v>322</v>
      </c>
      <c r="G52" s="120">
        <v>17</v>
      </c>
      <c r="H52" s="121">
        <v>44</v>
      </c>
      <c r="I52" s="122">
        <f>H52+G52</f>
        <v>61</v>
      </c>
      <c r="J52" s="121">
        <v>24</v>
      </c>
      <c r="K52" s="122">
        <f>I52+J52</f>
        <v>85</v>
      </c>
      <c r="L52" s="120">
        <v>9</v>
      </c>
      <c r="M52" s="121">
        <v>36</v>
      </c>
      <c r="N52" s="122">
        <f>M52+L52</f>
        <v>45</v>
      </c>
      <c r="O52" s="109">
        <f t="shared" si="4"/>
        <v>45</v>
      </c>
      <c r="P52" s="122">
        <f t="shared" si="33"/>
        <v>130</v>
      </c>
      <c r="Q52" s="202"/>
      <c r="R52" s="121">
        <f t="shared" ref="R52:R94" si="35">IF(P52&lt;60,"F",IF(P52&lt;70,2,IF(P52&lt;95,3,IF(P52&lt;105,3.5,IF(P52&lt;120,4,5)))))</f>
        <v>5</v>
      </c>
      <c r="S52" s="120">
        <v>12</v>
      </c>
      <c r="T52" s="121">
        <v>49</v>
      </c>
      <c r="U52" s="122">
        <f t="shared" ref="U52:U94" si="36">T52+S52</f>
        <v>61</v>
      </c>
      <c r="V52" s="121">
        <v>7</v>
      </c>
      <c r="W52" s="121">
        <v>24</v>
      </c>
      <c r="X52" s="122">
        <f t="shared" ref="X52:X94" si="37">W52+V52</f>
        <v>31</v>
      </c>
      <c r="Y52" s="122">
        <f>U52+X52</f>
        <v>92</v>
      </c>
      <c r="Z52" s="122">
        <f>Y52</f>
        <v>92</v>
      </c>
      <c r="AA52" s="202"/>
      <c r="AB52" s="121">
        <f t="shared" ref="AB52:AB94" si="38">IF(Z52&lt;60,"F",IF(Z52&lt;75,2,IF(Z52&lt;90,3,IF(Z52&lt;105,3.5,IF(Z52&lt;120,4,5)))))</f>
        <v>3.5</v>
      </c>
      <c r="AC52" s="120">
        <v>17</v>
      </c>
      <c r="AD52" s="121">
        <v>28</v>
      </c>
      <c r="AE52" s="122">
        <f t="shared" ref="AE52:AE94" si="39">AD52+AC52</f>
        <v>45</v>
      </c>
      <c r="AF52" s="121">
        <v>19</v>
      </c>
      <c r="AG52" s="122">
        <f t="shared" ref="AG52:AG94" si="40">AE52+AF52</f>
        <v>64</v>
      </c>
      <c r="AH52" s="202"/>
      <c r="AI52" s="121">
        <f t="shared" ref="AI52:AI94" si="41">IF(AG52&lt;40,"F",IF(AG52&lt;50,2,IF(AG52&lt;60,3,IF(AG52&lt;70,3.5,IF(AG52&lt;80,4,5)))))</f>
        <v>3.5</v>
      </c>
      <c r="AJ52" s="120">
        <v>18</v>
      </c>
      <c r="AK52" s="121">
        <v>40</v>
      </c>
      <c r="AL52" s="122">
        <f t="shared" ref="AL52:AL94" si="42">AK52+AJ52</f>
        <v>58</v>
      </c>
      <c r="AM52" s="121">
        <v>16</v>
      </c>
      <c r="AN52" s="122">
        <f>AL52+AM52</f>
        <v>74</v>
      </c>
      <c r="AO52" s="202"/>
      <c r="AP52" s="121">
        <f t="shared" ref="AP52:AP94" si="43">IF(AN52&lt;40,"F",IF(AN52&lt;50,2,IF(AN52&lt;60,3,IF(AN52&lt;70,3.5,IF(AN52&lt;80,4,5)))))</f>
        <v>4</v>
      </c>
      <c r="AQ52" s="121">
        <v>23</v>
      </c>
      <c r="AR52" s="121">
        <v>25</v>
      </c>
      <c r="AS52" s="105">
        <f t="shared" si="16"/>
        <v>48</v>
      </c>
      <c r="AT52" s="206"/>
      <c r="AU52" s="121">
        <f t="shared" ref="AU52:AU94" si="44">IF(AS52&lt;20,"F",IF(AS52&lt;25,2,IF(AS52&lt;30,3,IF(AS52&lt;35,3.5,IF(AS52&lt;40,4,5)))))</f>
        <v>5</v>
      </c>
      <c r="AV52" s="120">
        <v>17</v>
      </c>
      <c r="AW52" s="121">
        <v>41</v>
      </c>
      <c r="AX52" s="122">
        <f t="shared" ref="AX52:AX94" si="45">AW52+AV52</f>
        <v>58</v>
      </c>
      <c r="AY52" s="121">
        <v>21</v>
      </c>
      <c r="AZ52" s="122">
        <f t="shared" ref="AZ52:AZ94" si="46">AX52+AY52</f>
        <v>79</v>
      </c>
      <c r="BA52" s="202"/>
      <c r="BB52" s="121">
        <f t="shared" ref="BB52:BB94" si="47">IF(AZ52&lt;40,"F",IF(AZ52&lt;50,2,IF(AZ52&lt;60,3,IF(AZ52&lt;70,3.5,IF(AZ52&lt;80,4,5)))))</f>
        <v>4</v>
      </c>
      <c r="BC52" s="120">
        <v>17</v>
      </c>
      <c r="BD52" s="121">
        <v>44</v>
      </c>
      <c r="BE52" s="122">
        <f t="shared" ref="BE52:BE94" si="48">BD52+BC52</f>
        <v>61</v>
      </c>
      <c r="BF52" s="121">
        <v>21</v>
      </c>
      <c r="BG52" s="122">
        <f t="shared" ref="BG52:BG94" si="49">BE52+BF52</f>
        <v>82</v>
      </c>
      <c r="BH52" s="202"/>
      <c r="BI52" s="121">
        <f t="shared" ref="BI52:BI94" si="50">IF(BG52&lt;40,"F",IF(BG52&lt;50,2,IF(BG52&lt;60,3,IF(BG52&lt;70,3.5,IF(BG52&lt;80,4,5)))))</f>
        <v>5</v>
      </c>
      <c r="BJ52" s="120">
        <v>9</v>
      </c>
      <c r="BK52" s="121">
        <v>28</v>
      </c>
      <c r="BL52" s="122">
        <f t="shared" ref="BL52:BL94" si="51">BK52+BJ52</f>
        <v>37</v>
      </c>
      <c r="BM52" s="109">
        <f t="shared" si="25"/>
        <v>37</v>
      </c>
      <c r="BN52" s="202"/>
      <c r="BO52" s="121">
        <f t="shared" si="34"/>
        <v>4</v>
      </c>
      <c r="BP52" s="105">
        <f t="shared" si="26"/>
        <v>34</v>
      </c>
      <c r="BQ52" s="110">
        <f t="shared" si="27"/>
        <v>4.25</v>
      </c>
      <c r="BR52" s="124" t="str">
        <f t="shared" ref="BR52:BR94" si="52">IF(BQ52="F","F",IF(BQ52&lt;2.5,"D",IF(BQ52&lt;3,"C",IF(BQ52&lt;3.5,"B",IF(BQ52&lt;4,"A-",IF(BQ52&lt;5,"A","A+"))))))</f>
        <v>A</v>
      </c>
      <c r="BS52" s="125" t="str">
        <f t="shared" si="3"/>
        <v>BETTER</v>
      </c>
      <c r="BT52" s="113">
        <f t="shared" si="29"/>
        <v>606</v>
      </c>
      <c r="BU52" s="115">
        <v>65</v>
      </c>
    </row>
    <row r="53" spans="1:73" s="40" customFormat="1" ht="27.95" customHeight="1">
      <c r="A53" s="105">
        <v>45</v>
      </c>
      <c r="B53" s="118">
        <v>8</v>
      </c>
      <c r="C53" s="128" t="s">
        <v>80</v>
      </c>
      <c r="D53" s="129" t="s">
        <v>81</v>
      </c>
      <c r="E53" s="129" t="s">
        <v>82</v>
      </c>
      <c r="F53" s="130" t="s">
        <v>323</v>
      </c>
      <c r="G53" s="120">
        <v>14</v>
      </c>
      <c r="H53" s="121">
        <v>36</v>
      </c>
      <c r="I53" s="122">
        <f t="shared" ref="I53:I94" si="53">H53+G53</f>
        <v>50</v>
      </c>
      <c r="J53" s="121">
        <v>19</v>
      </c>
      <c r="K53" s="122">
        <f t="shared" ref="K53:K94" si="54">I53+J53</f>
        <v>69</v>
      </c>
      <c r="L53" s="120">
        <v>8</v>
      </c>
      <c r="M53" s="121">
        <v>24</v>
      </c>
      <c r="N53" s="122">
        <f t="shared" ref="N53:N94" si="55">M53+L53</f>
        <v>32</v>
      </c>
      <c r="O53" s="109">
        <f t="shared" si="4"/>
        <v>32</v>
      </c>
      <c r="P53" s="122">
        <f t="shared" si="33"/>
        <v>101</v>
      </c>
      <c r="Q53" s="202"/>
      <c r="R53" s="121">
        <f t="shared" si="35"/>
        <v>3.5</v>
      </c>
      <c r="S53" s="120">
        <v>14</v>
      </c>
      <c r="T53" s="121">
        <v>61</v>
      </c>
      <c r="U53" s="122">
        <f t="shared" si="36"/>
        <v>75</v>
      </c>
      <c r="V53" s="121">
        <v>7</v>
      </c>
      <c r="W53" s="121">
        <v>28</v>
      </c>
      <c r="X53" s="122">
        <f t="shared" si="37"/>
        <v>35</v>
      </c>
      <c r="Y53" s="122">
        <f t="shared" ref="Y53:Y94" si="56">U53+X53</f>
        <v>110</v>
      </c>
      <c r="Z53" s="122">
        <f t="shared" ref="Z53:Z94" si="57">Y53</f>
        <v>110</v>
      </c>
      <c r="AA53" s="202"/>
      <c r="AB53" s="121">
        <f t="shared" si="38"/>
        <v>4</v>
      </c>
      <c r="AC53" s="120">
        <v>10</v>
      </c>
      <c r="AD53" s="121">
        <v>31</v>
      </c>
      <c r="AE53" s="122">
        <f t="shared" si="39"/>
        <v>41</v>
      </c>
      <c r="AF53" s="121">
        <v>28</v>
      </c>
      <c r="AG53" s="122">
        <f t="shared" si="40"/>
        <v>69</v>
      </c>
      <c r="AH53" s="202"/>
      <c r="AI53" s="121">
        <f t="shared" si="41"/>
        <v>3.5</v>
      </c>
      <c r="AJ53" s="120">
        <v>17</v>
      </c>
      <c r="AK53" s="121">
        <v>38</v>
      </c>
      <c r="AL53" s="122">
        <f t="shared" si="42"/>
        <v>55</v>
      </c>
      <c r="AM53" s="121">
        <v>16</v>
      </c>
      <c r="AN53" s="122">
        <f t="shared" ref="AN53:AN94" si="58">AL53+AM53</f>
        <v>71</v>
      </c>
      <c r="AO53" s="202"/>
      <c r="AP53" s="121">
        <f t="shared" si="43"/>
        <v>4</v>
      </c>
      <c r="AQ53" s="121">
        <v>25</v>
      </c>
      <c r="AR53" s="121">
        <v>25</v>
      </c>
      <c r="AS53" s="105">
        <f t="shared" si="16"/>
        <v>50</v>
      </c>
      <c r="AT53" s="206"/>
      <c r="AU53" s="121">
        <f t="shared" si="44"/>
        <v>5</v>
      </c>
      <c r="AV53" s="120">
        <v>16</v>
      </c>
      <c r="AW53" s="121">
        <v>39</v>
      </c>
      <c r="AX53" s="122">
        <f t="shared" si="45"/>
        <v>55</v>
      </c>
      <c r="AY53" s="121">
        <v>22</v>
      </c>
      <c r="AZ53" s="122">
        <f t="shared" si="46"/>
        <v>77</v>
      </c>
      <c r="BA53" s="202"/>
      <c r="BB53" s="121">
        <f t="shared" si="47"/>
        <v>4</v>
      </c>
      <c r="BC53" s="120">
        <v>12</v>
      </c>
      <c r="BD53" s="121">
        <v>42</v>
      </c>
      <c r="BE53" s="122">
        <f t="shared" si="48"/>
        <v>54</v>
      </c>
      <c r="BF53" s="121">
        <v>22</v>
      </c>
      <c r="BG53" s="122">
        <f t="shared" si="49"/>
        <v>76</v>
      </c>
      <c r="BH53" s="202"/>
      <c r="BI53" s="121">
        <f t="shared" si="50"/>
        <v>4</v>
      </c>
      <c r="BJ53" s="120">
        <v>8</v>
      </c>
      <c r="BK53" s="121">
        <v>24</v>
      </c>
      <c r="BL53" s="122">
        <f t="shared" si="51"/>
        <v>32</v>
      </c>
      <c r="BM53" s="109">
        <f t="shared" si="25"/>
        <v>32</v>
      </c>
      <c r="BN53" s="202"/>
      <c r="BO53" s="121">
        <f t="shared" si="34"/>
        <v>3.5</v>
      </c>
      <c r="BP53" s="105">
        <f t="shared" si="26"/>
        <v>31.5</v>
      </c>
      <c r="BQ53" s="110">
        <f t="shared" si="27"/>
        <v>3.9375</v>
      </c>
      <c r="BR53" s="124" t="str">
        <f t="shared" si="52"/>
        <v>A-</v>
      </c>
      <c r="BS53" s="125" t="str">
        <f t="shared" si="3"/>
        <v>GOOD</v>
      </c>
      <c r="BT53" s="113">
        <f t="shared" si="29"/>
        <v>586</v>
      </c>
      <c r="BU53" s="115">
        <v>68</v>
      </c>
    </row>
    <row r="54" spans="1:73" ht="27.95" customHeight="1">
      <c r="A54" s="105">
        <v>46</v>
      </c>
      <c r="B54" s="118">
        <v>10</v>
      </c>
      <c r="C54" s="131" t="s">
        <v>324</v>
      </c>
      <c r="D54" s="132" t="s">
        <v>83</v>
      </c>
      <c r="E54" s="132" t="s">
        <v>84</v>
      </c>
      <c r="F54" s="130" t="s">
        <v>325</v>
      </c>
      <c r="G54" s="120">
        <v>17</v>
      </c>
      <c r="H54" s="121">
        <v>45</v>
      </c>
      <c r="I54" s="122">
        <f t="shared" si="53"/>
        <v>62</v>
      </c>
      <c r="J54" s="121">
        <v>30</v>
      </c>
      <c r="K54" s="122">
        <f t="shared" si="54"/>
        <v>92</v>
      </c>
      <c r="L54" s="120">
        <v>9</v>
      </c>
      <c r="M54" s="121">
        <v>33</v>
      </c>
      <c r="N54" s="122">
        <f t="shared" si="55"/>
        <v>42</v>
      </c>
      <c r="O54" s="109">
        <f t="shared" si="4"/>
        <v>42</v>
      </c>
      <c r="P54" s="122">
        <f t="shared" si="33"/>
        <v>134</v>
      </c>
      <c r="Q54" s="202"/>
      <c r="R54" s="121">
        <f t="shared" si="35"/>
        <v>5</v>
      </c>
      <c r="S54" s="120">
        <v>15</v>
      </c>
      <c r="T54" s="121">
        <v>57</v>
      </c>
      <c r="U54" s="122">
        <f t="shared" si="36"/>
        <v>72</v>
      </c>
      <c r="V54" s="121">
        <v>4</v>
      </c>
      <c r="W54" s="121">
        <v>29</v>
      </c>
      <c r="X54" s="122">
        <f t="shared" si="37"/>
        <v>33</v>
      </c>
      <c r="Y54" s="122">
        <f t="shared" si="56"/>
        <v>105</v>
      </c>
      <c r="Z54" s="122">
        <f t="shared" si="57"/>
        <v>105</v>
      </c>
      <c r="AA54" s="202"/>
      <c r="AB54" s="121">
        <f t="shared" si="38"/>
        <v>4</v>
      </c>
      <c r="AC54" s="120">
        <v>17</v>
      </c>
      <c r="AD54" s="121">
        <v>32</v>
      </c>
      <c r="AE54" s="122">
        <f t="shared" si="39"/>
        <v>49</v>
      </c>
      <c r="AF54" s="121">
        <v>29</v>
      </c>
      <c r="AG54" s="122">
        <f t="shared" si="40"/>
        <v>78</v>
      </c>
      <c r="AH54" s="202"/>
      <c r="AI54" s="121">
        <f t="shared" si="41"/>
        <v>4</v>
      </c>
      <c r="AJ54" s="120">
        <v>18</v>
      </c>
      <c r="AK54" s="121">
        <v>46</v>
      </c>
      <c r="AL54" s="122">
        <f t="shared" si="42"/>
        <v>64</v>
      </c>
      <c r="AM54" s="121">
        <v>22</v>
      </c>
      <c r="AN54" s="122">
        <f t="shared" si="58"/>
        <v>86</v>
      </c>
      <c r="AO54" s="202"/>
      <c r="AP54" s="121">
        <f t="shared" si="43"/>
        <v>5</v>
      </c>
      <c r="AQ54" s="121">
        <v>19</v>
      </c>
      <c r="AR54" s="121">
        <v>25</v>
      </c>
      <c r="AS54" s="105">
        <f t="shared" si="16"/>
        <v>44</v>
      </c>
      <c r="AT54" s="206"/>
      <c r="AU54" s="121">
        <f t="shared" si="44"/>
        <v>5</v>
      </c>
      <c r="AV54" s="120">
        <v>19</v>
      </c>
      <c r="AW54" s="121">
        <v>35</v>
      </c>
      <c r="AX54" s="122">
        <f t="shared" si="45"/>
        <v>54</v>
      </c>
      <c r="AY54" s="121">
        <v>27</v>
      </c>
      <c r="AZ54" s="122">
        <f t="shared" si="46"/>
        <v>81</v>
      </c>
      <c r="BA54" s="202"/>
      <c r="BB54" s="121">
        <f t="shared" si="47"/>
        <v>5</v>
      </c>
      <c r="BC54" s="120">
        <v>19</v>
      </c>
      <c r="BD54" s="121">
        <v>44</v>
      </c>
      <c r="BE54" s="122">
        <f t="shared" si="48"/>
        <v>63</v>
      </c>
      <c r="BF54" s="121">
        <v>30</v>
      </c>
      <c r="BG54" s="122">
        <f t="shared" si="49"/>
        <v>93</v>
      </c>
      <c r="BH54" s="202"/>
      <c r="BI54" s="121">
        <f t="shared" si="50"/>
        <v>5</v>
      </c>
      <c r="BJ54" s="120">
        <v>8</v>
      </c>
      <c r="BK54" s="121">
        <v>24</v>
      </c>
      <c r="BL54" s="122">
        <f t="shared" si="51"/>
        <v>32</v>
      </c>
      <c r="BM54" s="109">
        <f t="shared" si="25"/>
        <v>32</v>
      </c>
      <c r="BN54" s="202"/>
      <c r="BO54" s="121">
        <f t="shared" si="34"/>
        <v>3.5</v>
      </c>
      <c r="BP54" s="105">
        <f t="shared" si="26"/>
        <v>36.5</v>
      </c>
      <c r="BQ54" s="110">
        <f t="shared" si="27"/>
        <v>4.5625</v>
      </c>
      <c r="BR54" s="124" t="str">
        <f t="shared" si="52"/>
        <v>A</v>
      </c>
      <c r="BS54" s="125" t="str">
        <f t="shared" si="3"/>
        <v>BETTER</v>
      </c>
      <c r="BT54" s="113">
        <f t="shared" si="29"/>
        <v>653</v>
      </c>
      <c r="BU54" s="115">
        <v>69</v>
      </c>
    </row>
    <row r="55" spans="1:73" ht="27.95" customHeight="1">
      <c r="A55" s="105">
        <v>47</v>
      </c>
      <c r="B55" s="118">
        <v>12</v>
      </c>
      <c r="C55" s="128" t="s">
        <v>326</v>
      </c>
      <c r="D55" s="129" t="s">
        <v>327</v>
      </c>
      <c r="E55" s="129" t="s">
        <v>328</v>
      </c>
      <c r="F55" s="130" t="s">
        <v>329</v>
      </c>
      <c r="G55" s="120">
        <v>16</v>
      </c>
      <c r="H55" s="121">
        <v>19</v>
      </c>
      <c r="I55" s="122">
        <f t="shared" si="53"/>
        <v>35</v>
      </c>
      <c r="J55" s="121">
        <v>21</v>
      </c>
      <c r="K55" s="122">
        <f t="shared" si="54"/>
        <v>56</v>
      </c>
      <c r="L55" s="120">
        <v>9</v>
      </c>
      <c r="M55" s="121">
        <v>30</v>
      </c>
      <c r="N55" s="122">
        <f t="shared" si="55"/>
        <v>39</v>
      </c>
      <c r="O55" s="109">
        <f t="shared" si="4"/>
        <v>39</v>
      </c>
      <c r="P55" s="122">
        <f t="shared" si="33"/>
        <v>95</v>
      </c>
      <c r="Q55" s="202"/>
      <c r="R55" s="121">
        <f t="shared" si="35"/>
        <v>3.5</v>
      </c>
      <c r="S55" s="120">
        <v>15</v>
      </c>
      <c r="T55" s="121">
        <v>33</v>
      </c>
      <c r="U55" s="122">
        <f t="shared" si="36"/>
        <v>48</v>
      </c>
      <c r="V55" s="121">
        <v>7</v>
      </c>
      <c r="W55" s="121">
        <v>21</v>
      </c>
      <c r="X55" s="122">
        <f t="shared" si="37"/>
        <v>28</v>
      </c>
      <c r="Y55" s="122">
        <f t="shared" si="56"/>
        <v>76</v>
      </c>
      <c r="Z55" s="122">
        <f t="shared" si="57"/>
        <v>76</v>
      </c>
      <c r="AA55" s="202"/>
      <c r="AB55" s="121">
        <f t="shared" si="38"/>
        <v>3</v>
      </c>
      <c r="AC55" s="120">
        <v>17</v>
      </c>
      <c r="AD55" s="121">
        <v>3</v>
      </c>
      <c r="AE55" s="122">
        <f t="shared" si="39"/>
        <v>20</v>
      </c>
      <c r="AF55" s="121">
        <v>17</v>
      </c>
      <c r="AG55" s="122">
        <f t="shared" si="40"/>
        <v>37</v>
      </c>
      <c r="AH55" s="202"/>
      <c r="AI55" s="121" t="str">
        <f t="shared" si="41"/>
        <v>F</v>
      </c>
      <c r="AJ55" s="120">
        <v>18</v>
      </c>
      <c r="AK55" s="121">
        <v>46</v>
      </c>
      <c r="AL55" s="122">
        <f t="shared" si="42"/>
        <v>64</v>
      </c>
      <c r="AM55" s="121">
        <v>12</v>
      </c>
      <c r="AN55" s="122">
        <f t="shared" si="58"/>
        <v>76</v>
      </c>
      <c r="AO55" s="202"/>
      <c r="AP55" s="121">
        <f t="shared" si="43"/>
        <v>4</v>
      </c>
      <c r="AQ55" s="121">
        <v>17</v>
      </c>
      <c r="AR55" s="121">
        <v>25</v>
      </c>
      <c r="AS55" s="105">
        <f t="shared" si="16"/>
        <v>42</v>
      </c>
      <c r="AT55" s="206"/>
      <c r="AU55" s="121">
        <f t="shared" si="44"/>
        <v>5</v>
      </c>
      <c r="AV55" s="120">
        <v>15</v>
      </c>
      <c r="AW55" s="121">
        <v>34</v>
      </c>
      <c r="AX55" s="122">
        <f t="shared" si="45"/>
        <v>49</v>
      </c>
      <c r="AY55" s="121">
        <v>23</v>
      </c>
      <c r="AZ55" s="122">
        <f t="shared" si="46"/>
        <v>72</v>
      </c>
      <c r="BA55" s="202"/>
      <c r="BB55" s="121">
        <f t="shared" si="47"/>
        <v>4</v>
      </c>
      <c r="BC55" s="120">
        <v>17</v>
      </c>
      <c r="BD55" s="121">
        <v>22</v>
      </c>
      <c r="BE55" s="122">
        <f t="shared" si="48"/>
        <v>39</v>
      </c>
      <c r="BF55" s="121">
        <v>25</v>
      </c>
      <c r="BG55" s="122">
        <f t="shared" si="49"/>
        <v>64</v>
      </c>
      <c r="BH55" s="202"/>
      <c r="BI55" s="121">
        <f t="shared" si="50"/>
        <v>3.5</v>
      </c>
      <c r="BJ55" s="120">
        <v>8</v>
      </c>
      <c r="BK55" s="121">
        <v>24</v>
      </c>
      <c r="BL55" s="122">
        <f t="shared" si="51"/>
        <v>32</v>
      </c>
      <c r="BM55" s="109">
        <f t="shared" si="25"/>
        <v>32</v>
      </c>
      <c r="BN55" s="202"/>
      <c r="BO55" s="121">
        <f t="shared" si="34"/>
        <v>3.5</v>
      </c>
      <c r="BP55" s="105" t="str">
        <f t="shared" si="26"/>
        <v>F</v>
      </c>
      <c r="BQ55" s="110" t="str">
        <f t="shared" si="27"/>
        <v>F</v>
      </c>
      <c r="BR55" s="124" t="str">
        <f t="shared" si="52"/>
        <v>F</v>
      </c>
      <c r="BS55" s="125" t="str">
        <f t="shared" si="3"/>
        <v>NEED TO PROGRESS</v>
      </c>
      <c r="BT55" s="113">
        <f>P55+Z55+AG55+AN55+AS55+AZ55+BG55+BM55</f>
        <v>494</v>
      </c>
      <c r="BU55" s="115">
        <v>64</v>
      </c>
    </row>
    <row r="56" spans="1:73" ht="27.95" customHeight="1">
      <c r="A56" s="105">
        <v>48</v>
      </c>
      <c r="B56" s="118">
        <v>14</v>
      </c>
      <c r="C56" s="128" t="s">
        <v>85</v>
      </c>
      <c r="D56" s="129" t="s">
        <v>86</v>
      </c>
      <c r="E56" s="129" t="s">
        <v>87</v>
      </c>
      <c r="F56" s="130" t="s">
        <v>330</v>
      </c>
      <c r="G56" s="120">
        <v>17</v>
      </c>
      <c r="H56" s="121">
        <v>36</v>
      </c>
      <c r="I56" s="122">
        <f t="shared" si="53"/>
        <v>53</v>
      </c>
      <c r="J56" s="121">
        <v>26</v>
      </c>
      <c r="K56" s="122">
        <f t="shared" si="54"/>
        <v>79</v>
      </c>
      <c r="L56" s="120">
        <v>9</v>
      </c>
      <c r="M56" s="121">
        <v>35</v>
      </c>
      <c r="N56" s="122">
        <f t="shared" si="55"/>
        <v>44</v>
      </c>
      <c r="O56" s="109">
        <f t="shared" si="4"/>
        <v>44</v>
      </c>
      <c r="P56" s="122">
        <f t="shared" si="33"/>
        <v>123</v>
      </c>
      <c r="Q56" s="202"/>
      <c r="R56" s="121">
        <f t="shared" si="35"/>
        <v>5</v>
      </c>
      <c r="S56" s="120">
        <v>17</v>
      </c>
      <c r="T56" s="121">
        <v>72</v>
      </c>
      <c r="U56" s="122">
        <f t="shared" si="36"/>
        <v>89</v>
      </c>
      <c r="V56" s="121">
        <v>8</v>
      </c>
      <c r="W56" s="121">
        <v>28</v>
      </c>
      <c r="X56" s="122">
        <f t="shared" si="37"/>
        <v>36</v>
      </c>
      <c r="Y56" s="122">
        <f t="shared" si="56"/>
        <v>125</v>
      </c>
      <c r="Z56" s="122">
        <f t="shared" si="57"/>
        <v>125</v>
      </c>
      <c r="AA56" s="202"/>
      <c r="AB56" s="121">
        <f t="shared" si="38"/>
        <v>5</v>
      </c>
      <c r="AC56" s="120">
        <v>20</v>
      </c>
      <c r="AD56" s="121">
        <v>46</v>
      </c>
      <c r="AE56" s="122">
        <f t="shared" si="39"/>
        <v>66</v>
      </c>
      <c r="AF56" s="121">
        <v>28</v>
      </c>
      <c r="AG56" s="122">
        <f t="shared" si="40"/>
        <v>94</v>
      </c>
      <c r="AH56" s="202"/>
      <c r="AI56" s="121">
        <f t="shared" si="41"/>
        <v>5</v>
      </c>
      <c r="AJ56" s="120">
        <v>17</v>
      </c>
      <c r="AK56" s="121">
        <v>40</v>
      </c>
      <c r="AL56" s="122">
        <f t="shared" si="42"/>
        <v>57</v>
      </c>
      <c r="AM56" s="121">
        <v>22</v>
      </c>
      <c r="AN56" s="122">
        <f t="shared" si="58"/>
        <v>79</v>
      </c>
      <c r="AO56" s="202"/>
      <c r="AP56" s="121">
        <f t="shared" si="43"/>
        <v>4</v>
      </c>
      <c r="AQ56" s="121">
        <v>23</v>
      </c>
      <c r="AR56" s="121">
        <v>25</v>
      </c>
      <c r="AS56" s="105">
        <f t="shared" si="16"/>
        <v>48</v>
      </c>
      <c r="AT56" s="206"/>
      <c r="AU56" s="121">
        <f t="shared" si="44"/>
        <v>5</v>
      </c>
      <c r="AV56" s="120">
        <v>19</v>
      </c>
      <c r="AW56" s="121">
        <v>44</v>
      </c>
      <c r="AX56" s="122">
        <f t="shared" si="45"/>
        <v>63</v>
      </c>
      <c r="AY56" s="121">
        <v>26</v>
      </c>
      <c r="AZ56" s="122">
        <f t="shared" si="46"/>
        <v>89</v>
      </c>
      <c r="BA56" s="202"/>
      <c r="BB56" s="121">
        <f t="shared" si="47"/>
        <v>5</v>
      </c>
      <c r="BC56" s="120">
        <v>15</v>
      </c>
      <c r="BD56" s="121">
        <v>39</v>
      </c>
      <c r="BE56" s="122">
        <f t="shared" si="48"/>
        <v>54</v>
      </c>
      <c r="BF56" s="121">
        <v>25</v>
      </c>
      <c r="BG56" s="122">
        <f t="shared" si="49"/>
        <v>79</v>
      </c>
      <c r="BH56" s="202"/>
      <c r="BI56" s="121">
        <f t="shared" si="50"/>
        <v>4</v>
      </c>
      <c r="BJ56" s="120">
        <v>10</v>
      </c>
      <c r="BK56" s="121">
        <v>28</v>
      </c>
      <c r="BL56" s="122">
        <f t="shared" si="51"/>
        <v>38</v>
      </c>
      <c r="BM56" s="109">
        <f t="shared" si="25"/>
        <v>38</v>
      </c>
      <c r="BN56" s="202"/>
      <c r="BO56" s="121">
        <f t="shared" si="34"/>
        <v>4</v>
      </c>
      <c r="BP56" s="105">
        <f t="shared" si="26"/>
        <v>37</v>
      </c>
      <c r="BQ56" s="110">
        <f t="shared" si="27"/>
        <v>4.625</v>
      </c>
      <c r="BR56" s="124" t="str">
        <f t="shared" si="52"/>
        <v>A</v>
      </c>
      <c r="BS56" s="125" t="str">
        <f t="shared" si="3"/>
        <v>BETTER</v>
      </c>
      <c r="BT56" s="113">
        <f t="shared" si="29"/>
        <v>675</v>
      </c>
      <c r="BU56" s="115">
        <v>64</v>
      </c>
    </row>
    <row r="57" spans="1:73" ht="27.95" customHeight="1">
      <c r="A57" s="105">
        <v>49</v>
      </c>
      <c r="B57" s="118">
        <v>16</v>
      </c>
      <c r="C57" s="131" t="s">
        <v>91</v>
      </c>
      <c r="D57" s="132" t="s">
        <v>92</v>
      </c>
      <c r="E57" s="132" t="s">
        <v>93</v>
      </c>
      <c r="F57" s="130" t="s">
        <v>331</v>
      </c>
      <c r="G57" s="120">
        <v>16</v>
      </c>
      <c r="H57" s="121">
        <v>33</v>
      </c>
      <c r="I57" s="122">
        <f t="shared" si="53"/>
        <v>49</v>
      </c>
      <c r="J57" s="121">
        <v>26</v>
      </c>
      <c r="K57" s="122">
        <f t="shared" si="54"/>
        <v>75</v>
      </c>
      <c r="L57" s="120">
        <v>9</v>
      </c>
      <c r="M57" s="121">
        <v>35</v>
      </c>
      <c r="N57" s="122">
        <f t="shared" si="55"/>
        <v>44</v>
      </c>
      <c r="O57" s="109">
        <f t="shared" si="4"/>
        <v>44</v>
      </c>
      <c r="P57" s="122">
        <f t="shared" si="33"/>
        <v>119</v>
      </c>
      <c r="Q57" s="202"/>
      <c r="R57" s="121">
        <f t="shared" si="35"/>
        <v>4</v>
      </c>
      <c r="S57" s="120">
        <v>15</v>
      </c>
      <c r="T57" s="121">
        <v>55</v>
      </c>
      <c r="U57" s="122">
        <f t="shared" si="36"/>
        <v>70</v>
      </c>
      <c r="V57" s="121">
        <v>6</v>
      </c>
      <c r="W57" s="121">
        <v>22</v>
      </c>
      <c r="X57" s="122">
        <f t="shared" si="37"/>
        <v>28</v>
      </c>
      <c r="Y57" s="122">
        <f t="shared" si="56"/>
        <v>98</v>
      </c>
      <c r="Z57" s="122">
        <f t="shared" si="57"/>
        <v>98</v>
      </c>
      <c r="AA57" s="202"/>
      <c r="AB57" s="121">
        <f t="shared" si="38"/>
        <v>3.5</v>
      </c>
      <c r="AC57" s="120">
        <v>14</v>
      </c>
      <c r="AD57" s="121">
        <v>31</v>
      </c>
      <c r="AE57" s="122">
        <f t="shared" si="39"/>
        <v>45</v>
      </c>
      <c r="AF57" s="121">
        <v>24</v>
      </c>
      <c r="AG57" s="122">
        <f t="shared" si="40"/>
        <v>69</v>
      </c>
      <c r="AH57" s="202"/>
      <c r="AI57" s="121">
        <f t="shared" si="41"/>
        <v>3.5</v>
      </c>
      <c r="AJ57" s="120">
        <v>18</v>
      </c>
      <c r="AK57" s="121">
        <v>32</v>
      </c>
      <c r="AL57" s="122">
        <f t="shared" si="42"/>
        <v>50</v>
      </c>
      <c r="AM57" s="121">
        <v>18</v>
      </c>
      <c r="AN57" s="122">
        <f t="shared" si="58"/>
        <v>68</v>
      </c>
      <c r="AO57" s="202"/>
      <c r="AP57" s="121">
        <f t="shared" si="43"/>
        <v>3.5</v>
      </c>
      <c r="AQ57" s="121">
        <v>25</v>
      </c>
      <c r="AR57" s="121">
        <v>25</v>
      </c>
      <c r="AS57" s="105">
        <f t="shared" si="16"/>
        <v>50</v>
      </c>
      <c r="AT57" s="206"/>
      <c r="AU57" s="121">
        <f t="shared" si="44"/>
        <v>5</v>
      </c>
      <c r="AV57" s="120">
        <v>18</v>
      </c>
      <c r="AW57" s="121">
        <v>31</v>
      </c>
      <c r="AX57" s="122">
        <f t="shared" si="45"/>
        <v>49</v>
      </c>
      <c r="AY57" s="121">
        <v>24</v>
      </c>
      <c r="AZ57" s="122">
        <f t="shared" si="46"/>
        <v>73</v>
      </c>
      <c r="BA57" s="202"/>
      <c r="BB57" s="121">
        <f t="shared" si="47"/>
        <v>4</v>
      </c>
      <c r="BC57" s="120">
        <v>13</v>
      </c>
      <c r="BD57" s="121">
        <v>34</v>
      </c>
      <c r="BE57" s="122">
        <f t="shared" si="48"/>
        <v>47</v>
      </c>
      <c r="BF57" s="121">
        <v>27</v>
      </c>
      <c r="BG57" s="122">
        <f t="shared" si="49"/>
        <v>74</v>
      </c>
      <c r="BH57" s="202"/>
      <c r="BI57" s="121">
        <f t="shared" si="50"/>
        <v>4</v>
      </c>
      <c r="BJ57" s="120">
        <v>9</v>
      </c>
      <c r="BK57" s="121">
        <v>28</v>
      </c>
      <c r="BL57" s="122">
        <f t="shared" si="51"/>
        <v>37</v>
      </c>
      <c r="BM57" s="109">
        <f t="shared" si="25"/>
        <v>37</v>
      </c>
      <c r="BN57" s="202"/>
      <c r="BO57" s="121">
        <f t="shared" si="34"/>
        <v>4</v>
      </c>
      <c r="BP57" s="105">
        <f t="shared" si="26"/>
        <v>31.5</v>
      </c>
      <c r="BQ57" s="110">
        <f t="shared" si="27"/>
        <v>3.9375</v>
      </c>
      <c r="BR57" s="124" t="str">
        <f t="shared" si="52"/>
        <v>A-</v>
      </c>
      <c r="BS57" s="125" t="str">
        <f t="shared" si="3"/>
        <v>GOOD</v>
      </c>
      <c r="BT57" s="113">
        <f t="shared" si="29"/>
        <v>588</v>
      </c>
      <c r="BU57" s="115">
        <v>68</v>
      </c>
    </row>
    <row r="58" spans="1:73" ht="27.95" customHeight="1">
      <c r="A58" s="105">
        <v>50</v>
      </c>
      <c r="B58" s="118">
        <v>18</v>
      </c>
      <c r="C58" s="128" t="s">
        <v>94</v>
      </c>
      <c r="D58" s="129" t="s">
        <v>95</v>
      </c>
      <c r="E58" s="129" t="s">
        <v>96</v>
      </c>
      <c r="F58" s="130" t="s">
        <v>332</v>
      </c>
      <c r="G58" s="120">
        <v>17</v>
      </c>
      <c r="H58" s="121">
        <v>41</v>
      </c>
      <c r="I58" s="122">
        <f t="shared" si="53"/>
        <v>58</v>
      </c>
      <c r="J58" s="121">
        <v>26</v>
      </c>
      <c r="K58" s="122">
        <f t="shared" si="54"/>
        <v>84</v>
      </c>
      <c r="L58" s="120">
        <v>9</v>
      </c>
      <c r="M58" s="121">
        <v>34</v>
      </c>
      <c r="N58" s="122">
        <f t="shared" si="55"/>
        <v>43</v>
      </c>
      <c r="O58" s="109">
        <f t="shared" si="4"/>
        <v>43</v>
      </c>
      <c r="P58" s="122">
        <f t="shared" si="33"/>
        <v>127</v>
      </c>
      <c r="Q58" s="202"/>
      <c r="R58" s="121">
        <f t="shared" si="35"/>
        <v>5</v>
      </c>
      <c r="S58" s="120">
        <v>15</v>
      </c>
      <c r="T58" s="121">
        <v>70</v>
      </c>
      <c r="U58" s="122">
        <f t="shared" si="36"/>
        <v>85</v>
      </c>
      <c r="V58" s="121">
        <v>8</v>
      </c>
      <c r="W58" s="121">
        <v>29</v>
      </c>
      <c r="X58" s="122">
        <f t="shared" si="37"/>
        <v>37</v>
      </c>
      <c r="Y58" s="122">
        <f t="shared" si="56"/>
        <v>122</v>
      </c>
      <c r="Z58" s="122">
        <f t="shared" si="57"/>
        <v>122</v>
      </c>
      <c r="AA58" s="202"/>
      <c r="AB58" s="121">
        <f t="shared" si="38"/>
        <v>5</v>
      </c>
      <c r="AC58" s="120">
        <v>20</v>
      </c>
      <c r="AD58" s="121">
        <v>47</v>
      </c>
      <c r="AE58" s="122">
        <f t="shared" si="39"/>
        <v>67</v>
      </c>
      <c r="AF58" s="121">
        <v>27</v>
      </c>
      <c r="AG58" s="122">
        <f t="shared" si="40"/>
        <v>94</v>
      </c>
      <c r="AH58" s="202"/>
      <c r="AI58" s="121">
        <f t="shared" si="41"/>
        <v>5</v>
      </c>
      <c r="AJ58" s="120">
        <v>18</v>
      </c>
      <c r="AK58" s="121">
        <v>45</v>
      </c>
      <c r="AL58" s="122">
        <f t="shared" si="42"/>
        <v>63</v>
      </c>
      <c r="AM58" s="121">
        <v>21</v>
      </c>
      <c r="AN58" s="122">
        <f t="shared" si="58"/>
        <v>84</v>
      </c>
      <c r="AO58" s="202"/>
      <c r="AP58" s="121">
        <f t="shared" si="43"/>
        <v>5</v>
      </c>
      <c r="AQ58" s="121">
        <v>19</v>
      </c>
      <c r="AR58" s="121">
        <v>25</v>
      </c>
      <c r="AS58" s="105">
        <f t="shared" si="16"/>
        <v>44</v>
      </c>
      <c r="AT58" s="206"/>
      <c r="AU58" s="121">
        <f t="shared" si="44"/>
        <v>5</v>
      </c>
      <c r="AV58" s="120">
        <v>15</v>
      </c>
      <c r="AW58" s="121">
        <v>40</v>
      </c>
      <c r="AX58" s="122">
        <f t="shared" si="45"/>
        <v>55</v>
      </c>
      <c r="AY58" s="121">
        <v>28</v>
      </c>
      <c r="AZ58" s="122">
        <f t="shared" si="46"/>
        <v>83</v>
      </c>
      <c r="BA58" s="202"/>
      <c r="BB58" s="121">
        <f t="shared" si="47"/>
        <v>5</v>
      </c>
      <c r="BC58" s="120">
        <v>14</v>
      </c>
      <c r="BD58" s="121">
        <v>41</v>
      </c>
      <c r="BE58" s="122">
        <f t="shared" si="48"/>
        <v>55</v>
      </c>
      <c r="BF58" s="121">
        <v>23</v>
      </c>
      <c r="BG58" s="122">
        <f t="shared" si="49"/>
        <v>78</v>
      </c>
      <c r="BH58" s="202"/>
      <c r="BI58" s="121">
        <f t="shared" si="50"/>
        <v>4</v>
      </c>
      <c r="BJ58" s="120">
        <v>9</v>
      </c>
      <c r="BK58" s="121">
        <v>28</v>
      </c>
      <c r="BL58" s="122">
        <f t="shared" si="51"/>
        <v>37</v>
      </c>
      <c r="BM58" s="109">
        <f t="shared" si="25"/>
        <v>37</v>
      </c>
      <c r="BN58" s="202"/>
      <c r="BO58" s="121">
        <f t="shared" si="34"/>
        <v>4</v>
      </c>
      <c r="BP58" s="105">
        <f t="shared" si="26"/>
        <v>38</v>
      </c>
      <c r="BQ58" s="110">
        <f t="shared" si="27"/>
        <v>4.75</v>
      </c>
      <c r="BR58" s="124" t="str">
        <f t="shared" si="52"/>
        <v>A</v>
      </c>
      <c r="BS58" s="125" t="str">
        <f t="shared" si="3"/>
        <v>BETTER</v>
      </c>
      <c r="BT58" s="113">
        <f t="shared" si="29"/>
        <v>669</v>
      </c>
      <c r="BU58" s="115">
        <v>68</v>
      </c>
    </row>
    <row r="59" spans="1:73" ht="27.95" customHeight="1">
      <c r="A59" s="105">
        <v>51</v>
      </c>
      <c r="B59" s="118">
        <v>20</v>
      </c>
      <c r="C59" s="128" t="s">
        <v>100</v>
      </c>
      <c r="D59" s="129" t="s">
        <v>101</v>
      </c>
      <c r="E59" s="129" t="s">
        <v>102</v>
      </c>
      <c r="F59" s="130" t="s">
        <v>333</v>
      </c>
      <c r="G59" s="120">
        <v>17</v>
      </c>
      <c r="H59" s="121">
        <v>45</v>
      </c>
      <c r="I59" s="122">
        <f t="shared" si="53"/>
        <v>62</v>
      </c>
      <c r="J59" s="121">
        <v>27</v>
      </c>
      <c r="K59" s="122">
        <f t="shared" si="54"/>
        <v>89</v>
      </c>
      <c r="L59" s="120">
        <v>9</v>
      </c>
      <c r="M59" s="121">
        <v>35</v>
      </c>
      <c r="N59" s="122">
        <f t="shared" si="55"/>
        <v>44</v>
      </c>
      <c r="O59" s="109">
        <f t="shared" si="4"/>
        <v>44</v>
      </c>
      <c r="P59" s="122">
        <f t="shared" si="33"/>
        <v>133</v>
      </c>
      <c r="Q59" s="202"/>
      <c r="R59" s="121">
        <f t="shared" si="35"/>
        <v>5</v>
      </c>
      <c r="S59" s="120">
        <v>16</v>
      </c>
      <c r="T59" s="121">
        <v>70</v>
      </c>
      <c r="U59" s="122">
        <f t="shared" si="36"/>
        <v>86</v>
      </c>
      <c r="V59" s="121">
        <v>8</v>
      </c>
      <c r="W59" s="121">
        <v>34</v>
      </c>
      <c r="X59" s="122">
        <f t="shared" si="37"/>
        <v>42</v>
      </c>
      <c r="Y59" s="122">
        <f t="shared" si="56"/>
        <v>128</v>
      </c>
      <c r="Z59" s="122">
        <f t="shared" si="57"/>
        <v>128</v>
      </c>
      <c r="AA59" s="202"/>
      <c r="AB59" s="121">
        <f t="shared" si="38"/>
        <v>5</v>
      </c>
      <c r="AC59" s="120">
        <v>19</v>
      </c>
      <c r="AD59" s="121">
        <v>40</v>
      </c>
      <c r="AE59" s="122">
        <f t="shared" si="39"/>
        <v>59</v>
      </c>
      <c r="AF59" s="121">
        <v>26</v>
      </c>
      <c r="AG59" s="122">
        <f t="shared" si="40"/>
        <v>85</v>
      </c>
      <c r="AH59" s="202"/>
      <c r="AI59" s="121">
        <f t="shared" si="41"/>
        <v>5</v>
      </c>
      <c r="AJ59" s="120">
        <v>18</v>
      </c>
      <c r="AK59" s="121">
        <v>42</v>
      </c>
      <c r="AL59" s="122">
        <f t="shared" si="42"/>
        <v>60</v>
      </c>
      <c r="AM59" s="121">
        <v>25</v>
      </c>
      <c r="AN59" s="122">
        <f t="shared" si="58"/>
        <v>85</v>
      </c>
      <c r="AO59" s="202"/>
      <c r="AP59" s="121">
        <f t="shared" si="43"/>
        <v>5</v>
      </c>
      <c r="AQ59" s="121">
        <v>19</v>
      </c>
      <c r="AR59" s="121">
        <v>25</v>
      </c>
      <c r="AS59" s="105">
        <f t="shared" si="16"/>
        <v>44</v>
      </c>
      <c r="AT59" s="206"/>
      <c r="AU59" s="121">
        <f t="shared" si="44"/>
        <v>5</v>
      </c>
      <c r="AV59" s="120">
        <v>17</v>
      </c>
      <c r="AW59" s="121">
        <v>40</v>
      </c>
      <c r="AX59" s="122">
        <f t="shared" si="45"/>
        <v>57</v>
      </c>
      <c r="AY59" s="121">
        <v>27</v>
      </c>
      <c r="AZ59" s="122">
        <f t="shared" si="46"/>
        <v>84</v>
      </c>
      <c r="BA59" s="202"/>
      <c r="BB59" s="121">
        <f t="shared" si="47"/>
        <v>5</v>
      </c>
      <c r="BC59" s="120">
        <v>16</v>
      </c>
      <c r="BD59" s="121">
        <v>39</v>
      </c>
      <c r="BE59" s="122">
        <f t="shared" si="48"/>
        <v>55</v>
      </c>
      <c r="BF59" s="121">
        <v>25</v>
      </c>
      <c r="BG59" s="122">
        <f t="shared" si="49"/>
        <v>80</v>
      </c>
      <c r="BH59" s="202"/>
      <c r="BI59" s="121">
        <f t="shared" si="50"/>
        <v>5</v>
      </c>
      <c r="BJ59" s="120">
        <v>10</v>
      </c>
      <c r="BK59" s="121">
        <v>24</v>
      </c>
      <c r="BL59" s="122">
        <f t="shared" si="51"/>
        <v>34</v>
      </c>
      <c r="BM59" s="109">
        <f t="shared" si="25"/>
        <v>34</v>
      </c>
      <c r="BN59" s="202"/>
      <c r="BO59" s="121">
        <f t="shared" si="34"/>
        <v>3.5</v>
      </c>
      <c r="BP59" s="105">
        <f t="shared" si="26"/>
        <v>38.5</v>
      </c>
      <c r="BQ59" s="110">
        <f t="shared" si="27"/>
        <v>4.8125</v>
      </c>
      <c r="BR59" s="124" t="str">
        <f t="shared" si="52"/>
        <v>A</v>
      </c>
      <c r="BS59" s="125" t="str">
        <f t="shared" si="3"/>
        <v>BETTER</v>
      </c>
      <c r="BT59" s="113">
        <f t="shared" si="29"/>
        <v>673</v>
      </c>
      <c r="BU59" s="115">
        <v>67</v>
      </c>
    </row>
    <row r="60" spans="1:73" ht="27.95" customHeight="1">
      <c r="A60" s="105">
        <v>52</v>
      </c>
      <c r="B60" s="118">
        <v>22</v>
      </c>
      <c r="C60" s="126" t="s">
        <v>106</v>
      </c>
      <c r="D60" s="127" t="s">
        <v>107</v>
      </c>
      <c r="E60" s="127" t="s">
        <v>108</v>
      </c>
      <c r="F60" s="118" t="s">
        <v>334</v>
      </c>
      <c r="G60" s="120">
        <v>15</v>
      </c>
      <c r="H60" s="121">
        <v>32</v>
      </c>
      <c r="I60" s="122">
        <f t="shared" si="53"/>
        <v>47</v>
      </c>
      <c r="J60" s="121">
        <v>22</v>
      </c>
      <c r="K60" s="122">
        <f t="shared" si="54"/>
        <v>69</v>
      </c>
      <c r="L60" s="120">
        <v>9</v>
      </c>
      <c r="M60" s="121">
        <v>30</v>
      </c>
      <c r="N60" s="122">
        <f t="shared" si="55"/>
        <v>39</v>
      </c>
      <c r="O60" s="109">
        <f t="shared" si="4"/>
        <v>39</v>
      </c>
      <c r="P60" s="122">
        <f t="shared" si="33"/>
        <v>108</v>
      </c>
      <c r="Q60" s="202"/>
      <c r="R60" s="121">
        <f t="shared" si="35"/>
        <v>4</v>
      </c>
      <c r="S60" s="120">
        <v>15</v>
      </c>
      <c r="T60" s="121">
        <v>54</v>
      </c>
      <c r="U60" s="122">
        <f t="shared" si="36"/>
        <v>69</v>
      </c>
      <c r="V60" s="121">
        <v>5</v>
      </c>
      <c r="W60" s="121">
        <v>15</v>
      </c>
      <c r="X60" s="122">
        <f t="shared" si="37"/>
        <v>20</v>
      </c>
      <c r="Y60" s="122">
        <f t="shared" si="56"/>
        <v>89</v>
      </c>
      <c r="Z60" s="122">
        <f t="shared" si="57"/>
        <v>89</v>
      </c>
      <c r="AA60" s="202"/>
      <c r="AB60" s="121">
        <f t="shared" si="38"/>
        <v>3</v>
      </c>
      <c r="AC60" s="120">
        <v>3</v>
      </c>
      <c r="AD60" s="121">
        <v>26</v>
      </c>
      <c r="AE60" s="122">
        <f t="shared" si="39"/>
        <v>29</v>
      </c>
      <c r="AF60" s="121">
        <v>18</v>
      </c>
      <c r="AG60" s="122">
        <f t="shared" si="40"/>
        <v>47</v>
      </c>
      <c r="AH60" s="202"/>
      <c r="AI60" s="121">
        <f t="shared" si="41"/>
        <v>2</v>
      </c>
      <c r="AJ60" s="120">
        <v>16</v>
      </c>
      <c r="AK60" s="121">
        <v>29</v>
      </c>
      <c r="AL60" s="122">
        <f t="shared" si="42"/>
        <v>45</v>
      </c>
      <c r="AM60" s="121">
        <v>17</v>
      </c>
      <c r="AN60" s="122">
        <f t="shared" si="58"/>
        <v>62</v>
      </c>
      <c r="AO60" s="202"/>
      <c r="AP60" s="121">
        <f t="shared" si="43"/>
        <v>3.5</v>
      </c>
      <c r="AQ60" s="121">
        <v>23</v>
      </c>
      <c r="AR60" s="121">
        <v>25</v>
      </c>
      <c r="AS60" s="105">
        <f t="shared" si="16"/>
        <v>48</v>
      </c>
      <c r="AT60" s="206"/>
      <c r="AU60" s="121">
        <f t="shared" si="44"/>
        <v>5</v>
      </c>
      <c r="AV60" s="120">
        <v>14</v>
      </c>
      <c r="AW60" s="121">
        <v>35</v>
      </c>
      <c r="AX60" s="122">
        <f t="shared" si="45"/>
        <v>49</v>
      </c>
      <c r="AY60" s="121">
        <v>24</v>
      </c>
      <c r="AZ60" s="122">
        <f t="shared" si="46"/>
        <v>73</v>
      </c>
      <c r="BA60" s="202"/>
      <c r="BB60" s="121">
        <f t="shared" si="47"/>
        <v>4</v>
      </c>
      <c r="BC60" s="120">
        <v>13</v>
      </c>
      <c r="BD60" s="121">
        <v>39</v>
      </c>
      <c r="BE60" s="122">
        <f t="shared" si="48"/>
        <v>52</v>
      </c>
      <c r="BF60" s="121">
        <v>26</v>
      </c>
      <c r="BG60" s="122">
        <f t="shared" si="49"/>
        <v>78</v>
      </c>
      <c r="BH60" s="202"/>
      <c r="BI60" s="121">
        <f t="shared" si="50"/>
        <v>4</v>
      </c>
      <c r="BJ60" s="120">
        <v>8</v>
      </c>
      <c r="BK60" s="121">
        <v>24</v>
      </c>
      <c r="BL60" s="122">
        <f t="shared" si="51"/>
        <v>32</v>
      </c>
      <c r="BM60" s="109">
        <f t="shared" si="25"/>
        <v>32</v>
      </c>
      <c r="BN60" s="202"/>
      <c r="BO60" s="121">
        <f t="shared" si="34"/>
        <v>3.5</v>
      </c>
      <c r="BP60" s="105">
        <f t="shared" si="26"/>
        <v>29</v>
      </c>
      <c r="BQ60" s="110">
        <f t="shared" si="27"/>
        <v>3.625</v>
      </c>
      <c r="BR60" s="124" t="str">
        <f t="shared" si="52"/>
        <v>A-</v>
      </c>
      <c r="BS60" s="125" t="str">
        <f t="shared" si="3"/>
        <v>GOOD</v>
      </c>
      <c r="BT60" s="113">
        <f t="shared" si="29"/>
        <v>537</v>
      </c>
      <c r="BU60" s="115">
        <v>65</v>
      </c>
    </row>
    <row r="61" spans="1:73" ht="27.95" customHeight="1">
      <c r="A61" s="105">
        <v>53</v>
      </c>
      <c r="B61" s="118">
        <v>24</v>
      </c>
      <c r="C61" s="128" t="s">
        <v>112</v>
      </c>
      <c r="D61" s="129" t="s">
        <v>113</v>
      </c>
      <c r="E61" s="129" t="s">
        <v>114</v>
      </c>
      <c r="F61" s="130" t="s">
        <v>335</v>
      </c>
      <c r="G61" s="120">
        <v>11</v>
      </c>
      <c r="H61" s="121">
        <v>12</v>
      </c>
      <c r="I61" s="122">
        <f t="shared" si="53"/>
        <v>23</v>
      </c>
      <c r="J61" s="121">
        <v>24</v>
      </c>
      <c r="K61" s="122">
        <f t="shared" si="54"/>
        <v>47</v>
      </c>
      <c r="L61" s="120">
        <v>9</v>
      </c>
      <c r="M61" s="121">
        <v>28</v>
      </c>
      <c r="N61" s="122">
        <f t="shared" si="55"/>
        <v>37</v>
      </c>
      <c r="O61" s="109">
        <f t="shared" si="4"/>
        <v>37</v>
      </c>
      <c r="P61" s="122">
        <f t="shared" si="33"/>
        <v>84</v>
      </c>
      <c r="Q61" s="202"/>
      <c r="R61" s="121">
        <f t="shared" si="35"/>
        <v>3</v>
      </c>
      <c r="S61" s="120">
        <v>15</v>
      </c>
      <c r="T61" s="121">
        <v>57</v>
      </c>
      <c r="U61" s="122">
        <f t="shared" si="36"/>
        <v>72</v>
      </c>
      <c r="V61" s="121">
        <v>5</v>
      </c>
      <c r="W61" s="121">
        <v>28</v>
      </c>
      <c r="X61" s="122">
        <f t="shared" si="37"/>
        <v>33</v>
      </c>
      <c r="Y61" s="122">
        <f t="shared" si="56"/>
        <v>105</v>
      </c>
      <c r="Z61" s="122">
        <f t="shared" si="57"/>
        <v>105</v>
      </c>
      <c r="AA61" s="202"/>
      <c r="AB61" s="121">
        <f t="shared" si="38"/>
        <v>4</v>
      </c>
      <c r="AC61" s="120">
        <v>14</v>
      </c>
      <c r="AD61" s="121">
        <v>19</v>
      </c>
      <c r="AE61" s="122">
        <f t="shared" si="39"/>
        <v>33</v>
      </c>
      <c r="AF61" s="121">
        <v>27</v>
      </c>
      <c r="AG61" s="122">
        <f t="shared" si="40"/>
        <v>60</v>
      </c>
      <c r="AH61" s="202"/>
      <c r="AI61" s="121">
        <f t="shared" si="41"/>
        <v>3.5</v>
      </c>
      <c r="AJ61" s="120">
        <v>13</v>
      </c>
      <c r="AK61" s="121">
        <v>19</v>
      </c>
      <c r="AL61" s="122">
        <f t="shared" si="42"/>
        <v>32</v>
      </c>
      <c r="AM61" s="121">
        <v>11</v>
      </c>
      <c r="AN61" s="122">
        <f t="shared" si="58"/>
        <v>43</v>
      </c>
      <c r="AO61" s="202"/>
      <c r="AP61" s="121">
        <f t="shared" si="43"/>
        <v>2</v>
      </c>
      <c r="AQ61" s="121">
        <v>17</v>
      </c>
      <c r="AR61" s="121">
        <v>25</v>
      </c>
      <c r="AS61" s="105">
        <f t="shared" si="16"/>
        <v>42</v>
      </c>
      <c r="AT61" s="206"/>
      <c r="AU61" s="121">
        <f t="shared" si="44"/>
        <v>5</v>
      </c>
      <c r="AV61" s="120">
        <v>13</v>
      </c>
      <c r="AW61" s="121">
        <v>20</v>
      </c>
      <c r="AX61" s="122">
        <f t="shared" si="45"/>
        <v>33</v>
      </c>
      <c r="AY61" s="121">
        <v>22</v>
      </c>
      <c r="AZ61" s="122">
        <f t="shared" si="46"/>
        <v>55</v>
      </c>
      <c r="BA61" s="202"/>
      <c r="BB61" s="121">
        <f t="shared" si="47"/>
        <v>3</v>
      </c>
      <c r="BC61" s="120">
        <v>10</v>
      </c>
      <c r="BD61" s="121">
        <v>21</v>
      </c>
      <c r="BE61" s="122">
        <f t="shared" si="48"/>
        <v>31</v>
      </c>
      <c r="BF61" s="121">
        <v>27</v>
      </c>
      <c r="BG61" s="122">
        <f t="shared" si="49"/>
        <v>58</v>
      </c>
      <c r="BH61" s="202"/>
      <c r="BI61" s="121">
        <f t="shared" si="50"/>
        <v>3</v>
      </c>
      <c r="BJ61" s="120">
        <v>8</v>
      </c>
      <c r="BK61" s="121">
        <v>24</v>
      </c>
      <c r="BL61" s="122">
        <f t="shared" si="51"/>
        <v>32</v>
      </c>
      <c r="BM61" s="109">
        <f t="shared" si="25"/>
        <v>32</v>
      </c>
      <c r="BN61" s="202"/>
      <c r="BO61" s="121">
        <f t="shared" si="34"/>
        <v>3.5</v>
      </c>
      <c r="BP61" s="105">
        <f t="shared" si="26"/>
        <v>27</v>
      </c>
      <c r="BQ61" s="110">
        <f t="shared" si="27"/>
        <v>3.375</v>
      </c>
      <c r="BR61" s="124" t="str">
        <f t="shared" si="52"/>
        <v>B</v>
      </c>
      <c r="BS61" s="125" t="str">
        <f t="shared" si="3"/>
        <v>GOOD</v>
      </c>
      <c r="BT61" s="113">
        <f t="shared" si="29"/>
        <v>479</v>
      </c>
      <c r="BU61" s="115">
        <v>62</v>
      </c>
    </row>
    <row r="62" spans="1:73" ht="27.95" customHeight="1">
      <c r="A62" s="105">
        <v>54</v>
      </c>
      <c r="B62" s="118">
        <v>26</v>
      </c>
      <c r="C62" s="126" t="s">
        <v>336</v>
      </c>
      <c r="D62" s="127" t="s">
        <v>337</v>
      </c>
      <c r="E62" s="127" t="s">
        <v>338</v>
      </c>
      <c r="F62" s="118" t="s">
        <v>339</v>
      </c>
      <c r="G62" s="120">
        <v>13</v>
      </c>
      <c r="H62" s="121">
        <v>20</v>
      </c>
      <c r="I62" s="122">
        <f t="shared" si="53"/>
        <v>33</v>
      </c>
      <c r="J62" s="121">
        <v>19</v>
      </c>
      <c r="K62" s="122">
        <f t="shared" si="54"/>
        <v>52</v>
      </c>
      <c r="L62" s="120">
        <v>8</v>
      </c>
      <c r="M62" s="121">
        <v>34</v>
      </c>
      <c r="N62" s="122">
        <f t="shared" si="55"/>
        <v>42</v>
      </c>
      <c r="O62" s="109">
        <f t="shared" si="4"/>
        <v>42</v>
      </c>
      <c r="P62" s="122">
        <f t="shared" si="33"/>
        <v>94</v>
      </c>
      <c r="Q62" s="202"/>
      <c r="R62" s="121">
        <f t="shared" si="35"/>
        <v>3</v>
      </c>
      <c r="S62" s="120">
        <v>10</v>
      </c>
      <c r="T62" s="121">
        <v>32</v>
      </c>
      <c r="U62" s="122">
        <f t="shared" si="36"/>
        <v>42</v>
      </c>
      <c r="V62" s="121">
        <v>1</v>
      </c>
      <c r="W62" s="121">
        <v>11</v>
      </c>
      <c r="X62" s="122">
        <f t="shared" si="37"/>
        <v>12</v>
      </c>
      <c r="Y62" s="122">
        <f t="shared" si="56"/>
        <v>54</v>
      </c>
      <c r="Z62" s="122">
        <f t="shared" si="57"/>
        <v>54</v>
      </c>
      <c r="AA62" s="202"/>
      <c r="AB62" s="121" t="str">
        <f t="shared" si="38"/>
        <v>F</v>
      </c>
      <c r="AC62" s="120">
        <v>2</v>
      </c>
      <c r="AD62" s="121">
        <v>21</v>
      </c>
      <c r="AE62" s="122">
        <f t="shared" si="39"/>
        <v>23</v>
      </c>
      <c r="AF62" s="121">
        <v>17</v>
      </c>
      <c r="AG62" s="122">
        <f t="shared" si="40"/>
        <v>40</v>
      </c>
      <c r="AH62" s="202"/>
      <c r="AI62" s="121">
        <f t="shared" si="41"/>
        <v>2</v>
      </c>
      <c r="AJ62" s="120">
        <v>10</v>
      </c>
      <c r="AK62" s="121">
        <v>34</v>
      </c>
      <c r="AL62" s="122">
        <f t="shared" si="42"/>
        <v>44</v>
      </c>
      <c r="AM62" s="121">
        <v>14</v>
      </c>
      <c r="AN62" s="122">
        <f t="shared" si="58"/>
        <v>58</v>
      </c>
      <c r="AO62" s="202"/>
      <c r="AP62" s="121">
        <f t="shared" si="43"/>
        <v>3</v>
      </c>
      <c r="AQ62" s="121">
        <v>23</v>
      </c>
      <c r="AR62" s="121">
        <v>25</v>
      </c>
      <c r="AS62" s="105">
        <f t="shared" si="16"/>
        <v>48</v>
      </c>
      <c r="AT62" s="206"/>
      <c r="AU62" s="121">
        <f t="shared" si="44"/>
        <v>5</v>
      </c>
      <c r="AV62" s="120">
        <v>8</v>
      </c>
      <c r="AW62" s="121">
        <v>20</v>
      </c>
      <c r="AX62" s="122">
        <f t="shared" si="45"/>
        <v>28</v>
      </c>
      <c r="AY62" s="121">
        <v>23</v>
      </c>
      <c r="AZ62" s="122">
        <f t="shared" si="46"/>
        <v>51</v>
      </c>
      <c r="BA62" s="202"/>
      <c r="BB62" s="121">
        <f t="shared" si="47"/>
        <v>3</v>
      </c>
      <c r="BC62" s="120">
        <v>9</v>
      </c>
      <c r="BD62" s="121">
        <v>25</v>
      </c>
      <c r="BE62" s="122">
        <f t="shared" si="48"/>
        <v>34</v>
      </c>
      <c r="BF62" s="121">
        <v>20</v>
      </c>
      <c r="BG62" s="122">
        <f t="shared" si="49"/>
        <v>54</v>
      </c>
      <c r="BH62" s="202"/>
      <c r="BI62" s="121">
        <f t="shared" si="50"/>
        <v>3</v>
      </c>
      <c r="BJ62" s="120">
        <v>8</v>
      </c>
      <c r="BK62" s="121">
        <v>24</v>
      </c>
      <c r="BL62" s="122">
        <f t="shared" si="51"/>
        <v>32</v>
      </c>
      <c r="BM62" s="109">
        <f t="shared" si="25"/>
        <v>32</v>
      </c>
      <c r="BN62" s="202"/>
      <c r="BO62" s="121">
        <f t="shared" si="34"/>
        <v>3.5</v>
      </c>
      <c r="BP62" s="105" t="str">
        <f t="shared" si="26"/>
        <v>F</v>
      </c>
      <c r="BQ62" s="110" t="str">
        <f t="shared" si="27"/>
        <v>F</v>
      </c>
      <c r="BR62" s="124" t="str">
        <f t="shared" si="52"/>
        <v>F</v>
      </c>
      <c r="BS62" s="125" t="str">
        <f t="shared" si="3"/>
        <v>NEED TO PROGRESS</v>
      </c>
      <c r="BT62" s="113">
        <f t="shared" si="29"/>
        <v>431</v>
      </c>
      <c r="BU62" s="115">
        <v>55</v>
      </c>
    </row>
    <row r="63" spans="1:73" ht="27.95" customHeight="1">
      <c r="A63" s="105">
        <v>55</v>
      </c>
      <c r="B63" s="118">
        <v>28</v>
      </c>
      <c r="C63" s="128" t="s">
        <v>340</v>
      </c>
      <c r="D63" s="129" t="s">
        <v>341</v>
      </c>
      <c r="E63" s="129" t="s">
        <v>342</v>
      </c>
      <c r="F63" s="130" t="s">
        <v>343</v>
      </c>
      <c r="G63" s="120">
        <v>12</v>
      </c>
      <c r="H63" s="121">
        <v>6</v>
      </c>
      <c r="I63" s="122">
        <f t="shared" si="53"/>
        <v>18</v>
      </c>
      <c r="J63" s="121">
        <v>22</v>
      </c>
      <c r="K63" s="122">
        <f t="shared" si="54"/>
        <v>40</v>
      </c>
      <c r="L63" s="121">
        <v>8</v>
      </c>
      <c r="M63" s="121">
        <v>26</v>
      </c>
      <c r="N63" s="122">
        <f t="shared" si="55"/>
        <v>34</v>
      </c>
      <c r="O63" s="109">
        <f t="shared" si="4"/>
        <v>34</v>
      </c>
      <c r="P63" s="122">
        <f t="shared" si="33"/>
        <v>74</v>
      </c>
      <c r="Q63" s="202"/>
      <c r="R63" s="121">
        <f t="shared" si="35"/>
        <v>3</v>
      </c>
      <c r="S63" s="120">
        <v>11</v>
      </c>
      <c r="T63" s="121">
        <v>36</v>
      </c>
      <c r="U63" s="122">
        <f t="shared" si="36"/>
        <v>47</v>
      </c>
      <c r="V63" s="121">
        <v>6</v>
      </c>
      <c r="W63" s="121">
        <v>19</v>
      </c>
      <c r="X63" s="122">
        <f t="shared" si="37"/>
        <v>25</v>
      </c>
      <c r="Y63" s="122">
        <f t="shared" si="56"/>
        <v>72</v>
      </c>
      <c r="Z63" s="122">
        <f t="shared" si="57"/>
        <v>72</v>
      </c>
      <c r="AA63" s="202"/>
      <c r="AB63" s="121">
        <f t="shared" si="38"/>
        <v>2</v>
      </c>
      <c r="AC63" s="120">
        <v>17</v>
      </c>
      <c r="AD63" s="121">
        <v>14</v>
      </c>
      <c r="AE63" s="122">
        <f t="shared" si="39"/>
        <v>31</v>
      </c>
      <c r="AF63" s="121">
        <v>17</v>
      </c>
      <c r="AG63" s="122">
        <f t="shared" si="40"/>
        <v>48</v>
      </c>
      <c r="AH63" s="202"/>
      <c r="AI63" s="121">
        <f t="shared" si="41"/>
        <v>2</v>
      </c>
      <c r="AJ63" s="120">
        <v>13</v>
      </c>
      <c r="AK63" s="121">
        <v>10</v>
      </c>
      <c r="AL63" s="122">
        <f t="shared" si="42"/>
        <v>23</v>
      </c>
      <c r="AM63" s="121">
        <v>11</v>
      </c>
      <c r="AN63" s="122">
        <f t="shared" si="58"/>
        <v>34</v>
      </c>
      <c r="AO63" s="202"/>
      <c r="AP63" s="121" t="str">
        <f t="shared" si="43"/>
        <v>F</v>
      </c>
      <c r="AQ63" s="121">
        <v>18</v>
      </c>
      <c r="AR63" s="121">
        <v>25</v>
      </c>
      <c r="AS63" s="105">
        <f t="shared" si="16"/>
        <v>43</v>
      </c>
      <c r="AT63" s="206"/>
      <c r="AU63" s="121">
        <f t="shared" si="44"/>
        <v>5</v>
      </c>
      <c r="AV63" s="120">
        <v>15</v>
      </c>
      <c r="AW63" s="121">
        <v>16</v>
      </c>
      <c r="AX63" s="122">
        <f t="shared" si="45"/>
        <v>31</v>
      </c>
      <c r="AY63" s="121">
        <v>24</v>
      </c>
      <c r="AZ63" s="122">
        <f t="shared" si="46"/>
        <v>55</v>
      </c>
      <c r="BA63" s="202"/>
      <c r="BB63" s="121">
        <f t="shared" si="47"/>
        <v>3</v>
      </c>
      <c r="BC63" s="120">
        <v>8</v>
      </c>
      <c r="BD63" s="121">
        <v>9</v>
      </c>
      <c r="BE63" s="122">
        <f t="shared" si="48"/>
        <v>17</v>
      </c>
      <c r="BF63" s="121">
        <v>29</v>
      </c>
      <c r="BG63" s="122">
        <f t="shared" si="49"/>
        <v>46</v>
      </c>
      <c r="BH63" s="202"/>
      <c r="BI63" s="121">
        <f t="shared" si="50"/>
        <v>2</v>
      </c>
      <c r="BJ63" s="120">
        <v>8</v>
      </c>
      <c r="BK63" s="121">
        <v>24</v>
      </c>
      <c r="BL63" s="122">
        <f t="shared" si="51"/>
        <v>32</v>
      </c>
      <c r="BM63" s="109">
        <f t="shared" si="25"/>
        <v>32</v>
      </c>
      <c r="BN63" s="202"/>
      <c r="BO63" s="121">
        <f t="shared" si="34"/>
        <v>3.5</v>
      </c>
      <c r="BP63" s="105" t="str">
        <f t="shared" si="26"/>
        <v>F</v>
      </c>
      <c r="BQ63" s="110" t="str">
        <f t="shared" si="27"/>
        <v>F</v>
      </c>
      <c r="BR63" s="124" t="str">
        <f t="shared" si="52"/>
        <v>F</v>
      </c>
      <c r="BS63" s="125" t="str">
        <f t="shared" si="3"/>
        <v>NEED TO PROGRESS</v>
      </c>
      <c r="BT63" s="113">
        <f t="shared" si="29"/>
        <v>404</v>
      </c>
      <c r="BU63" s="115">
        <v>56</v>
      </c>
    </row>
    <row r="64" spans="1:73" ht="27.95" customHeight="1">
      <c r="A64" s="105">
        <v>56</v>
      </c>
      <c r="B64" s="118">
        <v>32</v>
      </c>
      <c r="C64" s="128" t="s">
        <v>344</v>
      </c>
      <c r="D64" s="129" t="s">
        <v>345</v>
      </c>
      <c r="E64" s="129" t="s">
        <v>346</v>
      </c>
      <c r="F64" s="130" t="s">
        <v>347</v>
      </c>
      <c r="G64" s="120">
        <v>15</v>
      </c>
      <c r="H64" s="121">
        <v>35</v>
      </c>
      <c r="I64" s="122">
        <f t="shared" si="53"/>
        <v>50</v>
      </c>
      <c r="J64" s="121">
        <v>21</v>
      </c>
      <c r="K64" s="122">
        <f t="shared" si="54"/>
        <v>71</v>
      </c>
      <c r="L64" s="120">
        <v>9</v>
      </c>
      <c r="M64" s="121">
        <v>23</v>
      </c>
      <c r="N64" s="122">
        <f t="shared" si="55"/>
        <v>32</v>
      </c>
      <c r="O64" s="109">
        <f t="shared" si="4"/>
        <v>32</v>
      </c>
      <c r="P64" s="122">
        <f t="shared" si="33"/>
        <v>103</v>
      </c>
      <c r="Q64" s="202"/>
      <c r="R64" s="121">
        <f t="shared" si="35"/>
        <v>3.5</v>
      </c>
      <c r="S64" s="120">
        <v>11</v>
      </c>
      <c r="T64" s="121">
        <v>40</v>
      </c>
      <c r="U64" s="122">
        <f t="shared" si="36"/>
        <v>51</v>
      </c>
      <c r="V64" s="121">
        <v>5</v>
      </c>
      <c r="W64" s="121">
        <v>17</v>
      </c>
      <c r="X64" s="122">
        <f t="shared" si="37"/>
        <v>22</v>
      </c>
      <c r="Y64" s="122">
        <f t="shared" si="56"/>
        <v>73</v>
      </c>
      <c r="Z64" s="122">
        <f t="shared" si="57"/>
        <v>73</v>
      </c>
      <c r="AA64" s="202"/>
      <c r="AB64" s="121">
        <f t="shared" si="38"/>
        <v>2</v>
      </c>
      <c r="AC64" s="120">
        <v>13</v>
      </c>
      <c r="AD64" s="121">
        <v>28</v>
      </c>
      <c r="AE64" s="122">
        <f t="shared" si="39"/>
        <v>41</v>
      </c>
      <c r="AF64" s="121">
        <v>23</v>
      </c>
      <c r="AG64" s="122">
        <f t="shared" si="40"/>
        <v>64</v>
      </c>
      <c r="AH64" s="202"/>
      <c r="AI64" s="121">
        <f t="shared" si="41"/>
        <v>3.5</v>
      </c>
      <c r="AJ64" s="120">
        <v>15</v>
      </c>
      <c r="AK64" s="121">
        <v>27</v>
      </c>
      <c r="AL64" s="122">
        <f t="shared" si="42"/>
        <v>42</v>
      </c>
      <c r="AM64" s="121">
        <v>16</v>
      </c>
      <c r="AN64" s="122">
        <f t="shared" si="58"/>
        <v>58</v>
      </c>
      <c r="AO64" s="202"/>
      <c r="AP64" s="121">
        <f t="shared" si="43"/>
        <v>3</v>
      </c>
      <c r="AQ64" s="121">
        <v>17</v>
      </c>
      <c r="AR64" s="121">
        <v>25</v>
      </c>
      <c r="AS64" s="105">
        <f t="shared" si="16"/>
        <v>42</v>
      </c>
      <c r="AT64" s="206"/>
      <c r="AU64" s="121">
        <f t="shared" si="44"/>
        <v>5</v>
      </c>
      <c r="AV64" s="120">
        <v>12</v>
      </c>
      <c r="AW64" s="121">
        <v>21</v>
      </c>
      <c r="AX64" s="122">
        <f t="shared" si="45"/>
        <v>33</v>
      </c>
      <c r="AY64" s="121">
        <v>18</v>
      </c>
      <c r="AZ64" s="122">
        <f t="shared" si="46"/>
        <v>51</v>
      </c>
      <c r="BA64" s="202"/>
      <c r="BB64" s="121">
        <f t="shared" si="47"/>
        <v>3</v>
      </c>
      <c r="BC64" s="120">
        <v>8</v>
      </c>
      <c r="BD64" s="121">
        <v>31</v>
      </c>
      <c r="BE64" s="122">
        <f t="shared" si="48"/>
        <v>39</v>
      </c>
      <c r="BF64" s="121">
        <v>15</v>
      </c>
      <c r="BG64" s="122">
        <f t="shared" si="49"/>
        <v>54</v>
      </c>
      <c r="BH64" s="202"/>
      <c r="BI64" s="121">
        <f t="shared" si="50"/>
        <v>3</v>
      </c>
      <c r="BJ64" s="120">
        <v>8</v>
      </c>
      <c r="BK64" s="121">
        <v>24</v>
      </c>
      <c r="BL64" s="122">
        <f t="shared" si="51"/>
        <v>32</v>
      </c>
      <c r="BM64" s="109">
        <f t="shared" si="25"/>
        <v>32</v>
      </c>
      <c r="BN64" s="202"/>
      <c r="BO64" s="121">
        <f t="shared" si="34"/>
        <v>3.5</v>
      </c>
      <c r="BP64" s="105">
        <f t="shared" si="26"/>
        <v>26.5</v>
      </c>
      <c r="BQ64" s="110">
        <f t="shared" si="27"/>
        <v>3.3125</v>
      </c>
      <c r="BR64" s="124" t="str">
        <f t="shared" si="52"/>
        <v>B</v>
      </c>
      <c r="BS64" s="125" t="str">
        <f t="shared" si="3"/>
        <v>GOOD</v>
      </c>
      <c r="BT64" s="113">
        <f t="shared" si="29"/>
        <v>477</v>
      </c>
      <c r="BU64" s="115">
        <v>58</v>
      </c>
    </row>
    <row r="65" spans="1:73" ht="27.95" customHeight="1">
      <c r="A65" s="105">
        <v>57</v>
      </c>
      <c r="B65" s="118">
        <v>34</v>
      </c>
      <c r="C65" s="126" t="s">
        <v>348</v>
      </c>
      <c r="D65" s="127" t="s">
        <v>349</v>
      </c>
      <c r="E65" s="127" t="s">
        <v>350</v>
      </c>
      <c r="F65" s="118" t="s">
        <v>351</v>
      </c>
      <c r="G65" s="108">
        <v>14</v>
      </c>
      <c r="H65" s="105">
        <v>17</v>
      </c>
      <c r="I65" s="109">
        <f t="shared" si="53"/>
        <v>31</v>
      </c>
      <c r="J65" s="105">
        <v>26</v>
      </c>
      <c r="K65" s="109">
        <f t="shared" si="54"/>
        <v>57</v>
      </c>
      <c r="L65" s="108">
        <v>9</v>
      </c>
      <c r="M65" s="105">
        <v>17</v>
      </c>
      <c r="N65" s="109">
        <f t="shared" si="55"/>
        <v>26</v>
      </c>
      <c r="O65" s="109">
        <f t="shared" si="4"/>
        <v>26</v>
      </c>
      <c r="P65" s="109">
        <f t="shared" si="33"/>
        <v>83</v>
      </c>
      <c r="Q65" s="202"/>
      <c r="R65" s="121">
        <f t="shared" si="35"/>
        <v>3</v>
      </c>
      <c r="S65" s="120">
        <v>10</v>
      </c>
      <c r="T65" s="121">
        <v>32</v>
      </c>
      <c r="U65" s="109">
        <f t="shared" si="36"/>
        <v>42</v>
      </c>
      <c r="V65" s="121">
        <v>4</v>
      </c>
      <c r="W65" s="121">
        <v>16</v>
      </c>
      <c r="X65" s="109">
        <f t="shared" si="37"/>
        <v>20</v>
      </c>
      <c r="Y65" s="109">
        <f t="shared" si="56"/>
        <v>62</v>
      </c>
      <c r="Z65" s="109">
        <f t="shared" si="57"/>
        <v>62</v>
      </c>
      <c r="AA65" s="202"/>
      <c r="AB65" s="121">
        <f t="shared" si="38"/>
        <v>2</v>
      </c>
      <c r="AC65" s="120">
        <v>17</v>
      </c>
      <c r="AD65" s="121">
        <v>23</v>
      </c>
      <c r="AE65" s="109">
        <f t="shared" si="39"/>
        <v>40</v>
      </c>
      <c r="AF65" s="105">
        <v>23</v>
      </c>
      <c r="AG65" s="109">
        <f t="shared" si="40"/>
        <v>63</v>
      </c>
      <c r="AH65" s="202"/>
      <c r="AI65" s="121">
        <f t="shared" si="41"/>
        <v>3.5</v>
      </c>
      <c r="AJ65" s="120">
        <v>11</v>
      </c>
      <c r="AK65" s="121">
        <v>19</v>
      </c>
      <c r="AL65" s="122">
        <f t="shared" si="42"/>
        <v>30</v>
      </c>
      <c r="AM65" s="105">
        <v>14</v>
      </c>
      <c r="AN65" s="109">
        <f t="shared" si="58"/>
        <v>44</v>
      </c>
      <c r="AO65" s="202"/>
      <c r="AP65" s="121">
        <f t="shared" si="43"/>
        <v>2</v>
      </c>
      <c r="AQ65" s="121">
        <v>21</v>
      </c>
      <c r="AR65" s="121">
        <v>25</v>
      </c>
      <c r="AS65" s="105">
        <f t="shared" si="16"/>
        <v>46</v>
      </c>
      <c r="AT65" s="206"/>
      <c r="AU65" s="121">
        <f t="shared" si="44"/>
        <v>5</v>
      </c>
      <c r="AV65" s="120">
        <v>16</v>
      </c>
      <c r="AW65" s="121">
        <v>23</v>
      </c>
      <c r="AX65" s="122">
        <f t="shared" si="45"/>
        <v>39</v>
      </c>
      <c r="AY65" s="121">
        <v>25</v>
      </c>
      <c r="AZ65" s="122">
        <f t="shared" si="46"/>
        <v>64</v>
      </c>
      <c r="BA65" s="202"/>
      <c r="BB65" s="121">
        <f t="shared" si="47"/>
        <v>3.5</v>
      </c>
      <c r="BC65" s="120">
        <v>12</v>
      </c>
      <c r="BD65" s="121">
        <v>22</v>
      </c>
      <c r="BE65" s="122">
        <f t="shared" si="48"/>
        <v>34</v>
      </c>
      <c r="BF65" s="121">
        <v>25</v>
      </c>
      <c r="BG65" s="122">
        <f t="shared" si="49"/>
        <v>59</v>
      </c>
      <c r="BH65" s="202"/>
      <c r="BI65" s="121">
        <f t="shared" si="50"/>
        <v>3</v>
      </c>
      <c r="BJ65" s="120">
        <v>7</v>
      </c>
      <c r="BK65" s="121">
        <v>28</v>
      </c>
      <c r="BL65" s="122">
        <f t="shared" si="51"/>
        <v>35</v>
      </c>
      <c r="BM65" s="109">
        <f t="shared" si="25"/>
        <v>35</v>
      </c>
      <c r="BN65" s="202"/>
      <c r="BO65" s="121">
        <f t="shared" si="34"/>
        <v>4</v>
      </c>
      <c r="BP65" s="105">
        <f t="shared" si="26"/>
        <v>26</v>
      </c>
      <c r="BQ65" s="110">
        <f t="shared" si="27"/>
        <v>3.25</v>
      </c>
      <c r="BR65" s="124" t="str">
        <f t="shared" si="52"/>
        <v>B</v>
      </c>
      <c r="BS65" s="125" t="str">
        <f t="shared" si="3"/>
        <v>GOOD</v>
      </c>
      <c r="BT65" s="113">
        <f t="shared" si="29"/>
        <v>456</v>
      </c>
      <c r="BU65" s="115">
        <v>57</v>
      </c>
    </row>
    <row r="66" spans="1:73" ht="27.95" customHeight="1">
      <c r="A66" s="105">
        <v>58</v>
      </c>
      <c r="B66" s="118">
        <v>36</v>
      </c>
      <c r="C66" s="128" t="s">
        <v>130</v>
      </c>
      <c r="D66" s="129" t="s">
        <v>131</v>
      </c>
      <c r="E66" s="129" t="s">
        <v>132</v>
      </c>
      <c r="F66" s="130" t="s">
        <v>352</v>
      </c>
      <c r="G66" s="108">
        <v>16</v>
      </c>
      <c r="H66" s="105">
        <v>33</v>
      </c>
      <c r="I66" s="109">
        <f t="shared" si="53"/>
        <v>49</v>
      </c>
      <c r="J66" s="105">
        <v>29</v>
      </c>
      <c r="K66" s="109">
        <f t="shared" si="54"/>
        <v>78</v>
      </c>
      <c r="L66" s="108">
        <v>9</v>
      </c>
      <c r="M66" s="105">
        <v>32</v>
      </c>
      <c r="N66" s="109">
        <f t="shared" si="55"/>
        <v>41</v>
      </c>
      <c r="O66" s="109">
        <f t="shared" si="4"/>
        <v>41</v>
      </c>
      <c r="P66" s="109">
        <f t="shared" si="33"/>
        <v>119</v>
      </c>
      <c r="Q66" s="202"/>
      <c r="R66" s="121">
        <f t="shared" si="35"/>
        <v>4</v>
      </c>
      <c r="S66" s="120">
        <v>13</v>
      </c>
      <c r="T66" s="121">
        <v>54</v>
      </c>
      <c r="U66" s="109">
        <f t="shared" si="36"/>
        <v>67</v>
      </c>
      <c r="V66" s="121">
        <v>6</v>
      </c>
      <c r="W66" s="121">
        <v>26</v>
      </c>
      <c r="X66" s="109">
        <f t="shared" si="37"/>
        <v>32</v>
      </c>
      <c r="Y66" s="109">
        <f t="shared" si="56"/>
        <v>99</v>
      </c>
      <c r="Z66" s="109">
        <f t="shared" si="57"/>
        <v>99</v>
      </c>
      <c r="AA66" s="202"/>
      <c r="AB66" s="121">
        <f t="shared" si="38"/>
        <v>3.5</v>
      </c>
      <c r="AC66" s="120">
        <v>13</v>
      </c>
      <c r="AD66" s="121">
        <v>35</v>
      </c>
      <c r="AE66" s="109">
        <f t="shared" si="39"/>
        <v>48</v>
      </c>
      <c r="AF66" s="105">
        <v>26</v>
      </c>
      <c r="AG66" s="109">
        <f t="shared" si="40"/>
        <v>74</v>
      </c>
      <c r="AH66" s="202"/>
      <c r="AI66" s="121">
        <f t="shared" si="41"/>
        <v>4</v>
      </c>
      <c r="AJ66" s="120">
        <v>15</v>
      </c>
      <c r="AK66" s="121">
        <v>34</v>
      </c>
      <c r="AL66" s="122">
        <f t="shared" si="42"/>
        <v>49</v>
      </c>
      <c r="AM66" s="105">
        <v>14</v>
      </c>
      <c r="AN66" s="109">
        <f t="shared" si="58"/>
        <v>63</v>
      </c>
      <c r="AO66" s="202"/>
      <c r="AP66" s="121">
        <f t="shared" si="43"/>
        <v>3.5</v>
      </c>
      <c r="AQ66" s="121">
        <v>22</v>
      </c>
      <c r="AR66" s="121">
        <v>25</v>
      </c>
      <c r="AS66" s="105">
        <f t="shared" si="16"/>
        <v>47</v>
      </c>
      <c r="AT66" s="206"/>
      <c r="AU66" s="121">
        <f t="shared" si="44"/>
        <v>5</v>
      </c>
      <c r="AV66" s="120">
        <v>15</v>
      </c>
      <c r="AW66" s="121">
        <v>27</v>
      </c>
      <c r="AX66" s="122">
        <f t="shared" si="45"/>
        <v>42</v>
      </c>
      <c r="AY66" s="121">
        <v>24</v>
      </c>
      <c r="AZ66" s="122">
        <f t="shared" si="46"/>
        <v>66</v>
      </c>
      <c r="BA66" s="202"/>
      <c r="BB66" s="121">
        <f t="shared" si="47"/>
        <v>3.5</v>
      </c>
      <c r="BC66" s="120">
        <v>15</v>
      </c>
      <c r="BD66" s="121">
        <v>29</v>
      </c>
      <c r="BE66" s="122">
        <f t="shared" si="48"/>
        <v>44</v>
      </c>
      <c r="BF66" s="121">
        <v>30</v>
      </c>
      <c r="BG66" s="122">
        <f t="shared" si="49"/>
        <v>74</v>
      </c>
      <c r="BH66" s="202"/>
      <c r="BI66" s="121">
        <f t="shared" si="50"/>
        <v>4</v>
      </c>
      <c r="BJ66" s="120">
        <v>7</v>
      </c>
      <c r="BK66" s="121">
        <v>24</v>
      </c>
      <c r="BL66" s="122">
        <f t="shared" si="51"/>
        <v>31</v>
      </c>
      <c r="BM66" s="109">
        <f t="shared" si="25"/>
        <v>31</v>
      </c>
      <c r="BN66" s="202"/>
      <c r="BO66" s="121">
        <f t="shared" si="34"/>
        <v>3.5</v>
      </c>
      <c r="BP66" s="105">
        <f t="shared" si="26"/>
        <v>31</v>
      </c>
      <c r="BQ66" s="110">
        <f t="shared" si="27"/>
        <v>3.875</v>
      </c>
      <c r="BR66" s="124" t="str">
        <f t="shared" si="52"/>
        <v>A-</v>
      </c>
      <c r="BS66" s="125" t="str">
        <f t="shared" si="3"/>
        <v>GOOD</v>
      </c>
      <c r="BT66" s="113">
        <f t="shared" si="29"/>
        <v>573</v>
      </c>
      <c r="BU66" s="115">
        <v>64</v>
      </c>
    </row>
    <row r="67" spans="1:73" ht="27.95" customHeight="1">
      <c r="A67" s="105">
        <v>59</v>
      </c>
      <c r="B67" s="118">
        <v>38</v>
      </c>
      <c r="C67" s="128" t="s">
        <v>133</v>
      </c>
      <c r="D67" s="129" t="s">
        <v>134</v>
      </c>
      <c r="E67" s="129" t="s">
        <v>135</v>
      </c>
      <c r="F67" s="130" t="s">
        <v>353</v>
      </c>
      <c r="G67" s="108">
        <v>16</v>
      </c>
      <c r="H67" s="105">
        <v>45</v>
      </c>
      <c r="I67" s="109">
        <f t="shared" si="53"/>
        <v>61</v>
      </c>
      <c r="J67" s="105">
        <v>25</v>
      </c>
      <c r="K67" s="109">
        <f t="shared" si="54"/>
        <v>86</v>
      </c>
      <c r="L67" s="108">
        <v>9</v>
      </c>
      <c r="M67" s="105">
        <v>34</v>
      </c>
      <c r="N67" s="109">
        <f t="shared" si="55"/>
        <v>43</v>
      </c>
      <c r="O67" s="109">
        <f t="shared" si="4"/>
        <v>43</v>
      </c>
      <c r="P67" s="109">
        <f t="shared" si="33"/>
        <v>129</v>
      </c>
      <c r="Q67" s="202"/>
      <c r="R67" s="121">
        <f t="shared" si="35"/>
        <v>5</v>
      </c>
      <c r="S67" s="120">
        <v>17</v>
      </c>
      <c r="T67" s="121">
        <v>61</v>
      </c>
      <c r="U67" s="109">
        <f t="shared" si="36"/>
        <v>78</v>
      </c>
      <c r="V67" s="121">
        <v>10</v>
      </c>
      <c r="W67" s="121">
        <v>28</v>
      </c>
      <c r="X67" s="109">
        <f t="shared" si="37"/>
        <v>38</v>
      </c>
      <c r="Y67" s="109">
        <f t="shared" si="56"/>
        <v>116</v>
      </c>
      <c r="Z67" s="109">
        <f t="shared" si="57"/>
        <v>116</v>
      </c>
      <c r="AA67" s="202"/>
      <c r="AB67" s="121">
        <f t="shared" si="38"/>
        <v>4</v>
      </c>
      <c r="AC67" s="120">
        <v>15</v>
      </c>
      <c r="AD67" s="121">
        <v>40</v>
      </c>
      <c r="AE67" s="109">
        <f t="shared" si="39"/>
        <v>55</v>
      </c>
      <c r="AF67" s="105">
        <v>25</v>
      </c>
      <c r="AG67" s="109">
        <f t="shared" si="40"/>
        <v>80</v>
      </c>
      <c r="AH67" s="202"/>
      <c r="AI67" s="121">
        <f t="shared" si="41"/>
        <v>5</v>
      </c>
      <c r="AJ67" s="120">
        <v>18</v>
      </c>
      <c r="AK67" s="121">
        <v>41</v>
      </c>
      <c r="AL67" s="122">
        <f t="shared" si="42"/>
        <v>59</v>
      </c>
      <c r="AM67" s="105">
        <v>15</v>
      </c>
      <c r="AN67" s="109">
        <f t="shared" si="58"/>
        <v>74</v>
      </c>
      <c r="AO67" s="202"/>
      <c r="AP67" s="121">
        <f t="shared" si="43"/>
        <v>4</v>
      </c>
      <c r="AQ67" s="121">
        <v>24</v>
      </c>
      <c r="AR67" s="121">
        <v>25</v>
      </c>
      <c r="AS67" s="105">
        <f t="shared" si="16"/>
        <v>49</v>
      </c>
      <c r="AT67" s="206"/>
      <c r="AU67" s="121">
        <f t="shared" si="44"/>
        <v>5</v>
      </c>
      <c r="AV67" s="120">
        <v>20</v>
      </c>
      <c r="AW67" s="121">
        <v>38</v>
      </c>
      <c r="AX67" s="122">
        <f t="shared" si="45"/>
        <v>58</v>
      </c>
      <c r="AY67" s="121">
        <v>23</v>
      </c>
      <c r="AZ67" s="122">
        <f t="shared" si="46"/>
        <v>81</v>
      </c>
      <c r="BA67" s="202"/>
      <c r="BB67" s="121">
        <f t="shared" si="47"/>
        <v>5</v>
      </c>
      <c r="BC67" s="120">
        <v>15</v>
      </c>
      <c r="BD67" s="121">
        <v>42</v>
      </c>
      <c r="BE67" s="122">
        <f t="shared" si="48"/>
        <v>57</v>
      </c>
      <c r="BF67" s="121">
        <v>25</v>
      </c>
      <c r="BG67" s="122">
        <f t="shared" si="49"/>
        <v>82</v>
      </c>
      <c r="BH67" s="202"/>
      <c r="BI67" s="121">
        <f t="shared" si="50"/>
        <v>5</v>
      </c>
      <c r="BJ67" s="120">
        <v>10</v>
      </c>
      <c r="BK67" s="121">
        <v>32</v>
      </c>
      <c r="BL67" s="122">
        <f t="shared" si="51"/>
        <v>42</v>
      </c>
      <c r="BM67" s="109">
        <f t="shared" si="25"/>
        <v>42</v>
      </c>
      <c r="BN67" s="202"/>
      <c r="BO67" s="121">
        <f t="shared" si="34"/>
        <v>5</v>
      </c>
      <c r="BP67" s="105">
        <f t="shared" si="26"/>
        <v>38</v>
      </c>
      <c r="BQ67" s="110">
        <f t="shared" si="27"/>
        <v>4.75</v>
      </c>
      <c r="BR67" s="124" t="str">
        <f t="shared" si="52"/>
        <v>A</v>
      </c>
      <c r="BS67" s="125" t="str">
        <f t="shared" si="3"/>
        <v>BETTER</v>
      </c>
      <c r="BT67" s="113">
        <f t="shared" si="29"/>
        <v>653</v>
      </c>
      <c r="BU67" s="115">
        <v>64</v>
      </c>
    </row>
    <row r="68" spans="1:73" ht="27.95" customHeight="1">
      <c r="A68" s="105">
        <v>60</v>
      </c>
      <c r="B68" s="118">
        <v>40</v>
      </c>
      <c r="C68" s="128" t="s">
        <v>136</v>
      </c>
      <c r="D68" s="129" t="s">
        <v>354</v>
      </c>
      <c r="E68" s="129" t="s">
        <v>138</v>
      </c>
      <c r="F68" s="130" t="s">
        <v>355</v>
      </c>
      <c r="G68" s="108">
        <v>14</v>
      </c>
      <c r="H68" s="105">
        <v>18</v>
      </c>
      <c r="I68" s="109">
        <f t="shared" si="53"/>
        <v>32</v>
      </c>
      <c r="J68" s="105">
        <v>20</v>
      </c>
      <c r="K68" s="109">
        <f t="shared" si="54"/>
        <v>52</v>
      </c>
      <c r="L68" s="108">
        <v>10</v>
      </c>
      <c r="M68" s="105">
        <v>27</v>
      </c>
      <c r="N68" s="109">
        <f t="shared" si="55"/>
        <v>37</v>
      </c>
      <c r="O68" s="109">
        <f t="shared" si="4"/>
        <v>37</v>
      </c>
      <c r="P68" s="109">
        <f t="shared" si="33"/>
        <v>89</v>
      </c>
      <c r="Q68" s="202"/>
      <c r="R68" s="121">
        <f t="shared" si="35"/>
        <v>3</v>
      </c>
      <c r="S68" s="120">
        <v>14</v>
      </c>
      <c r="T68" s="121">
        <v>32</v>
      </c>
      <c r="U68" s="109">
        <f t="shared" si="36"/>
        <v>46</v>
      </c>
      <c r="V68" s="121">
        <v>7</v>
      </c>
      <c r="W68" s="121">
        <v>16</v>
      </c>
      <c r="X68" s="109">
        <f t="shared" si="37"/>
        <v>23</v>
      </c>
      <c r="Y68" s="109">
        <f t="shared" si="56"/>
        <v>69</v>
      </c>
      <c r="Z68" s="109">
        <f t="shared" si="57"/>
        <v>69</v>
      </c>
      <c r="AA68" s="202"/>
      <c r="AB68" s="121">
        <f t="shared" si="38"/>
        <v>2</v>
      </c>
      <c r="AC68" s="120">
        <v>17</v>
      </c>
      <c r="AD68" s="121">
        <v>45</v>
      </c>
      <c r="AE68" s="109">
        <f t="shared" si="39"/>
        <v>62</v>
      </c>
      <c r="AF68" s="105">
        <v>29</v>
      </c>
      <c r="AG68" s="109">
        <f t="shared" si="40"/>
        <v>91</v>
      </c>
      <c r="AH68" s="202"/>
      <c r="AI68" s="121">
        <f t="shared" si="41"/>
        <v>5</v>
      </c>
      <c r="AJ68" s="120">
        <v>16</v>
      </c>
      <c r="AK68" s="121">
        <v>31</v>
      </c>
      <c r="AL68" s="122">
        <f t="shared" si="42"/>
        <v>47</v>
      </c>
      <c r="AM68" s="105">
        <v>14</v>
      </c>
      <c r="AN68" s="109">
        <f t="shared" si="58"/>
        <v>61</v>
      </c>
      <c r="AO68" s="202"/>
      <c r="AP68" s="121">
        <f t="shared" si="43"/>
        <v>3.5</v>
      </c>
      <c r="AQ68" s="121">
        <v>24</v>
      </c>
      <c r="AR68" s="121">
        <v>25</v>
      </c>
      <c r="AS68" s="105">
        <f t="shared" si="16"/>
        <v>49</v>
      </c>
      <c r="AT68" s="206"/>
      <c r="AU68" s="121">
        <f t="shared" si="44"/>
        <v>5</v>
      </c>
      <c r="AV68" s="120">
        <v>14</v>
      </c>
      <c r="AW68" s="121">
        <v>28</v>
      </c>
      <c r="AX68" s="122">
        <f t="shared" si="45"/>
        <v>42</v>
      </c>
      <c r="AY68" s="121">
        <v>16</v>
      </c>
      <c r="AZ68" s="122">
        <f t="shared" si="46"/>
        <v>58</v>
      </c>
      <c r="BA68" s="202"/>
      <c r="BB68" s="121">
        <f t="shared" si="47"/>
        <v>3</v>
      </c>
      <c r="BC68" s="120">
        <v>14</v>
      </c>
      <c r="BD68" s="121">
        <v>20</v>
      </c>
      <c r="BE68" s="122">
        <f t="shared" si="48"/>
        <v>34</v>
      </c>
      <c r="BF68" s="121">
        <v>23</v>
      </c>
      <c r="BG68" s="122">
        <f t="shared" si="49"/>
        <v>57</v>
      </c>
      <c r="BH68" s="202"/>
      <c r="BI68" s="121">
        <f t="shared" si="50"/>
        <v>3</v>
      </c>
      <c r="BJ68" s="120">
        <v>9</v>
      </c>
      <c r="BK68" s="121">
        <v>32</v>
      </c>
      <c r="BL68" s="122">
        <f t="shared" si="51"/>
        <v>41</v>
      </c>
      <c r="BM68" s="109">
        <f t="shared" si="25"/>
        <v>41</v>
      </c>
      <c r="BN68" s="202"/>
      <c r="BO68" s="121">
        <f t="shared" si="34"/>
        <v>5</v>
      </c>
      <c r="BP68" s="105">
        <f t="shared" si="26"/>
        <v>29.5</v>
      </c>
      <c r="BQ68" s="110">
        <f t="shared" si="27"/>
        <v>3.6875</v>
      </c>
      <c r="BR68" s="124" t="str">
        <f t="shared" si="52"/>
        <v>A-</v>
      </c>
      <c r="BS68" s="125" t="str">
        <f t="shared" si="3"/>
        <v>GOOD</v>
      </c>
      <c r="BT68" s="113">
        <f t="shared" si="29"/>
        <v>515</v>
      </c>
      <c r="BU68" s="115">
        <v>68</v>
      </c>
    </row>
    <row r="69" spans="1:73" ht="27.95" customHeight="1">
      <c r="A69" s="105">
        <v>61</v>
      </c>
      <c r="B69" s="118">
        <v>42</v>
      </c>
      <c r="C69" s="126" t="s">
        <v>139</v>
      </c>
      <c r="D69" s="127" t="s">
        <v>140</v>
      </c>
      <c r="E69" s="127" t="s">
        <v>141</v>
      </c>
      <c r="F69" s="118" t="s">
        <v>356</v>
      </c>
      <c r="G69" s="108">
        <v>9</v>
      </c>
      <c r="H69" s="105">
        <v>33</v>
      </c>
      <c r="I69" s="109">
        <f t="shared" si="53"/>
        <v>42</v>
      </c>
      <c r="J69" s="105">
        <v>21</v>
      </c>
      <c r="K69" s="109">
        <f t="shared" si="54"/>
        <v>63</v>
      </c>
      <c r="L69" s="108">
        <v>9</v>
      </c>
      <c r="M69" s="105">
        <v>34</v>
      </c>
      <c r="N69" s="109">
        <f t="shared" si="55"/>
        <v>43</v>
      </c>
      <c r="O69" s="109">
        <f t="shared" si="4"/>
        <v>43</v>
      </c>
      <c r="P69" s="109">
        <f t="shared" si="33"/>
        <v>106</v>
      </c>
      <c r="Q69" s="202"/>
      <c r="R69" s="121">
        <f t="shared" si="35"/>
        <v>4</v>
      </c>
      <c r="S69" s="120">
        <v>11</v>
      </c>
      <c r="T69" s="121">
        <v>48</v>
      </c>
      <c r="U69" s="109">
        <f t="shared" si="36"/>
        <v>59</v>
      </c>
      <c r="V69" s="121">
        <v>5</v>
      </c>
      <c r="W69" s="121">
        <v>23</v>
      </c>
      <c r="X69" s="109">
        <f t="shared" si="37"/>
        <v>28</v>
      </c>
      <c r="Y69" s="109">
        <f t="shared" si="56"/>
        <v>87</v>
      </c>
      <c r="Z69" s="109">
        <f t="shared" si="57"/>
        <v>87</v>
      </c>
      <c r="AA69" s="202"/>
      <c r="AB69" s="121">
        <f t="shared" si="38"/>
        <v>3</v>
      </c>
      <c r="AC69" s="120">
        <v>10</v>
      </c>
      <c r="AD69" s="121">
        <v>32</v>
      </c>
      <c r="AE69" s="109">
        <f t="shared" si="39"/>
        <v>42</v>
      </c>
      <c r="AF69" s="105">
        <v>20</v>
      </c>
      <c r="AG69" s="109">
        <f t="shared" si="40"/>
        <v>62</v>
      </c>
      <c r="AH69" s="202"/>
      <c r="AI69" s="121">
        <f t="shared" si="41"/>
        <v>3.5</v>
      </c>
      <c r="AJ69" s="120">
        <v>14</v>
      </c>
      <c r="AK69" s="121">
        <v>21</v>
      </c>
      <c r="AL69" s="122">
        <f t="shared" si="42"/>
        <v>35</v>
      </c>
      <c r="AM69" s="105">
        <v>13</v>
      </c>
      <c r="AN69" s="109">
        <f t="shared" si="58"/>
        <v>48</v>
      </c>
      <c r="AO69" s="202"/>
      <c r="AP69" s="121">
        <f t="shared" si="43"/>
        <v>2</v>
      </c>
      <c r="AQ69" s="121">
        <v>24</v>
      </c>
      <c r="AR69" s="121">
        <v>25</v>
      </c>
      <c r="AS69" s="105">
        <f t="shared" si="16"/>
        <v>49</v>
      </c>
      <c r="AT69" s="206"/>
      <c r="AU69" s="121">
        <f t="shared" si="44"/>
        <v>5</v>
      </c>
      <c r="AV69" s="120">
        <v>12</v>
      </c>
      <c r="AW69" s="121">
        <v>26</v>
      </c>
      <c r="AX69" s="122">
        <f t="shared" si="45"/>
        <v>38</v>
      </c>
      <c r="AY69" s="121">
        <v>19</v>
      </c>
      <c r="AZ69" s="122">
        <f t="shared" si="46"/>
        <v>57</v>
      </c>
      <c r="BA69" s="202"/>
      <c r="BB69" s="121">
        <f t="shared" si="47"/>
        <v>3</v>
      </c>
      <c r="BC69" s="120">
        <v>11</v>
      </c>
      <c r="BD69" s="121">
        <v>29</v>
      </c>
      <c r="BE69" s="122">
        <f t="shared" si="48"/>
        <v>40</v>
      </c>
      <c r="BF69" s="121">
        <v>24</v>
      </c>
      <c r="BG69" s="122">
        <f t="shared" si="49"/>
        <v>64</v>
      </c>
      <c r="BH69" s="202"/>
      <c r="BI69" s="121">
        <f t="shared" si="50"/>
        <v>3.5</v>
      </c>
      <c r="BJ69" s="120">
        <v>9</v>
      </c>
      <c r="BK69" s="121">
        <v>32</v>
      </c>
      <c r="BL69" s="122">
        <f t="shared" si="51"/>
        <v>41</v>
      </c>
      <c r="BM69" s="109">
        <f t="shared" si="25"/>
        <v>41</v>
      </c>
      <c r="BN69" s="202"/>
      <c r="BO69" s="121">
        <f t="shared" si="34"/>
        <v>5</v>
      </c>
      <c r="BP69" s="105">
        <f t="shared" si="26"/>
        <v>29</v>
      </c>
      <c r="BQ69" s="110">
        <f t="shared" si="27"/>
        <v>3.625</v>
      </c>
      <c r="BR69" s="124" t="str">
        <f t="shared" si="52"/>
        <v>A-</v>
      </c>
      <c r="BS69" s="125" t="str">
        <f t="shared" si="3"/>
        <v>GOOD</v>
      </c>
      <c r="BT69" s="113">
        <f t="shared" si="29"/>
        <v>514</v>
      </c>
      <c r="BU69" s="115">
        <v>68</v>
      </c>
    </row>
    <row r="70" spans="1:73" ht="27.95" customHeight="1">
      <c r="A70" s="105">
        <v>62</v>
      </c>
      <c r="B70" s="118">
        <v>50</v>
      </c>
      <c r="C70" s="126" t="s">
        <v>142</v>
      </c>
      <c r="D70" s="127" t="s">
        <v>143</v>
      </c>
      <c r="E70" s="127" t="s">
        <v>357</v>
      </c>
      <c r="F70" s="118" t="s">
        <v>358</v>
      </c>
      <c r="G70" s="108">
        <v>11</v>
      </c>
      <c r="H70" s="105">
        <v>28</v>
      </c>
      <c r="I70" s="109">
        <f t="shared" si="53"/>
        <v>39</v>
      </c>
      <c r="J70" s="105">
        <v>24</v>
      </c>
      <c r="K70" s="109">
        <f t="shared" si="54"/>
        <v>63</v>
      </c>
      <c r="L70" s="108">
        <v>8</v>
      </c>
      <c r="M70" s="105">
        <v>32</v>
      </c>
      <c r="N70" s="109">
        <f t="shared" si="55"/>
        <v>40</v>
      </c>
      <c r="O70" s="109">
        <f t="shared" si="4"/>
        <v>40</v>
      </c>
      <c r="P70" s="109">
        <f t="shared" si="33"/>
        <v>103</v>
      </c>
      <c r="Q70" s="202"/>
      <c r="R70" s="121">
        <f t="shared" si="35"/>
        <v>3.5</v>
      </c>
      <c r="S70" s="120">
        <v>9</v>
      </c>
      <c r="T70" s="121">
        <v>59</v>
      </c>
      <c r="U70" s="109">
        <f t="shared" si="36"/>
        <v>68</v>
      </c>
      <c r="V70" s="121">
        <v>5</v>
      </c>
      <c r="W70" s="121">
        <v>22</v>
      </c>
      <c r="X70" s="109">
        <f t="shared" si="37"/>
        <v>27</v>
      </c>
      <c r="Y70" s="109">
        <f t="shared" si="56"/>
        <v>95</v>
      </c>
      <c r="Z70" s="109">
        <f t="shared" si="57"/>
        <v>95</v>
      </c>
      <c r="AA70" s="202"/>
      <c r="AB70" s="121">
        <f t="shared" si="38"/>
        <v>3.5</v>
      </c>
      <c r="AC70" s="120">
        <v>13</v>
      </c>
      <c r="AD70" s="121">
        <v>19</v>
      </c>
      <c r="AE70" s="109">
        <f t="shared" si="39"/>
        <v>32</v>
      </c>
      <c r="AF70" s="105">
        <v>22</v>
      </c>
      <c r="AG70" s="109">
        <f t="shared" si="40"/>
        <v>54</v>
      </c>
      <c r="AH70" s="202"/>
      <c r="AI70" s="121">
        <f t="shared" si="41"/>
        <v>3</v>
      </c>
      <c r="AJ70" s="120">
        <v>12</v>
      </c>
      <c r="AK70" s="121">
        <v>25</v>
      </c>
      <c r="AL70" s="122">
        <f t="shared" si="42"/>
        <v>37</v>
      </c>
      <c r="AM70" s="105">
        <v>16</v>
      </c>
      <c r="AN70" s="109">
        <f t="shared" si="58"/>
        <v>53</v>
      </c>
      <c r="AO70" s="202"/>
      <c r="AP70" s="121">
        <f t="shared" si="43"/>
        <v>3</v>
      </c>
      <c r="AQ70" s="121">
        <v>19</v>
      </c>
      <c r="AR70" s="121">
        <v>25</v>
      </c>
      <c r="AS70" s="105">
        <f t="shared" si="16"/>
        <v>44</v>
      </c>
      <c r="AT70" s="206"/>
      <c r="AU70" s="121">
        <f t="shared" si="44"/>
        <v>5</v>
      </c>
      <c r="AV70" s="120">
        <v>17</v>
      </c>
      <c r="AW70" s="121">
        <v>29</v>
      </c>
      <c r="AX70" s="122">
        <f t="shared" si="45"/>
        <v>46</v>
      </c>
      <c r="AY70" s="121">
        <v>26</v>
      </c>
      <c r="AZ70" s="122">
        <f t="shared" si="46"/>
        <v>72</v>
      </c>
      <c r="BA70" s="202"/>
      <c r="BB70" s="121">
        <f t="shared" si="47"/>
        <v>4</v>
      </c>
      <c r="BC70" s="120">
        <v>11</v>
      </c>
      <c r="BD70" s="121">
        <v>29</v>
      </c>
      <c r="BE70" s="122">
        <f t="shared" si="48"/>
        <v>40</v>
      </c>
      <c r="BF70" s="121">
        <v>28</v>
      </c>
      <c r="BG70" s="122">
        <f t="shared" si="49"/>
        <v>68</v>
      </c>
      <c r="BH70" s="202"/>
      <c r="BI70" s="121">
        <f t="shared" si="50"/>
        <v>3.5</v>
      </c>
      <c r="BJ70" s="120">
        <v>7</v>
      </c>
      <c r="BK70" s="121">
        <v>24</v>
      </c>
      <c r="BL70" s="122">
        <f t="shared" si="51"/>
        <v>31</v>
      </c>
      <c r="BM70" s="109">
        <f t="shared" si="25"/>
        <v>31</v>
      </c>
      <c r="BN70" s="202"/>
      <c r="BO70" s="121">
        <f t="shared" si="34"/>
        <v>3.5</v>
      </c>
      <c r="BP70" s="105">
        <f t="shared" si="26"/>
        <v>29</v>
      </c>
      <c r="BQ70" s="110">
        <f t="shared" si="27"/>
        <v>3.625</v>
      </c>
      <c r="BR70" s="124" t="str">
        <f t="shared" si="52"/>
        <v>A-</v>
      </c>
      <c r="BS70" s="125" t="str">
        <f t="shared" si="3"/>
        <v>GOOD</v>
      </c>
      <c r="BT70" s="113">
        <f t="shared" si="29"/>
        <v>520</v>
      </c>
      <c r="BU70" s="115">
        <v>67</v>
      </c>
    </row>
    <row r="71" spans="1:73" ht="27.95" customHeight="1">
      <c r="A71" s="105">
        <v>63</v>
      </c>
      <c r="B71" s="118">
        <v>54</v>
      </c>
      <c r="C71" s="126" t="s">
        <v>359</v>
      </c>
      <c r="D71" s="127" t="s">
        <v>360</v>
      </c>
      <c r="E71" s="127" t="s">
        <v>361</v>
      </c>
      <c r="F71" s="118" t="s">
        <v>362</v>
      </c>
      <c r="G71" s="108">
        <v>12</v>
      </c>
      <c r="H71" s="105">
        <v>14</v>
      </c>
      <c r="I71" s="109">
        <f t="shared" si="53"/>
        <v>26</v>
      </c>
      <c r="J71" s="105">
        <v>22</v>
      </c>
      <c r="K71" s="109">
        <f t="shared" si="54"/>
        <v>48</v>
      </c>
      <c r="L71" s="108">
        <v>7</v>
      </c>
      <c r="M71" s="105">
        <v>19</v>
      </c>
      <c r="N71" s="109">
        <f t="shared" si="55"/>
        <v>26</v>
      </c>
      <c r="O71" s="109">
        <f t="shared" si="4"/>
        <v>26</v>
      </c>
      <c r="P71" s="109">
        <f t="shared" si="33"/>
        <v>74</v>
      </c>
      <c r="Q71" s="202"/>
      <c r="R71" s="121">
        <f t="shared" si="35"/>
        <v>3</v>
      </c>
      <c r="S71" s="120">
        <v>14</v>
      </c>
      <c r="T71" s="121">
        <v>46</v>
      </c>
      <c r="U71" s="109">
        <f t="shared" si="36"/>
        <v>60</v>
      </c>
      <c r="V71" s="121">
        <v>4</v>
      </c>
      <c r="W71" s="121">
        <v>16</v>
      </c>
      <c r="X71" s="109">
        <f t="shared" si="37"/>
        <v>20</v>
      </c>
      <c r="Y71" s="109">
        <f t="shared" si="56"/>
        <v>80</v>
      </c>
      <c r="Z71" s="109">
        <f t="shared" si="57"/>
        <v>80</v>
      </c>
      <c r="AA71" s="202"/>
      <c r="AB71" s="121">
        <f t="shared" si="38"/>
        <v>3</v>
      </c>
      <c r="AC71" s="120">
        <v>5</v>
      </c>
      <c r="AD71" s="121">
        <v>21</v>
      </c>
      <c r="AE71" s="109">
        <f t="shared" si="39"/>
        <v>26</v>
      </c>
      <c r="AF71" s="105">
        <v>22</v>
      </c>
      <c r="AG71" s="109">
        <f t="shared" si="40"/>
        <v>48</v>
      </c>
      <c r="AH71" s="202"/>
      <c r="AI71" s="121">
        <f t="shared" si="41"/>
        <v>2</v>
      </c>
      <c r="AJ71" s="120">
        <v>11</v>
      </c>
      <c r="AK71" s="121">
        <v>9</v>
      </c>
      <c r="AL71" s="122">
        <f t="shared" si="42"/>
        <v>20</v>
      </c>
      <c r="AM71" s="105">
        <v>9</v>
      </c>
      <c r="AN71" s="109">
        <f t="shared" si="58"/>
        <v>29</v>
      </c>
      <c r="AO71" s="202"/>
      <c r="AP71" s="121" t="str">
        <f t="shared" si="43"/>
        <v>F</v>
      </c>
      <c r="AQ71" s="121">
        <v>13</v>
      </c>
      <c r="AR71" s="121">
        <v>25</v>
      </c>
      <c r="AS71" s="105">
        <f t="shared" si="16"/>
        <v>38</v>
      </c>
      <c r="AT71" s="206"/>
      <c r="AU71" s="121">
        <f t="shared" si="44"/>
        <v>4</v>
      </c>
      <c r="AV71" s="120">
        <v>12</v>
      </c>
      <c r="AW71" s="121">
        <v>17</v>
      </c>
      <c r="AX71" s="122">
        <f t="shared" si="45"/>
        <v>29</v>
      </c>
      <c r="AY71" s="121">
        <v>19</v>
      </c>
      <c r="AZ71" s="122">
        <f t="shared" si="46"/>
        <v>48</v>
      </c>
      <c r="BA71" s="202"/>
      <c r="BB71" s="121">
        <f t="shared" si="47"/>
        <v>2</v>
      </c>
      <c r="BC71" s="120">
        <v>10</v>
      </c>
      <c r="BD71" s="121">
        <v>13</v>
      </c>
      <c r="BE71" s="122">
        <f t="shared" si="48"/>
        <v>23</v>
      </c>
      <c r="BF71" s="121">
        <v>18</v>
      </c>
      <c r="BG71" s="122">
        <f t="shared" si="49"/>
        <v>41</v>
      </c>
      <c r="BH71" s="202"/>
      <c r="BI71" s="121">
        <f t="shared" si="50"/>
        <v>2</v>
      </c>
      <c r="BJ71" s="120">
        <v>7</v>
      </c>
      <c r="BK71" s="121">
        <v>24</v>
      </c>
      <c r="BL71" s="122">
        <f t="shared" si="51"/>
        <v>31</v>
      </c>
      <c r="BM71" s="109">
        <f t="shared" si="25"/>
        <v>31</v>
      </c>
      <c r="BN71" s="202"/>
      <c r="BO71" s="121">
        <f t="shared" si="34"/>
        <v>3.5</v>
      </c>
      <c r="BP71" s="105" t="str">
        <f t="shared" si="26"/>
        <v>F</v>
      </c>
      <c r="BQ71" s="110" t="str">
        <f t="shared" si="27"/>
        <v>F</v>
      </c>
      <c r="BR71" s="124" t="str">
        <f t="shared" si="52"/>
        <v>F</v>
      </c>
      <c r="BS71" s="125" t="str">
        <f t="shared" si="3"/>
        <v>NEED TO PROGRESS</v>
      </c>
      <c r="BT71" s="113">
        <f t="shared" si="29"/>
        <v>389</v>
      </c>
      <c r="BU71" s="115">
        <v>65</v>
      </c>
    </row>
    <row r="72" spans="1:73" ht="27.95" customHeight="1">
      <c r="A72" s="105">
        <v>64</v>
      </c>
      <c r="B72" s="118">
        <v>58</v>
      </c>
      <c r="C72" s="128" t="s">
        <v>363</v>
      </c>
      <c r="D72" s="129" t="s">
        <v>364</v>
      </c>
      <c r="E72" s="129" t="s">
        <v>365</v>
      </c>
      <c r="F72" s="130" t="s">
        <v>366</v>
      </c>
      <c r="G72" s="108">
        <v>9</v>
      </c>
      <c r="H72" s="105">
        <v>21</v>
      </c>
      <c r="I72" s="109">
        <f t="shared" si="53"/>
        <v>30</v>
      </c>
      <c r="J72" s="105">
        <v>21</v>
      </c>
      <c r="K72" s="109">
        <f t="shared" si="54"/>
        <v>51</v>
      </c>
      <c r="L72" s="108">
        <v>9</v>
      </c>
      <c r="M72" s="105">
        <v>26</v>
      </c>
      <c r="N72" s="109">
        <f t="shared" si="55"/>
        <v>35</v>
      </c>
      <c r="O72" s="109">
        <f t="shared" si="4"/>
        <v>35</v>
      </c>
      <c r="P72" s="109">
        <f t="shared" si="33"/>
        <v>86</v>
      </c>
      <c r="Q72" s="202"/>
      <c r="R72" s="121">
        <f t="shared" si="35"/>
        <v>3</v>
      </c>
      <c r="S72" s="120">
        <v>15</v>
      </c>
      <c r="T72" s="121">
        <v>32</v>
      </c>
      <c r="U72" s="109">
        <f t="shared" si="36"/>
        <v>47</v>
      </c>
      <c r="V72" s="121">
        <v>4</v>
      </c>
      <c r="W72" s="121">
        <v>8</v>
      </c>
      <c r="X72" s="109">
        <f t="shared" si="37"/>
        <v>12</v>
      </c>
      <c r="Y72" s="109">
        <f t="shared" si="56"/>
        <v>59</v>
      </c>
      <c r="Z72" s="109">
        <f t="shared" si="57"/>
        <v>59</v>
      </c>
      <c r="AA72" s="202"/>
      <c r="AB72" s="121" t="str">
        <f t="shared" si="38"/>
        <v>F</v>
      </c>
      <c r="AC72" s="120">
        <v>8</v>
      </c>
      <c r="AD72" s="121">
        <v>12</v>
      </c>
      <c r="AE72" s="109">
        <f t="shared" si="39"/>
        <v>20</v>
      </c>
      <c r="AF72" s="105">
        <v>21</v>
      </c>
      <c r="AG72" s="109">
        <f t="shared" si="40"/>
        <v>41</v>
      </c>
      <c r="AH72" s="202"/>
      <c r="AI72" s="121">
        <f t="shared" si="41"/>
        <v>2</v>
      </c>
      <c r="AJ72" s="120">
        <v>11</v>
      </c>
      <c r="AK72" s="121">
        <v>22</v>
      </c>
      <c r="AL72" s="122">
        <f t="shared" si="42"/>
        <v>33</v>
      </c>
      <c r="AM72" s="105">
        <v>12</v>
      </c>
      <c r="AN72" s="109">
        <f t="shared" si="58"/>
        <v>45</v>
      </c>
      <c r="AO72" s="202"/>
      <c r="AP72" s="121">
        <f t="shared" si="43"/>
        <v>2</v>
      </c>
      <c r="AQ72" s="121">
        <v>18</v>
      </c>
      <c r="AR72" s="121">
        <v>25</v>
      </c>
      <c r="AS72" s="105">
        <f t="shared" si="16"/>
        <v>43</v>
      </c>
      <c r="AT72" s="206"/>
      <c r="AU72" s="121">
        <f t="shared" si="44"/>
        <v>5</v>
      </c>
      <c r="AV72" s="120">
        <v>11</v>
      </c>
      <c r="AW72" s="121">
        <v>19</v>
      </c>
      <c r="AX72" s="122">
        <f t="shared" si="45"/>
        <v>30</v>
      </c>
      <c r="AY72" s="121">
        <v>16</v>
      </c>
      <c r="AZ72" s="122">
        <f t="shared" si="46"/>
        <v>46</v>
      </c>
      <c r="BA72" s="202"/>
      <c r="BB72" s="121">
        <f t="shared" si="47"/>
        <v>2</v>
      </c>
      <c r="BC72" s="120">
        <v>9</v>
      </c>
      <c r="BD72" s="121">
        <v>13</v>
      </c>
      <c r="BE72" s="122">
        <f t="shared" si="48"/>
        <v>22</v>
      </c>
      <c r="BF72" s="121">
        <v>20</v>
      </c>
      <c r="BG72" s="122">
        <f t="shared" si="49"/>
        <v>42</v>
      </c>
      <c r="BH72" s="202"/>
      <c r="BI72" s="121">
        <f t="shared" si="50"/>
        <v>2</v>
      </c>
      <c r="BJ72" s="120">
        <v>6</v>
      </c>
      <c r="BK72" s="121">
        <v>20</v>
      </c>
      <c r="BL72" s="122">
        <f t="shared" si="51"/>
        <v>26</v>
      </c>
      <c r="BM72" s="109">
        <f t="shared" si="25"/>
        <v>26</v>
      </c>
      <c r="BN72" s="202"/>
      <c r="BO72" s="121">
        <f t="shared" si="34"/>
        <v>3</v>
      </c>
      <c r="BP72" s="105" t="str">
        <f t="shared" si="26"/>
        <v>F</v>
      </c>
      <c r="BQ72" s="110" t="str">
        <f t="shared" si="27"/>
        <v>F</v>
      </c>
      <c r="BR72" s="124" t="str">
        <f t="shared" si="52"/>
        <v>F</v>
      </c>
      <c r="BS72" s="125" t="str">
        <f t="shared" si="3"/>
        <v>NEED TO PROGRESS</v>
      </c>
      <c r="BT72" s="113">
        <f t="shared" si="29"/>
        <v>388</v>
      </c>
      <c r="BU72" s="115">
        <v>62</v>
      </c>
    </row>
    <row r="73" spans="1:73" ht="27.95" customHeight="1">
      <c r="A73" s="105">
        <v>65</v>
      </c>
      <c r="B73" s="118">
        <v>62</v>
      </c>
      <c r="C73" s="126" t="s">
        <v>151</v>
      </c>
      <c r="D73" s="127" t="s">
        <v>146</v>
      </c>
      <c r="E73" s="127" t="s">
        <v>152</v>
      </c>
      <c r="F73" s="118" t="s">
        <v>367</v>
      </c>
      <c r="G73" s="108">
        <v>10</v>
      </c>
      <c r="H73" s="105">
        <v>21</v>
      </c>
      <c r="I73" s="109">
        <f t="shared" si="53"/>
        <v>31</v>
      </c>
      <c r="J73" s="105">
        <v>26</v>
      </c>
      <c r="K73" s="109">
        <f t="shared" si="54"/>
        <v>57</v>
      </c>
      <c r="L73" s="108">
        <v>4</v>
      </c>
      <c r="M73" s="105">
        <v>30</v>
      </c>
      <c r="N73" s="109">
        <f t="shared" si="55"/>
        <v>34</v>
      </c>
      <c r="O73" s="109">
        <f t="shared" si="4"/>
        <v>34</v>
      </c>
      <c r="P73" s="109">
        <f t="shared" ref="P73:P94" si="59">K73+O73</f>
        <v>91</v>
      </c>
      <c r="Q73" s="202"/>
      <c r="R73" s="121">
        <f t="shared" si="35"/>
        <v>3</v>
      </c>
      <c r="S73" s="120">
        <v>13</v>
      </c>
      <c r="T73" s="121">
        <v>41</v>
      </c>
      <c r="U73" s="109">
        <f t="shared" si="36"/>
        <v>54</v>
      </c>
      <c r="V73" s="121">
        <v>5</v>
      </c>
      <c r="W73" s="121">
        <v>20</v>
      </c>
      <c r="X73" s="109">
        <f t="shared" si="37"/>
        <v>25</v>
      </c>
      <c r="Y73" s="109">
        <f t="shared" si="56"/>
        <v>79</v>
      </c>
      <c r="Z73" s="109">
        <f t="shared" si="57"/>
        <v>79</v>
      </c>
      <c r="AA73" s="202"/>
      <c r="AB73" s="121">
        <f t="shared" si="38"/>
        <v>3</v>
      </c>
      <c r="AC73" s="120">
        <v>18</v>
      </c>
      <c r="AD73" s="121">
        <v>35</v>
      </c>
      <c r="AE73" s="109">
        <f t="shared" si="39"/>
        <v>53</v>
      </c>
      <c r="AF73" s="105">
        <v>27</v>
      </c>
      <c r="AG73" s="109">
        <f t="shared" si="40"/>
        <v>80</v>
      </c>
      <c r="AH73" s="202"/>
      <c r="AI73" s="121">
        <f t="shared" si="41"/>
        <v>5</v>
      </c>
      <c r="AJ73" s="120">
        <v>12</v>
      </c>
      <c r="AK73" s="121">
        <v>24</v>
      </c>
      <c r="AL73" s="122">
        <f t="shared" si="42"/>
        <v>36</v>
      </c>
      <c r="AM73" s="105">
        <v>17</v>
      </c>
      <c r="AN73" s="109">
        <f t="shared" si="58"/>
        <v>53</v>
      </c>
      <c r="AO73" s="202"/>
      <c r="AP73" s="121">
        <f t="shared" si="43"/>
        <v>3</v>
      </c>
      <c r="AQ73" s="121">
        <v>24</v>
      </c>
      <c r="AR73" s="121">
        <v>25</v>
      </c>
      <c r="AS73" s="105">
        <f t="shared" si="16"/>
        <v>49</v>
      </c>
      <c r="AT73" s="206"/>
      <c r="AU73" s="121">
        <f t="shared" si="44"/>
        <v>5</v>
      </c>
      <c r="AV73" s="120">
        <v>13</v>
      </c>
      <c r="AW73" s="121">
        <v>28</v>
      </c>
      <c r="AX73" s="122">
        <f t="shared" si="45"/>
        <v>41</v>
      </c>
      <c r="AY73" s="121">
        <v>22</v>
      </c>
      <c r="AZ73" s="122">
        <f t="shared" si="46"/>
        <v>63</v>
      </c>
      <c r="BA73" s="202"/>
      <c r="BB73" s="121">
        <f t="shared" si="47"/>
        <v>3.5</v>
      </c>
      <c r="BC73" s="120">
        <v>10</v>
      </c>
      <c r="BD73" s="121">
        <v>21</v>
      </c>
      <c r="BE73" s="122">
        <f t="shared" si="48"/>
        <v>31</v>
      </c>
      <c r="BF73" s="121">
        <v>27</v>
      </c>
      <c r="BG73" s="122">
        <f t="shared" si="49"/>
        <v>58</v>
      </c>
      <c r="BH73" s="202"/>
      <c r="BI73" s="121">
        <f t="shared" si="50"/>
        <v>3</v>
      </c>
      <c r="BJ73" s="120">
        <v>9</v>
      </c>
      <c r="BK73" s="121">
        <v>24</v>
      </c>
      <c r="BL73" s="122">
        <f t="shared" si="51"/>
        <v>33</v>
      </c>
      <c r="BM73" s="109">
        <f t="shared" si="25"/>
        <v>33</v>
      </c>
      <c r="BN73" s="202"/>
      <c r="BO73" s="121">
        <f t="shared" ref="BO73:BO94" si="60">IF(BL73&lt;20,"F",IF(BM73&lt;20,"F",IF(BM73&lt;25,2,IF(BM73&lt;30,3,IF(BM73&lt;35,3.5,IF(BM73&lt;40,4,5))))))</f>
        <v>3.5</v>
      </c>
      <c r="BP73" s="105">
        <f t="shared" si="26"/>
        <v>29</v>
      </c>
      <c r="BQ73" s="110">
        <f t="shared" si="27"/>
        <v>3.625</v>
      </c>
      <c r="BR73" s="124" t="str">
        <f t="shared" si="52"/>
        <v>A-</v>
      </c>
      <c r="BS73" s="125" t="str">
        <f t="shared" ref="BS73:BS94" si="61">IF(BQ73="F","NEED TO PROGRESS",IF(BQ73&gt;=5,"BEST",IF(BQ73&gt;=4,"BETTER",IF(BQ73&gt;=2,"GOOD"))))</f>
        <v>GOOD</v>
      </c>
      <c r="BT73" s="113">
        <f t="shared" si="29"/>
        <v>506</v>
      </c>
      <c r="BU73" s="115">
        <v>55</v>
      </c>
    </row>
    <row r="74" spans="1:73" ht="27.95" customHeight="1">
      <c r="A74" s="105">
        <v>66</v>
      </c>
      <c r="B74" s="118">
        <v>64</v>
      </c>
      <c r="C74" s="126" t="s">
        <v>368</v>
      </c>
      <c r="D74" s="127" t="s">
        <v>369</v>
      </c>
      <c r="E74" s="127" t="s">
        <v>370</v>
      </c>
      <c r="F74" s="118" t="s">
        <v>371</v>
      </c>
      <c r="G74" s="108">
        <v>8</v>
      </c>
      <c r="H74" s="105">
        <v>17</v>
      </c>
      <c r="I74" s="109">
        <f t="shared" si="53"/>
        <v>25</v>
      </c>
      <c r="J74" s="105">
        <v>16</v>
      </c>
      <c r="K74" s="109">
        <f t="shared" si="54"/>
        <v>41</v>
      </c>
      <c r="L74" s="108">
        <v>6</v>
      </c>
      <c r="M74" s="105">
        <v>16</v>
      </c>
      <c r="N74" s="109">
        <f t="shared" si="55"/>
        <v>22</v>
      </c>
      <c r="O74" s="109">
        <f t="shared" ref="O74:O94" si="62">N74</f>
        <v>22</v>
      </c>
      <c r="P74" s="109">
        <f t="shared" si="59"/>
        <v>63</v>
      </c>
      <c r="Q74" s="202"/>
      <c r="R74" s="121">
        <f t="shared" si="35"/>
        <v>2</v>
      </c>
      <c r="S74" s="120">
        <v>9</v>
      </c>
      <c r="T74" s="121">
        <v>16</v>
      </c>
      <c r="U74" s="109">
        <f t="shared" si="36"/>
        <v>25</v>
      </c>
      <c r="V74" s="121">
        <v>1</v>
      </c>
      <c r="W74" s="121">
        <v>9</v>
      </c>
      <c r="X74" s="109">
        <f t="shared" si="37"/>
        <v>10</v>
      </c>
      <c r="Y74" s="109">
        <f t="shared" si="56"/>
        <v>35</v>
      </c>
      <c r="Z74" s="109">
        <f t="shared" si="57"/>
        <v>35</v>
      </c>
      <c r="AA74" s="202"/>
      <c r="AB74" s="121" t="str">
        <f t="shared" si="38"/>
        <v>F</v>
      </c>
      <c r="AC74" s="120">
        <v>5</v>
      </c>
      <c r="AD74" s="121">
        <v>5</v>
      </c>
      <c r="AE74" s="109">
        <f t="shared" si="39"/>
        <v>10</v>
      </c>
      <c r="AF74" s="105">
        <v>9</v>
      </c>
      <c r="AG74" s="109">
        <f t="shared" si="40"/>
        <v>19</v>
      </c>
      <c r="AH74" s="202"/>
      <c r="AI74" s="121" t="str">
        <f t="shared" si="41"/>
        <v>F</v>
      </c>
      <c r="AJ74" s="120">
        <v>12</v>
      </c>
      <c r="AK74" s="121">
        <v>9</v>
      </c>
      <c r="AL74" s="122">
        <f t="shared" si="42"/>
        <v>21</v>
      </c>
      <c r="AM74" s="105">
        <v>19</v>
      </c>
      <c r="AN74" s="109">
        <f t="shared" si="58"/>
        <v>40</v>
      </c>
      <c r="AO74" s="202"/>
      <c r="AP74" s="121">
        <f t="shared" si="43"/>
        <v>2</v>
      </c>
      <c r="AQ74" s="121">
        <v>10</v>
      </c>
      <c r="AR74" s="121">
        <v>25</v>
      </c>
      <c r="AS74" s="105">
        <f t="shared" ref="AS74:AS94" si="63">AQ74+AR74</f>
        <v>35</v>
      </c>
      <c r="AT74" s="206"/>
      <c r="AU74" s="121">
        <f t="shared" si="44"/>
        <v>4</v>
      </c>
      <c r="AV74" s="120">
        <v>11</v>
      </c>
      <c r="AW74" s="121">
        <v>2</v>
      </c>
      <c r="AX74" s="122">
        <f t="shared" si="45"/>
        <v>13</v>
      </c>
      <c r="AY74" s="121">
        <v>14</v>
      </c>
      <c r="AZ74" s="122">
        <f t="shared" si="46"/>
        <v>27</v>
      </c>
      <c r="BA74" s="202"/>
      <c r="BB74" s="121" t="str">
        <f t="shared" si="47"/>
        <v>F</v>
      </c>
      <c r="BC74" s="120">
        <v>8</v>
      </c>
      <c r="BD74" s="121">
        <v>15</v>
      </c>
      <c r="BE74" s="122">
        <f t="shared" si="48"/>
        <v>23</v>
      </c>
      <c r="BF74" s="121">
        <v>17</v>
      </c>
      <c r="BG74" s="122">
        <f t="shared" si="49"/>
        <v>40</v>
      </c>
      <c r="BH74" s="202"/>
      <c r="BI74" s="121">
        <f t="shared" si="50"/>
        <v>2</v>
      </c>
      <c r="BJ74" s="120">
        <v>5</v>
      </c>
      <c r="BK74" s="121">
        <v>20</v>
      </c>
      <c r="BL74" s="122">
        <f t="shared" si="51"/>
        <v>25</v>
      </c>
      <c r="BM74" s="109">
        <f t="shared" ref="BM74:BM94" si="64">BL74</f>
        <v>25</v>
      </c>
      <c r="BN74" s="202"/>
      <c r="BO74" s="121">
        <f t="shared" si="60"/>
        <v>3</v>
      </c>
      <c r="BP74" s="105" t="str">
        <f t="shared" ref="BP74:BP94" si="65">IF(R74="F","F",IF(AB74="F","F",IF(AI74="F","F",IF(AP74="F","F",IF(BB74="F","F",IF(BI74="F","F",IF(AU74="F","F",IF(BO74="F","F",SUM(R74,AB74,AI74,AP74,AU74,BB74,BO74,BI74)))))))))</f>
        <v>F</v>
      </c>
      <c r="BQ74" s="110" t="str">
        <f t="shared" ref="BQ74:BQ94" si="66">IF(BP74="F","F",IF(BP74&gt;=45,5,IF(BP74&lt;45,BP74/8)))</f>
        <v>F</v>
      </c>
      <c r="BR74" s="124" t="str">
        <f t="shared" si="52"/>
        <v>F</v>
      </c>
      <c r="BS74" s="125" t="str">
        <f t="shared" si="61"/>
        <v>NEED TO PROGRESS</v>
      </c>
      <c r="BT74" s="113">
        <f t="shared" ref="BT74:BT94" si="67">P74+Z74+AG74+AN74+AS74+AZ74+BG74+BM74</f>
        <v>284</v>
      </c>
      <c r="BU74" s="115">
        <v>56</v>
      </c>
    </row>
    <row r="75" spans="1:73" ht="27.95" customHeight="1">
      <c r="A75" s="105">
        <v>67</v>
      </c>
      <c r="B75" s="118">
        <v>66</v>
      </c>
      <c r="C75" s="126" t="s">
        <v>372</v>
      </c>
      <c r="D75" s="127" t="s">
        <v>373</v>
      </c>
      <c r="E75" s="127" t="s">
        <v>374</v>
      </c>
      <c r="F75" s="118" t="s">
        <v>375</v>
      </c>
      <c r="G75" s="108">
        <v>12</v>
      </c>
      <c r="H75" s="105">
        <v>25</v>
      </c>
      <c r="I75" s="109">
        <f t="shared" si="53"/>
        <v>37</v>
      </c>
      <c r="J75" s="105">
        <v>16</v>
      </c>
      <c r="K75" s="109">
        <f t="shared" si="54"/>
        <v>53</v>
      </c>
      <c r="L75" s="108">
        <v>8</v>
      </c>
      <c r="M75" s="105">
        <v>19</v>
      </c>
      <c r="N75" s="109">
        <f t="shared" si="55"/>
        <v>27</v>
      </c>
      <c r="O75" s="109">
        <f t="shared" si="62"/>
        <v>27</v>
      </c>
      <c r="P75" s="109">
        <f t="shared" si="59"/>
        <v>80</v>
      </c>
      <c r="Q75" s="202"/>
      <c r="R75" s="121">
        <f t="shared" si="35"/>
        <v>3</v>
      </c>
      <c r="S75" s="120">
        <v>12</v>
      </c>
      <c r="T75" s="121">
        <v>32</v>
      </c>
      <c r="U75" s="109">
        <f t="shared" si="36"/>
        <v>44</v>
      </c>
      <c r="V75" s="121">
        <v>5</v>
      </c>
      <c r="W75" s="121">
        <v>16</v>
      </c>
      <c r="X75" s="109">
        <f t="shared" si="37"/>
        <v>21</v>
      </c>
      <c r="Y75" s="109">
        <f t="shared" si="56"/>
        <v>65</v>
      </c>
      <c r="Z75" s="109">
        <f t="shared" si="57"/>
        <v>65</v>
      </c>
      <c r="AA75" s="202"/>
      <c r="AB75" s="121">
        <f t="shared" si="38"/>
        <v>2</v>
      </c>
      <c r="AC75" s="120">
        <v>13</v>
      </c>
      <c r="AD75" s="121">
        <v>13</v>
      </c>
      <c r="AE75" s="109">
        <f t="shared" si="39"/>
        <v>26</v>
      </c>
      <c r="AF75" s="105">
        <v>17</v>
      </c>
      <c r="AG75" s="109">
        <f t="shared" si="40"/>
        <v>43</v>
      </c>
      <c r="AH75" s="202"/>
      <c r="AI75" s="121">
        <f t="shared" si="41"/>
        <v>2</v>
      </c>
      <c r="AJ75" s="120">
        <v>15</v>
      </c>
      <c r="AK75" s="121">
        <v>22</v>
      </c>
      <c r="AL75" s="122">
        <f t="shared" si="42"/>
        <v>37</v>
      </c>
      <c r="AM75" s="105">
        <v>26</v>
      </c>
      <c r="AN75" s="109">
        <f t="shared" si="58"/>
        <v>63</v>
      </c>
      <c r="AO75" s="202"/>
      <c r="AP75" s="121">
        <f t="shared" si="43"/>
        <v>3.5</v>
      </c>
      <c r="AQ75" s="121">
        <v>13</v>
      </c>
      <c r="AR75" s="121">
        <v>25</v>
      </c>
      <c r="AS75" s="105">
        <f t="shared" si="63"/>
        <v>38</v>
      </c>
      <c r="AT75" s="206"/>
      <c r="AU75" s="121">
        <f t="shared" si="44"/>
        <v>4</v>
      </c>
      <c r="AV75" s="120">
        <v>11</v>
      </c>
      <c r="AW75" s="121">
        <v>17</v>
      </c>
      <c r="AX75" s="122">
        <f t="shared" si="45"/>
        <v>28</v>
      </c>
      <c r="AY75" s="121">
        <v>21</v>
      </c>
      <c r="AZ75" s="122">
        <f t="shared" si="46"/>
        <v>49</v>
      </c>
      <c r="BA75" s="202"/>
      <c r="BB75" s="121">
        <f t="shared" si="47"/>
        <v>2</v>
      </c>
      <c r="BC75" s="120">
        <v>10</v>
      </c>
      <c r="BD75" s="121">
        <v>21</v>
      </c>
      <c r="BE75" s="122">
        <f t="shared" si="48"/>
        <v>31</v>
      </c>
      <c r="BF75" s="121">
        <v>14</v>
      </c>
      <c r="BG75" s="122">
        <f t="shared" si="49"/>
        <v>45</v>
      </c>
      <c r="BH75" s="202"/>
      <c r="BI75" s="121">
        <f t="shared" si="50"/>
        <v>2</v>
      </c>
      <c r="BJ75" s="120">
        <v>7</v>
      </c>
      <c r="BK75" s="121">
        <v>20</v>
      </c>
      <c r="BL75" s="122">
        <f t="shared" si="51"/>
        <v>27</v>
      </c>
      <c r="BM75" s="109">
        <f t="shared" si="64"/>
        <v>27</v>
      </c>
      <c r="BN75" s="202"/>
      <c r="BO75" s="121">
        <f t="shared" si="60"/>
        <v>3</v>
      </c>
      <c r="BP75" s="105">
        <f t="shared" si="65"/>
        <v>21.5</v>
      </c>
      <c r="BQ75" s="110">
        <f t="shared" si="66"/>
        <v>2.6875</v>
      </c>
      <c r="BR75" s="124" t="str">
        <f t="shared" si="52"/>
        <v>C</v>
      </c>
      <c r="BS75" s="125" t="str">
        <f t="shared" si="61"/>
        <v>GOOD</v>
      </c>
      <c r="BT75" s="113">
        <f t="shared" si="67"/>
        <v>410</v>
      </c>
      <c r="BU75" s="115">
        <v>58</v>
      </c>
    </row>
    <row r="76" spans="1:73" ht="27.95" customHeight="1">
      <c r="A76" s="105">
        <v>68</v>
      </c>
      <c r="B76" s="118">
        <v>68</v>
      </c>
      <c r="C76" s="126" t="s">
        <v>376</v>
      </c>
      <c r="D76" s="127" t="s">
        <v>377</v>
      </c>
      <c r="E76" s="127" t="s">
        <v>378</v>
      </c>
      <c r="F76" s="118" t="s">
        <v>379</v>
      </c>
      <c r="G76" s="108">
        <v>13</v>
      </c>
      <c r="H76" s="105">
        <v>21</v>
      </c>
      <c r="I76" s="109">
        <f t="shared" si="53"/>
        <v>34</v>
      </c>
      <c r="J76" s="105">
        <v>15</v>
      </c>
      <c r="K76" s="109">
        <f t="shared" si="54"/>
        <v>49</v>
      </c>
      <c r="L76" s="108">
        <v>9</v>
      </c>
      <c r="M76" s="105">
        <v>25</v>
      </c>
      <c r="N76" s="109">
        <f t="shared" si="55"/>
        <v>34</v>
      </c>
      <c r="O76" s="109">
        <f t="shared" si="62"/>
        <v>34</v>
      </c>
      <c r="P76" s="109">
        <f t="shared" si="59"/>
        <v>83</v>
      </c>
      <c r="Q76" s="202"/>
      <c r="R76" s="121">
        <f t="shared" si="35"/>
        <v>3</v>
      </c>
      <c r="S76" s="120">
        <v>10</v>
      </c>
      <c r="T76" s="121">
        <v>36</v>
      </c>
      <c r="U76" s="109">
        <f t="shared" si="36"/>
        <v>46</v>
      </c>
      <c r="V76" s="121">
        <v>5</v>
      </c>
      <c r="W76" s="121">
        <v>16</v>
      </c>
      <c r="X76" s="109">
        <f t="shared" si="37"/>
        <v>21</v>
      </c>
      <c r="Y76" s="109">
        <f t="shared" si="56"/>
        <v>67</v>
      </c>
      <c r="Z76" s="109">
        <f t="shared" si="57"/>
        <v>67</v>
      </c>
      <c r="AA76" s="202"/>
      <c r="AB76" s="121">
        <f t="shared" si="38"/>
        <v>2</v>
      </c>
      <c r="AC76" s="120">
        <v>12</v>
      </c>
      <c r="AD76" s="121">
        <v>15</v>
      </c>
      <c r="AE76" s="109">
        <f t="shared" si="39"/>
        <v>27</v>
      </c>
      <c r="AF76" s="105">
        <v>17</v>
      </c>
      <c r="AG76" s="109">
        <f t="shared" si="40"/>
        <v>44</v>
      </c>
      <c r="AH76" s="202"/>
      <c r="AI76" s="121">
        <f t="shared" si="41"/>
        <v>2</v>
      </c>
      <c r="AJ76" s="120">
        <v>11</v>
      </c>
      <c r="AK76" s="121">
        <v>19</v>
      </c>
      <c r="AL76" s="122">
        <f t="shared" si="42"/>
        <v>30</v>
      </c>
      <c r="AM76" s="105">
        <v>14</v>
      </c>
      <c r="AN76" s="109">
        <f t="shared" si="58"/>
        <v>44</v>
      </c>
      <c r="AO76" s="202"/>
      <c r="AP76" s="121">
        <f t="shared" si="43"/>
        <v>2</v>
      </c>
      <c r="AQ76" s="121">
        <v>18</v>
      </c>
      <c r="AR76" s="121">
        <v>25</v>
      </c>
      <c r="AS76" s="105">
        <f t="shared" si="63"/>
        <v>43</v>
      </c>
      <c r="AT76" s="206"/>
      <c r="AU76" s="121">
        <f t="shared" si="44"/>
        <v>5</v>
      </c>
      <c r="AV76" s="120">
        <v>13</v>
      </c>
      <c r="AW76" s="121">
        <v>19</v>
      </c>
      <c r="AX76" s="122">
        <f t="shared" si="45"/>
        <v>32</v>
      </c>
      <c r="AY76" s="121">
        <v>21</v>
      </c>
      <c r="AZ76" s="122">
        <f t="shared" si="46"/>
        <v>53</v>
      </c>
      <c r="BA76" s="202"/>
      <c r="BB76" s="121">
        <f t="shared" si="47"/>
        <v>3</v>
      </c>
      <c r="BC76" s="120">
        <v>9</v>
      </c>
      <c r="BD76" s="121">
        <v>17</v>
      </c>
      <c r="BE76" s="122">
        <f t="shared" si="48"/>
        <v>26</v>
      </c>
      <c r="BF76" s="121">
        <v>14</v>
      </c>
      <c r="BG76" s="122">
        <f t="shared" si="49"/>
        <v>40</v>
      </c>
      <c r="BH76" s="202"/>
      <c r="BI76" s="121">
        <f t="shared" si="50"/>
        <v>2</v>
      </c>
      <c r="BJ76" s="120">
        <v>7</v>
      </c>
      <c r="BK76" s="121">
        <v>20</v>
      </c>
      <c r="BL76" s="122">
        <f t="shared" si="51"/>
        <v>27</v>
      </c>
      <c r="BM76" s="109">
        <f t="shared" si="64"/>
        <v>27</v>
      </c>
      <c r="BN76" s="202"/>
      <c r="BO76" s="121">
        <f t="shared" si="60"/>
        <v>3</v>
      </c>
      <c r="BP76" s="105">
        <f t="shared" si="65"/>
        <v>22</v>
      </c>
      <c r="BQ76" s="110">
        <f t="shared" si="66"/>
        <v>2.75</v>
      </c>
      <c r="BR76" s="124" t="str">
        <f t="shared" si="52"/>
        <v>C</v>
      </c>
      <c r="BS76" s="125" t="str">
        <f t="shared" si="61"/>
        <v>GOOD</v>
      </c>
      <c r="BT76" s="113">
        <f t="shared" si="67"/>
        <v>401</v>
      </c>
      <c r="BU76" s="115">
        <v>57</v>
      </c>
    </row>
    <row r="77" spans="1:73" ht="27.95" customHeight="1">
      <c r="A77" s="105">
        <v>69</v>
      </c>
      <c r="B77" s="118">
        <v>72</v>
      </c>
      <c r="C77" s="128" t="s">
        <v>380</v>
      </c>
      <c r="D77" s="129" t="s">
        <v>381</v>
      </c>
      <c r="E77" s="129" t="s">
        <v>382</v>
      </c>
      <c r="F77" s="130" t="s">
        <v>383</v>
      </c>
      <c r="G77" s="108">
        <v>8</v>
      </c>
      <c r="H77" s="105">
        <v>14</v>
      </c>
      <c r="I77" s="109">
        <f t="shared" si="53"/>
        <v>22</v>
      </c>
      <c r="J77" s="105">
        <v>13</v>
      </c>
      <c r="K77" s="109">
        <f t="shared" si="54"/>
        <v>35</v>
      </c>
      <c r="L77" s="108">
        <v>5</v>
      </c>
      <c r="M77" s="105">
        <v>16</v>
      </c>
      <c r="N77" s="109">
        <f t="shared" si="55"/>
        <v>21</v>
      </c>
      <c r="O77" s="109">
        <f t="shared" si="62"/>
        <v>21</v>
      </c>
      <c r="P77" s="109">
        <f t="shared" si="59"/>
        <v>56</v>
      </c>
      <c r="Q77" s="202"/>
      <c r="R77" s="121" t="str">
        <f t="shared" si="35"/>
        <v>F</v>
      </c>
      <c r="S77" s="120">
        <v>12</v>
      </c>
      <c r="T77" s="121">
        <v>28</v>
      </c>
      <c r="U77" s="109">
        <f t="shared" si="36"/>
        <v>40</v>
      </c>
      <c r="V77" s="121">
        <v>4</v>
      </c>
      <c r="W77" s="121">
        <v>9</v>
      </c>
      <c r="X77" s="109">
        <f t="shared" si="37"/>
        <v>13</v>
      </c>
      <c r="Y77" s="109">
        <f t="shared" si="56"/>
        <v>53</v>
      </c>
      <c r="Z77" s="109">
        <f t="shared" si="57"/>
        <v>53</v>
      </c>
      <c r="AA77" s="202"/>
      <c r="AB77" s="121" t="str">
        <f t="shared" si="38"/>
        <v>F</v>
      </c>
      <c r="AC77" s="120">
        <v>5</v>
      </c>
      <c r="AD77" s="121">
        <v>0</v>
      </c>
      <c r="AE77" s="109">
        <f t="shared" si="39"/>
        <v>5</v>
      </c>
      <c r="AF77" s="105">
        <v>8</v>
      </c>
      <c r="AG77" s="109">
        <f t="shared" si="40"/>
        <v>13</v>
      </c>
      <c r="AH77" s="202"/>
      <c r="AI77" s="121" t="str">
        <f t="shared" si="41"/>
        <v>F</v>
      </c>
      <c r="AJ77" s="120">
        <v>9</v>
      </c>
      <c r="AK77" s="121">
        <v>20</v>
      </c>
      <c r="AL77" s="122">
        <f t="shared" si="42"/>
        <v>29</v>
      </c>
      <c r="AM77" s="105">
        <v>11</v>
      </c>
      <c r="AN77" s="109">
        <f t="shared" si="58"/>
        <v>40</v>
      </c>
      <c r="AO77" s="202"/>
      <c r="AP77" s="121">
        <f t="shared" si="43"/>
        <v>2</v>
      </c>
      <c r="AQ77" s="121">
        <v>14</v>
      </c>
      <c r="AR77" s="121">
        <v>25</v>
      </c>
      <c r="AS77" s="105">
        <f t="shared" si="63"/>
        <v>39</v>
      </c>
      <c r="AT77" s="206"/>
      <c r="AU77" s="121">
        <f t="shared" si="44"/>
        <v>4</v>
      </c>
      <c r="AV77" s="120">
        <v>10</v>
      </c>
      <c r="AW77" s="121">
        <v>5</v>
      </c>
      <c r="AX77" s="122">
        <f t="shared" si="45"/>
        <v>15</v>
      </c>
      <c r="AY77" s="121">
        <v>17</v>
      </c>
      <c r="AZ77" s="122">
        <f t="shared" si="46"/>
        <v>32</v>
      </c>
      <c r="BA77" s="202"/>
      <c r="BB77" s="121" t="str">
        <f t="shared" si="47"/>
        <v>F</v>
      </c>
      <c r="BC77" s="120">
        <v>4</v>
      </c>
      <c r="BD77" s="121">
        <v>18</v>
      </c>
      <c r="BE77" s="122">
        <f t="shared" si="48"/>
        <v>22</v>
      </c>
      <c r="BF77" s="121">
        <v>18</v>
      </c>
      <c r="BG77" s="122">
        <f t="shared" si="49"/>
        <v>40</v>
      </c>
      <c r="BH77" s="202"/>
      <c r="BI77" s="121">
        <f t="shared" si="50"/>
        <v>2</v>
      </c>
      <c r="BJ77" s="120">
        <v>4</v>
      </c>
      <c r="BK77" s="121">
        <v>20</v>
      </c>
      <c r="BL77" s="122">
        <f t="shared" si="51"/>
        <v>24</v>
      </c>
      <c r="BM77" s="109">
        <f t="shared" si="64"/>
        <v>24</v>
      </c>
      <c r="BN77" s="202"/>
      <c r="BO77" s="121">
        <f t="shared" si="60"/>
        <v>2</v>
      </c>
      <c r="BP77" s="105" t="str">
        <f t="shared" si="65"/>
        <v>F</v>
      </c>
      <c r="BQ77" s="110" t="str">
        <f t="shared" si="66"/>
        <v>F</v>
      </c>
      <c r="BR77" s="124" t="str">
        <f t="shared" si="52"/>
        <v>F</v>
      </c>
      <c r="BS77" s="125" t="str">
        <f t="shared" si="61"/>
        <v>NEED TO PROGRESS</v>
      </c>
      <c r="BT77" s="113">
        <f t="shared" si="67"/>
        <v>297</v>
      </c>
      <c r="BU77" s="115">
        <v>64</v>
      </c>
    </row>
    <row r="78" spans="1:73" ht="27.95" customHeight="1">
      <c r="A78" s="105">
        <v>70</v>
      </c>
      <c r="B78" s="118">
        <v>74</v>
      </c>
      <c r="C78" s="128" t="s">
        <v>384</v>
      </c>
      <c r="D78" s="129" t="s">
        <v>385</v>
      </c>
      <c r="E78" s="129" t="s">
        <v>386</v>
      </c>
      <c r="F78" s="130" t="s">
        <v>387</v>
      </c>
      <c r="G78" s="108">
        <v>8</v>
      </c>
      <c r="H78" s="105">
        <v>6</v>
      </c>
      <c r="I78" s="109">
        <f t="shared" si="53"/>
        <v>14</v>
      </c>
      <c r="J78" s="105">
        <v>23</v>
      </c>
      <c r="K78" s="109">
        <f t="shared" si="54"/>
        <v>37</v>
      </c>
      <c r="L78" s="108">
        <v>3</v>
      </c>
      <c r="M78" s="105">
        <v>14</v>
      </c>
      <c r="N78" s="109">
        <f t="shared" si="55"/>
        <v>17</v>
      </c>
      <c r="O78" s="109">
        <f t="shared" si="62"/>
        <v>17</v>
      </c>
      <c r="P78" s="109">
        <f t="shared" si="59"/>
        <v>54</v>
      </c>
      <c r="Q78" s="202"/>
      <c r="R78" s="121" t="str">
        <f>IF(P78&lt;60,"F",IF(P78&lt;70,2,IF(P78&lt;95,3,IF(P78&lt;105,3.5,IF(P78&lt;120,4,5)))))</f>
        <v>F</v>
      </c>
      <c r="S78" s="120">
        <v>11</v>
      </c>
      <c r="T78" s="121">
        <v>29</v>
      </c>
      <c r="U78" s="109">
        <f t="shared" si="36"/>
        <v>40</v>
      </c>
      <c r="V78" s="121">
        <v>3</v>
      </c>
      <c r="W78" s="121">
        <v>7</v>
      </c>
      <c r="X78" s="109">
        <f t="shared" si="37"/>
        <v>10</v>
      </c>
      <c r="Y78" s="109">
        <f t="shared" si="56"/>
        <v>50</v>
      </c>
      <c r="Z78" s="109">
        <f t="shared" si="57"/>
        <v>50</v>
      </c>
      <c r="AA78" s="202"/>
      <c r="AB78" s="121" t="str">
        <f t="shared" si="38"/>
        <v>F</v>
      </c>
      <c r="AC78" s="120">
        <v>5</v>
      </c>
      <c r="AD78" s="121">
        <v>2</v>
      </c>
      <c r="AE78" s="109">
        <f t="shared" si="39"/>
        <v>7</v>
      </c>
      <c r="AF78" s="105">
        <v>10</v>
      </c>
      <c r="AG78" s="109">
        <f t="shared" si="40"/>
        <v>17</v>
      </c>
      <c r="AH78" s="202"/>
      <c r="AI78" s="121" t="str">
        <f t="shared" si="41"/>
        <v>F</v>
      </c>
      <c r="AJ78" s="120">
        <v>10</v>
      </c>
      <c r="AK78" s="121">
        <v>4</v>
      </c>
      <c r="AL78" s="122">
        <f t="shared" si="42"/>
        <v>14</v>
      </c>
      <c r="AM78" s="105">
        <v>3</v>
      </c>
      <c r="AN78" s="109">
        <f t="shared" si="58"/>
        <v>17</v>
      </c>
      <c r="AO78" s="202"/>
      <c r="AP78" s="121" t="str">
        <f t="shared" si="43"/>
        <v>F</v>
      </c>
      <c r="AQ78" s="121">
        <v>15</v>
      </c>
      <c r="AR78" s="121">
        <v>25</v>
      </c>
      <c r="AS78" s="105">
        <f t="shared" si="63"/>
        <v>40</v>
      </c>
      <c r="AT78" s="206"/>
      <c r="AU78" s="121">
        <f t="shared" si="44"/>
        <v>5</v>
      </c>
      <c r="AV78" s="120">
        <v>8</v>
      </c>
      <c r="AW78" s="121">
        <v>1</v>
      </c>
      <c r="AX78" s="122">
        <f t="shared" si="45"/>
        <v>9</v>
      </c>
      <c r="AY78" s="121">
        <v>17</v>
      </c>
      <c r="AZ78" s="122">
        <f t="shared" si="46"/>
        <v>26</v>
      </c>
      <c r="BA78" s="202"/>
      <c r="BB78" s="121" t="str">
        <f t="shared" si="47"/>
        <v>F</v>
      </c>
      <c r="BC78" s="120">
        <v>4</v>
      </c>
      <c r="BD78" s="121">
        <v>14</v>
      </c>
      <c r="BE78" s="122">
        <f t="shared" si="48"/>
        <v>18</v>
      </c>
      <c r="BF78" s="121">
        <v>22</v>
      </c>
      <c r="BG78" s="122">
        <f t="shared" si="49"/>
        <v>40</v>
      </c>
      <c r="BH78" s="202"/>
      <c r="BI78" s="121">
        <f t="shared" si="50"/>
        <v>2</v>
      </c>
      <c r="BJ78" s="120">
        <v>5</v>
      </c>
      <c r="BK78" s="121">
        <v>20</v>
      </c>
      <c r="BL78" s="122">
        <f t="shared" si="51"/>
        <v>25</v>
      </c>
      <c r="BM78" s="109">
        <f t="shared" si="64"/>
        <v>25</v>
      </c>
      <c r="BN78" s="202"/>
      <c r="BO78" s="121">
        <f t="shared" si="60"/>
        <v>3</v>
      </c>
      <c r="BP78" s="105" t="str">
        <f t="shared" si="65"/>
        <v>F</v>
      </c>
      <c r="BQ78" s="110" t="str">
        <f t="shared" si="66"/>
        <v>F</v>
      </c>
      <c r="BR78" s="124" t="str">
        <f t="shared" si="52"/>
        <v>F</v>
      </c>
      <c r="BS78" s="125" t="str">
        <f t="shared" si="61"/>
        <v>NEED TO PROGRESS</v>
      </c>
      <c r="BT78" s="113">
        <f t="shared" si="67"/>
        <v>269</v>
      </c>
      <c r="BU78" s="115">
        <v>64</v>
      </c>
    </row>
    <row r="79" spans="1:73" ht="27.95" customHeight="1">
      <c r="A79" s="105">
        <v>71</v>
      </c>
      <c r="B79" s="118">
        <v>76</v>
      </c>
      <c r="C79" s="128" t="s">
        <v>388</v>
      </c>
      <c r="D79" s="129" t="s">
        <v>389</v>
      </c>
      <c r="E79" s="129" t="s">
        <v>390</v>
      </c>
      <c r="F79" s="130" t="s">
        <v>391</v>
      </c>
      <c r="G79" s="108">
        <v>12</v>
      </c>
      <c r="H79" s="105">
        <v>20</v>
      </c>
      <c r="I79" s="109">
        <f t="shared" si="53"/>
        <v>32</v>
      </c>
      <c r="J79" s="105">
        <v>23</v>
      </c>
      <c r="K79" s="109">
        <f t="shared" si="54"/>
        <v>55</v>
      </c>
      <c r="L79" s="108">
        <v>4</v>
      </c>
      <c r="M79" s="105">
        <v>22</v>
      </c>
      <c r="N79" s="109">
        <f t="shared" si="55"/>
        <v>26</v>
      </c>
      <c r="O79" s="109">
        <f t="shared" si="62"/>
        <v>26</v>
      </c>
      <c r="P79" s="109">
        <f t="shared" si="59"/>
        <v>81</v>
      </c>
      <c r="Q79" s="202"/>
      <c r="R79" s="121">
        <f t="shared" si="35"/>
        <v>3</v>
      </c>
      <c r="S79" s="120">
        <v>11</v>
      </c>
      <c r="T79" s="121">
        <v>21</v>
      </c>
      <c r="U79" s="109">
        <f t="shared" si="36"/>
        <v>32</v>
      </c>
      <c r="V79" s="121">
        <v>4</v>
      </c>
      <c r="W79" s="121">
        <v>11</v>
      </c>
      <c r="X79" s="109">
        <f t="shared" si="37"/>
        <v>15</v>
      </c>
      <c r="Y79" s="109">
        <f t="shared" si="56"/>
        <v>47</v>
      </c>
      <c r="Z79" s="109">
        <f t="shared" si="57"/>
        <v>47</v>
      </c>
      <c r="AA79" s="202"/>
      <c r="AB79" s="121" t="str">
        <f t="shared" si="38"/>
        <v>F</v>
      </c>
      <c r="AC79" s="120">
        <v>5</v>
      </c>
      <c r="AD79" s="121">
        <v>7</v>
      </c>
      <c r="AE79" s="109">
        <f t="shared" si="39"/>
        <v>12</v>
      </c>
      <c r="AF79" s="105">
        <v>16</v>
      </c>
      <c r="AG79" s="109">
        <f t="shared" si="40"/>
        <v>28</v>
      </c>
      <c r="AH79" s="202"/>
      <c r="AI79" s="121" t="str">
        <f t="shared" si="41"/>
        <v>F</v>
      </c>
      <c r="AJ79" s="120">
        <v>9</v>
      </c>
      <c r="AK79" s="121">
        <v>26</v>
      </c>
      <c r="AL79" s="122">
        <f t="shared" si="42"/>
        <v>35</v>
      </c>
      <c r="AM79" s="105">
        <v>8</v>
      </c>
      <c r="AN79" s="109">
        <f t="shared" si="58"/>
        <v>43</v>
      </c>
      <c r="AO79" s="202"/>
      <c r="AP79" s="121">
        <f t="shared" si="43"/>
        <v>2</v>
      </c>
      <c r="AQ79" s="121">
        <v>18</v>
      </c>
      <c r="AR79" s="121">
        <v>25</v>
      </c>
      <c r="AS79" s="105">
        <f t="shared" si="63"/>
        <v>43</v>
      </c>
      <c r="AT79" s="206"/>
      <c r="AU79" s="121">
        <f t="shared" si="44"/>
        <v>5</v>
      </c>
      <c r="AV79" s="120">
        <v>10</v>
      </c>
      <c r="AW79" s="121">
        <v>28</v>
      </c>
      <c r="AX79" s="122">
        <f t="shared" si="45"/>
        <v>38</v>
      </c>
      <c r="AY79" s="121">
        <v>20</v>
      </c>
      <c r="AZ79" s="122">
        <f t="shared" si="46"/>
        <v>58</v>
      </c>
      <c r="BA79" s="202"/>
      <c r="BB79" s="121">
        <f t="shared" si="47"/>
        <v>3</v>
      </c>
      <c r="BC79" s="120">
        <v>9</v>
      </c>
      <c r="BD79" s="121">
        <v>25</v>
      </c>
      <c r="BE79" s="122">
        <f t="shared" si="48"/>
        <v>34</v>
      </c>
      <c r="BF79" s="121">
        <v>18</v>
      </c>
      <c r="BG79" s="122">
        <f t="shared" si="49"/>
        <v>52</v>
      </c>
      <c r="BH79" s="202"/>
      <c r="BI79" s="121">
        <f t="shared" si="50"/>
        <v>3</v>
      </c>
      <c r="BJ79" s="120">
        <v>6</v>
      </c>
      <c r="BK79" s="121">
        <v>24</v>
      </c>
      <c r="BL79" s="122">
        <f t="shared" si="51"/>
        <v>30</v>
      </c>
      <c r="BM79" s="109">
        <f t="shared" si="64"/>
        <v>30</v>
      </c>
      <c r="BN79" s="202"/>
      <c r="BO79" s="121">
        <f t="shared" si="60"/>
        <v>3.5</v>
      </c>
      <c r="BP79" s="105" t="str">
        <f t="shared" si="65"/>
        <v>F</v>
      </c>
      <c r="BQ79" s="110" t="str">
        <f t="shared" si="66"/>
        <v>F</v>
      </c>
      <c r="BR79" s="124" t="str">
        <f t="shared" si="52"/>
        <v>F</v>
      </c>
      <c r="BS79" s="125" t="str">
        <f t="shared" si="61"/>
        <v>NEED TO PROGRESS</v>
      </c>
      <c r="BT79" s="113">
        <f t="shared" si="67"/>
        <v>382</v>
      </c>
      <c r="BU79" s="115">
        <v>68</v>
      </c>
    </row>
    <row r="80" spans="1:73" ht="27.95" customHeight="1">
      <c r="A80" s="105">
        <v>72</v>
      </c>
      <c r="B80" s="118">
        <v>78</v>
      </c>
      <c r="C80" s="128" t="s">
        <v>153</v>
      </c>
      <c r="D80" s="129" t="s">
        <v>154</v>
      </c>
      <c r="E80" s="129" t="s">
        <v>392</v>
      </c>
      <c r="F80" s="130" t="s">
        <v>393</v>
      </c>
      <c r="G80" s="108">
        <v>15</v>
      </c>
      <c r="H80" s="105">
        <v>38</v>
      </c>
      <c r="I80" s="109">
        <f t="shared" si="53"/>
        <v>53</v>
      </c>
      <c r="J80" s="105">
        <v>26</v>
      </c>
      <c r="K80" s="109">
        <f t="shared" si="54"/>
        <v>79</v>
      </c>
      <c r="L80" s="108">
        <v>9</v>
      </c>
      <c r="M80" s="105">
        <v>33</v>
      </c>
      <c r="N80" s="109">
        <f t="shared" si="55"/>
        <v>42</v>
      </c>
      <c r="O80" s="109">
        <f t="shared" si="62"/>
        <v>42</v>
      </c>
      <c r="P80" s="109">
        <f t="shared" si="59"/>
        <v>121</v>
      </c>
      <c r="Q80" s="202"/>
      <c r="R80" s="121">
        <f t="shared" si="35"/>
        <v>5</v>
      </c>
      <c r="S80" s="120">
        <v>15</v>
      </c>
      <c r="T80" s="121">
        <v>60</v>
      </c>
      <c r="U80" s="109">
        <f t="shared" si="36"/>
        <v>75</v>
      </c>
      <c r="V80" s="121">
        <v>8</v>
      </c>
      <c r="W80" s="121">
        <v>19</v>
      </c>
      <c r="X80" s="109">
        <f t="shared" si="37"/>
        <v>27</v>
      </c>
      <c r="Y80" s="109">
        <f t="shared" si="56"/>
        <v>102</v>
      </c>
      <c r="Z80" s="109">
        <f t="shared" si="57"/>
        <v>102</v>
      </c>
      <c r="AA80" s="202"/>
      <c r="AB80" s="121">
        <f t="shared" si="38"/>
        <v>3.5</v>
      </c>
      <c r="AC80" s="120">
        <v>15</v>
      </c>
      <c r="AD80" s="121">
        <v>33</v>
      </c>
      <c r="AE80" s="109">
        <f t="shared" si="39"/>
        <v>48</v>
      </c>
      <c r="AF80" s="105">
        <v>25</v>
      </c>
      <c r="AG80" s="109">
        <f t="shared" si="40"/>
        <v>73</v>
      </c>
      <c r="AH80" s="202"/>
      <c r="AI80" s="121">
        <f t="shared" si="41"/>
        <v>4</v>
      </c>
      <c r="AJ80" s="120">
        <v>15</v>
      </c>
      <c r="AK80" s="121">
        <v>44</v>
      </c>
      <c r="AL80" s="122">
        <f t="shared" si="42"/>
        <v>59</v>
      </c>
      <c r="AM80" s="105">
        <v>17</v>
      </c>
      <c r="AN80" s="109">
        <f t="shared" si="58"/>
        <v>76</v>
      </c>
      <c r="AO80" s="202"/>
      <c r="AP80" s="121">
        <f t="shared" si="43"/>
        <v>4</v>
      </c>
      <c r="AQ80" s="121">
        <v>24</v>
      </c>
      <c r="AR80" s="121">
        <v>25</v>
      </c>
      <c r="AS80" s="105">
        <f t="shared" si="63"/>
        <v>49</v>
      </c>
      <c r="AT80" s="206"/>
      <c r="AU80" s="121">
        <f t="shared" si="44"/>
        <v>5</v>
      </c>
      <c r="AV80" s="120">
        <v>18</v>
      </c>
      <c r="AW80" s="121">
        <v>37</v>
      </c>
      <c r="AX80" s="122">
        <f t="shared" si="45"/>
        <v>55</v>
      </c>
      <c r="AY80" s="121">
        <v>22</v>
      </c>
      <c r="AZ80" s="122">
        <f t="shared" si="46"/>
        <v>77</v>
      </c>
      <c r="BA80" s="202"/>
      <c r="BB80" s="121">
        <f t="shared" si="47"/>
        <v>4</v>
      </c>
      <c r="BC80" s="120">
        <v>13</v>
      </c>
      <c r="BD80" s="121">
        <v>34</v>
      </c>
      <c r="BE80" s="122">
        <f t="shared" si="48"/>
        <v>47</v>
      </c>
      <c r="BF80" s="121">
        <v>26</v>
      </c>
      <c r="BG80" s="122">
        <f t="shared" si="49"/>
        <v>73</v>
      </c>
      <c r="BH80" s="202"/>
      <c r="BI80" s="121">
        <f t="shared" si="50"/>
        <v>4</v>
      </c>
      <c r="BJ80" s="120">
        <v>10</v>
      </c>
      <c r="BK80" s="121">
        <v>24</v>
      </c>
      <c r="BL80" s="122">
        <f t="shared" si="51"/>
        <v>34</v>
      </c>
      <c r="BM80" s="109">
        <f t="shared" si="64"/>
        <v>34</v>
      </c>
      <c r="BN80" s="202"/>
      <c r="BO80" s="121">
        <f t="shared" si="60"/>
        <v>3.5</v>
      </c>
      <c r="BP80" s="105">
        <f t="shared" si="65"/>
        <v>33</v>
      </c>
      <c r="BQ80" s="110">
        <f t="shared" si="66"/>
        <v>4.125</v>
      </c>
      <c r="BR80" s="124" t="str">
        <f t="shared" si="52"/>
        <v>A</v>
      </c>
      <c r="BS80" s="125" t="str">
        <f t="shared" si="61"/>
        <v>BETTER</v>
      </c>
      <c r="BT80" s="113">
        <f t="shared" si="67"/>
        <v>605</v>
      </c>
      <c r="BU80" s="115">
        <v>68</v>
      </c>
    </row>
    <row r="81" spans="1:73" ht="27.95" customHeight="1">
      <c r="A81" s="105">
        <v>73</v>
      </c>
      <c r="B81" s="118">
        <v>80</v>
      </c>
      <c r="C81" s="128" t="s">
        <v>156</v>
      </c>
      <c r="D81" s="129" t="s">
        <v>157</v>
      </c>
      <c r="E81" s="129" t="s">
        <v>158</v>
      </c>
      <c r="F81" s="130" t="s">
        <v>394</v>
      </c>
      <c r="G81" s="108">
        <v>12</v>
      </c>
      <c r="H81" s="105">
        <v>41</v>
      </c>
      <c r="I81" s="109">
        <f t="shared" si="53"/>
        <v>53</v>
      </c>
      <c r="J81" s="105">
        <v>23</v>
      </c>
      <c r="K81" s="109">
        <f t="shared" si="54"/>
        <v>76</v>
      </c>
      <c r="L81" s="108">
        <v>9</v>
      </c>
      <c r="M81" s="105">
        <v>34</v>
      </c>
      <c r="N81" s="109">
        <f t="shared" si="55"/>
        <v>43</v>
      </c>
      <c r="O81" s="109">
        <f t="shared" si="62"/>
        <v>43</v>
      </c>
      <c r="P81" s="109">
        <f t="shared" si="59"/>
        <v>119</v>
      </c>
      <c r="Q81" s="202"/>
      <c r="R81" s="121">
        <f t="shared" si="35"/>
        <v>4</v>
      </c>
      <c r="S81" s="120">
        <v>16</v>
      </c>
      <c r="T81" s="121">
        <v>64</v>
      </c>
      <c r="U81" s="109">
        <f t="shared" si="36"/>
        <v>80</v>
      </c>
      <c r="V81" s="121">
        <v>7</v>
      </c>
      <c r="W81" s="121">
        <v>20</v>
      </c>
      <c r="X81" s="109">
        <f t="shared" si="37"/>
        <v>27</v>
      </c>
      <c r="Y81" s="109">
        <f t="shared" si="56"/>
        <v>107</v>
      </c>
      <c r="Z81" s="109">
        <f t="shared" si="57"/>
        <v>107</v>
      </c>
      <c r="AA81" s="202"/>
      <c r="AB81" s="121">
        <f t="shared" si="38"/>
        <v>4</v>
      </c>
      <c r="AC81" s="120">
        <v>14</v>
      </c>
      <c r="AD81" s="121">
        <v>25</v>
      </c>
      <c r="AE81" s="109">
        <f t="shared" si="39"/>
        <v>39</v>
      </c>
      <c r="AF81" s="105">
        <v>19</v>
      </c>
      <c r="AG81" s="109">
        <f t="shared" si="40"/>
        <v>58</v>
      </c>
      <c r="AH81" s="202"/>
      <c r="AI81" s="121">
        <f t="shared" si="41"/>
        <v>3</v>
      </c>
      <c r="AJ81" s="120">
        <v>15</v>
      </c>
      <c r="AK81" s="121">
        <v>39</v>
      </c>
      <c r="AL81" s="122">
        <f t="shared" si="42"/>
        <v>54</v>
      </c>
      <c r="AM81" s="105">
        <v>17</v>
      </c>
      <c r="AN81" s="109">
        <f t="shared" si="58"/>
        <v>71</v>
      </c>
      <c r="AO81" s="202"/>
      <c r="AP81" s="121">
        <f t="shared" si="43"/>
        <v>4</v>
      </c>
      <c r="AQ81" s="121">
        <v>24</v>
      </c>
      <c r="AR81" s="121">
        <v>25</v>
      </c>
      <c r="AS81" s="105">
        <f t="shared" si="63"/>
        <v>49</v>
      </c>
      <c r="AT81" s="206"/>
      <c r="AU81" s="121">
        <f t="shared" si="44"/>
        <v>5</v>
      </c>
      <c r="AV81" s="120">
        <v>17</v>
      </c>
      <c r="AW81" s="121">
        <v>36</v>
      </c>
      <c r="AX81" s="122">
        <f t="shared" si="45"/>
        <v>53</v>
      </c>
      <c r="AY81" s="121">
        <v>24</v>
      </c>
      <c r="AZ81" s="122">
        <f t="shared" si="46"/>
        <v>77</v>
      </c>
      <c r="BA81" s="202"/>
      <c r="BB81" s="121">
        <f t="shared" si="47"/>
        <v>4</v>
      </c>
      <c r="BC81" s="120">
        <v>16</v>
      </c>
      <c r="BD81" s="121">
        <v>43</v>
      </c>
      <c r="BE81" s="122">
        <f t="shared" si="48"/>
        <v>59</v>
      </c>
      <c r="BF81" s="121">
        <v>23</v>
      </c>
      <c r="BG81" s="122">
        <f t="shared" si="49"/>
        <v>82</v>
      </c>
      <c r="BH81" s="202"/>
      <c r="BI81" s="121">
        <f t="shared" si="50"/>
        <v>5</v>
      </c>
      <c r="BJ81" s="120">
        <v>10</v>
      </c>
      <c r="BK81" s="121">
        <v>32</v>
      </c>
      <c r="BL81" s="122">
        <f t="shared" si="51"/>
        <v>42</v>
      </c>
      <c r="BM81" s="109">
        <f t="shared" si="64"/>
        <v>42</v>
      </c>
      <c r="BN81" s="202"/>
      <c r="BO81" s="121">
        <f t="shared" si="60"/>
        <v>5</v>
      </c>
      <c r="BP81" s="105">
        <f t="shared" si="65"/>
        <v>34</v>
      </c>
      <c r="BQ81" s="110">
        <f t="shared" si="66"/>
        <v>4.25</v>
      </c>
      <c r="BR81" s="124" t="str">
        <f t="shared" si="52"/>
        <v>A</v>
      </c>
      <c r="BS81" s="125" t="str">
        <f t="shared" si="61"/>
        <v>BETTER</v>
      </c>
      <c r="BT81" s="113">
        <f t="shared" si="67"/>
        <v>605</v>
      </c>
      <c r="BU81" s="115">
        <v>67</v>
      </c>
    </row>
    <row r="82" spans="1:73" ht="27.95" customHeight="1">
      <c r="A82" s="105">
        <v>74</v>
      </c>
      <c r="B82" s="118">
        <v>82</v>
      </c>
      <c r="C82" s="128" t="s">
        <v>159</v>
      </c>
      <c r="D82" s="129" t="s">
        <v>160</v>
      </c>
      <c r="E82" s="129" t="s">
        <v>161</v>
      </c>
      <c r="F82" s="130" t="s">
        <v>395</v>
      </c>
      <c r="G82" s="108">
        <v>13</v>
      </c>
      <c r="H82" s="105">
        <v>33</v>
      </c>
      <c r="I82" s="109">
        <f t="shared" si="53"/>
        <v>46</v>
      </c>
      <c r="J82" s="105">
        <v>25</v>
      </c>
      <c r="K82" s="109">
        <f t="shared" si="54"/>
        <v>71</v>
      </c>
      <c r="L82" s="108">
        <v>6</v>
      </c>
      <c r="M82" s="105">
        <v>35</v>
      </c>
      <c r="N82" s="109">
        <f t="shared" si="55"/>
        <v>41</v>
      </c>
      <c r="O82" s="109">
        <f t="shared" si="62"/>
        <v>41</v>
      </c>
      <c r="P82" s="109">
        <f t="shared" si="59"/>
        <v>112</v>
      </c>
      <c r="Q82" s="202"/>
      <c r="R82" s="121">
        <f t="shared" si="35"/>
        <v>4</v>
      </c>
      <c r="S82" s="120">
        <v>13</v>
      </c>
      <c r="T82" s="121">
        <v>65</v>
      </c>
      <c r="U82" s="109">
        <f t="shared" si="36"/>
        <v>78</v>
      </c>
      <c r="V82" s="121">
        <v>8</v>
      </c>
      <c r="W82" s="121">
        <v>25</v>
      </c>
      <c r="X82" s="109">
        <f t="shared" si="37"/>
        <v>33</v>
      </c>
      <c r="Y82" s="109">
        <f t="shared" si="56"/>
        <v>111</v>
      </c>
      <c r="Z82" s="109">
        <f t="shared" si="57"/>
        <v>111</v>
      </c>
      <c r="AA82" s="202"/>
      <c r="AB82" s="121">
        <f t="shared" si="38"/>
        <v>4</v>
      </c>
      <c r="AC82" s="120">
        <v>10</v>
      </c>
      <c r="AD82" s="121">
        <v>31</v>
      </c>
      <c r="AE82" s="109">
        <f t="shared" si="39"/>
        <v>41</v>
      </c>
      <c r="AF82" s="105">
        <v>25</v>
      </c>
      <c r="AG82" s="109">
        <f t="shared" si="40"/>
        <v>66</v>
      </c>
      <c r="AH82" s="202"/>
      <c r="AI82" s="121">
        <f t="shared" si="41"/>
        <v>3.5</v>
      </c>
      <c r="AJ82" s="120">
        <v>13</v>
      </c>
      <c r="AK82" s="121">
        <v>40</v>
      </c>
      <c r="AL82" s="122">
        <f t="shared" si="42"/>
        <v>53</v>
      </c>
      <c r="AM82" s="105">
        <v>22</v>
      </c>
      <c r="AN82" s="109">
        <f t="shared" si="58"/>
        <v>75</v>
      </c>
      <c r="AO82" s="202"/>
      <c r="AP82" s="121">
        <f t="shared" si="43"/>
        <v>4</v>
      </c>
      <c r="AQ82" s="121">
        <v>19</v>
      </c>
      <c r="AR82" s="121">
        <v>25</v>
      </c>
      <c r="AS82" s="105">
        <f t="shared" si="63"/>
        <v>44</v>
      </c>
      <c r="AT82" s="206"/>
      <c r="AU82" s="121">
        <f t="shared" si="44"/>
        <v>5</v>
      </c>
      <c r="AV82" s="120">
        <v>16</v>
      </c>
      <c r="AW82" s="121">
        <v>34</v>
      </c>
      <c r="AX82" s="122">
        <f t="shared" si="45"/>
        <v>50</v>
      </c>
      <c r="AY82" s="121">
        <v>25</v>
      </c>
      <c r="AZ82" s="122">
        <f t="shared" si="46"/>
        <v>75</v>
      </c>
      <c r="BA82" s="202"/>
      <c r="BB82" s="121">
        <f t="shared" si="47"/>
        <v>4</v>
      </c>
      <c r="BC82" s="120">
        <v>13</v>
      </c>
      <c r="BD82" s="121">
        <v>36</v>
      </c>
      <c r="BE82" s="122">
        <f t="shared" si="48"/>
        <v>49</v>
      </c>
      <c r="BF82" s="121">
        <v>27</v>
      </c>
      <c r="BG82" s="122">
        <f t="shared" si="49"/>
        <v>76</v>
      </c>
      <c r="BH82" s="202"/>
      <c r="BI82" s="121">
        <f t="shared" si="50"/>
        <v>4</v>
      </c>
      <c r="BJ82" s="120">
        <v>8</v>
      </c>
      <c r="BK82" s="121">
        <v>32</v>
      </c>
      <c r="BL82" s="122">
        <f t="shared" si="51"/>
        <v>40</v>
      </c>
      <c r="BM82" s="109">
        <f t="shared" si="64"/>
        <v>40</v>
      </c>
      <c r="BN82" s="202"/>
      <c r="BO82" s="121">
        <f t="shared" si="60"/>
        <v>5</v>
      </c>
      <c r="BP82" s="105">
        <f t="shared" si="65"/>
        <v>33.5</v>
      </c>
      <c r="BQ82" s="110">
        <f t="shared" si="66"/>
        <v>4.1875</v>
      </c>
      <c r="BR82" s="124" t="str">
        <f t="shared" si="52"/>
        <v>A</v>
      </c>
      <c r="BS82" s="125" t="str">
        <f t="shared" si="61"/>
        <v>BETTER</v>
      </c>
      <c r="BT82" s="113">
        <f t="shared" si="67"/>
        <v>599</v>
      </c>
      <c r="BU82" s="115">
        <v>65</v>
      </c>
    </row>
    <row r="83" spans="1:73" ht="27.95" customHeight="1">
      <c r="A83" s="105">
        <v>75</v>
      </c>
      <c r="B83" s="118">
        <v>84</v>
      </c>
      <c r="C83" s="128" t="s">
        <v>396</v>
      </c>
      <c r="D83" s="129" t="s">
        <v>397</v>
      </c>
      <c r="E83" s="129" t="s">
        <v>398</v>
      </c>
      <c r="F83" s="130" t="s">
        <v>399</v>
      </c>
      <c r="G83" s="108">
        <v>8</v>
      </c>
      <c r="H83" s="105">
        <v>21</v>
      </c>
      <c r="I83" s="109">
        <f t="shared" si="53"/>
        <v>29</v>
      </c>
      <c r="J83" s="105">
        <v>28</v>
      </c>
      <c r="K83" s="109">
        <f t="shared" si="54"/>
        <v>57</v>
      </c>
      <c r="L83" s="108">
        <v>4</v>
      </c>
      <c r="M83" s="105">
        <v>20</v>
      </c>
      <c r="N83" s="109">
        <f t="shared" si="55"/>
        <v>24</v>
      </c>
      <c r="O83" s="109">
        <f t="shared" si="62"/>
        <v>24</v>
      </c>
      <c r="P83" s="109">
        <f t="shared" si="59"/>
        <v>81</v>
      </c>
      <c r="Q83" s="202"/>
      <c r="R83" s="121">
        <f t="shared" si="35"/>
        <v>3</v>
      </c>
      <c r="S83" s="120">
        <v>11</v>
      </c>
      <c r="T83" s="121">
        <v>39</v>
      </c>
      <c r="U83" s="109">
        <f t="shared" si="36"/>
        <v>50</v>
      </c>
      <c r="V83" s="121">
        <v>5</v>
      </c>
      <c r="W83" s="121">
        <v>6</v>
      </c>
      <c r="X83" s="109">
        <f t="shared" si="37"/>
        <v>11</v>
      </c>
      <c r="Y83" s="109">
        <f t="shared" si="56"/>
        <v>61</v>
      </c>
      <c r="Z83" s="109">
        <f t="shared" si="57"/>
        <v>61</v>
      </c>
      <c r="AA83" s="202"/>
      <c r="AB83" s="121">
        <f t="shared" si="38"/>
        <v>2</v>
      </c>
      <c r="AC83" s="120">
        <v>10</v>
      </c>
      <c r="AD83" s="121">
        <v>2</v>
      </c>
      <c r="AE83" s="109">
        <f t="shared" si="39"/>
        <v>12</v>
      </c>
      <c r="AF83" s="105">
        <v>17</v>
      </c>
      <c r="AG83" s="109">
        <f t="shared" si="40"/>
        <v>29</v>
      </c>
      <c r="AH83" s="202"/>
      <c r="AI83" s="121" t="str">
        <f t="shared" si="41"/>
        <v>F</v>
      </c>
      <c r="AJ83" s="120">
        <v>14</v>
      </c>
      <c r="AK83" s="121">
        <v>19</v>
      </c>
      <c r="AL83" s="122">
        <f t="shared" si="42"/>
        <v>33</v>
      </c>
      <c r="AM83" s="105">
        <v>11</v>
      </c>
      <c r="AN83" s="109">
        <f t="shared" si="58"/>
        <v>44</v>
      </c>
      <c r="AO83" s="202"/>
      <c r="AP83" s="121">
        <f t="shared" si="43"/>
        <v>2</v>
      </c>
      <c r="AQ83" s="121">
        <v>24</v>
      </c>
      <c r="AR83" s="121">
        <v>25</v>
      </c>
      <c r="AS83" s="105">
        <f t="shared" si="63"/>
        <v>49</v>
      </c>
      <c r="AT83" s="206"/>
      <c r="AU83" s="121">
        <f t="shared" si="44"/>
        <v>5</v>
      </c>
      <c r="AV83" s="120">
        <v>12</v>
      </c>
      <c r="AW83" s="121">
        <v>14</v>
      </c>
      <c r="AX83" s="122">
        <f t="shared" si="45"/>
        <v>26</v>
      </c>
      <c r="AY83" s="121">
        <v>14</v>
      </c>
      <c r="AZ83" s="122">
        <f t="shared" si="46"/>
        <v>40</v>
      </c>
      <c r="BA83" s="202"/>
      <c r="BB83" s="121">
        <f t="shared" si="47"/>
        <v>2</v>
      </c>
      <c r="BC83" s="120">
        <v>10</v>
      </c>
      <c r="BD83" s="121">
        <v>17</v>
      </c>
      <c r="BE83" s="122">
        <f t="shared" si="48"/>
        <v>27</v>
      </c>
      <c r="BF83" s="121">
        <v>25</v>
      </c>
      <c r="BG83" s="122">
        <f t="shared" si="49"/>
        <v>52</v>
      </c>
      <c r="BH83" s="202"/>
      <c r="BI83" s="121">
        <f t="shared" si="50"/>
        <v>3</v>
      </c>
      <c r="BJ83" s="120">
        <v>7</v>
      </c>
      <c r="BK83" s="121">
        <v>24</v>
      </c>
      <c r="BL83" s="122">
        <f t="shared" si="51"/>
        <v>31</v>
      </c>
      <c r="BM83" s="109">
        <f t="shared" si="64"/>
        <v>31</v>
      </c>
      <c r="BN83" s="202"/>
      <c r="BO83" s="121">
        <f t="shared" si="60"/>
        <v>3.5</v>
      </c>
      <c r="BP83" s="105" t="str">
        <f t="shared" si="65"/>
        <v>F</v>
      </c>
      <c r="BQ83" s="110" t="str">
        <f t="shared" si="66"/>
        <v>F</v>
      </c>
      <c r="BR83" s="124" t="str">
        <f t="shared" si="52"/>
        <v>F</v>
      </c>
      <c r="BS83" s="125" t="str">
        <f t="shared" si="61"/>
        <v>NEED TO PROGRESS</v>
      </c>
      <c r="BT83" s="113">
        <f t="shared" si="67"/>
        <v>387</v>
      </c>
      <c r="BU83" s="115">
        <v>62</v>
      </c>
    </row>
    <row r="84" spans="1:73" ht="27.95" customHeight="1">
      <c r="A84" s="105">
        <v>76</v>
      </c>
      <c r="B84" s="118">
        <v>86</v>
      </c>
      <c r="C84" s="128" t="s">
        <v>162</v>
      </c>
      <c r="D84" s="129" t="s">
        <v>163</v>
      </c>
      <c r="E84" s="129" t="s">
        <v>164</v>
      </c>
      <c r="F84" s="130" t="s">
        <v>400</v>
      </c>
      <c r="G84" s="108">
        <v>12</v>
      </c>
      <c r="H84" s="105">
        <v>41</v>
      </c>
      <c r="I84" s="109">
        <f t="shared" si="53"/>
        <v>53</v>
      </c>
      <c r="J84" s="105">
        <v>24</v>
      </c>
      <c r="K84" s="109">
        <f t="shared" si="54"/>
        <v>77</v>
      </c>
      <c r="L84" s="108">
        <v>9</v>
      </c>
      <c r="M84" s="105">
        <v>34</v>
      </c>
      <c r="N84" s="109">
        <f t="shared" si="55"/>
        <v>43</v>
      </c>
      <c r="O84" s="109">
        <f t="shared" si="62"/>
        <v>43</v>
      </c>
      <c r="P84" s="109">
        <f t="shared" si="59"/>
        <v>120</v>
      </c>
      <c r="Q84" s="202"/>
      <c r="R84" s="121">
        <f t="shared" si="35"/>
        <v>5</v>
      </c>
      <c r="S84" s="120">
        <v>17</v>
      </c>
      <c r="T84" s="121">
        <v>65</v>
      </c>
      <c r="U84" s="109">
        <f t="shared" si="36"/>
        <v>82</v>
      </c>
      <c r="V84" s="121">
        <v>8</v>
      </c>
      <c r="W84" s="121">
        <v>23</v>
      </c>
      <c r="X84" s="109">
        <f t="shared" si="37"/>
        <v>31</v>
      </c>
      <c r="Y84" s="109">
        <f t="shared" si="56"/>
        <v>113</v>
      </c>
      <c r="Z84" s="109">
        <f t="shared" si="57"/>
        <v>113</v>
      </c>
      <c r="AA84" s="202"/>
      <c r="AB84" s="121">
        <f t="shared" si="38"/>
        <v>4</v>
      </c>
      <c r="AC84" s="120">
        <v>20</v>
      </c>
      <c r="AD84" s="121">
        <v>28</v>
      </c>
      <c r="AE84" s="109">
        <f t="shared" si="39"/>
        <v>48</v>
      </c>
      <c r="AF84" s="105">
        <v>22</v>
      </c>
      <c r="AG84" s="109">
        <f t="shared" si="40"/>
        <v>70</v>
      </c>
      <c r="AH84" s="202"/>
      <c r="AI84" s="121">
        <f t="shared" si="41"/>
        <v>4</v>
      </c>
      <c r="AJ84" s="120">
        <v>17</v>
      </c>
      <c r="AK84" s="121">
        <v>38</v>
      </c>
      <c r="AL84" s="122">
        <f t="shared" si="42"/>
        <v>55</v>
      </c>
      <c r="AM84" s="105">
        <v>18</v>
      </c>
      <c r="AN84" s="109">
        <f t="shared" si="58"/>
        <v>73</v>
      </c>
      <c r="AO84" s="202"/>
      <c r="AP84" s="121">
        <f t="shared" si="43"/>
        <v>4</v>
      </c>
      <c r="AQ84" s="121">
        <v>24</v>
      </c>
      <c r="AR84" s="121">
        <v>25</v>
      </c>
      <c r="AS84" s="105">
        <f t="shared" si="63"/>
        <v>49</v>
      </c>
      <c r="AT84" s="206"/>
      <c r="AU84" s="121">
        <f t="shared" si="44"/>
        <v>5</v>
      </c>
      <c r="AV84" s="120">
        <v>16</v>
      </c>
      <c r="AW84" s="121">
        <v>39</v>
      </c>
      <c r="AX84" s="122">
        <f t="shared" si="45"/>
        <v>55</v>
      </c>
      <c r="AY84" s="121">
        <v>24</v>
      </c>
      <c r="AZ84" s="122">
        <f t="shared" si="46"/>
        <v>79</v>
      </c>
      <c r="BA84" s="202"/>
      <c r="BB84" s="121">
        <f t="shared" si="47"/>
        <v>4</v>
      </c>
      <c r="BC84" s="120">
        <v>11</v>
      </c>
      <c r="BD84" s="121">
        <v>39</v>
      </c>
      <c r="BE84" s="122">
        <f t="shared" si="48"/>
        <v>50</v>
      </c>
      <c r="BF84" s="121">
        <v>28</v>
      </c>
      <c r="BG84" s="122">
        <f t="shared" si="49"/>
        <v>78</v>
      </c>
      <c r="BH84" s="202"/>
      <c r="BI84" s="121">
        <f t="shared" si="50"/>
        <v>4</v>
      </c>
      <c r="BJ84" s="120">
        <v>7</v>
      </c>
      <c r="BK84" s="121">
        <v>24</v>
      </c>
      <c r="BL84" s="122">
        <f t="shared" si="51"/>
        <v>31</v>
      </c>
      <c r="BM84" s="109">
        <f t="shared" si="64"/>
        <v>31</v>
      </c>
      <c r="BN84" s="202"/>
      <c r="BO84" s="121">
        <f t="shared" si="60"/>
        <v>3.5</v>
      </c>
      <c r="BP84" s="105">
        <f t="shared" si="65"/>
        <v>33.5</v>
      </c>
      <c r="BQ84" s="110">
        <f t="shared" si="66"/>
        <v>4.1875</v>
      </c>
      <c r="BR84" s="124" t="str">
        <f t="shared" si="52"/>
        <v>A</v>
      </c>
      <c r="BS84" s="125" t="str">
        <f t="shared" si="61"/>
        <v>BETTER</v>
      </c>
      <c r="BT84" s="113">
        <f t="shared" si="67"/>
        <v>613</v>
      </c>
      <c r="BU84" s="115">
        <v>55</v>
      </c>
    </row>
    <row r="85" spans="1:73" ht="27.95" customHeight="1">
      <c r="A85" s="105">
        <v>77</v>
      </c>
      <c r="B85" s="118">
        <v>88</v>
      </c>
      <c r="C85" s="128" t="s">
        <v>401</v>
      </c>
      <c r="D85" s="129" t="s">
        <v>402</v>
      </c>
      <c r="E85" s="129" t="s">
        <v>403</v>
      </c>
      <c r="F85" s="130" t="s">
        <v>404</v>
      </c>
      <c r="G85" s="108">
        <v>5</v>
      </c>
      <c r="H85" s="105">
        <v>11</v>
      </c>
      <c r="I85" s="109">
        <f t="shared" si="53"/>
        <v>16</v>
      </c>
      <c r="J85" s="105">
        <v>23</v>
      </c>
      <c r="K85" s="109">
        <f t="shared" si="54"/>
        <v>39</v>
      </c>
      <c r="L85" s="108">
        <v>2</v>
      </c>
      <c r="M85" s="105">
        <v>12</v>
      </c>
      <c r="N85" s="109">
        <f t="shared" si="55"/>
        <v>14</v>
      </c>
      <c r="O85" s="109">
        <f t="shared" si="62"/>
        <v>14</v>
      </c>
      <c r="P85" s="109">
        <f t="shared" si="59"/>
        <v>53</v>
      </c>
      <c r="Q85" s="202"/>
      <c r="R85" s="121" t="str">
        <f t="shared" si="35"/>
        <v>F</v>
      </c>
      <c r="S85" s="120">
        <v>11</v>
      </c>
      <c r="T85" s="121">
        <v>34</v>
      </c>
      <c r="U85" s="109">
        <f t="shared" si="36"/>
        <v>45</v>
      </c>
      <c r="V85" s="121">
        <v>4</v>
      </c>
      <c r="W85" s="121">
        <v>5</v>
      </c>
      <c r="X85" s="109">
        <f t="shared" si="37"/>
        <v>9</v>
      </c>
      <c r="Y85" s="109">
        <f t="shared" si="56"/>
        <v>54</v>
      </c>
      <c r="Z85" s="109">
        <f t="shared" si="57"/>
        <v>54</v>
      </c>
      <c r="AA85" s="202"/>
      <c r="AB85" s="121" t="str">
        <f t="shared" si="38"/>
        <v>F</v>
      </c>
      <c r="AC85" s="120">
        <v>8</v>
      </c>
      <c r="AD85" s="121">
        <v>3</v>
      </c>
      <c r="AE85" s="109">
        <f t="shared" si="39"/>
        <v>11</v>
      </c>
      <c r="AF85" s="105">
        <v>18</v>
      </c>
      <c r="AG85" s="109">
        <f t="shared" si="40"/>
        <v>29</v>
      </c>
      <c r="AH85" s="202"/>
      <c r="AI85" s="121" t="str">
        <f t="shared" si="41"/>
        <v>F</v>
      </c>
      <c r="AJ85" s="120">
        <v>8</v>
      </c>
      <c r="AK85" s="121">
        <v>4</v>
      </c>
      <c r="AL85" s="122">
        <f t="shared" si="42"/>
        <v>12</v>
      </c>
      <c r="AM85" s="105">
        <v>8</v>
      </c>
      <c r="AN85" s="109">
        <f t="shared" si="58"/>
        <v>20</v>
      </c>
      <c r="AO85" s="202"/>
      <c r="AP85" s="121" t="str">
        <f t="shared" si="43"/>
        <v>F</v>
      </c>
      <c r="AQ85" s="121">
        <v>11</v>
      </c>
      <c r="AR85" s="121">
        <v>25</v>
      </c>
      <c r="AS85" s="105">
        <f t="shared" si="63"/>
        <v>36</v>
      </c>
      <c r="AT85" s="206"/>
      <c r="AU85" s="121">
        <f t="shared" si="44"/>
        <v>4</v>
      </c>
      <c r="AV85" s="120">
        <v>10</v>
      </c>
      <c r="AW85" s="121">
        <v>14</v>
      </c>
      <c r="AX85" s="122">
        <f t="shared" si="45"/>
        <v>24</v>
      </c>
      <c r="AY85" s="121">
        <v>16</v>
      </c>
      <c r="AZ85" s="122">
        <f t="shared" si="46"/>
        <v>40</v>
      </c>
      <c r="BA85" s="202"/>
      <c r="BB85" s="121">
        <f t="shared" si="47"/>
        <v>2</v>
      </c>
      <c r="BC85" s="120">
        <v>8</v>
      </c>
      <c r="BD85" s="121">
        <v>20</v>
      </c>
      <c r="BE85" s="122">
        <f t="shared" si="48"/>
        <v>28</v>
      </c>
      <c r="BF85" s="121">
        <v>15</v>
      </c>
      <c r="BG85" s="122">
        <f t="shared" si="49"/>
        <v>43</v>
      </c>
      <c r="BH85" s="202"/>
      <c r="BI85" s="121">
        <f t="shared" si="50"/>
        <v>2</v>
      </c>
      <c r="BJ85" s="120">
        <v>6</v>
      </c>
      <c r="BK85" s="121">
        <v>24</v>
      </c>
      <c r="BL85" s="122">
        <f t="shared" si="51"/>
        <v>30</v>
      </c>
      <c r="BM85" s="109">
        <f t="shared" si="64"/>
        <v>30</v>
      </c>
      <c r="BN85" s="202"/>
      <c r="BO85" s="121">
        <f t="shared" si="60"/>
        <v>3.5</v>
      </c>
      <c r="BP85" s="105" t="str">
        <f t="shared" si="65"/>
        <v>F</v>
      </c>
      <c r="BQ85" s="110" t="str">
        <f t="shared" si="66"/>
        <v>F</v>
      </c>
      <c r="BR85" s="124" t="str">
        <f t="shared" si="52"/>
        <v>F</v>
      </c>
      <c r="BS85" s="125" t="str">
        <f t="shared" si="61"/>
        <v>NEED TO PROGRESS</v>
      </c>
      <c r="BT85" s="113">
        <f t="shared" si="67"/>
        <v>305</v>
      </c>
      <c r="BU85" s="115">
        <v>56</v>
      </c>
    </row>
    <row r="86" spans="1:73" ht="27.95" customHeight="1">
      <c r="A86" s="105">
        <v>78</v>
      </c>
      <c r="B86" s="118">
        <v>90</v>
      </c>
      <c r="C86" s="128" t="s">
        <v>165</v>
      </c>
      <c r="D86" s="129" t="s">
        <v>166</v>
      </c>
      <c r="E86" s="129" t="s">
        <v>167</v>
      </c>
      <c r="F86" s="130" t="s">
        <v>405</v>
      </c>
      <c r="G86" s="108">
        <v>19</v>
      </c>
      <c r="H86" s="105">
        <v>44</v>
      </c>
      <c r="I86" s="109">
        <f t="shared" si="53"/>
        <v>63</v>
      </c>
      <c r="J86" s="105">
        <v>25</v>
      </c>
      <c r="K86" s="109">
        <f t="shared" si="54"/>
        <v>88</v>
      </c>
      <c r="L86" s="108">
        <v>9</v>
      </c>
      <c r="M86" s="105">
        <v>38</v>
      </c>
      <c r="N86" s="109">
        <f t="shared" si="55"/>
        <v>47</v>
      </c>
      <c r="O86" s="109">
        <f t="shared" si="62"/>
        <v>47</v>
      </c>
      <c r="P86" s="109">
        <f t="shared" si="59"/>
        <v>135</v>
      </c>
      <c r="Q86" s="202"/>
      <c r="R86" s="121">
        <f t="shared" si="35"/>
        <v>5</v>
      </c>
      <c r="S86" s="120">
        <v>19</v>
      </c>
      <c r="T86" s="121">
        <v>58</v>
      </c>
      <c r="U86" s="109">
        <f t="shared" si="36"/>
        <v>77</v>
      </c>
      <c r="V86" s="121">
        <v>4</v>
      </c>
      <c r="W86" s="121">
        <v>28</v>
      </c>
      <c r="X86" s="109">
        <f t="shared" si="37"/>
        <v>32</v>
      </c>
      <c r="Y86" s="109">
        <f t="shared" si="56"/>
        <v>109</v>
      </c>
      <c r="Z86" s="109">
        <f t="shared" si="57"/>
        <v>109</v>
      </c>
      <c r="AA86" s="202"/>
      <c r="AB86" s="121">
        <f t="shared" si="38"/>
        <v>4</v>
      </c>
      <c r="AC86" s="120">
        <v>19</v>
      </c>
      <c r="AD86" s="121">
        <v>48</v>
      </c>
      <c r="AE86" s="109">
        <f t="shared" si="39"/>
        <v>67</v>
      </c>
      <c r="AF86" s="105">
        <v>29</v>
      </c>
      <c r="AG86" s="109">
        <f t="shared" si="40"/>
        <v>96</v>
      </c>
      <c r="AH86" s="202"/>
      <c r="AI86" s="121">
        <f t="shared" si="41"/>
        <v>5</v>
      </c>
      <c r="AJ86" s="120">
        <v>18</v>
      </c>
      <c r="AK86" s="121">
        <v>46</v>
      </c>
      <c r="AL86" s="122">
        <f t="shared" si="42"/>
        <v>64</v>
      </c>
      <c r="AM86" s="105">
        <v>17</v>
      </c>
      <c r="AN86" s="109">
        <f t="shared" si="58"/>
        <v>81</v>
      </c>
      <c r="AO86" s="202"/>
      <c r="AP86" s="121">
        <f t="shared" si="43"/>
        <v>5</v>
      </c>
      <c r="AQ86" s="121">
        <v>24</v>
      </c>
      <c r="AR86" s="121">
        <v>25</v>
      </c>
      <c r="AS86" s="105">
        <f t="shared" si="63"/>
        <v>49</v>
      </c>
      <c r="AT86" s="206"/>
      <c r="AU86" s="121">
        <f t="shared" si="44"/>
        <v>5</v>
      </c>
      <c r="AV86" s="120">
        <v>18</v>
      </c>
      <c r="AW86" s="121">
        <v>46</v>
      </c>
      <c r="AX86" s="122">
        <f t="shared" si="45"/>
        <v>64</v>
      </c>
      <c r="AY86" s="121">
        <v>25</v>
      </c>
      <c r="AZ86" s="122">
        <f t="shared" si="46"/>
        <v>89</v>
      </c>
      <c r="BA86" s="202"/>
      <c r="BB86" s="121">
        <f t="shared" si="47"/>
        <v>5</v>
      </c>
      <c r="BC86" s="120">
        <v>20</v>
      </c>
      <c r="BD86" s="121">
        <v>46</v>
      </c>
      <c r="BE86" s="122">
        <f t="shared" si="48"/>
        <v>66</v>
      </c>
      <c r="BF86" s="121">
        <v>27</v>
      </c>
      <c r="BG86" s="122">
        <f t="shared" si="49"/>
        <v>93</v>
      </c>
      <c r="BH86" s="202"/>
      <c r="BI86" s="121">
        <f t="shared" si="50"/>
        <v>5</v>
      </c>
      <c r="BJ86" s="120">
        <v>9</v>
      </c>
      <c r="BK86" s="121">
        <v>28</v>
      </c>
      <c r="BL86" s="122">
        <f t="shared" si="51"/>
        <v>37</v>
      </c>
      <c r="BM86" s="109">
        <f t="shared" si="64"/>
        <v>37</v>
      </c>
      <c r="BN86" s="202"/>
      <c r="BO86" s="121">
        <f t="shared" si="60"/>
        <v>4</v>
      </c>
      <c r="BP86" s="105">
        <f t="shared" si="65"/>
        <v>38</v>
      </c>
      <c r="BQ86" s="110">
        <f t="shared" si="66"/>
        <v>4.75</v>
      </c>
      <c r="BR86" s="124" t="str">
        <f t="shared" si="52"/>
        <v>A</v>
      </c>
      <c r="BS86" s="125" t="str">
        <f t="shared" si="61"/>
        <v>BETTER</v>
      </c>
      <c r="BT86" s="113">
        <f t="shared" si="67"/>
        <v>689</v>
      </c>
      <c r="BU86" s="115">
        <v>58</v>
      </c>
    </row>
    <row r="87" spans="1:73" ht="27.95" customHeight="1">
      <c r="A87" s="105">
        <v>79</v>
      </c>
      <c r="B87" s="118">
        <v>94</v>
      </c>
      <c r="C87" s="128" t="s">
        <v>406</v>
      </c>
      <c r="D87" s="129" t="s">
        <v>407</v>
      </c>
      <c r="E87" s="129" t="s">
        <v>408</v>
      </c>
      <c r="F87" s="130" t="s">
        <v>409</v>
      </c>
      <c r="G87" s="108">
        <v>14</v>
      </c>
      <c r="H87" s="105">
        <v>32</v>
      </c>
      <c r="I87" s="109">
        <f t="shared" si="53"/>
        <v>46</v>
      </c>
      <c r="J87" s="105">
        <v>16</v>
      </c>
      <c r="K87" s="109">
        <f t="shared" si="54"/>
        <v>62</v>
      </c>
      <c r="L87" s="108">
        <v>9</v>
      </c>
      <c r="M87" s="105">
        <v>29</v>
      </c>
      <c r="N87" s="109">
        <f t="shared" si="55"/>
        <v>38</v>
      </c>
      <c r="O87" s="109">
        <f t="shared" si="62"/>
        <v>38</v>
      </c>
      <c r="P87" s="109">
        <f t="shared" si="59"/>
        <v>100</v>
      </c>
      <c r="Q87" s="202"/>
      <c r="R87" s="121">
        <f t="shared" si="35"/>
        <v>3.5</v>
      </c>
      <c r="S87" s="120">
        <v>17</v>
      </c>
      <c r="T87" s="121">
        <v>29</v>
      </c>
      <c r="U87" s="109">
        <f t="shared" si="36"/>
        <v>46</v>
      </c>
      <c r="V87" s="121">
        <v>8</v>
      </c>
      <c r="W87" s="121">
        <v>8</v>
      </c>
      <c r="X87" s="109">
        <f t="shared" si="37"/>
        <v>16</v>
      </c>
      <c r="Y87" s="109">
        <f t="shared" si="56"/>
        <v>62</v>
      </c>
      <c r="Z87" s="109">
        <f t="shared" si="57"/>
        <v>62</v>
      </c>
      <c r="AA87" s="202"/>
      <c r="AB87" s="121">
        <f t="shared" si="38"/>
        <v>2</v>
      </c>
      <c r="AC87" s="120">
        <v>8</v>
      </c>
      <c r="AD87" s="121">
        <v>8</v>
      </c>
      <c r="AE87" s="109">
        <f t="shared" si="39"/>
        <v>16</v>
      </c>
      <c r="AF87" s="105">
        <v>11</v>
      </c>
      <c r="AG87" s="109">
        <f t="shared" si="40"/>
        <v>27</v>
      </c>
      <c r="AH87" s="202"/>
      <c r="AI87" s="121" t="str">
        <f t="shared" si="41"/>
        <v>F</v>
      </c>
      <c r="AJ87" s="120">
        <v>16</v>
      </c>
      <c r="AK87" s="121">
        <v>34</v>
      </c>
      <c r="AL87" s="122">
        <f t="shared" si="42"/>
        <v>50</v>
      </c>
      <c r="AM87" s="105">
        <v>14</v>
      </c>
      <c r="AN87" s="109">
        <f t="shared" si="58"/>
        <v>64</v>
      </c>
      <c r="AO87" s="202"/>
      <c r="AP87" s="121">
        <f t="shared" si="43"/>
        <v>3.5</v>
      </c>
      <c r="AQ87" s="121">
        <v>18</v>
      </c>
      <c r="AR87" s="121">
        <v>25</v>
      </c>
      <c r="AS87" s="105">
        <f t="shared" si="63"/>
        <v>43</v>
      </c>
      <c r="AT87" s="206"/>
      <c r="AU87" s="121">
        <f t="shared" si="44"/>
        <v>5</v>
      </c>
      <c r="AV87" s="120">
        <v>14</v>
      </c>
      <c r="AW87" s="121">
        <v>26</v>
      </c>
      <c r="AX87" s="122">
        <f t="shared" si="45"/>
        <v>40</v>
      </c>
      <c r="AY87" s="121">
        <v>12</v>
      </c>
      <c r="AZ87" s="122">
        <f t="shared" si="46"/>
        <v>52</v>
      </c>
      <c r="BA87" s="202"/>
      <c r="BB87" s="121">
        <f t="shared" si="47"/>
        <v>3</v>
      </c>
      <c r="BC87" s="120">
        <v>14</v>
      </c>
      <c r="BD87" s="121">
        <v>29</v>
      </c>
      <c r="BE87" s="122">
        <f t="shared" si="48"/>
        <v>43</v>
      </c>
      <c r="BF87" s="121">
        <v>14</v>
      </c>
      <c r="BG87" s="122">
        <f t="shared" si="49"/>
        <v>57</v>
      </c>
      <c r="BH87" s="202"/>
      <c r="BI87" s="121">
        <f t="shared" si="50"/>
        <v>3</v>
      </c>
      <c r="BJ87" s="120">
        <v>7</v>
      </c>
      <c r="BK87" s="121">
        <v>24</v>
      </c>
      <c r="BL87" s="122">
        <f t="shared" si="51"/>
        <v>31</v>
      </c>
      <c r="BM87" s="109">
        <f t="shared" si="64"/>
        <v>31</v>
      </c>
      <c r="BN87" s="202"/>
      <c r="BO87" s="121">
        <f t="shared" si="60"/>
        <v>3.5</v>
      </c>
      <c r="BP87" s="105" t="str">
        <f t="shared" si="65"/>
        <v>F</v>
      </c>
      <c r="BQ87" s="110" t="str">
        <f t="shared" si="66"/>
        <v>F</v>
      </c>
      <c r="BR87" s="124" t="str">
        <f t="shared" si="52"/>
        <v>F</v>
      </c>
      <c r="BS87" s="125" t="str">
        <f t="shared" si="61"/>
        <v>NEED TO PROGRESS</v>
      </c>
      <c r="BT87" s="113">
        <f t="shared" si="67"/>
        <v>436</v>
      </c>
      <c r="BU87" s="115">
        <v>57</v>
      </c>
    </row>
    <row r="88" spans="1:73" ht="27.95" customHeight="1">
      <c r="A88" s="105">
        <v>80</v>
      </c>
      <c r="B88" s="118">
        <v>96</v>
      </c>
      <c r="C88" s="128" t="s">
        <v>171</v>
      </c>
      <c r="D88" s="129" t="s">
        <v>172</v>
      </c>
      <c r="E88" s="129" t="s">
        <v>410</v>
      </c>
      <c r="F88" s="130" t="s">
        <v>411</v>
      </c>
      <c r="G88" s="108">
        <v>9</v>
      </c>
      <c r="H88" s="105">
        <v>36</v>
      </c>
      <c r="I88" s="109">
        <f t="shared" si="53"/>
        <v>45</v>
      </c>
      <c r="J88" s="105">
        <v>22</v>
      </c>
      <c r="K88" s="109">
        <f t="shared" si="54"/>
        <v>67</v>
      </c>
      <c r="L88" s="108">
        <v>5</v>
      </c>
      <c r="M88" s="105">
        <v>29</v>
      </c>
      <c r="N88" s="109">
        <f t="shared" si="55"/>
        <v>34</v>
      </c>
      <c r="O88" s="109">
        <f t="shared" si="62"/>
        <v>34</v>
      </c>
      <c r="P88" s="109">
        <f t="shared" si="59"/>
        <v>101</v>
      </c>
      <c r="Q88" s="202"/>
      <c r="R88" s="121">
        <f t="shared" si="35"/>
        <v>3.5</v>
      </c>
      <c r="S88" s="120">
        <v>10</v>
      </c>
      <c r="T88" s="121">
        <v>43</v>
      </c>
      <c r="U88" s="109">
        <f t="shared" si="36"/>
        <v>53</v>
      </c>
      <c r="V88" s="121">
        <v>5</v>
      </c>
      <c r="W88" s="121">
        <v>17</v>
      </c>
      <c r="X88" s="109">
        <f t="shared" si="37"/>
        <v>22</v>
      </c>
      <c r="Y88" s="109">
        <f t="shared" si="56"/>
        <v>75</v>
      </c>
      <c r="Z88" s="109">
        <f t="shared" si="57"/>
        <v>75</v>
      </c>
      <c r="AA88" s="202"/>
      <c r="AB88" s="121">
        <f t="shared" si="38"/>
        <v>3</v>
      </c>
      <c r="AC88" s="120">
        <v>10</v>
      </c>
      <c r="AD88" s="121">
        <v>37</v>
      </c>
      <c r="AE88" s="109">
        <f t="shared" si="39"/>
        <v>47</v>
      </c>
      <c r="AF88" s="105">
        <v>26</v>
      </c>
      <c r="AG88" s="109">
        <f t="shared" si="40"/>
        <v>73</v>
      </c>
      <c r="AH88" s="202"/>
      <c r="AI88" s="121">
        <f t="shared" si="41"/>
        <v>4</v>
      </c>
      <c r="AJ88" s="120">
        <v>14</v>
      </c>
      <c r="AK88" s="121">
        <v>33</v>
      </c>
      <c r="AL88" s="122">
        <f t="shared" si="42"/>
        <v>47</v>
      </c>
      <c r="AM88" s="105">
        <v>15</v>
      </c>
      <c r="AN88" s="109">
        <f t="shared" si="58"/>
        <v>62</v>
      </c>
      <c r="AO88" s="202"/>
      <c r="AP88" s="121">
        <f t="shared" si="43"/>
        <v>3.5</v>
      </c>
      <c r="AQ88" s="121">
        <v>24</v>
      </c>
      <c r="AR88" s="121">
        <v>25</v>
      </c>
      <c r="AS88" s="105">
        <f t="shared" si="63"/>
        <v>49</v>
      </c>
      <c r="AT88" s="206"/>
      <c r="AU88" s="121">
        <f t="shared" si="44"/>
        <v>5</v>
      </c>
      <c r="AV88" s="120">
        <v>14</v>
      </c>
      <c r="AW88" s="121">
        <v>35</v>
      </c>
      <c r="AX88" s="122">
        <f t="shared" si="45"/>
        <v>49</v>
      </c>
      <c r="AY88" s="121">
        <v>23</v>
      </c>
      <c r="AZ88" s="122">
        <f t="shared" si="46"/>
        <v>72</v>
      </c>
      <c r="BA88" s="202"/>
      <c r="BB88" s="121">
        <f t="shared" si="47"/>
        <v>4</v>
      </c>
      <c r="BC88" s="120">
        <v>13</v>
      </c>
      <c r="BD88" s="121">
        <v>17</v>
      </c>
      <c r="BE88" s="122">
        <f t="shared" si="48"/>
        <v>30</v>
      </c>
      <c r="BF88" s="121">
        <v>20</v>
      </c>
      <c r="BG88" s="122">
        <f t="shared" si="49"/>
        <v>50</v>
      </c>
      <c r="BH88" s="202"/>
      <c r="BI88" s="121">
        <f t="shared" si="50"/>
        <v>3</v>
      </c>
      <c r="BJ88" s="120">
        <v>7</v>
      </c>
      <c r="BK88" s="121">
        <v>24</v>
      </c>
      <c r="BL88" s="122">
        <f t="shared" si="51"/>
        <v>31</v>
      </c>
      <c r="BM88" s="109">
        <f t="shared" si="64"/>
        <v>31</v>
      </c>
      <c r="BN88" s="202"/>
      <c r="BO88" s="121">
        <f t="shared" si="60"/>
        <v>3.5</v>
      </c>
      <c r="BP88" s="105">
        <f t="shared" si="65"/>
        <v>29.5</v>
      </c>
      <c r="BQ88" s="110">
        <f t="shared" si="66"/>
        <v>3.6875</v>
      </c>
      <c r="BR88" s="124" t="str">
        <f t="shared" si="52"/>
        <v>A-</v>
      </c>
      <c r="BS88" s="125" t="str">
        <f t="shared" si="61"/>
        <v>GOOD</v>
      </c>
      <c r="BT88" s="113">
        <f t="shared" si="67"/>
        <v>513</v>
      </c>
      <c r="BU88" s="115">
        <v>55</v>
      </c>
    </row>
    <row r="89" spans="1:73" ht="27.95" customHeight="1">
      <c r="A89" s="105">
        <v>81</v>
      </c>
      <c r="B89" s="118">
        <v>98</v>
      </c>
      <c r="C89" s="128" t="s">
        <v>412</v>
      </c>
      <c r="D89" s="129" t="s">
        <v>413</v>
      </c>
      <c r="E89" s="129" t="s">
        <v>414</v>
      </c>
      <c r="F89" s="130" t="s">
        <v>415</v>
      </c>
      <c r="G89" s="108">
        <v>2</v>
      </c>
      <c r="H89" s="105">
        <v>4</v>
      </c>
      <c r="I89" s="109">
        <f t="shared" si="53"/>
        <v>6</v>
      </c>
      <c r="J89" s="105">
        <v>19</v>
      </c>
      <c r="K89" s="109">
        <f t="shared" si="54"/>
        <v>25</v>
      </c>
      <c r="L89" s="108">
        <v>3</v>
      </c>
      <c r="M89" s="105">
        <v>6</v>
      </c>
      <c r="N89" s="109">
        <f t="shared" si="55"/>
        <v>9</v>
      </c>
      <c r="O89" s="109">
        <f t="shared" si="62"/>
        <v>9</v>
      </c>
      <c r="P89" s="109">
        <f t="shared" si="59"/>
        <v>34</v>
      </c>
      <c r="Q89" s="202"/>
      <c r="R89" s="121" t="str">
        <f t="shared" si="35"/>
        <v>F</v>
      </c>
      <c r="S89" s="120">
        <v>6</v>
      </c>
      <c r="T89" s="121">
        <v>34</v>
      </c>
      <c r="U89" s="109">
        <f t="shared" si="36"/>
        <v>40</v>
      </c>
      <c r="V89" s="121">
        <v>5</v>
      </c>
      <c r="W89" s="121">
        <v>8</v>
      </c>
      <c r="X89" s="109">
        <f t="shared" si="37"/>
        <v>13</v>
      </c>
      <c r="Y89" s="109">
        <f t="shared" si="56"/>
        <v>53</v>
      </c>
      <c r="Z89" s="109">
        <f t="shared" si="57"/>
        <v>53</v>
      </c>
      <c r="AA89" s="202"/>
      <c r="AB89" s="121" t="str">
        <f t="shared" si="38"/>
        <v>F</v>
      </c>
      <c r="AC89" s="120">
        <v>5</v>
      </c>
      <c r="AD89" s="121">
        <v>2</v>
      </c>
      <c r="AE89" s="109">
        <f t="shared" si="39"/>
        <v>7</v>
      </c>
      <c r="AF89" s="105">
        <v>18</v>
      </c>
      <c r="AG89" s="109">
        <f t="shared" si="40"/>
        <v>25</v>
      </c>
      <c r="AH89" s="202"/>
      <c r="AI89" s="121" t="str">
        <f t="shared" si="41"/>
        <v>F</v>
      </c>
      <c r="AJ89" s="120">
        <v>9</v>
      </c>
      <c r="AK89" s="121">
        <v>10</v>
      </c>
      <c r="AL89" s="122">
        <f t="shared" si="42"/>
        <v>19</v>
      </c>
      <c r="AM89" s="105">
        <v>5</v>
      </c>
      <c r="AN89" s="109">
        <f t="shared" si="58"/>
        <v>24</v>
      </c>
      <c r="AO89" s="202"/>
      <c r="AP89" s="121" t="str">
        <f t="shared" si="43"/>
        <v>F</v>
      </c>
      <c r="AQ89" s="121">
        <v>11</v>
      </c>
      <c r="AR89" s="121">
        <v>25</v>
      </c>
      <c r="AS89" s="105">
        <f t="shared" si="63"/>
        <v>36</v>
      </c>
      <c r="AT89" s="206"/>
      <c r="AU89" s="121">
        <f t="shared" si="44"/>
        <v>4</v>
      </c>
      <c r="AV89" s="120">
        <v>12</v>
      </c>
      <c r="AW89" s="121">
        <v>16</v>
      </c>
      <c r="AX89" s="122">
        <f t="shared" si="45"/>
        <v>28</v>
      </c>
      <c r="AY89" s="121">
        <v>16</v>
      </c>
      <c r="AZ89" s="122">
        <f t="shared" si="46"/>
        <v>44</v>
      </c>
      <c r="BA89" s="202"/>
      <c r="BB89" s="121">
        <f t="shared" si="47"/>
        <v>2</v>
      </c>
      <c r="BC89" s="120">
        <v>10</v>
      </c>
      <c r="BD89" s="121">
        <v>15</v>
      </c>
      <c r="BE89" s="122">
        <f t="shared" si="48"/>
        <v>25</v>
      </c>
      <c r="BF89" s="121">
        <v>15</v>
      </c>
      <c r="BG89" s="122">
        <f t="shared" si="49"/>
        <v>40</v>
      </c>
      <c r="BH89" s="202"/>
      <c r="BI89" s="121">
        <f t="shared" si="50"/>
        <v>2</v>
      </c>
      <c r="BJ89" s="120">
        <v>6</v>
      </c>
      <c r="BK89" s="121">
        <v>24</v>
      </c>
      <c r="BL89" s="122">
        <f t="shared" si="51"/>
        <v>30</v>
      </c>
      <c r="BM89" s="109">
        <f t="shared" si="64"/>
        <v>30</v>
      </c>
      <c r="BN89" s="202"/>
      <c r="BO89" s="121">
        <f t="shared" si="60"/>
        <v>3.5</v>
      </c>
      <c r="BP89" s="105" t="str">
        <f t="shared" si="65"/>
        <v>F</v>
      </c>
      <c r="BQ89" s="110" t="str">
        <f t="shared" si="66"/>
        <v>F</v>
      </c>
      <c r="BR89" s="124" t="str">
        <f t="shared" si="52"/>
        <v>F</v>
      </c>
      <c r="BS89" s="125" t="str">
        <f t="shared" si="61"/>
        <v>NEED TO PROGRESS</v>
      </c>
      <c r="BT89" s="113">
        <f t="shared" si="67"/>
        <v>286</v>
      </c>
      <c r="BU89" s="115">
        <v>54</v>
      </c>
    </row>
    <row r="90" spans="1:73" ht="27.95" customHeight="1">
      <c r="A90" s="105">
        <v>82</v>
      </c>
      <c r="B90" s="118">
        <v>100</v>
      </c>
      <c r="C90" s="128" t="s">
        <v>174</v>
      </c>
      <c r="D90" s="129" t="s">
        <v>175</v>
      </c>
      <c r="E90" s="129" t="s">
        <v>176</v>
      </c>
      <c r="F90" s="130" t="s">
        <v>416</v>
      </c>
      <c r="G90" s="108">
        <v>13</v>
      </c>
      <c r="H90" s="105">
        <v>36</v>
      </c>
      <c r="I90" s="109">
        <f t="shared" si="53"/>
        <v>49</v>
      </c>
      <c r="J90" s="105">
        <v>26</v>
      </c>
      <c r="K90" s="109">
        <f t="shared" si="54"/>
        <v>75</v>
      </c>
      <c r="L90" s="108">
        <v>9</v>
      </c>
      <c r="M90" s="105">
        <v>33</v>
      </c>
      <c r="N90" s="109">
        <f t="shared" si="55"/>
        <v>42</v>
      </c>
      <c r="O90" s="109">
        <f t="shared" si="62"/>
        <v>42</v>
      </c>
      <c r="P90" s="109">
        <f t="shared" si="59"/>
        <v>117</v>
      </c>
      <c r="Q90" s="202"/>
      <c r="R90" s="121">
        <f t="shared" si="35"/>
        <v>4</v>
      </c>
      <c r="S90" s="120">
        <v>15</v>
      </c>
      <c r="T90" s="121">
        <v>60</v>
      </c>
      <c r="U90" s="109">
        <f t="shared" si="36"/>
        <v>75</v>
      </c>
      <c r="V90" s="121">
        <v>5</v>
      </c>
      <c r="W90" s="121">
        <v>18</v>
      </c>
      <c r="X90" s="109">
        <f t="shared" si="37"/>
        <v>23</v>
      </c>
      <c r="Y90" s="109">
        <f t="shared" si="56"/>
        <v>98</v>
      </c>
      <c r="Z90" s="109">
        <f t="shared" si="57"/>
        <v>98</v>
      </c>
      <c r="AA90" s="202"/>
      <c r="AB90" s="121">
        <f t="shared" si="38"/>
        <v>3.5</v>
      </c>
      <c r="AC90" s="120">
        <v>5</v>
      </c>
      <c r="AD90" s="121">
        <v>46</v>
      </c>
      <c r="AE90" s="109">
        <f t="shared" si="39"/>
        <v>51</v>
      </c>
      <c r="AF90" s="105">
        <v>24</v>
      </c>
      <c r="AG90" s="109">
        <f t="shared" si="40"/>
        <v>75</v>
      </c>
      <c r="AH90" s="202"/>
      <c r="AI90" s="121">
        <f t="shared" si="41"/>
        <v>4</v>
      </c>
      <c r="AJ90" s="120">
        <v>16</v>
      </c>
      <c r="AK90" s="121">
        <v>40</v>
      </c>
      <c r="AL90" s="122">
        <f t="shared" si="42"/>
        <v>56</v>
      </c>
      <c r="AM90" s="105">
        <v>23</v>
      </c>
      <c r="AN90" s="109">
        <f t="shared" si="58"/>
        <v>79</v>
      </c>
      <c r="AO90" s="202"/>
      <c r="AP90" s="121">
        <f t="shared" si="43"/>
        <v>4</v>
      </c>
      <c r="AQ90" s="121">
        <v>24</v>
      </c>
      <c r="AR90" s="121">
        <v>25</v>
      </c>
      <c r="AS90" s="105">
        <f t="shared" si="63"/>
        <v>49</v>
      </c>
      <c r="AT90" s="206"/>
      <c r="AU90" s="121">
        <f t="shared" si="44"/>
        <v>5</v>
      </c>
      <c r="AV90" s="120">
        <v>18</v>
      </c>
      <c r="AW90" s="121">
        <v>44</v>
      </c>
      <c r="AX90" s="122">
        <f t="shared" si="45"/>
        <v>62</v>
      </c>
      <c r="AY90" s="121">
        <v>26</v>
      </c>
      <c r="AZ90" s="122">
        <f t="shared" si="46"/>
        <v>88</v>
      </c>
      <c r="BA90" s="202"/>
      <c r="BB90" s="121">
        <f t="shared" si="47"/>
        <v>5</v>
      </c>
      <c r="BC90" s="120">
        <v>16</v>
      </c>
      <c r="BD90" s="121">
        <v>41</v>
      </c>
      <c r="BE90" s="122">
        <f t="shared" si="48"/>
        <v>57</v>
      </c>
      <c r="BF90" s="121">
        <v>29</v>
      </c>
      <c r="BG90" s="122">
        <f t="shared" si="49"/>
        <v>86</v>
      </c>
      <c r="BH90" s="202"/>
      <c r="BI90" s="121">
        <f t="shared" si="50"/>
        <v>5</v>
      </c>
      <c r="BJ90" s="120">
        <v>10</v>
      </c>
      <c r="BK90" s="121">
        <v>32</v>
      </c>
      <c r="BL90" s="122">
        <f t="shared" si="51"/>
        <v>42</v>
      </c>
      <c r="BM90" s="109">
        <f t="shared" si="64"/>
        <v>42</v>
      </c>
      <c r="BN90" s="202"/>
      <c r="BO90" s="121">
        <f t="shared" si="60"/>
        <v>5</v>
      </c>
      <c r="BP90" s="105">
        <f t="shared" si="65"/>
        <v>35.5</v>
      </c>
      <c r="BQ90" s="110">
        <f t="shared" si="66"/>
        <v>4.4375</v>
      </c>
      <c r="BR90" s="124" t="str">
        <f t="shared" si="52"/>
        <v>A</v>
      </c>
      <c r="BS90" s="125" t="str">
        <f t="shared" si="61"/>
        <v>BETTER</v>
      </c>
      <c r="BT90" s="113">
        <f t="shared" si="67"/>
        <v>634</v>
      </c>
      <c r="BU90" s="115">
        <v>52</v>
      </c>
    </row>
    <row r="91" spans="1:73" ht="27.95" customHeight="1">
      <c r="A91" s="105">
        <v>83</v>
      </c>
      <c r="B91" s="118">
        <v>102</v>
      </c>
      <c r="C91" s="128" t="s">
        <v>177</v>
      </c>
      <c r="D91" s="129" t="s">
        <v>178</v>
      </c>
      <c r="E91" s="129" t="s">
        <v>179</v>
      </c>
      <c r="F91" s="130" t="s">
        <v>417</v>
      </c>
      <c r="G91" s="108">
        <v>12</v>
      </c>
      <c r="H91" s="105">
        <v>38</v>
      </c>
      <c r="I91" s="109">
        <f t="shared" si="53"/>
        <v>50</v>
      </c>
      <c r="J91" s="105">
        <v>25</v>
      </c>
      <c r="K91" s="109">
        <f t="shared" si="54"/>
        <v>75</v>
      </c>
      <c r="L91" s="108">
        <v>5</v>
      </c>
      <c r="M91" s="105">
        <v>33</v>
      </c>
      <c r="N91" s="109">
        <f t="shared" si="55"/>
        <v>38</v>
      </c>
      <c r="O91" s="109">
        <f t="shared" si="62"/>
        <v>38</v>
      </c>
      <c r="P91" s="109">
        <f t="shared" si="59"/>
        <v>113</v>
      </c>
      <c r="Q91" s="202"/>
      <c r="R91" s="121">
        <f t="shared" si="35"/>
        <v>4</v>
      </c>
      <c r="S91" s="120">
        <v>16</v>
      </c>
      <c r="T91" s="121">
        <v>63</v>
      </c>
      <c r="U91" s="109">
        <f t="shared" si="36"/>
        <v>79</v>
      </c>
      <c r="V91" s="121">
        <v>5</v>
      </c>
      <c r="W91" s="121">
        <v>32</v>
      </c>
      <c r="X91" s="109">
        <f t="shared" si="37"/>
        <v>37</v>
      </c>
      <c r="Y91" s="109">
        <f t="shared" si="56"/>
        <v>116</v>
      </c>
      <c r="Z91" s="109">
        <f t="shared" si="57"/>
        <v>116</v>
      </c>
      <c r="AA91" s="202"/>
      <c r="AB91" s="121">
        <f t="shared" si="38"/>
        <v>4</v>
      </c>
      <c r="AC91" s="120">
        <v>5</v>
      </c>
      <c r="AD91" s="121">
        <v>38</v>
      </c>
      <c r="AE91" s="109">
        <f t="shared" si="39"/>
        <v>43</v>
      </c>
      <c r="AF91" s="105">
        <v>27</v>
      </c>
      <c r="AG91" s="109">
        <f t="shared" si="40"/>
        <v>70</v>
      </c>
      <c r="AH91" s="202"/>
      <c r="AI91" s="121">
        <f t="shared" si="41"/>
        <v>4</v>
      </c>
      <c r="AJ91" s="120">
        <v>17</v>
      </c>
      <c r="AK91" s="121">
        <v>46</v>
      </c>
      <c r="AL91" s="122">
        <f t="shared" si="42"/>
        <v>63</v>
      </c>
      <c r="AM91" s="105">
        <v>25</v>
      </c>
      <c r="AN91" s="109">
        <f t="shared" si="58"/>
        <v>88</v>
      </c>
      <c r="AO91" s="202"/>
      <c r="AP91" s="121">
        <f t="shared" si="43"/>
        <v>5</v>
      </c>
      <c r="AQ91" s="121">
        <v>24</v>
      </c>
      <c r="AR91" s="121">
        <v>25</v>
      </c>
      <c r="AS91" s="105">
        <f t="shared" si="63"/>
        <v>49</v>
      </c>
      <c r="AT91" s="206"/>
      <c r="AU91" s="121">
        <f t="shared" si="44"/>
        <v>5</v>
      </c>
      <c r="AV91" s="120">
        <v>10</v>
      </c>
      <c r="AW91" s="121">
        <v>35</v>
      </c>
      <c r="AX91" s="122">
        <f t="shared" si="45"/>
        <v>45</v>
      </c>
      <c r="AY91" s="121">
        <v>20</v>
      </c>
      <c r="AZ91" s="122">
        <f t="shared" si="46"/>
        <v>65</v>
      </c>
      <c r="BA91" s="202"/>
      <c r="BB91" s="121">
        <f t="shared" si="47"/>
        <v>3.5</v>
      </c>
      <c r="BC91" s="120">
        <v>11</v>
      </c>
      <c r="BD91" s="121">
        <v>40</v>
      </c>
      <c r="BE91" s="122">
        <f t="shared" si="48"/>
        <v>51</v>
      </c>
      <c r="BF91" s="121">
        <v>24</v>
      </c>
      <c r="BG91" s="122">
        <f t="shared" si="49"/>
        <v>75</v>
      </c>
      <c r="BH91" s="202"/>
      <c r="BI91" s="121">
        <f t="shared" si="50"/>
        <v>4</v>
      </c>
      <c r="BJ91" s="120">
        <v>7</v>
      </c>
      <c r="BK91" s="121">
        <v>24</v>
      </c>
      <c r="BL91" s="122">
        <f t="shared" si="51"/>
        <v>31</v>
      </c>
      <c r="BM91" s="109">
        <f t="shared" si="64"/>
        <v>31</v>
      </c>
      <c r="BN91" s="202"/>
      <c r="BO91" s="121">
        <f t="shared" si="60"/>
        <v>3.5</v>
      </c>
      <c r="BP91" s="105">
        <f t="shared" si="65"/>
        <v>33</v>
      </c>
      <c r="BQ91" s="110">
        <f t="shared" si="66"/>
        <v>4.125</v>
      </c>
      <c r="BR91" s="124" t="str">
        <f t="shared" si="52"/>
        <v>A</v>
      </c>
      <c r="BS91" s="125" t="str">
        <f t="shared" si="61"/>
        <v>BETTER</v>
      </c>
      <c r="BT91" s="113">
        <f t="shared" si="67"/>
        <v>607</v>
      </c>
      <c r="BU91" s="115">
        <v>53</v>
      </c>
    </row>
    <row r="92" spans="1:73" ht="27.95" customHeight="1">
      <c r="A92" s="105">
        <v>84</v>
      </c>
      <c r="B92" s="118">
        <v>104</v>
      </c>
      <c r="C92" s="128" t="s">
        <v>418</v>
      </c>
      <c r="D92" s="129" t="s">
        <v>419</v>
      </c>
      <c r="E92" s="129" t="s">
        <v>420</v>
      </c>
      <c r="F92" s="130" t="s">
        <v>421</v>
      </c>
      <c r="G92" s="108">
        <v>9</v>
      </c>
      <c r="H92" s="109">
        <v>11</v>
      </c>
      <c r="I92" s="109">
        <f t="shared" si="53"/>
        <v>20</v>
      </c>
      <c r="J92" s="109">
        <v>15</v>
      </c>
      <c r="K92" s="109">
        <f t="shared" si="54"/>
        <v>35</v>
      </c>
      <c r="L92" s="109">
        <v>5</v>
      </c>
      <c r="M92" s="109">
        <v>27</v>
      </c>
      <c r="N92" s="109">
        <f t="shared" si="55"/>
        <v>32</v>
      </c>
      <c r="O92" s="109">
        <f t="shared" si="62"/>
        <v>32</v>
      </c>
      <c r="P92" s="109">
        <f t="shared" si="59"/>
        <v>67</v>
      </c>
      <c r="Q92" s="202"/>
      <c r="R92" s="121">
        <f t="shared" si="35"/>
        <v>2</v>
      </c>
      <c r="S92" s="120">
        <v>11</v>
      </c>
      <c r="T92" s="121">
        <v>32</v>
      </c>
      <c r="U92" s="109">
        <f t="shared" si="36"/>
        <v>43</v>
      </c>
      <c r="V92" s="121">
        <v>3</v>
      </c>
      <c r="W92" s="121">
        <v>14</v>
      </c>
      <c r="X92" s="109">
        <f t="shared" si="37"/>
        <v>17</v>
      </c>
      <c r="Y92" s="109">
        <f t="shared" si="56"/>
        <v>60</v>
      </c>
      <c r="Z92" s="109">
        <f t="shared" si="57"/>
        <v>60</v>
      </c>
      <c r="AA92" s="202"/>
      <c r="AB92" s="121">
        <f t="shared" si="38"/>
        <v>2</v>
      </c>
      <c r="AC92" s="120">
        <v>5</v>
      </c>
      <c r="AD92" s="121">
        <v>6</v>
      </c>
      <c r="AE92" s="109">
        <f t="shared" si="39"/>
        <v>11</v>
      </c>
      <c r="AF92" s="105">
        <v>8</v>
      </c>
      <c r="AG92" s="109">
        <f t="shared" si="40"/>
        <v>19</v>
      </c>
      <c r="AH92" s="202"/>
      <c r="AI92" s="121" t="str">
        <f t="shared" si="41"/>
        <v>F</v>
      </c>
      <c r="AJ92" s="120">
        <v>15</v>
      </c>
      <c r="AK92" s="121">
        <v>24</v>
      </c>
      <c r="AL92" s="122">
        <f t="shared" si="42"/>
        <v>39</v>
      </c>
      <c r="AM92" s="105">
        <v>25</v>
      </c>
      <c r="AN92" s="109">
        <f t="shared" si="58"/>
        <v>64</v>
      </c>
      <c r="AO92" s="202"/>
      <c r="AP92" s="121">
        <f t="shared" si="43"/>
        <v>3.5</v>
      </c>
      <c r="AQ92" s="121">
        <v>18</v>
      </c>
      <c r="AR92" s="121">
        <v>25</v>
      </c>
      <c r="AS92" s="105">
        <f t="shared" si="63"/>
        <v>43</v>
      </c>
      <c r="AT92" s="206"/>
      <c r="AU92" s="121">
        <f t="shared" si="44"/>
        <v>5</v>
      </c>
      <c r="AV92" s="120">
        <v>12</v>
      </c>
      <c r="AW92" s="121">
        <v>23</v>
      </c>
      <c r="AX92" s="122">
        <f t="shared" si="45"/>
        <v>35</v>
      </c>
      <c r="AY92" s="121">
        <v>24</v>
      </c>
      <c r="AZ92" s="122">
        <f t="shared" si="46"/>
        <v>59</v>
      </c>
      <c r="BA92" s="202"/>
      <c r="BB92" s="121">
        <f t="shared" si="47"/>
        <v>3</v>
      </c>
      <c r="BC92" s="120">
        <v>10</v>
      </c>
      <c r="BD92" s="121">
        <v>14</v>
      </c>
      <c r="BE92" s="122">
        <f t="shared" si="48"/>
        <v>24</v>
      </c>
      <c r="BF92" s="121">
        <v>17</v>
      </c>
      <c r="BG92" s="122">
        <f t="shared" si="49"/>
        <v>41</v>
      </c>
      <c r="BH92" s="202"/>
      <c r="BI92" s="121">
        <f t="shared" si="50"/>
        <v>2</v>
      </c>
      <c r="BJ92" s="120">
        <v>6</v>
      </c>
      <c r="BK92" s="121">
        <v>24</v>
      </c>
      <c r="BL92" s="122">
        <f t="shared" si="51"/>
        <v>30</v>
      </c>
      <c r="BM92" s="109">
        <f t="shared" si="64"/>
        <v>30</v>
      </c>
      <c r="BN92" s="202"/>
      <c r="BO92" s="121">
        <f t="shared" si="60"/>
        <v>3.5</v>
      </c>
      <c r="BP92" s="105" t="str">
        <f t="shared" si="65"/>
        <v>F</v>
      </c>
      <c r="BQ92" s="110" t="str">
        <f t="shared" si="66"/>
        <v>F</v>
      </c>
      <c r="BR92" s="124" t="str">
        <f t="shared" si="52"/>
        <v>F</v>
      </c>
      <c r="BS92" s="125" t="str">
        <f t="shared" si="61"/>
        <v>NEED TO PROGRESS</v>
      </c>
      <c r="BT92" s="113">
        <f t="shared" si="67"/>
        <v>383</v>
      </c>
      <c r="BU92" s="114">
        <v>54</v>
      </c>
    </row>
    <row r="93" spans="1:73" ht="27.95" customHeight="1">
      <c r="A93" s="105">
        <v>85</v>
      </c>
      <c r="B93" s="118">
        <v>108</v>
      </c>
      <c r="C93" s="119" t="s">
        <v>422</v>
      </c>
      <c r="D93" s="106" t="s">
        <v>423</v>
      </c>
      <c r="E93" s="106" t="s">
        <v>424</v>
      </c>
      <c r="F93" s="118" t="s">
        <v>425</v>
      </c>
      <c r="G93" s="120">
        <v>4</v>
      </c>
      <c r="H93" s="121">
        <v>15</v>
      </c>
      <c r="I93" s="122">
        <f t="shared" si="53"/>
        <v>19</v>
      </c>
      <c r="J93" s="121">
        <v>19</v>
      </c>
      <c r="K93" s="122">
        <f t="shared" si="54"/>
        <v>38</v>
      </c>
      <c r="L93" s="120">
        <v>3</v>
      </c>
      <c r="M93" s="121">
        <v>26</v>
      </c>
      <c r="N93" s="122">
        <f t="shared" si="55"/>
        <v>29</v>
      </c>
      <c r="O93" s="109">
        <f t="shared" si="62"/>
        <v>29</v>
      </c>
      <c r="P93" s="122">
        <f t="shared" si="59"/>
        <v>67</v>
      </c>
      <c r="Q93" s="202"/>
      <c r="R93" s="121">
        <f t="shared" si="35"/>
        <v>2</v>
      </c>
      <c r="S93" s="120">
        <v>12</v>
      </c>
      <c r="T93" s="121">
        <v>43</v>
      </c>
      <c r="U93" s="109">
        <f t="shared" si="36"/>
        <v>55</v>
      </c>
      <c r="V93" s="121">
        <v>5</v>
      </c>
      <c r="W93" s="121">
        <v>21</v>
      </c>
      <c r="X93" s="109">
        <f t="shared" si="37"/>
        <v>26</v>
      </c>
      <c r="Y93" s="109">
        <f t="shared" si="56"/>
        <v>81</v>
      </c>
      <c r="Z93" s="109">
        <f t="shared" si="57"/>
        <v>81</v>
      </c>
      <c r="AA93" s="202"/>
      <c r="AB93" s="121">
        <f t="shared" si="38"/>
        <v>3</v>
      </c>
      <c r="AC93" s="120">
        <v>5</v>
      </c>
      <c r="AD93" s="121">
        <v>2</v>
      </c>
      <c r="AE93" s="109">
        <f t="shared" si="39"/>
        <v>7</v>
      </c>
      <c r="AF93" s="105">
        <v>7</v>
      </c>
      <c r="AG93" s="109">
        <f t="shared" si="40"/>
        <v>14</v>
      </c>
      <c r="AH93" s="202"/>
      <c r="AI93" s="121" t="str">
        <f t="shared" si="41"/>
        <v>F</v>
      </c>
      <c r="AJ93" s="120">
        <v>13</v>
      </c>
      <c r="AK93" s="121">
        <v>29</v>
      </c>
      <c r="AL93" s="122">
        <f t="shared" si="42"/>
        <v>42</v>
      </c>
      <c r="AM93" s="105">
        <v>16</v>
      </c>
      <c r="AN93" s="109">
        <f t="shared" si="58"/>
        <v>58</v>
      </c>
      <c r="AO93" s="202"/>
      <c r="AP93" s="121">
        <f t="shared" si="43"/>
        <v>3</v>
      </c>
      <c r="AQ93" s="121">
        <v>24</v>
      </c>
      <c r="AR93" s="121">
        <v>25</v>
      </c>
      <c r="AS93" s="105">
        <f t="shared" si="63"/>
        <v>49</v>
      </c>
      <c r="AT93" s="206"/>
      <c r="AU93" s="121">
        <f t="shared" si="44"/>
        <v>5</v>
      </c>
      <c r="AV93" s="120">
        <v>10</v>
      </c>
      <c r="AW93" s="121">
        <v>18</v>
      </c>
      <c r="AX93" s="122">
        <f t="shared" si="45"/>
        <v>28</v>
      </c>
      <c r="AY93" s="121">
        <v>15</v>
      </c>
      <c r="AZ93" s="122">
        <f t="shared" si="46"/>
        <v>43</v>
      </c>
      <c r="BA93" s="202"/>
      <c r="BB93" s="121">
        <f t="shared" si="47"/>
        <v>2</v>
      </c>
      <c r="BC93" s="120">
        <v>9</v>
      </c>
      <c r="BD93" s="121">
        <v>20</v>
      </c>
      <c r="BE93" s="122">
        <f t="shared" si="48"/>
        <v>29</v>
      </c>
      <c r="BF93" s="121">
        <v>17</v>
      </c>
      <c r="BG93" s="122">
        <f t="shared" si="49"/>
        <v>46</v>
      </c>
      <c r="BH93" s="202"/>
      <c r="BI93" s="121">
        <f t="shared" si="50"/>
        <v>2</v>
      </c>
      <c r="BJ93" s="120">
        <v>7</v>
      </c>
      <c r="BK93" s="121">
        <v>24</v>
      </c>
      <c r="BL93" s="122">
        <f t="shared" si="51"/>
        <v>31</v>
      </c>
      <c r="BM93" s="109">
        <f t="shared" si="64"/>
        <v>31</v>
      </c>
      <c r="BN93" s="202"/>
      <c r="BO93" s="121">
        <f t="shared" si="60"/>
        <v>3.5</v>
      </c>
      <c r="BP93" s="105" t="str">
        <f t="shared" si="65"/>
        <v>F</v>
      </c>
      <c r="BQ93" s="110" t="str">
        <f t="shared" si="66"/>
        <v>F</v>
      </c>
      <c r="BR93" s="124" t="str">
        <f t="shared" si="52"/>
        <v>F</v>
      </c>
      <c r="BS93" s="125" t="str">
        <f t="shared" si="61"/>
        <v>NEED TO PROGRESS</v>
      </c>
      <c r="BT93" s="113">
        <f t="shared" si="67"/>
        <v>389</v>
      </c>
      <c r="BU93" s="115">
        <v>52</v>
      </c>
    </row>
    <row r="94" spans="1:73" ht="27.95" customHeight="1">
      <c r="A94" s="105">
        <v>86</v>
      </c>
      <c r="B94" s="133">
        <v>110</v>
      </c>
      <c r="C94" s="127" t="s">
        <v>426</v>
      </c>
      <c r="D94" s="127" t="s">
        <v>427</v>
      </c>
      <c r="E94" s="127" t="s">
        <v>428</v>
      </c>
      <c r="F94" s="118" t="s">
        <v>429</v>
      </c>
      <c r="G94" s="105">
        <v>12</v>
      </c>
      <c r="H94" s="105">
        <v>31</v>
      </c>
      <c r="I94" s="109">
        <f t="shared" si="53"/>
        <v>43</v>
      </c>
      <c r="J94" s="105">
        <v>26</v>
      </c>
      <c r="K94" s="109">
        <f t="shared" si="54"/>
        <v>69</v>
      </c>
      <c r="L94" s="108">
        <v>2</v>
      </c>
      <c r="M94" s="105">
        <v>30</v>
      </c>
      <c r="N94" s="109">
        <f t="shared" si="55"/>
        <v>32</v>
      </c>
      <c r="O94" s="109">
        <f t="shared" si="62"/>
        <v>32</v>
      </c>
      <c r="P94" s="109">
        <f t="shared" si="59"/>
        <v>101</v>
      </c>
      <c r="Q94" s="203"/>
      <c r="R94" s="121">
        <f t="shared" si="35"/>
        <v>3.5</v>
      </c>
      <c r="S94" s="120">
        <v>3</v>
      </c>
      <c r="T94" s="121">
        <v>9</v>
      </c>
      <c r="U94" s="109">
        <f t="shared" si="36"/>
        <v>12</v>
      </c>
      <c r="V94" s="121">
        <v>1</v>
      </c>
      <c r="W94" s="121">
        <v>14</v>
      </c>
      <c r="X94" s="109">
        <f t="shared" si="37"/>
        <v>15</v>
      </c>
      <c r="Y94" s="109">
        <f t="shared" si="56"/>
        <v>27</v>
      </c>
      <c r="Z94" s="109">
        <f t="shared" si="57"/>
        <v>27</v>
      </c>
      <c r="AA94" s="203"/>
      <c r="AB94" s="121" t="str">
        <f t="shared" si="38"/>
        <v>F</v>
      </c>
      <c r="AC94" s="120"/>
      <c r="AD94" s="121">
        <v>2</v>
      </c>
      <c r="AE94" s="109">
        <f t="shared" si="39"/>
        <v>2</v>
      </c>
      <c r="AF94" s="105">
        <v>12</v>
      </c>
      <c r="AG94" s="109">
        <f t="shared" si="40"/>
        <v>14</v>
      </c>
      <c r="AH94" s="203"/>
      <c r="AI94" s="121" t="str">
        <f t="shared" si="41"/>
        <v>F</v>
      </c>
      <c r="AJ94" s="120"/>
      <c r="AK94" s="121">
        <v>56</v>
      </c>
      <c r="AL94" s="122">
        <f t="shared" si="42"/>
        <v>56</v>
      </c>
      <c r="AM94" s="105">
        <v>17</v>
      </c>
      <c r="AN94" s="109">
        <f t="shared" si="58"/>
        <v>73</v>
      </c>
      <c r="AO94" s="203"/>
      <c r="AP94" s="121">
        <f t="shared" si="43"/>
        <v>4</v>
      </c>
      <c r="AQ94" s="121">
        <v>24</v>
      </c>
      <c r="AR94" s="121">
        <v>25</v>
      </c>
      <c r="AS94" s="105">
        <f t="shared" si="63"/>
        <v>49</v>
      </c>
      <c r="AT94" s="207"/>
      <c r="AU94" s="121">
        <f t="shared" si="44"/>
        <v>5</v>
      </c>
      <c r="AV94" s="120"/>
      <c r="AW94" s="121">
        <v>16</v>
      </c>
      <c r="AX94" s="122">
        <f t="shared" si="45"/>
        <v>16</v>
      </c>
      <c r="AY94" s="121">
        <v>23</v>
      </c>
      <c r="AZ94" s="122">
        <f t="shared" si="46"/>
        <v>39</v>
      </c>
      <c r="BA94" s="203"/>
      <c r="BB94" s="121" t="str">
        <f t="shared" si="47"/>
        <v>F</v>
      </c>
      <c r="BC94" s="120"/>
      <c r="BD94" s="121">
        <v>30</v>
      </c>
      <c r="BE94" s="122">
        <f t="shared" si="48"/>
        <v>30</v>
      </c>
      <c r="BF94" s="121">
        <v>24</v>
      </c>
      <c r="BG94" s="122">
        <f t="shared" si="49"/>
        <v>54</v>
      </c>
      <c r="BH94" s="203"/>
      <c r="BI94" s="121">
        <f t="shared" si="50"/>
        <v>3</v>
      </c>
      <c r="BJ94" s="120">
        <v>10</v>
      </c>
      <c r="BK94" s="121">
        <v>25</v>
      </c>
      <c r="BL94" s="122">
        <f t="shared" si="51"/>
        <v>35</v>
      </c>
      <c r="BM94" s="109">
        <f t="shared" si="64"/>
        <v>35</v>
      </c>
      <c r="BN94" s="203"/>
      <c r="BO94" s="121">
        <f t="shared" si="60"/>
        <v>4</v>
      </c>
      <c r="BP94" s="105" t="str">
        <f t="shared" si="65"/>
        <v>F</v>
      </c>
      <c r="BQ94" s="110" t="str">
        <f t="shared" si="66"/>
        <v>F</v>
      </c>
      <c r="BR94" s="123" t="str">
        <f t="shared" si="52"/>
        <v>F</v>
      </c>
      <c r="BS94" s="125" t="str">
        <f t="shared" si="61"/>
        <v>NEED TO PROGRESS</v>
      </c>
      <c r="BT94" s="113">
        <f t="shared" si="67"/>
        <v>392</v>
      </c>
      <c r="BU94" s="115">
        <v>50</v>
      </c>
    </row>
    <row r="101" spans="1:73">
      <c r="A101">
        <v>0</v>
      </c>
      <c r="B101" s="88">
        <v>1</v>
      </c>
      <c r="C101">
        <v>2</v>
      </c>
      <c r="D101">
        <v>3</v>
      </c>
      <c r="E101" s="88">
        <v>4</v>
      </c>
      <c r="F101">
        <v>5</v>
      </c>
      <c r="G101">
        <v>6</v>
      </c>
      <c r="H101" s="88">
        <v>7</v>
      </c>
      <c r="I101">
        <v>8</v>
      </c>
      <c r="J101">
        <v>9</v>
      </c>
      <c r="K101" s="88">
        <v>10</v>
      </c>
      <c r="L101">
        <v>11</v>
      </c>
      <c r="M101">
        <v>12</v>
      </c>
      <c r="N101" s="88">
        <v>13</v>
      </c>
      <c r="O101">
        <v>14</v>
      </c>
      <c r="P101">
        <v>15</v>
      </c>
      <c r="Q101" s="88">
        <v>16</v>
      </c>
      <c r="R101">
        <v>17</v>
      </c>
      <c r="S101">
        <v>18</v>
      </c>
      <c r="T101" s="88">
        <v>19</v>
      </c>
      <c r="U101">
        <v>20</v>
      </c>
      <c r="V101" s="88">
        <v>21</v>
      </c>
      <c r="W101">
        <v>22</v>
      </c>
      <c r="X101">
        <v>23</v>
      </c>
      <c r="Y101" s="88">
        <v>24</v>
      </c>
      <c r="Z101">
        <v>25</v>
      </c>
      <c r="AA101">
        <v>26</v>
      </c>
      <c r="AB101" s="88">
        <v>27</v>
      </c>
      <c r="AC101">
        <v>28</v>
      </c>
      <c r="AD101">
        <v>29</v>
      </c>
      <c r="AE101" s="88">
        <v>30</v>
      </c>
      <c r="AF101">
        <v>31</v>
      </c>
      <c r="AG101">
        <v>32</v>
      </c>
      <c r="AH101" s="88">
        <v>33</v>
      </c>
      <c r="AI101">
        <v>34</v>
      </c>
      <c r="AJ101">
        <v>35</v>
      </c>
      <c r="AK101" s="88">
        <v>36</v>
      </c>
      <c r="AL101">
        <v>37</v>
      </c>
      <c r="AM101">
        <v>38</v>
      </c>
      <c r="AN101" s="88">
        <v>39</v>
      </c>
      <c r="AO101">
        <v>40</v>
      </c>
      <c r="AP101" s="88">
        <v>41</v>
      </c>
      <c r="AQ101">
        <v>42</v>
      </c>
      <c r="AR101">
        <v>43</v>
      </c>
      <c r="AS101" s="88">
        <v>44</v>
      </c>
      <c r="AT101">
        <v>45</v>
      </c>
      <c r="AU101">
        <v>46</v>
      </c>
      <c r="AV101" s="88">
        <v>47</v>
      </c>
      <c r="AW101">
        <v>48</v>
      </c>
      <c r="AX101">
        <v>49</v>
      </c>
      <c r="AY101" s="88">
        <v>50</v>
      </c>
      <c r="AZ101">
        <v>51</v>
      </c>
      <c r="BA101">
        <v>52</v>
      </c>
      <c r="BB101" s="88">
        <v>53</v>
      </c>
      <c r="BC101">
        <v>54</v>
      </c>
      <c r="BD101">
        <v>55</v>
      </c>
      <c r="BE101" s="88">
        <v>56</v>
      </c>
      <c r="BF101">
        <v>57</v>
      </c>
      <c r="BG101">
        <v>58</v>
      </c>
      <c r="BH101" s="88">
        <v>59</v>
      </c>
      <c r="BI101">
        <v>60</v>
      </c>
      <c r="BJ101" s="88">
        <v>61</v>
      </c>
      <c r="BK101">
        <v>62</v>
      </c>
      <c r="BL101">
        <v>63</v>
      </c>
      <c r="BM101" s="88">
        <v>64</v>
      </c>
      <c r="BN101">
        <v>65</v>
      </c>
      <c r="BO101">
        <v>66</v>
      </c>
      <c r="BP101" s="88">
        <v>67</v>
      </c>
      <c r="BQ101">
        <v>68</v>
      </c>
      <c r="BR101">
        <v>69</v>
      </c>
      <c r="BS101" s="88">
        <v>70</v>
      </c>
      <c r="BT101">
        <v>71</v>
      </c>
      <c r="BU101">
        <v>72</v>
      </c>
    </row>
  </sheetData>
  <mergeCells count="57">
    <mergeCell ref="B1:BT5"/>
    <mergeCell ref="Q9:Q94"/>
    <mergeCell ref="AA9:AA94"/>
    <mergeCell ref="AH9:AH94"/>
    <mergeCell ref="AO9:AO94"/>
    <mergeCell ref="AT9:AT94"/>
    <mergeCell ref="BA9:BA94"/>
    <mergeCell ref="BH9:BH94"/>
    <mergeCell ref="BS7:BS8"/>
    <mergeCell ref="BT7:BT8"/>
    <mergeCell ref="BG7:BG8"/>
    <mergeCell ref="BH7:BH8"/>
    <mergeCell ref="BI7:BI8"/>
    <mergeCell ref="BJ7:BL7"/>
    <mergeCell ref="BM7:BM8"/>
    <mergeCell ref="K7:K8"/>
    <mergeCell ref="L7:N7"/>
    <mergeCell ref="P7:P8"/>
    <mergeCell ref="BU7:BU8"/>
    <mergeCell ref="BN9:BN94"/>
    <mergeCell ref="BN7:BN8"/>
    <mergeCell ref="BO7:BO8"/>
    <mergeCell ref="BP7:BP8"/>
    <mergeCell ref="BQ7:BQ8"/>
    <mergeCell ref="BR7:BR8"/>
    <mergeCell ref="BB7:BB8"/>
    <mergeCell ref="BC7:BF7"/>
    <mergeCell ref="BA7:BA8"/>
    <mergeCell ref="Q7:Q8"/>
    <mergeCell ref="S7:X7"/>
    <mergeCell ref="Y7:Y8"/>
    <mergeCell ref="Z7:Z8"/>
    <mergeCell ref="AA7:AA8"/>
    <mergeCell ref="AC7:AF7"/>
    <mergeCell ref="AG7:AG8"/>
    <mergeCell ref="AJ7:AM7"/>
    <mergeCell ref="AV7:AY7"/>
    <mergeCell ref="AP7:AP8"/>
    <mergeCell ref="AQ7:AR7"/>
    <mergeCell ref="AS7:AS8"/>
    <mergeCell ref="AT7:AT8"/>
    <mergeCell ref="AZ7:AZ8"/>
    <mergeCell ref="AB7:AB8"/>
    <mergeCell ref="AU7:AU8"/>
    <mergeCell ref="AO7:AO8"/>
    <mergeCell ref="A7:A8"/>
    <mergeCell ref="B7:B8"/>
    <mergeCell ref="C7:C8"/>
    <mergeCell ref="D7:D8"/>
    <mergeCell ref="E7:E8"/>
    <mergeCell ref="O7:O8"/>
    <mergeCell ref="R7:R8"/>
    <mergeCell ref="AH7:AH8"/>
    <mergeCell ref="AI7:AI8"/>
    <mergeCell ref="AN7:AN8"/>
    <mergeCell ref="F7:F8"/>
    <mergeCell ref="G7:J7"/>
  </mergeCells>
  <pageMargins left="0.23622047244094491" right="0.23622047244094491" top="0.74803149606299213" bottom="0.74803149606299213" header="0.31496062992125984" footer="0.31496062992125984"/>
  <pageSetup paperSize="5" scale="7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V97"/>
  <sheetViews>
    <sheetView zoomScale="70" zoomScaleNormal="70" workbookViewId="0">
      <pane xSplit="2" ySplit="8" topLeftCell="P24" activePane="bottomRight" state="frozen"/>
      <selection pane="topRight" activeCell="C1" sqref="C1"/>
      <selection pane="bottomLeft" activeCell="A9" sqref="A9"/>
      <selection pane="bottomRight" activeCell="BK45" sqref="BK45"/>
    </sheetView>
  </sheetViews>
  <sheetFormatPr defaultColWidth="9.140625" defaultRowHeight="15"/>
  <cols>
    <col min="1" max="1" width="5.7109375" customWidth="1"/>
    <col min="2" max="2" width="6.42578125" bestFit="1" customWidth="1"/>
    <col min="3" max="3" width="39.42578125" bestFit="1" customWidth="1"/>
    <col min="4" max="4" width="35" hidden="1" customWidth="1"/>
    <col min="5" max="5" width="34.7109375" hidden="1" customWidth="1"/>
    <col min="6" max="6" width="17.140625" hidden="1" customWidth="1"/>
    <col min="7" max="54" width="5.7109375" customWidth="1"/>
    <col min="55" max="55" width="5.7109375" style="41" customWidth="1"/>
    <col min="56" max="70" width="5.7109375" customWidth="1"/>
    <col min="71" max="71" width="19.140625" bestFit="1" customWidth="1"/>
    <col min="72" max="72" width="15" bestFit="1" customWidth="1"/>
    <col min="73" max="74" width="10.5703125" bestFit="1" customWidth="1"/>
  </cols>
  <sheetData>
    <row r="1" spans="1:74" ht="15" customHeight="1">
      <c r="B1" s="204" t="s">
        <v>439</v>
      </c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204"/>
      <c r="BK1" s="204"/>
      <c r="BL1" s="204"/>
      <c r="BM1" s="204"/>
      <c r="BN1" s="204"/>
      <c r="BO1" s="204"/>
      <c r="BP1" s="204"/>
      <c r="BQ1" s="204"/>
      <c r="BR1" s="204"/>
      <c r="BS1" s="204"/>
      <c r="BT1" s="204"/>
      <c r="BU1" s="204"/>
    </row>
    <row r="2" spans="1:74" ht="17.45" customHeight="1"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  <c r="BU2" s="204"/>
    </row>
    <row r="3" spans="1:74" ht="20.100000000000001" customHeight="1"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204"/>
      <c r="BO3" s="204"/>
      <c r="BP3" s="204"/>
      <c r="BQ3" s="204"/>
      <c r="BR3" s="204"/>
      <c r="BS3" s="204"/>
      <c r="BT3" s="204"/>
      <c r="BU3" s="204"/>
    </row>
    <row r="4" spans="1:74" ht="20.25" customHeight="1"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/>
      <c r="AU4" s="204"/>
      <c r="AV4" s="204"/>
      <c r="AW4" s="204"/>
      <c r="AX4" s="204"/>
      <c r="AY4" s="204"/>
      <c r="AZ4" s="204"/>
      <c r="BA4" s="204"/>
      <c r="BB4" s="204"/>
      <c r="BC4" s="204"/>
      <c r="BD4" s="204"/>
      <c r="BE4" s="204"/>
      <c r="BF4" s="204"/>
      <c r="BG4" s="204"/>
      <c r="BH4" s="204"/>
      <c r="BI4" s="204"/>
      <c r="BJ4" s="204"/>
      <c r="BK4" s="204"/>
      <c r="BL4" s="204"/>
      <c r="BM4" s="204"/>
      <c r="BN4" s="204"/>
      <c r="BO4" s="204"/>
      <c r="BP4" s="204"/>
      <c r="BQ4" s="204"/>
      <c r="BR4" s="204"/>
      <c r="BS4" s="204"/>
      <c r="BT4" s="204"/>
      <c r="BU4" s="204"/>
    </row>
    <row r="5" spans="1:74" ht="15" customHeight="1">
      <c r="B5" s="204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</row>
    <row r="6" spans="1:74" ht="20.25" customHeight="1">
      <c r="B6" s="204"/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  <c r="AD6" s="204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</row>
    <row r="7" spans="1:74" ht="27.95" customHeight="1">
      <c r="A7" s="196" t="s">
        <v>186</v>
      </c>
      <c r="B7" s="196" t="s">
        <v>0</v>
      </c>
      <c r="C7" s="198" t="s">
        <v>187</v>
      </c>
      <c r="D7" s="198" t="s">
        <v>188</v>
      </c>
      <c r="E7" s="198" t="s">
        <v>189</v>
      </c>
      <c r="F7" s="198" t="s">
        <v>190</v>
      </c>
      <c r="G7" s="195" t="s">
        <v>191</v>
      </c>
      <c r="H7" s="195"/>
      <c r="I7" s="195"/>
      <c r="J7" s="195"/>
      <c r="K7" s="199" t="s">
        <v>192</v>
      </c>
      <c r="L7" s="195" t="s">
        <v>193</v>
      </c>
      <c r="M7" s="195"/>
      <c r="N7" s="195"/>
      <c r="O7" s="199" t="s">
        <v>192</v>
      </c>
      <c r="P7" s="195" t="s">
        <v>7</v>
      </c>
      <c r="Q7" s="195" t="s">
        <v>194</v>
      </c>
      <c r="R7" s="195" t="s">
        <v>1</v>
      </c>
      <c r="S7" s="195" t="s">
        <v>195</v>
      </c>
      <c r="T7" s="195"/>
      <c r="U7" s="195"/>
      <c r="V7" s="195"/>
      <c r="W7" s="195"/>
      <c r="X7" s="195"/>
      <c r="Y7" s="199" t="s">
        <v>192</v>
      </c>
      <c r="Z7" s="199" t="s">
        <v>7</v>
      </c>
      <c r="AA7" s="195" t="s">
        <v>194</v>
      </c>
      <c r="AB7" s="195" t="s">
        <v>1</v>
      </c>
      <c r="AC7" s="195" t="s">
        <v>11</v>
      </c>
      <c r="AD7" s="195"/>
      <c r="AE7" s="195"/>
      <c r="AF7" s="195"/>
      <c r="AG7" s="195" t="s">
        <v>7</v>
      </c>
      <c r="AH7" s="195" t="s">
        <v>194</v>
      </c>
      <c r="AI7" s="195" t="s">
        <v>1</v>
      </c>
      <c r="AJ7" s="195" t="s">
        <v>18</v>
      </c>
      <c r="AK7" s="195"/>
      <c r="AL7" s="195"/>
      <c r="AM7" s="195"/>
      <c r="AN7" s="195" t="s">
        <v>7</v>
      </c>
      <c r="AO7" s="195" t="s">
        <v>194</v>
      </c>
      <c r="AP7" s="195" t="s">
        <v>1</v>
      </c>
      <c r="AQ7" s="195"/>
      <c r="AR7" s="195"/>
      <c r="AS7" s="195" t="s">
        <v>7</v>
      </c>
      <c r="AT7" s="195" t="s">
        <v>194</v>
      </c>
      <c r="AU7" s="195" t="s">
        <v>1</v>
      </c>
      <c r="AV7" s="195" t="s">
        <v>4</v>
      </c>
      <c r="AW7" s="195"/>
      <c r="AX7" s="195"/>
      <c r="AY7" s="195"/>
      <c r="AZ7" s="195" t="s">
        <v>7</v>
      </c>
      <c r="BA7" s="195" t="s">
        <v>194</v>
      </c>
      <c r="BB7" s="195" t="s">
        <v>1</v>
      </c>
      <c r="BC7" s="195" t="s">
        <v>5</v>
      </c>
      <c r="BD7" s="195"/>
      <c r="BE7" s="195"/>
      <c r="BF7" s="195"/>
      <c r="BG7" s="195" t="s">
        <v>7</v>
      </c>
      <c r="BH7" s="195" t="s">
        <v>194</v>
      </c>
      <c r="BI7" s="195" t="s">
        <v>1</v>
      </c>
      <c r="BJ7" s="195" t="s">
        <v>196</v>
      </c>
      <c r="BK7" s="195"/>
      <c r="BL7" s="195"/>
      <c r="BM7" s="195" t="s">
        <v>7</v>
      </c>
      <c r="BN7" s="195" t="s">
        <v>194</v>
      </c>
      <c r="BO7" s="195" t="s">
        <v>1</v>
      </c>
      <c r="BP7" s="195" t="s">
        <v>2</v>
      </c>
      <c r="BQ7" s="195" t="s">
        <v>3</v>
      </c>
      <c r="BR7" s="199" t="s">
        <v>24</v>
      </c>
      <c r="BS7" s="199" t="s">
        <v>197</v>
      </c>
      <c r="BT7" s="199" t="s">
        <v>198</v>
      </c>
      <c r="BU7" s="199" t="s">
        <v>199</v>
      </c>
      <c r="BV7" s="199" t="s">
        <v>200</v>
      </c>
    </row>
    <row r="8" spans="1:74" ht="27.95" customHeight="1">
      <c r="A8" s="196"/>
      <c r="B8" s="196"/>
      <c r="C8" s="198"/>
      <c r="D8" s="198"/>
      <c r="E8" s="198"/>
      <c r="F8" s="198"/>
      <c r="G8" s="57" t="s">
        <v>12</v>
      </c>
      <c r="H8" s="58" t="s">
        <v>201</v>
      </c>
      <c r="I8" s="58" t="s">
        <v>202</v>
      </c>
      <c r="J8" s="58" t="s">
        <v>203</v>
      </c>
      <c r="K8" s="200"/>
      <c r="L8" s="57" t="s">
        <v>12</v>
      </c>
      <c r="M8" s="58" t="s">
        <v>201</v>
      </c>
      <c r="N8" s="58" t="s">
        <v>202</v>
      </c>
      <c r="O8" s="200"/>
      <c r="P8" s="195"/>
      <c r="Q8" s="195"/>
      <c r="R8" s="195"/>
      <c r="S8" s="57" t="s">
        <v>12</v>
      </c>
      <c r="T8" s="58" t="s">
        <v>204</v>
      </c>
      <c r="U8" s="58" t="s">
        <v>205</v>
      </c>
      <c r="V8" s="58" t="s">
        <v>12</v>
      </c>
      <c r="W8" s="58" t="s">
        <v>206</v>
      </c>
      <c r="X8" s="58" t="s">
        <v>205</v>
      </c>
      <c r="Y8" s="200"/>
      <c r="Z8" s="200"/>
      <c r="AA8" s="195"/>
      <c r="AB8" s="195"/>
      <c r="AC8" s="57" t="s">
        <v>12</v>
      </c>
      <c r="AD8" s="58" t="s">
        <v>201</v>
      </c>
      <c r="AE8" s="58" t="s">
        <v>202</v>
      </c>
      <c r="AF8" s="58" t="s">
        <v>203</v>
      </c>
      <c r="AG8" s="195"/>
      <c r="AH8" s="195"/>
      <c r="AI8" s="195"/>
      <c r="AJ8" s="57" t="s">
        <v>12</v>
      </c>
      <c r="AK8" s="58" t="s">
        <v>201</v>
      </c>
      <c r="AL8" s="58" t="s">
        <v>202</v>
      </c>
      <c r="AM8" s="58" t="s">
        <v>203</v>
      </c>
      <c r="AN8" s="195"/>
      <c r="AO8" s="195"/>
      <c r="AP8" s="195"/>
      <c r="AQ8" s="58" t="s">
        <v>203</v>
      </c>
      <c r="AR8" s="58" t="s">
        <v>207</v>
      </c>
      <c r="AS8" s="195"/>
      <c r="AT8" s="195"/>
      <c r="AU8" s="195"/>
      <c r="AV8" s="57" t="s">
        <v>12</v>
      </c>
      <c r="AW8" s="58" t="s">
        <v>201</v>
      </c>
      <c r="AX8" s="58" t="s">
        <v>202</v>
      </c>
      <c r="AY8" s="58" t="s">
        <v>203</v>
      </c>
      <c r="AZ8" s="195"/>
      <c r="BA8" s="195"/>
      <c r="BB8" s="195"/>
      <c r="BC8" s="57" t="s">
        <v>12</v>
      </c>
      <c r="BD8" s="58" t="s">
        <v>201</v>
      </c>
      <c r="BE8" s="58" t="s">
        <v>202</v>
      </c>
      <c r="BF8" s="58" t="s">
        <v>203</v>
      </c>
      <c r="BG8" s="195"/>
      <c r="BH8" s="195"/>
      <c r="BI8" s="195"/>
      <c r="BJ8" s="57" t="s">
        <v>12</v>
      </c>
      <c r="BK8" s="58" t="s">
        <v>201</v>
      </c>
      <c r="BL8" s="58" t="s">
        <v>202</v>
      </c>
      <c r="BM8" s="195"/>
      <c r="BN8" s="195"/>
      <c r="BO8" s="195"/>
      <c r="BP8" s="195"/>
      <c r="BQ8" s="195"/>
      <c r="BR8" s="200"/>
      <c r="BS8" s="200"/>
      <c r="BT8" s="200"/>
      <c r="BU8" s="200"/>
      <c r="BV8" s="200"/>
    </row>
    <row r="9" spans="1:74" ht="27.95" customHeight="1">
      <c r="A9" s="71">
        <v>1</v>
      </c>
      <c r="B9" s="49">
        <v>1</v>
      </c>
      <c r="C9" s="50" t="s">
        <v>63</v>
      </c>
      <c r="D9" s="50" t="s">
        <v>64</v>
      </c>
      <c r="E9" s="50" t="s">
        <v>65</v>
      </c>
      <c r="F9" s="65" t="s">
        <v>208</v>
      </c>
      <c r="G9" s="72">
        <v>19</v>
      </c>
      <c r="H9" s="73">
        <v>45</v>
      </c>
      <c r="I9" s="74">
        <f>H9+G9</f>
        <v>64</v>
      </c>
      <c r="J9" s="73">
        <v>28</v>
      </c>
      <c r="K9" s="74">
        <f>I9+J9</f>
        <v>92</v>
      </c>
      <c r="L9" s="75">
        <v>10</v>
      </c>
      <c r="M9" s="73">
        <v>38</v>
      </c>
      <c r="N9" s="74">
        <f>M9+L9</f>
        <v>48</v>
      </c>
      <c r="O9" s="74">
        <f>N9</f>
        <v>48</v>
      </c>
      <c r="P9" s="74">
        <f t="shared" ref="P9:P40" si="0">K9+O9</f>
        <v>140</v>
      </c>
      <c r="Q9" s="208">
        <f>MAX(P9:P95)</f>
        <v>140</v>
      </c>
      <c r="R9" s="73">
        <f>IF(P9&lt;60,"F",IF(P9&lt;75,2,IF(P9&lt;90,3,IF(P9&lt;105,3.5,IF(P9&lt;120,4,5)))))</f>
        <v>5</v>
      </c>
      <c r="S9" s="75">
        <v>20</v>
      </c>
      <c r="T9" s="73">
        <v>79</v>
      </c>
      <c r="U9" s="74">
        <f>T9+S9</f>
        <v>99</v>
      </c>
      <c r="V9" s="75">
        <v>10</v>
      </c>
      <c r="W9" s="73">
        <v>39</v>
      </c>
      <c r="X9" s="74">
        <f>W9+V9</f>
        <v>49</v>
      </c>
      <c r="Y9" s="74">
        <f>U9+X9</f>
        <v>148</v>
      </c>
      <c r="Z9" s="74">
        <f t="shared" ref="Z9:Z51" si="1">Y9</f>
        <v>148</v>
      </c>
      <c r="AA9" s="208">
        <f>MAX(Z9:Z95)</f>
        <v>148</v>
      </c>
      <c r="AB9" s="73">
        <f>IF(Z9&lt;60,0,IF(Z9&lt;75,2,IF(Z9&lt;90,3,IF(Z9&lt;105,3.5,IF(Z9&lt;120,4,5)))))</f>
        <v>5</v>
      </c>
      <c r="AC9" s="75">
        <v>20</v>
      </c>
      <c r="AD9" s="73">
        <v>48</v>
      </c>
      <c r="AE9" s="74">
        <f>AD9+AC9</f>
        <v>68</v>
      </c>
      <c r="AF9" s="73">
        <v>29</v>
      </c>
      <c r="AG9" s="74">
        <f>AE9+AF9</f>
        <v>97</v>
      </c>
      <c r="AH9" s="208">
        <f>MAX(AG9:AG95)</f>
        <v>98</v>
      </c>
      <c r="AI9" s="73">
        <f>IF(AG9&lt;40,"F",IF(AG9&lt;50,2,IF(AG9&lt;60,3,IF(AG9&lt;70,3.5,IF(AG9&lt;80,4,5)))))</f>
        <v>5</v>
      </c>
      <c r="AJ9" s="75">
        <v>20</v>
      </c>
      <c r="AK9" s="73">
        <v>50</v>
      </c>
      <c r="AL9" s="74">
        <f>AK9+AJ9</f>
        <v>70</v>
      </c>
      <c r="AM9" s="73">
        <v>29</v>
      </c>
      <c r="AN9" s="74">
        <f>+AL9+AM9</f>
        <v>99</v>
      </c>
      <c r="AO9" s="208">
        <f>MAX(AN9:AN95)</f>
        <v>99</v>
      </c>
      <c r="AP9" s="73">
        <f>IF(AN9&lt;40,"F",IF(AN9&lt;50,2,IF(AN9&lt;60,3,IF(AN9&lt;70,3.5,IF(AN9&lt;80,4,5)))))</f>
        <v>5</v>
      </c>
      <c r="AQ9" s="73">
        <v>23</v>
      </c>
      <c r="AR9" s="73">
        <v>25</v>
      </c>
      <c r="AS9" s="73">
        <f>AQ9+AR9</f>
        <v>48</v>
      </c>
      <c r="AT9" s="211">
        <f>MAX(AS9:AS95)</f>
        <v>48</v>
      </c>
      <c r="AU9" s="73">
        <f>IF(AS9&lt;20,"F",IF(AS9&lt;25,2,IF(AS9&lt;30,3,IF(AS9&lt;35,3.5,IF(AS9&lt;40,4,5)))))</f>
        <v>5</v>
      </c>
      <c r="AV9" s="75">
        <v>20</v>
      </c>
      <c r="AW9" s="73">
        <v>50</v>
      </c>
      <c r="AX9" s="74">
        <f>AW9+AV9</f>
        <v>70</v>
      </c>
      <c r="AY9" s="73">
        <v>30</v>
      </c>
      <c r="AZ9" s="74">
        <f>AX9+AY9</f>
        <v>100</v>
      </c>
      <c r="BA9" s="208">
        <f>MAX(AZ9:AZ95)</f>
        <v>100</v>
      </c>
      <c r="BB9" s="73">
        <f>IF(AZ9&lt;40,"F",IF(AZ9&lt;50,2,IF(AZ9&lt;60,3,IF(AZ9&lt;70,3.5,IF(AZ9&lt;80,4,5)))))</f>
        <v>5</v>
      </c>
      <c r="BC9" s="75">
        <v>20</v>
      </c>
      <c r="BD9" s="73">
        <v>49</v>
      </c>
      <c r="BE9" s="74">
        <f>BD9+BC9</f>
        <v>69</v>
      </c>
      <c r="BF9" s="73">
        <v>30</v>
      </c>
      <c r="BG9" s="74">
        <f>BE9+BF9</f>
        <v>99</v>
      </c>
      <c r="BH9" s="208">
        <f>MAX(BG9:BG95)</f>
        <v>99</v>
      </c>
      <c r="BI9" s="73">
        <f>IF(BG9&lt;40,"F",IF(BG9&lt;50,2,IF(BG9&lt;60,3,IF(BG9&lt;70,3.5,IF(BG9&lt;80,4,5)))))</f>
        <v>5</v>
      </c>
      <c r="BJ9" s="75">
        <v>10</v>
      </c>
      <c r="BK9" s="73">
        <v>32</v>
      </c>
      <c r="BL9" s="74">
        <f>BK9+BJ9</f>
        <v>42</v>
      </c>
      <c r="BM9" s="74">
        <f>BL9</f>
        <v>42</v>
      </c>
      <c r="BN9" s="208">
        <f>MAX(BM9:BM95)</f>
        <v>42</v>
      </c>
      <c r="BO9" s="73">
        <f t="shared" ref="BO9:BO40" si="2">IF(BL9&lt;20,"F",IF(BM9&lt;20,"F",IF(BM9&lt;25,2,IF(BM9&lt;30,3,IF(BM9&lt;35,3.5,IF(BM9&lt;40,4,5))))))</f>
        <v>5</v>
      </c>
      <c r="BP9" s="73">
        <f>IF(R9="F","F",IF(AB9="F","F",IF(AI9="F","F",IF(AP9="F","F",IF(BB9="F","F",IF(BI9="F","F",IF(AU9="F","F",IF(BO9="F","F",SUM(R9,AB9,AI9,AP9,AU9,BB9,BO9,BI9)))))))))</f>
        <v>40</v>
      </c>
      <c r="BQ9" s="76">
        <f>IF(BP9="F","F",IF(BP9&gt;=45,5,IF(BP9&lt;45,BP9/8)))</f>
        <v>5</v>
      </c>
      <c r="BR9" s="77" t="str">
        <f>IF(BQ9="F","F",IF(BQ9&lt;2.5,"D",IF(BQ9&lt;3,"C",IF(BQ9&lt;3.5,"B",IF(BQ9&lt;4,"A-",IF(BQ9&lt;5,"A","A+"))))))</f>
        <v>A+</v>
      </c>
      <c r="BS9" s="61" t="str">
        <f t="shared" ref="BS9:BS72" si="3">IF(BQ9="F","NEED TO PROGRESS",IF(BQ9&gt;=5,"BEST",IF(BQ9&gt;=4,"BETTER",IF(BQ9&gt;=2,"GOOD"))))</f>
        <v>BEST</v>
      </c>
      <c r="BT9" s="60">
        <f>P9+Z9+AG9+AN9+AS9+AZ9+BG9+BM9</f>
        <v>773</v>
      </c>
      <c r="BU9" s="59"/>
      <c r="BV9" s="62"/>
    </row>
    <row r="10" spans="1:74" ht="27.95" customHeight="1">
      <c r="A10" s="71">
        <v>2</v>
      </c>
      <c r="B10" s="49">
        <v>2</v>
      </c>
      <c r="C10" s="50" t="s">
        <v>66</v>
      </c>
      <c r="D10" s="50" t="s">
        <v>64</v>
      </c>
      <c r="E10" s="50" t="s">
        <v>67</v>
      </c>
      <c r="F10" s="65" t="s">
        <v>208</v>
      </c>
      <c r="G10" s="72">
        <v>19</v>
      </c>
      <c r="H10" s="73">
        <v>45</v>
      </c>
      <c r="I10" s="74">
        <f t="shared" ref="I10:I50" si="4">H10+G10</f>
        <v>64</v>
      </c>
      <c r="J10" s="73">
        <v>28</v>
      </c>
      <c r="K10" s="74">
        <f>I10+J10</f>
        <v>92</v>
      </c>
      <c r="L10" s="75">
        <v>10</v>
      </c>
      <c r="M10" s="73">
        <v>38</v>
      </c>
      <c r="N10" s="74">
        <f>M10+L10</f>
        <v>48</v>
      </c>
      <c r="O10" s="74">
        <f t="shared" ref="O10:O73" si="5">N10</f>
        <v>48</v>
      </c>
      <c r="P10" s="74">
        <f t="shared" si="0"/>
        <v>140</v>
      </c>
      <c r="Q10" s="209"/>
      <c r="R10" s="73">
        <f t="shared" ref="R10:R50" si="6">IF(P10&lt;60,"F",IF(P10&lt;75,2,IF(P10&lt;90,3,IF(P10&lt;105,3.5,IF(P10&lt;120,4,5)))))</f>
        <v>5</v>
      </c>
      <c r="S10" s="75">
        <v>20</v>
      </c>
      <c r="T10" s="73">
        <v>78</v>
      </c>
      <c r="U10" s="74">
        <f t="shared" ref="U10:U50" si="7">T10+S10</f>
        <v>98</v>
      </c>
      <c r="V10" s="75">
        <v>10</v>
      </c>
      <c r="W10" s="73">
        <v>39</v>
      </c>
      <c r="X10" s="74">
        <f t="shared" ref="X10:X50" si="8">W10+V10</f>
        <v>49</v>
      </c>
      <c r="Y10" s="74">
        <f t="shared" ref="Y10:Y51" si="9">U10+X10</f>
        <v>147</v>
      </c>
      <c r="Z10" s="74">
        <f t="shared" si="1"/>
        <v>147</v>
      </c>
      <c r="AA10" s="209"/>
      <c r="AB10" s="73">
        <f t="shared" ref="AB10:AB50" si="10">IF(Z10&lt;60,0,IF(Z10&lt;75,2,IF(Z10&lt;90,3,IF(Z10&lt;105,3.5,IF(Z10&lt;120,4,5)))))</f>
        <v>5</v>
      </c>
      <c r="AC10" s="75">
        <v>20</v>
      </c>
      <c r="AD10" s="73">
        <v>48</v>
      </c>
      <c r="AE10" s="74">
        <f t="shared" ref="AE10:AE50" si="11">AD10+AC10</f>
        <v>68</v>
      </c>
      <c r="AF10" s="73">
        <v>30</v>
      </c>
      <c r="AG10" s="74">
        <f t="shared" ref="AG10:AG50" si="12">AE10+AF10</f>
        <v>98</v>
      </c>
      <c r="AH10" s="209"/>
      <c r="AI10" s="73">
        <f t="shared" ref="AI10:AI50" si="13">IF(AG10&lt;40,"F",IF(AG10&lt;50,2,IF(AG10&lt;60,3,IF(AG10&lt;70,3.5,IF(AG10&lt;80,4,5)))))</f>
        <v>5</v>
      </c>
      <c r="AJ10" s="75">
        <v>20</v>
      </c>
      <c r="AK10" s="73">
        <v>49</v>
      </c>
      <c r="AL10" s="74">
        <f t="shared" ref="AL10:AL50" si="14">AK10+AJ10</f>
        <v>69</v>
      </c>
      <c r="AM10" s="73">
        <v>30</v>
      </c>
      <c r="AN10" s="74">
        <f t="shared" ref="AN10:AN50" si="15">+AL10+AM10</f>
        <v>99</v>
      </c>
      <c r="AO10" s="209"/>
      <c r="AP10" s="73">
        <f t="shared" ref="AP10:AP50" si="16">IF(AN10&lt;40,"F",IF(AN10&lt;50,2,IF(AN10&lt;60,3,IF(AN10&lt;70,3.5,IF(AN10&lt;80,4,5)))))</f>
        <v>5</v>
      </c>
      <c r="AQ10" s="73">
        <v>23</v>
      </c>
      <c r="AR10" s="73">
        <v>25</v>
      </c>
      <c r="AS10" s="73">
        <f t="shared" ref="AS10:AS73" si="17">AQ10+AR10</f>
        <v>48</v>
      </c>
      <c r="AT10" s="212"/>
      <c r="AU10" s="73">
        <f t="shared" ref="AU10:AU50" si="18">IF(AS10&lt;20,"F",IF(AS10&lt;25,2,IF(AS10&lt;30,3,IF(AS10&lt;35,3.5,IF(AS10&lt;40,4,5)))))</f>
        <v>5</v>
      </c>
      <c r="AV10" s="75">
        <v>20</v>
      </c>
      <c r="AW10" s="73">
        <v>50</v>
      </c>
      <c r="AX10" s="74">
        <f t="shared" ref="AX10:AX50" si="19">AW10+AV10</f>
        <v>70</v>
      </c>
      <c r="AY10" s="73">
        <v>29</v>
      </c>
      <c r="AZ10" s="74">
        <f t="shared" ref="AZ10:AZ50" si="20">AX10+AY10</f>
        <v>99</v>
      </c>
      <c r="BA10" s="209"/>
      <c r="BB10" s="73">
        <f t="shared" ref="BB10:BB50" si="21">IF(AZ10&lt;40,"F",IF(AZ10&lt;50,2,IF(AZ10&lt;60,3,IF(AZ10&lt;70,3.5,IF(AZ10&lt;80,4,5)))))</f>
        <v>5</v>
      </c>
      <c r="BC10" s="75">
        <v>20</v>
      </c>
      <c r="BD10" s="73">
        <v>49</v>
      </c>
      <c r="BE10" s="74">
        <f t="shared" ref="BE10:BE50" si="22">BD10+BC10</f>
        <v>69</v>
      </c>
      <c r="BF10" s="73">
        <v>30</v>
      </c>
      <c r="BG10" s="74">
        <f t="shared" ref="BG10:BG50" si="23">BE10+BF10</f>
        <v>99</v>
      </c>
      <c r="BH10" s="209"/>
      <c r="BI10" s="73">
        <f t="shared" ref="BI10:BI50" si="24">IF(BG10&lt;40,"F",IF(BG10&lt;50,2,IF(BG10&lt;60,3,IF(BG10&lt;70,3.5,IF(BG10&lt;80,4,5)))))</f>
        <v>5</v>
      </c>
      <c r="BJ10" s="75">
        <v>10</v>
      </c>
      <c r="BK10" s="73">
        <v>32</v>
      </c>
      <c r="BL10" s="74">
        <f t="shared" ref="BL10:BL50" si="25">BK10+BJ10</f>
        <v>42</v>
      </c>
      <c r="BM10" s="74">
        <f t="shared" ref="BM10:BM73" si="26">BL10</f>
        <v>42</v>
      </c>
      <c r="BN10" s="209"/>
      <c r="BO10" s="73">
        <f t="shared" si="2"/>
        <v>5</v>
      </c>
      <c r="BP10" s="73">
        <f t="shared" ref="BP10:BP73" si="27">IF(R10="F","F",IF(AB10="F","F",IF(AI10="F","F",IF(AP10="F","F",IF(BB10="F","F",IF(BI10="F","F",IF(AU10="F","F",IF(BO10="F","F",SUM(R10,AB10,AI10,AP10,AU10,BB10,BO10,BI10)))))))))</f>
        <v>40</v>
      </c>
      <c r="BQ10" s="76">
        <f t="shared" ref="BQ10:BQ73" si="28">IF(BP10="F","F",IF(BP10&gt;=45,5,IF(BP10&lt;45,BP10/8)))</f>
        <v>5</v>
      </c>
      <c r="BR10" s="77" t="str">
        <f t="shared" ref="BR10:BR50" si="29">IF(BQ10="F","F",IF(BQ10&lt;2.5,"D",IF(BQ10&lt;3,"C",IF(BQ10&lt;3.5,"B",IF(BQ10&lt;4,"A-",IF(BQ10&lt;5,"A","A+"))))))</f>
        <v>A+</v>
      </c>
      <c r="BS10" s="61" t="str">
        <f t="shared" si="3"/>
        <v>BEST</v>
      </c>
      <c r="BT10" s="60">
        <f t="shared" ref="BT10:BT73" si="30">P10+Z10+AG10+AN10+AS10+AZ10+BG10+BM10</f>
        <v>772</v>
      </c>
      <c r="BU10" s="59"/>
      <c r="BV10" s="62"/>
    </row>
    <row r="11" spans="1:74" ht="27.95" customHeight="1">
      <c r="A11" s="71">
        <v>3</v>
      </c>
      <c r="B11" s="49">
        <v>3</v>
      </c>
      <c r="C11" s="51" t="s">
        <v>68</v>
      </c>
      <c r="D11" s="51" t="s">
        <v>69</v>
      </c>
      <c r="E11" s="51" t="s">
        <v>70</v>
      </c>
      <c r="F11" s="66" t="s">
        <v>209</v>
      </c>
      <c r="G11" s="72">
        <v>19</v>
      </c>
      <c r="H11" s="73">
        <v>39</v>
      </c>
      <c r="I11" s="74">
        <f t="shared" si="4"/>
        <v>58</v>
      </c>
      <c r="J11" s="73">
        <v>27</v>
      </c>
      <c r="K11" s="74">
        <f t="shared" ref="K11:K50" si="31">I11+J11</f>
        <v>85</v>
      </c>
      <c r="L11" s="75">
        <v>10</v>
      </c>
      <c r="M11" s="73">
        <v>32</v>
      </c>
      <c r="N11" s="74">
        <f t="shared" ref="N11:N50" si="32">M11+L11</f>
        <v>42</v>
      </c>
      <c r="O11" s="74">
        <f t="shared" si="5"/>
        <v>42</v>
      </c>
      <c r="P11" s="74">
        <f t="shared" si="0"/>
        <v>127</v>
      </c>
      <c r="Q11" s="209"/>
      <c r="R11" s="73">
        <f t="shared" si="6"/>
        <v>5</v>
      </c>
      <c r="S11" s="75">
        <v>20</v>
      </c>
      <c r="T11" s="73">
        <v>58</v>
      </c>
      <c r="U11" s="74">
        <f t="shared" si="7"/>
        <v>78</v>
      </c>
      <c r="V11" s="75">
        <v>10</v>
      </c>
      <c r="W11" s="73">
        <v>29</v>
      </c>
      <c r="X11" s="74">
        <f t="shared" si="8"/>
        <v>39</v>
      </c>
      <c r="Y11" s="74">
        <f t="shared" si="9"/>
        <v>117</v>
      </c>
      <c r="Z11" s="74">
        <f t="shared" si="1"/>
        <v>117</v>
      </c>
      <c r="AA11" s="209"/>
      <c r="AB11" s="73">
        <f t="shared" si="10"/>
        <v>4</v>
      </c>
      <c r="AC11" s="75">
        <v>20</v>
      </c>
      <c r="AD11" s="73">
        <v>36</v>
      </c>
      <c r="AE11" s="74">
        <f t="shared" si="11"/>
        <v>56</v>
      </c>
      <c r="AF11" s="73">
        <v>24</v>
      </c>
      <c r="AG11" s="74">
        <f t="shared" si="12"/>
        <v>80</v>
      </c>
      <c r="AH11" s="209"/>
      <c r="AI11" s="73">
        <f t="shared" si="13"/>
        <v>5</v>
      </c>
      <c r="AJ11" s="75">
        <v>20</v>
      </c>
      <c r="AK11" s="73">
        <v>49</v>
      </c>
      <c r="AL11" s="74">
        <f t="shared" si="14"/>
        <v>69</v>
      </c>
      <c r="AM11" s="73">
        <v>27</v>
      </c>
      <c r="AN11" s="74">
        <f t="shared" si="15"/>
        <v>96</v>
      </c>
      <c r="AO11" s="209"/>
      <c r="AP11" s="73">
        <f t="shared" si="16"/>
        <v>5</v>
      </c>
      <c r="AQ11" s="73">
        <v>23</v>
      </c>
      <c r="AR11" s="73">
        <v>25</v>
      </c>
      <c r="AS11" s="73">
        <f t="shared" si="17"/>
        <v>48</v>
      </c>
      <c r="AT11" s="212"/>
      <c r="AU11" s="73">
        <f t="shared" si="18"/>
        <v>5</v>
      </c>
      <c r="AV11" s="75">
        <v>20</v>
      </c>
      <c r="AW11" s="73">
        <v>50</v>
      </c>
      <c r="AX11" s="74">
        <f t="shared" si="19"/>
        <v>70</v>
      </c>
      <c r="AY11" s="73">
        <v>28</v>
      </c>
      <c r="AZ11" s="74">
        <f t="shared" si="20"/>
        <v>98</v>
      </c>
      <c r="BA11" s="209"/>
      <c r="BB11" s="73">
        <f t="shared" si="21"/>
        <v>5</v>
      </c>
      <c r="BC11" s="75">
        <v>20</v>
      </c>
      <c r="BD11" s="73">
        <v>46</v>
      </c>
      <c r="BE11" s="74">
        <f t="shared" si="22"/>
        <v>66</v>
      </c>
      <c r="BF11" s="73">
        <v>30</v>
      </c>
      <c r="BG11" s="74">
        <f t="shared" si="23"/>
        <v>96</v>
      </c>
      <c r="BH11" s="209"/>
      <c r="BI11" s="73">
        <f t="shared" si="24"/>
        <v>5</v>
      </c>
      <c r="BJ11" s="75">
        <v>9</v>
      </c>
      <c r="BK11" s="73">
        <v>28</v>
      </c>
      <c r="BL11" s="74">
        <f t="shared" si="25"/>
        <v>37</v>
      </c>
      <c r="BM11" s="74">
        <f t="shared" si="26"/>
        <v>37</v>
      </c>
      <c r="BN11" s="209"/>
      <c r="BO11" s="73">
        <f t="shared" si="2"/>
        <v>4</v>
      </c>
      <c r="BP11" s="73">
        <f t="shared" si="27"/>
        <v>38</v>
      </c>
      <c r="BQ11" s="76">
        <f t="shared" si="28"/>
        <v>4.75</v>
      </c>
      <c r="BR11" s="77" t="str">
        <f t="shared" si="29"/>
        <v>A</v>
      </c>
      <c r="BS11" s="61" t="str">
        <f t="shared" si="3"/>
        <v>BETTER</v>
      </c>
      <c r="BT11" s="60">
        <f t="shared" si="30"/>
        <v>699</v>
      </c>
      <c r="BU11" s="59"/>
      <c r="BV11" s="62"/>
    </row>
    <row r="12" spans="1:74" ht="27.95" customHeight="1">
      <c r="A12" s="71">
        <v>4</v>
      </c>
      <c r="B12" s="49">
        <v>4</v>
      </c>
      <c r="C12" s="50" t="s">
        <v>71</v>
      </c>
      <c r="D12" s="50" t="s">
        <v>72</v>
      </c>
      <c r="E12" s="50" t="s">
        <v>73</v>
      </c>
      <c r="F12" s="65" t="s">
        <v>322</v>
      </c>
      <c r="G12" s="72">
        <v>19</v>
      </c>
      <c r="H12" s="73">
        <v>41</v>
      </c>
      <c r="I12" s="74">
        <f t="shared" si="4"/>
        <v>60</v>
      </c>
      <c r="J12" s="73">
        <v>26</v>
      </c>
      <c r="K12" s="74">
        <f t="shared" si="31"/>
        <v>86</v>
      </c>
      <c r="L12" s="75">
        <v>9</v>
      </c>
      <c r="M12" s="73">
        <v>30</v>
      </c>
      <c r="N12" s="74">
        <f t="shared" si="32"/>
        <v>39</v>
      </c>
      <c r="O12" s="74">
        <f t="shared" si="5"/>
        <v>39</v>
      </c>
      <c r="P12" s="74">
        <f t="shared" si="0"/>
        <v>125</v>
      </c>
      <c r="Q12" s="209"/>
      <c r="R12" s="73">
        <f t="shared" si="6"/>
        <v>5</v>
      </c>
      <c r="S12" s="75">
        <v>19</v>
      </c>
      <c r="T12" s="73">
        <v>54</v>
      </c>
      <c r="U12" s="74">
        <f t="shared" si="7"/>
        <v>73</v>
      </c>
      <c r="V12" s="75">
        <v>7</v>
      </c>
      <c r="W12" s="73">
        <v>20</v>
      </c>
      <c r="X12" s="74">
        <f t="shared" si="8"/>
        <v>27</v>
      </c>
      <c r="Y12" s="74">
        <f t="shared" si="9"/>
        <v>100</v>
      </c>
      <c r="Z12" s="74">
        <f t="shared" si="1"/>
        <v>100</v>
      </c>
      <c r="AA12" s="209"/>
      <c r="AB12" s="73">
        <f t="shared" si="10"/>
        <v>3.5</v>
      </c>
      <c r="AC12" s="75">
        <v>11</v>
      </c>
      <c r="AD12" s="73">
        <v>20</v>
      </c>
      <c r="AE12" s="74">
        <f t="shared" si="11"/>
        <v>31</v>
      </c>
      <c r="AF12" s="73">
        <v>16</v>
      </c>
      <c r="AG12" s="74">
        <f t="shared" si="12"/>
        <v>47</v>
      </c>
      <c r="AH12" s="209"/>
      <c r="AI12" s="73">
        <f t="shared" si="13"/>
        <v>2</v>
      </c>
      <c r="AJ12" s="75">
        <v>16</v>
      </c>
      <c r="AK12" s="73">
        <v>32</v>
      </c>
      <c r="AL12" s="74">
        <f t="shared" si="14"/>
        <v>48</v>
      </c>
      <c r="AM12" s="73">
        <v>21</v>
      </c>
      <c r="AN12" s="74">
        <f t="shared" si="15"/>
        <v>69</v>
      </c>
      <c r="AO12" s="209"/>
      <c r="AP12" s="73">
        <f t="shared" si="16"/>
        <v>3.5</v>
      </c>
      <c r="AQ12" s="73">
        <v>23</v>
      </c>
      <c r="AR12" s="73">
        <v>25</v>
      </c>
      <c r="AS12" s="73">
        <f t="shared" si="17"/>
        <v>48</v>
      </c>
      <c r="AT12" s="212"/>
      <c r="AU12" s="73">
        <f t="shared" si="18"/>
        <v>5</v>
      </c>
      <c r="AV12" s="75">
        <v>20</v>
      </c>
      <c r="AW12" s="73">
        <v>46</v>
      </c>
      <c r="AX12" s="74">
        <f t="shared" si="19"/>
        <v>66</v>
      </c>
      <c r="AY12" s="73">
        <v>28</v>
      </c>
      <c r="AZ12" s="74">
        <f t="shared" si="20"/>
        <v>94</v>
      </c>
      <c r="BA12" s="209"/>
      <c r="BB12" s="73">
        <f t="shared" si="21"/>
        <v>5</v>
      </c>
      <c r="BC12" s="75">
        <v>16</v>
      </c>
      <c r="BD12" s="73">
        <v>37</v>
      </c>
      <c r="BE12" s="74">
        <f t="shared" si="22"/>
        <v>53</v>
      </c>
      <c r="BF12" s="73">
        <v>30</v>
      </c>
      <c r="BG12" s="74">
        <f t="shared" si="23"/>
        <v>83</v>
      </c>
      <c r="BH12" s="209"/>
      <c r="BI12" s="73">
        <f t="shared" si="24"/>
        <v>5</v>
      </c>
      <c r="BJ12" s="75">
        <v>9</v>
      </c>
      <c r="BK12" s="73">
        <v>28</v>
      </c>
      <c r="BL12" s="74">
        <f t="shared" si="25"/>
        <v>37</v>
      </c>
      <c r="BM12" s="74">
        <f t="shared" si="26"/>
        <v>37</v>
      </c>
      <c r="BN12" s="209"/>
      <c r="BO12" s="73">
        <f t="shared" si="2"/>
        <v>4</v>
      </c>
      <c r="BP12" s="73">
        <f t="shared" si="27"/>
        <v>33</v>
      </c>
      <c r="BQ12" s="76">
        <f t="shared" si="28"/>
        <v>4.125</v>
      </c>
      <c r="BR12" s="77" t="str">
        <f t="shared" si="29"/>
        <v>A</v>
      </c>
      <c r="BS12" s="61" t="str">
        <f t="shared" si="3"/>
        <v>BETTER</v>
      </c>
      <c r="BT12" s="60">
        <f t="shared" si="30"/>
        <v>603</v>
      </c>
      <c r="BU12" s="59"/>
      <c r="BV12" s="62"/>
    </row>
    <row r="13" spans="1:74" ht="27.95" customHeight="1">
      <c r="A13" s="71">
        <v>5</v>
      </c>
      <c r="B13" s="49">
        <v>5</v>
      </c>
      <c r="C13" s="51" t="s">
        <v>74</v>
      </c>
      <c r="D13" s="51" t="s">
        <v>75</v>
      </c>
      <c r="E13" s="51" t="s">
        <v>76</v>
      </c>
      <c r="F13" s="66" t="s">
        <v>210</v>
      </c>
      <c r="G13" s="72">
        <v>18</v>
      </c>
      <c r="H13" s="73">
        <v>38</v>
      </c>
      <c r="I13" s="74">
        <f t="shared" si="4"/>
        <v>56</v>
      </c>
      <c r="J13" s="73">
        <v>24</v>
      </c>
      <c r="K13" s="74">
        <f t="shared" si="31"/>
        <v>80</v>
      </c>
      <c r="L13" s="75">
        <v>9</v>
      </c>
      <c r="M13" s="73">
        <v>33</v>
      </c>
      <c r="N13" s="74">
        <f t="shared" si="32"/>
        <v>42</v>
      </c>
      <c r="O13" s="74">
        <f t="shared" si="5"/>
        <v>42</v>
      </c>
      <c r="P13" s="74">
        <f t="shared" si="0"/>
        <v>122</v>
      </c>
      <c r="Q13" s="209"/>
      <c r="R13" s="73">
        <f t="shared" si="6"/>
        <v>5</v>
      </c>
      <c r="S13" s="75">
        <v>17</v>
      </c>
      <c r="T13" s="73">
        <v>42</v>
      </c>
      <c r="U13" s="74">
        <f t="shared" si="7"/>
        <v>59</v>
      </c>
      <c r="V13" s="75">
        <v>8</v>
      </c>
      <c r="W13" s="73">
        <v>23</v>
      </c>
      <c r="X13" s="74">
        <f t="shared" si="8"/>
        <v>31</v>
      </c>
      <c r="Y13" s="74">
        <f t="shared" si="9"/>
        <v>90</v>
      </c>
      <c r="Z13" s="74">
        <f t="shared" si="1"/>
        <v>90</v>
      </c>
      <c r="AA13" s="209"/>
      <c r="AB13" s="73">
        <f t="shared" si="10"/>
        <v>3.5</v>
      </c>
      <c r="AC13" s="75">
        <v>15</v>
      </c>
      <c r="AD13" s="73">
        <v>30</v>
      </c>
      <c r="AE13" s="74">
        <f t="shared" si="11"/>
        <v>45</v>
      </c>
      <c r="AF13" s="73">
        <v>24</v>
      </c>
      <c r="AG13" s="74">
        <f t="shared" si="12"/>
        <v>69</v>
      </c>
      <c r="AH13" s="209"/>
      <c r="AI13" s="73">
        <f t="shared" si="13"/>
        <v>3.5</v>
      </c>
      <c r="AJ13" s="75">
        <v>17</v>
      </c>
      <c r="AK13" s="73">
        <v>31</v>
      </c>
      <c r="AL13" s="74">
        <f t="shared" si="14"/>
        <v>48</v>
      </c>
      <c r="AM13" s="73">
        <v>25</v>
      </c>
      <c r="AN13" s="74">
        <f t="shared" si="15"/>
        <v>73</v>
      </c>
      <c r="AO13" s="209"/>
      <c r="AP13" s="73">
        <f t="shared" si="16"/>
        <v>4</v>
      </c>
      <c r="AQ13" s="73">
        <v>23</v>
      </c>
      <c r="AR13" s="73">
        <v>25</v>
      </c>
      <c r="AS13" s="73">
        <f t="shared" si="17"/>
        <v>48</v>
      </c>
      <c r="AT13" s="212"/>
      <c r="AU13" s="73">
        <f t="shared" si="18"/>
        <v>5</v>
      </c>
      <c r="AV13" s="75">
        <v>20</v>
      </c>
      <c r="AW13" s="73">
        <v>44</v>
      </c>
      <c r="AX13" s="74">
        <f t="shared" si="19"/>
        <v>64</v>
      </c>
      <c r="AY13" s="73">
        <v>22</v>
      </c>
      <c r="AZ13" s="74">
        <f t="shared" si="20"/>
        <v>86</v>
      </c>
      <c r="BA13" s="209"/>
      <c r="BB13" s="73">
        <f t="shared" si="21"/>
        <v>5</v>
      </c>
      <c r="BC13" s="75">
        <v>17</v>
      </c>
      <c r="BD13" s="73">
        <v>37</v>
      </c>
      <c r="BE13" s="74">
        <f t="shared" si="22"/>
        <v>54</v>
      </c>
      <c r="BF13" s="73">
        <v>30</v>
      </c>
      <c r="BG13" s="74">
        <f t="shared" si="23"/>
        <v>84</v>
      </c>
      <c r="BH13" s="209"/>
      <c r="BI13" s="73">
        <f t="shared" si="24"/>
        <v>5</v>
      </c>
      <c r="BJ13" s="75">
        <v>10</v>
      </c>
      <c r="BK13" s="73">
        <v>28</v>
      </c>
      <c r="BL13" s="74">
        <f t="shared" si="25"/>
        <v>38</v>
      </c>
      <c r="BM13" s="74">
        <f t="shared" si="26"/>
        <v>38</v>
      </c>
      <c r="BN13" s="209"/>
      <c r="BO13" s="73">
        <f t="shared" si="2"/>
        <v>4</v>
      </c>
      <c r="BP13" s="73">
        <f t="shared" si="27"/>
        <v>35</v>
      </c>
      <c r="BQ13" s="76">
        <f t="shared" si="28"/>
        <v>4.375</v>
      </c>
      <c r="BR13" s="77" t="str">
        <f t="shared" si="29"/>
        <v>A</v>
      </c>
      <c r="BS13" s="61" t="str">
        <f t="shared" si="3"/>
        <v>BETTER</v>
      </c>
      <c r="BT13" s="60">
        <f t="shared" si="30"/>
        <v>610</v>
      </c>
      <c r="BU13" s="59"/>
      <c r="BV13" s="62"/>
    </row>
    <row r="14" spans="1:74" ht="27.95" customHeight="1">
      <c r="A14" s="71">
        <v>6</v>
      </c>
      <c r="B14" s="49">
        <v>7</v>
      </c>
      <c r="C14" s="51" t="s">
        <v>77</v>
      </c>
      <c r="D14" s="51" t="s">
        <v>78</v>
      </c>
      <c r="E14" s="51" t="s">
        <v>79</v>
      </c>
      <c r="F14" s="66" t="s">
        <v>211</v>
      </c>
      <c r="G14" s="72">
        <v>16</v>
      </c>
      <c r="H14" s="73">
        <v>29</v>
      </c>
      <c r="I14" s="74">
        <f t="shared" si="4"/>
        <v>45</v>
      </c>
      <c r="J14" s="73">
        <v>24</v>
      </c>
      <c r="K14" s="74">
        <f t="shared" si="31"/>
        <v>69</v>
      </c>
      <c r="L14" s="75">
        <v>9</v>
      </c>
      <c r="M14" s="73">
        <v>30</v>
      </c>
      <c r="N14" s="74">
        <f t="shared" si="32"/>
        <v>39</v>
      </c>
      <c r="O14" s="74">
        <f t="shared" si="5"/>
        <v>39</v>
      </c>
      <c r="P14" s="74">
        <f t="shared" si="0"/>
        <v>108</v>
      </c>
      <c r="Q14" s="209"/>
      <c r="R14" s="73">
        <f t="shared" si="6"/>
        <v>4</v>
      </c>
      <c r="S14" s="75">
        <v>19</v>
      </c>
      <c r="T14" s="73">
        <v>39</v>
      </c>
      <c r="U14" s="74">
        <f t="shared" si="7"/>
        <v>58</v>
      </c>
      <c r="V14" s="75">
        <v>8</v>
      </c>
      <c r="W14" s="73">
        <v>18</v>
      </c>
      <c r="X14" s="74">
        <f t="shared" si="8"/>
        <v>26</v>
      </c>
      <c r="Y14" s="74">
        <f t="shared" si="9"/>
        <v>84</v>
      </c>
      <c r="Z14" s="74">
        <f t="shared" si="1"/>
        <v>84</v>
      </c>
      <c r="AA14" s="209"/>
      <c r="AB14" s="73">
        <f t="shared" si="10"/>
        <v>3</v>
      </c>
      <c r="AC14" s="75">
        <v>13</v>
      </c>
      <c r="AD14" s="73">
        <v>10</v>
      </c>
      <c r="AE14" s="74">
        <f t="shared" si="11"/>
        <v>23</v>
      </c>
      <c r="AF14" s="73">
        <v>22</v>
      </c>
      <c r="AG14" s="74">
        <f t="shared" si="12"/>
        <v>45</v>
      </c>
      <c r="AH14" s="209"/>
      <c r="AI14" s="73">
        <f t="shared" si="13"/>
        <v>2</v>
      </c>
      <c r="AJ14" s="75">
        <v>18</v>
      </c>
      <c r="AK14" s="73">
        <v>29</v>
      </c>
      <c r="AL14" s="74">
        <f t="shared" si="14"/>
        <v>47</v>
      </c>
      <c r="AM14" s="73">
        <v>23</v>
      </c>
      <c r="AN14" s="74">
        <f t="shared" si="15"/>
        <v>70</v>
      </c>
      <c r="AO14" s="209"/>
      <c r="AP14" s="73">
        <f t="shared" si="16"/>
        <v>4</v>
      </c>
      <c r="AQ14" s="73">
        <v>23</v>
      </c>
      <c r="AR14" s="73">
        <v>25</v>
      </c>
      <c r="AS14" s="73">
        <f t="shared" si="17"/>
        <v>48</v>
      </c>
      <c r="AT14" s="212"/>
      <c r="AU14" s="73">
        <f t="shared" si="18"/>
        <v>5</v>
      </c>
      <c r="AV14" s="75">
        <v>20</v>
      </c>
      <c r="AW14" s="73">
        <v>41</v>
      </c>
      <c r="AX14" s="74">
        <f t="shared" si="19"/>
        <v>61</v>
      </c>
      <c r="AY14" s="73">
        <v>22</v>
      </c>
      <c r="AZ14" s="74">
        <f t="shared" si="20"/>
        <v>83</v>
      </c>
      <c r="BA14" s="209"/>
      <c r="BB14" s="73">
        <f t="shared" si="21"/>
        <v>5</v>
      </c>
      <c r="BC14" s="75">
        <v>16</v>
      </c>
      <c r="BD14" s="73">
        <v>19</v>
      </c>
      <c r="BE14" s="74">
        <f t="shared" si="22"/>
        <v>35</v>
      </c>
      <c r="BF14" s="73">
        <v>28</v>
      </c>
      <c r="BG14" s="74">
        <f t="shared" si="23"/>
        <v>63</v>
      </c>
      <c r="BH14" s="209"/>
      <c r="BI14" s="73">
        <f t="shared" si="24"/>
        <v>3.5</v>
      </c>
      <c r="BJ14" s="75">
        <v>10</v>
      </c>
      <c r="BK14" s="73">
        <v>28</v>
      </c>
      <c r="BL14" s="74">
        <f t="shared" si="25"/>
        <v>38</v>
      </c>
      <c r="BM14" s="74">
        <f t="shared" si="26"/>
        <v>38</v>
      </c>
      <c r="BN14" s="209"/>
      <c r="BO14" s="73">
        <f t="shared" si="2"/>
        <v>4</v>
      </c>
      <c r="BP14" s="73">
        <f t="shared" si="27"/>
        <v>30.5</v>
      </c>
      <c r="BQ14" s="76">
        <f t="shared" si="28"/>
        <v>3.8125</v>
      </c>
      <c r="BR14" s="77" t="str">
        <f t="shared" si="29"/>
        <v>A-</v>
      </c>
      <c r="BS14" s="61" t="str">
        <f t="shared" si="3"/>
        <v>GOOD</v>
      </c>
      <c r="BT14" s="60">
        <f t="shared" si="30"/>
        <v>539</v>
      </c>
      <c r="BU14" s="59"/>
      <c r="BV14" s="62"/>
    </row>
    <row r="15" spans="1:74" ht="27.95" customHeight="1">
      <c r="A15" s="71">
        <v>7</v>
      </c>
      <c r="B15" s="49">
        <v>8</v>
      </c>
      <c r="C15" s="51" t="s">
        <v>80</v>
      </c>
      <c r="D15" s="51" t="s">
        <v>81</v>
      </c>
      <c r="E15" s="51" t="s">
        <v>82</v>
      </c>
      <c r="F15" s="66" t="s">
        <v>323</v>
      </c>
      <c r="G15" s="72">
        <v>14</v>
      </c>
      <c r="H15" s="73">
        <v>29</v>
      </c>
      <c r="I15" s="74">
        <f t="shared" si="4"/>
        <v>43</v>
      </c>
      <c r="J15" s="73">
        <v>22</v>
      </c>
      <c r="K15" s="74">
        <f t="shared" si="31"/>
        <v>65</v>
      </c>
      <c r="L15" s="75">
        <v>10</v>
      </c>
      <c r="M15" s="73">
        <v>28</v>
      </c>
      <c r="N15" s="74">
        <f t="shared" si="32"/>
        <v>38</v>
      </c>
      <c r="O15" s="74">
        <f t="shared" si="5"/>
        <v>38</v>
      </c>
      <c r="P15" s="74">
        <f t="shared" si="0"/>
        <v>103</v>
      </c>
      <c r="Q15" s="209"/>
      <c r="R15" s="73">
        <f t="shared" si="6"/>
        <v>3.5</v>
      </c>
      <c r="S15" s="75">
        <v>19</v>
      </c>
      <c r="T15" s="73">
        <v>54</v>
      </c>
      <c r="U15" s="74">
        <f t="shared" si="7"/>
        <v>73</v>
      </c>
      <c r="V15" s="75">
        <v>8</v>
      </c>
      <c r="W15" s="73">
        <v>25</v>
      </c>
      <c r="X15" s="74">
        <f t="shared" si="8"/>
        <v>33</v>
      </c>
      <c r="Y15" s="74">
        <f t="shared" si="9"/>
        <v>106</v>
      </c>
      <c r="Z15" s="74">
        <f t="shared" si="1"/>
        <v>106</v>
      </c>
      <c r="AA15" s="209"/>
      <c r="AB15" s="73">
        <f t="shared" si="10"/>
        <v>4</v>
      </c>
      <c r="AC15" s="75">
        <v>18</v>
      </c>
      <c r="AD15" s="73">
        <v>24</v>
      </c>
      <c r="AE15" s="74">
        <f t="shared" si="11"/>
        <v>42</v>
      </c>
      <c r="AF15" s="73">
        <v>24</v>
      </c>
      <c r="AG15" s="74">
        <f t="shared" si="12"/>
        <v>66</v>
      </c>
      <c r="AH15" s="209"/>
      <c r="AI15" s="73">
        <f t="shared" si="13"/>
        <v>3.5</v>
      </c>
      <c r="AJ15" s="75">
        <v>19</v>
      </c>
      <c r="AK15" s="73">
        <v>31</v>
      </c>
      <c r="AL15" s="74">
        <f t="shared" si="14"/>
        <v>50</v>
      </c>
      <c r="AM15" s="73">
        <v>23</v>
      </c>
      <c r="AN15" s="74">
        <f t="shared" si="15"/>
        <v>73</v>
      </c>
      <c r="AO15" s="209"/>
      <c r="AP15" s="73">
        <f t="shared" si="16"/>
        <v>4</v>
      </c>
      <c r="AQ15" s="73">
        <v>23</v>
      </c>
      <c r="AR15" s="73">
        <v>25</v>
      </c>
      <c r="AS15" s="73">
        <f t="shared" si="17"/>
        <v>48</v>
      </c>
      <c r="AT15" s="212"/>
      <c r="AU15" s="73">
        <f t="shared" si="18"/>
        <v>5</v>
      </c>
      <c r="AV15" s="75">
        <v>20</v>
      </c>
      <c r="AW15" s="73">
        <v>41</v>
      </c>
      <c r="AX15" s="74">
        <f t="shared" si="19"/>
        <v>61</v>
      </c>
      <c r="AY15" s="73">
        <v>23</v>
      </c>
      <c r="AZ15" s="74">
        <f t="shared" si="20"/>
        <v>84</v>
      </c>
      <c r="BA15" s="209"/>
      <c r="BB15" s="73">
        <f t="shared" si="21"/>
        <v>5</v>
      </c>
      <c r="BC15" s="75">
        <v>19</v>
      </c>
      <c r="BD15" s="73">
        <v>33</v>
      </c>
      <c r="BE15" s="74">
        <f t="shared" si="22"/>
        <v>52</v>
      </c>
      <c r="BF15" s="73">
        <v>29</v>
      </c>
      <c r="BG15" s="74">
        <f t="shared" si="23"/>
        <v>81</v>
      </c>
      <c r="BH15" s="209"/>
      <c r="BI15" s="73">
        <f t="shared" si="24"/>
        <v>5</v>
      </c>
      <c r="BJ15" s="75">
        <v>10</v>
      </c>
      <c r="BK15" s="73">
        <v>28</v>
      </c>
      <c r="BL15" s="74">
        <f t="shared" si="25"/>
        <v>38</v>
      </c>
      <c r="BM15" s="74">
        <f t="shared" si="26"/>
        <v>38</v>
      </c>
      <c r="BN15" s="209"/>
      <c r="BO15" s="73">
        <f t="shared" si="2"/>
        <v>4</v>
      </c>
      <c r="BP15" s="73">
        <f t="shared" si="27"/>
        <v>34</v>
      </c>
      <c r="BQ15" s="76">
        <f t="shared" si="28"/>
        <v>4.25</v>
      </c>
      <c r="BR15" s="77" t="str">
        <f t="shared" si="29"/>
        <v>A</v>
      </c>
      <c r="BS15" s="61" t="str">
        <f t="shared" si="3"/>
        <v>BETTER</v>
      </c>
      <c r="BT15" s="60">
        <f t="shared" si="30"/>
        <v>599</v>
      </c>
      <c r="BU15" s="59"/>
      <c r="BV15" s="62"/>
    </row>
    <row r="16" spans="1:74" ht="27.95" customHeight="1">
      <c r="A16" s="71">
        <v>8</v>
      </c>
      <c r="B16" s="49">
        <v>10</v>
      </c>
      <c r="C16" s="52" t="s">
        <v>324</v>
      </c>
      <c r="D16" s="52" t="s">
        <v>83</v>
      </c>
      <c r="E16" s="52" t="s">
        <v>84</v>
      </c>
      <c r="F16" s="66" t="s">
        <v>325</v>
      </c>
      <c r="G16" s="72">
        <v>18</v>
      </c>
      <c r="H16" s="73">
        <v>38</v>
      </c>
      <c r="I16" s="74">
        <f t="shared" si="4"/>
        <v>56</v>
      </c>
      <c r="J16" s="73">
        <v>28</v>
      </c>
      <c r="K16" s="74">
        <f t="shared" si="31"/>
        <v>84</v>
      </c>
      <c r="L16" s="75">
        <v>9</v>
      </c>
      <c r="M16" s="73">
        <v>38</v>
      </c>
      <c r="N16" s="74">
        <f t="shared" si="32"/>
        <v>47</v>
      </c>
      <c r="O16" s="74">
        <f t="shared" si="5"/>
        <v>47</v>
      </c>
      <c r="P16" s="74">
        <f t="shared" si="0"/>
        <v>131</v>
      </c>
      <c r="Q16" s="209"/>
      <c r="R16" s="73">
        <f t="shared" si="6"/>
        <v>5</v>
      </c>
      <c r="S16" s="75">
        <v>19</v>
      </c>
      <c r="T16" s="73">
        <v>60</v>
      </c>
      <c r="U16" s="74">
        <f t="shared" si="7"/>
        <v>79</v>
      </c>
      <c r="V16" s="75">
        <v>9</v>
      </c>
      <c r="W16" s="73">
        <v>34</v>
      </c>
      <c r="X16" s="74">
        <f t="shared" si="8"/>
        <v>43</v>
      </c>
      <c r="Y16" s="74">
        <f t="shared" si="9"/>
        <v>122</v>
      </c>
      <c r="Z16" s="74">
        <f t="shared" si="1"/>
        <v>122</v>
      </c>
      <c r="AA16" s="209"/>
      <c r="AB16" s="73">
        <f t="shared" si="10"/>
        <v>5</v>
      </c>
      <c r="AC16" s="75">
        <v>18</v>
      </c>
      <c r="AD16" s="73">
        <v>40</v>
      </c>
      <c r="AE16" s="74">
        <f t="shared" si="11"/>
        <v>58</v>
      </c>
      <c r="AF16" s="73">
        <v>24</v>
      </c>
      <c r="AG16" s="74">
        <f t="shared" si="12"/>
        <v>82</v>
      </c>
      <c r="AH16" s="209"/>
      <c r="AI16" s="73">
        <f t="shared" si="13"/>
        <v>5</v>
      </c>
      <c r="AJ16" s="75">
        <v>20</v>
      </c>
      <c r="AK16" s="73">
        <v>46</v>
      </c>
      <c r="AL16" s="74">
        <f t="shared" si="14"/>
        <v>66</v>
      </c>
      <c r="AM16" s="73">
        <v>29</v>
      </c>
      <c r="AN16" s="74">
        <f t="shared" si="15"/>
        <v>95</v>
      </c>
      <c r="AO16" s="209"/>
      <c r="AP16" s="73">
        <f t="shared" si="16"/>
        <v>5</v>
      </c>
      <c r="AQ16" s="73">
        <v>23</v>
      </c>
      <c r="AR16" s="73">
        <v>25</v>
      </c>
      <c r="AS16" s="73">
        <f t="shared" si="17"/>
        <v>48</v>
      </c>
      <c r="AT16" s="212"/>
      <c r="AU16" s="73">
        <f t="shared" si="18"/>
        <v>5</v>
      </c>
      <c r="AV16" s="75">
        <v>20</v>
      </c>
      <c r="AW16" s="73">
        <v>47</v>
      </c>
      <c r="AX16" s="74">
        <f t="shared" si="19"/>
        <v>67</v>
      </c>
      <c r="AY16" s="73">
        <v>23</v>
      </c>
      <c r="AZ16" s="74">
        <f t="shared" si="20"/>
        <v>90</v>
      </c>
      <c r="BA16" s="209"/>
      <c r="BB16" s="73">
        <f t="shared" si="21"/>
        <v>5</v>
      </c>
      <c r="BC16" s="75">
        <v>18</v>
      </c>
      <c r="BD16" s="73">
        <v>40</v>
      </c>
      <c r="BE16" s="74">
        <f t="shared" si="22"/>
        <v>58</v>
      </c>
      <c r="BF16" s="73">
        <v>30</v>
      </c>
      <c r="BG16" s="74">
        <f t="shared" si="23"/>
        <v>88</v>
      </c>
      <c r="BH16" s="209"/>
      <c r="BI16" s="73">
        <f t="shared" si="24"/>
        <v>5</v>
      </c>
      <c r="BJ16" s="75">
        <v>10</v>
      </c>
      <c r="BK16" s="73">
        <v>24</v>
      </c>
      <c r="BL16" s="74">
        <f t="shared" si="25"/>
        <v>34</v>
      </c>
      <c r="BM16" s="74">
        <f t="shared" si="26"/>
        <v>34</v>
      </c>
      <c r="BN16" s="209"/>
      <c r="BO16" s="73">
        <f t="shared" si="2"/>
        <v>3.5</v>
      </c>
      <c r="BP16" s="73">
        <f t="shared" si="27"/>
        <v>38.5</v>
      </c>
      <c r="BQ16" s="76">
        <f t="shared" si="28"/>
        <v>4.8125</v>
      </c>
      <c r="BR16" s="77" t="str">
        <f t="shared" si="29"/>
        <v>A</v>
      </c>
      <c r="BS16" s="61" t="str">
        <f t="shared" si="3"/>
        <v>BETTER</v>
      </c>
      <c r="BT16" s="60">
        <f t="shared" si="30"/>
        <v>690</v>
      </c>
      <c r="BU16" s="59"/>
      <c r="BV16" s="62"/>
    </row>
    <row r="17" spans="1:74" ht="27.95" customHeight="1">
      <c r="A17" s="71">
        <v>9</v>
      </c>
      <c r="B17" s="49">
        <v>14</v>
      </c>
      <c r="C17" s="51" t="s">
        <v>85</v>
      </c>
      <c r="D17" s="51" t="s">
        <v>86</v>
      </c>
      <c r="E17" s="51" t="s">
        <v>87</v>
      </c>
      <c r="F17" s="66" t="s">
        <v>330</v>
      </c>
      <c r="G17" s="72">
        <v>16</v>
      </c>
      <c r="H17" s="73">
        <v>36</v>
      </c>
      <c r="I17" s="74">
        <f t="shared" si="4"/>
        <v>52</v>
      </c>
      <c r="J17" s="73">
        <v>24</v>
      </c>
      <c r="K17" s="74">
        <f t="shared" si="31"/>
        <v>76</v>
      </c>
      <c r="L17" s="75">
        <v>10</v>
      </c>
      <c r="M17" s="73">
        <v>34</v>
      </c>
      <c r="N17" s="74">
        <f t="shared" si="32"/>
        <v>44</v>
      </c>
      <c r="O17" s="74">
        <f t="shared" si="5"/>
        <v>44</v>
      </c>
      <c r="P17" s="74">
        <f t="shared" si="0"/>
        <v>120</v>
      </c>
      <c r="Q17" s="209"/>
      <c r="R17" s="73">
        <f t="shared" si="6"/>
        <v>5</v>
      </c>
      <c r="S17" s="75">
        <v>19</v>
      </c>
      <c r="T17" s="73">
        <v>61</v>
      </c>
      <c r="U17" s="74">
        <f t="shared" si="7"/>
        <v>80</v>
      </c>
      <c r="V17" s="75">
        <v>8</v>
      </c>
      <c r="W17" s="73">
        <v>27</v>
      </c>
      <c r="X17" s="74">
        <f t="shared" si="8"/>
        <v>35</v>
      </c>
      <c r="Y17" s="74">
        <f t="shared" si="9"/>
        <v>115</v>
      </c>
      <c r="Z17" s="74">
        <f t="shared" si="1"/>
        <v>115</v>
      </c>
      <c r="AA17" s="209"/>
      <c r="AB17" s="73">
        <f t="shared" si="10"/>
        <v>4</v>
      </c>
      <c r="AC17" s="75">
        <v>18</v>
      </c>
      <c r="AD17" s="73">
        <v>45</v>
      </c>
      <c r="AE17" s="74">
        <f t="shared" si="11"/>
        <v>63</v>
      </c>
      <c r="AF17" s="73">
        <v>29</v>
      </c>
      <c r="AG17" s="74">
        <f t="shared" si="12"/>
        <v>92</v>
      </c>
      <c r="AH17" s="209"/>
      <c r="AI17" s="73">
        <f t="shared" si="13"/>
        <v>5</v>
      </c>
      <c r="AJ17" s="75">
        <v>19</v>
      </c>
      <c r="AK17" s="73">
        <v>44</v>
      </c>
      <c r="AL17" s="74">
        <f t="shared" si="14"/>
        <v>63</v>
      </c>
      <c r="AM17" s="73">
        <v>25</v>
      </c>
      <c r="AN17" s="74">
        <f t="shared" si="15"/>
        <v>88</v>
      </c>
      <c r="AO17" s="209"/>
      <c r="AP17" s="73">
        <f t="shared" si="16"/>
        <v>5</v>
      </c>
      <c r="AQ17" s="73">
        <v>23</v>
      </c>
      <c r="AR17" s="73">
        <v>25</v>
      </c>
      <c r="AS17" s="73">
        <f t="shared" si="17"/>
        <v>48</v>
      </c>
      <c r="AT17" s="212"/>
      <c r="AU17" s="73">
        <f t="shared" si="18"/>
        <v>5</v>
      </c>
      <c r="AV17" s="75">
        <v>20</v>
      </c>
      <c r="AW17" s="73">
        <v>49</v>
      </c>
      <c r="AX17" s="74">
        <f t="shared" si="19"/>
        <v>69</v>
      </c>
      <c r="AY17" s="73">
        <v>25</v>
      </c>
      <c r="AZ17" s="74">
        <f t="shared" si="20"/>
        <v>94</v>
      </c>
      <c r="BA17" s="209"/>
      <c r="BB17" s="73">
        <f t="shared" si="21"/>
        <v>5</v>
      </c>
      <c r="BC17" s="75">
        <v>19</v>
      </c>
      <c r="BD17" s="73">
        <v>34</v>
      </c>
      <c r="BE17" s="74">
        <f t="shared" si="22"/>
        <v>53</v>
      </c>
      <c r="BF17" s="73">
        <v>30</v>
      </c>
      <c r="BG17" s="74">
        <f t="shared" si="23"/>
        <v>83</v>
      </c>
      <c r="BH17" s="209"/>
      <c r="BI17" s="73">
        <f t="shared" si="24"/>
        <v>5</v>
      </c>
      <c r="BJ17" s="75">
        <v>10</v>
      </c>
      <c r="BK17" s="73">
        <v>24</v>
      </c>
      <c r="BL17" s="74">
        <f t="shared" si="25"/>
        <v>34</v>
      </c>
      <c r="BM17" s="74">
        <f t="shared" si="26"/>
        <v>34</v>
      </c>
      <c r="BN17" s="209"/>
      <c r="BO17" s="73">
        <f t="shared" si="2"/>
        <v>3.5</v>
      </c>
      <c r="BP17" s="73">
        <f t="shared" si="27"/>
        <v>37.5</v>
      </c>
      <c r="BQ17" s="76">
        <f t="shared" si="28"/>
        <v>4.6875</v>
      </c>
      <c r="BR17" s="77" t="str">
        <f t="shared" si="29"/>
        <v>A</v>
      </c>
      <c r="BS17" s="61" t="str">
        <f t="shared" si="3"/>
        <v>BETTER</v>
      </c>
      <c r="BT17" s="60">
        <f t="shared" si="30"/>
        <v>674</v>
      </c>
      <c r="BU17" s="59"/>
      <c r="BV17" s="62"/>
    </row>
    <row r="18" spans="1:74" ht="27.95" customHeight="1">
      <c r="A18" s="71">
        <v>10</v>
      </c>
      <c r="B18" s="49">
        <v>15</v>
      </c>
      <c r="C18" s="51" t="s">
        <v>88</v>
      </c>
      <c r="D18" s="51" t="s">
        <v>89</v>
      </c>
      <c r="E18" s="51" t="s">
        <v>90</v>
      </c>
      <c r="F18" s="66" t="s">
        <v>212</v>
      </c>
      <c r="G18" s="72">
        <v>19</v>
      </c>
      <c r="H18" s="73">
        <v>44</v>
      </c>
      <c r="I18" s="74">
        <f t="shared" si="4"/>
        <v>63</v>
      </c>
      <c r="J18" s="73">
        <v>28</v>
      </c>
      <c r="K18" s="74">
        <f t="shared" si="31"/>
        <v>91</v>
      </c>
      <c r="L18" s="75">
        <v>10</v>
      </c>
      <c r="M18" s="73">
        <v>38</v>
      </c>
      <c r="N18" s="74">
        <f t="shared" si="32"/>
        <v>48</v>
      </c>
      <c r="O18" s="74">
        <f t="shared" si="5"/>
        <v>48</v>
      </c>
      <c r="P18" s="74">
        <f t="shared" si="0"/>
        <v>139</v>
      </c>
      <c r="Q18" s="209"/>
      <c r="R18" s="73">
        <f t="shared" si="6"/>
        <v>5</v>
      </c>
      <c r="S18" s="75">
        <v>19</v>
      </c>
      <c r="T18" s="73">
        <v>74</v>
      </c>
      <c r="U18" s="74">
        <f t="shared" si="7"/>
        <v>93</v>
      </c>
      <c r="V18" s="75">
        <v>10</v>
      </c>
      <c r="W18" s="73">
        <v>31</v>
      </c>
      <c r="X18" s="74">
        <f t="shared" si="8"/>
        <v>41</v>
      </c>
      <c r="Y18" s="74">
        <f t="shared" si="9"/>
        <v>134</v>
      </c>
      <c r="Z18" s="74">
        <f t="shared" si="1"/>
        <v>134</v>
      </c>
      <c r="AA18" s="209"/>
      <c r="AB18" s="73">
        <f t="shared" si="10"/>
        <v>5</v>
      </c>
      <c r="AC18" s="75">
        <v>19</v>
      </c>
      <c r="AD18" s="73">
        <v>48</v>
      </c>
      <c r="AE18" s="74">
        <f t="shared" si="11"/>
        <v>67</v>
      </c>
      <c r="AF18" s="73">
        <v>27</v>
      </c>
      <c r="AG18" s="74">
        <f t="shared" si="12"/>
        <v>94</v>
      </c>
      <c r="AH18" s="209"/>
      <c r="AI18" s="73">
        <f t="shared" si="13"/>
        <v>5</v>
      </c>
      <c r="AJ18" s="75">
        <v>20</v>
      </c>
      <c r="AK18" s="73">
        <v>46</v>
      </c>
      <c r="AL18" s="74">
        <f t="shared" si="14"/>
        <v>66</v>
      </c>
      <c r="AM18" s="73">
        <v>26</v>
      </c>
      <c r="AN18" s="74">
        <f t="shared" si="15"/>
        <v>92</v>
      </c>
      <c r="AO18" s="209"/>
      <c r="AP18" s="73">
        <f t="shared" si="16"/>
        <v>5</v>
      </c>
      <c r="AQ18" s="73">
        <v>23</v>
      </c>
      <c r="AR18" s="73">
        <v>25</v>
      </c>
      <c r="AS18" s="73">
        <f t="shared" si="17"/>
        <v>48</v>
      </c>
      <c r="AT18" s="212"/>
      <c r="AU18" s="73">
        <f t="shared" si="18"/>
        <v>5</v>
      </c>
      <c r="AV18" s="75">
        <v>20</v>
      </c>
      <c r="AW18" s="73">
        <v>49</v>
      </c>
      <c r="AX18" s="74">
        <f t="shared" si="19"/>
        <v>69</v>
      </c>
      <c r="AY18" s="73">
        <v>28</v>
      </c>
      <c r="AZ18" s="74">
        <f t="shared" si="20"/>
        <v>97</v>
      </c>
      <c r="BA18" s="209"/>
      <c r="BB18" s="73">
        <f t="shared" si="21"/>
        <v>5</v>
      </c>
      <c r="BC18" s="75">
        <v>19</v>
      </c>
      <c r="BD18" s="73">
        <v>40</v>
      </c>
      <c r="BE18" s="74">
        <f t="shared" si="22"/>
        <v>59</v>
      </c>
      <c r="BF18" s="73">
        <v>29</v>
      </c>
      <c r="BG18" s="74">
        <f t="shared" si="23"/>
        <v>88</v>
      </c>
      <c r="BH18" s="209"/>
      <c r="BI18" s="73">
        <f t="shared" si="24"/>
        <v>5</v>
      </c>
      <c r="BJ18" s="75">
        <v>10</v>
      </c>
      <c r="BK18" s="73">
        <v>30</v>
      </c>
      <c r="BL18" s="74">
        <f t="shared" si="25"/>
        <v>40</v>
      </c>
      <c r="BM18" s="74">
        <f t="shared" si="26"/>
        <v>40</v>
      </c>
      <c r="BN18" s="209"/>
      <c r="BO18" s="73">
        <f t="shared" si="2"/>
        <v>5</v>
      </c>
      <c r="BP18" s="73">
        <f t="shared" si="27"/>
        <v>40</v>
      </c>
      <c r="BQ18" s="76">
        <f t="shared" si="28"/>
        <v>5</v>
      </c>
      <c r="BR18" s="77" t="str">
        <f t="shared" si="29"/>
        <v>A+</v>
      </c>
      <c r="BS18" s="61" t="str">
        <f t="shared" si="3"/>
        <v>BEST</v>
      </c>
      <c r="BT18" s="60">
        <f t="shared" si="30"/>
        <v>732</v>
      </c>
      <c r="BU18" s="59"/>
      <c r="BV18" s="62"/>
    </row>
    <row r="19" spans="1:74" ht="27.95" customHeight="1">
      <c r="A19" s="71">
        <v>11</v>
      </c>
      <c r="B19" s="49">
        <v>16</v>
      </c>
      <c r="C19" s="52" t="s">
        <v>91</v>
      </c>
      <c r="D19" s="52" t="s">
        <v>92</v>
      </c>
      <c r="E19" s="52" t="s">
        <v>93</v>
      </c>
      <c r="F19" s="66" t="s">
        <v>331</v>
      </c>
      <c r="G19" s="72">
        <v>13</v>
      </c>
      <c r="H19" s="73">
        <v>33</v>
      </c>
      <c r="I19" s="74">
        <f t="shared" si="4"/>
        <v>46</v>
      </c>
      <c r="J19" s="73">
        <v>16</v>
      </c>
      <c r="K19" s="74">
        <f t="shared" si="31"/>
        <v>62</v>
      </c>
      <c r="L19" s="75">
        <v>9</v>
      </c>
      <c r="M19" s="73">
        <v>37</v>
      </c>
      <c r="N19" s="74">
        <f t="shared" si="32"/>
        <v>46</v>
      </c>
      <c r="O19" s="74">
        <f t="shared" si="5"/>
        <v>46</v>
      </c>
      <c r="P19" s="74">
        <f t="shared" si="0"/>
        <v>108</v>
      </c>
      <c r="Q19" s="209"/>
      <c r="R19" s="73">
        <f t="shared" si="6"/>
        <v>4</v>
      </c>
      <c r="S19" s="75">
        <v>19</v>
      </c>
      <c r="T19" s="73">
        <v>50</v>
      </c>
      <c r="U19" s="74">
        <f t="shared" si="7"/>
        <v>69</v>
      </c>
      <c r="V19" s="75">
        <v>6</v>
      </c>
      <c r="W19" s="73">
        <v>17</v>
      </c>
      <c r="X19" s="74">
        <f t="shared" si="8"/>
        <v>23</v>
      </c>
      <c r="Y19" s="74">
        <f t="shared" si="9"/>
        <v>92</v>
      </c>
      <c r="Z19" s="74">
        <f t="shared" si="1"/>
        <v>92</v>
      </c>
      <c r="AA19" s="209"/>
      <c r="AB19" s="73">
        <f t="shared" si="10"/>
        <v>3.5</v>
      </c>
      <c r="AC19" s="75">
        <v>15</v>
      </c>
      <c r="AD19" s="73">
        <v>23</v>
      </c>
      <c r="AE19" s="74">
        <f t="shared" si="11"/>
        <v>38</v>
      </c>
      <c r="AF19" s="73">
        <v>24</v>
      </c>
      <c r="AG19" s="74">
        <f t="shared" si="12"/>
        <v>62</v>
      </c>
      <c r="AH19" s="209"/>
      <c r="AI19" s="73">
        <f t="shared" si="13"/>
        <v>3.5</v>
      </c>
      <c r="AJ19" s="75">
        <v>19</v>
      </c>
      <c r="AK19" s="73">
        <v>17</v>
      </c>
      <c r="AL19" s="74">
        <f t="shared" si="14"/>
        <v>36</v>
      </c>
      <c r="AM19" s="73">
        <v>16</v>
      </c>
      <c r="AN19" s="74">
        <f t="shared" si="15"/>
        <v>52</v>
      </c>
      <c r="AO19" s="209"/>
      <c r="AP19" s="73">
        <f t="shared" si="16"/>
        <v>3</v>
      </c>
      <c r="AQ19" s="73">
        <v>23</v>
      </c>
      <c r="AR19" s="73">
        <v>25</v>
      </c>
      <c r="AS19" s="73">
        <f t="shared" si="17"/>
        <v>48</v>
      </c>
      <c r="AT19" s="212"/>
      <c r="AU19" s="73">
        <f t="shared" si="18"/>
        <v>5</v>
      </c>
      <c r="AV19" s="75">
        <v>20</v>
      </c>
      <c r="AW19" s="73">
        <v>41</v>
      </c>
      <c r="AX19" s="74">
        <f t="shared" si="19"/>
        <v>61</v>
      </c>
      <c r="AY19" s="73">
        <v>22</v>
      </c>
      <c r="AZ19" s="74">
        <f t="shared" si="20"/>
        <v>83</v>
      </c>
      <c r="BA19" s="209"/>
      <c r="BB19" s="73">
        <f t="shared" si="21"/>
        <v>5</v>
      </c>
      <c r="BC19" s="75">
        <v>19</v>
      </c>
      <c r="BD19" s="73">
        <v>21</v>
      </c>
      <c r="BE19" s="74">
        <f t="shared" si="22"/>
        <v>40</v>
      </c>
      <c r="BF19" s="73">
        <v>30</v>
      </c>
      <c r="BG19" s="74">
        <f t="shared" si="23"/>
        <v>70</v>
      </c>
      <c r="BH19" s="209"/>
      <c r="BI19" s="73">
        <f t="shared" si="24"/>
        <v>4</v>
      </c>
      <c r="BJ19" s="75">
        <v>10</v>
      </c>
      <c r="BK19" s="73">
        <v>28</v>
      </c>
      <c r="BL19" s="74">
        <f t="shared" si="25"/>
        <v>38</v>
      </c>
      <c r="BM19" s="74">
        <f t="shared" si="26"/>
        <v>38</v>
      </c>
      <c r="BN19" s="209"/>
      <c r="BO19" s="73">
        <f t="shared" si="2"/>
        <v>4</v>
      </c>
      <c r="BP19" s="73">
        <f t="shared" si="27"/>
        <v>32</v>
      </c>
      <c r="BQ19" s="76">
        <f t="shared" si="28"/>
        <v>4</v>
      </c>
      <c r="BR19" s="77" t="str">
        <f t="shared" si="29"/>
        <v>A</v>
      </c>
      <c r="BS19" s="61" t="str">
        <f t="shared" si="3"/>
        <v>BETTER</v>
      </c>
      <c r="BT19" s="60">
        <f t="shared" si="30"/>
        <v>553</v>
      </c>
      <c r="BU19" s="59"/>
      <c r="BV19" s="62"/>
    </row>
    <row r="20" spans="1:74" ht="27.95" customHeight="1">
      <c r="A20" s="71">
        <v>12</v>
      </c>
      <c r="B20" s="49">
        <v>18</v>
      </c>
      <c r="C20" s="51" t="s">
        <v>94</v>
      </c>
      <c r="D20" s="51" t="s">
        <v>95</v>
      </c>
      <c r="E20" s="51" t="s">
        <v>96</v>
      </c>
      <c r="F20" s="66" t="s">
        <v>332</v>
      </c>
      <c r="G20" s="72">
        <v>19</v>
      </c>
      <c r="H20" s="73">
        <v>30</v>
      </c>
      <c r="I20" s="74">
        <f t="shared" si="4"/>
        <v>49</v>
      </c>
      <c r="J20" s="73">
        <v>25</v>
      </c>
      <c r="K20" s="74">
        <f t="shared" si="31"/>
        <v>74</v>
      </c>
      <c r="L20" s="75">
        <v>9</v>
      </c>
      <c r="M20" s="73">
        <v>34</v>
      </c>
      <c r="N20" s="74">
        <f t="shared" si="32"/>
        <v>43</v>
      </c>
      <c r="O20" s="74">
        <f t="shared" si="5"/>
        <v>43</v>
      </c>
      <c r="P20" s="74">
        <f t="shared" si="0"/>
        <v>117</v>
      </c>
      <c r="Q20" s="209"/>
      <c r="R20" s="73">
        <f t="shared" si="6"/>
        <v>4</v>
      </c>
      <c r="S20" s="75">
        <v>19</v>
      </c>
      <c r="T20" s="73">
        <v>66</v>
      </c>
      <c r="U20" s="74">
        <f t="shared" si="7"/>
        <v>85</v>
      </c>
      <c r="V20" s="75">
        <v>9</v>
      </c>
      <c r="W20" s="73">
        <v>29</v>
      </c>
      <c r="X20" s="74">
        <f t="shared" si="8"/>
        <v>38</v>
      </c>
      <c r="Y20" s="74">
        <f t="shared" si="9"/>
        <v>123</v>
      </c>
      <c r="Z20" s="74">
        <f t="shared" si="1"/>
        <v>123</v>
      </c>
      <c r="AA20" s="209"/>
      <c r="AB20" s="73">
        <f t="shared" si="10"/>
        <v>5</v>
      </c>
      <c r="AC20" s="75">
        <v>20</v>
      </c>
      <c r="AD20" s="73">
        <v>46</v>
      </c>
      <c r="AE20" s="74">
        <f t="shared" si="11"/>
        <v>66</v>
      </c>
      <c r="AF20" s="73">
        <v>29</v>
      </c>
      <c r="AG20" s="74">
        <f t="shared" si="12"/>
        <v>95</v>
      </c>
      <c r="AH20" s="209"/>
      <c r="AI20" s="73">
        <f t="shared" si="13"/>
        <v>5</v>
      </c>
      <c r="AJ20" s="75">
        <v>19</v>
      </c>
      <c r="AK20" s="73">
        <v>44</v>
      </c>
      <c r="AL20" s="74">
        <f t="shared" si="14"/>
        <v>63</v>
      </c>
      <c r="AM20" s="73">
        <v>26</v>
      </c>
      <c r="AN20" s="74">
        <f t="shared" si="15"/>
        <v>89</v>
      </c>
      <c r="AO20" s="209"/>
      <c r="AP20" s="73">
        <f t="shared" si="16"/>
        <v>5</v>
      </c>
      <c r="AQ20" s="73">
        <v>23</v>
      </c>
      <c r="AR20" s="73">
        <v>25</v>
      </c>
      <c r="AS20" s="73">
        <f t="shared" si="17"/>
        <v>48</v>
      </c>
      <c r="AT20" s="212"/>
      <c r="AU20" s="73">
        <f t="shared" si="18"/>
        <v>5</v>
      </c>
      <c r="AV20" s="75">
        <v>20</v>
      </c>
      <c r="AW20" s="73">
        <v>40</v>
      </c>
      <c r="AX20" s="74">
        <f t="shared" si="19"/>
        <v>60</v>
      </c>
      <c r="AY20" s="73">
        <v>25</v>
      </c>
      <c r="AZ20" s="74">
        <f t="shared" si="20"/>
        <v>85</v>
      </c>
      <c r="BA20" s="209"/>
      <c r="BB20" s="73">
        <f t="shared" si="21"/>
        <v>5</v>
      </c>
      <c r="BC20" s="75">
        <v>19</v>
      </c>
      <c r="BD20" s="73">
        <v>37</v>
      </c>
      <c r="BE20" s="74">
        <f t="shared" si="22"/>
        <v>56</v>
      </c>
      <c r="BF20" s="73">
        <v>30</v>
      </c>
      <c r="BG20" s="74">
        <f t="shared" si="23"/>
        <v>86</v>
      </c>
      <c r="BH20" s="209"/>
      <c r="BI20" s="73">
        <f t="shared" si="24"/>
        <v>5</v>
      </c>
      <c r="BJ20" s="75">
        <v>10</v>
      </c>
      <c r="BK20" s="73">
        <v>24</v>
      </c>
      <c r="BL20" s="74">
        <f t="shared" si="25"/>
        <v>34</v>
      </c>
      <c r="BM20" s="74">
        <f t="shared" si="26"/>
        <v>34</v>
      </c>
      <c r="BN20" s="209"/>
      <c r="BO20" s="73">
        <f t="shared" si="2"/>
        <v>3.5</v>
      </c>
      <c r="BP20" s="73">
        <f t="shared" si="27"/>
        <v>37.5</v>
      </c>
      <c r="BQ20" s="76">
        <f t="shared" si="28"/>
        <v>4.6875</v>
      </c>
      <c r="BR20" s="77" t="str">
        <f t="shared" si="29"/>
        <v>A</v>
      </c>
      <c r="BS20" s="61" t="str">
        <f t="shared" si="3"/>
        <v>BETTER</v>
      </c>
      <c r="BT20" s="60">
        <f t="shared" si="30"/>
        <v>677</v>
      </c>
      <c r="BU20" s="59"/>
      <c r="BV20" s="62"/>
    </row>
    <row r="21" spans="1:74" ht="27.95" customHeight="1">
      <c r="A21" s="71">
        <v>13</v>
      </c>
      <c r="B21" s="49">
        <v>19</v>
      </c>
      <c r="C21" s="51" t="s">
        <v>97</v>
      </c>
      <c r="D21" s="51" t="s">
        <v>98</v>
      </c>
      <c r="E21" s="51" t="s">
        <v>99</v>
      </c>
      <c r="F21" s="66" t="s">
        <v>213</v>
      </c>
      <c r="G21" s="72">
        <v>18</v>
      </c>
      <c r="H21" s="73">
        <v>41</v>
      </c>
      <c r="I21" s="74">
        <f t="shared" si="4"/>
        <v>59</v>
      </c>
      <c r="J21" s="73">
        <v>27</v>
      </c>
      <c r="K21" s="74">
        <f t="shared" si="31"/>
        <v>86</v>
      </c>
      <c r="L21" s="75">
        <v>9</v>
      </c>
      <c r="M21" s="73">
        <v>36</v>
      </c>
      <c r="N21" s="74">
        <f t="shared" si="32"/>
        <v>45</v>
      </c>
      <c r="O21" s="74">
        <f t="shared" si="5"/>
        <v>45</v>
      </c>
      <c r="P21" s="74">
        <f t="shared" si="0"/>
        <v>131</v>
      </c>
      <c r="Q21" s="209"/>
      <c r="R21" s="73">
        <f t="shared" si="6"/>
        <v>5</v>
      </c>
      <c r="S21" s="75">
        <v>20</v>
      </c>
      <c r="T21" s="73">
        <v>66</v>
      </c>
      <c r="U21" s="74">
        <f t="shared" si="7"/>
        <v>86</v>
      </c>
      <c r="V21" s="75">
        <v>10</v>
      </c>
      <c r="W21" s="73">
        <v>30</v>
      </c>
      <c r="X21" s="74">
        <f t="shared" si="8"/>
        <v>40</v>
      </c>
      <c r="Y21" s="74">
        <f t="shared" si="9"/>
        <v>126</v>
      </c>
      <c r="Z21" s="74">
        <f t="shared" si="1"/>
        <v>126</v>
      </c>
      <c r="AA21" s="209"/>
      <c r="AB21" s="73">
        <f t="shared" si="10"/>
        <v>5</v>
      </c>
      <c r="AC21" s="75">
        <v>20</v>
      </c>
      <c r="AD21" s="73">
        <v>49</v>
      </c>
      <c r="AE21" s="74">
        <f t="shared" si="11"/>
        <v>69</v>
      </c>
      <c r="AF21" s="73">
        <v>29</v>
      </c>
      <c r="AG21" s="74">
        <f t="shared" si="12"/>
        <v>98</v>
      </c>
      <c r="AH21" s="209"/>
      <c r="AI21" s="73">
        <f t="shared" si="13"/>
        <v>5</v>
      </c>
      <c r="AJ21" s="75">
        <v>20</v>
      </c>
      <c r="AK21" s="73">
        <v>47</v>
      </c>
      <c r="AL21" s="74">
        <f t="shared" si="14"/>
        <v>67</v>
      </c>
      <c r="AM21" s="73">
        <v>26</v>
      </c>
      <c r="AN21" s="74">
        <f t="shared" si="15"/>
        <v>93</v>
      </c>
      <c r="AO21" s="209"/>
      <c r="AP21" s="73">
        <f t="shared" si="16"/>
        <v>5</v>
      </c>
      <c r="AQ21" s="73">
        <v>23</v>
      </c>
      <c r="AR21" s="73">
        <v>25</v>
      </c>
      <c r="AS21" s="73">
        <f t="shared" si="17"/>
        <v>48</v>
      </c>
      <c r="AT21" s="212"/>
      <c r="AU21" s="73">
        <f t="shared" si="18"/>
        <v>5</v>
      </c>
      <c r="AV21" s="75">
        <v>20</v>
      </c>
      <c r="AW21" s="73">
        <v>50</v>
      </c>
      <c r="AX21" s="74">
        <f t="shared" si="19"/>
        <v>70</v>
      </c>
      <c r="AY21" s="73">
        <v>29</v>
      </c>
      <c r="AZ21" s="74">
        <f t="shared" si="20"/>
        <v>99</v>
      </c>
      <c r="BA21" s="209"/>
      <c r="BB21" s="73">
        <f t="shared" si="21"/>
        <v>5</v>
      </c>
      <c r="BC21" s="75">
        <v>19</v>
      </c>
      <c r="BD21" s="73">
        <v>47</v>
      </c>
      <c r="BE21" s="74">
        <f t="shared" si="22"/>
        <v>66</v>
      </c>
      <c r="BF21" s="73">
        <v>29</v>
      </c>
      <c r="BG21" s="74">
        <f t="shared" si="23"/>
        <v>95</v>
      </c>
      <c r="BH21" s="209"/>
      <c r="BI21" s="73">
        <f t="shared" si="24"/>
        <v>5</v>
      </c>
      <c r="BJ21" s="75">
        <v>10</v>
      </c>
      <c r="BK21" s="73">
        <v>30</v>
      </c>
      <c r="BL21" s="74">
        <f t="shared" si="25"/>
        <v>40</v>
      </c>
      <c r="BM21" s="74">
        <f t="shared" si="26"/>
        <v>40</v>
      </c>
      <c r="BN21" s="209"/>
      <c r="BO21" s="73">
        <f t="shared" si="2"/>
        <v>5</v>
      </c>
      <c r="BP21" s="73">
        <f t="shared" si="27"/>
        <v>40</v>
      </c>
      <c r="BQ21" s="76">
        <f t="shared" si="28"/>
        <v>5</v>
      </c>
      <c r="BR21" s="77" t="str">
        <f t="shared" si="29"/>
        <v>A+</v>
      </c>
      <c r="BS21" s="61" t="str">
        <f t="shared" si="3"/>
        <v>BEST</v>
      </c>
      <c r="BT21" s="60">
        <f t="shared" si="30"/>
        <v>730</v>
      </c>
      <c r="BU21" s="59"/>
      <c r="BV21" s="62"/>
    </row>
    <row r="22" spans="1:74" ht="27.95" customHeight="1">
      <c r="A22" s="71">
        <v>14</v>
      </c>
      <c r="B22" s="49">
        <v>20</v>
      </c>
      <c r="C22" s="51" t="s">
        <v>100</v>
      </c>
      <c r="D22" s="51" t="s">
        <v>101</v>
      </c>
      <c r="E22" s="51" t="s">
        <v>102</v>
      </c>
      <c r="F22" s="66" t="s">
        <v>333</v>
      </c>
      <c r="G22" s="72">
        <v>16</v>
      </c>
      <c r="H22" s="73">
        <v>39</v>
      </c>
      <c r="I22" s="74">
        <f t="shared" si="4"/>
        <v>55</v>
      </c>
      <c r="J22" s="73">
        <v>24</v>
      </c>
      <c r="K22" s="74">
        <f t="shared" si="31"/>
        <v>79</v>
      </c>
      <c r="L22" s="75">
        <v>9</v>
      </c>
      <c r="M22" s="73">
        <v>34</v>
      </c>
      <c r="N22" s="74">
        <f t="shared" si="32"/>
        <v>43</v>
      </c>
      <c r="O22" s="74">
        <f t="shared" si="5"/>
        <v>43</v>
      </c>
      <c r="P22" s="74">
        <f t="shared" si="0"/>
        <v>122</v>
      </c>
      <c r="Q22" s="209"/>
      <c r="R22" s="73">
        <f t="shared" si="6"/>
        <v>5</v>
      </c>
      <c r="S22" s="75">
        <v>19</v>
      </c>
      <c r="T22" s="73">
        <v>61</v>
      </c>
      <c r="U22" s="74">
        <f t="shared" si="7"/>
        <v>80</v>
      </c>
      <c r="V22" s="75">
        <v>10</v>
      </c>
      <c r="W22" s="73">
        <v>25</v>
      </c>
      <c r="X22" s="74">
        <f t="shared" si="8"/>
        <v>35</v>
      </c>
      <c r="Y22" s="74">
        <f t="shared" si="9"/>
        <v>115</v>
      </c>
      <c r="Z22" s="74">
        <f t="shared" si="1"/>
        <v>115</v>
      </c>
      <c r="AA22" s="209"/>
      <c r="AB22" s="73">
        <f t="shared" si="10"/>
        <v>4</v>
      </c>
      <c r="AC22" s="75">
        <v>20</v>
      </c>
      <c r="AD22" s="73">
        <v>46</v>
      </c>
      <c r="AE22" s="74">
        <f t="shared" si="11"/>
        <v>66</v>
      </c>
      <c r="AF22" s="73">
        <v>26</v>
      </c>
      <c r="AG22" s="74">
        <f t="shared" si="12"/>
        <v>92</v>
      </c>
      <c r="AH22" s="209"/>
      <c r="AI22" s="73">
        <f t="shared" si="13"/>
        <v>5</v>
      </c>
      <c r="AJ22" s="75">
        <v>20</v>
      </c>
      <c r="AK22" s="73">
        <v>47</v>
      </c>
      <c r="AL22" s="74">
        <f t="shared" si="14"/>
        <v>67</v>
      </c>
      <c r="AM22" s="73">
        <v>30</v>
      </c>
      <c r="AN22" s="74">
        <f t="shared" si="15"/>
        <v>97</v>
      </c>
      <c r="AO22" s="209"/>
      <c r="AP22" s="73">
        <f t="shared" si="16"/>
        <v>5</v>
      </c>
      <c r="AQ22" s="73">
        <v>23</v>
      </c>
      <c r="AR22" s="73">
        <v>25</v>
      </c>
      <c r="AS22" s="73">
        <f t="shared" si="17"/>
        <v>48</v>
      </c>
      <c r="AT22" s="212"/>
      <c r="AU22" s="73">
        <f t="shared" si="18"/>
        <v>5</v>
      </c>
      <c r="AV22" s="75">
        <v>20</v>
      </c>
      <c r="AW22" s="73">
        <v>49</v>
      </c>
      <c r="AX22" s="74">
        <f t="shared" si="19"/>
        <v>69</v>
      </c>
      <c r="AY22" s="73">
        <v>26</v>
      </c>
      <c r="AZ22" s="74">
        <f t="shared" si="20"/>
        <v>95</v>
      </c>
      <c r="BA22" s="209"/>
      <c r="BB22" s="73">
        <f t="shared" si="21"/>
        <v>5</v>
      </c>
      <c r="BC22" s="75">
        <v>19</v>
      </c>
      <c r="BD22" s="73">
        <v>45</v>
      </c>
      <c r="BE22" s="74">
        <f t="shared" si="22"/>
        <v>64</v>
      </c>
      <c r="BF22" s="73">
        <v>29</v>
      </c>
      <c r="BG22" s="74">
        <f t="shared" si="23"/>
        <v>93</v>
      </c>
      <c r="BH22" s="209"/>
      <c r="BI22" s="73">
        <f t="shared" si="24"/>
        <v>5</v>
      </c>
      <c r="BJ22" s="75">
        <v>10</v>
      </c>
      <c r="BK22" s="73">
        <v>24</v>
      </c>
      <c r="BL22" s="74">
        <f t="shared" si="25"/>
        <v>34</v>
      </c>
      <c r="BM22" s="74">
        <f t="shared" si="26"/>
        <v>34</v>
      </c>
      <c r="BN22" s="209"/>
      <c r="BO22" s="73">
        <f t="shared" si="2"/>
        <v>3.5</v>
      </c>
      <c r="BP22" s="73">
        <f t="shared" si="27"/>
        <v>37.5</v>
      </c>
      <c r="BQ22" s="76">
        <f t="shared" si="28"/>
        <v>4.6875</v>
      </c>
      <c r="BR22" s="77" t="str">
        <f t="shared" si="29"/>
        <v>A</v>
      </c>
      <c r="BS22" s="61" t="str">
        <f t="shared" si="3"/>
        <v>BETTER</v>
      </c>
      <c r="BT22" s="60">
        <f t="shared" si="30"/>
        <v>696</v>
      </c>
      <c r="BU22" s="59"/>
      <c r="BV22" s="62"/>
    </row>
    <row r="23" spans="1:74" ht="27.95" customHeight="1">
      <c r="A23" s="71">
        <v>15</v>
      </c>
      <c r="B23" s="49">
        <v>21</v>
      </c>
      <c r="C23" s="51" t="s">
        <v>103</v>
      </c>
      <c r="D23" s="51" t="s">
        <v>104</v>
      </c>
      <c r="E23" s="51" t="s">
        <v>105</v>
      </c>
      <c r="F23" s="66" t="s">
        <v>214</v>
      </c>
      <c r="G23" s="72">
        <v>14</v>
      </c>
      <c r="H23" s="73">
        <v>26</v>
      </c>
      <c r="I23" s="74">
        <f t="shared" si="4"/>
        <v>40</v>
      </c>
      <c r="J23" s="73">
        <v>26</v>
      </c>
      <c r="K23" s="74">
        <f t="shared" si="31"/>
        <v>66</v>
      </c>
      <c r="L23" s="75">
        <v>8</v>
      </c>
      <c r="M23" s="73">
        <v>34</v>
      </c>
      <c r="N23" s="74">
        <f t="shared" si="32"/>
        <v>42</v>
      </c>
      <c r="O23" s="74">
        <f t="shared" si="5"/>
        <v>42</v>
      </c>
      <c r="P23" s="74">
        <f t="shared" si="0"/>
        <v>108</v>
      </c>
      <c r="Q23" s="209"/>
      <c r="R23" s="73">
        <f t="shared" si="6"/>
        <v>4</v>
      </c>
      <c r="S23" s="75">
        <v>18</v>
      </c>
      <c r="T23" s="73">
        <v>58</v>
      </c>
      <c r="U23" s="74">
        <f t="shared" si="7"/>
        <v>76</v>
      </c>
      <c r="V23" s="75">
        <v>8</v>
      </c>
      <c r="W23" s="73">
        <v>27</v>
      </c>
      <c r="X23" s="74">
        <f t="shared" si="8"/>
        <v>35</v>
      </c>
      <c r="Y23" s="74">
        <f t="shared" si="9"/>
        <v>111</v>
      </c>
      <c r="Z23" s="74">
        <f t="shared" si="1"/>
        <v>111</v>
      </c>
      <c r="AA23" s="209"/>
      <c r="AB23" s="73">
        <f t="shared" si="10"/>
        <v>4</v>
      </c>
      <c r="AC23" s="75">
        <v>20</v>
      </c>
      <c r="AD23" s="73">
        <v>31</v>
      </c>
      <c r="AE23" s="74">
        <f t="shared" si="11"/>
        <v>51</v>
      </c>
      <c r="AF23" s="73">
        <v>28</v>
      </c>
      <c r="AG23" s="74">
        <f t="shared" si="12"/>
        <v>79</v>
      </c>
      <c r="AH23" s="209"/>
      <c r="AI23" s="73">
        <f t="shared" si="13"/>
        <v>4</v>
      </c>
      <c r="AJ23" s="75">
        <v>18</v>
      </c>
      <c r="AK23" s="73">
        <v>30</v>
      </c>
      <c r="AL23" s="74">
        <f t="shared" si="14"/>
        <v>48</v>
      </c>
      <c r="AM23" s="73">
        <v>27</v>
      </c>
      <c r="AN23" s="74">
        <f t="shared" si="15"/>
        <v>75</v>
      </c>
      <c r="AO23" s="209"/>
      <c r="AP23" s="73">
        <f t="shared" si="16"/>
        <v>4</v>
      </c>
      <c r="AQ23" s="73">
        <v>23</v>
      </c>
      <c r="AR23" s="73">
        <v>25</v>
      </c>
      <c r="AS23" s="73">
        <f t="shared" si="17"/>
        <v>48</v>
      </c>
      <c r="AT23" s="212"/>
      <c r="AU23" s="73">
        <f t="shared" si="18"/>
        <v>5</v>
      </c>
      <c r="AV23" s="75">
        <v>19</v>
      </c>
      <c r="AW23" s="73">
        <v>41</v>
      </c>
      <c r="AX23" s="74">
        <f t="shared" si="19"/>
        <v>60</v>
      </c>
      <c r="AY23" s="73">
        <v>24</v>
      </c>
      <c r="AZ23" s="74">
        <f t="shared" si="20"/>
        <v>84</v>
      </c>
      <c r="BA23" s="209"/>
      <c r="BB23" s="73">
        <f t="shared" si="21"/>
        <v>5</v>
      </c>
      <c r="BC23" s="75">
        <v>14</v>
      </c>
      <c r="BD23" s="73">
        <v>38</v>
      </c>
      <c r="BE23" s="74">
        <f t="shared" si="22"/>
        <v>52</v>
      </c>
      <c r="BF23" s="73">
        <v>27</v>
      </c>
      <c r="BG23" s="74">
        <f t="shared" si="23"/>
        <v>79</v>
      </c>
      <c r="BH23" s="209"/>
      <c r="BI23" s="73">
        <f t="shared" si="24"/>
        <v>4</v>
      </c>
      <c r="BJ23" s="75">
        <v>10</v>
      </c>
      <c r="BK23" s="73">
        <v>24</v>
      </c>
      <c r="BL23" s="74">
        <f t="shared" si="25"/>
        <v>34</v>
      </c>
      <c r="BM23" s="74">
        <f t="shared" si="26"/>
        <v>34</v>
      </c>
      <c r="BN23" s="209"/>
      <c r="BO23" s="73">
        <f t="shared" si="2"/>
        <v>3.5</v>
      </c>
      <c r="BP23" s="73">
        <f t="shared" si="27"/>
        <v>33.5</v>
      </c>
      <c r="BQ23" s="76">
        <f t="shared" si="28"/>
        <v>4.1875</v>
      </c>
      <c r="BR23" s="77" t="str">
        <f t="shared" si="29"/>
        <v>A</v>
      </c>
      <c r="BS23" s="61" t="str">
        <f t="shared" si="3"/>
        <v>BETTER</v>
      </c>
      <c r="BT23" s="60">
        <f t="shared" si="30"/>
        <v>618</v>
      </c>
      <c r="BU23" s="59"/>
      <c r="BV23" s="62"/>
    </row>
    <row r="24" spans="1:74" ht="27.95" customHeight="1">
      <c r="A24" s="71">
        <v>16</v>
      </c>
      <c r="B24" s="49">
        <v>22</v>
      </c>
      <c r="C24" s="50" t="s">
        <v>106</v>
      </c>
      <c r="D24" s="50" t="s">
        <v>107</v>
      </c>
      <c r="E24" s="50" t="s">
        <v>108</v>
      </c>
      <c r="F24" s="65" t="s">
        <v>334</v>
      </c>
      <c r="G24" s="72">
        <v>13</v>
      </c>
      <c r="H24" s="73">
        <v>29</v>
      </c>
      <c r="I24" s="74">
        <f t="shared" si="4"/>
        <v>42</v>
      </c>
      <c r="J24" s="73">
        <v>21</v>
      </c>
      <c r="K24" s="74">
        <f t="shared" si="31"/>
        <v>63</v>
      </c>
      <c r="L24" s="75">
        <v>9</v>
      </c>
      <c r="M24" s="73">
        <v>31</v>
      </c>
      <c r="N24" s="74">
        <f t="shared" si="32"/>
        <v>40</v>
      </c>
      <c r="O24" s="74">
        <f t="shared" si="5"/>
        <v>40</v>
      </c>
      <c r="P24" s="74">
        <f t="shared" si="0"/>
        <v>103</v>
      </c>
      <c r="Q24" s="209"/>
      <c r="R24" s="73">
        <f t="shared" si="6"/>
        <v>3.5</v>
      </c>
      <c r="S24" s="75">
        <v>19</v>
      </c>
      <c r="T24" s="73">
        <v>50</v>
      </c>
      <c r="U24" s="74">
        <f t="shared" si="7"/>
        <v>69</v>
      </c>
      <c r="V24" s="75">
        <v>7</v>
      </c>
      <c r="W24" s="73">
        <v>16</v>
      </c>
      <c r="X24" s="74">
        <f t="shared" si="8"/>
        <v>23</v>
      </c>
      <c r="Y24" s="74">
        <f t="shared" si="9"/>
        <v>92</v>
      </c>
      <c r="Z24" s="74">
        <f t="shared" si="1"/>
        <v>92</v>
      </c>
      <c r="AA24" s="209"/>
      <c r="AB24" s="73">
        <f t="shared" si="10"/>
        <v>3.5</v>
      </c>
      <c r="AC24" s="75">
        <v>15</v>
      </c>
      <c r="AD24" s="73">
        <v>23</v>
      </c>
      <c r="AE24" s="74">
        <f t="shared" si="11"/>
        <v>38</v>
      </c>
      <c r="AF24" s="73">
        <v>21</v>
      </c>
      <c r="AG24" s="74">
        <f t="shared" si="12"/>
        <v>59</v>
      </c>
      <c r="AH24" s="209"/>
      <c r="AI24" s="73">
        <f t="shared" si="13"/>
        <v>3</v>
      </c>
      <c r="AJ24" s="75">
        <v>19</v>
      </c>
      <c r="AK24" s="73">
        <v>33</v>
      </c>
      <c r="AL24" s="74">
        <f t="shared" si="14"/>
        <v>52</v>
      </c>
      <c r="AM24" s="73">
        <v>24</v>
      </c>
      <c r="AN24" s="74">
        <f t="shared" si="15"/>
        <v>76</v>
      </c>
      <c r="AO24" s="209"/>
      <c r="AP24" s="73">
        <f t="shared" si="16"/>
        <v>4</v>
      </c>
      <c r="AQ24" s="73">
        <v>23</v>
      </c>
      <c r="AR24" s="73">
        <v>25</v>
      </c>
      <c r="AS24" s="73">
        <f t="shared" si="17"/>
        <v>48</v>
      </c>
      <c r="AT24" s="212"/>
      <c r="AU24" s="73">
        <f t="shared" si="18"/>
        <v>5</v>
      </c>
      <c r="AV24" s="75">
        <v>20</v>
      </c>
      <c r="AW24" s="73">
        <v>41</v>
      </c>
      <c r="AX24" s="74">
        <f t="shared" si="19"/>
        <v>61</v>
      </c>
      <c r="AY24" s="73">
        <v>22</v>
      </c>
      <c r="AZ24" s="74">
        <f t="shared" si="20"/>
        <v>83</v>
      </c>
      <c r="BA24" s="209"/>
      <c r="BB24" s="73">
        <f t="shared" si="21"/>
        <v>5</v>
      </c>
      <c r="BC24" s="75">
        <v>17</v>
      </c>
      <c r="BD24" s="73">
        <v>43</v>
      </c>
      <c r="BE24" s="74">
        <f t="shared" si="22"/>
        <v>60</v>
      </c>
      <c r="BF24" s="73">
        <v>28</v>
      </c>
      <c r="BG24" s="74">
        <f t="shared" si="23"/>
        <v>88</v>
      </c>
      <c r="BH24" s="209"/>
      <c r="BI24" s="73">
        <f t="shared" si="24"/>
        <v>5</v>
      </c>
      <c r="BJ24" s="75">
        <v>10</v>
      </c>
      <c r="BK24" s="73">
        <v>24</v>
      </c>
      <c r="BL24" s="74">
        <f t="shared" si="25"/>
        <v>34</v>
      </c>
      <c r="BM24" s="74">
        <f t="shared" si="26"/>
        <v>34</v>
      </c>
      <c r="BN24" s="209"/>
      <c r="BO24" s="73">
        <f t="shared" si="2"/>
        <v>3.5</v>
      </c>
      <c r="BP24" s="73">
        <f t="shared" si="27"/>
        <v>32.5</v>
      </c>
      <c r="BQ24" s="76">
        <f t="shared" si="28"/>
        <v>4.0625</v>
      </c>
      <c r="BR24" s="77" t="str">
        <f t="shared" si="29"/>
        <v>A</v>
      </c>
      <c r="BS24" s="61" t="str">
        <f t="shared" si="3"/>
        <v>BETTER</v>
      </c>
      <c r="BT24" s="60">
        <f t="shared" si="30"/>
        <v>583</v>
      </c>
      <c r="BU24" s="59"/>
      <c r="BV24" s="62"/>
    </row>
    <row r="25" spans="1:74" ht="27.95" customHeight="1">
      <c r="A25" s="71">
        <v>17</v>
      </c>
      <c r="B25" s="49">
        <v>23</v>
      </c>
      <c r="C25" s="50" t="s">
        <v>109</v>
      </c>
      <c r="D25" s="50" t="s">
        <v>110</v>
      </c>
      <c r="E25" s="50" t="s">
        <v>111</v>
      </c>
      <c r="F25" s="65" t="s">
        <v>215</v>
      </c>
      <c r="G25" s="72">
        <v>11</v>
      </c>
      <c r="H25" s="73">
        <v>16</v>
      </c>
      <c r="I25" s="74">
        <f t="shared" si="4"/>
        <v>27</v>
      </c>
      <c r="J25" s="73">
        <v>14</v>
      </c>
      <c r="K25" s="74">
        <f t="shared" si="31"/>
        <v>41</v>
      </c>
      <c r="L25" s="75">
        <v>7</v>
      </c>
      <c r="M25" s="73">
        <v>30</v>
      </c>
      <c r="N25" s="74">
        <f t="shared" si="32"/>
        <v>37</v>
      </c>
      <c r="O25" s="74">
        <f t="shared" si="5"/>
        <v>37</v>
      </c>
      <c r="P25" s="74">
        <f t="shared" si="0"/>
        <v>78</v>
      </c>
      <c r="Q25" s="209"/>
      <c r="R25" s="73">
        <f t="shared" si="6"/>
        <v>3</v>
      </c>
      <c r="S25" s="75">
        <v>17</v>
      </c>
      <c r="T25" s="73">
        <v>34</v>
      </c>
      <c r="U25" s="74">
        <f t="shared" si="7"/>
        <v>51</v>
      </c>
      <c r="V25" s="75">
        <v>6</v>
      </c>
      <c r="W25" s="73">
        <v>12</v>
      </c>
      <c r="X25" s="74">
        <f t="shared" si="8"/>
        <v>18</v>
      </c>
      <c r="Y25" s="74">
        <f t="shared" si="9"/>
        <v>69</v>
      </c>
      <c r="Z25" s="74">
        <f t="shared" si="1"/>
        <v>69</v>
      </c>
      <c r="AA25" s="209"/>
      <c r="AB25" s="73">
        <f t="shared" si="10"/>
        <v>2</v>
      </c>
      <c r="AC25" s="75">
        <v>12</v>
      </c>
      <c r="AD25" s="73">
        <v>21</v>
      </c>
      <c r="AE25" s="74">
        <f t="shared" si="11"/>
        <v>33</v>
      </c>
      <c r="AF25" s="73">
        <v>20</v>
      </c>
      <c r="AG25" s="74">
        <f t="shared" si="12"/>
        <v>53</v>
      </c>
      <c r="AH25" s="209"/>
      <c r="AI25" s="73">
        <f t="shared" si="13"/>
        <v>3</v>
      </c>
      <c r="AJ25" s="75">
        <v>13</v>
      </c>
      <c r="AK25" s="73">
        <v>16</v>
      </c>
      <c r="AL25" s="74">
        <f t="shared" si="14"/>
        <v>29</v>
      </c>
      <c r="AM25" s="73">
        <v>18</v>
      </c>
      <c r="AN25" s="74">
        <f t="shared" si="15"/>
        <v>47</v>
      </c>
      <c r="AO25" s="209"/>
      <c r="AP25" s="73">
        <f t="shared" si="16"/>
        <v>2</v>
      </c>
      <c r="AQ25" s="73">
        <v>23</v>
      </c>
      <c r="AR25" s="73">
        <v>25</v>
      </c>
      <c r="AS25" s="73">
        <f t="shared" si="17"/>
        <v>48</v>
      </c>
      <c r="AT25" s="212"/>
      <c r="AU25" s="73">
        <f t="shared" si="18"/>
        <v>5</v>
      </c>
      <c r="AV25" s="75">
        <v>17</v>
      </c>
      <c r="AW25" s="73">
        <v>19</v>
      </c>
      <c r="AX25" s="74">
        <f t="shared" si="19"/>
        <v>36</v>
      </c>
      <c r="AY25" s="73">
        <v>20</v>
      </c>
      <c r="AZ25" s="74">
        <f t="shared" si="20"/>
        <v>56</v>
      </c>
      <c r="BA25" s="209"/>
      <c r="BB25" s="73">
        <f t="shared" si="21"/>
        <v>3</v>
      </c>
      <c r="BC25" s="75">
        <v>13</v>
      </c>
      <c r="BD25" s="73">
        <v>14</v>
      </c>
      <c r="BE25" s="74">
        <f t="shared" si="22"/>
        <v>27</v>
      </c>
      <c r="BF25" s="73">
        <v>27</v>
      </c>
      <c r="BG25" s="74">
        <f t="shared" si="23"/>
        <v>54</v>
      </c>
      <c r="BH25" s="209"/>
      <c r="BI25" s="73">
        <f t="shared" si="24"/>
        <v>3</v>
      </c>
      <c r="BJ25" s="75">
        <v>10</v>
      </c>
      <c r="BK25" s="73">
        <v>24</v>
      </c>
      <c r="BL25" s="74">
        <f t="shared" si="25"/>
        <v>34</v>
      </c>
      <c r="BM25" s="74">
        <f t="shared" si="26"/>
        <v>34</v>
      </c>
      <c r="BN25" s="209"/>
      <c r="BO25" s="73">
        <f t="shared" si="2"/>
        <v>3.5</v>
      </c>
      <c r="BP25" s="73">
        <f t="shared" si="27"/>
        <v>24.5</v>
      </c>
      <c r="BQ25" s="76">
        <f t="shared" si="28"/>
        <v>3.0625</v>
      </c>
      <c r="BR25" s="77" t="str">
        <f t="shared" si="29"/>
        <v>B</v>
      </c>
      <c r="BS25" s="61" t="str">
        <f t="shared" si="3"/>
        <v>GOOD</v>
      </c>
      <c r="BT25" s="60">
        <f t="shared" si="30"/>
        <v>439</v>
      </c>
      <c r="BU25" s="59"/>
      <c r="BV25" s="62"/>
    </row>
    <row r="26" spans="1:74" ht="27.95" customHeight="1">
      <c r="A26" s="71">
        <v>18</v>
      </c>
      <c r="B26" s="49">
        <v>24</v>
      </c>
      <c r="C26" s="51" t="s">
        <v>112</v>
      </c>
      <c r="D26" s="51" t="s">
        <v>113</v>
      </c>
      <c r="E26" s="51" t="s">
        <v>114</v>
      </c>
      <c r="F26" s="66" t="s">
        <v>335</v>
      </c>
      <c r="G26" s="72">
        <v>13</v>
      </c>
      <c r="H26" s="73">
        <v>14</v>
      </c>
      <c r="I26" s="74">
        <f t="shared" si="4"/>
        <v>27</v>
      </c>
      <c r="J26" s="73">
        <v>23</v>
      </c>
      <c r="K26" s="74">
        <f t="shared" si="31"/>
        <v>50</v>
      </c>
      <c r="L26" s="75">
        <v>8</v>
      </c>
      <c r="M26" s="73">
        <v>32</v>
      </c>
      <c r="N26" s="74">
        <f t="shared" si="32"/>
        <v>40</v>
      </c>
      <c r="O26" s="74">
        <f t="shared" si="5"/>
        <v>40</v>
      </c>
      <c r="P26" s="74">
        <f t="shared" si="0"/>
        <v>90</v>
      </c>
      <c r="Q26" s="209"/>
      <c r="R26" s="73">
        <f t="shared" si="6"/>
        <v>3.5</v>
      </c>
      <c r="S26" s="75">
        <v>16</v>
      </c>
      <c r="T26" s="73">
        <v>54</v>
      </c>
      <c r="U26" s="74">
        <f t="shared" si="7"/>
        <v>70</v>
      </c>
      <c r="V26" s="75">
        <v>7</v>
      </c>
      <c r="W26" s="73">
        <v>25</v>
      </c>
      <c r="X26" s="74">
        <f t="shared" si="8"/>
        <v>32</v>
      </c>
      <c r="Y26" s="74">
        <f t="shared" si="9"/>
        <v>102</v>
      </c>
      <c r="Z26" s="74">
        <f t="shared" si="1"/>
        <v>102</v>
      </c>
      <c r="AA26" s="209"/>
      <c r="AB26" s="73">
        <f t="shared" si="10"/>
        <v>3.5</v>
      </c>
      <c r="AC26" s="75">
        <v>16</v>
      </c>
      <c r="AD26" s="73">
        <v>26</v>
      </c>
      <c r="AE26" s="74">
        <f t="shared" si="11"/>
        <v>42</v>
      </c>
      <c r="AF26" s="73">
        <v>29</v>
      </c>
      <c r="AG26" s="74">
        <f t="shared" si="12"/>
        <v>71</v>
      </c>
      <c r="AH26" s="209"/>
      <c r="AI26" s="73">
        <f t="shared" si="13"/>
        <v>4</v>
      </c>
      <c r="AJ26" s="75">
        <v>17</v>
      </c>
      <c r="AK26" s="73">
        <v>22</v>
      </c>
      <c r="AL26" s="74">
        <f t="shared" si="14"/>
        <v>39</v>
      </c>
      <c r="AM26" s="73">
        <v>26</v>
      </c>
      <c r="AN26" s="74">
        <f t="shared" si="15"/>
        <v>65</v>
      </c>
      <c r="AO26" s="209"/>
      <c r="AP26" s="73">
        <f t="shared" si="16"/>
        <v>3.5</v>
      </c>
      <c r="AQ26" s="73">
        <v>23</v>
      </c>
      <c r="AR26" s="73">
        <v>25</v>
      </c>
      <c r="AS26" s="73">
        <f t="shared" si="17"/>
        <v>48</v>
      </c>
      <c r="AT26" s="212"/>
      <c r="AU26" s="73">
        <f t="shared" si="18"/>
        <v>5</v>
      </c>
      <c r="AV26" s="75">
        <v>20</v>
      </c>
      <c r="AW26" s="73">
        <v>26</v>
      </c>
      <c r="AX26" s="74">
        <f t="shared" si="19"/>
        <v>46</v>
      </c>
      <c r="AY26" s="73">
        <v>22</v>
      </c>
      <c r="AZ26" s="74">
        <f t="shared" si="20"/>
        <v>68</v>
      </c>
      <c r="BA26" s="209"/>
      <c r="BB26" s="73">
        <f t="shared" si="21"/>
        <v>3.5</v>
      </c>
      <c r="BC26" s="75">
        <v>16</v>
      </c>
      <c r="BD26" s="73">
        <v>26</v>
      </c>
      <c r="BE26" s="74">
        <f t="shared" si="22"/>
        <v>42</v>
      </c>
      <c r="BF26" s="73">
        <v>29</v>
      </c>
      <c r="BG26" s="74">
        <f t="shared" si="23"/>
        <v>71</v>
      </c>
      <c r="BH26" s="209"/>
      <c r="BI26" s="73">
        <f t="shared" si="24"/>
        <v>4</v>
      </c>
      <c r="BJ26" s="75">
        <v>10</v>
      </c>
      <c r="BK26" s="73">
        <v>24</v>
      </c>
      <c r="BL26" s="74">
        <f t="shared" si="25"/>
        <v>34</v>
      </c>
      <c r="BM26" s="74">
        <f t="shared" si="26"/>
        <v>34</v>
      </c>
      <c r="BN26" s="209"/>
      <c r="BO26" s="73">
        <f t="shared" si="2"/>
        <v>3.5</v>
      </c>
      <c r="BP26" s="73">
        <f t="shared" si="27"/>
        <v>30.5</v>
      </c>
      <c r="BQ26" s="76">
        <f t="shared" si="28"/>
        <v>3.8125</v>
      </c>
      <c r="BR26" s="77" t="str">
        <f t="shared" si="29"/>
        <v>A-</v>
      </c>
      <c r="BS26" s="61" t="str">
        <f t="shared" si="3"/>
        <v>GOOD</v>
      </c>
      <c r="BT26" s="60">
        <f t="shared" si="30"/>
        <v>549</v>
      </c>
      <c r="BU26" s="59"/>
      <c r="BV26" s="62"/>
    </row>
    <row r="27" spans="1:74" ht="27.95" customHeight="1">
      <c r="A27" s="71">
        <v>19</v>
      </c>
      <c r="B27" s="49">
        <v>25</v>
      </c>
      <c r="C27" s="51" t="s">
        <v>115</v>
      </c>
      <c r="D27" s="51" t="s">
        <v>116</v>
      </c>
      <c r="E27" s="51" t="s">
        <v>117</v>
      </c>
      <c r="F27" s="66" t="s">
        <v>216</v>
      </c>
      <c r="G27" s="78">
        <v>0</v>
      </c>
      <c r="H27" s="73">
        <v>0</v>
      </c>
      <c r="I27" s="74">
        <f t="shared" si="4"/>
        <v>0</v>
      </c>
      <c r="J27" s="73">
        <v>0</v>
      </c>
      <c r="K27" s="74">
        <f t="shared" si="31"/>
        <v>0</v>
      </c>
      <c r="L27" s="78">
        <v>0</v>
      </c>
      <c r="M27" s="73">
        <v>0</v>
      </c>
      <c r="N27" s="74">
        <f t="shared" si="32"/>
        <v>0</v>
      </c>
      <c r="O27" s="74">
        <f t="shared" si="5"/>
        <v>0</v>
      </c>
      <c r="P27" s="74">
        <f t="shared" si="0"/>
        <v>0</v>
      </c>
      <c r="Q27" s="209"/>
      <c r="R27" s="73" t="str">
        <f t="shared" si="6"/>
        <v>F</v>
      </c>
      <c r="S27" s="78">
        <v>0</v>
      </c>
      <c r="T27" s="73">
        <v>0</v>
      </c>
      <c r="U27" s="74">
        <f t="shared" si="7"/>
        <v>0</v>
      </c>
      <c r="V27" s="78">
        <v>0</v>
      </c>
      <c r="W27" s="73">
        <v>0</v>
      </c>
      <c r="X27" s="74">
        <f t="shared" si="8"/>
        <v>0</v>
      </c>
      <c r="Y27" s="74">
        <f t="shared" si="9"/>
        <v>0</v>
      </c>
      <c r="Z27" s="74">
        <f t="shared" si="1"/>
        <v>0</v>
      </c>
      <c r="AA27" s="209"/>
      <c r="AB27" s="73">
        <f t="shared" si="10"/>
        <v>0</v>
      </c>
      <c r="AC27" s="78">
        <v>0</v>
      </c>
      <c r="AD27" s="73">
        <v>0</v>
      </c>
      <c r="AE27" s="74">
        <f t="shared" si="11"/>
        <v>0</v>
      </c>
      <c r="AF27" s="73">
        <v>0</v>
      </c>
      <c r="AG27" s="74">
        <f t="shared" si="12"/>
        <v>0</v>
      </c>
      <c r="AH27" s="209"/>
      <c r="AI27" s="73" t="str">
        <f t="shared" si="13"/>
        <v>F</v>
      </c>
      <c r="AJ27" s="78">
        <v>0</v>
      </c>
      <c r="AK27" s="73">
        <v>0</v>
      </c>
      <c r="AL27" s="74">
        <f t="shared" si="14"/>
        <v>0</v>
      </c>
      <c r="AM27" s="73">
        <v>0</v>
      </c>
      <c r="AN27" s="74">
        <f t="shared" si="15"/>
        <v>0</v>
      </c>
      <c r="AO27" s="209"/>
      <c r="AP27" s="73" t="str">
        <f t="shared" si="16"/>
        <v>F</v>
      </c>
      <c r="AQ27" s="73">
        <v>23</v>
      </c>
      <c r="AR27" s="73">
        <v>25</v>
      </c>
      <c r="AS27" s="73">
        <f t="shared" si="17"/>
        <v>48</v>
      </c>
      <c r="AT27" s="212"/>
      <c r="AU27" s="73">
        <f t="shared" si="18"/>
        <v>5</v>
      </c>
      <c r="AV27" s="78">
        <v>0</v>
      </c>
      <c r="AW27" s="73">
        <v>0</v>
      </c>
      <c r="AX27" s="74">
        <f t="shared" si="19"/>
        <v>0</v>
      </c>
      <c r="AY27" s="73">
        <v>0</v>
      </c>
      <c r="AZ27" s="74">
        <f t="shared" si="20"/>
        <v>0</v>
      </c>
      <c r="BA27" s="209"/>
      <c r="BB27" s="73" t="str">
        <f t="shared" si="21"/>
        <v>F</v>
      </c>
      <c r="BC27" s="78">
        <v>0</v>
      </c>
      <c r="BD27" s="73">
        <v>0</v>
      </c>
      <c r="BE27" s="74">
        <f t="shared" si="22"/>
        <v>0</v>
      </c>
      <c r="BF27" s="73">
        <v>0</v>
      </c>
      <c r="BG27" s="74">
        <f t="shared" si="23"/>
        <v>0</v>
      </c>
      <c r="BH27" s="209"/>
      <c r="BI27" s="73" t="str">
        <f t="shared" si="24"/>
        <v>F</v>
      </c>
      <c r="BJ27" s="78">
        <v>0</v>
      </c>
      <c r="BK27" s="73">
        <v>0</v>
      </c>
      <c r="BL27" s="74">
        <f t="shared" si="25"/>
        <v>0</v>
      </c>
      <c r="BM27" s="74">
        <f t="shared" si="26"/>
        <v>0</v>
      </c>
      <c r="BN27" s="209"/>
      <c r="BO27" s="73" t="str">
        <f t="shared" si="2"/>
        <v>F</v>
      </c>
      <c r="BP27" s="73" t="str">
        <f t="shared" si="27"/>
        <v>F</v>
      </c>
      <c r="BQ27" s="76" t="str">
        <f t="shared" si="28"/>
        <v>F</v>
      </c>
      <c r="BR27" s="77" t="str">
        <f t="shared" si="29"/>
        <v>F</v>
      </c>
      <c r="BS27" s="61" t="str">
        <f t="shared" si="3"/>
        <v>NEED TO PROGRESS</v>
      </c>
      <c r="BT27" s="60">
        <f t="shared" si="30"/>
        <v>48</v>
      </c>
      <c r="BU27" s="59"/>
      <c r="BV27" s="62"/>
    </row>
    <row r="28" spans="1:74" ht="27.95" customHeight="1">
      <c r="A28" s="71">
        <v>20</v>
      </c>
      <c r="B28" s="49">
        <v>27</v>
      </c>
      <c r="C28" s="50" t="s">
        <v>118</v>
      </c>
      <c r="D28" s="50" t="s">
        <v>119</v>
      </c>
      <c r="E28" s="50" t="s">
        <v>120</v>
      </c>
      <c r="F28" s="65" t="s">
        <v>217</v>
      </c>
      <c r="G28" s="72">
        <v>13</v>
      </c>
      <c r="H28" s="73">
        <v>27</v>
      </c>
      <c r="I28" s="74">
        <f t="shared" si="4"/>
        <v>40</v>
      </c>
      <c r="J28" s="73">
        <v>22</v>
      </c>
      <c r="K28" s="74">
        <f t="shared" si="31"/>
        <v>62</v>
      </c>
      <c r="L28" s="75">
        <v>9</v>
      </c>
      <c r="M28" s="73">
        <v>32</v>
      </c>
      <c r="N28" s="74">
        <f t="shared" si="32"/>
        <v>41</v>
      </c>
      <c r="O28" s="74">
        <f t="shared" si="5"/>
        <v>41</v>
      </c>
      <c r="P28" s="74">
        <f t="shared" si="0"/>
        <v>103</v>
      </c>
      <c r="Q28" s="209"/>
      <c r="R28" s="73">
        <f t="shared" si="6"/>
        <v>3.5</v>
      </c>
      <c r="S28" s="75">
        <v>18</v>
      </c>
      <c r="T28" s="73">
        <v>47</v>
      </c>
      <c r="U28" s="74">
        <f t="shared" si="7"/>
        <v>65</v>
      </c>
      <c r="V28" s="75">
        <v>6</v>
      </c>
      <c r="W28" s="73">
        <v>19</v>
      </c>
      <c r="X28" s="74">
        <f t="shared" si="8"/>
        <v>25</v>
      </c>
      <c r="Y28" s="74">
        <f t="shared" si="9"/>
        <v>90</v>
      </c>
      <c r="Z28" s="74">
        <f t="shared" si="1"/>
        <v>90</v>
      </c>
      <c r="AA28" s="209"/>
      <c r="AB28" s="73">
        <f t="shared" si="10"/>
        <v>3.5</v>
      </c>
      <c r="AC28" s="75">
        <v>19</v>
      </c>
      <c r="AD28" s="73">
        <v>21</v>
      </c>
      <c r="AE28" s="74">
        <f t="shared" si="11"/>
        <v>40</v>
      </c>
      <c r="AF28" s="73">
        <v>26</v>
      </c>
      <c r="AG28" s="74">
        <f t="shared" si="12"/>
        <v>66</v>
      </c>
      <c r="AH28" s="209"/>
      <c r="AI28" s="73">
        <f t="shared" si="13"/>
        <v>3.5</v>
      </c>
      <c r="AJ28" s="75">
        <v>18</v>
      </c>
      <c r="AK28" s="73">
        <v>32</v>
      </c>
      <c r="AL28" s="74">
        <f t="shared" si="14"/>
        <v>50</v>
      </c>
      <c r="AM28" s="73">
        <v>25</v>
      </c>
      <c r="AN28" s="74">
        <f t="shared" si="15"/>
        <v>75</v>
      </c>
      <c r="AO28" s="209"/>
      <c r="AP28" s="73">
        <f t="shared" si="16"/>
        <v>4</v>
      </c>
      <c r="AQ28" s="73">
        <v>23</v>
      </c>
      <c r="AR28" s="73">
        <v>25</v>
      </c>
      <c r="AS28" s="73">
        <f t="shared" si="17"/>
        <v>48</v>
      </c>
      <c r="AT28" s="212"/>
      <c r="AU28" s="73">
        <f t="shared" si="18"/>
        <v>5</v>
      </c>
      <c r="AV28" s="75">
        <v>17</v>
      </c>
      <c r="AW28" s="73">
        <v>36</v>
      </c>
      <c r="AX28" s="74">
        <f t="shared" si="19"/>
        <v>53</v>
      </c>
      <c r="AY28" s="73">
        <v>23</v>
      </c>
      <c r="AZ28" s="74">
        <f t="shared" si="20"/>
        <v>76</v>
      </c>
      <c r="BA28" s="209"/>
      <c r="BB28" s="73">
        <f t="shared" si="21"/>
        <v>4</v>
      </c>
      <c r="BC28" s="75">
        <v>18</v>
      </c>
      <c r="BD28" s="73">
        <v>33</v>
      </c>
      <c r="BE28" s="74">
        <f t="shared" si="22"/>
        <v>51</v>
      </c>
      <c r="BF28" s="73">
        <v>28</v>
      </c>
      <c r="BG28" s="74">
        <f t="shared" si="23"/>
        <v>79</v>
      </c>
      <c r="BH28" s="209"/>
      <c r="BI28" s="73">
        <f t="shared" si="24"/>
        <v>4</v>
      </c>
      <c r="BJ28" s="75">
        <v>10</v>
      </c>
      <c r="BK28" s="73">
        <v>24</v>
      </c>
      <c r="BL28" s="74">
        <f t="shared" si="25"/>
        <v>34</v>
      </c>
      <c r="BM28" s="74">
        <f t="shared" si="26"/>
        <v>34</v>
      </c>
      <c r="BN28" s="209"/>
      <c r="BO28" s="73">
        <f t="shared" si="2"/>
        <v>3.5</v>
      </c>
      <c r="BP28" s="73">
        <f t="shared" si="27"/>
        <v>31</v>
      </c>
      <c r="BQ28" s="76">
        <f t="shared" si="28"/>
        <v>3.875</v>
      </c>
      <c r="BR28" s="77" t="str">
        <f t="shared" si="29"/>
        <v>A-</v>
      </c>
      <c r="BS28" s="61" t="str">
        <f t="shared" si="3"/>
        <v>GOOD</v>
      </c>
      <c r="BT28" s="60">
        <f t="shared" si="30"/>
        <v>571</v>
      </c>
      <c r="BU28" s="59"/>
      <c r="BV28" s="62"/>
    </row>
    <row r="29" spans="1:74" ht="27.95" customHeight="1">
      <c r="A29" s="71">
        <v>21</v>
      </c>
      <c r="B29" s="49">
        <v>29</v>
      </c>
      <c r="C29" s="50" t="s">
        <v>121</v>
      </c>
      <c r="D29" s="50" t="s">
        <v>122</v>
      </c>
      <c r="E29" s="50" t="s">
        <v>123</v>
      </c>
      <c r="F29" s="65" t="s">
        <v>218</v>
      </c>
      <c r="G29" s="72">
        <v>18</v>
      </c>
      <c r="H29" s="73">
        <v>33</v>
      </c>
      <c r="I29" s="74">
        <f t="shared" si="4"/>
        <v>51</v>
      </c>
      <c r="J29" s="73">
        <v>27</v>
      </c>
      <c r="K29" s="74">
        <f t="shared" si="31"/>
        <v>78</v>
      </c>
      <c r="L29" s="75">
        <v>10</v>
      </c>
      <c r="M29" s="73">
        <v>33</v>
      </c>
      <c r="N29" s="74">
        <f t="shared" si="32"/>
        <v>43</v>
      </c>
      <c r="O29" s="74">
        <f t="shared" si="5"/>
        <v>43</v>
      </c>
      <c r="P29" s="74">
        <f t="shared" si="0"/>
        <v>121</v>
      </c>
      <c r="Q29" s="209"/>
      <c r="R29" s="73">
        <f t="shared" si="6"/>
        <v>5</v>
      </c>
      <c r="S29" s="75">
        <v>18</v>
      </c>
      <c r="T29" s="73">
        <v>51</v>
      </c>
      <c r="U29" s="74">
        <f t="shared" si="7"/>
        <v>69</v>
      </c>
      <c r="V29" s="75">
        <v>10</v>
      </c>
      <c r="W29" s="73">
        <v>31</v>
      </c>
      <c r="X29" s="74">
        <f t="shared" si="8"/>
        <v>41</v>
      </c>
      <c r="Y29" s="74">
        <f t="shared" si="9"/>
        <v>110</v>
      </c>
      <c r="Z29" s="74">
        <f t="shared" si="1"/>
        <v>110</v>
      </c>
      <c r="AA29" s="209"/>
      <c r="AB29" s="73">
        <f t="shared" si="10"/>
        <v>4</v>
      </c>
      <c r="AC29" s="75">
        <v>20</v>
      </c>
      <c r="AD29" s="73">
        <v>48</v>
      </c>
      <c r="AE29" s="74">
        <f t="shared" si="11"/>
        <v>68</v>
      </c>
      <c r="AF29" s="73">
        <v>29</v>
      </c>
      <c r="AG29" s="74">
        <f t="shared" si="12"/>
        <v>97</v>
      </c>
      <c r="AH29" s="209"/>
      <c r="AI29" s="73">
        <f t="shared" si="13"/>
        <v>5</v>
      </c>
      <c r="AJ29" s="75">
        <v>20</v>
      </c>
      <c r="AK29" s="73">
        <v>48</v>
      </c>
      <c r="AL29" s="74">
        <f t="shared" si="14"/>
        <v>68</v>
      </c>
      <c r="AM29" s="73">
        <v>25</v>
      </c>
      <c r="AN29" s="74">
        <f t="shared" si="15"/>
        <v>93</v>
      </c>
      <c r="AO29" s="209"/>
      <c r="AP29" s="73">
        <f t="shared" si="16"/>
        <v>5</v>
      </c>
      <c r="AQ29" s="73">
        <v>23</v>
      </c>
      <c r="AR29" s="73">
        <v>25</v>
      </c>
      <c r="AS29" s="73">
        <f t="shared" si="17"/>
        <v>48</v>
      </c>
      <c r="AT29" s="212"/>
      <c r="AU29" s="73">
        <f t="shared" si="18"/>
        <v>5</v>
      </c>
      <c r="AV29" s="75">
        <v>20</v>
      </c>
      <c r="AW29" s="73">
        <v>46</v>
      </c>
      <c r="AX29" s="74">
        <f t="shared" si="19"/>
        <v>66</v>
      </c>
      <c r="AY29" s="73">
        <v>26</v>
      </c>
      <c r="AZ29" s="74">
        <f t="shared" si="20"/>
        <v>92</v>
      </c>
      <c r="BA29" s="209"/>
      <c r="BB29" s="73">
        <f t="shared" si="21"/>
        <v>5</v>
      </c>
      <c r="BC29" s="75">
        <v>19</v>
      </c>
      <c r="BD29" s="73">
        <v>44</v>
      </c>
      <c r="BE29" s="74">
        <f t="shared" si="22"/>
        <v>63</v>
      </c>
      <c r="BF29" s="73">
        <v>30</v>
      </c>
      <c r="BG29" s="74">
        <f t="shared" si="23"/>
        <v>93</v>
      </c>
      <c r="BH29" s="209"/>
      <c r="BI29" s="73">
        <f t="shared" si="24"/>
        <v>5</v>
      </c>
      <c r="BJ29" s="75">
        <v>10</v>
      </c>
      <c r="BK29" s="73">
        <v>24</v>
      </c>
      <c r="BL29" s="74">
        <f t="shared" si="25"/>
        <v>34</v>
      </c>
      <c r="BM29" s="74">
        <f t="shared" si="26"/>
        <v>34</v>
      </c>
      <c r="BN29" s="209"/>
      <c r="BO29" s="73">
        <f t="shared" si="2"/>
        <v>3.5</v>
      </c>
      <c r="BP29" s="73">
        <f t="shared" si="27"/>
        <v>37.5</v>
      </c>
      <c r="BQ29" s="76">
        <f t="shared" si="28"/>
        <v>4.6875</v>
      </c>
      <c r="BR29" s="77" t="str">
        <f t="shared" si="29"/>
        <v>A</v>
      </c>
      <c r="BS29" s="61" t="str">
        <f t="shared" si="3"/>
        <v>BETTER</v>
      </c>
      <c r="BT29" s="60">
        <f t="shared" si="30"/>
        <v>688</v>
      </c>
      <c r="BU29" s="59"/>
      <c r="BV29" s="62"/>
    </row>
    <row r="30" spans="1:74" ht="27.95" customHeight="1">
      <c r="A30" s="71">
        <v>22</v>
      </c>
      <c r="B30" s="49">
        <v>33</v>
      </c>
      <c r="C30" s="51" t="s">
        <v>124</v>
      </c>
      <c r="D30" s="51" t="s">
        <v>125</v>
      </c>
      <c r="E30" s="51" t="s">
        <v>126</v>
      </c>
      <c r="F30" s="66" t="s">
        <v>223</v>
      </c>
      <c r="G30" s="72">
        <v>16</v>
      </c>
      <c r="H30" s="73">
        <v>20</v>
      </c>
      <c r="I30" s="74">
        <f t="shared" si="4"/>
        <v>36</v>
      </c>
      <c r="J30" s="73">
        <v>20</v>
      </c>
      <c r="K30" s="74">
        <f t="shared" si="31"/>
        <v>56</v>
      </c>
      <c r="L30" s="75">
        <v>9</v>
      </c>
      <c r="M30" s="73">
        <v>30</v>
      </c>
      <c r="N30" s="74">
        <f t="shared" si="32"/>
        <v>39</v>
      </c>
      <c r="O30" s="74">
        <f t="shared" si="5"/>
        <v>39</v>
      </c>
      <c r="P30" s="74">
        <f t="shared" si="0"/>
        <v>95</v>
      </c>
      <c r="Q30" s="209"/>
      <c r="R30" s="73">
        <f t="shared" si="6"/>
        <v>3.5</v>
      </c>
      <c r="S30" s="75">
        <v>18</v>
      </c>
      <c r="T30" s="73">
        <v>49</v>
      </c>
      <c r="U30" s="74">
        <f t="shared" si="7"/>
        <v>67</v>
      </c>
      <c r="V30" s="75">
        <v>7</v>
      </c>
      <c r="W30" s="73">
        <v>28</v>
      </c>
      <c r="X30" s="74">
        <f t="shared" si="8"/>
        <v>35</v>
      </c>
      <c r="Y30" s="74">
        <f t="shared" si="9"/>
        <v>102</v>
      </c>
      <c r="Z30" s="74">
        <f t="shared" si="1"/>
        <v>102</v>
      </c>
      <c r="AA30" s="209"/>
      <c r="AB30" s="73">
        <f t="shared" si="10"/>
        <v>3.5</v>
      </c>
      <c r="AC30" s="75">
        <v>16</v>
      </c>
      <c r="AD30" s="73">
        <v>25</v>
      </c>
      <c r="AE30" s="74">
        <f t="shared" si="11"/>
        <v>41</v>
      </c>
      <c r="AF30" s="73">
        <v>27</v>
      </c>
      <c r="AG30" s="74">
        <f t="shared" si="12"/>
        <v>68</v>
      </c>
      <c r="AH30" s="209"/>
      <c r="AI30" s="73">
        <f t="shared" si="13"/>
        <v>3.5</v>
      </c>
      <c r="AJ30" s="75">
        <v>20</v>
      </c>
      <c r="AK30" s="73">
        <v>37</v>
      </c>
      <c r="AL30" s="74">
        <f t="shared" si="14"/>
        <v>57</v>
      </c>
      <c r="AM30" s="73">
        <v>22</v>
      </c>
      <c r="AN30" s="74">
        <f t="shared" si="15"/>
        <v>79</v>
      </c>
      <c r="AO30" s="209"/>
      <c r="AP30" s="73">
        <f t="shared" si="16"/>
        <v>4</v>
      </c>
      <c r="AQ30" s="73">
        <v>23</v>
      </c>
      <c r="AR30" s="73">
        <v>25</v>
      </c>
      <c r="AS30" s="73">
        <f t="shared" si="17"/>
        <v>48</v>
      </c>
      <c r="AT30" s="212"/>
      <c r="AU30" s="73">
        <f t="shared" si="18"/>
        <v>5</v>
      </c>
      <c r="AV30" s="75">
        <v>20</v>
      </c>
      <c r="AW30" s="73">
        <v>42</v>
      </c>
      <c r="AX30" s="74">
        <f t="shared" si="19"/>
        <v>62</v>
      </c>
      <c r="AY30" s="73">
        <v>21</v>
      </c>
      <c r="AZ30" s="74">
        <f t="shared" si="20"/>
        <v>83</v>
      </c>
      <c r="BA30" s="209"/>
      <c r="BB30" s="73">
        <f t="shared" si="21"/>
        <v>5</v>
      </c>
      <c r="BC30" s="75">
        <v>17</v>
      </c>
      <c r="BD30" s="73">
        <v>31</v>
      </c>
      <c r="BE30" s="74">
        <f t="shared" si="22"/>
        <v>48</v>
      </c>
      <c r="BF30" s="73">
        <v>30</v>
      </c>
      <c r="BG30" s="74">
        <f t="shared" si="23"/>
        <v>78</v>
      </c>
      <c r="BH30" s="209"/>
      <c r="BI30" s="73">
        <f t="shared" si="24"/>
        <v>4</v>
      </c>
      <c r="BJ30" s="75">
        <v>10</v>
      </c>
      <c r="BK30" s="73">
        <v>24</v>
      </c>
      <c r="BL30" s="74">
        <f t="shared" si="25"/>
        <v>34</v>
      </c>
      <c r="BM30" s="74">
        <f t="shared" si="26"/>
        <v>34</v>
      </c>
      <c r="BN30" s="209"/>
      <c r="BO30" s="73">
        <f t="shared" si="2"/>
        <v>3.5</v>
      </c>
      <c r="BP30" s="73">
        <f t="shared" si="27"/>
        <v>32</v>
      </c>
      <c r="BQ30" s="76">
        <f t="shared" si="28"/>
        <v>4</v>
      </c>
      <c r="BR30" s="77" t="str">
        <f t="shared" si="29"/>
        <v>A</v>
      </c>
      <c r="BS30" s="61" t="str">
        <f t="shared" si="3"/>
        <v>BETTER</v>
      </c>
      <c r="BT30" s="60">
        <f t="shared" si="30"/>
        <v>587</v>
      </c>
      <c r="BU30" s="59"/>
      <c r="BV30" s="62"/>
    </row>
    <row r="31" spans="1:74" ht="27.95" customHeight="1">
      <c r="A31" s="71">
        <v>23</v>
      </c>
      <c r="B31" s="49">
        <v>35</v>
      </c>
      <c r="C31" s="51" t="s">
        <v>127</v>
      </c>
      <c r="D31" s="51" t="s">
        <v>128</v>
      </c>
      <c r="E31" s="51" t="s">
        <v>129</v>
      </c>
      <c r="F31" s="66" t="s">
        <v>224</v>
      </c>
      <c r="G31" s="72">
        <v>16</v>
      </c>
      <c r="H31" s="73">
        <v>19</v>
      </c>
      <c r="I31" s="74">
        <f t="shared" si="4"/>
        <v>35</v>
      </c>
      <c r="J31" s="73">
        <v>20</v>
      </c>
      <c r="K31" s="74">
        <f t="shared" si="31"/>
        <v>55</v>
      </c>
      <c r="L31" s="75">
        <v>9</v>
      </c>
      <c r="M31" s="73">
        <v>27</v>
      </c>
      <c r="N31" s="74">
        <f t="shared" si="32"/>
        <v>36</v>
      </c>
      <c r="O31" s="74">
        <f t="shared" si="5"/>
        <v>36</v>
      </c>
      <c r="P31" s="74">
        <f t="shared" si="0"/>
        <v>91</v>
      </c>
      <c r="Q31" s="209"/>
      <c r="R31" s="73">
        <f t="shared" si="6"/>
        <v>3.5</v>
      </c>
      <c r="S31" s="75">
        <v>19</v>
      </c>
      <c r="T31" s="73">
        <v>58</v>
      </c>
      <c r="U31" s="74">
        <f t="shared" si="7"/>
        <v>77</v>
      </c>
      <c r="V31" s="75">
        <v>8</v>
      </c>
      <c r="W31" s="73">
        <v>35</v>
      </c>
      <c r="X31" s="74">
        <f t="shared" si="8"/>
        <v>43</v>
      </c>
      <c r="Y31" s="74">
        <f t="shared" si="9"/>
        <v>120</v>
      </c>
      <c r="Z31" s="74">
        <f t="shared" si="1"/>
        <v>120</v>
      </c>
      <c r="AA31" s="209"/>
      <c r="AB31" s="73">
        <f t="shared" si="10"/>
        <v>5</v>
      </c>
      <c r="AC31" s="75">
        <v>18</v>
      </c>
      <c r="AD31" s="73">
        <v>34</v>
      </c>
      <c r="AE31" s="74">
        <f t="shared" si="11"/>
        <v>52</v>
      </c>
      <c r="AF31" s="73">
        <v>25</v>
      </c>
      <c r="AG31" s="74">
        <f t="shared" si="12"/>
        <v>77</v>
      </c>
      <c r="AH31" s="209"/>
      <c r="AI31" s="73">
        <f t="shared" si="13"/>
        <v>4</v>
      </c>
      <c r="AJ31" s="75">
        <v>18</v>
      </c>
      <c r="AK31" s="73">
        <v>31</v>
      </c>
      <c r="AL31" s="74">
        <f t="shared" si="14"/>
        <v>49</v>
      </c>
      <c r="AM31" s="73">
        <v>21</v>
      </c>
      <c r="AN31" s="74">
        <f t="shared" si="15"/>
        <v>70</v>
      </c>
      <c r="AO31" s="209"/>
      <c r="AP31" s="73">
        <f t="shared" si="16"/>
        <v>4</v>
      </c>
      <c r="AQ31" s="73">
        <v>23</v>
      </c>
      <c r="AR31" s="73">
        <v>25</v>
      </c>
      <c r="AS31" s="73">
        <f t="shared" si="17"/>
        <v>48</v>
      </c>
      <c r="AT31" s="212"/>
      <c r="AU31" s="73">
        <f t="shared" si="18"/>
        <v>5</v>
      </c>
      <c r="AV31" s="75">
        <v>20</v>
      </c>
      <c r="AW31" s="73">
        <v>26</v>
      </c>
      <c r="AX31" s="74">
        <f t="shared" si="19"/>
        <v>46</v>
      </c>
      <c r="AY31" s="73">
        <v>22</v>
      </c>
      <c r="AZ31" s="74">
        <f t="shared" si="20"/>
        <v>68</v>
      </c>
      <c r="BA31" s="209"/>
      <c r="BB31" s="73">
        <f t="shared" si="21"/>
        <v>3.5</v>
      </c>
      <c r="BC31" s="75">
        <v>17</v>
      </c>
      <c r="BD31" s="73">
        <v>25</v>
      </c>
      <c r="BE31" s="74">
        <f t="shared" si="22"/>
        <v>42</v>
      </c>
      <c r="BF31" s="73">
        <v>25</v>
      </c>
      <c r="BG31" s="74">
        <f t="shared" si="23"/>
        <v>67</v>
      </c>
      <c r="BH31" s="209"/>
      <c r="BI31" s="73">
        <f t="shared" si="24"/>
        <v>3.5</v>
      </c>
      <c r="BJ31" s="75">
        <v>10</v>
      </c>
      <c r="BK31" s="73">
        <v>24</v>
      </c>
      <c r="BL31" s="74">
        <f t="shared" si="25"/>
        <v>34</v>
      </c>
      <c r="BM31" s="74">
        <f t="shared" si="26"/>
        <v>34</v>
      </c>
      <c r="BN31" s="209"/>
      <c r="BO31" s="73">
        <f t="shared" si="2"/>
        <v>3.5</v>
      </c>
      <c r="BP31" s="73">
        <f t="shared" si="27"/>
        <v>32</v>
      </c>
      <c r="BQ31" s="76">
        <f t="shared" si="28"/>
        <v>4</v>
      </c>
      <c r="BR31" s="77" t="str">
        <f t="shared" si="29"/>
        <v>A</v>
      </c>
      <c r="BS31" s="61" t="str">
        <f t="shared" si="3"/>
        <v>BETTER</v>
      </c>
      <c r="BT31" s="60">
        <f t="shared" si="30"/>
        <v>575</v>
      </c>
      <c r="BU31" s="59"/>
      <c r="BV31" s="62"/>
    </row>
    <row r="32" spans="1:74" ht="27.95" customHeight="1">
      <c r="A32" s="71">
        <v>24</v>
      </c>
      <c r="B32" s="49">
        <v>36</v>
      </c>
      <c r="C32" s="51" t="s">
        <v>130</v>
      </c>
      <c r="D32" s="51" t="s">
        <v>131</v>
      </c>
      <c r="E32" s="51" t="s">
        <v>132</v>
      </c>
      <c r="F32" s="66" t="s">
        <v>352</v>
      </c>
      <c r="G32" s="72">
        <v>15</v>
      </c>
      <c r="H32" s="73">
        <v>24</v>
      </c>
      <c r="I32" s="74">
        <f t="shared" si="4"/>
        <v>39</v>
      </c>
      <c r="J32" s="73">
        <v>27</v>
      </c>
      <c r="K32" s="74">
        <f t="shared" si="31"/>
        <v>66</v>
      </c>
      <c r="L32" s="75">
        <v>9</v>
      </c>
      <c r="M32" s="73">
        <v>34</v>
      </c>
      <c r="N32" s="74">
        <f t="shared" si="32"/>
        <v>43</v>
      </c>
      <c r="O32" s="74">
        <f t="shared" si="5"/>
        <v>43</v>
      </c>
      <c r="P32" s="74">
        <f t="shared" si="0"/>
        <v>109</v>
      </c>
      <c r="Q32" s="209"/>
      <c r="R32" s="73">
        <f t="shared" si="6"/>
        <v>4</v>
      </c>
      <c r="S32" s="75">
        <v>17</v>
      </c>
      <c r="T32" s="73">
        <v>54</v>
      </c>
      <c r="U32" s="74">
        <f t="shared" si="7"/>
        <v>71</v>
      </c>
      <c r="V32" s="75">
        <v>8</v>
      </c>
      <c r="W32" s="73">
        <v>23</v>
      </c>
      <c r="X32" s="74">
        <f t="shared" si="8"/>
        <v>31</v>
      </c>
      <c r="Y32" s="74">
        <f t="shared" si="9"/>
        <v>102</v>
      </c>
      <c r="Z32" s="74">
        <f t="shared" si="1"/>
        <v>102</v>
      </c>
      <c r="AA32" s="209"/>
      <c r="AB32" s="73">
        <f t="shared" si="10"/>
        <v>3.5</v>
      </c>
      <c r="AC32" s="75">
        <v>19</v>
      </c>
      <c r="AD32" s="73">
        <v>31</v>
      </c>
      <c r="AE32" s="74">
        <f t="shared" si="11"/>
        <v>50</v>
      </c>
      <c r="AF32" s="73">
        <v>23</v>
      </c>
      <c r="AG32" s="74">
        <f t="shared" si="12"/>
        <v>73</v>
      </c>
      <c r="AH32" s="209"/>
      <c r="AI32" s="73">
        <f t="shared" si="13"/>
        <v>4</v>
      </c>
      <c r="AJ32" s="75">
        <v>15</v>
      </c>
      <c r="AK32" s="73">
        <v>29</v>
      </c>
      <c r="AL32" s="74">
        <f t="shared" si="14"/>
        <v>44</v>
      </c>
      <c r="AM32" s="73">
        <v>21</v>
      </c>
      <c r="AN32" s="74">
        <f t="shared" si="15"/>
        <v>65</v>
      </c>
      <c r="AO32" s="209"/>
      <c r="AP32" s="73">
        <f t="shared" si="16"/>
        <v>3.5</v>
      </c>
      <c r="AQ32" s="73">
        <v>23</v>
      </c>
      <c r="AR32" s="73">
        <v>25</v>
      </c>
      <c r="AS32" s="73">
        <f t="shared" si="17"/>
        <v>48</v>
      </c>
      <c r="AT32" s="212"/>
      <c r="AU32" s="73">
        <f t="shared" si="18"/>
        <v>5</v>
      </c>
      <c r="AV32" s="75">
        <v>20</v>
      </c>
      <c r="AW32" s="73">
        <v>41</v>
      </c>
      <c r="AX32" s="74">
        <f t="shared" si="19"/>
        <v>61</v>
      </c>
      <c r="AY32" s="73">
        <v>21</v>
      </c>
      <c r="AZ32" s="74">
        <f t="shared" si="20"/>
        <v>82</v>
      </c>
      <c r="BA32" s="209"/>
      <c r="BB32" s="73">
        <f t="shared" si="21"/>
        <v>5</v>
      </c>
      <c r="BC32" s="75">
        <v>16</v>
      </c>
      <c r="BD32" s="73">
        <v>17</v>
      </c>
      <c r="BE32" s="74">
        <f t="shared" si="22"/>
        <v>33</v>
      </c>
      <c r="BF32" s="73">
        <v>29</v>
      </c>
      <c r="BG32" s="74">
        <f t="shared" si="23"/>
        <v>62</v>
      </c>
      <c r="BH32" s="209"/>
      <c r="BI32" s="73">
        <f t="shared" si="24"/>
        <v>3.5</v>
      </c>
      <c r="BJ32" s="75">
        <v>10</v>
      </c>
      <c r="BK32" s="73">
        <v>22</v>
      </c>
      <c r="BL32" s="74">
        <f t="shared" si="25"/>
        <v>32</v>
      </c>
      <c r="BM32" s="74">
        <f t="shared" si="26"/>
        <v>32</v>
      </c>
      <c r="BN32" s="209"/>
      <c r="BO32" s="73">
        <f t="shared" si="2"/>
        <v>3.5</v>
      </c>
      <c r="BP32" s="73">
        <f t="shared" si="27"/>
        <v>32</v>
      </c>
      <c r="BQ32" s="76">
        <f t="shared" si="28"/>
        <v>4</v>
      </c>
      <c r="BR32" s="77" t="str">
        <f t="shared" si="29"/>
        <v>A</v>
      </c>
      <c r="BS32" s="61" t="str">
        <f t="shared" si="3"/>
        <v>BETTER</v>
      </c>
      <c r="BT32" s="60">
        <f t="shared" si="30"/>
        <v>573</v>
      </c>
      <c r="BU32" s="59"/>
      <c r="BV32" s="62"/>
    </row>
    <row r="33" spans="1:74" ht="27.95" customHeight="1">
      <c r="A33" s="71">
        <v>25</v>
      </c>
      <c r="B33" s="49">
        <v>38</v>
      </c>
      <c r="C33" s="51" t="s">
        <v>133</v>
      </c>
      <c r="D33" s="51" t="s">
        <v>134</v>
      </c>
      <c r="E33" s="51" t="s">
        <v>135</v>
      </c>
      <c r="F33" s="66" t="s">
        <v>353</v>
      </c>
      <c r="G33" s="72">
        <v>14</v>
      </c>
      <c r="H33" s="73">
        <v>30</v>
      </c>
      <c r="I33" s="74">
        <f t="shared" si="4"/>
        <v>44</v>
      </c>
      <c r="J33" s="73">
        <v>24</v>
      </c>
      <c r="K33" s="74">
        <f t="shared" si="31"/>
        <v>68</v>
      </c>
      <c r="L33" s="75">
        <v>10</v>
      </c>
      <c r="M33" s="73">
        <v>36</v>
      </c>
      <c r="N33" s="74">
        <f t="shared" si="32"/>
        <v>46</v>
      </c>
      <c r="O33" s="74">
        <f t="shared" si="5"/>
        <v>46</v>
      </c>
      <c r="P33" s="74">
        <f t="shared" si="0"/>
        <v>114</v>
      </c>
      <c r="Q33" s="209"/>
      <c r="R33" s="73">
        <f t="shared" si="6"/>
        <v>4</v>
      </c>
      <c r="S33" s="75">
        <v>20</v>
      </c>
      <c r="T33" s="73">
        <v>54</v>
      </c>
      <c r="U33" s="74">
        <f t="shared" si="7"/>
        <v>74</v>
      </c>
      <c r="V33" s="75">
        <v>10</v>
      </c>
      <c r="W33" s="73">
        <v>32</v>
      </c>
      <c r="X33" s="74">
        <f t="shared" si="8"/>
        <v>42</v>
      </c>
      <c r="Y33" s="74">
        <f t="shared" si="9"/>
        <v>116</v>
      </c>
      <c r="Z33" s="74">
        <f t="shared" si="1"/>
        <v>116</v>
      </c>
      <c r="AA33" s="209"/>
      <c r="AB33" s="73">
        <f t="shared" si="10"/>
        <v>4</v>
      </c>
      <c r="AC33" s="75">
        <v>19</v>
      </c>
      <c r="AD33" s="73">
        <v>34</v>
      </c>
      <c r="AE33" s="74">
        <f t="shared" si="11"/>
        <v>53</v>
      </c>
      <c r="AF33" s="73">
        <v>21</v>
      </c>
      <c r="AG33" s="74">
        <f t="shared" si="12"/>
        <v>74</v>
      </c>
      <c r="AH33" s="209"/>
      <c r="AI33" s="73">
        <f t="shared" si="13"/>
        <v>4</v>
      </c>
      <c r="AJ33" s="75">
        <v>20</v>
      </c>
      <c r="AK33" s="73">
        <v>46</v>
      </c>
      <c r="AL33" s="74">
        <f t="shared" si="14"/>
        <v>66</v>
      </c>
      <c r="AM33" s="73">
        <v>25</v>
      </c>
      <c r="AN33" s="74">
        <f t="shared" si="15"/>
        <v>91</v>
      </c>
      <c r="AO33" s="209"/>
      <c r="AP33" s="73">
        <f t="shared" si="16"/>
        <v>5</v>
      </c>
      <c r="AQ33" s="73">
        <v>23</v>
      </c>
      <c r="AR33" s="73">
        <v>25</v>
      </c>
      <c r="AS33" s="73">
        <f t="shared" si="17"/>
        <v>48</v>
      </c>
      <c r="AT33" s="212"/>
      <c r="AU33" s="73">
        <f t="shared" si="18"/>
        <v>5</v>
      </c>
      <c r="AV33" s="75">
        <v>20</v>
      </c>
      <c r="AW33" s="73">
        <v>45</v>
      </c>
      <c r="AX33" s="74">
        <f t="shared" si="19"/>
        <v>65</v>
      </c>
      <c r="AY33" s="73">
        <v>26</v>
      </c>
      <c r="AZ33" s="74">
        <f t="shared" si="20"/>
        <v>91</v>
      </c>
      <c r="BA33" s="209"/>
      <c r="BB33" s="73">
        <f t="shared" si="21"/>
        <v>5</v>
      </c>
      <c r="BC33" s="75">
        <v>19</v>
      </c>
      <c r="BD33" s="73">
        <v>34</v>
      </c>
      <c r="BE33" s="74">
        <f t="shared" si="22"/>
        <v>53</v>
      </c>
      <c r="BF33" s="73">
        <v>28</v>
      </c>
      <c r="BG33" s="74">
        <f t="shared" si="23"/>
        <v>81</v>
      </c>
      <c r="BH33" s="209"/>
      <c r="BI33" s="73">
        <f t="shared" si="24"/>
        <v>5</v>
      </c>
      <c r="BJ33" s="75">
        <v>10</v>
      </c>
      <c r="BK33" s="73">
        <v>28</v>
      </c>
      <c r="BL33" s="74">
        <f t="shared" si="25"/>
        <v>38</v>
      </c>
      <c r="BM33" s="74">
        <f t="shared" si="26"/>
        <v>38</v>
      </c>
      <c r="BN33" s="209"/>
      <c r="BO33" s="73">
        <f t="shared" si="2"/>
        <v>4</v>
      </c>
      <c r="BP33" s="73">
        <f t="shared" si="27"/>
        <v>36</v>
      </c>
      <c r="BQ33" s="76">
        <f t="shared" si="28"/>
        <v>4.5</v>
      </c>
      <c r="BR33" s="77" t="str">
        <f t="shared" si="29"/>
        <v>A</v>
      </c>
      <c r="BS33" s="61" t="str">
        <f t="shared" si="3"/>
        <v>BETTER</v>
      </c>
      <c r="BT33" s="60">
        <f t="shared" si="30"/>
        <v>653</v>
      </c>
      <c r="BU33" s="59"/>
      <c r="BV33" s="62"/>
    </row>
    <row r="34" spans="1:74" ht="27.95" customHeight="1">
      <c r="A34" s="71">
        <v>26</v>
      </c>
      <c r="B34" s="49">
        <v>40</v>
      </c>
      <c r="C34" s="51" t="s">
        <v>136</v>
      </c>
      <c r="D34" s="51" t="s">
        <v>137</v>
      </c>
      <c r="E34" s="51" t="s">
        <v>138</v>
      </c>
      <c r="F34" s="66" t="s">
        <v>355</v>
      </c>
      <c r="G34" s="72">
        <v>11</v>
      </c>
      <c r="H34" s="73">
        <v>18</v>
      </c>
      <c r="I34" s="74">
        <f t="shared" si="4"/>
        <v>29</v>
      </c>
      <c r="J34" s="73">
        <v>24</v>
      </c>
      <c r="K34" s="74">
        <f t="shared" si="31"/>
        <v>53</v>
      </c>
      <c r="L34" s="75">
        <v>10</v>
      </c>
      <c r="M34" s="73">
        <v>35</v>
      </c>
      <c r="N34" s="74">
        <f t="shared" si="32"/>
        <v>45</v>
      </c>
      <c r="O34" s="74">
        <f t="shared" si="5"/>
        <v>45</v>
      </c>
      <c r="P34" s="74">
        <f t="shared" si="0"/>
        <v>98</v>
      </c>
      <c r="Q34" s="209"/>
      <c r="R34" s="73">
        <f t="shared" si="6"/>
        <v>3.5</v>
      </c>
      <c r="S34" s="75">
        <v>18</v>
      </c>
      <c r="T34" s="73">
        <v>47</v>
      </c>
      <c r="U34" s="74">
        <f t="shared" si="7"/>
        <v>65</v>
      </c>
      <c r="V34" s="75">
        <v>8</v>
      </c>
      <c r="W34" s="73">
        <v>30</v>
      </c>
      <c r="X34" s="74">
        <f t="shared" si="8"/>
        <v>38</v>
      </c>
      <c r="Y34" s="74">
        <f t="shared" si="9"/>
        <v>103</v>
      </c>
      <c r="Z34" s="74">
        <f t="shared" si="1"/>
        <v>103</v>
      </c>
      <c r="AA34" s="209"/>
      <c r="AB34" s="73">
        <f t="shared" si="10"/>
        <v>3.5</v>
      </c>
      <c r="AC34" s="75">
        <v>16</v>
      </c>
      <c r="AD34" s="73">
        <v>26</v>
      </c>
      <c r="AE34" s="74">
        <f t="shared" si="11"/>
        <v>42</v>
      </c>
      <c r="AF34" s="73">
        <v>24</v>
      </c>
      <c r="AG34" s="74">
        <f t="shared" si="12"/>
        <v>66</v>
      </c>
      <c r="AH34" s="209"/>
      <c r="AI34" s="73">
        <f t="shared" si="13"/>
        <v>3.5</v>
      </c>
      <c r="AJ34" s="75">
        <v>18</v>
      </c>
      <c r="AK34" s="73">
        <v>35</v>
      </c>
      <c r="AL34" s="74">
        <f t="shared" si="14"/>
        <v>53</v>
      </c>
      <c r="AM34" s="73">
        <v>27</v>
      </c>
      <c r="AN34" s="74">
        <f t="shared" si="15"/>
        <v>80</v>
      </c>
      <c r="AO34" s="209"/>
      <c r="AP34" s="73">
        <f t="shared" si="16"/>
        <v>5</v>
      </c>
      <c r="AQ34" s="73">
        <v>23</v>
      </c>
      <c r="AR34" s="73">
        <v>25</v>
      </c>
      <c r="AS34" s="73">
        <f t="shared" si="17"/>
        <v>48</v>
      </c>
      <c r="AT34" s="212"/>
      <c r="AU34" s="73">
        <f t="shared" si="18"/>
        <v>5</v>
      </c>
      <c r="AV34" s="75">
        <v>20</v>
      </c>
      <c r="AW34" s="73">
        <v>21</v>
      </c>
      <c r="AX34" s="74">
        <f t="shared" si="19"/>
        <v>41</v>
      </c>
      <c r="AY34" s="73">
        <v>28</v>
      </c>
      <c r="AZ34" s="74">
        <f t="shared" si="20"/>
        <v>69</v>
      </c>
      <c r="BA34" s="209"/>
      <c r="BB34" s="73">
        <f t="shared" si="21"/>
        <v>3.5</v>
      </c>
      <c r="BC34" s="75">
        <v>19</v>
      </c>
      <c r="BD34" s="73">
        <v>27</v>
      </c>
      <c r="BE34" s="74">
        <f t="shared" si="22"/>
        <v>46</v>
      </c>
      <c r="BF34" s="73">
        <v>30</v>
      </c>
      <c r="BG34" s="74">
        <f t="shared" si="23"/>
        <v>76</v>
      </c>
      <c r="BH34" s="209"/>
      <c r="BI34" s="73">
        <f t="shared" si="24"/>
        <v>4</v>
      </c>
      <c r="BJ34" s="75">
        <v>10</v>
      </c>
      <c r="BK34" s="73">
        <v>28</v>
      </c>
      <c r="BL34" s="74">
        <f t="shared" si="25"/>
        <v>38</v>
      </c>
      <c r="BM34" s="74">
        <f t="shared" si="26"/>
        <v>38</v>
      </c>
      <c r="BN34" s="209"/>
      <c r="BO34" s="73">
        <f t="shared" si="2"/>
        <v>4</v>
      </c>
      <c r="BP34" s="73">
        <f t="shared" si="27"/>
        <v>32</v>
      </c>
      <c r="BQ34" s="76">
        <f t="shared" si="28"/>
        <v>4</v>
      </c>
      <c r="BR34" s="77" t="str">
        <f t="shared" si="29"/>
        <v>A</v>
      </c>
      <c r="BS34" s="61" t="str">
        <f t="shared" si="3"/>
        <v>BETTER</v>
      </c>
      <c r="BT34" s="60">
        <f t="shared" si="30"/>
        <v>578</v>
      </c>
      <c r="BU34" s="59"/>
      <c r="BV34" s="62"/>
    </row>
    <row r="35" spans="1:74" ht="27.95" customHeight="1">
      <c r="A35" s="71">
        <v>27</v>
      </c>
      <c r="B35" s="49">
        <v>42</v>
      </c>
      <c r="C35" s="50" t="s">
        <v>139</v>
      </c>
      <c r="D35" s="50" t="s">
        <v>140</v>
      </c>
      <c r="E35" s="50" t="s">
        <v>141</v>
      </c>
      <c r="F35" s="65" t="s">
        <v>356</v>
      </c>
      <c r="G35" s="72">
        <v>14</v>
      </c>
      <c r="H35" s="73">
        <v>25</v>
      </c>
      <c r="I35" s="74">
        <f t="shared" si="4"/>
        <v>39</v>
      </c>
      <c r="J35" s="73">
        <v>21</v>
      </c>
      <c r="K35" s="74">
        <f t="shared" si="31"/>
        <v>60</v>
      </c>
      <c r="L35" s="75">
        <v>10</v>
      </c>
      <c r="M35" s="73">
        <v>30</v>
      </c>
      <c r="N35" s="74">
        <f t="shared" si="32"/>
        <v>40</v>
      </c>
      <c r="O35" s="74">
        <f t="shared" si="5"/>
        <v>40</v>
      </c>
      <c r="P35" s="74">
        <f t="shared" si="0"/>
        <v>100</v>
      </c>
      <c r="Q35" s="209"/>
      <c r="R35" s="73">
        <f t="shared" si="6"/>
        <v>3.5</v>
      </c>
      <c r="S35" s="75">
        <v>17</v>
      </c>
      <c r="T35" s="73">
        <v>50</v>
      </c>
      <c r="U35" s="74">
        <f t="shared" si="7"/>
        <v>67</v>
      </c>
      <c r="V35" s="75">
        <v>8</v>
      </c>
      <c r="W35" s="73">
        <v>16</v>
      </c>
      <c r="X35" s="74">
        <f t="shared" si="8"/>
        <v>24</v>
      </c>
      <c r="Y35" s="74">
        <f t="shared" si="9"/>
        <v>91</v>
      </c>
      <c r="Z35" s="74">
        <f t="shared" si="1"/>
        <v>91</v>
      </c>
      <c r="AA35" s="209"/>
      <c r="AB35" s="73">
        <f t="shared" si="10"/>
        <v>3.5</v>
      </c>
      <c r="AC35" s="75">
        <v>19</v>
      </c>
      <c r="AD35" s="73">
        <v>25</v>
      </c>
      <c r="AE35" s="74">
        <f t="shared" si="11"/>
        <v>44</v>
      </c>
      <c r="AF35" s="73">
        <v>22</v>
      </c>
      <c r="AG35" s="74">
        <f t="shared" si="12"/>
        <v>66</v>
      </c>
      <c r="AH35" s="209"/>
      <c r="AI35" s="73">
        <f t="shared" si="13"/>
        <v>3.5</v>
      </c>
      <c r="AJ35" s="75">
        <v>15</v>
      </c>
      <c r="AK35" s="73">
        <v>34</v>
      </c>
      <c r="AL35" s="74">
        <f t="shared" si="14"/>
        <v>49</v>
      </c>
      <c r="AM35" s="73">
        <v>24</v>
      </c>
      <c r="AN35" s="74">
        <f t="shared" si="15"/>
        <v>73</v>
      </c>
      <c r="AO35" s="209"/>
      <c r="AP35" s="73">
        <f t="shared" si="16"/>
        <v>4</v>
      </c>
      <c r="AQ35" s="73">
        <v>23</v>
      </c>
      <c r="AR35" s="73">
        <v>25</v>
      </c>
      <c r="AS35" s="73">
        <f t="shared" si="17"/>
        <v>48</v>
      </c>
      <c r="AT35" s="212"/>
      <c r="AU35" s="73">
        <f t="shared" si="18"/>
        <v>5</v>
      </c>
      <c r="AV35" s="75">
        <v>19</v>
      </c>
      <c r="AW35" s="73">
        <v>32</v>
      </c>
      <c r="AX35" s="74">
        <f t="shared" si="19"/>
        <v>51</v>
      </c>
      <c r="AY35" s="73">
        <v>20</v>
      </c>
      <c r="AZ35" s="74">
        <f t="shared" si="20"/>
        <v>71</v>
      </c>
      <c r="BA35" s="209"/>
      <c r="BB35" s="73">
        <f t="shared" si="21"/>
        <v>4</v>
      </c>
      <c r="BC35" s="75">
        <v>17</v>
      </c>
      <c r="BD35" s="73">
        <v>32</v>
      </c>
      <c r="BE35" s="74">
        <f t="shared" si="22"/>
        <v>49</v>
      </c>
      <c r="BF35" s="73">
        <v>30</v>
      </c>
      <c r="BG35" s="74">
        <f t="shared" si="23"/>
        <v>79</v>
      </c>
      <c r="BH35" s="209"/>
      <c r="BI35" s="73">
        <f t="shared" si="24"/>
        <v>4</v>
      </c>
      <c r="BJ35" s="75">
        <v>9</v>
      </c>
      <c r="BK35" s="73">
        <v>24</v>
      </c>
      <c r="BL35" s="74">
        <f t="shared" si="25"/>
        <v>33</v>
      </c>
      <c r="BM35" s="74">
        <f t="shared" si="26"/>
        <v>33</v>
      </c>
      <c r="BN35" s="209"/>
      <c r="BO35" s="73">
        <f t="shared" si="2"/>
        <v>3.5</v>
      </c>
      <c r="BP35" s="73">
        <f t="shared" si="27"/>
        <v>31</v>
      </c>
      <c r="BQ35" s="76">
        <f t="shared" si="28"/>
        <v>3.875</v>
      </c>
      <c r="BR35" s="77" t="str">
        <f t="shared" si="29"/>
        <v>A-</v>
      </c>
      <c r="BS35" s="61" t="str">
        <f t="shared" si="3"/>
        <v>GOOD</v>
      </c>
      <c r="BT35" s="60">
        <f t="shared" si="30"/>
        <v>561</v>
      </c>
      <c r="BU35" s="59"/>
      <c r="BV35" s="62"/>
    </row>
    <row r="36" spans="1:74" ht="27.95" customHeight="1">
      <c r="A36" s="71">
        <v>28</v>
      </c>
      <c r="B36" s="49">
        <v>50</v>
      </c>
      <c r="C36" s="50" t="s">
        <v>142</v>
      </c>
      <c r="D36" s="50" t="s">
        <v>143</v>
      </c>
      <c r="E36" s="50" t="s">
        <v>144</v>
      </c>
      <c r="F36" s="65" t="s">
        <v>358</v>
      </c>
      <c r="G36" s="72">
        <v>14</v>
      </c>
      <c r="H36" s="73">
        <v>26</v>
      </c>
      <c r="I36" s="74">
        <f t="shared" si="4"/>
        <v>40</v>
      </c>
      <c r="J36" s="73">
        <v>29</v>
      </c>
      <c r="K36" s="74">
        <f t="shared" si="31"/>
        <v>69</v>
      </c>
      <c r="L36" s="75">
        <v>9</v>
      </c>
      <c r="M36" s="73">
        <v>34</v>
      </c>
      <c r="N36" s="74">
        <f t="shared" si="32"/>
        <v>43</v>
      </c>
      <c r="O36" s="74">
        <f t="shared" si="5"/>
        <v>43</v>
      </c>
      <c r="P36" s="74">
        <f t="shared" si="0"/>
        <v>112</v>
      </c>
      <c r="Q36" s="209"/>
      <c r="R36" s="73">
        <f t="shared" si="6"/>
        <v>4</v>
      </c>
      <c r="S36" s="75">
        <v>17</v>
      </c>
      <c r="T36" s="73">
        <v>44</v>
      </c>
      <c r="U36" s="74">
        <f t="shared" si="7"/>
        <v>61</v>
      </c>
      <c r="V36" s="75">
        <v>7</v>
      </c>
      <c r="W36" s="73">
        <v>23</v>
      </c>
      <c r="X36" s="74">
        <f t="shared" si="8"/>
        <v>30</v>
      </c>
      <c r="Y36" s="74">
        <f t="shared" si="9"/>
        <v>91</v>
      </c>
      <c r="Z36" s="74">
        <f t="shared" si="1"/>
        <v>91</v>
      </c>
      <c r="AA36" s="209"/>
      <c r="AB36" s="73">
        <f t="shared" si="10"/>
        <v>3.5</v>
      </c>
      <c r="AC36" s="75">
        <v>19</v>
      </c>
      <c r="AD36" s="73">
        <v>26</v>
      </c>
      <c r="AE36" s="74">
        <f t="shared" si="11"/>
        <v>45</v>
      </c>
      <c r="AF36" s="73">
        <v>22</v>
      </c>
      <c r="AG36" s="74">
        <f t="shared" si="12"/>
        <v>67</v>
      </c>
      <c r="AH36" s="209"/>
      <c r="AI36" s="73">
        <f t="shared" si="13"/>
        <v>3.5</v>
      </c>
      <c r="AJ36" s="75">
        <v>16</v>
      </c>
      <c r="AK36" s="73">
        <v>27</v>
      </c>
      <c r="AL36" s="74">
        <f t="shared" si="14"/>
        <v>43</v>
      </c>
      <c r="AM36" s="73">
        <v>23</v>
      </c>
      <c r="AN36" s="74">
        <f t="shared" si="15"/>
        <v>66</v>
      </c>
      <c r="AO36" s="209"/>
      <c r="AP36" s="73">
        <f t="shared" si="16"/>
        <v>3.5</v>
      </c>
      <c r="AQ36" s="73">
        <v>23</v>
      </c>
      <c r="AR36" s="73">
        <v>25</v>
      </c>
      <c r="AS36" s="73">
        <f t="shared" si="17"/>
        <v>48</v>
      </c>
      <c r="AT36" s="212"/>
      <c r="AU36" s="73">
        <f t="shared" si="18"/>
        <v>5</v>
      </c>
      <c r="AV36" s="75">
        <v>20</v>
      </c>
      <c r="AW36" s="73">
        <v>41</v>
      </c>
      <c r="AX36" s="74">
        <f t="shared" si="19"/>
        <v>61</v>
      </c>
      <c r="AY36" s="73">
        <v>20</v>
      </c>
      <c r="AZ36" s="74">
        <f t="shared" si="20"/>
        <v>81</v>
      </c>
      <c r="BA36" s="209"/>
      <c r="BB36" s="73">
        <f t="shared" si="21"/>
        <v>5</v>
      </c>
      <c r="BC36" s="75">
        <v>17</v>
      </c>
      <c r="BD36" s="73">
        <v>35</v>
      </c>
      <c r="BE36" s="74">
        <f t="shared" si="22"/>
        <v>52</v>
      </c>
      <c r="BF36" s="73">
        <v>26</v>
      </c>
      <c r="BG36" s="74">
        <f t="shared" si="23"/>
        <v>78</v>
      </c>
      <c r="BH36" s="209"/>
      <c r="BI36" s="73">
        <f t="shared" si="24"/>
        <v>4</v>
      </c>
      <c r="BJ36" s="75">
        <v>9</v>
      </c>
      <c r="BK36" s="73">
        <v>24</v>
      </c>
      <c r="BL36" s="74">
        <f t="shared" si="25"/>
        <v>33</v>
      </c>
      <c r="BM36" s="74">
        <f t="shared" si="26"/>
        <v>33</v>
      </c>
      <c r="BN36" s="209"/>
      <c r="BO36" s="73">
        <f t="shared" si="2"/>
        <v>3.5</v>
      </c>
      <c r="BP36" s="73">
        <f t="shared" si="27"/>
        <v>32</v>
      </c>
      <c r="BQ36" s="76">
        <f t="shared" si="28"/>
        <v>4</v>
      </c>
      <c r="BR36" s="77" t="str">
        <f t="shared" si="29"/>
        <v>A</v>
      </c>
      <c r="BS36" s="61" t="str">
        <f t="shared" si="3"/>
        <v>BETTER</v>
      </c>
      <c r="BT36" s="60">
        <f t="shared" si="30"/>
        <v>576</v>
      </c>
      <c r="BU36" s="59"/>
      <c r="BV36" s="62"/>
    </row>
    <row r="37" spans="1:74" ht="27.95" customHeight="1">
      <c r="A37" s="71">
        <v>29</v>
      </c>
      <c r="B37" s="49">
        <v>55</v>
      </c>
      <c r="C37" s="50" t="s">
        <v>145</v>
      </c>
      <c r="D37" s="50" t="s">
        <v>146</v>
      </c>
      <c r="E37" s="50" t="s">
        <v>147</v>
      </c>
      <c r="F37" s="65" t="s">
        <v>249</v>
      </c>
      <c r="G37" s="72">
        <v>13</v>
      </c>
      <c r="H37" s="73">
        <v>16</v>
      </c>
      <c r="I37" s="74">
        <f t="shared" si="4"/>
        <v>29</v>
      </c>
      <c r="J37" s="73">
        <v>25</v>
      </c>
      <c r="K37" s="74">
        <f t="shared" si="31"/>
        <v>54</v>
      </c>
      <c r="L37" s="75">
        <v>7</v>
      </c>
      <c r="M37" s="73">
        <v>20</v>
      </c>
      <c r="N37" s="74">
        <f t="shared" si="32"/>
        <v>27</v>
      </c>
      <c r="O37" s="74">
        <f t="shared" si="5"/>
        <v>27</v>
      </c>
      <c r="P37" s="74">
        <f t="shared" si="0"/>
        <v>81</v>
      </c>
      <c r="Q37" s="209"/>
      <c r="R37" s="73">
        <f t="shared" si="6"/>
        <v>3</v>
      </c>
      <c r="S37" s="75">
        <v>19</v>
      </c>
      <c r="T37" s="73">
        <v>30</v>
      </c>
      <c r="U37" s="74">
        <f t="shared" si="7"/>
        <v>49</v>
      </c>
      <c r="V37" s="75">
        <v>8</v>
      </c>
      <c r="W37" s="73">
        <v>16</v>
      </c>
      <c r="X37" s="74">
        <f t="shared" si="8"/>
        <v>24</v>
      </c>
      <c r="Y37" s="74">
        <f t="shared" si="9"/>
        <v>73</v>
      </c>
      <c r="Z37" s="74">
        <f t="shared" si="1"/>
        <v>73</v>
      </c>
      <c r="AA37" s="209"/>
      <c r="AB37" s="73">
        <f t="shared" si="10"/>
        <v>2</v>
      </c>
      <c r="AC37" s="75">
        <v>16</v>
      </c>
      <c r="AD37" s="73">
        <v>26</v>
      </c>
      <c r="AE37" s="74">
        <f t="shared" si="11"/>
        <v>42</v>
      </c>
      <c r="AF37" s="73">
        <v>29</v>
      </c>
      <c r="AG37" s="74">
        <f t="shared" si="12"/>
        <v>71</v>
      </c>
      <c r="AH37" s="209"/>
      <c r="AI37" s="73">
        <f t="shared" si="13"/>
        <v>4</v>
      </c>
      <c r="AJ37" s="75">
        <v>13</v>
      </c>
      <c r="AK37" s="73">
        <v>20</v>
      </c>
      <c r="AL37" s="74">
        <f t="shared" si="14"/>
        <v>33</v>
      </c>
      <c r="AM37" s="73">
        <v>21</v>
      </c>
      <c r="AN37" s="74">
        <f t="shared" si="15"/>
        <v>54</v>
      </c>
      <c r="AO37" s="209"/>
      <c r="AP37" s="73">
        <f t="shared" si="16"/>
        <v>3</v>
      </c>
      <c r="AQ37" s="73">
        <v>23</v>
      </c>
      <c r="AR37" s="73">
        <v>25</v>
      </c>
      <c r="AS37" s="73">
        <f t="shared" si="17"/>
        <v>48</v>
      </c>
      <c r="AT37" s="212"/>
      <c r="AU37" s="73">
        <f t="shared" si="18"/>
        <v>5</v>
      </c>
      <c r="AV37" s="75">
        <v>15</v>
      </c>
      <c r="AW37" s="73">
        <v>32</v>
      </c>
      <c r="AX37" s="74">
        <f t="shared" si="19"/>
        <v>47</v>
      </c>
      <c r="AY37" s="73">
        <v>20</v>
      </c>
      <c r="AZ37" s="74">
        <f t="shared" si="20"/>
        <v>67</v>
      </c>
      <c r="BA37" s="209"/>
      <c r="BB37" s="73">
        <f t="shared" si="21"/>
        <v>3.5</v>
      </c>
      <c r="BC37" s="75">
        <v>14</v>
      </c>
      <c r="BD37" s="73">
        <v>16</v>
      </c>
      <c r="BE37" s="74">
        <f t="shared" si="22"/>
        <v>30</v>
      </c>
      <c r="BF37" s="73">
        <v>29</v>
      </c>
      <c r="BG37" s="74">
        <f t="shared" si="23"/>
        <v>59</v>
      </c>
      <c r="BH37" s="209"/>
      <c r="BI37" s="73">
        <f t="shared" si="24"/>
        <v>3</v>
      </c>
      <c r="BJ37" s="75">
        <v>9</v>
      </c>
      <c r="BK37" s="73">
        <v>24</v>
      </c>
      <c r="BL37" s="74">
        <f t="shared" si="25"/>
        <v>33</v>
      </c>
      <c r="BM37" s="74">
        <f t="shared" si="26"/>
        <v>33</v>
      </c>
      <c r="BN37" s="209"/>
      <c r="BO37" s="73">
        <f t="shared" si="2"/>
        <v>3.5</v>
      </c>
      <c r="BP37" s="73">
        <f t="shared" si="27"/>
        <v>27</v>
      </c>
      <c r="BQ37" s="76">
        <f t="shared" si="28"/>
        <v>3.375</v>
      </c>
      <c r="BR37" s="77" t="str">
        <f t="shared" si="29"/>
        <v>B</v>
      </c>
      <c r="BS37" s="61" t="str">
        <f t="shared" si="3"/>
        <v>GOOD</v>
      </c>
      <c r="BT37" s="60">
        <f t="shared" si="30"/>
        <v>486</v>
      </c>
      <c r="BU37" s="59"/>
      <c r="BV37" s="62"/>
    </row>
    <row r="38" spans="1:74" ht="27.95" customHeight="1">
      <c r="A38" s="71">
        <v>30</v>
      </c>
      <c r="B38" s="49">
        <v>59</v>
      </c>
      <c r="C38" s="51" t="s">
        <v>148</v>
      </c>
      <c r="D38" s="51" t="s">
        <v>149</v>
      </c>
      <c r="E38" s="51" t="s">
        <v>150</v>
      </c>
      <c r="F38" s="66" t="s">
        <v>250</v>
      </c>
      <c r="G38" s="72">
        <v>17</v>
      </c>
      <c r="H38" s="73">
        <v>29</v>
      </c>
      <c r="I38" s="74">
        <f t="shared" si="4"/>
        <v>46</v>
      </c>
      <c r="J38" s="73">
        <v>26</v>
      </c>
      <c r="K38" s="74">
        <f t="shared" si="31"/>
        <v>72</v>
      </c>
      <c r="L38" s="75">
        <v>9</v>
      </c>
      <c r="M38" s="73">
        <v>28</v>
      </c>
      <c r="N38" s="74">
        <f t="shared" si="32"/>
        <v>37</v>
      </c>
      <c r="O38" s="74">
        <f t="shared" si="5"/>
        <v>37</v>
      </c>
      <c r="P38" s="74">
        <f t="shared" si="0"/>
        <v>109</v>
      </c>
      <c r="Q38" s="209"/>
      <c r="R38" s="73">
        <f t="shared" si="6"/>
        <v>4</v>
      </c>
      <c r="S38" s="75">
        <v>19</v>
      </c>
      <c r="T38" s="73">
        <v>48</v>
      </c>
      <c r="U38" s="74">
        <f t="shared" si="7"/>
        <v>67</v>
      </c>
      <c r="V38" s="75">
        <v>8</v>
      </c>
      <c r="W38" s="73">
        <v>20</v>
      </c>
      <c r="X38" s="74">
        <f t="shared" si="8"/>
        <v>28</v>
      </c>
      <c r="Y38" s="74">
        <f t="shared" si="9"/>
        <v>95</v>
      </c>
      <c r="Z38" s="74">
        <f t="shared" si="1"/>
        <v>95</v>
      </c>
      <c r="AA38" s="209"/>
      <c r="AB38" s="73">
        <f t="shared" si="10"/>
        <v>3.5</v>
      </c>
      <c r="AC38" s="75">
        <v>17</v>
      </c>
      <c r="AD38" s="73">
        <v>43</v>
      </c>
      <c r="AE38" s="74">
        <f t="shared" si="11"/>
        <v>60</v>
      </c>
      <c r="AF38" s="73">
        <v>26</v>
      </c>
      <c r="AG38" s="74">
        <f t="shared" si="12"/>
        <v>86</v>
      </c>
      <c r="AH38" s="209"/>
      <c r="AI38" s="73">
        <f t="shared" si="13"/>
        <v>5</v>
      </c>
      <c r="AJ38" s="75">
        <v>19</v>
      </c>
      <c r="AK38" s="73">
        <v>35</v>
      </c>
      <c r="AL38" s="74">
        <f t="shared" si="14"/>
        <v>54</v>
      </c>
      <c r="AM38" s="73">
        <v>26</v>
      </c>
      <c r="AN38" s="74">
        <f t="shared" si="15"/>
        <v>80</v>
      </c>
      <c r="AO38" s="209"/>
      <c r="AP38" s="73">
        <f t="shared" si="16"/>
        <v>5</v>
      </c>
      <c r="AQ38" s="73">
        <v>23</v>
      </c>
      <c r="AR38" s="73">
        <v>25</v>
      </c>
      <c r="AS38" s="73">
        <f t="shared" si="17"/>
        <v>48</v>
      </c>
      <c r="AT38" s="212"/>
      <c r="AU38" s="73">
        <f t="shared" si="18"/>
        <v>5</v>
      </c>
      <c r="AV38" s="75">
        <v>20</v>
      </c>
      <c r="AW38" s="73">
        <v>42</v>
      </c>
      <c r="AX38" s="74">
        <f t="shared" si="19"/>
        <v>62</v>
      </c>
      <c r="AY38" s="73">
        <v>26</v>
      </c>
      <c r="AZ38" s="74">
        <f t="shared" si="20"/>
        <v>88</v>
      </c>
      <c r="BA38" s="209"/>
      <c r="BB38" s="73">
        <f t="shared" si="21"/>
        <v>5</v>
      </c>
      <c r="BC38" s="75">
        <v>18</v>
      </c>
      <c r="BD38" s="73">
        <v>32</v>
      </c>
      <c r="BE38" s="74">
        <f t="shared" si="22"/>
        <v>50</v>
      </c>
      <c r="BF38" s="73">
        <v>30</v>
      </c>
      <c r="BG38" s="74">
        <f t="shared" si="23"/>
        <v>80</v>
      </c>
      <c r="BH38" s="209"/>
      <c r="BI38" s="73">
        <f t="shared" si="24"/>
        <v>5</v>
      </c>
      <c r="BJ38" s="75">
        <v>10</v>
      </c>
      <c r="BK38" s="73">
        <v>28</v>
      </c>
      <c r="BL38" s="74">
        <f t="shared" si="25"/>
        <v>38</v>
      </c>
      <c r="BM38" s="74">
        <f t="shared" si="26"/>
        <v>38</v>
      </c>
      <c r="BN38" s="209"/>
      <c r="BO38" s="73">
        <f t="shared" si="2"/>
        <v>4</v>
      </c>
      <c r="BP38" s="73">
        <f t="shared" si="27"/>
        <v>36.5</v>
      </c>
      <c r="BQ38" s="76">
        <f t="shared" si="28"/>
        <v>4.5625</v>
      </c>
      <c r="BR38" s="77" t="str">
        <f t="shared" si="29"/>
        <v>A</v>
      </c>
      <c r="BS38" s="61" t="str">
        <f t="shared" si="3"/>
        <v>BETTER</v>
      </c>
      <c r="BT38" s="60">
        <f t="shared" si="30"/>
        <v>624</v>
      </c>
      <c r="BU38" s="59"/>
      <c r="BV38" s="62"/>
    </row>
    <row r="39" spans="1:74" ht="27.95" customHeight="1">
      <c r="A39" s="71">
        <v>31</v>
      </c>
      <c r="B39" s="49">
        <v>62</v>
      </c>
      <c r="C39" s="50" t="s">
        <v>151</v>
      </c>
      <c r="D39" s="50" t="s">
        <v>146</v>
      </c>
      <c r="E39" s="50" t="s">
        <v>152</v>
      </c>
      <c r="F39" s="65" t="s">
        <v>367</v>
      </c>
      <c r="G39" s="72">
        <v>12</v>
      </c>
      <c r="H39" s="73">
        <v>20</v>
      </c>
      <c r="I39" s="74">
        <f t="shared" si="4"/>
        <v>32</v>
      </c>
      <c r="J39" s="73">
        <v>27</v>
      </c>
      <c r="K39" s="74">
        <f t="shared" si="31"/>
        <v>59</v>
      </c>
      <c r="L39" s="75">
        <v>9</v>
      </c>
      <c r="M39" s="73">
        <v>25</v>
      </c>
      <c r="N39" s="74">
        <f t="shared" si="32"/>
        <v>34</v>
      </c>
      <c r="O39" s="74">
        <f t="shared" si="5"/>
        <v>34</v>
      </c>
      <c r="P39" s="74">
        <f t="shared" si="0"/>
        <v>93</v>
      </c>
      <c r="Q39" s="209"/>
      <c r="R39" s="73">
        <f t="shared" si="6"/>
        <v>3.5</v>
      </c>
      <c r="S39" s="75">
        <v>19</v>
      </c>
      <c r="T39" s="73">
        <v>53</v>
      </c>
      <c r="U39" s="74">
        <f t="shared" si="7"/>
        <v>72</v>
      </c>
      <c r="V39" s="75">
        <v>8</v>
      </c>
      <c r="W39" s="73">
        <v>24</v>
      </c>
      <c r="X39" s="74">
        <f t="shared" si="8"/>
        <v>32</v>
      </c>
      <c r="Y39" s="74">
        <f t="shared" si="9"/>
        <v>104</v>
      </c>
      <c r="Z39" s="74">
        <f t="shared" si="1"/>
        <v>104</v>
      </c>
      <c r="AA39" s="209"/>
      <c r="AB39" s="73">
        <f t="shared" si="10"/>
        <v>3.5</v>
      </c>
      <c r="AC39" s="75">
        <v>19</v>
      </c>
      <c r="AD39" s="73">
        <v>41</v>
      </c>
      <c r="AE39" s="74">
        <f t="shared" si="11"/>
        <v>60</v>
      </c>
      <c r="AF39" s="73">
        <v>27</v>
      </c>
      <c r="AG39" s="74">
        <f t="shared" si="12"/>
        <v>87</v>
      </c>
      <c r="AH39" s="209"/>
      <c r="AI39" s="73">
        <f t="shared" si="13"/>
        <v>5</v>
      </c>
      <c r="AJ39" s="75">
        <v>18</v>
      </c>
      <c r="AK39" s="73">
        <v>35</v>
      </c>
      <c r="AL39" s="74">
        <f t="shared" si="14"/>
        <v>53</v>
      </c>
      <c r="AM39" s="73">
        <v>23</v>
      </c>
      <c r="AN39" s="74">
        <f t="shared" si="15"/>
        <v>76</v>
      </c>
      <c r="AO39" s="209"/>
      <c r="AP39" s="73">
        <f t="shared" si="16"/>
        <v>4</v>
      </c>
      <c r="AQ39" s="73">
        <v>23</v>
      </c>
      <c r="AR39" s="73">
        <v>25</v>
      </c>
      <c r="AS39" s="73">
        <f t="shared" si="17"/>
        <v>48</v>
      </c>
      <c r="AT39" s="212"/>
      <c r="AU39" s="73">
        <f t="shared" si="18"/>
        <v>5</v>
      </c>
      <c r="AV39" s="75">
        <v>17</v>
      </c>
      <c r="AW39" s="73">
        <v>41</v>
      </c>
      <c r="AX39" s="74">
        <f t="shared" si="19"/>
        <v>58</v>
      </c>
      <c r="AY39" s="73">
        <v>21</v>
      </c>
      <c r="AZ39" s="74">
        <f t="shared" si="20"/>
        <v>79</v>
      </c>
      <c r="BA39" s="209"/>
      <c r="BB39" s="73">
        <f t="shared" si="21"/>
        <v>4</v>
      </c>
      <c r="BC39" s="75">
        <v>16</v>
      </c>
      <c r="BD39" s="73">
        <v>21</v>
      </c>
      <c r="BE39" s="74">
        <f t="shared" si="22"/>
        <v>37</v>
      </c>
      <c r="BF39" s="73">
        <v>29</v>
      </c>
      <c r="BG39" s="74">
        <f t="shared" si="23"/>
        <v>66</v>
      </c>
      <c r="BH39" s="209"/>
      <c r="BI39" s="73">
        <f t="shared" si="24"/>
        <v>3.5</v>
      </c>
      <c r="BJ39" s="75">
        <v>10</v>
      </c>
      <c r="BK39" s="73">
        <v>24</v>
      </c>
      <c r="BL39" s="74">
        <f t="shared" si="25"/>
        <v>34</v>
      </c>
      <c r="BM39" s="74">
        <f t="shared" si="26"/>
        <v>34</v>
      </c>
      <c r="BN39" s="209"/>
      <c r="BO39" s="73">
        <f t="shared" si="2"/>
        <v>3.5</v>
      </c>
      <c r="BP39" s="73">
        <f t="shared" si="27"/>
        <v>32</v>
      </c>
      <c r="BQ39" s="76">
        <f t="shared" si="28"/>
        <v>4</v>
      </c>
      <c r="BR39" s="77" t="str">
        <f t="shared" si="29"/>
        <v>A</v>
      </c>
      <c r="BS39" s="61" t="str">
        <f t="shared" si="3"/>
        <v>BETTER</v>
      </c>
      <c r="BT39" s="60">
        <f t="shared" si="30"/>
        <v>587</v>
      </c>
      <c r="BU39" s="59"/>
      <c r="BV39" s="62"/>
    </row>
    <row r="40" spans="1:74" ht="27.95" customHeight="1">
      <c r="A40" s="71">
        <v>32</v>
      </c>
      <c r="B40" s="53">
        <v>78</v>
      </c>
      <c r="C40" s="51" t="s">
        <v>153</v>
      </c>
      <c r="D40" s="51" t="s">
        <v>154</v>
      </c>
      <c r="E40" s="51" t="s">
        <v>155</v>
      </c>
      <c r="F40" s="66" t="s">
        <v>393</v>
      </c>
      <c r="G40" s="72">
        <v>12</v>
      </c>
      <c r="H40" s="73">
        <v>29</v>
      </c>
      <c r="I40" s="74">
        <f t="shared" si="4"/>
        <v>41</v>
      </c>
      <c r="J40" s="73">
        <v>23</v>
      </c>
      <c r="K40" s="74">
        <f t="shared" si="31"/>
        <v>64</v>
      </c>
      <c r="L40" s="75">
        <v>8</v>
      </c>
      <c r="M40" s="73">
        <v>26</v>
      </c>
      <c r="N40" s="74">
        <f t="shared" si="32"/>
        <v>34</v>
      </c>
      <c r="O40" s="74">
        <f t="shared" si="5"/>
        <v>34</v>
      </c>
      <c r="P40" s="74">
        <f t="shared" si="0"/>
        <v>98</v>
      </c>
      <c r="Q40" s="209"/>
      <c r="R40" s="73">
        <f t="shared" si="6"/>
        <v>3.5</v>
      </c>
      <c r="S40" s="75">
        <v>16</v>
      </c>
      <c r="T40" s="73">
        <v>51</v>
      </c>
      <c r="U40" s="74">
        <f t="shared" si="7"/>
        <v>67</v>
      </c>
      <c r="V40" s="75">
        <v>8</v>
      </c>
      <c r="W40" s="73">
        <v>27</v>
      </c>
      <c r="X40" s="74">
        <f t="shared" si="8"/>
        <v>35</v>
      </c>
      <c r="Y40" s="74">
        <f t="shared" si="9"/>
        <v>102</v>
      </c>
      <c r="Z40" s="74">
        <f t="shared" si="1"/>
        <v>102</v>
      </c>
      <c r="AA40" s="209"/>
      <c r="AB40" s="73">
        <f t="shared" si="10"/>
        <v>3.5</v>
      </c>
      <c r="AC40" s="75">
        <v>20</v>
      </c>
      <c r="AD40" s="73">
        <v>47</v>
      </c>
      <c r="AE40" s="74">
        <f t="shared" si="11"/>
        <v>67</v>
      </c>
      <c r="AF40" s="73">
        <v>28</v>
      </c>
      <c r="AG40" s="74">
        <f t="shared" si="12"/>
        <v>95</v>
      </c>
      <c r="AH40" s="209"/>
      <c r="AI40" s="73">
        <f t="shared" si="13"/>
        <v>5</v>
      </c>
      <c r="AJ40" s="75">
        <v>18</v>
      </c>
      <c r="AK40" s="73">
        <v>39</v>
      </c>
      <c r="AL40" s="74">
        <f t="shared" si="14"/>
        <v>57</v>
      </c>
      <c r="AM40" s="73">
        <v>23</v>
      </c>
      <c r="AN40" s="74">
        <f t="shared" si="15"/>
        <v>80</v>
      </c>
      <c r="AO40" s="209"/>
      <c r="AP40" s="73">
        <f t="shared" si="16"/>
        <v>5</v>
      </c>
      <c r="AQ40" s="73">
        <v>23</v>
      </c>
      <c r="AR40" s="73">
        <v>25</v>
      </c>
      <c r="AS40" s="73">
        <f t="shared" si="17"/>
        <v>48</v>
      </c>
      <c r="AT40" s="212"/>
      <c r="AU40" s="73">
        <f t="shared" si="18"/>
        <v>5</v>
      </c>
      <c r="AV40" s="75">
        <v>19</v>
      </c>
      <c r="AW40" s="73">
        <v>39</v>
      </c>
      <c r="AX40" s="74">
        <f t="shared" si="19"/>
        <v>58</v>
      </c>
      <c r="AY40" s="73">
        <v>21</v>
      </c>
      <c r="AZ40" s="74">
        <f t="shared" si="20"/>
        <v>79</v>
      </c>
      <c r="BA40" s="209"/>
      <c r="BB40" s="73">
        <f t="shared" si="21"/>
        <v>4</v>
      </c>
      <c r="BC40" s="75">
        <v>18</v>
      </c>
      <c r="BD40" s="73">
        <v>30</v>
      </c>
      <c r="BE40" s="74">
        <f t="shared" si="22"/>
        <v>48</v>
      </c>
      <c r="BF40" s="73">
        <v>27</v>
      </c>
      <c r="BG40" s="74">
        <f t="shared" si="23"/>
        <v>75</v>
      </c>
      <c r="BH40" s="209"/>
      <c r="BI40" s="73">
        <f t="shared" si="24"/>
        <v>4</v>
      </c>
      <c r="BJ40" s="75">
        <v>10</v>
      </c>
      <c r="BK40" s="73">
        <v>24</v>
      </c>
      <c r="BL40" s="74">
        <f t="shared" si="25"/>
        <v>34</v>
      </c>
      <c r="BM40" s="74">
        <f t="shared" si="26"/>
        <v>34</v>
      </c>
      <c r="BN40" s="209"/>
      <c r="BO40" s="73">
        <f t="shared" si="2"/>
        <v>3.5</v>
      </c>
      <c r="BP40" s="73">
        <f t="shared" si="27"/>
        <v>33.5</v>
      </c>
      <c r="BQ40" s="76">
        <f t="shared" si="28"/>
        <v>4.1875</v>
      </c>
      <c r="BR40" s="77" t="str">
        <f t="shared" si="29"/>
        <v>A</v>
      </c>
      <c r="BS40" s="61" t="str">
        <f t="shared" si="3"/>
        <v>BETTER</v>
      </c>
      <c r="BT40" s="60">
        <f t="shared" si="30"/>
        <v>611</v>
      </c>
      <c r="BU40" s="59"/>
      <c r="BV40" s="62"/>
    </row>
    <row r="41" spans="1:74" ht="27.95" customHeight="1">
      <c r="A41" s="71">
        <v>33</v>
      </c>
      <c r="B41" s="53">
        <v>80</v>
      </c>
      <c r="C41" s="51" t="s">
        <v>156</v>
      </c>
      <c r="D41" s="51" t="s">
        <v>157</v>
      </c>
      <c r="E41" s="51" t="s">
        <v>158</v>
      </c>
      <c r="F41" s="66" t="s">
        <v>394</v>
      </c>
      <c r="G41" s="72">
        <v>16</v>
      </c>
      <c r="H41" s="73">
        <v>36</v>
      </c>
      <c r="I41" s="74">
        <f t="shared" si="4"/>
        <v>52</v>
      </c>
      <c r="J41" s="73">
        <v>29</v>
      </c>
      <c r="K41" s="74">
        <f t="shared" si="31"/>
        <v>81</v>
      </c>
      <c r="L41" s="75">
        <v>9</v>
      </c>
      <c r="M41" s="73">
        <v>34</v>
      </c>
      <c r="N41" s="74">
        <f t="shared" si="32"/>
        <v>43</v>
      </c>
      <c r="O41" s="74">
        <f t="shared" si="5"/>
        <v>43</v>
      </c>
      <c r="P41" s="74">
        <f t="shared" ref="P41:P72" si="33">K41+O41</f>
        <v>124</v>
      </c>
      <c r="Q41" s="209"/>
      <c r="R41" s="73">
        <f t="shared" si="6"/>
        <v>5</v>
      </c>
      <c r="S41" s="75">
        <v>17</v>
      </c>
      <c r="T41" s="73">
        <v>52</v>
      </c>
      <c r="U41" s="74">
        <f t="shared" si="7"/>
        <v>69</v>
      </c>
      <c r="V41" s="75">
        <v>8</v>
      </c>
      <c r="W41" s="73">
        <v>22</v>
      </c>
      <c r="X41" s="74">
        <f t="shared" si="8"/>
        <v>30</v>
      </c>
      <c r="Y41" s="74">
        <f t="shared" si="9"/>
        <v>99</v>
      </c>
      <c r="Z41" s="74">
        <f t="shared" si="1"/>
        <v>99</v>
      </c>
      <c r="AA41" s="209"/>
      <c r="AB41" s="73">
        <f t="shared" si="10"/>
        <v>3.5</v>
      </c>
      <c r="AC41" s="75">
        <v>18</v>
      </c>
      <c r="AD41" s="73">
        <v>30</v>
      </c>
      <c r="AE41" s="74">
        <f t="shared" si="11"/>
        <v>48</v>
      </c>
      <c r="AF41" s="73">
        <v>27</v>
      </c>
      <c r="AG41" s="74">
        <f t="shared" si="12"/>
        <v>75</v>
      </c>
      <c r="AH41" s="209"/>
      <c r="AI41" s="73">
        <f t="shared" si="13"/>
        <v>4</v>
      </c>
      <c r="AJ41" s="75">
        <v>18</v>
      </c>
      <c r="AK41" s="73">
        <v>37</v>
      </c>
      <c r="AL41" s="74">
        <f t="shared" si="14"/>
        <v>55</v>
      </c>
      <c r="AM41" s="73">
        <v>25</v>
      </c>
      <c r="AN41" s="74">
        <f t="shared" si="15"/>
        <v>80</v>
      </c>
      <c r="AO41" s="209"/>
      <c r="AP41" s="73">
        <f t="shared" si="16"/>
        <v>5</v>
      </c>
      <c r="AQ41" s="73">
        <v>23</v>
      </c>
      <c r="AR41" s="73">
        <v>25</v>
      </c>
      <c r="AS41" s="73">
        <f t="shared" si="17"/>
        <v>48</v>
      </c>
      <c r="AT41" s="212"/>
      <c r="AU41" s="73">
        <f t="shared" si="18"/>
        <v>5</v>
      </c>
      <c r="AV41" s="75">
        <v>20</v>
      </c>
      <c r="AW41" s="73">
        <v>47</v>
      </c>
      <c r="AX41" s="74">
        <f t="shared" si="19"/>
        <v>67</v>
      </c>
      <c r="AY41" s="73">
        <v>19</v>
      </c>
      <c r="AZ41" s="74">
        <f t="shared" si="20"/>
        <v>86</v>
      </c>
      <c r="BA41" s="209"/>
      <c r="BB41" s="73">
        <f t="shared" si="21"/>
        <v>5</v>
      </c>
      <c r="BC41" s="75">
        <v>16</v>
      </c>
      <c r="BD41" s="73">
        <v>35</v>
      </c>
      <c r="BE41" s="74">
        <f t="shared" si="22"/>
        <v>51</v>
      </c>
      <c r="BF41" s="73">
        <v>28</v>
      </c>
      <c r="BG41" s="74">
        <f t="shared" si="23"/>
        <v>79</v>
      </c>
      <c r="BH41" s="209"/>
      <c r="BI41" s="73">
        <f t="shared" si="24"/>
        <v>4</v>
      </c>
      <c r="BJ41" s="75">
        <v>9</v>
      </c>
      <c r="BK41" s="73">
        <v>24</v>
      </c>
      <c r="BL41" s="74">
        <f t="shared" si="25"/>
        <v>33</v>
      </c>
      <c r="BM41" s="74">
        <f t="shared" si="26"/>
        <v>33</v>
      </c>
      <c r="BN41" s="209"/>
      <c r="BO41" s="73">
        <f t="shared" ref="BO41:BO72" si="34">IF(BL41&lt;20,"F",IF(BM41&lt;20,"F",IF(BM41&lt;25,2,IF(BM41&lt;30,3,IF(BM41&lt;35,3.5,IF(BM41&lt;40,4,5))))))</f>
        <v>3.5</v>
      </c>
      <c r="BP41" s="73">
        <f t="shared" si="27"/>
        <v>35</v>
      </c>
      <c r="BQ41" s="76">
        <f t="shared" si="28"/>
        <v>4.375</v>
      </c>
      <c r="BR41" s="77" t="str">
        <f t="shared" si="29"/>
        <v>A</v>
      </c>
      <c r="BS41" s="61" t="str">
        <f t="shared" si="3"/>
        <v>BETTER</v>
      </c>
      <c r="BT41" s="60">
        <f t="shared" si="30"/>
        <v>624</v>
      </c>
      <c r="BU41" s="59"/>
      <c r="BV41" s="62"/>
    </row>
    <row r="42" spans="1:74" ht="27.95" customHeight="1">
      <c r="A42" s="71">
        <v>34</v>
      </c>
      <c r="B42" s="53">
        <v>82</v>
      </c>
      <c r="C42" s="51" t="s">
        <v>159</v>
      </c>
      <c r="D42" s="51" t="s">
        <v>160</v>
      </c>
      <c r="E42" s="51" t="s">
        <v>161</v>
      </c>
      <c r="F42" s="66" t="s">
        <v>395</v>
      </c>
      <c r="G42" s="72">
        <v>17</v>
      </c>
      <c r="H42" s="73">
        <v>31</v>
      </c>
      <c r="I42" s="74">
        <f t="shared" si="4"/>
        <v>48</v>
      </c>
      <c r="J42" s="73">
        <v>26</v>
      </c>
      <c r="K42" s="74">
        <f t="shared" si="31"/>
        <v>74</v>
      </c>
      <c r="L42" s="75">
        <v>9</v>
      </c>
      <c r="M42" s="73">
        <v>32</v>
      </c>
      <c r="N42" s="74">
        <f t="shared" si="32"/>
        <v>41</v>
      </c>
      <c r="O42" s="74">
        <f t="shared" si="5"/>
        <v>41</v>
      </c>
      <c r="P42" s="74">
        <f t="shared" si="33"/>
        <v>115</v>
      </c>
      <c r="Q42" s="209"/>
      <c r="R42" s="73">
        <f t="shared" si="6"/>
        <v>4</v>
      </c>
      <c r="S42" s="75">
        <v>18</v>
      </c>
      <c r="T42" s="73">
        <v>58</v>
      </c>
      <c r="U42" s="74">
        <f t="shared" si="7"/>
        <v>76</v>
      </c>
      <c r="V42" s="75">
        <v>7</v>
      </c>
      <c r="W42" s="73">
        <v>27</v>
      </c>
      <c r="X42" s="74">
        <f t="shared" si="8"/>
        <v>34</v>
      </c>
      <c r="Y42" s="74">
        <f t="shared" si="9"/>
        <v>110</v>
      </c>
      <c r="Z42" s="74">
        <f t="shared" si="1"/>
        <v>110</v>
      </c>
      <c r="AA42" s="209"/>
      <c r="AB42" s="73">
        <f t="shared" si="10"/>
        <v>4</v>
      </c>
      <c r="AC42" s="75">
        <v>20</v>
      </c>
      <c r="AD42" s="73">
        <v>33</v>
      </c>
      <c r="AE42" s="74">
        <f t="shared" si="11"/>
        <v>53</v>
      </c>
      <c r="AF42" s="73">
        <v>27</v>
      </c>
      <c r="AG42" s="74">
        <f t="shared" si="12"/>
        <v>80</v>
      </c>
      <c r="AH42" s="209"/>
      <c r="AI42" s="73">
        <f t="shared" si="13"/>
        <v>5</v>
      </c>
      <c r="AJ42" s="75">
        <v>19</v>
      </c>
      <c r="AK42" s="73">
        <v>31</v>
      </c>
      <c r="AL42" s="74">
        <f t="shared" si="14"/>
        <v>50</v>
      </c>
      <c r="AM42" s="73">
        <v>23</v>
      </c>
      <c r="AN42" s="74">
        <f t="shared" si="15"/>
        <v>73</v>
      </c>
      <c r="AO42" s="209"/>
      <c r="AP42" s="73">
        <f t="shared" si="16"/>
        <v>4</v>
      </c>
      <c r="AQ42" s="73">
        <v>23</v>
      </c>
      <c r="AR42" s="73">
        <v>25</v>
      </c>
      <c r="AS42" s="73">
        <f t="shared" si="17"/>
        <v>48</v>
      </c>
      <c r="AT42" s="212"/>
      <c r="AU42" s="73">
        <f t="shared" si="18"/>
        <v>5</v>
      </c>
      <c r="AV42" s="75">
        <v>20</v>
      </c>
      <c r="AW42" s="73">
        <v>43</v>
      </c>
      <c r="AX42" s="74">
        <f t="shared" si="19"/>
        <v>63</v>
      </c>
      <c r="AY42" s="73">
        <v>20</v>
      </c>
      <c r="AZ42" s="74">
        <f t="shared" si="20"/>
        <v>83</v>
      </c>
      <c r="BA42" s="209"/>
      <c r="BB42" s="73">
        <f t="shared" si="21"/>
        <v>5</v>
      </c>
      <c r="BC42" s="75">
        <v>17</v>
      </c>
      <c r="BD42" s="73">
        <v>36</v>
      </c>
      <c r="BE42" s="74">
        <f t="shared" si="22"/>
        <v>53</v>
      </c>
      <c r="BF42" s="73">
        <v>24</v>
      </c>
      <c r="BG42" s="74">
        <f t="shared" si="23"/>
        <v>77</v>
      </c>
      <c r="BH42" s="209"/>
      <c r="BI42" s="73">
        <f t="shared" si="24"/>
        <v>4</v>
      </c>
      <c r="BJ42" s="75">
        <v>10</v>
      </c>
      <c r="BK42" s="73">
        <v>24</v>
      </c>
      <c r="BL42" s="74">
        <f t="shared" si="25"/>
        <v>34</v>
      </c>
      <c r="BM42" s="74">
        <f t="shared" si="26"/>
        <v>34</v>
      </c>
      <c r="BN42" s="209"/>
      <c r="BO42" s="73">
        <f t="shared" si="34"/>
        <v>3.5</v>
      </c>
      <c r="BP42" s="73">
        <f t="shared" si="27"/>
        <v>34.5</v>
      </c>
      <c r="BQ42" s="76">
        <f t="shared" si="28"/>
        <v>4.3125</v>
      </c>
      <c r="BR42" s="77" t="str">
        <f t="shared" si="29"/>
        <v>A</v>
      </c>
      <c r="BS42" s="61" t="str">
        <f t="shared" si="3"/>
        <v>BETTER</v>
      </c>
      <c r="BT42" s="60">
        <f t="shared" si="30"/>
        <v>620</v>
      </c>
      <c r="BU42" s="59"/>
      <c r="BV42" s="62"/>
    </row>
    <row r="43" spans="1:74" ht="27.95" customHeight="1">
      <c r="A43" s="71">
        <v>35</v>
      </c>
      <c r="B43" s="53">
        <v>86</v>
      </c>
      <c r="C43" s="51" t="s">
        <v>162</v>
      </c>
      <c r="D43" s="51" t="s">
        <v>163</v>
      </c>
      <c r="E43" s="51" t="s">
        <v>164</v>
      </c>
      <c r="F43" s="66" t="s">
        <v>400</v>
      </c>
      <c r="G43" s="72">
        <v>15</v>
      </c>
      <c r="H43" s="73">
        <v>26</v>
      </c>
      <c r="I43" s="74">
        <f t="shared" si="4"/>
        <v>41</v>
      </c>
      <c r="J43" s="73">
        <v>21</v>
      </c>
      <c r="K43" s="74">
        <f t="shared" si="31"/>
        <v>62</v>
      </c>
      <c r="L43" s="75">
        <v>8</v>
      </c>
      <c r="M43" s="73">
        <v>35</v>
      </c>
      <c r="N43" s="74">
        <f t="shared" si="32"/>
        <v>43</v>
      </c>
      <c r="O43" s="74">
        <f t="shared" si="5"/>
        <v>43</v>
      </c>
      <c r="P43" s="74">
        <f t="shared" si="33"/>
        <v>105</v>
      </c>
      <c r="Q43" s="209"/>
      <c r="R43" s="73">
        <f t="shared" si="6"/>
        <v>4</v>
      </c>
      <c r="S43" s="75">
        <v>19</v>
      </c>
      <c r="T43" s="73">
        <v>50</v>
      </c>
      <c r="U43" s="74">
        <f t="shared" si="7"/>
        <v>69</v>
      </c>
      <c r="V43" s="75">
        <v>9</v>
      </c>
      <c r="W43" s="73">
        <v>21</v>
      </c>
      <c r="X43" s="74">
        <f t="shared" si="8"/>
        <v>30</v>
      </c>
      <c r="Y43" s="74">
        <f t="shared" si="9"/>
        <v>99</v>
      </c>
      <c r="Z43" s="74">
        <f t="shared" si="1"/>
        <v>99</v>
      </c>
      <c r="AA43" s="209"/>
      <c r="AB43" s="73">
        <f t="shared" si="10"/>
        <v>3.5</v>
      </c>
      <c r="AC43" s="75">
        <v>17</v>
      </c>
      <c r="AD43" s="73">
        <v>18</v>
      </c>
      <c r="AE43" s="74">
        <f t="shared" si="11"/>
        <v>35</v>
      </c>
      <c r="AF43" s="73">
        <v>22</v>
      </c>
      <c r="AG43" s="74">
        <f t="shared" si="12"/>
        <v>57</v>
      </c>
      <c r="AH43" s="209"/>
      <c r="AI43" s="73">
        <f t="shared" si="13"/>
        <v>3</v>
      </c>
      <c r="AJ43" s="75">
        <v>19</v>
      </c>
      <c r="AK43" s="73">
        <v>35</v>
      </c>
      <c r="AL43" s="74">
        <f t="shared" si="14"/>
        <v>54</v>
      </c>
      <c r="AM43" s="73">
        <v>21</v>
      </c>
      <c r="AN43" s="74">
        <f t="shared" si="15"/>
        <v>75</v>
      </c>
      <c r="AO43" s="209"/>
      <c r="AP43" s="73">
        <f t="shared" si="16"/>
        <v>4</v>
      </c>
      <c r="AQ43" s="73">
        <v>23</v>
      </c>
      <c r="AR43" s="73">
        <v>25</v>
      </c>
      <c r="AS43" s="73">
        <f t="shared" si="17"/>
        <v>48</v>
      </c>
      <c r="AT43" s="212"/>
      <c r="AU43" s="73">
        <f t="shared" si="18"/>
        <v>5</v>
      </c>
      <c r="AV43" s="75">
        <v>20</v>
      </c>
      <c r="AW43" s="73">
        <v>42</v>
      </c>
      <c r="AX43" s="74">
        <f t="shared" si="19"/>
        <v>62</v>
      </c>
      <c r="AY43" s="73">
        <v>26</v>
      </c>
      <c r="AZ43" s="74">
        <f t="shared" si="20"/>
        <v>88</v>
      </c>
      <c r="BA43" s="209"/>
      <c r="BB43" s="73">
        <f t="shared" si="21"/>
        <v>5</v>
      </c>
      <c r="BC43" s="75">
        <v>19</v>
      </c>
      <c r="BD43" s="73">
        <v>32</v>
      </c>
      <c r="BE43" s="74">
        <f t="shared" si="22"/>
        <v>51</v>
      </c>
      <c r="BF43" s="73">
        <v>26</v>
      </c>
      <c r="BG43" s="74">
        <f t="shared" si="23"/>
        <v>77</v>
      </c>
      <c r="BH43" s="209"/>
      <c r="BI43" s="73">
        <f t="shared" si="24"/>
        <v>4</v>
      </c>
      <c r="BJ43" s="75">
        <v>10</v>
      </c>
      <c r="BK43" s="73">
        <v>28</v>
      </c>
      <c r="BL43" s="74">
        <f t="shared" si="25"/>
        <v>38</v>
      </c>
      <c r="BM43" s="74">
        <f t="shared" si="26"/>
        <v>38</v>
      </c>
      <c r="BN43" s="209"/>
      <c r="BO43" s="73">
        <f t="shared" si="34"/>
        <v>4</v>
      </c>
      <c r="BP43" s="73">
        <f t="shared" si="27"/>
        <v>32.5</v>
      </c>
      <c r="BQ43" s="76">
        <f t="shared" si="28"/>
        <v>4.0625</v>
      </c>
      <c r="BR43" s="77" t="str">
        <f t="shared" si="29"/>
        <v>A</v>
      </c>
      <c r="BS43" s="61" t="str">
        <f t="shared" si="3"/>
        <v>BETTER</v>
      </c>
      <c r="BT43" s="60">
        <f t="shared" si="30"/>
        <v>587</v>
      </c>
      <c r="BU43" s="59"/>
      <c r="BV43" s="62"/>
    </row>
    <row r="44" spans="1:74" ht="27.95" customHeight="1">
      <c r="A44" s="71">
        <v>36</v>
      </c>
      <c r="B44" s="53">
        <v>90</v>
      </c>
      <c r="C44" s="51" t="s">
        <v>165</v>
      </c>
      <c r="D44" s="51" t="s">
        <v>166</v>
      </c>
      <c r="E44" s="51" t="s">
        <v>167</v>
      </c>
      <c r="F44" s="66" t="s">
        <v>405</v>
      </c>
      <c r="G44" s="72">
        <v>16</v>
      </c>
      <c r="H44" s="73">
        <v>26</v>
      </c>
      <c r="I44" s="74">
        <f t="shared" si="4"/>
        <v>42</v>
      </c>
      <c r="J44" s="73">
        <v>29</v>
      </c>
      <c r="K44" s="74">
        <f t="shared" si="31"/>
        <v>71</v>
      </c>
      <c r="L44" s="75">
        <v>9</v>
      </c>
      <c r="M44" s="73">
        <v>34</v>
      </c>
      <c r="N44" s="74">
        <f t="shared" si="32"/>
        <v>43</v>
      </c>
      <c r="O44" s="74">
        <f t="shared" si="5"/>
        <v>43</v>
      </c>
      <c r="P44" s="74">
        <f t="shared" si="33"/>
        <v>114</v>
      </c>
      <c r="Q44" s="209"/>
      <c r="R44" s="73">
        <f t="shared" si="6"/>
        <v>4</v>
      </c>
      <c r="S44" s="75">
        <v>19</v>
      </c>
      <c r="T44" s="73">
        <v>65</v>
      </c>
      <c r="U44" s="74">
        <f t="shared" si="7"/>
        <v>84</v>
      </c>
      <c r="V44" s="75">
        <v>10</v>
      </c>
      <c r="W44" s="73">
        <v>34</v>
      </c>
      <c r="X44" s="74">
        <f t="shared" si="8"/>
        <v>44</v>
      </c>
      <c r="Y44" s="74">
        <f t="shared" si="9"/>
        <v>128</v>
      </c>
      <c r="Z44" s="74">
        <f t="shared" si="1"/>
        <v>128</v>
      </c>
      <c r="AA44" s="209"/>
      <c r="AB44" s="73">
        <f t="shared" si="10"/>
        <v>5</v>
      </c>
      <c r="AC44" s="75">
        <v>19</v>
      </c>
      <c r="AD44" s="73">
        <v>48</v>
      </c>
      <c r="AE44" s="74">
        <f t="shared" si="11"/>
        <v>67</v>
      </c>
      <c r="AF44" s="73">
        <v>28</v>
      </c>
      <c r="AG44" s="74">
        <f t="shared" si="12"/>
        <v>95</v>
      </c>
      <c r="AH44" s="209"/>
      <c r="AI44" s="73">
        <f t="shared" si="13"/>
        <v>5</v>
      </c>
      <c r="AJ44" s="75">
        <v>20</v>
      </c>
      <c r="AK44" s="73">
        <v>47</v>
      </c>
      <c r="AL44" s="74">
        <f t="shared" si="14"/>
        <v>67</v>
      </c>
      <c r="AM44" s="73">
        <v>28</v>
      </c>
      <c r="AN44" s="74">
        <f t="shared" si="15"/>
        <v>95</v>
      </c>
      <c r="AO44" s="209"/>
      <c r="AP44" s="73">
        <f t="shared" si="16"/>
        <v>5</v>
      </c>
      <c r="AQ44" s="73">
        <v>23</v>
      </c>
      <c r="AR44" s="73">
        <v>25</v>
      </c>
      <c r="AS44" s="73">
        <f t="shared" si="17"/>
        <v>48</v>
      </c>
      <c r="AT44" s="212"/>
      <c r="AU44" s="73">
        <f t="shared" si="18"/>
        <v>5</v>
      </c>
      <c r="AV44" s="75">
        <v>20</v>
      </c>
      <c r="AW44" s="73">
        <v>48</v>
      </c>
      <c r="AX44" s="74">
        <f t="shared" si="19"/>
        <v>68</v>
      </c>
      <c r="AY44" s="73">
        <v>26</v>
      </c>
      <c r="AZ44" s="74">
        <f t="shared" si="20"/>
        <v>94</v>
      </c>
      <c r="BA44" s="209"/>
      <c r="BB44" s="73">
        <f t="shared" si="21"/>
        <v>5</v>
      </c>
      <c r="BC44" s="75">
        <v>19</v>
      </c>
      <c r="BD44" s="73">
        <v>46</v>
      </c>
      <c r="BE44" s="74">
        <f t="shared" si="22"/>
        <v>65</v>
      </c>
      <c r="BF44" s="73">
        <v>30</v>
      </c>
      <c r="BG44" s="74">
        <f t="shared" si="23"/>
        <v>95</v>
      </c>
      <c r="BH44" s="209"/>
      <c r="BI44" s="73">
        <f t="shared" si="24"/>
        <v>5</v>
      </c>
      <c r="BJ44" s="75">
        <v>10</v>
      </c>
      <c r="BK44" s="73">
        <v>30</v>
      </c>
      <c r="BL44" s="74">
        <f t="shared" si="25"/>
        <v>40</v>
      </c>
      <c r="BM44" s="74">
        <f t="shared" si="26"/>
        <v>40</v>
      </c>
      <c r="BN44" s="209"/>
      <c r="BO44" s="73">
        <f t="shared" si="34"/>
        <v>5</v>
      </c>
      <c r="BP44" s="73">
        <f t="shared" si="27"/>
        <v>39</v>
      </c>
      <c r="BQ44" s="76">
        <f t="shared" si="28"/>
        <v>4.875</v>
      </c>
      <c r="BR44" s="77" t="str">
        <f t="shared" si="29"/>
        <v>A</v>
      </c>
      <c r="BS44" s="61" t="str">
        <f t="shared" si="3"/>
        <v>BETTER</v>
      </c>
      <c r="BT44" s="60">
        <f t="shared" si="30"/>
        <v>709</v>
      </c>
      <c r="BU44" s="59"/>
      <c r="BV44" s="62"/>
    </row>
    <row r="45" spans="1:74" ht="27.95" customHeight="1">
      <c r="A45" s="71">
        <v>37</v>
      </c>
      <c r="B45" s="53">
        <v>93</v>
      </c>
      <c r="C45" s="51" t="s">
        <v>168</v>
      </c>
      <c r="D45" s="51" t="s">
        <v>169</v>
      </c>
      <c r="E45" s="51" t="s">
        <v>170</v>
      </c>
      <c r="F45" s="66" t="s">
        <v>294</v>
      </c>
      <c r="G45" s="72">
        <v>15</v>
      </c>
      <c r="H45" s="73">
        <v>26</v>
      </c>
      <c r="I45" s="74">
        <f t="shared" si="4"/>
        <v>41</v>
      </c>
      <c r="J45" s="73">
        <v>27</v>
      </c>
      <c r="K45" s="74">
        <f t="shared" si="31"/>
        <v>68</v>
      </c>
      <c r="L45" s="75">
        <v>9</v>
      </c>
      <c r="M45" s="73">
        <v>28</v>
      </c>
      <c r="N45" s="74">
        <f t="shared" si="32"/>
        <v>37</v>
      </c>
      <c r="O45" s="74">
        <f t="shared" si="5"/>
        <v>37</v>
      </c>
      <c r="P45" s="74">
        <f t="shared" si="33"/>
        <v>105</v>
      </c>
      <c r="Q45" s="209"/>
      <c r="R45" s="73">
        <f t="shared" si="6"/>
        <v>4</v>
      </c>
      <c r="S45" s="75">
        <v>19</v>
      </c>
      <c r="T45" s="73">
        <v>58</v>
      </c>
      <c r="U45" s="74">
        <f t="shared" si="7"/>
        <v>77</v>
      </c>
      <c r="V45" s="75">
        <v>8</v>
      </c>
      <c r="W45" s="73">
        <v>30</v>
      </c>
      <c r="X45" s="74">
        <f t="shared" si="8"/>
        <v>38</v>
      </c>
      <c r="Y45" s="74">
        <f t="shared" si="9"/>
        <v>115</v>
      </c>
      <c r="Z45" s="74">
        <f t="shared" si="1"/>
        <v>115</v>
      </c>
      <c r="AA45" s="209"/>
      <c r="AB45" s="73">
        <f t="shared" si="10"/>
        <v>4</v>
      </c>
      <c r="AC45" s="75">
        <v>16</v>
      </c>
      <c r="AD45" s="73">
        <v>27</v>
      </c>
      <c r="AE45" s="74">
        <f t="shared" si="11"/>
        <v>43</v>
      </c>
      <c r="AF45" s="73">
        <v>27</v>
      </c>
      <c r="AG45" s="74">
        <f t="shared" si="12"/>
        <v>70</v>
      </c>
      <c r="AH45" s="209"/>
      <c r="AI45" s="73">
        <f t="shared" si="13"/>
        <v>4</v>
      </c>
      <c r="AJ45" s="75">
        <v>16</v>
      </c>
      <c r="AK45" s="73">
        <v>33</v>
      </c>
      <c r="AL45" s="74">
        <f t="shared" si="14"/>
        <v>49</v>
      </c>
      <c r="AM45" s="73">
        <v>21</v>
      </c>
      <c r="AN45" s="74">
        <f t="shared" si="15"/>
        <v>70</v>
      </c>
      <c r="AO45" s="209"/>
      <c r="AP45" s="73">
        <f t="shared" si="16"/>
        <v>4</v>
      </c>
      <c r="AQ45" s="73">
        <v>23</v>
      </c>
      <c r="AR45" s="73">
        <v>25</v>
      </c>
      <c r="AS45" s="73">
        <f t="shared" si="17"/>
        <v>48</v>
      </c>
      <c r="AT45" s="212"/>
      <c r="AU45" s="73">
        <f t="shared" si="18"/>
        <v>5</v>
      </c>
      <c r="AV45" s="75">
        <v>19</v>
      </c>
      <c r="AW45" s="73">
        <v>42</v>
      </c>
      <c r="AX45" s="74">
        <f t="shared" si="19"/>
        <v>61</v>
      </c>
      <c r="AY45" s="73">
        <v>18</v>
      </c>
      <c r="AZ45" s="74">
        <f t="shared" si="20"/>
        <v>79</v>
      </c>
      <c r="BA45" s="209"/>
      <c r="BB45" s="73">
        <f t="shared" si="21"/>
        <v>4</v>
      </c>
      <c r="BC45" s="75">
        <v>18</v>
      </c>
      <c r="BD45" s="73">
        <v>22</v>
      </c>
      <c r="BE45" s="74">
        <f t="shared" si="22"/>
        <v>40</v>
      </c>
      <c r="BF45" s="73">
        <v>28</v>
      </c>
      <c r="BG45" s="74">
        <f t="shared" si="23"/>
        <v>68</v>
      </c>
      <c r="BH45" s="209"/>
      <c r="BI45" s="73">
        <f t="shared" si="24"/>
        <v>3.5</v>
      </c>
      <c r="BJ45" s="75">
        <v>9</v>
      </c>
      <c r="BK45" s="73">
        <v>24</v>
      </c>
      <c r="BL45" s="74">
        <f t="shared" si="25"/>
        <v>33</v>
      </c>
      <c r="BM45" s="74">
        <f t="shared" si="26"/>
        <v>33</v>
      </c>
      <c r="BN45" s="209"/>
      <c r="BO45" s="73">
        <f t="shared" si="34"/>
        <v>3.5</v>
      </c>
      <c r="BP45" s="73">
        <f t="shared" si="27"/>
        <v>32</v>
      </c>
      <c r="BQ45" s="76">
        <f t="shared" si="28"/>
        <v>4</v>
      </c>
      <c r="BR45" s="77" t="str">
        <f t="shared" si="29"/>
        <v>A</v>
      </c>
      <c r="BS45" s="61" t="str">
        <f t="shared" si="3"/>
        <v>BETTER</v>
      </c>
      <c r="BT45" s="60">
        <f t="shared" si="30"/>
        <v>588</v>
      </c>
      <c r="BU45" s="59"/>
      <c r="BV45" s="62"/>
    </row>
    <row r="46" spans="1:74" ht="27.95" customHeight="1">
      <c r="A46" s="71">
        <v>38</v>
      </c>
      <c r="B46" s="53">
        <v>96</v>
      </c>
      <c r="C46" s="51" t="s">
        <v>171</v>
      </c>
      <c r="D46" s="51" t="s">
        <v>172</v>
      </c>
      <c r="E46" s="51" t="s">
        <v>173</v>
      </c>
      <c r="F46" s="66" t="s">
        <v>411</v>
      </c>
      <c r="G46" s="72">
        <v>16</v>
      </c>
      <c r="H46" s="73">
        <v>26</v>
      </c>
      <c r="I46" s="74">
        <f t="shared" si="4"/>
        <v>42</v>
      </c>
      <c r="J46" s="73">
        <v>19</v>
      </c>
      <c r="K46" s="74">
        <f t="shared" si="31"/>
        <v>61</v>
      </c>
      <c r="L46" s="75">
        <v>9</v>
      </c>
      <c r="M46" s="73">
        <v>28</v>
      </c>
      <c r="N46" s="74">
        <f t="shared" si="32"/>
        <v>37</v>
      </c>
      <c r="O46" s="74">
        <f t="shared" si="5"/>
        <v>37</v>
      </c>
      <c r="P46" s="74">
        <f t="shared" si="33"/>
        <v>98</v>
      </c>
      <c r="Q46" s="209"/>
      <c r="R46" s="73">
        <f t="shared" si="6"/>
        <v>3.5</v>
      </c>
      <c r="S46" s="75">
        <v>17</v>
      </c>
      <c r="T46" s="73">
        <v>27</v>
      </c>
      <c r="U46" s="74">
        <f t="shared" si="7"/>
        <v>44</v>
      </c>
      <c r="V46" s="75">
        <v>8</v>
      </c>
      <c r="W46" s="73">
        <v>10</v>
      </c>
      <c r="X46" s="74">
        <f t="shared" si="8"/>
        <v>18</v>
      </c>
      <c r="Y46" s="74">
        <f t="shared" si="9"/>
        <v>62</v>
      </c>
      <c r="Z46" s="74">
        <f t="shared" si="1"/>
        <v>62</v>
      </c>
      <c r="AA46" s="209"/>
      <c r="AB46" s="73">
        <f t="shared" si="10"/>
        <v>2</v>
      </c>
      <c r="AC46" s="75">
        <v>15</v>
      </c>
      <c r="AD46" s="73">
        <v>22</v>
      </c>
      <c r="AE46" s="74">
        <f t="shared" si="11"/>
        <v>37</v>
      </c>
      <c r="AF46" s="73">
        <v>23</v>
      </c>
      <c r="AG46" s="74">
        <f t="shared" si="12"/>
        <v>60</v>
      </c>
      <c r="AH46" s="209"/>
      <c r="AI46" s="73">
        <f t="shared" si="13"/>
        <v>3.5</v>
      </c>
      <c r="AJ46" s="75">
        <v>15</v>
      </c>
      <c r="AK46" s="73">
        <v>24</v>
      </c>
      <c r="AL46" s="74">
        <f t="shared" si="14"/>
        <v>39</v>
      </c>
      <c r="AM46" s="73">
        <v>26</v>
      </c>
      <c r="AN46" s="74">
        <f t="shared" si="15"/>
        <v>65</v>
      </c>
      <c r="AO46" s="209"/>
      <c r="AP46" s="73">
        <f t="shared" si="16"/>
        <v>3.5</v>
      </c>
      <c r="AQ46" s="73">
        <v>23</v>
      </c>
      <c r="AR46" s="73">
        <v>25</v>
      </c>
      <c r="AS46" s="73">
        <f t="shared" si="17"/>
        <v>48</v>
      </c>
      <c r="AT46" s="212"/>
      <c r="AU46" s="73">
        <f t="shared" si="18"/>
        <v>5</v>
      </c>
      <c r="AV46" s="75">
        <v>20</v>
      </c>
      <c r="AW46" s="73">
        <v>38</v>
      </c>
      <c r="AX46" s="74">
        <f t="shared" si="19"/>
        <v>58</v>
      </c>
      <c r="AY46" s="73">
        <v>24</v>
      </c>
      <c r="AZ46" s="74">
        <f t="shared" si="20"/>
        <v>82</v>
      </c>
      <c r="BA46" s="209"/>
      <c r="BB46" s="73">
        <f t="shared" si="21"/>
        <v>5</v>
      </c>
      <c r="BC46" s="75">
        <v>16</v>
      </c>
      <c r="BD46" s="73">
        <v>27</v>
      </c>
      <c r="BE46" s="74">
        <f t="shared" si="22"/>
        <v>43</v>
      </c>
      <c r="BF46" s="73">
        <v>29</v>
      </c>
      <c r="BG46" s="74">
        <f t="shared" si="23"/>
        <v>72</v>
      </c>
      <c r="BH46" s="209"/>
      <c r="BI46" s="73">
        <f t="shared" si="24"/>
        <v>4</v>
      </c>
      <c r="BJ46" s="75">
        <v>10</v>
      </c>
      <c r="BK46" s="73">
        <v>24</v>
      </c>
      <c r="BL46" s="74">
        <f t="shared" si="25"/>
        <v>34</v>
      </c>
      <c r="BM46" s="74">
        <f t="shared" si="26"/>
        <v>34</v>
      </c>
      <c r="BN46" s="209"/>
      <c r="BO46" s="73">
        <f t="shared" si="34"/>
        <v>3.5</v>
      </c>
      <c r="BP46" s="73">
        <f t="shared" si="27"/>
        <v>30</v>
      </c>
      <c r="BQ46" s="76">
        <f t="shared" si="28"/>
        <v>3.75</v>
      </c>
      <c r="BR46" s="77" t="str">
        <f t="shared" si="29"/>
        <v>A-</v>
      </c>
      <c r="BS46" s="61" t="str">
        <f t="shared" si="3"/>
        <v>GOOD</v>
      </c>
      <c r="BT46" s="60">
        <f t="shared" si="30"/>
        <v>521</v>
      </c>
      <c r="BU46" s="59"/>
      <c r="BV46" s="62"/>
    </row>
    <row r="47" spans="1:74" ht="27.95" customHeight="1">
      <c r="A47" s="71">
        <v>39</v>
      </c>
      <c r="B47" s="53">
        <v>100</v>
      </c>
      <c r="C47" s="51" t="s">
        <v>174</v>
      </c>
      <c r="D47" s="51" t="s">
        <v>175</v>
      </c>
      <c r="E47" s="51" t="s">
        <v>176</v>
      </c>
      <c r="F47" s="66" t="s">
        <v>416</v>
      </c>
      <c r="G47" s="72">
        <v>16</v>
      </c>
      <c r="H47" s="73">
        <v>27</v>
      </c>
      <c r="I47" s="74">
        <f t="shared" si="4"/>
        <v>43</v>
      </c>
      <c r="J47" s="73">
        <v>21</v>
      </c>
      <c r="K47" s="74">
        <f t="shared" si="31"/>
        <v>64</v>
      </c>
      <c r="L47" s="75">
        <v>9</v>
      </c>
      <c r="M47" s="73">
        <v>28</v>
      </c>
      <c r="N47" s="74">
        <f t="shared" si="32"/>
        <v>37</v>
      </c>
      <c r="O47" s="74">
        <f t="shared" si="5"/>
        <v>37</v>
      </c>
      <c r="P47" s="74">
        <f t="shared" si="33"/>
        <v>101</v>
      </c>
      <c r="Q47" s="209"/>
      <c r="R47" s="73">
        <f t="shared" si="6"/>
        <v>3.5</v>
      </c>
      <c r="S47" s="75">
        <v>18</v>
      </c>
      <c r="T47" s="73">
        <v>52</v>
      </c>
      <c r="U47" s="74">
        <f t="shared" si="7"/>
        <v>70</v>
      </c>
      <c r="V47" s="75">
        <v>8</v>
      </c>
      <c r="W47" s="73">
        <v>28</v>
      </c>
      <c r="X47" s="74">
        <f t="shared" si="8"/>
        <v>36</v>
      </c>
      <c r="Y47" s="74">
        <f t="shared" si="9"/>
        <v>106</v>
      </c>
      <c r="Z47" s="74">
        <f t="shared" si="1"/>
        <v>106</v>
      </c>
      <c r="AA47" s="209"/>
      <c r="AB47" s="73">
        <f t="shared" si="10"/>
        <v>4</v>
      </c>
      <c r="AC47" s="75">
        <v>20</v>
      </c>
      <c r="AD47" s="73">
        <v>41</v>
      </c>
      <c r="AE47" s="74">
        <f t="shared" si="11"/>
        <v>61</v>
      </c>
      <c r="AF47" s="73">
        <v>26</v>
      </c>
      <c r="AG47" s="74">
        <f t="shared" si="12"/>
        <v>87</v>
      </c>
      <c r="AH47" s="209"/>
      <c r="AI47" s="73">
        <f t="shared" si="13"/>
        <v>5</v>
      </c>
      <c r="AJ47" s="75">
        <v>20</v>
      </c>
      <c r="AK47" s="73">
        <v>40</v>
      </c>
      <c r="AL47" s="74">
        <f t="shared" si="14"/>
        <v>60</v>
      </c>
      <c r="AM47" s="73">
        <v>25</v>
      </c>
      <c r="AN47" s="74">
        <f t="shared" si="15"/>
        <v>85</v>
      </c>
      <c r="AO47" s="209"/>
      <c r="AP47" s="73">
        <f t="shared" si="16"/>
        <v>5</v>
      </c>
      <c r="AQ47" s="73">
        <v>23</v>
      </c>
      <c r="AR47" s="73">
        <v>25</v>
      </c>
      <c r="AS47" s="73">
        <f t="shared" si="17"/>
        <v>48</v>
      </c>
      <c r="AT47" s="212"/>
      <c r="AU47" s="73">
        <f t="shared" si="18"/>
        <v>5</v>
      </c>
      <c r="AV47" s="75">
        <v>20</v>
      </c>
      <c r="AW47" s="73">
        <v>45</v>
      </c>
      <c r="AX47" s="74">
        <f t="shared" si="19"/>
        <v>65</v>
      </c>
      <c r="AY47" s="73">
        <v>29</v>
      </c>
      <c r="AZ47" s="74">
        <f t="shared" si="20"/>
        <v>94</v>
      </c>
      <c r="BA47" s="209"/>
      <c r="BB47" s="73">
        <f t="shared" si="21"/>
        <v>5</v>
      </c>
      <c r="BC47" s="75">
        <v>19</v>
      </c>
      <c r="BD47" s="73">
        <v>42</v>
      </c>
      <c r="BE47" s="74">
        <f t="shared" si="22"/>
        <v>61</v>
      </c>
      <c r="BF47" s="73">
        <v>28</v>
      </c>
      <c r="BG47" s="74">
        <f t="shared" si="23"/>
        <v>89</v>
      </c>
      <c r="BH47" s="209"/>
      <c r="BI47" s="73">
        <f t="shared" si="24"/>
        <v>5</v>
      </c>
      <c r="BJ47" s="75">
        <v>10</v>
      </c>
      <c r="BK47" s="73">
        <v>32</v>
      </c>
      <c r="BL47" s="74">
        <f t="shared" si="25"/>
        <v>42</v>
      </c>
      <c r="BM47" s="74">
        <f t="shared" si="26"/>
        <v>42</v>
      </c>
      <c r="BN47" s="209"/>
      <c r="BO47" s="73">
        <f t="shared" si="34"/>
        <v>5</v>
      </c>
      <c r="BP47" s="73">
        <f t="shared" si="27"/>
        <v>37.5</v>
      </c>
      <c r="BQ47" s="76">
        <f t="shared" si="28"/>
        <v>4.6875</v>
      </c>
      <c r="BR47" s="77" t="str">
        <f t="shared" si="29"/>
        <v>A</v>
      </c>
      <c r="BS47" s="61" t="str">
        <f t="shared" si="3"/>
        <v>BETTER</v>
      </c>
      <c r="BT47" s="60">
        <f t="shared" si="30"/>
        <v>652</v>
      </c>
      <c r="BU47" s="59"/>
      <c r="BV47" s="62"/>
    </row>
    <row r="48" spans="1:74" ht="27.95" customHeight="1">
      <c r="A48" s="71">
        <v>40</v>
      </c>
      <c r="B48" s="53">
        <v>102</v>
      </c>
      <c r="C48" s="51" t="s">
        <v>177</v>
      </c>
      <c r="D48" s="51" t="s">
        <v>178</v>
      </c>
      <c r="E48" s="51" t="s">
        <v>179</v>
      </c>
      <c r="F48" s="66" t="s">
        <v>417</v>
      </c>
      <c r="G48" s="72">
        <v>15</v>
      </c>
      <c r="H48" s="73">
        <v>30</v>
      </c>
      <c r="I48" s="74">
        <f t="shared" si="4"/>
        <v>45</v>
      </c>
      <c r="J48" s="73">
        <v>27</v>
      </c>
      <c r="K48" s="74">
        <f t="shared" si="31"/>
        <v>72</v>
      </c>
      <c r="L48" s="75">
        <v>9</v>
      </c>
      <c r="M48" s="73">
        <v>31</v>
      </c>
      <c r="N48" s="74">
        <f t="shared" si="32"/>
        <v>40</v>
      </c>
      <c r="O48" s="74">
        <f t="shared" si="5"/>
        <v>40</v>
      </c>
      <c r="P48" s="74">
        <f t="shared" si="33"/>
        <v>112</v>
      </c>
      <c r="Q48" s="209"/>
      <c r="R48" s="73">
        <f t="shared" si="6"/>
        <v>4</v>
      </c>
      <c r="S48" s="75">
        <v>19</v>
      </c>
      <c r="T48" s="73">
        <v>66</v>
      </c>
      <c r="U48" s="74">
        <f t="shared" si="7"/>
        <v>85</v>
      </c>
      <c r="V48" s="75">
        <v>10</v>
      </c>
      <c r="W48" s="73">
        <v>31</v>
      </c>
      <c r="X48" s="74">
        <f t="shared" si="8"/>
        <v>41</v>
      </c>
      <c r="Y48" s="74">
        <f t="shared" si="9"/>
        <v>126</v>
      </c>
      <c r="Z48" s="74">
        <f t="shared" si="1"/>
        <v>126</v>
      </c>
      <c r="AA48" s="209"/>
      <c r="AB48" s="73">
        <f t="shared" si="10"/>
        <v>5</v>
      </c>
      <c r="AC48" s="75">
        <v>19</v>
      </c>
      <c r="AD48" s="73">
        <v>43</v>
      </c>
      <c r="AE48" s="74">
        <f t="shared" si="11"/>
        <v>62</v>
      </c>
      <c r="AF48" s="73">
        <v>29</v>
      </c>
      <c r="AG48" s="74">
        <f t="shared" si="12"/>
        <v>91</v>
      </c>
      <c r="AH48" s="209"/>
      <c r="AI48" s="73">
        <f t="shared" si="13"/>
        <v>5</v>
      </c>
      <c r="AJ48" s="75">
        <v>20</v>
      </c>
      <c r="AK48" s="73">
        <v>47</v>
      </c>
      <c r="AL48" s="74">
        <f t="shared" si="14"/>
        <v>67</v>
      </c>
      <c r="AM48" s="73">
        <v>28</v>
      </c>
      <c r="AN48" s="74">
        <f t="shared" si="15"/>
        <v>95</v>
      </c>
      <c r="AO48" s="209"/>
      <c r="AP48" s="73">
        <f t="shared" si="16"/>
        <v>5</v>
      </c>
      <c r="AQ48" s="73">
        <v>23</v>
      </c>
      <c r="AR48" s="73">
        <v>25</v>
      </c>
      <c r="AS48" s="73">
        <f t="shared" si="17"/>
        <v>48</v>
      </c>
      <c r="AT48" s="212"/>
      <c r="AU48" s="73">
        <f t="shared" si="18"/>
        <v>5</v>
      </c>
      <c r="AV48" s="75">
        <v>20</v>
      </c>
      <c r="AW48" s="73">
        <v>48</v>
      </c>
      <c r="AX48" s="74">
        <f t="shared" si="19"/>
        <v>68</v>
      </c>
      <c r="AY48" s="73">
        <v>30</v>
      </c>
      <c r="AZ48" s="74">
        <f t="shared" si="20"/>
        <v>98</v>
      </c>
      <c r="BA48" s="209"/>
      <c r="BB48" s="73">
        <f t="shared" si="21"/>
        <v>5</v>
      </c>
      <c r="BC48" s="75">
        <v>19</v>
      </c>
      <c r="BD48" s="73">
        <v>47</v>
      </c>
      <c r="BE48" s="74">
        <f t="shared" si="22"/>
        <v>66</v>
      </c>
      <c r="BF48" s="73">
        <v>30</v>
      </c>
      <c r="BG48" s="74">
        <f t="shared" si="23"/>
        <v>96</v>
      </c>
      <c r="BH48" s="209"/>
      <c r="BI48" s="73">
        <f t="shared" si="24"/>
        <v>5</v>
      </c>
      <c r="BJ48" s="75">
        <v>10</v>
      </c>
      <c r="BK48" s="73">
        <v>28</v>
      </c>
      <c r="BL48" s="74">
        <f t="shared" si="25"/>
        <v>38</v>
      </c>
      <c r="BM48" s="74">
        <f t="shared" si="26"/>
        <v>38</v>
      </c>
      <c r="BN48" s="209"/>
      <c r="BO48" s="73">
        <f t="shared" si="34"/>
        <v>4</v>
      </c>
      <c r="BP48" s="73">
        <f t="shared" si="27"/>
        <v>38</v>
      </c>
      <c r="BQ48" s="76">
        <f t="shared" si="28"/>
        <v>4.75</v>
      </c>
      <c r="BR48" s="77" t="str">
        <f t="shared" si="29"/>
        <v>A</v>
      </c>
      <c r="BS48" s="61" t="str">
        <f t="shared" si="3"/>
        <v>BETTER</v>
      </c>
      <c r="BT48" s="60">
        <f t="shared" si="30"/>
        <v>704</v>
      </c>
      <c r="BU48" s="59"/>
      <c r="BV48" s="62"/>
    </row>
    <row r="49" spans="1:74" ht="27.95" customHeight="1">
      <c r="A49" s="71">
        <v>41</v>
      </c>
      <c r="B49" s="53">
        <v>103</v>
      </c>
      <c r="C49" s="51" t="s">
        <v>180</v>
      </c>
      <c r="D49" s="51" t="s">
        <v>181</v>
      </c>
      <c r="E49" s="51" t="s">
        <v>182</v>
      </c>
      <c r="F49" s="66" t="s">
        <v>307</v>
      </c>
      <c r="G49" s="72">
        <v>13</v>
      </c>
      <c r="H49" s="73">
        <v>23</v>
      </c>
      <c r="I49" s="74">
        <f t="shared" si="4"/>
        <v>36</v>
      </c>
      <c r="J49" s="73">
        <v>27</v>
      </c>
      <c r="K49" s="74">
        <f t="shared" si="31"/>
        <v>63</v>
      </c>
      <c r="L49" s="75">
        <v>9</v>
      </c>
      <c r="M49" s="73">
        <v>39</v>
      </c>
      <c r="N49" s="74">
        <f t="shared" si="32"/>
        <v>48</v>
      </c>
      <c r="O49" s="74">
        <f t="shared" si="5"/>
        <v>48</v>
      </c>
      <c r="P49" s="74">
        <f t="shared" si="33"/>
        <v>111</v>
      </c>
      <c r="Q49" s="209"/>
      <c r="R49" s="73">
        <f t="shared" si="6"/>
        <v>4</v>
      </c>
      <c r="S49" s="75">
        <v>17</v>
      </c>
      <c r="T49" s="73">
        <v>29</v>
      </c>
      <c r="U49" s="74">
        <f t="shared" si="7"/>
        <v>46</v>
      </c>
      <c r="V49" s="75">
        <v>5</v>
      </c>
      <c r="W49" s="73">
        <v>15</v>
      </c>
      <c r="X49" s="74">
        <f t="shared" si="8"/>
        <v>20</v>
      </c>
      <c r="Y49" s="74">
        <f t="shared" si="9"/>
        <v>66</v>
      </c>
      <c r="Z49" s="74">
        <f t="shared" si="1"/>
        <v>66</v>
      </c>
      <c r="AA49" s="209"/>
      <c r="AB49" s="73">
        <f t="shared" si="10"/>
        <v>2</v>
      </c>
      <c r="AC49" s="75">
        <v>16</v>
      </c>
      <c r="AD49" s="73">
        <v>25</v>
      </c>
      <c r="AE49" s="74">
        <f t="shared" si="11"/>
        <v>41</v>
      </c>
      <c r="AF49" s="73">
        <v>19</v>
      </c>
      <c r="AG49" s="74">
        <f t="shared" si="12"/>
        <v>60</v>
      </c>
      <c r="AH49" s="209"/>
      <c r="AI49" s="73">
        <f t="shared" si="13"/>
        <v>3.5</v>
      </c>
      <c r="AJ49" s="75">
        <v>19</v>
      </c>
      <c r="AK49" s="73">
        <v>31</v>
      </c>
      <c r="AL49" s="74">
        <f t="shared" si="14"/>
        <v>50</v>
      </c>
      <c r="AM49" s="73">
        <v>22</v>
      </c>
      <c r="AN49" s="74">
        <f t="shared" si="15"/>
        <v>72</v>
      </c>
      <c r="AO49" s="209"/>
      <c r="AP49" s="73">
        <f t="shared" si="16"/>
        <v>4</v>
      </c>
      <c r="AQ49" s="73">
        <v>23</v>
      </c>
      <c r="AR49" s="73">
        <v>25</v>
      </c>
      <c r="AS49" s="73">
        <f t="shared" si="17"/>
        <v>48</v>
      </c>
      <c r="AT49" s="212"/>
      <c r="AU49" s="73">
        <f t="shared" si="18"/>
        <v>5</v>
      </c>
      <c r="AV49" s="75">
        <v>19</v>
      </c>
      <c r="AW49" s="73">
        <v>38</v>
      </c>
      <c r="AX49" s="74">
        <f t="shared" si="19"/>
        <v>57</v>
      </c>
      <c r="AY49" s="73">
        <v>20</v>
      </c>
      <c r="AZ49" s="74">
        <f t="shared" si="20"/>
        <v>77</v>
      </c>
      <c r="BA49" s="209"/>
      <c r="BB49" s="73">
        <f t="shared" si="21"/>
        <v>4</v>
      </c>
      <c r="BC49" s="75">
        <v>17</v>
      </c>
      <c r="BD49" s="73">
        <v>30</v>
      </c>
      <c r="BE49" s="74">
        <f t="shared" si="22"/>
        <v>47</v>
      </c>
      <c r="BF49" s="73">
        <v>30</v>
      </c>
      <c r="BG49" s="74">
        <f t="shared" si="23"/>
        <v>77</v>
      </c>
      <c r="BH49" s="209"/>
      <c r="BI49" s="73">
        <f t="shared" si="24"/>
        <v>4</v>
      </c>
      <c r="BJ49" s="75">
        <v>10</v>
      </c>
      <c r="BK49" s="73">
        <v>24</v>
      </c>
      <c r="BL49" s="74">
        <f t="shared" si="25"/>
        <v>34</v>
      </c>
      <c r="BM49" s="74">
        <f t="shared" si="26"/>
        <v>34</v>
      </c>
      <c r="BN49" s="209"/>
      <c r="BO49" s="73">
        <f t="shared" si="34"/>
        <v>3.5</v>
      </c>
      <c r="BP49" s="73">
        <f t="shared" si="27"/>
        <v>30</v>
      </c>
      <c r="BQ49" s="76">
        <f t="shared" si="28"/>
        <v>3.75</v>
      </c>
      <c r="BR49" s="77" t="str">
        <f t="shared" si="29"/>
        <v>A-</v>
      </c>
      <c r="BS49" s="61" t="str">
        <f t="shared" si="3"/>
        <v>GOOD</v>
      </c>
      <c r="BT49" s="60">
        <f t="shared" si="30"/>
        <v>545</v>
      </c>
      <c r="BU49" s="59"/>
      <c r="BV49" s="62"/>
    </row>
    <row r="50" spans="1:74" ht="27.95" customHeight="1">
      <c r="A50" s="71">
        <v>42</v>
      </c>
      <c r="B50" s="49">
        <v>107</v>
      </c>
      <c r="C50" s="50" t="s">
        <v>183</v>
      </c>
      <c r="D50" s="50" t="s">
        <v>184</v>
      </c>
      <c r="E50" s="50" t="s">
        <v>185</v>
      </c>
      <c r="F50" s="65" t="s">
        <v>316</v>
      </c>
      <c r="G50" s="72">
        <v>14</v>
      </c>
      <c r="H50" s="73">
        <v>29</v>
      </c>
      <c r="I50" s="74">
        <f t="shared" si="4"/>
        <v>43</v>
      </c>
      <c r="J50" s="73">
        <v>24</v>
      </c>
      <c r="K50" s="74">
        <f t="shared" si="31"/>
        <v>67</v>
      </c>
      <c r="L50" s="75">
        <v>8</v>
      </c>
      <c r="M50" s="73">
        <v>30</v>
      </c>
      <c r="N50" s="74">
        <f t="shared" si="32"/>
        <v>38</v>
      </c>
      <c r="O50" s="74">
        <f t="shared" si="5"/>
        <v>38</v>
      </c>
      <c r="P50" s="74">
        <f t="shared" si="33"/>
        <v>105</v>
      </c>
      <c r="Q50" s="209"/>
      <c r="R50" s="73">
        <f t="shared" si="6"/>
        <v>4</v>
      </c>
      <c r="S50" s="75">
        <v>19</v>
      </c>
      <c r="T50" s="73">
        <v>54</v>
      </c>
      <c r="U50" s="74">
        <f t="shared" si="7"/>
        <v>73</v>
      </c>
      <c r="V50" s="75">
        <v>8</v>
      </c>
      <c r="W50" s="73">
        <v>23</v>
      </c>
      <c r="X50" s="74">
        <f t="shared" si="8"/>
        <v>31</v>
      </c>
      <c r="Y50" s="74">
        <f t="shared" si="9"/>
        <v>104</v>
      </c>
      <c r="Z50" s="74">
        <f t="shared" si="1"/>
        <v>104</v>
      </c>
      <c r="AA50" s="209"/>
      <c r="AB50" s="73">
        <f t="shared" si="10"/>
        <v>3.5</v>
      </c>
      <c r="AC50" s="75">
        <v>11</v>
      </c>
      <c r="AD50" s="73">
        <v>26</v>
      </c>
      <c r="AE50" s="74">
        <f t="shared" si="11"/>
        <v>37</v>
      </c>
      <c r="AF50" s="73">
        <v>18</v>
      </c>
      <c r="AG50" s="74">
        <f t="shared" si="12"/>
        <v>55</v>
      </c>
      <c r="AH50" s="209"/>
      <c r="AI50" s="73">
        <f t="shared" si="13"/>
        <v>3</v>
      </c>
      <c r="AJ50" s="75">
        <v>18</v>
      </c>
      <c r="AK50" s="73">
        <v>44</v>
      </c>
      <c r="AL50" s="74">
        <f t="shared" si="14"/>
        <v>62</v>
      </c>
      <c r="AM50" s="73">
        <v>27</v>
      </c>
      <c r="AN50" s="74">
        <f t="shared" si="15"/>
        <v>89</v>
      </c>
      <c r="AO50" s="209"/>
      <c r="AP50" s="73">
        <f t="shared" si="16"/>
        <v>5</v>
      </c>
      <c r="AQ50" s="73">
        <v>23</v>
      </c>
      <c r="AR50" s="73">
        <v>25</v>
      </c>
      <c r="AS50" s="73">
        <f t="shared" si="17"/>
        <v>48</v>
      </c>
      <c r="AT50" s="212"/>
      <c r="AU50" s="73">
        <f t="shared" si="18"/>
        <v>5</v>
      </c>
      <c r="AV50" s="75">
        <v>20</v>
      </c>
      <c r="AW50" s="73">
        <v>41</v>
      </c>
      <c r="AX50" s="74">
        <f t="shared" si="19"/>
        <v>61</v>
      </c>
      <c r="AY50" s="73">
        <v>20</v>
      </c>
      <c r="AZ50" s="74">
        <f t="shared" si="20"/>
        <v>81</v>
      </c>
      <c r="BA50" s="209"/>
      <c r="BB50" s="73">
        <f t="shared" si="21"/>
        <v>5</v>
      </c>
      <c r="BC50" s="75">
        <v>17</v>
      </c>
      <c r="BD50" s="73">
        <v>30</v>
      </c>
      <c r="BE50" s="74">
        <f t="shared" si="22"/>
        <v>47</v>
      </c>
      <c r="BF50" s="73">
        <v>26</v>
      </c>
      <c r="BG50" s="74">
        <f t="shared" si="23"/>
        <v>73</v>
      </c>
      <c r="BH50" s="209"/>
      <c r="BI50" s="73">
        <f t="shared" si="24"/>
        <v>4</v>
      </c>
      <c r="BJ50" s="75">
        <v>10</v>
      </c>
      <c r="BK50" s="73">
        <v>24</v>
      </c>
      <c r="BL50" s="74">
        <f t="shared" si="25"/>
        <v>34</v>
      </c>
      <c r="BM50" s="74">
        <f t="shared" si="26"/>
        <v>34</v>
      </c>
      <c r="BN50" s="209"/>
      <c r="BO50" s="73">
        <f t="shared" si="34"/>
        <v>3.5</v>
      </c>
      <c r="BP50" s="73">
        <f t="shared" si="27"/>
        <v>33</v>
      </c>
      <c r="BQ50" s="76">
        <f t="shared" si="28"/>
        <v>4.125</v>
      </c>
      <c r="BR50" s="76" t="str">
        <f t="shared" si="29"/>
        <v>A</v>
      </c>
      <c r="BS50" s="61" t="str">
        <f t="shared" si="3"/>
        <v>BETTER</v>
      </c>
      <c r="BT50" s="60">
        <f t="shared" si="30"/>
        <v>589</v>
      </c>
      <c r="BU50" s="63"/>
      <c r="BV50" s="59"/>
    </row>
    <row r="51" spans="1:74" ht="27.95" customHeight="1">
      <c r="A51" s="71">
        <v>43</v>
      </c>
      <c r="B51" s="49">
        <v>12</v>
      </c>
      <c r="C51" s="51" t="s">
        <v>431</v>
      </c>
      <c r="D51" s="51" t="s">
        <v>327</v>
      </c>
      <c r="E51" s="51" t="s">
        <v>328</v>
      </c>
      <c r="F51" s="66" t="s">
        <v>329</v>
      </c>
      <c r="G51" s="72">
        <v>18</v>
      </c>
      <c r="H51" s="79">
        <v>34</v>
      </c>
      <c r="I51" s="80">
        <f>H51+G51</f>
        <v>52</v>
      </c>
      <c r="J51" s="79">
        <v>18</v>
      </c>
      <c r="K51" s="80">
        <f>I51+J51</f>
        <v>70</v>
      </c>
      <c r="L51" s="75">
        <v>10</v>
      </c>
      <c r="M51" s="79">
        <v>30</v>
      </c>
      <c r="N51" s="80">
        <f>M51+L51</f>
        <v>40</v>
      </c>
      <c r="O51" s="74">
        <f t="shared" si="5"/>
        <v>40</v>
      </c>
      <c r="P51" s="80">
        <f t="shared" si="33"/>
        <v>110</v>
      </c>
      <c r="Q51" s="209"/>
      <c r="R51" s="79">
        <f>IF(P51&lt;60,"F",IF(P51&lt;70,2,IF(P51&lt;95,3,IF(P51&lt;105,3.5,IF(P51&lt;120,4,5)))))</f>
        <v>4</v>
      </c>
      <c r="S51" s="75">
        <v>17</v>
      </c>
      <c r="T51" s="79">
        <v>45</v>
      </c>
      <c r="U51" s="80">
        <f>T51+S51</f>
        <v>62</v>
      </c>
      <c r="V51" s="75">
        <v>10</v>
      </c>
      <c r="W51" s="79">
        <v>27</v>
      </c>
      <c r="X51" s="80">
        <f>W51+V51</f>
        <v>37</v>
      </c>
      <c r="Y51" s="80">
        <f t="shared" si="9"/>
        <v>99</v>
      </c>
      <c r="Z51" s="80">
        <f t="shared" si="1"/>
        <v>99</v>
      </c>
      <c r="AA51" s="209"/>
      <c r="AB51" s="79">
        <f>IF(Z51&lt;60,"F",IF(Z51&lt;75,2,IF(Z51&lt;90,3,IF(Z51&lt;105,3.5,IF(Z51&lt;120,4,5)))))</f>
        <v>3.5</v>
      </c>
      <c r="AC51" s="75">
        <v>16</v>
      </c>
      <c r="AD51" s="79">
        <v>38</v>
      </c>
      <c r="AE51" s="80">
        <f>AD51+AC51</f>
        <v>54</v>
      </c>
      <c r="AF51" s="79">
        <v>27</v>
      </c>
      <c r="AG51" s="80">
        <f>AE51+AF51</f>
        <v>81</v>
      </c>
      <c r="AH51" s="209"/>
      <c r="AI51" s="79">
        <f>IF(AG51&lt;40,"F",IF(AG51&lt;50,2,IF(AG51&lt;60,3,IF(AG51&lt;70,3.5,IF(AG51&lt;80,4,5)))))</f>
        <v>5</v>
      </c>
      <c r="AJ51" s="75">
        <v>19</v>
      </c>
      <c r="AK51" s="79">
        <v>39</v>
      </c>
      <c r="AL51" s="80">
        <f>AK51+AJ51</f>
        <v>58</v>
      </c>
      <c r="AM51" s="79">
        <v>19</v>
      </c>
      <c r="AN51" s="80">
        <f>+AL51+AM51</f>
        <v>77</v>
      </c>
      <c r="AO51" s="209"/>
      <c r="AP51" s="79">
        <f>IF(AN51&lt;40,"F",IF(AN51&lt;50,2,IF(AN51&lt;60,3,IF(AN51&lt;70,3.5,IF(AN51&lt;80,4,5)))))</f>
        <v>4</v>
      </c>
      <c r="AQ51" s="79">
        <v>23</v>
      </c>
      <c r="AR51" s="79">
        <v>25</v>
      </c>
      <c r="AS51" s="73">
        <f t="shared" si="17"/>
        <v>48</v>
      </c>
      <c r="AT51" s="212"/>
      <c r="AU51" s="79">
        <f>IF(AS51&lt;20,"F",IF(AS51&lt;25,2,IF(AS51&lt;30,3,IF(AS51&lt;35,3.5,IF(AS51&lt;40,4,5)))))</f>
        <v>5</v>
      </c>
      <c r="AV51" s="75">
        <v>20</v>
      </c>
      <c r="AW51" s="79">
        <v>47</v>
      </c>
      <c r="AX51" s="80">
        <f>AW51+AV51</f>
        <v>67</v>
      </c>
      <c r="AY51" s="79">
        <v>21</v>
      </c>
      <c r="AZ51" s="80">
        <f>AX51+AY51</f>
        <v>88</v>
      </c>
      <c r="BA51" s="209"/>
      <c r="BB51" s="79">
        <f>IF(AZ51&lt;40,"F",IF(AZ51&lt;50,2,IF(AZ51&lt;60,3,IF(AZ51&lt;70,3.5,IF(AZ51&lt;80,4,5)))))</f>
        <v>5</v>
      </c>
      <c r="BC51" s="75">
        <v>17</v>
      </c>
      <c r="BD51" s="79">
        <v>31</v>
      </c>
      <c r="BE51" s="80">
        <f>BD51+BC51</f>
        <v>48</v>
      </c>
      <c r="BF51" s="79">
        <v>24</v>
      </c>
      <c r="BG51" s="80">
        <f>BE51+BF51</f>
        <v>72</v>
      </c>
      <c r="BH51" s="209"/>
      <c r="BI51" s="79">
        <f>IF(BG51&lt;40,"F",IF(BG51&lt;50,2,IF(BG51&lt;60,3,IF(BG51&lt;70,3.5,IF(BG51&lt;80,4,5)))))</f>
        <v>4</v>
      </c>
      <c r="BJ51" s="75">
        <v>10</v>
      </c>
      <c r="BK51" s="79">
        <v>22</v>
      </c>
      <c r="BL51" s="80">
        <f>BK51+BJ51</f>
        <v>32</v>
      </c>
      <c r="BM51" s="74">
        <f t="shared" si="26"/>
        <v>32</v>
      </c>
      <c r="BN51" s="209"/>
      <c r="BO51" s="79">
        <f t="shared" si="34"/>
        <v>3.5</v>
      </c>
      <c r="BP51" s="73">
        <f t="shared" si="27"/>
        <v>34</v>
      </c>
      <c r="BQ51" s="76">
        <f t="shared" si="28"/>
        <v>4.25</v>
      </c>
      <c r="BR51" s="82" t="str">
        <f>IF(BQ51="F","F",IF(BQ51&lt;2.5,"D",IF(BQ51&lt;3,"C",IF(BQ51&lt;3.5,"B",IF(BQ51&lt;4,"A-",IF(BQ51&lt;5,"A","A+"))))))</f>
        <v>A</v>
      </c>
      <c r="BS51" s="64" t="str">
        <f t="shared" si="3"/>
        <v>BETTER</v>
      </c>
      <c r="BT51" s="60">
        <f t="shared" si="30"/>
        <v>607</v>
      </c>
      <c r="BU51" s="62"/>
      <c r="BV51" s="62"/>
    </row>
    <row r="52" spans="1:74" ht="27.95" customHeight="1">
      <c r="A52" s="71">
        <v>44</v>
      </c>
      <c r="B52" s="49">
        <v>26</v>
      </c>
      <c r="C52" s="50" t="s">
        <v>336</v>
      </c>
      <c r="D52" s="50" t="s">
        <v>337</v>
      </c>
      <c r="E52" s="50" t="s">
        <v>338</v>
      </c>
      <c r="F52" s="65" t="s">
        <v>339</v>
      </c>
      <c r="G52" s="72">
        <v>14</v>
      </c>
      <c r="H52" s="79">
        <v>30</v>
      </c>
      <c r="I52" s="80">
        <f>H52+G52</f>
        <v>44</v>
      </c>
      <c r="J52" s="79">
        <v>12</v>
      </c>
      <c r="K52" s="80">
        <f>I52+J52</f>
        <v>56</v>
      </c>
      <c r="L52" s="75">
        <v>10</v>
      </c>
      <c r="M52" s="79">
        <v>32</v>
      </c>
      <c r="N52" s="80">
        <f>M52+L52</f>
        <v>42</v>
      </c>
      <c r="O52" s="74">
        <f t="shared" si="5"/>
        <v>42</v>
      </c>
      <c r="P52" s="80">
        <f t="shared" si="33"/>
        <v>98</v>
      </c>
      <c r="Q52" s="209"/>
      <c r="R52" s="79">
        <f t="shared" ref="R52:R94" si="35">IF(P52&lt;60,"F",IF(P52&lt;70,2,IF(P52&lt;95,3,IF(P52&lt;105,3.5,IF(P52&lt;120,4,5)))))</f>
        <v>3.5</v>
      </c>
      <c r="S52" s="75">
        <v>16</v>
      </c>
      <c r="T52" s="79">
        <v>46</v>
      </c>
      <c r="U52" s="80">
        <f t="shared" ref="U52:U94" si="36">T52+S52</f>
        <v>62</v>
      </c>
      <c r="V52" s="75">
        <v>6</v>
      </c>
      <c r="W52" s="79">
        <v>16</v>
      </c>
      <c r="X52" s="80">
        <f t="shared" ref="X52:X94" si="37">W52+V52</f>
        <v>22</v>
      </c>
      <c r="Y52" s="80">
        <f>U52+X52</f>
        <v>84</v>
      </c>
      <c r="Z52" s="80">
        <f>Y52</f>
        <v>84</v>
      </c>
      <c r="AA52" s="209"/>
      <c r="AB52" s="79">
        <f t="shared" ref="AB52:AB94" si="38">IF(Z52&lt;60,"F",IF(Z52&lt;75,2,IF(Z52&lt;90,3,IF(Z52&lt;105,3.5,IF(Z52&lt;120,4,5)))))</f>
        <v>3</v>
      </c>
      <c r="AC52" s="75">
        <v>4</v>
      </c>
      <c r="AD52" s="79">
        <v>14</v>
      </c>
      <c r="AE52" s="80">
        <f t="shared" ref="AE52:AE94" si="39">AD52+AC52</f>
        <v>18</v>
      </c>
      <c r="AF52" s="79">
        <v>26</v>
      </c>
      <c r="AG52" s="80">
        <f t="shared" ref="AG52:AG94" si="40">AE52+AF52</f>
        <v>44</v>
      </c>
      <c r="AH52" s="209"/>
      <c r="AI52" s="79">
        <f t="shared" ref="AI52:AI94" si="41">IF(AG52&lt;40,"F",IF(AG52&lt;50,2,IF(AG52&lt;60,3,IF(AG52&lt;70,3.5,IF(AG52&lt;80,4,5)))))</f>
        <v>2</v>
      </c>
      <c r="AJ52" s="75">
        <v>17</v>
      </c>
      <c r="AK52" s="79">
        <v>20</v>
      </c>
      <c r="AL52" s="80">
        <f t="shared" ref="AL52:AL94" si="42">AK52+AJ52</f>
        <v>37</v>
      </c>
      <c r="AM52" s="79">
        <v>26</v>
      </c>
      <c r="AN52" s="80">
        <f>AL52+AM52</f>
        <v>63</v>
      </c>
      <c r="AO52" s="209"/>
      <c r="AP52" s="79">
        <f t="shared" ref="AP52:AP94" si="43">IF(AN52&lt;40,"F",IF(AN52&lt;50,2,IF(AN52&lt;60,3,IF(AN52&lt;70,3.5,IF(AN52&lt;80,4,5)))))</f>
        <v>3.5</v>
      </c>
      <c r="AQ52" s="79">
        <v>23</v>
      </c>
      <c r="AR52" s="79">
        <v>25</v>
      </c>
      <c r="AS52" s="73">
        <f t="shared" si="17"/>
        <v>48</v>
      </c>
      <c r="AT52" s="212"/>
      <c r="AU52" s="79">
        <f t="shared" ref="AU52:AU94" si="44">IF(AS52&lt;20,"F",IF(AS52&lt;25,2,IF(AS52&lt;30,3,IF(AS52&lt;35,3.5,IF(AS52&lt;40,4,5)))))</f>
        <v>5</v>
      </c>
      <c r="AV52" s="75">
        <v>11</v>
      </c>
      <c r="AW52" s="79">
        <v>25</v>
      </c>
      <c r="AX52" s="80">
        <f t="shared" ref="AX52:AX94" si="45">AW52+AV52</f>
        <v>36</v>
      </c>
      <c r="AY52" s="79">
        <v>26</v>
      </c>
      <c r="AZ52" s="80">
        <f t="shared" ref="AZ52:AZ94" si="46">AX52+AY52</f>
        <v>62</v>
      </c>
      <c r="BA52" s="209"/>
      <c r="BB52" s="79">
        <f t="shared" ref="BB52:BB94" si="47">IF(AZ52&lt;40,"F",IF(AZ52&lt;50,2,IF(AZ52&lt;60,3,IF(AZ52&lt;70,3.5,IF(AZ52&lt;80,4,5)))))</f>
        <v>3.5</v>
      </c>
      <c r="BC52" s="75">
        <v>12</v>
      </c>
      <c r="BD52" s="79">
        <v>22</v>
      </c>
      <c r="BE52" s="80">
        <f t="shared" ref="BE52:BE94" si="48">BD52+BC52</f>
        <v>34</v>
      </c>
      <c r="BF52" s="79">
        <v>30</v>
      </c>
      <c r="BG52" s="80">
        <f t="shared" ref="BG52:BG94" si="49">BE52+BF52</f>
        <v>64</v>
      </c>
      <c r="BH52" s="209"/>
      <c r="BI52" s="79">
        <f t="shared" ref="BI52:BI94" si="50">IF(BG52&lt;40,"F",IF(BG52&lt;50,2,IF(BG52&lt;60,3,IF(BG52&lt;70,3.5,IF(BG52&lt;80,4,5)))))</f>
        <v>3.5</v>
      </c>
      <c r="BJ52" s="75">
        <v>10</v>
      </c>
      <c r="BK52" s="79">
        <v>22</v>
      </c>
      <c r="BL52" s="80">
        <f t="shared" ref="BL52:BL94" si="51">BK52+BJ52</f>
        <v>32</v>
      </c>
      <c r="BM52" s="74">
        <f t="shared" si="26"/>
        <v>32</v>
      </c>
      <c r="BN52" s="209"/>
      <c r="BO52" s="79">
        <f t="shared" si="34"/>
        <v>3.5</v>
      </c>
      <c r="BP52" s="73">
        <f t="shared" si="27"/>
        <v>27.5</v>
      </c>
      <c r="BQ52" s="76">
        <f t="shared" si="28"/>
        <v>3.4375</v>
      </c>
      <c r="BR52" s="82" t="str">
        <f t="shared" ref="BR52:BR94" si="52">IF(BQ52="F","F",IF(BQ52&lt;2.5,"D",IF(BQ52&lt;3,"C",IF(BQ52&lt;3.5,"B",IF(BQ52&lt;4,"A-",IF(BQ52&lt;5,"A","A+"))))))</f>
        <v>B</v>
      </c>
      <c r="BS52" s="64" t="str">
        <f t="shared" si="3"/>
        <v>GOOD</v>
      </c>
      <c r="BT52" s="60">
        <f t="shared" si="30"/>
        <v>495</v>
      </c>
      <c r="BU52" s="62"/>
      <c r="BV52" s="62"/>
    </row>
    <row r="53" spans="1:74" s="40" customFormat="1" ht="27.95" customHeight="1">
      <c r="A53" s="71">
        <v>45</v>
      </c>
      <c r="B53" s="49">
        <v>28</v>
      </c>
      <c r="C53" s="51" t="s">
        <v>340</v>
      </c>
      <c r="D53" s="51" t="s">
        <v>341</v>
      </c>
      <c r="E53" s="51" t="s">
        <v>342</v>
      </c>
      <c r="F53" s="66" t="s">
        <v>343</v>
      </c>
      <c r="G53" s="72">
        <v>16</v>
      </c>
      <c r="H53" s="79">
        <v>15</v>
      </c>
      <c r="I53" s="80">
        <f t="shared" ref="I53:I94" si="53">H53+G53</f>
        <v>31</v>
      </c>
      <c r="J53" s="79">
        <v>26</v>
      </c>
      <c r="K53" s="80">
        <f t="shared" ref="K53:K94" si="54">I53+J53</f>
        <v>57</v>
      </c>
      <c r="L53" s="75">
        <v>9</v>
      </c>
      <c r="M53" s="79">
        <v>30</v>
      </c>
      <c r="N53" s="80">
        <f t="shared" ref="N53:N94" si="55">M53+L53</f>
        <v>39</v>
      </c>
      <c r="O53" s="74">
        <f t="shared" si="5"/>
        <v>39</v>
      </c>
      <c r="P53" s="80">
        <f t="shared" si="33"/>
        <v>96</v>
      </c>
      <c r="Q53" s="209"/>
      <c r="R53" s="79">
        <f t="shared" si="35"/>
        <v>3.5</v>
      </c>
      <c r="S53" s="75">
        <v>14</v>
      </c>
      <c r="T53" s="79">
        <v>35</v>
      </c>
      <c r="U53" s="80">
        <f t="shared" si="36"/>
        <v>49</v>
      </c>
      <c r="V53" s="75">
        <v>9</v>
      </c>
      <c r="W53" s="79">
        <v>22</v>
      </c>
      <c r="X53" s="80">
        <f t="shared" si="37"/>
        <v>31</v>
      </c>
      <c r="Y53" s="80">
        <f t="shared" ref="Y53:Y94" si="56">U53+X53</f>
        <v>80</v>
      </c>
      <c r="Z53" s="80">
        <f t="shared" ref="Z53:Z94" si="57">Y53</f>
        <v>80</v>
      </c>
      <c r="AA53" s="209"/>
      <c r="AB53" s="79">
        <f t="shared" si="38"/>
        <v>3</v>
      </c>
      <c r="AC53" s="75">
        <v>16</v>
      </c>
      <c r="AD53" s="79">
        <v>16</v>
      </c>
      <c r="AE53" s="80">
        <f t="shared" si="39"/>
        <v>32</v>
      </c>
      <c r="AF53" s="79">
        <v>27</v>
      </c>
      <c r="AG53" s="80">
        <f t="shared" si="40"/>
        <v>59</v>
      </c>
      <c r="AH53" s="209"/>
      <c r="AI53" s="79">
        <f t="shared" si="41"/>
        <v>3</v>
      </c>
      <c r="AJ53" s="75">
        <v>18</v>
      </c>
      <c r="AK53" s="79">
        <v>21</v>
      </c>
      <c r="AL53" s="80">
        <f t="shared" si="42"/>
        <v>39</v>
      </c>
      <c r="AM53" s="79">
        <v>24</v>
      </c>
      <c r="AN53" s="80">
        <f t="shared" ref="AN53:AN94" si="58">AL53+AM53</f>
        <v>63</v>
      </c>
      <c r="AO53" s="209"/>
      <c r="AP53" s="79">
        <f t="shared" si="43"/>
        <v>3.5</v>
      </c>
      <c r="AQ53" s="79">
        <v>23</v>
      </c>
      <c r="AR53" s="79">
        <v>25</v>
      </c>
      <c r="AS53" s="73">
        <f t="shared" si="17"/>
        <v>48</v>
      </c>
      <c r="AT53" s="212"/>
      <c r="AU53" s="79">
        <f t="shared" si="44"/>
        <v>5</v>
      </c>
      <c r="AV53" s="75">
        <v>20</v>
      </c>
      <c r="AW53" s="79">
        <v>26</v>
      </c>
      <c r="AX53" s="80">
        <f t="shared" si="45"/>
        <v>46</v>
      </c>
      <c r="AY53" s="79">
        <v>23</v>
      </c>
      <c r="AZ53" s="80">
        <f t="shared" si="46"/>
        <v>69</v>
      </c>
      <c r="BA53" s="209"/>
      <c r="BB53" s="79">
        <f t="shared" si="47"/>
        <v>3.5</v>
      </c>
      <c r="BC53" s="75">
        <v>19</v>
      </c>
      <c r="BD53" s="79">
        <v>24</v>
      </c>
      <c r="BE53" s="80">
        <f t="shared" si="48"/>
        <v>43</v>
      </c>
      <c r="BF53" s="79">
        <v>29</v>
      </c>
      <c r="BG53" s="80">
        <f t="shared" si="49"/>
        <v>72</v>
      </c>
      <c r="BH53" s="209"/>
      <c r="BI53" s="79">
        <f t="shared" si="50"/>
        <v>4</v>
      </c>
      <c r="BJ53" s="75">
        <v>10</v>
      </c>
      <c r="BK53" s="79">
        <v>22</v>
      </c>
      <c r="BL53" s="80">
        <f t="shared" si="51"/>
        <v>32</v>
      </c>
      <c r="BM53" s="74">
        <f t="shared" si="26"/>
        <v>32</v>
      </c>
      <c r="BN53" s="209"/>
      <c r="BO53" s="79">
        <f t="shared" si="34"/>
        <v>3.5</v>
      </c>
      <c r="BP53" s="73">
        <f t="shared" si="27"/>
        <v>29</v>
      </c>
      <c r="BQ53" s="76">
        <f t="shared" si="28"/>
        <v>3.625</v>
      </c>
      <c r="BR53" s="82" t="str">
        <f t="shared" si="52"/>
        <v>A-</v>
      </c>
      <c r="BS53" s="64" t="str">
        <f t="shared" si="3"/>
        <v>GOOD</v>
      </c>
      <c r="BT53" s="60">
        <f t="shared" si="30"/>
        <v>519</v>
      </c>
      <c r="BU53" s="62"/>
      <c r="BV53" s="62"/>
    </row>
    <row r="54" spans="1:74" ht="27.95" customHeight="1">
      <c r="A54" s="71">
        <v>46</v>
      </c>
      <c r="B54" s="49">
        <v>31</v>
      </c>
      <c r="C54" s="51" t="s">
        <v>219</v>
      </c>
      <c r="D54" s="51" t="s">
        <v>220</v>
      </c>
      <c r="E54" s="51" t="s">
        <v>221</v>
      </c>
      <c r="F54" s="66" t="s">
        <v>222</v>
      </c>
      <c r="G54" s="72">
        <v>19</v>
      </c>
      <c r="H54" s="79">
        <v>39</v>
      </c>
      <c r="I54" s="80">
        <f t="shared" si="53"/>
        <v>58</v>
      </c>
      <c r="J54" s="79">
        <v>21</v>
      </c>
      <c r="K54" s="80">
        <f t="shared" si="54"/>
        <v>79</v>
      </c>
      <c r="L54" s="75">
        <v>9</v>
      </c>
      <c r="M54" s="79">
        <v>33</v>
      </c>
      <c r="N54" s="80">
        <f t="shared" si="55"/>
        <v>42</v>
      </c>
      <c r="O54" s="74">
        <f t="shared" si="5"/>
        <v>42</v>
      </c>
      <c r="P54" s="80">
        <f t="shared" si="33"/>
        <v>121</v>
      </c>
      <c r="Q54" s="209"/>
      <c r="R54" s="79">
        <f t="shared" si="35"/>
        <v>5</v>
      </c>
      <c r="S54" s="75">
        <v>17</v>
      </c>
      <c r="T54" s="79">
        <v>56</v>
      </c>
      <c r="U54" s="80">
        <f t="shared" si="36"/>
        <v>73</v>
      </c>
      <c r="V54" s="75">
        <v>10</v>
      </c>
      <c r="W54" s="79">
        <v>28</v>
      </c>
      <c r="X54" s="80">
        <f t="shared" si="37"/>
        <v>38</v>
      </c>
      <c r="Y54" s="80">
        <f t="shared" si="56"/>
        <v>111</v>
      </c>
      <c r="Z54" s="80">
        <f t="shared" si="57"/>
        <v>111</v>
      </c>
      <c r="AA54" s="209"/>
      <c r="AB54" s="79">
        <f t="shared" si="38"/>
        <v>4</v>
      </c>
      <c r="AC54" s="75">
        <v>19</v>
      </c>
      <c r="AD54" s="79">
        <v>39</v>
      </c>
      <c r="AE54" s="80">
        <f t="shared" si="39"/>
        <v>58</v>
      </c>
      <c r="AF54" s="79">
        <v>29</v>
      </c>
      <c r="AG54" s="80">
        <f t="shared" si="40"/>
        <v>87</v>
      </c>
      <c r="AH54" s="209"/>
      <c r="AI54" s="79">
        <f t="shared" si="41"/>
        <v>5</v>
      </c>
      <c r="AJ54" s="75">
        <v>19</v>
      </c>
      <c r="AK54" s="79">
        <v>38</v>
      </c>
      <c r="AL54" s="80">
        <f t="shared" si="42"/>
        <v>57</v>
      </c>
      <c r="AM54" s="79">
        <v>24</v>
      </c>
      <c r="AN54" s="80">
        <f t="shared" si="58"/>
        <v>81</v>
      </c>
      <c r="AO54" s="209"/>
      <c r="AP54" s="79">
        <f t="shared" si="43"/>
        <v>5</v>
      </c>
      <c r="AQ54" s="79">
        <v>23</v>
      </c>
      <c r="AR54" s="79">
        <v>25</v>
      </c>
      <c r="AS54" s="73">
        <f t="shared" si="17"/>
        <v>48</v>
      </c>
      <c r="AT54" s="212"/>
      <c r="AU54" s="79">
        <f t="shared" si="44"/>
        <v>5</v>
      </c>
      <c r="AV54" s="75">
        <v>20</v>
      </c>
      <c r="AW54" s="79">
        <v>46</v>
      </c>
      <c r="AX54" s="80">
        <f t="shared" si="45"/>
        <v>66</v>
      </c>
      <c r="AY54" s="79">
        <v>27</v>
      </c>
      <c r="AZ54" s="80">
        <f t="shared" si="46"/>
        <v>93</v>
      </c>
      <c r="BA54" s="209"/>
      <c r="BB54" s="79">
        <f t="shared" si="47"/>
        <v>5</v>
      </c>
      <c r="BC54" s="75">
        <v>19</v>
      </c>
      <c r="BD54" s="79">
        <v>35</v>
      </c>
      <c r="BE54" s="80">
        <f t="shared" si="48"/>
        <v>54</v>
      </c>
      <c r="BF54" s="79">
        <v>30</v>
      </c>
      <c r="BG54" s="80">
        <f t="shared" si="49"/>
        <v>84</v>
      </c>
      <c r="BH54" s="209"/>
      <c r="BI54" s="79">
        <f t="shared" si="50"/>
        <v>5</v>
      </c>
      <c r="BJ54" s="75">
        <v>10</v>
      </c>
      <c r="BK54" s="79">
        <v>22</v>
      </c>
      <c r="BL54" s="80">
        <f t="shared" si="51"/>
        <v>32</v>
      </c>
      <c r="BM54" s="74">
        <f t="shared" si="26"/>
        <v>32</v>
      </c>
      <c r="BN54" s="209"/>
      <c r="BO54" s="79">
        <f t="shared" si="34"/>
        <v>3.5</v>
      </c>
      <c r="BP54" s="73">
        <f t="shared" si="27"/>
        <v>37.5</v>
      </c>
      <c r="BQ54" s="76">
        <f t="shared" si="28"/>
        <v>4.6875</v>
      </c>
      <c r="BR54" s="82" t="str">
        <f t="shared" si="52"/>
        <v>A</v>
      </c>
      <c r="BS54" s="64" t="str">
        <f t="shared" si="3"/>
        <v>BETTER</v>
      </c>
      <c r="BT54" s="60">
        <f t="shared" si="30"/>
        <v>657</v>
      </c>
      <c r="BU54" s="62"/>
      <c r="BV54" s="62"/>
    </row>
    <row r="55" spans="1:74" ht="27.95" customHeight="1">
      <c r="A55" s="71">
        <v>47</v>
      </c>
      <c r="B55" s="49">
        <v>32</v>
      </c>
      <c r="C55" s="51" t="s">
        <v>344</v>
      </c>
      <c r="D55" s="51" t="s">
        <v>345</v>
      </c>
      <c r="E55" s="51" t="s">
        <v>346</v>
      </c>
      <c r="F55" s="66" t="s">
        <v>347</v>
      </c>
      <c r="G55" s="72">
        <v>19</v>
      </c>
      <c r="H55" s="79">
        <v>32</v>
      </c>
      <c r="I55" s="80">
        <f t="shared" si="53"/>
        <v>51</v>
      </c>
      <c r="J55" s="79">
        <v>20</v>
      </c>
      <c r="K55" s="80">
        <f t="shared" si="54"/>
        <v>71</v>
      </c>
      <c r="L55" s="75">
        <v>9</v>
      </c>
      <c r="M55" s="79">
        <v>29</v>
      </c>
      <c r="N55" s="80">
        <f t="shared" si="55"/>
        <v>38</v>
      </c>
      <c r="O55" s="74">
        <f t="shared" si="5"/>
        <v>38</v>
      </c>
      <c r="P55" s="80">
        <f t="shared" si="33"/>
        <v>109</v>
      </c>
      <c r="Q55" s="209"/>
      <c r="R55" s="79">
        <f t="shared" si="35"/>
        <v>4</v>
      </c>
      <c r="S55" s="75">
        <v>17</v>
      </c>
      <c r="T55" s="79">
        <v>50</v>
      </c>
      <c r="U55" s="80">
        <f t="shared" si="36"/>
        <v>67</v>
      </c>
      <c r="V55" s="75">
        <v>9</v>
      </c>
      <c r="W55" s="79">
        <v>23</v>
      </c>
      <c r="X55" s="80">
        <f t="shared" si="37"/>
        <v>32</v>
      </c>
      <c r="Y55" s="80">
        <f t="shared" si="56"/>
        <v>99</v>
      </c>
      <c r="Z55" s="80">
        <f t="shared" si="57"/>
        <v>99</v>
      </c>
      <c r="AA55" s="209"/>
      <c r="AB55" s="79">
        <f t="shared" si="38"/>
        <v>3.5</v>
      </c>
      <c r="AC55" s="75">
        <v>5</v>
      </c>
      <c r="AD55" s="79">
        <v>21</v>
      </c>
      <c r="AE55" s="80">
        <f t="shared" si="39"/>
        <v>26</v>
      </c>
      <c r="AF55" s="79">
        <v>28</v>
      </c>
      <c r="AG55" s="80">
        <f t="shared" si="40"/>
        <v>54</v>
      </c>
      <c r="AH55" s="209"/>
      <c r="AI55" s="79">
        <f t="shared" si="41"/>
        <v>3</v>
      </c>
      <c r="AJ55" s="75">
        <v>18</v>
      </c>
      <c r="AK55" s="79">
        <v>27</v>
      </c>
      <c r="AL55" s="80">
        <f t="shared" si="42"/>
        <v>45</v>
      </c>
      <c r="AM55" s="79">
        <v>23</v>
      </c>
      <c r="AN55" s="80">
        <f t="shared" si="58"/>
        <v>68</v>
      </c>
      <c r="AO55" s="209"/>
      <c r="AP55" s="79">
        <f t="shared" si="43"/>
        <v>3.5</v>
      </c>
      <c r="AQ55" s="79">
        <v>23</v>
      </c>
      <c r="AR55" s="79">
        <v>25</v>
      </c>
      <c r="AS55" s="73">
        <f t="shared" si="17"/>
        <v>48</v>
      </c>
      <c r="AT55" s="212"/>
      <c r="AU55" s="79">
        <f t="shared" si="44"/>
        <v>5</v>
      </c>
      <c r="AV55" s="75">
        <v>20</v>
      </c>
      <c r="AW55" s="79">
        <v>30</v>
      </c>
      <c r="AX55" s="80">
        <f t="shared" si="45"/>
        <v>50</v>
      </c>
      <c r="AY55" s="79">
        <v>20</v>
      </c>
      <c r="AZ55" s="80">
        <f t="shared" si="46"/>
        <v>70</v>
      </c>
      <c r="BA55" s="209"/>
      <c r="BB55" s="79">
        <f t="shared" si="47"/>
        <v>4</v>
      </c>
      <c r="BC55" s="75">
        <v>15</v>
      </c>
      <c r="BD55" s="79">
        <v>31</v>
      </c>
      <c r="BE55" s="80">
        <f t="shared" si="48"/>
        <v>46</v>
      </c>
      <c r="BF55" s="79">
        <v>29</v>
      </c>
      <c r="BG55" s="80">
        <f t="shared" si="49"/>
        <v>75</v>
      </c>
      <c r="BH55" s="209"/>
      <c r="BI55" s="79">
        <f t="shared" si="50"/>
        <v>4</v>
      </c>
      <c r="BJ55" s="75">
        <v>10</v>
      </c>
      <c r="BK55" s="79">
        <v>24</v>
      </c>
      <c r="BL55" s="80">
        <f t="shared" si="51"/>
        <v>34</v>
      </c>
      <c r="BM55" s="74">
        <f t="shared" si="26"/>
        <v>34</v>
      </c>
      <c r="BN55" s="209"/>
      <c r="BO55" s="79">
        <f t="shared" si="34"/>
        <v>3.5</v>
      </c>
      <c r="BP55" s="73">
        <f t="shared" si="27"/>
        <v>30.5</v>
      </c>
      <c r="BQ55" s="76">
        <f t="shared" si="28"/>
        <v>3.8125</v>
      </c>
      <c r="BR55" s="82" t="str">
        <f t="shared" si="52"/>
        <v>A-</v>
      </c>
      <c r="BS55" s="64" t="str">
        <f t="shared" si="3"/>
        <v>GOOD</v>
      </c>
      <c r="BT55" s="60">
        <f t="shared" si="30"/>
        <v>557</v>
      </c>
      <c r="BU55" s="62"/>
      <c r="BV55" s="62"/>
    </row>
    <row r="56" spans="1:74" ht="27.95" customHeight="1">
      <c r="A56" s="71">
        <v>48</v>
      </c>
      <c r="B56" s="49">
        <v>34</v>
      </c>
      <c r="C56" s="50" t="s">
        <v>348</v>
      </c>
      <c r="D56" s="50" t="s">
        <v>432</v>
      </c>
      <c r="E56" s="50" t="s">
        <v>350</v>
      </c>
      <c r="F56" s="65" t="s">
        <v>351</v>
      </c>
      <c r="G56" s="72">
        <v>13</v>
      </c>
      <c r="H56" s="79">
        <v>22</v>
      </c>
      <c r="I56" s="80">
        <f t="shared" si="53"/>
        <v>35</v>
      </c>
      <c r="J56" s="79">
        <v>25</v>
      </c>
      <c r="K56" s="80">
        <f t="shared" si="54"/>
        <v>60</v>
      </c>
      <c r="L56" s="75">
        <v>9</v>
      </c>
      <c r="M56" s="79">
        <v>23</v>
      </c>
      <c r="N56" s="80">
        <f t="shared" si="55"/>
        <v>32</v>
      </c>
      <c r="O56" s="74">
        <f t="shared" si="5"/>
        <v>32</v>
      </c>
      <c r="P56" s="80">
        <f t="shared" si="33"/>
        <v>92</v>
      </c>
      <c r="Q56" s="209"/>
      <c r="R56" s="79">
        <f t="shared" si="35"/>
        <v>3</v>
      </c>
      <c r="S56" s="75">
        <v>15</v>
      </c>
      <c r="T56" s="79">
        <v>33</v>
      </c>
      <c r="U56" s="80">
        <f t="shared" si="36"/>
        <v>48</v>
      </c>
      <c r="V56" s="75">
        <v>7</v>
      </c>
      <c r="W56" s="79">
        <v>14</v>
      </c>
      <c r="X56" s="80">
        <f t="shared" si="37"/>
        <v>21</v>
      </c>
      <c r="Y56" s="80">
        <f t="shared" si="56"/>
        <v>69</v>
      </c>
      <c r="Z56" s="80">
        <f t="shared" si="57"/>
        <v>69</v>
      </c>
      <c r="AA56" s="209"/>
      <c r="AB56" s="79">
        <f t="shared" si="38"/>
        <v>2</v>
      </c>
      <c r="AC56" s="75">
        <v>14</v>
      </c>
      <c r="AD56" s="79">
        <v>31</v>
      </c>
      <c r="AE56" s="80">
        <f t="shared" si="39"/>
        <v>45</v>
      </c>
      <c r="AF56" s="79">
        <v>26</v>
      </c>
      <c r="AG56" s="80">
        <f t="shared" si="40"/>
        <v>71</v>
      </c>
      <c r="AH56" s="209"/>
      <c r="AI56" s="79">
        <f t="shared" si="41"/>
        <v>4</v>
      </c>
      <c r="AJ56" s="75">
        <v>18</v>
      </c>
      <c r="AK56" s="79">
        <v>29</v>
      </c>
      <c r="AL56" s="80">
        <f t="shared" si="42"/>
        <v>47</v>
      </c>
      <c r="AM56" s="79">
        <v>26</v>
      </c>
      <c r="AN56" s="80">
        <f t="shared" si="58"/>
        <v>73</v>
      </c>
      <c r="AO56" s="209"/>
      <c r="AP56" s="79">
        <f t="shared" si="43"/>
        <v>4</v>
      </c>
      <c r="AQ56" s="79">
        <v>23</v>
      </c>
      <c r="AR56" s="79">
        <v>25</v>
      </c>
      <c r="AS56" s="73">
        <f t="shared" si="17"/>
        <v>48</v>
      </c>
      <c r="AT56" s="212"/>
      <c r="AU56" s="79">
        <f t="shared" si="44"/>
        <v>5</v>
      </c>
      <c r="AV56" s="75">
        <v>19</v>
      </c>
      <c r="AW56" s="79">
        <v>30</v>
      </c>
      <c r="AX56" s="80">
        <f t="shared" si="45"/>
        <v>49</v>
      </c>
      <c r="AY56" s="79">
        <v>27</v>
      </c>
      <c r="AZ56" s="80">
        <f t="shared" si="46"/>
        <v>76</v>
      </c>
      <c r="BA56" s="209"/>
      <c r="BB56" s="79">
        <f t="shared" si="47"/>
        <v>4</v>
      </c>
      <c r="BC56" s="75">
        <v>17</v>
      </c>
      <c r="BD56" s="79">
        <v>35</v>
      </c>
      <c r="BE56" s="80">
        <f t="shared" si="48"/>
        <v>52</v>
      </c>
      <c r="BF56" s="79">
        <v>30</v>
      </c>
      <c r="BG56" s="80">
        <f t="shared" si="49"/>
        <v>82</v>
      </c>
      <c r="BH56" s="209"/>
      <c r="BI56" s="79">
        <f t="shared" si="50"/>
        <v>5</v>
      </c>
      <c r="BJ56" s="75">
        <v>10</v>
      </c>
      <c r="BK56" s="79">
        <v>24</v>
      </c>
      <c r="BL56" s="80">
        <f t="shared" si="51"/>
        <v>34</v>
      </c>
      <c r="BM56" s="74">
        <f t="shared" si="26"/>
        <v>34</v>
      </c>
      <c r="BN56" s="209"/>
      <c r="BO56" s="79">
        <f t="shared" si="34"/>
        <v>3.5</v>
      </c>
      <c r="BP56" s="73">
        <f t="shared" si="27"/>
        <v>30.5</v>
      </c>
      <c r="BQ56" s="76">
        <f t="shared" si="28"/>
        <v>3.8125</v>
      </c>
      <c r="BR56" s="82" t="str">
        <f t="shared" si="52"/>
        <v>A-</v>
      </c>
      <c r="BS56" s="64" t="str">
        <f t="shared" si="3"/>
        <v>GOOD</v>
      </c>
      <c r="BT56" s="60">
        <f t="shared" si="30"/>
        <v>545</v>
      </c>
      <c r="BU56" s="62"/>
      <c r="BV56" s="62"/>
    </row>
    <row r="57" spans="1:74" ht="27.95" customHeight="1">
      <c r="A57" s="71">
        <v>49</v>
      </c>
      <c r="B57" s="49">
        <v>39</v>
      </c>
      <c r="C57" s="50" t="s">
        <v>225</v>
      </c>
      <c r="D57" s="50" t="s">
        <v>226</v>
      </c>
      <c r="E57" s="50" t="s">
        <v>227</v>
      </c>
      <c r="F57" s="65" t="s">
        <v>228</v>
      </c>
      <c r="G57" s="72">
        <v>14</v>
      </c>
      <c r="H57" s="79">
        <v>19</v>
      </c>
      <c r="I57" s="80">
        <f t="shared" si="53"/>
        <v>33</v>
      </c>
      <c r="J57" s="79">
        <v>22</v>
      </c>
      <c r="K57" s="80">
        <f t="shared" si="54"/>
        <v>55</v>
      </c>
      <c r="L57" s="75">
        <v>9</v>
      </c>
      <c r="M57" s="79">
        <v>31</v>
      </c>
      <c r="N57" s="80">
        <f t="shared" si="55"/>
        <v>40</v>
      </c>
      <c r="O57" s="74">
        <f t="shared" si="5"/>
        <v>40</v>
      </c>
      <c r="P57" s="80">
        <f t="shared" si="33"/>
        <v>95</v>
      </c>
      <c r="Q57" s="209"/>
      <c r="R57" s="79">
        <f t="shared" si="35"/>
        <v>3.5</v>
      </c>
      <c r="S57" s="75">
        <v>18</v>
      </c>
      <c r="T57" s="79">
        <v>36</v>
      </c>
      <c r="U57" s="80">
        <f t="shared" si="36"/>
        <v>54</v>
      </c>
      <c r="V57" s="75">
        <v>9</v>
      </c>
      <c r="W57" s="79">
        <v>22</v>
      </c>
      <c r="X57" s="80">
        <f t="shared" si="37"/>
        <v>31</v>
      </c>
      <c r="Y57" s="80">
        <f t="shared" si="56"/>
        <v>85</v>
      </c>
      <c r="Z57" s="80">
        <f t="shared" si="57"/>
        <v>85</v>
      </c>
      <c r="AA57" s="209"/>
      <c r="AB57" s="79">
        <f t="shared" si="38"/>
        <v>3</v>
      </c>
      <c r="AC57" s="75">
        <v>11</v>
      </c>
      <c r="AD57" s="79">
        <v>16</v>
      </c>
      <c r="AE57" s="80">
        <f t="shared" si="39"/>
        <v>27</v>
      </c>
      <c r="AF57" s="79">
        <v>28</v>
      </c>
      <c r="AG57" s="80">
        <f t="shared" si="40"/>
        <v>55</v>
      </c>
      <c r="AH57" s="209"/>
      <c r="AI57" s="79">
        <f t="shared" si="41"/>
        <v>3</v>
      </c>
      <c r="AJ57" s="75">
        <v>16</v>
      </c>
      <c r="AK57" s="79">
        <v>25</v>
      </c>
      <c r="AL57" s="80">
        <f t="shared" si="42"/>
        <v>41</v>
      </c>
      <c r="AM57" s="79">
        <v>25</v>
      </c>
      <c r="AN57" s="80">
        <f t="shared" si="58"/>
        <v>66</v>
      </c>
      <c r="AO57" s="209"/>
      <c r="AP57" s="79">
        <f t="shared" si="43"/>
        <v>3.5</v>
      </c>
      <c r="AQ57" s="79">
        <v>23</v>
      </c>
      <c r="AR57" s="79">
        <v>25</v>
      </c>
      <c r="AS57" s="73">
        <f t="shared" si="17"/>
        <v>48</v>
      </c>
      <c r="AT57" s="212"/>
      <c r="AU57" s="79">
        <f t="shared" si="44"/>
        <v>5</v>
      </c>
      <c r="AV57" s="75">
        <v>19</v>
      </c>
      <c r="AW57" s="79">
        <v>33</v>
      </c>
      <c r="AX57" s="80">
        <f t="shared" si="45"/>
        <v>52</v>
      </c>
      <c r="AY57" s="79">
        <v>26</v>
      </c>
      <c r="AZ57" s="80">
        <f t="shared" si="46"/>
        <v>78</v>
      </c>
      <c r="BA57" s="209"/>
      <c r="BB57" s="79">
        <f t="shared" si="47"/>
        <v>4</v>
      </c>
      <c r="BC57" s="75">
        <v>16</v>
      </c>
      <c r="BD57" s="79">
        <v>19</v>
      </c>
      <c r="BE57" s="80">
        <f t="shared" si="48"/>
        <v>35</v>
      </c>
      <c r="BF57" s="79">
        <v>28</v>
      </c>
      <c r="BG57" s="80">
        <f t="shared" si="49"/>
        <v>63</v>
      </c>
      <c r="BH57" s="209"/>
      <c r="BI57" s="79">
        <f t="shared" si="50"/>
        <v>3.5</v>
      </c>
      <c r="BJ57" s="75">
        <v>10</v>
      </c>
      <c r="BK57" s="79">
        <v>24</v>
      </c>
      <c r="BL57" s="80">
        <f t="shared" si="51"/>
        <v>34</v>
      </c>
      <c r="BM57" s="74">
        <f t="shared" si="26"/>
        <v>34</v>
      </c>
      <c r="BN57" s="209"/>
      <c r="BO57" s="79">
        <f t="shared" si="34"/>
        <v>3.5</v>
      </c>
      <c r="BP57" s="73">
        <f t="shared" si="27"/>
        <v>29</v>
      </c>
      <c r="BQ57" s="76">
        <f t="shared" si="28"/>
        <v>3.625</v>
      </c>
      <c r="BR57" s="82" t="str">
        <f t="shared" si="52"/>
        <v>A-</v>
      </c>
      <c r="BS57" s="64" t="str">
        <f t="shared" si="3"/>
        <v>GOOD</v>
      </c>
      <c r="BT57" s="60">
        <f t="shared" si="30"/>
        <v>524</v>
      </c>
      <c r="BU57" s="62"/>
      <c r="BV57" s="62"/>
    </row>
    <row r="58" spans="1:74" ht="27.95" customHeight="1">
      <c r="A58" s="71">
        <v>50</v>
      </c>
      <c r="B58" s="49">
        <v>45</v>
      </c>
      <c r="C58" s="50" t="s">
        <v>229</v>
      </c>
      <c r="D58" s="50" t="s">
        <v>230</v>
      </c>
      <c r="E58" s="50" t="s">
        <v>231</v>
      </c>
      <c r="F58" s="65" t="s">
        <v>232</v>
      </c>
      <c r="G58" s="72">
        <v>14</v>
      </c>
      <c r="H58" s="79">
        <v>19</v>
      </c>
      <c r="I58" s="80">
        <f t="shared" si="53"/>
        <v>33</v>
      </c>
      <c r="J58" s="79">
        <v>15</v>
      </c>
      <c r="K58" s="80">
        <f t="shared" si="54"/>
        <v>48</v>
      </c>
      <c r="L58" s="75">
        <v>9</v>
      </c>
      <c r="M58" s="79">
        <v>33</v>
      </c>
      <c r="N58" s="80">
        <f t="shared" si="55"/>
        <v>42</v>
      </c>
      <c r="O58" s="74">
        <f t="shared" si="5"/>
        <v>42</v>
      </c>
      <c r="P58" s="80">
        <f t="shared" si="33"/>
        <v>90</v>
      </c>
      <c r="Q58" s="209"/>
      <c r="R58" s="79">
        <f t="shared" si="35"/>
        <v>3</v>
      </c>
      <c r="S58" s="75">
        <v>19</v>
      </c>
      <c r="T58" s="79">
        <v>38</v>
      </c>
      <c r="U58" s="80">
        <f t="shared" si="36"/>
        <v>57</v>
      </c>
      <c r="V58" s="75">
        <v>7</v>
      </c>
      <c r="W58" s="79">
        <v>19</v>
      </c>
      <c r="X58" s="80">
        <f t="shared" si="37"/>
        <v>26</v>
      </c>
      <c r="Y58" s="80">
        <f t="shared" si="56"/>
        <v>83</v>
      </c>
      <c r="Z58" s="80">
        <f t="shared" si="57"/>
        <v>83</v>
      </c>
      <c r="AA58" s="209"/>
      <c r="AB58" s="79">
        <f t="shared" si="38"/>
        <v>3</v>
      </c>
      <c r="AC58" s="75">
        <v>14</v>
      </c>
      <c r="AD58" s="79">
        <v>14</v>
      </c>
      <c r="AE58" s="80">
        <f t="shared" si="39"/>
        <v>28</v>
      </c>
      <c r="AF58" s="79">
        <v>28</v>
      </c>
      <c r="AG58" s="80">
        <f t="shared" si="40"/>
        <v>56</v>
      </c>
      <c r="AH58" s="209"/>
      <c r="AI58" s="79">
        <f t="shared" si="41"/>
        <v>3</v>
      </c>
      <c r="AJ58" s="75">
        <v>14</v>
      </c>
      <c r="AK58" s="79">
        <v>16</v>
      </c>
      <c r="AL58" s="80">
        <f t="shared" si="42"/>
        <v>30</v>
      </c>
      <c r="AM58" s="79">
        <v>22</v>
      </c>
      <c r="AN58" s="80">
        <f t="shared" si="58"/>
        <v>52</v>
      </c>
      <c r="AO58" s="209"/>
      <c r="AP58" s="79">
        <f t="shared" si="43"/>
        <v>3</v>
      </c>
      <c r="AQ58" s="79">
        <v>23</v>
      </c>
      <c r="AR58" s="79">
        <v>25</v>
      </c>
      <c r="AS58" s="73">
        <f t="shared" si="17"/>
        <v>48</v>
      </c>
      <c r="AT58" s="212"/>
      <c r="AU58" s="79">
        <f t="shared" si="44"/>
        <v>5</v>
      </c>
      <c r="AV58" s="75">
        <v>19</v>
      </c>
      <c r="AW58" s="79">
        <v>30</v>
      </c>
      <c r="AX58" s="80">
        <f t="shared" si="45"/>
        <v>49</v>
      </c>
      <c r="AY58" s="79">
        <v>20</v>
      </c>
      <c r="AZ58" s="80">
        <f t="shared" si="46"/>
        <v>69</v>
      </c>
      <c r="BA58" s="209"/>
      <c r="BB58" s="79">
        <f t="shared" si="47"/>
        <v>3.5</v>
      </c>
      <c r="BC58" s="75">
        <v>13</v>
      </c>
      <c r="BD58" s="79">
        <v>19</v>
      </c>
      <c r="BE58" s="80">
        <f t="shared" si="48"/>
        <v>32</v>
      </c>
      <c r="BF58" s="79">
        <v>25</v>
      </c>
      <c r="BG58" s="80">
        <f t="shared" si="49"/>
        <v>57</v>
      </c>
      <c r="BH58" s="209"/>
      <c r="BI58" s="79">
        <f t="shared" si="50"/>
        <v>3</v>
      </c>
      <c r="BJ58" s="75">
        <v>10</v>
      </c>
      <c r="BK58" s="79">
        <v>22</v>
      </c>
      <c r="BL58" s="80">
        <f t="shared" si="51"/>
        <v>32</v>
      </c>
      <c r="BM58" s="74">
        <f t="shared" si="26"/>
        <v>32</v>
      </c>
      <c r="BN58" s="209"/>
      <c r="BO58" s="79">
        <f t="shared" si="34"/>
        <v>3.5</v>
      </c>
      <c r="BP58" s="73">
        <f t="shared" si="27"/>
        <v>27</v>
      </c>
      <c r="BQ58" s="76">
        <f t="shared" si="28"/>
        <v>3.375</v>
      </c>
      <c r="BR58" s="82" t="str">
        <f t="shared" si="52"/>
        <v>B</v>
      </c>
      <c r="BS58" s="64" t="str">
        <f t="shared" si="3"/>
        <v>GOOD</v>
      </c>
      <c r="BT58" s="60">
        <f t="shared" si="30"/>
        <v>487</v>
      </c>
      <c r="BU58" s="62"/>
      <c r="BV58" s="62"/>
    </row>
    <row r="59" spans="1:74" ht="27.95" customHeight="1">
      <c r="A59" s="71">
        <v>51</v>
      </c>
      <c r="B59" s="49">
        <v>47</v>
      </c>
      <c r="C59" s="50" t="s">
        <v>233</v>
      </c>
      <c r="D59" s="50" t="s">
        <v>234</v>
      </c>
      <c r="E59" s="50" t="s">
        <v>235</v>
      </c>
      <c r="F59" s="65" t="s">
        <v>236</v>
      </c>
      <c r="G59" s="72">
        <v>16</v>
      </c>
      <c r="H59" s="79">
        <v>14</v>
      </c>
      <c r="I59" s="80">
        <f t="shared" si="53"/>
        <v>30</v>
      </c>
      <c r="J59" s="79">
        <v>18</v>
      </c>
      <c r="K59" s="80">
        <f t="shared" si="54"/>
        <v>48</v>
      </c>
      <c r="L59" s="75">
        <v>9</v>
      </c>
      <c r="M59" s="79">
        <v>23</v>
      </c>
      <c r="N59" s="80">
        <f t="shared" si="55"/>
        <v>32</v>
      </c>
      <c r="O59" s="74">
        <f t="shared" si="5"/>
        <v>32</v>
      </c>
      <c r="P59" s="80">
        <f t="shared" si="33"/>
        <v>80</v>
      </c>
      <c r="Q59" s="209"/>
      <c r="R59" s="79">
        <f t="shared" si="35"/>
        <v>3</v>
      </c>
      <c r="S59" s="75">
        <v>19</v>
      </c>
      <c r="T59" s="79">
        <v>38</v>
      </c>
      <c r="U59" s="80">
        <f t="shared" si="36"/>
        <v>57</v>
      </c>
      <c r="V59" s="75">
        <v>8</v>
      </c>
      <c r="W59" s="79">
        <v>20</v>
      </c>
      <c r="X59" s="80">
        <f t="shared" si="37"/>
        <v>28</v>
      </c>
      <c r="Y59" s="80">
        <f t="shared" si="56"/>
        <v>85</v>
      </c>
      <c r="Z59" s="80">
        <f t="shared" si="57"/>
        <v>85</v>
      </c>
      <c r="AA59" s="209"/>
      <c r="AB59" s="79">
        <f t="shared" si="38"/>
        <v>3</v>
      </c>
      <c r="AC59" s="75">
        <v>17</v>
      </c>
      <c r="AD59" s="79">
        <v>12</v>
      </c>
      <c r="AE59" s="80">
        <f t="shared" si="39"/>
        <v>29</v>
      </c>
      <c r="AF59" s="79">
        <v>15</v>
      </c>
      <c r="AG59" s="80">
        <f t="shared" si="40"/>
        <v>44</v>
      </c>
      <c r="AH59" s="209"/>
      <c r="AI59" s="79">
        <f t="shared" si="41"/>
        <v>2</v>
      </c>
      <c r="AJ59" s="75">
        <v>17</v>
      </c>
      <c r="AK59" s="79">
        <v>21</v>
      </c>
      <c r="AL59" s="80">
        <f t="shared" si="42"/>
        <v>38</v>
      </c>
      <c r="AM59" s="79">
        <v>20</v>
      </c>
      <c r="AN59" s="80">
        <f t="shared" si="58"/>
        <v>58</v>
      </c>
      <c r="AO59" s="209"/>
      <c r="AP59" s="79">
        <f t="shared" si="43"/>
        <v>3</v>
      </c>
      <c r="AQ59" s="79">
        <v>23</v>
      </c>
      <c r="AR59" s="79">
        <v>25</v>
      </c>
      <c r="AS59" s="73">
        <f t="shared" si="17"/>
        <v>48</v>
      </c>
      <c r="AT59" s="212"/>
      <c r="AU59" s="79">
        <f t="shared" si="44"/>
        <v>5</v>
      </c>
      <c r="AV59" s="75">
        <v>20</v>
      </c>
      <c r="AW59" s="79">
        <v>29</v>
      </c>
      <c r="AX59" s="80">
        <f t="shared" si="45"/>
        <v>49</v>
      </c>
      <c r="AY59" s="79">
        <v>21</v>
      </c>
      <c r="AZ59" s="80">
        <f t="shared" si="46"/>
        <v>70</v>
      </c>
      <c r="BA59" s="209"/>
      <c r="BB59" s="79">
        <f t="shared" si="47"/>
        <v>4</v>
      </c>
      <c r="BC59" s="75">
        <v>17</v>
      </c>
      <c r="BD59" s="79">
        <v>26</v>
      </c>
      <c r="BE59" s="80">
        <f t="shared" si="48"/>
        <v>43</v>
      </c>
      <c r="BF59" s="79">
        <v>26</v>
      </c>
      <c r="BG59" s="80">
        <f t="shared" si="49"/>
        <v>69</v>
      </c>
      <c r="BH59" s="209"/>
      <c r="BI59" s="79">
        <f t="shared" si="50"/>
        <v>3.5</v>
      </c>
      <c r="BJ59" s="75">
        <v>10</v>
      </c>
      <c r="BK59" s="79">
        <v>22</v>
      </c>
      <c r="BL59" s="80">
        <f t="shared" si="51"/>
        <v>32</v>
      </c>
      <c r="BM59" s="74">
        <f t="shared" si="26"/>
        <v>32</v>
      </c>
      <c r="BN59" s="209"/>
      <c r="BO59" s="79">
        <f t="shared" si="34"/>
        <v>3.5</v>
      </c>
      <c r="BP59" s="73">
        <f t="shared" si="27"/>
        <v>27</v>
      </c>
      <c r="BQ59" s="76">
        <f t="shared" si="28"/>
        <v>3.375</v>
      </c>
      <c r="BR59" s="82" t="str">
        <f t="shared" si="52"/>
        <v>B</v>
      </c>
      <c r="BS59" s="64" t="str">
        <f t="shared" si="3"/>
        <v>GOOD</v>
      </c>
      <c r="BT59" s="60">
        <f t="shared" si="30"/>
        <v>486</v>
      </c>
      <c r="BU59" s="62"/>
      <c r="BV59" s="62"/>
    </row>
    <row r="60" spans="1:74" ht="27.95" customHeight="1">
      <c r="A60" s="71">
        <v>52</v>
      </c>
      <c r="B60" s="49">
        <v>49</v>
      </c>
      <c r="C60" s="50" t="s">
        <v>237</v>
      </c>
      <c r="D60" s="50" t="s">
        <v>238</v>
      </c>
      <c r="E60" s="50" t="s">
        <v>239</v>
      </c>
      <c r="F60" s="65" t="s">
        <v>240</v>
      </c>
      <c r="G60" s="72">
        <v>16</v>
      </c>
      <c r="H60" s="79">
        <v>18</v>
      </c>
      <c r="I60" s="80">
        <f t="shared" si="53"/>
        <v>34</v>
      </c>
      <c r="J60" s="79">
        <v>16</v>
      </c>
      <c r="K60" s="80">
        <f t="shared" si="54"/>
        <v>50</v>
      </c>
      <c r="L60" s="75">
        <v>10</v>
      </c>
      <c r="M60" s="79">
        <v>24</v>
      </c>
      <c r="N60" s="80">
        <f t="shared" si="55"/>
        <v>34</v>
      </c>
      <c r="O60" s="74">
        <f t="shared" si="5"/>
        <v>34</v>
      </c>
      <c r="P60" s="80">
        <f t="shared" si="33"/>
        <v>84</v>
      </c>
      <c r="Q60" s="209"/>
      <c r="R60" s="79">
        <f t="shared" si="35"/>
        <v>3</v>
      </c>
      <c r="S60" s="75">
        <v>15</v>
      </c>
      <c r="T60" s="79">
        <v>42</v>
      </c>
      <c r="U60" s="80">
        <f t="shared" si="36"/>
        <v>57</v>
      </c>
      <c r="V60" s="75">
        <v>9</v>
      </c>
      <c r="W60" s="79">
        <v>28</v>
      </c>
      <c r="X60" s="80">
        <f t="shared" si="37"/>
        <v>37</v>
      </c>
      <c r="Y60" s="80">
        <f t="shared" si="56"/>
        <v>94</v>
      </c>
      <c r="Z60" s="80">
        <f t="shared" si="57"/>
        <v>94</v>
      </c>
      <c r="AA60" s="209"/>
      <c r="AB60" s="79">
        <f t="shared" si="38"/>
        <v>3.5</v>
      </c>
      <c r="AC60" s="75">
        <v>17</v>
      </c>
      <c r="AD60" s="79">
        <v>24</v>
      </c>
      <c r="AE60" s="80">
        <f t="shared" si="39"/>
        <v>41</v>
      </c>
      <c r="AF60" s="79">
        <v>18</v>
      </c>
      <c r="AG60" s="80">
        <f t="shared" si="40"/>
        <v>59</v>
      </c>
      <c r="AH60" s="209"/>
      <c r="AI60" s="79">
        <f t="shared" si="41"/>
        <v>3</v>
      </c>
      <c r="AJ60" s="75">
        <v>18</v>
      </c>
      <c r="AK60" s="79">
        <v>36</v>
      </c>
      <c r="AL60" s="80">
        <f t="shared" si="42"/>
        <v>54</v>
      </c>
      <c r="AM60" s="79">
        <v>23</v>
      </c>
      <c r="AN60" s="80">
        <f t="shared" si="58"/>
        <v>77</v>
      </c>
      <c r="AO60" s="209"/>
      <c r="AP60" s="79">
        <f t="shared" si="43"/>
        <v>4</v>
      </c>
      <c r="AQ60" s="79">
        <v>23</v>
      </c>
      <c r="AR60" s="79">
        <v>25</v>
      </c>
      <c r="AS60" s="73">
        <f t="shared" si="17"/>
        <v>48</v>
      </c>
      <c r="AT60" s="212"/>
      <c r="AU60" s="79">
        <f t="shared" si="44"/>
        <v>5</v>
      </c>
      <c r="AV60" s="75">
        <v>20</v>
      </c>
      <c r="AW60" s="79">
        <v>29</v>
      </c>
      <c r="AX60" s="80">
        <f t="shared" si="45"/>
        <v>49</v>
      </c>
      <c r="AY60" s="79">
        <v>23</v>
      </c>
      <c r="AZ60" s="80">
        <f t="shared" si="46"/>
        <v>72</v>
      </c>
      <c r="BA60" s="209"/>
      <c r="BB60" s="79">
        <f t="shared" si="47"/>
        <v>4</v>
      </c>
      <c r="BC60" s="75">
        <v>18</v>
      </c>
      <c r="BD60" s="79">
        <v>14</v>
      </c>
      <c r="BE60" s="80">
        <f t="shared" si="48"/>
        <v>32</v>
      </c>
      <c r="BF60" s="79">
        <v>29</v>
      </c>
      <c r="BG60" s="80">
        <f t="shared" si="49"/>
        <v>61</v>
      </c>
      <c r="BH60" s="209"/>
      <c r="BI60" s="79">
        <f t="shared" si="50"/>
        <v>3.5</v>
      </c>
      <c r="BJ60" s="75">
        <v>10</v>
      </c>
      <c r="BK60" s="79">
        <v>22</v>
      </c>
      <c r="BL60" s="80">
        <f t="shared" si="51"/>
        <v>32</v>
      </c>
      <c r="BM60" s="74">
        <f t="shared" si="26"/>
        <v>32</v>
      </c>
      <c r="BN60" s="209"/>
      <c r="BO60" s="79">
        <f t="shared" si="34"/>
        <v>3.5</v>
      </c>
      <c r="BP60" s="73">
        <f t="shared" si="27"/>
        <v>29.5</v>
      </c>
      <c r="BQ60" s="76">
        <f t="shared" si="28"/>
        <v>3.6875</v>
      </c>
      <c r="BR60" s="82" t="str">
        <f t="shared" si="52"/>
        <v>A-</v>
      </c>
      <c r="BS60" s="64" t="str">
        <f t="shared" si="3"/>
        <v>GOOD</v>
      </c>
      <c r="BT60" s="60">
        <f t="shared" si="30"/>
        <v>527</v>
      </c>
      <c r="BU60" s="62"/>
      <c r="BV60" s="62"/>
    </row>
    <row r="61" spans="1:74" ht="27.95" customHeight="1">
      <c r="A61" s="71">
        <v>53</v>
      </c>
      <c r="B61" s="49">
        <v>51</v>
      </c>
      <c r="C61" s="50" t="s">
        <v>241</v>
      </c>
      <c r="D61" s="50" t="s">
        <v>242</v>
      </c>
      <c r="E61" s="50" t="s">
        <v>243</v>
      </c>
      <c r="F61" s="65" t="s">
        <v>244</v>
      </c>
      <c r="G61" s="72">
        <v>17</v>
      </c>
      <c r="H61" s="79">
        <v>27</v>
      </c>
      <c r="I61" s="80">
        <f t="shared" si="53"/>
        <v>44</v>
      </c>
      <c r="J61" s="79">
        <v>19</v>
      </c>
      <c r="K61" s="80">
        <f t="shared" si="54"/>
        <v>63</v>
      </c>
      <c r="L61" s="75">
        <v>10</v>
      </c>
      <c r="M61" s="79">
        <v>26</v>
      </c>
      <c r="N61" s="80">
        <f t="shared" si="55"/>
        <v>36</v>
      </c>
      <c r="O61" s="74">
        <f t="shared" si="5"/>
        <v>36</v>
      </c>
      <c r="P61" s="80">
        <f t="shared" si="33"/>
        <v>99</v>
      </c>
      <c r="Q61" s="209"/>
      <c r="R61" s="79">
        <f t="shared" si="35"/>
        <v>3.5</v>
      </c>
      <c r="S61" s="75">
        <v>19</v>
      </c>
      <c r="T61" s="79">
        <v>58</v>
      </c>
      <c r="U61" s="80">
        <f t="shared" si="36"/>
        <v>77</v>
      </c>
      <c r="V61" s="75">
        <v>9</v>
      </c>
      <c r="W61" s="79">
        <v>28</v>
      </c>
      <c r="X61" s="80">
        <f t="shared" si="37"/>
        <v>37</v>
      </c>
      <c r="Y61" s="80">
        <f t="shared" si="56"/>
        <v>114</v>
      </c>
      <c r="Z61" s="80">
        <f t="shared" si="57"/>
        <v>114</v>
      </c>
      <c r="AA61" s="209"/>
      <c r="AB61" s="79">
        <f t="shared" si="38"/>
        <v>4</v>
      </c>
      <c r="AC61" s="75">
        <v>18</v>
      </c>
      <c r="AD61" s="79">
        <v>21</v>
      </c>
      <c r="AE61" s="80">
        <f t="shared" si="39"/>
        <v>39</v>
      </c>
      <c r="AF61" s="79">
        <v>23</v>
      </c>
      <c r="AG61" s="80">
        <f t="shared" si="40"/>
        <v>62</v>
      </c>
      <c r="AH61" s="209"/>
      <c r="AI61" s="79">
        <f t="shared" si="41"/>
        <v>3.5</v>
      </c>
      <c r="AJ61" s="75">
        <v>18</v>
      </c>
      <c r="AK61" s="79">
        <v>31</v>
      </c>
      <c r="AL61" s="80">
        <f t="shared" si="42"/>
        <v>49</v>
      </c>
      <c r="AM61" s="79">
        <v>25</v>
      </c>
      <c r="AN61" s="80">
        <f t="shared" si="58"/>
        <v>74</v>
      </c>
      <c r="AO61" s="209"/>
      <c r="AP61" s="79">
        <f t="shared" si="43"/>
        <v>4</v>
      </c>
      <c r="AQ61" s="79">
        <v>23</v>
      </c>
      <c r="AR61" s="79">
        <v>25</v>
      </c>
      <c r="AS61" s="73">
        <f t="shared" si="17"/>
        <v>48</v>
      </c>
      <c r="AT61" s="212"/>
      <c r="AU61" s="79">
        <f t="shared" si="44"/>
        <v>5</v>
      </c>
      <c r="AV61" s="75">
        <v>19</v>
      </c>
      <c r="AW61" s="79">
        <v>34</v>
      </c>
      <c r="AX61" s="80">
        <f t="shared" si="45"/>
        <v>53</v>
      </c>
      <c r="AY61" s="79">
        <v>25</v>
      </c>
      <c r="AZ61" s="80">
        <f t="shared" si="46"/>
        <v>78</v>
      </c>
      <c r="BA61" s="209"/>
      <c r="BB61" s="79">
        <f t="shared" si="47"/>
        <v>4</v>
      </c>
      <c r="BC61" s="75">
        <v>18</v>
      </c>
      <c r="BD61" s="79">
        <v>22</v>
      </c>
      <c r="BE61" s="80">
        <f t="shared" si="48"/>
        <v>40</v>
      </c>
      <c r="BF61" s="79">
        <v>29</v>
      </c>
      <c r="BG61" s="80">
        <f t="shared" si="49"/>
        <v>69</v>
      </c>
      <c r="BH61" s="209"/>
      <c r="BI61" s="79">
        <f t="shared" si="50"/>
        <v>3.5</v>
      </c>
      <c r="BJ61" s="75">
        <v>10</v>
      </c>
      <c r="BK61" s="79">
        <v>22</v>
      </c>
      <c r="BL61" s="80">
        <f t="shared" si="51"/>
        <v>32</v>
      </c>
      <c r="BM61" s="74">
        <f t="shared" si="26"/>
        <v>32</v>
      </c>
      <c r="BN61" s="209"/>
      <c r="BO61" s="79">
        <f t="shared" si="34"/>
        <v>3.5</v>
      </c>
      <c r="BP61" s="73">
        <f t="shared" si="27"/>
        <v>31</v>
      </c>
      <c r="BQ61" s="76">
        <f t="shared" si="28"/>
        <v>3.875</v>
      </c>
      <c r="BR61" s="82" t="str">
        <f t="shared" si="52"/>
        <v>A-</v>
      </c>
      <c r="BS61" s="64" t="str">
        <f t="shared" si="3"/>
        <v>GOOD</v>
      </c>
      <c r="BT61" s="60">
        <f t="shared" si="30"/>
        <v>576</v>
      </c>
      <c r="BU61" s="62"/>
      <c r="BV61" s="62"/>
    </row>
    <row r="62" spans="1:74" ht="27.95" customHeight="1">
      <c r="A62" s="71">
        <v>54</v>
      </c>
      <c r="B62" s="49">
        <v>53</v>
      </c>
      <c r="C62" s="50" t="s">
        <v>245</v>
      </c>
      <c r="D62" s="50" t="s">
        <v>246</v>
      </c>
      <c r="E62" s="50" t="s">
        <v>247</v>
      </c>
      <c r="F62" s="65" t="s">
        <v>248</v>
      </c>
      <c r="G62" s="72">
        <v>13</v>
      </c>
      <c r="H62" s="79">
        <v>17</v>
      </c>
      <c r="I62" s="80">
        <f t="shared" si="53"/>
        <v>30</v>
      </c>
      <c r="J62" s="79">
        <v>13</v>
      </c>
      <c r="K62" s="80">
        <f t="shared" si="54"/>
        <v>43</v>
      </c>
      <c r="L62" s="75">
        <v>9</v>
      </c>
      <c r="M62" s="79">
        <v>18</v>
      </c>
      <c r="N62" s="80">
        <f t="shared" si="55"/>
        <v>27</v>
      </c>
      <c r="O62" s="74">
        <f t="shared" si="5"/>
        <v>27</v>
      </c>
      <c r="P62" s="80">
        <f t="shared" si="33"/>
        <v>70</v>
      </c>
      <c r="Q62" s="209"/>
      <c r="R62" s="79">
        <f t="shared" si="35"/>
        <v>3</v>
      </c>
      <c r="S62" s="75">
        <v>17</v>
      </c>
      <c r="T62" s="79">
        <v>40</v>
      </c>
      <c r="U62" s="80">
        <f t="shared" si="36"/>
        <v>57</v>
      </c>
      <c r="V62" s="75">
        <v>9</v>
      </c>
      <c r="W62" s="79">
        <v>14</v>
      </c>
      <c r="X62" s="80">
        <f t="shared" si="37"/>
        <v>23</v>
      </c>
      <c r="Y62" s="80">
        <f t="shared" si="56"/>
        <v>80</v>
      </c>
      <c r="Z62" s="80">
        <f t="shared" si="57"/>
        <v>80</v>
      </c>
      <c r="AA62" s="209"/>
      <c r="AB62" s="79">
        <f t="shared" si="38"/>
        <v>3</v>
      </c>
      <c r="AC62" s="75">
        <v>13</v>
      </c>
      <c r="AD62" s="79">
        <v>11</v>
      </c>
      <c r="AE62" s="80">
        <f t="shared" si="39"/>
        <v>24</v>
      </c>
      <c r="AF62" s="79">
        <v>20</v>
      </c>
      <c r="AG62" s="80">
        <f t="shared" si="40"/>
        <v>44</v>
      </c>
      <c r="AH62" s="209"/>
      <c r="AI62" s="79">
        <f t="shared" si="41"/>
        <v>2</v>
      </c>
      <c r="AJ62" s="75">
        <v>12</v>
      </c>
      <c r="AK62" s="79">
        <v>15</v>
      </c>
      <c r="AL62" s="80">
        <f t="shared" si="42"/>
        <v>27</v>
      </c>
      <c r="AM62" s="79">
        <v>16</v>
      </c>
      <c r="AN62" s="80">
        <f t="shared" si="58"/>
        <v>43</v>
      </c>
      <c r="AO62" s="209"/>
      <c r="AP62" s="79">
        <f t="shared" si="43"/>
        <v>2</v>
      </c>
      <c r="AQ62" s="79">
        <v>23</v>
      </c>
      <c r="AR62" s="79">
        <v>25</v>
      </c>
      <c r="AS62" s="73">
        <f t="shared" si="17"/>
        <v>48</v>
      </c>
      <c r="AT62" s="212"/>
      <c r="AU62" s="79">
        <f t="shared" si="44"/>
        <v>5</v>
      </c>
      <c r="AV62" s="75">
        <v>18</v>
      </c>
      <c r="AW62" s="79">
        <v>16</v>
      </c>
      <c r="AX62" s="80">
        <f t="shared" si="45"/>
        <v>34</v>
      </c>
      <c r="AY62" s="79">
        <v>20</v>
      </c>
      <c r="AZ62" s="80">
        <f t="shared" si="46"/>
        <v>54</v>
      </c>
      <c r="BA62" s="209"/>
      <c r="BB62" s="79">
        <f t="shared" si="47"/>
        <v>3</v>
      </c>
      <c r="BC62" s="75">
        <v>13</v>
      </c>
      <c r="BD62" s="79">
        <v>9</v>
      </c>
      <c r="BE62" s="80">
        <f t="shared" si="48"/>
        <v>22</v>
      </c>
      <c r="BF62" s="79">
        <v>22</v>
      </c>
      <c r="BG62" s="80">
        <f t="shared" si="49"/>
        <v>44</v>
      </c>
      <c r="BH62" s="209"/>
      <c r="BI62" s="79">
        <f t="shared" si="50"/>
        <v>2</v>
      </c>
      <c r="BJ62" s="75">
        <v>10</v>
      </c>
      <c r="BK62" s="79">
        <v>24</v>
      </c>
      <c r="BL62" s="80">
        <f t="shared" si="51"/>
        <v>34</v>
      </c>
      <c r="BM62" s="74">
        <f t="shared" si="26"/>
        <v>34</v>
      </c>
      <c r="BN62" s="209"/>
      <c r="BO62" s="79">
        <f t="shared" si="34"/>
        <v>3.5</v>
      </c>
      <c r="BP62" s="73">
        <f t="shared" si="27"/>
        <v>23.5</v>
      </c>
      <c r="BQ62" s="76">
        <f t="shared" si="28"/>
        <v>2.9375</v>
      </c>
      <c r="BR62" s="82" t="str">
        <f t="shared" si="52"/>
        <v>C</v>
      </c>
      <c r="BS62" s="64" t="str">
        <f t="shared" si="3"/>
        <v>GOOD</v>
      </c>
      <c r="BT62" s="60">
        <f t="shared" si="30"/>
        <v>417</v>
      </c>
      <c r="BU62" s="62"/>
      <c r="BV62" s="62"/>
    </row>
    <row r="63" spans="1:74" ht="27.95" customHeight="1">
      <c r="A63" s="71">
        <v>55</v>
      </c>
      <c r="B63" s="49">
        <v>54</v>
      </c>
      <c r="C63" s="50" t="s">
        <v>359</v>
      </c>
      <c r="D63" s="50" t="s">
        <v>360</v>
      </c>
      <c r="E63" s="50" t="s">
        <v>361</v>
      </c>
      <c r="F63" s="65" t="s">
        <v>362</v>
      </c>
      <c r="G63" s="72">
        <v>16</v>
      </c>
      <c r="H63" s="79">
        <v>20</v>
      </c>
      <c r="I63" s="80">
        <f t="shared" si="53"/>
        <v>36</v>
      </c>
      <c r="J63" s="79">
        <v>20</v>
      </c>
      <c r="K63" s="80">
        <f t="shared" si="54"/>
        <v>56</v>
      </c>
      <c r="L63" s="75">
        <v>9</v>
      </c>
      <c r="M63" s="79">
        <v>29</v>
      </c>
      <c r="N63" s="80">
        <f t="shared" si="55"/>
        <v>38</v>
      </c>
      <c r="O63" s="74">
        <f t="shared" si="5"/>
        <v>38</v>
      </c>
      <c r="P63" s="80">
        <f t="shared" si="33"/>
        <v>94</v>
      </c>
      <c r="Q63" s="209"/>
      <c r="R63" s="79">
        <f t="shared" si="35"/>
        <v>3</v>
      </c>
      <c r="S63" s="75">
        <v>19</v>
      </c>
      <c r="T63" s="79">
        <v>46</v>
      </c>
      <c r="U63" s="80">
        <f t="shared" si="36"/>
        <v>65</v>
      </c>
      <c r="V63" s="75">
        <v>7</v>
      </c>
      <c r="W63" s="79">
        <v>18</v>
      </c>
      <c r="X63" s="80">
        <f t="shared" si="37"/>
        <v>25</v>
      </c>
      <c r="Y63" s="80">
        <f t="shared" si="56"/>
        <v>90</v>
      </c>
      <c r="Z63" s="80">
        <f t="shared" si="57"/>
        <v>90</v>
      </c>
      <c r="AA63" s="209"/>
      <c r="AB63" s="79">
        <f t="shared" si="38"/>
        <v>3.5</v>
      </c>
      <c r="AC63" s="75">
        <v>14</v>
      </c>
      <c r="AD63" s="79">
        <v>11</v>
      </c>
      <c r="AE63" s="80">
        <f t="shared" si="39"/>
        <v>25</v>
      </c>
      <c r="AF63" s="79">
        <v>17</v>
      </c>
      <c r="AG63" s="80">
        <f t="shared" si="40"/>
        <v>42</v>
      </c>
      <c r="AH63" s="209"/>
      <c r="AI63" s="79">
        <f t="shared" si="41"/>
        <v>2</v>
      </c>
      <c r="AJ63" s="75">
        <v>15</v>
      </c>
      <c r="AK63" s="79">
        <v>26</v>
      </c>
      <c r="AL63" s="80">
        <f t="shared" si="42"/>
        <v>41</v>
      </c>
      <c r="AM63" s="79">
        <v>18</v>
      </c>
      <c r="AN63" s="80">
        <f t="shared" si="58"/>
        <v>59</v>
      </c>
      <c r="AO63" s="209"/>
      <c r="AP63" s="79">
        <f t="shared" si="43"/>
        <v>3</v>
      </c>
      <c r="AQ63" s="79">
        <v>23</v>
      </c>
      <c r="AR63" s="79">
        <v>25</v>
      </c>
      <c r="AS63" s="73">
        <f t="shared" si="17"/>
        <v>48</v>
      </c>
      <c r="AT63" s="212"/>
      <c r="AU63" s="79">
        <f t="shared" si="44"/>
        <v>5</v>
      </c>
      <c r="AV63" s="75">
        <v>17</v>
      </c>
      <c r="AW63" s="79">
        <v>28</v>
      </c>
      <c r="AX63" s="80">
        <f t="shared" si="45"/>
        <v>45</v>
      </c>
      <c r="AY63" s="79">
        <v>18</v>
      </c>
      <c r="AZ63" s="80">
        <f t="shared" si="46"/>
        <v>63</v>
      </c>
      <c r="BA63" s="209"/>
      <c r="BB63" s="79">
        <f t="shared" si="47"/>
        <v>3.5</v>
      </c>
      <c r="BC63" s="75">
        <v>14</v>
      </c>
      <c r="BD63" s="79">
        <v>22</v>
      </c>
      <c r="BE63" s="80">
        <f t="shared" si="48"/>
        <v>36</v>
      </c>
      <c r="BF63" s="79">
        <v>30</v>
      </c>
      <c r="BG63" s="80">
        <f t="shared" si="49"/>
        <v>66</v>
      </c>
      <c r="BH63" s="209"/>
      <c r="BI63" s="79">
        <f t="shared" si="50"/>
        <v>3.5</v>
      </c>
      <c r="BJ63" s="75">
        <v>10</v>
      </c>
      <c r="BK63" s="79">
        <v>24</v>
      </c>
      <c r="BL63" s="80">
        <f t="shared" si="51"/>
        <v>34</v>
      </c>
      <c r="BM63" s="74">
        <f t="shared" si="26"/>
        <v>34</v>
      </c>
      <c r="BN63" s="209"/>
      <c r="BO63" s="79">
        <f t="shared" si="34"/>
        <v>3.5</v>
      </c>
      <c r="BP63" s="73">
        <f t="shared" si="27"/>
        <v>27</v>
      </c>
      <c r="BQ63" s="76">
        <f t="shared" si="28"/>
        <v>3.375</v>
      </c>
      <c r="BR63" s="82" t="str">
        <f t="shared" si="52"/>
        <v>B</v>
      </c>
      <c r="BS63" s="64" t="str">
        <f t="shared" si="3"/>
        <v>GOOD</v>
      </c>
      <c r="BT63" s="60">
        <f t="shared" si="30"/>
        <v>496</v>
      </c>
      <c r="BU63" s="62"/>
      <c r="BV63" s="62"/>
    </row>
    <row r="64" spans="1:74" ht="27.95" customHeight="1">
      <c r="A64" s="71">
        <v>56</v>
      </c>
      <c r="B64" s="49">
        <v>58</v>
      </c>
      <c r="C64" s="51" t="s">
        <v>363</v>
      </c>
      <c r="D64" s="51" t="s">
        <v>364</v>
      </c>
      <c r="E64" s="51" t="s">
        <v>365</v>
      </c>
      <c r="F64" s="66" t="s">
        <v>366</v>
      </c>
      <c r="G64" s="72">
        <v>14</v>
      </c>
      <c r="H64" s="79">
        <v>26</v>
      </c>
      <c r="I64" s="80">
        <f t="shared" si="53"/>
        <v>40</v>
      </c>
      <c r="J64" s="79">
        <v>24</v>
      </c>
      <c r="K64" s="80">
        <f t="shared" si="54"/>
        <v>64</v>
      </c>
      <c r="L64" s="75">
        <v>10</v>
      </c>
      <c r="M64" s="79">
        <v>30</v>
      </c>
      <c r="N64" s="80">
        <f t="shared" si="55"/>
        <v>40</v>
      </c>
      <c r="O64" s="74">
        <f t="shared" si="5"/>
        <v>40</v>
      </c>
      <c r="P64" s="80">
        <f t="shared" si="33"/>
        <v>104</v>
      </c>
      <c r="Q64" s="209"/>
      <c r="R64" s="79">
        <f t="shared" si="35"/>
        <v>3.5</v>
      </c>
      <c r="S64" s="75">
        <v>11</v>
      </c>
      <c r="T64" s="79">
        <v>19</v>
      </c>
      <c r="U64" s="80">
        <f t="shared" si="36"/>
        <v>30</v>
      </c>
      <c r="V64" s="75">
        <v>6</v>
      </c>
      <c r="W64" s="79">
        <v>14</v>
      </c>
      <c r="X64" s="80">
        <f t="shared" si="37"/>
        <v>20</v>
      </c>
      <c r="Y64" s="80">
        <f t="shared" si="56"/>
        <v>50</v>
      </c>
      <c r="Z64" s="80">
        <f t="shared" si="57"/>
        <v>50</v>
      </c>
      <c r="AA64" s="209"/>
      <c r="AB64" s="79" t="str">
        <f t="shared" si="38"/>
        <v>F</v>
      </c>
      <c r="AC64" s="75">
        <v>15</v>
      </c>
      <c r="AD64" s="79">
        <v>12</v>
      </c>
      <c r="AE64" s="80">
        <f t="shared" si="39"/>
        <v>27</v>
      </c>
      <c r="AF64" s="79">
        <v>15</v>
      </c>
      <c r="AG64" s="80">
        <f t="shared" si="40"/>
        <v>42</v>
      </c>
      <c r="AH64" s="209"/>
      <c r="AI64" s="79">
        <f t="shared" si="41"/>
        <v>2</v>
      </c>
      <c r="AJ64" s="75">
        <v>17</v>
      </c>
      <c r="AK64" s="79">
        <v>26</v>
      </c>
      <c r="AL64" s="80">
        <f t="shared" si="42"/>
        <v>43</v>
      </c>
      <c r="AM64" s="79">
        <v>19</v>
      </c>
      <c r="AN64" s="80">
        <f t="shared" si="58"/>
        <v>62</v>
      </c>
      <c r="AO64" s="209"/>
      <c r="AP64" s="79">
        <f t="shared" si="43"/>
        <v>3.5</v>
      </c>
      <c r="AQ64" s="79">
        <v>23</v>
      </c>
      <c r="AR64" s="79">
        <v>25</v>
      </c>
      <c r="AS64" s="73">
        <f t="shared" si="17"/>
        <v>48</v>
      </c>
      <c r="AT64" s="212"/>
      <c r="AU64" s="79">
        <f t="shared" si="44"/>
        <v>5</v>
      </c>
      <c r="AV64" s="75">
        <v>20</v>
      </c>
      <c r="AW64" s="79">
        <v>34</v>
      </c>
      <c r="AX64" s="80">
        <f t="shared" si="45"/>
        <v>54</v>
      </c>
      <c r="AY64" s="79">
        <v>18</v>
      </c>
      <c r="AZ64" s="80">
        <f t="shared" si="46"/>
        <v>72</v>
      </c>
      <c r="BA64" s="209"/>
      <c r="BB64" s="79">
        <f t="shared" si="47"/>
        <v>4</v>
      </c>
      <c r="BC64" s="75">
        <v>16</v>
      </c>
      <c r="BD64" s="79">
        <v>34</v>
      </c>
      <c r="BE64" s="80">
        <f t="shared" si="48"/>
        <v>50</v>
      </c>
      <c r="BF64" s="79">
        <v>30</v>
      </c>
      <c r="BG64" s="80">
        <f t="shared" si="49"/>
        <v>80</v>
      </c>
      <c r="BH64" s="209"/>
      <c r="BI64" s="79">
        <f t="shared" si="50"/>
        <v>5</v>
      </c>
      <c r="BJ64" s="75">
        <v>10</v>
      </c>
      <c r="BK64" s="79">
        <v>24</v>
      </c>
      <c r="BL64" s="80">
        <f t="shared" si="51"/>
        <v>34</v>
      </c>
      <c r="BM64" s="74">
        <f t="shared" si="26"/>
        <v>34</v>
      </c>
      <c r="BN64" s="209"/>
      <c r="BO64" s="79">
        <f t="shared" si="34"/>
        <v>3.5</v>
      </c>
      <c r="BP64" s="73" t="str">
        <f t="shared" si="27"/>
        <v>F</v>
      </c>
      <c r="BQ64" s="76" t="str">
        <f t="shared" si="28"/>
        <v>F</v>
      </c>
      <c r="BR64" s="82" t="str">
        <f t="shared" si="52"/>
        <v>F</v>
      </c>
      <c r="BS64" s="64" t="str">
        <f t="shared" si="3"/>
        <v>NEED TO PROGRESS</v>
      </c>
      <c r="BT64" s="60">
        <f t="shared" si="30"/>
        <v>492</v>
      </c>
      <c r="BU64" s="62"/>
      <c r="BV64" s="62"/>
    </row>
    <row r="65" spans="1:74" ht="27.95" customHeight="1">
      <c r="A65" s="71">
        <v>57</v>
      </c>
      <c r="B65" s="49">
        <v>63</v>
      </c>
      <c r="C65" s="51" t="s">
        <v>251</v>
      </c>
      <c r="D65" s="51" t="s">
        <v>252</v>
      </c>
      <c r="E65" s="51" t="s">
        <v>253</v>
      </c>
      <c r="F65" s="53" t="s">
        <v>254</v>
      </c>
      <c r="G65" s="72">
        <v>14</v>
      </c>
      <c r="H65" s="73">
        <v>8</v>
      </c>
      <c r="I65" s="74">
        <f t="shared" si="53"/>
        <v>22</v>
      </c>
      <c r="J65" s="73">
        <v>18</v>
      </c>
      <c r="K65" s="74">
        <f t="shared" si="54"/>
        <v>40</v>
      </c>
      <c r="L65" s="75">
        <v>9</v>
      </c>
      <c r="M65" s="73">
        <v>21</v>
      </c>
      <c r="N65" s="74">
        <f t="shared" si="55"/>
        <v>30</v>
      </c>
      <c r="O65" s="74">
        <f t="shared" si="5"/>
        <v>30</v>
      </c>
      <c r="P65" s="74">
        <f t="shared" si="33"/>
        <v>70</v>
      </c>
      <c r="Q65" s="209"/>
      <c r="R65" s="79">
        <f t="shared" si="35"/>
        <v>3</v>
      </c>
      <c r="S65" s="75">
        <v>10</v>
      </c>
      <c r="T65" s="79">
        <v>13</v>
      </c>
      <c r="U65" s="74">
        <f t="shared" si="36"/>
        <v>23</v>
      </c>
      <c r="V65" s="75">
        <v>6</v>
      </c>
      <c r="W65" s="79">
        <v>8</v>
      </c>
      <c r="X65" s="74">
        <f t="shared" si="37"/>
        <v>14</v>
      </c>
      <c r="Y65" s="74">
        <f t="shared" si="56"/>
        <v>37</v>
      </c>
      <c r="Z65" s="74">
        <f t="shared" si="57"/>
        <v>37</v>
      </c>
      <c r="AA65" s="209"/>
      <c r="AB65" s="79" t="str">
        <f t="shared" si="38"/>
        <v>F</v>
      </c>
      <c r="AC65" s="75">
        <v>13</v>
      </c>
      <c r="AD65" s="79">
        <v>11</v>
      </c>
      <c r="AE65" s="74">
        <f t="shared" si="39"/>
        <v>24</v>
      </c>
      <c r="AF65" s="73">
        <v>14</v>
      </c>
      <c r="AG65" s="74">
        <f t="shared" si="40"/>
        <v>38</v>
      </c>
      <c r="AH65" s="209"/>
      <c r="AI65" s="79" t="str">
        <f t="shared" si="41"/>
        <v>F</v>
      </c>
      <c r="AJ65" s="75">
        <v>13</v>
      </c>
      <c r="AK65" s="79">
        <v>11</v>
      </c>
      <c r="AL65" s="80">
        <f t="shared" si="42"/>
        <v>24</v>
      </c>
      <c r="AM65" s="73">
        <v>16</v>
      </c>
      <c r="AN65" s="74">
        <f t="shared" si="58"/>
        <v>40</v>
      </c>
      <c r="AO65" s="209"/>
      <c r="AP65" s="79">
        <f t="shared" si="43"/>
        <v>2</v>
      </c>
      <c r="AQ65" s="79">
        <v>23</v>
      </c>
      <c r="AR65" s="79">
        <v>25</v>
      </c>
      <c r="AS65" s="73">
        <f t="shared" si="17"/>
        <v>48</v>
      </c>
      <c r="AT65" s="212"/>
      <c r="AU65" s="79">
        <f t="shared" si="44"/>
        <v>5</v>
      </c>
      <c r="AV65" s="75">
        <v>18</v>
      </c>
      <c r="AW65" s="79">
        <v>16</v>
      </c>
      <c r="AX65" s="80">
        <f t="shared" si="45"/>
        <v>34</v>
      </c>
      <c r="AY65" s="79">
        <v>20</v>
      </c>
      <c r="AZ65" s="80">
        <f t="shared" si="46"/>
        <v>54</v>
      </c>
      <c r="BA65" s="209"/>
      <c r="BB65" s="79">
        <f t="shared" si="47"/>
        <v>3</v>
      </c>
      <c r="BC65" s="75">
        <v>13</v>
      </c>
      <c r="BD65" s="79">
        <v>6</v>
      </c>
      <c r="BE65" s="80">
        <f t="shared" si="48"/>
        <v>19</v>
      </c>
      <c r="BF65" s="79">
        <v>26</v>
      </c>
      <c r="BG65" s="80">
        <f t="shared" si="49"/>
        <v>45</v>
      </c>
      <c r="BH65" s="209"/>
      <c r="BI65" s="79">
        <f t="shared" si="50"/>
        <v>2</v>
      </c>
      <c r="BJ65" s="75">
        <v>10</v>
      </c>
      <c r="BK65" s="79">
        <v>22</v>
      </c>
      <c r="BL65" s="80">
        <f t="shared" si="51"/>
        <v>32</v>
      </c>
      <c r="BM65" s="74">
        <f t="shared" si="26"/>
        <v>32</v>
      </c>
      <c r="BN65" s="209"/>
      <c r="BO65" s="79">
        <f t="shared" si="34"/>
        <v>3.5</v>
      </c>
      <c r="BP65" s="73" t="str">
        <f t="shared" si="27"/>
        <v>F</v>
      </c>
      <c r="BQ65" s="76" t="str">
        <f t="shared" si="28"/>
        <v>F</v>
      </c>
      <c r="BR65" s="82" t="str">
        <f t="shared" si="52"/>
        <v>F</v>
      </c>
      <c r="BS65" s="64" t="str">
        <f t="shared" si="3"/>
        <v>NEED TO PROGRESS</v>
      </c>
      <c r="BT65" s="60">
        <f t="shared" si="30"/>
        <v>364</v>
      </c>
      <c r="BU65" s="62"/>
      <c r="BV65" s="62"/>
    </row>
    <row r="66" spans="1:74" ht="27.95" customHeight="1">
      <c r="A66" s="71">
        <v>58</v>
      </c>
      <c r="B66" s="49">
        <v>64</v>
      </c>
      <c r="C66" s="50" t="s">
        <v>433</v>
      </c>
      <c r="D66" s="50" t="s">
        <v>369</v>
      </c>
      <c r="E66" s="50" t="s">
        <v>370</v>
      </c>
      <c r="F66" s="65" t="s">
        <v>371</v>
      </c>
      <c r="G66" s="72">
        <v>12</v>
      </c>
      <c r="H66" s="73">
        <v>7</v>
      </c>
      <c r="I66" s="74">
        <f t="shared" si="53"/>
        <v>19</v>
      </c>
      <c r="J66" s="73">
        <v>11</v>
      </c>
      <c r="K66" s="74">
        <f t="shared" si="54"/>
        <v>30</v>
      </c>
      <c r="L66" s="75">
        <v>9</v>
      </c>
      <c r="M66" s="73">
        <v>17</v>
      </c>
      <c r="N66" s="74">
        <f t="shared" si="55"/>
        <v>26</v>
      </c>
      <c r="O66" s="74">
        <f t="shared" si="5"/>
        <v>26</v>
      </c>
      <c r="P66" s="74">
        <f t="shared" si="33"/>
        <v>56</v>
      </c>
      <c r="Q66" s="209"/>
      <c r="R66" s="79" t="str">
        <f t="shared" si="35"/>
        <v>F</v>
      </c>
      <c r="S66" s="75">
        <v>11</v>
      </c>
      <c r="T66" s="79">
        <v>10</v>
      </c>
      <c r="U66" s="74">
        <f t="shared" si="36"/>
        <v>21</v>
      </c>
      <c r="V66" s="75">
        <v>6</v>
      </c>
      <c r="W66" s="79">
        <v>8</v>
      </c>
      <c r="X66" s="74">
        <f t="shared" si="37"/>
        <v>14</v>
      </c>
      <c r="Y66" s="74">
        <f t="shared" si="56"/>
        <v>35</v>
      </c>
      <c r="Z66" s="74">
        <f t="shared" si="57"/>
        <v>35</v>
      </c>
      <c r="AA66" s="209"/>
      <c r="AB66" s="79" t="str">
        <f t="shared" si="38"/>
        <v>F</v>
      </c>
      <c r="AC66" s="75">
        <v>16</v>
      </c>
      <c r="AD66" s="79">
        <v>7</v>
      </c>
      <c r="AE66" s="74">
        <f t="shared" si="39"/>
        <v>23</v>
      </c>
      <c r="AF66" s="73">
        <v>16</v>
      </c>
      <c r="AG66" s="74">
        <f t="shared" si="40"/>
        <v>39</v>
      </c>
      <c r="AH66" s="209"/>
      <c r="AI66" s="79" t="str">
        <f t="shared" si="41"/>
        <v>F</v>
      </c>
      <c r="AJ66" s="75">
        <v>17</v>
      </c>
      <c r="AK66" s="79">
        <v>9</v>
      </c>
      <c r="AL66" s="80">
        <f t="shared" si="42"/>
        <v>26</v>
      </c>
      <c r="AM66" s="73">
        <v>15</v>
      </c>
      <c r="AN66" s="74">
        <f t="shared" si="58"/>
        <v>41</v>
      </c>
      <c r="AO66" s="209"/>
      <c r="AP66" s="79">
        <f t="shared" si="43"/>
        <v>2</v>
      </c>
      <c r="AQ66" s="79">
        <v>23</v>
      </c>
      <c r="AR66" s="79">
        <v>25</v>
      </c>
      <c r="AS66" s="73">
        <f t="shared" si="17"/>
        <v>48</v>
      </c>
      <c r="AT66" s="212"/>
      <c r="AU66" s="79">
        <f t="shared" si="44"/>
        <v>5</v>
      </c>
      <c r="AV66" s="75">
        <v>16</v>
      </c>
      <c r="AW66" s="79">
        <v>18</v>
      </c>
      <c r="AX66" s="80">
        <f t="shared" si="45"/>
        <v>34</v>
      </c>
      <c r="AY66" s="79">
        <v>20</v>
      </c>
      <c r="AZ66" s="80">
        <f t="shared" si="46"/>
        <v>54</v>
      </c>
      <c r="BA66" s="209"/>
      <c r="BB66" s="79">
        <f t="shared" si="47"/>
        <v>3</v>
      </c>
      <c r="BC66" s="75">
        <v>11</v>
      </c>
      <c r="BD66" s="79">
        <v>13</v>
      </c>
      <c r="BE66" s="80">
        <f t="shared" si="48"/>
        <v>24</v>
      </c>
      <c r="BF66" s="79">
        <v>22</v>
      </c>
      <c r="BG66" s="80">
        <f t="shared" si="49"/>
        <v>46</v>
      </c>
      <c r="BH66" s="209"/>
      <c r="BI66" s="79">
        <f t="shared" si="50"/>
        <v>2</v>
      </c>
      <c r="BJ66" s="75">
        <v>8</v>
      </c>
      <c r="BK66" s="79">
        <v>22</v>
      </c>
      <c r="BL66" s="80">
        <f t="shared" si="51"/>
        <v>30</v>
      </c>
      <c r="BM66" s="74">
        <f t="shared" si="26"/>
        <v>30</v>
      </c>
      <c r="BN66" s="209"/>
      <c r="BO66" s="79">
        <f t="shared" si="34"/>
        <v>3.5</v>
      </c>
      <c r="BP66" s="73" t="str">
        <f t="shared" si="27"/>
        <v>F</v>
      </c>
      <c r="BQ66" s="76" t="str">
        <f t="shared" si="28"/>
        <v>F</v>
      </c>
      <c r="BR66" s="82" t="str">
        <f t="shared" si="52"/>
        <v>F</v>
      </c>
      <c r="BS66" s="64" t="str">
        <f t="shared" si="3"/>
        <v>NEED TO PROGRESS</v>
      </c>
      <c r="BT66" s="60">
        <f t="shared" si="30"/>
        <v>349</v>
      </c>
      <c r="BU66" s="62"/>
      <c r="BV66" s="62"/>
    </row>
    <row r="67" spans="1:74" ht="27.95" customHeight="1">
      <c r="A67" s="71">
        <v>59</v>
      </c>
      <c r="B67" s="49">
        <v>66</v>
      </c>
      <c r="C67" s="50" t="s">
        <v>372</v>
      </c>
      <c r="D67" s="50" t="s">
        <v>373</v>
      </c>
      <c r="E67" s="50" t="s">
        <v>374</v>
      </c>
      <c r="F67" s="65" t="s">
        <v>375</v>
      </c>
      <c r="G67" s="72">
        <v>14</v>
      </c>
      <c r="H67" s="73">
        <v>18</v>
      </c>
      <c r="I67" s="74">
        <f t="shared" si="53"/>
        <v>32</v>
      </c>
      <c r="J67" s="73">
        <v>13</v>
      </c>
      <c r="K67" s="74">
        <f t="shared" si="54"/>
        <v>45</v>
      </c>
      <c r="L67" s="75">
        <v>8</v>
      </c>
      <c r="M67" s="73">
        <v>21</v>
      </c>
      <c r="N67" s="74">
        <f t="shared" si="55"/>
        <v>29</v>
      </c>
      <c r="O67" s="74">
        <f t="shared" si="5"/>
        <v>29</v>
      </c>
      <c r="P67" s="74">
        <f t="shared" si="33"/>
        <v>74</v>
      </c>
      <c r="Q67" s="209"/>
      <c r="R67" s="79">
        <f t="shared" si="35"/>
        <v>3</v>
      </c>
      <c r="S67" s="75">
        <v>13</v>
      </c>
      <c r="T67" s="79">
        <v>18</v>
      </c>
      <c r="U67" s="74">
        <f t="shared" si="36"/>
        <v>31</v>
      </c>
      <c r="V67" s="75">
        <v>7</v>
      </c>
      <c r="W67" s="79">
        <v>10</v>
      </c>
      <c r="X67" s="74">
        <f t="shared" si="37"/>
        <v>17</v>
      </c>
      <c r="Y67" s="74">
        <f t="shared" si="56"/>
        <v>48</v>
      </c>
      <c r="Z67" s="74">
        <f t="shared" si="57"/>
        <v>48</v>
      </c>
      <c r="AA67" s="209"/>
      <c r="AB67" s="79" t="str">
        <f t="shared" si="38"/>
        <v>F</v>
      </c>
      <c r="AC67" s="75">
        <v>19</v>
      </c>
      <c r="AD67" s="79">
        <v>14</v>
      </c>
      <c r="AE67" s="74">
        <f t="shared" si="39"/>
        <v>33</v>
      </c>
      <c r="AF67" s="73">
        <v>9</v>
      </c>
      <c r="AG67" s="74">
        <f t="shared" si="40"/>
        <v>42</v>
      </c>
      <c r="AH67" s="209"/>
      <c r="AI67" s="79">
        <f t="shared" si="41"/>
        <v>2</v>
      </c>
      <c r="AJ67" s="75">
        <v>16</v>
      </c>
      <c r="AK67" s="79">
        <v>18</v>
      </c>
      <c r="AL67" s="80">
        <f t="shared" si="42"/>
        <v>34</v>
      </c>
      <c r="AM67" s="73">
        <v>18</v>
      </c>
      <c r="AN67" s="74">
        <f t="shared" si="58"/>
        <v>52</v>
      </c>
      <c r="AO67" s="209"/>
      <c r="AP67" s="79">
        <f t="shared" si="43"/>
        <v>3</v>
      </c>
      <c r="AQ67" s="79">
        <v>23</v>
      </c>
      <c r="AR67" s="79">
        <v>25</v>
      </c>
      <c r="AS67" s="73">
        <f t="shared" si="17"/>
        <v>48</v>
      </c>
      <c r="AT67" s="212"/>
      <c r="AU67" s="79">
        <f t="shared" si="44"/>
        <v>5</v>
      </c>
      <c r="AV67" s="75">
        <v>18</v>
      </c>
      <c r="AW67" s="79">
        <v>29</v>
      </c>
      <c r="AX67" s="80">
        <f t="shared" si="45"/>
        <v>47</v>
      </c>
      <c r="AY67" s="79">
        <v>20</v>
      </c>
      <c r="AZ67" s="80">
        <f t="shared" si="46"/>
        <v>67</v>
      </c>
      <c r="BA67" s="209"/>
      <c r="BB67" s="79">
        <f t="shared" si="47"/>
        <v>3.5</v>
      </c>
      <c r="BC67" s="75">
        <v>11</v>
      </c>
      <c r="BD67" s="79">
        <v>15</v>
      </c>
      <c r="BE67" s="80">
        <f t="shared" si="48"/>
        <v>26</v>
      </c>
      <c r="BF67" s="79">
        <v>26</v>
      </c>
      <c r="BG67" s="80">
        <f t="shared" si="49"/>
        <v>52</v>
      </c>
      <c r="BH67" s="209"/>
      <c r="BI67" s="79">
        <f t="shared" si="50"/>
        <v>3</v>
      </c>
      <c r="BJ67" s="75">
        <v>9</v>
      </c>
      <c r="BK67" s="79">
        <v>24</v>
      </c>
      <c r="BL67" s="80">
        <f t="shared" si="51"/>
        <v>33</v>
      </c>
      <c r="BM67" s="74">
        <f t="shared" si="26"/>
        <v>33</v>
      </c>
      <c r="BN67" s="209"/>
      <c r="BO67" s="79">
        <f t="shared" si="34"/>
        <v>3.5</v>
      </c>
      <c r="BP67" s="73" t="str">
        <f t="shared" si="27"/>
        <v>F</v>
      </c>
      <c r="BQ67" s="76" t="str">
        <f t="shared" si="28"/>
        <v>F</v>
      </c>
      <c r="BR67" s="82" t="str">
        <f t="shared" si="52"/>
        <v>F</v>
      </c>
      <c r="BS67" s="64" t="str">
        <f t="shared" si="3"/>
        <v>NEED TO PROGRESS</v>
      </c>
      <c r="BT67" s="60">
        <f t="shared" si="30"/>
        <v>416</v>
      </c>
      <c r="BU67" s="62"/>
      <c r="BV67" s="62"/>
    </row>
    <row r="68" spans="1:74" ht="27.95" customHeight="1">
      <c r="A68" s="71">
        <v>60</v>
      </c>
      <c r="B68" s="49">
        <v>67</v>
      </c>
      <c r="C68" s="50" t="s">
        <v>255</v>
      </c>
      <c r="D68" s="50" t="s">
        <v>256</v>
      </c>
      <c r="E68" s="50" t="s">
        <v>257</v>
      </c>
      <c r="F68" s="65" t="s">
        <v>258</v>
      </c>
      <c r="G68" s="72">
        <v>12</v>
      </c>
      <c r="H68" s="73">
        <v>16</v>
      </c>
      <c r="I68" s="74">
        <f t="shared" si="53"/>
        <v>28</v>
      </c>
      <c r="J68" s="73">
        <v>21</v>
      </c>
      <c r="K68" s="74">
        <f t="shared" si="54"/>
        <v>49</v>
      </c>
      <c r="L68" s="75">
        <v>8</v>
      </c>
      <c r="M68" s="73">
        <v>22</v>
      </c>
      <c r="N68" s="74">
        <f t="shared" si="55"/>
        <v>30</v>
      </c>
      <c r="O68" s="74">
        <f t="shared" si="5"/>
        <v>30</v>
      </c>
      <c r="P68" s="74">
        <f t="shared" si="33"/>
        <v>79</v>
      </c>
      <c r="Q68" s="209"/>
      <c r="R68" s="79">
        <f t="shared" si="35"/>
        <v>3</v>
      </c>
      <c r="S68" s="75">
        <v>12</v>
      </c>
      <c r="T68" s="79">
        <v>31</v>
      </c>
      <c r="U68" s="74">
        <f t="shared" si="36"/>
        <v>43</v>
      </c>
      <c r="V68" s="75">
        <v>6</v>
      </c>
      <c r="W68" s="79">
        <v>12</v>
      </c>
      <c r="X68" s="74">
        <f t="shared" si="37"/>
        <v>18</v>
      </c>
      <c r="Y68" s="74">
        <f t="shared" si="56"/>
        <v>61</v>
      </c>
      <c r="Z68" s="74">
        <f t="shared" si="57"/>
        <v>61</v>
      </c>
      <c r="AA68" s="209"/>
      <c r="AB68" s="79">
        <f t="shared" si="38"/>
        <v>2</v>
      </c>
      <c r="AC68" s="75">
        <v>7</v>
      </c>
      <c r="AD68" s="79">
        <v>27</v>
      </c>
      <c r="AE68" s="74">
        <f t="shared" si="39"/>
        <v>34</v>
      </c>
      <c r="AF68" s="73">
        <v>22</v>
      </c>
      <c r="AG68" s="74">
        <f t="shared" si="40"/>
        <v>56</v>
      </c>
      <c r="AH68" s="209"/>
      <c r="AI68" s="79">
        <f t="shared" si="41"/>
        <v>3</v>
      </c>
      <c r="AJ68" s="75">
        <v>13</v>
      </c>
      <c r="AK68" s="79">
        <v>14</v>
      </c>
      <c r="AL68" s="80">
        <f t="shared" si="42"/>
        <v>27</v>
      </c>
      <c r="AM68" s="73">
        <v>20</v>
      </c>
      <c r="AN68" s="74">
        <f t="shared" si="58"/>
        <v>47</v>
      </c>
      <c r="AO68" s="209"/>
      <c r="AP68" s="79">
        <f t="shared" si="43"/>
        <v>2</v>
      </c>
      <c r="AQ68" s="79">
        <v>23</v>
      </c>
      <c r="AR68" s="79">
        <v>25</v>
      </c>
      <c r="AS68" s="73">
        <f t="shared" si="17"/>
        <v>48</v>
      </c>
      <c r="AT68" s="212"/>
      <c r="AU68" s="79">
        <f t="shared" si="44"/>
        <v>5</v>
      </c>
      <c r="AV68" s="75">
        <v>13</v>
      </c>
      <c r="AW68" s="79">
        <v>27</v>
      </c>
      <c r="AX68" s="80">
        <f t="shared" si="45"/>
        <v>40</v>
      </c>
      <c r="AY68" s="79">
        <v>18</v>
      </c>
      <c r="AZ68" s="80">
        <f t="shared" si="46"/>
        <v>58</v>
      </c>
      <c r="BA68" s="209"/>
      <c r="BB68" s="79">
        <f t="shared" si="47"/>
        <v>3</v>
      </c>
      <c r="BC68" s="75">
        <v>14</v>
      </c>
      <c r="BD68" s="79">
        <v>4</v>
      </c>
      <c r="BE68" s="80">
        <f t="shared" si="48"/>
        <v>18</v>
      </c>
      <c r="BF68" s="79">
        <v>17</v>
      </c>
      <c r="BG68" s="80">
        <f t="shared" si="49"/>
        <v>35</v>
      </c>
      <c r="BH68" s="209"/>
      <c r="BI68" s="79" t="str">
        <f t="shared" si="50"/>
        <v>F</v>
      </c>
      <c r="BJ68" s="75">
        <v>10</v>
      </c>
      <c r="BK68" s="79">
        <v>24</v>
      </c>
      <c r="BL68" s="80">
        <f t="shared" si="51"/>
        <v>34</v>
      </c>
      <c r="BM68" s="74">
        <f t="shared" si="26"/>
        <v>34</v>
      </c>
      <c r="BN68" s="209"/>
      <c r="BO68" s="79">
        <f t="shared" si="34"/>
        <v>3.5</v>
      </c>
      <c r="BP68" s="73" t="str">
        <f t="shared" si="27"/>
        <v>F</v>
      </c>
      <c r="BQ68" s="76" t="str">
        <f t="shared" si="28"/>
        <v>F</v>
      </c>
      <c r="BR68" s="82" t="str">
        <f t="shared" si="52"/>
        <v>F</v>
      </c>
      <c r="BS68" s="64" t="str">
        <f t="shared" si="3"/>
        <v>NEED TO PROGRESS</v>
      </c>
      <c r="BT68" s="60">
        <f t="shared" si="30"/>
        <v>418</v>
      </c>
      <c r="BU68" s="62"/>
      <c r="BV68" s="62"/>
    </row>
    <row r="69" spans="1:74" ht="27.95" customHeight="1">
      <c r="A69" s="71">
        <v>61</v>
      </c>
      <c r="B69" s="49">
        <v>68</v>
      </c>
      <c r="C69" s="50" t="s">
        <v>376</v>
      </c>
      <c r="D69" s="50" t="s">
        <v>377</v>
      </c>
      <c r="E69" s="50" t="s">
        <v>378</v>
      </c>
      <c r="F69" s="65" t="s">
        <v>379</v>
      </c>
      <c r="G69" s="72">
        <v>13</v>
      </c>
      <c r="H69" s="73">
        <v>12</v>
      </c>
      <c r="I69" s="74">
        <f t="shared" si="53"/>
        <v>25</v>
      </c>
      <c r="J69" s="73">
        <v>13</v>
      </c>
      <c r="K69" s="74">
        <f t="shared" si="54"/>
        <v>38</v>
      </c>
      <c r="L69" s="75">
        <v>9</v>
      </c>
      <c r="M69" s="73">
        <v>28</v>
      </c>
      <c r="N69" s="74">
        <f t="shared" si="55"/>
        <v>37</v>
      </c>
      <c r="O69" s="74">
        <f t="shared" si="5"/>
        <v>37</v>
      </c>
      <c r="P69" s="74">
        <f t="shared" si="33"/>
        <v>75</v>
      </c>
      <c r="Q69" s="209"/>
      <c r="R69" s="79">
        <f t="shared" si="35"/>
        <v>3</v>
      </c>
      <c r="S69" s="75">
        <v>16</v>
      </c>
      <c r="T69" s="79">
        <v>34</v>
      </c>
      <c r="U69" s="74">
        <f t="shared" si="36"/>
        <v>50</v>
      </c>
      <c r="V69" s="75">
        <v>6</v>
      </c>
      <c r="W69" s="79">
        <v>14</v>
      </c>
      <c r="X69" s="74">
        <f t="shared" si="37"/>
        <v>20</v>
      </c>
      <c r="Y69" s="74">
        <f t="shared" si="56"/>
        <v>70</v>
      </c>
      <c r="Z69" s="74">
        <f t="shared" si="57"/>
        <v>70</v>
      </c>
      <c r="AA69" s="209"/>
      <c r="AB69" s="79">
        <f t="shared" si="38"/>
        <v>2</v>
      </c>
      <c r="AC69" s="75">
        <v>12</v>
      </c>
      <c r="AD69" s="79">
        <v>24</v>
      </c>
      <c r="AE69" s="74">
        <f t="shared" si="39"/>
        <v>36</v>
      </c>
      <c r="AF69" s="73">
        <v>22</v>
      </c>
      <c r="AG69" s="74">
        <f t="shared" si="40"/>
        <v>58</v>
      </c>
      <c r="AH69" s="209"/>
      <c r="AI69" s="79">
        <f t="shared" si="41"/>
        <v>3</v>
      </c>
      <c r="AJ69" s="75">
        <v>14</v>
      </c>
      <c r="AK69" s="79">
        <v>16</v>
      </c>
      <c r="AL69" s="80">
        <f t="shared" si="42"/>
        <v>30</v>
      </c>
      <c r="AM69" s="73">
        <v>21</v>
      </c>
      <c r="AN69" s="74">
        <f t="shared" si="58"/>
        <v>51</v>
      </c>
      <c r="AO69" s="209"/>
      <c r="AP69" s="79">
        <f t="shared" si="43"/>
        <v>3</v>
      </c>
      <c r="AQ69" s="79">
        <v>23</v>
      </c>
      <c r="AR69" s="79">
        <v>25</v>
      </c>
      <c r="AS69" s="73">
        <f t="shared" si="17"/>
        <v>48</v>
      </c>
      <c r="AT69" s="212"/>
      <c r="AU69" s="79">
        <f t="shared" si="44"/>
        <v>5</v>
      </c>
      <c r="AV69" s="75">
        <v>17</v>
      </c>
      <c r="AW69" s="79">
        <v>32</v>
      </c>
      <c r="AX69" s="80">
        <f t="shared" si="45"/>
        <v>49</v>
      </c>
      <c r="AY69" s="79">
        <v>20</v>
      </c>
      <c r="AZ69" s="80">
        <f t="shared" si="46"/>
        <v>69</v>
      </c>
      <c r="BA69" s="209"/>
      <c r="BB69" s="79">
        <f t="shared" si="47"/>
        <v>3.5</v>
      </c>
      <c r="BC69" s="75">
        <v>14</v>
      </c>
      <c r="BD69" s="79">
        <v>18</v>
      </c>
      <c r="BE69" s="80">
        <f t="shared" si="48"/>
        <v>32</v>
      </c>
      <c r="BF69" s="79">
        <v>26</v>
      </c>
      <c r="BG69" s="80">
        <f t="shared" si="49"/>
        <v>58</v>
      </c>
      <c r="BH69" s="209"/>
      <c r="BI69" s="79">
        <f t="shared" si="50"/>
        <v>3</v>
      </c>
      <c r="BJ69" s="75">
        <v>9</v>
      </c>
      <c r="BK69" s="79">
        <v>24</v>
      </c>
      <c r="BL69" s="80">
        <f t="shared" si="51"/>
        <v>33</v>
      </c>
      <c r="BM69" s="74">
        <f t="shared" si="26"/>
        <v>33</v>
      </c>
      <c r="BN69" s="209"/>
      <c r="BO69" s="79">
        <f t="shared" si="34"/>
        <v>3.5</v>
      </c>
      <c r="BP69" s="73">
        <f t="shared" si="27"/>
        <v>26</v>
      </c>
      <c r="BQ69" s="76">
        <f t="shared" si="28"/>
        <v>3.25</v>
      </c>
      <c r="BR69" s="82" t="str">
        <f t="shared" si="52"/>
        <v>B</v>
      </c>
      <c r="BS69" s="64" t="str">
        <f t="shared" si="3"/>
        <v>GOOD</v>
      </c>
      <c r="BT69" s="60">
        <f t="shared" si="30"/>
        <v>462</v>
      </c>
      <c r="BU69" s="62"/>
      <c r="BV69" s="62"/>
    </row>
    <row r="70" spans="1:74" ht="27.95" customHeight="1">
      <c r="A70" s="71">
        <v>62</v>
      </c>
      <c r="B70" s="49">
        <v>69</v>
      </c>
      <c r="C70" s="50" t="s">
        <v>259</v>
      </c>
      <c r="D70" s="50" t="s">
        <v>260</v>
      </c>
      <c r="E70" s="50" t="s">
        <v>261</v>
      </c>
      <c r="F70" s="65" t="s">
        <v>262</v>
      </c>
      <c r="G70" s="72">
        <v>13</v>
      </c>
      <c r="H70" s="73">
        <v>14</v>
      </c>
      <c r="I70" s="74">
        <f t="shared" si="53"/>
        <v>27</v>
      </c>
      <c r="J70" s="73">
        <v>16</v>
      </c>
      <c r="K70" s="74">
        <f t="shared" si="54"/>
        <v>43</v>
      </c>
      <c r="L70" s="75">
        <v>8</v>
      </c>
      <c r="M70" s="73">
        <v>21</v>
      </c>
      <c r="N70" s="74">
        <f t="shared" si="55"/>
        <v>29</v>
      </c>
      <c r="O70" s="74">
        <f t="shared" si="5"/>
        <v>29</v>
      </c>
      <c r="P70" s="74">
        <f t="shared" si="33"/>
        <v>72</v>
      </c>
      <c r="Q70" s="209"/>
      <c r="R70" s="79">
        <f t="shared" si="35"/>
        <v>3</v>
      </c>
      <c r="S70" s="75">
        <v>14</v>
      </c>
      <c r="T70" s="79">
        <v>34</v>
      </c>
      <c r="U70" s="74">
        <f t="shared" si="36"/>
        <v>48</v>
      </c>
      <c r="V70" s="75">
        <v>6</v>
      </c>
      <c r="W70" s="79">
        <v>10</v>
      </c>
      <c r="X70" s="74">
        <f t="shared" si="37"/>
        <v>16</v>
      </c>
      <c r="Y70" s="74">
        <f t="shared" si="56"/>
        <v>64</v>
      </c>
      <c r="Z70" s="74">
        <f t="shared" si="57"/>
        <v>64</v>
      </c>
      <c r="AA70" s="209"/>
      <c r="AB70" s="79">
        <f t="shared" si="38"/>
        <v>2</v>
      </c>
      <c r="AC70" s="75">
        <v>10</v>
      </c>
      <c r="AD70" s="79">
        <v>11</v>
      </c>
      <c r="AE70" s="74">
        <f t="shared" si="39"/>
        <v>21</v>
      </c>
      <c r="AF70" s="73">
        <v>23</v>
      </c>
      <c r="AG70" s="74">
        <f t="shared" si="40"/>
        <v>44</v>
      </c>
      <c r="AH70" s="209"/>
      <c r="AI70" s="79">
        <f t="shared" si="41"/>
        <v>2</v>
      </c>
      <c r="AJ70" s="75">
        <v>16</v>
      </c>
      <c r="AK70" s="79">
        <v>14</v>
      </c>
      <c r="AL70" s="80">
        <f t="shared" si="42"/>
        <v>30</v>
      </c>
      <c r="AM70" s="73">
        <v>19</v>
      </c>
      <c r="AN70" s="74">
        <f t="shared" si="58"/>
        <v>49</v>
      </c>
      <c r="AO70" s="209"/>
      <c r="AP70" s="79">
        <f t="shared" si="43"/>
        <v>2</v>
      </c>
      <c r="AQ70" s="79">
        <v>23</v>
      </c>
      <c r="AR70" s="79">
        <v>25</v>
      </c>
      <c r="AS70" s="73">
        <f t="shared" si="17"/>
        <v>48</v>
      </c>
      <c r="AT70" s="212"/>
      <c r="AU70" s="79">
        <f t="shared" si="44"/>
        <v>5</v>
      </c>
      <c r="AV70" s="75">
        <v>17</v>
      </c>
      <c r="AW70" s="79">
        <v>19</v>
      </c>
      <c r="AX70" s="80">
        <f t="shared" si="45"/>
        <v>36</v>
      </c>
      <c r="AY70" s="79">
        <v>20</v>
      </c>
      <c r="AZ70" s="80">
        <f t="shared" si="46"/>
        <v>56</v>
      </c>
      <c r="BA70" s="209"/>
      <c r="BB70" s="79">
        <f t="shared" si="47"/>
        <v>3</v>
      </c>
      <c r="BC70" s="75">
        <v>13</v>
      </c>
      <c r="BD70" s="79">
        <v>5</v>
      </c>
      <c r="BE70" s="80">
        <f t="shared" si="48"/>
        <v>18</v>
      </c>
      <c r="BF70" s="79">
        <v>26</v>
      </c>
      <c r="BG70" s="80">
        <f t="shared" si="49"/>
        <v>44</v>
      </c>
      <c r="BH70" s="209"/>
      <c r="BI70" s="79">
        <f t="shared" si="50"/>
        <v>2</v>
      </c>
      <c r="BJ70" s="75">
        <v>9</v>
      </c>
      <c r="BK70" s="79">
        <v>24</v>
      </c>
      <c r="BL70" s="80">
        <f t="shared" si="51"/>
        <v>33</v>
      </c>
      <c r="BM70" s="74">
        <f t="shared" si="26"/>
        <v>33</v>
      </c>
      <c r="BN70" s="209"/>
      <c r="BO70" s="79">
        <f t="shared" si="34"/>
        <v>3.5</v>
      </c>
      <c r="BP70" s="73">
        <f t="shared" si="27"/>
        <v>22.5</v>
      </c>
      <c r="BQ70" s="76">
        <f t="shared" si="28"/>
        <v>2.8125</v>
      </c>
      <c r="BR70" s="82" t="str">
        <f t="shared" si="52"/>
        <v>C</v>
      </c>
      <c r="BS70" s="64" t="str">
        <f t="shared" si="3"/>
        <v>GOOD</v>
      </c>
      <c r="BT70" s="60">
        <f t="shared" si="30"/>
        <v>410</v>
      </c>
      <c r="BU70" s="62"/>
      <c r="BV70" s="62"/>
    </row>
    <row r="71" spans="1:74" ht="27.95" customHeight="1">
      <c r="A71" s="71">
        <v>63</v>
      </c>
      <c r="B71" s="49">
        <v>71</v>
      </c>
      <c r="C71" s="50" t="s">
        <v>263</v>
      </c>
      <c r="D71" s="50" t="s">
        <v>256</v>
      </c>
      <c r="E71" s="50" t="s">
        <v>264</v>
      </c>
      <c r="F71" s="65" t="s">
        <v>265</v>
      </c>
      <c r="G71" s="72">
        <v>12</v>
      </c>
      <c r="H71" s="73">
        <v>9</v>
      </c>
      <c r="I71" s="74">
        <f t="shared" si="53"/>
        <v>21</v>
      </c>
      <c r="J71" s="73">
        <v>8</v>
      </c>
      <c r="K71" s="74">
        <f t="shared" si="54"/>
        <v>29</v>
      </c>
      <c r="L71" s="75">
        <v>7</v>
      </c>
      <c r="M71" s="73">
        <v>16</v>
      </c>
      <c r="N71" s="74">
        <f t="shared" si="55"/>
        <v>23</v>
      </c>
      <c r="O71" s="74">
        <f t="shared" si="5"/>
        <v>23</v>
      </c>
      <c r="P71" s="74">
        <f t="shared" si="33"/>
        <v>52</v>
      </c>
      <c r="Q71" s="209"/>
      <c r="R71" s="79" t="str">
        <f t="shared" si="35"/>
        <v>F</v>
      </c>
      <c r="S71" s="75">
        <v>14</v>
      </c>
      <c r="T71" s="79">
        <v>34</v>
      </c>
      <c r="U71" s="74">
        <f t="shared" si="36"/>
        <v>48</v>
      </c>
      <c r="V71" s="75">
        <v>6</v>
      </c>
      <c r="W71" s="79">
        <v>10</v>
      </c>
      <c r="X71" s="74">
        <f t="shared" si="37"/>
        <v>16</v>
      </c>
      <c r="Y71" s="74">
        <f t="shared" si="56"/>
        <v>64</v>
      </c>
      <c r="Z71" s="74">
        <f t="shared" si="57"/>
        <v>64</v>
      </c>
      <c r="AA71" s="209"/>
      <c r="AB71" s="79">
        <f t="shared" si="38"/>
        <v>2</v>
      </c>
      <c r="AC71" s="75">
        <v>6</v>
      </c>
      <c r="AD71" s="79">
        <v>8</v>
      </c>
      <c r="AE71" s="74">
        <f t="shared" si="39"/>
        <v>14</v>
      </c>
      <c r="AF71" s="73">
        <v>28</v>
      </c>
      <c r="AG71" s="74">
        <f t="shared" si="40"/>
        <v>42</v>
      </c>
      <c r="AH71" s="209"/>
      <c r="AI71" s="79">
        <f t="shared" si="41"/>
        <v>2</v>
      </c>
      <c r="AJ71" s="75">
        <v>12</v>
      </c>
      <c r="AK71" s="79">
        <v>6</v>
      </c>
      <c r="AL71" s="80">
        <f t="shared" si="42"/>
        <v>18</v>
      </c>
      <c r="AM71" s="73">
        <v>18</v>
      </c>
      <c r="AN71" s="74">
        <f t="shared" si="58"/>
        <v>36</v>
      </c>
      <c r="AO71" s="209"/>
      <c r="AP71" s="79" t="str">
        <f t="shared" si="43"/>
        <v>F</v>
      </c>
      <c r="AQ71" s="79">
        <v>23</v>
      </c>
      <c r="AR71" s="79">
        <v>25</v>
      </c>
      <c r="AS71" s="73">
        <f t="shared" si="17"/>
        <v>48</v>
      </c>
      <c r="AT71" s="212"/>
      <c r="AU71" s="79">
        <f t="shared" si="44"/>
        <v>5</v>
      </c>
      <c r="AV71" s="75">
        <v>17</v>
      </c>
      <c r="AW71" s="79">
        <v>14</v>
      </c>
      <c r="AX71" s="80">
        <f t="shared" si="45"/>
        <v>31</v>
      </c>
      <c r="AY71" s="79">
        <v>15</v>
      </c>
      <c r="AZ71" s="80">
        <f t="shared" si="46"/>
        <v>46</v>
      </c>
      <c r="BA71" s="209"/>
      <c r="BB71" s="79">
        <f t="shared" si="47"/>
        <v>2</v>
      </c>
      <c r="BC71" s="75">
        <v>12</v>
      </c>
      <c r="BD71" s="79">
        <v>5</v>
      </c>
      <c r="BE71" s="80">
        <f t="shared" si="48"/>
        <v>17</v>
      </c>
      <c r="BF71" s="79">
        <v>27</v>
      </c>
      <c r="BG71" s="80">
        <f t="shared" si="49"/>
        <v>44</v>
      </c>
      <c r="BH71" s="209"/>
      <c r="BI71" s="79">
        <f t="shared" si="50"/>
        <v>2</v>
      </c>
      <c r="BJ71" s="75">
        <v>9</v>
      </c>
      <c r="BK71" s="79">
        <v>22</v>
      </c>
      <c r="BL71" s="80">
        <f t="shared" si="51"/>
        <v>31</v>
      </c>
      <c r="BM71" s="74">
        <f t="shared" si="26"/>
        <v>31</v>
      </c>
      <c r="BN71" s="209"/>
      <c r="BO71" s="79">
        <f t="shared" si="34"/>
        <v>3.5</v>
      </c>
      <c r="BP71" s="73" t="str">
        <f t="shared" si="27"/>
        <v>F</v>
      </c>
      <c r="BQ71" s="76" t="str">
        <f t="shared" si="28"/>
        <v>F</v>
      </c>
      <c r="BR71" s="82" t="str">
        <f t="shared" si="52"/>
        <v>F</v>
      </c>
      <c r="BS71" s="64" t="str">
        <f t="shared" si="3"/>
        <v>NEED TO PROGRESS</v>
      </c>
      <c r="BT71" s="60">
        <f t="shared" si="30"/>
        <v>363</v>
      </c>
      <c r="BU71" s="62"/>
      <c r="BV71" s="62"/>
    </row>
    <row r="72" spans="1:74" ht="27.95" customHeight="1">
      <c r="A72" s="71">
        <v>64</v>
      </c>
      <c r="B72" s="49">
        <v>72</v>
      </c>
      <c r="C72" s="51" t="s">
        <v>380</v>
      </c>
      <c r="D72" s="51" t="s">
        <v>381</v>
      </c>
      <c r="E72" s="51" t="s">
        <v>382</v>
      </c>
      <c r="F72" s="66" t="s">
        <v>383</v>
      </c>
      <c r="G72" s="72">
        <v>12</v>
      </c>
      <c r="H72" s="73">
        <v>14</v>
      </c>
      <c r="I72" s="74">
        <f t="shared" si="53"/>
        <v>26</v>
      </c>
      <c r="J72" s="73">
        <v>20</v>
      </c>
      <c r="K72" s="74">
        <f t="shared" si="54"/>
        <v>46</v>
      </c>
      <c r="L72" s="75">
        <v>7</v>
      </c>
      <c r="M72" s="73">
        <v>12</v>
      </c>
      <c r="N72" s="74">
        <f t="shared" si="55"/>
        <v>19</v>
      </c>
      <c r="O72" s="74">
        <f t="shared" si="5"/>
        <v>19</v>
      </c>
      <c r="P72" s="74">
        <f t="shared" si="33"/>
        <v>65</v>
      </c>
      <c r="Q72" s="209"/>
      <c r="R72" s="79">
        <f t="shared" si="35"/>
        <v>2</v>
      </c>
      <c r="S72" s="75">
        <v>10</v>
      </c>
      <c r="T72" s="79">
        <v>41</v>
      </c>
      <c r="U72" s="74">
        <f t="shared" si="36"/>
        <v>51</v>
      </c>
      <c r="V72" s="75">
        <v>7</v>
      </c>
      <c r="W72" s="79">
        <v>12</v>
      </c>
      <c r="X72" s="74">
        <f t="shared" si="37"/>
        <v>19</v>
      </c>
      <c r="Y72" s="74">
        <f t="shared" si="56"/>
        <v>70</v>
      </c>
      <c r="Z72" s="74">
        <f t="shared" si="57"/>
        <v>70</v>
      </c>
      <c r="AA72" s="209"/>
      <c r="AB72" s="79">
        <f t="shared" si="38"/>
        <v>2</v>
      </c>
      <c r="AC72" s="75">
        <v>13</v>
      </c>
      <c r="AD72" s="79">
        <v>4</v>
      </c>
      <c r="AE72" s="74">
        <f t="shared" si="39"/>
        <v>17</v>
      </c>
      <c r="AF72" s="73">
        <v>19</v>
      </c>
      <c r="AG72" s="74">
        <f t="shared" si="40"/>
        <v>36</v>
      </c>
      <c r="AH72" s="209"/>
      <c r="AI72" s="79" t="str">
        <f t="shared" si="41"/>
        <v>F</v>
      </c>
      <c r="AJ72" s="75">
        <v>9</v>
      </c>
      <c r="AK72" s="79">
        <v>2</v>
      </c>
      <c r="AL72" s="80">
        <f t="shared" si="42"/>
        <v>11</v>
      </c>
      <c r="AM72" s="73">
        <v>11</v>
      </c>
      <c r="AN72" s="74">
        <f t="shared" si="58"/>
        <v>22</v>
      </c>
      <c r="AO72" s="209"/>
      <c r="AP72" s="79" t="str">
        <f t="shared" si="43"/>
        <v>F</v>
      </c>
      <c r="AQ72" s="79">
        <v>23</v>
      </c>
      <c r="AR72" s="79">
        <v>25</v>
      </c>
      <c r="AS72" s="73">
        <f t="shared" si="17"/>
        <v>48</v>
      </c>
      <c r="AT72" s="212"/>
      <c r="AU72" s="79">
        <f t="shared" si="44"/>
        <v>5</v>
      </c>
      <c r="AV72" s="75">
        <v>14</v>
      </c>
      <c r="AW72" s="79">
        <v>14</v>
      </c>
      <c r="AX72" s="80">
        <f t="shared" si="45"/>
        <v>28</v>
      </c>
      <c r="AY72" s="79">
        <v>15</v>
      </c>
      <c r="AZ72" s="80">
        <f t="shared" si="46"/>
        <v>43</v>
      </c>
      <c r="BA72" s="209"/>
      <c r="BB72" s="79">
        <f t="shared" si="47"/>
        <v>2</v>
      </c>
      <c r="BC72" s="75">
        <v>8</v>
      </c>
      <c r="BD72" s="79">
        <v>11</v>
      </c>
      <c r="BE72" s="80">
        <f t="shared" si="48"/>
        <v>19</v>
      </c>
      <c r="BF72" s="79">
        <v>24</v>
      </c>
      <c r="BG72" s="80">
        <f t="shared" si="49"/>
        <v>43</v>
      </c>
      <c r="BH72" s="209"/>
      <c r="BI72" s="79">
        <f t="shared" si="50"/>
        <v>2</v>
      </c>
      <c r="BJ72" s="75">
        <v>10</v>
      </c>
      <c r="BK72" s="79">
        <v>22</v>
      </c>
      <c r="BL72" s="80">
        <f t="shared" si="51"/>
        <v>32</v>
      </c>
      <c r="BM72" s="74">
        <f t="shared" si="26"/>
        <v>32</v>
      </c>
      <c r="BN72" s="209"/>
      <c r="BO72" s="79">
        <f t="shared" si="34"/>
        <v>3.5</v>
      </c>
      <c r="BP72" s="73" t="str">
        <f t="shared" si="27"/>
        <v>F</v>
      </c>
      <c r="BQ72" s="76" t="str">
        <f t="shared" si="28"/>
        <v>F</v>
      </c>
      <c r="BR72" s="82" t="str">
        <f t="shared" si="52"/>
        <v>F</v>
      </c>
      <c r="BS72" s="64" t="str">
        <f t="shared" si="3"/>
        <v>NEED TO PROGRESS</v>
      </c>
      <c r="BT72" s="60">
        <f t="shared" si="30"/>
        <v>359</v>
      </c>
      <c r="BU72" s="62"/>
      <c r="BV72" s="62"/>
    </row>
    <row r="73" spans="1:74" ht="27.95" customHeight="1">
      <c r="A73" s="71">
        <v>65</v>
      </c>
      <c r="B73" s="49">
        <v>73</v>
      </c>
      <c r="C73" s="51" t="s">
        <v>266</v>
      </c>
      <c r="D73" s="51" t="s">
        <v>267</v>
      </c>
      <c r="E73" s="51" t="s">
        <v>268</v>
      </c>
      <c r="F73" s="66" t="s">
        <v>269</v>
      </c>
      <c r="G73" s="72">
        <v>15</v>
      </c>
      <c r="H73" s="73">
        <v>17</v>
      </c>
      <c r="I73" s="74">
        <f t="shared" si="53"/>
        <v>32</v>
      </c>
      <c r="J73" s="73">
        <v>24</v>
      </c>
      <c r="K73" s="74">
        <f t="shared" si="54"/>
        <v>56</v>
      </c>
      <c r="L73" s="75">
        <v>9</v>
      </c>
      <c r="M73" s="73">
        <v>30</v>
      </c>
      <c r="N73" s="74">
        <f t="shared" si="55"/>
        <v>39</v>
      </c>
      <c r="O73" s="74">
        <f t="shared" si="5"/>
        <v>39</v>
      </c>
      <c r="P73" s="74">
        <f t="shared" ref="P73:P94" si="59">K73+O73</f>
        <v>95</v>
      </c>
      <c r="Q73" s="209"/>
      <c r="R73" s="79">
        <f t="shared" si="35"/>
        <v>3.5</v>
      </c>
      <c r="S73" s="75">
        <v>14</v>
      </c>
      <c r="T73" s="79">
        <v>48</v>
      </c>
      <c r="U73" s="74">
        <f t="shared" si="36"/>
        <v>62</v>
      </c>
      <c r="V73" s="75">
        <v>6</v>
      </c>
      <c r="W73" s="79">
        <v>18</v>
      </c>
      <c r="X73" s="74">
        <f t="shared" si="37"/>
        <v>24</v>
      </c>
      <c r="Y73" s="74">
        <f t="shared" si="56"/>
        <v>86</v>
      </c>
      <c r="Z73" s="74">
        <f t="shared" si="57"/>
        <v>86</v>
      </c>
      <c r="AA73" s="209"/>
      <c r="AB73" s="79">
        <f t="shared" si="38"/>
        <v>3</v>
      </c>
      <c r="AC73" s="75">
        <v>16</v>
      </c>
      <c r="AD73" s="79">
        <v>15</v>
      </c>
      <c r="AE73" s="74">
        <f t="shared" si="39"/>
        <v>31</v>
      </c>
      <c r="AF73" s="73">
        <v>8</v>
      </c>
      <c r="AG73" s="74">
        <f t="shared" si="40"/>
        <v>39</v>
      </c>
      <c r="AH73" s="209"/>
      <c r="AI73" s="79" t="str">
        <f t="shared" si="41"/>
        <v>F</v>
      </c>
      <c r="AJ73" s="75">
        <v>14</v>
      </c>
      <c r="AK73" s="79">
        <v>12</v>
      </c>
      <c r="AL73" s="80">
        <f t="shared" si="42"/>
        <v>26</v>
      </c>
      <c r="AM73" s="73">
        <v>20</v>
      </c>
      <c r="AN73" s="74">
        <f t="shared" si="58"/>
        <v>46</v>
      </c>
      <c r="AO73" s="209"/>
      <c r="AP73" s="79">
        <f t="shared" si="43"/>
        <v>2</v>
      </c>
      <c r="AQ73" s="79">
        <v>23</v>
      </c>
      <c r="AR73" s="79">
        <v>25</v>
      </c>
      <c r="AS73" s="73">
        <f t="shared" si="17"/>
        <v>48</v>
      </c>
      <c r="AT73" s="212"/>
      <c r="AU73" s="79">
        <f t="shared" si="44"/>
        <v>5</v>
      </c>
      <c r="AV73" s="75">
        <v>15</v>
      </c>
      <c r="AW73" s="79">
        <v>16</v>
      </c>
      <c r="AX73" s="80">
        <f t="shared" si="45"/>
        <v>31</v>
      </c>
      <c r="AY73" s="79">
        <v>18</v>
      </c>
      <c r="AZ73" s="80">
        <f t="shared" si="46"/>
        <v>49</v>
      </c>
      <c r="BA73" s="209"/>
      <c r="BB73" s="79">
        <f t="shared" si="47"/>
        <v>2</v>
      </c>
      <c r="BC73" s="75">
        <v>17</v>
      </c>
      <c r="BD73" s="79">
        <v>9</v>
      </c>
      <c r="BE73" s="80">
        <f t="shared" si="48"/>
        <v>26</v>
      </c>
      <c r="BF73" s="79">
        <v>22</v>
      </c>
      <c r="BG73" s="80">
        <f t="shared" si="49"/>
        <v>48</v>
      </c>
      <c r="BH73" s="209"/>
      <c r="BI73" s="79">
        <f t="shared" si="50"/>
        <v>2</v>
      </c>
      <c r="BJ73" s="75">
        <v>10</v>
      </c>
      <c r="BK73" s="79">
        <v>22</v>
      </c>
      <c r="BL73" s="80">
        <f t="shared" si="51"/>
        <v>32</v>
      </c>
      <c r="BM73" s="74">
        <f t="shared" si="26"/>
        <v>32</v>
      </c>
      <c r="BN73" s="209"/>
      <c r="BO73" s="79">
        <f t="shared" ref="BO73:BO94" si="60">IF(BL73&lt;20,"F",IF(BM73&lt;20,"F",IF(BM73&lt;25,2,IF(BM73&lt;30,3,IF(BM73&lt;35,3.5,IF(BM73&lt;40,4,5))))))</f>
        <v>3.5</v>
      </c>
      <c r="BP73" s="73" t="str">
        <f t="shared" si="27"/>
        <v>F</v>
      </c>
      <c r="BQ73" s="76" t="str">
        <f t="shared" si="28"/>
        <v>F</v>
      </c>
      <c r="BR73" s="82" t="str">
        <f t="shared" si="52"/>
        <v>F</v>
      </c>
      <c r="BS73" s="64" t="str">
        <f t="shared" ref="BS73:BS94" si="61">IF(BQ73="F","NEED TO PROGRESS",IF(BQ73&gt;=5,"BEST",IF(BQ73&gt;=4,"BETTER",IF(BQ73&gt;=2,"GOOD"))))</f>
        <v>NEED TO PROGRESS</v>
      </c>
      <c r="BT73" s="60">
        <f t="shared" si="30"/>
        <v>443</v>
      </c>
      <c r="BU73" s="62"/>
      <c r="BV73" s="62"/>
    </row>
    <row r="74" spans="1:74" ht="27.95" customHeight="1">
      <c r="A74" s="71">
        <v>66</v>
      </c>
      <c r="B74" s="49">
        <v>74</v>
      </c>
      <c r="C74" s="51" t="s">
        <v>384</v>
      </c>
      <c r="D74" s="51" t="s">
        <v>385</v>
      </c>
      <c r="E74" s="51" t="s">
        <v>386</v>
      </c>
      <c r="F74" s="66" t="s">
        <v>387</v>
      </c>
      <c r="G74" s="72">
        <v>10</v>
      </c>
      <c r="H74" s="73">
        <v>10</v>
      </c>
      <c r="I74" s="74">
        <f t="shared" si="53"/>
        <v>20</v>
      </c>
      <c r="J74" s="73">
        <v>23</v>
      </c>
      <c r="K74" s="74">
        <f t="shared" si="54"/>
        <v>43</v>
      </c>
      <c r="L74" s="75">
        <v>8</v>
      </c>
      <c r="M74" s="73">
        <v>22</v>
      </c>
      <c r="N74" s="74">
        <f t="shared" si="55"/>
        <v>30</v>
      </c>
      <c r="O74" s="74">
        <f t="shared" ref="O74:O94" si="62">N74</f>
        <v>30</v>
      </c>
      <c r="P74" s="74">
        <f t="shared" si="59"/>
        <v>73</v>
      </c>
      <c r="Q74" s="209"/>
      <c r="R74" s="79">
        <f t="shared" si="35"/>
        <v>3</v>
      </c>
      <c r="S74" s="75">
        <v>10</v>
      </c>
      <c r="T74" s="79">
        <v>50</v>
      </c>
      <c r="U74" s="74">
        <f t="shared" si="36"/>
        <v>60</v>
      </c>
      <c r="V74" s="75">
        <v>6</v>
      </c>
      <c r="W74" s="79">
        <v>9</v>
      </c>
      <c r="X74" s="74">
        <f t="shared" si="37"/>
        <v>15</v>
      </c>
      <c r="Y74" s="74">
        <f t="shared" si="56"/>
        <v>75</v>
      </c>
      <c r="Z74" s="74">
        <f t="shared" si="57"/>
        <v>75</v>
      </c>
      <c r="AA74" s="209"/>
      <c r="AB74" s="79">
        <f t="shared" si="38"/>
        <v>3</v>
      </c>
      <c r="AC74" s="75">
        <v>11</v>
      </c>
      <c r="AD74" s="79">
        <v>14</v>
      </c>
      <c r="AE74" s="74">
        <f t="shared" si="39"/>
        <v>25</v>
      </c>
      <c r="AF74" s="73">
        <v>19</v>
      </c>
      <c r="AG74" s="74">
        <f t="shared" si="40"/>
        <v>44</v>
      </c>
      <c r="AH74" s="209"/>
      <c r="AI74" s="79">
        <f t="shared" si="41"/>
        <v>2</v>
      </c>
      <c r="AJ74" s="75">
        <v>15</v>
      </c>
      <c r="AK74" s="79">
        <v>16</v>
      </c>
      <c r="AL74" s="80">
        <f t="shared" si="42"/>
        <v>31</v>
      </c>
      <c r="AM74" s="73">
        <v>18</v>
      </c>
      <c r="AN74" s="74">
        <f t="shared" si="58"/>
        <v>49</v>
      </c>
      <c r="AO74" s="209"/>
      <c r="AP74" s="79">
        <f t="shared" si="43"/>
        <v>2</v>
      </c>
      <c r="AQ74" s="79">
        <v>23</v>
      </c>
      <c r="AR74" s="79">
        <v>25</v>
      </c>
      <c r="AS74" s="73">
        <f t="shared" ref="AS74:AS94" si="63">AQ74+AR74</f>
        <v>48</v>
      </c>
      <c r="AT74" s="212"/>
      <c r="AU74" s="79">
        <f t="shared" si="44"/>
        <v>5</v>
      </c>
      <c r="AV74" s="75">
        <v>14</v>
      </c>
      <c r="AW74" s="79">
        <v>18</v>
      </c>
      <c r="AX74" s="80">
        <f t="shared" si="45"/>
        <v>32</v>
      </c>
      <c r="AY74" s="79">
        <v>22</v>
      </c>
      <c r="AZ74" s="80">
        <f t="shared" si="46"/>
        <v>54</v>
      </c>
      <c r="BA74" s="209"/>
      <c r="BB74" s="79">
        <f t="shared" si="47"/>
        <v>3</v>
      </c>
      <c r="BC74" s="75">
        <v>11</v>
      </c>
      <c r="BD74" s="79">
        <v>13</v>
      </c>
      <c r="BE74" s="80">
        <f t="shared" si="48"/>
        <v>24</v>
      </c>
      <c r="BF74" s="79">
        <v>22</v>
      </c>
      <c r="BG74" s="80">
        <f t="shared" si="49"/>
        <v>46</v>
      </c>
      <c r="BH74" s="209"/>
      <c r="BI74" s="79">
        <f t="shared" si="50"/>
        <v>2</v>
      </c>
      <c r="BJ74" s="75">
        <v>10</v>
      </c>
      <c r="BK74" s="79">
        <v>22</v>
      </c>
      <c r="BL74" s="80">
        <f t="shared" si="51"/>
        <v>32</v>
      </c>
      <c r="BM74" s="74">
        <f t="shared" ref="BM74:BM94" si="64">BL74</f>
        <v>32</v>
      </c>
      <c r="BN74" s="209"/>
      <c r="BO74" s="79">
        <f t="shared" si="60"/>
        <v>3.5</v>
      </c>
      <c r="BP74" s="73">
        <f t="shared" ref="BP74:BP94" si="65">IF(R74="F","F",IF(AB74="F","F",IF(AI74="F","F",IF(AP74="F","F",IF(BB74="F","F",IF(BI74="F","F",IF(AU74="F","F",IF(BO74="F","F",SUM(R74,AB74,AI74,AP74,AU74,BB74,BO74,BI74)))))))))</f>
        <v>23.5</v>
      </c>
      <c r="BQ74" s="76">
        <f t="shared" ref="BQ74:BQ94" si="66">IF(BP74="F","F",IF(BP74&gt;=45,5,IF(BP74&lt;45,BP74/8)))</f>
        <v>2.9375</v>
      </c>
      <c r="BR74" s="82" t="str">
        <f t="shared" si="52"/>
        <v>C</v>
      </c>
      <c r="BS74" s="64" t="str">
        <f t="shared" si="61"/>
        <v>GOOD</v>
      </c>
      <c r="BT74" s="60">
        <f t="shared" ref="BT74:BT94" si="67">P74+Z74+AG74+AN74+AS74+AZ74+BG74+BM74</f>
        <v>421</v>
      </c>
      <c r="BU74" s="62"/>
      <c r="BV74" s="62"/>
    </row>
    <row r="75" spans="1:74" ht="27.95" customHeight="1">
      <c r="A75" s="71">
        <v>67</v>
      </c>
      <c r="B75" s="49">
        <v>75</v>
      </c>
      <c r="C75" s="51" t="s">
        <v>270</v>
      </c>
      <c r="D75" s="51" t="s">
        <v>271</v>
      </c>
      <c r="E75" s="51" t="s">
        <v>272</v>
      </c>
      <c r="F75" s="66" t="s">
        <v>273</v>
      </c>
      <c r="G75" s="72">
        <v>10</v>
      </c>
      <c r="H75" s="73">
        <v>10</v>
      </c>
      <c r="I75" s="74">
        <f t="shared" si="53"/>
        <v>20</v>
      </c>
      <c r="J75" s="73">
        <v>20</v>
      </c>
      <c r="K75" s="74">
        <f t="shared" si="54"/>
        <v>40</v>
      </c>
      <c r="L75" s="75">
        <v>8</v>
      </c>
      <c r="M75" s="73">
        <v>16</v>
      </c>
      <c r="N75" s="74">
        <f t="shared" si="55"/>
        <v>24</v>
      </c>
      <c r="O75" s="74">
        <f t="shared" si="62"/>
        <v>24</v>
      </c>
      <c r="P75" s="74">
        <f t="shared" si="59"/>
        <v>64</v>
      </c>
      <c r="Q75" s="209"/>
      <c r="R75" s="79">
        <f t="shared" si="35"/>
        <v>2</v>
      </c>
      <c r="S75" s="75">
        <v>14</v>
      </c>
      <c r="T75" s="79">
        <v>28</v>
      </c>
      <c r="U75" s="74">
        <f t="shared" si="36"/>
        <v>42</v>
      </c>
      <c r="V75" s="75">
        <v>6</v>
      </c>
      <c r="W75" s="79">
        <v>4</v>
      </c>
      <c r="X75" s="74">
        <f t="shared" si="37"/>
        <v>10</v>
      </c>
      <c r="Y75" s="74">
        <f t="shared" si="56"/>
        <v>52</v>
      </c>
      <c r="Z75" s="74">
        <f t="shared" si="57"/>
        <v>52</v>
      </c>
      <c r="AA75" s="209"/>
      <c r="AB75" s="79" t="str">
        <f t="shared" si="38"/>
        <v>F</v>
      </c>
      <c r="AC75" s="75">
        <v>7</v>
      </c>
      <c r="AD75" s="79">
        <v>1</v>
      </c>
      <c r="AE75" s="74">
        <f t="shared" si="39"/>
        <v>8</v>
      </c>
      <c r="AF75" s="73">
        <v>11</v>
      </c>
      <c r="AG75" s="74">
        <f t="shared" si="40"/>
        <v>19</v>
      </c>
      <c r="AH75" s="209"/>
      <c r="AI75" s="79" t="str">
        <f t="shared" si="41"/>
        <v>F</v>
      </c>
      <c r="AJ75" s="75">
        <v>10</v>
      </c>
      <c r="AK75" s="79">
        <v>2</v>
      </c>
      <c r="AL75" s="80">
        <f t="shared" si="42"/>
        <v>12</v>
      </c>
      <c r="AM75" s="73">
        <v>20</v>
      </c>
      <c r="AN75" s="74">
        <f t="shared" si="58"/>
        <v>32</v>
      </c>
      <c r="AO75" s="209"/>
      <c r="AP75" s="79" t="str">
        <f t="shared" si="43"/>
        <v>F</v>
      </c>
      <c r="AQ75" s="79">
        <v>23</v>
      </c>
      <c r="AR75" s="79">
        <v>25</v>
      </c>
      <c r="AS75" s="73">
        <f t="shared" si="63"/>
        <v>48</v>
      </c>
      <c r="AT75" s="212"/>
      <c r="AU75" s="79">
        <f t="shared" si="44"/>
        <v>5</v>
      </c>
      <c r="AV75" s="75">
        <v>15</v>
      </c>
      <c r="AW75" s="79">
        <v>20</v>
      </c>
      <c r="AX75" s="80">
        <f t="shared" si="45"/>
        <v>35</v>
      </c>
      <c r="AY75" s="79">
        <v>15</v>
      </c>
      <c r="AZ75" s="80">
        <f t="shared" si="46"/>
        <v>50</v>
      </c>
      <c r="BA75" s="209"/>
      <c r="BB75" s="79">
        <f t="shared" si="47"/>
        <v>3</v>
      </c>
      <c r="BC75" s="75">
        <v>12</v>
      </c>
      <c r="BD75" s="79">
        <v>6</v>
      </c>
      <c r="BE75" s="80">
        <f t="shared" si="48"/>
        <v>18</v>
      </c>
      <c r="BF75" s="79">
        <v>16</v>
      </c>
      <c r="BG75" s="80">
        <f t="shared" si="49"/>
        <v>34</v>
      </c>
      <c r="BH75" s="209"/>
      <c r="BI75" s="79" t="str">
        <f t="shared" si="50"/>
        <v>F</v>
      </c>
      <c r="BJ75" s="75">
        <v>10</v>
      </c>
      <c r="BK75" s="79">
        <v>24</v>
      </c>
      <c r="BL75" s="80">
        <f t="shared" si="51"/>
        <v>34</v>
      </c>
      <c r="BM75" s="74">
        <f t="shared" si="64"/>
        <v>34</v>
      </c>
      <c r="BN75" s="209"/>
      <c r="BO75" s="79">
        <f t="shared" si="60"/>
        <v>3.5</v>
      </c>
      <c r="BP75" s="73" t="str">
        <f t="shared" si="65"/>
        <v>F</v>
      </c>
      <c r="BQ75" s="76" t="str">
        <f t="shared" si="66"/>
        <v>F</v>
      </c>
      <c r="BR75" s="82" t="str">
        <f t="shared" si="52"/>
        <v>F</v>
      </c>
      <c r="BS75" s="64" t="str">
        <f t="shared" si="61"/>
        <v>NEED TO PROGRESS</v>
      </c>
      <c r="BT75" s="60">
        <f t="shared" si="67"/>
        <v>333</v>
      </c>
      <c r="BU75" s="62"/>
      <c r="BV75" s="62"/>
    </row>
    <row r="76" spans="1:74" ht="27.95" customHeight="1">
      <c r="A76" s="71">
        <v>68</v>
      </c>
      <c r="B76" s="53">
        <v>76</v>
      </c>
      <c r="C76" s="51" t="s">
        <v>388</v>
      </c>
      <c r="D76" s="51" t="s">
        <v>389</v>
      </c>
      <c r="E76" s="51" t="s">
        <v>390</v>
      </c>
      <c r="F76" s="66" t="s">
        <v>391</v>
      </c>
      <c r="G76" s="72">
        <v>16</v>
      </c>
      <c r="H76" s="73">
        <v>27</v>
      </c>
      <c r="I76" s="74">
        <f t="shared" si="53"/>
        <v>43</v>
      </c>
      <c r="J76" s="73">
        <v>16</v>
      </c>
      <c r="K76" s="74">
        <f t="shared" si="54"/>
        <v>59</v>
      </c>
      <c r="L76" s="75">
        <v>9</v>
      </c>
      <c r="M76" s="73">
        <v>18</v>
      </c>
      <c r="N76" s="74">
        <f t="shared" si="55"/>
        <v>27</v>
      </c>
      <c r="O76" s="74">
        <f t="shared" si="62"/>
        <v>27</v>
      </c>
      <c r="P76" s="74">
        <f t="shared" si="59"/>
        <v>86</v>
      </c>
      <c r="Q76" s="209"/>
      <c r="R76" s="79">
        <f t="shared" si="35"/>
        <v>3</v>
      </c>
      <c r="S76" s="75">
        <v>15</v>
      </c>
      <c r="T76" s="79">
        <v>30</v>
      </c>
      <c r="U76" s="74">
        <f t="shared" si="36"/>
        <v>45</v>
      </c>
      <c r="V76" s="75">
        <v>6</v>
      </c>
      <c r="W76" s="79">
        <v>17</v>
      </c>
      <c r="X76" s="74">
        <f t="shared" si="37"/>
        <v>23</v>
      </c>
      <c r="Y76" s="74">
        <f t="shared" si="56"/>
        <v>68</v>
      </c>
      <c r="Z76" s="74">
        <f t="shared" si="57"/>
        <v>68</v>
      </c>
      <c r="AA76" s="209"/>
      <c r="AB76" s="79">
        <f t="shared" si="38"/>
        <v>2</v>
      </c>
      <c r="AC76" s="75">
        <v>9</v>
      </c>
      <c r="AD76" s="79">
        <v>19</v>
      </c>
      <c r="AE76" s="74">
        <f t="shared" si="39"/>
        <v>28</v>
      </c>
      <c r="AF76" s="73">
        <v>28</v>
      </c>
      <c r="AG76" s="74">
        <f t="shared" si="40"/>
        <v>56</v>
      </c>
      <c r="AH76" s="209"/>
      <c r="AI76" s="79">
        <f t="shared" si="41"/>
        <v>3</v>
      </c>
      <c r="AJ76" s="75">
        <v>18</v>
      </c>
      <c r="AK76" s="79">
        <v>44</v>
      </c>
      <c r="AL76" s="80">
        <f t="shared" si="42"/>
        <v>62</v>
      </c>
      <c r="AM76" s="73">
        <v>24</v>
      </c>
      <c r="AN76" s="74">
        <f t="shared" si="58"/>
        <v>86</v>
      </c>
      <c r="AO76" s="209"/>
      <c r="AP76" s="79">
        <f t="shared" si="43"/>
        <v>5</v>
      </c>
      <c r="AQ76" s="79">
        <v>23</v>
      </c>
      <c r="AR76" s="79">
        <v>25</v>
      </c>
      <c r="AS76" s="73">
        <f t="shared" si="63"/>
        <v>48</v>
      </c>
      <c r="AT76" s="212"/>
      <c r="AU76" s="79">
        <f t="shared" si="44"/>
        <v>5</v>
      </c>
      <c r="AV76" s="75">
        <v>18</v>
      </c>
      <c r="AW76" s="79">
        <v>40</v>
      </c>
      <c r="AX76" s="80">
        <f t="shared" si="45"/>
        <v>58</v>
      </c>
      <c r="AY76" s="79">
        <v>21</v>
      </c>
      <c r="AZ76" s="80">
        <f t="shared" si="46"/>
        <v>79</v>
      </c>
      <c r="BA76" s="209"/>
      <c r="BB76" s="79">
        <f t="shared" si="47"/>
        <v>4</v>
      </c>
      <c r="BC76" s="75">
        <v>17</v>
      </c>
      <c r="BD76" s="79">
        <v>34</v>
      </c>
      <c r="BE76" s="80">
        <f t="shared" si="48"/>
        <v>51</v>
      </c>
      <c r="BF76" s="79">
        <v>28</v>
      </c>
      <c r="BG76" s="80">
        <f t="shared" si="49"/>
        <v>79</v>
      </c>
      <c r="BH76" s="209"/>
      <c r="BI76" s="79">
        <f t="shared" si="50"/>
        <v>4</v>
      </c>
      <c r="BJ76" s="75">
        <v>9</v>
      </c>
      <c r="BK76" s="79">
        <v>24</v>
      </c>
      <c r="BL76" s="80">
        <f t="shared" si="51"/>
        <v>33</v>
      </c>
      <c r="BM76" s="74">
        <f t="shared" si="64"/>
        <v>33</v>
      </c>
      <c r="BN76" s="209"/>
      <c r="BO76" s="79">
        <f t="shared" si="60"/>
        <v>3.5</v>
      </c>
      <c r="BP76" s="73">
        <f t="shared" si="65"/>
        <v>29.5</v>
      </c>
      <c r="BQ76" s="76">
        <f t="shared" si="66"/>
        <v>3.6875</v>
      </c>
      <c r="BR76" s="82" t="str">
        <f t="shared" si="52"/>
        <v>A-</v>
      </c>
      <c r="BS76" s="64" t="str">
        <f t="shared" si="61"/>
        <v>GOOD</v>
      </c>
      <c r="BT76" s="60">
        <f t="shared" si="67"/>
        <v>535</v>
      </c>
      <c r="BU76" s="62"/>
      <c r="BV76" s="62"/>
    </row>
    <row r="77" spans="1:74" ht="27.95" customHeight="1">
      <c r="A77" s="71">
        <v>69</v>
      </c>
      <c r="B77" s="53">
        <v>79</v>
      </c>
      <c r="C77" s="51" t="s">
        <v>274</v>
      </c>
      <c r="D77" s="51" t="s">
        <v>275</v>
      </c>
      <c r="E77" s="51" t="s">
        <v>276</v>
      </c>
      <c r="F77" s="66" t="s">
        <v>277</v>
      </c>
      <c r="G77" s="72">
        <v>17</v>
      </c>
      <c r="H77" s="73">
        <v>21</v>
      </c>
      <c r="I77" s="74">
        <f t="shared" si="53"/>
        <v>38</v>
      </c>
      <c r="J77" s="73">
        <v>17</v>
      </c>
      <c r="K77" s="74">
        <f t="shared" si="54"/>
        <v>55</v>
      </c>
      <c r="L77" s="75">
        <v>8</v>
      </c>
      <c r="M77" s="73">
        <v>30</v>
      </c>
      <c r="N77" s="74">
        <f t="shared" si="55"/>
        <v>38</v>
      </c>
      <c r="O77" s="74">
        <f t="shared" si="62"/>
        <v>38</v>
      </c>
      <c r="P77" s="74">
        <f t="shared" si="59"/>
        <v>93</v>
      </c>
      <c r="Q77" s="209"/>
      <c r="R77" s="79">
        <f t="shared" si="35"/>
        <v>3</v>
      </c>
      <c r="S77" s="75">
        <v>19</v>
      </c>
      <c r="T77" s="79">
        <v>34</v>
      </c>
      <c r="U77" s="74">
        <f t="shared" si="36"/>
        <v>53</v>
      </c>
      <c r="V77" s="75">
        <v>10</v>
      </c>
      <c r="W77" s="79">
        <v>16</v>
      </c>
      <c r="X77" s="74">
        <f t="shared" si="37"/>
        <v>26</v>
      </c>
      <c r="Y77" s="74">
        <f t="shared" si="56"/>
        <v>79</v>
      </c>
      <c r="Z77" s="74">
        <f t="shared" si="57"/>
        <v>79</v>
      </c>
      <c r="AA77" s="209"/>
      <c r="AB77" s="79">
        <f t="shared" si="38"/>
        <v>3</v>
      </c>
      <c r="AC77" s="75">
        <v>14</v>
      </c>
      <c r="AD77" s="79">
        <v>14</v>
      </c>
      <c r="AE77" s="74">
        <f t="shared" si="39"/>
        <v>28</v>
      </c>
      <c r="AF77" s="73">
        <v>20</v>
      </c>
      <c r="AG77" s="74">
        <f t="shared" si="40"/>
        <v>48</v>
      </c>
      <c r="AH77" s="209"/>
      <c r="AI77" s="79">
        <f t="shared" si="41"/>
        <v>2</v>
      </c>
      <c r="AJ77" s="75">
        <v>16</v>
      </c>
      <c r="AK77" s="79">
        <v>19</v>
      </c>
      <c r="AL77" s="80">
        <f t="shared" si="42"/>
        <v>35</v>
      </c>
      <c r="AM77" s="73">
        <v>24</v>
      </c>
      <c r="AN77" s="74">
        <f t="shared" si="58"/>
        <v>59</v>
      </c>
      <c r="AO77" s="209"/>
      <c r="AP77" s="79">
        <f t="shared" si="43"/>
        <v>3</v>
      </c>
      <c r="AQ77" s="79">
        <v>23</v>
      </c>
      <c r="AR77" s="79">
        <v>25</v>
      </c>
      <c r="AS77" s="73">
        <f t="shared" si="63"/>
        <v>48</v>
      </c>
      <c r="AT77" s="212"/>
      <c r="AU77" s="79">
        <f t="shared" si="44"/>
        <v>5</v>
      </c>
      <c r="AV77" s="75">
        <v>20</v>
      </c>
      <c r="AW77" s="79">
        <v>28</v>
      </c>
      <c r="AX77" s="80">
        <f t="shared" si="45"/>
        <v>48</v>
      </c>
      <c r="AY77" s="79">
        <v>23</v>
      </c>
      <c r="AZ77" s="80">
        <f t="shared" si="46"/>
        <v>71</v>
      </c>
      <c r="BA77" s="209"/>
      <c r="BB77" s="79">
        <f t="shared" si="47"/>
        <v>4</v>
      </c>
      <c r="BC77" s="75">
        <v>16</v>
      </c>
      <c r="BD77" s="79">
        <v>14</v>
      </c>
      <c r="BE77" s="80">
        <f t="shared" si="48"/>
        <v>30</v>
      </c>
      <c r="BF77" s="79">
        <v>28</v>
      </c>
      <c r="BG77" s="80">
        <f t="shared" si="49"/>
        <v>58</v>
      </c>
      <c r="BH77" s="209"/>
      <c r="BI77" s="79">
        <f t="shared" si="50"/>
        <v>3</v>
      </c>
      <c r="BJ77" s="75">
        <v>9</v>
      </c>
      <c r="BK77" s="79">
        <v>24</v>
      </c>
      <c r="BL77" s="80">
        <f t="shared" si="51"/>
        <v>33</v>
      </c>
      <c r="BM77" s="74">
        <f t="shared" si="64"/>
        <v>33</v>
      </c>
      <c r="BN77" s="209"/>
      <c r="BO77" s="79">
        <f t="shared" si="60"/>
        <v>3.5</v>
      </c>
      <c r="BP77" s="73">
        <f t="shared" si="65"/>
        <v>26.5</v>
      </c>
      <c r="BQ77" s="76">
        <f t="shared" si="66"/>
        <v>3.3125</v>
      </c>
      <c r="BR77" s="82" t="str">
        <f t="shared" si="52"/>
        <v>B</v>
      </c>
      <c r="BS77" s="64" t="str">
        <f t="shared" si="61"/>
        <v>GOOD</v>
      </c>
      <c r="BT77" s="60">
        <f t="shared" si="67"/>
        <v>489</v>
      </c>
      <c r="BU77" s="62"/>
      <c r="BV77" s="62"/>
    </row>
    <row r="78" spans="1:74" ht="27.95" customHeight="1">
      <c r="A78" s="71">
        <v>70</v>
      </c>
      <c r="B78" s="53">
        <v>81</v>
      </c>
      <c r="C78" s="51" t="s">
        <v>278</v>
      </c>
      <c r="D78" s="51" t="s">
        <v>279</v>
      </c>
      <c r="E78" s="51" t="s">
        <v>280</v>
      </c>
      <c r="F78" s="66" t="s">
        <v>281</v>
      </c>
      <c r="G78" s="72">
        <v>16</v>
      </c>
      <c r="H78" s="73">
        <v>12</v>
      </c>
      <c r="I78" s="74">
        <f t="shared" si="53"/>
        <v>28</v>
      </c>
      <c r="J78" s="73">
        <v>15</v>
      </c>
      <c r="K78" s="74">
        <f t="shared" si="54"/>
        <v>43</v>
      </c>
      <c r="L78" s="75">
        <v>9</v>
      </c>
      <c r="M78" s="73">
        <v>24</v>
      </c>
      <c r="N78" s="74">
        <f t="shared" si="55"/>
        <v>33</v>
      </c>
      <c r="O78" s="74">
        <f t="shared" si="62"/>
        <v>33</v>
      </c>
      <c r="P78" s="74">
        <f t="shared" si="59"/>
        <v>76</v>
      </c>
      <c r="Q78" s="209"/>
      <c r="R78" s="79">
        <f>IF(P78&lt;60,"F",IF(P78&lt;70,2,IF(P78&lt;95,3,IF(P78&lt;105,3.5,IF(P78&lt;120,4,5)))))</f>
        <v>3</v>
      </c>
      <c r="S78" s="75">
        <v>11</v>
      </c>
      <c r="T78" s="79">
        <v>24</v>
      </c>
      <c r="U78" s="74">
        <f t="shared" si="36"/>
        <v>35</v>
      </c>
      <c r="V78" s="75">
        <v>6</v>
      </c>
      <c r="W78" s="79">
        <v>10</v>
      </c>
      <c r="X78" s="74">
        <f t="shared" si="37"/>
        <v>16</v>
      </c>
      <c r="Y78" s="74">
        <f t="shared" si="56"/>
        <v>51</v>
      </c>
      <c r="Z78" s="74">
        <f t="shared" si="57"/>
        <v>51</v>
      </c>
      <c r="AA78" s="209"/>
      <c r="AB78" s="79" t="str">
        <f t="shared" si="38"/>
        <v>F</v>
      </c>
      <c r="AC78" s="75">
        <v>15</v>
      </c>
      <c r="AD78" s="79">
        <v>9</v>
      </c>
      <c r="AE78" s="74">
        <f t="shared" si="39"/>
        <v>24</v>
      </c>
      <c r="AF78" s="73">
        <v>16</v>
      </c>
      <c r="AG78" s="74">
        <f t="shared" si="40"/>
        <v>40</v>
      </c>
      <c r="AH78" s="209"/>
      <c r="AI78" s="79">
        <f t="shared" si="41"/>
        <v>2</v>
      </c>
      <c r="AJ78" s="75">
        <v>14</v>
      </c>
      <c r="AK78" s="79">
        <v>17</v>
      </c>
      <c r="AL78" s="80">
        <f t="shared" si="42"/>
        <v>31</v>
      </c>
      <c r="AM78" s="73">
        <v>15</v>
      </c>
      <c r="AN78" s="74">
        <f t="shared" si="58"/>
        <v>46</v>
      </c>
      <c r="AO78" s="209"/>
      <c r="AP78" s="79">
        <f t="shared" si="43"/>
        <v>2</v>
      </c>
      <c r="AQ78" s="79">
        <v>23</v>
      </c>
      <c r="AR78" s="79">
        <v>25</v>
      </c>
      <c r="AS78" s="73">
        <f t="shared" si="63"/>
        <v>48</v>
      </c>
      <c r="AT78" s="212"/>
      <c r="AU78" s="79">
        <f t="shared" si="44"/>
        <v>5</v>
      </c>
      <c r="AV78" s="75">
        <v>18</v>
      </c>
      <c r="AW78" s="79">
        <v>20</v>
      </c>
      <c r="AX78" s="80">
        <f t="shared" si="45"/>
        <v>38</v>
      </c>
      <c r="AY78" s="79">
        <v>20</v>
      </c>
      <c r="AZ78" s="80">
        <f t="shared" si="46"/>
        <v>58</v>
      </c>
      <c r="BA78" s="209"/>
      <c r="BB78" s="79">
        <f t="shared" si="47"/>
        <v>3</v>
      </c>
      <c r="BC78" s="75">
        <v>13</v>
      </c>
      <c r="BD78" s="79">
        <v>10</v>
      </c>
      <c r="BE78" s="80">
        <f t="shared" si="48"/>
        <v>23</v>
      </c>
      <c r="BF78" s="79">
        <v>26</v>
      </c>
      <c r="BG78" s="80">
        <f t="shared" si="49"/>
        <v>49</v>
      </c>
      <c r="BH78" s="209"/>
      <c r="BI78" s="79">
        <f t="shared" si="50"/>
        <v>2</v>
      </c>
      <c r="BJ78" s="75">
        <v>9</v>
      </c>
      <c r="BK78" s="79">
        <v>22</v>
      </c>
      <c r="BL78" s="80">
        <f t="shared" si="51"/>
        <v>31</v>
      </c>
      <c r="BM78" s="74">
        <f t="shared" si="64"/>
        <v>31</v>
      </c>
      <c r="BN78" s="209"/>
      <c r="BO78" s="79">
        <f t="shared" si="60"/>
        <v>3.5</v>
      </c>
      <c r="BP78" s="73" t="str">
        <f t="shared" si="65"/>
        <v>F</v>
      </c>
      <c r="BQ78" s="76" t="str">
        <f t="shared" si="66"/>
        <v>F</v>
      </c>
      <c r="BR78" s="82" t="str">
        <f t="shared" si="52"/>
        <v>F</v>
      </c>
      <c r="BS78" s="64" t="str">
        <f t="shared" si="61"/>
        <v>NEED TO PROGRESS</v>
      </c>
      <c r="BT78" s="60">
        <f t="shared" si="67"/>
        <v>399</v>
      </c>
      <c r="BU78" s="62"/>
      <c r="BV78" s="62"/>
    </row>
    <row r="79" spans="1:74" ht="27.95" customHeight="1">
      <c r="A79" s="71">
        <v>71</v>
      </c>
      <c r="B79" s="53">
        <v>83</v>
      </c>
      <c r="C79" s="51" t="s">
        <v>282</v>
      </c>
      <c r="D79" s="51" t="s">
        <v>283</v>
      </c>
      <c r="E79" s="51" t="s">
        <v>284</v>
      </c>
      <c r="F79" s="66" t="s">
        <v>285</v>
      </c>
      <c r="G79" s="72">
        <v>15</v>
      </c>
      <c r="H79" s="73">
        <v>19</v>
      </c>
      <c r="I79" s="74">
        <f t="shared" si="53"/>
        <v>34</v>
      </c>
      <c r="J79" s="73">
        <v>15</v>
      </c>
      <c r="K79" s="74">
        <f t="shared" si="54"/>
        <v>49</v>
      </c>
      <c r="L79" s="75">
        <v>10</v>
      </c>
      <c r="M79" s="73">
        <v>33</v>
      </c>
      <c r="N79" s="74">
        <f t="shared" si="55"/>
        <v>43</v>
      </c>
      <c r="O79" s="74">
        <f t="shared" si="62"/>
        <v>43</v>
      </c>
      <c r="P79" s="74">
        <f t="shared" si="59"/>
        <v>92</v>
      </c>
      <c r="Q79" s="209"/>
      <c r="R79" s="79">
        <f t="shared" si="35"/>
        <v>3</v>
      </c>
      <c r="S79" s="75">
        <v>19</v>
      </c>
      <c r="T79" s="79">
        <v>35</v>
      </c>
      <c r="U79" s="74">
        <f t="shared" si="36"/>
        <v>54</v>
      </c>
      <c r="V79" s="75">
        <v>6</v>
      </c>
      <c r="W79" s="79">
        <v>16</v>
      </c>
      <c r="X79" s="74">
        <f t="shared" si="37"/>
        <v>22</v>
      </c>
      <c r="Y79" s="74">
        <f t="shared" si="56"/>
        <v>76</v>
      </c>
      <c r="Z79" s="74">
        <f t="shared" si="57"/>
        <v>76</v>
      </c>
      <c r="AA79" s="209"/>
      <c r="AB79" s="79">
        <f t="shared" si="38"/>
        <v>3</v>
      </c>
      <c r="AC79" s="75">
        <v>14</v>
      </c>
      <c r="AD79" s="79">
        <v>18</v>
      </c>
      <c r="AE79" s="74">
        <f t="shared" si="39"/>
        <v>32</v>
      </c>
      <c r="AF79" s="73">
        <v>28</v>
      </c>
      <c r="AG79" s="74">
        <f t="shared" si="40"/>
        <v>60</v>
      </c>
      <c r="AH79" s="209"/>
      <c r="AI79" s="79">
        <f t="shared" si="41"/>
        <v>3.5</v>
      </c>
      <c r="AJ79" s="75">
        <v>13</v>
      </c>
      <c r="AK79" s="79">
        <v>26</v>
      </c>
      <c r="AL79" s="80">
        <f t="shared" si="42"/>
        <v>39</v>
      </c>
      <c r="AM79" s="73">
        <v>25</v>
      </c>
      <c r="AN79" s="74">
        <f t="shared" si="58"/>
        <v>64</v>
      </c>
      <c r="AO79" s="209"/>
      <c r="AP79" s="79">
        <f t="shared" si="43"/>
        <v>3.5</v>
      </c>
      <c r="AQ79" s="79">
        <v>23</v>
      </c>
      <c r="AR79" s="79">
        <v>25</v>
      </c>
      <c r="AS79" s="73">
        <f t="shared" si="63"/>
        <v>48</v>
      </c>
      <c r="AT79" s="212"/>
      <c r="AU79" s="79">
        <f t="shared" si="44"/>
        <v>5</v>
      </c>
      <c r="AV79" s="75">
        <v>20</v>
      </c>
      <c r="AW79" s="79">
        <v>26</v>
      </c>
      <c r="AX79" s="80">
        <f t="shared" si="45"/>
        <v>46</v>
      </c>
      <c r="AY79" s="79">
        <v>26</v>
      </c>
      <c r="AZ79" s="80">
        <f t="shared" si="46"/>
        <v>72</v>
      </c>
      <c r="BA79" s="209"/>
      <c r="BB79" s="79">
        <f t="shared" si="47"/>
        <v>4</v>
      </c>
      <c r="BC79" s="75">
        <v>19</v>
      </c>
      <c r="BD79" s="79">
        <v>20</v>
      </c>
      <c r="BE79" s="80">
        <f t="shared" si="48"/>
        <v>39</v>
      </c>
      <c r="BF79" s="79">
        <v>30</v>
      </c>
      <c r="BG79" s="80">
        <f t="shared" si="49"/>
        <v>69</v>
      </c>
      <c r="BH79" s="209"/>
      <c r="BI79" s="79">
        <f t="shared" si="50"/>
        <v>3.5</v>
      </c>
      <c r="BJ79" s="75">
        <v>9</v>
      </c>
      <c r="BK79" s="79">
        <v>22</v>
      </c>
      <c r="BL79" s="80">
        <f t="shared" si="51"/>
        <v>31</v>
      </c>
      <c r="BM79" s="74">
        <f t="shared" si="64"/>
        <v>31</v>
      </c>
      <c r="BN79" s="209"/>
      <c r="BO79" s="79">
        <f t="shared" si="60"/>
        <v>3.5</v>
      </c>
      <c r="BP79" s="73">
        <f t="shared" si="65"/>
        <v>29</v>
      </c>
      <c r="BQ79" s="76">
        <f t="shared" si="66"/>
        <v>3.625</v>
      </c>
      <c r="BR79" s="82" t="str">
        <f t="shared" si="52"/>
        <v>A-</v>
      </c>
      <c r="BS79" s="64" t="str">
        <f t="shared" si="61"/>
        <v>GOOD</v>
      </c>
      <c r="BT79" s="60">
        <f t="shared" si="67"/>
        <v>512</v>
      </c>
      <c r="BU79" s="62"/>
      <c r="BV79" s="62"/>
    </row>
    <row r="80" spans="1:74" ht="27.95" customHeight="1">
      <c r="A80" s="71">
        <v>72</v>
      </c>
      <c r="B80" s="53">
        <v>85</v>
      </c>
      <c r="C80" s="51" t="s">
        <v>286</v>
      </c>
      <c r="D80" s="51" t="s">
        <v>287</v>
      </c>
      <c r="E80" s="51" t="s">
        <v>288</v>
      </c>
      <c r="F80" s="66" t="s">
        <v>289</v>
      </c>
      <c r="G80" s="72">
        <v>14</v>
      </c>
      <c r="H80" s="73">
        <v>21</v>
      </c>
      <c r="I80" s="74">
        <f t="shared" si="53"/>
        <v>35</v>
      </c>
      <c r="J80" s="73">
        <v>17</v>
      </c>
      <c r="K80" s="74">
        <f t="shared" si="54"/>
        <v>52</v>
      </c>
      <c r="L80" s="75">
        <v>8</v>
      </c>
      <c r="M80" s="73">
        <v>23</v>
      </c>
      <c r="N80" s="74">
        <f t="shared" si="55"/>
        <v>31</v>
      </c>
      <c r="O80" s="74">
        <f t="shared" si="62"/>
        <v>31</v>
      </c>
      <c r="P80" s="74">
        <f t="shared" si="59"/>
        <v>83</v>
      </c>
      <c r="Q80" s="209"/>
      <c r="R80" s="79">
        <f t="shared" si="35"/>
        <v>3</v>
      </c>
      <c r="S80" s="75">
        <v>13</v>
      </c>
      <c r="T80" s="79">
        <v>25</v>
      </c>
      <c r="U80" s="74">
        <f t="shared" si="36"/>
        <v>38</v>
      </c>
      <c r="V80" s="75">
        <v>6</v>
      </c>
      <c r="W80" s="79">
        <v>8</v>
      </c>
      <c r="X80" s="74">
        <f t="shared" si="37"/>
        <v>14</v>
      </c>
      <c r="Y80" s="74">
        <f t="shared" si="56"/>
        <v>52</v>
      </c>
      <c r="Z80" s="74">
        <f t="shared" si="57"/>
        <v>52</v>
      </c>
      <c r="AA80" s="209"/>
      <c r="AB80" s="79" t="str">
        <f t="shared" si="38"/>
        <v>F</v>
      </c>
      <c r="AC80" s="75">
        <v>11</v>
      </c>
      <c r="AD80" s="79">
        <v>12</v>
      </c>
      <c r="AE80" s="74">
        <f t="shared" si="39"/>
        <v>23</v>
      </c>
      <c r="AF80" s="73">
        <v>16</v>
      </c>
      <c r="AG80" s="74">
        <f t="shared" si="40"/>
        <v>39</v>
      </c>
      <c r="AH80" s="209"/>
      <c r="AI80" s="79" t="str">
        <f t="shared" si="41"/>
        <v>F</v>
      </c>
      <c r="AJ80" s="75">
        <v>11</v>
      </c>
      <c r="AK80" s="79">
        <v>14</v>
      </c>
      <c r="AL80" s="80">
        <f t="shared" si="42"/>
        <v>25</v>
      </c>
      <c r="AM80" s="73">
        <v>17</v>
      </c>
      <c r="AN80" s="74">
        <f t="shared" si="58"/>
        <v>42</v>
      </c>
      <c r="AO80" s="209"/>
      <c r="AP80" s="79">
        <f t="shared" si="43"/>
        <v>2</v>
      </c>
      <c r="AQ80" s="79">
        <v>23</v>
      </c>
      <c r="AR80" s="79">
        <v>25</v>
      </c>
      <c r="AS80" s="73">
        <f t="shared" si="63"/>
        <v>48</v>
      </c>
      <c r="AT80" s="212"/>
      <c r="AU80" s="79">
        <f t="shared" si="44"/>
        <v>5</v>
      </c>
      <c r="AV80" s="75">
        <v>18</v>
      </c>
      <c r="AW80" s="79">
        <v>27</v>
      </c>
      <c r="AX80" s="80">
        <f t="shared" si="45"/>
        <v>45</v>
      </c>
      <c r="AY80" s="79">
        <v>21</v>
      </c>
      <c r="AZ80" s="80">
        <f t="shared" si="46"/>
        <v>66</v>
      </c>
      <c r="BA80" s="209"/>
      <c r="BB80" s="79">
        <f t="shared" si="47"/>
        <v>3.5</v>
      </c>
      <c r="BC80" s="75">
        <v>11</v>
      </c>
      <c r="BD80" s="79">
        <v>16</v>
      </c>
      <c r="BE80" s="80">
        <f t="shared" si="48"/>
        <v>27</v>
      </c>
      <c r="BF80" s="79">
        <v>28</v>
      </c>
      <c r="BG80" s="80">
        <f t="shared" si="49"/>
        <v>55</v>
      </c>
      <c r="BH80" s="209"/>
      <c r="BI80" s="79">
        <f t="shared" si="50"/>
        <v>3</v>
      </c>
      <c r="BJ80" s="75">
        <v>8</v>
      </c>
      <c r="BK80" s="79">
        <v>22</v>
      </c>
      <c r="BL80" s="80">
        <f t="shared" si="51"/>
        <v>30</v>
      </c>
      <c r="BM80" s="74">
        <f t="shared" si="64"/>
        <v>30</v>
      </c>
      <c r="BN80" s="209"/>
      <c r="BO80" s="79">
        <f t="shared" si="60"/>
        <v>3.5</v>
      </c>
      <c r="BP80" s="73" t="str">
        <f t="shared" si="65"/>
        <v>F</v>
      </c>
      <c r="BQ80" s="76" t="str">
        <f t="shared" si="66"/>
        <v>F</v>
      </c>
      <c r="BR80" s="82" t="str">
        <f t="shared" si="52"/>
        <v>F</v>
      </c>
      <c r="BS80" s="64" t="str">
        <f t="shared" si="61"/>
        <v>NEED TO PROGRESS</v>
      </c>
      <c r="BT80" s="60">
        <f t="shared" si="67"/>
        <v>415</v>
      </c>
      <c r="BU80" s="62"/>
      <c r="BV80" s="62"/>
    </row>
    <row r="81" spans="1:74" ht="27.95" customHeight="1">
      <c r="A81" s="71">
        <v>73</v>
      </c>
      <c r="B81" s="53">
        <v>88</v>
      </c>
      <c r="C81" s="51" t="s">
        <v>401</v>
      </c>
      <c r="D81" s="51" t="s">
        <v>402</v>
      </c>
      <c r="E81" s="51" t="s">
        <v>403</v>
      </c>
      <c r="F81" s="66" t="s">
        <v>404</v>
      </c>
      <c r="G81" s="72">
        <v>12</v>
      </c>
      <c r="H81" s="73">
        <v>0</v>
      </c>
      <c r="I81" s="74">
        <f t="shared" si="53"/>
        <v>12</v>
      </c>
      <c r="J81" s="73">
        <v>0</v>
      </c>
      <c r="K81" s="74">
        <f t="shared" si="54"/>
        <v>12</v>
      </c>
      <c r="L81" s="75">
        <v>7</v>
      </c>
      <c r="M81" s="73">
        <v>0</v>
      </c>
      <c r="N81" s="74">
        <f t="shared" si="55"/>
        <v>7</v>
      </c>
      <c r="O81" s="74">
        <f t="shared" si="62"/>
        <v>7</v>
      </c>
      <c r="P81" s="74">
        <f t="shared" si="59"/>
        <v>19</v>
      </c>
      <c r="Q81" s="209"/>
      <c r="R81" s="79" t="str">
        <f t="shared" si="35"/>
        <v>F</v>
      </c>
      <c r="S81" s="75">
        <v>10</v>
      </c>
      <c r="T81" s="79">
        <v>0</v>
      </c>
      <c r="U81" s="74">
        <f t="shared" si="36"/>
        <v>10</v>
      </c>
      <c r="V81" s="75">
        <v>6</v>
      </c>
      <c r="W81" s="79">
        <v>0</v>
      </c>
      <c r="X81" s="74">
        <f t="shared" si="37"/>
        <v>6</v>
      </c>
      <c r="Y81" s="74">
        <f t="shared" si="56"/>
        <v>16</v>
      </c>
      <c r="Z81" s="74">
        <f t="shared" si="57"/>
        <v>16</v>
      </c>
      <c r="AA81" s="209"/>
      <c r="AB81" s="79" t="str">
        <f t="shared" si="38"/>
        <v>F</v>
      </c>
      <c r="AC81" s="75">
        <v>5</v>
      </c>
      <c r="AD81" s="79">
        <v>0</v>
      </c>
      <c r="AE81" s="74">
        <f t="shared" si="39"/>
        <v>5</v>
      </c>
      <c r="AF81" s="73">
        <v>0</v>
      </c>
      <c r="AG81" s="74">
        <f t="shared" si="40"/>
        <v>5</v>
      </c>
      <c r="AH81" s="209"/>
      <c r="AI81" s="79" t="str">
        <f t="shared" si="41"/>
        <v>F</v>
      </c>
      <c r="AJ81" s="75">
        <v>9</v>
      </c>
      <c r="AK81" s="79">
        <v>0</v>
      </c>
      <c r="AL81" s="80">
        <f t="shared" si="42"/>
        <v>9</v>
      </c>
      <c r="AM81" s="73">
        <v>0</v>
      </c>
      <c r="AN81" s="74">
        <f t="shared" si="58"/>
        <v>9</v>
      </c>
      <c r="AO81" s="209"/>
      <c r="AP81" s="79" t="str">
        <f t="shared" si="43"/>
        <v>F</v>
      </c>
      <c r="AQ81" s="79">
        <v>23</v>
      </c>
      <c r="AR81" s="79">
        <v>25</v>
      </c>
      <c r="AS81" s="73">
        <f t="shared" si="63"/>
        <v>48</v>
      </c>
      <c r="AT81" s="212"/>
      <c r="AU81" s="79">
        <f t="shared" si="44"/>
        <v>5</v>
      </c>
      <c r="AV81" s="75">
        <v>12</v>
      </c>
      <c r="AW81" s="79">
        <v>0</v>
      </c>
      <c r="AX81" s="80">
        <f t="shared" si="45"/>
        <v>12</v>
      </c>
      <c r="AY81" s="79">
        <v>0</v>
      </c>
      <c r="AZ81" s="80">
        <f t="shared" si="46"/>
        <v>12</v>
      </c>
      <c r="BA81" s="209"/>
      <c r="BB81" s="79" t="str">
        <f t="shared" si="47"/>
        <v>F</v>
      </c>
      <c r="BC81" s="75">
        <v>13</v>
      </c>
      <c r="BD81" s="79">
        <v>0</v>
      </c>
      <c r="BE81" s="80">
        <f t="shared" si="48"/>
        <v>13</v>
      </c>
      <c r="BF81" s="79">
        <v>0</v>
      </c>
      <c r="BG81" s="80">
        <f t="shared" si="49"/>
        <v>13</v>
      </c>
      <c r="BH81" s="209"/>
      <c r="BI81" s="79" t="str">
        <f t="shared" si="50"/>
        <v>F</v>
      </c>
      <c r="BJ81" s="75">
        <v>9</v>
      </c>
      <c r="BK81" s="79">
        <v>0</v>
      </c>
      <c r="BL81" s="80">
        <f t="shared" si="51"/>
        <v>9</v>
      </c>
      <c r="BM81" s="74">
        <f t="shared" si="64"/>
        <v>9</v>
      </c>
      <c r="BN81" s="209"/>
      <c r="BO81" s="79" t="str">
        <f t="shared" si="60"/>
        <v>F</v>
      </c>
      <c r="BP81" s="73" t="str">
        <f t="shared" si="65"/>
        <v>F</v>
      </c>
      <c r="BQ81" s="76" t="str">
        <f t="shared" si="66"/>
        <v>F</v>
      </c>
      <c r="BR81" s="82" t="str">
        <f t="shared" si="52"/>
        <v>F</v>
      </c>
      <c r="BS81" s="64" t="str">
        <f t="shared" si="61"/>
        <v>NEED TO PROGRESS</v>
      </c>
      <c r="BT81" s="60">
        <f t="shared" si="67"/>
        <v>131</v>
      </c>
      <c r="BU81" s="62"/>
      <c r="BV81" s="62"/>
    </row>
    <row r="82" spans="1:74" ht="27.95" customHeight="1">
      <c r="A82" s="71">
        <v>74</v>
      </c>
      <c r="B82" s="53">
        <v>91</v>
      </c>
      <c r="C82" s="51" t="s">
        <v>290</v>
      </c>
      <c r="D82" s="51" t="s">
        <v>291</v>
      </c>
      <c r="E82" s="51" t="s">
        <v>292</v>
      </c>
      <c r="F82" s="66" t="s">
        <v>293</v>
      </c>
      <c r="G82" s="72">
        <v>12</v>
      </c>
      <c r="H82" s="73">
        <v>19</v>
      </c>
      <c r="I82" s="74">
        <f t="shared" si="53"/>
        <v>31</v>
      </c>
      <c r="J82" s="73">
        <v>14</v>
      </c>
      <c r="K82" s="74">
        <f t="shared" si="54"/>
        <v>45</v>
      </c>
      <c r="L82" s="75">
        <v>7</v>
      </c>
      <c r="M82" s="73">
        <v>16</v>
      </c>
      <c r="N82" s="74">
        <f t="shared" si="55"/>
        <v>23</v>
      </c>
      <c r="O82" s="74">
        <f t="shared" si="62"/>
        <v>23</v>
      </c>
      <c r="P82" s="74">
        <f t="shared" si="59"/>
        <v>68</v>
      </c>
      <c r="Q82" s="209"/>
      <c r="R82" s="79">
        <f t="shared" si="35"/>
        <v>2</v>
      </c>
      <c r="S82" s="75">
        <v>12</v>
      </c>
      <c r="T82" s="79">
        <v>30</v>
      </c>
      <c r="U82" s="74">
        <f t="shared" si="36"/>
        <v>42</v>
      </c>
      <c r="V82" s="75">
        <v>6</v>
      </c>
      <c r="W82" s="79">
        <v>9</v>
      </c>
      <c r="X82" s="74">
        <f t="shared" si="37"/>
        <v>15</v>
      </c>
      <c r="Y82" s="74">
        <f t="shared" si="56"/>
        <v>57</v>
      </c>
      <c r="Z82" s="74">
        <f t="shared" si="57"/>
        <v>57</v>
      </c>
      <c r="AA82" s="209"/>
      <c r="AB82" s="79" t="str">
        <f t="shared" si="38"/>
        <v>F</v>
      </c>
      <c r="AC82" s="75">
        <v>20</v>
      </c>
      <c r="AD82" s="79">
        <v>11</v>
      </c>
      <c r="AE82" s="74">
        <f t="shared" si="39"/>
        <v>31</v>
      </c>
      <c r="AF82" s="73">
        <v>14</v>
      </c>
      <c r="AG82" s="74">
        <f t="shared" si="40"/>
        <v>45</v>
      </c>
      <c r="AH82" s="209"/>
      <c r="AI82" s="79">
        <f t="shared" si="41"/>
        <v>2</v>
      </c>
      <c r="AJ82" s="75">
        <v>14</v>
      </c>
      <c r="AK82" s="79">
        <v>15</v>
      </c>
      <c r="AL82" s="80">
        <f t="shared" si="42"/>
        <v>29</v>
      </c>
      <c r="AM82" s="73">
        <v>17</v>
      </c>
      <c r="AN82" s="74">
        <f t="shared" si="58"/>
        <v>46</v>
      </c>
      <c r="AO82" s="209"/>
      <c r="AP82" s="79">
        <f t="shared" si="43"/>
        <v>2</v>
      </c>
      <c r="AQ82" s="79">
        <v>23</v>
      </c>
      <c r="AR82" s="79">
        <v>25</v>
      </c>
      <c r="AS82" s="73">
        <f t="shared" si="63"/>
        <v>48</v>
      </c>
      <c r="AT82" s="212"/>
      <c r="AU82" s="79">
        <f t="shared" si="44"/>
        <v>5</v>
      </c>
      <c r="AV82" s="75">
        <v>13</v>
      </c>
      <c r="AW82" s="79">
        <v>26</v>
      </c>
      <c r="AX82" s="80">
        <f t="shared" si="45"/>
        <v>39</v>
      </c>
      <c r="AY82" s="79">
        <v>15</v>
      </c>
      <c r="AZ82" s="80">
        <f t="shared" si="46"/>
        <v>54</v>
      </c>
      <c r="BA82" s="209"/>
      <c r="BB82" s="79">
        <f t="shared" si="47"/>
        <v>3</v>
      </c>
      <c r="BC82" s="75">
        <v>12</v>
      </c>
      <c r="BD82" s="79">
        <v>3</v>
      </c>
      <c r="BE82" s="80">
        <f t="shared" si="48"/>
        <v>15</v>
      </c>
      <c r="BF82" s="79">
        <v>18</v>
      </c>
      <c r="BG82" s="80">
        <f t="shared" si="49"/>
        <v>33</v>
      </c>
      <c r="BH82" s="209"/>
      <c r="BI82" s="79" t="str">
        <f t="shared" si="50"/>
        <v>F</v>
      </c>
      <c r="BJ82" s="75">
        <v>8</v>
      </c>
      <c r="BK82" s="79">
        <v>22</v>
      </c>
      <c r="BL82" s="80">
        <f t="shared" si="51"/>
        <v>30</v>
      </c>
      <c r="BM82" s="74">
        <f t="shared" si="64"/>
        <v>30</v>
      </c>
      <c r="BN82" s="209"/>
      <c r="BO82" s="79">
        <f t="shared" si="60"/>
        <v>3.5</v>
      </c>
      <c r="BP82" s="73" t="str">
        <f t="shared" si="65"/>
        <v>F</v>
      </c>
      <c r="BQ82" s="76" t="str">
        <f t="shared" si="66"/>
        <v>F</v>
      </c>
      <c r="BR82" s="82" t="str">
        <f t="shared" si="52"/>
        <v>F</v>
      </c>
      <c r="BS82" s="64" t="str">
        <f t="shared" si="61"/>
        <v>NEED TO PROGRESS</v>
      </c>
      <c r="BT82" s="60">
        <f t="shared" si="67"/>
        <v>381</v>
      </c>
      <c r="BU82" s="62"/>
      <c r="BV82" s="62"/>
    </row>
    <row r="83" spans="1:74" ht="27.95" customHeight="1">
      <c r="A83" s="71">
        <v>75</v>
      </c>
      <c r="B83" s="53">
        <v>94</v>
      </c>
      <c r="C83" s="51" t="s">
        <v>434</v>
      </c>
      <c r="D83" s="51" t="s">
        <v>407</v>
      </c>
      <c r="E83" s="51" t="s">
        <v>408</v>
      </c>
      <c r="F83" s="66" t="s">
        <v>409</v>
      </c>
      <c r="G83" s="72">
        <v>17</v>
      </c>
      <c r="H83" s="73">
        <v>29</v>
      </c>
      <c r="I83" s="74">
        <f t="shared" si="53"/>
        <v>46</v>
      </c>
      <c r="J83" s="73">
        <v>8</v>
      </c>
      <c r="K83" s="74">
        <f t="shared" si="54"/>
        <v>54</v>
      </c>
      <c r="L83" s="75">
        <v>9</v>
      </c>
      <c r="M83" s="73">
        <v>30</v>
      </c>
      <c r="N83" s="74">
        <f t="shared" si="55"/>
        <v>39</v>
      </c>
      <c r="O83" s="74">
        <f t="shared" si="62"/>
        <v>39</v>
      </c>
      <c r="P83" s="74">
        <f t="shared" si="59"/>
        <v>93</v>
      </c>
      <c r="Q83" s="209"/>
      <c r="R83" s="79">
        <f t="shared" si="35"/>
        <v>3</v>
      </c>
      <c r="S83" s="75">
        <v>19</v>
      </c>
      <c r="T83" s="79">
        <v>43</v>
      </c>
      <c r="U83" s="74">
        <f t="shared" si="36"/>
        <v>62</v>
      </c>
      <c r="V83" s="75">
        <v>7</v>
      </c>
      <c r="W83" s="79">
        <v>18</v>
      </c>
      <c r="X83" s="74">
        <f t="shared" si="37"/>
        <v>25</v>
      </c>
      <c r="Y83" s="74">
        <f t="shared" si="56"/>
        <v>87</v>
      </c>
      <c r="Z83" s="74">
        <f t="shared" si="57"/>
        <v>87</v>
      </c>
      <c r="AA83" s="209"/>
      <c r="AB83" s="79">
        <f t="shared" si="38"/>
        <v>3</v>
      </c>
      <c r="AC83" s="75">
        <v>2</v>
      </c>
      <c r="AD83" s="79">
        <v>19</v>
      </c>
      <c r="AE83" s="74">
        <f t="shared" si="39"/>
        <v>21</v>
      </c>
      <c r="AF83" s="73">
        <v>23</v>
      </c>
      <c r="AG83" s="74">
        <f t="shared" si="40"/>
        <v>44</v>
      </c>
      <c r="AH83" s="209"/>
      <c r="AI83" s="79">
        <f t="shared" si="41"/>
        <v>2</v>
      </c>
      <c r="AJ83" s="75">
        <v>17</v>
      </c>
      <c r="AK83" s="79">
        <v>31</v>
      </c>
      <c r="AL83" s="80">
        <f t="shared" si="42"/>
        <v>48</v>
      </c>
      <c r="AM83" s="73">
        <v>26</v>
      </c>
      <c r="AN83" s="74">
        <f t="shared" si="58"/>
        <v>74</v>
      </c>
      <c r="AO83" s="209"/>
      <c r="AP83" s="79">
        <f t="shared" si="43"/>
        <v>4</v>
      </c>
      <c r="AQ83" s="79">
        <v>23</v>
      </c>
      <c r="AR83" s="79">
        <v>25</v>
      </c>
      <c r="AS83" s="73">
        <f t="shared" si="63"/>
        <v>48</v>
      </c>
      <c r="AT83" s="212"/>
      <c r="AU83" s="79">
        <f t="shared" si="44"/>
        <v>5</v>
      </c>
      <c r="AV83" s="75">
        <v>16</v>
      </c>
      <c r="AW83" s="79">
        <v>30</v>
      </c>
      <c r="AX83" s="80">
        <f t="shared" si="45"/>
        <v>46</v>
      </c>
      <c r="AY83" s="79">
        <v>18</v>
      </c>
      <c r="AZ83" s="80">
        <f t="shared" si="46"/>
        <v>64</v>
      </c>
      <c r="BA83" s="209"/>
      <c r="BB83" s="79">
        <f t="shared" si="47"/>
        <v>3.5</v>
      </c>
      <c r="BC83" s="75">
        <v>15</v>
      </c>
      <c r="BD83" s="79">
        <v>13</v>
      </c>
      <c r="BE83" s="80">
        <f t="shared" si="48"/>
        <v>28</v>
      </c>
      <c r="BF83" s="79">
        <v>29</v>
      </c>
      <c r="BG83" s="80">
        <f t="shared" si="49"/>
        <v>57</v>
      </c>
      <c r="BH83" s="209"/>
      <c r="BI83" s="79">
        <f t="shared" si="50"/>
        <v>3</v>
      </c>
      <c r="BJ83" s="75">
        <v>9</v>
      </c>
      <c r="BK83" s="79">
        <v>22</v>
      </c>
      <c r="BL83" s="80">
        <f t="shared" si="51"/>
        <v>31</v>
      </c>
      <c r="BM83" s="74">
        <f t="shared" si="64"/>
        <v>31</v>
      </c>
      <c r="BN83" s="209"/>
      <c r="BO83" s="79">
        <f t="shared" si="60"/>
        <v>3.5</v>
      </c>
      <c r="BP83" s="73">
        <f t="shared" si="65"/>
        <v>27</v>
      </c>
      <c r="BQ83" s="76">
        <f t="shared" si="66"/>
        <v>3.375</v>
      </c>
      <c r="BR83" s="82" t="str">
        <f t="shared" si="52"/>
        <v>B</v>
      </c>
      <c r="BS83" s="64" t="str">
        <f t="shared" si="61"/>
        <v>GOOD</v>
      </c>
      <c r="BT83" s="60">
        <f t="shared" si="67"/>
        <v>498</v>
      </c>
      <c r="BU83" s="62"/>
      <c r="BV83" s="62"/>
    </row>
    <row r="84" spans="1:74" ht="27.95" customHeight="1">
      <c r="A84" s="71">
        <v>76</v>
      </c>
      <c r="B84" s="53">
        <v>97</v>
      </c>
      <c r="C84" s="51" t="s">
        <v>295</v>
      </c>
      <c r="D84" s="51" t="s">
        <v>296</v>
      </c>
      <c r="E84" s="51" t="s">
        <v>297</v>
      </c>
      <c r="F84" s="66" t="s">
        <v>298</v>
      </c>
      <c r="G84" s="78">
        <v>0</v>
      </c>
      <c r="H84" s="73">
        <v>2</v>
      </c>
      <c r="I84" s="74">
        <f t="shared" si="53"/>
        <v>2</v>
      </c>
      <c r="J84" s="73">
        <v>9</v>
      </c>
      <c r="K84" s="74">
        <f t="shared" si="54"/>
        <v>11</v>
      </c>
      <c r="L84" s="78">
        <v>0</v>
      </c>
      <c r="M84" s="73">
        <v>18</v>
      </c>
      <c r="N84" s="74">
        <f t="shared" si="55"/>
        <v>18</v>
      </c>
      <c r="O84" s="74">
        <f t="shared" si="62"/>
        <v>18</v>
      </c>
      <c r="P84" s="74">
        <f t="shared" si="59"/>
        <v>29</v>
      </c>
      <c r="Q84" s="209"/>
      <c r="R84" s="79" t="str">
        <f t="shared" si="35"/>
        <v>F</v>
      </c>
      <c r="S84" s="78">
        <v>10</v>
      </c>
      <c r="T84" s="79">
        <v>40</v>
      </c>
      <c r="U84" s="74">
        <f t="shared" si="36"/>
        <v>50</v>
      </c>
      <c r="V84" s="78">
        <v>0</v>
      </c>
      <c r="W84" s="79">
        <v>4</v>
      </c>
      <c r="X84" s="74">
        <f t="shared" si="37"/>
        <v>4</v>
      </c>
      <c r="Y84" s="74">
        <f t="shared" si="56"/>
        <v>54</v>
      </c>
      <c r="Z84" s="74">
        <f t="shared" si="57"/>
        <v>54</v>
      </c>
      <c r="AA84" s="209"/>
      <c r="AB84" s="79" t="str">
        <f t="shared" si="38"/>
        <v>F</v>
      </c>
      <c r="AC84" s="78">
        <v>2</v>
      </c>
      <c r="AD84" s="79">
        <v>9</v>
      </c>
      <c r="AE84" s="74">
        <f t="shared" si="39"/>
        <v>11</v>
      </c>
      <c r="AF84" s="73">
        <v>27</v>
      </c>
      <c r="AG84" s="74">
        <f t="shared" si="40"/>
        <v>38</v>
      </c>
      <c r="AH84" s="209"/>
      <c r="AI84" s="79" t="str">
        <f t="shared" si="41"/>
        <v>F</v>
      </c>
      <c r="AJ84" s="78">
        <v>0</v>
      </c>
      <c r="AK84" s="79">
        <v>0</v>
      </c>
      <c r="AL84" s="80">
        <f t="shared" si="42"/>
        <v>0</v>
      </c>
      <c r="AM84" s="73">
        <v>23</v>
      </c>
      <c r="AN84" s="74">
        <f t="shared" si="58"/>
        <v>23</v>
      </c>
      <c r="AO84" s="209"/>
      <c r="AP84" s="79" t="str">
        <f t="shared" si="43"/>
        <v>F</v>
      </c>
      <c r="AQ84" s="79">
        <v>23</v>
      </c>
      <c r="AR84" s="79">
        <v>25</v>
      </c>
      <c r="AS84" s="73">
        <f t="shared" si="63"/>
        <v>48</v>
      </c>
      <c r="AT84" s="212"/>
      <c r="AU84" s="79">
        <f t="shared" si="44"/>
        <v>5</v>
      </c>
      <c r="AV84" s="78">
        <v>12</v>
      </c>
      <c r="AW84" s="79">
        <v>14</v>
      </c>
      <c r="AX84" s="80">
        <f t="shared" si="45"/>
        <v>26</v>
      </c>
      <c r="AY84" s="79">
        <v>24</v>
      </c>
      <c r="AZ84" s="80">
        <f t="shared" si="46"/>
        <v>50</v>
      </c>
      <c r="BA84" s="209"/>
      <c r="BB84" s="79">
        <f t="shared" si="47"/>
        <v>3</v>
      </c>
      <c r="BC84" s="78">
        <v>0</v>
      </c>
      <c r="BD84" s="79">
        <v>9</v>
      </c>
      <c r="BE84" s="80">
        <f t="shared" si="48"/>
        <v>9</v>
      </c>
      <c r="BF84" s="79">
        <v>19</v>
      </c>
      <c r="BG84" s="80">
        <f t="shared" si="49"/>
        <v>28</v>
      </c>
      <c r="BH84" s="209"/>
      <c r="BI84" s="79" t="str">
        <f t="shared" si="50"/>
        <v>F</v>
      </c>
      <c r="BJ84" s="78">
        <v>0</v>
      </c>
      <c r="BK84" s="79">
        <v>22</v>
      </c>
      <c r="BL84" s="80">
        <f t="shared" si="51"/>
        <v>22</v>
      </c>
      <c r="BM84" s="74">
        <f t="shared" si="64"/>
        <v>22</v>
      </c>
      <c r="BN84" s="209"/>
      <c r="BO84" s="79">
        <f t="shared" si="60"/>
        <v>2</v>
      </c>
      <c r="BP84" s="73" t="str">
        <f t="shared" si="65"/>
        <v>F</v>
      </c>
      <c r="BQ84" s="76" t="str">
        <f t="shared" si="66"/>
        <v>F</v>
      </c>
      <c r="BR84" s="82" t="str">
        <f t="shared" si="52"/>
        <v>F</v>
      </c>
      <c r="BS84" s="64" t="str">
        <f t="shared" si="61"/>
        <v>NEED TO PROGRESS</v>
      </c>
      <c r="BT84" s="60">
        <f t="shared" si="67"/>
        <v>292</v>
      </c>
      <c r="BU84" s="62"/>
      <c r="BV84" s="62"/>
    </row>
    <row r="85" spans="1:74" ht="27.95" customHeight="1">
      <c r="A85" s="71">
        <v>77</v>
      </c>
      <c r="B85" s="53">
        <v>98</v>
      </c>
      <c r="C85" s="51" t="s">
        <v>412</v>
      </c>
      <c r="D85" s="51" t="s">
        <v>413</v>
      </c>
      <c r="E85" s="51" t="s">
        <v>414</v>
      </c>
      <c r="F85" s="66" t="s">
        <v>415</v>
      </c>
      <c r="G85" s="78">
        <v>0</v>
      </c>
      <c r="H85" s="73">
        <v>13</v>
      </c>
      <c r="I85" s="74">
        <f t="shared" si="53"/>
        <v>13</v>
      </c>
      <c r="J85" s="73">
        <v>18</v>
      </c>
      <c r="K85" s="74">
        <f t="shared" si="54"/>
        <v>31</v>
      </c>
      <c r="L85" s="78">
        <v>0</v>
      </c>
      <c r="M85" s="73">
        <v>22</v>
      </c>
      <c r="N85" s="74">
        <f t="shared" si="55"/>
        <v>22</v>
      </c>
      <c r="O85" s="74">
        <f t="shared" si="62"/>
        <v>22</v>
      </c>
      <c r="P85" s="74">
        <f t="shared" si="59"/>
        <v>53</v>
      </c>
      <c r="Q85" s="209"/>
      <c r="R85" s="79" t="str">
        <f t="shared" si="35"/>
        <v>F</v>
      </c>
      <c r="S85" s="78">
        <v>0</v>
      </c>
      <c r="T85" s="79">
        <v>38</v>
      </c>
      <c r="U85" s="74">
        <f t="shared" si="36"/>
        <v>38</v>
      </c>
      <c r="V85" s="78">
        <v>0</v>
      </c>
      <c r="W85" s="79">
        <v>10</v>
      </c>
      <c r="X85" s="74">
        <f t="shared" si="37"/>
        <v>10</v>
      </c>
      <c r="Y85" s="74">
        <f t="shared" si="56"/>
        <v>48</v>
      </c>
      <c r="Z85" s="74">
        <f t="shared" si="57"/>
        <v>48</v>
      </c>
      <c r="AA85" s="209"/>
      <c r="AB85" s="79" t="str">
        <f t="shared" si="38"/>
        <v>F</v>
      </c>
      <c r="AC85" s="78">
        <v>2</v>
      </c>
      <c r="AD85" s="79">
        <v>9</v>
      </c>
      <c r="AE85" s="74">
        <f t="shared" si="39"/>
        <v>11</v>
      </c>
      <c r="AF85" s="73">
        <v>29</v>
      </c>
      <c r="AG85" s="74">
        <f t="shared" si="40"/>
        <v>40</v>
      </c>
      <c r="AH85" s="209"/>
      <c r="AI85" s="79">
        <f t="shared" si="41"/>
        <v>2</v>
      </c>
      <c r="AJ85" s="78">
        <v>0</v>
      </c>
      <c r="AK85" s="79">
        <v>0</v>
      </c>
      <c r="AL85" s="80">
        <f t="shared" si="42"/>
        <v>0</v>
      </c>
      <c r="AM85" s="73">
        <v>21</v>
      </c>
      <c r="AN85" s="74">
        <f t="shared" si="58"/>
        <v>21</v>
      </c>
      <c r="AO85" s="209"/>
      <c r="AP85" s="79" t="str">
        <f t="shared" si="43"/>
        <v>F</v>
      </c>
      <c r="AQ85" s="79">
        <v>23</v>
      </c>
      <c r="AR85" s="79">
        <v>25</v>
      </c>
      <c r="AS85" s="73">
        <f t="shared" si="63"/>
        <v>48</v>
      </c>
      <c r="AT85" s="212"/>
      <c r="AU85" s="79">
        <f t="shared" si="44"/>
        <v>5</v>
      </c>
      <c r="AV85" s="78">
        <v>0</v>
      </c>
      <c r="AW85" s="79">
        <v>24</v>
      </c>
      <c r="AX85" s="80">
        <f t="shared" si="45"/>
        <v>24</v>
      </c>
      <c r="AY85" s="79">
        <v>20</v>
      </c>
      <c r="AZ85" s="80">
        <f t="shared" si="46"/>
        <v>44</v>
      </c>
      <c r="BA85" s="209"/>
      <c r="BB85" s="79">
        <f t="shared" si="47"/>
        <v>2</v>
      </c>
      <c r="BC85" s="78">
        <v>5</v>
      </c>
      <c r="BD85" s="79">
        <v>16</v>
      </c>
      <c r="BE85" s="80">
        <f t="shared" si="48"/>
        <v>21</v>
      </c>
      <c r="BF85" s="79">
        <v>23</v>
      </c>
      <c r="BG85" s="80">
        <f t="shared" si="49"/>
        <v>44</v>
      </c>
      <c r="BH85" s="209"/>
      <c r="BI85" s="79">
        <f t="shared" si="50"/>
        <v>2</v>
      </c>
      <c r="BJ85" s="78">
        <v>0</v>
      </c>
      <c r="BK85" s="79">
        <v>22</v>
      </c>
      <c r="BL85" s="80">
        <f t="shared" si="51"/>
        <v>22</v>
      </c>
      <c r="BM85" s="74">
        <f t="shared" si="64"/>
        <v>22</v>
      </c>
      <c r="BN85" s="209"/>
      <c r="BO85" s="79">
        <f t="shared" si="60"/>
        <v>2</v>
      </c>
      <c r="BP85" s="73" t="str">
        <f t="shared" si="65"/>
        <v>F</v>
      </c>
      <c r="BQ85" s="76" t="str">
        <f t="shared" si="66"/>
        <v>F</v>
      </c>
      <c r="BR85" s="82" t="str">
        <f t="shared" si="52"/>
        <v>F</v>
      </c>
      <c r="BS85" s="64" t="str">
        <f t="shared" si="61"/>
        <v>NEED TO PROGRESS</v>
      </c>
      <c r="BT85" s="60">
        <f t="shared" si="67"/>
        <v>320</v>
      </c>
      <c r="BU85" s="62"/>
      <c r="BV85" s="62"/>
    </row>
    <row r="86" spans="1:74" ht="27.95" customHeight="1">
      <c r="A86" s="71">
        <v>78</v>
      </c>
      <c r="B86" s="53">
        <v>99</v>
      </c>
      <c r="C86" s="51" t="s">
        <v>299</v>
      </c>
      <c r="D86" s="51" t="s">
        <v>300</v>
      </c>
      <c r="E86" s="51" t="s">
        <v>301</v>
      </c>
      <c r="F86" s="66" t="s">
        <v>302</v>
      </c>
      <c r="G86" s="72">
        <v>13</v>
      </c>
      <c r="H86" s="73">
        <v>21</v>
      </c>
      <c r="I86" s="74">
        <f t="shared" si="53"/>
        <v>34</v>
      </c>
      <c r="J86" s="73">
        <v>15</v>
      </c>
      <c r="K86" s="74">
        <f t="shared" si="54"/>
        <v>49</v>
      </c>
      <c r="L86" s="75">
        <v>8</v>
      </c>
      <c r="M86" s="73">
        <v>28</v>
      </c>
      <c r="N86" s="74">
        <f t="shared" si="55"/>
        <v>36</v>
      </c>
      <c r="O86" s="74">
        <f t="shared" si="62"/>
        <v>36</v>
      </c>
      <c r="P86" s="74">
        <f t="shared" si="59"/>
        <v>85</v>
      </c>
      <c r="Q86" s="209"/>
      <c r="R86" s="79">
        <f t="shared" si="35"/>
        <v>3</v>
      </c>
      <c r="S86" s="75">
        <v>18</v>
      </c>
      <c r="T86" s="79">
        <v>58</v>
      </c>
      <c r="U86" s="74">
        <f t="shared" si="36"/>
        <v>76</v>
      </c>
      <c r="V86" s="75">
        <v>6</v>
      </c>
      <c r="W86" s="79">
        <v>22</v>
      </c>
      <c r="X86" s="74">
        <f t="shared" si="37"/>
        <v>28</v>
      </c>
      <c r="Y86" s="74">
        <f t="shared" si="56"/>
        <v>104</v>
      </c>
      <c r="Z86" s="74">
        <f t="shared" si="57"/>
        <v>104</v>
      </c>
      <c r="AA86" s="209"/>
      <c r="AB86" s="79">
        <f t="shared" si="38"/>
        <v>3.5</v>
      </c>
      <c r="AC86" s="75">
        <v>7</v>
      </c>
      <c r="AD86" s="79">
        <v>19</v>
      </c>
      <c r="AE86" s="74">
        <f t="shared" si="39"/>
        <v>26</v>
      </c>
      <c r="AF86" s="73">
        <v>29</v>
      </c>
      <c r="AG86" s="74">
        <f t="shared" si="40"/>
        <v>55</v>
      </c>
      <c r="AH86" s="209"/>
      <c r="AI86" s="79">
        <f t="shared" si="41"/>
        <v>3</v>
      </c>
      <c r="AJ86" s="75">
        <v>16</v>
      </c>
      <c r="AK86" s="79">
        <v>29</v>
      </c>
      <c r="AL86" s="80">
        <f t="shared" si="42"/>
        <v>45</v>
      </c>
      <c r="AM86" s="73">
        <v>16</v>
      </c>
      <c r="AN86" s="74">
        <f t="shared" si="58"/>
        <v>61</v>
      </c>
      <c r="AO86" s="209"/>
      <c r="AP86" s="79">
        <f t="shared" si="43"/>
        <v>3.5</v>
      </c>
      <c r="AQ86" s="79">
        <v>23</v>
      </c>
      <c r="AR86" s="79">
        <v>25</v>
      </c>
      <c r="AS86" s="73">
        <f t="shared" si="63"/>
        <v>48</v>
      </c>
      <c r="AT86" s="212"/>
      <c r="AU86" s="79">
        <f t="shared" si="44"/>
        <v>5</v>
      </c>
      <c r="AV86" s="75">
        <v>19</v>
      </c>
      <c r="AW86" s="79">
        <v>28</v>
      </c>
      <c r="AX86" s="80">
        <f t="shared" si="45"/>
        <v>47</v>
      </c>
      <c r="AY86" s="79">
        <v>21</v>
      </c>
      <c r="AZ86" s="80">
        <f t="shared" si="46"/>
        <v>68</v>
      </c>
      <c r="BA86" s="209"/>
      <c r="BB86" s="79">
        <f t="shared" si="47"/>
        <v>3.5</v>
      </c>
      <c r="BC86" s="75">
        <v>19</v>
      </c>
      <c r="BD86" s="79">
        <v>21</v>
      </c>
      <c r="BE86" s="80">
        <f t="shared" si="48"/>
        <v>40</v>
      </c>
      <c r="BF86" s="79">
        <v>25</v>
      </c>
      <c r="BG86" s="80">
        <f t="shared" si="49"/>
        <v>65</v>
      </c>
      <c r="BH86" s="209"/>
      <c r="BI86" s="79">
        <f t="shared" si="50"/>
        <v>3.5</v>
      </c>
      <c r="BJ86" s="75">
        <v>9</v>
      </c>
      <c r="BK86" s="79">
        <v>24</v>
      </c>
      <c r="BL86" s="80">
        <f t="shared" si="51"/>
        <v>33</v>
      </c>
      <c r="BM86" s="74">
        <f t="shared" si="64"/>
        <v>33</v>
      </c>
      <c r="BN86" s="209"/>
      <c r="BO86" s="79">
        <f t="shared" si="60"/>
        <v>3.5</v>
      </c>
      <c r="BP86" s="73">
        <f t="shared" si="65"/>
        <v>28.5</v>
      </c>
      <c r="BQ86" s="76">
        <f t="shared" si="66"/>
        <v>3.5625</v>
      </c>
      <c r="BR86" s="82" t="str">
        <f t="shared" si="52"/>
        <v>A-</v>
      </c>
      <c r="BS86" s="64" t="str">
        <f t="shared" si="61"/>
        <v>GOOD</v>
      </c>
      <c r="BT86" s="60">
        <f t="shared" si="67"/>
        <v>519</v>
      </c>
      <c r="BU86" s="62"/>
      <c r="BV86" s="62"/>
    </row>
    <row r="87" spans="1:74" ht="27.95" customHeight="1">
      <c r="A87" s="71">
        <v>79</v>
      </c>
      <c r="B87" s="53">
        <v>101</v>
      </c>
      <c r="C87" s="51" t="s">
        <v>303</v>
      </c>
      <c r="D87" s="51" t="s">
        <v>304</v>
      </c>
      <c r="E87" s="51" t="s">
        <v>305</v>
      </c>
      <c r="F87" s="66" t="s">
        <v>306</v>
      </c>
      <c r="G87" s="72">
        <v>11</v>
      </c>
      <c r="H87" s="73">
        <v>12</v>
      </c>
      <c r="I87" s="74">
        <f t="shared" si="53"/>
        <v>23</v>
      </c>
      <c r="J87" s="73">
        <v>21</v>
      </c>
      <c r="K87" s="74">
        <f t="shared" si="54"/>
        <v>44</v>
      </c>
      <c r="L87" s="75">
        <v>7</v>
      </c>
      <c r="M87" s="73">
        <v>22</v>
      </c>
      <c r="N87" s="74">
        <f t="shared" si="55"/>
        <v>29</v>
      </c>
      <c r="O87" s="74">
        <f t="shared" si="62"/>
        <v>29</v>
      </c>
      <c r="P87" s="74">
        <f t="shared" si="59"/>
        <v>73</v>
      </c>
      <c r="Q87" s="209"/>
      <c r="R87" s="79">
        <f t="shared" si="35"/>
        <v>3</v>
      </c>
      <c r="S87" s="75">
        <v>11</v>
      </c>
      <c r="T87" s="79">
        <v>38</v>
      </c>
      <c r="U87" s="74">
        <f t="shared" si="36"/>
        <v>49</v>
      </c>
      <c r="V87" s="75">
        <v>7</v>
      </c>
      <c r="W87" s="79">
        <v>6</v>
      </c>
      <c r="X87" s="74">
        <f t="shared" si="37"/>
        <v>13</v>
      </c>
      <c r="Y87" s="74">
        <f t="shared" si="56"/>
        <v>62</v>
      </c>
      <c r="Z87" s="74">
        <f t="shared" si="57"/>
        <v>62</v>
      </c>
      <c r="AA87" s="209"/>
      <c r="AB87" s="79">
        <f t="shared" si="38"/>
        <v>2</v>
      </c>
      <c r="AC87" s="75">
        <v>16</v>
      </c>
      <c r="AD87" s="79">
        <v>12</v>
      </c>
      <c r="AE87" s="74">
        <f t="shared" si="39"/>
        <v>28</v>
      </c>
      <c r="AF87" s="73">
        <v>16</v>
      </c>
      <c r="AG87" s="74">
        <f t="shared" si="40"/>
        <v>44</v>
      </c>
      <c r="AH87" s="209"/>
      <c r="AI87" s="79">
        <f t="shared" si="41"/>
        <v>2</v>
      </c>
      <c r="AJ87" s="75">
        <v>9</v>
      </c>
      <c r="AK87" s="79">
        <v>9</v>
      </c>
      <c r="AL87" s="80">
        <f t="shared" si="42"/>
        <v>18</v>
      </c>
      <c r="AM87" s="73">
        <v>23</v>
      </c>
      <c r="AN87" s="74">
        <f t="shared" si="58"/>
        <v>41</v>
      </c>
      <c r="AO87" s="209"/>
      <c r="AP87" s="79">
        <f t="shared" si="43"/>
        <v>2</v>
      </c>
      <c r="AQ87" s="79">
        <v>23</v>
      </c>
      <c r="AR87" s="79">
        <v>25</v>
      </c>
      <c r="AS87" s="73">
        <f t="shared" si="63"/>
        <v>48</v>
      </c>
      <c r="AT87" s="212"/>
      <c r="AU87" s="79">
        <f t="shared" si="44"/>
        <v>5</v>
      </c>
      <c r="AV87" s="75">
        <v>13</v>
      </c>
      <c r="AW87" s="79">
        <v>14</v>
      </c>
      <c r="AX87" s="80">
        <f t="shared" si="45"/>
        <v>27</v>
      </c>
      <c r="AY87" s="79">
        <v>23</v>
      </c>
      <c r="AZ87" s="80">
        <f t="shared" si="46"/>
        <v>50</v>
      </c>
      <c r="BA87" s="209"/>
      <c r="BB87" s="79">
        <f t="shared" si="47"/>
        <v>3</v>
      </c>
      <c r="BC87" s="75">
        <v>13</v>
      </c>
      <c r="BD87" s="79">
        <v>6</v>
      </c>
      <c r="BE87" s="80">
        <f t="shared" si="48"/>
        <v>19</v>
      </c>
      <c r="BF87" s="79">
        <v>17</v>
      </c>
      <c r="BG87" s="80">
        <f t="shared" si="49"/>
        <v>36</v>
      </c>
      <c r="BH87" s="209"/>
      <c r="BI87" s="79" t="str">
        <f t="shared" si="50"/>
        <v>F</v>
      </c>
      <c r="BJ87" s="75">
        <v>9</v>
      </c>
      <c r="BK87" s="79">
        <v>24</v>
      </c>
      <c r="BL87" s="80">
        <f t="shared" si="51"/>
        <v>33</v>
      </c>
      <c r="BM87" s="74">
        <f t="shared" si="64"/>
        <v>33</v>
      </c>
      <c r="BN87" s="209"/>
      <c r="BO87" s="79">
        <f t="shared" si="60"/>
        <v>3.5</v>
      </c>
      <c r="BP87" s="73" t="str">
        <f t="shared" si="65"/>
        <v>F</v>
      </c>
      <c r="BQ87" s="76" t="str">
        <f t="shared" si="66"/>
        <v>F</v>
      </c>
      <c r="BR87" s="82" t="str">
        <f t="shared" si="52"/>
        <v>F</v>
      </c>
      <c r="BS87" s="64" t="str">
        <f t="shared" si="61"/>
        <v>NEED TO PROGRESS</v>
      </c>
      <c r="BT87" s="60">
        <f t="shared" si="67"/>
        <v>387</v>
      </c>
      <c r="BU87" s="62"/>
      <c r="BV87" s="62"/>
    </row>
    <row r="88" spans="1:74" ht="27.95" customHeight="1">
      <c r="A88" s="71">
        <v>80</v>
      </c>
      <c r="B88" s="53">
        <v>104</v>
      </c>
      <c r="C88" s="51" t="s">
        <v>418</v>
      </c>
      <c r="D88" s="51" t="s">
        <v>419</v>
      </c>
      <c r="E88" s="51" t="s">
        <v>420</v>
      </c>
      <c r="F88" s="66" t="s">
        <v>421</v>
      </c>
      <c r="G88" s="72">
        <v>13</v>
      </c>
      <c r="H88" s="73">
        <v>22</v>
      </c>
      <c r="I88" s="74">
        <f t="shared" si="53"/>
        <v>35</v>
      </c>
      <c r="J88" s="73">
        <v>19</v>
      </c>
      <c r="K88" s="74">
        <f t="shared" si="54"/>
        <v>54</v>
      </c>
      <c r="L88" s="75">
        <v>9</v>
      </c>
      <c r="M88" s="73">
        <v>25</v>
      </c>
      <c r="N88" s="74">
        <f t="shared" si="55"/>
        <v>34</v>
      </c>
      <c r="O88" s="74">
        <f t="shared" si="62"/>
        <v>34</v>
      </c>
      <c r="P88" s="74">
        <f t="shared" si="59"/>
        <v>88</v>
      </c>
      <c r="Q88" s="209"/>
      <c r="R88" s="79">
        <f t="shared" si="35"/>
        <v>3</v>
      </c>
      <c r="S88" s="75">
        <v>19</v>
      </c>
      <c r="T88" s="79">
        <v>36</v>
      </c>
      <c r="U88" s="74">
        <f t="shared" si="36"/>
        <v>55</v>
      </c>
      <c r="V88" s="75">
        <v>6</v>
      </c>
      <c r="W88" s="79">
        <v>18</v>
      </c>
      <c r="X88" s="74">
        <f t="shared" si="37"/>
        <v>24</v>
      </c>
      <c r="Y88" s="74">
        <f t="shared" si="56"/>
        <v>79</v>
      </c>
      <c r="Z88" s="74">
        <f t="shared" si="57"/>
        <v>79</v>
      </c>
      <c r="AA88" s="209"/>
      <c r="AB88" s="79">
        <f t="shared" si="38"/>
        <v>3</v>
      </c>
      <c r="AC88" s="75">
        <v>10</v>
      </c>
      <c r="AD88" s="79">
        <v>20</v>
      </c>
      <c r="AE88" s="74">
        <f t="shared" si="39"/>
        <v>30</v>
      </c>
      <c r="AF88" s="73">
        <v>21</v>
      </c>
      <c r="AG88" s="74">
        <f t="shared" si="40"/>
        <v>51</v>
      </c>
      <c r="AH88" s="209"/>
      <c r="AI88" s="79">
        <f t="shared" si="41"/>
        <v>3</v>
      </c>
      <c r="AJ88" s="75">
        <v>16</v>
      </c>
      <c r="AK88" s="79">
        <v>20</v>
      </c>
      <c r="AL88" s="80">
        <f t="shared" si="42"/>
        <v>36</v>
      </c>
      <c r="AM88" s="73">
        <v>29</v>
      </c>
      <c r="AN88" s="74">
        <f t="shared" si="58"/>
        <v>65</v>
      </c>
      <c r="AO88" s="209"/>
      <c r="AP88" s="79">
        <f t="shared" si="43"/>
        <v>3.5</v>
      </c>
      <c r="AQ88" s="79">
        <v>23</v>
      </c>
      <c r="AR88" s="79">
        <v>25</v>
      </c>
      <c r="AS88" s="73">
        <f t="shared" si="63"/>
        <v>48</v>
      </c>
      <c r="AT88" s="212"/>
      <c r="AU88" s="79">
        <f t="shared" si="44"/>
        <v>5</v>
      </c>
      <c r="AV88" s="75">
        <v>17</v>
      </c>
      <c r="AW88" s="79">
        <v>30</v>
      </c>
      <c r="AX88" s="80">
        <f t="shared" si="45"/>
        <v>47</v>
      </c>
      <c r="AY88" s="79">
        <v>24</v>
      </c>
      <c r="AZ88" s="80">
        <f t="shared" si="46"/>
        <v>71</v>
      </c>
      <c r="BA88" s="209"/>
      <c r="BB88" s="79">
        <f t="shared" si="47"/>
        <v>4</v>
      </c>
      <c r="BC88" s="75">
        <v>16</v>
      </c>
      <c r="BD88" s="79">
        <v>21</v>
      </c>
      <c r="BE88" s="80">
        <f t="shared" si="48"/>
        <v>37</v>
      </c>
      <c r="BF88" s="79">
        <v>26</v>
      </c>
      <c r="BG88" s="80">
        <f t="shared" si="49"/>
        <v>63</v>
      </c>
      <c r="BH88" s="209"/>
      <c r="BI88" s="79">
        <f t="shared" si="50"/>
        <v>3.5</v>
      </c>
      <c r="BJ88" s="75">
        <v>10</v>
      </c>
      <c r="BK88" s="79">
        <v>24</v>
      </c>
      <c r="BL88" s="80">
        <f t="shared" si="51"/>
        <v>34</v>
      </c>
      <c r="BM88" s="74">
        <f t="shared" si="64"/>
        <v>34</v>
      </c>
      <c r="BN88" s="209"/>
      <c r="BO88" s="79">
        <f t="shared" si="60"/>
        <v>3.5</v>
      </c>
      <c r="BP88" s="73">
        <f t="shared" si="65"/>
        <v>28.5</v>
      </c>
      <c r="BQ88" s="76">
        <f t="shared" si="66"/>
        <v>3.5625</v>
      </c>
      <c r="BR88" s="82" t="str">
        <f t="shared" si="52"/>
        <v>A-</v>
      </c>
      <c r="BS88" s="64" t="str">
        <f t="shared" si="61"/>
        <v>GOOD</v>
      </c>
      <c r="BT88" s="60">
        <f t="shared" si="67"/>
        <v>499</v>
      </c>
      <c r="BU88" s="62"/>
      <c r="BV88" s="62"/>
    </row>
    <row r="89" spans="1:74" ht="27.95" customHeight="1">
      <c r="A89" s="71">
        <v>81</v>
      </c>
      <c r="B89" s="53">
        <v>105</v>
      </c>
      <c r="C89" s="51" t="s">
        <v>308</v>
      </c>
      <c r="D89" s="51" t="s">
        <v>309</v>
      </c>
      <c r="E89" s="51" t="s">
        <v>310</v>
      </c>
      <c r="F89" s="66" t="s">
        <v>311</v>
      </c>
      <c r="G89" s="72">
        <v>13</v>
      </c>
      <c r="H89" s="73">
        <v>16</v>
      </c>
      <c r="I89" s="74">
        <f t="shared" si="53"/>
        <v>29</v>
      </c>
      <c r="J89" s="73">
        <v>13</v>
      </c>
      <c r="K89" s="74">
        <f t="shared" si="54"/>
        <v>42</v>
      </c>
      <c r="L89" s="75">
        <v>8</v>
      </c>
      <c r="M89" s="73">
        <v>20</v>
      </c>
      <c r="N89" s="74">
        <f t="shared" si="55"/>
        <v>28</v>
      </c>
      <c r="O89" s="74">
        <f t="shared" si="62"/>
        <v>28</v>
      </c>
      <c r="P89" s="74">
        <f t="shared" si="59"/>
        <v>70</v>
      </c>
      <c r="Q89" s="209"/>
      <c r="R89" s="79">
        <f t="shared" si="35"/>
        <v>3</v>
      </c>
      <c r="S89" s="75">
        <v>17</v>
      </c>
      <c r="T89" s="79">
        <v>44</v>
      </c>
      <c r="U89" s="74">
        <f t="shared" si="36"/>
        <v>61</v>
      </c>
      <c r="V89" s="75">
        <v>8</v>
      </c>
      <c r="W89" s="79">
        <v>14</v>
      </c>
      <c r="X89" s="74">
        <f t="shared" si="37"/>
        <v>22</v>
      </c>
      <c r="Y89" s="74">
        <f t="shared" si="56"/>
        <v>83</v>
      </c>
      <c r="Z89" s="74">
        <f t="shared" si="57"/>
        <v>83</v>
      </c>
      <c r="AA89" s="209"/>
      <c r="AB89" s="79">
        <f t="shared" si="38"/>
        <v>3</v>
      </c>
      <c r="AC89" s="75">
        <v>16</v>
      </c>
      <c r="AD89" s="79">
        <v>19</v>
      </c>
      <c r="AE89" s="74">
        <f t="shared" si="39"/>
        <v>35</v>
      </c>
      <c r="AF89" s="73">
        <v>29</v>
      </c>
      <c r="AG89" s="74">
        <f t="shared" si="40"/>
        <v>64</v>
      </c>
      <c r="AH89" s="209"/>
      <c r="AI89" s="79">
        <f t="shared" si="41"/>
        <v>3.5</v>
      </c>
      <c r="AJ89" s="75">
        <v>12</v>
      </c>
      <c r="AK89" s="79">
        <v>16</v>
      </c>
      <c r="AL89" s="80">
        <f t="shared" si="42"/>
        <v>28</v>
      </c>
      <c r="AM89" s="73">
        <v>26</v>
      </c>
      <c r="AN89" s="74">
        <f t="shared" si="58"/>
        <v>54</v>
      </c>
      <c r="AO89" s="209"/>
      <c r="AP89" s="79">
        <f t="shared" si="43"/>
        <v>3</v>
      </c>
      <c r="AQ89" s="79">
        <v>23</v>
      </c>
      <c r="AR89" s="79">
        <v>25</v>
      </c>
      <c r="AS89" s="73">
        <f t="shared" si="63"/>
        <v>48</v>
      </c>
      <c r="AT89" s="212"/>
      <c r="AU89" s="79">
        <f t="shared" si="44"/>
        <v>5</v>
      </c>
      <c r="AV89" s="75">
        <v>19</v>
      </c>
      <c r="AW89" s="79">
        <v>21</v>
      </c>
      <c r="AX89" s="80">
        <f t="shared" si="45"/>
        <v>40</v>
      </c>
      <c r="AY89" s="79">
        <v>22</v>
      </c>
      <c r="AZ89" s="80">
        <f t="shared" si="46"/>
        <v>62</v>
      </c>
      <c r="BA89" s="209"/>
      <c r="BB89" s="79">
        <f t="shared" si="47"/>
        <v>3.5</v>
      </c>
      <c r="BC89" s="75">
        <v>13</v>
      </c>
      <c r="BD89" s="79">
        <v>12</v>
      </c>
      <c r="BE89" s="80">
        <f t="shared" si="48"/>
        <v>25</v>
      </c>
      <c r="BF89" s="79">
        <v>27</v>
      </c>
      <c r="BG89" s="80">
        <f t="shared" si="49"/>
        <v>52</v>
      </c>
      <c r="BH89" s="209"/>
      <c r="BI89" s="79">
        <f t="shared" si="50"/>
        <v>3</v>
      </c>
      <c r="BJ89" s="75">
        <v>9</v>
      </c>
      <c r="BK89" s="79">
        <v>24</v>
      </c>
      <c r="BL89" s="80">
        <f t="shared" si="51"/>
        <v>33</v>
      </c>
      <c r="BM89" s="74">
        <f t="shared" si="64"/>
        <v>33</v>
      </c>
      <c r="BN89" s="209"/>
      <c r="BO89" s="79">
        <f t="shared" si="60"/>
        <v>3.5</v>
      </c>
      <c r="BP89" s="73">
        <f t="shared" si="65"/>
        <v>27.5</v>
      </c>
      <c r="BQ89" s="76">
        <f t="shared" si="66"/>
        <v>3.4375</v>
      </c>
      <c r="BR89" s="82" t="str">
        <f t="shared" si="52"/>
        <v>B</v>
      </c>
      <c r="BS89" s="64" t="str">
        <f t="shared" si="61"/>
        <v>GOOD</v>
      </c>
      <c r="BT89" s="60">
        <f t="shared" si="67"/>
        <v>466</v>
      </c>
      <c r="BU89" s="62"/>
      <c r="BV89" s="62"/>
    </row>
    <row r="90" spans="1:74" ht="27.95" customHeight="1">
      <c r="A90" s="71">
        <v>82</v>
      </c>
      <c r="B90" s="53">
        <v>106</v>
      </c>
      <c r="C90" s="51" t="s">
        <v>312</v>
      </c>
      <c r="D90" s="51" t="s">
        <v>313</v>
      </c>
      <c r="E90" s="51" t="s">
        <v>314</v>
      </c>
      <c r="F90" s="66" t="s">
        <v>315</v>
      </c>
      <c r="G90" s="72">
        <v>13</v>
      </c>
      <c r="H90" s="73">
        <v>19</v>
      </c>
      <c r="I90" s="74">
        <f t="shared" si="53"/>
        <v>32</v>
      </c>
      <c r="J90" s="73">
        <v>22</v>
      </c>
      <c r="K90" s="74">
        <f t="shared" si="54"/>
        <v>54</v>
      </c>
      <c r="L90" s="75">
        <v>7</v>
      </c>
      <c r="M90" s="73">
        <v>29</v>
      </c>
      <c r="N90" s="74">
        <f t="shared" si="55"/>
        <v>36</v>
      </c>
      <c r="O90" s="74">
        <f t="shared" si="62"/>
        <v>36</v>
      </c>
      <c r="P90" s="74">
        <f t="shared" si="59"/>
        <v>90</v>
      </c>
      <c r="Q90" s="209"/>
      <c r="R90" s="79">
        <f t="shared" si="35"/>
        <v>3</v>
      </c>
      <c r="S90" s="75">
        <v>16</v>
      </c>
      <c r="T90" s="79">
        <v>35</v>
      </c>
      <c r="U90" s="74">
        <f t="shared" si="36"/>
        <v>51</v>
      </c>
      <c r="V90" s="75">
        <v>6</v>
      </c>
      <c r="W90" s="79">
        <v>17</v>
      </c>
      <c r="X90" s="74">
        <f t="shared" si="37"/>
        <v>23</v>
      </c>
      <c r="Y90" s="74">
        <f t="shared" si="56"/>
        <v>74</v>
      </c>
      <c r="Z90" s="74">
        <f t="shared" si="57"/>
        <v>74</v>
      </c>
      <c r="AA90" s="209"/>
      <c r="AB90" s="79">
        <f t="shared" si="38"/>
        <v>2</v>
      </c>
      <c r="AC90" s="75">
        <v>19</v>
      </c>
      <c r="AD90" s="79">
        <v>4</v>
      </c>
      <c r="AE90" s="74">
        <f t="shared" si="39"/>
        <v>23</v>
      </c>
      <c r="AF90" s="73">
        <v>17</v>
      </c>
      <c r="AG90" s="74">
        <f t="shared" si="40"/>
        <v>40</v>
      </c>
      <c r="AH90" s="209"/>
      <c r="AI90" s="79">
        <f t="shared" si="41"/>
        <v>2</v>
      </c>
      <c r="AJ90" s="75">
        <v>11</v>
      </c>
      <c r="AK90" s="79">
        <v>16</v>
      </c>
      <c r="AL90" s="80">
        <f t="shared" si="42"/>
        <v>27</v>
      </c>
      <c r="AM90" s="73">
        <v>19</v>
      </c>
      <c r="AN90" s="74">
        <f t="shared" si="58"/>
        <v>46</v>
      </c>
      <c r="AO90" s="209"/>
      <c r="AP90" s="79">
        <f t="shared" si="43"/>
        <v>2</v>
      </c>
      <c r="AQ90" s="79">
        <v>23</v>
      </c>
      <c r="AR90" s="79">
        <v>25</v>
      </c>
      <c r="AS90" s="73">
        <f t="shared" si="63"/>
        <v>48</v>
      </c>
      <c r="AT90" s="212"/>
      <c r="AU90" s="79">
        <f t="shared" si="44"/>
        <v>5</v>
      </c>
      <c r="AV90" s="75">
        <v>16</v>
      </c>
      <c r="AW90" s="79">
        <v>21</v>
      </c>
      <c r="AX90" s="80">
        <f t="shared" si="45"/>
        <v>37</v>
      </c>
      <c r="AY90" s="79">
        <v>20</v>
      </c>
      <c r="AZ90" s="80">
        <f t="shared" si="46"/>
        <v>57</v>
      </c>
      <c r="BA90" s="209"/>
      <c r="BB90" s="79">
        <f t="shared" si="47"/>
        <v>3</v>
      </c>
      <c r="BC90" s="75">
        <v>12</v>
      </c>
      <c r="BD90" s="79">
        <v>14</v>
      </c>
      <c r="BE90" s="80">
        <f t="shared" si="48"/>
        <v>26</v>
      </c>
      <c r="BF90" s="79">
        <v>14</v>
      </c>
      <c r="BG90" s="80">
        <f t="shared" si="49"/>
        <v>40</v>
      </c>
      <c r="BH90" s="209"/>
      <c r="BI90" s="79">
        <f t="shared" si="50"/>
        <v>2</v>
      </c>
      <c r="BJ90" s="75">
        <v>9</v>
      </c>
      <c r="BK90" s="79">
        <v>22</v>
      </c>
      <c r="BL90" s="80">
        <f t="shared" si="51"/>
        <v>31</v>
      </c>
      <c r="BM90" s="74">
        <f t="shared" si="64"/>
        <v>31</v>
      </c>
      <c r="BN90" s="209"/>
      <c r="BO90" s="79">
        <f t="shared" si="60"/>
        <v>3.5</v>
      </c>
      <c r="BP90" s="73">
        <f t="shared" si="65"/>
        <v>22.5</v>
      </c>
      <c r="BQ90" s="76">
        <f t="shared" si="66"/>
        <v>2.8125</v>
      </c>
      <c r="BR90" s="82" t="str">
        <f t="shared" si="52"/>
        <v>C</v>
      </c>
      <c r="BS90" s="64" t="str">
        <f t="shared" si="61"/>
        <v>GOOD</v>
      </c>
      <c r="BT90" s="60">
        <f t="shared" si="67"/>
        <v>426</v>
      </c>
      <c r="BU90" s="62"/>
      <c r="BV90" s="62"/>
    </row>
    <row r="91" spans="1:74" ht="27.95" customHeight="1">
      <c r="A91" s="71">
        <v>83</v>
      </c>
      <c r="B91" s="49">
        <v>108</v>
      </c>
      <c r="C91" s="50" t="s">
        <v>422</v>
      </c>
      <c r="D91" s="50" t="s">
        <v>423</v>
      </c>
      <c r="E91" s="50" t="s">
        <v>424</v>
      </c>
      <c r="F91" s="65" t="s">
        <v>425</v>
      </c>
      <c r="G91" s="72">
        <v>8</v>
      </c>
      <c r="H91" s="73">
        <v>15</v>
      </c>
      <c r="I91" s="74">
        <f t="shared" si="53"/>
        <v>23</v>
      </c>
      <c r="J91" s="73">
        <v>15</v>
      </c>
      <c r="K91" s="74">
        <f t="shared" si="54"/>
        <v>38</v>
      </c>
      <c r="L91" s="75">
        <v>8</v>
      </c>
      <c r="M91" s="73">
        <v>24</v>
      </c>
      <c r="N91" s="74">
        <f t="shared" si="55"/>
        <v>32</v>
      </c>
      <c r="O91" s="74">
        <f t="shared" si="62"/>
        <v>32</v>
      </c>
      <c r="P91" s="74">
        <f t="shared" si="59"/>
        <v>70</v>
      </c>
      <c r="Q91" s="209"/>
      <c r="R91" s="79">
        <f t="shared" si="35"/>
        <v>3</v>
      </c>
      <c r="S91" s="75">
        <v>16</v>
      </c>
      <c r="T91" s="79">
        <v>45</v>
      </c>
      <c r="U91" s="74">
        <f t="shared" si="36"/>
        <v>61</v>
      </c>
      <c r="V91" s="75">
        <v>8</v>
      </c>
      <c r="W91" s="79">
        <v>21</v>
      </c>
      <c r="X91" s="74">
        <f t="shared" si="37"/>
        <v>29</v>
      </c>
      <c r="Y91" s="74">
        <f t="shared" si="56"/>
        <v>90</v>
      </c>
      <c r="Z91" s="74">
        <f t="shared" si="57"/>
        <v>90</v>
      </c>
      <c r="AA91" s="209"/>
      <c r="AB91" s="79">
        <f t="shared" si="38"/>
        <v>3.5</v>
      </c>
      <c r="AC91" s="75">
        <v>3</v>
      </c>
      <c r="AD91" s="79">
        <v>4</v>
      </c>
      <c r="AE91" s="74">
        <f t="shared" si="39"/>
        <v>7</v>
      </c>
      <c r="AF91" s="73">
        <v>13</v>
      </c>
      <c r="AG91" s="74">
        <f t="shared" si="40"/>
        <v>20</v>
      </c>
      <c r="AH91" s="209"/>
      <c r="AI91" s="79" t="str">
        <f t="shared" si="41"/>
        <v>F</v>
      </c>
      <c r="AJ91" s="75">
        <v>16</v>
      </c>
      <c r="AK91" s="79">
        <v>17</v>
      </c>
      <c r="AL91" s="80">
        <f t="shared" si="42"/>
        <v>33</v>
      </c>
      <c r="AM91" s="73">
        <v>18</v>
      </c>
      <c r="AN91" s="74">
        <f t="shared" si="58"/>
        <v>51</v>
      </c>
      <c r="AO91" s="209"/>
      <c r="AP91" s="79">
        <f t="shared" si="43"/>
        <v>3</v>
      </c>
      <c r="AQ91" s="79">
        <v>23</v>
      </c>
      <c r="AR91" s="79">
        <v>25</v>
      </c>
      <c r="AS91" s="73">
        <f t="shared" si="63"/>
        <v>48</v>
      </c>
      <c r="AT91" s="212"/>
      <c r="AU91" s="79">
        <f t="shared" si="44"/>
        <v>5</v>
      </c>
      <c r="AV91" s="75">
        <v>15</v>
      </c>
      <c r="AW91" s="79">
        <v>16</v>
      </c>
      <c r="AX91" s="80">
        <f t="shared" si="45"/>
        <v>31</v>
      </c>
      <c r="AY91" s="79">
        <v>20</v>
      </c>
      <c r="AZ91" s="80">
        <f t="shared" si="46"/>
        <v>51</v>
      </c>
      <c r="BA91" s="209"/>
      <c r="BB91" s="79">
        <f t="shared" si="47"/>
        <v>3</v>
      </c>
      <c r="BC91" s="75">
        <v>16</v>
      </c>
      <c r="BD91" s="79">
        <v>9</v>
      </c>
      <c r="BE91" s="80">
        <f t="shared" si="48"/>
        <v>25</v>
      </c>
      <c r="BF91" s="79">
        <v>27</v>
      </c>
      <c r="BG91" s="80">
        <f t="shared" si="49"/>
        <v>52</v>
      </c>
      <c r="BH91" s="209"/>
      <c r="BI91" s="79">
        <f t="shared" si="50"/>
        <v>3</v>
      </c>
      <c r="BJ91" s="75">
        <v>9</v>
      </c>
      <c r="BK91" s="79">
        <v>22</v>
      </c>
      <c r="BL91" s="80">
        <f t="shared" si="51"/>
        <v>31</v>
      </c>
      <c r="BM91" s="74">
        <f t="shared" si="64"/>
        <v>31</v>
      </c>
      <c r="BN91" s="209"/>
      <c r="BO91" s="79">
        <f t="shared" si="60"/>
        <v>3.5</v>
      </c>
      <c r="BP91" s="73" t="str">
        <f t="shared" si="65"/>
        <v>F</v>
      </c>
      <c r="BQ91" s="76" t="str">
        <f t="shared" si="66"/>
        <v>F</v>
      </c>
      <c r="BR91" s="82" t="str">
        <f t="shared" si="52"/>
        <v>F</v>
      </c>
      <c r="BS91" s="64" t="str">
        <f t="shared" si="61"/>
        <v>NEED TO PROGRESS</v>
      </c>
      <c r="BT91" s="60">
        <f t="shared" si="67"/>
        <v>413</v>
      </c>
      <c r="BU91" s="62"/>
      <c r="BV91" s="62"/>
    </row>
    <row r="92" spans="1:74" ht="27.95" customHeight="1">
      <c r="A92" s="71">
        <v>84</v>
      </c>
      <c r="B92" s="49">
        <v>109</v>
      </c>
      <c r="C92" s="51" t="s">
        <v>317</v>
      </c>
      <c r="D92" s="51" t="s">
        <v>318</v>
      </c>
      <c r="E92" s="51" t="s">
        <v>319</v>
      </c>
      <c r="F92" s="66" t="s">
        <v>320</v>
      </c>
      <c r="G92" s="72">
        <v>11</v>
      </c>
      <c r="H92" s="74">
        <v>16</v>
      </c>
      <c r="I92" s="74">
        <f t="shared" si="53"/>
        <v>27</v>
      </c>
      <c r="J92" s="74">
        <v>16</v>
      </c>
      <c r="K92" s="74">
        <f t="shared" si="54"/>
        <v>43</v>
      </c>
      <c r="L92" s="75">
        <v>10</v>
      </c>
      <c r="M92" s="74">
        <v>23</v>
      </c>
      <c r="N92" s="74">
        <f t="shared" si="55"/>
        <v>33</v>
      </c>
      <c r="O92" s="74">
        <f t="shared" si="62"/>
        <v>33</v>
      </c>
      <c r="P92" s="74">
        <f t="shared" si="59"/>
        <v>76</v>
      </c>
      <c r="Q92" s="209"/>
      <c r="R92" s="79">
        <f t="shared" si="35"/>
        <v>3</v>
      </c>
      <c r="S92" s="75">
        <v>19</v>
      </c>
      <c r="T92" s="79">
        <v>34</v>
      </c>
      <c r="U92" s="74">
        <f t="shared" si="36"/>
        <v>53</v>
      </c>
      <c r="V92" s="75">
        <v>6</v>
      </c>
      <c r="W92" s="79">
        <v>18</v>
      </c>
      <c r="X92" s="74">
        <f t="shared" si="37"/>
        <v>24</v>
      </c>
      <c r="Y92" s="74">
        <f t="shared" si="56"/>
        <v>77</v>
      </c>
      <c r="Z92" s="74">
        <f t="shared" si="57"/>
        <v>77</v>
      </c>
      <c r="AA92" s="209"/>
      <c r="AB92" s="79">
        <f t="shared" si="38"/>
        <v>3</v>
      </c>
      <c r="AC92" s="75">
        <v>11</v>
      </c>
      <c r="AD92" s="79">
        <v>20</v>
      </c>
      <c r="AE92" s="74">
        <f t="shared" si="39"/>
        <v>31</v>
      </c>
      <c r="AF92" s="73">
        <v>20</v>
      </c>
      <c r="AG92" s="74">
        <f t="shared" si="40"/>
        <v>51</v>
      </c>
      <c r="AH92" s="209"/>
      <c r="AI92" s="79">
        <f t="shared" si="41"/>
        <v>3</v>
      </c>
      <c r="AJ92" s="75">
        <v>13</v>
      </c>
      <c r="AK92" s="79">
        <v>19</v>
      </c>
      <c r="AL92" s="80">
        <f t="shared" si="42"/>
        <v>32</v>
      </c>
      <c r="AM92" s="73">
        <v>26</v>
      </c>
      <c r="AN92" s="74">
        <f t="shared" si="58"/>
        <v>58</v>
      </c>
      <c r="AO92" s="209"/>
      <c r="AP92" s="79">
        <f t="shared" si="43"/>
        <v>3</v>
      </c>
      <c r="AQ92" s="79">
        <v>23</v>
      </c>
      <c r="AR92" s="79">
        <v>25</v>
      </c>
      <c r="AS92" s="73">
        <f t="shared" si="63"/>
        <v>48</v>
      </c>
      <c r="AT92" s="212"/>
      <c r="AU92" s="79">
        <f t="shared" si="44"/>
        <v>5</v>
      </c>
      <c r="AV92" s="75">
        <v>18</v>
      </c>
      <c r="AW92" s="79">
        <v>16</v>
      </c>
      <c r="AX92" s="80">
        <f t="shared" si="45"/>
        <v>34</v>
      </c>
      <c r="AY92" s="79">
        <v>24</v>
      </c>
      <c r="AZ92" s="80">
        <f t="shared" si="46"/>
        <v>58</v>
      </c>
      <c r="BA92" s="209"/>
      <c r="BB92" s="79">
        <f t="shared" si="47"/>
        <v>3</v>
      </c>
      <c r="BC92" s="75">
        <v>13</v>
      </c>
      <c r="BD92" s="79">
        <v>9</v>
      </c>
      <c r="BE92" s="80">
        <f t="shared" si="48"/>
        <v>22</v>
      </c>
      <c r="BF92" s="79">
        <v>27</v>
      </c>
      <c r="BG92" s="80">
        <f t="shared" si="49"/>
        <v>49</v>
      </c>
      <c r="BH92" s="209"/>
      <c r="BI92" s="79">
        <f t="shared" si="50"/>
        <v>2</v>
      </c>
      <c r="BJ92" s="75">
        <v>10</v>
      </c>
      <c r="BK92" s="79">
        <v>22</v>
      </c>
      <c r="BL92" s="80">
        <f t="shared" si="51"/>
        <v>32</v>
      </c>
      <c r="BM92" s="74">
        <f t="shared" si="64"/>
        <v>32</v>
      </c>
      <c r="BN92" s="209"/>
      <c r="BO92" s="79">
        <f t="shared" si="60"/>
        <v>3.5</v>
      </c>
      <c r="BP92" s="73">
        <f t="shared" si="65"/>
        <v>25.5</v>
      </c>
      <c r="BQ92" s="76">
        <f t="shared" si="66"/>
        <v>3.1875</v>
      </c>
      <c r="BR92" s="82" t="str">
        <f t="shared" si="52"/>
        <v>B</v>
      </c>
      <c r="BS92" s="64" t="str">
        <f t="shared" si="61"/>
        <v>GOOD</v>
      </c>
      <c r="BT92" s="60">
        <f t="shared" si="67"/>
        <v>449</v>
      </c>
      <c r="BU92" s="62"/>
      <c r="BV92" s="59"/>
    </row>
    <row r="93" spans="1:74" ht="27.95" customHeight="1">
      <c r="A93" s="71">
        <v>85</v>
      </c>
      <c r="B93" s="49">
        <v>110</v>
      </c>
      <c r="C93" s="50" t="s">
        <v>426</v>
      </c>
      <c r="D93" s="50" t="s">
        <v>427</v>
      </c>
      <c r="E93" s="50" t="s">
        <v>428</v>
      </c>
      <c r="F93" s="65" t="s">
        <v>429</v>
      </c>
      <c r="G93" s="72">
        <v>19</v>
      </c>
      <c r="H93" s="79">
        <v>36</v>
      </c>
      <c r="I93" s="80">
        <f t="shared" si="53"/>
        <v>55</v>
      </c>
      <c r="J93" s="79">
        <v>26</v>
      </c>
      <c r="K93" s="80">
        <f t="shared" si="54"/>
        <v>81</v>
      </c>
      <c r="L93" s="75">
        <v>9</v>
      </c>
      <c r="M93" s="79">
        <v>35</v>
      </c>
      <c r="N93" s="80">
        <f t="shared" si="55"/>
        <v>44</v>
      </c>
      <c r="O93" s="74">
        <f t="shared" si="62"/>
        <v>44</v>
      </c>
      <c r="P93" s="80">
        <f t="shared" si="59"/>
        <v>125</v>
      </c>
      <c r="Q93" s="209"/>
      <c r="R93" s="79">
        <f t="shared" si="35"/>
        <v>5</v>
      </c>
      <c r="S93" s="75">
        <v>19</v>
      </c>
      <c r="T93" s="79">
        <v>57</v>
      </c>
      <c r="U93" s="74">
        <f t="shared" si="36"/>
        <v>76</v>
      </c>
      <c r="V93" s="75">
        <v>8</v>
      </c>
      <c r="W93" s="79">
        <v>30</v>
      </c>
      <c r="X93" s="74">
        <f t="shared" si="37"/>
        <v>38</v>
      </c>
      <c r="Y93" s="74">
        <f t="shared" si="56"/>
        <v>114</v>
      </c>
      <c r="Z93" s="74">
        <f t="shared" si="57"/>
        <v>114</v>
      </c>
      <c r="AA93" s="209"/>
      <c r="AB93" s="79">
        <f t="shared" si="38"/>
        <v>4</v>
      </c>
      <c r="AC93" s="75">
        <v>17</v>
      </c>
      <c r="AD93" s="79">
        <v>36</v>
      </c>
      <c r="AE93" s="74">
        <f t="shared" si="39"/>
        <v>53</v>
      </c>
      <c r="AF93" s="73">
        <v>17</v>
      </c>
      <c r="AG93" s="74">
        <f t="shared" si="40"/>
        <v>70</v>
      </c>
      <c r="AH93" s="209"/>
      <c r="AI93" s="79">
        <f t="shared" si="41"/>
        <v>4</v>
      </c>
      <c r="AJ93" s="75">
        <v>20</v>
      </c>
      <c r="AK93" s="79">
        <v>49</v>
      </c>
      <c r="AL93" s="80">
        <f t="shared" si="42"/>
        <v>69</v>
      </c>
      <c r="AM93" s="73">
        <v>26</v>
      </c>
      <c r="AN93" s="74">
        <f t="shared" si="58"/>
        <v>95</v>
      </c>
      <c r="AO93" s="209"/>
      <c r="AP93" s="79">
        <f t="shared" si="43"/>
        <v>5</v>
      </c>
      <c r="AQ93" s="79">
        <v>23</v>
      </c>
      <c r="AR93" s="79">
        <v>25</v>
      </c>
      <c r="AS93" s="73">
        <f t="shared" si="63"/>
        <v>48</v>
      </c>
      <c r="AT93" s="212"/>
      <c r="AU93" s="79">
        <f t="shared" si="44"/>
        <v>5</v>
      </c>
      <c r="AV93" s="75">
        <v>20</v>
      </c>
      <c r="AW93" s="79">
        <v>50</v>
      </c>
      <c r="AX93" s="80">
        <f t="shared" si="45"/>
        <v>70</v>
      </c>
      <c r="AY93" s="79">
        <v>26</v>
      </c>
      <c r="AZ93" s="80">
        <f t="shared" si="46"/>
        <v>96</v>
      </c>
      <c r="BA93" s="209"/>
      <c r="BB93" s="79">
        <f t="shared" si="47"/>
        <v>5</v>
      </c>
      <c r="BC93" s="75">
        <v>19</v>
      </c>
      <c r="BD93" s="79">
        <v>45</v>
      </c>
      <c r="BE93" s="80">
        <f t="shared" si="48"/>
        <v>64</v>
      </c>
      <c r="BF93" s="79">
        <v>29</v>
      </c>
      <c r="BG93" s="80">
        <f t="shared" si="49"/>
        <v>93</v>
      </c>
      <c r="BH93" s="209"/>
      <c r="BI93" s="79">
        <f t="shared" si="50"/>
        <v>5</v>
      </c>
      <c r="BJ93" s="75">
        <v>10</v>
      </c>
      <c r="BK93" s="79">
        <v>22</v>
      </c>
      <c r="BL93" s="80">
        <f t="shared" si="51"/>
        <v>32</v>
      </c>
      <c r="BM93" s="74">
        <f t="shared" si="64"/>
        <v>32</v>
      </c>
      <c r="BN93" s="209"/>
      <c r="BO93" s="79">
        <f t="shared" si="60"/>
        <v>3.5</v>
      </c>
      <c r="BP93" s="73">
        <f t="shared" si="65"/>
        <v>36.5</v>
      </c>
      <c r="BQ93" s="76">
        <f t="shared" si="66"/>
        <v>4.5625</v>
      </c>
      <c r="BR93" s="82" t="str">
        <f t="shared" si="52"/>
        <v>A</v>
      </c>
      <c r="BS93" s="64" t="str">
        <f t="shared" si="61"/>
        <v>BETTER</v>
      </c>
      <c r="BT93" s="60">
        <f t="shared" si="67"/>
        <v>673</v>
      </c>
      <c r="BU93" s="62"/>
      <c r="BV93" s="62"/>
    </row>
    <row r="94" spans="1:74" ht="27.95" customHeight="1">
      <c r="A94" s="71">
        <v>86</v>
      </c>
      <c r="B94" s="49">
        <v>111</v>
      </c>
      <c r="C94" s="50" t="s">
        <v>435</v>
      </c>
      <c r="D94" s="50" t="s">
        <v>436</v>
      </c>
      <c r="E94" s="50" t="s">
        <v>437</v>
      </c>
      <c r="F94" s="65" t="s">
        <v>438</v>
      </c>
      <c r="G94" s="72">
        <v>13</v>
      </c>
      <c r="H94" s="73">
        <v>14</v>
      </c>
      <c r="I94" s="74">
        <f t="shared" si="53"/>
        <v>27</v>
      </c>
      <c r="J94" s="73">
        <v>10</v>
      </c>
      <c r="K94" s="74">
        <f t="shared" si="54"/>
        <v>37</v>
      </c>
      <c r="L94" s="75">
        <v>8</v>
      </c>
      <c r="M94" s="73">
        <v>24</v>
      </c>
      <c r="N94" s="74">
        <f t="shared" si="55"/>
        <v>32</v>
      </c>
      <c r="O94" s="74">
        <f t="shared" si="62"/>
        <v>32</v>
      </c>
      <c r="P94" s="74">
        <f t="shared" si="59"/>
        <v>69</v>
      </c>
      <c r="Q94" s="210"/>
      <c r="R94" s="79">
        <f t="shared" si="35"/>
        <v>2</v>
      </c>
      <c r="S94" s="75">
        <v>13</v>
      </c>
      <c r="T94" s="79">
        <v>42</v>
      </c>
      <c r="U94" s="74">
        <f t="shared" si="36"/>
        <v>55</v>
      </c>
      <c r="V94" s="75">
        <v>6</v>
      </c>
      <c r="W94" s="79">
        <v>18</v>
      </c>
      <c r="X94" s="74">
        <f t="shared" si="37"/>
        <v>24</v>
      </c>
      <c r="Y94" s="74">
        <f t="shared" si="56"/>
        <v>79</v>
      </c>
      <c r="Z94" s="74">
        <f t="shared" si="57"/>
        <v>79</v>
      </c>
      <c r="AA94" s="210"/>
      <c r="AB94" s="79">
        <f t="shared" si="38"/>
        <v>3</v>
      </c>
      <c r="AC94" s="75">
        <v>5</v>
      </c>
      <c r="AD94" s="79">
        <v>15</v>
      </c>
      <c r="AE94" s="74">
        <f t="shared" si="39"/>
        <v>20</v>
      </c>
      <c r="AF94" s="73">
        <v>26</v>
      </c>
      <c r="AG94" s="74">
        <f t="shared" si="40"/>
        <v>46</v>
      </c>
      <c r="AH94" s="210"/>
      <c r="AI94" s="79">
        <f t="shared" si="41"/>
        <v>2</v>
      </c>
      <c r="AJ94" s="75">
        <v>15</v>
      </c>
      <c r="AK94" s="79">
        <v>29</v>
      </c>
      <c r="AL94" s="80">
        <f t="shared" si="42"/>
        <v>44</v>
      </c>
      <c r="AM94" s="73">
        <v>26</v>
      </c>
      <c r="AN94" s="74">
        <f t="shared" si="58"/>
        <v>70</v>
      </c>
      <c r="AO94" s="210"/>
      <c r="AP94" s="79">
        <f t="shared" si="43"/>
        <v>4</v>
      </c>
      <c r="AQ94" s="79">
        <v>23</v>
      </c>
      <c r="AR94" s="79">
        <v>25</v>
      </c>
      <c r="AS94" s="73">
        <f t="shared" si="63"/>
        <v>48</v>
      </c>
      <c r="AT94" s="213"/>
      <c r="AU94" s="79">
        <f t="shared" si="44"/>
        <v>5</v>
      </c>
      <c r="AV94" s="75">
        <v>16</v>
      </c>
      <c r="AW94" s="79">
        <v>34</v>
      </c>
      <c r="AX94" s="80">
        <f t="shared" si="45"/>
        <v>50</v>
      </c>
      <c r="AY94" s="79">
        <v>20</v>
      </c>
      <c r="AZ94" s="80">
        <f t="shared" si="46"/>
        <v>70</v>
      </c>
      <c r="BA94" s="210"/>
      <c r="BB94" s="79">
        <f t="shared" si="47"/>
        <v>4</v>
      </c>
      <c r="BC94" s="75">
        <v>16</v>
      </c>
      <c r="BD94" s="79">
        <v>28</v>
      </c>
      <c r="BE94" s="80">
        <f t="shared" si="48"/>
        <v>44</v>
      </c>
      <c r="BF94" s="79">
        <v>23</v>
      </c>
      <c r="BG94" s="80">
        <f t="shared" si="49"/>
        <v>67</v>
      </c>
      <c r="BH94" s="210"/>
      <c r="BI94" s="79">
        <f t="shared" si="50"/>
        <v>3.5</v>
      </c>
      <c r="BJ94" s="75">
        <v>10</v>
      </c>
      <c r="BK94" s="79">
        <v>22</v>
      </c>
      <c r="BL94" s="80">
        <f t="shared" si="51"/>
        <v>32</v>
      </c>
      <c r="BM94" s="74">
        <f t="shared" si="64"/>
        <v>32</v>
      </c>
      <c r="BN94" s="210"/>
      <c r="BO94" s="79">
        <f t="shared" si="60"/>
        <v>3.5</v>
      </c>
      <c r="BP94" s="73">
        <f t="shared" si="65"/>
        <v>27</v>
      </c>
      <c r="BQ94" s="76">
        <f t="shared" si="66"/>
        <v>3.375</v>
      </c>
      <c r="BR94" s="81" t="str">
        <f t="shared" si="52"/>
        <v>B</v>
      </c>
      <c r="BS94" s="64" t="str">
        <f t="shared" si="61"/>
        <v>GOOD</v>
      </c>
      <c r="BT94" s="60">
        <f t="shared" si="67"/>
        <v>481</v>
      </c>
      <c r="BU94" s="62"/>
      <c r="BV94" s="62"/>
    </row>
    <row r="97" spans="1:74">
      <c r="A97" s="84">
        <v>0</v>
      </c>
      <c r="B97" s="85">
        <v>1</v>
      </c>
      <c r="C97" s="86">
        <v>2</v>
      </c>
      <c r="D97" s="86">
        <v>3</v>
      </c>
      <c r="E97" s="84">
        <v>4</v>
      </c>
      <c r="F97" s="85">
        <v>5</v>
      </c>
      <c r="G97" s="86">
        <v>6</v>
      </c>
      <c r="H97" s="86">
        <v>7</v>
      </c>
      <c r="I97" s="84">
        <v>8</v>
      </c>
      <c r="J97" s="85">
        <v>9</v>
      </c>
      <c r="K97" s="86">
        <v>10</v>
      </c>
      <c r="L97" s="86">
        <v>11</v>
      </c>
      <c r="M97" s="84">
        <v>12</v>
      </c>
      <c r="N97" s="85">
        <v>13</v>
      </c>
      <c r="O97" s="86">
        <v>14</v>
      </c>
      <c r="P97" s="86">
        <v>15</v>
      </c>
      <c r="Q97" s="84">
        <v>16</v>
      </c>
      <c r="R97" s="85">
        <v>17</v>
      </c>
      <c r="S97" s="86">
        <v>18</v>
      </c>
      <c r="T97" s="86">
        <v>19</v>
      </c>
      <c r="U97" s="84">
        <v>20</v>
      </c>
      <c r="V97" s="85">
        <v>21</v>
      </c>
      <c r="W97" s="86">
        <v>22</v>
      </c>
      <c r="X97" s="86">
        <v>23</v>
      </c>
      <c r="Y97" s="84">
        <v>24</v>
      </c>
      <c r="Z97" s="85">
        <v>25</v>
      </c>
      <c r="AA97" s="86">
        <v>26</v>
      </c>
      <c r="AB97" s="86">
        <v>27</v>
      </c>
      <c r="AC97" s="84">
        <v>28</v>
      </c>
      <c r="AD97" s="85">
        <v>29</v>
      </c>
      <c r="AE97" s="86">
        <v>30</v>
      </c>
      <c r="AF97" s="86">
        <v>31</v>
      </c>
      <c r="AG97" s="84">
        <v>32</v>
      </c>
      <c r="AH97" s="85">
        <v>33</v>
      </c>
      <c r="AI97" s="86">
        <v>34</v>
      </c>
      <c r="AJ97" s="86">
        <v>35</v>
      </c>
      <c r="AK97" s="84">
        <v>36</v>
      </c>
      <c r="AL97" s="85">
        <v>37</v>
      </c>
      <c r="AM97" s="86">
        <v>38</v>
      </c>
      <c r="AN97" s="86">
        <v>39</v>
      </c>
      <c r="AO97" s="84">
        <v>40</v>
      </c>
      <c r="AP97" s="85">
        <v>41</v>
      </c>
      <c r="AQ97" s="86">
        <v>42</v>
      </c>
      <c r="AR97" s="86">
        <v>43</v>
      </c>
      <c r="AS97" s="84">
        <v>44</v>
      </c>
      <c r="AT97" s="85">
        <v>45</v>
      </c>
      <c r="AU97" s="86">
        <v>46</v>
      </c>
      <c r="AV97" s="86">
        <v>47</v>
      </c>
      <c r="AW97" s="84">
        <v>48</v>
      </c>
      <c r="AX97" s="85">
        <v>49</v>
      </c>
      <c r="AY97" s="86">
        <v>50</v>
      </c>
      <c r="AZ97" s="86">
        <v>51</v>
      </c>
      <c r="BA97" s="84">
        <v>52</v>
      </c>
      <c r="BB97" s="85">
        <v>53</v>
      </c>
      <c r="BC97" s="86">
        <v>54</v>
      </c>
      <c r="BD97" s="86">
        <v>55</v>
      </c>
      <c r="BE97" s="84">
        <v>56</v>
      </c>
      <c r="BF97" s="85">
        <v>57</v>
      </c>
      <c r="BG97" s="86">
        <v>58</v>
      </c>
      <c r="BH97" s="86">
        <v>59</v>
      </c>
      <c r="BI97" s="84">
        <v>60</v>
      </c>
      <c r="BJ97" s="85">
        <v>61</v>
      </c>
      <c r="BK97" s="86">
        <v>62</v>
      </c>
      <c r="BL97" s="86">
        <v>63</v>
      </c>
      <c r="BM97" s="84">
        <v>64</v>
      </c>
      <c r="BN97" s="85">
        <v>65</v>
      </c>
      <c r="BO97" s="86">
        <v>66</v>
      </c>
      <c r="BP97" s="86">
        <v>67</v>
      </c>
      <c r="BQ97" s="84">
        <v>68</v>
      </c>
      <c r="BR97" s="85">
        <v>69</v>
      </c>
      <c r="BS97" s="86">
        <v>70</v>
      </c>
      <c r="BT97" s="86">
        <v>71</v>
      </c>
      <c r="BU97" s="84">
        <v>72</v>
      </c>
      <c r="BV97" s="85">
        <v>73</v>
      </c>
    </row>
  </sheetData>
  <mergeCells count="58">
    <mergeCell ref="B1:BU6"/>
    <mergeCell ref="A7:A8"/>
    <mergeCell ref="B7:B8"/>
    <mergeCell ref="C7:C8"/>
    <mergeCell ref="E7:E8"/>
    <mergeCell ref="D7:D8"/>
    <mergeCell ref="AB7:AB8"/>
    <mergeCell ref="R7:R8"/>
    <mergeCell ref="BA7:BA8"/>
    <mergeCell ref="BB7:BB8"/>
    <mergeCell ref="Q7:Q8"/>
    <mergeCell ref="S7:X7"/>
    <mergeCell ref="Y7:Y8"/>
    <mergeCell ref="Z7:Z8"/>
    <mergeCell ref="AA7:AA8"/>
    <mergeCell ref="AC7:AF7"/>
    <mergeCell ref="F7:F8"/>
    <mergeCell ref="G7:J7"/>
    <mergeCell ref="K7:K8"/>
    <mergeCell ref="L7:N7"/>
    <mergeCell ref="P7:P8"/>
    <mergeCell ref="O7:O8"/>
    <mergeCell ref="AG7:AG8"/>
    <mergeCell ref="AJ7:AM7"/>
    <mergeCell ref="AV7:AY7"/>
    <mergeCell ref="BC7:BF7"/>
    <mergeCell ref="BG7:BG8"/>
    <mergeCell ref="AP7:AP8"/>
    <mergeCell ref="AQ7:AR7"/>
    <mergeCell ref="AT7:AT8"/>
    <mergeCell ref="AU7:AU8"/>
    <mergeCell ref="AN7:AN8"/>
    <mergeCell ref="AZ7:AZ8"/>
    <mergeCell ref="AS7:AS8"/>
    <mergeCell ref="AI7:AI8"/>
    <mergeCell ref="AO7:AO8"/>
    <mergeCell ref="AH7:AH8"/>
    <mergeCell ref="BV7:BV8"/>
    <mergeCell ref="BO7:BO8"/>
    <mergeCell ref="BP7:BP8"/>
    <mergeCell ref="BQ7:BQ8"/>
    <mergeCell ref="BR7:BR8"/>
    <mergeCell ref="BS7:BS8"/>
    <mergeCell ref="BA9:BA94"/>
    <mergeCell ref="BH9:BH94"/>
    <mergeCell ref="BN9:BN94"/>
    <mergeCell ref="BT7:BT8"/>
    <mergeCell ref="BU7:BU8"/>
    <mergeCell ref="BH7:BH8"/>
    <mergeCell ref="BI7:BI8"/>
    <mergeCell ref="BJ7:BL7"/>
    <mergeCell ref="BM7:BM8"/>
    <mergeCell ref="BN7:BN8"/>
    <mergeCell ref="Q9:Q94"/>
    <mergeCell ref="AA9:AA94"/>
    <mergeCell ref="AH9:AH94"/>
    <mergeCell ref="AO9:AO94"/>
    <mergeCell ref="AT9:AT94"/>
  </mergeCells>
  <pageMargins left="0.23622047244094491" right="0.23622047244094491" top="0.74803149606299213" bottom="0.74803149606299213" header="0.31496062992125984" footer="0.31496062992125984"/>
  <pageSetup paperSize="5" scale="7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CD97"/>
  <sheetViews>
    <sheetView zoomScale="70" zoomScaleNormal="70" workbookViewId="0">
      <pane xSplit="2" ySplit="8" topLeftCell="C78" activePane="bottomRight" state="frozen"/>
      <selection pane="topRight" activeCell="C1" sqref="C1"/>
      <selection pane="bottomLeft" activeCell="A9" sqref="A9"/>
      <selection pane="bottomRight" activeCell="C94" sqref="B94:C94"/>
    </sheetView>
  </sheetViews>
  <sheetFormatPr defaultColWidth="3.7109375" defaultRowHeight="15"/>
  <cols>
    <col min="1" max="1" width="5.7109375" customWidth="1"/>
    <col min="2" max="2" width="5.5703125" bestFit="1" customWidth="1"/>
    <col min="3" max="3" width="31.85546875" bestFit="1" customWidth="1"/>
    <col min="4" max="4" width="27.5703125" hidden="1" customWidth="1"/>
    <col min="5" max="5" width="27.7109375" hidden="1" customWidth="1"/>
    <col min="6" max="6" width="17.140625" hidden="1" customWidth="1"/>
    <col min="7" max="70" width="5.7109375" customWidth="1"/>
    <col min="71" max="71" width="17.85546875" bestFit="1" customWidth="1"/>
    <col min="72" max="72" width="12.5703125" bestFit="1" customWidth="1"/>
    <col min="73" max="73" width="8.28515625" hidden="1" customWidth="1"/>
    <col min="74" max="74" width="9.42578125" hidden="1" customWidth="1"/>
    <col min="75" max="82" width="10.7109375" customWidth="1"/>
  </cols>
  <sheetData>
    <row r="1" spans="1:82" ht="20.100000000000001" customHeight="1">
      <c r="B1" s="204" t="s">
        <v>440</v>
      </c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4"/>
      <c r="T1" s="204"/>
      <c r="U1" s="204"/>
      <c r="V1" s="204"/>
      <c r="W1" s="204"/>
      <c r="X1" s="204"/>
      <c r="Y1" s="204"/>
      <c r="Z1" s="204"/>
      <c r="AA1" s="204"/>
      <c r="AB1" s="204"/>
      <c r="AC1" s="204"/>
      <c r="AD1" s="204"/>
      <c r="AE1" s="204"/>
      <c r="AF1" s="204"/>
      <c r="AG1" s="204"/>
      <c r="AH1" s="204"/>
      <c r="AI1" s="204"/>
      <c r="AJ1" s="204"/>
      <c r="AK1" s="204"/>
      <c r="AL1" s="204"/>
      <c r="AM1" s="204"/>
      <c r="AN1" s="204"/>
      <c r="AO1" s="204"/>
      <c r="AP1" s="204"/>
      <c r="AQ1" s="204"/>
      <c r="AR1" s="204"/>
      <c r="AS1" s="204"/>
      <c r="AT1" s="204"/>
      <c r="AU1" s="204"/>
      <c r="AV1" s="204"/>
      <c r="AW1" s="204"/>
      <c r="AX1" s="204"/>
      <c r="AY1" s="204"/>
      <c r="AZ1" s="204"/>
      <c r="BA1" s="204"/>
      <c r="BB1" s="204"/>
      <c r="BC1" s="204"/>
      <c r="BD1" s="204"/>
      <c r="BE1" s="204"/>
      <c r="BF1" s="204"/>
      <c r="BG1" s="204"/>
      <c r="BH1" s="204"/>
      <c r="BI1" s="204"/>
      <c r="BJ1" s="204"/>
      <c r="BK1" s="204"/>
      <c r="BL1" s="204"/>
      <c r="BM1" s="204"/>
      <c r="BN1" s="204"/>
      <c r="BO1" s="204"/>
      <c r="BP1" s="204"/>
      <c r="BQ1" s="204"/>
      <c r="BR1" s="204"/>
      <c r="BS1" s="204"/>
      <c r="BT1" s="204"/>
      <c r="BU1" s="204"/>
    </row>
    <row r="2" spans="1:82" ht="20.100000000000001" customHeight="1"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204"/>
      <c r="BO2" s="204"/>
      <c r="BP2" s="204"/>
      <c r="BQ2" s="204"/>
      <c r="BR2" s="204"/>
      <c r="BS2" s="204"/>
      <c r="BT2" s="204"/>
      <c r="BU2" s="204"/>
    </row>
    <row r="3" spans="1:82" ht="20.100000000000001" customHeight="1">
      <c r="B3" s="204"/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204"/>
      <c r="BO3" s="204"/>
      <c r="BP3" s="204"/>
      <c r="BQ3" s="204"/>
      <c r="BR3" s="204"/>
      <c r="BS3" s="204"/>
      <c r="BT3" s="204"/>
      <c r="BU3" s="204"/>
    </row>
    <row r="4" spans="1:82" ht="20.100000000000001" customHeight="1">
      <c r="B4" s="204"/>
      <c r="C4" s="204"/>
      <c r="D4" s="204"/>
      <c r="E4" s="204"/>
      <c r="F4" s="204"/>
      <c r="G4" s="204"/>
      <c r="H4" s="204"/>
      <c r="I4" s="204"/>
      <c r="J4" s="204"/>
      <c r="K4" s="204"/>
      <c r="L4" s="204"/>
      <c r="M4" s="204"/>
      <c r="N4" s="204"/>
      <c r="O4" s="204"/>
      <c r="P4" s="204"/>
      <c r="Q4" s="204"/>
      <c r="R4" s="204"/>
      <c r="S4" s="204"/>
      <c r="T4" s="204"/>
      <c r="U4" s="204"/>
      <c r="V4" s="204"/>
      <c r="W4" s="204"/>
      <c r="X4" s="204"/>
      <c r="Y4" s="204"/>
      <c r="Z4" s="204"/>
      <c r="AA4" s="204"/>
      <c r="AB4" s="204"/>
      <c r="AC4" s="204"/>
      <c r="AD4" s="204"/>
      <c r="AE4" s="204"/>
      <c r="AF4" s="204"/>
      <c r="AG4" s="204"/>
      <c r="AH4" s="204"/>
      <c r="AI4" s="204"/>
      <c r="AJ4" s="204"/>
      <c r="AK4" s="204"/>
      <c r="AL4" s="204"/>
      <c r="AM4" s="204"/>
      <c r="AN4" s="204"/>
      <c r="AO4" s="204"/>
      <c r="AP4" s="204"/>
      <c r="AQ4" s="204"/>
      <c r="AR4" s="204"/>
      <c r="AS4" s="204"/>
      <c r="AT4" s="204"/>
      <c r="AU4" s="204"/>
      <c r="AV4" s="204"/>
      <c r="AW4" s="204"/>
      <c r="AX4" s="204"/>
      <c r="AY4" s="204"/>
      <c r="AZ4" s="204"/>
      <c r="BA4" s="204"/>
      <c r="BB4" s="204"/>
      <c r="BC4" s="204"/>
      <c r="BD4" s="204"/>
      <c r="BE4" s="204"/>
      <c r="BF4" s="204"/>
      <c r="BG4" s="204"/>
      <c r="BH4" s="204"/>
      <c r="BI4" s="204"/>
      <c r="BJ4" s="204"/>
      <c r="BK4" s="204"/>
      <c r="BL4" s="204"/>
      <c r="BM4" s="204"/>
      <c r="BN4" s="204"/>
      <c r="BO4" s="204"/>
      <c r="BP4" s="204"/>
      <c r="BQ4" s="204"/>
      <c r="BR4" s="204"/>
      <c r="BS4" s="204"/>
      <c r="BT4" s="204"/>
      <c r="BU4" s="204"/>
    </row>
    <row r="5" spans="1:82" ht="20.100000000000001" customHeight="1">
      <c r="B5" s="204"/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</row>
    <row r="6" spans="1:82" ht="20.100000000000001" customHeight="1">
      <c r="B6" s="204"/>
      <c r="C6" s="204"/>
      <c r="D6" s="204"/>
      <c r="E6" s="204"/>
      <c r="F6" s="204"/>
      <c r="G6" s="204"/>
      <c r="H6" s="204"/>
      <c r="I6" s="204"/>
      <c r="J6" s="204"/>
      <c r="K6" s="204"/>
      <c r="L6" s="204"/>
      <c r="M6" s="204"/>
      <c r="N6" s="204"/>
      <c r="O6" s="204"/>
      <c r="P6" s="204"/>
      <c r="Q6" s="204"/>
      <c r="R6" s="204"/>
      <c r="S6" s="204"/>
      <c r="T6" s="204"/>
      <c r="U6" s="204"/>
      <c r="V6" s="204"/>
      <c r="W6" s="204"/>
      <c r="X6" s="204"/>
      <c r="Y6" s="204"/>
      <c r="Z6" s="204"/>
      <c r="AA6" s="204"/>
      <c r="AB6" s="204"/>
      <c r="AC6" s="204"/>
      <c r="AD6" s="204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  <c r="AP6" s="204"/>
      <c r="AQ6" s="204"/>
      <c r="AR6" s="204"/>
      <c r="AS6" s="204"/>
      <c r="AT6" s="204"/>
      <c r="AU6" s="204"/>
      <c r="AV6" s="204"/>
      <c r="AW6" s="204"/>
      <c r="AX6" s="204"/>
      <c r="AY6" s="204"/>
      <c r="AZ6" s="204"/>
      <c r="BA6" s="204"/>
      <c r="BB6" s="204"/>
      <c r="BC6" s="204"/>
      <c r="BD6" s="204"/>
      <c r="BE6" s="204"/>
      <c r="BF6" s="204"/>
      <c r="BG6" s="204"/>
      <c r="BH6" s="204"/>
      <c r="BI6" s="204"/>
      <c r="BJ6" s="204"/>
      <c r="BK6" s="204"/>
      <c r="BL6" s="204"/>
      <c r="BM6" s="204"/>
      <c r="BN6" s="204"/>
      <c r="BO6" s="204"/>
      <c r="BP6" s="204"/>
      <c r="BQ6" s="204"/>
      <c r="BR6" s="204"/>
      <c r="BS6" s="204"/>
      <c r="BT6" s="204"/>
      <c r="BU6" s="204"/>
    </row>
    <row r="7" spans="1:82" s="54" customFormat="1" ht="27.95" customHeight="1">
      <c r="A7" s="196" t="s">
        <v>186</v>
      </c>
      <c r="B7" s="196" t="s">
        <v>0</v>
      </c>
      <c r="C7" s="198" t="s">
        <v>187</v>
      </c>
      <c r="D7" s="198" t="s">
        <v>188</v>
      </c>
      <c r="E7" s="198" t="s">
        <v>189</v>
      </c>
      <c r="F7" s="198" t="s">
        <v>190</v>
      </c>
      <c r="G7" s="195" t="s">
        <v>191</v>
      </c>
      <c r="H7" s="195"/>
      <c r="I7" s="195"/>
      <c r="J7" s="195"/>
      <c r="K7" s="199" t="s">
        <v>192</v>
      </c>
      <c r="L7" s="195" t="s">
        <v>193</v>
      </c>
      <c r="M7" s="195"/>
      <c r="N7" s="195"/>
      <c r="O7" s="199" t="s">
        <v>192</v>
      </c>
      <c r="P7" s="195" t="s">
        <v>7</v>
      </c>
      <c r="Q7" s="195" t="s">
        <v>194</v>
      </c>
      <c r="R7" s="195" t="s">
        <v>1</v>
      </c>
      <c r="S7" s="195" t="s">
        <v>195</v>
      </c>
      <c r="T7" s="195"/>
      <c r="U7" s="195"/>
      <c r="V7" s="195"/>
      <c r="W7" s="195"/>
      <c r="X7" s="195"/>
      <c r="Y7" s="199" t="s">
        <v>192</v>
      </c>
      <c r="Z7" s="199" t="s">
        <v>7</v>
      </c>
      <c r="AA7" s="195" t="s">
        <v>194</v>
      </c>
      <c r="AB7" s="195" t="s">
        <v>1</v>
      </c>
      <c r="AC7" s="195" t="s">
        <v>11</v>
      </c>
      <c r="AD7" s="195"/>
      <c r="AE7" s="195"/>
      <c r="AF7" s="195"/>
      <c r="AG7" s="195" t="s">
        <v>7</v>
      </c>
      <c r="AH7" s="195" t="s">
        <v>194</v>
      </c>
      <c r="AI7" s="195" t="s">
        <v>1</v>
      </c>
      <c r="AJ7" s="195" t="s">
        <v>18</v>
      </c>
      <c r="AK7" s="195"/>
      <c r="AL7" s="195"/>
      <c r="AM7" s="195"/>
      <c r="AN7" s="195" t="s">
        <v>7</v>
      </c>
      <c r="AO7" s="195" t="s">
        <v>194</v>
      </c>
      <c r="AP7" s="195" t="s">
        <v>1</v>
      </c>
      <c r="AQ7" s="195" t="s">
        <v>6</v>
      </c>
      <c r="AR7" s="195"/>
      <c r="AS7" s="195" t="s">
        <v>7</v>
      </c>
      <c r="AT7" s="195" t="s">
        <v>194</v>
      </c>
      <c r="AU7" s="195" t="s">
        <v>1</v>
      </c>
      <c r="AV7" s="195" t="s">
        <v>4</v>
      </c>
      <c r="AW7" s="195"/>
      <c r="AX7" s="195"/>
      <c r="AY7" s="195"/>
      <c r="AZ7" s="195" t="s">
        <v>7</v>
      </c>
      <c r="BA7" s="195" t="s">
        <v>194</v>
      </c>
      <c r="BB7" s="195" t="s">
        <v>1</v>
      </c>
      <c r="BC7" s="195" t="s">
        <v>5</v>
      </c>
      <c r="BD7" s="195"/>
      <c r="BE7" s="195"/>
      <c r="BF7" s="195"/>
      <c r="BG7" s="195" t="s">
        <v>7</v>
      </c>
      <c r="BH7" s="195" t="s">
        <v>194</v>
      </c>
      <c r="BI7" s="195" t="s">
        <v>1</v>
      </c>
      <c r="BJ7" s="195" t="s">
        <v>196</v>
      </c>
      <c r="BK7" s="195"/>
      <c r="BL7" s="195"/>
      <c r="BM7" s="195" t="s">
        <v>7</v>
      </c>
      <c r="BN7" s="195" t="s">
        <v>194</v>
      </c>
      <c r="BO7" s="195" t="s">
        <v>1</v>
      </c>
      <c r="BP7" s="195" t="s">
        <v>2</v>
      </c>
      <c r="BQ7" s="195" t="s">
        <v>3</v>
      </c>
      <c r="BR7" s="195" t="s">
        <v>24</v>
      </c>
      <c r="BS7" s="195" t="s">
        <v>197</v>
      </c>
      <c r="BT7" s="195" t="s">
        <v>198</v>
      </c>
      <c r="BU7" s="195" t="s">
        <v>199</v>
      </c>
      <c r="BV7" s="195" t="s">
        <v>200</v>
      </c>
      <c r="BW7" s="180" t="s">
        <v>457</v>
      </c>
      <c r="BX7" s="181"/>
      <c r="BY7" s="181"/>
      <c r="BZ7" s="181"/>
      <c r="CA7" s="219" t="s">
        <v>462</v>
      </c>
      <c r="CB7" s="219" t="s">
        <v>463</v>
      </c>
      <c r="CC7" s="219" t="s">
        <v>464</v>
      </c>
      <c r="CD7" s="221" t="s">
        <v>465</v>
      </c>
    </row>
    <row r="8" spans="1:82" s="55" customFormat="1" ht="27.95" customHeight="1">
      <c r="A8" s="196"/>
      <c r="B8" s="196"/>
      <c r="C8" s="198"/>
      <c r="D8" s="198"/>
      <c r="E8" s="198"/>
      <c r="F8" s="198"/>
      <c r="G8" s="57" t="s">
        <v>12</v>
      </c>
      <c r="H8" s="58" t="s">
        <v>201</v>
      </c>
      <c r="I8" s="58" t="s">
        <v>202</v>
      </c>
      <c r="J8" s="58" t="s">
        <v>203</v>
      </c>
      <c r="K8" s="200"/>
      <c r="L8" s="57" t="s">
        <v>12</v>
      </c>
      <c r="M8" s="58" t="s">
        <v>201</v>
      </c>
      <c r="N8" s="58" t="s">
        <v>202</v>
      </c>
      <c r="O8" s="200"/>
      <c r="P8" s="195"/>
      <c r="Q8" s="195"/>
      <c r="R8" s="195"/>
      <c r="S8" s="57" t="s">
        <v>12</v>
      </c>
      <c r="T8" s="58" t="s">
        <v>204</v>
      </c>
      <c r="U8" s="58" t="s">
        <v>205</v>
      </c>
      <c r="V8" s="58" t="s">
        <v>12</v>
      </c>
      <c r="W8" s="58" t="s">
        <v>206</v>
      </c>
      <c r="X8" s="58" t="s">
        <v>205</v>
      </c>
      <c r="Y8" s="200"/>
      <c r="Z8" s="200"/>
      <c r="AA8" s="195"/>
      <c r="AB8" s="195"/>
      <c r="AC8" s="57" t="s">
        <v>12</v>
      </c>
      <c r="AD8" s="58" t="s">
        <v>201</v>
      </c>
      <c r="AE8" s="58" t="s">
        <v>202</v>
      </c>
      <c r="AF8" s="58" t="s">
        <v>203</v>
      </c>
      <c r="AG8" s="195"/>
      <c r="AH8" s="195"/>
      <c r="AI8" s="195"/>
      <c r="AJ8" s="57" t="s">
        <v>12</v>
      </c>
      <c r="AK8" s="147" t="s">
        <v>201</v>
      </c>
      <c r="AL8" s="147" t="s">
        <v>202</v>
      </c>
      <c r="AM8" s="147" t="s">
        <v>203</v>
      </c>
      <c r="AN8" s="195"/>
      <c r="AO8" s="195"/>
      <c r="AP8" s="195"/>
      <c r="AQ8" s="147" t="s">
        <v>203</v>
      </c>
      <c r="AR8" s="147" t="s">
        <v>207</v>
      </c>
      <c r="AS8" s="195"/>
      <c r="AT8" s="195"/>
      <c r="AU8" s="195"/>
      <c r="AV8" s="57" t="s">
        <v>12</v>
      </c>
      <c r="AW8" s="147" t="s">
        <v>201</v>
      </c>
      <c r="AX8" s="147" t="s">
        <v>202</v>
      </c>
      <c r="AY8" s="147" t="s">
        <v>203</v>
      </c>
      <c r="AZ8" s="195"/>
      <c r="BA8" s="195"/>
      <c r="BB8" s="195"/>
      <c r="BC8" s="57" t="s">
        <v>12</v>
      </c>
      <c r="BD8" s="147" t="s">
        <v>201</v>
      </c>
      <c r="BE8" s="147" t="s">
        <v>202</v>
      </c>
      <c r="BF8" s="147" t="s">
        <v>203</v>
      </c>
      <c r="BG8" s="195"/>
      <c r="BH8" s="195"/>
      <c r="BI8" s="195"/>
      <c r="BJ8" s="57" t="s">
        <v>12</v>
      </c>
      <c r="BK8" s="147" t="s">
        <v>201</v>
      </c>
      <c r="BL8" s="147" t="s">
        <v>202</v>
      </c>
      <c r="BM8" s="195"/>
      <c r="BN8" s="195"/>
      <c r="BO8" s="195"/>
      <c r="BP8" s="195"/>
      <c r="BQ8" s="195"/>
      <c r="BR8" s="195"/>
      <c r="BS8" s="195"/>
      <c r="BT8" s="195"/>
      <c r="BU8" s="195"/>
      <c r="BV8" s="195"/>
      <c r="BW8" s="176" t="s">
        <v>458</v>
      </c>
      <c r="BX8" s="177" t="s">
        <v>459</v>
      </c>
      <c r="BY8" s="176" t="s">
        <v>460</v>
      </c>
      <c r="BZ8" s="177" t="s">
        <v>461</v>
      </c>
      <c r="CA8" s="220"/>
      <c r="CB8" s="220"/>
      <c r="CC8" s="220"/>
      <c r="CD8" s="222"/>
    </row>
    <row r="9" spans="1:82" ht="27.95" customHeight="1">
      <c r="A9" s="71">
        <v>1</v>
      </c>
      <c r="B9" s="49">
        <v>1</v>
      </c>
      <c r="C9" s="50" t="s">
        <v>63</v>
      </c>
      <c r="D9" s="50" t="s">
        <v>64</v>
      </c>
      <c r="E9" s="50" t="s">
        <v>65</v>
      </c>
      <c r="F9" s="65" t="s">
        <v>208</v>
      </c>
      <c r="G9" s="78">
        <v>20</v>
      </c>
      <c r="H9" s="150">
        <v>45</v>
      </c>
      <c r="I9" s="151">
        <f>H9+G9</f>
        <v>65</v>
      </c>
      <c r="J9" s="150">
        <v>29</v>
      </c>
      <c r="K9" s="151">
        <f>I9+J9</f>
        <v>94</v>
      </c>
      <c r="L9" s="149">
        <v>10</v>
      </c>
      <c r="M9" s="150">
        <v>39</v>
      </c>
      <c r="N9" s="151">
        <f>M9+L9</f>
        <v>49</v>
      </c>
      <c r="O9" s="151">
        <f>N9</f>
        <v>49</v>
      </c>
      <c r="P9" s="151">
        <f t="shared" ref="P9:P40" si="0">K9+O9</f>
        <v>143</v>
      </c>
      <c r="Q9" s="214">
        <f>MAX(P9:P95)</f>
        <v>143</v>
      </c>
      <c r="R9" s="150">
        <f>IF(P9&lt;60,"F",IF(P9&lt;75,2,IF(P9&lt;90,3,IF(P9&lt;105,3.5,IF(P9&lt;120,4,5)))))</f>
        <v>5</v>
      </c>
      <c r="S9" s="149">
        <v>20</v>
      </c>
      <c r="T9" s="150">
        <v>72</v>
      </c>
      <c r="U9" s="151">
        <f>T9+S9</f>
        <v>92</v>
      </c>
      <c r="V9" s="149">
        <v>10</v>
      </c>
      <c r="W9" s="150">
        <v>38</v>
      </c>
      <c r="X9" s="151">
        <f>W9+V9</f>
        <v>48</v>
      </c>
      <c r="Y9" s="151">
        <f>U9+X9</f>
        <v>140</v>
      </c>
      <c r="Z9" s="151">
        <f t="shared" ref="Z9:Z51" si="1">Y9</f>
        <v>140</v>
      </c>
      <c r="AA9" s="214">
        <f>MAX(Z9:Z95)</f>
        <v>143</v>
      </c>
      <c r="AB9" s="150">
        <f>IF(Z9&lt;60,0,IF(Z9&lt;75,2,IF(Z9&lt;90,3,IF(Z9&lt;105,3.5,IF(Z9&lt;120,4,5)))))</f>
        <v>5</v>
      </c>
      <c r="AC9" s="149">
        <v>20</v>
      </c>
      <c r="AD9" s="150">
        <v>46</v>
      </c>
      <c r="AE9" s="151">
        <f>AD9+AC9</f>
        <v>66</v>
      </c>
      <c r="AF9" s="150">
        <v>26</v>
      </c>
      <c r="AG9" s="151">
        <f>AE9+AF9</f>
        <v>92</v>
      </c>
      <c r="AH9" s="214">
        <f>MAX(AG9:AG95)</f>
        <v>95</v>
      </c>
      <c r="AI9" s="150">
        <f>IF(AG9&lt;40,"F",IF(AG9&lt;50,2,IF(AG9&lt;60,3,IF(AG9&lt;70,3.5,IF(AG9&lt;80,4,5)))))</f>
        <v>5</v>
      </c>
      <c r="AJ9" s="149">
        <v>20</v>
      </c>
      <c r="AK9" s="150">
        <v>49</v>
      </c>
      <c r="AL9" s="151">
        <f>AK9+AJ9</f>
        <v>69</v>
      </c>
      <c r="AM9" s="150">
        <v>30</v>
      </c>
      <c r="AN9" s="151">
        <f>+AL9+AM9</f>
        <v>99</v>
      </c>
      <c r="AO9" s="217">
        <f>MAX(AN9:AN95)</f>
        <v>99</v>
      </c>
      <c r="AP9" s="150">
        <f>IF(AN9&lt;40,"F",IF(AN9&lt;50,2,IF(AN9&lt;60,3,IF(AN9&lt;70,3.5,IF(AN9&lt;80,4,5)))))</f>
        <v>5</v>
      </c>
      <c r="AQ9" s="150">
        <v>25</v>
      </c>
      <c r="AR9" s="150">
        <v>25</v>
      </c>
      <c r="AS9" s="150">
        <f>AQ9+AR9</f>
        <v>50</v>
      </c>
      <c r="AT9" s="218">
        <f>MAX(AS9:AS95)</f>
        <v>50</v>
      </c>
      <c r="AU9" s="150">
        <f>IF(AS9&lt;20,"F",IF(AS9&lt;25,2,IF(AS9&lt;30,3,IF(AS9&lt;35,3.5,IF(AS9&lt;40,4,5)))))</f>
        <v>5</v>
      </c>
      <c r="AV9" s="149">
        <v>20</v>
      </c>
      <c r="AW9" s="150">
        <v>47</v>
      </c>
      <c r="AX9" s="151">
        <f>AW9+AV9</f>
        <v>67</v>
      </c>
      <c r="AY9" s="150">
        <v>24</v>
      </c>
      <c r="AZ9" s="151">
        <f>AX9+AY9</f>
        <v>91</v>
      </c>
      <c r="BA9" s="217">
        <f>MAX(AZ9:AZ95)</f>
        <v>96</v>
      </c>
      <c r="BB9" s="150">
        <f>IF(AZ9&lt;40,"F",IF(AZ9&lt;50,2,IF(AZ9&lt;60,3,IF(AZ9&lt;70,3.5,IF(AZ9&lt;80,4,5)))))</f>
        <v>5</v>
      </c>
      <c r="BC9" s="149">
        <v>19</v>
      </c>
      <c r="BD9" s="150">
        <v>48</v>
      </c>
      <c r="BE9" s="151">
        <f>BD9+BC9</f>
        <v>67</v>
      </c>
      <c r="BF9" s="150">
        <v>30</v>
      </c>
      <c r="BG9" s="151">
        <f>BE9+BF9</f>
        <v>97</v>
      </c>
      <c r="BH9" s="217">
        <f>MAX(BG9:BG95)</f>
        <v>98</v>
      </c>
      <c r="BI9" s="150">
        <f>IF(BG9&lt;40,"F",IF(BG9&lt;50,2,IF(BG9&lt;60,3,IF(BG9&lt;70,3.5,IF(BG9&lt;80,4,5)))))</f>
        <v>5</v>
      </c>
      <c r="BJ9" s="149">
        <v>10</v>
      </c>
      <c r="BK9" s="150">
        <v>40</v>
      </c>
      <c r="BL9" s="151">
        <f>BK9+BJ9</f>
        <v>50</v>
      </c>
      <c r="BM9" s="151">
        <f>BL9</f>
        <v>50</v>
      </c>
      <c r="BN9" s="217">
        <f>MAX(BM9:BM95)</f>
        <v>50</v>
      </c>
      <c r="BO9" s="150">
        <f t="shared" ref="BO9:BO40" si="2">IF(BL9&lt;20,"F",IF(BM9&lt;20,"F",IF(BM9&lt;25,2,IF(BM9&lt;30,3,IF(BM9&lt;35,3.5,IF(BM9&lt;40,4,5))))))</f>
        <v>5</v>
      </c>
      <c r="BP9" s="150">
        <f>IF(R9="F","F",IF(AB9="F","F",IF(AI9="F","F",IF(AP9="F","F",IF(BB9="F","F",IF(BI9="F","F",IF(AU9="F","F",IF(BO9="F","F",SUM(R9,AB9,AI9,AP9,AU9,BB9,BO9,BI9)))))))))</f>
        <v>40</v>
      </c>
      <c r="BQ9" s="152">
        <f>IF(BP9="F","F",IF(BP9&gt;=45,5,IF(BP9&lt;45,BP9/8)))</f>
        <v>5</v>
      </c>
      <c r="BR9" s="152" t="str">
        <f>IF(BQ9="F","F",IF(BQ9&lt;2.5,"D",IF(BQ9&lt;3,"C",IF(BQ9&lt;3.5,"B",IF(BQ9&lt;4,"A-",IF(BQ9&lt;5,"A","A+"))))))</f>
        <v>A+</v>
      </c>
      <c r="BS9" s="153" t="str">
        <f t="shared" ref="BS9:BS72" si="3">IF(BQ9="F","NEED TO PROGRESS",IF(BQ9&gt;=5,"BEST",IF(BQ9&gt;=4,"BETTER",IF(BQ9&gt;=2,"GOOD"))))</f>
        <v>BEST</v>
      </c>
      <c r="BT9" s="154">
        <f>P9+Z9+AG9+AN9+AS9+AZ9+BG9+BM9</f>
        <v>762</v>
      </c>
      <c r="BU9" s="59"/>
      <c r="BV9" s="62"/>
      <c r="BW9" s="178">
        <f>'1st_Semester'!BT9</f>
        <v>772</v>
      </c>
      <c r="BX9" s="179">
        <f>'2nd_Semester'!BT9</f>
        <v>773</v>
      </c>
      <c r="BY9" s="179">
        <f>BT9</f>
        <v>762</v>
      </c>
      <c r="BZ9" s="179">
        <f>AVERAGE(BW9:BY9)</f>
        <v>769</v>
      </c>
      <c r="CA9" s="182">
        <f>'1st_Semester'!BQ9</f>
        <v>5</v>
      </c>
      <c r="CB9" s="182">
        <f>'2nd_Semester'!BQ9</f>
        <v>5</v>
      </c>
      <c r="CC9" s="182">
        <f>BQ9</f>
        <v>5</v>
      </c>
      <c r="CD9" s="182">
        <f>AVERAGE(CA9:CC9)</f>
        <v>5</v>
      </c>
    </row>
    <row r="10" spans="1:82" ht="27.95" customHeight="1">
      <c r="A10" s="71">
        <v>2</v>
      </c>
      <c r="B10" s="49">
        <v>2</v>
      </c>
      <c r="C10" s="50" t="s">
        <v>66</v>
      </c>
      <c r="D10" s="50" t="s">
        <v>64</v>
      </c>
      <c r="E10" s="50" t="s">
        <v>67</v>
      </c>
      <c r="F10" s="65" t="s">
        <v>208</v>
      </c>
      <c r="G10" s="78">
        <v>20</v>
      </c>
      <c r="H10" s="150">
        <v>44</v>
      </c>
      <c r="I10" s="151">
        <f t="shared" ref="I10:I50" si="4">H10+G10</f>
        <v>64</v>
      </c>
      <c r="J10" s="150">
        <v>26</v>
      </c>
      <c r="K10" s="151">
        <f>I10+J10</f>
        <v>90</v>
      </c>
      <c r="L10" s="149">
        <v>10</v>
      </c>
      <c r="M10" s="150">
        <v>39</v>
      </c>
      <c r="N10" s="151">
        <f>M10+L10</f>
        <v>49</v>
      </c>
      <c r="O10" s="151">
        <f t="shared" ref="O10:O73" si="5">N10</f>
        <v>49</v>
      </c>
      <c r="P10" s="151">
        <f t="shared" si="0"/>
        <v>139</v>
      </c>
      <c r="Q10" s="215"/>
      <c r="R10" s="150">
        <f t="shared" ref="R10:R50" si="6">IF(P10&lt;60,"F",IF(P10&lt;75,2,IF(P10&lt;90,3,IF(P10&lt;105,3.5,IF(P10&lt;120,4,5)))))</f>
        <v>5</v>
      </c>
      <c r="S10" s="149">
        <v>20</v>
      </c>
      <c r="T10" s="150">
        <v>74</v>
      </c>
      <c r="U10" s="151">
        <f t="shared" ref="U10:U50" si="7">T10+S10</f>
        <v>94</v>
      </c>
      <c r="V10" s="149">
        <v>10</v>
      </c>
      <c r="W10" s="150">
        <v>39</v>
      </c>
      <c r="X10" s="151">
        <f t="shared" ref="X10:X50" si="8">W10+V10</f>
        <v>49</v>
      </c>
      <c r="Y10" s="151">
        <f t="shared" ref="Y10:Y51" si="9">U10+X10</f>
        <v>143</v>
      </c>
      <c r="Z10" s="151">
        <f t="shared" si="1"/>
        <v>143</v>
      </c>
      <c r="AA10" s="215"/>
      <c r="AB10" s="150">
        <f t="shared" ref="AB10:AB50" si="10">IF(Z10&lt;60,0,IF(Z10&lt;75,2,IF(Z10&lt;90,3,IF(Z10&lt;105,3.5,IF(Z10&lt;120,4,5)))))</f>
        <v>5</v>
      </c>
      <c r="AC10" s="149">
        <v>20</v>
      </c>
      <c r="AD10" s="150">
        <v>48</v>
      </c>
      <c r="AE10" s="151">
        <f t="shared" ref="AE10:AE50" si="11">AD10+AC10</f>
        <v>68</v>
      </c>
      <c r="AF10" s="150">
        <v>26</v>
      </c>
      <c r="AG10" s="151">
        <f t="shared" ref="AG10:AG50" si="12">AE10+AF10</f>
        <v>94</v>
      </c>
      <c r="AH10" s="215"/>
      <c r="AI10" s="150">
        <f t="shared" ref="AI10:AI50" si="13">IF(AG10&lt;40,"F",IF(AG10&lt;50,2,IF(AG10&lt;60,3,IF(AG10&lt;70,3.5,IF(AG10&lt;80,4,5)))))</f>
        <v>5</v>
      </c>
      <c r="AJ10" s="149">
        <v>20</v>
      </c>
      <c r="AK10" s="150">
        <v>48</v>
      </c>
      <c r="AL10" s="151">
        <f t="shared" ref="AL10:AL50" si="14">AK10+AJ10</f>
        <v>68</v>
      </c>
      <c r="AM10" s="150">
        <v>30</v>
      </c>
      <c r="AN10" s="151">
        <f t="shared" ref="AN10:AN50" si="15">+AL10+AM10</f>
        <v>98</v>
      </c>
      <c r="AO10" s="217"/>
      <c r="AP10" s="150">
        <f t="shared" ref="AP10:AP50" si="16">IF(AN10&lt;40,"F",IF(AN10&lt;50,2,IF(AN10&lt;60,3,IF(AN10&lt;70,3.5,IF(AN10&lt;80,4,5)))))</f>
        <v>5</v>
      </c>
      <c r="AQ10" s="150">
        <v>25</v>
      </c>
      <c r="AR10" s="150">
        <v>25</v>
      </c>
      <c r="AS10" s="150">
        <f t="shared" ref="AS10:AS73" si="17">AQ10+AR10</f>
        <v>50</v>
      </c>
      <c r="AT10" s="218"/>
      <c r="AU10" s="150">
        <f t="shared" ref="AU10:AU50" si="18">IF(AS10&lt;20,"F",IF(AS10&lt;25,2,IF(AS10&lt;30,3,IF(AS10&lt;35,3.5,IF(AS10&lt;40,4,5)))))</f>
        <v>5</v>
      </c>
      <c r="AV10" s="149">
        <v>20</v>
      </c>
      <c r="AW10" s="150">
        <v>45</v>
      </c>
      <c r="AX10" s="151">
        <f t="shared" ref="AX10:AX50" si="19">AW10+AV10</f>
        <v>65</v>
      </c>
      <c r="AY10" s="150">
        <v>24</v>
      </c>
      <c r="AZ10" s="151">
        <f t="shared" ref="AZ10:AZ50" si="20">AX10+AY10</f>
        <v>89</v>
      </c>
      <c r="BA10" s="217"/>
      <c r="BB10" s="150">
        <f t="shared" ref="BB10:BB50" si="21">IF(AZ10&lt;40,"F",IF(AZ10&lt;50,2,IF(AZ10&lt;60,3,IF(AZ10&lt;70,3.5,IF(AZ10&lt;80,4,5)))))</f>
        <v>5</v>
      </c>
      <c r="BC10" s="149">
        <v>20</v>
      </c>
      <c r="BD10" s="150">
        <v>48</v>
      </c>
      <c r="BE10" s="151">
        <f t="shared" ref="BE10:BE50" si="22">BD10+BC10</f>
        <v>68</v>
      </c>
      <c r="BF10" s="150">
        <v>30</v>
      </c>
      <c r="BG10" s="151">
        <f t="shared" ref="BG10:BG50" si="23">BE10+BF10</f>
        <v>98</v>
      </c>
      <c r="BH10" s="217"/>
      <c r="BI10" s="150">
        <f t="shared" ref="BI10:BI50" si="24">IF(BG10&lt;40,"F",IF(BG10&lt;50,2,IF(BG10&lt;60,3,IF(BG10&lt;70,3.5,IF(BG10&lt;80,4,5)))))</f>
        <v>5</v>
      </c>
      <c r="BJ10" s="149">
        <v>10</v>
      </c>
      <c r="BK10" s="150">
        <v>40</v>
      </c>
      <c r="BL10" s="151">
        <f t="shared" ref="BL10:BL50" si="25">BK10+BJ10</f>
        <v>50</v>
      </c>
      <c r="BM10" s="151">
        <f t="shared" ref="BM10:BM73" si="26">BL10</f>
        <v>50</v>
      </c>
      <c r="BN10" s="217"/>
      <c r="BO10" s="150">
        <f t="shared" si="2"/>
        <v>5</v>
      </c>
      <c r="BP10" s="150">
        <f t="shared" ref="BP10:BP73" si="27">IF(R10="F","F",IF(AB10="F","F",IF(AI10="F","F",IF(AP10="F","F",IF(BB10="F","F",IF(BI10="F","F",IF(AU10="F","F",IF(BO10="F","F",SUM(R10,AB10,AI10,AP10,AU10,BB10,BO10,BI10)))))))))</f>
        <v>40</v>
      </c>
      <c r="BQ10" s="152">
        <f t="shared" ref="BQ10:BQ73" si="28">IF(BP10="F","F",IF(BP10&gt;=45,5,IF(BP10&lt;45,BP10/8)))</f>
        <v>5</v>
      </c>
      <c r="BR10" s="152" t="str">
        <f t="shared" ref="BR10:BR50" si="29">IF(BQ10="F","F",IF(BQ10&lt;2.5,"D",IF(BQ10&lt;3,"C",IF(BQ10&lt;3.5,"B",IF(BQ10&lt;4,"A-",IF(BQ10&lt;5,"A","A+"))))))</f>
        <v>A+</v>
      </c>
      <c r="BS10" s="153" t="str">
        <f t="shared" si="3"/>
        <v>BEST</v>
      </c>
      <c r="BT10" s="154">
        <f t="shared" ref="BT10:BT73" si="30">P10+Z10+AG10+AN10+AS10+AZ10+BG10+BM10</f>
        <v>761</v>
      </c>
      <c r="BU10" s="59"/>
      <c r="BV10" s="62"/>
      <c r="BW10" s="178">
        <f>'1st_Semester'!BT10</f>
        <v>691</v>
      </c>
      <c r="BX10" s="179">
        <f>'2nd_Semester'!BT10</f>
        <v>772</v>
      </c>
      <c r="BY10" s="179">
        <f t="shared" ref="BY10:BY73" si="31">BT10</f>
        <v>761</v>
      </c>
      <c r="BZ10" s="179">
        <f t="shared" ref="BZ10:BZ73" si="32">AVERAGE(BW10:BY10)</f>
        <v>741.33333333333337</v>
      </c>
      <c r="CA10" s="182">
        <f>'1st_Semester'!BQ10</f>
        <v>4.6875</v>
      </c>
      <c r="CB10" s="182">
        <f>'2nd_Semester'!BQ10</f>
        <v>5</v>
      </c>
      <c r="CC10" s="182">
        <f t="shared" ref="CC10:CC73" si="33">BQ10</f>
        <v>5</v>
      </c>
      <c r="CD10" s="182">
        <f t="shared" ref="CD10:CD73" si="34">AVERAGE(CA10:CC10)</f>
        <v>4.895833333333333</v>
      </c>
    </row>
    <row r="11" spans="1:82" ht="27.95" customHeight="1">
      <c r="A11" s="71">
        <v>3</v>
      </c>
      <c r="B11" s="49">
        <v>3</v>
      </c>
      <c r="C11" s="51" t="s">
        <v>68</v>
      </c>
      <c r="D11" s="51" t="s">
        <v>69</v>
      </c>
      <c r="E11" s="51" t="s">
        <v>70</v>
      </c>
      <c r="F11" s="66" t="s">
        <v>209</v>
      </c>
      <c r="G11" s="78">
        <v>20</v>
      </c>
      <c r="H11" s="150">
        <v>45</v>
      </c>
      <c r="I11" s="151">
        <f t="shared" si="4"/>
        <v>65</v>
      </c>
      <c r="J11" s="150">
        <v>19</v>
      </c>
      <c r="K11" s="151">
        <f t="shared" ref="K11:K50" si="35">I11+J11</f>
        <v>84</v>
      </c>
      <c r="L11" s="149">
        <v>10</v>
      </c>
      <c r="M11" s="150">
        <v>36</v>
      </c>
      <c r="N11" s="151">
        <f t="shared" ref="N11:N50" si="36">M11+L11</f>
        <v>46</v>
      </c>
      <c r="O11" s="151">
        <f t="shared" si="5"/>
        <v>46</v>
      </c>
      <c r="P11" s="151">
        <f t="shared" si="0"/>
        <v>130</v>
      </c>
      <c r="Q11" s="215"/>
      <c r="R11" s="150">
        <f t="shared" si="6"/>
        <v>5</v>
      </c>
      <c r="S11" s="149">
        <v>19</v>
      </c>
      <c r="T11" s="150">
        <v>70</v>
      </c>
      <c r="U11" s="151">
        <f t="shared" si="7"/>
        <v>89</v>
      </c>
      <c r="V11" s="149">
        <v>10</v>
      </c>
      <c r="W11" s="150">
        <v>38</v>
      </c>
      <c r="X11" s="151">
        <f t="shared" si="8"/>
        <v>48</v>
      </c>
      <c r="Y11" s="151">
        <f t="shared" si="9"/>
        <v>137</v>
      </c>
      <c r="Z11" s="151">
        <f t="shared" si="1"/>
        <v>137</v>
      </c>
      <c r="AA11" s="215"/>
      <c r="AB11" s="150">
        <f t="shared" si="10"/>
        <v>5</v>
      </c>
      <c r="AC11" s="149">
        <v>19</v>
      </c>
      <c r="AD11" s="150">
        <v>40</v>
      </c>
      <c r="AE11" s="151">
        <f t="shared" si="11"/>
        <v>59</v>
      </c>
      <c r="AF11" s="150">
        <v>25</v>
      </c>
      <c r="AG11" s="151">
        <f t="shared" si="12"/>
        <v>84</v>
      </c>
      <c r="AH11" s="215"/>
      <c r="AI11" s="150">
        <f t="shared" si="13"/>
        <v>5</v>
      </c>
      <c r="AJ11" s="149">
        <v>20</v>
      </c>
      <c r="AK11" s="150">
        <v>48</v>
      </c>
      <c r="AL11" s="151">
        <f t="shared" si="14"/>
        <v>68</v>
      </c>
      <c r="AM11" s="150">
        <v>27</v>
      </c>
      <c r="AN11" s="151">
        <f t="shared" si="15"/>
        <v>95</v>
      </c>
      <c r="AO11" s="217"/>
      <c r="AP11" s="150">
        <f t="shared" si="16"/>
        <v>5</v>
      </c>
      <c r="AQ11" s="150">
        <v>23</v>
      </c>
      <c r="AR11" s="150">
        <v>25</v>
      </c>
      <c r="AS11" s="150">
        <f t="shared" si="17"/>
        <v>48</v>
      </c>
      <c r="AT11" s="218"/>
      <c r="AU11" s="150">
        <f t="shared" si="18"/>
        <v>5</v>
      </c>
      <c r="AV11" s="149">
        <v>20</v>
      </c>
      <c r="AW11" s="150">
        <v>49</v>
      </c>
      <c r="AX11" s="151">
        <f t="shared" si="19"/>
        <v>69</v>
      </c>
      <c r="AY11" s="150">
        <v>20</v>
      </c>
      <c r="AZ11" s="151">
        <f t="shared" si="20"/>
        <v>89</v>
      </c>
      <c r="BA11" s="217"/>
      <c r="BB11" s="150">
        <f t="shared" si="21"/>
        <v>5</v>
      </c>
      <c r="BC11" s="149">
        <v>20</v>
      </c>
      <c r="BD11" s="150">
        <v>48</v>
      </c>
      <c r="BE11" s="151">
        <f t="shared" si="22"/>
        <v>68</v>
      </c>
      <c r="BF11" s="150">
        <v>30</v>
      </c>
      <c r="BG11" s="151">
        <f t="shared" si="23"/>
        <v>98</v>
      </c>
      <c r="BH11" s="217"/>
      <c r="BI11" s="150">
        <f t="shared" si="24"/>
        <v>5</v>
      </c>
      <c r="BJ11" s="149">
        <v>10</v>
      </c>
      <c r="BK11" s="150">
        <v>40</v>
      </c>
      <c r="BL11" s="151">
        <f t="shared" si="25"/>
        <v>50</v>
      </c>
      <c r="BM11" s="151">
        <f t="shared" si="26"/>
        <v>50</v>
      </c>
      <c r="BN11" s="217"/>
      <c r="BO11" s="150">
        <f t="shared" si="2"/>
        <v>5</v>
      </c>
      <c r="BP11" s="150">
        <f t="shared" si="27"/>
        <v>40</v>
      </c>
      <c r="BQ11" s="152">
        <f t="shared" si="28"/>
        <v>5</v>
      </c>
      <c r="BR11" s="152" t="str">
        <f t="shared" si="29"/>
        <v>A+</v>
      </c>
      <c r="BS11" s="153" t="str">
        <f t="shared" si="3"/>
        <v>BEST</v>
      </c>
      <c r="BT11" s="154">
        <f t="shared" si="30"/>
        <v>731</v>
      </c>
      <c r="BU11" s="59"/>
      <c r="BV11" s="62"/>
      <c r="BW11" s="178">
        <f>'1st_Semester'!BT11</f>
        <v>602</v>
      </c>
      <c r="BX11" s="179">
        <f>'2nd_Semester'!BT11</f>
        <v>699</v>
      </c>
      <c r="BY11" s="179">
        <f t="shared" si="31"/>
        <v>731</v>
      </c>
      <c r="BZ11" s="179">
        <f t="shared" si="32"/>
        <v>677.33333333333337</v>
      </c>
      <c r="CA11" s="182">
        <f>'1st_Semester'!BQ11</f>
        <v>4.3125</v>
      </c>
      <c r="CB11" s="182">
        <f>'2nd_Semester'!BQ11</f>
        <v>4.75</v>
      </c>
      <c r="CC11" s="182">
        <f t="shared" si="33"/>
        <v>5</v>
      </c>
      <c r="CD11" s="182">
        <f t="shared" si="34"/>
        <v>4.6875</v>
      </c>
    </row>
    <row r="12" spans="1:82" ht="27.95" customHeight="1">
      <c r="A12" s="71">
        <v>4</v>
      </c>
      <c r="B12" s="49">
        <v>4</v>
      </c>
      <c r="C12" s="50" t="s">
        <v>71</v>
      </c>
      <c r="D12" s="50" t="s">
        <v>72</v>
      </c>
      <c r="E12" s="50" t="s">
        <v>73</v>
      </c>
      <c r="F12" s="65" t="s">
        <v>322</v>
      </c>
      <c r="G12" s="78">
        <v>20</v>
      </c>
      <c r="H12" s="150">
        <v>41</v>
      </c>
      <c r="I12" s="151">
        <f t="shared" si="4"/>
        <v>61</v>
      </c>
      <c r="J12" s="150">
        <v>19</v>
      </c>
      <c r="K12" s="151">
        <f t="shared" si="35"/>
        <v>80</v>
      </c>
      <c r="L12" s="149">
        <v>10</v>
      </c>
      <c r="M12" s="150">
        <v>36</v>
      </c>
      <c r="N12" s="151">
        <f t="shared" si="36"/>
        <v>46</v>
      </c>
      <c r="O12" s="151">
        <f t="shared" si="5"/>
        <v>46</v>
      </c>
      <c r="P12" s="151">
        <f t="shared" si="0"/>
        <v>126</v>
      </c>
      <c r="Q12" s="215"/>
      <c r="R12" s="150">
        <f t="shared" si="6"/>
        <v>5</v>
      </c>
      <c r="S12" s="149">
        <v>18</v>
      </c>
      <c r="T12" s="150">
        <v>67</v>
      </c>
      <c r="U12" s="151">
        <f t="shared" si="7"/>
        <v>85</v>
      </c>
      <c r="V12" s="149">
        <v>6</v>
      </c>
      <c r="W12" s="150">
        <v>26</v>
      </c>
      <c r="X12" s="151">
        <f t="shared" si="8"/>
        <v>32</v>
      </c>
      <c r="Y12" s="151">
        <f t="shared" si="9"/>
        <v>117</v>
      </c>
      <c r="Z12" s="151">
        <f t="shared" si="1"/>
        <v>117</v>
      </c>
      <c r="AA12" s="215"/>
      <c r="AB12" s="150">
        <f t="shared" si="10"/>
        <v>4</v>
      </c>
      <c r="AC12" s="149">
        <v>11</v>
      </c>
      <c r="AD12" s="150">
        <v>29</v>
      </c>
      <c r="AE12" s="151">
        <f t="shared" si="11"/>
        <v>40</v>
      </c>
      <c r="AF12" s="150">
        <v>24</v>
      </c>
      <c r="AG12" s="151">
        <f t="shared" si="12"/>
        <v>64</v>
      </c>
      <c r="AH12" s="215"/>
      <c r="AI12" s="150">
        <f t="shared" si="13"/>
        <v>3.5</v>
      </c>
      <c r="AJ12" s="149">
        <v>18</v>
      </c>
      <c r="AK12" s="150">
        <v>40</v>
      </c>
      <c r="AL12" s="151">
        <f t="shared" si="14"/>
        <v>58</v>
      </c>
      <c r="AM12" s="150">
        <v>16</v>
      </c>
      <c r="AN12" s="151">
        <f t="shared" si="15"/>
        <v>74</v>
      </c>
      <c r="AO12" s="217"/>
      <c r="AP12" s="150">
        <f t="shared" si="16"/>
        <v>4</v>
      </c>
      <c r="AQ12" s="150">
        <v>23</v>
      </c>
      <c r="AR12" s="150">
        <v>25</v>
      </c>
      <c r="AS12" s="150">
        <f t="shared" si="17"/>
        <v>48</v>
      </c>
      <c r="AT12" s="218"/>
      <c r="AU12" s="150">
        <f t="shared" si="18"/>
        <v>5</v>
      </c>
      <c r="AV12" s="149">
        <v>17</v>
      </c>
      <c r="AW12" s="150">
        <v>44</v>
      </c>
      <c r="AX12" s="151">
        <f t="shared" si="19"/>
        <v>61</v>
      </c>
      <c r="AY12" s="150">
        <v>20</v>
      </c>
      <c r="AZ12" s="151">
        <f t="shared" si="20"/>
        <v>81</v>
      </c>
      <c r="BA12" s="217"/>
      <c r="BB12" s="150">
        <f t="shared" si="21"/>
        <v>5</v>
      </c>
      <c r="BC12" s="149">
        <v>13</v>
      </c>
      <c r="BD12" s="150">
        <v>46</v>
      </c>
      <c r="BE12" s="151">
        <f t="shared" si="22"/>
        <v>59</v>
      </c>
      <c r="BF12" s="150">
        <v>30</v>
      </c>
      <c r="BG12" s="151">
        <f t="shared" si="23"/>
        <v>89</v>
      </c>
      <c r="BH12" s="217"/>
      <c r="BI12" s="150">
        <f t="shared" si="24"/>
        <v>5</v>
      </c>
      <c r="BJ12" s="149">
        <v>9</v>
      </c>
      <c r="BK12" s="150">
        <v>40</v>
      </c>
      <c r="BL12" s="151">
        <f t="shared" si="25"/>
        <v>49</v>
      </c>
      <c r="BM12" s="151">
        <f t="shared" si="26"/>
        <v>49</v>
      </c>
      <c r="BN12" s="217"/>
      <c r="BO12" s="150">
        <f t="shared" si="2"/>
        <v>5</v>
      </c>
      <c r="BP12" s="150">
        <f t="shared" si="27"/>
        <v>36.5</v>
      </c>
      <c r="BQ12" s="152">
        <f t="shared" si="28"/>
        <v>4.5625</v>
      </c>
      <c r="BR12" s="152" t="str">
        <f t="shared" si="29"/>
        <v>A</v>
      </c>
      <c r="BS12" s="153" t="str">
        <f t="shared" si="3"/>
        <v>BETTER</v>
      </c>
      <c r="BT12" s="154">
        <f t="shared" si="30"/>
        <v>648</v>
      </c>
      <c r="BU12" s="59"/>
      <c r="BV12" s="62"/>
      <c r="BW12" s="178">
        <f>'1st_Semester'!BT12</f>
        <v>567</v>
      </c>
      <c r="BX12" s="179">
        <f>'2nd_Semester'!BT12</f>
        <v>603</v>
      </c>
      <c r="BY12" s="179">
        <f t="shared" si="31"/>
        <v>648</v>
      </c>
      <c r="BZ12" s="179">
        <f t="shared" si="32"/>
        <v>606</v>
      </c>
      <c r="CA12" s="182">
        <f>'1st_Semester'!BQ12</f>
        <v>4.0625</v>
      </c>
      <c r="CB12" s="182">
        <f>'2nd_Semester'!BQ12</f>
        <v>4.125</v>
      </c>
      <c r="CC12" s="182">
        <f t="shared" si="33"/>
        <v>4.5625</v>
      </c>
      <c r="CD12" s="182">
        <f t="shared" si="34"/>
        <v>4.25</v>
      </c>
    </row>
    <row r="13" spans="1:82" ht="27.95" customHeight="1">
      <c r="A13" s="71">
        <v>5</v>
      </c>
      <c r="B13" s="49">
        <v>5</v>
      </c>
      <c r="C13" s="51" t="s">
        <v>74</v>
      </c>
      <c r="D13" s="51" t="s">
        <v>75</v>
      </c>
      <c r="E13" s="51" t="s">
        <v>76</v>
      </c>
      <c r="F13" s="66" t="s">
        <v>210</v>
      </c>
      <c r="G13" s="78">
        <v>20</v>
      </c>
      <c r="H13" s="150">
        <v>39</v>
      </c>
      <c r="I13" s="151">
        <f t="shared" si="4"/>
        <v>59</v>
      </c>
      <c r="J13" s="150">
        <v>21</v>
      </c>
      <c r="K13" s="151">
        <f t="shared" si="35"/>
        <v>80</v>
      </c>
      <c r="L13" s="149">
        <v>10</v>
      </c>
      <c r="M13" s="150">
        <v>32</v>
      </c>
      <c r="N13" s="151">
        <f t="shared" si="36"/>
        <v>42</v>
      </c>
      <c r="O13" s="151">
        <f t="shared" si="5"/>
        <v>42</v>
      </c>
      <c r="P13" s="151">
        <f t="shared" si="0"/>
        <v>122</v>
      </c>
      <c r="Q13" s="215"/>
      <c r="R13" s="150">
        <f t="shared" si="6"/>
        <v>5</v>
      </c>
      <c r="S13" s="149">
        <v>19</v>
      </c>
      <c r="T13" s="150">
        <v>62</v>
      </c>
      <c r="U13" s="151">
        <f t="shared" si="7"/>
        <v>81</v>
      </c>
      <c r="V13" s="149">
        <v>8</v>
      </c>
      <c r="W13" s="150">
        <v>28</v>
      </c>
      <c r="X13" s="151">
        <f t="shared" si="8"/>
        <v>36</v>
      </c>
      <c r="Y13" s="151">
        <f t="shared" si="9"/>
        <v>117</v>
      </c>
      <c r="Z13" s="151">
        <f t="shared" si="1"/>
        <v>117</v>
      </c>
      <c r="AA13" s="215"/>
      <c r="AB13" s="150">
        <f t="shared" si="10"/>
        <v>4</v>
      </c>
      <c r="AC13" s="149">
        <v>16</v>
      </c>
      <c r="AD13" s="150">
        <v>31</v>
      </c>
      <c r="AE13" s="151">
        <f t="shared" si="11"/>
        <v>47</v>
      </c>
      <c r="AF13" s="150">
        <v>23</v>
      </c>
      <c r="AG13" s="151">
        <f t="shared" si="12"/>
        <v>70</v>
      </c>
      <c r="AH13" s="215"/>
      <c r="AI13" s="150">
        <f t="shared" si="13"/>
        <v>4</v>
      </c>
      <c r="AJ13" s="149">
        <v>19</v>
      </c>
      <c r="AK13" s="150">
        <v>37</v>
      </c>
      <c r="AL13" s="151">
        <f t="shared" si="14"/>
        <v>56</v>
      </c>
      <c r="AM13" s="150">
        <v>19</v>
      </c>
      <c r="AN13" s="151">
        <f t="shared" si="15"/>
        <v>75</v>
      </c>
      <c r="AO13" s="217"/>
      <c r="AP13" s="150">
        <f t="shared" si="16"/>
        <v>4</v>
      </c>
      <c r="AQ13" s="150">
        <v>22</v>
      </c>
      <c r="AR13" s="150">
        <v>25</v>
      </c>
      <c r="AS13" s="150">
        <f t="shared" si="17"/>
        <v>47</v>
      </c>
      <c r="AT13" s="218"/>
      <c r="AU13" s="150">
        <f t="shared" si="18"/>
        <v>5</v>
      </c>
      <c r="AV13" s="149">
        <v>19</v>
      </c>
      <c r="AW13" s="150">
        <v>39</v>
      </c>
      <c r="AX13" s="151">
        <f t="shared" si="19"/>
        <v>58</v>
      </c>
      <c r="AY13" s="150">
        <v>20</v>
      </c>
      <c r="AZ13" s="151">
        <f t="shared" si="20"/>
        <v>78</v>
      </c>
      <c r="BA13" s="217"/>
      <c r="BB13" s="150">
        <f t="shared" si="21"/>
        <v>4</v>
      </c>
      <c r="BC13" s="149">
        <v>19</v>
      </c>
      <c r="BD13" s="150">
        <v>46</v>
      </c>
      <c r="BE13" s="151">
        <f t="shared" si="22"/>
        <v>65</v>
      </c>
      <c r="BF13" s="150">
        <v>29</v>
      </c>
      <c r="BG13" s="151">
        <f t="shared" si="23"/>
        <v>94</v>
      </c>
      <c r="BH13" s="217"/>
      <c r="BI13" s="150">
        <f t="shared" si="24"/>
        <v>5</v>
      </c>
      <c r="BJ13" s="149">
        <v>4</v>
      </c>
      <c r="BK13" s="150">
        <v>40</v>
      </c>
      <c r="BL13" s="151">
        <f t="shared" si="25"/>
        <v>44</v>
      </c>
      <c r="BM13" s="151">
        <f t="shared" si="26"/>
        <v>44</v>
      </c>
      <c r="BN13" s="217"/>
      <c r="BO13" s="150">
        <f t="shared" si="2"/>
        <v>5</v>
      </c>
      <c r="BP13" s="150">
        <f t="shared" si="27"/>
        <v>36</v>
      </c>
      <c r="BQ13" s="152">
        <f t="shared" si="28"/>
        <v>4.5</v>
      </c>
      <c r="BR13" s="152" t="str">
        <f t="shared" si="29"/>
        <v>A</v>
      </c>
      <c r="BS13" s="153" t="str">
        <f t="shared" si="3"/>
        <v>BETTER</v>
      </c>
      <c r="BT13" s="154">
        <f t="shared" si="30"/>
        <v>647</v>
      </c>
      <c r="BU13" s="59"/>
      <c r="BV13" s="62"/>
      <c r="BW13" s="178">
        <f>'1st_Semester'!BT13</f>
        <v>722</v>
      </c>
      <c r="BX13" s="179">
        <f>'2nd_Semester'!BT13</f>
        <v>610</v>
      </c>
      <c r="BY13" s="179">
        <f t="shared" si="31"/>
        <v>647</v>
      </c>
      <c r="BZ13" s="179">
        <f t="shared" si="32"/>
        <v>659.66666666666663</v>
      </c>
      <c r="CA13" s="182">
        <f>'1st_Semester'!BQ13</f>
        <v>4.8125</v>
      </c>
      <c r="CB13" s="182">
        <f>'2nd_Semester'!BQ13</f>
        <v>4.375</v>
      </c>
      <c r="CC13" s="182">
        <f t="shared" si="33"/>
        <v>4.5</v>
      </c>
      <c r="CD13" s="182">
        <f t="shared" si="34"/>
        <v>4.5625</v>
      </c>
    </row>
    <row r="14" spans="1:82" ht="27.95" customHeight="1">
      <c r="A14" s="71">
        <v>6</v>
      </c>
      <c r="B14" s="49">
        <v>7</v>
      </c>
      <c r="C14" s="51" t="s">
        <v>77</v>
      </c>
      <c r="D14" s="51" t="s">
        <v>78</v>
      </c>
      <c r="E14" s="51" t="s">
        <v>79</v>
      </c>
      <c r="F14" s="66" t="s">
        <v>211</v>
      </c>
      <c r="G14" s="78">
        <v>20</v>
      </c>
      <c r="H14" s="150">
        <v>39</v>
      </c>
      <c r="I14" s="151">
        <f t="shared" si="4"/>
        <v>59</v>
      </c>
      <c r="J14" s="150">
        <v>14</v>
      </c>
      <c r="K14" s="151">
        <f t="shared" si="35"/>
        <v>73</v>
      </c>
      <c r="L14" s="149">
        <v>10</v>
      </c>
      <c r="M14" s="150">
        <v>34</v>
      </c>
      <c r="N14" s="151">
        <f t="shared" si="36"/>
        <v>44</v>
      </c>
      <c r="O14" s="151">
        <f t="shared" si="5"/>
        <v>44</v>
      </c>
      <c r="P14" s="151">
        <f t="shared" si="0"/>
        <v>117</v>
      </c>
      <c r="Q14" s="215"/>
      <c r="R14" s="150">
        <f t="shared" si="6"/>
        <v>4</v>
      </c>
      <c r="S14" s="149">
        <v>19</v>
      </c>
      <c r="T14" s="150">
        <v>58</v>
      </c>
      <c r="U14" s="151">
        <f t="shared" si="7"/>
        <v>77</v>
      </c>
      <c r="V14" s="149">
        <v>7</v>
      </c>
      <c r="W14" s="150">
        <v>26</v>
      </c>
      <c r="X14" s="151">
        <f t="shared" si="8"/>
        <v>33</v>
      </c>
      <c r="Y14" s="151">
        <f t="shared" si="9"/>
        <v>110</v>
      </c>
      <c r="Z14" s="151">
        <f t="shared" si="1"/>
        <v>110</v>
      </c>
      <c r="AA14" s="215"/>
      <c r="AB14" s="150">
        <f t="shared" si="10"/>
        <v>4</v>
      </c>
      <c r="AC14" s="149">
        <v>14</v>
      </c>
      <c r="AD14" s="150">
        <v>17</v>
      </c>
      <c r="AE14" s="151">
        <f t="shared" si="11"/>
        <v>31</v>
      </c>
      <c r="AF14" s="150">
        <v>17</v>
      </c>
      <c r="AG14" s="151">
        <f t="shared" si="12"/>
        <v>48</v>
      </c>
      <c r="AH14" s="215"/>
      <c r="AI14" s="150">
        <f t="shared" si="13"/>
        <v>2</v>
      </c>
      <c r="AJ14" s="149">
        <v>15</v>
      </c>
      <c r="AK14" s="150">
        <v>24</v>
      </c>
      <c r="AL14" s="151">
        <f t="shared" si="14"/>
        <v>39</v>
      </c>
      <c r="AM14" s="150">
        <v>20</v>
      </c>
      <c r="AN14" s="151">
        <f t="shared" si="15"/>
        <v>59</v>
      </c>
      <c r="AO14" s="217"/>
      <c r="AP14" s="150">
        <f t="shared" si="16"/>
        <v>3</v>
      </c>
      <c r="AQ14" s="150">
        <v>24</v>
      </c>
      <c r="AR14" s="150">
        <v>25</v>
      </c>
      <c r="AS14" s="150">
        <f t="shared" si="17"/>
        <v>49</v>
      </c>
      <c r="AT14" s="218"/>
      <c r="AU14" s="150">
        <f t="shared" si="18"/>
        <v>5</v>
      </c>
      <c r="AV14" s="149">
        <v>19</v>
      </c>
      <c r="AW14" s="150">
        <v>30</v>
      </c>
      <c r="AX14" s="151">
        <f t="shared" si="19"/>
        <v>49</v>
      </c>
      <c r="AY14" s="150">
        <v>16</v>
      </c>
      <c r="AZ14" s="151">
        <f t="shared" si="20"/>
        <v>65</v>
      </c>
      <c r="BA14" s="217"/>
      <c r="BB14" s="150">
        <f t="shared" si="21"/>
        <v>3.5</v>
      </c>
      <c r="BC14" s="149">
        <v>16</v>
      </c>
      <c r="BD14" s="150">
        <v>44</v>
      </c>
      <c r="BE14" s="151">
        <f t="shared" si="22"/>
        <v>60</v>
      </c>
      <c r="BF14" s="150">
        <v>28</v>
      </c>
      <c r="BG14" s="151">
        <f t="shared" si="23"/>
        <v>88</v>
      </c>
      <c r="BH14" s="217"/>
      <c r="BI14" s="150">
        <f t="shared" si="24"/>
        <v>5</v>
      </c>
      <c r="BJ14" s="149">
        <v>4</v>
      </c>
      <c r="BK14" s="150">
        <v>40</v>
      </c>
      <c r="BL14" s="151">
        <f t="shared" si="25"/>
        <v>44</v>
      </c>
      <c r="BM14" s="151">
        <f t="shared" si="26"/>
        <v>44</v>
      </c>
      <c r="BN14" s="217"/>
      <c r="BO14" s="150">
        <f t="shared" si="2"/>
        <v>5</v>
      </c>
      <c r="BP14" s="150">
        <f t="shared" si="27"/>
        <v>31.5</v>
      </c>
      <c r="BQ14" s="152">
        <f t="shared" si="28"/>
        <v>3.9375</v>
      </c>
      <c r="BR14" s="152" t="str">
        <f t="shared" si="29"/>
        <v>A-</v>
      </c>
      <c r="BS14" s="153" t="str">
        <f t="shared" si="3"/>
        <v>GOOD</v>
      </c>
      <c r="BT14" s="154">
        <f t="shared" si="30"/>
        <v>580</v>
      </c>
      <c r="BU14" s="59"/>
      <c r="BV14" s="62"/>
      <c r="BW14" s="178">
        <f>'1st_Semester'!BT14</f>
        <v>735</v>
      </c>
      <c r="BX14" s="179">
        <f>'2nd_Semester'!BT14</f>
        <v>539</v>
      </c>
      <c r="BY14" s="179">
        <f t="shared" si="31"/>
        <v>580</v>
      </c>
      <c r="BZ14" s="179">
        <f t="shared" si="32"/>
        <v>618</v>
      </c>
      <c r="CA14" s="182">
        <f>'1st_Semester'!BQ14</f>
        <v>5</v>
      </c>
      <c r="CB14" s="182">
        <f>'2nd_Semester'!BQ14</f>
        <v>3.8125</v>
      </c>
      <c r="CC14" s="182">
        <f t="shared" si="33"/>
        <v>3.9375</v>
      </c>
      <c r="CD14" s="182">
        <f t="shared" si="34"/>
        <v>4.25</v>
      </c>
    </row>
    <row r="15" spans="1:82" ht="27.95" customHeight="1">
      <c r="A15" s="71">
        <v>7</v>
      </c>
      <c r="B15" s="49">
        <v>8</v>
      </c>
      <c r="C15" s="51" t="s">
        <v>80</v>
      </c>
      <c r="D15" s="51" t="s">
        <v>81</v>
      </c>
      <c r="E15" s="51" t="s">
        <v>82</v>
      </c>
      <c r="F15" s="66" t="s">
        <v>323</v>
      </c>
      <c r="G15" s="78">
        <v>20</v>
      </c>
      <c r="H15" s="150">
        <v>38</v>
      </c>
      <c r="I15" s="151">
        <f t="shared" si="4"/>
        <v>58</v>
      </c>
      <c r="J15" s="150">
        <v>20</v>
      </c>
      <c r="K15" s="151">
        <f t="shared" si="35"/>
        <v>78</v>
      </c>
      <c r="L15" s="149">
        <v>9</v>
      </c>
      <c r="M15" s="150">
        <v>35</v>
      </c>
      <c r="N15" s="151">
        <f t="shared" si="36"/>
        <v>44</v>
      </c>
      <c r="O15" s="151">
        <f t="shared" si="5"/>
        <v>44</v>
      </c>
      <c r="P15" s="151">
        <f t="shared" si="0"/>
        <v>122</v>
      </c>
      <c r="Q15" s="215"/>
      <c r="R15" s="150">
        <f t="shared" si="6"/>
        <v>5</v>
      </c>
      <c r="S15" s="149">
        <v>20</v>
      </c>
      <c r="T15" s="150">
        <v>73</v>
      </c>
      <c r="U15" s="151">
        <f t="shared" si="7"/>
        <v>93</v>
      </c>
      <c r="V15" s="149">
        <v>10</v>
      </c>
      <c r="W15" s="150">
        <v>32</v>
      </c>
      <c r="X15" s="151">
        <f t="shared" si="8"/>
        <v>42</v>
      </c>
      <c r="Y15" s="151">
        <f t="shared" si="9"/>
        <v>135</v>
      </c>
      <c r="Z15" s="151">
        <f t="shared" si="1"/>
        <v>135</v>
      </c>
      <c r="AA15" s="215"/>
      <c r="AB15" s="150">
        <f t="shared" si="10"/>
        <v>5</v>
      </c>
      <c r="AC15" s="149">
        <v>19</v>
      </c>
      <c r="AD15" s="150">
        <v>29</v>
      </c>
      <c r="AE15" s="151">
        <f t="shared" si="11"/>
        <v>48</v>
      </c>
      <c r="AF15" s="150">
        <v>24</v>
      </c>
      <c r="AG15" s="151">
        <f t="shared" si="12"/>
        <v>72</v>
      </c>
      <c r="AH15" s="215"/>
      <c r="AI15" s="150">
        <f t="shared" si="13"/>
        <v>4</v>
      </c>
      <c r="AJ15" s="149">
        <v>19</v>
      </c>
      <c r="AK15" s="150">
        <v>41</v>
      </c>
      <c r="AL15" s="151">
        <f t="shared" si="14"/>
        <v>60</v>
      </c>
      <c r="AM15" s="150">
        <v>25</v>
      </c>
      <c r="AN15" s="151">
        <f t="shared" si="15"/>
        <v>85</v>
      </c>
      <c r="AO15" s="217"/>
      <c r="AP15" s="150">
        <f t="shared" si="16"/>
        <v>5</v>
      </c>
      <c r="AQ15" s="150">
        <v>23</v>
      </c>
      <c r="AR15" s="150">
        <v>25</v>
      </c>
      <c r="AS15" s="150">
        <f t="shared" si="17"/>
        <v>48</v>
      </c>
      <c r="AT15" s="218"/>
      <c r="AU15" s="150">
        <f t="shared" si="18"/>
        <v>5</v>
      </c>
      <c r="AV15" s="149">
        <v>19</v>
      </c>
      <c r="AW15" s="150">
        <v>40</v>
      </c>
      <c r="AX15" s="151">
        <f t="shared" si="19"/>
        <v>59</v>
      </c>
      <c r="AY15" s="150">
        <v>24</v>
      </c>
      <c r="AZ15" s="151">
        <f t="shared" si="20"/>
        <v>83</v>
      </c>
      <c r="BA15" s="217"/>
      <c r="BB15" s="150">
        <f t="shared" si="21"/>
        <v>5</v>
      </c>
      <c r="BC15" s="149">
        <v>18</v>
      </c>
      <c r="BD15" s="150">
        <v>45</v>
      </c>
      <c r="BE15" s="151">
        <f t="shared" si="22"/>
        <v>63</v>
      </c>
      <c r="BF15" s="150">
        <v>29</v>
      </c>
      <c r="BG15" s="151">
        <f t="shared" si="23"/>
        <v>92</v>
      </c>
      <c r="BH15" s="217"/>
      <c r="BI15" s="150">
        <f t="shared" si="24"/>
        <v>5</v>
      </c>
      <c r="BJ15" s="149">
        <v>7</v>
      </c>
      <c r="BK15" s="150">
        <v>40</v>
      </c>
      <c r="BL15" s="151">
        <f t="shared" si="25"/>
        <v>47</v>
      </c>
      <c r="BM15" s="151">
        <f t="shared" si="26"/>
        <v>47</v>
      </c>
      <c r="BN15" s="217"/>
      <c r="BO15" s="150">
        <f t="shared" si="2"/>
        <v>5</v>
      </c>
      <c r="BP15" s="150">
        <f t="shared" si="27"/>
        <v>39</v>
      </c>
      <c r="BQ15" s="152">
        <f t="shared" si="28"/>
        <v>4.875</v>
      </c>
      <c r="BR15" s="152" t="str">
        <f t="shared" si="29"/>
        <v>A</v>
      </c>
      <c r="BS15" s="153" t="str">
        <f t="shared" si="3"/>
        <v>BETTER</v>
      </c>
      <c r="BT15" s="154">
        <f t="shared" si="30"/>
        <v>684</v>
      </c>
      <c r="BU15" s="59"/>
      <c r="BV15" s="62"/>
      <c r="BW15" s="178">
        <f>'1st_Semester'!BT15</f>
        <v>602</v>
      </c>
      <c r="BX15" s="179">
        <f>'2nd_Semester'!BT15</f>
        <v>599</v>
      </c>
      <c r="BY15" s="179">
        <f t="shared" si="31"/>
        <v>684</v>
      </c>
      <c r="BZ15" s="179">
        <f t="shared" si="32"/>
        <v>628.33333333333337</v>
      </c>
      <c r="CA15" s="182">
        <f>'1st_Semester'!BQ15</f>
        <v>4.125</v>
      </c>
      <c r="CB15" s="182">
        <f>'2nd_Semester'!BQ15</f>
        <v>4.25</v>
      </c>
      <c r="CC15" s="182">
        <f t="shared" si="33"/>
        <v>4.875</v>
      </c>
      <c r="CD15" s="182">
        <f t="shared" si="34"/>
        <v>4.416666666666667</v>
      </c>
    </row>
    <row r="16" spans="1:82" ht="27.95" customHeight="1">
      <c r="A16" s="71">
        <v>8</v>
      </c>
      <c r="B16" s="49">
        <v>10</v>
      </c>
      <c r="C16" s="52" t="s">
        <v>324</v>
      </c>
      <c r="D16" s="52" t="s">
        <v>83</v>
      </c>
      <c r="E16" s="52" t="s">
        <v>84</v>
      </c>
      <c r="F16" s="66" t="s">
        <v>325</v>
      </c>
      <c r="G16" s="78">
        <v>20</v>
      </c>
      <c r="H16" s="150">
        <v>41</v>
      </c>
      <c r="I16" s="151">
        <f t="shared" si="4"/>
        <v>61</v>
      </c>
      <c r="J16" s="150">
        <v>21</v>
      </c>
      <c r="K16" s="151">
        <f t="shared" si="35"/>
        <v>82</v>
      </c>
      <c r="L16" s="149">
        <v>10</v>
      </c>
      <c r="M16" s="150">
        <v>39</v>
      </c>
      <c r="N16" s="151">
        <f t="shared" si="36"/>
        <v>49</v>
      </c>
      <c r="O16" s="151">
        <f t="shared" si="5"/>
        <v>49</v>
      </c>
      <c r="P16" s="151">
        <f t="shared" si="0"/>
        <v>131</v>
      </c>
      <c r="Q16" s="215"/>
      <c r="R16" s="150">
        <f t="shared" si="6"/>
        <v>5</v>
      </c>
      <c r="S16" s="149">
        <v>18</v>
      </c>
      <c r="T16" s="150">
        <v>70</v>
      </c>
      <c r="U16" s="151">
        <f t="shared" si="7"/>
        <v>88</v>
      </c>
      <c r="V16" s="149">
        <v>9</v>
      </c>
      <c r="W16" s="150">
        <v>38</v>
      </c>
      <c r="X16" s="151">
        <f t="shared" si="8"/>
        <v>47</v>
      </c>
      <c r="Y16" s="151">
        <f t="shared" si="9"/>
        <v>135</v>
      </c>
      <c r="Z16" s="151">
        <f t="shared" si="1"/>
        <v>135</v>
      </c>
      <c r="AA16" s="215"/>
      <c r="AB16" s="150">
        <f t="shared" si="10"/>
        <v>5</v>
      </c>
      <c r="AC16" s="149">
        <v>19</v>
      </c>
      <c r="AD16" s="150">
        <v>24</v>
      </c>
      <c r="AE16" s="151">
        <f t="shared" si="11"/>
        <v>43</v>
      </c>
      <c r="AF16" s="150">
        <v>17</v>
      </c>
      <c r="AG16" s="151">
        <f t="shared" si="12"/>
        <v>60</v>
      </c>
      <c r="AH16" s="215"/>
      <c r="AI16" s="150">
        <f t="shared" si="13"/>
        <v>3.5</v>
      </c>
      <c r="AJ16" s="149">
        <v>19</v>
      </c>
      <c r="AK16" s="150">
        <v>44</v>
      </c>
      <c r="AL16" s="151">
        <f t="shared" si="14"/>
        <v>63</v>
      </c>
      <c r="AM16" s="150">
        <v>27</v>
      </c>
      <c r="AN16" s="151">
        <f t="shared" si="15"/>
        <v>90</v>
      </c>
      <c r="AO16" s="217"/>
      <c r="AP16" s="150">
        <f t="shared" si="16"/>
        <v>5</v>
      </c>
      <c r="AQ16" s="150">
        <v>25</v>
      </c>
      <c r="AR16" s="150">
        <v>25</v>
      </c>
      <c r="AS16" s="150">
        <f t="shared" si="17"/>
        <v>50</v>
      </c>
      <c r="AT16" s="218"/>
      <c r="AU16" s="150">
        <f t="shared" si="18"/>
        <v>5</v>
      </c>
      <c r="AV16" s="149">
        <v>20</v>
      </c>
      <c r="AW16" s="150">
        <v>47</v>
      </c>
      <c r="AX16" s="151">
        <f t="shared" si="19"/>
        <v>67</v>
      </c>
      <c r="AY16" s="150">
        <v>25</v>
      </c>
      <c r="AZ16" s="151">
        <f t="shared" si="20"/>
        <v>92</v>
      </c>
      <c r="BA16" s="217"/>
      <c r="BB16" s="150">
        <f t="shared" si="21"/>
        <v>5</v>
      </c>
      <c r="BC16" s="149">
        <v>16</v>
      </c>
      <c r="BD16" s="150">
        <v>41</v>
      </c>
      <c r="BE16" s="151">
        <f t="shared" si="22"/>
        <v>57</v>
      </c>
      <c r="BF16" s="150">
        <v>30</v>
      </c>
      <c r="BG16" s="151">
        <f t="shared" si="23"/>
        <v>87</v>
      </c>
      <c r="BH16" s="217"/>
      <c r="BI16" s="150">
        <f t="shared" si="24"/>
        <v>5</v>
      </c>
      <c r="BJ16" s="149">
        <v>10</v>
      </c>
      <c r="BK16" s="150">
        <v>40</v>
      </c>
      <c r="BL16" s="151">
        <f t="shared" si="25"/>
        <v>50</v>
      </c>
      <c r="BM16" s="151">
        <f t="shared" si="26"/>
        <v>50</v>
      </c>
      <c r="BN16" s="217"/>
      <c r="BO16" s="150">
        <f t="shared" si="2"/>
        <v>5</v>
      </c>
      <c r="BP16" s="150">
        <f t="shared" si="27"/>
        <v>38.5</v>
      </c>
      <c r="BQ16" s="152">
        <f t="shared" si="28"/>
        <v>4.8125</v>
      </c>
      <c r="BR16" s="152" t="str">
        <f t="shared" si="29"/>
        <v>A</v>
      </c>
      <c r="BS16" s="153" t="str">
        <f t="shared" si="3"/>
        <v>BETTER</v>
      </c>
      <c r="BT16" s="154">
        <f t="shared" si="30"/>
        <v>695</v>
      </c>
      <c r="BU16" s="59"/>
      <c r="BV16" s="62"/>
      <c r="BW16" s="178">
        <f>'1st_Semester'!BT16</f>
        <v>494</v>
      </c>
      <c r="BX16" s="179">
        <f>'2nd_Semester'!BT16</f>
        <v>690</v>
      </c>
      <c r="BY16" s="179">
        <f t="shared" si="31"/>
        <v>695</v>
      </c>
      <c r="BZ16" s="179">
        <f t="shared" si="32"/>
        <v>626.33333333333337</v>
      </c>
      <c r="CA16" s="182">
        <f>'1st_Semester'!BQ16</f>
        <v>3.4375</v>
      </c>
      <c r="CB16" s="182">
        <f>'2nd_Semester'!BQ16</f>
        <v>4.8125</v>
      </c>
      <c r="CC16" s="182">
        <f t="shared" si="33"/>
        <v>4.8125</v>
      </c>
      <c r="CD16" s="182">
        <f t="shared" si="34"/>
        <v>4.354166666666667</v>
      </c>
    </row>
    <row r="17" spans="1:82" ht="27.95" customHeight="1">
      <c r="A17" s="71">
        <v>9</v>
      </c>
      <c r="B17" s="49">
        <v>14</v>
      </c>
      <c r="C17" s="51" t="s">
        <v>85</v>
      </c>
      <c r="D17" s="51" t="s">
        <v>86</v>
      </c>
      <c r="E17" s="51" t="s">
        <v>87</v>
      </c>
      <c r="F17" s="66" t="s">
        <v>330</v>
      </c>
      <c r="G17" s="78">
        <v>20</v>
      </c>
      <c r="H17" s="150">
        <v>41</v>
      </c>
      <c r="I17" s="151">
        <f t="shared" si="4"/>
        <v>61</v>
      </c>
      <c r="J17" s="150">
        <v>19</v>
      </c>
      <c r="K17" s="151">
        <f t="shared" si="35"/>
        <v>80</v>
      </c>
      <c r="L17" s="149">
        <v>10</v>
      </c>
      <c r="M17" s="150">
        <v>37</v>
      </c>
      <c r="N17" s="151">
        <f t="shared" si="36"/>
        <v>47</v>
      </c>
      <c r="O17" s="151">
        <f t="shared" si="5"/>
        <v>47</v>
      </c>
      <c r="P17" s="151">
        <f t="shared" si="0"/>
        <v>127</v>
      </c>
      <c r="Q17" s="215"/>
      <c r="R17" s="150">
        <f t="shared" si="6"/>
        <v>5</v>
      </c>
      <c r="S17" s="149">
        <v>18</v>
      </c>
      <c r="T17" s="150">
        <v>67</v>
      </c>
      <c r="U17" s="151">
        <f t="shared" si="7"/>
        <v>85</v>
      </c>
      <c r="V17" s="149">
        <v>9</v>
      </c>
      <c r="W17" s="150">
        <v>38</v>
      </c>
      <c r="X17" s="151">
        <f t="shared" si="8"/>
        <v>47</v>
      </c>
      <c r="Y17" s="151">
        <f t="shared" si="9"/>
        <v>132</v>
      </c>
      <c r="Z17" s="151">
        <f t="shared" si="1"/>
        <v>132</v>
      </c>
      <c r="AA17" s="215"/>
      <c r="AB17" s="150">
        <f t="shared" si="10"/>
        <v>5</v>
      </c>
      <c r="AC17" s="149">
        <v>19</v>
      </c>
      <c r="AD17" s="150">
        <v>36</v>
      </c>
      <c r="AE17" s="151">
        <f t="shared" si="11"/>
        <v>55</v>
      </c>
      <c r="AF17" s="150">
        <v>26</v>
      </c>
      <c r="AG17" s="151">
        <f t="shared" si="12"/>
        <v>81</v>
      </c>
      <c r="AH17" s="215"/>
      <c r="AI17" s="150">
        <f t="shared" si="13"/>
        <v>5</v>
      </c>
      <c r="AJ17" s="149">
        <v>18</v>
      </c>
      <c r="AK17" s="150">
        <v>38</v>
      </c>
      <c r="AL17" s="151">
        <f t="shared" si="14"/>
        <v>56</v>
      </c>
      <c r="AM17" s="150">
        <v>28</v>
      </c>
      <c r="AN17" s="151">
        <f t="shared" si="15"/>
        <v>84</v>
      </c>
      <c r="AO17" s="217"/>
      <c r="AP17" s="150">
        <f t="shared" si="16"/>
        <v>5</v>
      </c>
      <c r="AQ17" s="150">
        <v>24</v>
      </c>
      <c r="AR17" s="150">
        <v>25</v>
      </c>
      <c r="AS17" s="150">
        <f t="shared" si="17"/>
        <v>49</v>
      </c>
      <c r="AT17" s="218"/>
      <c r="AU17" s="150">
        <f t="shared" si="18"/>
        <v>5</v>
      </c>
      <c r="AV17" s="149">
        <v>20</v>
      </c>
      <c r="AW17" s="150">
        <v>46</v>
      </c>
      <c r="AX17" s="151">
        <f t="shared" si="19"/>
        <v>66</v>
      </c>
      <c r="AY17" s="150">
        <v>25</v>
      </c>
      <c r="AZ17" s="151">
        <f t="shared" si="20"/>
        <v>91</v>
      </c>
      <c r="BA17" s="217"/>
      <c r="BB17" s="150">
        <f t="shared" si="21"/>
        <v>5</v>
      </c>
      <c r="BC17" s="149">
        <v>13</v>
      </c>
      <c r="BD17" s="150">
        <v>41</v>
      </c>
      <c r="BE17" s="151">
        <f t="shared" si="22"/>
        <v>54</v>
      </c>
      <c r="BF17" s="150">
        <v>28</v>
      </c>
      <c r="BG17" s="151">
        <f t="shared" si="23"/>
        <v>82</v>
      </c>
      <c r="BH17" s="217"/>
      <c r="BI17" s="150">
        <f t="shared" si="24"/>
        <v>5</v>
      </c>
      <c r="BJ17" s="149">
        <v>10</v>
      </c>
      <c r="BK17" s="150">
        <v>40</v>
      </c>
      <c r="BL17" s="151">
        <f t="shared" si="25"/>
        <v>50</v>
      </c>
      <c r="BM17" s="151">
        <f t="shared" si="26"/>
        <v>50</v>
      </c>
      <c r="BN17" s="217"/>
      <c r="BO17" s="150">
        <f t="shared" si="2"/>
        <v>5</v>
      </c>
      <c r="BP17" s="150">
        <f t="shared" si="27"/>
        <v>40</v>
      </c>
      <c r="BQ17" s="152">
        <f t="shared" si="28"/>
        <v>5</v>
      </c>
      <c r="BR17" s="152" t="str">
        <f t="shared" si="29"/>
        <v>A+</v>
      </c>
      <c r="BS17" s="153" t="str">
        <f t="shared" si="3"/>
        <v>BEST</v>
      </c>
      <c r="BT17" s="154">
        <f t="shared" si="30"/>
        <v>696</v>
      </c>
      <c r="BU17" s="59"/>
      <c r="BV17" s="62"/>
      <c r="BW17" s="178">
        <f>'1st_Semester'!BT17</f>
        <v>566</v>
      </c>
      <c r="BX17" s="179">
        <f>'2nd_Semester'!BT17</f>
        <v>674</v>
      </c>
      <c r="BY17" s="179">
        <f t="shared" si="31"/>
        <v>696</v>
      </c>
      <c r="BZ17" s="179">
        <f t="shared" si="32"/>
        <v>645.33333333333337</v>
      </c>
      <c r="CA17" s="182">
        <f>'1st_Semester'!BQ17</f>
        <v>4</v>
      </c>
      <c r="CB17" s="182">
        <f>'2nd_Semester'!BQ17</f>
        <v>4.6875</v>
      </c>
      <c r="CC17" s="182">
        <f t="shared" si="33"/>
        <v>5</v>
      </c>
      <c r="CD17" s="182">
        <f t="shared" si="34"/>
        <v>4.5625</v>
      </c>
    </row>
    <row r="18" spans="1:82" ht="27.95" customHeight="1">
      <c r="A18" s="71">
        <v>10</v>
      </c>
      <c r="B18" s="49">
        <v>15</v>
      </c>
      <c r="C18" s="51" t="s">
        <v>88</v>
      </c>
      <c r="D18" s="51" t="s">
        <v>89</v>
      </c>
      <c r="E18" s="51" t="s">
        <v>90</v>
      </c>
      <c r="F18" s="66" t="s">
        <v>212</v>
      </c>
      <c r="G18" s="78">
        <v>20</v>
      </c>
      <c r="H18" s="150">
        <v>44</v>
      </c>
      <c r="I18" s="151">
        <f t="shared" si="4"/>
        <v>64</v>
      </c>
      <c r="J18" s="150">
        <v>25</v>
      </c>
      <c r="K18" s="151">
        <f t="shared" si="35"/>
        <v>89</v>
      </c>
      <c r="L18" s="149">
        <v>10</v>
      </c>
      <c r="M18" s="150">
        <v>38</v>
      </c>
      <c r="N18" s="151">
        <f t="shared" si="36"/>
        <v>48</v>
      </c>
      <c r="O18" s="151">
        <f t="shared" si="5"/>
        <v>48</v>
      </c>
      <c r="P18" s="151">
        <f t="shared" si="0"/>
        <v>137</v>
      </c>
      <c r="Q18" s="215"/>
      <c r="R18" s="150">
        <f t="shared" si="6"/>
        <v>5</v>
      </c>
      <c r="S18" s="149">
        <v>20</v>
      </c>
      <c r="T18" s="150">
        <v>72</v>
      </c>
      <c r="U18" s="151">
        <f t="shared" si="7"/>
        <v>92</v>
      </c>
      <c r="V18" s="149">
        <v>10</v>
      </c>
      <c r="W18" s="150">
        <v>36</v>
      </c>
      <c r="X18" s="151">
        <f t="shared" si="8"/>
        <v>46</v>
      </c>
      <c r="Y18" s="151">
        <f t="shared" si="9"/>
        <v>138</v>
      </c>
      <c r="Z18" s="151">
        <f t="shared" si="1"/>
        <v>138</v>
      </c>
      <c r="AA18" s="215"/>
      <c r="AB18" s="150">
        <f t="shared" si="10"/>
        <v>5</v>
      </c>
      <c r="AC18" s="149">
        <v>19</v>
      </c>
      <c r="AD18" s="150">
        <v>45</v>
      </c>
      <c r="AE18" s="151">
        <f t="shared" si="11"/>
        <v>64</v>
      </c>
      <c r="AF18" s="150">
        <v>22</v>
      </c>
      <c r="AG18" s="151">
        <f t="shared" si="12"/>
        <v>86</v>
      </c>
      <c r="AH18" s="215"/>
      <c r="AI18" s="150">
        <f t="shared" si="13"/>
        <v>5</v>
      </c>
      <c r="AJ18" s="149">
        <v>18</v>
      </c>
      <c r="AK18" s="150">
        <v>39</v>
      </c>
      <c r="AL18" s="151">
        <f t="shared" si="14"/>
        <v>57</v>
      </c>
      <c r="AM18" s="150">
        <v>26</v>
      </c>
      <c r="AN18" s="151">
        <f t="shared" si="15"/>
        <v>83</v>
      </c>
      <c r="AO18" s="217"/>
      <c r="AP18" s="150">
        <f t="shared" si="16"/>
        <v>5</v>
      </c>
      <c r="AQ18" s="150">
        <v>25</v>
      </c>
      <c r="AR18" s="150">
        <v>25</v>
      </c>
      <c r="AS18" s="150">
        <f t="shared" si="17"/>
        <v>50</v>
      </c>
      <c r="AT18" s="218"/>
      <c r="AU18" s="150">
        <f t="shared" si="18"/>
        <v>5</v>
      </c>
      <c r="AV18" s="149">
        <v>20</v>
      </c>
      <c r="AW18" s="150">
        <v>46</v>
      </c>
      <c r="AX18" s="151">
        <f t="shared" si="19"/>
        <v>66</v>
      </c>
      <c r="AY18" s="150">
        <v>22</v>
      </c>
      <c r="AZ18" s="151">
        <f t="shared" si="20"/>
        <v>88</v>
      </c>
      <c r="BA18" s="217"/>
      <c r="BB18" s="150">
        <f t="shared" si="21"/>
        <v>5</v>
      </c>
      <c r="BC18" s="149">
        <v>19</v>
      </c>
      <c r="BD18" s="150">
        <v>47</v>
      </c>
      <c r="BE18" s="151">
        <f t="shared" si="22"/>
        <v>66</v>
      </c>
      <c r="BF18" s="150">
        <v>28</v>
      </c>
      <c r="BG18" s="151">
        <f t="shared" si="23"/>
        <v>94</v>
      </c>
      <c r="BH18" s="217"/>
      <c r="BI18" s="150">
        <f t="shared" si="24"/>
        <v>5</v>
      </c>
      <c r="BJ18" s="149">
        <v>10</v>
      </c>
      <c r="BK18" s="150">
        <v>40</v>
      </c>
      <c r="BL18" s="151">
        <f t="shared" si="25"/>
        <v>50</v>
      </c>
      <c r="BM18" s="151">
        <f t="shared" si="26"/>
        <v>50</v>
      </c>
      <c r="BN18" s="217"/>
      <c r="BO18" s="150">
        <f t="shared" si="2"/>
        <v>5</v>
      </c>
      <c r="BP18" s="150">
        <f t="shared" si="27"/>
        <v>40</v>
      </c>
      <c r="BQ18" s="152">
        <f t="shared" si="28"/>
        <v>5</v>
      </c>
      <c r="BR18" s="152" t="str">
        <f t="shared" si="29"/>
        <v>A+</v>
      </c>
      <c r="BS18" s="153" t="str">
        <f t="shared" si="3"/>
        <v>BEST</v>
      </c>
      <c r="BT18" s="154">
        <f t="shared" si="30"/>
        <v>726</v>
      </c>
      <c r="BU18" s="59"/>
      <c r="BV18" s="62"/>
      <c r="BW18" s="178">
        <f>'1st_Semester'!BT18</f>
        <v>550</v>
      </c>
      <c r="BX18" s="179">
        <f>'2nd_Semester'!BT18</f>
        <v>732</v>
      </c>
      <c r="BY18" s="179">
        <f t="shared" si="31"/>
        <v>726</v>
      </c>
      <c r="BZ18" s="179">
        <f t="shared" si="32"/>
        <v>669.33333333333337</v>
      </c>
      <c r="CA18" s="182">
        <f>'1st_Semester'!BQ18</f>
        <v>3.8125</v>
      </c>
      <c r="CB18" s="182">
        <f>'2nd_Semester'!BQ18</f>
        <v>5</v>
      </c>
      <c r="CC18" s="182">
        <f t="shared" si="33"/>
        <v>5</v>
      </c>
      <c r="CD18" s="182">
        <f t="shared" si="34"/>
        <v>4.604166666666667</v>
      </c>
    </row>
    <row r="19" spans="1:82" ht="27.95" customHeight="1">
      <c r="A19" s="71">
        <v>11</v>
      </c>
      <c r="B19" s="49">
        <v>16</v>
      </c>
      <c r="C19" s="52" t="s">
        <v>91</v>
      </c>
      <c r="D19" s="52" t="s">
        <v>92</v>
      </c>
      <c r="E19" s="52" t="s">
        <v>93</v>
      </c>
      <c r="F19" s="66" t="s">
        <v>331</v>
      </c>
      <c r="G19" s="78">
        <v>19</v>
      </c>
      <c r="H19" s="150">
        <v>41</v>
      </c>
      <c r="I19" s="151">
        <f t="shared" si="4"/>
        <v>60</v>
      </c>
      <c r="J19" s="150">
        <v>16</v>
      </c>
      <c r="K19" s="151">
        <f t="shared" si="35"/>
        <v>76</v>
      </c>
      <c r="L19" s="149">
        <v>10</v>
      </c>
      <c r="M19" s="150">
        <v>33</v>
      </c>
      <c r="N19" s="151">
        <f t="shared" si="36"/>
        <v>43</v>
      </c>
      <c r="O19" s="151">
        <f t="shared" si="5"/>
        <v>43</v>
      </c>
      <c r="P19" s="151">
        <f t="shared" si="0"/>
        <v>119</v>
      </c>
      <c r="Q19" s="215"/>
      <c r="R19" s="150">
        <f t="shared" si="6"/>
        <v>4</v>
      </c>
      <c r="S19" s="149">
        <v>16</v>
      </c>
      <c r="T19" s="150">
        <v>61</v>
      </c>
      <c r="U19" s="151">
        <f t="shared" si="7"/>
        <v>77</v>
      </c>
      <c r="V19" s="149">
        <v>7</v>
      </c>
      <c r="W19" s="150">
        <v>25</v>
      </c>
      <c r="X19" s="151">
        <f t="shared" si="8"/>
        <v>32</v>
      </c>
      <c r="Y19" s="151">
        <f t="shared" si="9"/>
        <v>109</v>
      </c>
      <c r="Z19" s="151">
        <f t="shared" si="1"/>
        <v>109</v>
      </c>
      <c r="AA19" s="215"/>
      <c r="AB19" s="150">
        <f t="shared" si="10"/>
        <v>4</v>
      </c>
      <c r="AC19" s="149">
        <v>10</v>
      </c>
      <c r="AD19" s="150">
        <v>20</v>
      </c>
      <c r="AE19" s="151">
        <f t="shared" si="11"/>
        <v>30</v>
      </c>
      <c r="AF19" s="150">
        <v>17</v>
      </c>
      <c r="AG19" s="151">
        <f t="shared" si="12"/>
        <v>47</v>
      </c>
      <c r="AH19" s="215"/>
      <c r="AI19" s="150">
        <f t="shared" si="13"/>
        <v>2</v>
      </c>
      <c r="AJ19" s="149">
        <v>14</v>
      </c>
      <c r="AK19" s="150">
        <v>26</v>
      </c>
      <c r="AL19" s="151">
        <f t="shared" si="14"/>
        <v>40</v>
      </c>
      <c r="AM19" s="150">
        <v>20</v>
      </c>
      <c r="AN19" s="151">
        <f t="shared" si="15"/>
        <v>60</v>
      </c>
      <c r="AO19" s="217"/>
      <c r="AP19" s="150">
        <f t="shared" si="16"/>
        <v>3.5</v>
      </c>
      <c r="AQ19" s="150">
        <v>23</v>
      </c>
      <c r="AR19" s="150">
        <v>25</v>
      </c>
      <c r="AS19" s="150">
        <f t="shared" si="17"/>
        <v>48</v>
      </c>
      <c r="AT19" s="218"/>
      <c r="AU19" s="150">
        <f t="shared" si="18"/>
        <v>5</v>
      </c>
      <c r="AV19" s="149">
        <v>16</v>
      </c>
      <c r="AW19" s="150">
        <v>44</v>
      </c>
      <c r="AX19" s="151">
        <f t="shared" si="19"/>
        <v>60</v>
      </c>
      <c r="AY19" s="150">
        <v>16</v>
      </c>
      <c r="AZ19" s="151">
        <f t="shared" si="20"/>
        <v>76</v>
      </c>
      <c r="BA19" s="217"/>
      <c r="BB19" s="150">
        <f t="shared" si="21"/>
        <v>4</v>
      </c>
      <c r="BC19" s="149">
        <v>13</v>
      </c>
      <c r="BD19" s="150">
        <v>41</v>
      </c>
      <c r="BE19" s="151">
        <f t="shared" si="22"/>
        <v>54</v>
      </c>
      <c r="BF19" s="150">
        <v>29</v>
      </c>
      <c r="BG19" s="151">
        <f t="shared" si="23"/>
        <v>83</v>
      </c>
      <c r="BH19" s="217"/>
      <c r="BI19" s="150">
        <f t="shared" si="24"/>
        <v>5</v>
      </c>
      <c r="BJ19" s="149">
        <v>10</v>
      </c>
      <c r="BK19" s="150">
        <v>40</v>
      </c>
      <c r="BL19" s="151">
        <f t="shared" si="25"/>
        <v>50</v>
      </c>
      <c r="BM19" s="151">
        <f t="shared" si="26"/>
        <v>50</v>
      </c>
      <c r="BN19" s="217"/>
      <c r="BO19" s="150">
        <f t="shared" si="2"/>
        <v>5</v>
      </c>
      <c r="BP19" s="150">
        <f t="shared" si="27"/>
        <v>32.5</v>
      </c>
      <c r="BQ19" s="152">
        <f t="shared" si="28"/>
        <v>4.0625</v>
      </c>
      <c r="BR19" s="152" t="str">
        <f t="shared" si="29"/>
        <v>A</v>
      </c>
      <c r="BS19" s="153" t="str">
        <f t="shared" si="3"/>
        <v>BETTER</v>
      </c>
      <c r="BT19" s="154">
        <f t="shared" si="30"/>
        <v>592</v>
      </c>
      <c r="BU19" s="59"/>
      <c r="BV19" s="62"/>
      <c r="BW19" s="178">
        <f>'1st_Semester'!BT19</f>
        <v>662</v>
      </c>
      <c r="BX19" s="179">
        <f>'2nd_Semester'!BT19</f>
        <v>553</v>
      </c>
      <c r="BY19" s="179">
        <f t="shared" si="31"/>
        <v>592</v>
      </c>
      <c r="BZ19" s="179">
        <f t="shared" si="32"/>
        <v>602.33333333333337</v>
      </c>
      <c r="CA19" s="182">
        <f>'1st_Semester'!BQ19</f>
        <v>4.4375</v>
      </c>
      <c r="CB19" s="182">
        <f>'2nd_Semester'!BQ19</f>
        <v>4</v>
      </c>
      <c r="CC19" s="182">
        <f t="shared" si="33"/>
        <v>4.0625</v>
      </c>
      <c r="CD19" s="182">
        <f t="shared" si="34"/>
        <v>4.166666666666667</v>
      </c>
    </row>
    <row r="20" spans="1:82" ht="27.95" customHeight="1">
      <c r="A20" s="71">
        <v>12</v>
      </c>
      <c r="B20" s="49">
        <v>18</v>
      </c>
      <c r="C20" s="51" t="s">
        <v>94</v>
      </c>
      <c r="D20" s="51" t="s">
        <v>95</v>
      </c>
      <c r="E20" s="51" t="s">
        <v>96</v>
      </c>
      <c r="F20" s="66" t="s">
        <v>332</v>
      </c>
      <c r="G20" s="78">
        <v>20</v>
      </c>
      <c r="H20" s="150">
        <v>41</v>
      </c>
      <c r="I20" s="151">
        <f t="shared" si="4"/>
        <v>61</v>
      </c>
      <c r="J20" s="150">
        <v>20</v>
      </c>
      <c r="K20" s="151">
        <f t="shared" si="35"/>
        <v>81</v>
      </c>
      <c r="L20" s="149">
        <v>10</v>
      </c>
      <c r="M20" s="150">
        <v>36</v>
      </c>
      <c r="N20" s="151">
        <f t="shared" si="36"/>
        <v>46</v>
      </c>
      <c r="O20" s="151">
        <f t="shared" si="5"/>
        <v>46</v>
      </c>
      <c r="P20" s="151">
        <f t="shared" si="0"/>
        <v>127</v>
      </c>
      <c r="Q20" s="215"/>
      <c r="R20" s="150">
        <f t="shared" si="6"/>
        <v>5</v>
      </c>
      <c r="S20" s="149">
        <v>19</v>
      </c>
      <c r="T20" s="150">
        <v>68</v>
      </c>
      <c r="U20" s="151">
        <f t="shared" si="7"/>
        <v>87</v>
      </c>
      <c r="V20" s="149">
        <v>9</v>
      </c>
      <c r="W20" s="150">
        <v>38</v>
      </c>
      <c r="X20" s="151">
        <f t="shared" si="8"/>
        <v>47</v>
      </c>
      <c r="Y20" s="151">
        <f t="shared" si="9"/>
        <v>134</v>
      </c>
      <c r="Z20" s="151">
        <f t="shared" si="1"/>
        <v>134</v>
      </c>
      <c r="AA20" s="215"/>
      <c r="AB20" s="150">
        <f t="shared" si="10"/>
        <v>5</v>
      </c>
      <c r="AC20" s="149">
        <v>19</v>
      </c>
      <c r="AD20" s="150">
        <v>43</v>
      </c>
      <c r="AE20" s="151">
        <f t="shared" si="11"/>
        <v>62</v>
      </c>
      <c r="AF20" s="150">
        <v>24</v>
      </c>
      <c r="AG20" s="151">
        <f t="shared" si="12"/>
        <v>86</v>
      </c>
      <c r="AH20" s="215"/>
      <c r="AI20" s="150">
        <f t="shared" si="13"/>
        <v>5</v>
      </c>
      <c r="AJ20" s="149">
        <v>19</v>
      </c>
      <c r="AK20" s="150">
        <v>42</v>
      </c>
      <c r="AL20" s="151">
        <f t="shared" si="14"/>
        <v>61</v>
      </c>
      <c r="AM20" s="150">
        <v>26</v>
      </c>
      <c r="AN20" s="151">
        <f t="shared" si="15"/>
        <v>87</v>
      </c>
      <c r="AO20" s="217"/>
      <c r="AP20" s="150">
        <f t="shared" si="16"/>
        <v>5</v>
      </c>
      <c r="AQ20" s="150">
        <v>23</v>
      </c>
      <c r="AR20" s="150">
        <v>25</v>
      </c>
      <c r="AS20" s="150">
        <f t="shared" si="17"/>
        <v>48</v>
      </c>
      <c r="AT20" s="218"/>
      <c r="AU20" s="150">
        <f t="shared" si="18"/>
        <v>5</v>
      </c>
      <c r="AV20" s="149">
        <v>20</v>
      </c>
      <c r="AW20" s="150">
        <v>45</v>
      </c>
      <c r="AX20" s="151">
        <f t="shared" si="19"/>
        <v>65</v>
      </c>
      <c r="AY20" s="150">
        <v>24</v>
      </c>
      <c r="AZ20" s="151">
        <f t="shared" si="20"/>
        <v>89</v>
      </c>
      <c r="BA20" s="217"/>
      <c r="BB20" s="150">
        <f t="shared" si="21"/>
        <v>5</v>
      </c>
      <c r="BC20" s="149">
        <v>19</v>
      </c>
      <c r="BD20" s="150">
        <v>43</v>
      </c>
      <c r="BE20" s="151">
        <f t="shared" si="22"/>
        <v>62</v>
      </c>
      <c r="BF20" s="150">
        <v>28</v>
      </c>
      <c r="BG20" s="151">
        <f t="shared" si="23"/>
        <v>90</v>
      </c>
      <c r="BH20" s="217"/>
      <c r="BI20" s="150">
        <f t="shared" si="24"/>
        <v>5</v>
      </c>
      <c r="BJ20" s="149">
        <v>10</v>
      </c>
      <c r="BK20" s="150">
        <v>40</v>
      </c>
      <c r="BL20" s="151">
        <f t="shared" si="25"/>
        <v>50</v>
      </c>
      <c r="BM20" s="151">
        <f t="shared" si="26"/>
        <v>50</v>
      </c>
      <c r="BN20" s="217"/>
      <c r="BO20" s="150">
        <f t="shared" si="2"/>
        <v>5</v>
      </c>
      <c r="BP20" s="150">
        <f t="shared" si="27"/>
        <v>40</v>
      </c>
      <c r="BQ20" s="152">
        <f t="shared" si="28"/>
        <v>5</v>
      </c>
      <c r="BR20" s="152" t="str">
        <f t="shared" si="29"/>
        <v>A+</v>
      </c>
      <c r="BS20" s="153" t="str">
        <f t="shared" si="3"/>
        <v>BEST</v>
      </c>
      <c r="BT20" s="154">
        <f t="shared" si="30"/>
        <v>711</v>
      </c>
      <c r="BU20" s="59"/>
      <c r="BV20" s="62"/>
      <c r="BW20" s="178">
        <f>'1st_Semester'!BT20</f>
        <v>414</v>
      </c>
      <c r="BX20" s="179">
        <f>'2nd_Semester'!BT20</f>
        <v>677</v>
      </c>
      <c r="BY20" s="179">
        <f t="shared" si="31"/>
        <v>711</v>
      </c>
      <c r="BZ20" s="179">
        <f t="shared" si="32"/>
        <v>600.66666666666663</v>
      </c>
      <c r="CA20" s="182" t="str">
        <f>'1st_Semester'!BQ20</f>
        <v>F</v>
      </c>
      <c r="CB20" s="182">
        <f>'2nd_Semester'!BQ20</f>
        <v>4.6875</v>
      </c>
      <c r="CC20" s="182">
        <f t="shared" si="33"/>
        <v>5</v>
      </c>
      <c r="CD20" s="182">
        <f t="shared" si="34"/>
        <v>4.84375</v>
      </c>
    </row>
    <row r="21" spans="1:82" ht="27.95" customHeight="1">
      <c r="A21" s="71">
        <v>13</v>
      </c>
      <c r="B21" s="49">
        <v>19</v>
      </c>
      <c r="C21" s="51" t="s">
        <v>97</v>
      </c>
      <c r="D21" s="51" t="s">
        <v>98</v>
      </c>
      <c r="E21" s="51" t="s">
        <v>99</v>
      </c>
      <c r="F21" s="66" t="s">
        <v>213</v>
      </c>
      <c r="G21" s="78">
        <v>20</v>
      </c>
      <c r="H21" s="150">
        <v>42</v>
      </c>
      <c r="I21" s="151">
        <f t="shared" si="4"/>
        <v>62</v>
      </c>
      <c r="J21" s="150">
        <v>26</v>
      </c>
      <c r="K21" s="151">
        <f t="shared" si="35"/>
        <v>88</v>
      </c>
      <c r="L21" s="149">
        <v>10</v>
      </c>
      <c r="M21" s="150">
        <v>34</v>
      </c>
      <c r="N21" s="151">
        <f t="shared" si="36"/>
        <v>44</v>
      </c>
      <c r="O21" s="151">
        <f t="shared" si="5"/>
        <v>44</v>
      </c>
      <c r="P21" s="151">
        <f t="shared" si="0"/>
        <v>132</v>
      </c>
      <c r="Q21" s="215"/>
      <c r="R21" s="150">
        <f t="shared" si="6"/>
        <v>5</v>
      </c>
      <c r="S21" s="149">
        <v>19</v>
      </c>
      <c r="T21" s="150">
        <v>70</v>
      </c>
      <c r="U21" s="151">
        <f t="shared" si="7"/>
        <v>89</v>
      </c>
      <c r="V21" s="149">
        <v>10</v>
      </c>
      <c r="W21" s="150">
        <v>38</v>
      </c>
      <c r="X21" s="151">
        <f t="shared" si="8"/>
        <v>48</v>
      </c>
      <c r="Y21" s="151">
        <f t="shared" si="9"/>
        <v>137</v>
      </c>
      <c r="Z21" s="151">
        <f t="shared" si="1"/>
        <v>137</v>
      </c>
      <c r="AA21" s="215"/>
      <c r="AB21" s="150">
        <f t="shared" si="10"/>
        <v>5</v>
      </c>
      <c r="AC21" s="149">
        <v>19</v>
      </c>
      <c r="AD21" s="150">
        <v>48</v>
      </c>
      <c r="AE21" s="151">
        <f t="shared" si="11"/>
        <v>67</v>
      </c>
      <c r="AF21" s="150">
        <v>28</v>
      </c>
      <c r="AG21" s="151">
        <f t="shared" si="12"/>
        <v>95</v>
      </c>
      <c r="AH21" s="215"/>
      <c r="AI21" s="150">
        <f t="shared" si="13"/>
        <v>5</v>
      </c>
      <c r="AJ21" s="149">
        <v>19</v>
      </c>
      <c r="AK21" s="150">
        <v>44</v>
      </c>
      <c r="AL21" s="151">
        <f t="shared" si="14"/>
        <v>63</v>
      </c>
      <c r="AM21" s="150">
        <v>28</v>
      </c>
      <c r="AN21" s="151">
        <f t="shared" si="15"/>
        <v>91</v>
      </c>
      <c r="AO21" s="217"/>
      <c r="AP21" s="150">
        <f t="shared" si="16"/>
        <v>5</v>
      </c>
      <c r="AQ21" s="150">
        <v>25</v>
      </c>
      <c r="AR21" s="150">
        <v>25</v>
      </c>
      <c r="AS21" s="150">
        <f t="shared" si="17"/>
        <v>50</v>
      </c>
      <c r="AT21" s="218"/>
      <c r="AU21" s="150">
        <f t="shared" si="18"/>
        <v>5</v>
      </c>
      <c r="AV21" s="149">
        <v>20</v>
      </c>
      <c r="AW21" s="150">
        <v>47</v>
      </c>
      <c r="AX21" s="151">
        <f t="shared" si="19"/>
        <v>67</v>
      </c>
      <c r="AY21" s="150">
        <v>24</v>
      </c>
      <c r="AZ21" s="151">
        <f t="shared" si="20"/>
        <v>91</v>
      </c>
      <c r="BA21" s="217"/>
      <c r="BB21" s="150">
        <f t="shared" si="21"/>
        <v>5</v>
      </c>
      <c r="BC21" s="149">
        <v>19</v>
      </c>
      <c r="BD21" s="150">
        <v>46</v>
      </c>
      <c r="BE21" s="151">
        <f t="shared" si="22"/>
        <v>65</v>
      </c>
      <c r="BF21" s="150">
        <v>30</v>
      </c>
      <c r="BG21" s="151">
        <f t="shared" si="23"/>
        <v>95</v>
      </c>
      <c r="BH21" s="217"/>
      <c r="BI21" s="150">
        <f t="shared" si="24"/>
        <v>5</v>
      </c>
      <c r="BJ21" s="149">
        <v>10</v>
      </c>
      <c r="BK21" s="150">
        <v>40</v>
      </c>
      <c r="BL21" s="151">
        <f t="shared" si="25"/>
        <v>50</v>
      </c>
      <c r="BM21" s="151">
        <f t="shared" si="26"/>
        <v>50</v>
      </c>
      <c r="BN21" s="217"/>
      <c r="BO21" s="150">
        <f t="shared" si="2"/>
        <v>5</v>
      </c>
      <c r="BP21" s="150">
        <f t="shared" si="27"/>
        <v>40</v>
      </c>
      <c r="BQ21" s="152">
        <f t="shared" si="28"/>
        <v>5</v>
      </c>
      <c r="BR21" s="152" t="str">
        <f t="shared" si="29"/>
        <v>A+</v>
      </c>
      <c r="BS21" s="153" t="str">
        <f t="shared" si="3"/>
        <v>BEST</v>
      </c>
      <c r="BT21" s="154">
        <f t="shared" si="30"/>
        <v>741</v>
      </c>
      <c r="BU21" s="59"/>
      <c r="BV21" s="62"/>
      <c r="BW21" s="178">
        <f>'1st_Semester'!BT21</f>
        <v>559</v>
      </c>
      <c r="BX21" s="179">
        <f>'2nd_Semester'!BT21</f>
        <v>730</v>
      </c>
      <c r="BY21" s="179">
        <f t="shared" si="31"/>
        <v>741</v>
      </c>
      <c r="BZ21" s="179">
        <f t="shared" si="32"/>
        <v>676.66666666666663</v>
      </c>
      <c r="CA21" s="182">
        <f>'1st_Semester'!BQ21</f>
        <v>3.8125</v>
      </c>
      <c r="CB21" s="182">
        <f>'2nd_Semester'!BQ21</f>
        <v>5</v>
      </c>
      <c r="CC21" s="182">
        <f t="shared" si="33"/>
        <v>5</v>
      </c>
      <c r="CD21" s="182">
        <f t="shared" si="34"/>
        <v>4.604166666666667</v>
      </c>
    </row>
    <row r="22" spans="1:82" ht="27.95" customHeight="1">
      <c r="A22" s="71">
        <v>14</v>
      </c>
      <c r="B22" s="49">
        <v>20</v>
      </c>
      <c r="C22" s="51" t="s">
        <v>100</v>
      </c>
      <c r="D22" s="51" t="s">
        <v>101</v>
      </c>
      <c r="E22" s="51" t="s">
        <v>102</v>
      </c>
      <c r="F22" s="66" t="s">
        <v>333</v>
      </c>
      <c r="G22" s="78">
        <v>20</v>
      </c>
      <c r="H22" s="150">
        <v>41</v>
      </c>
      <c r="I22" s="151">
        <f t="shared" si="4"/>
        <v>61</v>
      </c>
      <c r="J22" s="150">
        <v>26</v>
      </c>
      <c r="K22" s="151">
        <f t="shared" si="35"/>
        <v>87</v>
      </c>
      <c r="L22" s="149">
        <v>10</v>
      </c>
      <c r="M22" s="150">
        <v>34</v>
      </c>
      <c r="N22" s="151">
        <f t="shared" si="36"/>
        <v>44</v>
      </c>
      <c r="O22" s="151">
        <f t="shared" si="5"/>
        <v>44</v>
      </c>
      <c r="P22" s="151">
        <f t="shared" si="0"/>
        <v>131</v>
      </c>
      <c r="Q22" s="215"/>
      <c r="R22" s="150">
        <f t="shared" si="6"/>
        <v>5</v>
      </c>
      <c r="S22" s="149">
        <v>18</v>
      </c>
      <c r="T22" s="150">
        <v>68</v>
      </c>
      <c r="U22" s="151">
        <f t="shared" si="7"/>
        <v>86</v>
      </c>
      <c r="V22" s="149">
        <v>9</v>
      </c>
      <c r="W22" s="150">
        <v>38</v>
      </c>
      <c r="X22" s="151">
        <f t="shared" si="8"/>
        <v>47</v>
      </c>
      <c r="Y22" s="151">
        <f t="shared" si="9"/>
        <v>133</v>
      </c>
      <c r="Z22" s="151">
        <f t="shared" si="1"/>
        <v>133</v>
      </c>
      <c r="AA22" s="215"/>
      <c r="AB22" s="150">
        <f t="shared" si="10"/>
        <v>5</v>
      </c>
      <c r="AC22" s="149">
        <v>17</v>
      </c>
      <c r="AD22" s="150">
        <v>46</v>
      </c>
      <c r="AE22" s="151">
        <f t="shared" si="11"/>
        <v>63</v>
      </c>
      <c r="AF22" s="150">
        <v>28</v>
      </c>
      <c r="AG22" s="151">
        <f t="shared" si="12"/>
        <v>91</v>
      </c>
      <c r="AH22" s="215"/>
      <c r="AI22" s="150">
        <f t="shared" si="13"/>
        <v>5</v>
      </c>
      <c r="AJ22" s="149">
        <v>20</v>
      </c>
      <c r="AK22" s="150">
        <v>47</v>
      </c>
      <c r="AL22" s="151">
        <f t="shared" si="14"/>
        <v>67</v>
      </c>
      <c r="AM22" s="150">
        <v>30</v>
      </c>
      <c r="AN22" s="151">
        <f t="shared" si="15"/>
        <v>97</v>
      </c>
      <c r="AO22" s="217"/>
      <c r="AP22" s="150">
        <f t="shared" si="16"/>
        <v>5</v>
      </c>
      <c r="AQ22" s="150">
        <v>25</v>
      </c>
      <c r="AR22" s="150">
        <v>25</v>
      </c>
      <c r="AS22" s="150">
        <f t="shared" si="17"/>
        <v>50</v>
      </c>
      <c r="AT22" s="218"/>
      <c r="AU22" s="150">
        <f t="shared" si="18"/>
        <v>5</v>
      </c>
      <c r="AV22" s="149">
        <v>20</v>
      </c>
      <c r="AW22" s="150">
        <v>49</v>
      </c>
      <c r="AX22" s="151">
        <f t="shared" si="19"/>
        <v>69</v>
      </c>
      <c r="AY22" s="150">
        <v>25</v>
      </c>
      <c r="AZ22" s="151">
        <f t="shared" si="20"/>
        <v>94</v>
      </c>
      <c r="BA22" s="217"/>
      <c r="BB22" s="150">
        <f t="shared" si="21"/>
        <v>5</v>
      </c>
      <c r="BC22" s="149">
        <v>15</v>
      </c>
      <c r="BD22" s="150">
        <v>44</v>
      </c>
      <c r="BE22" s="151">
        <f t="shared" si="22"/>
        <v>59</v>
      </c>
      <c r="BF22" s="150">
        <v>30</v>
      </c>
      <c r="BG22" s="151">
        <f t="shared" si="23"/>
        <v>89</v>
      </c>
      <c r="BH22" s="217"/>
      <c r="BI22" s="150">
        <f t="shared" si="24"/>
        <v>5</v>
      </c>
      <c r="BJ22" s="149">
        <v>10</v>
      </c>
      <c r="BK22" s="150">
        <v>40</v>
      </c>
      <c r="BL22" s="151">
        <f t="shared" si="25"/>
        <v>50</v>
      </c>
      <c r="BM22" s="151">
        <f t="shared" si="26"/>
        <v>50</v>
      </c>
      <c r="BN22" s="217"/>
      <c r="BO22" s="150">
        <f t="shared" si="2"/>
        <v>5</v>
      </c>
      <c r="BP22" s="150">
        <f t="shared" si="27"/>
        <v>40</v>
      </c>
      <c r="BQ22" s="152">
        <f t="shared" si="28"/>
        <v>5</v>
      </c>
      <c r="BR22" s="152" t="str">
        <f t="shared" si="29"/>
        <v>A+</v>
      </c>
      <c r="BS22" s="153" t="str">
        <f t="shared" si="3"/>
        <v>BEST</v>
      </c>
      <c r="BT22" s="154">
        <f t="shared" si="30"/>
        <v>735</v>
      </c>
      <c r="BU22" s="59"/>
      <c r="BV22" s="62"/>
      <c r="BW22" s="178">
        <f>'1st_Semester'!BT22</f>
        <v>549</v>
      </c>
      <c r="BX22" s="179">
        <f>'2nd_Semester'!BT22</f>
        <v>696</v>
      </c>
      <c r="BY22" s="179">
        <f t="shared" si="31"/>
        <v>735</v>
      </c>
      <c r="BZ22" s="179">
        <f t="shared" si="32"/>
        <v>660</v>
      </c>
      <c r="CA22" s="182">
        <f>'1st_Semester'!BQ22</f>
        <v>3.8125</v>
      </c>
      <c r="CB22" s="182">
        <f>'2nd_Semester'!BQ22</f>
        <v>4.6875</v>
      </c>
      <c r="CC22" s="182">
        <f t="shared" si="33"/>
        <v>5</v>
      </c>
      <c r="CD22" s="182">
        <f t="shared" si="34"/>
        <v>4.5</v>
      </c>
    </row>
    <row r="23" spans="1:82" ht="27.95" customHeight="1">
      <c r="A23" s="71">
        <v>15</v>
      </c>
      <c r="B23" s="49">
        <v>21</v>
      </c>
      <c r="C23" s="51" t="s">
        <v>103</v>
      </c>
      <c r="D23" s="51" t="s">
        <v>104</v>
      </c>
      <c r="E23" s="51" t="s">
        <v>105</v>
      </c>
      <c r="F23" s="66" t="s">
        <v>214</v>
      </c>
      <c r="G23" s="78">
        <v>16</v>
      </c>
      <c r="H23" s="150">
        <v>24</v>
      </c>
      <c r="I23" s="151">
        <f t="shared" si="4"/>
        <v>40</v>
      </c>
      <c r="J23" s="150">
        <v>23</v>
      </c>
      <c r="K23" s="151">
        <f t="shared" si="35"/>
        <v>63</v>
      </c>
      <c r="L23" s="149">
        <v>10</v>
      </c>
      <c r="M23" s="150">
        <v>34</v>
      </c>
      <c r="N23" s="151">
        <f t="shared" si="36"/>
        <v>44</v>
      </c>
      <c r="O23" s="151">
        <f t="shared" si="5"/>
        <v>44</v>
      </c>
      <c r="P23" s="151">
        <f t="shared" si="0"/>
        <v>107</v>
      </c>
      <c r="Q23" s="215"/>
      <c r="R23" s="150">
        <f t="shared" si="6"/>
        <v>4</v>
      </c>
      <c r="S23" s="149">
        <v>18</v>
      </c>
      <c r="T23" s="150">
        <v>59</v>
      </c>
      <c r="U23" s="151">
        <f t="shared" si="7"/>
        <v>77</v>
      </c>
      <c r="V23" s="149">
        <v>10</v>
      </c>
      <c r="W23" s="150">
        <v>35</v>
      </c>
      <c r="X23" s="151">
        <f t="shared" si="8"/>
        <v>45</v>
      </c>
      <c r="Y23" s="151">
        <f t="shared" si="9"/>
        <v>122</v>
      </c>
      <c r="Z23" s="151">
        <f t="shared" si="1"/>
        <v>122</v>
      </c>
      <c r="AA23" s="215"/>
      <c r="AB23" s="150">
        <f t="shared" si="10"/>
        <v>5</v>
      </c>
      <c r="AC23" s="149">
        <v>13</v>
      </c>
      <c r="AD23" s="150">
        <v>31</v>
      </c>
      <c r="AE23" s="151">
        <f t="shared" si="11"/>
        <v>44</v>
      </c>
      <c r="AF23" s="150">
        <v>17</v>
      </c>
      <c r="AG23" s="151">
        <f t="shared" si="12"/>
        <v>61</v>
      </c>
      <c r="AH23" s="215"/>
      <c r="AI23" s="150">
        <f t="shared" si="13"/>
        <v>3.5</v>
      </c>
      <c r="AJ23" s="149">
        <v>19</v>
      </c>
      <c r="AK23" s="150">
        <v>36</v>
      </c>
      <c r="AL23" s="151">
        <f t="shared" si="14"/>
        <v>55</v>
      </c>
      <c r="AM23" s="150">
        <v>26</v>
      </c>
      <c r="AN23" s="151">
        <f t="shared" si="15"/>
        <v>81</v>
      </c>
      <c r="AO23" s="217"/>
      <c r="AP23" s="150">
        <f t="shared" si="16"/>
        <v>5</v>
      </c>
      <c r="AQ23" s="150">
        <v>24</v>
      </c>
      <c r="AR23" s="150">
        <v>25</v>
      </c>
      <c r="AS23" s="150">
        <f t="shared" si="17"/>
        <v>49</v>
      </c>
      <c r="AT23" s="218"/>
      <c r="AU23" s="150">
        <f t="shared" si="18"/>
        <v>5</v>
      </c>
      <c r="AV23" s="149">
        <v>18</v>
      </c>
      <c r="AW23" s="150">
        <v>36</v>
      </c>
      <c r="AX23" s="151">
        <f t="shared" si="19"/>
        <v>54</v>
      </c>
      <c r="AY23" s="150">
        <v>23</v>
      </c>
      <c r="AZ23" s="151">
        <f t="shared" si="20"/>
        <v>77</v>
      </c>
      <c r="BA23" s="217"/>
      <c r="BB23" s="150">
        <f t="shared" si="21"/>
        <v>4</v>
      </c>
      <c r="BC23" s="149">
        <v>14</v>
      </c>
      <c r="BD23" s="150">
        <v>27</v>
      </c>
      <c r="BE23" s="151">
        <f t="shared" si="22"/>
        <v>41</v>
      </c>
      <c r="BF23" s="150">
        <v>25</v>
      </c>
      <c r="BG23" s="151">
        <f t="shared" si="23"/>
        <v>66</v>
      </c>
      <c r="BH23" s="217"/>
      <c r="BI23" s="150">
        <f t="shared" si="24"/>
        <v>3.5</v>
      </c>
      <c r="BJ23" s="149">
        <v>10</v>
      </c>
      <c r="BK23" s="150">
        <v>40</v>
      </c>
      <c r="BL23" s="151">
        <f t="shared" si="25"/>
        <v>50</v>
      </c>
      <c r="BM23" s="151">
        <f t="shared" si="26"/>
        <v>50</v>
      </c>
      <c r="BN23" s="217"/>
      <c r="BO23" s="150">
        <f t="shared" si="2"/>
        <v>5</v>
      </c>
      <c r="BP23" s="150">
        <f t="shared" si="27"/>
        <v>35</v>
      </c>
      <c r="BQ23" s="152">
        <f t="shared" si="28"/>
        <v>4.375</v>
      </c>
      <c r="BR23" s="152" t="str">
        <f t="shared" si="29"/>
        <v>A</v>
      </c>
      <c r="BS23" s="153" t="str">
        <f t="shared" si="3"/>
        <v>BETTER</v>
      </c>
      <c r="BT23" s="154">
        <f t="shared" si="30"/>
        <v>613</v>
      </c>
      <c r="BU23" s="59"/>
      <c r="BV23" s="62"/>
      <c r="BW23" s="178">
        <f>'1st_Semester'!BT23</f>
        <v>450</v>
      </c>
      <c r="BX23" s="179">
        <f>'2nd_Semester'!BT23</f>
        <v>618</v>
      </c>
      <c r="BY23" s="179">
        <f t="shared" si="31"/>
        <v>613</v>
      </c>
      <c r="BZ23" s="179">
        <f t="shared" si="32"/>
        <v>560.33333333333337</v>
      </c>
      <c r="CA23" s="182">
        <f>'1st_Semester'!BQ23</f>
        <v>3.125</v>
      </c>
      <c r="CB23" s="182">
        <f>'2nd_Semester'!BQ23</f>
        <v>4.1875</v>
      </c>
      <c r="CC23" s="182">
        <f t="shared" si="33"/>
        <v>4.375</v>
      </c>
      <c r="CD23" s="182">
        <f t="shared" si="34"/>
        <v>3.8958333333333335</v>
      </c>
    </row>
    <row r="24" spans="1:82" ht="27.95" customHeight="1">
      <c r="A24" s="71">
        <v>16</v>
      </c>
      <c r="B24" s="49">
        <v>22</v>
      </c>
      <c r="C24" s="50" t="s">
        <v>106</v>
      </c>
      <c r="D24" s="50" t="s">
        <v>107</v>
      </c>
      <c r="E24" s="50" t="s">
        <v>108</v>
      </c>
      <c r="F24" s="65" t="s">
        <v>334</v>
      </c>
      <c r="G24" s="78">
        <v>16</v>
      </c>
      <c r="H24" s="150">
        <v>44</v>
      </c>
      <c r="I24" s="151">
        <f t="shared" si="4"/>
        <v>60</v>
      </c>
      <c r="J24" s="150">
        <v>21</v>
      </c>
      <c r="K24" s="151">
        <f t="shared" si="35"/>
        <v>81</v>
      </c>
      <c r="L24" s="149">
        <v>10</v>
      </c>
      <c r="M24" s="150">
        <v>36</v>
      </c>
      <c r="N24" s="151">
        <f t="shared" si="36"/>
        <v>46</v>
      </c>
      <c r="O24" s="151">
        <f t="shared" si="5"/>
        <v>46</v>
      </c>
      <c r="P24" s="151">
        <f t="shared" si="0"/>
        <v>127</v>
      </c>
      <c r="Q24" s="215"/>
      <c r="R24" s="150">
        <f t="shared" si="6"/>
        <v>5</v>
      </c>
      <c r="S24" s="149">
        <v>16</v>
      </c>
      <c r="T24" s="150">
        <v>66</v>
      </c>
      <c r="U24" s="151">
        <f t="shared" si="7"/>
        <v>82</v>
      </c>
      <c r="V24" s="149">
        <v>8</v>
      </c>
      <c r="W24" s="150">
        <v>28</v>
      </c>
      <c r="X24" s="151">
        <f t="shared" si="8"/>
        <v>36</v>
      </c>
      <c r="Y24" s="151">
        <f t="shared" si="9"/>
        <v>118</v>
      </c>
      <c r="Z24" s="151">
        <f t="shared" si="1"/>
        <v>118</v>
      </c>
      <c r="AA24" s="215"/>
      <c r="AB24" s="150">
        <f t="shared" si="10"/>
        <v>4</v>
      </c>
      <c r="AC24" s="149">
        <v>14</v>
      </c>
      <c r="AD24" s="150">
        <v>25</v>
      </c>
      <c r="AE24" s="151">
        <f t="shared" si="11"/>
        <v>39</v>
      </c>
      <c r="AF24" s="150">
        <v>18</v>
      </c>
      <c r="AG24" s="151">
        <f t="shared" si="12"/>
        <v>57</v>
      </c>
      <c r="AH24" s="215"/>
      <c r="AI24" s="150">
        <f t="shared" si="13"/>
        <v>3</v>
      </c>
      <c r="AJ24" s="149">
        <v>15</v>
      </c>
      <c r="AK24" s="150">
        <v>34</v>
      </c>
      <c r="AL24" s="151">
        <f t="shared" si="14"/>
        <v>49</v>
      </c>
      <c r="AM24" s="150">
        <v>18</v>
      </c>
      <c r="AN24" s="151">
        <f t="shared" si="15"/>
        <v>67</v>
      </c>
      <c r="AO24" s="217"/>
      <c r="AP24" s="150">
        <f t="shared" si="16"/>
        <v>3.5</v>
      </c>
      <c r="AQ24" s="150">
        <v>21</v>
      </c>
      <c r="AR24" s="150">
        <v>25</v>
      </c>
      <c r="AS24" s="150">
        <f t="shared" si="17"/>
        <v>46</v>
      </c>
      <c r="AT24" s="218"/>
      <c r="AU24" s="150">
        <f t="shared" si="18"/>
        <v>5</v>
      </c>
      <c r="AV24" s="149">
        <v>20</v>
      </c>
      <c r="AW24" s="150">
        <v>43</v>
      </c>
      <c r="AX24" s="151">
        <f t="shared" si="19"/>
        <v>63</v>
      </c>
      <c r="AY24" s="150">
        <v>21</v>
      </c>
      <c r="AZ24" s="151">
        <f t="shared" si="20"/>
        <v>84</v>
      </c>
      <c r="BA24" s="217"/>
      <c r="BB24" s="150">
        <f t="shared" si="21"/>
        <v>5</v>
      </c>
      <c r="BC24" s="149">
        <v>16</v>
      </c>
      <c r="BD24" s="150">
        <v>44</v>
      </c>
      <c r="BE24" s="151">
        <f t="shared" si="22"/>
        <v>60</v>
      </c>
      <c r="BF24" s="150">
        <v>28</v>
      </c>
      <c r="BG24" s="151">
        <f t="shared" si="23"/>
        <v>88</v>
      </c>
      <c r="BH24" s="217"/>
      <c r="BI24" s="150">
        <f t="shared" si="24"/>
        <v>5</v>
      </c>
      <c r="BJ24" s="149">
        <v>7</v>
      </c>
      <c r="BK24" s="150">
        <v>40</v>
      </c>
      <c r="BL24" s="151">
        <f t="shared" si="25"/>
        <v>47</v>
      </c>
      <c r="BM24" s="151">
        <f t="shared" si="26"/>
        <v>47</v>
      </c>
      <c r="BN24" s="217"/>
      <c r="BO24" s="150">
        <f t="shared" si="2"/>
        <v>5</v>
      </c>
      <c r="BP24" s="150">
        <f t="shared" si="27"/>
        <v>35.5</v>
      </c>
      <c r="BQ24" s="152">
        <f t="shared" si="28"/>
        <v>4.4375</v>
      </c>
      <c r="BR24" s="152" t="str">
        <f t="shared" si="29"/>
        <v>A</v>
      </c>
      <c r="BS24" s="153" t="str">
        <f t="shared" si="3"/>
        <v>BETTER</v>
      </c>
      <c r="BT24" s="154">
        <f t="shared" si="30"/>
        <v>634</v>
      </c>
      <c r="BU24" s="59"/>
      <c r="BV24" s="62"/>
      <c r="BW24" s="178">
        <f>'1st_Semester'!BT24</f>
        <v>403</v>
      </c>
      <c r="BX24" s="179">
        <f>'2nd_Semester'!BT24</f>
        <v>583</v>
      </c>
      <c r="BY24" s="179">
        <f t="shared" si="31"/>
        <v>634</v>
      </c>
      <c r="BZ24" s="179">
        <f t="shared" si="32"/>
        <v>540</v>
      </c>
      <c r="CA24" s="182" t="str">
        <f>'1st_Semester'!BQ24</f>
        <v>F</v>
      </c>
      <c r="CB24" s="182">
        <f>'2nd_Semester'!BQ24</f>
        <v>4.0625</v>
      </c>
      <c r="CC24" s="182">
        <f t="shared" si="33"/>
        <v>4.4375</v>
      </c>
      <c r="CD24" s="182">
        <f t="shared" si="34"/>
        <v>4.25</v>
      </c>
    </row>
    <row r="25" spans="1:82" ht="27.95" customHeight="1">
      <c r="A25" s="71">
        <v>17</v>
      </c>
      <c r="B25" s="49">
        <v>23</v>
      </c>
      <c r="C25" s="50" t="s">
        <v>109</v>
      </c>
      <c r="D25" s="50" t="s">
        <v>110</v>
      </c>
      <c r="E25" s="50" t="s">
        <v>111</v>
      </c>
      <c r="F25" s="65" t="s">
        <v>215</v>
      </c>
      <c r="G25" s="78">
        <v>20</v>
      </c>
      <c r="H25" s="150">
        <v>30</v>
      </c>
      <c r="I25" s="151">
        <f t="shared" si="4"/>
        <v>50</v>
      </c>
      <c r="J25" s="150">
        <v>13</v>
      </c>
      <c r="K25" s="151">
        <f t="shared" si="35"/>
        <v>63</v>
      </c>
      <c r="L25" s="149">
        <v>10</v>
      </c>
      <c r="M25" s="150">
        <v>32</v>
      </c>
      <c r="N25" s="151">
        <f t="shared" si="36"/>
        <v>42</v>
      </c>
      <c r="O25" s="151">
        <f t="shared" si="5"/>
        <v>42</v>
      </c>
      <c r="P25" s="151">
        <f t="shared" si="0"/>
        <v>105</v>
      </c>
      <c r="Q25" s="215"/>
      <c r="R25" s="150">
        <f t="shared" si="6"/>
        <v>4</v>
      </c>
      <c r="S25" s="149">
        <v>17</v>
      </c>
      <c r="T25" s="150">
        <v>57</v>
      </c>
      <c r="U25" s="151">
        <f t="shared" si="7"/>
        <v>74</v>
      </c>
      <c r="V25" s="149">
        <v>7</v>
      </c>
      <c r="W25" s="150">
        <v>24</v>
      </c>
      <c r="X25" s="151">
        <f t="shared" si="8"/>
        <v>31</v>
      </c>
      <c r="Y25" s="151">
        <f t="shared" si="9"/>
        <v>105</v>
      </c>
      <c r="Z25" s="151">
        <f t="shared" si="1"/>
        <v>105</v>
      </c>
      <c r="AA25" s="215"/>
      <c r="AB25" s="150">
        <f t="shared" si="10"/>
        <v>4</v>
      </c>
      <c r="AC25" s="149">
        <v>17</v>
      </c>
      <c r="AD25" s="150">
        <v>25</v>
      </c>
      <c r="AE25" s="151">
        <f t="shared" si="11"/>
        <v>42</v>
      </c>
      <c r="AF25" s="150">
        <v>20</v>
      </c>
      <c r="AG25" s="151">
        <f t="shared" si="12"/>
        <v>62</v>
      </c>
      <c r="AH25" s="215"/>
      <c r="AI25" s="150">
        <f t="shared" si="13"/>
        <v>3.5</v>
      </c>
      <c r="AJ25" s="149">
        <v>16</v>
      </c>
      <c r="AK25" s="150">
        <v>27</v>
      </c>
      <c r="AL25" s="151">
        <f t="shared" si="14"/>
        <v>43</v>
      </c>
      <c r="AM25" s="150">
        <v>23</v>
      </c>
      <c r="AN25" s="151">
        <f t="shared" si="15"/>
        <v>66</v>
      </c>
      <c r="AO25" s="217"/>
      <c r="AP25" s="150">
        <f t="shared" si="16"/>
        <v>3.5</v>
      </c>
      <c r="AQ25" s="150">
        <v>19</v>
      </c>
      <c r="AR25" s="150">
        <v>25</v>
      </c>
      <c r="AS25" s="150">
        <f t="shared" si="17"/>
        <v>44</v>
      </c>
      <c r="AT25" s="218"/>
      <c r="AU25" s="150">
        <f t="shared" si="18"/>
        <v>5</v>
      </c>
      <c r="AV25" s="149">
        <v>17</v>
      </c>
      <c r="AW25" s="150">
        <v>39</v>
      </c>
      <c r="AX25" s="151">
        <f t="shared" si="19"/>
        <v>56</v>
      </c>
      <c r="AY25" s="150">
        <v>20</v>
      </c>
      <c r="AZ25" s="151">
        <f t="shared" si="20"/>
        <v>76</v>
      </c>
      <c r="BA25" s="217"/>
      <c r="BB25" s="150">
        <f t="shared" si="21"/>
        <v>4</v>
      </c>
      <c r="BC25" s="149">
        <v>13</v>
      </c>
      <c r="BD25" s="150">
        <v>34</v>
      </c>
      <c r="BE25" s="151">
        <f t="shared" si="22"/>
        <v>47</v>
      </c>
      <c r="BF25" s="150">
        <v>30</v>
      </c>
      <c r="BG25" s="151">
        <f t="shared" si="23"/>
        <v>77</v>
      </c>
      <c r="BH25" s="217"/>
      <c r="BI25" s="150">
        <f t="shared" si="24"/>
        <v>4</v>
      </c>
      <c r="BJ25" s="149">
        <v>8</v>
      </c>
      <c r="BK25" s="150">
        <v>40</v>
      </c>
      <c r="BL25" s="151">
        <f t="shared" si="25"/>
        <v>48</v>
      </c>
      <c r="BM25" s="151">
        <f t="shared" si="26"/>
        <v>48</v>
      </c>
      <c r="BN25" s="217"/>
      <c r="BO25" s="150">
        <f t="shared" si="2"/>
        <v>5</v>
      </c>
      <c r="BP25" s="150">
        <f t="shared" si="27"/>
        <v>33</v>
      </c>
      <c r="BQ25" s="152">
        <f t="shared" si="28"/>
        <v>4.125</v>
      </c>
      <c r="BR25" s="152" t="str">
        <f t="shared" si="29"/>
        <v>A</v>
      </c>
      <c r="BS25" s="153" t="str">
        <f t="shared" si="3"/>
        <v>BETTER</v>
      </c>
      <c r="BT25" s="154">
        <f t="shared" si="30"/>
        <v>583</v>
      </c>
      <c r="BU25" s="59"/>
      <c r="BV25" s="62"/>
      <c r="BW25" s="178">
        <f>'1st_Semester'!BT25</f>
        <v>419</v>
      </c>
      <c r="BX25" s="179">
        <f>'2nd_Semester'!BT25</f>
        <v>439</v>
      </c>
      <c r="BY25" s="179">
        <f t="shared" si="31"/>
        <v>583</v>
      </c>
      <c r="BZ25" s="179">
        <f t="shared" si="32"/>
        <v>480.33333333333331</v>
      </c>
      <c r="CA25" s="182">
        <f>'1st_Semester'!BQ25</f>
        <v>2.9375</v>
      </c>
      <c r="CB25" s="182">
        <f>'2nd_Semester'!BQ25</f>
        <v>3.0625</v>
      </c>
      <c r="CC25" s="182">
        <f t="shared" si="33"/>
        <v>4.125</v>
      </c>
      <c r="CD25" s="182">
        <f t="shared" si="34"/>
        <v>3.375</v>
      </c>
    </row>
    <row r="26" spans="1:82" ht="27.95" customHeight="1">
      <c r="A26" s="71">
        <v>18</v>
      </c>
      <c r="B26" s="49">
        <v>24</v>
      </c>
      <c r="C26" s="51" t="s">
        <v>112</v>
      </c>
      <c r="D26" s="51" t="s">
        <v>113</v>
      </c>
      <c r="E26" s="51" t="s">
        <v>114</v>
      </c>
      <c r="F26" s="66" t="s">
        <v>335</v>
      </c>
      <c r="G26" s="78">
        <v>17</v>
      </c>
      <c r="H26" s="150">
        <v>24</v>
      </c>
      <c r="I26" s="151">
        <f t="shared" si="4"/>
        <v>41</v>
      </c>
      <c r="J26" s="150">
        <v>20</v>
      </c>
      <c r="K26" s="151">
        <f t="shared" si="35"/>
        <v>61</v>
      </c>
      <c r="L26" s="149">
        <v>10</v>
      </c>
      <c r="M26" s="150">
        <v>34</v>
      </c>
      <c r="N26" s="151">
        <f t="shared" si="36"/>
        <v>44</v>
      </c>
      <c r="O26" s="151">
        <f t="shared" si="5"/>
        <v>44</v>
      </c>
      <c r="P26" s="151">
        <f t="shared" si="0"/>
        <v>105</v>
      </c>
      <c r="Q26" s="215"/>
      <c r="R26" s="150">
        <f t="shared" si="6"/>
        <v>4</v>
      </c>
      <c r="S26" s="149">
        <v>16</v>
      </c>
      <c r="T26" s="150">
        <v>64</v>
      </c>
      <c r="U26" s="151">
        <f t="shared" si="7"/>
        <v>80</v>
      </c>
      <c r="V26" s="149">
        <v>7</v>
      </c>
      <c r="W26" s="150">
        <v>34</v>
      </c>
      <c r="X26" s="151">
        <f t="shared" si="8"/>
        <v>41</v>
      </c>
      <c r="Y26" s="151">
        <f t="shared" si="9"/>
        <v>121</v>
      </c>
      <c r="Z26" s="151">
        <f t="shared" si="1"/>
        <v>121</v>
      </c>
      <c r="AA26" s="215"/>
      <c r="AB26" s="150">
        <f t="shared" si="10"/>
        <v>5</v>
      </c>
      <c r="AC26" s="149">
        <v>14</v>
      </c>
      <c r="AD26" s="150">
        <v>32</v>
      </c>
      <c r="AE26" s="151">
        <f t="shared" si="11"/>
        <v>46</v>
      </c>
      <c r="AF26" s="150">
        <v>21</v>
      </c>
      <c r="AG26" s="151">
        <f t="shared" si="12"/>
        <v>67</v>
      </c>
      <c r="AH26" s="215"/>
      <c r="AI26" s="150">
        <f t="shared" si="13"/>
        <v>3.5</v>
      </c>
      <c r="AJ26" s="149">
        <v>16</v>
      </c>
      <c r="AK26" s="150">
        <v>26</v>
      </c>
      <c r="AL26" s="151">
        <f t="shared" si="14"/>
        <v>42</v>
      </c>
      <c r="AM26" s="150">
        <v>25</v>
      </c>
      <c r="AN26" s="151">
        <f t="shared" si="15"/>
        <v>67</v>
      </c>
      <c r="AO26" s="217"/>
      <c r="AP26" s="150">
        <f t="shared" si="16"/>
        <v>3.5</v>
      </c>
      <c r="AQ26" s="150">
        <v>24</v>
      </c>
      <c r="AR26" s="150">
        <v>25</v>
      </c>
      <c r="AS26" s="150">
        <f t="shared" si="17"/>
        <v>49</v>
      </c>
      <c r="AT26" s="218"/>
      <c r="AU26" s="150">
        <f t="shared" si="18"/>
        <v>5</v>
      </c>
      <c r="AV26" s="149">
        <v>17</v>
      </c>
      <c r="AW26" s="150">
        <v>33</v>
      </c>
      <c r="AX26" s="151">
        <f t="shared" si="19"/>
        <v>50</v>
      </c>
      <c r="AY26" s="150">
        <v>24</v>
      </c>
      <c r="AZ26" s="151">
        <f t="shared" si="20"/>
        <v>74</v>
      </c>
      <c r="BA26" s="217"/>
      <c r="BB26" s="150">
        <f t="shared" si="21"/>
        <v>4</v>
      </c>
      <c r="BC26" s="149">
        <v>13</v>
      </c>
      <c r="BD26" s="150">
        <v>25</v>
      </c>
      <c r="BE26" s="151">
        <f t="shared" si="22"/>
        <v>38</v>
      </c>
      <c r="BF26" s="150">
        <v>30</v>
      </c>
      <c r="BG26" s="151">
        <f t="shared" si="23"/>
        <v>68</v>
      </c>
      <c r="BH26" s="217"/>
      <c r="BI26" s="150">
        <f t="shared" si="24"/>
        <v>3.5</v>
      </c>
      <c r="BJ26" s="149">
        <v>10</v>
      </c>
      <c r="BK26" s="150">
        <v>40</v>
      </c>
      <c r="BL26" s="151">
        <f t="shared" si="25"/>
        <v>50</v>
      </c>
      <c r="BM26" s="151">
        <f t="shared" si="26"/>
        <v>50</v>
      </c>
      <c r="BN26" s="217"/>
      <c r="BO26" s="150">
        <f t="shared" si="2"/>
        <v>5</v>
      </c>
      <c r="BP26" s="150">
        <f t="shared" si="27"/>
        <v>33.5</v>
      </c>
      <c r="BQ26" s="152">
        <f t="shared" si="28"/>
        <v>4.1875</v>
      </c>
      <c r="BR26" s="152" t="str">
        <f t="shared" si="29"/>
        <v>A</v>
      </c>
      <c r="BS26" s="153" t="str">
        <f t="shared" si="3"/>
        <v>BETTER</v>
      </c>
      <c r="BT26" s="154">
        <f t="shared" si="30"/>
        <v>601</v>
      </c>
      <c r="BU26" s="59"/>
      <c r="BV26" s="62"/>
      <c r="BW26" s="178">
        <f>'1st_Semester'!BT26</f>
        <v>417</v>
      </c>
      <c r="BX26" s="179">
        <f>'2nd_Semester'!BT26</f>
        <v>549</v>
      </c>
      <c r="BY26" s="179">
        <f t="shared" si="31"/>
        <v>601</v>
      </c>
      <c r="BZ26" s="179">
        <f t="shared" si="32"/>
        <v>522.33333333333337</v>
      </c>
      <c r="CA26" s="182">
        <f>'1st_Semester'!BQ26</f>
        <v>3.0625</v>
      </c>
      <c r="CB26" s="182">
        <f>'2nd_Semester'!BQ26</f>
        <v>3.8125</v>
      </c>
      <c r="CC26" s="182">
        <f t="shared" si="33"/>
        <v>4.1875</v>
      </c>
      <c r="CD26" s="182">
        <f t="shared" si="34"/>
        <v>3.6875</v>
      </c>
    </row>
    <row r="27" spans="1:82" s="175" customFormat="1" ht="27.95" customHeight="1">
      <c r="A27" s="71">
        <v>19</v>
      </c>
      <c r="B27" s="170">
        <v>25</v>
      </c>
      <c r="C27" s="171" t="s">
        <v>115</v>
      </c>
      <c r="D27" s="171" t="s">
        <v>116</v>
      </c>
      <c r="E27" s="171" t="s">
        <v>117</v>
      </c>
      <c r="F27" s="172" t="s">
        <v>216</v>
      </c>
      <c r="G27" s="173">
        <v>0</v>
      </c>
      <c r="H27" s="169"/>
      <c r="I27" s="168">
        <f t="shared" si="4"/>
        <v>0</v>
      </c>
      <c r="J27" s="169"/>
      <c r="K27" s="168">
        <f t="shared" si="35"/>
        <v>0</v>
      </c>
      <c r="L27" s="173">
        <v>0</v>
      </c>
      <c r="M27" s="169">
        <v>0</v>
      </c>
      <c r="N27" s="168">
        <f t="shared" si="36"/>
        <v>0</v>
      </c>
      <c r="O27" s="168">
        <f t="shared" si="5"/>
        <v>0</v>
      </c>
      <c r="P27" s="168">
        <f t="shared" si="0"/>
        <v>0</v>
      </c>
      <c r="Q27" s="215"/>
      <c r="R27" s="169" t="str">
        <f t="shared" si="6"/>
        <v>F</v>
      </c>
      <c r="S27" s="173">
        <v>0</v>
      </c>
      <c r="T27" s="169">
        <v>0</v>
      </c>
      <c r="U27" s="168">
        <f t="shared" si="7"/>
        <v>0</v>
      </c>
      <c r="V27" s="173">
        <v>0</v>
      </c>
      <c r="W27" s="169">
        <v>0</v>
      </c>
      <c r="X27" s="168">
        <f t="shared" si="8"/>
        <v>0</v>
      </c>
      <c r="Y27" s="168">
        <f t="shared" si="9"/>
        <v>0</v>
      </c>
      <c r="Z27" s="168">
        <f t="shared" si="1"/>
        <v>0</v>
      </c>
      <c r="AA27" s="215"/>
      <c r="AB27" s="169">
        <f t="shared" si="10"/>
        <v>0</v>
      </c>
      <c r="AC27" s="173">
        <v>0</v>
      </c>
      <c r="AD27" s="169"/>
      <c r="AE27" s="168">
        <f t="shared" si="11"/>
        <v>0</v>
      </c>
      <c r="AF27" s="169"/>
      <c r="AG27" s="168">
        <f t="shared" si="12"/>
        <v>0</v>
      </c>
      <c r="AH27" s="215"/>
      <c r="AI27" s="169" t="str">
        <f t="shared" si="13"/>
        <v>F</v>
      </c>
      <c r="AJ27" s="174"/>
      <c r="AK27" s="169">
        <v>0</v>
      </c>
      <c r="AL27" s="168">
        <f t="shared" si="14"/>
        <v>0</v>
      </c>
      <c r="AM27" s="169">
        <v>0</v>
      </c>
      <c r="AN27" s="168">
        <f t="shared" si="15"/>
        <v>0</v>
      </c>
      <c r="AO27" s="217"/>
      <c r="AP27" s="169" t="str">
        <f t="shared" si="16"/>
        <v>F</v>
      </c>
      <c r="AQ27" s="169">
        <v>0</v>
      </c>
      <c r="AR27" s="169">
        <v>0</v>
      </c>
      <c r="AS27" s="169">
        <f t="shared" si="17"/>
        <v>0</v>
      </c>
      <c r="AT27" s="218"/>
      <c r="AU27" s="169" t="str">
        <f t="shared" si="18"/>
        <v>F</v>
      </c>
      <c r="AV27" s="174">
        <v>0</v>
      </c>
      <c r="AW27" s="169">
        <v>0</v>
      </c>
      <c r="AX27" s="168">
        <f t="shared" si="19"/>
        <v>0</v>
      </c>
      <c r="AY27" s="169">
        <v>0</v>
      </c>
      <c r="AZ27" s="168">
        <f t="shared" si="20"/>
        <v>0</v>
      </c>
      <c r="BA27" s="217"/>
      <c r="BB27" s="169" t="str">
        <f t="shared" si="21"/>
        <v>F</v>
      </c>
      <c r="BC27" s="174">
        <v>0</v>
      </c>
      <c r="BD27" s="169">
        <v>0</v>
      </c>
      <c r="BE27" s="168">
        <f t="shared" si="22"/>
        <v>0</v>
      </c>
      <c r="BF27" s="169">
        <v>0</v>
      </c>
      <c r="BG27" s="168">
        <f t="shared" si="23"/>
        <v>0</v>
      </c>
      <c r="BH27" s="217"/>
      <c r="BI27" s="169" t="str">
        <f t="shared" si="24"/>
        <v>F</v>
      </c>
      <c r="BJ27" s="174">
        <v>0</v>
      </c>
      <c r="BK27" s="169"/>
      <c r="BL27" s="168">
        <f t="shared" si="25"/>
        <v>0</v>
      </c>
      <c r="BM27" s="168">
        <f t="shared" si="26"/>
        <v>0</v>
      </c>
      <c r="BN27" s="217"/>
      <c r="BO27" s="169" t="str">
        <f t="shared" si="2"/>
        <v>F</v>
      </c>
      <c r="BP27" s="169" t="str">
        <f t="shared" si="27"/>
        <v>F</v>
      </c>
      <c r="BQ27" s="152" t="str">
        <f t="shared" si="28"/>
        <v>F</v>
      </c>
      <c r="BR27" s="152" t="str">
        <f t="shared" si="29"/>
        <v>F</v>
      </c>
      <c r="BS27" s="153" t="str">
        <f t="shared" si="3"/>
        <v>NEED TO PROGRESS</v>
      </c>
      <c r="BT27" s="154">
        <f t="shared" si="30"/>
        <v>0</v>
      </c>
      <c r="BU27" s="59"/>
      <c r="BV27" s="59"/>
      <c r="BW27" s="178">
        <f>'1st_Semester'!BT27</f>
        <v>512</v>
      </c>
      <c r="BX27" s="179">
        <f>'2nd_Semester'!BT27</f>
        <v>48</v>
      </c>
      <c r="BY27" s="179">
        <f t="shared" si="31"/>
        <v>0</v>
      </c>
      <c r="BZ27" s="179">
        <f t="shared" si="32"/>
        <v>186.66666666666666</v>
      </c>
      <c r="CA27" s="182" t="str">
        <f>'1st_Semester'!BQ27</f>
        <v>F</v>
      </c>
      <c r="CB27" s="182" t="str">
        <f>'2nd_Semester'!BQ27</f>
        <v>F</v>
      </c>
      <c r="CC27" s="182" t="str">
        <f t="shared" si="33"/>
        <v>F</v>
      </c>
      <c r="CD27" s="182" t="e">
        <f t="shared" si="34"/>
        <v>#DIV/0!</v>
      </c>
    </row>
    <row r="28" spans="1:82" ht="27.95" customHeight="1">
      <c r="A28" s="71">
        <v>20</v>
      </c>
      <c r="B28" s="49">
        <v>27</v>
      </c>
      <c r="C28" s="50" t="s">
        <v>118</v>
      </c>
      <c r="D28" s="50" t="s">
        <v>119</v>
      </c>
      <c r="E28" s="50" t="s">
        <v>120</v>
      </c>
      <c r="F28" s="65" t="s">
        <v>217</v>
      </c>
      <c r="G28" s="78">
        <v>20</v>
      </c>
      <c r="H28" s="150">
        <v>41</v>
      </c>
      <c r="I28" s="151">
        <f t="shared" si="4"/>
        <v>61</v>
      </c>
      <c r="J28" s="150">
        <v>22</v>
      </c>
      <c r="K28" s="151">
        <f t="shared" si="35"/>
        <v>83</v>
      </c>
      <c r="L28" s="149">
        <v>10</v>
      </c>
      <c r="M28" s="150">
        <v>34</v>
      </c>
      <c r="N28" s="151">
        <f t="shared" si="36"/>
        <v>44</v>
      </c>
      <c r="O28" s="151">
        <f t="shared" si="5"/>
        <v>44</v>
      </c>
      <c r="P28" s="151">
        <f t="shared" si="0"/>
        <v>127</v>
      </c>
      <c r="Q28" s="215"/>
      <c r="R28" s="150">
        <f t="shared" si="6"/>
        <v>5</v>
      </c>
      <c r="S28" s="149">
        <v>17</v>
      </c>
      <c r="T28" s="150">
        <v>66</v>
      </c>
      <c r="U28" s="151">
        <f t="shared" si="7"/>
        <v>83</v>
      </c>
      <c r="V28" s="149">
        <v>9</v>
      </c>
      <c r="W28" s="150">
        <v>24</v>
      </c>
      <c r="X28" s="151">
        <f t="shared" si="8"/>
        <v>33</v>
      </c>
      <c r="Y28" s="151">
        <f t="shared" si="9"/>
        <v>116</v>
      </c>
      <c r="Z28" s="151">
        <f t="shared" si="1"/>
        <v>116</v>
      </c>
      <c r="AA28" s="215"/>
      <c r="AB28" s="150">
        <f t="shared" si="10"/>
        <v>4</v>
      </c>
      <c r="AC28" s="149">
        <v>17</v>
      </c>
      <c r="AD28" s="150">
        <v>29</v>
      </c>
      <c r="AE28" s="151">
        <f t="shared" si="11"/>
        <v>46</v>
      </c>
      <c r="AF28" s="150">
        <v>25</v>
      </c>
      <c r="AG28" s="151">
        <f t="shared" si="12"/>
        <v>71</v>
      </c>
      <c r="AH28" s="215"/>
      <c r="AI28" s="150">
        <f t="shared" si="13"/>
        <v>4</v>
      </c>
      <c r="AJ28" s="149">
        <v>19</v>
      </c>
      <c r="AK28" s="150">
        <v>35</v>
      </c>
      <c r="AL28" s="151">
        <f t="shared" si="14"/>
        <v>54</v>
      </c>
      <c r="AM28" s="150">
        <v>22</v>
      </c>
      <c r="AN28" s="151">
        <f t="shared" si="15"/>
        <v>76</v>
      </c>
      <c r="AO28" s="217"/>
      <c r="AP28" s="150">
        <f t="shared" si="16"/>
        <v>4</v>
      </c>
      <c r="AQ28" s="150">
        <v>23</v>
      </c>
      <c r="AR28" s="150">
        <v>25</v>
      </c>
      <c r="AS28" s="150">
        <f t="shared" si="17"/>
        <v>48</v>
      </c>
      <c r="AT28" s="218"/>
      <c r="AU28" s="150">
        <f t="shared" si="18"/>
        <v>5</v>
      </c>
      <c r="AV28" s="149">
        <v>19</v>
      </c>
      <c r="AW28" s="150">
        <v>39</v>
      </c>
      <c r="AX28" s="151">
        <f t="shared" si="19"/>
        <v>58</v>
      </c>
      <c r="AY28" s="150">
        <v>20</v>
      </c>
      <c r="AZ28" s="151">
        <f t="shared" si="20"/>
        <v>78</v>
      </c>
      <c r="BA28" s="217"/>
      <c r="BB28" s="150">
        <f t="shared" si="21"/>
        <v>4</v>
      </c>
      <c r="BC28" s="149">
        <v>16</v>
      </c>
      <c r="BD28" s="150">
        <v>43</v>
      </c>
      <c r="BE28" s="151">
        <f t="shared" si="22"/>
        <v>59</v>
      </c>
      <c r="BF28" s="150">
        <v>29</v>
      </c>
      <c r="BG28" s="151">
        <f t="shared" si="23"/>
        <v>88</v>
      </c>
      <c r="BH28" s="217"/>
      <c r="BI28" s="150">
        <f t="shared" si="24"/>
        <v>5</v>
      </c>
      <c r="BJ28" s="149">
        <v>9</v>
      </c>
      <c r="BK28" s="150">
        <v>38</v>
      </c>
      <c r="BL28" s="151">
        <f t="shared" si="25"/>
        <v>47</v>
      </c>
      <c r="BM28" s="151">
        <f t="shared" si="26"/>
        <v>47</v>
      </c>
      <c r="BN28" s="217"/>
      <c r="BO28" s="150">
        <f t="shared" si="2"/>
        <v>5</v>
      </c>
      <c r="BP28" s="150">
        <f t="shared" si="27"/>
        <v>36</v>
      </c>
      <c r="BQ28" s="152">
        <f t="shared" si="28"/>
        <v>4.5</v>
      </c>
      <c r="BR28" s="152" t="str">
        <f t="shared" si="29"/>
        <v>A</v>
      </c>
      <c r="BS28" s="153" t="str">
        <f t="shared" si="3"/>
        <v>BETTER</v>
      </c>
      <c r="BT28" s="154">
        <f t="shared" si="30"/>
        <v>651</v>
      </c>
      <c r="BU28" s="59"/>
      <c r="BV28" s="62"/>
      <c r="BW28" s="178">
        <f>'1st_Semester'!BT28</f>
        <v>400</v>
      </c>
      <c r="BX28" s="179">
        <f>'2nd_Semester'!BT28</f>
        <v>571</v>
      </c>
      <c r="BY28" s="179">
        <f t="shared" si="31"/>
        <v>651</v>
      </c>
      <c r="BZ28" s="179">
        <f t="shared" si="32"/>
        <v>540.66666666666663</v>
      </c>
      <c r="CA28" s="182" t="str">
        <f>'1st_Semester'!BQ28</f>
        <v>F</v>
      </c>
      <c r="CB28" s="182">
        <f>'2nd_Semester'!BQ28</f>
        <v>3.875</v>
      </c>
      <c r="CC28" s="182">
        <f t="shared" si="33"/>
        <v>4.5</v>
      </c>
      <c r="CD28" s="182">
        <f t="shared" si="34"/>
        <v>4.1875</v>
      </c>
    </row>
    <row r="29" spans="1:82" ht="27.95" customHeight="1">
      <c r="A29" s="71">
        <v>21</v>
      </c>
      <c r="B29" s="49">
        <v>29</v>
      </c>
      <c r="C29" s="50" t="s">
        <v>121</v>
      </c>
      <c r="D29" s="50" t="s">
        <v>122</v>
      </c>
      <c r="E29" s="50" t="s">
        <v>123</v>
      </c>
      <c r="F29" s="65" t="s">
        <v>218</v>
      </c>
      <c r="G29" s="78">
        <v>20</v>
      </c>
      <c r="H29" s="150">
        <v>35</v>
      </c>
      <c r="I29" s="151">
        <f t="shared" si="4"/>
        <v>55</v>
      </c>
      <c r="J29" s="150">
        <v>23</v>
      </c>
      <c r="K29" s="151">
        <f t="shared" si="35"/>
        <v>78</v>
      </c>
      <c r="L29" s="149">
        <v>10</v>
      </c>
      <c r="M29" s="150">
        <v>34</v>
      </c>
      <c r="N29" s="151">
        <f t="shared" si="36"/>
        <v>44</v>
      </c>
      <c r="O29" s="151">
        <f t="shared" si="5"/>
        <v>44</v>
      </c>
      <c r="P29" s="151">
        <f t="shared" si="0"/>
        <v>122</v>
      </c>
      <c r="Q29" s="215"/>
      <c r="R29" s="150">
        <f t="shared" si="6"/>
        <v>5</v>
      </c>
      <c r="S29" s="149">
        <v>18</v>
      </c>
      <c r="T29" s="150">
        <v>66</v>
      </c>
      <c r="U29" s="151">
        <f t="shared" si="7"/>
        <v>84</v>
      </c>
      <c r="V29" s="149">
        <v>8</v>
      </c>
      <c r="W29" s="150">
        <v>28</v>
      </c>
      <c r="X29" s="151">
        <f t="shared" si="8"/>
        <v>36</v>
      </c>
      <c r="Y29" s="151">
        <f t="shared" si="9"/>
        <v>120</v>
      </c>
      <c r="Z29" s="151">
        <f t="shared" si="1"/>
        <v>120</v>
      </c>
      <c r="AA29" s="215"/>
      <c r="AB29" s="150">
        <f t="shared" si="10"/>
        <v>5</v>
      </c>
      <c r="AC29" s="149">
        <v>19</v>
      </c>
      <c r="AD29" s="150">
        <v>48</v>
      </c>
      <c r="AE29" s="151">
        <f t="shared" si="11"/>
        <v>67</v>
      </c>
      <c r="AF29" s="150">
        <v>25</v>
      </c>
      <c r="AG29" s="151">
        <f t="shared" si="12"/>
        <v>92</v>
      </c>
      <c r="AH29" s="215"/>
      <c r="AI29" s="150">
        <f t="shared" si="13"/>
        <v>5</v>
      </c>
      <c r="AJ29" s="149">
        <v>20</v>
      </c>
      <c r="AK29" s="150">
        <v>44</v>
      </c>
      <c r="AL29" s="151">
        <f t="shared" si="14"/>
        <v>64</v>
      </c>
      <c r="AM29" s="150">
        <v>25</v>
      </c>
      <c r="AN29" s="151">
        <f t="shared" si="15"/>
        <v>89</v>
      </c>
      <c r="AO29" s="217"/>
      <c r="AP29" s="150">
        <f t="shared" si="16"/>
        <v>5</v>
      </c>
      <c r="AQ29" s="150">
        <v>24</v>
      </c>
      <c r="AR29" s="150">
        <v>25</v>
      </c>
      <c r="AS29" s="150">
        <f t="shared" si="17"/>
        <v>49</v>
      </c>
      <c r="AT29" s="218"/>
      <c r="AU29" s="150">
        <f t="shared" si="18"/>
        <v>5</v>
      </c>
      <c r="AV29" s="149">
        <v>19</v>
      </c>
      <c r="AW29" s="150">
        <v>49</v>
      </c>
      <c r="AX29" s="151">
        <f t="shared" si="19"/>
        <v>68</v>
      </c>
      <c r="AY29" s="150">
        <v>24</v>
      </c>
      <c r="AZ29" s="151">
        <f t="shared" si="20"/>
        <v>92</v>
      </c>
      <c r="BA29" s="217"/>
      <c r="BB29" s="150">
        <f t="shared" si="21"/>
        <v>5</v>
      </c>
      <c r="BC29" s="149">
        <v>19</v>
      </c>
      <c r="BD29" s="150">
        <v>43</v>
      </c>
      <c r="BE29" s="151">
        <f t="shared" si="22"/>
        <v>62</v>
      </c>
      <c r="BF29" s="150">
        <v>29</v>
      </c>
      <c r="BG29" s="151">
        <f t="shared" si="23"/>
        <v>91</v>
      </c>
      <c r="BH29" s="217"/>
      <c r="BI29" s="150">
        <f t="shared" si="24"/>
        <v>5</v>
      </c>
      <c r="BJ29" s="149">
        <v>10</v>
      </c>
      <c r="BK29" s="150">
        <v>38</v>
      </c>
      <c r="BL29" s="151">
        <f t="shared" si="25"/>
        <v>48</v>
      </c>
      <c r="BM29" s="151">
        <f t="shared" si="26"/>
        <v>48</v>
      </c>
      <c r="BN29" s="217"/>
      <c r="BO29" s="150">
        <f t="shared" si="2"/>
        <v>5</v>
      </c>
      <c r="BP29" s="150">
        <f t="shared" si="27"/>
        <v>40</v>
      </c>
      <c r="BQ29" s="152">
        <f t="shared" si="28"/>
        <v>5</v>
      </c>
      <c r="BR29" s="152" t="str">
        <f t="shared" si="29"/>
        <v>A+</v>
      </c>
      <c r="BS29" s="153" t="str">
        <f t="shared" si="3"/>
        <v>BEST</v>
      </c>
      <c r="BT29" s="154">
        <f t="shared" si="30"/>
        <v>703</v>
      </c>
      <c r="BU29" s="59"/>
      <c r="BV29" s="62"/>
      <c r="BW29" s="178">
        <f>'1st_Semester'!BT29</f>
        <v>474</v>
      </c>
      <c r="BX29" s="179">
        <f>'2nd_Semester'!BT29</f>
        <v>688</v>
      </c>
      <c r="BY29" s="179">
        <f t="shared" si="31"/>
        <v>703</v>
      </c>
      <c r="BZ29" s="179">
        <f t="shared" si="32"/>
        <v>621.66666666666663</v>
      </c>
      <c r="CA29" s="182">
        <f>'1st_Semester'!BQ29</f>
        <v>3.3125</v>
      </c>
      <c r="CB29" s="182">
        <f>'2nd_Semester'!BQ29</f>
        <v>4.6875</v>
      </c>
      <c r="CC29" s="182">
        <f t="shared" si="33"/>
        <v>5</v>
      </c>
      <c r="CD29" s="182">
        <f t="shared" si="34"/>
        <v>4.333333333333333</v>
      </c>
    </row>
    <row r="30" spans="1:82" ht="27.95" customHeight="1">
      <c r="A30" s="71">
        <v>22</v>
      </c>
      <c r="B30" s="49">
        <v>33</v>
      </c>
      <c r="C30" s="51" t="s">
        <v>124</v>
      </c>
      <c r="D30" s="51" t="s">
        <v>125</v>
      </c>
      <c r="E30" s="51" t="s">
        <v>126</v>
      </c>
      <c r="F30" s="66" t="s">
        <v>223</v>
      </c>
      <c r="G30" s="78">
        <v>20</v>
      </c>
      <c r="H30" s="150">
        <v>35</v>
      </c>
      <c r="I30" s="151">
        <f t="shared" si="4"/>
        <v>55</v>
      </c>
      <c r="J30" s="150">
        <v>23</v>
      </c>
      <c r="K30" s="151">
        <f t="shared" si="35"/>
        <v>78</v>
      </c>
      <c r="L30" s="149">
        <v>9</v>
      </c>
      <c r="M30" s="150">
        <v>32</v>
      </c>
      <c r="N30" s="151">
        <f t="shared" si="36"/>
        <v>41</v>
      </c>
      <c r="O30" s="151">
        <f t="shared" si="5"/>
        <v>41</v>
      </c>
      <c r="P30" s="151">
        <f t="shared" si="0"/>
        <v>119</v>
      </c>
      <c r="Q30" s="215"/>
      <c r="R30" s="150">
        <f t="shared" si="6"/>
        <v>4</v>
      </c>
      <c r="S30" s="149">
        <v>17</v>
      </c>
      <c r="T30" s="150">
        <v>50</v>
      </c>
      <c r="U30" s="151">
        <f t="shared" si="7"/>
        <v>67</v>
      </c>
      <c r="V30" s="149">
        <v>7</v>
      </c>
      <c r="W30" s="150">
        <v>30</v>
      </c>
      <c r="X30" s="151">
        <f t="shared" si="8"/>
        <v>37</v>
      </c>
      <c r="Y30" s="151">
        <f t="shared" si="9"/>
        <v>104</v>
      </c>
      <c r="Z30" s="151">
        <f t="shared" si="1"/>
        <v>104</v>
      </c>
      <c r="AA30" s="215"/>
      <c r="AB30" s="150">
        <f t="shared" si="10"/>
        <v>3.5</v>
      </c>
      <c r="AC30" s="149">
        <v>15</v>
      </c>
      <c r="AD30" s="150">
        <v>20</v>
      </c>
      <c r="AE30" s="151">
        <f t="shared" si="11"/>
        <v>35</v>
      </c>
      <c r="AF30" s="150">
        <v>15</v>
      </c>
      <c r="AG30" s="151">
        <f t="shared" si="12"/>
        <v>50</v>
      </c>
      <c r="AH30" s="215"/>
      <c r="AI30" s="150">
        <f t="shared" si="13"/>
        <v>3</v>
      </c>
      <c r="AJ30" s="149">
        <v>18</v>
      </c>
      <c r="AK30" s="150">
        <v>35</v>
      </c>
      <c r="AL30" s="151">
        <f t="shared" si="14"/>
        <v>53</v>
      </c>
      <c r="AM30" s="150">
        <v>23</v>
      </c>
      <c r="AN30" s="151">
        <f t="shared" si="15"/>
        <v>76</v>
      </c>
      <c r="AO30" s="217"/>
      <c r="AP30" s="150">
        <f t="shared" si="16"/>
        <v>4</v>
      </c>
      <c r="AQ30" s="150">
        <v>24</v>
      </c>
      <c r="AR30" s="150">
        <v>25</v>
      </c>
      <c r="AS30" s="150">
        <f t="shared" si="17"/>
        <v>49</v>
      </c>
      <c r="AT30" s="218"/>
      <c r="AU30" s="150">
        <f t="shared" si="18"/>
        <v>5</v>
      </c>
      <c r="AV30" s="149">
        <v>20</v>
      </c>
      <c r="AW30" s="150">
        <v>36</v>
      </c>
      <c r="AX30" s="151">
        <f t="shared" si="19"/>
        <v>56</v>
      </c>
      <c r="AY30" s="150">
        <v>20</v>
      </c>
      <c r="AZ30" s="151">
        <f t="shared" si="20"/>
        <v>76</v>
      </c>
      <c r="BA30" s="217"/>
      <c r="BB30" s="150">
        <f t="shared" si="21"/>
        <v>4</v>
      </c>
      <c r="BC30" s="149">
        <v>18</v>
      </c>
      <c r="BD30" s="150">
        <v>31</v>
      </c>
      <c r="BE30" s="151">
        <f t="shared" si="22"/>
        <v>49</v>
      </c>
      <c r="BF30" s="150">
        <v>29</v>
      </c>
      <c r="BG30" s="151">
        <f t="shared" si="23"/>
        <v>78</v>
      </c>
      <c r="BH30" s="217"/>
      <c r="BI30" s="150">
        <f t="shared" si="24"/>
        <v>4</v>
      </c>
      <c r="BJ30" s="149">
        <v>9</v>
      </c>
      <c r="BK30" s="150">
        <v>38</v>
      </c>
      <c r="BL30" s="151">
        <f t="shared" si="25"/>
        <v>47</v>
      </c>
      <c r="BM30" s="151">
        <f t="shared" si="26"/>
        <v>47</v>
      </c>
      <c r="BN30" s="217"/>
      <c r="BO30" s="150">
        <f t="shared" si="2"/>
        <v>5</v>
      </c>
      <c r="BP30" s="150">
        <f t="shared" si="27"/>
        <v>32.5</v>
      </c>
      <c r="BQ30" s="152">
        <f t="shared" si="28"/>
        <v>4.0625</v>
      </c>
      <c r="BR30" s="152" t="str">
        <f t="shared" si="29"/>
        <v>A</v>
      </c>
      <c r="BS30" s="153" t="str">
        <f t="shared" si="3"/>
        <v>BETTER</v>
      </c>
      <c r="BT30" s="154">
        <f t="shared" si="30"/>
        <v>599</v>
      </c>
      <c r="BU30" s="59"/>
      <c r="BV30" s="62"/>
      <c r="BW30" s="178">
        <f>'1st_Semester'!BT30</f>
        <v>544</v>
      </c>
      <c r="BX30" s="179">
        <f>'2nd_Semester'!BT30</f>
        <v>587</v>
      </c>
      <c r="BY30" s="179">
        <f t="shared" si="31"/>
        <v>599</v>
      </c>
      <c r="BZ30" s="179">
        <f t="shared" si="32"/>
        <v>576.66666666666663</v>
      </c>
      <c r="CA30" s="182">
        <f>'1st_Semester'!BQ30</f>
        <v>3.875</v>
      </c>
      <c r="CB30" s="182">
        <f>'2nd_Semester'!BQ30</f>
        <v>4</v>
      </c>
      <c r="CC30" s="182">
        <f t="shared" si="33"/>
        <v>4.0625</v>
      </c>
      <c r="CD30" s="182">
        <f t="shared" si="34"/>
        <v>3.9791666666666665</v>
      </c>
    </row>
    <row r="31" spans="1:82" ht="27.95" customHeight="1">
      <c r="A31" s="71">
        <v>23</v>
      </c>
      <c r="B31" s="49">
        <v>35</v>
      </c>
      <c r="C31" s="51" t="s">
        <v>127</v>
      </c>
      <c r="D31" s="51" t="s">
        <v>128</v>
      </c>
      <c r="E31" s="51" t="s">
        <v>129</v>
      </c>
      <c r="F31" s="66" t="s">
        <v>224</v>
      </c>
      <c r="G31" s="78">
        <v>19</v>
      </c>
      <c r="H31" s="150">
        <v>36</v>
      </c>
      <c r="I31" s="151">
        <f t="shared" si="4"/>
        <v>55</v>
      </c>
      <c r="J31" s="150">
        <v>21</v>
      </c>
      <c r="K31" s="151">
        <f t="shared" si="35"/>
        <v>76</v>
      </c>
      <c r="L31" s="149">
        <v>10</v>
      </c>
      <c r="M31" s="150">
        <v>34</v>
      </c>
      <c r="N31" s="151">
        <f t="shared" si="36"/>
        <v>44</v>
      </c>
      <c r="O31" s="151">
        <f t="shared" si="5"/>
        <v>44</v>
      </c>
      <c r="P31" s="151">
        <f t="shared" si="0"/>
        <v>120</v>
      </c>
      <c r="Q31" s="215"/>
      <c r="R31" s="150">
        <f t="shared" si="6"/>
        <v>5</v>
      </c>
      <c r="S31" s="149">
        <v>20</v>
      </c>
      <c r="T31" s="150">
        <v>65</v>
      </c>
      <c r="U31" s="151">
        <f t="shared" si="7"/>
        <v>85</v>
      </c>
      <c r="V31" s="149">
        <v>9</v>
      </c>
      <c r="W31" s="150">
        <v>36</v>
      </c>
      <c r="X31" s="151">
        <f t="shared" si="8"/>
        <v>45</v>
      </c>
      <c r="Y31" s="151">
        <f t="shared" si="9"/>
        <v>130</v>
      </c>
      <c r="Z31" s="151">
        <f t="shared" si="1"/>
        <v>130</v>
      </c>
      <c r="AA31" s="215"/>
      <c r="AB31" s="150">
        <f t="shared" si="10"/>
        <v>5</v>
      </c>
      <c r="AC31" s="149">
        <v>19</v>
      </c>
      <c r="AD31" s="150">
        <v>32</v>
      </c>
      <c r="AE31" s="151">
        <f t="shared" si="11"/>
        <v>51</v>
      </c>
      <c r="AF31" s="150">
        <v>24</v>
      </c>
      <c r="AG31" s="151">
        <f t="shared" si="12"/>
        <v>75</v>
      </c>
      <c r="AH31" s="215"/>
      <c r="AI31" s="150">
        <f t="shared" si="13"/>
        <v>4</v>
      </c>
      <c r="AJ31" s="149">
        <v>17</v>
      </c>
      <c r="AK31" s="150">
        <v>34</v>
      </c>
      <c r="AL31" s="151">
        <f t="shared" si="14"/>
        <v>51</v>
      </c>
      <c r="AM31" s="150">
        <v>21</v>
      </c>
      <c r="AN31" s="151">
        <f t="shared" si="15"/>
        <v>72</v>
      </c>
      <c r="AO31" s="217"/>
      <c r="AP31" s="150">
        <f t="shared" si="16"/>
        <v>4</v>
      </c>
      <c r="AQ31" s="150">
        <v>25</v>
      </c>
      <c r="AR31" s="150">
        <v>25</v>
      </c>
      <c r="AS31" s="150">
        <f t="shared" si="17"/>
        <v>50</v>
      </c>
      <c r="AT31" s="218"/>
      <c r="AU31" s="150">
        <f t="shared" si="18"/>
        <v>5</v>
      </c>
      <c r="AV31" s="149">
        <v>19</v>
      </c>
      <c r="AW31" s="150">
        <v>38</v>
      </c>
      <c r="AX31" s="151">
        <f t="shared" si="19"/>
        <v>57</v>
      </c>
      <c r="AY31" s="150">
        <v>20</v>
      </c>
      <c r="AZ31" s="151">
        <f t="shared" si="20"/>
        <v>77</v>
      </c>
      <c r="BA31" s="217"/>
      <c r="BB31" s="150">
        <f t="shared" si="21"/>
        <v>4</v>
      </c>
      <c r="BC31" s="149">
        <v>14</v>
      </c>
      <c r="BD31" s="150">
        <v>33</v>
      </c>
      <c r="BE31" s="151">
        <f t="shared" si="22"/>
        <v>47</v>
      </c>
      <c r="BF31" s="150">
        <v>28</v>
      </c>
      <c r="BG31" s="151">
        <f t="shared" si="23"/>
        <v>75</v>
      </c>
      <c r="BH31" s="217"/>
      <c r="BI31" s="150">
        <f t="shared" si="24"/>
        <v>4</v>
      </c>
      <c r="BJ31" s="149">
        <v>9</v>
      </c>
      <c r="BK31" s="150">
        <v>38</v>
      </c>
      <c r="BL31" s="151">
        <f t="shared" si="25"/>
        <v>47</v>
      </c>
      <c r="BM31" s="151">
        <f t="shared" si="26"/>
        <v>47</v>
      </c>
      <c r="BN31" s="217"/>
      <c r="BO31" s="150">
        <f t="shared" si="2"/>
        <v>5</v>
      </c>
      <c r="BP31" s="150">
        <f t="shared" si="27"/>
        <v>36</v>
      </c>
      <c r="BQ31" s="152">
        <f t="shared" si="28"/>
        <v>4.5</v>
      </c>
      <c r="BR31" s="152" t="str">
        <f t="shared" si="29"/>
        <v>A</v>
      </c>
      <c r="BS31" s="153" t="str">
        <f t="shared" si="3"/>
        <v>BETTER</v>
      </c>
      <c r="BT31" s="154">
        <f t="shared" si="30"/>
        <v>646</v>
      </c>
      <c r="BU31" s="59"/>
      <c r="BV31" s="62"/>
      <c r="BW31" s="178">
        <f>'1st_Semester'!BT31</f>
        <v>345</v>
      </c>
      <c r="BX31" s="179">
        <f>'2nd_Semester'!BT31</f>
        <v>575</v>
      </c>
      <c r="BY31" s="179">
        <f t="shared" si="31"/>
        <v>646</v>
      </c>
      <c r="BZ31" s="179">
        <f t="shared" si="32"/>
        <v>522</v>
      </c>
      <c r="CA31" s="182" t="str">
        <f>'1st_Semester'!BQ31</f>
        <v>F</v>
      </c>
      <c r="CB31" s="182">
        <f>'2nd_Semester'!BQ31</f>
        <v>4</v>
      </c>
      <c r="CC31" s="182">
        <f t="shared" si="33"/>
        <v>4.5</v>
      </c>
      <c r="CD31" s="182">
        <f t="shared" si="34"/>
        <v>4.25</v>
      </c>
    </row>
    <row r="32" spans="1:82" ht="27.95" customHeight="1">
      <c r="A32" s="71">
        <v>24</v>
      </c>
      <c r="B32" s="49">
        <v>36</v>
      </c>
      <c r="C32" s="51" t="s">
        <v>130</v>
      </c>
      <c r="D32" s="51" t="s">
        <v>131</v>
      </c>
      <c r="E32" s="51" t="s">
        <v>132</v>
      </c>
      <c r="F32" s="66" t="s">
        <v>352</v>
      </c>
      <c r="G32" s="78">
        <v>20</v>
      </c>
      <c r="H32" s="150">
        <v>35</v>
      </c>
      <c r="I32" s="151">
        <f t="shared" si="4"/>
        <v>55</v>
      </c>
      <c r="J32" s="150">
        <v>23</v>
      </c>
      <c r="K32" s="151">
        <f t="shared" si="35"/>
        <v>78</v>
      </c>
      <c r="L32" s="149">
        <v>10</v>
      </c>
      <c r="M32" s="150">
        <v>36</v>
      </c>
      <c r="N32" s="151">
        <f t="shared" si="36"/>
        <v>46</v>
      </c>
      <c r="O32" s="151">
        <f t="shared" si="5"/>
        <v>46</v>
      </c>
      <c r="P32" s="151">
        <f t="shared" si="0"/>
        <v>124</v>
      </c>
      <c r="Q32" s="215"/>
      <c r="R32" s="150">
        <f t="shared" si="6"/>
        <v>5</v>
      </c>
      <c r="S32" s="149">
        <v>16</v>
      </c>
      <c r="T32" s="150">
        <v>57</v>
      </c>
      <c r="U32" s="151">
        <f t="shared" si="7"/>
        <v>73</v>
      </c>
      <c r="V32" s="149">
        <v>7</v>
      </c>
      <c r="W32" s="150">
        <v>26</v>
      </c>
      <c r="X32" s="151">
        <f t="shared" si="8"/>
        <v>33</v>
      </c>
      <c r="Y32" s="151">
        <f t="shared" si="9"/>
        <v>106</v>
      </c>
      <c r="Z32" s="151">
        <f t="shared" si="1"/>
        <v>106</v>
      </c>
      <c r="AA32" s="215"/>
      <c r="AB32" s="150">
        <f t="shared" si="10"/>
        <v>4</v>
      </c>
      <c r="AC32" s="149">
        <v>18</v>
      </c>
      <c r="AD32" s="150">
        <v>26</v>
      </c>
      <c r="AE32" s="151">
        <f t="shared" si="11"/>
        <v>44</v>
      </c>
      <c r="AF32" s="150">
        <v>16</v>
      </c>
      <c r="AG32" s="151">
        <f t="shared" si="12"/>
        <v>60</v>
      </c>
      <c r="AH32" s="215"/>
      <c r="AI32" s="150">
        <f t="shared" si="13"/>
        <v>3.5</v>
      </c>
      <c r="AJ32" s="149">
        <v>16</v>
      </c>
      <c r="AK32" s="150">
        <v>31</v>
      </c>
      <c r="AL32" s="151">
        <f t="shared" si="14"/>
        <v>47</v>
      </c>
      <c r="AM32" s="150">
        <v>22</v>
      </c>
      <c r="AN32" s="151">
        <f t="shared" si="15"/>
        <v>69</v>
      </c>
      <c r="AO32" s="217"/>
      <c r="AP32" s="150">
        <f t="shared" si="16"/>
        <v>3.5</v>
      </c>
      <c r="AQ32" s="150">
        <v>21</v>
      </c>
      <c r="AR32" s="150">
        <v>25</v>
      </c>
      <c r="AS32" s="150">
        <f t="shared" si="17"/>
        <v>46</v>
      </c>
      <c r="AT32" s="218"/>
      <c r="AU32" s="150">
        <f t="shared" si="18"/>
        <v>5</v>
      </c>
      <c r="AV32" s="149">
        <v>18</v>
      </c>
      <c r="AW32" s="150">
        <v>33</v>
      </c>
      <c r="AX32" s="151">
        <f t="shared" si="19"/>
        <v>51</v>
      </c>
      <c r="AY32" s="150">
        <v>23</v>
      </c>
      <c r="AZ32" s="151">
        <f t="shared" si="20"/>
        <v>74</v>
      </c>
      <c r="BA32" s="217"/>
      <c r="BB32" s="150">
        <f t="shared" si="21"/>
        <v>4</v>
      </c>
      <c r="BC32" s="149">
        <v>13</v>
      </c>
      <c r="BD32" s="150">
        <v>31</v>
      </c>
      <c r="BE32" s="151">
        <f t="shared" si="22"/>
        <v>44</v>
      </c>
      <c r="BF32" s="150">
        <v>29</v>
      </c>
      <c r="BG32" s="151">
        <f t="shared" si="23"/>
        <v>73</v>
      </c>
      <c r="BH32" s="217"/>
      <c r="BI32" s="150">
        <f t="shared" si="24"/>
        <v>4</v>
      </c>
      <c r="BJ32" s="149">
        <v>10</v>
      </c>
      <c r="BK32" s="150">
        <v>38</v>
      </c>
      <c r="BL32" s="151">
        <f t="shared" si="25"/>
        <v>48</v>
      </c>
      <c r="BM32" s="151">
        <f t="shared" si="26"/>
        <v>48</v>
      </c>
      <c r="BN32" s="217"/>
      <c r="BO32" s="150">
        <f t="shared" si="2"/>
        <v>5</v>
      </c>
      <c r="BP32" s="150">
        <f t="shared" si="27"/>
        <v>34</v>
      </c>
      <c r="BQ32" s="152">
        <f t="shared" si="28"/>
        <v>4.25</v>
      </c>
      <c r="BR32" s="152" t="str">
        <f t="shared" si="29"/>
        <v>A</v>
      </c>
      <c r="BS32" s="153" t="str">
        <f t="shared" si="3"/>
        <v>BETTER</v>
      </c>
      <c r="BT32" s="154">
        <f t="shared" si="30"/>
        <v>600</v>
      </c>
      <c r="BU32" s="59"/>
      <c r="BV32" s="62"/>
      <c r="BW32" s="178">
        <f>'1st_Semester'!BT32</f>
        <v>330</v>
      </c>
      <c r="BX32" s="179">
        <f>'2nd_Semester'!BT32</f>
        <v>573</v>
      </c>
      <c r="BY32" s="179">
        <f t="shared" si="31"/>
        <v>600</v>
      </c>
      <c r="BZ32" s="179">
        <f t="shared" si="32"/>
        <v>501</v>
      </c>
      <c r="CA32" s="182" t="str">
        <f>'1st_Semester'!BQ32</f>
        <v>F</v>
      </c>
      <c r="CB32" s="182">
        <f>'2nd_Semester'!BQ32</f>
        <v>4</v>
      </c>
      <c r="CC32" s="182">
        <f t="shared" si="33"/>
        <v>4.25</v>
      </c>
      <c r="CD32" s="182">
        <f t="shared" si="34"/>
        <v>4.125</v>
      </c>
    </row>
    <row r="33" spans="1:82" ht="27.95" customHeight="1">
      <c r="A33" s="71">
        <v>25</v>
      </c>
      <c r="B33" s="49">
        <v>38</v>
      </c>
      <c r="C33" s="51" t="s">
        <v>133</v>
      </c>
      <c r="D33" s="51" t="s">
        <v>134</v>
      </c>
      <c r="E33" s="51" t="s">
        <v>135</v>
      </c>
      <c r="F33" s="66" t="s">
        <v>353</v>
      </c>
      <c r="G33" s="78">
        <v>20</v>
      </c>
      <c r="H33" s="150">
        <v>43</v>
      </c>
      <c r="I33" s="151">
        <f t="shared" si="4"/>
        <v>63</v>
      </c>
      <c r="J33" s="150">
        <v>24</v>
      </c>
      <c r="K33" s="151">
        <f t="shared" si="35"/>
        <v>87</v>
      </c>
      <c r="L33" s="149">
        <v>10</v>
      </c>
      <c r="M33" s="150">
        <v>37</v>
      </c>
      <c r="N33" s="151">
        <f t="shared" si="36"/>
        <v>47</v>
      </c>
      <c r="O33" s="151">
        <f t="shared" si="5"/>
        <v>47</v>
      </c>
      <c r="P33" s="151">
        <f t="shared" si="0"/>
        <v>134</v>
      </c>
      <c r="Q33" s="215"/>
      <c r="R33" s="150">
        <f t="shared" si="6"/>
        <v>5</v>
      </c>
      <c r="S33" s="149">
        <v>19</v>
      </c>
      <c r="T33" s="150">
        <v>66</v>
      </c>
      <c r="U33" s="151">
        <f t="shared" si="7"/>
        <v>85</v>
      </c>
      <c r="V33" s="149">
        <v>10</v>
      </c>
      <c r="W33" s="150">
        <v>34</v>
      </c>
      <c r="X33" s="151">
        <f t="shared" si="8"/>
        <v>44</v>
      </c>
      <c r="Y33" s="151">
        <f t="shared" si="9"/>
        <v>129</v>
      </c>
      <c r="Z33" s="151">
        <f t="shared" si="1"/>
        <v>129</v>
      </c>
      <c r="AA33" s="215"/>
      <c r="AB33" s="150">
        <f t="shared" si="10"/>
        <v>5</v>
      </c>
      <c r="AC33" s="149">
        <v>17</v>
      </c>
      <c r="AD33" s="150">
        <v>39</v>
      </c>
      <c r="AE33" s="151">
        <f t="shared" si="11"/>
        <v>56</v>
      </c>
      <c r="AF33" s="150">
        <v>17</v>
      </c>
      <c r="AG33" s="151">
        <f t="shared" si="12"/>
        <v>73</v>
      </c>
      <c r="AH33" s="215"/>
      <c r="AI33" s="150">
        <f t="shared" si="13"/>
        <v>4</v>
      </c>
      <c r="AJ33" s="149">
        <v>19</v>
      </c>
      <c r="AK33" s="150">
        <v>39</v>
      </c>
      <c r="AL33" s="151">
        <f t="shared" si="14"/>
        <v>58</v>
      </c>
      <c r="AM33" s="150">
        <v>24</v>
      </c>
      <c r="AN33" s="151">
        <f t="shared" si="15"/>
        <v>82</v>
      </c>
      <c r="AO33" s="217"/>
      <c r="AP33" s="150">
        <f t="shared" si="16"/>
        <v>5</v>
      </c>
      <c r="AQ33" s="150">
        <v>22</v>
      </c>
      <c r="AR33" s="150">
        <v>25</v>
      </c>
      <c r="AS33" s="150">
        <f t="shared" si="17"/>
        <v>47</v>
      </c>
      <c r="AT33" s="218"/>
      <c r="AU33" s="150">
        <f t="shared" si="18"/>
        <v>5</v>
      </c>
      <c r="AV33" s="149">
        <v>20</v>
      </c>
      <c r="AW33" s="150">
        <v>46</v>
      </c>
      <c r="AX33" s="151">
        <f t="shared" si="19"/>
        <v>66</v>
      </c>
      <c r="AY33" s="150">
        <v>17</v>
      </c>
      <c r="AZ33" s="151">
        <f t="shared" si="20"/>
        <v>83</v>
      </c>
      <c r="BA33" s="217"/>
      <c r="BB33" s="150">
        <f t="shared" si="21"/>
        <v>5</v>
      </c>
      <c r="BC33" s="149">
        <v>17</v>
      </c>
      <c r="BD33" s="150">
        <v>38</v>
      </c>
      <c r="BE33" s="151">
        <f t="shared" si="22"/>
        <v>55</v>
      </c>
      <c r="BF33" s="150">
        <v>29</v>
      </c>
      <c r="BG33" s="151">
        <f t="shared" si="23"/>
        <v>84</v>
      </c>
      <c r="BH33" s="217"/>
      <c r="BI33" s="150">
        <f t="shared" si="24"/>
        <v>5</v>
      </c>
      <c r="BJ33" s="149">
        <v>7</v>
      </c>
      <c r="BK33" s="150">
        <v>38</v>
      </c>
      <c r="BL33" s="151">
        <f t="shared" si="25"/>
        <v>45</v>
      </c>
      <c r="BM33" s="151">
        <f t="shared" si="26"/>
        <v>45</v>
      </c>
      <c r="BN33" s="217"/>
      <c r="BO33" s="150">
        <f t="shared" si="2"/>
        <v>5</v>
      </c>
      <c r="BP33" s="150">
        <f t="shared" si="27"/>
        <v>39</v>
      </c>
      <c r="BQ33" s="152">
        <f t="shared" si="28"/>
        <v>4.875</v>
      </c>
      <c r="BR33" s="152" t="str">
        <f t="shared" si="29"/>
        <v>A</v>
      </c>
      <c r="BS33" s="153" t="str">
        <f t="shared" si="3"/>
        <v>BETTER</v>
      </c>
      <c r="BT33" s="154">
        <f t="shared" si="30"/>
        <v>677</v>
      </c>
      <c r="BU33" s="59"/>
      <c r="BV33" s="62"/>
      <c r="BW33" s="178">
        <f>'1st_Semester'!BT33</f>
        <v>306</v>
      </c>
      <c r="BX33" s="179">
        <f>'2nd_Semester'!BT33</f>
        <v>653</v>
      </c>
      <c r="BY33" s="179">
        <f t="shared" si="31"/>
        <v>677</v>
      </c>
      <c r="BZ33" s="179">
        <f t="shared" si="32"/>
        <v>545.33333333333337</v>
      </c>
      <c r="CA33" s="182" t="str">
        <f>'1st_Semester'!BQ33</f>
        <v>F</v>
      </c>
      <c r="CB33" s="182">
        <f>'2nd_Semester'!BQ33</f>
        <v>4.5</v>
      </c>
      <c r="CC33" s="182">
        <f t="shared" si="33"/>
        <v>4.875</v>
      </c>
      <c r="CD33" s="182">
        <f t="shared" si="34"/>
        <v>4.6875</v>
      </c>
    </row>
    <row r="34" spans="1:82" ht="27.95" customHeight="1">
      <c r="A34" s="71">
        <v>26</v>
      </c>
      <c r="B34" s="49">
        <v>40</v>
      </c>
      <c r="C34" s="51" t="s">
        <v>136</v>
      </c>
      <c r="D34" s="51" t="s">
        <v>137</v>
      </c>
      <c r="E34" s="51" t="s">
        <v>138</v>
      </c>
      <c r="F34" s="66" t="s">
        <v>355</v>
      </c>
      <c r="G34" s="78">
        <v>16</v>
      </c>
      <c r="H34" s="150">
        <v>29</v>
      </c>
      <c r="I34" s="151">
        <f t="shared" si="4"/>
        <v>45</v>
      </c>
      <c r="J34" s="150">
        <v>16</v>
      </c>
      <c r="K34" s="151">
        <f t="shared" si="35"/>
        <v>61</v>
      </c>
      <c r="L34" s="149">
        <v>10</v>
      </c>
      <c r="M34" s="150">
        <v>37</v>
      </c>
      <c r="N34" s="151">
        <f t="shared" si="36"/>
        <v>47</v>
      </c>
      <c r="O34" s="151">
        <f t="shared" si="5"/>
        <v>47</v>
      </c>
      <c r="P34" s="151">
        <f t="shared" si="0"/>
        <v>108</v>
      </c>
      <c r="Q34" s="215"/>
      <c r="R34" s="150">
        <f t="shared" si="6"/>
        <v>4</v>
      </c>
      <c r="S34" s="149">
        <v>17</v>
      </c>
      <c r="T34" s="150">
        <v>48</v>
      </c>
      <c r="U34" s="151">
        <f t="shared" si="7"/>
        <v>65</v>
      </c>
      <c r="V34" s="149">
        <v>9</v>
      </c>
      <c r="W34" s="150">
        <v>33</v>
      </c>
      <c r="X34" s="151">
        <f t="shared" si="8"/>
        <v>42</v>
      </c>
      <c r="Y34" s="151">
        <f t="shared" si="9"/>
        <v>107</v>
      </c>
      <c r="Z34" s="151">
        <f t="shared" si="1"/>
        <v>107</v>
      </c>
      <c r="AA34" s="215"/>
      <c r="AB34" s="150">
        <f t="shared" si="10"/>
        <v>4</v>
      </c>
      <c r="AC34" s="149">
        <v>17</v>
      </c>
      <c r="AD34" s="150">
        <v>26</v>
      </c>
      <c r="AE34" s="151">
        <f t="shared" si="11"/>
        <v>43</v>
      </c>
      <c r="AF34" s="150">
        <v>16</v>
      </c>
      <c r="AG34" s="151">
        <f t="shared" si="12"/>
        <v>59</v>
      </c>
      <c r="AH34" s="215"/>
      <c r="AI34" s="150">
        <f t="shared" si="13"/>
        <v>3</v>
      </c>
      <c r="AJ34" s="149">
        <v>19</v>
      </c>
      <c r="AK34" s="150">
        <v>28</v>
      </c>
      <c r="AL34" s="151">
        <f t="shared" si="14"/>
        <v>47</v>
      </c>
      <c r="AM34" s="150">
        <v>18</v>
      </c>
      <c r="AN34" s="151">
        <f t="shared" si="15"/>
        <v>65</v>
      </c>
      <c r="AO34" s="217"/>
      <c r="AP34" s="150">
        <f t="shared" si="16"/>
        <v>3.5</v>
      </c>
      <c r="AQ34" s="150">
        <v>21</v>
      </c>
      <c r="AR34" s="150">
        <v>25</v>
      </c>
      <c r="AS34" s="150">
        <f t="shared" si="17"/>
        <v>46</v>
      </c>
      <c r="AT34" s="218"/>
      <c r="AU34" s="150">
        <f t="shared" si="18"/>
        <v>5</v>
      </c>
      <c r="AV34" s="149">
        <v>19</v>
      </c>
      <c r="AW34" s="150">
        <v>31</v>
      </c>
      <c r="AX34" s="151">
        <f t="shared" si="19"/>
        <v>50</v>
      </c>
      <c r="AY34" s="150">
        <v>22</v>
      </c>
      <c r="AZ34" s="151">
        <f t="shared" si="20"/>
        <v>72</v>
      </c>
      <c r="BA34" s="217"/>
      <c r="BB34" s="150">
        <f t="shared" si="21"/>
        <v>4</v>
      </c>
      <c r="BC34" s="149">
        <v>16</v>
      </c>
      <c r="BD34" s="150">
        <v>27</v>
      </c>
      <c r="BE34" s="151">
        <f t="shared" si="22"/>
        <v>43</v>
      </c>
      <c r="BF34" s="150">
        <v>29</v>
      </c>
      <c r="BG34" s="151">
        <f t="shared" si="23"/>
        <v>72</v>
      </c>
      <c r="BH34" s="217"/>
      <c r="BI34" s="150">
        <f t="shared" si="24"/>
        <v>4</v>
      </c>
      <c r="BJ34" s="149">
        <v>9</v>
      </c>
      <c r="BK34" s="150">
        <v>38</v>
      </c>
      <c r="BL34" s="151">
        <f t="shared" si="25"/>
        <v>47</v>
      </c>
      <c r="BM34" s="151">
        <f t="shared" si="26"/>
        <v>47</v>
      </c>
      <c r="BN34" s="217"/>
      <c r="BO34" s="150">
        <f t="shared" si="2"/>
        <v>5</v>
      </c>
      <c r="BP34" s="150">
        <f t="shared" si="27"/>
        <v>32.5</v>
      </c>
      <c r="BQ34" s="152">
        <f t="shared" si="28"/>
        <v>4.0625</v>
      </c>
      <c r="BR34" s="152" t="str">
        <f t="shared" si="29"/>
        <v>A</v>
      </c>
      <c r="BS34" s="153" t="str">
        <f t="shared" si="3"/>
        <v>BETTER</v>
      </c>
      <c r="BT34" s="154">
        <f t="shared" si="30"/>
        <v>576</v>
      </c>
      <c r="BU34" s="59"/>
      <c r="BV34" s="62"/>
      <c r="BW34" s="178">
        <f>'1st_Semester'!BT34</f>
        <v>317</v>
      </c>
      <c r="BX34" s="179">
        <f>'2nd_Semester'!BT34</f>
        <v>578</v>
      </c>
      <c r="BY34" s="179">
        <f t="shared" si="31"/>
        <v>576</v>
      </c>
      <c r="BZ34" s="179">
        <f t="shared" si="32"/>
        <v>490.33333333333331</v>
      </c>
      <c r="CA34" s="182" t="str">
        <f>'1st_Semester'!BQ34</f>
        <v>F</v>
      </c>
      <c r="CB34" s="182">
        <f>'2nd_Semester'!BQ34</f>
        <v>4</v>
      </c>
      <c r="CC34" s="182">
        <f t="shared" si="33"/>
        <v>4.0625</v>
      </c>
      <c r="CD34" s="182">
        <f t="shared" si="34"/>
        <v>4.03125</v>
      </c>
    </row>
    <row r="35" spans="1:82" ht="27.95" customHeight="1">
      <c r="A35" s="71">
        <v>27</v>
      </c>
      <c r="B35" s="49">
        <v>42</v>
      </c>
      <c r="C35" s="50" t="s">
        <v>139</v>
      </c>
      <c r="D35" s="50" t="s">
        <v>140</v>
      </c>
      <c r="E35" s="50" t="s">
        <v>141</v>
      </c>
      <c r="F35" s="65" t="s">
        <v>356</v>
      </c>
      <c r="G35" s="78">
        <v>18</v>
      </c>
      <c r="H35" s="150">
        <v>32</v>
      </c>
      <c r="I35" s="151">
        <f t="shared" si="4"/>
        <v>50</v>
      </c>
      <c r="J35" s="150">
        <v>21</v>
      </c>
      <c r="K35" s="151">
        <f t="shared" si="35"/>
        <v>71</v>
      </c>
      <c r="L35" s="149">
        <v>10</v>
      </c>
      <c r="M35" s="150">
        <v>34</v>
      </c>
      <c r="N35" s="151">
        <f t="shared" si="36"/>
        <v>44</v>
      </c>
      <c r="O35" s="151">
        <f t="shared" si="5"/>
        <v>44</v>
      </c>
      <c r="P35" s="151">
        <f t="shared" si="0"/>
        <v>115</v>
      </c>
      <c r="Q35" s="215"/>
      <c r="R35" s="150">
        <f t="shared" si="6"/>
        <v>4</v>
      </c>
      <c r="S35" s="149">
        <v>15</v>
      </c>
      <c r="T35" s="150">
        <v>66</v>
      </c>
      <c r="U35" s="151">
        <f t="shared" si="7"/>
        <v>81</v>
      </c>
      <c r="V35" s="149">
        <v>9</v>
      </c>
      <c r="W35" s="150">
        <v>30</v>
      </c>
      <c r="X35" s="151">
        <f t="shared" si="8"/>
        <v>39</v>
      </c>
      <c r="Y35" s="151">
        <f t="shared" si="9"/>
        <v>120</v>
      </c>
      <c r="Z35" s="151">
        <f t="shared" si="1"/>
        <v>120</v>
      </c>
      <c r="AA35" s="215"/>
      <c r="AB35" s="150">
        <f t="shared" si="10"/>
        <v>5</v>
      </c>
      <c r="AC35" s="149">
        <v>14</v>
      </c>
      <c r="AD35" s="150">
        <v>25</v>
      </c>
      <c r="AE35" s="151">
        <f t="shared" si="11"/>
        <v>39</v>
      </c>
      <c r="AF35" s="150">
        <v>15</v>
      </c>
      <c r="AG35" s="151">
        <f t="shared" si="12"/>
        <v>54</v>
      </c>
      <c r="AH35" s="215"/>
      <c r="AI35" s="150">
        <f t="shared" si="13"/>
        <v>3</v>
      </c>
      <c r="AJ35" s="149">
        <v>18</v>
      </c>
      <c r="AK35" s="150">
        <v>29</v>
      </c>
      <c r="AL35" s="151">
        <f t="shared" si="14"/>
        <v>47</v>
      </c>
      <c r="AM35" s="150">
        <v>20</v>
      </c>
      <c r="AN35" s="151">
        <f t="shared" si="15"/>
        <v>67</v>
      </c>
      <c r="AO35" s="217"/>
      <c r="AP35" s="150">
        <f t="shared" si="16"/>
        <v>3.5</v>
      </c>
      <c r="AQ35" s="150">
        <v>23</v>
      </c>
      <c r="AR35" s="150">
        <v>25</v>
      </c>
      <c r="AS35" s="150">
        <f t="shared" si="17"/>
        <v>48</v>
      </c>
      <c r="AT35" s="218"/>
      <c r="AU35" s="150">
        <f t="shared" si="18"/>
        <v>5</v>
      </c>
      <c r="AV35" s="149">
        <v>20</v>
      </c>
      <c r="AW35" s="150">
        <v>42</v>
      </c>
      <c r="AX35" s="151">
        <f t="shared" si="19"/>
        <v>62</v>
      </c>
      <c r="AY35" s="150">
        <v>25</v>
      </c>
      <c r="AZ35" s="151">
        <f t="shared" si="20"/>
        <v>87</v>
      </c>
      <c r="BA35" s="217"/>
      <c r="BB35" s="150">
        <f t="shared" si="21"/>
        <v>5</v>
      </c>
      <c r="BC35" s="149">
        <v>13</v>
      </c>
      <c r="BD35" s="150">
        <v>39</v>
      </c>
      <c r="BE35" s="151">
        <f t="shared" si="22"/>
        <v>52</v>
      </c>
      <c r="BF35" s="150">
        <v>28</v>
      </c>
      <c r="BG35" s="151">
        <f t="shared" si="23"/>
        <v>80</v>
      </c>
      <c r="BH35" s="217"/>
      <c r="BI35" s="150">
        <f t="shared" si="24"/>
        <v>5</v>
      </c>
      <c r="BJ35" s="149">
        <v>9</v>
      </c>
      <c r="BK35" s="150">
        <v>38</v>
      </c>
      <c r="BL35" s="151">
        <f t="shared" si="25"/>
        <v>47</v>
      </c>
      <c r="BM35" s="151">
        <f t="shared" si="26"/>
        <v>47</v>
      </c>
      <c r="BN35" s="217"/>
      <c r="BO35" s="150">
        <f t="shared" si="2"/>
        <v>5</v>
      </c>
      <c r="BP35" s="150">
        <f t="shared" si="27"/>
        <v>35.5</v>
      </c>
      <c r="BQ35" s="152">
        <f t="shared" si="28"/>
        <v>4.4375</v>
      </c>
      <c r="BR35" s="152" t="str">
        <f t="shared" si="29"/>
        <v>A</v>
      </c>
      <c r="BS35" s="153" t="str">
        <f t="shared" si="3"/>
        <v>BETTER</v>
      </c>
      <c r="BT35" s="154">
        <f t="shared" si="30"/>
        <v>618</v>
      </c>
      <c r="BU35" s="59"/>
      <c r="BV35" s="62"/>
      <c r="BW35" s="178">
        <f>'1st_Semester'!BT35</f>
        <v>367</v>
      </c>
      <c r="BX35" s="179">
        <f>'2nd_Semester'!BT35</f>
        <v>561</v>
      </c>
      <c r="BY35" s="179">
        <f t="shared" si="31"/>
        <v>618</v>
      </c>
      <c r="BZ35" s="179">
        <f t="shared" si="32"/>
        <v>515.33333333333337</v>
      </c>
      <c r="CA35" s="182" t="str">
        <f>'1st_Semester'!BQ35</f>
        <v>F</v>
      </c>
      <c r="CB35" s="182">
        <f>'2nd_Semester'!BQ35</f>
        <v>3.875</v>
      </c>
      <c r="CC35" s="182">
        <f t="shared" si="33"/>
        <v>4.4375</v>
      </c>
      <c r="CD35" s="182">
        <f t="shared" si="34"/>
        <v>4.15625</v>
      </c>
    </row>
    <row r="36" spans="1:82" ht="27.95" customHeight="1">
      <c r="A36" s="71">
        <v>28</v>
      </c>
      <c r="B36" s="49">
        <v>50</v>
      </c>
      <c r="C36" s="50" t="s">
        <v>142</v>
      </c>
      <c r="D36" s="50" t="s">
        <v>143</v>
      </c>
      <c r="E36" s="50" t="s">
        <v>144</v>
      </c>
      <c r="F36" s="65" t="s">
        <v>358</v>
      </c>
      <c r="G36" s="78">
        <v>18</v>
      </c>
      <c r="H36" s="150">
        <v>30</v>
      </c>
      <c r="I36" s="151">
        <f t="shared" si="4"/>
        <v>48</v>
      </c>
      <c r="J36" s="150">
        <v>22</v>
      </c>
      <c r="K36" s="151">
        <f t="shared" si="35"/>
        <v>70</v>
      </c>
      <c r="L36" s="149">
        <v>10</v>
      </c>
      <c r="M36" s="150">
        <v>34</v>
      </c>
      <c r="N36" s="151">
        <f t="shared" si="36"/>
        <v>44</v>
      </c>
      <c r="O36" s="151">
        <f t="shared" si="5"/>
        <v>44</v>
      </c>
      <c r="P36" s="151">
        <f t="shared" si="0"/>
        <v>114</v>
      </c>
      <c r="Q36" s="215"/>
      <c r="R36" s="150">
        <f t="shared" si="6"/>
        <v>4</v>
      </c>
      <c r="S36" s="149">
        <v>16</v>
      </c>
      <c r="T36" s="150">
        <v>58</v>
      </c>
      <c r="U36" s="151">
        <f t="shared" si="7"/>
        <v>74</v>
      </c>
      <c r="V36" s="149">
        <v>7</v>
      </c>
      <c r="W36" s="150">
        <v>33</v>
      </c>
      <c r="X36" s="151">
        <f t="shared" si="8"/>
        <v>40</v>
      </c>
      <c r="Y36" s="151">
        <f t="shared" si="9"/>
        <v>114</v>
      </c>
      <c r="Z36" s="151">
        <f t="shared" si="1"/>
        <v>114</v>
      </c>
      <c r="AA36" s="215"/>
      <c r="AB36" s="150">
        <f t="shared" si="10"/>
        <v>4</v>
      </c>
      <c r="AC36" s="149">
        <v>15</v>
      </c>
      <c r="AD36" s="150">
        <v>30</v>
      </c>
      <c r="AE36" s="151">
        <f t="shared" si="11"/>
        <v>45</v>
      </c>
      <c r="AF36" s="150">
        <v>23</v>
      </c>
      <c r="AG36" s="151">
        <f t="shared" si="12"/>
        <v>68</v>
      </c>
      <c r="AH36" s="215"/>
      <c r="AI36" s="150">
        <f t="shared" si="13"/>
        <v>3.5</v>
      </c>
      <c r="AJ36" s="149">
        <v>17</v>
      </c>
      <c r="AK36" s="150">
        <v>33</v>
      </c>
      <c r="AL36" s="151">
        <f t="shared" si="14"/>
        <v>50</v>
      </c>
      <c r="AM36" s="150">
        <v>20</v>
      </c>
      <c r="AN36" s="151">
        <f t="shared" si="15"/>
        <v>70</v>
      </c>
      <c r="AO36" s="217"/>
      <c r="AP36" s="150">
        <f t="shared" si="16"/>
        <v>4</v>
      </c>
      <c r="AQ36" s="150">
        <v>23</v>
      </c>
      <c r="AR36" s="150">
        <v>25</v>
      </c>
      <c r="AS36" s="150">
        <f t="shared" si="17"/>
        <v>48</v>
      </c>
      <c r="AT36" s="218"/>
      <c r="AU36" s="150">
        <f t="shared" si="18"/>
        <v>5</v>
      </c>
      <c r="AV36" s="149">
        <v>19</v>
      </c>
      <c r="AW36" s="150">
        <v>30</v>
      </c>
      <c r="AX36" s="151">
        <f t="shared" si="19"/>
        <v>49</v>
      </c>
      <c r="AY36" s="150">
        <v>26</v>
      </c>
      <c r="AZ36" s="151">
        <f t="shared" si="20"/>
        <v>75</v>
      </c>
      <c r="BA36" s="217"/>
      <c r="BB36" s="150">
        <f t="shared" si="21"/>
        <v>4</v>
      </c>
      <c r="BC36" s="149">
        <v>16</v>
      </c>
      <c r="BD36" s="150">
        <v>40</v>
      </c>
      <c r="BE36" s="151">
        <f t="shared" si="22"/>
        <v>56</v>
      </c>
      <c r="BF36" s="150">
        <v>28</v>
      </c>
      <c r="BG36" s="151">
        <f t="shared" si="23"/>
        <v>84</v>
      </c>
      <c r="BH36" s="217"/>
      <c r="BI36" s="150">
        <f t="shared" si="24"/>
        <v>5</v>
      </c>
      <c r="BJ36" s="149">
        <v>9</v>
      </c>
      <c r="BK36" s="150">
        <v>38</v>
      </c>
      <c r="BL36" s="151">
        <f t="shared" si="25"/>
        <v>47</v>
      </c>
      <c r="BM36" s="151">
        <f t="shared" si="26"/>
        <v>47</v>
      </c>
      <c r="BN36" s="217"/>
      <c r="BO36" s="150">
        <f t="shared" si="2"/>
        <v>5</v>
      </c>
      <c r="BP36" s="150">
        <f t="shared" si="27"/>
        <v>34.5</v>
      </c>
      <c r="BQ36" s="152">
        <f t="shared" si="28"/>
        <v>4.3125</v>
      </c>
      <c r="BR36" s="152" t="str">
        <f t="shared" si="29"/>
        <v>A</v>
      </c>
      <c r="BS36" s="153" t="str">
        <f t="shared" si="3"/>
        <v>BETTER</v>
      </c>
      <c r="BT36" s="154">
        <f t="shared" si="30"/>
        <v>620</v>
      </c>
      <c r="BU36" s="59"/>
      <c r="BV36" s="62"/>
      <c r="BW36" s="178">
        <f>'1st_Semester'!BT36</f>
        <v>260</v>
      </c>
      <c r="BX36" s="179">
        <f>'2nd_Semester'!BT36</f>
        <v>576</v>
      </c>
      <c r="BY36" s="179">
        <f t="shared" si="31"/>
        <v>620</v>
      </c>
      <c r="BZ36" s="179">
        <f t="shared" si="32"/>
        <v>485.33333333333331</v>
      </c>
      <c r="CA36" s="182" t="str">
        <f>'1st_Semester'!BQ36</f>
        <v>F</v>
      </c>
      <c r="CB36" s="182">
        <f>'2nd_Semester'!BQ36</f>
        <v>4</v>
      </c>
      <c r="CC36" s="182">
        <f t="shared" si="33"/>
        <v>4.3125</v>
      </c>
      <c r="CD36" s="182">
        <f t="shared" si="34"/>
        <v>4.15625</v>
      </c>
    </row>
    <row r="37" spans="1:82" ht="27.95" customHeight="1">
      <c r="A37" s="71">
        <v>29</v>
      </c>
      <c r="B37" s="49">
        <v>55</v>
      </c>
      <c r="C37" s="50" t="s">
        <v>145</v>
      </c>
      <c r="D37" s="50" t="s">
        <v>146</v>
      </c>
      <c r="E37" s="50" t="s">
        <v>147</v>
      </c>
      <c r="F37" s="65" t="s">
        <v>249</v>
      </c>
      <c r="G37" s="78">
        <v>11</v>
      </c>
      <c r="H37" s="150">
        <v>41</v>
      </c>
      <c r="I37" s="151">
        <f t="shared" si="4"/>
        <v>52</v>
      </c>
      <c r="J37" s="150">
        <v>24</v>
      </c>
      <c r="K37" s="151">
        <f t="shared" si="35"/>
        <v>76</v>
      </c>
      <c r="L37" s="149">
        <v>9</v>
      </c>
      <c r="M37" s="150">
        <v>34</v>
      </c>
      <c r="N37" s="151">
        <f t="shared" si="36"/>
        <v>43</v>
      </c>
      <c r="O37" s="151">
        <f t="shared" si="5"/>
        <v>43</v>
      </c>
      <c r="P37" s="151">
        <f t="shared" si="0"/>
        <v>119</v>
      </c>
      <c r="Q37" s="215"/>
      <c r="R37" s="150">
        <f t="shared" si="6"/>
        <v>4</v>
      </c>
      <c r="S37" s="149">
        <v>18</v>
      </c>
      <c r="T37" s="150">
        <v>60</v>
      </c>
      <c r="U37" s="151">
        <f t="shared" si="7"/>
        <v>78</v>
      </c>
      <c r="V37" s="149">
        <v>7</v>
      </c>
      <c r="W37" s="150">
        <v>33</v>
      </c>
      <c r="X37" s="151">
        <f t="shared" si="8"/>
        <v>40</v>
      </c>
      <c r="Y37" s="151">
        <f t="shared" si="9"/>
        <v>118</v>
      </c>
      <c r="Z37" s="151">
        <f t="shared" si="1"/>
        <v>118</v>
      </c>
      <c r="AA37" s="215"/>
      <c r="AB37" s="150">
        <f t="shared" si="10"/>
        <v>4</v>
      </c>
      <c r="AC37" s="149">
        <v>16</v>
      </c>
      <c r="AD37" s="150">
        <v>29</v>
      </c>
      <c r="AE37" s="151">
        <f t="shared" si="11"/>
        <v>45</v>
      </c>
      <c r="AF37" s="150">
        <v>18</v>
      </c>
      <c r="AG37" s="151">
        <f t="shared" si="12"/>
        <v>63</v>
      </c>
      <c r="AH37" s="215"/>
      <c r="AI37" s="150">
        <f t="shared" si="13"/>
        <v>3.5</v>
      </c>
      <c r="AJ37" s="149">
        <v>15</v>
      </c>
      <c r="AK37" s="150">
        <v>24</v>
      </c>
      <c r="AL37" s="151">
        <f t="shared" si="14"/>
        <v>39</v>
      </c>
      <c r="AM37" s="150">
        <v>20</v>
      </c>
      <c r="AN37" s="151">
        <f t="shared" si="15"/>
        <v>59</v>
      </c>
      <c r="AO37" s="217"/>
      <c r="AP37" s="150">
        <f t="shared" si="16"/>
        <v>3</v>
      </c>
      <c r="AQ37" s="150">
        <v>23</v>
      </c>
      <c r="AR37" s="150">
        <v>25</v>
      </c>
      <c r="AS37" s="150">
        <f t="shared" si="17"/>
        <v>48</v>
      </c>
      <c r="AT37" s="218"/>
      <c r="AU37" s="150">
        <f t="shared" si="18"/>
        <v>5</v>
      </c>
      <c r="AV37" s="149">
        <v>20</v>
      </c>
      <c r="AW37" s="150">
        <v>44</v>
      </c>
      <c r="AX37" s="151">
        <f t="shared" si="19"/>
        <v>64</v>
      </c>
      <c r="AY37" s="150">
        <v>20</v>
      </c>
      <c r="AZ37" s="151">
        <f t="shared" si="20"/>
        <v>84</v>
      </c>
      <c r="BA37" s="217"/>
      <c r="BB37" s="150">
        <f t="shared" si="21"/>
        <v>5</v>
      </c>
      <c r="BC37" s="149">
        <v>16</v>
      </c>
      <c r="BD37" s="150">
        <v>33</v>
      </c>
      <c r="BE37" s="151">
        <f t="shared" si="22"/>
        <v>49</v>
      </c>
      <c r="BF37" s="150">
        <v>27</v>
      </c>
      <c r="BG37" s="151">
        <f t="shared" si="23"/>
        <v>76</v>
      </c>
      <c r="BH37" s="217"/>
      <c r="BI37" s="150">
        <f t="shared" si="24"/>
        <v>4</v>
      </c>
      <c r="BJ37" s="149">
        <v>7</v>
      </c>
      <c r="BK37" s="150">
        <v>38</v>
      </c>
      <c r="BL37" s="151">
        <f t="shared" si="25"/>
        <v>45</v>
      </c>
      <c r="BM37" s="151">
        <f t="shared" si="26"/>
        <v>45</v>
      </c>
      <c r="BN37" s="217"/>
      <c r="BO37" s="150">
        <f t="shared" si="2"/>
        <v>5</v>
      </c>
      <c r="BP37" s="150">
        <f t="shared" si="27"/>
        <v>33.5</v>
      </c>
      <c r="BQ37" s="152">
        <f t="shared" si="28"/>
        <v>4.1875</v>
      </c>
      <c r="BR37" s="152" t="str">
        <f t="shared" si="29"/>
        <v>A</v>
      </c>
      <c r="BS37" s="153" t="str">
        <f t="shared" si="3"/>
        <v>BETTER</v>
      </c>
      <c r="BT37" s="154">
        <f t="shared" si="30"/>
        <v>612</v>
      </c>
      <c r="BU37" s="59"/>
      <c r="BV37" s="62"/>
      <c r="BW37" s="178">
        <f>'1st_Semester'!BT37</f>
        <v>489</v>
      </c>
      <c r="BX37" s="179">
        <f>'2nd_Semester'!BT37</f>
        <v>486</v>
      </c>
      <c r="BY37" s="179">
        <f t="shared" si="31"/>
        <v>612</v>
      </c>
      <c r="BZ37" s="179">
        <f t="shared" si="32"/>
        <v>529</v>
      </c>
      <c r="CA37" s="182">
        <f>'1st_Semester'!BQ37</f>
        <v>3.4375</v>
      </c>
      <c r="CB37" s="182">
        <f>'2nd_Semester'!BQ37</f>
        <v>3.375</v>
      </c>
      <c r="CC37" s="182">
        <f t="shared" si="33"/>
        <v>4.1875</v>
      </c>
      <c r="CD37" s="182">
        <f t="shared" si="34"/>
        <v>3.6666666666666665</v>
      </c>
    </row>
    <row r="38" spans="1:82" ht="27.95" customHeight="1">
      <c r="A38" s="71">
        <v>30</v>
      </c>
      <c r="B38" s="49">
        <v>59</v>
      </c>
      <c r="C38" s="51" t="s">
        <v>148</v>
      </c>
      <c r="D38" s="51" t="s">
        <v>149</v>
      </c>
      <c r="E38" s="51" t="s">
        <v>150</v>
      </c>
      <c r="F38" s="66" t="s">
        <v>250</v>
      </c>
      <c r="G38" s="78">
        <v>20</v>
      </c>
      <c r="H38" s="150">
        <v>41</v>
      </c>
      <c r="I38" s="151">
        <f t="shared" si="4"/>
        <v>61</v>
      </c>
      <c r="J38" s="150">
        <v>17</v>
      </c>
      <c r="K38" s="151">
        <f t="shared" si="35"/>
        <v>78</v>
      </c>
      <c r="L38" s="149">
        <v>10</v>
      </c>
      <c r="M38" s="150">
        <v>32</v>
      </c>
      <c r="N38" s="151">
        <f t="shared" si="36"/>
        <v>42</v>
      </c>
      <c r="O38" s="151">
        <f t="shared" si="5"/>
        <v>42</v>
      </c>
      <c r="P38" s="151">
        <f t="shared" si="0"/>
        <v>120</v>
      </c>
      <c r="Q38" s="215"/>
      <c r="R38" s="150">
        <f t="shared" si="6"/>
        <v>5</v>
      </c>
      <c r="S38" s="149">
        <v>16</v>
      </c>
      <c r="T38" s="150">
        <v>59</v>
      </c>
      <c r="U38" s="151">
        <f t="shared" si="7"/>
        <v>75</v>
      </c>
      <c r="V38" s="149">
        <v>8</v>
      </c>
      <c r="W38" s="150">
        <v>25</v>
      </c>
      <c r="X38" s="151">
        <f t="shared" si="8"/>
        <v>33</v>
      </c>
      <c r="Y38" s="151">
        <f t="shared" si="9"/>
        <v>108</v>
      </c>
      <c r="Z38" s="151">
        <f t="shared" si="1"/>
        <v>108</v>
      </c>
      <c r="AA38" s="215"/>
      <c r="AB38" s="150">
        <f t="shared" si="10"/>
        <v>4</v>
      </c>
      <c r="AC38" s="149">
        <v>19</v>
      </c>
      <c r="AD38" s="150">
        <v>45</v>
      </c>
      <c r="AE38" s="151">
        <f t="shared" si="11"/>
        <v>64</v>
      </c>
      <c r="AF38" s="150">
        <v>21</v>
      </c>
      <c r="AG38" s="151">
        <f t="shared" si="12"/>
        <v>85</v>
      </c>
      <c r="AH38" s="215"/>
      <c r="AI38" s="150">
        <f t="shared" si="13"/>
        <v>5</v>
      </c>
      <c r="AJ38" s="149">
        <v>19</v>
      </c>
      <c r="AK38" s="150">
        <v>41</v>
      </c>
      <c r="AL38" s="151">
        <f t="shared" si="14"/>
        <v>60</v>
      </c>
      <c r="AM38" s="150">
        <v>23</v>
      </c>
      <c r="AN38" s="151">
        <f t="shared" si="15"/>
        <v>83</v>
      </c>
      <c r="AO38" s="217"/>
      <c r="AP38" s="150">
        <f t="shared" si="16"/>
        <v>5</v>
      </c>
      <c r="AQ38" s="150">
        <v>24</v>
      </c>
      <c r="AR38" s="150">
        <v>25</v>
      </c>
      <c r="AS38" s="150">
        <f t="shared" si="17"/>
        <v>49</v>
      </c>
      <c r="AT38" s="218"/>
      <c r="AU38" s="150">
        <f t="shared" si="18"/>
        <v>5</v>
      </c>
      <c r="AV38" s="149">
        <v>20</v>
      </c>
      <c r="AW38" s="150">
        <v>43</v>
      </c>
      <c r="AX38" s="151">
        <f t="shared" si="19"/>
        <v>63</v>
      </c>
      <c r="AY38" s="150">
        <v>20</v>
      </c>
      <c r="AZ38" s="151">
        <f t="shared" si="20"/>
        <v>83</v>
      </c>
      <c r="BA38" s="217"/>
      <c r="BB38" s="150">
        <f t="shared" si="21"/>
        <v>5</v>
      </c>
      <c r="BC38" s="149">
        <v>16</v>
      </c>
      <c r="BD38" s="150">
        <v>38</v>
      </c>
      <c r="BE38" s="151">
        <f t="shared" si="22"/>
        <v>54</v>
      </c>
      <c r="BF38" s="150">
        <v>26</v>
      </c>
      <c r="BG38" s="151">
        <f t="shared" si="23"/>
        <v>80</v>
      </c>
      <c r="BH38" s="217"/>
      <c r="BI38" s="150">
        <f t="shared" si="24"/>
        <v>5</v>
      </c>
      <c r="BJ38" s="149">
        <v>8</v>
      </c>
      <c r="BK38" s="150">
        <v>38</v>
      </c>
      <c r="BL38" s="151">
        <f t="shared" si="25"/>
        <v>46</v>
      </c>
      <c r="BM38" s="151">
        <f t="shared" si="26"/>
        <v>46</v>
      </c>
      <c r="BN38" s="217"/>
      <c r="BO38" s="150">
        <f t="shared" si="2"/>
        <v>5</v>
      </c>
      <c r="BP38" s="150">
        <f t="shared" si="27"/>
        <v>39</v>
      </c>
      <c r="BQ38" s="152">
        <f t="shared" si="28"/>
        <v>4.875</v>
      </c>
      <c r="BR38" s="152" t="str">
        <f t="shared" si="29"/>
        <v>A</v>
      </c>
      <c r="BS38" s="153" t="str">
        <f t="shared" si="3"/>
        <v>BETTER</v>
      </c>
      <c r="BT38" s="154">
        <f t="shared" si="30"/>
        <v>654</v>
      </c>
      <c r="BU38" s="59"/>
      <c r="BV38" s="62"/>
      <c r="BW38" s="178">
        <f>'1st_Semester'!BT38</f>
        <v>327</v>
      </c>
      <c r="BX38" s="179">
        <f>'2nd_Semester'!BT38</f>
        <v>624</v>
      </c>
      <c r="BY38" s="179">
        <f t="shared" si="31"/>
        <v>654</v>
      </c>
      <c r="BZ38" s="179">
        <f t="shared" si="32"/>
        <v>535</v>
      </c>
      <c r="CA38" s="182" t="str">
        <f>'1st_Semester'!BQ38</f>
        <v>F</v>
      </c>
      <c r="CB38" s="182">
        <f>'2nd_Semester'!BQ38</f>
        <v>4.5625</v>
      </c>
      <c r="CC38" s="182">
        <f t="shared" si="33"/>
        <v>4.875</v>
      </c>
      <c r="CD38" s="182">
        <f t="shared" si="34"/>
        <v>4.71875</v>
      </c>
    </row>
    <row r="39" spans="1:82" ht="27.95" customHeight="1">
      <c r="A39" s="71">
        <v>31</v>
      </c>
      <c r="B39" s="49">
        <v>62</v>
      </c>
      <c r="C39" s="50" t="s">
        <v>151</v>
      </c>
      <c r="D39" s="50" t="s">
        <v>146</v>
      </c>
      <c r="E39" s="50" t="s">
        <v>152</v>
      </c>
      <c r="F39" s="65" t="s">
        <v>367</v>
      </c>
      <c r="G39" s="78">
        <v>16</v>
      </c>
      <c r="H39" s="150">
        <v>21</v>
      </c>
      <c r="I39" s="151">
        <f t="shared" si="4"/>
        <v>37</v>
      </c>
      <c r="J39" s="150">
        <v>21</v>
      </c>
      <c r="K39" s="151">
        <f t="shared" si="35"/>
        <v>58</v>
      </c>
      <c r="L39" s="149">
        <v>10</v>
      </c>
      <c r="M39" s="150">
        <v>32</v>
      </c>
      <c r="N39" s="151">
        <f t="shared" si="36"/>
        <v>42</v>
      </c>
      <c r="O39" s="151">
        <f t="shared" si="5"/>
        <v>42</v>
      </c>
      <c r="P39" s="151">
        <f t="shared" si="0"/>
        <v>100</v>
      </c>
      <c r="Q39" s="215"/>
      <c r="R39" s="150">
        <f t="shared" si="6"/>
        <v>3.5</v>
      </c>
      <c r="S39" s="149">
        <v>17</v>
      </c>
      <c r="T39" s="150">
        <v>48</v>
      </c>
      <c r="U39" s="151">
        <f t="shared" si="7"/>
        <v>65</v>
      </c>
      <c r="V39" s="149">
        <v>6</v>
      </c>
      <c r="W39" s="150">
        <v>34</v>
      </c>
      <c r="X39" s="151">
        <f t="shared" si="8"/>
        <v>40</v>
      </c>
      <c r="Y39" s="151">
        <f t="shared" si="9"/>
        <v>105</v>
      </c>
      <c r="Z39" s="151">
        <f t="shared" si="1"/>
        <v>105</v>
      </c>
      <c r="AA39" s="215"/>
      <c r="AB39" s="150">
        <f t="shared" si="10"/>
        <v>4</v>
      </c>
      <c r="AC39" s="149">
        <v>17</v>
      </c>
      <c r="AD39" s="150">
        <v>30</v>
      </c>
      <c r="AE39" s="151">
        <f t="shared" si="11"/>
        <v>47</v>
      </c>
      <c r="AF39" s="150">
        <v>15</v>
      </c>
      <c r="AG39" s="151">
        <f t="shared" si="12"/>
        <v>62</v>
      </c>
      <c r="AH39" s="215"/>
      <c r="AI39" s="150">
        <f t="shared" si="13"/>
        <v>3.5</v>
      </c>
      <c r="AJ39" s="149">
        <v>16</v>
      </c>
      <c r="AK39" s="150">
        <v>26</v>
      </c>
      <c r="AL39" s="151">
        <f t="shared" si="14"/>
        <v>42</v>
      </c>
      <c r="AM39" s="150">
        <v>24</v>
      </c>
      <c r="AN39" s="151">
        <f t="shared" si="15"/>
        <v>66</v>
      </c>
      <c r="AO39" s="217"/>
      <c r="AP39" s="150">
        <f t="shared" si="16"/>
        <v>3.5</v>
      </c>
      <c r="AQ39" s="150">
        <v>22</v>
      </c>
      <c r="AR39" s="150">
        <v>25</v>
      </c>
      <c r="AS39" s="150">
        <f t="shared" si="17"/>
        <v>47</v>
      </c>
      <c r="AT39" s="218"/>
      <c r="AU39" s="150">
        <f t="shared" si="18"/>
        <v>5</v>
      </c>
      <c r="AV39" s="149">
        <v>20</v>
      </c>
      <c r="AW39" s="150">
        <v>30</v>
      </c>
      <c r="AX39" s="151">
        <f t="shared" si="19"/>
        <v>50</v>
      </c>
      <c r="AY39" s="150">
        <v>16</v>
      </c>
      <c r="AZ39" s="151">
        <f t="shared" si="20"/>
        <v>66</v>
      </c>
      <c r="BA39" s="217"/>
      <c r="BB39" s="150">
        <f t="shared" si="21"/>
        <v>3.5</v>
      </c>
      <c r="BC39" s="149">
        <v>13</v>
      </c>
      <c r="BD39" s="150">
        <v>37</v>
      </c>
      <c r="BE39" s="151">
        <f t="shared" si="22"/>
        <v>50</v>
      </c>
      <c r="BF39" s="150">
        <v>28</v>
      </c>
      <c r="BG39" s="151">
        <f t="shared" si="23"/>
        <v>78</v>
      </c>
      <c r="BH39" s="217"/>
      <c r="BI39" s="150">
        <f t="shared" si="24"/>
        <v>4</v>
      </c>
      <c r="BJ39" s="149">
        <v>9</v>
      </c>
      <c r="BK39" s="150">
        <v>38</v>
      </c>
      <c r="BL39" s="151">
        <f t="shared" si="25"/>
        <v>47</v>
      </c>
      <c r="BM39" s="151">
        <f t="shared" si="26"/>
        <v>47</v>
      </c>
      <c r="BN39" s="217"/>
      <c r="BO39" s="150">
        <f t="shared" si="2"/>
        <v>5</v>
      </c>
      <c r="BP39" s="150">
        <f t="shared" si="27"/>
        <v>32</v>
      </c>
      <c r="BQ39" s="152">
        <f t="shared" si="28"/>
        <v>4</v>
      </c>
      <c r="BR39" s="152" t="str">
        <f t="shared" si="29"/>
        <v>A</v>
      </c>
      <c r="BS39" s="153" t="str">
        <f t="shared" si="3"/>
        <v>BETTER</v>
      </c>
      <c r="BT39" s="154">
        <f t="shared" si="30"/>
        <v>571</v>
      </c>
      <c r="BU39" s="59"/>
      <c r="BV39" s="62"/>
      <c r="BW39" s="178">
        <f>'1st_Semester'!BT39</f>
        <v>422</v>
      </c>
      <c r="BX39" s="179">
        <f>'2nd_Semester'!BT39</f>
        <v>587</v>
      </c>
      <c r="BY39" s="179">
        <f t="shared" si="31"/>
        <v>571</v>
      </c>
      <c r="BZ39" s="179">
        <f t="shared" si="32"/>
        <v>526.66666666666663</v>
      </c>
      <c r="CA39" s="182">
        <f>'1st_Semester'!BQ39</f>
        <v>2.9375</v>
      </c>
      <c r="CB39" s="182">
        <f>'2nd_Semester'!BQ39</f>
        <v>4</v>
      </c>
      <c r="CC39" s="182">
        <f t="shared" si="33"/>
        <v>4</v>
      </c>
      <c r="CD39" s="182">
        <f t="shared" si="34"/>
        <v>3.6458333333333335</v>
      </c>
    </row>
    <row r="40" spans="1:82" ht="27.95" customHeight="1">
      <c r="A40" s="71">
        <v>32</v>
      </c>
      <c r="B40" s="53">
        <v>78</v>
      </c>
      <c r="C40" s="51" t="s">
        <v>153</v>
      </c>
      <c r="D40" s="51" t="s">
        <v>154</v>
      </c>
      <c r="E40" s="51" t="s">
        <v>155</v>
      </c>
      <c r="F40" s="66" t="s">
        <v>393</v>
      </c>
      <c r="G40" s="78">
        <v>20</v>
      </c>
      <c r="H40" s="150">
        <v>36</v>
      </c>
      <c r="I40" s="151">
        <f t="shared" si="4"/>
        <v>56</v>
      </c>
      <c r="J40" s="150">
        <v>25</v>
      </c>
      <c r="K40" s="151">
        <f t="shared" si="35"/>
        <v>81</v>
      </c>
      <c r="L40" s="149">
        <v>10</v>
      </c>
      <c r="M40" s="150">
        <v>32</v>
      </c>
      <c r="N40" s="151">
        <f t="shared" si="36"/>
        <v>42</v>
      </c>
      <c r="O40" s="151">
        <f t="shared" si="5"/>
        <v>42</v>
      </c>
      <c r="P40" s="151">
        <f t="shared" si="0"/>
        <v>123</v>
      </c>
      <c r="Q40" s="215"/>
      <c r="R40" s="150">
        <f t="shared" si="6"/>
        <v>5</v>
      </c>
      <c r="S40" s="149">
        <v>16</v>
      </c>
      <c r="T40" s="150">
        <v>60</v>
      </c>
      <c r="U40" s="151">
        <f t="shared" si="7"/>
        <v>76</v>
      </c>
      <c r="V40" s="149">
        <v>9</v>
      </c>
      <c r="W40" s="150">
        <v>34</v>
      </c>
      <c r="X40" s="151">
        <f t="shared" si="8"/>
        <v>43</v>
      </c>
      <c r="Y40" s="151">
        <f t="shared" si="9"/>
        <v>119</v>
      </c>
      <c r="Z40" s="151">
        <f t="shared" si="1"/>
        <v>119</v>
      </c>
      <c r="AA40" s="215"/>
      <c r="AB40" s="150">
        <f t="shared" si="10"/>
        <v>4</v>
      </c>
      <c r="AC40" s="149">
        <v>19</v>
      </c>
      <c r="AD40" s="150">
        <v>46</v>
      </c>
      <c r="AE40" s="151">
        <f t="shared" si="11"/>
        <v>65</v>
      </c>
      <c r="AF40" s="150">
        <v>24</v>
      </c>
      <c r="AG40" s="151">
        <f t="shared" si="12"/>
        <v>89</v>
      </c>
      <c r="AH40" s="215"/>
      <c r="AI40" s="150">
        <f t="shared" si="13"/>
        <v>5</v>
      </c>
      <c r="AJ40" s="149">
        <v>18</v>
      </c>
      <c r="AK40" s="150">
        <v>37</v>
      </c>
      <c r="AL40" s="151">
        <f t="shared" si="14"/>
        <v>55</v>
      </c>
      <c r="AM40" s="150">
        <v>15</v>
      </c>
      <c r="AN40" s="151">
        <f t="shared" si="15"/>
        <v>70</v>
      </c>
      <c r="AO40" s="217"/>
      <c r="AP40" s="150">
        <f t="shared" si="16"/>
        <v>4</v>
      </c>
      <c r="AQ40" s="150">
        <v>23</v>
      </c>
      <c r="AR40" s="150">
        <v>25</v>
      </c>
      <c r="AS40" s="150">
        <f t="shared" si="17"/>
        <v>48</v>
      </c>
      <c r="AT40" s="218"/>
      <c r="AU40" s="150">
        <f t="shared" si="18"/>
        <v>5</v>
      </c>
      <c r="AV40" s="149">
        <v>18</v>
      </c>
      <c r="AW40" s="150">
        <v>40</v>
      </c>
      <c r="AX40" s="151">
        <f t="shared" si="19"/>
        <v>58</v>
      </c>
      <c r="AY40" s="150">
        <v>22</v>
      </c>
      <c r="AZ40" s="151">
        <f t="shared" si="20"/>
        <v>80</v>
      </c>
      <c r="BA40" s="217"/>
      <c r="BB40" s="150">
        <f t="shared" si="21"/>
        <v>5</v>
      </c>
      <c r="BC40" s="149">
        <v>16</v>
      </c>
      <c r="BD40" s="150">
        <v>29</v>
      </c>
      <c r="BE40" s="151">
        <f t="shared" si="22"/>
        <v>45</v>
      </c>
      <c r="BF40" s="150">
        <v>27</v>
      </c>
      <c r="BG40" s="151">
        <f t="shared" si="23"/>
        <v>72</v>
      </c>
      <c r="BH40" s="217"/>
      <c r="BI40" s="150">
        <f t="shared" si="24"/>
        <v>4</v>
      </c>
      <c r="BJ40" s="149">
        <v>10</v>
      </c>
      <c r="BK40" s="150">
        <v>38</v>
      </c>
      <c r="BL40" s="151">
        <f t="shared" si="25"/>
        <v>48</v>
      </c>
      <c r="BM40" s="151">
        <f t="shared" si="26"/>
        <v>48</v>
      </c>
      <c r="BN40" s="217"/>
      <c r="BO40" s="150">
        <f t="shared" si="2"/>
        <v>5</v>
      </c>
      <c r="BP40" s="150">
        <f t="shared" si="27"/>
        <v>37</v>
      </c>
      <c r="BQ40" s="152">
        <f t="shared" si="28"/>
        <v>4.625</v>
      </c>
      <c r="BR40" s="152" t="str">
        <f t="shared" si="29"/>
        <v>A</v>
      </c>
      <c r="BS40" s="153" t="str">
        <f t="shared" si="3"/>
        <v>BETTER</v>
      </c>
      <c r="BT40" s="154">
        <f t="shared" si="30"/>
        <v>649</v>
      </c>
      <c r="BU40" s="59"/>
      <c r="BV40" s="62"/>
      <c r="BW40" s="178">
        <f>'1st_Semester'!BT40</f>
        <v>314</v>
      </c>
      <c r="BX40" s="179">
        <f>'2nd_Semester'!BT40</f>
        <v>611</v>
      </c>
      <c r="BY40" s="179">
        <f t="shared" si="31"/>
        <v>649</v>
      </c>
      <c r="BZ40" s="179">
        <f t="shared" si="32"/>
        <v>524.66666666666663</v>
      </c>
      <c r="CA40" s="182" t="str">
        <f>'1st_Semester'!BQ40</f>
        <v>F</v>
      </c>
      <c r="CB40" s="182">
        <f>'2nd_Semester'!BQ40</f>
        <v>4.1875</v>
      </c>
      <c r="CC40" s="182">
        <f t="shared" si="33"/>
        <v>4.625</v>
      </c>
      <c r="CD40" s="182">
        <f t="shared" si="34"/>
        <v>4.40625</v>
      </c>
    </row>
    <row r="41" spans="1:82" ht="27.95" customHeight="1">
      <c r="A41" s="71">
        <v>33</v>
      </c>
      <c r="B41" s="53">
        <v>80</v>
      </c>
      <c r="C41" s="51" t="s">
        <v>156</v>
      </c>
      <c r="D41" s="51" t="s">
        <v>157</v>
      </c>
      <c r="E41" s="51" t="s">
        <v>158</v>
      </c>
      <c r="F41" s="66" t="s">
        <v>394</v>
      </c>
      <c r="G41" s="78">
        <v>20</v>
      </c>
      <c r="H41" s="150">
        <v>39</v>
      </c>
      <c r="I41" s="151">
        <f t="shared" si="4"/>
        <v>59</v>
      </c>
      <c r="J41" s="150">
        <v>21</v>
      </c>
      <c r="K41" s="151">
        <f t="shared" si="35"/>
        <v>80</v>
      </c>
      <c r="L41" s="149">
        <v>9</v>
      </c>
      <c r="M41" s="150">
        <v>32</v>
      </c>
      <c r="N41" s="151">
        <f t="shared" si="36"/>
        <v>41</v>
      </c>
      <c r="O41" s="151">
        <f t="shared" si="5"/>
        <v>41</v>
      </c>
      <c r="P41" s="151">
        <f t="shared" ref="P41:P72" si="37">K41+O41</f>
        <v>121</v>
      </c>
      <c r="Q41" s="215"/>
      <c r="R41" s="150">
        <f t="shared" si="6"/>
        <v>5</v>
      </c>
      <c r="S41" s="149">
        <v>17</v>
      </c>
      <c r="T41" s="150">
        <v>50</v>
      </c>
      <c r="U41" s="151">
        <f t="shared" si="7"/>
        <v>67</v>
      </c>
      <c r="V41" s="149">
        <v>9</v>
      </c>
      <c r="W41" s="150">
        <v>34</v>
      </c>
      <c r="X41" s="151">
        <f t="shared" si="8"/>
        <v>43</v>
      </c>
      <c r="Y41" s="151">
        <f t="shared" si="9"/>
        <v>110</v>
      </c>
      <c r="Z41" s="151">
        <f t="shared" si="1"/>
        <v>110</v>
      </c>
      <c r="AA41" s="215"/>
      <c r="AB41" s="150">
        <f t="shared" si="10"/>
        <v>4</v>
      </c>
      <c r="AC41" s="149">
        <v>19</v>
      </c>
      <c r="AD41" s="150">
        <v>20</v>
      </c>
      <c r="AE41" s="151">
        <f t="shared" si="11"/>
        <v>39</v>
      </c>
      <c r="AF41" s="150">
        <v>16</v>
      </c>
      <c r="AG41" s="151">
        <f t="shared" si="12"/>
        <v>55</v>
      </c>
      <c r="AH41" s="215"/>
      <c r="AI41" s="150">
        <f t="shared" si="13"/>
        <v>3</v>
      </c>
      <c r="AJ41" s="149">
        <v>17</v>
      </c>
      <c r="AK41" s="150">
        <v>38</v>
      </c>
      <c r="AL41" s="151">
        <f t="shared" si="14"/>
        <v>55</v>
      </c>
      <c r="AM41" s="150">
        <v>23</v>
      </c>
      <c r="AN41" s="151">
        <f t="shared" si="15"/>
        <v>78</v>
      </c>
      <c r="AO41" s="217"/>
      <c r="AP41" s="150">
        <f t="shared" si="16"/>
        <v>4</v>
      </c>
      <c r="AQ41" s="150">
        <v>24</v>
      </c>
      <c r="AR41" s="150">
        <v>25</v>
      </c>
      <c r="AS41" s="150">
        <f t="shared" si="17"/>
        <v>49</v>
      </c>
      <c r="AT41" s="218"/>
      <c r="AU41" s="150">
        <f t="shared" si="18"/>
        <v>5</v>
      </c>
      <c r="AV41" s="149">
        <v>20</v>
      </c>
      <c r="AW41" s="150">
        <v>43</v>
      </c>
      <c r="AX41" s="151">
        <f t="shared" si="19"/>
        <v>63</v>
      </c>
      <c r="AY41" s="150">
        <v>21</v>
      </c>
      <c r="AZ41" s="151">
        <f t="shared" si="20"/>
        <v>84</v>
      </c>
      <c r="BA41" s="217"/>
      <c r="BB41" s="150">
        <f t="shared" si="21"/>
        <v>5</v>
      </c>
      <c r="BC41" s="149">
        <v>13</v>
      </c>
      <c r="BD41" s="150">
        <v>32</v>
      </c>
      <c r="BE41" s="151">
        <f t="shared" si="22"/>
        <v>45</v>
      </c>
      <c r="BF41" s="150">
        <v>25</v>
      </c>
      <c r="BG41" s="151">
        <f t="shared" si="23"/>
        <v>70</v>
      </c>
      <c r="BH41" s="217"/>
      <c r="BI41" s="150">
        <f t="shared" si="24"/>
        <v>4</v>
      </c>
      <c r="BJ41" s="149">
        <v>9</v>
      </c>
      <c r="BK41" s="150">
        <v>38</v>
      </c>
      <c r="BL41" s="151">
        <f t="shared" si="25"/>
        <v>47</v>
      </c>
      <c r="BM41" s="151">
        <f t="shared" si="26"/>
        <v>47</v>
      </c>
      <c r="BN41" s="217"/>
      <c r="BO41" s="150">
        <f t="shared" ref="BO41:BO72" si="38">IF(BL41&lt;20,"F",IF(BM41&lt;20,"F",IF(BM41&lt;25,2,IF(BM41&lt;30,3,IF(BM41&lt;35,3.5,IF(BM41&lt;40,4,5))))))</f>
        <v>5</v>
      </c>
      <c r="BP41" s="150">
        <f t="shared" si="27"/>
        <v>35</v>
      </c>
      <c r="BQ41" s="152">
        <f t="shared" si="28"/>
        <v>4.375</v>
      </c>
      <c r="BR41" s="152" t="str">
        <f t="shared" si="29"/>
        <v>A</v>
      </c>
      <c r="BS41" s="153" t="str">
        <f t="shared" si="3"/>
        <v>BETTER</v>
      </c>
      <c r="BT41" s="154">
        <f t="shared" si="30"/>
        <v>614</v>
      </c>
      <c r="BU41" s="59"/>
      <c r="BV41" s="62"/>
      <c r="BW41" s="178">
        <f>'1st_Semester'!BT41</f>
        <v>310</v>
      </c>
      <c r="BX41" s="179">
        <f>'2nd_Semester'!BT41</f>
        <v>624</v>
      </c>
      <c r="BY41" s="179">
        <f t="shared" si="31"/>
        <v>614</v>
      </c>
      <c r="BZ41" s="179">
        <f t="shared" si="32"/>
        <v>516</v>
      </c>
      <c r="CA41" s="182" t="str">
        <f>'1st_Semester'!BQ41</f>
        <v>F</v>
      </c>
      <c r="CB41" s="182">
        <f>'2nd_Semester'!BQ41</f>
        <v>4.375</v>
      </c>
      <c r="CC41" s="182">
        <f t="shared" si="33"/>
        <v>4.375</v>
      </c>
      <c r="CD41" s="182">
        <f t="shared" si="34"/>
        <v>4.375</v>
      </c>
    </row>
    <row r="42" spans="1:82" ht="27.95" customHeight="1">
      <c r="A42" s="71">
        <v>34</v>
      </c>
      <c r="B42" s="53">
        <v>82</v>
      </c>
      <c r="C42" s="51" t="s">
        <v>159</v>
      </c>
      <c r="D42" s="51" t="s">
        <v>160</v>
      </c>
      <c r="E42" s="51" t="s">
        <v>161</v>
      </c>
      <c r="F42" s="66" t="s">
        <v>395</v>
      </c>
      <c r="G42" s="78">
        <v>20</v>
      </c>
      <c r="H42" s="150">
        <v>41</v>
      </c>
      <c r="I42" s="151">
        <f t="shared" si="4"/>
        <v>61</v>
      </c>
      <c r="J42" s="150">
        <v>21</v>
      </c>
      <c r="K42" s="151">
        <f t="shared" si="35"/>
        <v>82</v>
      </c>
      <c r="L42" s="149">
        <v>9</v>
      </c>
      <c r="M42" s="150">
        <v>32</v>
      </c>
      <c r="N42" s="151">
        <f t="shared" si="36"/>
        <v>41</v>
      </c>
      <c r="O42" s="151">
        <f t="shared" si="5"/>
        <v>41</v>
      </c>
      <c r="P42" s="151">
        <f t="shared" si="37"/>
        <v>123</v>
      </c>
      <c r="Q42" s="215"/>
      <c r="R42" s="150">
        <f t="shared" si="6"/>
        <v>5</v>
      </c>
      <c r="S42" s="149">
        <v>16</v>
      </c>
      <c r="T42" s="150">
        <v>52</v>
      </c>
      <c r="U42" s="151">
        <f t="shared" si="7"/>
        <v>68</v>
      </c>
      <c r="V42" s="149">
        <v>9</v>
      </c>
      <c r="W42" s="150">
        <v>34</v>
      </c>
      <c r="X42" s="151">
        <f t="shared" si="8"/>
        <v>43</v>
      </c>
      <c r="Y42" s="151">
        <f t="shared" si="9"/>
        <v>111</v>
      </c>
      <c r="Z42" s="151">
        <f t="shared" si="1"/>
        <v>111</v>
      </c>
      <c r="AA42" s="215"/>
      <c r="AB42" s="150">
        <f t="shared" si="10"/>
        <v>4</v>
      </c>
      <c r="AC42" s="149">
        <v>19</v>
      </c>
      <c r="AD42" s="150">
        <v>29</v>
      </c>
      <c r="AE42" s="151">
        <f t="shared" si="11"/>
        <v>48</v>
      </c>
      <c r="AF42" s="150">
        <v>22</v>
      </c>
      <c r="AG42" s="151">
        <f t="shared" si="12"/>
        <v>70</v>
      </c>
      <c r="AH42" s="215"/>
      <c r="AI42" s="150">
        <f t="shared" si="13"/>
        <v>4</v>
      </c>
      <c r="AJ42" s="149">
        <v>16</v>
      </c>
      <c r="AK42" s="150">
        <v>35</v>
      </c>
      <c r="AL42" s="151">
        <f t="shared" si="14"/>
        <v>51</v>
      </c>
      <c r="AM42" s="150">
        <v>23</v>
      </c>
      <c r="AN42" s="151">
        <f t="shared" si="15"/>
        <v>74</v>
      </c>
      <c r="AO42" s="217"/>
      <c r="AP42" s="150">
        <f t="shared" si="16"/>
        <v>4</v>
      </c>
      <c r="AQ42" s="150">
        <v>23</v>
      </c>
      <c r="AR42" s="150">
        <v>25</v>
      </c>
      <c r="AS42" s="150">
        <f t="shared" si="17"/>
        <v>48</v>
      </c>
      <c r="AT42" s="218"/>
      <c r="AU42" s="150">
        <f t="shared" si="18"/>
        <v>5</v>
      </c>
      <c r="AV42" s="149">
        <v>20</v>
      </c>
      <c r="AW42" s="150">
        <v>39</v>
      </c>
      <c r="AX42" s="151">
        <f t="shared" si="19"/>
        <v>59</v>
      </c>
      <c r="AY42" s="150">
        <v>22</v>
      </c>
      <c r="AZ42" s="151">
        <f t="shared" si="20"/>
        <v>81</v>
      </c>
      <c r="BA42" s="217"/>
      <c r="BB42" s="150">
        <f t="shared" si="21"/>
        <v>5</v>
      </c>
      <c r="BC42" s="149">
        <v>13</v>
      </c>
      <c r="BD42" s="150">
        <v>42</v>
      </c>
      <c r="BE42" s="151">
        <f t="shared" si="22"/>
        <v>55</v>
      </c>
      <c r="BF42" s="150">
        <v>25</v>
      </c>
      <c r="BG42" s="151">
        <f t="shared" si="23"/>
        <v>80</v>
      </c>
      <c r="BH42" s="217"/>
      <c r="BI42" s="150">
        <f t="shared" si="24"/>
        <v>5</v>
      </c>
      <c r="BJ42" s="149">
        <v>9</v>
      </c>
      <c r="BK42" s="150">
        <v>38</v>
      </c>
      <c r="BL42" s="151">
        <f t="shared" si="25"/>
        <v>47</v>
      </c>
      <c r="BM42" s="151">
        <f t="shared" si="26"/>
        <v>47</v>
      </c>
      <c r="BN42" s="217"/>
      <c r="BO42" s="150">
        <f t="shared" si="38"/>
        <v>5</v>
      </c>
      <c r="BP42" s="150">
        <f t="shared" si="27"/>
        <v>37</v>
      </c>
      <c r="BQ42" s="152">
        <f t="shared" si="28"/>
        <v>4.625</v>
      </c>
      <c r="BR42" s="152" t="str">
        <f t="shared" si="29"/>
        <v>A</v>
      </c>
      <c r="BS42" s="153" t="str">
        <f t="shared" si="3"/>
        <v>BETTER</v>
      </c>
      <c r="BT42" s="154">
        <f t="shared" si="30"/>
        <v>634</v>
      </c>
      <c r="BU42" s="59"/>
      <c r="BV42" s="62"/>
      <c r="BW42" s="178">
        <f>'1st_Semester'!BT42</f>
        <v>523</v>
      </c>
      <c r="BX42" s="179">
        <f>'2nd_Semester'!BT42</f>
        <v>620</v>
      </c>
      <c r="BY42" s="179">
        <f t="shared" si="31"/>
        <v>634</v>
      </c>
      <c r="BZ42" s="179">
        <f t="shared" si="32"/>
        <v>592.33333333333337</v>
      </c>
      <c r="CA42" s="182">
        <f>'1st_Semester'!BQ42</f>
        <v>3.4375</v>
      </c>
      <c r="CB42" s="182">
        <f>'2nd_Semester'!BQ42</f>
        <v>4.3125</v>
      </c>
      <c r="CC42" s="182">
        <f t="shared" si="33"/>
        <v>4.625</v>
      </c>
      <c r="CD42" s="182">
        <f t="shared" si="34"/>
        <v>4.125</v>
      </c>
    </row>
    <row r="43" spans="1:82" ht="27.95" customHeight="1">
      <c r="A43" s="71">
        <v>35</v>
      </c>
      <c r="B43" s="53">
        <v>86</v>
      </c>
      <c r="C43" s="51" t="s">
        <v>162</v>
      </c>
      <c r="D43" s="51" t="s">
        <v>163</v>
      </c>
      <c r="E43" s="51" t="s">
        <v>164</v>
      </c>
      <c r="F43" s="66" t="s">
        <v>400</v>
      </c>
      <c r="G43" s="78">
        <v>17</v>
      </c>
      <c r="H43" s="150">
        <v>29</v>
      </c>
      <c r="I43" s="151">
        <f t="shared" si="4"/>
        <v>46</v>
      </c>
      <c r="J43" s="150">
        <v>15</v>
      </c>
      <c r="K43" s="151">
        <f t="shared" si="35"/>
        <v>61</v>
      </c>
      <c r="L43" s="149">
        <v>9</v>
      </c>
      <c r="M43" s="150">
        <v>32</v>
      </c>
      <c r="N43" s="151">
        <f t="shared" si="36"/>
        <v>41</v>
      </c>
      <c r="O43" s="151">
        <f t="shared" si="5"/>
        <v>41</v>
      </c>
      <c r="P43" s="151">
        <f t="shared" si="37"/>
        <v>102</v>
      </c>
      <c r="Q43" s="215"/>
      <c r="R43" s="150">
        <f t="shared" si="6"/>
        <v>3.5</v>
      </c>
      <c r="S43" s="149">
        <v>17</v>
      </c>
      <c r="T43" s="150">
        <v>69</v>
      </c>
      <c r="U43" s="151">
        <f t="shared" si="7"/>
        <v>86</v>
      </c>
      <c r="V43" s="149">
        <v>9</v>
      </c>
      <c r="W43" s="150">
        <v>27</v>
      </c>
      <c r="X43" s="151">
        <f t="shared" si="8"/>
        <v>36</v>
      </c>
      <c r="Y43" s="151">
        <f t="shared" si="9"/>
        <v>122</v>
      </c>
      <c r="Z43" s="151">
        <f t="shared" si="1"/>
        <v>122</v>
      </c>
      <c r="AA43" s="215"/>
      <c r="AB43" s="150">
        <f t="shared" si="10"/>
        <v>5</v>
      </c>
      <c r="AC43" s="149">
        <v>19</v>
      </c>
      <c r="AD43" s="150">
        <v>30</v>
      </c>
      <c r="AE43" s="151">
        <f t="shared" si="11"/>
        <v>49</v>
      </c>
      <c r="AF43" s="150">
        <v>16</v>
      </c>
      <c r="AG43" s="151">
        <f t="shared" si="12"/>
        <v>65</v>
      </c>
      <c r="AH43" s="215"/>
      <c r="AI43" s="150">
        <f t="shared" si="13"/>
        <v>3.5</v>
      </c>
      <c r="AJ43" s="149">
        <v>20</v>
      </c>
      <c r="AK43" s="150">
        <v>37</v>
      </c>
      <c r="AL43" s="151">
        <f t="shared" si="14"/>
        <v>57</v>
      </c>
      <c r="AM43" s="150">
        <v>20</v>
      </c>
      <c r="AN43" s="151">
        <f t="shared" si="15"/>
        <v>77</v>
      </c>
      <c r="AO43" s="217"/>
      <c r="AP43" s="150">
        <f t="shared" si="16"/>
        <v>4</v>
      </c>
      <c r="AQ43" s="150">
        <v>21</v>
      </c>
      <c r="AR43" s="150">
        <v>25</v>
      </c>
      <c r="AS43" s="150">
        <f t="shared" si="17"/>
        <v>46</v>
      </c>
      <c r="AT43" s="218"/>
      <c r="AU43" s="150">
        <f t="shared" si="18"/>
        <v>5</v>
      </c>
      <c r="AV43" s="149">
        <v>19</v>
      </c>
      <c r="AW43" s="150">
        <v>36</v>
      </c>
      <c r="AX43" s="151">
        <f t="shared" si="19"/>
        <v>55</v>
      </c>
      <c r="AY43" s="150">
        <v>17</v>
      </c>
      <c r="AZ43" s="151">
        <f t="shared" si="20"/>
        <v>72</v>
      </c>
      <c r="BA43" s="217"/>
      <c r="BB43" s="150">
        <f t="shared" si="21"/>
        <v>4</v>
      </c>
      <c r="BC43" s="149">
        <v>19</v>
      </c>
      <c r="BD43" s="150">
        <v>39</v>
      </c>
      <c r="BE43" s="151">
        <f t="shared" si="22"/>
        <v>58</v>
      </c>
      <c r="BF43" s="150">
        <v>29</v>
      </c>
      <c r="BG43" s="151">
        <f t="shared" si="23"/>
        <v>87</v>
      </c>
      <c r="BH43" s="217"/>
      <c r="BI43" s="150">
        <f t="shared" si="24"/>
        <v>5</v>
      </c>
      <c r="BJ43" s="149">
        <v>9</v>
      </c>
      <c r="BK43" s="150">
        <v>38</v>
      </c>
      <c r="BL43" s="151">
        <f t="shared" si="25"/>
        <v>47</v>
      </c>
      <c r="BM43" s="151">
        <f t="shared" si="26"/>
        <v>47</v>
      </c>
      <c r="BN43" s="217"/>
      <c r="BO43" s="150">
        <f t="shared" si="38"/>
        <v>5</v>
      </c>
      <c r="BP43" s="150">
        <f t="shared" si="27"/>
        <v>35</v>
      </c>
      <c r="BQ43" s="152">
        <f t="shared" si="28"/>
        <v>4.375</v>
      </c>
      <c r="BR43" s="152" t="str">
        <f t="shared" si="29"/>
        <v>A</v>
      </c>
      <c r="BS43" s="153" t="str">
        <f t="shared" si="3"/>
        <v>BETTER</v>
      </c>
      <c r="BT43" s="154">
        <f t="shared" si="30"/>
        <v>618</v>
      </c>
      <c r="BU43" s="59"/>
      <c r="BV43" s="62"/>
      <c r="BW43" s="178">
        <f>'1st_Semester'!BT43</f>
        <v>231</v>
      </c>
      <c r="BX43" s="179">
        <f>'2nd_Semester'!BT43</f>
        <v>587</v>
      </c>
      <c r="BY43" s="179">
        <f t="shared" si="31"/>
        <v>618</v>
      </c>
      <c r="BZ43" s="179">
        <f t="shared" si="32"/>
        <v>478.66666666666669</v>
      </c>
      <c r="CA43" s="182" t="str">
        <f>'1st_Semester'!BQ43</f>
        <v>F</v>
      </c>
      <c r="CB43" s="182">
        <f>'2nd_Semester'!BQ43</f>
        <v>4.0625</v>
      </c>
      <c r="CC43" s="182">
        <f t="shared" si="33"/>
        <v>4.375</v>
      </c>
      <c r="CD43" s="182">
        <f t="shared" si="34"/>
        <v>4.21875</v>
      </c>
    </row>
    <row r="44" spans="1:82" ht="27.95" customHeight="1">
      <c r="A44" s="71">
        <v>36</v>
      </c>
      <c r="B44" s="53">
        <v>90</v>
      </c>
      <c r="C44" s="51" t="s">
        <v>165</v>
      </c>
      <c r="D44" s="51" t="s">
        <v>166</v>
      </c>
      <c r="E44" s="51" t="s">
        <v>167</v>
      </c>
      <c r="F44" s="66" t="s">
        <v>405</v>
      </c>
      <c r="G44" s="78">
        <v>20</v>
      </c>
      <c r="H44" s="150">
        <v>41</v>
      </c>
      <c r="I44" s="151">
        <f t="shared" si="4"/>
        <v>61</v>
      </c>
      <c r="J44" s="150">
        <v>17</v>
      </c>
      <c r="K44" s="151">
        <f t="shared" si="35"/>
        <v>78</v>
      </c>
      <c r="L44" s="149">
        <v>10</v>
      </c>
      <c r="M44" s="150">
        <v>36</v>
      </c>
      <c r="N44" s="151">
        <f t="shared" si="36"/>
        <v>46</v>
      </c>
      <c r="O44" s="151">
        <f t="shared" si="5"/>
        <v>46</v>
      </c>
      <c r="P44" s="151">
        <f t="shared" si="37"/>
        <v>124</v>
      </c>
      <c r="Q44" s="215"/>
      <c r="R44" s="150">
        <f t="shared" si="6"/>
        <v>5</v>
      </c>
      <c r="S44" s="149">
        <v>19</v>
      </c>
      <c r="T44" s="150">
        <v>69</v>
      </c>
      <c r="U44" s="151">
        <f t="shared" si="7"/>
        <v>88</v>
      </c>
      <c r="V44" s="149">
        <v>7</v>
      </c>
      <c r="W44" s="150">
        <v>38</v>
      </c>
      <c r="X44" s="151">
        <f t="shared" si="8"/>
        <v>45</v>
      </c>
      <c r="Y44" s="151">
        <f t="shared" si="9"/>
        <v>133</v>
      </c>
      <c r="Z44" s="151">
        <f t="shared" si="1"/>
        <v>133</v>
      </c>
      <c r="AA44" s="215"/>
      <c r="AB44" s="150">
        <f t="shared" si="10"/>
        <v>5</v>
      </c>
      <c r="AC44" s="149">
        <v>19</v>
      </c>
      <c r="AD44" s="150">
        <v>48</v>
      </c>
      <c r="AE44" s="151">
        <f t="shared" si="11"/>
        <v>67</v>
      </c>
      <c r="AF44" s="150">
        <v>25</v>
      </c>
      <c r="AG44" s="151">
        <f t="shared" si="12"/>
        <v>92</v>
      </c>
      <c r="AH44" s="215"/>
      <c r="AI44" s="150">
        <f t="shared" si="13"/>
        <v>5</v>
      </c>
      <c r="AJ44" s="149">
        <v>20</v>
      </c>
      <c r="AK44" s="150">
        <v>47</v>
      </c>
      <c r="AL44" s="151">
        <f t="shared" si="14"/>
        <v>67</v>
      </c>
      <c r="AM44" s="150">
        <v>26</v>
      </c>
      <c r="AN44" s="151">
        <f t="shared" si="15"/>
        <v>93</v>
      </c>
      <c r="AO44" s="217"/>
      <c r="AP44" s="150">
        <f t="shared" si="16"/>
        <v>5</v>
      </c>
      <c r="AQ44" s="150">
        <v>25</v>
      </c>
      <c r="AR44" s="150">
        <v>25</v>
      </c>
      <c r="AS44" s="150">
        <f t="shared" si="17"/>
        <v>50</v>
      </c>
      <c r="AT44" s="218"/>
      <c r="AU44" s="150">
        <f t="shared" si="18"/>
        <v>5</v>
      </c>
      <c r="AV44" s="149">
        <v>20</v>
      </c>
      <c r="AW44" s="150">
        <v>46</v>
      </c>
      <c r="AX44" s="151">
        <f t="shared" si="19"/>
        <v>66</v>
      </c>
      <c r="AY44" s="150">
        <v>23</v>
      </c>
      <c r="AZ44" s="151">
        <f t="shared" si="20"/>
        <v>89</v>
      </c>
      <c r="BA44" s="217"/>
      <c r="BB44" s="150">
        <f t="shared" si="21"/>
        <v>5</v>
      </c>
      <c r="BC44" s="149">
        <v>20</v>
      </c>
      <c r="BD44" s="150">
        <v>41</v>
      </c>
      <c r="BE44" s="151">
        <f t="shared" si="22"/>
        <v>61</v>
      </c>
      <c r="BF44" s="150">
        <v>25</v>
      </c>
      <c r="BG44" s="151">
        <f t="shared" si="23"/>
        <v>86</v>
      </c>
      <c r="BH44" s="217"/>
      <c r="BI44" s="150">
        <f t="shared" si="24"/>
        <v>5</v>
      </c>
      <c r="BJ44" s="149">
        <v>10</v>
      </c>
      <c r="BK44" s="150">
        <v>40</v>
      </c>
      <c r="BL44" s="151">
        <f t="shared" si="25"/>
        <v>50</v>
      </c>
      <c r="BM44" s="151">
        <f t="shared" si="26"/>
        <v>50</v>
      </c>
      <c r="BN44" s="217"/>
      <c r="BO44" s="150">
        <f t="shared" si="38"/>
        <v>5</v>
      </c>
      <c r="BP44" s="150">
        <f t="shared" si="27"/>
        <v>40</v>
      </c>
      <c r="BQ44" s="152">
        <f t="shared" si="28"/>
        <v>5</v>
      </c>
      <c r="BR44" s="152" t="str">
        <f t="shared" si="29"/>
        <v>A+</v>
      </c>
      <c r="BS44" s="153" t="str">
        <f t="shared" si="3"/>
        <v>BEST</v>
      </c>
      <c r="BT44" s="154">
        <f t="shared" si="30"/>
        <v>717</v>
      </c>
      <c r="BU44" s="59"/>
      <c r="BV44" s="62"/>
      <c r="BW44" s="178">
        <f>'1st_Semester'!BT44</f>
        <v>413</v>
      </c>
      <c r="BX44" s="179">
        <f>'2nd_Semester'!BT44</f>
        <v>709</v>
      </c>
      <c r="BY44" s="179">
        <f t="shared" si="31"/>
        <v>717</v>
      </c>
      <c r="BZ44" s="179">
        <f t="shared" si="32"/>
        <v>613</v>
      </c>
      <c r="CA44" s="182">
        <f>'1st_Semester'!BQ44</f>
        <v>2.8125</v>
      </c>
      <c r="CB44" s="182">
        <f>'2nd_Semester'!BQ44</f>
        <v>4.875</v>
      </c>
      <c r="CC44" s="182">
        <f t="shared" si="33"/>
        <v>5</v>
      </c>
      <c r="CD44" s="182">
        <f t="shared" si="34"/>
        <v>4.229166666666667</v>
      </c>
    </row>
    <row r="45" spans="1:82" ht="27.95" customHeight="1">
      <c r="A45" s="71">
        <v>37</v>
      </c>
      <c r="B45" s="53">
        <v>93</v>
      </c>
      <c r="C45" s="51" t="s">
        <v>168</v>
      </c>
      <c r="D45" s="51" t="s">
        <v>169</v>
      </c>
      <c r="E45" s="51" t="s">
        <v>170</v>
      </c>
      <c r="F45" s="66" t="s">
        <v>294</v>
      </c>
      <c r="G45" s="78">
        <v>20</v>
      </c>
      <c r="H45" s="150">
        <v>37</v>
      </c>
      <c r="I45" s="151">
        <f t="shared" si="4"/>
        <v>57</v>
      </c>
      <c r="J45" s="150">
        <v>22</v>
      </c>
      <c r="K45" s="151">
        <f t="shared" si="35"/>
        <v>79</v>
      </c>
      <c r="L45" s="149">
        <v>10</v>
      </c>
      <c r="M45" s="150">
        <v>33</v>
      </c>
      <c r="N45" s="151">
        <f t="shared" si="36"/>
        <v>43</v>
      </c>
      <c r="O45" s="151">
        <f t="shared" si="5"/>
        <v>43</v>
      </c>
      <c r="P45" s="151">
        <f t="shared" si="37"/>
        <v>122</v>
      </c>
      <c r="Q45" s="215"/>
      <c r="R45" s="150">
        <f t="shared" si="6"/>
        <v>5</v>
      </c>
      <c r="S45" s="149">
        <v>17</v>
      </c>
      <c r="T45" s="150">
        <v>68</v>
      </c>
      <c r="U45" s="151">
        <f t="shared" si="7"/>
        <v>85</v>
      </c>
      <c r="V45" s="149">
        <v>9</v>
      </c>
      <c r="W45" s="150">
        <v>34</v>
      </c>
      <c r="X45" s="151">
        <f t="shared" si="8"/>
        <v>43</v>
      </c>
      <c r="Y45" s="151">
        <f t="shared" si="9"/>
        <v>128</v>
      </c>
      <c r="Z45" s="151">
        <f t="shared" si="1"/>
        <v>128</v>
      </c>
      <c r="AA45" s="215"/>
      <c r="AB45" s="150">
        <f t="shared" si="10"/>
        <v>5</v>
      </c>
      <c r="AC45" s="149">
        <v>19</v>
      </c>
      <c r="AD45" s="150">
        <v>34</v>
      </c>
      <c r="AE45" s="151">
        <f t="shared" si="11"/>
        <v>53</v>
      </c>
      <c r="AF45" s="150">
        <v>27</v>
      </c>
      <c r="AG45" s="151">
        <f t="shared" si="12"/>
        <v>80</v>
      </c>
      <c r="AH45" s="215"/>
      <c r="AI45" s="150">
        <f t="shared" si="13"/>
        <v>5</v>
      </c>
      <c r="AJ45" s="149">
        <v>17</v>
      </c>
      <c r="AK45" s="150">
        <v>36</v>
      </c>
      <c r="AL45" s="151">
        <f t="shared" si="14"/>
        <v>53</v>
      </c>
      <c r="AM45" s="150">
        <v>22</v>
      </c>
      <c r="AN45" s="151">
        <f t="shared" si="15"/>
        <v>75</v>
      </c>
      <c r="AO45" s="217"/>
      <c r="AP45" s="150">
        <f t="shared" si="16"/>
        <v>4</v>
      </c>
      <c r="AQ45" s="150">
        <v>21</v>
      </c>
      <c r="AR45" s="150">
        <v>25</v>
      </c>
      <c r="AS45" s="150">
        <f t="shared" si="17"/>
        <v>46</v>
      </c>
      <c r="AT45" s="218"/>
      <c r="AU45" s="150">
        <f t="shared" si="18"/>
        <v>5</v>
      </c>
      <c r="AV45" s="149">
        <v>20</v>
      </c>
      <c r="AW45" s="150">
        <v>29</v>
      </c>
      <c r="AX45" s="151">
        <f t="shared" si="19"/>
        <v>49</v>
      </c>
      <c r="AY45" s="150">
        <v>20</v>
      </c>
      <c r="AZ45" s="151">
        <f t="shared" si="20"/>
        <v>69</v>
      </c>
      <c r="BA45" s="217"/>
      <c r="BB45" s="150">
        <f t="shared" si="21"/>
        <v>3.5</v>
      </c>
      <c r="BC45" s="149">
        <v>13</v>
      </c>
      <c r="BD45" s="150">
        <v>37</v>
      </c>
      <c r="BE45" s="151">
        <f t="shared" si="22"/>
        <v>50</v>
      </c>
      <c r="BF45" s="150">
        <v>28</v>
      </c>
      <c r="BG45" s="151">
        <f t="shared" si="23"/>
        <v>78</v>
      </c>
      <c r="BH45" s="217"/>
      <c r="BI45" s="150">
        <f t="shared" si="24"/>
        <v>4</v>
      </c>
      <c r="BJ45" s="149">
        <v>9</v>
      </c>
      <c r="BK45" s="150">
        <v>38</v>
      </c>
      <c r="BL45" s="151">
        <f t="shared" si="25"/>
        <v>47</v>
      </c>
      <c r="BM45" s="151">
        <f t="shared" si="26"/>
        <v>47</v>
      </c>
      <c r="BN45" s="217"/>
      <c r="BO45" s="150">
        <f t="shared" si="38"/>
        <v>5</v>
      </c>
      <c r="BP45" s="150">
        <f t="shared" si="27"/>
        <v>36.5</v>
      </c>
      <c r="BQ45" s="152">
        <f t="shared" si="28"/>
        <v>4.5625</v>
      </c>
      <c r="BR45" s="152" t="str">
        <f t="shared" si="29"/>
        <v>A</v>
      </c>
      <c r="BS45" s="153" t="str">
        <f t="shared" si="3"/>
        <v>BETTER</v>
      </c>
      <c r="BT45" s="154">
        <f t="shared" si="30"/>
        <v>645</v>
      </c>
      <c r="BU45" s="59"/>
      <c r="BV45" s="62"/>
      <c r="BW45" s="178">
        <f>'1st_Semester'!BT45</f>
        <v>291</v>
      </c>
      <c r="BX45" s="179">
        <f>'2nd_Semester'!BT45</f>
        <v>588</v>
      </c>
      <c r="BY45" s="179">
        <f t="shared" si="31"/>
        <v>645</v>
      </c>
      <c r="BZ45" s="179">
        <f t="shared" si="32"/>
        <v>508</v>
      </c>
      <c r="CA45" s="182" t="str">
        <f>'1st_Semester'!BQ45</f>
        <v>F</v>
      </c>
      <c r="CB45" s="182">
        <f>'2nd_Semester'!BQ45</f>
        <v>4</v>
      </c>
      <c r="CC45" s="182">
        <f t="shared" si="33"/>
        <v>4.5625</v>
      </c>
      <c r="CD45" s="182">
        <f t="shared" si="34"/>
        <v>4.28125</v>
      </c>
    </row>
    <row r="46" spans="1:82" ht="27.95" customHeight="1">
      <c r="A46" s="71">
        <v>38</v>
      </c>
      <c r="B46" s="53">
        <v>96</v>
      </c>
      <c r="C46" s="51" t="s">
        <v>171</v>
      </c>
      <c r="D46" s="51" t="s">
        <v>172</v>
      </c>
      <c r="E46" s="51" t="s">
        <v>173</v>
      </c>
      <c r="F46" s="66" t="s">
        <v>411</v>
      </c>
      <c r="G46" s="78">
        <v>0</v>
      </c>
      <c r="H46" s="150">
        <v>0</v>
      </c>
      <c r="I46" s="151">
        <f t="shared" si="4"/>
        <v>0</v>
      </c>
      <c r="J46" s="150">
        <v>0</v>
      </c>
      <c r="K46" s="151">
        <f t="shared" si="35"/>
        <v>0</v>
      </c>
      <c r="L46" s="149">
        <v>0</v>
      </c>
      <c r="M46" s="150">
        <v>0</v>
      </c>
      <c r="N46" s="151">
        <f t="shared" si="36"/>
        <v>0</v>
      </c>
      <c r="O46" s="151">
        <f t="shared" si="5"/>
        <v>0</v>
      </c>
      <c r="P46" s="151">
        <f t="shared" si="37"/>
        <v>0</v>
      </c>
      <c r="Q46" s="215"/>
      <c r="R46" s="150" t="str">
        <f t="shared" si="6"/>
        <v>F</v>
      </c>
      <c r="S46" s="149">
        <v>0</v>
      </c>
      <c r="T46" s="150">
        <v>0</v>
      </c>
      <c r="U46" s="151">
        <f t="shared" si="7"/>
        <v>0</v>
      </c>
      <c r="V46" s="149">
        <v>0</v>
      </c>
      <c r="W46" s="150">
        <v>0</v>
      </c>
      <c r="X46" s="151">
        <f t="shared" si="8"/>
        <v>0</v>
      </c>
      <c r="Y46" s="151">
        <f t="shared" si="9"/>
        <v>0</v>
      </c>
      <c r="Z46" s="151">
        <f t="shared" si="1"/>
        <v>0</v>
      </c>
      <c r="AA46" s="215"/>
      <c r="AB46" s="150">
        <f t="shared" si="10"/>
        <v>0</v>
      </c>
      <c r="AC46" s="149">
        <v>0</v>
      </c>
      <c r="AD46" s="150">
        <v>0</v>
      </c>
      <c r="AE46" s="151">
        <f t="shared" si="11"/>
        <v>0</v>
      </c>
      <c r="AF46" s="150">
        <v>0</v>
      </c>
      <c r="AG46" s="151">
        <f t="shared" si="12"/>
        <v>0</v>
      </c>
      <c r="AH46" s="215"/>
      <c r="AI46" s="150" t="str">
        <f t="shared" si="13"/>
        <v>F</v>
      </c>
      <c r="AJ46" s="149">
        <v>0</v>
      </c>
      <c r="AK46" s="150">
        <v>0</v>
      </c>
      <c r="AL46" s="151">
        <f t="shared" si="14"/>
        <v>0</v>
      </c>
      <c r="AM46" s="150">
        <v>0</v>
      </c>
      <c r="AN46" s="151">
        <f t="shared" si="15"/>
        <v>0</v>
      </c>
      <c r="AO46" s="217"/>
      <c r="AP46" s="150" t="str">
        <f t="shared" si="16"/>
        <v>F</v>
      </c>
      <c r="AQ46" s="150">
        <v>0</v>
      </c>
      <c r="AR46" s="150">
        <v>25</v>
      </c>
      <c r="AS46" s="150">
        <f t="shared" si="17"/>
        <v>25</v>
      </c>
      <c r="AT46" s="218"/>
      <c r="AU46" s="150">
        <f t="shared" si="18"/>
        <v>3</v>
      </c>
      <c r="AV46" s="149">
        <v>0</v>
      </c>
      <c r="AW46" s="150">
        <v>0</v>
      </c>
      <c r="AX46" s="151">
        <f t="shared" si="19"/>
        <v>0</v>
      </c>
      <c r="AY46" s="150">
        <v>0</v>
      </c>
      <c r="AZ46" s="151">
        <f t="shared" si="20"/>
        <v>0</v>
      </c>
      <c r="BA46" s="217"/>
      <c r="BB46" s="150" t="str">
        <f t="shared" si="21"/>
        <v>F</v>
      </c>
      <c r="BC46" s="149">
        <v>0</v>
      </c>
      <c r="BD46" s="150">
        <v>0</v>
      </c>
      <c r="BE46" s="151">
        <f t="shared" si="22"/>
        <v>0</v>
      </c>
      <c r="BF46" s="150">
        <v>0</v>
      </c>
      <c r="BG46" s="151">
        <f t="shared" si="23"/>
        <v>0</v>
      </c>
      <c r="BH46" s="217"/>
      <c r="BI46" s="150" t="str">
        <f t="shared" si="24"/>
        <v>F</v>
      </c>
      <c r="BJ46" s="149">
        <v>0</v>
      </c>
      <c r="BK46" s="150">
        <v>0</v>
      </c>
      <c r="BL46" s="151">
        <f t="shared" si="25"/>
        <v>0</v>
      </c>
      <c r="BM46" s="151">
        <f t="shared" si="26"/>
        <v>0</v>
      </c>
      <c r="BN46" s="217"/>
      <c r="BO46" s="150" t="str">
        <f t="shared" si="38"/>
        <v>F</v>
      </c>
      <c r="BP46" s="150" t="str">
        <f t="shared" si="27"/>
        <v>F</v>
      </c>
      <c r="BQ46" s="152" t="str">
        <f t="shared" si="28"/>
        <v>F</v>
      </c>
      <c r="BR46" s="152" t="str">
        <f t="shared" si="29"/>
        <v>F</v>
      </c>
      <c r="BS46" s="153" t="str">
        <f t="shared" si="3"/>
        <v>NEED TO PROGRESS</v>
      </c>
      <c r="BT46" s="154">
        <f t="shared" si="30"/>
        <v>25</v>
      </c>
      <c r="BU46" s="59"/>
      <c r="BV46" s="62"/>
      <c r="BW46" s="178">
        <f>'1st_Semester'!BT46</f>
        <v>468</v>
      </c>
      <c r="BX46" s="179">
        <f>'2nd_Semester'!BT46</f>
        <v>521</v>
      </c>
      <c r="BY46" s="179">
        <f t="shared" si="31"/>
        <v>25</v>
      </c>
      <c r="BZ46" s="179">
        <f t="shared" si="32"/>
        <v>338</v>
      </c>
      <c r="CA46" s="182">
        <f>'1st_Semester'!BQ46</f>
        <v>3.375</v>
      </c>
      <c r="CB46" s="182">
        <f>'2nd_Semester'!BQ46</f>
        <v>3.75</v>
      </c>
      <c r="CC46" s="182" t="str">
        <f t="shared" si="33"/>
        <v>F</v>
      </c>
      <c r="CD46" s="182">
        <f t="shared" si="34"/>
        <v>3.5625</v>
      </c>
    </row>
    <row r="47" spans="1:82" ht="27.95" customHeight="1">
      <c r="A47" s="71">
        <v>39</v>
      </c>
      <c r="B47" s="53">
        <v>100</v>
      </c>
      <c r="C47" s="51" t="s">
        <v>174</v>
      </c>
      <c r="D47" s="51" t="s">
        <v>175</v>
      </c>
      <c r="E47" s="51" t="s">
        <v>176</v>
      </c>
      <c r="F47" s="66" t="s">
        <v>416</v>
      </c>
      <c r="G47" s="78">
        <v>5</v>
      </c>
      <c r="H47" s="150">
        <v>39</v>
      </c>
      <c r="I47" s="151">
        <f t="shared" si="4"/>
        <v>44</v>
      </c>
      <c r="J47" s="150">
        <v>25</v>
      </c>
      <c r="K47" s="151">
        <f t="shared" si="35"/>
        <v>69</v>
      </c>
      <c r="L47" s="149">
        <v>5</v>
      </c>
      <c r="M47" s="150">
        <v>34</v>
      </c>
      <c r="N47" s="151">
        <f t="shared" si="36"/>
        <v>39</v>
      </c>
      <c r="O47" s="151">
        <f t="shared" si="5"/>
        <v>39</v>
      </c>
      <c r="P47" s="151">
        <f t="shared" si="37"/>
        <v>108</v>
      </c>
      <c r="Q47" s="215"/>
      <c r="R47" s="150">
        <f t="shared" si="6"/>
        <v>4</v>
      </c>
      <c r="S47" s="149">
        <v>5</v>
      </c>
      <c r="T47" s="150">
        <v>72</v>
      </c>
      <c r="U47" s="151">
        <f t="shared" si="7"/>
        <v>77</v>
      </c>
      <c r="V47" s="149">
        <v>3</v>
      </c>
      <c r="W47" s="150">
        <v>38</v>
      </c>
      <c r="X47" s="151">
        <f t="shared" si="8"/>
        <v>41</v>
      </c>
      <c r="Y47" s="151">
        <f t="shared" si="9"/>
        <v>118</v>
      </c>
      <c r="Z47" s="151">
        <f t="shared" si="1"/>
        <v>118</v>
      </c>
      <c r="AA47" s="215"/>
      <c r="AB47" s="150">
        <f t="shared" si="10"/>
        <v>4</v>
      </c>
      <c r="AC47" s="149">
        <v>19</v>
      </c>
      <c r="AD47" s="150">
        <v>38</v>
      </c>
      <c r="AE47" s="151">
        <f t="shared" si="11"/>
        <v>57</v>
      </c>
      <c r="AF47" s="150">
        <v>23</v>
      </c>
      <c r="AG47" s="151">
        <f t="shared" si="12"/>
        <v>80</v>
      </c>
      <c r="AH47" s="215"/>
      <c r="AI47" s="150">
        <f t="shared" si="13"/>
        <v>5</v>
      </c>
      <c r="AJ47" s="149">
        <v>5</v>
      </c>
      <c r="AK47" s="150">
        <v>44</v>
      </c>
      <c r="AL47" s="151">
        <f t="shared" si="14"/>
        <v>49</v>
      </c>
      <c r="AM47" s="150">
        <v>24</v>
      </c>
      <c r="AN47" s="151">
        <f t="shared" si="15"/>
        <v>73</v>
      </c>
      <c r="AO47" s="217"/>
      <c r="AP47" s="150">
        <f t="shared" si="16"/>
        <v>4</v>
      </c>
      <c r="AQ47" s="150">
        <v>23</v>
      </c>
      <c r="AR47" s="150">
        <v>25</v>
      </c>
      <c r="AS47" s="150">
        <f t="shared" si="17"/>
        <v>48</v>
      </c>
      <c r="AT47" s="218"/>
      <c r="AU47" s="150">
        <f t="shared" si="18"/>
        <v>5</v>
      </c>
      <c r="AV47" s="149">
        <v>5</v>
      </c>
      <c r="AW47" s="150">
        <v>45</v>
      </c>
      <c r="AX47" s="151">
        <f t="shared" si="19"/>
        <v>50</v>
      </c>
      <c r="AY47" s="150">
        <v>23</v>
      </c>
      <c r="AZ47" s="151">
        <f t="shared" si="20"/>
        <v>73</v>
      </c>
      <c r="BA47" s="217"/>
      <c r="BB47" s="150">
        <f t="shared" si="21"/>
        <v>4</v>
      </c>
      <c r="BC47" s="149">
        <v>5</v>
      </c>
      <c r="BD47" s="150">
        <v>43</v>
      </c>
      <c r="BE47" s="151">
        <f t="shared" si="22"/>
        <v>48</v>
      </c>
      <c r="BF47" s="150">
        <v>27</v>
      </c>
      <c r="BG47" s="151">
        <f t="shared" si="23"/>
        <v>75</v>
      </c>
      <c r="BH47" s="217"/>
      <c r="BI47" s="150">
        <f t="shared" si="24"/>
        <v>4</v>
      </c>
      <c r="BJ47" s="149">
        <v>3</v>
      </c>
      <c r="BK47" s="150">
        <v>40</v>
      </c>
      <c r="BL47" s="151">
        <f t="shared" si="25"/>
        <v>43</v>
      </c>
      <c r="BM47" s="151">
        <f t="shared" si="26"/>
        <v>43</v>
      </c>
      <c r="BN47" s="217"/>
      <c r="BO47" s="150">
        <f t="shared" si="38"/>
        <v>5</v>
      </c>
      <c r="BP47" s="150">
        <f t="shared" si="27"/>
        <v>35</v>
      </c>
      <c r="BQ47" s="152">
        <f t="shared" si="28"/>
        <v>4.375</v>
      </c>
      <c r="BR47" s="152" t="str">
        <f t="shared" si="29"/>
        <v>A</v>
      </c>
      <c r="BS47" s="153" t="str">
        <f t="shared" si="3"/>
        <v>BETTER</v>
      </c>
      <c r="BT47" s="154">
        <f t="shared" si="30"/>
        <v>618</v>
      </c>
      <c r="BU47" s="59"/>
      <c r="BV47" s="62"/>
      <c r="BW47" s="178">
        <f>'1st_Semester'!BT47</f>
        <v>452</v>
      </c>
      <c r="BX47" s="179">
        <f>'2nd_Semester'!BT47</f>
        <v>652</v>
      </c>
      <c r="BY47" s="179">
        <f t="shared" si="31"/>
        <v>618</v>
      </c>
      <c r="BZ47" s="179">
        <f t="shared" si="32"/>
        <v>574</v>
      </c>
      <c r="CA47" s="182">
        <f>'1st_Semester'!BQ47</f>
        <v>3.3125</v>
      </c>
      <c r="CB47" s="182">
        <f>'2nd_Semester'!BQ47</f>
        <v>4.6875</v>
      </c>
      <c r="CC47" s="182">
        <f t="shared" si="33"/>
        <v>4.375</v>
      </c>
      <c r="CD47" s="182">
        <f t="shared" si="34"/>
        <v>4.125</v>
      </c>
    </row>
    <row r="48" spans="1:82" ht="27.95" customHeight="1">
      <c r="A48" s="71">
        <v>40</v>
      </c>
      <c r="B48" s="53">
        <v>102</v>
      </c>
      <c r="C48" s="51" t="s">
        <v>177</v>
      </c>
      <c r="D48" s="51" t="s">
        <v>178</v>
      </c>
      <c r="E48" s="51" t="s">
        <v>179</v>
      </c>
      <c r="F48" s="66" t="s">
        <v>417</v>
      </c>
      <c r="G48" s="78">
        <v>20</v>
      </c>
      <c r="H48" s="150">
        <v>37</v>
      </c>
      <c r="I48" s="151">
        <f t="shared" si="4"/>
        <v>57</v>
      </c>
      <c r="J48" s="150">
        <v>26</v>
      </c>
      <c r="K48" s="151">
        <f t="shared" si="35"/>
        <v>83</v>
      </c>
      <c r="L48" s="149">
        <v>20</v>
      </c>
      <c r="M48" s="150">
        <v>36</v>
      </c>
      <c r="N48" s="151">
        <f t="shared" si="36"/>
        <v>56</v>
      </c>
      <c r="O48" s="151">
        <f t="shared" si="5"/>
        <v>56</v>
      </c>
      <c r="P48" s="151">
        <f t="shared" si="37"/>
        <v>139</v>
      </c>
      <c r="Q48" s="215"/>
      <c r="R48" s="150">
        <f t="shared" si="6"/>
        <v>5</v>
      </c>
      <c r="S48" s="149">
        <v>17</v>
      </c>
      <c r="T48" s="150">
        <v>72</v>
      </c>
      <c r="U48" s="151">
        <f t="shared" si="7"/>
        <v>89</v>
      </c>
      <c r="V48" s="149">
        <v>9</v>
      </c>
      <c r="W48" s="150">
        <v>36</v>
      </c>
      <c r="X48" s="151">
        <f t="shared" si="8"/>
        <v>45</v>
      </c>
      <c r="Y48" s="151">
        <f t="shared" si="9"/>
        <v>134</v>
      </c>
      <c r="Z48" s="151">
        <f t="shared" si="1"/>
        <v>134</v>
      </c>
      <c r="AA48" s="215"/>
      <c r="AB48" s="150">
        <f t="shared" si="10"/>
        <v>5</v>
      </c>
      <c r="AC48" s="149">
        <v>17</v>
      </c>
      <c r="AD48" s="150">
        <v>43</v>
      </c>
      <c r="AE48" s="151">
        <f t="shared" si="11"/>
        <v>60</v>
      </c>
      <c r="AF48" s="150">
        <v>21</v>
      </c>
      <c r="AG48" s="151">
        <f t="shared" si="12"/>
        <v>81</v>
      </c>
      <c r="AH48" s="215"/>
      <c r="AI48" s="150">
        <f t="shared" si="13"/>
        <v>5</v>
      </c>
      <c r="AJ48" s="149">
        <v>20</v>
      </c>
      <c r="AK48" s="150">
        <v>46</v>
      </c>
      <c r="AL48" s="151">
        <f t="shared" si="14"/>
        <v>66</v>
      </c>
      <c r="AM48" s="150">
        <v>28</v>
      </c>
      <c r="AN48" s="151">
        <f t="shared" si="15"/>
        <v>94</v>
      </c>
      <c r="AO48" s="217"/>
      <c r="AP48" s="150">
        <f t="shared" si="16"/>
        <v>5</v>
      </c>
      <c r="AQ48" s="150">
        <v>23</v>
      </c>
      <c r="AR48" s="150">
        <v>25</v>
      </c>
      <c r="AS48" s="150">
        <f t="shared" si="17"/>
        <v>48</v>
      </c>
      <c r="AT48" s="218"/>
      <c r="AU48" s="150">
        <f t="shared" si="18"/>
        <v>5</v>
      </c>
      <c r="AV48" s="149">
        <v>20</v>
      </c>
      <c r="AW48" s="150">
        <v>42</v>
      </c>
      <c r="AX48" s="151">
        <f t="shared" si="19"/>
        <v>62</v>
      </c>
      <c r="AY48" s="150">
        <v>25</v>
      </c>
      <c r="AZ48" s="151">
        <f t="shared" si="20"/>
        <v>87</v>
      </c>
      <c r="BA48" s="217"/>
      <c r="BB48" s="150">
        <f t="shared" si="21"/>
        <v>5</v>
      </c>
      <c r="BC48" s="149">
        <v>20</v>
      </c>
      <c r="BD48" s="150">
        <v>41</v>
      </c>
      <c r="BE48" s="151">
        <f t="shared" si="22"/>
        <v>61</v>
      </c>
      <c r="BF48" s="150">
        <v>28</v>
      </c>
      <c r="BG48" s="151">
        <f t="shared" si="23"/>
        <v>89</v>
      </c>
      <c r="BH48" s="217"/>
      <c r="BI48" s="150">
        <f t="shared" si="24"/>
        <v>5</v>
      </c>
      <c r="BJ48" s="149">
        <v>9</v>
      </c>
      <c r="BK48" s="150">
        <v>38</v>
      </c>
      <c r="BL48" s="151">
        <f t="shared" si="25"/>
        <v>47</v>
      </c>
      <c r="BM48" s="151">
        <f t="shared" si="26"/>
        <v>47</v>
      </c>
      <c r="BN48" s="217"/>
      <c r="BO48" s="150">
        <f t="shared" si="38"/>
        <v>5</v>
      </c>
      <c r="BP48" s="150">
        <f t="shared" si="27"/>
        <v>40</v>
      </c>
      <c r="BQ48" s="152">
        <f t="shared" si="28"/>
        <v>5</v>
      </c>
      <c r="BR48" s="152" t="str">
        <f t="shared" si="29"/>
        <v>A+</v>
      </c>
      <c r="BS48" s="153" t="str">
        <f t="shared" si="3"/>
        <v>BEST</v>
      </c>
      <c r="BT48" s="154">
        <f t="shared" si="30"/>
        <v>719</v>
      </c>
      <c r="BU48" s="59"/>
      <c r="BV48" s="62"/>
      <c r="BW48" s="178">
        <f>'1st_Semester'!BT48</f>
        <v>384</v>
      </c>
      <c r="BX48" s="179">
        <f>'2nd_Semester'!BT48</f>
        <v>704</v>
      </c>
      <c r="BY48" s="179">
        <f t="shared" si="31"/>
        <v>719</v>
      </c>
      <c r="BZ48" s="179">
        <f t="shared" si="32"/>
        <v>602.33333333333337</v>
      </c>
      <c r="CA48" s="182" t="str">
        <f>'1st_Semester'!BQ48</f>
        <v>F</v>
      </c>
      <c r="CB48" s="182">
        <f>'2nd_Semester'!BQ48</f>
        <v>4.75</v>
      </c>
      <c r="CC48" s="182">
        <f t="shared" si="33"/>
        <v>5</v>
      </c>
      <c r="CD48" s="182">
        <f t="shared" si="34"/>
        <v>4.875</v>
      </c>
    </row>
    <row r="49" spans="1:82" ht="27.95" customHeight="1">
      <c r="A49" s="71">
        <v>41</v>
      </c>
      <c r="B49" s="53">
        <v>103</v>
      </c>
      <c r="C49" s="51" t="s">
        <v>180</v>
      </c>
      <c r="D49" s="51" t="s">
        <v>181</v>
      </c>
      <c r="E49" s="51" t="s">
        <v>182</v>
      </c>
      <c r="F49" s="66" t="s">
        <v>307</v>
      </c>
      <c r="G49" s="78">
        <v>20</v>
      </c>
      <c r="H49" s="150">
        <v>24</v>
      </c>
      <c r="I49" s="151">
        <f t="shared" si="4"/>
        <v>44</v>
      </c>
      <c r="J49" s="150">
        <v>26</v>
      </c>
      <c r="K49" s="151">
        <f t="shared" si="35"/>
        <v>70</v>
      </c>
      <c r="L49" s="149">
        <v>10</v>
      </c>
      <c r="M49" s="150">
        <v>34</v>
      </c>
      <c r="N49" s="151">
        <f t="shared" si="36"/>
        <v>44</v>
      </c>
      <c r="O49" s="151">
        <f t="shared" si="5"/>
        <v>44</v>
      </c>
      <c r="P49" s="151">
        <f t="shared" si="37"/>
        <v>114</v>
      </c>
      <c r="Q49" s="215"/>
      <c r="R49" s="150">
        <f t="shared" si="6"/>
        <v>4</v>
      </c>
      <c r="S49" s="149">
        <v>16</v>
      </c>
      <c r="T49" s="150">
        <v>54</v>
      </c>
      <c r="U49" s="151">
        <f t="shared" si="7"/>
        <v>70</v>
      </c>
      <c r="V49" s="149">
        <v>7</v>
      </c>
      <c r="W49" s="150">
        <v>31</v>
      </c>
      <c r="X49" s="151">
        <f t="shared" si="8"/>
        <v>38</v>
      </c>
      <c r="Y49" s="151">
        <f t="shared" si="9"/>
        <v>108</v>
      </c>
      <c r="Z49" s="151">
        <f t="shared" si="1"/>
        <v>108</v>
      </c>
      <c r="AA49" s="215"/>
      <c r="AB49" s="150">
        <f t="shared" si="10"/>
        <v>4</v>
      </c>
      <c r="AC49" s="149">
        <v>15</v>
      </c>
      <c r="AD49" s="150">
        <v>18</v>
      </c>
      <c r="AE49" s="151">
        <f t="shared" si="11"/>
        <v>33</v>
      </c>
      <c r="AF49" s="150">
        <v>16</v>
      </c>
      <c r="AG49" s="151">
        <f t="shared" si="12"/>
        <v>49</v>
      </c>
      <c r="AH49" s="215"/>
      <c r="AI49" s="150">
        <f t="shared" si="13"/>
        <v>2</v>
      </c>
      <c r="AJ49" s="149">
        <v>19</v>
      </c>
      <c r="AK49" s="150">
        <v>35</v>
      </c>
      <c r="AL49" s="151">
        <f t="shared" si="14"/>
        <v>54</v>
      </c>
      <c r="AM49" s="150">
        <v>22</v>
      </c>
      <c r="AN49" s="151">
        <f t="shared" si="15"/>
        <v>76</v>
      </c>
      <c r="AO49" s="217"/>
      <c r="AP49" s="150">
        <f t="shared" si="16"/>
        <v>4</v>
      </c>
      <c r="AQ49" s="150">
        <v>23</v>
      </c>
      <c r="AR49" s="150">
        <v>25</v>
      </c>
      <c r="AS49" s="150">
        <f t="shared" si="17"/>
        <v>48</v>
      </c>
      <c r="AT49" s="218"/>
      <c r="AU49" s="150">
        <f t="shared" si="18"/>
        <v>5</v>
      </c>
      <c r="AV49" s="149">
        <v>20</v>
      </c>
      <c r="AW49" s="150">
        <v>29</v>
      </c>
      <c r="AX49" s="151">
        <f t="shared" si="19"/>
        <v>49</v>
      </c>
      <c r="AY49" s="150">
        <v>24</v>
      </c>
      <c r="AZ49" s="151">
        <f t="shared" si="20"/>
        <v>73</v>
      </c>
      <c r="BA49" s="217"/>
      <c r="BB49" s="150">
        <f t="shared" si="21"/>
        <v>4</v>
      </c>
      <c r="BC49" s="149">
        <v>19</v>
      </c>
      <c r="BD49" s="150">
        <v>23</v>
      </c>
      <c r="BE49" s="151">
        <f t="shared" si="22"/>
        <v>42</v>
      </c>
      <c r="BF49" s="150">
        <v>29</v>
      </c>
      <c r="BG49" s="151">
        <f t="shared" si="23"/>
        <v>71</v>
      </c>
      <c r="BH49" s="217"/>
      <c r="BI49" s="150">
        <f t="shared" si="24"/>
        <v>4</v>
      </c>
      <c r="BJ49" s="149">
        <v>7</v>
      </c>
      <c r="BK49" s="150">
        <v>38</v>
      </c>
      <c r="BL49" s="151">
        <f t="shared" si="25"/>
        <v>45</v>
      </c>
      <c r="BM49" s="151">
        <f t="shared" si="26"/>
        <v>45</v>
      </c>
      <c r="BN49" s="217"/>
      <c r="BO49" s="150">
        <f t="shared" si="38"/>
        <v>5</v>
      </c>
      <c r="BP49" s="150">
        <f t="shared" si="27"/>
        <v>32</v>
      </c>
      <c r="BQ49" s="152">
        <f t="shared" si="28"/>
        <v>4</v>
      </c>
      <c r="BR49" s="152" t="str">
        <f t="shared" si="29"/>
        <v>A</v>
      </c>
      <c r="BS49" s="153" t="str">
        <f t="shared" si="3"/>
        <v>BETTER</v>
      </c>
      <c r="BT49" s="154">
        <f t="shared" si="30"/>
        <v>584</v>
      </c>
      <c r="BU49" s="59"/>
      <c r="BV49" s="62"/>
      <c r="BW49" s="178">
        <f>'1st_Semester'!BT49</f>
        <v>547</v>
      </c>
      <c r="BX49" s="179">
        <f>'2nd_Semester'!BT49</f>
        <v>545</v>
      </c>
      <c r="BY49" s="179">
        <f t="shared" si="31"/>
        <v>584</v>
      </c>
      <c r="BZ49" s="179">
        <f t="shared" si="32"/>
        <v>558.66666666666663</v>
      </c>
      <c r="CA49" s="182">
        <f>'1st_Semester'!BQ49</f>
        <v>3.875</v>
      </c>
      <c r="CB49" s="182">
        <f>'2nd_Semester'!BQ49</f>
        <v>3.75</v>
      </c>
      <c r="CC49" s="182">
        <f t="shared" si="33"/>
        <v>4</v>
      </c>
      <c r="CD49" s="182">
        <f t="shared" si="34"/>
        <v>3.875</v>
      </c>
    </row>
    <row r="50" spans="1:82" s="70" customFormat="1" ht="27.95" customHeight="1" thickBot="1">
      <c r="A50" s="134">
        <v>42</v>
      </c>
      <c r="B50" s="135">
        <v>107</v>
      </c>
      <c r="C50" s="136" t="s">
        <v>183</v>
      </c>
      <c r="D50" s="136" t="s">
        <v>184</v>
      </c>
      <c r="E50" s="136" t="s">
        <v>185</v>
      </c>
      <c r="F50" s="137" t="s">
        <v>316</v>
      </c>
      <c r="G50" s="138">
        <v>20</v>
      </c>
      <c r="H50" s="139">
        <v>41</v>
      </c>
      <c r="I50" s="140">
        <f t="shared" si="4"/>
        <v>61</v>
      </c>
      <c r="J50" s="139">
        <v>21</v>
      </c>
      <c r="K50" s="140">
        <f t="shared" si="35"/>
        <v>82</v>
      </c>
      <c r="L50" s="141">
        <v>10</v>
      </c>
      <c r="M50" s="139">
        <v>31</v>
      </c>
      <c r="N50" s="140">
        <f t="shared" si="36"/>
        <v>41</v>
      </c>
      <c r="O50" s="140">
        <f t="shared" si="5"/>
        <v>41</v>
      </c>
      <c r="P50" s="140">
        <f t="shared" si="37"/>
        <v>123</v>
      </c>
      <c r="Q50" s="215"/>
      <c r="R50" s="139">
        <f t="shared" si="6"/>
        <v>5</v>
      </c>
      <c r="S50" s="141">
        <v>16</v>
      </c>
      <c r="T50" s="139">
        <v>56</v>
      </c>
      <c r="U50" s="140">
        <f t="shared" si="7"/>
        <v>72</v>
      </c>
      <c r="V50" s="141">
        <v>9</v>
      </c>
      <c r="W50" s="139">
        <v>31</v>
      </c>
      <c r="X50" s="140">
        <f t="shared" si="8"/>
        <v>40</v>
      </c>
      <c r="Y50" s="140">
        <f t="shared" si="9"/>
        <v>112</v>
      </c>
      <c r="Z50" s="140">
        <f t="shared" si="1"/>
        <v>112</v>
      </c>
      <c r="AA50" s="215"/>
      <c r="AB50" s="139">
        <f t="shared" si="10"/>
        <v>4</v>
      </c>
      <c r="AC50" s="141">
        <v>17</v>
      </c>
      <c r="AD50" s="139">
        <v>22</v>
      </c>
      <c r="AE50" s="140">
        <f t="shared" si="11"/>
        <v>39</v>
      </c>
      <c r="AF50" s="139">
        <v>17</v>
      </c>
      <c r="AG50" s="140">
        <f t="shared" si="12"/>
        <v>56</v>
      </c>
      <c r="AH50" s="215"/>
      <c r="AI50" s="139">
        <f t="shared" si="13"/>
        <v>3</v>
      </c>
      <c r="AJ50" s="149">
        <v>19</v>
      </c>
      <c r="AK50" s="150">
        <v>42</v>
      </c>
      <c r="AL50" s="151">
        <f t="shared" si="14"/>
        <v>61</v>
      </c>
      <c r="AM50" s="150">
        <v>22</v>
      </c>
      <c r="AN50" s="151">
        <f t="shared" si="15"/>
        <v>83</v>
      </c>
      <c r="AO50" s="217"/>
      <c r="AP50" s="150">
        <f t="shared" si="16"/>
        <v>5</v>
      </c>
      <c r="AQ50" s="150">
        <v>23</v>
      </c>
      <c r="AR50" s="150">
        <v>25</v>
      </c>
      <c r="AS50" s="150">
        <f t="shared" si="17"/>
        <v>48</v>
      </c>
      <c r="AT50" s="218"/>
      <c r="AU50" s="150">
        <f t="shared" si="18"/>
        <v>5</v>
      </c>
      <c r="AV50" s="149">
        <v>20</v>
      </c>
      <c r="AW50" s="150">
        <v>40</v>
      </c>
      <c r="AX50" s="151">
        <f t="shared" si="19"/>
        <v>60</v>
      </c>
      <c r="AY50" s="150">
        <v>16</v>
      </c>
      <c r="AZ50" s="151">
        <f t="shared" si="20"/>
        <v>76</v>
      </c>
      <c r="BA50" s="217"/>
      <c r="BB50" s="150">
        <f t="shared" si="21"/>
        <v>4</v>
      </c>
      <c r="BC50" s="149">
        <v>15</v>
      </c>
      <c r="BD50" s="150">
        <v>37</v>
      </c>
      <c r="BE50" s="151">
        <f t="shared" si="22"/>
        <v>52</v>
      </c>
      <c r="BF50" s="150">
        <v>30</v>
      </c>
      <c r="BG50" s="151">
        <f t="shared" si="23"/>
        <v>82</v>
      </c>
      <c r="BH50" s="217"/>
      <c r="BI50" s="150">
        <f t="shared" si="24"/>
        <v>5</v>
      </c>
      <c r="BJ50" s="149">
        <v>8</v>
      </c>
      <c r="BK50" s="150">
        <v>38</v>
      </c>
      <c r="BL50" s="151">
        <f t="shared" si="25"/>
        <v>46</v>
      </c>
      <c r="BM50" s="151">
        <f t="shared" si="26"/>
        <v>46</v>
      </c>
      <c r="BN50" s="217"/>
      <c r="BO50" s="150">
        <f t="shared" si="38"/>
        <v>5</v>
      </c>
      <c r="BP50" s="150">
        <f t="shared" si="27"/>
        <v>36</v>
      </c>
      <c r="BQ50" s="152">
        <f t="shared" si="28"/>
        <v>4.5</v>
      </c>
      <c r="BR50" s="152" t="str">
        <f t="shared" si="29"/>
        <v>A</v>
      </c>
      <c r="BS50" s="153" t="str">
        <f t="shared" si="3"/>
        <v>BETTER</v>
      </c>
      <c r="BT50" s="154">
        <f t="shared" si="30"/>
        <v>626</v>
      </c>
      <c r="BU50" s="153"/>
      <c r="BV50" s="153"/>
      <c r="BW50" s="178">
        <f>'1st_Semester'!BT50</f>
        <v>291</v>
      </c>
      <c r="BX50" s="179">
        <f>'2nd_Semester'!BT50</f>
        <v>589</v>
      </c>
      <c r="BY50" s="179">
        <f t="shared" si="31"/>
        <v>626</v>
      </c>
      <c r="BZ50" s="179">
        <f t="shared" si="32"/>
        <v>502</v>
      </c>
      <c r="CA50" s="182" t="str">
        <f>'1st_Semester'!BQ50</f>
        <v>F</v>
      </c>
      <c r="CB50" s="182">
        <f>'2nd_Semester'!BQ50</f>
        <v>4.125</v>
      </c>
      <c r="CC50" s="182">
        <f t="shared" si="33"/>
        <v>4.5</v>
      </c>
      <c r="CD50" s="182">
        <f t="shared" si="34"/>
        <v>4.3125</v>
      </c>
    </row>
    <row r="51" spans="1:82" s="146" customFormat="1" ht="27.95" customHeight="1" thickTop="1">
      <c r="A51" s="142">
        <v>43</v>
      </c>
      <c r="B51" s="143">
        <v>12</v>
      </c>
      <c r="C51" s="144" t="s">
        <v>431</v>
      </c>
      <c r="D51" s="144" t="s">
        <v>327</v>
      </c>
      <c r="E51" s="144" t="s">
        <v>328</v>
      </c>
      <c r="F51" s="145" t="s">
        <v>329</v>
      </c>
      <c r="G51" s="167">
        <v>19</v>
      </c>
      <c r="H51" s="158">
        <v>39</v>
      </c>
      <c r="I51" s="159">
        <f>H51+G51</f>
        <v>58</v>
      </c>
      <c r="J51" s="158">
        <v>22</v>
      </c>
      <c r="K51" s="159">
        <f>I51+J51</f>
        <v>80</v>
      </c>
      <c r="L51" s="160">
        <v>9</v>
      </c>
      <c r="M51" s="158">
        <v>27</v>
      </c>
      <c r="N51" s="159">
        <f>M51+L51</f>
        <v>36</v>
      </c>
      <c r="O51" s="161">
        <f t="shared" si="5"/>
        <v>36</v>
      </c>
      <c r="P51" s="159">
        <f t="shared" si="37"/>
        <v>116</v>
      </c>
      <c r="Q51" s="215"/>
      <c r="R51" s="158">
        <f>IF(P51&lt;60,"F",IF(P51&lt;70,2,IF(P51&lt;95,3,IF(P51&lt;105,3.5,IF(P51&lt;120,4,5)))))</f>
        <v>4</v>
      </c>
      <c r="S51" s="160">
        <v>18</v>
      </c>
      <c r="T51" s="158">
        <v>52</v>
      </c>
      <c r="U51" s="159">
        <f>T51+S51</f>
        <v>70</v>
      </c>
      <c r="V51" s="160">
        <v>9</v>
      </c>
      <c r="W51" s="158">
        <v>25</v>
      </c>
      <c r="X51" s="159">
        <f>W51+V51</f>
        <v>34</v>
      </c>
      <c r="Y51" s="159">
        <f t="shared" si="9"/>
        <v>104</v>
      </c>
      <c r="Z51" s="159">
        <f t="shared" si="1"/>
        <v>104</v>
      </c>
      <c r="AA51" s="215"/>
      <c r="AB51" s="158">
        <f>IF(Z51&lt;60,"F",IF(Z51&lt;75,2,IF(Z51&lt;90,3,IF(Z51&lt;105,3.5,IF(Z51&lt;120,4,5)))))</f>
        <v>3.5</v>
      </c>
      <c r="AC51" s="160">
        <v>16</v>
      </c>
      <c r="AD51" s="158">
        <v>24</v>
      </c>
      <c r="AE51" s="159">
        <f>AD51+AC51</f>
        <v>40</v>
      </c>
      <c r="AF51" s="158">
        <v>19</v>
      </c>
      <c r="AG51" s="159">
        <f>AE51+AF51</f>
        <v>59</v>
      </c>
      <c r="AH51" s="215"/>
      <c r="AI51" s="158">
        <f>IF(AG51&lt;40,"F",IF(AG51&lt;50,2,IF(AG51&lt;60,3,IF(AG51&lt;70,3.5,IF(AG51&lt;80,4,5)))))</f>
        <v>3</v>
      </c>
      <c r="AJ51" s="149">
        <v>19</v>
      </c>
      <c r="AK51" s="162">
        <v>31</v>
      </c>
      <c r="AL51" s="163">
        <f>AK51+AJ51</f>
        <v>50</v>
      </c>
      <c r="AM51" s="162">
        <v>22</v>
      </c>
      <c r="AN51" s="163">
        <f>+AL51+AM51</f>
        <v>72</v>
      </c>
      <c r="AO51" s="217"/>
      <c r="AP51" s="162">
        <f>IF(AN51&lt;40,"F",IF(AN51&lt;50,2,IF(AN51&lt;60,3,IF(AN51&lt;70,3.5,IF(AN51&lt;80,4,5)))))</f>
        <v>4</v>
      </c>
      <c r="AQ51" s="162">
        <v>23</v>
      </c>
      <c r="AR51" s="162">
        <v>25</v>
      </c>
      <c r="AS51" s="150">
        <f t="shared" si="17"/>
        <v>48</v>
      </c>
      <c r="AT51" s="218"/>
      <c r="AU51" s="162">
        <f>IF(AS51&lt;20,"F",IF(AS51&lt;25,2,IF(AS51&lt;30,3,IF(AS51&lt;35,3.5,IF(AS51&lt;40,4,5)))))</f>
        <v>5</v>
      </c>
      <c r="AV51" s="149">
        <v>17</v>
      </c>
      <c r="AW51" s="162">
        <v>47</v>
      </c>
      <c r="AX51" s="163">
        <f>AW51+AV51</f>
        <v>64</v>
      </c>
      <c r="AY51" s="162">
        <v>24</v>
      </c>
      <c r="AZ51" s="163">
        <f>AX51+AY51</f>
        <v>88</v>
      </c>
      <c r="BA51" s="217"/>
      <c r="BB51" s="162">
        <f>IF(AZ51&lt;40,"F",IF(AZ51&lt;50,2,IF(AZ51&lt;60,3,IF(AZ51&lt;70,3.5,IF(AZ51&lt;80,4,5)))))</f>
        <v>5</v>
      </c>
      <c r="BC51" s="149">
        <v>18</v>
      </c>
      <c r="BD51" s="162">
        <v>36</v>
      </c>
      <c r="BE51" s="163">
        <f>BD51+BC51</f>
        <v>54</v>
      </c>
      <c r="BF51" s="162">
        <v>28</v>
      </c>
      <c r="BG51" s="163">
        <f>BE51+BF51</f>
        <v>82</v>
      </c>
      <c r="BH51" s="217"/>
      <c r="BI51" s="162">
        <f>IF(BG51&lt;40,"F",IF(BG51&lt;50,2,IF(BG51&lt;60,3,IF(BG51&lt;70,3.5,IF(BG51&lt;80,4,5)))))</f>
        <v>5</v>
      </c>
      <c r="BJ51" s="149">
        <v>9</v>
      </c>
      <c r="BK51" s="162">
        <v>40</v>
      </c>
      <c r="BL51" s="163">
        <f>BK51+BJ51</f>
        <v>49</v>
      </c>
      <c r="BM51" s="151">
        <f t="shared" si="26"/>
        <v>49</v>
      </c>
      <c r="BN51" s="217"/>
      <c r="BO51" s="162">
        <f t="shared" si="38"/>
        <v>5</v>
      </c>
      <c r="BP51" s="150">
        <f t="shared" si="27"/>
        <v>34.5</v>
      </c>
      <c r="BQ51" s="152">
        <f t="shared" si="28"/>
        <v>4.3125</v>
      </c>
      <c r="BR51" s="164" t="str">
        <f>IF(BQ51="F","F",IF(BQ51&lt;2.5,"D",IF(BQ51&lt;3,"C",IF(BQ51&lt;3.5,"B",IF(BQ51&lt;4,"A-",IF(BQ51&lt;5,"A","A+"))))))</f>
        <v>A</v>
      </c>
      <c r="BS51" s="165" t="str">
        <f t="shared" si="3"/>
        <v>BETTER</v>
      </c>
      <c r="BT51" s="154">
        <f t="shared" si="30"/>
        <v>618</v>
      </c>
      <c r="BU51" s="62"/>
      <c r="BV51" s="62"/>
      <c r="BW51" s="178">
        <f>'1st_Semester'!BT51</f>
        <v>770</v>
      </c>
      <c r="BX51" s="179">
        <f>'2nd_Semester'!BT51</f>
        <v>607</v>
      </c>
      <c r="BY51" s="179">
        <f t="shared" si="31"/>
        <v>618</v>
      </c>
      <c r="BZ51" s="179">
        <f t="shared" si="32"/>
        <v>665</v>
      </c>
      <c r="CA51" s="182">
        <f>'1st_Semester'!BQ51</f>
        <v>5</v>
      </c>
      <c r="CB51" s="182">
        <f>'2nd_Semester'!BQ51</f>
        <v>4.25</v>
      </c>
      <c r="CC51" s="182">
        <f t="shared" si="33"/>
        <v>4.3125</v>
      </c>
      <c r="CD51" s="182">
        <f t="shared" si="34"/>
        <v>4.520833333333333</v>
      </c>
    </row>
    <row r="52" spans="1:82" ht="27.95" customHeight="1">
      <c r="A52" s="71">
        <v>44</v>
      </c>
      <c r="B52" s="49">
        <v>26</v>
      </c>
      <c r="C52" s="50" t="s">
        <v>336</v>
      </c>
      <c r="D52" s="50" t="s">
        <v>337</v>
      </c>
      <c r="E52" s="50" t="s">
        <v>338</v>
      </c>
      <c r="F52" s="65" t="s">
        <v>339</v>
      </c>
      <c r="G52" s="78">
        <v>20</v>
      </c>
      <c r="H52" s="162">
        <v>43</v>
      </c>
      <c r="I52" s="163">
        <f>H52+G52</f>
        <v>63</v>
      </c>
      <c r="J52" s="162">
        <v>24</v>
      </c>
      <c r="K52" s="163">
        <f>I52+J52</f>
        <v>87</v>
      </c>
      <c r="L52" s="149">
        <v>10</v>
      </c>
      <c r="M52" s="162">
        <v>31</v>
      </c>
      <c r="N52" s="163">
        <f>M52+L52</f>
        <v>41</v>
      </c>
      <c r="O52" s="151">
        <f t="shared" si="5"/>
        <v>41</v>
      </c>
      <c r="P52" s="163">
        <f t="shared" si="37"/>
        <v>128</v>
      </c>
      <c r="Q52" s="215"/>
      <c r="R52" s="162">
        <f t="shared" ref="R52:R94" si="39">IF(P52&lt;60,"F",IF(P52&lt;70,2,IF(P52&lt;95,3,IF(P52&lt;105,3.5,IF(P52&lt;120,4,5)))))</f>
        <v>5</v>
      </c>
      <c r="S52" s="149">
        <v>14</v>
      </c>
      <c r="T52" s="162">
        <v>52</v>
      </c>
      <c r="U52" s="163">
        <f t="shared" ref="U52:U94" si="40">T52+S52</f>
        <v>66</v>
      </c>
      <c r="V52" s="149">
        <v>7</v>
      </c>
      <c r="W52" s="162">
        <v>26</v>
      </c>
      <c r="X52" s="163">
        <f t="shared" ref="X52:X93" si="41">W52+V52</f>
        <v>33</v>
      </c>
      <c r="Y52" s="163">
        <f>U52+X52</f>
        <v>99</v>
      </c>
      <c r="Z52" s="163">
        <f>Y52</f>
        <v>99</v>
      </c>
      <c r="AA52" s="215"/>
      <c r="AB52" s="162">
        <f t="shared" ref="AB52:AB94" si="42">IF(Z52&lt;60,"F",IF(Z52&lt;75,2,IF(Z52&lt;90,3,IF(Z52&lt;105,3.5,IF(Z52&lt;120,4,5)))))</f>
        <v>3.5</v>
      </c>
      <c r="AC52" s="149">
        <v>13</v>
      </c>
      <c r="AD52" s="162">
        <v>20</v>
      </c>
      <c r="AE52" s="163">
        <f t="shared" ref="AE52:AE94" si="43">AD52+AC52</f>
        <v>33</v>
      </c>
      <c r="AF52" s="162">
        <v>8</v>
      </c>
      <c r="AG52" s="163">
        <f t="shared" ref="AG52:AG94" si="44">AE52+AF52</f>
        <v>41</v>
      </c>
      <c r="AH52" s="215"/>
      <c r="AI52" s="162">
        <f t="shared" ref="AI52:AI94" si="45">IF(AG52&lt;40,"F",IF(AG52&lt;50,2,IF(AG52&lt;60,3,IF(AG52&lt;70,3.5,IF(AG52&lt;80,4,5)))))</f>
        <v>2</v>
      </c>
      <c r="AJ52" s="149">
        <v>18</v>
      </c>
      <c r="AK52" s="162">
        <v>39</v>
      </c>
      <c r="AL52" s="163">
        <f t="shared" ref="AL52:AL93" si="46">AK52+AJ52</f>
        <v>57</v>
      </c>
      <c r="AM52" s="162">
        <v>17</v>
      </c>
      <c r="AN52" s="163">
        <f>AL52+AM52</f>
        <v>74</v>
      </c>
      <c r="AO52" s="217"/>
      <c r="AP52" s="162">
        <f t="shared" ref="AP52:AP94" si="47">IF(AN52&lt;40,"F",IF(AN52&lt;50,2,IF(AN52&lt;60,3,IF(AN52&lt;70,3.5,IF(AN52&lt;80,4,5)))))</f>
        <v>4</v>
      </c>
      <c r="AQ52" s="162">
        <v>24</v>
      </c>
      <c r="AR52" s="162">
        <v>25</v>
      </c>
      <c r="AS52" s="150">
        <f t="shared" si="17"/>
        <v>49</v>
      </c>
      <c r="AT52" s="218"/>
      <c r="AU52" s="162">
        <f t="shared" ref="AU52:AU94" si="48">IF(AS52&lt;20,"F",IF(AS52&lt;25,2,IF(AS52&lt;30,3,IF(AS52&lt;35,3.5,IF(AS52&lt;40,4,5)))))</f>
        <v>5</v>
      </c>
      <c r="AV52" s="149">
        <v>17</v>
      </c>
      <c r="AW52" s="162">
        <v>39</v>
      </c>
      <c r="AX52" s="163">
        <f t="shared" ref="AX52:AX94" si="49">AW52+AV52</f>
        <v>56</v>
      </c>
      <c r="AY52" s="162">
        <v>28</v>
      </c>
      <c r="AZ52" s="163">
        <f t="shared" ref="AZ52:AZ94" si="50">AX52+AY52</f>
        <v>84</v>
      </c>
      <c r="BA52" s="217"/>
      <c r="BB52" s="162">
        <f t="shared" ref="BB52:BB94" si="51">IF(AZ52&lt;40,"F",IF(AZ52&lt;50,2,IF(AZ52&lt;60,3,IF(AZ52&lt;70,3.5,IF(AZ52&lt;80,4,5)))))</f>
        <v>5</v>
      </c>
      <c r="BC52" s="149">
        <v>19</v>
      </c>
      <c r="BD52" s="162">
        <v>31</v>
      </c>
      <c r="BE52" s="163">
        <f t="shared" ref="BE52:BE94" si="52">BD52+BC52</f>
        <v>50</v>
      </c>
      <c r="BF52" s="162">
        <v>27</v>
      </c>
      <c r="BG52" s="163">
        <f t="shared" ref="BG52:BG94" si="53">BE52+BF52</f>
        <v>77</v>
      </c>
      <c r="BH52" s="217"/>
      <c r="BI52" s="162">
        <f t="shared" ref="BI52:BI94" si="54">IF(BG52&lt;40,"F",IF(BG52&lt;50,2,IF(BG52&lt;60,3,IF(BG52&lt;70,3.5,IF(BG52&lt;80,4,5)))))</f>
        <v>4</v>
      </c>
      <c r="BJ52" s="149">
        <v>9</v>
      </c>
      <c r="BK52" s="162">
        <v>40</v>
      </c>
      <c r="BL52" s="163">
        <f t="shared" ref="BL52:BL94" si="55">BK52+BJ52</f>
        <v>49</v>
      </c>
      <c r="BM52" s="151">
        <f t="shared" si="26"/>
        <v>49</v>
      </c>
      <c r="BN52" s="217"/>
      <c r="BO52" s="162">
        <f t="shared" si="38"/>
        <v>5</v>
      </c>
      <c r="BP52" s="150">
        <f t="shared" si="27"/>
        <v>33.5</v>
      </c>
      <c r="BQ52" s="152">
        <f t="shared" si="28"/>
        <v>4.1875</v>
      </c>
      <c r="BR52" s="164" t="str">
        <f t="shared" ref="BR52:BR94" si="56">IF(BQ52="F","F",IF(BQ52&lt;2.5,"D",IF(BQ52&lt;3,"C",IF(BQ52&lt;3.5,"B",IF(BQ52&lt;4,"A-",IF(BQ52&lt;5,"A","A+"))))))</f>
        <v>A</v>
      </c>
      <c r="BS52" s="165" t="str">
        <f t="shared" si="3"/>
        <v>BETTER</v>
      </c>
      <c r="BT52" s="154">
        <f t="shared" si="30"/>
        <v>601</v>
      </c>
      <c r="BU52" s="62"/>
      <c r="BV52" s="62"/>
      <c r="BW52" s="178">
        <f>'1st_Semester'!BT52</f>
        <v>606</v>
      </c>
      <c r="BX52" s="179">
        <f>'2nd_Semester'!BT52</f>
        <v>495</v>
      </c>
      <c r="BY52" s="179">
        <f t="shared" si="31"/>
        <v>601</v>
      </c>
      <c r="BZ52" s="179">
        <f t="shared" si="32"/>
        <v>567.33333333333337</v>
      </c>
      <c r="CA52" s="182">
        <f>'1st_Semester'!BQ52</f>
        <v>4.25</v>
      </c>
      <c r="CB52" s="182">
        <f>'2nd_Semester'!BQ52</f>
        <v>3.4375</v>
      </c>
      <c r="CC52" s="182">
        <f t="shared" si="33"/>
        <v>4.1875</v>
      </c>
      <c r="CD52" s="182">
        <f t="shared" si="34"/>
        <v>3.9583333333333335</v>
      </c>
    </row>
    <row r="53" spans="1:82" ht="27.95" customHeight="1">
      <c r="A53" s="71">
        <v>45</v>
      </c>
      <c r="B53" s="49">
        <v>28</v>
      </c>
      <c r="C53" s="51" t="s">
        <v>340</v>
      </c>
      <c r="D53" s="51" t="s">
        <v>341</v>
      </c>
      <c r="E53" s="51" t="s">
        <v>342</v>
      </c>
      <c r="F53" s="66" t="s">
        <v>343</v>
      </c>
      <c r="G53" s="78">
        <v>16</v>
      </c>
      <c r="H53" s="162">
        <v>24</v>
      </c>
      <c r="I53" s="163">
        <f t="shared" ref="I53:I94" si="57">H53+G53</f>
        <v>40</v>
      </c>
      <c r="J53" s="162">
        <v>23</v>
      </c>
      <c r="K53" s="163">
        <f t="shared" ref="K53:K94" si="58">I53+J53</f>
        <v>63</v>
      </c>
      <c r="L53" s="149">
        <v>10</v>
      </c>
      <c r="M53" s="162">
        <v>28</v>
      </c>
      <c r="N53" s="163">
        <f t="shared" ref="N53:N94" si="59">M53+L53</f>
        <v>38</v>
      </c>
      <c r="O53" s="151">
        <f t="shared" si="5"/>
        <v>38</v>
      </c>
      <c r="P53" s="163">
        <f t="shared" si="37"/>
        <v>101</v>
      </c>
      <c r="Q53" s="215"/>
      <c r="R53" s="162">
        <f t="shared" si="39"/>
        <v>3.5</v>
      </c>
      <c r="S53" s="149">
        <v>17</v>
      </c>
      <c r="T53" s="162">
        <v>31</v>
      </c>
      <c r="U53" s="163">
        <f t="shared" si="40"/>
        <v>48</v>
      </c>
      <c r="V53" s="149">
        <v>8</v>
      </c>
      <c r="W53" s="162">
        <v>30</v>
      </c>
      <c r="X53" s="163">
        <f t="shared" si="41"/>
        <v>38</v>
      </c>
      <c r="Y53" s="163">
        <f t="shared" ref="Y53:Y94" si="60">U53+X53</f>
        <v>86</v>
      </c>
      <c r="Z53" s="163">
        <f t="shared" ref="Z53:Z94" si="61">Y53</f>
        <v>86</v>
      </c>
      <c r="AA53" s="215"/>
      <c r="AB53" s="162">
        <f t="shared" si="42"/>
        <v>3</v>
      </c>
      <c r="AC53" s="149">
        <v>15</v>
      </c>
      <c r="AD53" s="162">
        <v>13</v>
      </c>
      <c r="AE53" s="163">
        <f t="shared" si="43"/>
        <v>28</v>
      </c>
      <c r="AF53" s="162">
        <v>12</v>
      </c>
      <c r="AG53" s="163">
        <f t="shared" si="44"/>
        <v>40</v>
      </c>
      <c r="AH53" s="215"/>
      <c r="AI53" s="162">
        <f t="shared" si="45"/>
        <v>2</v>
      </c>
      <c r="AJ53" s="149">
        <v>19</v>
      </c>
      <c r="AK53" s="162">
        <v>26</v>
      </c>
      <c r="AL53" s="163">
        <f t="shared" si="46"/>
        <v>45</v>
      </c>
      <c r="AM53" s="162">
        <v>19</v>
      </c>
      <c r="AN53" s="163">
        <f t="shared" ref="AN53:AN94" si="62">AL53+AM53</f>
        <v>64</v>
      </c>
      <c r="AO53" s="217"/>
      <c r="AP53" s="162">
        <f t="shared" si="47"/>
        <v>3.5</v>
      </c>
      <c r="AQ53" s="162">
        <v>24</v>
      </c>
      <c r="AR53" s="162">
        <v>25</v>
      </c>
      <c r="AS53" s="150">
        <f t="shared" si="17"/>
        <v>49</v>
      </c>
      <c r="AT53" s="218"/>
      <c r="AU53" s="162">
        <f t="shared" si="48"/>
        <v>5</v>
      </c>
      <c r="AV53" s="149">
        <v>17</v>
      </c>
      <c r="AW53" s="162">
        <v>34</v>
      </c>
      <c r="AX53" s="163">
        <f t="shared" si="49"/>
        <v>51</v>
      </c>
      <c r="AY53" s="162">
        <v>29</v>
      </c>
      <c r="AZ53" s="163">
        <f t="shared" si="50"/>
        <v>80</v>
      </c>
      <c r="BA53" s="217"/>
      <c r="BB53" s="162">
        <f t="shared" si="51"/>
        <v>5</v>
      </c>
      <c r="BC53" s="149">
        <v>19</v>
      </c>
      <c r="BD53" s="162">
        <v>25</v>
      </c>
      <c r="BE53" s="163">
        <f t="shared" si="52"/>
        <v>44</v>
      </c>
      <c r="BF53" s="162">
        <v>26</v>
      </c>
      <c r="BG53" s="163">
        <f t="shared" si="53"/>
        <v>70</v>
      </c>
      <c r="BH53" s="217"/>
      <c r="BI53" s="162">
        <f t="shared" si="54"/>
        <v>4</v>
      </c>
      <c r="BJ53" s="149">
        <v>9</v>
      </c>
      <c r="BK53" s="162">
        <v>32</v>
      </c>
      <c r="BL53" s="163">
        <f t="shared" si="55"/>
        <v>41</v>
      </c>
      <c r="BM53" s="151">
        <f t="shared" si="26"/>
        <v>41</v>
      </c>
      <c r="BN53" s="217"/>
      <c r="BO53" s="162">
        <f t="shared" si="38"/>
        <v>5</v>
      </c>
      <c r="BP53" s="150">
        <f t="shared" si="27"/>
        <v>31</v>
      </c>
      <c r="BQ53" s="152">
        <f t="shared" si="28"/>
        <v>3.875</v>
      </c>
      <c r="BR53" s="164" t="str">
        <f t="shared" si="56"/>
        <v>A-</v>
      </c>
      <c r="BS53" s="165" t="str">
        <f t="shared" si="3"/>
        <v>GOOD</v>
      </c>
      <c r="BT53" s="154">
        <f t="shared" si="30"/>
        <v>531</v>
      </c>
      <c r="BU53" s="62"/>
      <c r="BV53" s="62"/>
      <c r="BW53" s="178">
        <f>'1st_Semester'!BT53</f>
        <v>586</v>
      </c>
      <c r="BX53" s="179">
        <f>'2nd_Semester'!BT53</f>
        <v>519</v>
      </c>
      <c r="BY53" s="179">
        <f t="shared" si="31"/>
        <v>531</v>
      </c>
      <c r="BZ53" s="179">
        <f t="shared" si="32"/>
        <v>545.33333333333337</v>
      </c>
      <c r="CA53" s="182">
        <f>'1st_Semester'!BQ53</f>
        <v>3.9375</v>
      </c>
      <c r="CB53" s="182">
        <f>'2nd_Semester'!BQ53</f>
        <v>3.625</v>
      </c>
      <c r="CC53" s="182">
        <f t="shared" si="33"/>
        <v>3.875</v>
      </c>
      <c r="CD53" s="182">
        <f t="shared" si="34"/>
        <v>3.8125</v>
      </c>
    </row>
    <row r="54" spans="1:82" ht="27.95" customHeight="1">
      <c r="A54" s="71">
        <v>46</v>
      </c>
      <c r="B54" s="49">
        <v>31</v>
      </c>
      <c r="C54" s="51" t="s">
        <v>219</v>
      </c>
      <c r="D54" s="51" t="s">
        <v>220</v>
      </c>
      <c r="E54" s="51" t="s">
        <v>221</v>
      </c>
      <c r="F54" s="66" t="s">
        <v>222</v>
      </c>
      <c r="G54" s="78">
        <v>19</v>
      </c>
      <c r="H54" s="162">
        <v>43</v>
      </c>
      <c r="I54" s="163">
        <f t="shared" si="57"/>
        <v>62</v>
      </c>
      <c r="J54" s="162">
        <v>24</v>
      </c>
      <c r="K54" s="163">
        <f t="shared" si="58"/>
        <v>86</v>
      </c>
      <c r="L54" s="149">
        <v>10</v>
      </c>
      <c r="M54" s="162">
        <v>31</v>
      </c>
      <c r="N54" s="163">
        <f t="shared" si="59"/>
        <v>41</v>
      </c>
      <c r="O54" s="151">
        <f t="shared" si="5"/>
        <v>41</v>
      </c>
      <c r="P54" s="163">
        <f t="shared" si="37"/>
        <v>127</v>
      </c>
      <c r="Q54" s="215"/>
      <c r="R54" s="162">
        <f t="shared" si="39"/>
        <v>5</v>
      </c>
      <c r="S54" s="149">
        <v>16</v>
      </c>
      <c r="T54" s="162">
        <v>35</v>
      </c>
      <c r="U54" s="163">
        <f t="shared" si="40"/>
        <v>51</v>
      </c>
      <c r="V54" s="149">
        <v>7</v>
      </c>
      <c r="W54" s="162">
        <v>22</v>
      </c>
      <c r="X54" s="163">
        <f t="shared" si="41"/>
        <v>29</v>
      </c>
      <c r="Y54" s="163">
        <f t="shared" si="60"/>
        <v>80</v>
      </c>
      <c r="Z54" s="163">
        <f t="shared" si="61"/>
        <v>80</v>
      </c>
      <c r="AA54" s="215"/>
      <c r="AB54" s="162">
        <f t="shared" si="42"/>
        <v>3</v>
      </c>
      <c r="AC54" s="149">
        <v>15</v>
      </c>
      <c r="AD54" s="162">
        <v>16</v>
      </c>
      <c r="AE54" s="163">
        <f t="shared" si="43"/>
        <v>31</v>
      </c>
      <c r="AF54" s="162">
        <v>12</v>
      </c>
      <c r="AG54" s="163">
        <f t="shared" si="44"/>
        <v>43</v>
      </c>
      <c r="AH54" s="215"/>
      <c r="AI54" s="162">
        <f t="shared" si="45"/>
        <v>2</v>
      </c>
      <c r="AJ54" s="149">
        <v>18</v>
      </c>
      <c r="AK54" s="162">
        <v>35</v>
      </c>
      <c r="AL54" s="163">
        <f t="shared" si="46"/>
        <v>53</v>
      </c>
      <c r="AM54" s="162">
        <v>22</v>
      </c>
      <c r="AN54" s="163">
        <f t="shared" si="62"/>
        <v>75</v>
      </c>
      <c r="AO54" s="217"/>
      <c r="AP54" s="162">
        <f t="shared" si="47"/>
        <v>4</v>
      </c>
      <c r="AQ54" s="162">
        <v>23</v>
      </c>
      <c r="AR54" s="162">
        <v>25</v>
      </c>
      <c r="AS54" s="150">
        <f t="shared" si="17"/>
        <v>48</v>
      </c>
      <c r="AT54" s="218"/>
      <c r="AU54" s="162">
        <f t="shared" si="48"/>
        <v>5</v>
      </c>
      <c r="AV54" s="149">
        <v>19</v>
      </c>
      <c r="AW54" s="162">
        <v>43</v>
      </c>
      <c r="AX54" s="163">
        <f t="shared" si="49"/>
        <v>62</v>
      </c>
      <c r="AY54" s="162">
        <v>27</v>
      </c>
      <c r="AZ54" s="163">
        <f t="shared" si="50"/>
        <v>89</v>
      </c>
      <c r="BA54" s="217"/>
      <c r="BB54" s="162">
        <f t="shared" si="51"/>
        <v>5</v>
      </c>
      <c r="BC54" s="149">
        <v>18</v>
      </c>
      <c r="BD54" s="162">
        <v>36</v>
      </c>
      <c r="BE54" s="163">
        <f t="shared" si="52"/>
        <v>54</v>
      </c>
      <c r="BF54" s="162">
        <v>26</v>
      </c>
      <c r="BG54" s="163">
        <f t="shared" si="53"/>
        <v>80</v>
      </c>
      <c r="BH54" s="217"/>
      <c r="BI54" s="162">
        <f t="shared" si="54"/>
        <v>5</v>
      </c>
      <c r="BJ54" s="149">
        <v>9</v>
      </c>
      <c r="BK54" s="162">
        <v>32</v>
      </c>
      <c r="BL54" s="163">
        <f t="shared" si="55"/>
        <v>41</v>
      </c>
      <c r="BM54" s="151">
        <f t="shared" si="26"/>
        <v>41</v>
      </c>
      <c r="BN54" s="217"/>
      <c r="BO54" s="162">
        <f t="shared" si="38"/>
        <v>5</v>
      </c>
      <c r="BP54" s="150">
        <f t="shared" si="27"/>
        <v>34</v>
      </c>
      <c r="BQ54" s="152">
        <f t="shared" si="28"/>
        <v>4.25</v>
      </c>
      <c r="BR54" s="164" t="str">
        <f t="shared" si="56"/>
        <v>A</v>
      </c>
      <c r="BS54" s="165" t="str">
        <f t="shared" si="3"/>
        <v>BETTER</v>
      </c>
      <c r="BT54" s="154">
        <f t="shared" si="30"/>
        <v>583</v>
      </c>
      <c r="BU54" s="62"/>
      <c r="BV54" s="62"/>
      <c r="BW54" s="178">
        <f>'1st_Semester'!BT54</f>
        <v>653</v>
      </c>
      <c r="BX54" s="179">
        <f>'2nd_Semester'!BT54</f>
        <v>657</v>
      </c>
      <c r="BY54" s="179">
        <f t="shared" si="31"/>
        <v>583</v>
      </c>
      <c r="BZ54" s="179">
        <f t="shared" si="32"/>
        <v>631</v>
      </c>
      <c r="CA54" s="182">
        <f>'1st_Semester'!BQ54</f>
        <v>4.5625</v>
      </c>
      <c r="CB54" s="182">
        <f>'2nd_Semester'!BQ54</f>
        <v>4.6875</v>
      </c>
      <c r="CC54" s="182">
        <f t="shared" si="33"/>
        <v>4.25</v>
      </c>
      <c r="CD54" s="182">
        <f t="shared" si="34"/>
        <v>4.5</v>
      </c>
    </row>
    <row r="55" spans="1:82" ht="27.95" customHeight="1">
      <c r="A55" s="71">
        <v>47</v>
      </c>
      <c r="B55" s="49">
        <v>32</v>
      </c>
      <c r="C55" s="51" t="s">
        <v>344</v>
      </c>
      <c r="D55" s="51" t="s">
        <v>345</v>
      </c>
      <c r="E55" s="51" t="s">
        <v>346</v>
      </c>
      <c r="F55" s="66" t="s">
        <v>347</v>
      </c>
      <c r="G55" s="78">
        <v>20</v>
      </c>
      <c r="H55" s="162">
        <v>42</v>
      </c>
      <c r="I55" s="163">
        <f t="shared" si="57"/>
        <v>62</v>
      </c>
      <c r="J55" s="162">
        <v>25</v>
      </c>
      <c r="K55" s="163">
        <f t="shared" si="58"/>
        <v>87</v>
      </c>
      <c r="L55" s="149">
        <v>10</v>
      </c>
      <c r="M55" s="162">
        <v>34</v>
      </c>
      <c r="N55" s="163">
        <f t="shared" si="59"/>
        <v>44</v>
      </c>
      <c r="O55" s="151">
        <f t="shared" si="5"/>
        <v>44</v>
      </c>
      <c r="P55" s="163">
        <f t="shared" si="37"/>
        <v>131</v>
      </c>
      <c r="Q55" s="215"/>
      <c r="R55" s="162">
        <f t="shared" si="39"/>
        <v>5</v>
      </c>
      <c r="S55" s="149">
        <v>15</v>
      </c>
      <c r="T55" s="162">
        <v>43</v>
      </c>
      <c r="U55" s="163">
        <f t="shared" si="40"/>
        <v>58</v>
      </c>
      <c r="V55" s="149">
        <v>7</v>
      </c>
      <c r="W55" s="162">
        <v>24</v>
      </c>
      <c r="X55" s="163">
        <f t="shared" si="41"/>
        <v>31</v>
      </c>
      <c r="Y55" s="163">
        <f t="shared" si="60"/>
        <v>89</v>
      </c>
      <c r="Z55" s="163">
        <f t="shared" si="61"/>
        <v>89</v>
      </c>
      <c r="AA55" s="215"/>
      <c r="AB55" s="162">
        <f t="shared" si="42"/>
        <v>3</v>
      </c>
      <c r="AC55" s="149">
        <v>15</v>
      </c>
      <c r="AD55" s="162">
        <v>15</v>
      </c>
      <c r="AE55" s="163">
        <f t="shared" si="43"/>
        <v>30</v>
      </c>
      <c r="AF55" s="162">
        <v>10</v>
      </c>
      <c r="AG55" s="163">
        <f t="shared" si="44"/>
        <v>40</v>
      </c>
      <c r="AH55" s="215"/>
      <c r="AI55" s="162">
        <f t="shared" si="45"/>
        <v>2</v>
      </c>
      <c r="AJ55" s="149">
        <v>17</v>
      </c>
      <c r="AK55" s="162">
        <v>35</v>
      </c>
      <c r="AL55" s="163">
        <f t="shared" si="46"/>
        <v>52</v>
      </c>
      <c r="AM55" s="162">
        <v>23</v>
      </c>
      <c r="AN55" s="163">
        <f t="shared" si="62"/>
        <v>75</v>
      </c>
      <c r="AO55" s="217"/>
      <c r="AP55" s="162">
        <f t="shared" si="47"/>
        <v>4</v>
      </c>
      <c r="AQ55" s="162">
        <v>23</v>
      </c>
      <c r="AR55" s="162">
        <v>25</v>
      </c>
      <c r="AS55" s="150">
        <f t="shared" si="17"/>
        <v>48</v>
      </c>
      <c r="AT55" s="218"/>
      <c r="AU55" s="162">
        <f t="shared" si="48"/>
        <v>5</v>
      </c>
      <c r="AV55" s="149">
        <v>18</v>
      </c>
      <c r="AW55" s="162">
        <v>49</v>
      </c>
      <c r="AX55" s="163">
        <f t="shared" si="49"/>
        <v>67</v>
      </c>
      <c r="AY55" s="162">
        <v>26</v>
      </c>
      <c r="AZ55" s="163">
        <f t="shared" si="50"/>
        <v>93</v>
      </c>
      <c r="BA55" s="217"/>
      <c r="BB55" s="162">
        <f t="shared" si="51"/>
        <v>5</v>
      </c>
      <c r="BC55" s="149">
        <v>19</v>
      </c>
      <c r="BD55" s="162">
        <v>38</v>
      </c>
      <c r="BE55" s="163">
        <f t="shared" si="52"/>
        <v>57</v>
      </c>
      <c r="BF55" s="162">
        <v>28</v>
      </c>
      <c r="BG55" s="163">
        <f t="shared" si="53"/>
        <v>85</v>
      </c>
      <c r="BH55" s="217"/>
      <c r="BI55" s="162">
        <f t="shared" si="54"/>
        <v>5</v>
      </c>
      <c r="BJ55" s="149">
        <v>9</v>
      </c>
      <c r="BK55" s="162">
        <v>40</v>
      </c>
      <c r="BL55" s="163">
        <f t="shared" si="55"/>
        <v>49</v>
      </c>
      <c r="BM55" s="151">
        <f t="shared" si="26"/>
        <v>49</v>
      </c>
      <c r="BN55" s="217"/>
      <c r="BO55" s="162">
        <f t="shared" si="38"/>
        <v>5</v>
      </c>
      <c r="BP55" s="150">
        <f t="shared" si="27"/>
        <v>34</v>
      </c>
      <c r="BQ55" s="152">
        <f t="shared" si="28"/>
        <v>4.25</v>
      </c>
      <c r="BR55" s="164" t="str">
        <f t="shared" si="56"/>
        <v>A</v>
      </c>
      <c r="BS55" s="165" t="str">
        <f t="shared" si="3"/>
        <v>BETTER</v>
      </c>
      <c r="BT55" s="154">
        <f t="shared" si="30"/>
        <v>610</v>
      </c>
      <c r="BU55" s="62"/>
      <c r="BV55" s="62"/>
      <c r="BW55" s="178">
        <f>'1st_Semester'!BT55</f>
        <v>494</v>
      </c>
      <c r="BX55" s="179">
        <f>'2nd_Semester'!BT55</f>
        <v>557</v>
      </c>
      <c r="BY55" s="179">
        <f t="shared" si="31"/>
        <v>610</v>
      </c>
      <c r="BZ55" s="179">
        <f t="shared" si="32"/>
        <v>553.66666666666663</v>
      </c>
      <c r="CA55" s="182" t="str">
        <f>'1st_Semester'!BQ55</f>
        <v>F</v>
      </c>
      <c r="CB55" s="182">
        <f>'2nd_Semester'!BQ55</f>
        <v>3.8125</v>
      </c>
      <c r="CC55" s="182">
        <f t="shared" si="33"/>
        <v>4.25</v>
      </c>
      <c r="CD55" s="182">
        <f t="shared" si="34"/>
        <v>4.03125</v>
      </c>
    </row>
    <row r="56" spans="1:82" ht="27.95" customHeight="1">
      <c r="A56" s="71">
        <v>48</v>
      </c>
      <c r="B56" s="49">
        <v>34</v>
      </c>
      <c r="C56" s="50" t="s">
        <v>348</v>
      </c>
      <c r="D56" s="50" t="s">
        <v>432</v>
      </c>
      <c r="E56" s="50" t="s">
        <v>350</v>
      </c>
      <c r="F56" s="65" t="s">
        <v>351</v>
      </c>
      <c r="G56" s="78">
        <v>16</v>
      </c>
      <c r="H56" s="162">
        <v>31</v>
      </c>
      <c r="I56" s="163">
        <f t="shared" si="57"/>
        <v>47</v>
      </c>
      <c r="J56" s="162">
        <v>21</v>
      </c>
      <c r="K56" s="163">
        <f t="shared" si="58"/>
        <v>68</v>
      </c>
      <c r="L56" s="149">
        <v>9</v>
      </c>
      <c r="M56" s="162">
        <v>20</v>
      </c>
      <c r="N56" s="163">
        <f t="shared" si="59"/>
        <v>29</v>
      </c>
      <c r="O56" s="151">
        <f t="shared" si="5"/>
        <v>29</v>
      </c>
      <c r="P56" s="163">
        <f t="shared" si="37"/>
        <v>97</v>
      </c>
      <c r="Q56" s="215"/>
      <c r="R56" s="162">
        <f t="shared" si="39"/>
        <v>3.5</v>
      </c>
      <c r="S56" s="149">
        <v>12</v>
      </c>
      <c r="T56" s="162">
        <v>24</v>
      </c>
      <c r="U56" s="163">
        <f t="shared" si="40"/>
        <v>36</v>
      </c>
      <c r="V56" s="149">
        <v>6</v>
      </c>
      <c r="W56" s="162">
        <v>21</v>
      </c>
      <c r="X56" s="163">
        <f t="shared" si="41"/>
        <v>27</v>
      </c>
      <c r="Y56" s="163">
        <f t="shared" si="60"/>
        <v>63</v>
      </c>
      <c r="Z56" s="163">
        <f t="shared" si="61"/>
        <v>63</v>
      </c>
      <c r="AA56" s="215"/>
      <c r="AB56" s="162">
        <f t="shared" si="42"/>
        <v>2</v>
      </c>
      <c r="AC56" s="149">
        <v>16</v>
      </c>
      <c r="AD56" s="162">
        <v>26</v>
      </c>
      <c r="AE56" s="163">
        <f t="shared" si="43"/>
        <v>42</v>
      </c>
      <c r="AF56" s="162">
        <v>16</v>
      </c>
      <c r="AG56" s="163">
        <f t="shared" si="44"/>
        <v>58</v>
      </c>
      <c r="AH56" s="215"/>
      <c r="AI56" s="162">
        <f t="shared" si="45"/>
        <v>3</v>
      </c>
      <c r="AJ56" s="149">
        <v>17</v>
      </c>
      <c r="AK56" s="162">
        <v>19</v>
      </c>
      <c r="AL56" s="163">
        <f t="shared" si="46"/>
        <v>36</v>
      </c>
      <c r="AM56" s="162">
        <v>18</v>
      </c>
      <c r="AN56" s="163">
        <f t="shared" si="62"/>
        <v>54</v>
      </c>
      <c r="AO56" s="217"/>
      <c r="AP56" s="162">
        <f t="shared" si="47"/>
        <v>3</v>
      </c>
      <c r="AQ56" s="162">
        <v>22</v>
      </c>
      <c r="AR56" s="162">
        <v>25</v>
      </c>
      <c r="AS56" s="150">
        <f t="shared" si="17"/>
        <v>47</v>
      </c>
      <c r="AT56" s="218"/>
      <c r="AU56" s="162">
        <f t="shared" si="48"/>
        <v>5</v>
      </c>
      <c r="AV56" s="149">
        <v>16</v>
      </c>
      <c r="AW56" s="162">
        <v>29</v>
      </c>
      <c r="AX56" s="163">
        <f t="shared" si="49"/>
        <v>45</v>
      </c>
      <c r="AY56" s="162">
        <v>27</v>
      </c>
      <c r="AZ56" s="163">
        <f t="shared" si="50"/>
        <v>72</v>
      </c>
      <c r="BA56" s="217"/>
      <c r="BB56" s="162">
        <f t="shared" si="51"/>
        <v>4</v>
      </c>
      <c r="BC56" s="149">
        <v>19</v>
      </c>
      <c r="BD56" s="162">
        <v>31</v>
      </c>
      <c r="BE56" s="163">
        <f t="shared" si="52"/>
        <v>50</v>
      </c>
      <c r="BF56" s="162">
        <v>27</v>
      </c>
      <c r="BG56" s="163">
        <f t="shared" si="53"/>
        <v>77</v>
      </c>
      <c r="BH56" s="217"/>
      <c r="BI56" s="162">
        <f t="shared" si="54"/>
        <v>4</v>
      </c>
      <c r="BJ56" s="149">
        <v>9</v>
      </c>
      <c r="BK56" s="162">
        <v>32</v>
      </c>
      <c r="BL56" s="163">
        <f t="shared" si="55"/>
        <v>41</v>
      </c>
      <c r="BM56" s="151">
        <f t="shared" si="26"/>
        <v>41</v>
      </c>
      <c r="BN56" s="217"/>
      <c r="BO56" s="162">
        <f t="shared" si="38"/>
        <v>5</v>
      </c>
      <c r="BP56" s="150">
        <f t="shared" si="27"/>
        <v>29.5</v>
      </c>
      <c r="BQ56" s="152">
        <f t="shared" si="28"/>
        <v>3.6875</v>
      </c>
      <c r="BR56" s="164" t="str">
        <f t="shared" si="56"/>
        <v>A-</v>
      </c>
      <c r="BS56" s="165" t="str">
        <f t="shared" si="3"/>
        <v>GOOD</v>
      </c>
      <c r="BT56" s="154">
        <f t="shared" si="30"/>
        <v>509</v>
      </c>
      <c r="BU56" s="62"/>
      <c r="BV56" s="62"/>
      <c r="BW56" s="178">
        <f>'1st_Semester'!BT56</f>
        <v>675</v>
      </c>
      <c r="BX56" s="179">
        <f>'2nd_Semester'!BT56</f>
        <v>545</v>
      </c>
      <c r="BY56" s="179">
        <f t="shared" si="31"/>
        <v>509</v>
      </c>
      <c r="BZ56" s="179">
        <f t="shared" si="32"/>
        <v>576.33333333333337</v>
      </c>
      <c r="CA56" s="182">
        <f>'1st_Semester'!BQ56</f>
        <v>4.625</v>
      </c>
      <c r="CB56" s="182">
        <f>'2nd_Semester'!BQ56</f>
        <v>3.8125</v>
      </c>
      <c r="CC56" s="182">
        <f t="shared" si="33"/>
        <v>3.6875</v>
      </c>
      <c r="CD56" s="182">
        <f t="shared" si="34"/>
        <v>4.041666666666667</v>
      </c>
    </row>
    <row r="57" spans="1:82" ht="27.95" customHeight="1">
      <c r="A57" s="71">
        <v>49</v>
      </c>
      <c r="B57" s="49">
        <v>39</v>
      </c>
      <c r="C57" s="50" t="s">
        <v>225</v>
      </c>
      <c r="D57" s="50" t="s">
        <v>226</v>
      </c>
      <c r="E57" s="50" t="s">
        <v>227</v>
      </c>
      <c r="F57" s="65" t="s">
        <v>228</v>
      </c>
      <c r="G57" s="78">
        <v>14</v>
      </c>
      <c r="H57" s="162">
        <v>41</v>
      </c>
      <c r="I57" s="163">
        <f t="shared" si="57"/>
        <v>55</v>
      </c>
      <c r="J57" s="162">
        <v>17</v>
      </c>
      <c r="K57" s="163">
        <f t="shared" si="58"/>
        <v>72</v>
      </c>
      <c r="L57" s="149">
        <v>10</v>
      </c>
      <c r="M57" s="162">
        <v>30</v>
      </c>
      <c r="N57" s="163">
        <f t="shared" si="59"/>
        <v>40</v>
      </c>
      <c r="O57" s="151">
        <f t="shared" si="5"/>
        <v>40</v>
      </c>
      <c r="P57" s="163">
        <f t="shared" si="37"/>
        <v>112</v>
      </c>
      <c r="Q57" s="215"/>
      <c r="R57" s="162">
        <f t="shared" si="39"/>
        <v>4</v>
      </c>
      <c r="S57" s="149">
        <v>17</v>
      </c>
      <c r="T57" s="162">
        <v>48</v>
      </c>
      <c r="U57" s="163">
        <f t="shared" si="40"/>
        <v>65</v>
      </c>
      <c r="V57" s="149">
        <v>7</v>
      </c>
      <c r="W57" s="162">
        <v>30</v>
      </c>
      <c r="X57" s="163">
        <f t="shared" si="41"/>
        <v>37</v>
      </c>
      <c r="Y57" s="163">
        <f t="shared" si="60"/>
        <v>102</v>
      </c>
      <c r="Z57" s="163">
        <f t="shared" si="61"/>
        <v>102</v>
      </c>
      <c r="AA57" s="215"/>
      <c r="AB57" s="162">
        <f t="shared" si="42"/>
        <v>3.5</v>
      </c>
      <c r="AC57" s="149">
        <v>13</v>
      </c>
      <c r="AD57" s="162">
        <v>15</v>
      </c>
      <c r="AE57" s="163">
        <f t="shared" si="43"/>
        <v>28</v>
      </c>
      <c r="AF57" s="162">
        <v>14</v>
      </c>
      <c r="AG57" s="163">
        <f t="shared" si="44"/>
        <v>42</v>
      </c>
      <c r="AH57" s="215"/>
      <c r="AI57" s="162">
        <f t="shared" si="45"/>
        <v>2</v>
      </c>
      <c r="AJ57" s="149">
        <v>13</v>
      </c>
      <c r="AK57" s="162">
        <v>26</v>
      </c>
      <c r="AL57" s="163">
        <f t="shared" si="46"/>
        <v>39</v>
      </c>
      <c r="AM57" s="162">
        <v>21</v>
      </c>
      <c r="AN57" s="163">
        <f t="shared" si="62"/>
        <v>60</v>
      </c>
      <c r="AO57" s="217"/>
      <c r="AP57" s="162">
        <f t="shared" si="47"/>
        <v>3.5</v>
      </c>
      <c r="AQ57" s="162">
        <v>24</v>
      </c>
      <c r="AR57" s="162">
        <v>25</v>
      </c>
      <c r="AS57" s="150">
        <f t="shared" si="17"/>
        <v>49</v>
      </c>
      <c r="AT57" s="218"/>
      <c r="AU57" s="162">
        <f t="shared" si="48"/>
        <v>5</v>
      </c>
      <c r="AV57" s="149">
        <v>16</v>
      </c>
      <c r="AW57" s="162">
        <v>34</v>
      </c>
      <c r="AX57" s="163">
        <f t="shared" si="49"/>
        <v>50</v>
      </c>
      <c r="AY57" s="162">
        <v>26</v>
      </c>
      <c r="AZ57" s="163">
        <f t="shared" si="50"/>
        <v>76</v>
      </c>
      <c r="BA57" s="217"/>
      <c r="BB57" s="162">
        <f t="shared" si="51"/>
        <v>4</v>
      </c>
      <c r="BC57" s="149">
        <v>16</v>
      </c>
      <c r="BD57" s="162">
        <v>29</v>
      </c>
      <c r="BE57" s="163">
        <f t="shared" si="52"/>
        <v>45</v>
      </c>
      <c r="BF57" s="162">
        <v>29</v>
      </c>
      <c r="BG57" s="163">
        <f t="shared" si="53"/>
        <v>74</v>
      </c>
      <c r="BH57" s="217"/>
      <c r="BI57" s="162">
        <f t="shared" si="54"/>
        <v>4</v>
      </c>
      <c r="BJ57" s="149">
        <v>9</v>
      </c>
      <c r="BK57" s="162">
        <v>32</v>
      </c>
      <c r="BL57" s="163">
        <f t="shared" si="55"/>
        <v>41</v>
      </c>
      <c r="BM57" s="151">
        <f t="shared" si="26"/>
        <v>41</v>
      </c>
      <c r="BN57" s="217"/>
      <c r="BO57" s="162">
        <f t="shared" si="38"/>
        <v>5</v>
      </c>
      <c r="BP57" s="150">
        <f t="shared" si="27"/>
        <v>31</v>
      </c>
      <c r="BQ57" s="152">
        <f t="shared" si="28"/>
        <v>3.875</v>
      </c>
      <c r="BR57" s="164" t="str">
        <f t="shared" si="56"/>
        <v>A-</v>
      </c>
      <c r="BS57" s="165" t="str">
        <f t="shared" si="3"/>
        <v>GOOD</v>
      </c>
      <c r="BT57" s="154">
        <f t="shared" si="30"/>
        <v>556</v>
      </c>
      <c r="BU57" s="62"/>
      <c r="BV57" s="62"/>
      <c r="BW57" s="178">
        <f>'1st_Semester'!BT57</f>
        <v>588</v>
      </c>
      <c r="BX57" s="179">
        <f>'2nd_Semester'!BT57</f>
        <v>524</v>
      </c>
      <c r="BY57" s="179">
        <f t="shared" si="31"/>
        <v>556</v>
      </c>
      <c r="BZ57" s="179">
        <f t="shared" si="32"/>
        <v>556</v>
      </c>
      <c r="CA57" s="182">
        <f>'1st_Semester'!BQ57</f>
        <v>3.9375</v>
      </c>
      <c r="CB57" s="182">
        <f>'2nd_Semester'!BQ57</f>
        <v>3.625</v>
      </c>
      <c r="CC57" s="182">
        <f t="shared" si="33"/>
        <v>3.875</v>
      </c>
      <c r="CD57" s="182">
        <f t="shared" si="34"/>
        <v>3.8125</v>
      </c>
    </row>
    <row r="58" spans="1:82" ht="27.95" customHeight="1">
      <c r="A58" s="71">
        <v>50</v>
      </c>
      <c r="B58" s="49">
        <v>45</v>
      </c>
      <c r="C58" s="50" t="s">
        <v>229</v>
      </c>
      <c r="D58" s="50" t="s">
        <v>230</v>
      </c>
      <c r="E58" s="50" t="s">
        <v>231</v>
      </c>
      <c r="F58" s="65" t="s">
        <v>232</v>
      </c>
      <c r="G58" s="78">
        <v>13</v>
      </c>
      <c r="H58" s="162">
        <v>27</v>
      </c>
      <c r="I58" s="163">
        <f t="shared" si="57"/>
        <v>40</v>
      </c>
      <c r="J58" s="162">
        <v>22</v>
      </c>
      <c r="K58" s="163">
        <f t="shared" si="58"/>
        <v>62</v>
      </c>
      <c r="L58" s="149">
        <v>9</v>
      </c>
      <c r="M58" s="162">
        <v>24</v>
      </c>
      <c r="N58" s="163">
        <f t="shared" si="59"/>
        <v>33</v>
      </c>
      <c r="O58" s="151">
        <f t="shared" si="5"/>
        <v>33</v>
      </c>
      <c r="P58" s="163">
        <f t="shared" si="37"/>
        <v>95</v>
      </c>
      <c r="Q58" s="215"/>
      <c r="R58" s="162">
        <f t="shared" si="39"/>
        <v>3.5</v>
      </c>
      <c r="S58" s="149">
        <v>16</v>
      </c>
      <c r="T58" s="162">
        <v>40</v>
      </c>
      <c r="U58" s="163">
        <f t="shared" si="40"/>
        <v>56</v>
      </c>
      <c r="V58" s="149">
        <v>6</v>
      </c>
      <c r="W58" s="162">
        <v>21</v>
      </c>
      <c r="X58" s="163">
        <f t="shared" si="41"/>
        <v>27</v>
      </c>
      <c r="Y58" s="163">
        <f t="shared" si="60"/>
        <v>83</v>
      </c>
      <c r="Z58" s="163">
        <f t="shared" si="61"/>
        <v>83</v>
      </c>
      <c r="AA58" s="215"/>
      <c r="AB58" s="162">
        <f t="shared" si="42"/>
        <v>3</v>
      </c>
      <c r="AC58" s="149">
        <v>11</v>
      </c>
      <c r="AD58" s="162">
        <v>17</v>
      </c>
      <c r="AE58" s="163">
        <f t="shared" si="43"/>
        <v>28</v>
      </c>
      <c r="AF58" s="162">
        <v>14</v>
      </c>
      <c r="AG58" s="163">
        <f t="shared" si="44"/>
        <v>42</v>
      </c>
      <c r="AH58" s="215"/>
      <c r="AI58" s="162">
        <f t="shared" si="45"/>
        <v>2</v>
      </c>
      <c r="AJ58" s="149">
        <v>14</v>
      </c>
      <c r="AK58" s="162">
        <v>29</v>
      </c>
      <c r="AL58" s="163">
        <f t="shared" si="46"/>
        <v>43</v>
      </c>
      <c r="AM58" s="162">
        <v>15</v>
      </c>
      <c r="AN58" s="163">
        <f t="shared" si="62"/>
        <v>58</v>
      </c>
      <c r="AO58" s="217"/>
      <c r="AP58" s="162">
        <f t="shared" si="47"/>
        <v>3</v>
      </c>
      <c r="AQ58" s="162">
        <v>24</v>
      </c>
      <c r="AR58" s="162">
        <v>25</v>
      </c>
      <c r="AS58" s="150">
        <f t="shared" si="17"/>
        <v>49</v>
      </c>
      <c r="AT58" s="218"/>
      <c r="AU58" s="162">
        <f t="shared" si="48"/>
        <v>5</v>
      </c>
      <c r="AV58" s="149">
        <v>16</v>
      </c>
      <c r="AW58" s="162">
        <v>41</v>
      </c>
      <c r="AX58" s="163">
        <f t="shared" si="49"/>
        <v>57</v>
      </c>
      <c r="AY58" s="162">
        <v>26</v>
      </c>
      <c r="AZ58" s="163">
        <f t="shared" si="50"/>
        <v>83</v>
      </c>
      <c r="BA58" s="217"/>
      <c r="BB58" s="162">
        <f t="shared" si="51"/>
        <v>5</v>
      </c>
      <c r="BC58" s="149">
        <v>16</v>
      </c>
      <c r="BD58" s="162">
        <v>26</v>
      </c>
      <c r="BE58" s="163">
        <f t="shared" si="52"/>
        <v>42</v>
      </c>
      <c r="BF58" s="162">
        <v>30</v>
      </c>
      <c r="BG58" s="163">
        <f t="shared" si="53"/>
        <v>72</v>
      </c>
      <c r="BH58" s="217"/>
      <c r="BI58" s="162">
        <f t="shared" si="54"/>
        <v>4</v>
      </c>
      <c r="BJ58" s="149">
        <v>7</v>
      </c>
      <c r="BK58" s="162">
        <v>33</v>
      </c>
      <c r="BL58" s="163">
        <f t="shared" si="55"/>
        <v>40</v>
      </c>
      <c r="BM58" s="151">
        <f t="shared" si="26"/>
        <v>40</v>
      </c>
      <c r="BN58" s="217"/>
      <c r="BO58" s="162">
        <f t="shared" si="38"/>
        <v>5</v>
      </c>
      <c r="BP58" s="150">
        <f t="shared" si="27"/>
        <v>30.5</v>
      </c>
      <c r="BQ58" s="152">
        <f t="shared" si="28"/>
        <v>3.8125</v>
      </c>
      <c r="BR58" s="164" t="str">
        <f t="shared" si="56"/>
        <v>A-</v>
      </c>
      <c r="BS58" s="165" t="str">
        <f t="shared" si="3"/>
        <v>GOOD</v>
      </c>
      <c r="BT58" s="154">
        <f t="shared" si="30"/>
        <v>522</v>
      </c>
      <c r="BU58" s="62"/>
      <c r="BV58" s="62"/>
      <c r="BW58" s="178">
        <f>'1st_Semester'!BT58</f>
        <v>669</v>
      </c>
      <c r="BX58" s="179">
        <f>'2nd_Semester'!BT58</f>
        <v>487</v>
      </c>
      <c r="BY58" s="179">
        <f t="shared" si="31"/>
        <v>522</v>
      </c>
      <c r="BZ58" s="179">
        <f t="shared" si="32"/>
        <v>559.33333333333337</v>
      </c>
      <c r="CA58" s="182">
        <f>'1st_Semester'!BQ58</f>
        <v>4.75</v>
      </c>
      <c r="CB58" s="182">
        <f>'2nd_Semester'!BQ58</f>
        <v>3.375</v>
      </c>
      <c r="CC58" s="182">
        <f t="shared" si="33"/>
        <v>3.8125</v>
      </c>
      <c r="CD58" s="182">
        <f t="shared" si="34"/>
        <v>3.9791666666666665</v>
      </c>
    </row>
    <row r="59" spans="1:82" ht="27.95" customHeight="1">
      <c r="A59" s="71">
        <v>51</v>
      </c>
      <c r="B59" s="49">
        <v>47</v>
      </c>
      <c r="C59" s="50" t="s">
        <v>233</v>
      </c>
      <c r="D59" s="50" t="s">
        <v>234</v>
      </c>
      <c r="E59" s="50" t="s">
        <v>235</v>
      </c>
      <c r="F59" s="65" t="s">
        <v>236</v>
      </c>
      <c r="G59" s="78">
        <v>15</v>
      </c>
      <c r="H59" s="162">
        <v>19</v>
      </c>
      <c r="I59" s="163">
        <f t="shared" si="57"/>
        <v>34</v>
      </c>
      <c r="J59" s="162">
        <v>17</v>
      </c>
      <c r="K59" s="163">
        <f t="shared" si="58"/>
        <v>51</v>
      </c>
      <c r="L59" s="149">
        <v>9</v>
      </c>
      <c r="M59" s="162">
        <v>18</v>
      </c>
      <c r="N59" s="163">
        <f t="shared" si="59"/>
        <v>27</v>
      </c>
      <c r="O59" s="151">
        <f t="shared" si="5"/>
        <v>27</v>
      </c>
      <c r="P59" s="163">
        <f t="shared" si="37"/>
        <v>78</v>
      </c>
      <c r="Q59" s="215"/>
      <c r="R59" s="162">
        <f t="shared" si="39"/>
        <v>3</v>
      </c>
      <c r="S59" s="149">
        <v>16</v>
      </c>
      <c r="T59" s="162">
        <v>35</v>
      </c>
      <c r="U59" s="163">
        <f t="shared" si="40"/>
        <v>51</v>
      </c>
      <c r="V59" s="149">
        <v>7</v>
      </c>
      <c r="W59" s="162">
        <v>21</v>
      </c>
      <c r="X59" s="163">
        <f t="shared" si="41"/>
        <v>28</v>
      </c>
      <c r="Y59" s="163">
        <f t="shared" si="60"/>
        <v>79</v>
      </c>
      <c r="Z59" s="163">
        <f t="shared" si="61"/>
        <v>79</v>
      </c>
      <c r="AA59" s="215"/>
      <c r="AB59" s="162">
        <f t="shared" si="42"/>
        <v>3</v>
      </c>
      <c r="AC59" s="149">
        <v>13</v>
      </c>
      <c r="AD59" s="162">
        <v>10</v>
      </c>
      <c r="AE59" s="163">
        <f t="shared" si="43"/>
        <v>23</v>
      </c>
      <c r="AF59" s="162">
        <v>18</v>
      </c>
      <c r="AG59" s="163">
        <f t="shared" si="44"/>
        <v>41</v>
      </c>
      <c r="AH59" s="215"/>
      <c r="AI59" s="162">
        <f t="shared" si="45"/>
        <v>2</v>
      </c>
      <c r="AJ59" s="149">
        <v>15</v>
      </c>
      <c r="AK59" s="162">
        <v>20</v>
      </c>
      <c r="AL59" s="163">
        <f t="shared" si="46"/>
        <v>35</v>
      </c>
      <c r="AM59" s="162">
        <v>14</v>
      </c>
      <c r="AN59" s="163">
        <f t="shared" si="62"/>
        <v>49</v>
      </c>
      <c r="AO59" s="217"/>
      <c r="AP59" s="162">
        <f t="shared" si="47"/>
        <v>2</v>
      </c>
      <c r="AQ59" s="162">
        <v>20</v>
      </c>
      <c r="AR59" s="162">
        <v>20</v>
      </c>
      <c r="AS59" s="150">
        <f t="shared" si="17"/>
        <v>40</v>
      </c>
      <c r="AT59" s="218"/>
      <c r="AU59" s="162">
        <f t="shared" si="48"/>
        <v>5</v>
      </c>
      <c r="AV59" s="149">
        <v>15</v>
      </c>
      <c r="AW59" s="162">
        <v>25</v>
      </c>
      <c r="AX59" s="163">
        <f t="shared" si="49"/>
        <v>40</v>
      </c>
      <c r="AY59" s="162">
        <v>26</v>
      </c>
      <c r="AZ59" s="163">
        <f t="shared" si="50"/>
        <v>66</v>
      </c>
      <c r="BA59" s="217"/>
      <c r="BB59" s="162">
        <f t="shared" si="51"/>
        <v>3.5</v>
      </c>
      <c r="BC59" s="149">
        <v>14</v>
      </c>
      <c r="BD59" s="162">
        <v>24</v>
      </c>
      <c r="BE59" s="163">
        <f t="shared" si="52"/>
        <v>38</v>
      </c>
      <c r="BF59" s="162">
        <v>29</v>
      </c>
      <c r="BG59" s="163">
        <f t="shared" si="53"/>
        <v>67</v>
      </c>
      <c r="BH59" s="217"/>
      <c r="BI59" s="162">
        <f t="shared" si="54"/>
        <v>3.5</v>
      </c>
      <c r="BJ59" s="149">
        <v>9</v>
      </c>
      <c r="BK59" s="162">
        <v>32</v>
      </c>
      <c r="BL59" s="163">
        <f t="shared" si="55"/>
        <v>41</v>
      </c>
      <c r="BM59" s="151">
        <f t="shared" si="26"/>
        <v>41</v>
      </c>
      <c r="BN59" s="217"/>
      <c r="BO59" s="162">
        <f t="shared" si="38"/>
        <v>5</v>
      </c>
      <c r="BP59" s="150">
        <f t="shared" si="27"/>
        <v>27</v>
      </c>
      <c r="BQ59" s="152">
        <f t="shared" si="28"/>
        <v>3.375</v>
      </c>
      <c r="BR59" s="164" t="str">
        <f t="shared" si="56"/>
        <v>B</v>
      </c>
      <c r="BS59" s="165" t="str">
        <f t="shared" si="3"/>
        <v>GOOD</v>
      </c>
      <c r="BT59" s="154">
        <f t="shared" si="30"/>
        <v>461</v>
      </c>
      <c r="BU59" s="62"/>
      <c r="BV59" s="62"/>
      <c r="BW59" s="178">
        <f>'1st_Semester'!BT59</f>
        <v>673</v>
      </c>
      <c r="BX59" s="179">
        <f>'2nd_Semester'!BT59</f>
        <v>486</v>
      </c>
      <c r="BY59" s="179">
        <f t="shared" si="31"/>
        <v>461</v>
      </c>
      <c r="BZ59" s="179">
        <f t="shared" si="32"/>
        <v>540</v>
      </c>
      <c r="CA59" s="182">
        <f>'1st_Semester'!BQ59</f>
        <v>4.8125</v>
      </c>
      <c r="CB59" s="182">
        <f>'2nd_Semester'!BQ59</f>
        <v>3.375</v>
      </c>
      <c r="CC59" s="182">
        <f t="shared" si="33"/>
        <v>3.375</v>
      </c>
      <c r="CD59" s="182">
        <f t="shared" si="34"/>
        <v>3.8541666666666665</v>
      </c>
    </row>
    <row r="60" spans="1:82" ht="27.95" customHeight="1">
      <c r="A60" s="71">
        <v>52</v>
      </c>
      <c r="B60" s="49">
        <v>49</v>
      </c>
      <c r="C60" s="50" t="s">
        <v>237</v>
      </c>
      <c r="D60" s="50" t="s">
        <v>238</v>
      </c>
      <c r="E60" s="50" t="s">
        <v>239</v>
      </c>
      <c r="F60" s="65" t="s">
        <v>240</v>
      </c>
      <c r="G60" s="78">
        <v>17</v>
      </c>
      <c r="H60" s="162">
        <v>29</v>
      </c>
      <c r="I60" s="163">
        <f t="shared" si="57"/>
        <v>46</v>
      </c>
      <c r="J60" s="162">
        <v>21</v>
      </c>
      <c r="K60" s="163">
        <f t="shared" si="58"/>
        <v>67</v>
      </c>
      <c r="L60" s="149">
        <v>9</v>
      </c>
      <c r="M60" s="162">
        <v>32</v>
      </c>
      <c r="N60" s="163">
        <f t="shared" si="59"/>
        <v>41</v>
      </c>
      <c r="O60" s="151">
        <f t="shared" si="5"/>
        <v>41</v>
      </c>
      <c r="P60" s="163">
        <f t="shared" si="37"/>
        <v>108</v>
      </c>
      <c r="Q60" s="215"/>
      <c r="R60" s="162">
        <f t="shared" si="39"/>
        <v>4</v>
      </c>
      <c r="S60" s="149">
        <v>16</v>
      </c>
      <c r="T60" s="162">
        <v>49</v>
      </c>
      <c r="U60" s="163">
        <f t="shared" si="40"/>
        <v>65</v>
      </c>
      <c r="V60" s="149">
        <v>8</v>
      </c>
      <c r="W60" s="162">
        <v>34</v>
      </c>
      <c r="X60" s="163">
        <f t="shared" si="41"/>
        <v>42</v>
      </c>
      <c r="Y60" s="163">
        <f t="shared" si="60"/>
        <v>107</v>
      </c>
      <c r="Z60" s="163">
        <f t="shared" si="61"/>
        <v>107</v>
      </c>
      <c r="AA60" s="215"/>
      <c r="AB60" s="162">
        <f t="shared" si="42"/>
        <v>4</v>
      </c>
      <c r="AC60" s="149">
        <v>13</v>
      </c>
      <c r="AD60" s="162">
        <v>19</v>
      </c>
      <c r="AE60" s="163">
        <f t="shared" si="43"/>
        <v>32</v>
      </c>
      <c r="AF60" s="162">
        <v>13</v>
      </c>
      <c r="AG60" s="163">
        <f t="shared" si="44"/>
        <v>45</v>
      </c>
      <c r="AH60" s="215"/>
      <c r="AI60" s="162">
        <f t="shared" si="45"/>
        <v>2</v>
      </c>
      <c r="AJ60" s="149">
        <v>16</v>
      </c>
      <c r="AK60" s="162">
        <v>20</v>
      </c>
      <c r="AL60" s="163">
        <f t="shared" si="46"/>
        <v>36</v>
      </c>
      <c r="AM60" s="162">
        <v>17</v>
      </c>
      <c r="AN60" s="163">
        <f t="shared" si="62"/>
        <v>53</v>
      </c>
      <c r="AO60" s="217"/>
      <c r="AP60" s="162">
        <f t="shared" si="47"/>
        <v>3</v>
      </c>
      <c r="AQ60" s="162">
        <v>25</v>
      </c>
      <c r="AR60" s="162">
        <v>25</v>
      </c>
      <c r="AS60" s="150">
        <f t="shared" si="17"/>
        <v>50</v>
      </c>
      <c r="AT60" s="218"/>
      <c r="AU60" s="162">
        <f t="shared" si="48"/>
        <v>5</v>
      </c>
      <c r="AV60" s="149">
        <v>18</v>
      </c>
      <c r="AW60" s="162">
        <v>36</v>
      </c>
      <c r="AX60" s="163">
        <f t="shared" si="49"/>
        <v>54</v>
      </c>
      <c r="AY60" s="162">
        <v>26</v>
      </c>
      <c r="AZ60" s="163">
        <f t="shared" si="50"/>
        <v>80</v>
      </c>
      <c r="BA60" s="217"/>
      <c r="BB60" s="162">
        <f t="shared" si="51"/>
        <v>5</v>
      </c>
      <c r="BC60" s="149">
        <v>13</v>
      </c>
      <c r="BD60" s="162">
        <v>26</v>
      </c>
      <c r="BE60" s="163">
        <f t="shared" si="52"/>
        <v>39</v>
      </c>
      <c r="BF60" s="162">
        <v>28</v>
      </c>
      <c r="BG60" s="163">
        <f t="shared" si="53"/>
        <v>67</v>
      </c>
      <c r="BH60" s="217"/>
      <c r="BI60" s="162">
        <f t="shared" si="54"/>
        <v>3.5</v>
      </c>
      <c r="BJ60" s="149">
        <v>10</v>
      </c>
      <c r="BK60" s="162">
        <v>32</v>
      </c>
      <c r="BL60" s="163">
        <f t="shared" si="55"/>
        <v>42</v>
      </c>
      <c r="BM60" s="151">
        <f t="shared" si="26"/>
        <v>42</v>
      </c>
      <c r="BN60" s="217"/>
      <c r="BO60" s="162">
        <f t="shared" si="38"/>
        <v>5</v>
      </c>
      <c r="BP60" s="150">
        <f t="shared" si="27"/>
        <v>31.5</v>
      </c>
      <c r="BQ60" s="152">
        <f t="shared" si="28"/>
        <v>3.9375</v>
      </c>
      <c r="BR60" s="164" t="str">
        <f t="shared" si="56"/>
        <v>A-</v>
      </c>
      <c r="BS60" s="165" t="str">
        <f t="shared" si="3"/>
        <v>GOOD</v>
      </c>
      <c r="BT60" s="154">
        <f t="shared" si="30"/>
        <v>552</v>
      </c>
      <c r="BU60" s="62"/>
      <c r="BV60" s="62"/>
      <c r="BW60" s="178">
        <f>'1st_Semester'!BT60</f>
        <v>537</v>
      </c>
      <c r="BX60" s="179">
        <f>'2nd_Semester'!BT60</f>
        <v>527</v>
      </c>
      <c r="BY60" s="179">
        <f t="shared" si="31"/>
        <v>552</v>
      </c>
      <c r="BZ60" s="179">
        <f t="shared" si="32"/>
        <v>538.66666666666663</v>
      </c>
      <c r="CA60" s="182">
        <f>'1st_Semester'!BQ60</f>
        <v>3.625</v>
      </c>
      <c r="CB60" s="182">
        <f>'2nd_Semester'!BQ60</f>
        <v>3.6875</v>
      </c>
      <c r="CC60" s="182">
        <f t="shared" si="33"/>
        <v>3.9375</v>
      </c>
      <c r="CD60" s="182">
        <f t="shared" si="34"/>
        <v>3.75</v>
      </c>
    </row>
    <row r="61" spans="1:82" ht="27.95" customHeight="1">
      <c r="A61" s="71">
        <v>53</v>
      </c>
      <c r="B61" s="49">
        <v>51</v>
      </c>
      <c r="C61" s="50" t="s">
        <v>241</v>
      </c>
      <c r="D61" s="50" t="s">
        <v>242</v>
      </c>
      <c r="E61" s="50" t="s">
        <v>243</v>
      </c>
      <c r="F61" s="65" t="s">
        <v>244</v>
      </c>
      <c r="G61" s="78">
        <v>17</v>
      </c>
      <c r="H61" s="162">
        <v>39</v>
      </c>
      <c r="I61" s="163">
        <f t="shared" si="57"/>
        <v>56</v>
      </c>
      <c r="J61" s="162">
        <v>17</v>
      </c>
      <c r="K61" s="163">
        <f t="shared" si="58"/>
        <v>73</v>
      </c>
      <c r="L61" s="149">
        <v>9</v>
      </c>
      <c r="M61" s="162">
        <v>30</v>
      </c>
      <c r="N61" s="163">
        <f t="shared" si="59"/>
        <v>39</v>
      </c>
      <c r="O61" s="151">
        <f t="shared" si="5"/>
        <v>39</v>
      </c>
      <c r="P61" s="163">
        <f t="shared" si="37"/>
        <v>112</v>
      </c>
      <c r="Q61" s="215"/>
      <c r="R61" s="162">
        <f t="shared" si="39"/>
        <v>4</v>
      </c>
      <c r="S61" s="149">
        <v>19</v>
      </c>
      <c r="T61" s="162">
        <v>70</v>
      </c>
      <c r="U61" s="163">
        <f t="shared" si="40"/>
        <v>89</v>
      </c>
      <c r="V61" s="149">
        <v>10</v>
      </c>
      <c r="W61" s="162">
        <v>24</v>
      </c>
      <c r="X61" s="163">
        <f t="shared" si="41"/>
        <v>34</v>
      </c>
      <c r="Y61" s="163">
        <f t="shared" si="60"/>
        <v>123</v>
      </c>
      <c r="Z61" s="163">
        <f t="shared" si="61"/>
        <v>123</v>
      </c>
      <c r="AA61" s="215"/>
      <c r="AB61" s="162">
        <f t="shared" si="42"/>
        <v>5</v>
      </c>
      <c r="AC61" s="149">
        <v>16</v>
      </c>
      <c r="AD61" s="162">
        <v>24</v>
      </c>
      <c r="AE61" s="163">
        <f t="shared" si="43"/>
        <v>40</v>
      </c>
      <c r="AF61" s="162">
        <v>17</v>
      </c>
      <c r="AG61" s="163">
        <f t="shared" si="44"/>
        <v>57</v>
      </c>
      <c r="AH61" s="215"/>
      <c r="AI61" s="162">
        <f t="shared" si="45"/>
        <v>3</v>
      </c>
      <c r="AJ61" s="149">
        <v>17</v>
      </c>
      <c r="AK61" s="162">
        <v>32</v>
      </c>
      <c r="AL61" s="163">
        <f t="shared" si="46"/>
        <v>49</v>
      </c>
      <c r="AM61" s="162">
        <v>16</v>
      </c>
      <c r="AN61" s="163">
        <f t="shared" si="62"/>
        <v>65</v>
      </c>
      <c r="AO61" s="217"/>
      <c r="AP61" s="162">
        <f t="shared" si="47"/>
        <v>3.5</v>
      </c>
      <c r="AQ61" s="162">
        <v>25</v>
      </c>
      <c r="AR61" s="162">
        <v>25</v>
      </c>
      <c r="AS61" s="150">
        <f t="shared" si="17"/>
        <v>50</v>
      </c>
      <c r="AT61" s="218"/>
      <c r="AU61" s="162">
        <f t="shared" si="48"/>
        <v>5</v>
      </c>
      <c r="AV61" s="149">
        <v>17</v>
      </c>
      <c r="AW61" s="162">
        <v>41</v>
      </c>
      <c r="AX61" s="163">
        <f t="shared" si="49"/>
        <v>58</v>
      </c>
      <c r="AY61" s="162">
        <v>25</v>
      </c>
      <c r="AZ61" s="163">
        <f t="shared" si="50"/>
        <v>83</v>
      </c>
      <c r="BA61" s="217"/>
      <c r="BB61" s="162">
        <f t="shared" si="51"/>
        <v>5</v>
      </c>
      <c r="BC61" s="149">
        <v>17</v>
      </c>
      <c r="BD61" s="162">
        <v>31</v>
      </c>
      <c r="BE61" s="163">
        <f t="shared" si="52"/>
        <v>48</v>
      </c>
      <c r="BF61" s="162">
        <v>27</v>
      </c>
      <c r="BG61" s="163">
        <f t="shared" si="53"/>
        <v>75</v>
      </c>
      <c r="BH61" s="217"/>
      <c r="BI61" s="162">
        <f t="shared" si="54"/>
        <v>4</v>
      </c>
      <c r="BJ61" s="149">
        <v>10</v>
      </c>
      <c r="BK61" s="162">
        <v>32</v>
      </c>
      <c r="BL61" s="163">
        <f t="shared" si="55"/>
        <v>42</v>
      </c>
      <c r="BM61" s="151">
        <f t="shared" si="26"/>
        <v>42</v>
      </c>
      <c r="BN61" s="217"/>
      <c r="BO61" s="162">
        <f t="shared" si="38"/>
        <v>5</v>
      </c>
      <c r="BP61" s="150">
        <f t="shared" si="27"/>
        <v>34.5</v>
      </c>
      <c r="BQ61" s="152">
        <f t="shared" si="28"/>
        <v>4.3125</v>
      </c>
      <c r="BR61" s="164" t="str">
        <f t="shared" si="56"/>
        <v>A</v>
      </c>
      <c r="BS61" s="165" t="str">
        <f t="shared" si="3"/>
        <v>BETTER</v>
      </c>
      <c r="BT61" s="154">
        <f t="shared" si="30"/>
        <v>607</v>
      </c>
      <c r="BU61" s="62"/>
      <c r="BV61" s="62"/>
      <c r="BW61" s="178">
        <f>'1st_Semester'!BT61</f>
        <v>479</v>
      </c>
      <c r="BX61" s="179">
        <f>'2nd_Semester'!BT61</f>
        <v>576</v>
      </c>
      <c r="BY61" s="179">
        <f t="shared" si="31"/>
        <v>607</v>
      </c>
      <c r="BZ61" s="179">
        <f t="shared" si="32"/>
        <v>554</v>
      </c>
      <c r="CA61" s="182">
        <f>'1st_Semester'!BQ61</f>
        <v>3.375</v>
      </c>
      <c r="CB61" s="182">
        <f>'2nd_Semester'!BQ61</f>
        <v>3.875</v>
      </c>
      <c r="CC61" s="182">
        <f t="shared" si="33"/>
        <v>4.3125</v>
      </c>
      <c r="CD61" s="182">
        <f t="shared" si="34"/>
        <v>3.8541666666666665</v>
      </c>
    </row>
    <row r="62" spans="1:82" ht="27.95" customHeight="1">
      <c r="A62" s="71">
        <v>54</v>
      </c>
      <c r="B62" s="49">
        <v>53</v>
      </c>
      <c r="C62" s="50" t="s">
        <v>245</v>
      </c>
      <c r="D62" s="50" t="s">
        <v>246</v>
      </c>
      <c r="E62" s="50" t="s">
        <v>247</v>
      </c>
      <c r="F62" s="65" t="s">
        <v>248</v>
      </c>
      <c r="G62" s="78">
        <v>19</v>
      </c>
      <c r="H62" s="162">
        <v>26</v>
      </c>
      <c r="I62" s="163">
        <f t="shared" si="57"/>
        <v>45</v>
      </c>
      <c r="J62" s="162">
        <v>20</v>
      </c>
      <c r="K62" s="163">
        <f t="shared" si="58"/>
        <v>65</v>
      </c>
      <c r="L62" s="149">
        <v>9</v>
      </c>
      <c r="M62" s="162">
        <v>20</v>
      </c>
      <c r="N62" s="163">
        <f t="shared" si="59"/>
        <v>29</v>
      </c>
      <c r="O62" s="151">
        <f t="shared" si="5"/>
        <v>29</v>
      </c>
      <c r="P62" s="163">
        <f t="shared" si="37"/>
        <v>94</v>
      </c>
      <c r="Q62" s="215"/>
      <c r="R62" s="162">
        <f t="shared" si="39"/>
        <v>3</v>
      </c>
      <c r="S62" s="149">
        <v>19</v>
      </c>
      <c r="T62" s="162">
        <v>39</v>
      </c>
      <c r="U62" s="163">
        <f t="shared" si="40"/>
        <v>58</v>
      </c>
      <c r="V62" s="149">
        <v>9</v>
      </c>
      <c r="W62" s="162">
        <v>25</v>
      </c>
      <c r="X62" s="163">
        <f t="shared" si="41"/>
        <v>34</v>
      </c>
      <c r="Y62" s="163">
        <f t="shared" si="60"/>
        <v>92</v>
      </c>
      <c r="Z62" s="163">
        <f t="shared" si="61"/>
        <v>92</v>
      </c>
      <c r="AA62" s="215"/>
      <c r="AB62" s="162">
        <f t="shared" si="42"/>
        <v>3.5</v>
      </c>
      <c r="AC62" s="149">
        <v>10</v>
      </c>
      <c r="AD62" s="162">
        <v>14</v>
      </c>
      <c r="AE62" s="163">
        <f t="shared" si="43"/>
        <v>24</v>
      </c>
      <c r="AF62" s="162">
        <v>16</v>
      </c>
      <c r="AG62" s="163">
        <f t="shared" si="44"/>
        <v>40</v>
      </c>
      <c r="AH62" s="215"/>
      <c r="AI62" s="162">
        <f t="shared" si="45"/>
        <v>2</v>
      </c>
      <c r="AJ62" s="149">
        <v>12</v>
      </c>
      <c r="AK62" s="162">
        <v>16</v>
      </c>
      <c r="AL62" s="163">
        <f t="shared" si="46"/>
        <v>28</v>
      </c>
      <c r="AM62" s="162">
        <v>15</v>
      </c>
      <c r="AN62" s="163">
        <f t="shared" si="62"/>
        <v>43</v>
      </c>
      <c r="AO62" s="217"/>
      <c r="AP62" s="162">
        <f t="shared" si="47"/>
        <v>2</v>
      </c>
      <c r="AQ62" s="162">
        <v>24</v>
      </c>
      <c r="AR62" s="162">
        <v>25</v>
      </c>
      <c r="AS62" s="150">
        <f t="shared" si="17"/>
        <v>49</v>
      </c>
      <c r="AT62" s="218"/>
      <c r="AU62" s="162">
        <f t="shared" si="48"/>
        <v>5</v>
      </c>
      <c r="AV62" s="149">
        <v>16</v>
      </c>
      <c r="AW62" s="162">
        <v>21</v>
      </c>
      <c r="AX62" s="163">
        <f t="shared" si="49"/>
        <v>37</v>
      </c>
      <c r="AY62" s="162">
        <v>22</v>
      </c>
      <c r="AZ62" s="163">
        <f t="shared" si="50"/>
        <v>59</v>
      </c>
      <c r="BA62" s="217"/>
      <c r="BB62" s="162">
        <f t="shared" si="51"/>
        <v>3</v>
      </c>
      <c r="BC62" s="149">
        <v>13</v>
      </c>
      <c r="BD62" s="162">
        <v>22</v>
      </c>
      <c r="BE62" s="163">
        <f t="shared" si="52"/>
        <v>35</v>
      </c>
      <c r="BF62" s="162">
        <v>26</v>
      </c>
      <c r="BG62" s="163">
        <f t="shared" si="53"/>
        <v>61</v>
      </c>
      <c r="BH62" s="217"/>
      <c r="BI62" s="162">
        <f t="shared" si="54"/>
        <v>3.5</v>
      </c>
      <c r="BJ62" s="149">
        <v>9</v>
      </c>
      <c r="BK62" s="162">
        <v>32</v>
      </c>
      <c r="BL62" s="163">
        <f t="shared" si="55"/>
        <v>41</v>
      </c>
      <c r="BM62" s="151">
        <f t="shared" si="26"/>
        <v>41</v>
      </c>
      <c r="BN62" s="217"/>
      <c r="BO62" s="162">
        <f t="shared" si="38"/>
        <v>5</v>
      </c>
      <c r="BP62" s="150">
        <f t="shared" si="27"/>
        <v>27</v>
      </c>
      <c r="BQ62" s="152">
        <f t="shared" si="28"/>
        <v>3.375</v>
      </c>
      <c r="BR62" s="164" t="str">
        <f t="shared" si="56"/>
        <v>B</v>
      </c>
      <c r="BS62" s="165" t="str">
        <f t="shared" si="3"/>
        <v>GOOD</v>
      </c>
      <c r="BT62" s="154">
        <f t="shared" si="30"/>
        <v>479</v>
      </c>
      <c r="BU62" s="62"/>
      <c r="BV62" s="62"/>
      <c r="BW62" s="178">
        <f>'1st_Semester'!BT62</f>
        <v>431</v>
      </c>
      <c r="BX62" s="179">
        <f>'2nd_Semester'!BT62</f>
        <v>417</v>
      </c>
      <c r="BY62" s="179">
        <f t="shared" si="31"/>
        <v>479</v>
      </c>
      <c r="BZ62" s="179">
        <f t="shared" si="32"/>
        <v>442.33333333333331</v>
      </c>
      <c r="CA62" s="182" t="str">
        <f>'1st_Semester'!BQ62</f>
        <v>F</v>
      </c>
      <c r="CB62" s="182">
        <f>'2nd_Semester'!BQ62</f>
        <v>2.9375</v>
      </c>
      <c r="CC62" s="182">
        <f t="shared" si="33"/>
        <v>3.375</v>
      </c>
      <c r="CD62" s="182">
        <f t="shared" si="34"/>
        <v>3.15625</v>
      </c>
    </row>
    <row r="63" spans="1:82" ht="27.95" customHeight="1">
      <c r="A63" s="71">
        <v>55</v>
      </c>
      <c r="B63" s="49">
        <v>54</v>
      </c>
      <c r="C63" s="50" t="s">
        <v>359</v>
      </c>
      <c r="D63" s="50" t="s">
        <v>360</v>
      </c>
      <c r="E63" s="50" t="s">
        <v>361</v>
      </c>
      <c r="F63" s="65" t="s">
        <v>362</v>
      </c>
      <c r="G63" s="78">
        <v>14</v>
      </c>
      <c r="H63" s="162">
        <v>21</v>
      </c>
      <c r="I63" s="163">
        <f t="shared" si="57"/>
        <v>35</v>
      </c>
      <c r="J63" s="162">
        <v>12</v>
      </c>
      <c r="K63" s="163">
        <f t="shared" si="58"/>
        <v>47</v>
      </c>
      <c r="L63" s="149">
        <v>9</v>
      </c>
      <c r="M63" s="162">
        <v>25</v>
      </c>
      <c r="N63" s="163">
        <f t="shared" si="59"/>
        <v>34</v>
      </c>
      <c r="O63" s="151">
        <f t="shared" si="5"/>
        <v>34</v>
      </c>
      <c r="P63" s="163">
        <f t="shared" si="37"/>
        <v>81</v>
      </c>
      <c r="Q63" s="215"/>
      <c r="R63" s="162">
        <f t="shared" si="39"/>
        <v>3</v>
      </c>
      <c r="S63" s="149">
        <v>19</v>
      </c>
      <c r="T63" s="162">
        <v>43</v>
      </c>
      <c r="U63" s="163">
        <f t="shared" si="40"/>
        <v>62</v>
      </c>
      <c r="V63" s="149">
        <v>7</v>
      </c>
      <c r="W63" s="162">
        <v>23</v>
      </c>
      <c r="X63" s="163">
        <f t="shared" si="41"/>
        <v>30</v>
      </c>
      <c r="Y63" s="163">
        <f t="shared" si="60"/>
        <v>92</v>
      </c>
      <c r="Z63" s="163">
        <f t="shared" si="61"/>
        <v>92</v>
      </c>
      <c r="AA63" s="215"/>
      <c r="AB63" s="162">
        <f t="shared" si="42"/>
        <v>3.5</v>
      </c>
      <c r="AC63" s="149">
        <v>11</v>
      </c>
      <c r="AD63" s="162">
        <v>18</v>
      </c>
      <c r="AE63" s="163">
        <f t="shared" si="43"/>
        <v>29</v>
      </c>
      <c r="AF63" s="162">
        <v>11</v>
      </c>
      <c r="AG63" s="163">
        <f t="shared" si="44"/>
        <v>40</v>
      </c>
      <c r="AH63" s="215"/>
      <c r="AI63" s="162">
        <f t="shared" si="45"/>
        <v>2</v>
      </c>
      <c r="AJ63" s="149">
        <v>16</v>
      </c>
      <c r="AK63" s="162">
        <v>20</v>
      </c>
      <c r="AL63" s="163">
        <f t="shared" si="46"/>
        <v>36</v>
      </c>
      <c r="AM63" s="162">
        <v>14</v>
      </c>
      <c r="AN63" s="163">
        <f t="shared" si="62"/>
        <v>50</v>
      </c>
      <c r="AO63" s="217"/>
      <c r="AP63" s="162">
        <f t="shared" si="47"/>
        <v>3</v>
      </c>
      <c r="AQ63" s="162">
        <v>24</v>
      </c>
      <c r="AR63" s="162">
        <v>25</v>
      </c>
      <c r="AS63" s="150">
        <f t="shared" si="17"/>
        <v>49</v>
      </c>
      <c r="AT63" s="218"/>
      <c r="AU63" s="162">
        <f t="shared" si="48"/>
        <v>5</v>
      </c>
      <c r="AV63" s="149">
        <v>15</v>
      </c>
      <c r="AW63" s="162">
        <v>18</v>
      </c>
      <c r="AX63" s="163">
        <f t="shared" si="49"/>
        <v>33</v>
      </c>
      <c r="AY63" s="162">
        <v>27</v>
      </c>
      <c r="AZ63" s="163">
        <f t="shared" si="50"/>
        <v>60</v>
      </c>
      <c r="BA63" s="217"/>
      <c r="BB63" s="162">
        <f t="shared" si="51"/>
        <v>3.5</v>
      </c>
      <c r="BC63" s="149">
        <v>13</v>
      </c>
      <c r="BD63" s="162">
        <v>24</v>
      </c>
      <c r="BE63" s="163">
        <f t="shared" si="52"/>
        <v>37</v>
      </c>
      <c r="BF63" s="162">
        <v>25</v>
      </c>
      <c r="BG63" s="163">
        <f t="shared" si="53"/>
        <v>62</v>
      </c>
      <c r="BH63" s="217"/>
      <c r="BI63" s="162">
        <f t="shared" si="54"/>
        <v>3.5</v>
      </c>
      <c r="BJ63" s="149">
        <v>8</v>
      </c>
      <c r="BK63" s="162">
        <v>32</v>
      </c>
      <c r="BL63" s="163">
        <f t="shared" si="55"/>
        <v>40</v>
      </c>
      <c r="BM63" s="151">
        <f t="shared" si="26"/>
        <v>40</v>
      </c>
      <c r="BN63" s="217"/>
      <c r="BO63" s="162">
        <f t="shared" si="38"/>
        <v>5</v>
      </c>
      <c r="BP63" s="150">
        <f t="shared" si="27"/>
        <v>28.5</v>
      </c>
      <c r="BQ63" s="152">
        <f t="shared" si="28"/>
        <v>3.5625</v>
      </c>
      <c r="BR63" s="164" t="str">
        <f t="shared" si="56"/>
        <v>A-</v>
      </c>
      <c r="BS63" s="165" t="str">
        <f t="shared" si="3"/>
        <v>GOOD</v>
      </c>
      <c r="BT63" s="154">
        <f t="shared" si="30"/>
        <v>474</v>
      </c>
      <c r="BU63" s="62"/>
      <c r="BV63" s="62"/>
      <c r="BW63" s="178">
        <f>'1st_Semester'!BT63</f>
        <v>404</v>
      </c>
      <c r="BX63" s="179">
        <f>'2nd_Semester'!BT63</f>
        <v>496</v>
      </c>
      <c r="BY63" s="179">
        <f t="shared" si="31"/>
        <v>474</v>
      </c>
      <c r="BZ63" s="179">
        <f t="shared" si="32"/>
        <v>458</v>
      </c>
      <c r="CA63" s="182" t="str">
        <f>'1st_Semester'!BQ63</f>
        <v>F</v>
      </c>
      <c r="CB63" s="182">
        <f>'2nd_Semester'!BQ63</f>
        <v>3.375</v>
      </c>
      <c r="CC63" s="182">
        <f t="shared" si="33"/>
        <v>3.5625</v>
      </c>
      <c r="CD63" s="182">
        <f t="shared" si="34"/>
        <v>3.46875</v>
      </c>
    </row>
    <row r="64" spans="1:82" ht="27.95" customHeight="1">
      <c r="A64" s="71">
        <v>56</v>
      </c>
      <c r="B64" s="49">
        <v>58</v>
      </c>
      <c r="C64" s="51" t="s">
        <v>363</v>
      </c>
      <c r="D64" s="51" t="s">
        <v>364</v>
      </c>
      <c r="E64" s="51" t="s">
        <v>365</v>
      </c>
      <c r="F64" s="66" t="s">
        <v>366</v>
      </c>
      <c r="G64" s="78">
        <v>17</v>
      </c>
      <c r="H64" s="162">
        <v>29</v>
      </c>
      <c r="I64" s="163">
        <f t="shared" si="57"/>
        <v>46</v>
      </c>
      <c r="J64" s="162">
        <v>14</v>
      </c>
      <c r="K64" s="163">
        <f t="shared" si="58"/>
        <v>60</v>
      </c>
      <c r="L64" s="149">
        <v>9</v>
      </c>
      <c r="M64" s="162">
        <v>27</v>
      </c>
      <c r="N64" s="163">
        <f t="shared" si="59"/>
        <v>36</v>
      </c>
      <c r="O64" s="151">
        <f t="shared" si="5"/>
        <v>36</v>
      </c>
      <c r="P64" s="163">
        <f t="shared" si="37"/>
        <v>96</v>
      </c>
      <c r="Q64" s="215"/>
      <c r="R64" s="162">
        <f t="shared" si="39"/>
        <v>3.5</v>
      </c>
      <c r="S64" s="149">
        <v>16</v>
      </c>
      <c r="T64" s="162">
        <v>32</v>
      </c>
      <c r="U64" s="163">
        <f t="shared" si="40"/>
        <v>48</v>
      </c>
      <c r="V64" s="149">
        <v>7</v>
      </c>
      <c r="W64" s="162">
        <v>22</v>
      </c>
      <c r="X64" s="163">
        <f t="shared" si="41"/>
        <v>29</v>
      </c>
      <c r="Y64" s="163">
        <f t="shared" si="60"/>
        <v>77</v>
      </c>
      <c r="Z64" s="163">
        <f t="shared" si="61"/>
        <v>77</v>
      </c>
      <c r="AA64" s="215"/>
      <c r="AB64" s="162">
        <f t="shared" si="42"/>
        <v>3</v>
      </c>
      <c r="AC64" s="149">
        <v>11</v>
      </c>
      <c r="AD64" s="162">
        <v>16</v>
      </c>
      <c r="AE64" s="163">
        <f t="shared" si="43"/>
        <v>27</v>
      </c>
      <c r="AF64" s="162">
        <v>13</v>
      </c>
      <c r="AG64" s="163">
        <f t="shared" si="44"/>
        <v>40</v>
      </c>
      <c r="AH64" s="215"/>
      <c r="AI64" s="162">
        <f t="shared" si="45"/>
        <v>2</v>
      </c>
      <c r="AJ64" s="149">
        <v>16</v>
      </c>
      <c r="AK64" s="162">
        <v>26</v>
      </c>
      <c r="AL64" s="163">
        <f t="shared" si="46"/>
        <v>42</v>
      </c>
      <c r="AM64" s="162">
        <v>21</v>
      </c>
      <c r="AN64" s="163">
        <f t="shared" si="62"/>
        <v>63</v>
      </c>
      <c r="AO64" s="217"/>
      <c r="AP64" s="162">
        <f t="shared" si="47"/>
        <v>3.5</v>
      </c>
      <c r="AQ64" s="162">
        <v>23</v>
      </c>
      <c r="AR64" s="162">
        <v>25</v>
      </c>
      <c r="AS64" s="150">
        <f t="shared" si="17"/>
        <v>48</v>
      </c>
      <c r="AT64" s="218"/>
      <c r="AU64" s="162">
        <f t="shared" si="48"/>
        <v>5</v>
      </c>
      <c r="AV64" s="149">
        <v>14</v>
      </c>
      <c r="AW64" s="162">
        <v>21</v>
      </c>
      <c r="AX64" s="163">
        <f t="shared" si="49"/>
        <v>35</v>
      </c>
      <c r="AY64" s="162">
        <v>27</v>
      </c>
      <c r="AZ64" s="163">
        <f t="shared" si="50"/>
        <v>62</v>
      </c>
      <c r="BA64" s="217"/>
      <c r="BB64" s="162">
        <f t="shared" si="51"/>
        <v>3.5</v>
      </c>
      <c r="BC64" s="149">
        <v>16</v>
      </c>
      <c r="BD64" s="162">
        <v>27</v>
      </c>
      <c r="BE64" s="163">
        <f t="shared" si="52"/>
        <v>43</v>
      </c>
      <c r="BF64" s="162">
        <v>28</v>
      </c>
      <c r="BG64" s="163">
        <f t="shared" si="53"/>
        <v>71</v>
      </c>
      <c r="BH64" s="217"/>
      <c r="BI64" s="162">
        <f t="shared" si="54"/>
        <v>4</v>
      </c>
      <c r="BJ64" s="149">
        <v>9</v>
      </c>
      <c r="BK64" s="162">
        <v>32</v>
      </c>
      <c r="BL64" s="163">
        <f t="shared" si="55"/>
        <v>41</v>
      </c>
      <c r="BM64" s="151">
        <f t="shared" si="26"/>
        <v>41</v>
      </c>
      <c r="BN64" s="217"/>
      <c r="BO64" s="162">
        <f t="shared" si="38"/>
        <v>5</v>
      </c>
      <c r="BP64" s="150">
        <f t="shared" si="27"/>
        <v>29.5</v>
      </c>
      <c r="BQ64" s="152">
        <f t="shared" si="28"/>
        <v>3.6875</v>
      </c>
      <c r="BR64" s="164" t="str">
        <f t="shared" si="56"/>
        <v>A-</v>
      </c>
      <c r="BS64" s="165" t="str">
        <f t="shared" si="3"/>
        <v>GOOD</v>
      </c>
      <c r="BT64" s="154">
        <f t="shared" si="30"/>
        <v>498</v>
      </c>
      <c r="BU64" s="62"/>
      <c r="BV64" s="62"/>
      <c r="BW64" s="178">
        <f>'1st_Semester'!BT64</f>
        <v>477</v>
      </c>
      <c r="BX64" s="179">
        <f>'2nd_Semester'!BT64</f>
        <v>492</v>
      </c>
      <c r="BY64" s="179">
        <f t="shared" si="31"/>
        <v>498</v>
      </c>
      <c r="BZ64" s="179">
        <f t="shared" si="32"/>
        <v>489</v>
      </c>
      <c r="CA64" s="182">
        <f>'1st_Semester'!BQ64</f>
        <v>3.3125</v>
      </c>
      <c r="CB64" s="182" t="str">
        <f>'2nd_Semester'!BQ64</f>
        <v>F</v>
      </c>
      <c r="CC64" s="182">
        <f t="shared" si="33"/>
        <v>3.6875</v>
      </c>
      <c r="CD64" s="182">
        <f t="shared" si="34"/>
        <v>3.5</v>
      </c>
    </row>
    <row r="65" spans="1:82" ht="27.95" customHeight="1">
      <c r="A65" s="71">
        <v>57</v>
      </c>
      <c r="B65" s="49">
        <v>63</v>
      </c>
      <c r="C65" s="51" t="s">
        <v>251</v>
      </c>
      <c r="D65" s="51" t="s">
        <v>252</v>
      </c>
      <c r="E65" s="51" t="s">
        <v>253</v>
      </c>
      <c r="F65" s="53" t="s">
        <v>254</v>
      </c>
      <c r="G65" s="78">
        <v>17</v>
      </c>
      <c r="H65" s="150">
        <v>14</v>
      </c>
      <c r="I65" s="151">
        <f t="shared" si="57"/>
        <v>31</v>
      </c>
      <c r="J65" s="150">
        <v>10</v>
      </c>
      <c r="K65" s="151">
        <f t="shared" si="58"/>
        <v>41</v>
      </c>
      <c r="L65" s="149">
        <v>8</v>
      </c>
      <c r="M65" s="150">
        <v>26</v>
      </c>
      <c r="N65" s="151">
        <f t="shared" si="59"/>
        <v>34</v>
      </c>
      <c r="O65" s="151">
        <f t="shared" si="5"/>
        <v>34</v>
      </c>
      <c r="P65" s="151">
        <f t="shared" si="37"/>
        <v>75</v>
      </c>
      <c r="Q65" s="215"/>
      <c r="R65" s="162">
        <f t="shared" si="39"/>
        <v>3</v>
      </c>
      <c r="S65" s="149">
        <v>12</v>
      </c>
      <c r="T65" s="162">
        <v>16</v>
      </c>
      <c r="U65" s="151">
        <f t="shared" si="40"/>
        <v>28</v>
      </c>
      <c r="V65" s="149">
        <v>6</v>
      </c>
      <c r="W65" s="162">
        <v>19</v>
      </c>
      <c r="X65" s="151">
        <v>32</v>
      </c>
      <c r="Y65" s="151">
        <f t="shared" si="60"/>
        <v>60</v>
      </c>
      <c r="Z65" s="151">
        <f t="shared" si="61"/>
        <v>60</v>
      </c>
      <c r="AA65" s="215"/>
      <c r="AB65" s="162">
        <f t="shared" si="42"/>
        <v>2</v>
      </c>
      <c r="AC65" s="149">
        <v>12</v>
      </c>
      <c r="AD65" s="162">
        <v>2</v>
      </c>
      <c r="AE65" s="151">
        <f t="shared" si="43"/>
        <v>14</v>
      </c>
      <c r="AF65" s="150">
        <v>10</v>
      </c>
      <c r="AG65" s="151">
        <f t="shared" si="44"/>
        <v>24</v>
      </c>
      <c r="AH65" s="215"/>
      <c r="AI65" s="162" t="str">
        <f t="shared" si="45"/>
        <v>F</v>
      </c>
      <c r="AJ65" s="149">
        <v>10</v>
      </c>
      <c r="AK65" s="162">
        <v>19</v>
      </c>
      <c r="AL65" s="163">
        <f t="shared" si="46"/>
        <v>29</v>
      </c>
      <c r="AM65" s="150">
        <v>16</v>
      </c>
      <c r="AN65" s="151">
        <f t="shared" si="62"/>
        <v>45</v>
      </c>
      <c r="AO65" s="217"/>
      <c r="AP65" s="162">
        <f t="shared" si="47"/>
        <v>2</v>
      </c>
      <c r="AQ65" s="162">
        <v>10</v>
      </c>
      <c r="AR65" s="162">
        <v>20</v>
      </c>
      <c r="AS65" s="150">
        <f t="shared" si="17"/>
        <v>30</v>
      </c>
      <c r="AT65" s="218"/>
      <c r="AU65" s="162">
        <f t="shared" si="48"/>
        <v>3.5</v>
      </c>
      <c r="AV65" s="149">
        <v>15</v>
      </c>
      <c r="AW65" s="162">
        <v>9</v>
      </c>
      <c r="AX65" s="163">
        <f t="shared" si="49"/>
        <v>24</v>
      </c>
      <c r="AY65" s="162">
        <v>18</v>
      </c>
      <c r="AZ65" s="163">
        <f t="shared" si="50"/>
        <v>42</v>
      </c>
      <c r="BA65" s="217"/>
      <c r="BB65" s="162">
        <f t="shared" si="51"/>
        <v>2</v>
      </c>
      <c r="BC65" s="149">
        <v>13</v>
      </c>
      <c r="BD65" s="162">
        <v>29</v>
      </c>
      <c r="BE65" s="163">
        <f t="shared" si="52"/>
        <v>42</v>
      </c>
      <c r="BF65" s="162">
        <v>27</v>
      </c>
      <c r="BG65" s="163">
        <f t="shared" si="53"/>
        <v>69</v>
      </c>
      <c r="BH65" s="217"/>
      <c r="BI65" s="162">
        <f t="shared" si="54"/>
        <v>3.5</v>
      </c>
      <c r="BJ65" s="149">
        <v>6</v>
      </c>
      <c r="BK65" s="162">
        <v>32</v>
      </c>
      <c r="BL65" s="163">
        <f t="shared" si="55"/>
        <v>38</v>
      </c>
      <c r="BM65" s="151">
        <f t="shared" si="26"/>
        <v>38</v>
      </c>
      <c r="BN65" s="217"/>
      <c r="BO65" s="162">
        <f t="shared" si="38"/>
        <v>4</v>
      </c>
      <c r="BP65" s="150" t="str">
        <f t="shared" si="27"/>
        <v>F</v>
      </c>
      <c r="BQ65" s="152" t="str">
        <f t="shared" si="28"/>
        <v>F</v>
      </c>
      <c r="BR65" s="164" t="str">
        <f t="shared" si="56"/>
        <v>F</v>
      </c>
      <c r="BS65" s="165" t="str">
        <f t="shared" si="3"/>
        <v>NEED TO PROGRESS</v>
      </c>
      <c r="BT65" s="154">
        <f t="shared" si="30"/>
        <v>383</v>
      </c>
      <c r="BU65" s="62"/>
      <c r="BV65" s="62"/>
      <c r="BW65" s="178">
        <f>'1st_Semester'!BT65</f>
        <v>456</v>
      </c>
      <c r="BX65" s="179">
        <f>'2nd_Semester'!BT65</f>
        <v>364</v>
      </c>
      <c r="BY65" s="179">
        <f t="shared" si="31"/>
        <v>383</v>
      </c>
      <c r="BZ65" s="179">
        <f t="shared" si="32"/>
        <v>401</v>
      </c>
      <c r="CA65" s="182">
        <f>'1st_Semester'!BQ65</f>
        <v>3.25</v>
      </c>
      <c r="CB65" s="182" t="str">
        <f>'2nd_Semester'!BQ65</f>
        <v>F</v>
      </c>
      <c r="CC65" s="182" t="str">
        <f t="shared" si="33"/>
        <v>F</v>
      </c>
      <c r="CD65" s="182">
        <f t="shared" si="34"/>
        <v>3.25</v>
      </c>
    </row>
    <row r="66" spans="1:82" ht="27.95" customHeight="1">
      <c r="A66" s="71">
        <v>58</v>
      </c>
      <c r="B66" s="49">
        <v>64</v>
      </c>
      <c r="C66" s="50" t="s">
        <v>433</v>
      </c>
      <c r="D66" s="50" t="s">
        <v>369</v>
      </c>
      <c r="E66" s="50" t="s">
        <v>370</v>
      </c>
      <c r="F66" s="65" t="s">
        <v>371</v>
      </c>
      <c r="G66" s="78">
        <v>14</v>
      </c>
      <c r="H66" s="150">
        <v>17</v>
      </c>
      <c r="I66" s="151">
        <f t="shared" si="57"/>
        <v>31</v>
      </c>
      <c r="J66" s="150">
        <v>9</v>
      </c>
      <c r="K66" s="151">
        <f t="shared" si="58"/>
        <v>40</v>
      </c>
      <c r="L66" s="149">
        <v>7</v>
      </c>
      <c r="M66" s="150">
        <v>16</v>
      </c>
      <c r="N66" s="151">
        <f t="shared" si="59"/>
        <v>23</v>
      </c>
      <c r="O66" s="151">
        <f t="shared" si="5"/>
        <v>23</v>
      </c>
      <c r="P66" s="151">
        <f t="shared" si="37"/>
        <v>63</v>
      </c>
      <c r="Q66" s="215"/>
      <c r="R66" s="162">
        <f t="shared" si="39"/>
        <v>2</v>
      </c>
      <c r="S66" s="149">
        <v>13</v>
      </c>
      <c r="T66" s="162">
        <v>16</v>
      </c>
      <c r="U66" s="151">
        <f t="shared" si="40"/>
        <v>29</v>
      </c>
      <c r="V66" s="149">
        <v>6</v>
      </c>
      <c r="W66" s="162">
        <v>22</v>
      </c>
      <c r="X66" s="151">
        <v>31</v>
      </c>
      <c r="Y66" s="151">
        <f t="shared" si="60"/>
        <v>60</v>
      </c>
      <c r="Z66" s="151">
        <f t="shared" si="61"/>
        <v>60</v>
      </c>
      <c r="AA66" s="215"/>
      <c r="AB66" s="162">
        <f t="shared" si="42"/>
        <v>2</v>
      </c>
      <c r="AC66" s="149">
        <v>19</v>
      </c>
      <c r="AD66" s="162">
        <v>0</v>
      </c>
      <c r="AE66" s="151">
        <f t="shared" si="43"/>
        <v>19</v>
      </c>
      <c r="AF66" s="150">
        <v>9</v>
      </c>
      <c r="AG66" s="151">
        <f t="shared" si="44"/>
        <v>28</v>
      </c>
      <c r="AH66" s="215"/>
      <c r="AI66" s="162" t="str">
        <f t="shared" si="45"/>
        <v>F</v>
      </c>
      <c r="AJ66" s="149">
        <v>12</v>
      </c>
      <c r="AK66" s="162">
        <v>20</v>
      </c>
      <c r="AL66" s="163">
        <f t="shared" si="46"/>
        <v>32</v>
      </c>
      <c r="AM66" s="150">
        <v>20</v>
      </c>
      <c r="AN66" s="151">
        <f t="shared" si="62"/>
        <v>52</v>
      </c>
      <c r="AO66" s="217"/>
      <c r="AP66" s="162">
        <f t="shared" si="47"/>
        <v>3</v>
      </c>
      <c r="AQ66" s="162">
        <v>14</v>
      </c>
      <c r="AR66" s="162">
        <v>20</v>
      </c>
      <c r="AS66" s="150">
        <f t="shared" si="17"/>
        <v>34</v>
      </c>
      <c r="AT66" s="218"/>
      <c r="AU66" s="162">
        <f t="shared" si="48"/>
        <v>3.5</v>
      </c>
      <c r="AV66" s="149">
        <v>15</v>
      </c>
      <c r="AW66" s="162">
        <v>14</v>
      </c>
      <c r="AX66" s="163">
        <f t="shared" si="49"/>
        <v>29</v>
      </c>
      <c r="AY66" s="162">
        <v>22</v>
      </c>
      <c r="AZ66" s="163">
        <f t="shared" si="50"/>
        <v>51</v>
      </c>
      <c r="BA66" s="217"/>
      <c r="BB66" s="162">
        <f t="shared" si="51"/>
        <v>3</v>
      </c>
      <c r="BC66" s="149">
        <v>13</v>
      </c>
      <c r="BD66" s="162">
        <v>20</v>
      </c>
      <c r="BE66" s="163">
        <f t="shared" si="52"/>
        <v>33</v>
      </c>
      <c r="BF66" s="162">
        <v>26</v>
      </c>
      <c r="BG66" s="163">
        <f t="shared" si="53"/>
        <v>59</v>
      </c>
      <c r="BH66" s="217"/>
      <c r="BI66" s="162">
        <f t="shared" si="54"/>
        <v>3</v>
      </c>
      <c r="BJ66" s="149">
        <v>7</v>
      </c>
      <c r="BK66" s="162">
        <v>33</v>
      </c>
      <c r="BL66" s="163">
        <f t="shared" si="55"/>
        <v>40</v>
      </c>
      <c r="BM66" s="151">
        <f t="shared" si="26"/>
        <v>40</v>
      </c>
      <c r="BN66" s="217"/>
      <c r="BO66" s="162">
        <f t="shared" si="38"/>
        <v>5</v>
      </c>
      <c r="BP66" s="150" t="str">
        <f t="shared" si="27"/>
        <v>F</v>
      </c>
      <c r="BQ66" s="152" t="str">
        <f t="shared" si="28"/>
        <v>F</v>
      </c>
      <c r="BR66" s="164" t="str">
        <f t="shared" si="56"/>
        <v>F</v>
      </c>
      <c r="BS66" s="165" t="str">
        <f t="shared" si="3"/>
        <v>NEED TO PROGRESS</v>
      </c>
      <c r="BT66" s="154">
        <f t="shared" si="30"/>
        <v>387</v>
      </c>
      <c r="BU66" s="62"/>
      <c r="BV66" s="62"/>
      <c r="BW66" s="178">
        <f>'1st_Semester'!BT66</f>
        <v>573</v>
      </c>
      <c r="BX66" s="179">
        <f>'2nd_Semester'!BT66</f>
        <v>349</v>
      </c>
      <c r="BY66" s="179">
        <f t="shared" si="31"/>
        <v>387</v>
      </c>
      <c r="BZ66" s="179">
        <f t="shared" si="32"/>
        <v>436.33333333333331</v>
      </c>
      <c r="CA66" s="182">
        <f>'1st_Semester'!BQ66</f>
        <v>3.875</v>
      </c>
      <c r="CB66" s="182" t="str">
        <f>'2nd_Semester'!BQ66</f>
        <v>F</v>
      </c>
      <c r="CC66" s="182" t="str">
        <f t="shared" si="33"/>
        <v>F</v>
      </c>
      <c r="CD66" s="182">
        <f t="shared" si="34"/>
        <v>3.875</v>
      </c>
    </row>
    <row r="67" spans="1:82" ht="27.95" customHeight="1">
      <c r="A67" s="71">
        <v>59</v>
      </c>
      <c r="B67" s="49">
        <v>66</v>
      </c>
      <c r="C67" s="50" t="s">
        <v>372</v>
      </c>
      <c r="D67" s="50" t="s">
        <v>373</v>
      </c>
      <c r="E67" s="50" t="s">
        <v>374</v>
      </c>
      <c r="F67" s="65" t="s">
        <v>375</v>
      </c>
      <c r="G67" s="78">
        <v>14</v>
      </c>
      <c r="H67" s="150">
        <v>34</v>
      </c>
      <c r="I67" s="151">
        <f t="shared" si="57"/>
        <v>48</v>
      </c>
      <c r="J67" s="150">
        <v>15</v>
      </c>
      <c r="K67" s="151">
        <f t="shared" si="58"/>
        <v>63</v>
      </c>
      <c r="L67" s="149">
        <v>9</v>
      </c>
      <c r="M67" s="150">
        <v>24</v>
      </c>
      <c r="N67" s="151">
        <f t="shared" si="59"/>
        <v>33</v>
      </c>
      <c r="O67" s="151">
        <f t="shared" si="5"/>
        <v>33</v>
      </c>
      <c r="P67" s="151">
        <f t="shared" si="37"/>
        <v>96</v>
      </c>
      <c r="Q67" s="215"/>
      <c r="R67" s="162">
        <f t="shared" si="39"/>
        <v>3.5</v>
      </c>
      <c r="S67" s="149">
        <v>13</v>
      </c>
      <c r="T67" s="162">
        <v>48</v>
      </c>
      <c r="U67" s="151">
        <f t="shared" si="40"/>
        <v>61</v>
      </c>
      <c r="V67" s="149">
        <v>6</v>
      </c>
      <c r="W67" s="162">
        <v>18</v>
      </c>
      <c r="X67" s="151">
        <f t="shared" si="41"/>
        <v>24</v>
      </c>
      <c r="Y67" s="151">
        <f t="shared" si="60"/>
        <v>85</v>
      </c>
      <c r="Z67" s="151">
        <f t="shared" si="61"/>
        <v>85</v>
      </c>
      <c r="AA67" s="215"/>
      <c r="AB67" s="162">
        <f t="shared" si="42"/>
        <v>3</v>
      </c>
      <c r="AC67" s="149">
        <v>11</v>
      </c>
      <c r="AD67" s="162">
        <v>11</v>
      </c>
      <c r="AE67" s="151">
        <f t="shared" si="43"/>
        <v>22</v>
      </c>
      <c r="AF67" s="150">
        <v>18</v>
      </c>
      <c r="AG67" s="151">
        <f t="shared" si="44"/>
        <v>40</v>
      </c>
      <c r="AH67" s="215"/>
      <c r="AI67" s="162">
        <f t="shared" si="45"/>
        <v>2</v>
      </c>
      <c r="AJ67" s="149">
        <v>17</v>
      </c>
      <c r="AK67" s="162">
        <v>24</v>
      </c>
      <c r="AL67" s="163">
        <f t="shared" si="46"/>
        <v>41</v>
      </c>
      <c r="AM67" s="150">
        <v>17</v>
      </c>
      <c r="AN67" s="151">
        <f t="shared" si="62"/>
        <v>58</v>
      </c>
      <c r="AO67" s="217"/>
      <c r="AP67" s="162">
        <f t="shared" si="47"/>
        <v>3</v>
      </c>
      <c r="AQ67" s="162">
        <v>22</v>
      </c>
      <c r="AR67" s="162">
        <v>25</v>
      </c>
      <c r="AS67" s="150">
        <f t="shared" si="17"/>
        <v>47</v>
      </c>
      <c r="AT67" s="218"/>
      <c r="AU67" s="162">
        <f t="shared" si="48"/>
        <v>5</v>
      </c>
      <c r="AV67" s="149">
        <v>16</v>
      </c>
      <c r="AW67" s="162">
        <v>30</v>
      </c>
      <c r="AX67" s="163">
        <f t="shared" si="49"/>
        <v>46</v>
      </c>
      <c r="AY67" s="162">
        <v>24</v>
      </c>
      <c r="AZ67" s="163">
        <f t="shared" si="50"/>
        <v>70</v>
      </c>
      <c r="BA67" s="217"/>
      <c r="BB67" s="162">
        <f t="shared" si="51"/>
        <v>4</v>
      </c>
      <c r="BC67" s="149">
        <v>13</v>
      </c>
      <c r="BD67" s="162">
        <v>31</v>
      </c>
      <c r="BE67" s="163">
        <f t="shared" si="52"/>
        <v>44</v>
      </c>
      <c r="BF67" s="162">
        <v>26</v>
      </c>
      <c r="BG67" s="163">
        <f t="shared" si="53"/>
        <v>70</v>
      </c>
      <c r="BH67" s="217"/>
      <c r="BI67" s="162">
        <f t="shared" si="54"/>
        <v>4</v>
      </c>
      <c r="BJ67" s="149">
        <v>7</v>
      </c>
      <c r="BK67" s="162">
        <v>33</v>
      </c>
      <c r="BL67" s="163">
        <f t="shared" si="55"/>
        <v>40</v>
      </c>
      <c r="BM67" s="151">
        <f t="shared" si="26"/>
        <v>40</v>
      </c>
      <c r="BN67" s="217"/>
      <c r="BO67" s="162">
        <f t="shared" si="38"/>
        <v>5</v>
      </c>
      <c r="BP67" s="150">
        <f t="shared" si="27"/>
        <v>29.5</v>
      </c>
      <c r="BQ67" s="152">
        <f t="shared" si="28"/>
        <v>3.6875</v>
      </c>
      <c r="BR67" s="164" t="str">
        <f t="shared" si="56"/>
        <v>A-</v>
      </c>
      <c r="BS67" s="165" t="str">
        <f t="shared" si="3"/>
        <v>GOOD</v>
      </c>
      <c r="BT67" s="154">
        <f t="shared" si="30"/>
        <v>506</v>
      </c>
      <c r="BU67" s="62"/>
      <c r="BV67" s="62"/>
      <c r="BW67" s="178">
        <f>'1st_Semester'!BT67</f>
        <v>653</v>
      </c>
      <c r="BX67" s="179">
        <f>'2nd_Semester'!BT67</f>
        <v>416</v>
      </c>
      <c r="BY67" s="179">
        <f t="shared" si="31"/>
        <v>506</v>
      </c>
      <c r="BZ67" s="179">
        <f t="shared" si="32"/>
        <v>525</v>
      </c>
      <c r="CA67" s="182">
        <f>'1st_Semester'!BQ67</f>
        <v>4.75</v>
      </c>
      <c r="CB67" s="182" t="str">
        <f>'2nd_Semester'!BQ67</f>
        <v>F</v>
      </c>
      <c r="CC67" s="182">
        <f t="shared" si="33"/>
        <v>3.6875</v>
      </c>
      <c r="CD67" s="182">
        <f t="shared" si="34"/>
        <v>4.21875</v>
      </c>
    </row>
    <row r="68" spans="1:82" ht="27.95" customHeight="1">
      <c r="A68" s="71">
        <v>60</v>
      </c>
      <c r="B68" s="49">
        <v>67</v>
      </c>
      <c r="C68" s="50" t="s">
        <v>255</v>
      </c>
      <c r="D68" s="50" t="s">
        <v>256</v>
      </c>
      <c r="E68" s="50" t="s">
        <v>257</v>
      </c>
      <c r="F68" s="65" t="s">
        <v>258</v>
      </c>
      <c r="G68" s="78">
        <v>19</v>
      </c>
      <c r="H68" s="150">
        <v>29</v>
      </c>
      <c r="I68" s="151">
        <f t="shared" si="57"/>
        <v>48</v>
      </c>
      <c r="J68" s="150">
        <v>15</v>
      </c>
      <c r="K68" s="151">
        <f t="shared" si="58"/>
        <v>63</v>
      </c>
      <c r="L68" s="149">
        <v>7</v>
      </c>
      <c r="M68" s="150">
        <v>19</v>
      </c>
      <c r="N68" s="151">
        <f t="shared" si="59"/>
        <v>26</v>
      </c>
      <c r="O68" s="151">
        <f t="shared" si="5"/>
        <v>26</v>
      </c>
      <c r="P68" s="151">
        <f t="shared" si="37"/>
        <v>89</v>
      </c>
      <c r="Q68" s="215"/>
      <c r="R68" s="162">
        <f t="shared" si="39"/>
        <v>3</v>
      </c>
      <c r="S68" s="149">
        <v>12</v>
      </c>
      <c r="T68" s="162">
        <v>36</v>
      </c>
      <c r="U68" s="151">
        <f t="shared" si="40"/>
        <v>48</v>
      </c>
      <c r="V68" s="149">
        <v>6</v>
      </c>
      <c r="W68" s="162">
        <v>22</v>
      </c>
      <c r="X68" s="151">
        <f t="shared" si="41"/>
        <v>28</v>
      </c>
      <c r="Y68" s="151">
        <f t="shared" si="60"/>
        <v>76</v>
      </c>
      <c r="Z68" s="151">
        <f t="shared" si="61"/>
        <v>76</v>
      </c>
      <c r="AA68" s="215"/>
      <c r="AB68" s="162">
        <f t="shared" si="42"/>
        <v>3</v>
      </c>
      <c r="AC68" s="149">
        <v>14</v>
      </c>
      <c r="AD68" s="162">
        <v>13</v>
      </c>
      <c r="AE68" s="151">
        <f t="shared" si="43"/>
        <v>27</v>
      </c>
      <c r="AF68" s="150">
        <v>13</v>
      </c>
      <c r="AG68" s="151">
        <f t="shared" si="44"/>
        <v>40</v>
      </c>
      <c r="AH68" s="215"/>
      <c r="AI68" s="162">
        <f t="shared" si="45"/>
        <v>2</v>
      </c>
      <c r="AJ68" s="149">
        <v>17</v>
      </c>
      <c r="AK68" s="162">
        <v>16</v>
      </c>
      <c r="AL68" s="163">
        <f t="shared" si="46"/>
        <v>33</v>
      </c>
      <c r="AM68" s="150">
        <v>14</v>
      </c>
      <c r="AN68" s="151">
        <f t="shared" si="62"/>
        <v>47</v>
      </c>
      <c r="AO68" s="217"/>
      <c r="AP68" s="162">
        <f t="shared" si="47"/>
        <v>2</v>
      </c>
      <c r="AQ68" s="162">
        <v>23</v>
      </c>
      <c r="AR68" s="162">
        <v>25</v>
      </c>
      <c r="AS68" s="150">
        <f t="shared" si="17"/>
        <v>48</v>
      </c>
      <c r="AT68" s="218"/>
      <c r="AU68" s="162">
        <f t="shared" si="48"/>
        <v>5</v>
      </c>
      <c r="AV68" s="149">
        <v>14</v>
      </c>
      <c r="AW68" s="162">
        <v>31</v>
      </c>
      <c r="AX68" s="163">
        <f t="shared" si="49"/>
        <v>45</v>
      </c>
      <c r="AY68" s="162">
        <v>25</v>
      </c>
      <c r="AZ68" s="163">
        <f t="shared" si="50"/>
        <v>70</v>
      </c>
      <c r="BA68" s="217"/>
      <c r="BB68" s="162">
        <f t="shared" si="51"/>
        <v>4</v>
      </c>
      <c r="BC68" s="149">
        <v>14</v>
      </c>
      <c r="BD68" s="162">
        <v>30</v>
      </c>
      <c r="BE68" s="163">
        <f t="shared" si="52"/>
        <v>44</v>
      </c>
      <c r="BF68" s="162">
        <v>24</v>
      </c>
      <c r="BG68" s="163">
        <f t="shared" si="53"/>
        <v>68</v>
      </c>
      <c r="BH68" s="217"/>
      <c r="BI68" s="162">
        <f t="shared" si="54"/>
        <v>3.5</v>
      </c>
      <c r="BJ68" s="149">
        <v>7</v>
      </c>
      <c r="BK68" s="162">
        <v>32</v>
      </c>
      <c r="BL68" s="163">
        <f t="shared" si="55"/>
        <v>39</v>
      </c>
      <c r="BM68" s="151">
        <f t="shared" si="26"/>
        <v>39</v>
      </c>
      <c r="BN68" s="217"/>
      <c r="BO68" s="162">
        <f t="shared" si="38"/>
        <v>4</v>
      </c>
      <c r="BP68" s="150">
        <f t="shared" si="27"/>
        <v>26.5</v>
      </c>
      <c r="BQ68" s="152">
        <f t="shared" si="28"/>
        <v>3.3125</v>
      </c>
      <c r="BR68" s="164" t="str">
        <f t="shared" si="56"/>
        <v>B</v>
      </c>
      <c r="BS68" s="165" t="str">
        <f t="shared" si="3"/>
        <v>GOOD</v>
      </c>
      <c r="BT68" s="154">
        <f t="shared" si="30"/>
        <v>477</v>
      </c>
      <c r="BU68" s="62"/>
      <c r="BV68" s="62"/>
      <c r="BW68" s="178">
        <f>'1st_Semester'!BT68</f>
        <v>515</v>
      </c>
      <c r="BX68" s="179">
        <f>'2nd_Semester'!BT68</f>
        <v>418</v>
      </c>
      <c r="BY68" s="179">
        <f t="shared" si="31"/>
        <v>477</v>
      </c>
      <c r="BZ68" s="179">
        <f t="shared" si="32"/>
        <v>470</v>
      </c>
      <c r="CA68" s="182">
        <f>'1st_Semester'!BQ68</f>
        <v>3.6875</v>
      </c>
      <c r="CB68" s="182" t="str">
        <f>'2nd_Semester'!BQ68</f>
        <v>F</v>
      </c>
      <c r="CC68" s="182">
        <f t="shared" si="33"/>
        <v>3.3125</v>
      </c>
      <c r="CD68" s="182">
        <f t="shared" si="34"/>
        <v>3.5</v>
      </c>
    </row>
    <row r="69" spans="1:82" ht="27.95" customHeight="1">
      <c r="A69" s="71">
        <v>61</v>
      </c>
      <c r="B69" s="49">
        <v>68</v>
      </c>
      <c r="C69" s="50" t="s">
        <v>376</v>
      </c>
      <c r="D69" s="50" t="s">
        <v>377</v>
      </c>
      <c r="E69" s="50" t="s">
        <v>378</v>
      </c>
      <c r="F69" s="65" t="s">
        <v>379</v>
      </c>
      <c r="G69" s="78">
        <v>14</v>
      </c>
      <c r="H69" s="150">
        <v>28</v>
      </c>
      <c r="I69" s="151">
        <f t="shared" si="57"/>
        <v>42</v>
      </c>
      <c r="J69" s="150">
        <v>23</v>
      </c>
      <c r="K69" s="151">
        <f t="shared" si="58"/>
        <v>65</v>
      </c>
      <c r="L69" s="149">
        <v>10</v>
      </c>
      <c r="M69" s="150">
        <v>27</v>
      </c>
      <c r="N69" s="151">
        <f t="shared" si="59"/>
        <v>37</v>
      </c>
      <c r="O69" s="151">
        <f t="shared" si="5"/>
        <v>37</v>
      </c>
      <c r="P69" s="151">
        <f t="shared" si="37"/>
        <v>102</v>
      </c>
      <c r="Q69" s="215"/>
      <c r="R69" s="162">
        <f t="shared" si="39"/>
        <v>3.5</v>
      </c>
      <c r="S69" s="149">
        <v>13</v>
      </c>
      <c r="T69" s="162">
        <v>32</v>
      </c>
      <c r="U69" s="151">
        <f t="shared" si="40"/>
        <v>45</v>
      </c>
      <c r="V69" s="149">
        <v>6</v>
      </c>
      <c r="W69" s="162">
        <v>20</v>
      </c>
      <c r="X69" s="151">
        <f t="shared" si="41"/>
        <v>26</v>
      </c>
      <c r="Y69" s="151">
        <f t="shared" si="60"/>
        <v>71</v>
      </c>
      <c r="Z69" s="151">
        <f t="shared" si="61"/>
        <v>71</v>
      </c>
      <c r="AA69" s="215"/>
      <c r="AB69" s="162">
        <f t="shared" si="42"/>
        <v>2</v>
      </c>
      <c r="AC69" s="149">
        <v>16</v>
      </c>
      <c r="AD69" s="162">
        <v>16</v>
      </c>
      <c r="AE69" s="151">
        <f t="shared" si="43"/>
        <v>32</v>
      </c>
      <c r="AF69" s="150">
        <v>13</v>
      </c>
      <c r="AG69" s="151">
        <f t="shared" si="44"/>
        <v>45</v>
      </c>
      <c r="AH69" s="215"/>
      <c r="AI69" s="162">
        <f t="shared" si="45"/>
        <v>2</v>
      </c>
      <c r="AJ69" s="149">
        <v>18</v>
      </c>
      <c r="AK69" s="162">
        <v>18</v>
      </c>
      <c r="AL69" s="163">
        <f t="shared" si="46"/>
        <v>36</v>
      </c>
      <c r="AM69" s="150">
        <v>14</v>
      </c>
      <c r="AN69" s="151">
        <f t="shared" si="62"/>
        <v>50</v>
      </c>
      <c r="AO69" s="217"/>
      <c r="AP69" s="162">
        <f t="shared" si="47"/>
        <v>3</v>
      </c>
      <c r="AQ69" s="162">
        <v>22</v>
      </c>
      <c r="AR69" s="162">
        <v>25</v>
      </c>
      <c r="AS69" s="150">
        <f t="shared" si="17"/>
        <v>47</v>
      </c>
      <c r="AT69" s="218"/>
      <c r="AU69" s="162">
        <f t="shared" si="48"/>
        <v>5</v>
      </c>
      <c r="AV69" s="149">
        <v>14</v>
      </c>
      <c r="AW69" s="162">
        <v>28</v>
      </c>
      <c r="AX69" s="163">
        <f t="shared" si="49"/>
        <v>42</v>
      </c>
      <c r="AY69" s="162">
        <v>27</v>
      </c>
      <c r="AZ69" s="163">
        <f t="shared" si="50"/>
        <v>69</v>
      </c>
      <c r="BA69" s="217"/>
      <c r="BB69" s="162">
        <f t="shared" si="51"/>
        <v>3.5</v>
      </c>
      <c r="BC69" s="149">
        <v>13</v>
      </c>
      <c r="BD69" s="162">
        <v>23</v>
      </c>
      <c r="BE69" s="163">
        <f t="shared" si="52"/>
        <v>36</v>
      </c>
      <c r="BF69" s="162">
        <v>25</v>
      </c>
      <c r="BG69" s="163">
        <f t="shared" si="53"/>
        <v>61</v>
      </c>
      <c r="BH69" s="217"/>
      <c r="BI69" s="162">
        <f t="shared" si="54"/>
        <v>3.5</v>
      </c>
      <c r="BJ69" s="149">
        <v>8</v>
      </c>
      <c r="BK69" s="162">
        <v>32</v>
      </c>
      <c r="BL69" s="163">
        <f t="shared" si="55"/>
        <v>40</v>
      </c>
      <c r="BM69" s="151">
        <f t="shared" si="26"/>
        <v>40</v>
      </c>
      <c r="BN69" s="217"/>
      <c r="BO69" s="162">
        <f t="shared" si="38"/>
        <v>5</v>
      </c>
      <c r="BP69" s="150">
        <f t="shared" si="27"/>
        <v>27.5</v>
      </c>
      <c r="BQ69" s="152">
        <f t="shared" si="28"/>
        <v>3.4375</v>
      </c>
      <c r="BR69" s="164" t="str">
        <f t="shared" si="56"/>
        <v>B</v>
      </c>
      <c r="BS69" s="165" t="str">
        <f t="shared" si="3"/>
        <v>GOOD</v>
      </c>
      <c r="BT69" s="154">
        <f t="shared" si="30"/>
        <v>485</v>
      </c>
      <c r="BU69" s="62"/>
      <c r="BV69" s="62"/>
      <c r="BW69" s="178">
        <f>'1st_Semester'!BT69</f>
        <v>514</v>
      </c>
      <c r="BX69" s="179">
        <f>'2nd_Semester'!BT69</f>
        <v>462</v>
      </c>
      <c r="BY69" s="179">
        <f t="shared" si="31"/>
        <v>485</v>
      </c>
      <c r="BZ69" s="179">
        <f t="shared" si="32"/>
        <v>487</v>
      </c>
      <c r="CA69" s="182">
        <f>'1st_Semester'!BQ69</f>
        <v>3.625</v>
      </c>
      <c r="CB69" s="182">
        <f>'2nd_Semester'!BQ69</f>
        <v>3.25</v>
      </c>
      <c r="CC69" s="182">
        <f t="shared" si="33"/>
        <v>3.4375</v>
      </c>
      <c r="CD69" s="182">
        <f t="shared" si="34"/>
        <v>3.4375</v>
      </c>
    </row>
    <row r="70" spans="1:82" ht="27.95" customHeight="1">
      <c r="A70" s="71">
        <v>62</v>
      </c>
      <c r="B70" s="49">
        <v>69</v>
      </c>
      <c r="C70" s="50" t="s">
        <v>259</v>
      </c>
      <c r="D70" s="50" t="s">
        <v>260</v>
      </c>
      <c r="E70" s="50" t="s">
        <v>261</v>
      </c>
      <c r="F70" s="65" t="s">
        <v>262</v>
      </c>
      <c r="G70" s="78">
        <v>14</v>
      </c>
      <c r="H70" s="150">
        <v>30</v>
      </c>
      <c r="I70" s="151">
        <f t="shared" si="57"/>
        <v>44</v>
      </c>
      <c r="J70" s="150">
        <v>26</v>
      </c>
      <c r="K70" s="151">
        <f t="shared" si="58"/>
        <v>70</v>
      </c>
      <c r="L70" s="149">
        <v>9</v>
      </c>
      <c r="M70" s="150">
        <v>25</v>
      </c>
      <c r="N70" s="151">
        <f t="shared" si="59"/>
        <v>34</v>
      </c>
      <c r="O70" s="151">
        <f t="shared" si="5"/>
        <v>34</v>
      </c>
      <c r="P70" s="151">
        <f t="shared" si="37"/>
        <v>104</v>
      </c>
      <c r="Q70" s="215"/>
      <c r="R70" s="162">
        <f t="shared" si="39"/>
        <v>3.5</v>
      </c>
      <c r="S70" s="149">
        <v>12</v>
      </c>
      <c r="T70" s="162">
        <v>34</v>
      </c>
      <c r="U70" s="151">
        <f t="shared" si="40"/>
        <v>46</v>
      </c>
      <c r="V70" s="149">
        <v>6</v>
      </c>
      <c r="W70" s="162">
        <v>19</v>
      </c>
      <c r="X70" s="151">
        <f t="shared" si="41"/>
        <v>25</v>
      </c>
      <c r="Y70" s="151">
        <f t="shared" si="60"/>
        <v>71</v>
      </c>
      <c r="Z70" s="151">
        <f t="shared" si="61"/>
        <v>71</v>
      </c>
      <c r="AA70" s="215"/>
      <c r="AB70" s="162">
        <f t="shared" si="42"/>
        <v>2</v>
      </c>
      <c r="AC70" s="149">
        <v>15</v>
      </c>
      <c r="AD70" s="162">
        <v>13</v>
      </c>
      <c r="AE70" s="151">
        <f t="shared" si="43"/>
        <v>28</v>
      </c>
      <c r="AF70" s="150">
        <v>12</v>
      </c>
      <c r="AG70" s="151">
        <f t="shared" si="44"/>
        <v>40</v>
      </c>
      <c r="AH70" s="215"/>
      <c r="AI70" s="162">
        <f t="shared" si="45"/>
        <v>2</v>
      </c>
      <c r="AJ70" s="149">
        <v>12</v>
      </c>
      <c r="AK70" s="162">
        <v>21</v>
      </c>
      <c r="AL70" s="163">
        <f t="shared" si="46"/>
        <v>33</v>
      </c>
      <c r="AM70" s="150">
        <v>13</v>
      </c>
      <c r="AN70" s="151">
        <f t="shared" si="62"/>
        <v>46</v>
      </c>
      <c r="AO70" s="217"/>
      <c r="AP70" s="162">
        <f t="shared" si="47"/>
        <v>2</v>
      </c>
      <c r="AQ70" s="162">
        <v>22</v>
      </c>
      <c r="AR70" s="162">
        <v>25</v>
      </c>
      <c r="AS70" s="150">
        <f t="shared" si="17"/>
        <v>47</v>
      </c>
      <c r="AT70" s="218"/>
      <c r="AU70" s="162">
        <f t="shared" si="48"/>
        <v>5</v>
      </c>
      <c r="AV70" s="149">
        <v>14</v>
      </c>
      <c r="AW70" s="162">
        <v>27</v>
      </c>
      <c r="AX70" s="163">
        <f t="shared" si="49"/>
        <v>41</v>
      </c>
      <c r="AY70" s="162">
        <v>24</v>
      </c>
      <c r="AZ70" s="163">
        <f t="shared" si="50"/>
        <v>65</v>
      </c>
      <c r="BA70" s="217"/>
      <c r="BB70" s="162">
        <f t="shared" si="51"/>
        <v>3.5</v>
      </c>
      <c r="BC70" s="149">
        <v>13</v>
      </c>
      <c r="BD70" s="162">
        <v>29</v>
      </c>
      <c r="BE70" s="163">
        <f t="shared" si="52"/>
        <v>42</v>
      </c>
      <c r="BF70" s="162">
        <v>28</v>
      </c>
      <c r="BG70" s="163">
        <f t="shared" si="53"/>
        <v>70</v>
      </c>
      <c r="BH70" s="217"/>
      <c r="BI70" s="162">
        <f t="shared" si="54"/>
        <v>4</v>
      </c>
      <c r="BJ70" s="149">
        <v>6</v>
      </c>
      <c r="BK70" s="162">
        <v>32</v>
      </c>
      <c r="BL70" s="163">
        <f t="shared" si="55"/>
        <v>38</v>
      </c>
      <c r="BM70" s="151">
        <f t="shared" si="26"/>
        <v>38</v>
      </c>
      <c r="BN70" s="217"/>
      <c r="BO70" s="162">
        <f t="shared" si="38"/>
        <v>4</v>
      </c>
      <c r="BP70" s="150">
        <f t="shared" si="27"/>
        <v>26</v>
      </c>
      <c r="BQ70" s="152">
        <f t="shared" si="28"/>
        <v>3.25</v>
      </c>
      <c r="BR70" s="164" t="str">
        <f t="shared" si="56"/>
        <v>B</v>
      </c>
      <c r="BS70" s="165" t="str">
        <f t="shared" si="3"/>
        <v>GOOD</v>
      </c>
      <c r="BT70" s="154">
        <f t="shared" si="30"/>
        <v>481</v>
      </c>
      <c r="BU70" s="62"/>
      <c r="BV70" s="62"/>
      <c r="BW70" s="178">
        <f>'1st_Semester'!BT70</f>
        <v>520</v>
      </c>
      <c r="BX70" s="179">
        <f>'2nd_Semester'!BT70</f>
        <v>410</v>
      </c>
      <c r="BY70" s="179">
        <f t="shared" si="31"/>
        <v>481</v>
      </c>
      <c r="BZ70" s="179">
        <f t="shared" si="32"/>
        <v>470.33333333333331</v>
      </c>
      <c r="CA70" s="182">
        <f>'1st_Semester'!BQ70</f>
        <v>3.625</v>
      </c>
      <c r="CB70" s="182">
        <f>'2nd_Semester'!BQ70</f>
        <v>2.8125</v>
      </c>
      <c r="CC70" s="182">
        <f t="shared" si="33"/>
        <v>3.25</v>
      </c>
      <c r="CD70" s="182">
        <f t="shared" si="34"/>
        <v>3.2291666666666665</v>
      </c>
    </row>
    <row r="71" spans="1:82" ht="27.95" customHeight="1">
      <c r="A71" s="71">
        <v>63</v>
      </c>
      <c r="B71" s="49">
        <v>71</v>
      </c>
      <c r="C71" s="50" t="s">
        <v>263</v>
      </c>
      <c r="D71" s="50" t="s">
        <v>256</v>
      </c>
      <c r="E71" s="50" t="s">
        <v>264</v>
      </c>
      <c r="F71" s="65" t="s">
        <v>265</v>
      </c>
      <c r="G71" s="78">
        <v>11</v>
      </c>
      <c r="H71" s="150">
        <v>19</v>
      </c>
      <c r="I71" s="151">
        <f t="shared" si="57"/>
        <v>30</v>
      </c>
      <c r="J71" s="150">
        <v>18</v>
      </c>
      <c r="K71" s="151">
        <f t="shared" si="58"/>
        <v>48</v>
      </c>
      <c r="L71" s="149">
        <v>8</v>
      </c>
      <c r="M71" s="150">
        <v>16</v>
      </c>
      <c r="N71" s="151">
        <f t="shared" si="59"/>
        <v>24</v>
      </c>
      <c r="O71" s="151">
        <f t="shared" si="5"/>
        <v>24</v>
      </c>
      <c r="P71" s="151">
        <f t="shared" si="37"/>
        <v>72</v>
      </c>
      <c r="Q71" s="215"/>
      <c r="R71" s="162">
        <f t="shared" si="39"/>
        <v>3</v>
      </c>
      <c r="S71" s="149">
        <v>16</v>
      </c>
      <c r="T71" s="162">
        <v>22</v>
      </c>
      <c r="U71" s="151">
        <f t="shared" si="40"/>
        <v>38</v>
      </c>
      <c r="V71" s="149">
        <v>6</v>
      </c>
      <c r="W71" s="162">
        <v>16</v>
      </c>
      <c r="X71" s="151">
        <f t="shared" si="41"/>
        <v>22</v>
      </c>
      <c r="Y71" s="151">
        <f t="shared" si="60"/>
        <v>60</v>
      </c>
      <c r="Z71" s="151">
        <f t="shared" si="61"/>
        <v>60</v>
      </c>
      <c r="AA71" s="215"/>
      <c r="AB71" s="162">
        <f t="shared" si="42"/>
        <v>2</v>
      </c>
      <c r="AC71" s="149">
        <v>13</v>
      </c>
      <c r="AD71" s="162">
        <v>0</v>
      </c>
      <c r="AE71" s="151">
        <f t="shared" si="43"/>
        <v>13</v>
      </c>
      <c r="AF71" s="150">
        <v>12</v>
      </c>
      <c r="AG71" s="151">
        <f t="shared" si="44"/>
        <v>25</v>
      </c>
      <c r="AH71" s="215"/>
      <c r="AI71" s="162" t="str">
        <f t="shared" si="45"/>
        <v>F</v>
      </c>
      <c r="AJ71" s="149">
        <v>5</v>
      </c>
      <c r="AK71" s="162">
        <v>19</v>
      </c>
      <c r="AL71" s="163">
        <f t="shared" si="46"/>
        <v>24</v>
      </c>
      <c r="AM71" s="150">
        <v>17</v>
      </c>
      <c r="AN71" s="151">
        <f t="shared" si="62"/>
        <v>41</v>
      </c>
      <c r="AO71" s="217"/>
      <c r="AP71" s="162">
        <f t="shared" si="47"/>
        <v>2</v>
      </c>
      <c r="AQ71" s="162">
        <v>18</v>
      </c>
      <c r="AR71" s="162">
        <v>20</v>
      </c>
      <c r="AS71" s="150">
        <f t="shared" si="17"/>
        <v>38</v>
      </c>
      <c r="AT71" s="218"/>
      <c r="AU71" s="162">
        <f t="shared" si="48"/>
        <v>4</v>
      </c>
      <c r="AV71" s="149">
        <v>14</v>
      </c>
      <c r="AW71" s="162">
        <v>21</v>
      </c>
      <c r="AX71" s="163">
        <f t="shared" si="49"/>
        <v>35</v>
      </c>
      <c r="AY71" s="162">
        <v>22</v>
      </c>
      <c r="AZ71" s="163">
        <f t="shared" si="50"/>
        <v>57</v>
      </c>
      <c r="BA71" s="217"/>
      <c r="BB71" s="162">
        <f t="shared" si="51"/>
        <v>3</v>
      </c>
      <c r="BC71" s="149">
        <v>13</v>
      </c>
      <c r="BD71" s="162">
        <v>21</v>
      </c>
      <c r="BE71" s="163">
        <f t="shared" si="52"/>
        <v>34</v>
      </c>
      <c r="BF71" s="162">
        <v>28</v>
      </c>
      <c r="BG71" s="163">
        <f t="shared" si="53"/>
        <v>62</v>
      </c>
      <c r="BH71" s="217"/>
      <c r="BI71" s="162">
        <f t="shared" si="54"/>
        <v>3.5</v>
      </c>
      <c r="BJ71" s="149">
        <v>6</v>
      </c>
      <c r="BK71" s="162">
        <v>32</v>
      </c>
      <c r="BL71" s="163">
        <f t="shared" si="55"/>
        <v>38</v>
      </c>
      <c r="BM71" s="151">
        <f t="shared" si="26"/>
        <v>38</v>
      </c>
      <c r="BN71" s="217"/>
      <c r="BO71" s="162">
        <f t="shared" si="38"/>
        <v>4</v>
      </c>
      <c r="BP71" s="150" t="str">
        <f t="shared" si="27"/>
        <v>F</v>
      </c>
      <c r="BQ71" s="152" t="str">
        <f t="shared" si="28"/>
        <v>F</v>
      </c>
      <c r="BR71" s="164" t="str">
        <f t="shared" si="56"/>
        <v>F</v>
      </c>
      <c r="BS71" s="165" t="str">
        <f t="shared" si="3"/>
        <v>NEED TO PROGRESS</v>
      </c>
      <c r="BT71" s="154">
        <f t="shared" si="30"/>
        <v>393</v>
      </c>
      <c r="BU71" s="62"/>
      <c r="BV71" s="62"/>
      <c r="BW71" s="178">
        <f>'1st_Semester'!BT71</f>
        <v>389</v>
      </c>
      <c r="BX71" s="179">
        <f>'2nd_Semester'!BT71</f>
        <v>363</v>
      </c>
      <c r="BY71" s="179">
        <f t="shared" si="31"/>
        <v>393</v>
      </c>
      <c r="BZ71" s="179">
        <f t="shared" si="32"/>
        <v>381.66666666666669</v>
      </c>
      <c r="CA71" s="182" t="str">
        <f>'1st_Semester'!BQ71</f>
        <v>F</v>
      </c>
      <c r="CB71" s="182" t="str">
        <f>'2nd_Semester'!BQ71</f>
        <v>F</v>
      </c>
      <c r="CC71" s="182" t="str">
        <f t="shared" si="33"/>
        <v>F</v>
      </c>
      <c r="CD71" s="182" t="e">
        <f t="shared" si="34"/>
        <v>#DIV/0!</v>
      </c>
    </row>
    <row r="72" spans="1:82" ht="27.95" customHeight="1">
      <c r="A72" s="71">
        <v>64</v>
      </c>
      <c r="B72" s="49">
        <v>72</v>
      </c>
      <c r="C72" s="51" t="s">
        <v>380</v>
      </c>
      <c r="D72" s="51" t="s">
        <v>381</v>
      </c>
      <c r="E72" s="51" t="s">
        <v>382</v>
      </c>
      <c r="F72" s="66" t="s">
        <v>383</v>
      </c>
      <c r="G72" s="78">
        <v>11</v>
      </c>
      <c r="H72" s="150">
        <v>24</v>
      </c>
      <c r="I72" s="151">
        <f t="shared" si="57"/>
        <v>35</v>
      </c>
      <c r="J72" s="150">
        <v>18</v>
      </c>
      <c r="K72" s="151">
        <f t="shared" si="58"/>
        <v>53</v>
      </c>
      <c r="L72" s="149">
        <v>6</v>
      </c>
      <c r="M72" s="150">
        <v>16</v>
      </c>
      <c r="N72" s="151">
        <f t="shared" si="59"/>
        <v>22</v>
      </c>
      <c r="O72" s="151">
        <f t="shared" si="5"/>
        <v>22</v>
      </c>
      <c r="P72" s="151">
        <f t="shared" si="37"/>
        <v>75</v>
      </c>
      <c r="Q72" s="215"/>
      <c r="R72" s="162">
        <f t="shared" si="39"/>
        <v>3</v>
      </c>
      <c r="S72" s="149">
        <v>16</v>
      </c>
      <c r="T72" s="162">
        <v>36</v>
      </c>
      <c r="U72" s="151">
        <f t="shared" si="40"/>
        <v>52</v>
      </c>
      <c r="V72" s="149">
        <v>6</v>
      </c>
      <c r="W72" s="162">
        <v>19</v>
      </c>
      <c r="X72" s="151">
        <f t="shared" si="41"/>
        <v>25</v>
      </c>
      <c r="Y72" s="151">
        <f t="shared" si="60"/>
        <v>77</v>
      </c>
      <c r="Z72" s="151">
        <f t="shared" si="61"/>
        <v>77</v>
      </c>
      <c r="AA72" s="215"/>
      <c r="AB72" s="162">
        <f t="shared" si="42"/>
        <v>3</v>
      </c>
      <c r="AC72" s="149">
        <v>12</v>
      </c>
      <c r="AD72" s="162">
        <v>15</v>
      </c>
      <c r="AE72" s="151">
        <f t="shared" si="43"/>
        <v>27</v>
      </c>
      <c r="AF72" s="150">
        <v>13</v>
      </c>
      <c r="AG72" s="151">
        <f t="shared" si="44"/>
        <v>40</v>
      </c>
      <c r="AH72" s="215"/>
      <c r="AI72" s="162">
        <f t="shared" si="45"/>
        <v>2</v>
      </c>
      <c r="AJ72" s="149">
        <v>10</v>
      </c>
      <c r="AK72" s="162">
        <v>21</v>
      </c>
      <c r="AL72" s="163">
        <f t="shared" si="46"/>
        <v>31</v>
      </c>
      <c r="AM72" s="150">
        <v>18</v>
      </c>
      <c r="AN72" s="151">
        <f t="shared" si="62"/>
        <v>49</v>
      </c>
      <c r="AO72" s="217"/>
      <c r="AP72" s="162">
        <f t="shared" si="47"/>
        <v>2</v>
      </c>
      <c r="AQ72" s="162">
        <v>20</v>
      </c>
      <c r="AR72" s="162">
        <v>20</v>
      </c>
      <c r="AS72" s="150">
        <f t="shared" si="17"/>
        <v>40</v>
      </c>
      <c r="AT72" s="218"/>
      <c r="AU72" s="162">
        <f t="shared" si="48"/>
        <v>5</v>
      </c>
      <c r="AV72" s="149">
        <v>15</v>
      </c>
      <c r="AW72" s="162">
        <v>14</v>
      </c>
      <c r="AX72" s="163">
        <f t="shared" si="49"/>
        <v>29</v>
      </c>
      <c r="AY72" s="162">
        <v>24</v>
      </c>
      <c r="AZ72" s="163">
        <f t="shared" si="50"/>
        <v>53</v>
      </c>
      <c r="BA72" s="217"/>
      <c r="BB72" s="162">
        <f t="shared" si="51"/>
        <v>3</v>
      </c>
      <c r="BC72" s="149">
        <v>13</v>
      </c>
      <c r="BD72" s="162">
        <v>24</v>
      </c>
      <c r="BE72" s="163">
        <f t="shared" si="52"/>
        <v>37</v>
      </c>
      <c r="BF72" s="162">
        <v>26</v>
      </c>
      <c r="BG72" s="163">
        <f t="shared" si="53"/>
        <v>63</v>
      </c>
      <c r="BH72" s="217"/>
      <c r="BI72" s="162">
        <f t="shared" si="54"/>
        <v>3.5</v>
      </c>
      <c r="BJ72" s="149">
        <v>7</v>
      </c>
      <c r="BK72" s="162">
        <v>33</v>
      </c>
      <c r="BL72" s="163">
        <f t="shared" si="55"/>
        <v>40</v>
      </c>
      <c r="BM72" s="151">
        <f t="shared" si="26"/>
        <v>40</v>
      </c>
      <c r="BN72" s="217"/>
      <c r="BO72" s="162">
        <f t="shared" si="38"/>
        <v>5</v>
      </c>
      <c r="BP72" s="150">
        <f t="shared" si="27"/>
        <v>26.5</v>
      </c>
      <c r="BQ72" s="152">
        <f t="shared" si="28"/>
        <v>3.3125</v>
      </c>
      <c r="BR72" s="164" t="str">
        <f t="shared" si="56"/>
        <v>B</v>
      </c>
      <c r="BS72" s="165" t="str">
        <f t="shared" si="3"/>
        <v>GOOD</v>
      </c>
      <c r="BT72" s="154">
        <f t="shared" si="30"/>
        <v>437</v>
      </c>
      <c r="BU72" s="62"/>
      <c r="BV72" s="62"/>
      <c r="BW72" s="178">
        <f>'1st_Semester'!BT72</f>
        <v>388</v>
      </c>
      <c r="BX72" s="179">
        <f>'2nd_Semester'!BT72</f>
        <v>359</v>
      </c>
      <c r="BY72" s="179">
        <f t="shared" si="31"/>
        <v>437</v>
      </c>
      <c r="BZ72" s="179">
        <f t="shared" si="32"/>
        <v>394.66666666666669</v>
      </c>
      <c r="CA72" s="182" t="str">
        <f>'1st_Semester'!BQ72</f>
        <v>F</v>
      </c>
      <c r="CB72" s="182" t="str">
        <f>'2nd_Semester'!BQ72</f>
        <v>F</v>
      </c>
      <c r="CC72" s="182">
        <f t="shared" si="33"/>
        <v>3.3125</v>
      </c>
      <c r="CD72" s="182">
        <f t="shared" si="34"/>
        <v>3.3125</v>
      </c>
    </row>
    <row r="73" spans="1:82" ht="27.95" customHeight="1">
      <c r="A73" s="71">
        <v>65</v>
      </c>
      <c r="B73" s="49">
        <v>73</v>
      </c>
      <c r="C73" s="51" t="s">
        <v>266</v>
      </c>
      <c r="D73" s="51" t="s">
        <v>267</v>
      </c>
      <c r="E73" s="51" t="s">
        <v>268</v>
      </c>
      <c r="F73" s="66" t="s">
        <v>269</v>
      </c>
      <c r="G73" s="78">
        <v>15</v>
      </c>
      <c r="H73" s="150">
        <v>29</v>
      </c>
      <c r="I73" s="151">
        <f t="shared" si="57"/>
        <v>44</v>
      </c>
      <c r="J73" s="150">
        <v>16</v>
      </c>
      <c r="K73" s="151">
        <f t="shared" si="58"/>
        <v>60</v>
      </c>
      <c r="L73" s="149">
        <v>8</v>
      </c>
      <c r="M73" s="150">
        <v>27</v>
      </c>
      <c r="N73" s="151">
        <f t="shared" si="59"/>
        <v>35</v>
      </c>
      <c r="O73" s="151">
        <f t="shared" si="5"/>
        <v>35</v>
      </c>
      <c r="P73" s="151">
        <f t="shared" ref="P73:P94" si="63">K73+O73</f>
        <v>95</v>
      </c>
      <c r="Q73" s="215"/>
      <c r="R73" s="162">
        <f t="shared" si="39"/>
        <v>3.5</v>
      </c>
      <c r="S73" s="149">
        <v>14</v>
      </c>
      <c r="T73" s="162">
        <v>24</v>
      </c>
      <c r="U73" s="151">
        <f t="shared" si="40"/>
        <v>38</v>
      </c>
      <c r="V73" s="149">
        <v>6</v>
      </c>
      <c r="W73" s="162">
        <v>19</v>
      </c>
      <c r="X73" s="151">
        <f t="shared" si="41"/>
        <v>25</v>
      </c>
      <c r="Y73" s="151">
        <f t="shared" si="60"/>
        <v>63</v>
      </c>
      <c r="Z73" s="151">
        <f t="shared" si="61"/>
        <v>63</v>
      </c>
      <c r="AA73" s="215"/>
      <c r="AB73" s="162">
        <f t="shared" si="42"/>
        <v>2</v>
      </c>
      <c r="AC73" s="149">
        <v>6</v>
      </c>
      <c r="AD73" s="162">
        <v>20</v>
      </c>
      <c r="AE73" s="151">
        <f t="shared" si="43"/>
        <v>26</v>
      </c>
      <c r="AF73" s="150">
        <v>14</v>
      </c>
      <c r="AG73" s="151">
        <f t="shared" si="44"/>
        <v>40</v>
      </c>
      <c r="AH73" s="215"/>
      <c r="AI73" s="162">
        <f t="shared" si="45"/>
        <v>2</v>
      </c>
      <c r="AJ73" s="149">
        <v>10</v>
      </c>
      <c r="AK73" s="162">
        <v>28</v>
      </c>
      <c r="AL73" s="163">
        <f t="shared" si="46"/>
        <v>38</v>
      </c>
      <c r="AM73" s="150">
        <v>16</v>
      </c>
      <c r="AN73" s="151">
        <f t="shared" si="62"/>
        <v>54</v>
      </c>
      <c r="AO73" s="217"/>
      <c r="AP73" s="162">
        <f t="shared" si="47"/>
        <v>3</v>
      </c>
      <c r="AQ73" s="162">
        <v>21</v>
      </c>
      <c r="AR73" s="162">
        <v>20</v>
      </c>
      <c r="AS73" s="150">
        <f t="shared" si="17"/>
        <v>41</v>
      </c>
      <c r="AT73" s="218"/>
      <c r="AU73" s="162">
        <f t="shared" si="48"/>
        <v>5</v>
      </c>
      <c r="AV73" s="149">
        <v>14</v>
      </c>
      <c r="AW73" s="162">
        <v>24</v>
      </c>
      <c r="AX73" s="163">
        <f t="shared" si="49"/>
        <v>38</v>
      </c>
      <c r="AY73" s="162">
        <v>26</v>
      </c>
      <c r="AZ73" s="163">
        <f t="shared" si="50"/>
        <v>64</v>
      </c>
      <c r="BA73" s="217"/>
      <c r="BB73" s="162">
        <f t="shared" si="51"/>
        <v>3.5</v>
      </c>
      <c r="BC73" s="149">
        <v>13</v>
      </c>
      <c r="BD73" s="162">
        <v>26</v>
      </c>
      <c r="BE73" s="163">
        <f t="shared" si="52"/>
        <v>39</v>
      </c>
      <c r="BF73" s="162">
        <v>25</v>
      </c>
      <c r="BG73" s="163">
        <f t="shared" si="53"/>
        <v>64</v>
      </c>
      <c r="BH73" s="217"/>
      <c r="BI73" s="162">
        <f t="shared" si="54"/>
        <v>3.5</v>
      </c>
      <c r="BJ73" s="149">
        <v>6</v>
      </c>
      <c r="BK73" s="162">
        <v>32</v>
      </c>
      <c r="BL73" s="163">
        <f t="shared" si="55"/>
        <v>38</v>
      </c>
      <c r="BM73" s="151">
        <f t="shared" si="26"/>
        <v>38</v>
      </c>
      <c r="BN73" s="217"/>
      <c r="BO73" s="162">
        <f t="shared" ref="BO73:BO94" si="64">IF(BL73&lt;20,"F",IF(BM73&lt;20,"F",IF(BM73&lt;25,2,IF(BM73&lt;30,3,IF(BM73&lt;35,3.5,IF(BM73&lt;40,4,5))))))</f>
        <v>4</v>
      </c>
      <c r="BP73" s="150">
        <f t="shared" si="27"/>
        <v>26.5</v>
      </c>
      <c r="BQ73" s="152">
        <f t="shared" si="28"/>
        <v>3.3125</v>
      </c>
      <c r="BR73" s="164" t="str">
        <f t="shared" si="56"/>
        <v>B</v>
      </c>
      <c r="BS73" s="165" t="str">
        <f t="shared" ref="BS73:BS94" si="65">IF(BQ73="F","NEED TO PROGRESS",IF(BQ73&gt;=5,"BEST",IF(BQ73&gt;=4,"BETTER",IF(BQ73&gt;=2,"GOOD"))))</f>
        <v>GOOD</v>
      </c>
      <c r="BT73" s="154">
        <f t="shared" si="30"/>
        <v>459</v>
      </c>
      <c r="BU73" s="62"/>
      <c r="BV73" s="62"/>
      <c r="BW73" s="178">
        <f>'1st_Semester'!BT73</f>
        <v>506</v>
      </c>
      <c r="BX73" s="179">
        <f>'2nd_Semester'!BT73</f>
        <v>443</v>
      </c>
      <c r="BY73" s="179">
        <f t="shared" si="31"/>
        <v>459</v>
      </c>
      <c r="BZ73" s="179">
        <f t="shared" si="32"/>
        <v>469.33333333333331</v>
      </c>
      <c r="CA73" s="182">
        <f>'1st_Semester'!BQ73</f>
        <v>3.625</v>
      </c>
      <c r="CB73" s="182" t="str">
        <f>'2nd_Semester'!BQ73</f>
        <v>F</v>
      </c>
      <c r="CC73" s="182">
        <f t="shared" si="33"/>
        <v>3.3125</v>
      </c>
      <c r="CD73" s="182">
        <f t="shared" si="34"/>
        <v>3.46875</v>
      </c>
    </row>
    <row r="74" spans="1:82" ht="27.95" customHeight="1">
      <c r="A74" s="71">
        <v>66</v>
      </c>
      <c r="B74" s="49">
        <v>74</v>
      </c>
      <c r="C74" s="51" t="s">
        <v>384</v>
      </c>
      <c r="D74" s="51" t="s">
        <v>385</v>
      </c>
      <c r="E74" s="51" t="s">
        <v>386</v>
      </c>
      <c r="F74" s="66" t="s">
        <v>387</v>
      </c>
      <c r="G74" s="78">
        <v>11</v>
      </c>
      <c r="H74" s="150">
        <v>20</v>
      </c>
      <c r="I74" s="151">
        <f t="shared" si="57"/>
        <v>31</v>
      </c>
      <c r="J74" s="150">
        <v>16</v>
      </c>
      <c r="K74" s="151">
        <f t="shared" si="58"/>
        <v>47</v>
      </c>
      <c r="L74" s="149">
        <v>6</v>
      </c>
      <c r="M74" s="150">
        <v>17</v>
      </c>
      <c r="N74" s="151">
        <f t="shared" si="59"/>
        <v>23</v>
      </c>
      <c r="O74" s="151">
        <f t="shared" ref="O74:O94" si="66">N74</f>
        <v>23</v>
      </c>
      <c r="P74" s="151">
        <f t="shared" si="63"/>
        <v>70</v>
      </c>
      <c r="Q74" s="215"/>
      <c r="R74" s="162">
        <f t="shared" si="39"/>
        <v>3</v>
      </c>
      <c r="S74" s="149">
        <v>12</v>
      </c>
      <c r="T74" s="162">
        <v>28</v>
      </c>
      <c r="U74" s="151">
        <f t="shared" si="40"/>
        <v>40</v>
      </c>
      <c r="V74" s="149">
        <v>6</v>
      </c>
      <c r="W74" s="162">
        <v>18</v>
      </c>
      <c r="X74" s="151">
        <f t="shared" si="41"/>
        <v>24</v>
      </c>
      <c r="Y74" s="151">
        <f t="shared" si="60"/>
        <v>64</v>
      </c>
      <c r="Z74" s="151">
        <f t="shared" si="61"/>
        <v>64</v>
      </c>
      <c r="AA74" s="215"/>
      <c r="AB74" s="162">
        <f t="shared" si="42"/>
        <v>2</v>
      </c>
      <c r="AC74" s="149">
        <v>11</v>
      </c>
      <c r="AD74" s="162">
        <v>20</v>
      </c>
      <c r="AE74" s="151">
        <f t="shared" si="43"/>
        <v>31</v>
      </c>
      <c r="AF74" s="150">
        <v>9</v>
      </c>
      <c r="AG74" s="151">
        <f t="shared" si="44"/>
        <v>40</v>
      </c>
      <c r="AH74" s="215"/>
      <c r="AI74" s="162">
        <f t="shared" si="45"/>
        <v>2</v>
      </c>
      <c r="AJ74" s="149">
        <v>6</v>
      </c>
      <c r="AK74" s="162">
        <v>23</v>
      </c>
      <c r="AL74" s="163">
        <f t="shared" si="46"/>
        <v>29</v>
      </c>
      <c r="AM74" s="150">
        <v>19</v>
      </c>
      <c r="AN74" s="151">
        <f t="shared" si="62"/>
        <v>48</v>
      </c>
      <c r="AO74" s="217"/>
      <c r="AP74" s="162">
        <f t="shared" si="47"/>
        <v>2</v>
      </c>
      <c r="AQ74" s="162">
        <v>16</v>
      </c>
      <c r="AR74" s="162">
        <v>20</v>
      </c>
      <c r="AS74" s="150">
        <f t="shared" ref="AS74:AS94" si="67">AQ74+AR74</f>
        <v>36</v>
      </c>
      <c r="AT74" s="218"/>
      <c r="AU74" s="162">
        <f t="shared" si="48"/>
        <v>4</v>
      </c>
      <c r="AV74" s="149">
        <v>15</v>
      </c>
      <c r="AW74" s="162">
        <v>24</v>
      </c>
      <c r="AX74" s="163">
        <f t="shared" si="49"/>
        <v>39</v>
      </c>
      <c r="AY74" s="162">
        <v>24</v>
      </c>
      <c r="AZ74" s="163">
        <f t="shared" si="50"/>
        <v>63</v>
      </c>
      <c r="BA74" s="217"/>
      <c r="BB74" s="162">
        <f t="shared" si="51"/>
        <v>3.5</v>
      </c>
      <c r="BC74" s="149">
        <v>13</v>
      </c>
      <c r="BD74" s="162">
        <v>21</v>
      </c>
      <c r="BE74" s="163">
        <f t="shared" si="52"/>
        <v>34</v>
      </c>
      <c r="BF74" s="162">
        <v>26</v>
      </c>
      <c r="BG74" s="163">
        <f t="shared" si="53"/>
        <v>60</v>
      </c>
      <c r="BH74" s="217"/>
      <c r="BI74" s="162">
        <f t="shared" si="54"/>
        <v>3.5</v>
      </c>
      <c r="BJ74" s="149">
        <v>5</v>
      </c>
      <c r="BK74" s="162">
        <v>32</v>
      </c>
      <c r="BL74" s="163">
        <f t="shared" si="55"/>
        <v>37</v>
      </c>
      <c r="BM74" s="151">
        <f t="shared" ref="BM74:BM94" si="68">BL74</f>
        <v>37</v>
      </c>
      <c r="BN74" s="217"/>
      <c r="BO74" s="162">
        <f t="shared" si="64"/>
        <v>4</v>
      </c>
      <c r="BP74" s="150">
        <f t="shared" ref="BP74:BP94" si="69">IF(R74="F","F",IF(AB74="F","F",IF(AI74="F","F",IF(AP74="F","F",IF(BB74="F","F",IF(BI74="F","F",IF(AU74="F","F",IF(BO74="F","F",SUM(R74,AB74,AI74,AP74,AU74,BB74,BO74,BI74)))))))))</f>
        <v>24</v>
      </c>
      <c r="BQ74" s="152">
        <f t="shared" ref="BQ74:BQ94" si="70">IF(BP74="F","F",IF(BP74&gt;=45,5,IF(BP74&lt;45,BP74/8)))</f>
        <v>3</v>
      </c>
      <c r="BR74" s="164" t="str">
        <f t="shared" si="56"/>
        <v>B</v>
      </c>
      <c r="BS74" s="165" t="str">
        <f t="shared" si="65"/>
        <v>GOOD</v>
      </c>
      <c r="BT74" s="154">
        <f t="shared" ref="BT74:BT94" si="71">P74+Z74+AG74+AN74+AS74+AZ74+BG74+BM74</f>
        <v>418</v>
      </c>
      <c r="BU74" s="62"/>
      <c r="BV74" s="62"/>
      <c r="BW74" s="178">
        <f>'1st_Semester'!BT74</f>
        <v>284</v>
      </c>
      <c r="BX74" s="179">
        <f>'2nd_Semester'!BT74</f>
        <v>421</v>
      </c>
      <c r="BY74" s="179">
        <f t="shared" ref="BY74:BY94" si="72">BT74</f>
        <v>418</v>
      </c>
      <c r="BZ74" s="179">
        <f t="shared" ref="BZ74:BZ94" si="73">AVERAGE(BW74:BY74)</f>
        <v>374.33333333333331</v>
      </c>
      <c r="CA74" s="182" t="str">
        <f>'1st_Semester'!BQ74</f>
        <v>F</v>
      </c>
      <c r="CB74" s="182">
        <f>'2nd_Semester'!BQ74</f>
        <v>2.9375</v>
      </c>
      <c r="CC74" s="182">
        <f t="shared" ref="CC74:CC94" si="74">BQ74</f>
        <v>3</v>
      </c>
      <c r="CD74" s="182">
        <f t="shared" ref="CD74:CD94" si="75">AVERAGE(CA74:CC74)</f>
        <v>2.96875</v>
      </c>
    </row>
    <row r="75" spans="1:82" ht="27.95" customHeight="1">
      <c r="A75" s="71">
        <v>67</v>
      </c>
      <c r="B75" s="49">
        <v>75</v>
      </c>
      <c r="C75" s="51" t="s">
        <v>270</v>
      </c>
      <c r="D75" s="51" t="s">
        <v>271</v>
      </c>
      <c r="E75" s="51" t="s">
        <v>272</v>
      </c>
      <c r="F75" s="66" t="s">
        <v>273</v>
      </c>
      <c r="G75" s="78">
        <v>11</v>
      </c>
      <c r="H75" s="150">
        <v>12</v>
      </c>
      <c r="I75" s="151">
        <f t="shared" si="57"/>
        <v>23</v>
      </c>
      <c r="J75" s="150">
        <v>17</v>
      </c>
      <c r="K75" s="151">
        <f t="shared" si="58"/>
        <v>40</v>
      </c>
      <c r="L75" s="149">
        <v>6</v>
      </c>
      <c r="M75" s="150">
        <v>16</v>
      </c>
      <c r="N75" s="151">
        <f t="shared" si="59"/>
        <v>22</v>
      </c>
      <c r="O75" s="151">
        <f t="shared" si="66"/>
        <v>22</v>
      </c>
      <c r="P75" s="151">
        <f t="shared" si="63"/>
        <v>62</v>
      </c>
      <c r="Q75" s="215"/>
      <c r="R75" s="162">
        <f t="shared" si="39"/>
        <v>2</v>
      </c>
      <c r="S75" s="149">
        <v>11</v>
      </c>
      <c r="T75" s="162">
        <v>12</v>
      </c>
      <c r="U75" s="151">
        <f t="shared" si="40"/>
        <v>23</v>
      </c>
      <c r="V75" s="149">
        <v>6</v>
      </c>
      <c r="W75" s="162">
        <v>12</v>
      </c>
      <c r="X75" s="151">
        <f t="shared" si="41"/>
        <v>18</v>
      </c>
      <c r="Y75" s="151">
        <f t="shared" si="60"/>
        <v>41</v>
      </c>
      <c r="Z75" s="151">
        <f t="shared" si="61"/>
        <v>41</v>
      </c>
      <c r="AA75" s="215"/>
      <c r="AB75" s="162" t="str">
        <f t="shared" si="42"/>
        <v>F</v>
      </c>
      <c r="AC75" s="149">
        <v>11</v>
      </c>
      <c r="AD75" s="162">
        <v>0</v>
      </c>
      <c r="AE75" s="151">
        <f t="shared" si="43"/>
        <v>11</v>
      </c>
      <c r="AF75" s="150">
        <v>9</v>
      </c>
      <c r="AG75" s="151">
        <f t="shared" si="44"/>
        <v>20</v>
      </c>
      <c r="AH75" s="215"/>
      <c r="AI75" s="162" t="str">
        <f t="shared" si="45"/>
        <v>F</v>
      </c>
      <c r="AJ75" s="149">
        <v>5</v>
      </c>
      <c r="AK75" s="162">
        <v>1</v>
      </c>
      <c r="AL75" s="163">
        <f t="shared" si="46"/>
        <v>6</v>
      </c>
      <c r="AM75" s="150">
        <v>14</v>
      </c>
      <c r="AN75" s="151">
        <f t="shared" si="62"/>
        <v>20</v>
      </c>
      <c r="AO75" s="217"/>
      <c r="AP75" s="162" t="str">
        <f t="shared" si="47"/>
        <v>F</v>
      </c>
      <c r="AQ75" s="162">
        <v>16</v>
      </c>
      <c r="AR75" s="162">
        <v>20</v>
      </c>
      <c r="AS75" s="150">
        <f t="shared" si="67"/>
        <v>36</v>
      </c>
      <c r="AT75" s="218"/>
      <c r="AU75" s="162">
        <f t="shared" si="48"/>
        <v>4</v>
      </c>
      <c r="AV75" s="149">
        <v>15</v>
      </c>
      <c r="AW75" s="162">
        <v>9</v>
      </c>
      <c r="AX75" s="163">
        <f t="shared" si="49"/>
        <v>24</v>
      </c>
      <c r="AY75" s="162">
        <v>18</v>
      </c>
      <c r="AZ75" s="163">
        <f t="shared" si="50"/>
        <v>42</v>
      </c>
      <c r="BA75" s="217"/>
      <c r="BB75" s="162">
        <f t="shared" si="51"/>
        <v>2</v>
      </c>
      <c r="BC75" s="149">
        <v>13</v>
      </c>
      <c r="BD75" s="162">
        <v>39</v>
      </c>
      <c r="BE75" s="163">
        <f t="shared" si="52"/>
        <v>52</v>
      </c>
      <c r="BF75" s="162">
        <v>28</v>
      </c>
      <c r="BG75" s="163">
        <f t="shared" si="53"/>
        <v>80</v>
      </c>
      <c r="BH75" s="217"/>
      <c r="BI75" s="162">
        <f t="shared" si="54"/>
        <v>5</v>
      </c>
      <c r="BJ75" s="149">
        <v>5</v>
      </c>
      <c r="BK75" s="162">
        <v>32</v>
      </c>
      <c r="BL75" s="163">
        <f t="shared" si="55"/>
        <v>37</v>
      </c>
      <c r="BM75" s="151">
        <f t="shared" si="68"/>
        <v>37</v>
      </c>
      <c r="BN75" s="217"/>
      <c r="BO75" s="162">
        <f t="shared" si="64"/>
        <v>4</v>
      </c>
      <c r="BP75" s="150" t="str">
        <f t="shared" si="69"/>
        <v>F</v>
      </c>
      <c r="BQ75" s="152" t="str">
        <f t="shared" si="70"/>
        <v>F</v>
      </c>
      <c r="BR75" s="164" t="str">
        <f t="shared" si="56"/>
        <v>F</v>
      </c>
      <c r="BS75" s="165" t="str">
        <f t="shared" si="65"/>
        <v>NEED TO PROGRESS</v>
      </c>
      <c r="BT75" s="154">
        <f t="shared" si="71"/>
        <v>338</v>
      </c>
      <c r="BU75" s="62"/>
      <c r="BV75" s="62"/>
      <c r="BW75" s="178">
        <f>'1st_Semester'!BT75</f>
        <v>410</v>
      </c>
      <c r="BX75" s="179">
        <f>'2nd_Semester'!BT75</f>
        <v>333</v>
      </c>
      <c r="BY75" s="179">
        <f t="shared" si="72"/>
        <v>338</v>
      </c>
      <c r="BZ75" s="179">
        <f t="shared" si="73"/>
        <v>360.33333333333331</v>
      </c>
      <c r="CA75" s="182">
        <f>'1st_Semester'!BQ75</f>
        <v>2.6875</v>
      </c>
      <c r="CB75" s="182" t="str">
        <f>'2nd_Semester'!BQ75</f>
        <v>F</v>
      </c>
      <c r="CC75" s="182" t="str">
        <f t="shared" si="74"/>
        <v>F</v>
      </c>
      <c r="CD75" s="182">
        <f t="shared" si="75"/>
        <v>2.6875</v>
      </c>
    </row>
    <row r="76" spans="1:82" ht="27.95" customHeight="1">
      <c r="A76" s="71">
        <v>68</v>
      </c>
      <c r="B76" s="53">
        <v>76</v>
      </c>
      <c r="C76" s="51" t="s">
        <v>388</v>
      </c>
      <c r="D76" s="51" t="s">
        <v>389</v>
      </c>
      <c r="E76" s="51" t="s">
        <v>390</v>
      </c>
      <c r="F76" s="66" t="s">
        <v>391</v>
      </c>
      <c r="G76" s="78">
        <v>16</v>
      </c>
      <c r="H76" s="150">
        <v>33</v>
      </c>
      <c r="I76" s="151">
        <f t="shared" si="57"/>
        <v>49</v>
      </c>
      <c r="J76" s="150">
        <v>16</v>
      </c>
      <c r="K76" s="151">
        <f t="shared" si="58"/>
        <v>65</v>
      </c>
      <c r="L76" s="149">
        <v>9</v>
      </c>
      <c r="M76" s="150">
        <v>26</v>
      </c>
      <c r="N76" s="151">
        <f t="shared" si="59"/>
        <v>35</v>
      </c>
      <c r="O76" s="151">
        <f t="shared" si="66"/>
        <v>35</v>
      </c>
      <c r="P76" s="151">
        <f t="shared" si="63"/>
        <v>100</v>
      </c>
      <c r="Q76" s="215"/>
      <c r="R76" s="162">
        <f t="shared" si="39"/>
        <v>3.5</v>
      </c>
      <c r="S76" s="149">
        <v>15</v>
      </c>
      <c r="T76" s="162">
        <v>36</v>
      </c>
      <c r="U76" s="151">
        <f t="shared" si="40"/>
        <v>51</v>
      </c>
      <c r="V76" s="149">
        <v>7</v>
      </c>
      <c r="W76" s="162">
        <v>18</v>
      </c>
      <c r="X76" s="151">
        <f t="shared" si="41"/>
        <v>25</v>
      </c>
      <c r="Y76" s="151">
        <f t="shared" si="60"/>
        <v>76</v>
      </c>
      <c r="Z76" s="151">
        <f t="shared" si="61"/>
        <v>76</v>
      </c>
      <c r="AA76" s="215"/>
      <c r="AB76" s="162">
        <f t="shared" si="42"/>
        <v>3</v>
      </c>
      <c r="AC76" s="149">
        <v>8</v>
      </c>
      <c r="AD76" s="162">
        <v>14</v>
      </c>
      <c r="AE76" s="151">
        <f t="shared" si="43"/>
        <v>22</v>
      </c>
      <c r="AF76" s="150">
        <v>18</v>
      </c>
      <c r="AG76" s="151">
        <f t="shared" si="44"/>
        <v>40</v>
      </c>
      <c r="AH76" s="215"/>
      <c r="AI76" s="162">
        <f t="shared" si="45"/>
        <v>2</v>
      </c>
      <c r="AJ76" s="149">
        <v>19</v>
      </c>
      <c r="AK76" s="162">
        <v>28</v>
      </c>
      <c r="AL76" s="163">
        <f t="shared" si="46"/>
        <v>47</v>
      </c>
      <c r="AM76" s="150">
        <v>20</v>
      </c>
      <c r="AN76" s="151">
        <f t="shared" si="62"/>
        <v>67</v>
      </c>
      <c r="AO76" s="217"/>
      <c r="AP76" s="162">
        <f t="shared" si="47"/>
        <v>3.5</v>
      </c>
      <c r="AQ76" s="162">
        <v>15</v>
      </c>
      <c r="AR76" s="162">
        <v>20</v>
      </c>
      <c r="AS76" s="150">
        <f t="shared" si="67"/>
        <v>35</v>
      </c>
      <c r="AT76" s="218"/>
      <c r="AU76" s="162">
        <f t="shared" si="48"/>
        <v>4</v>
      </c>
      <c r="AV76" s="149">
        <v>14</v>
      </c>
      <c r="AW76" s="162">
        <v>40</v>
      </c>
      <c r="AX76" s="163">
        <f t="shared" si="49"/>
        <v>54</v>
      </c>
      <c r="AY76" s="162">
        <v>24</v>
      </c>
      <c r="AZ76" s="163">
        <f t="shared" si="50"/>
        <v>78</v>
      </c>
      <c r="BA76" s="217"/>
      <c r="BB76" s="162">
        <f t="shared" si="51"/>
        <v>4</v>
      </c>
      <c r="BC76" s="149">
        <v>13</v>
      </c>
      <c r="BD76" s="162">
        <v>20</v>
      </c>
      <c r="BE76" s="163">
        <f t="shared" si="52"/>
        <v>33</v>
      </c>
      <c r="BF76" s="162">
        <v>28</v>
      </c>
      <c r="BG76" s="163">
        <f t="shared" si="53"/>
        <v>61</v>
      </c>
      <c r="BH76" s="217"/>
      <c r="BI76" s="162">
        <f t="shared" si="54"/>
        <v>3.5</v>
      </c>
      <c r="BJ76" s="149">
        <v>9</v>
      </c>
      <c r="BK76" s="162">
        <v>32</v>
      </c>
      <c r="BL76" s="163">
        <f t="shared" si="55"/>
        <v>41</v>
      </c>
      <c r="BM76" s="151">
        <f t="shared" si="68"/>
        <v>41</v>
      </c>
      <c r="BN76" s="217"/>
      <c r="BO76" s="162">
        <f t="shared" si="64"/>
        <v>5</v>
      </c>
      <c r="BP76" s="150">
        <f t="shared" si="69"/>
        <v>28.5</v>
      </c>
      <c r="BQ76" s="152">
        <f t="shared" si="70"/>
        <v>3.5625</v>
      </c>
      <c r="BR76" s="164" t="str">
        <f t="shared" si="56"/>
        <v>A-</v>
      </c>
      <c r="BS76" s="165" t="str">
        <f t="shared" si="65"/>
        <v>GOOD</v>
      </c>
      <c r="BT76" s="154">
        <f t="shared" si="71"/>
        <v>498</v>
      </c>
      <c r="BU76" s="62"/>
      <c r="BV76" s="62"/>
      <c r="BW76" s="178">
        <f>'1st_Semester'!BT76</f>
        <v>401</v>
      </c>
      <c r="BX76" s="179">
        <f>'2nd_Semester'!BT76</f>
        <v>535</v>
      </c>
      <c r="BY76" s="179">
        <f t="shared" si="72"/>
        <v>498</v>
      </c>
      <c r="BZ76" s="179">
        <f t="shared" si="73"/>
        <v>478</v>
      </c>
      <c r="CA76" s="182">
        <f>'1st_Semester'!BQ76</f>
        <v>2.75</v>
      </c>
      <c r="CB76" s="182">
        <f>'2nd_Semester'!BQ76</f>
        <v>3.6875</v>
      </c>
      <c r="CC76" s="182">
        <f t="shared" si="74"/>
        <v>3.5625</v>
      </c>
      <c r="CD76" s="182">
        <f t="shared" si="75"/>
        <v>3.3333333333333335</v>
      </c>
    </row>
    <row r="77" spans="1:82" ht="27.95" customHeight="1">
      <c r="A77" s="71">
        <v>69</v>
      </c>
      <c r="B77" s="53">
        <v>79</v>
      </c>
      <c r="C77" s="51" t="s">
        <v>274</v>
      </c>
      <c r="D77" s="51" t="s">
        <v>275</v>
      </c>
      <c r="E77" s="51" t="s">
        <v>276</v>
      </c>
      <c r="F77" s="66" t="s">
        <v>277</v>
      </c>
      <c r="G77" s="78">
        <v>19</v>
      </c>
      <c r="H77" s="150">
        <v>35</v>
      </c>
      <c r="I77" s="151">
        <f t="shared" si="57"/>
        <v>54</v>
      </c>
      <c r="J77" s="150">
        <v>21</v>
      </c>
      <c r="K77" s="151">
        <f t="shared" si="58"/>
        <v>75</v>
      </c>
      <c r="L77" s="149">
        <v>10</v>
      </c>
      <c r="M77" s="150">
        <v>32</v>
      </c>
      <c r="N77" s="151">
        <f t="shared" si="59"/>
        <v>42</v>
      </c>
      <c r="O77" s="151">
        <f t="shared" si="66"/>
        <v>42</v>
      </c>
      <c r="P77" s="151">
        <f t="shared" si="63"/>
        <v>117</v>
      </c>
      <c r="Q77" s="215"/>
      <c r="R77" s="162">
        <f t="shared" si="39"/>
        <v>4</v>
      </c>
      <c r="S77" s="149">
        <v>17</v>
      </c>
      <c r="T77" s="162">
        <v>47</v>
      </c>
      <c r="U77" s="151">
        <f t="shared" si="40"/>
        <v>64</v>
      </c>
      <c r="V77" s="149">
        <v>7</v>
      </c>
      <c r="W77" s="162">
        <v>25</v>
      </c>
      <c r="X77" s="151">
        <f t="shared" si="41"/>
        <v>32</v>
      </c>
      <c r="Y77" s="151">
        <f t="shared" si="60"/>
        <v>96</v>
      </c>
      <c r="Z77" s="151">
        <f t="shared" si="61"/>
        <v>96</v>
      </c>
      <c r="AA77" s="215"/>
      <c r="AB77" s="162">
        <f t="shared" si="42"/>
        <v>3.5</v>
      </c>
      <c r="AC77" s="149">
        <v>8</v>
      </c>
      <c r="AD77" s="162">
        <v>23</v>
      </c>
      <c r="AE77" s="151">
        <f t="shared" si="43"/>
        <v>31</v>
      </c>
      <c r="AF77" s="150">
        <v>17</v>
      </c>
      <c r="AG77" s="151">
        <f t="shared" si="44"/>
        <v>48</v>
      </c>
      <c r="AH77" s="215"/>
      <c r="AI77" s="162">
        <f t="shared" si="45"/>
        <v>2</v>
      </c>
      <c r="AJ77" s="149">
        <v>16</v>
      </c>
      <c r="AK77" s="162">
        <v>29</v>
      </c>
      <c r="AL77" s="163">
        <f t="shared" si="46"/>
        <v>45</v>
      </c>
      <c r="AM77" s="150">
        <v>15</v>
      </c>
      <c r="AN77" s="151">
        <f t="shared" si="62"/>
        <v>60</v>
      </c>
      <c r="AO77" s="217"/>
      <c r="AP77" s="162">
        <f t="shared" si="47"/>
        <v>3.5</v>
      </c>
      <c r="AQ77" s="162">
        <v>21</v>
      </c>
      <c r="AR77" s="162">
        <v>20</v>
      </c>
      <c r="AS77" s="150">
        <f t="shared" si="67"/>
        <v>41</v>
      </c>
      <c r="AT77" s="218"/>
      <c r="AU77" s="162">
        <f t="shared" si="48"/>
        <v>5</v>
      </c>
      <c r="AV77" s="149">
        <v>17</v>
      </c>
      <c r="AW77" s="162">
        <v>37</v>
      </c>
      <c r="AX77" s="163">
        <f t="shared" si="49"/>
        <v>54</v>
      </c>
      <c r="AY77" s="162">
        <v>23</v>
      </c>
      <c r="AZ77" s="163">
        <f t="shared" si="50"/>
        <v>77</v>
      </c>
      <c r="BA77" s="217"/>
      <c r="BB77" s="162">
        <f t="shared" si="51"/>
        <v>4</v>
      </c>
      <c r="BC77" s="149">
        <v>19</v>
      </c>
      <c r="BD77" s="162">
        <v>34</v>
      </c>
      <c r="BE77" s="163">
        <f t="shared" si="52"/>
        <v>53</v>
      </c>
      <c r="BF77" s="162">
        <v>29</v>
      </c>
      <c r="BG77" s="163">
        <f t="shared" si="53"/>
        <v>82</v>
      </c>
      <c r="BH77" s="217"/>
      <c r="BI77" s="162">
        <f t="shared" si="54"/>
        <v>5</v>
      </c>
      <c r="BJ77" s="149">
        <v>8</v>
      </c>
      <c r="BK77" s="162">
        <v>32</v>
      </c>
      <c r="BL77" s="163">
        <f t="shared" si="55"/>
        <v>40</v>
      </c>
      <c r="BM77" s="151">
        <f t="shared" si="68"/>
        <v>40</v>
      </c>
      <c r="BN77" s="217"/>
      <c r="BO77" s="162">
        <f t="shared" si="64"/>
        <v>5</v>
      </c>
      <c r="BP77" s="150">
        <f t="shared" si="69"/>
        <v>32</v>
      </c>
      <c r="BQ77" s="152">
        <f t="shared" si="70"/>
        <v>4</v>
      </c>
      <c r="BR77" s="164" t="str">
        <f t="shared" si="56"/>
        <v>A</v>
      </c>
      <c r="BS77" s="165" t="str">
        <f t="shared" si="65"/>
        <v>BETTER</v>
      </c>
      <c r="BT77" s="154">
        <f t="shared" si="71"/>
        <v>561</v>
      </c>
      <c r="BU77" s="62"/>
      <c r="BV77" s="62"/>
      <c r="BW77" s="178">
        <f>'1st_Semester'!BT77</f>
        <v>297</v>
      </c>
      <c r="BX77" s="179">
        <f>'2nd_Semester'!BT77</f>
        <v>489</v>
      </c>
      <c r="BY77" s="179">
        <f t="shared" si="72"/>
        <v>561</v>
      </c>
      <c r="BZ77" s="179">
        <f t="shared" si="73"/>
        <v>449</v>
      </c>
      <c r="CA77" s="182" t="str">
        <f>'1st_Semester'!BQ77</f>
        <v>F</v>
      </c>
      <c r="CB77" s="182">
        <f>'2nd_Semester'!BQ77</f>
        <v>3.3125</v>
      </c>
      <c r="CC77" s="182">
        <f t="shared" si="74"/>
        <v>4</v>
      </c>
      <c r="CD77" s="182">
        <f t="shared" si="75"/>
        <v>3.65625</v>
      </c>
    </row>
    <row r="78" spans="1:82" ht="27.95" customHeight="1">
      <c r="A78" s="71">
        <v>70</v>
      </c>
      <c r="B78" s="53">
        <v>81</v>
      </c>
      <c r="C78" s="51" t="s">
        <v>278</v>
      </c>
      <c r="D78" s="51" t="s">
        <v>279</v>
      </c>
      <c r="E78" s="51" t="s">
        <v>280</v>
      </c>
      <c r="F78" s="66" t="s">
        <v>281</v>
      </c>
      <c r="G78" s="78">
        <v>13</v>
      </c>
      <c r="H78" s="150">
        <v>22</v>
      </c>
      <c r="I78" s="151">
        <f t="shared" si="57"/>
        <v>35</v>
      </c>
      <c r="J78" s="150">
        <v>13</v>
      </c>
      <c r="K78" s="151">
        <f t="shared" si="58"/>
        <v>48</v>
      </c>
      <c r="L78" s="149">
        <v>7</v>
      </c>
      <c r="M78" s="150">
        <v>18</v>
      </c>
      <c r="N78" s="151">
        <f t="shared" si="59"/>
        <v>25</v>
      </c>
      <c r="O78" s="151">
        <f t="shared" si="66"/>
        <v>25</v>
      </c>
      <c r="P78" s="151">
        <f t="shared" si="63"/>
        <v>73</v>
      </c>
      <c r="Q78" s="215"/>
      <c r="R78" s="162">
        <f>IF(P78&lt;60,"F",IF(P78&lt;70,2,IF(P78&lt;95,3,IF(P78&lt;105,3.5,IF(P78&lt;120,4,5)))))</f>
        <v>3</v>
      </c>
      <c r="S78" s="149">
        <v>12</v>
      </c>
      <c r="T78" s="162">
        <v>23</v>
      </c>
      <c r="U78" s="151">
        <f t="shared" si="40"/>
        <v>35</v>
      </c>
      <c r="V78" s="149">
        <v>7</v>
      </c>
      <c r="W78" s="162">
        <v>24</v>
      </c>
      <c r="X78" s="151">
        <f t="shared" si="41"/>
        <v>31</v>
      </c>
      <c r="Y78" s="151">
        <f t="shared" si="60"/>
        <v>66</v>
      </c>
      <c r="Z78" s="151">
        <f t="shared" si="61"/>
        <v>66</v>
      </c>
      <c r="AA78" s="215"/>
      <c r="AB78" s="162">
        <f t="shared" si="42"/>
        <v>2</v>
      </c>
      <c r="AC78" s="149">
        <v>13</v>
      </c>
      <c r="AD78" s="162">
        <v>24</v>
      </c>
      <c r="AE78" s="151">
        <f t="shared" si="43"/>
        <v>37</v>
      </c>
      <c r="AF78" s="150">
        <v>3</v>
      </c>
      <c r="AG78" s="151">
        <f t="shared" si="44"/>
        <v>40</v>
      </c>
      <c r="AH78" s="215"/>
      <c r="AI78" s="162">
        <f t="shared" si="45"/>
        <v>2</v>
      </c>
      <c r="AJ78" s="149">
        <v>12</v>
      </c>
      <c r="AK78" s="162">
        <v>16</v>
      </c>
      <c r="AL78" s="163">
        <f t="shared" si="46"/>
        <v>28</v>
      </c>
      <c r="AM78" s="150">
        <v>12</v>
      </c>
      <c r="AN78" s="151">
        <f t="shared" si="62"/>
        <v>40</v>
      </c>
      <c r="AO78" s="217"/>
      <c r="AP78" s="162">
        <f t="shared" si="47"/>
        <v>2</v>
      </c>
      <c r="AQ78" s="162">
        <v>14</v>
      </c>
      <c r="AR78" s="162">
        <v>20</v>
      </c>
      <c r="AS78" s="150">
        <f t="shared" si="67"/>
        <v>34</v>
      </c>
      <c r="AT78" s="218"/>
      <c r="AU78" s="162">
        <f t="shared" si="48"/>
        <v>3.5</v>
      </c>
      <c r="AV78" s="149">
        <v>16</v>
      </c>
      <c r="AW78" s="162">
        <v>24</v>
      </c>
      <c r="AX78" s="163">
        <f t="shared" si="49"/>
        <v>40</v>
      </c>
      <c r="AY78" s="162">
        <v>17</v>
      </c>
      <c r="AZ78" s="163">
        <f t="shared" si="50"/>
        <v>57</v>
      </c>
      <c r="BA78" s="217"/>
      <c r="BB78" s="162">
        <f t="shared" si="51"/>
        <v>3</v>
      </c>
      <c r="BC78" s="149">
        <v>13</v>
      </c>
      <c r="BD78" s="162">
        <v>20</v>
      </c>
      <c r="BE78" s="163">
        <f t="shared" si="52"/>
        <v>33</v>
      </c>
      <c r="BF78" s="162">
        <v>28</v>
      </c>
      <c r="BG78" s="163">
        <f t="shared" si="53"/>
        <v>61</v>
      </c>
      <c r="BH78" s="217"/>
      <c r="BI78" s="162">
        <f t="shared" si="54"/>
        <v>3.5</v>
      </c>
      <c r="BJ78" s="149">
        <v>6</v>
      </c>
      <c r="BK78" s="162">
        <v>32</v>
      </c>
      <c r="BL78" s="163">
        <f t="shared" si="55"/>
        <v>38</v>
      </c>
      <c r="BM78" s="151">
        <f t="shared" si="68"/>
        <v>38</v>
      </c>
      <c r="BN78" s="217"/>
      <c r="BO78" s="162">
        <f t="shared" si="64"/>
        <v>4</v>
      </c>
      <c r="BP78" s="150">
        <f t="shared" si="69"/>
        <v>23</v>
      </c>
      <c r="BQ78" s="152">
        <f t="shared" si="70"/>
        <v>2.875</v>
      </c>
      <c r="BR78" s="164" t="str">
        <f t="shared" si="56"/>
        <v>C</v>
      </c>
      <c r="BS78" s="165" t="str">
        <f t="shared" si="65"/>
        <v>GOOD</v>
      </c>
      <c r="BT78" s="154">
        <f t="shared" si="71"/>
        <v>409</v>
      </c>
      <c r="BU78" s="62"/>
      <c r="BV78" s="62"/>
      <c r="BW78" s="178">
        <f>'1st_Semester'!BT78</f>
        <v>269</v>
      </c>
      <c r="BX78" s="179">
        <f>'2nd_Semester'!BT78</f>
        <v>399</v>
      </c>
      <c r="BY78" s="179">
        <f t="shared" si="72"/>
        <v>409</v>
      </c>
      <c r="BZ78" s="179">
        <f t="shared" si="73"/>
        <v>359</v>
      </c>
      <c r="CA78" s="182" t="str">
        <f>'1st_Semester'!BQ78</f>
        <v>F</v>
      </c>
      <c r="CB78" s="182" t="str">
        <f>'2nd_Semester'!BQ78</f>
        <v>F</v>
      </c>
      <c r="CC78" s="182">
        <f t="shared" si="74"/>
        <v>2.875</v>
      </c>
      <c r="CD78" s="182">
        <f t="shared" si="75"/>
        <v>2.875</v>
      </c>
    </row>
    <row r="79" spans="1:82" ht="27.95" customHeight="1">
      <c r="A79" s="71">
        <v>71</v>
      </c>
      <c r="B79" s="53">
        <v>83</v>
      </c>
      <c r="C79" s="51" t="s">
        <v>282</v>
      </c>
      <c r="D79" s="51" t="s">
        <v>283</v>
      </c>
      <c r="E79" s="51" t="s">
        <v>284</v>
      </c>
      <c r="F79" s="66" t="s">
        <v>285</v>
      </c>
      <c r="G79" s="78">
        <v>17</v>
      </c>
      <c r="H79" s="150">
        <v>31</v>
      </c>
      <c r="I79" s="151">
        <f t="shared" si="57"/>
        <v>48</v>
      </c>
      <c r="J79" s="150">
        <v>23</v>
      </c>
      <c r="K79" s="151">
        <f t="shared" si="58"/>
        <v>71</v>
      </c>
      <c r="L79" s="149">
        <v>10</v>
      </c>
      <c r="M79" s="150">
        <v>29</v>
      </c>
      <c r="N79" s="151">
        <f t="shared" si="59"/>
        <v>39</v>
      </c>
      <c r="O79" s="151">
        <f t="shared" si="66"/>
        <v>39</v>
      </c>
      <c r="P79" s="151">
        <f t="shared" si="63"/>
        <v>110</v>
      </c>
      <c r="Q79" s="215"/>
      <c r="R79" s="162">
        <f t="shared" si="39"/>
        <v>4</v>
      </c>
      <c r="S79" s="149">
        <v>19</v>
      </c>
      <c r="T79" s="162">
        <v>53</v>
      </c>
      <c r="U79" s="151">
        <f t="shared" si="40"/>
        <v>72</v>
      </c>
      <c r="V79" s="149">
        <v>7</v>
      </c>
      <c r="W79" s="162">
        <v>30</v>
      </c>
      <c r="X79" s="151">
        <f t="shared" si="41"/>
        <v>37</v>
      </c>
      <c r="Y79" s="151">
        <f t="shared" si="60"/>
        <v>109</v>
      </c>
      <c r="Z79" s="151">
        <f t="shared" si="61"/>
        <v>109</v>
      </c>
      <c r="AA79" s="215"/>
      <c r="AB79" s="162">
        <f t="shared" si="42"/>
        <v>4</v>
      </c>
      <c r="AC79" s="149">
        <v>14</v>
      </c>
      <c r="AD79" s="162">
        <v>17</v>
      </c>
      <c r="AE79" s="151">
        <f t="shared" si="43"/>
        <v>31</v>
      </c>
      <c r="AF79" s="150">
        <v>18</v>
      </c>
      <c r="AG79" s="151">
        <f t="shared" si="44"/>
        <v>49</v>
      </c>
      <c r="AH79" s="215"/>
      <c r="AI79" s="162">
        <f t="shared" si="45"/>
        <v>2</v>
      </c>
      <c r="AJ79" s="149">
        <v>18</v>
      </c>
      <c r="AK79" s="162">
        <v>29</v>
      </c>
      <c r="AL79" s="163">
        <f t="shared" si="46"/>
        <v>47</v>
      </c>
      <c r="AM79" s="150">
        <v>20</v>
      </c>
      <c r="AN79" s="151">
        <f t="shared" si="62"/>
        <v>67</v>
      </c>
      <c r="AO79" s="217"/>
      <c r="AP79" s="162">
        <f t="shared" si="47"/>
        <v>3.5</v>
      </c>
      <c r="AQ79" s="162">
        <v>21</v>
      </c>
      <c r="AR79" s="162">
        <v>20</v>
      </c>
      <c r="AS79" s="150">
        <f t="shared" si="67"/>
        <v>41</v>
      </c>
      <c r="AT79" s="218"/>
      <c r="AU79" s="162">
        <f t="shared" si="48"/>
        <v>5</v>
      </c>
      <c r="AV79" s="149">
        <v>16</v>
      </c>
      <c r="AW79" s="162">
        <v>28</v>
      </c>
      <c r="AX79" s="163">
        <f t="shared" si="49"/>
        <v>44</v>
      </c>
      <c r="AY79" s="162">
        <v>23</v>
      </c>
      <c r="AZ79" s="163">
        <f t="shared" si="50"/>
        <v>67</v>
      </c>
      <c r="BA79" s="217"/>
      <c r="BB79" s="162">
        <f t="shared" si="51"/>
        <v>3.5</v>
      </c>
      <c r="BC79" s="149">
        <v>20</v>
      </c>
      <c r="BD79" s="162">
        <v>39</v>
      </c>
      <c r="BE79" s="163">
        <f t="shared" si="52"/>
        <v>59</v>
      </c>
      <c r="BF79" s="162">
        <v>25</v>
      </c>
      <c r="BG79" s="163">
        <f t="shared" si="53"/>
        <v>84</v>
      </c>
      <c r="BH79" s="217"/>
      <c r="BI79" s="162">
        <f t="shared" si="54"/>
        <v>5</v>
      </c>
      <c r="BJ79" s="149">
        <v>9</v>
      </c>
      <c r="BK79" s="162">
        <v>32</v>
      </c>
      <c r="BL79" s="163">
        <f t="shared" si="55"/>
        <v>41</v>
      </c>
      <c r="BM79" s="151">
        <f t="shared" si="68"/>
        <v>41</v>
      </c>
      <c r="BN79" s="217"/>
      <c r="BO79" s="162">
        <f t="shared" si="64"/>
        <v>5</v>
      </c>
      <c r="BP79" s="150">
        <f t="shared" si="69"/>
        <v>32</v>
      </c>
      <c r="BQ79" s="152">
        <f t="shared" si="70"/>
        <v>4</v>
      </c>
      <c r="BR79" s="164" t="str">
        <f t="shared" si="56"/>
        <v>A</v>
      </c>
      <c r="BS79" s="165" t="str">
        <f t="shared" si="65"/>
        <v>BETTER</v>
      </c>
      <c r="BT79" s="154">
        <f t="shared" si="71"/>
        <v>568</v>
      </c>
      <c r="BU79" s="62"/>
      <c r="BV79" s="62"/>
      <c r="BW79" s="178">
        <f>'1st_Semester'!BT79</f>
        <v>382</v>
      </c>
      <c r="BX79" s="179">
        <f>'2nd_Semester'!BT79</f>
        <v>512</v>
      </c>
      <c r="BY79" s="179">
        <f t="shared" si="72"/>
        <v>568</v>
      </c>
      <c r="BZ79" s="179">
        <f t="shared" si="73"/>
        <v>487.33333333333331</v>
      </c>
      <c r="CA79" s="182" t="str">
        <f>'1st_Semester'!BQ79</f>
        <v>F</v>
      </c>
      <c r="CB79" s="182">
        <f>'2nd_Semester'!BQ79</f>
        <v>3.625</v>
      </c>
      <c r="CC79" s="182">
        <f t="shared" si="74"/>
        <v>4</v>
      </c>
      <c r="CD79" s="182">
        <f t="shared" si="75"/>
        <v>3.8125</v>
      </c>
    </row>
    <row r="80" spans="1:82" ht="27.95" customHeight="1">
      <c r="A80" s="71">
        <v>72</v>
      </c>
      <c r="B80" s="53">
        <v>85</v>
      </c>
      <c r="C80" s="51" t="s">
        <v>286</v>
      </c>
      <c r="D80" s="51" t="s">
        <v>287</v>
      </c>
      <c r="E80" s="51" t="s">
        <v>288</v>
      </c>
      <c r="F80" s="66" t="s">
        <v>289</v>
      </c>
      <c r="G80" s="78">
        <v>16</v>
      </c>
      <c r="H80" s="150">
        <v>31</v>
      </c>
      <c r="I80" s="151">
        <f t="shared" si="57"/>
        <v>47</v>
      </c>
      <c r="J80" s="150">
        <v>25</v>
      </c>
      <c r="K80" s="151">
        <f t="shared" si="58"/>
        <v>72</v>
      </c>
      <c r="L80" s="149">
        <v>7</v>
      </c>
      <c r="M80" s="150">
        <v>22</v>
      </c>
      <c r="N80" s="151">
        <f t="shared" si="59"/>
        <v>29</v>
      </c>
      <c r="O80" s="151">
        <f t="shared" si="66"/>
        <v>29</v>
      </c>
      <c r="P80" s="151">
        <f t="shared" si="63"/>
        <v>101</v>
      </c>
      <c r="Q80" s="215"/>
      <c r="R80" s="162">
        <f t="shared" si="39"/>
        <v>3.5</v>
      </c>
      <c r="S80" s="149">
        <v>12</v>
      </c>
      <c r="T80" s="162">
        <v>32</v>
      </c>
      <c r="U80" s="151">
        <f t="shared" si="40"/>
        <v>44</v>
      </c>
      <c r="V80" s="149">
        <v>6</v>
      </c>
      <c r="W80" s="162">
        <v>16</v>
      </c>
      <c r="X80" s="151">
        <f t="shared" si="41"/>
        <v>22</v>
      </c>
      <c r="Y80" s="151">
        <f t="shared" si="60"/>
        <v>66</v>
      </c>
      <c r="Z80" s="151">
        <f t="shared" si="61"/>
        <v>66</v>
      </c>
      <c r="AA80" s="215"/>
      <c r="AB80" s="162">
        <f t="shared" si="42"/>
        <v>2</v>
      </c>
      <c r="AC80" s="149">
        <v>14</v>
      </c>
      <c r="AD80" s="162">
        <v>18</v>
      </c>
      <c r="AE80" s="151">
        <f t="shared" si="43"/>
        <v>32</v>
      </c>
      <c r="AF80" s="150">
        <v>10</v>
      </c>
      <c r="AG80" s="151">
        <f t="shared" si="44"/>
        <v>42</v>
      </c>
      <c r="AH80" s="215"/>
      <c r="AI80" s="162">
        <f t="shared" si="45"/>
        <v>2</v>
      </c>
      <c r="AJ80" s="149">
        <v>18</v>
      </c>
      <c r="AK80" s="162">
        <v>26</v>
      </c>
      <c r="AL80" s="163">
        <f t="shared" si="46"/>
        <v>44</v>
      </c>
      <c r="AM80" s="150">
        <v>14</v>
      </c>
      <c r="AN80" s="151">
        <f t="shared" si="62"/>
        <v>58</v>
      </c>
      <c r="AO80" s="217"/>
      <c r="AP80" s="162">
        <f t="shared" si="47"/>
        <v>3</v>
      </c>
      <c r="AQ80" s="162">
        <v>22</v>
      </c>
      <c r="AR80" s="162">
        <v>25</v>
      </c>
      <c r="AS80" s="150">
        <f t="shared" si="67"/>
        <v>47</v>
      </c>
      <c r="AT80" s="218"/>
      <c r="AU80" s="162">
        <f t="shared" si="48"/>
        <v>5</v>
      </c>
      <c r="AV80" s="149">
        <v>15</v>
      </c>
      <c r="AW80" s="162">
        <v>41</v>
      </c>
      <c r="AX80" s="163">
        <f t="shared" si="49"/>
        <v>56</v>
      </c>
      <c r="AY80" s="162">
        <v>19</v>
      </c>
      <c r="AZ80" s="163">
        <f t="shared" si="50"/>
        <v>75</v>
      </c>
      <c r="BA80" s="217"/>
      <c r="BB80" s="162">
        <f t="shared" si="51"/>
        <v>4</v>
      </c>
      <c r="BC80" s="149">
        <v>13</v>
      </c>
      <c r="BD80" s="162">
        <v>39</v>
      </c>
      <c r="BE80" s="163">
        <f t="shared" si="52"/>
        <v>52</v>
      </c>
      <c r="BF80" s="162">
        <v>26</v>
      </c>
      <c r="BG80" s="163">
        <f t="shared" si="53"/>
        <v>78</v>
      </c>
      <c r="BH80" s="217"/>
      <c r="BI80" s="162">
        <f t="shared" si="54"/>
        <v>4</v>
      </c>
      <c r="BJ80" s="149">
        <v>9</v>
      </c>
      <c r="BK80" s="162">
        <v>32</v>
      </c>
      <c r="BL80" s="163">
        <f t="shared" si="55"/>
        <v>41</v>
      </c>
      <c r="BM80" s="151">
        <f t="shared" si="68"/>
        <v>41</v>
      </c>
      <c r="BN80" s="217"/>
      <c r="BO80" s="162">
        <f t="shared" si="64"/>
        <v>5</v>
      </c>
      <c r="BP80" s="150">
        <f t="shared" si="69"/>
        <v>28.5</v>
      </c>
      <c r="BQ80" s="152">
        <f t="shared" si="70"/>
        <v>3.5625</v>
      </c>
      <c r="BR80" s="164" t="str">
        <f t="shared" si="56"/>
        <v>A-</v>
      </c>
      <c r="BS80" s="165" t="str">
        <f t="shared" si="65"/>
        <v>GOOD</v>
      </c>
      <c r="BT80" s="154">
        <f t="shared" si="71"/>
        <v>508</v>
      </c>
      <c r="BU80" s="62"/>
      <c r="BV80" s="62"/>
      <c r="BW80" s="178">
        <f>'1st_Semester'!BT80</f>
        <v>605</v>
      </c>
      <c r="BX80" s="179">
        <f>'2nd_Semester'!BT80</f>
        <v>415</v>
      </c>
      <c r="BY80" s="179">
        <f t="shared" si="72"/>
        <v>508</v>
      </c>
      <c r="BZ80" s="179">
        <f t="shared" si="73"/>
        <v>509.33333333333331</v>
      </c>
      <c r="CA80" s="182">
        <f>'1st_Semester'!BQ80</f>
        <v>4.125</v>
      </c>
      <c r="CB80" s="182" t="str">
        <f>'2nd_Semester'!BQ80</f>
        <v>F</v>
      </c>
      <c r="CC80" s="182">
        <f t="shared" si="74"/>
        <v>3.5625</v>
      </c>
      <c r="CD80" s="182">
        <f t="shared" si="75"/>
        <v>3.84375</v>
      </c>
    </row>
    <row r="81" spans="1:82" ht="27.95" customHeight="1">
      <c r="A81" s="71">
        <v>73</v>
      </c>
      <c r="B81" s="53">
        <v>88</v>
      </c>
      <c r="C81" s="51" t="s">
        <v>401</v>
      </c>
      <c r="D81" s="51" t="s">
        <v>402</v>
      </c>
      <c r="E81" s="51" t="s">
        <v>403</v>
      </c>
      <c r="F81" s="66" t="s">
        <v>404</v>
      </c>
      <c r="G81" s="78">
        <v>0</v>
      </c>
      <c r="H81" s="150">
        <v>0</v>
      </c>
      <c r="I81" s="151">
        <f t="shared" si="57"/>
        <v>0</v>
      </c>
      <c r="J81" s="150">
        <v>0</v>
      </c>
      <c r="K81" s="151">
        <f t="shared" si="58"/>
        <v>0</v>
      </c>
      <c r="L81" s="149">
        <v>0</v>
      </c>
      <c r="M81" s="150">
        <v>0</v>
      </c>
      <c r="N81" s="151">
        <f t="shared" si="59"/>
        <v>0</v>
      </c>
      <c r="O81" s="151">
        <f t="shared" si="66"/>
        <v>0</v>
      </c>
      <c r="P81" s="151">
        <f t="shared" si="63"/>
        <v>0</v>
      </c>
      <c r="Q81" s="215"/>
      <c r="R81" s="162" t="str">
        <f t="shared" si="39"/>
        <v>F</v>
      </c>
      <c r="S81" s="149">
        <v>0</v>
      </c>
      <c r="T81" s="162">
        <v>0</v>
      </c>
      <c r="U81" s="151">
        <f t="shared" si="40"/>
        <v>0</v>
      </c>
      <c r="V81" s="149">
        <v>0</v>
      </c>
      <c r="W81" s="162">
        <v>0</v>
      </c>
      <c r="X81" s="151">
        <f t="shared" si="41"/>
        <v>0</v>
      </c>
      <c r="Y81" s="151">
        <f t="shared" si="60"/>
        <v>0</v>
      </c>
      <c r="Z81" s="151">
        <f t="shared" si="61"/>
        <v>0</v>
      </c>
      <c r="AA81" s="215"/>
      <c r="AB81" s="162" t="str">
        <f t="shared" si="42"/>
        <v>F</v>
      </c>
      <c r="AC81" s="149">
        <v>12</v>
      </c>
      <c r="AD81" s="162">
        <v>0</v>
      </c>
      <c r="AE81" s="151">
        <f t="shared" si="43"/>
        <v>12</v>
      </c>
      <c r="AF81" s="150">
        <v>0</v>
      </c>
      <c r="AG81" s="151">
        <f t="shared" si="44"/>
        <v>12</v>
      </c>
      <c r="AH81" s="215"/>
      <c r="AI81" s="162" t="str">
        <f t="shared" si="45"/>
        <v>F</v>
      </c>
      <c r="AJ81" s="149">
        <v>0</v>
      </c>
      <c r="AK81" s="162">
        <v>0</v>
      </c>
      <c r="AL81" s="163">
        <f t="shared" si="46"/>
        <v>0</v>
      </c>
      <c r="AM81" s="150">
        <v>0</v>
      </c>
      <c r="AN81" s="151">
        <f t="shared" si="62"/>
        <v>0</v>
      </c>
      <c r="AO81" s="217"/>
      <c r="AP81" s="162" t="str">
        <f t="shared" si="47"/>
        <v>F</v>
      </c>
      <c r="AQ81" s="162">
        <v>0</v>
      </c>
      <c r="AR81" s="162">
        <v>0</v>
      </c>
      <c r="AS81" s="150">
        <f t="shared" si="67"/>
        <v>0</v>
      </c>
      <c r="AT81" s="218"/>
      <c r="AU81" s="162" t="str">
        <f t="shared" si="48"/>
        <v>F</v>
      </c>
      <c r="AV81" s="149">
        <v>0</v>
      </c>
      <c r="AW81" s="162">
        <v>0</v>
      </c>
      <c r="AX81" s="163">
        <f t="shared" si="49"/>
        <v>0</v>
      </c>
      <c r="AY81" s="162">
        <v>0</v>
      </c>
      <c r="AZ81" s="163">
        <f t="shared" si="50"/>
        <v>0</v>
      </c>
      <c r="BA81" s="217"/>
      <c r="BB81" s="162" t="str">
        <f t="shared" si="51"/>
        <v>F</v>
      </c>
      <c r="BC81" s="149">
        <v>0</v>
      </c>
      <c r="BD81" s="162">
        <v>0</v>
      </c>
      <c r="BE81" s="163">
        <f t="shared" si="52"/>
        <v>0</v>
      </c>
      <c r="BF81" s="162">
        <v>0</v>
      </c>
      <c r="BG81" s="163">
        <f t="shared" si="53"/>
        <v>0</v>
      </c>
      <c r="BH81" s="217"/>
      <c r="BI81" s="162" t="str">
        <f t="shared" si="54"/>
        <v>F</v>
      </c>
      <c r="BJ81" s="149">
        <v>0</v>
      </c>
      <c r="BK81" s="162">
        <v>0</v>
      </c>
      <c r="BL81" s="163">
        <f t="shared" si="55"/>
        <v>0</v>
      </c>
      <c r="BM81" s="151">
        <f t="shared" si="68"/>
        <v>0</v>
      </c>
      <c r="BN81" s="217"/>
      <c r="BO81" s="162" t="str">
        <f t="shared" si="64"/>
        <v>F</v>
      </c>
      <c r="BP81" s="150" t="str">
        <f t="shared" si="69"/>
        <v>F</v>
      </c>
      <c r="BQ81" s="152" t="str">
        <f t="shared" si="70"/>
        <v>F</v>
      </c>
      <c r="BR81" s="164" t="str">
        <f t="shared" si="56"/>
        <v>F</v>
      </c>
      <c r="BS81" s="165" t="str">
        <f t="shared" si="65"/>
        <v>NEED TO PROGRESS</v>
      </c>
      <c r="BT81" s="154">
        <f t="shared" si="71"/>
        <v>12</v>
      </c>
      <c r="BU81" s="62"/>
      <c r="BV81" s="62"/>
      <c r="BW81" s="178">
        <f>'1st_Semester'!BT81</f>
        <v>605</v>
      </c>
      <c r="BX81" s="179">
        <f>'2nd_Semester'!BT81</f>
        <v>131</v>
      </c>
      <c r="BY81" s="179">
        <f t="shared" si="72"/>
        <v>12</v>
      </c>
      <c r="BZ81" s="179">
        <f t="shared" si="73"/>
        <v>249.33333333333334</v>
      </c>
      <c r="CA81" s="182">
        <f>'1st_Semester'!BQ81</f>
        <v>4.25</v>
      </c>
      <c r="CB81" s="182" t="str">
        <f>'2nd_Semester'!BQ81</f>
        <v>F</v>
      </c>
      <c r="CC81" s="182" t="str">
        <f t="shared" si="74"/>
        <v>F</v>
      </c>
      <c r="CD81" s="182">
        <f t="shared" si="75"/>
        <v>4.25</v>
      </c>
    </row>
    <row r="82" spans="1:82" ht="27.95" customHeight="1">
      <c r="A82" s="71">
        <v>74</v>
      </c>
      <c r="B82" s="53">
        <v>91</v>
      </c>
      <c r="C82" s="51" t="s">
        <v>290</v>
      </c>
      <c r="D82" s="51" t="s">
        <v>291</v>
      </c>
      <c r="E82" s="51" t="s">
        <v>292</v>
      </c>
      <c r="F82" s="66" t="s">
        <v>293</v>
      </c>
      <c r="G82" s="78">
        <v>14</v>
      </c>
      <c r="H82" s="150">
        <v>21</v>
      </c>
      <c r="I82" s="151">
        <f t="shared" si="57"/>
        <v>35</v>
      </c>
      <c r="J82" s="150">
        <v>11</v>
      </c>
      <c r="K82" s="151">
        <f t="shared" si="58"/>
        <v>46</v>
      </c>
      <c r="L82" s="149">
        <v>7</v>
      </c>
      <c r="M82" s="150">
        <v>22</v>
      </c>
      <c r="N82" s="151">
        <f t="shared" si="59"/>
        <v>29</v>
      </c>
      <c r="O82" s="151">
        <f t="shared" si="66"/>
        <v>29</v>
      </c>
      <c r="P82" s="151">
        <f t="shared" si="63"/>
        <v>75</v>
      </c>
      <c r="Q82" s="215"/>
      <c r="R82" s="162">
        <f t="shared" si="39"/>
        <v>3</v>
      </c>
      <c r="S82" s="149">
        <v>12</v>
      </c>
      <c r="T82" s="162">
        <v>32</v>
      </c>
      <c r="U82" s="151">
        <f t="shared" si="40"/>
        <v>44</v>
      </c>
      <c r="V82" s="149">
        <v>6</v>
      </c>
      <c r="W82" s="162">
        <v>22</v>
      </c>
      <c r="X82" s="151">
        <f t="shared" si="41"/>
        <v>28</v>
      </c>
      <c r="Y82" s="151">
        <f t="shared" si="60"/>
        <v>72</v>
      </c>
      <c r="Z82" s="151">
        <f t="shared" si="61"/>
        <v>72</v>
      </c>
      <c r="AA82" s="215"/>
      <c r="AB82" s="162">
        <f t="shared" si="42"/>
        <v>2</v>
      </c>
      <c r="AC82" s="149">
        <v>13</v>
      </c>
      <c r="AD82" s="162">
        <v>14</v>
      </c>
      <c r="AE82" s="151">
        <f t="shared" si="43"/>
        <v>27</v>
      </c>
      <c r="AF82" s="150">
        <v>14</v>
      </c>
      <c r="AG82" s="151">
        <f t="shared" si="44"/>
        <v>41</v>
      </c>
      <c r="AH82" s="215"/>
      <c r="AI82" s="162">
        <f t="shared" si="45"/>
        <v>2</v>
      </c>
      <c r="AJ82" s="149">
        <v>11</v>
      </c>
      <c r="AK82" s="162">
        <v>17</v>
      </c>
      <c r="AL82" s="163">
        <f t="shared" si="46"/>
        <v>28</v>
      </c>
      <c r="AM82" s="150">
        <v>13</v>
      </c>
      <c r="AN82" s="151">
        <f t="shared" si="62"/>
        <v>41</v>
      </c>
      <c r="AO82" s="217"/>
      <c r="AP82" s="162">
        <f t="shared" si="47"/>
        <v>2</v>
      </c>
      <c r="AQ82" s="162">
        <v>17</v>
      </c>
      <c r="AR82" s="162">
        <v>20</v>
      </c>
      <c r="AS82" s="150">
        <f t="shared" si="67"/>
        <v>37</v>
      </c>
      <c r="AT82" s="218"/>
      <c r="AU82" s="162">
        <f t="shared" si="48"/>
        <v>4</v>
      </c>
      <c r="AV82" s="149">
        <v>15</v>
      </c>
      <c r="AW82" s="162">
        <v>29</v>
      </c>
      <c r="AX82" s="163">
        <f t="shared" si="49"/>
        <v>44</v>
      </c>
      <c r="AY82" s="162">
        <v>22</v>
      </c>
      <c r="AZ82" s="163">
        <f t="shared" si="50"/>
        <v>66</v>
      </c>
      <c r="BA82" s="217"/>
      <c r="BB82" s="162">
        <f t="shared" si="51"/>
        <v>3.5</v>
      </c>
      <c r="BC82" s="149">
        <v>13</v>
      </c>
      <c r="BD82" s="162">
        <v>22</v>
      </c>
      <c r="BE82" s="163">
        <f t="shared" si="52"/>
        <v>35</v>
      </c>
      <c r="BF82" s="162">
        <v>26</v>
      </c>
      <c r="BG82" s="163">
        <f t="shared" si="53"/>
        <v>61</v>
      </c>
      <c r="BH82" s="217"/>
      <c r="BI82" s="162">
        <f t="shared" si="54"/>
        <v>3.5</v>
      </c>
      <c r="BJ82" s="149">
        <v>5</v>
      </c>
      <c r="BK82" s="162">
        <v>32</v>
      </c>
      <c r="BL82" s="163">
        <f t="shared" si="55"/>
        <v>37</v>
      </c>
      <c r="BM82" s="151">
        <f t="shared" si="68"/>
        <v>37</v>
      </c>
      <c r="BN82" s="217"/>
      <c r="BO82" s="162">
        <f t="shared" si="64"/>
        <v>4</v>
      </c>
      <c r="BP82" s="150">
        <f t="shared" si="69"/>
        <v>24</v>
      </c>
      <c r="BQ82" s="152">
        <f t="shared" si="70"/>
        <v>3</v>
      </c>
      <c r="BR82" s="164" t="str">
        <f t="shared" si="56"/>
        <v>B</v>
      </c>
      <c r="BS82" s="165" t="str">
        <f t="shared" si="65"/>
        <v>GOOD</v>
      </c>
      <c r="BT82" s="154">
        <f t="shared" si="71"/>
        <v>430</v>
      </c>
      <c r="BU82" s="62"/>
      <c r="BV82" s="62"/>
      <c r="BW82" s="178">
        <f>'1st_Semester'!BT82</f>
        <v>599</v>
      </c>
      <c r="BX82" s="179">
        <f>'2nd_Semester'!BT82</f>
        <v>381</v>
      </c>
      <c r="BY82" s="179">
        <f t="shared" si="72"/>
        <v>430</v>
      </c>
      <c r="BZ82" s="179">
        <f t="shared" si="73"/>
        <v>470</v>
      </c>
      <c r="CA82" s="182">
        <f>'1st_Semester'!BQ82</f>
        <v>4.1875</v>
      </c>
      <c r="CB82" s="182" t="str">
        <f>'2nd_Semester'!BQ82</f>
        <v>F</v>
      </c>
      <c r="CC82" s="182">
        <f t="shared" si="74"/>
        <v>3</v>
      </c>
      <c r="CD82" s="182">
        <f t="shared" si="75"/>
        <v>3.59375</v>
      </c>
    </row>
    <row r="83" spans="1:82" ht="27.95" customHeight="1">
      <c r="A83" s="71">
        <v>75</v>
      </c>
      <c r="B83" s="53">
        <v>94</v>
      </c>
      <c r="C83" s="51" t="s">
        <v>434</v>
      </c>
      <c r="D83" s="51" t="s">
        <v>407</v>
      </c>
      <c r="E83" s="51" t="s">
        <v>408</v>
      </c>
      <c r="F83" s="66" t="s">
        <v>409</v>
      </c>
      <c r="G83" s="78">
        <v>16</v>
      </c>
      <c r="H83" s="150">
        <v>34</v>
      </c>
      <c r="I83" s="151">
        <f t="shared" si="57"/>
        <v>50</v>
      </c>
      <c r="J83" s="150">
        <v>18</v>
      </c>
      <c r="K83" s="151">
        <f t="shared" si="58"/>
        <v>68</v>
      </c>
      <c r="L83" s="149">
        <v>10</v>
      </c>
      <c r="M83" s="150">
        <v>28</v>
      </c>
      <c r="N83" s="151">
        <f t="shared" si="59"/>
        <v>38</v>
      </c>
      <c r="O83" s="151">
        <f t="shared" si="66"/>
        <v>38</v>
      </c>
      <c r="P83" s="151">
        <f t="shared" si="63"/>
        <v>106</v>
      </c>
      <c r="Q83" s="215"/>
      <c r="R83" s="162">
        <f t="shared" si="39"/>
        <v>4</v>
      </c>
      <c r="S83" s="149">
        <v>18</v>
      </c>
      <c r="T83" s="162">
        <v>44</v>
      </c>
      <c r="U83" s="151">
        <f t="shared" si="40"/>
        <v>62</v>
      </c>
      <c r="V83" s="149">
        <v>7</v>
      </c>
      <c r="W83" s="162">
        <v>22</v>
      </c>
      <c r="X83" s="151">
        <f t="shared" si="41"/>
        <v>29</v>
      </c>
      <c r="Y83" s="151">
        <f t="shared" si="60"/>
        <v>91</v>
      </c>
      <c r="Z83" s="151">
        <f t="shared" si="61"/>
        <v>91</v>
      </c>
      <c r="AA83" s="215"/>
      <c r="AB83" s="162">
        <f t="shared" si="42"/>
        <v>3.5</v>
      </c>
      <c r="AC83" s="149">
        <v>14</v>
      </c>
      <c r="AD83" s="162">
        <v>16</v>
      </c>
      <c r="AE83" s="151">
        <f t="shared" si="43"/>
        <v>30</v>
      </c>
      <c r="AF83" s="150">
        <v>19</v>
      </c>
      <c r="AG83" s="151">
        <f t="shared" si="44"/>
        <v>49</v>
      </c>
      <c r="AH83" s="215"/>
      <c r="AI83" s="162">
        <f t="shared" si="45"/>
        <v>2</v>
      </c>
      <c r="AJ83" s="149">
        <v>14</v>
      </c>
      <c r="AK83" s="162">
        <v>34</v>
      </c>
      <c r="AL83" s="163">
        <f t="shared" si="46"/>
        <v>48</v>
      </c>
      <c r="AM83" s="150">
        <v>16</v>
      </c>
      <c r="AN83" s="151">
        <f t="shared" si="62"/>
        <v>64</v>
      </c>
      <c r="AO83" s="217"/>
      <c r="AP83" s="162">
        <f t="shared" si="47"/>
        <v>3.5</v>
      </c>
      <c r="AQ83" s="162">
        <v>20</v>
      </c>
      <c r="AR83" s="162">
        <v>20</v>
      </c>
      <c r="AS83" s="150">
        <f t="shared" si="67"/>
        <v>40</v>
      </c>
      <c r="AT83" s="218"/>
      <c r="AU83" s="162">
        <f t="shared" si="48"/>
        <v>5</v>
      </c>
      <c r="AV83" s="149">
        <v>16</v>
      </c>
      <c r="AW83" s="162">
        <v>19</v>
      </c>
      <c r="AX83" s="163">
        <f t="shared" si="49"/>
        <v>35</v>
      </c>
      <c r="AY83" s="162">
        <v>27</v>
      </c>
      <c r="AZ83" s="163">
        <f t="shared" si="50"/>
        <v>62</v>
      </c>
      <c r="BA83" s="217"/>
      <c r="BB83" s="162">
        <f t="shared" si="51"/>
        <v>3.5</v>
      </c>
      <c r="BC83" s="149">
        <v>13</v>
      </c>
      <c r="BD83" s="162">
        <v>29</v>
      </c>
      <c r="BE83" s="163">
        <f t="shared" si="52"/>
        <v>42</v>
      </c>
      <c r="BF83" s="162">
        <v>25</v>
      </c>
      <c r="BG83" s="163">
        <f t="shared" si="53"/>
        <v>67</v>
      </c>
      <c r="BH83" s="217"/>
      <c r="BI83" s="162">
        <f t="shared" si="54"/>
        <v>3.5</v>
      </c>
      <c r="BJ83" s="149">
        <v>9</v>
      </c>
      <c r="BK83" s="162">
        <v>32</v>
      </c>
      <c r="BL83" s="163">
        <f t="shared" si="55"/>
        <v>41</v>
      </c>
      <c r="BM83" s="151">
        <f t="shared" si="68"/>
        <v>41</v>
      </c>
      <c r="BN83" s="217"/>
      <c r="BO83" s="162">
        <f t="shared" si="64"/>
        <v>5</v>
      </c>
      <c r="BP83" s="150">
        <f t="shared" si="69"/>
        <v>30</v>
      </c>
      <c r="BQ83" s="152">
        <f t="shared" si="70"/>
        <v>3.75</v>
      </c>
      <c r="BR83" s="164" t="str">
        <f t="shared" si="56"/>
        <v>A-</v>
      </c>
      <c r="BS83" s="165" t="str">
        <f t="shared" si="65"/>
        <v>GOOD</v>
      </c>
      <c r="BT83" s="154">
        <f t="shared" si="71"/>
        <v>520</v>
      </c>
      <c r="BU83" s="62"/>
      <c r="BV83" s="62"/>
      <c r="BW83" s="178">
        <f>'1st_Semester'!BT83</f>
        <v>387</v>
      </c>
      <c r="BX83" s="179">
        <f>'2nd_Semester'!BT83</f>
        <v>498</v>
      </c>
      <c r="BY83" s="179">
        <f t="shared" si="72"/>
        <v>520</v>
      </c>
      <c r="BZ83" s="179">
        <f t="shared" si="73"/>
        <v>468.33333333333331</v>
      </c>
      <c r="CA83" s="182" t="str">
        <f>'1st_Semester'!BQ83</f>
        <v>F</v>
      </c>
      <c r="CB83" s="182">
        <f>'2nd_Semester'!BQ83</f>
        <v>3.375</v>
      </c>
      <c r="CC83" s="182">
        <f t="shared" si="74"/>
        <v>3.75</v>
      </c>
      <c r="CD83" s="182">
        <f t="shared" si="75"/>
        <v>3.5625</v>
      </c>
    </row>
    <row r="84" spans="1:82" ht="27.95" customHeight="1">
      <c r="A84" s="71">
        <v>76</v>
      </c>
      <c r="B84" s="53">
        <v>97</v>
      </c>
      <c r="C84" s="51" t="s">
        <v>295</v>
      </c>
      <c r="D84" s="51" t="s">
        <v>296</v>
      </c>
      <c r="E84" s="51" t="s">
        <v>297</v>
      </c>
      <c r="F84" s="66" t="s">
        <v>298</v>
      </c>
      <c r="G84" s="78">
        <v>0</v>
      </c>
      <c r="H84" s="150">
        <v>0</v>
      </c>
      <c r="I84" s="151">
        <f t="shared" si="57"/>
        <v>0</v>
      </c>
      <c r="J84" s="150">
        <v>0</v>
      </c>
      <c r="K84" s="151">
        <f t="shared" si="58"/>
        <v>0</v>
      </c>
      <c r="L84" s="78">
        <v>0</v>
      </c>
      <c r="M84" s="150">
        <v>0</v>
      </c>
      <c r="N84" s="151">
        <f t="shared" si="59"/>
        <v>0</v>
      </c>
      <c r="O84" s="151">
        <f t="shared" si="66"/>
        <v>0</v>
      </c>
      <c r="P84" s="151">
        <f t="shared" si="63"/>
        <v>0</v>
      </c>
      <c r="Q84" s="215"/>
      <c r="R84" s="162" t="str">
        <f t="shared" si="39"/>
        <v>F</v>
      </c>
      <c r="S84" s="78">
        <v>13</v>
      </c>
      <c r="T84" s="162">
        <v>0</v>
      </c>
      <c r="U84" s="151">
        <f t="shared" si="40"/>
        <v>13</v>
      </c>
      <c r="V84" s="78">
        <v>6</v>
      </c>
      <c r="W84" s="162">
        <v>0</v>
      </c>
      <c r="X84" s="151">
        <f t="shared" si="41"/>
        <v>6</v>
      </c>
      <c r="Y84" s="151">
        <f t="shared" si="60"/>
        <v>19</v>
      </c>
      <c r="Z84" s="151">
        <f t="shared" si="61"/>
        <v>19</v>
      </c>
      <c r="AA84" s="215"/>
      <c r="AB84" s="162" t="str">
        <f t="shared" si="42"/>
        <v>F</v>
      </c>
      <c r="AC84" s="78">
        <v>14</v>
      </c>
      <c r="AD84" s="162">
        <v>0</v>
      </c>
      <c r="AE84" s="151">
        <f t="shared" si="43"/>
        <v>14</v>
      </c>
      <c r="AF84" s="150">
        <v>0</v>
      </c>
      <c r="AG84" s="151">
        <f t="shared" si="44"/>
        <v>14</v>
      </c>
      <c r="AH84" s="215"/>
      <c r="AI84" s="162" t="str">
        <f t="shared" si="45"/>
        <v>F</v>
      </c>
      <c r="AJ84" s="149">
        <v>0</v>
      </c>
      <c r="AK84" s="162">
        <v>0</v>
      </c>
      <c r="AL84" s="163">
        <f t="shared" si="46"/>
        <v>0</v>
      </c>
      <c r="AM84" s="150">
        <v>0</v>
      </c>
      <c r="AN84" s="151">
        <f t="shared" si="62"/>
        <v>0</v>
      </c>
      <c r="AO84" s="217"/>
      <c r="AP84" s="162" t="str">
        <f t="shared" si="47"/>
        <v>F</v>
      </c>
      <c r="AQ84" s="162">
        <v>0</v>
      </c>
      <c r="AR84" s="162">
        <v>0</v>
      </c>
      <c r="AS84" s="150">
        <f t="shared" si="67"/>
        <v>0</v>
      </c>
      <c r="AT84" s="218"/>
      <c r="AU84" s="162" t="str">
        <f t="shared" si="48"/>
        <v>F</v>
      </c>
      <c r="AV84" s="149">
        <v>12</v>
      </c>
      <c r="AW84" s="162">
        <v>0</v>
      </c>
      <c r="AX84" s="163">
        <f t="shared" si="49"/>
        <v>12</v>
      </c>
      <c r="AY84" s="162">
        <v>0</v>
      </c>
      <c r="AZ84" s="163">
        <f t="shared" si="50"/>
        <v>12</v>
      </c>
      <c r="BA84" s="217"/>
      <c r="BB84" s="162" t="str">
        <f t="shared" si="51"/>
        <v>F</v>
      </c>
      <c r="BC84" s="149">
        <v>13</v>
      </c>
      <c r="BD84" s="162">
        <v>0</v>
      </c>
      <c r="BE84" s="163">
        <f t="shared" si="52"/>
        <v>13</v>
      </c>
      <c r="BF84" s="162">
        <v>0</v>
      </c>
      <c r="BG84" s="163">
        <f t="shared" si="53"/>
        <v>13</v>
      </c>
      <c r="BH84" s="217"/>
      <c r="BI84" s="162" t="str">
        <f t="shared" si="54"/>
        <v>F</v>
      </c>
      <c r="BJ84" s="149">
        <v>6</v>
      </c>
      <c r="BK84" s="162">
        <v>32</v>
      </c>
      <c r="BL84" s="163">
        <f t="shared" si="55"/>
        <v>38</v>
      </c>
      <c r="BM84" s="151">
        <f t="shared" si="68"/>
        <v>38</v>
      </c>
      <c r="BN84" s="217"/>
      <c r="BO84" s="162">
        <f t="shared" si="64"/>
        <v>4</v>
      </c>
      <c r="BP84" s="150" t="str">
        <f t="shared" si="69"/>
        <v>F</v>
      </c>
      <c r="BQ84" s="152" t="str">
        <f t="shared" si="70"/>
        <v>F</v>
      </c>
      <c r="BR84" s="164" t="str">
        <f t="shared" si="56"/>
        <v>F</v>
      </c>
      <c r="BS84" s="165" t="str">
        <f t="shared" si="65"/>
        <v>NEED TO PROGRESS</v>
      </c>
      <c r="BT84" s="154">
        <f t="shared" si="71"/>
        <v>96</v>
      </c>
      <c r="BU84" s="62"/>
      <c r="BV84" s="62"/>
      <c r="BW84" s="178">
        <f>'1st_Semester'!BT84</f>
        <v>613</v>
      </c>
      <c r="BX84" s="179">
        <f>'2nd_Semester'!BT84</f>
        <v>292</v>
      </c>
      <c r="BY84" s="179">
        <f t="shared" si="72"/>
        <v>96</v>
      </c>
      <c r="BZ84" s="179">
        <f t="shared" si="73"/>
        <v>333.66666666666669</v>
      </c>
      <c r="CA84" s="182">
        <f>'1st_Semester'!BQ84</f>
        <v>4.1875</v>
      </c>
      <c r="CB84" s="182" t="str">
        <f>'2nd_Semester'!BQ84</f>
        <v>F</v>
      </c>
      <c r="CC84" s="182" t="str">
        <f t="shared" si="74"/>
        <v>F</v>
      </c>
      <c r="CD84" s="182">
        <f t="shared" si="75"/>
        <v>4.1875</v>
      </c>
    </row>
    <row r="85" spans="1:82" ht="27.95" customHeight="1">
      <c r="A85" s="71">
        <v>77</v>
      </c>
      <c r="B85" s="53">
        <v>98</v>
      </c>
      <c r="C85" s="51" t="s">
        <v>412</v>
      </c>
      <c r="D85" s="51" t="s">
        <v>413</v>
      </c>
      <c r="E85" s="51" t="s">
        <v>414</v>
      </c>
      <c r="F85" s="66" t="s">
        <v>415</v>
      </c>
      <c r="G85" s="78">
        <v>0</v>
      </c>
      <c r="H85" s="150">
        <v>0</v>
      </c>
      <c r="I85" s="151">
        <f t="shared" si="57"/>
        <v>0</v>
      </c>
      <c r="J85" s="150">
        <v>0</v>
      </c>
      <c r="K85" s="151">
        <f t="shared" si="58"/>
        <v>0</v>
      </c>
      <c r="L85" s="78">
        <v>0</v>
      </c>
      <c r="M85" s="150">
        <v>0</v>
      </c>
      <c r="N85" s="151">
        <f t="shared" si="59"/>
        <v>0</v>
      </c>
      <c r="O85" s="151">
        <f t="shared" si="66"/>
        <v>0</v>
      </c>
      <c r="P85" s="151">
        <f t="shared" si="63"/>
        <v>0</v>
      </c>
      <c r="Q85" s="215"/>
      <c r="R85" s="162" t="str">
        <f t="shared" si="39"/>
        <v>F</v>
      </c>
      <c r="S85" s="78">
        <v>0</v>
      </c>
      <c r="T85" s="162">
        <v>0</v>
      </c>
      <c r="U85" s="151">
        <f t="shared" si="40"/>
        <v>0</v>
      </c>
      <c r="V85" s="78">
        <v>3</v>
      </c>
      <c r="W85" s="162">
        <v>0</v>
      </c>
      <c r="X85" s="151">
        <f t="shared" si="41"/>
        <v>3</v>
      </c>
      <c r="Y85" s="151">
        <f t="shared" si="60"/>
        <v>3</v>
      </c>
      <c r="Z85" s="151">
        <f t="shared" si="61"/>
        <v>3</v>
      </c>
      <c r="AA85" s="215"/>
      <c r="AB85" s="162" t="str">
        <f t="shared" si="42"/>
        <v>F</v>
      </c>
      <c r="AC85" s="78">
        <v>7</v>
      </c>
      <c r="AD85" s="162">
        <v>0</v>
      </c>
      <c r="AE85" s="151">
        <f t="shared" si="43"/>
        <v>7</v>
      </c>
      <c r="AF85" s="150">
        <v>0</v>
      </c>
      <c r="AG85" s="151">
        <f t="shared" si="44"/>
        <v>7</v>
      </c>
      <c r="AH85" s="215"/>
      <c r="AI85" s="162" t="str">
        <f t="shared" si="45"/>
        <v>F</v>
      </c>
      <c r="AJ85" s="149">
        <v>0</v>
      </c>
      <c r="AK85" s="162">
        <v>0</v>
      </c>
      <c r="AL85" s="163">
        <f t="shared" si="46"/>
        <v>0</v>
      </c>
      <c r="AM85" s="150">
        <v>0</v>
      </c>
      <c r="AN85" s="151">
        <f t="shared" si="62"/>
        <v>0</v>
      </c>
      <c r="AO85" s="217"/>
      <c r="AP85" s="162" t="str">
        <f t="shared" si="47"/>
        <v>F</v>
      </c>
      <c r="AQ85" s="162">
        <v>0</v>
      </c>
      <c r="AR85" s="162">
        <v>0</v>
      </c>
      <c r="AS85" s="150">
        <f t="shared" si="67"/>
        <v>0</v>
      </c>
      <c r="AT85" s="218"/>
      <c r="AU85" s="162" t="str">
        <f t="shared" si="48"/>
        <v>F</v>
      </c>
      <c r="AV85" s="149">
        <v>0</v>
      </c>
      <c r="AW85" s="162">
        <v>0</v>
      </c>
      <c r="AX85" s="163">
        <f t="shared" si="49"/>
        <v>0</v>
      </c>
      <c r="AY85" s="162">
        <v>0</v>
      </c>
      <c r="AZ85" s="163">
        <f t="shared" si="50"/>
        <v>0</v>
      </c>
      <c r="BA85" s="217"/>
      <c r="BB85" s="162" t="str">
        <f t="shared" si="51"/>
        <v>F</v>
      </c>
      <c r="BC85" s="149">
        <v>5</v>
      </c>
      <c r="BD85" s="162">
        <v>0</v>
      </c>
      <c r="BE85" s="163">
        <f t="shared" si="52"/>
        <v>5</v>
      </c>
      <c r="BF85" s="162">
        <v>0</v>
      </c>
      <c r="BG85" s="163">
        <f t="shared" si="53"/>
        <v>5</v>
      </c>
      <c r="BH85" s="217"/>
      <c r="BI85" s="162" t="str">
        <f t="shared" si="54"/>
        <v>F</v>
      </c>
      <c r="BJ85" s="149">
        <v>0</v>
      </c>
      <c r="BK85" s="162">
        <v>0</v>
      </c>
      <c r="BL85" s="163">
        <f t="shared" si="55"/>
        <v>0</v>
      </c>
      <c r="BM85" s="151">
        <f t="shared" si="68"/>
        <v>0</v>
      </c>
      <c r="BN85" s="217"/>
      <c r="BO85" s="162" t="str">
        <f t="shared" si="64"/>
        <v>F</v>
      </c>
      <c r="BP85" s="150" t="str">
        <f t="shared" si="69"/>
        <v>F</v>
      </c>
      <c r="BQ85" s="152" t="str">
        <f t="shared" si="70"/>
        <v>F</v>
      </c>
      <c r="BR85" s="164" t="str">
        <f t="shared" si="56"/>
        <v>F</v>
      </c>
      <c r="BS85" s="165" t="str">
        <f t="shared" si="65"/>
        <v>NEED TO PROGRESS</v>
      </c>
      <c r="BT85" s="154">
        <f t="shared" si="71"/>
        <v>15</v>
      </c>
      <c r="BU85" s="62"/>
      <c r="BV85" s="62"/>
      <c r="BW85" s="178">
        <f>'1st_Semester'!BT85</f>
        <v>305</v>
      </c>
      <c r="BX85" s="179">
        <f>'2nd_Semester'!BT85</f>
        <v>320</v>
      </c>
      <c r="BY85" s="179">
        <f t="shared" si="72"/>
        <v>15</v>
      </c>
      <c r="BZ85" s="179">
        <f t="shared" si="73"/>
        <v>213.33333333333334</v>
      </c>
      <c r="CA85" s="182" t="str">
        <f>'1st_Semester'!BQ85</f>
        <v>F</v>
      </c>
      <c r="CB85" s="182" t="str">
        <f>'2nd_Semester'!BQ85</f>
        <v>F</v>
      </c>
      <c r="CC85" s="182" t="str">
        <f t="shared" si="74"/>
        <v>F</v>
      </c>
      <c r="CD85" s="182" t="e">
        <f t="shared" si="75"/>
        <v>#DIV/0!</v>
      </c>
    </row>
    <row r="86" spans="1:82" ht="27.95" customHeight="1">
      <c r="A86" s="71">
        <v>78</v>
      </c>
      <c r="B86" s="53">
        <v>99</v>
      </c>
      <c r="C86" s="51" t="s">
        <v>299</v>
      </c>
      <c r="D86" s="51" t="s">
        <v>300</v>
      </c>
      <c r="E86" s="51" t="s">
        <v>301</v>
      </c>
      <c r="F86" s="66" t="s">
        <v>302</v>
      </c>
      <c r="G86" s="78">
        <v>16</v>
      </c>
      <c r="H86" s="150">
        <v>21</v>
      </c>
      <c r="I86" s="151">
        <f t="shared" si="57"/>
        <v>37</v>
      </c>
      <c r="J86" s="150">
        <v>17</v>
      </c>
      <c r="K86" s="151">
        <f t="shared" si="58"/>
        <v>54</v>
      </c>
      <c r="L86" s="149">
        <v>10</v>
      </c>
      <c r="M86" s="150">
        <v>26</v>
      </c>
      <c r="N86" s="151">
        <f t="shared" si="59"/>
        <v>36</v>
      </c>
      <c r="O86" s="151">
        <f t="shared" si="66"/>
        <v>36</v>
      </c>
      <c r="P86" s="151">
        <f t="shared" si="63"/>
        <v>90</v>
      </c>
      <c r="Q86" s="215"/>
      <c r="R86" s="162">
        <f t="shared" si="39"/>
        <v>3</v>
      </c>
      <c r="S86" s="149">
        <v>17</v>
      </c>
      <c r="T86" s="162">
        <v>58</v>
      </c>
      <c r="U86" s="151">
        <f t="shared" si="40"/>
        <v>75</v>
      </c>
      <c r="V86" s="149">
        <v>7</v>
      </c>
      <c r="W86" s="162">
        <v>27</v>
      </c>
      <c r="X86" s="151">
        <f t="shared" si="41"/>
        <v>34</v>
      </c>
      <c r="Y86" s="151">
        <f t="shared" si="60"/>
        <v>109</v>
      </c>
      <c r="Z86" s="151">
        <f t="shared" si="61"/>
        <v>109</v>
      </c>
      <c r="AA86" s="215"/>
      <c r="AB86" s="162">
        <f t="shared" si="42"/>
        <v>4</v>
      </c>
      <c r="AC86" s="149">
        <v>10</v>
      </c>
      <c r="AD86" s="162">
        <v>13</v>
      </c>
      <c r="AE86" s="151">
        <f t="shared" si="43"/>
        <v>23</v>
      </c>
      <c r="AF86" s="150">
        <v>17</v>
      </c>
      <c r="AG86" s="151">
        <f t="shared" si="44"/>
        <v>40</v>
      </c>
      <c r="AH86" s="215"/>
      <c r="AI86" s="162">
        <f t="shared" si="45"/>
        <v>2</v>
      </c>
      <c r="AJ86" s="149">
        <v>15</v>
      </c>
      <c r="AK86" s="162">
        <v>26</v>
      </c>
      <c r="AL86" s="163">
        <f t="shared" si="46"/>
        <v>41</v>
      </c>
      <c r="AM86" s="150">
        <v>18</v>
      </c>
      <c r="AN86" s="151">
        <f t="shared" si="62"/>
        <v>59</v>
      </c>
      <c r="AO86" s="217"/>
      <c r="AP86" s="162">
        <f t="shared" si="47"/>
        <v>3</v>
      </c>
      <c r="AQ86" s="162">
        <v>23</v>
      </c>
      <c r="AR86" s="162">
        <v>25</v>
      </c>
      <c r="AS86" s="150">
        <f t="shared" si="67"/>
        <v>48</v>
      </c>
      <c r="AT86" s="218"/>
      <c r="AU86" s="162">
        <f t="shared" si="48"/>
        <v>5</v>
      </c>
      <c r="AV86" s="149">
        <v>15</v>
      </c>
      <c r="AW86" s="162">
        <v>30</v>
      </c>
      <c r="AX86" s="163">
        <f t="shared" si="49"/>
        <v>45</v>
      </c>
      <c r="AY86" s="162">
        <v>18</v>
      </c>
      <c r="AZ86" s="163">
        <f t="shared" si="50"/>
        <v>63</v>
      </c>
      <c r="BA86" s="217"/>
      <c r="BB86" s="162">
        <f t="shared" si="51"/>
        <v>3.5</v>
      </c>
      <c r="BC86" s="149">
        <v>13</v>
      </c>
      <c r="BD86" s="162">
        <v>34</v>
      </c>
      <c r="BE86" s="163">
        <f t="shared" si="52"/>
        <v>47</v>
      </c>
      <c r="BF86" s="162">
        <v>28</v>
      </c>
      <c r="BG86" s="163">
        <f t="shared" si="53"/>
        <v>75</v>
      </c>
      <c r="BH86" s="217"/>
      <c r="BI86" s="162">
        <f t="shared" si="54"/>
        <v>4</v>
      </c>
      <c r="BJ86" s="149">
        <v>9</v>
      </c>
      <c r="BK86" s="162">
        <v>32</v>
      </c>
      <c r="BL86" s="163">
        <f t="shared" si="55"/>
        <v>41</v>
      </c>
      <c r="BM86" s="151">
        <f t="shared" si="68"/>
        <v>41</v>
      </c>
      <c r="BN86" s="217"/>
      <c r="BO86" s="162">
        <f t="shared" si="64"/>
        <v>5</v>
      </c>
      <c r="BP86" s="150">
        <f t="shared" si="69"/>
        <v>29.5</v>
      </c>
      <c r="BQ86" s="152">
        <f t="shared" si="70"/>
        <v>3.6875</v>
      </c>
      <c r="BR86" s="164" t="str">
        <f t="shared" si="56"/>
        <v>A-</v>
      </c>
      <c r="BS86" s="165" t="str">
        <f t="shared" si="65"/>
        <v>GOOD</v>
      </c>
      <c r="BT86" s="154">
        <f t="shared" si="71"/>
        <v>525</v>
      </c>
      <c r="BU86" s="62"/>
      <c r="BV86" s="62"/>
      <c r="BW86" s="178">
        <f>'1st_Semester'!BT86</f>
        <v>689</v>
      </c>
      <c r="BX86" s="179">
        <f>'2nd_Semester'!BT86</f>
        <v>519</v>
      </c>
      <c r="BY86" s="179">
        <f t="shared" si="72"/>
        <v>525</v>
      </c>
      <c r="BZ86" s="179">
        <f t="shared" si="73"/>
        <v>577.66666666666663</v>
      </c>
      <c r="CA86" s="182">
        <f>'1st_Semester'!BQ86</f>
        <v>4.75</v>
      </c>
      <c r="CB86" s="182">
        <f>'2nd_Semester'!BQ86</f>
        <v>3.5625</v>
      </c>
      <c r="CC86" s="182">
        <f t="shared" si="74"/>
        <v>3.6875</v>
      </c>
      <c r="CD86" s="182">
        <f t="shared" si="75"/>
        <v>4</v>
      </c>
    </row>
    <row r="87" spans="1:82" ht="27.95" customHeight="1">
      <c r="A87" s="71">
        <v>79</v>
      </c>
      <c r="B87" s="53">
        <v>101</v>
      </c>
      <c r="C87" s="51" t="s">
        <v>303</v>
      </c>
      <c r="D87" s="51" t="s">
        <v>304</v>
      </c>
      <c r="E87" s="51" t="s">
        <v>305</v>
      </c>
      <c r="F87" s="66" t="s">
        <v>306</v>
      </c>
      <c r="G87" s="78">
        <v>13</v>
      </c>
      <c r="H87" s="150">
        <v>18</v>
      </c>
      <c r="I87" s="151">
        <f t="shared" si="57"/>
        <v>31</v>
      </c>
      <c r="J87" s="150">
        <v>9</v>
      </c>
      <c r="K87" s="151">
        <f t="shared" si="58"/>
        <v>40</v>
      </c>
      <c r="L87" s="149">
        <v>8</v>
      </c>
      <c r="M87" s="150">
        <v>17</v>
      </c>
      <c r="N87" s="151">
        <f t="shared" si="59"/>
        <v>25</v>
      </c>
      <c r="O87" s="151">
        <f t="shared" si="66"/>
        <v>25</v>
      </c>
      <c r="P87" s="151">
        <f t="shared" si="63"/>
        <v>65</v>
      </c>
      <c r="Q87" s="215"/>
      <c r="R87" s="162">
        <f t="shared" si="39"/>
        <v>2</v>
      </c>
      <c r="S87" s="149">
        <v>16</v>
      </c>
      <c r="T87" s="162">
        <v>32</v>
      </c>
      <c r="U87" s="151">
        <f t="shared" si="40"/>
        <v>48</v>
      </c>
      <c r="V87" s="149">
        <v>7</v>
      </c>
      <c r="W87" s="162">
        <v>18</v>
      </c>
      <c r="X87" s="151">
        <f t="shared" si="41"/>
        <v>25</v>
      </c>
      <c r="Y87" s="151">
        <f t="shared" si="60"/>
        <v>73</v>
      </c>
      <c r="Z87" s="151">
        <f t="shared" si="61"/>
        <v>73</v>
      </c>
      <c r="AA87" s="215"/>
      <c r="AB87" s="162">
        <f t="shared" si="42"/>
        <v>2</v>
      </c>
      <c r="AC87" s="149">
        <v>12</v>
      </c>
      <c r="AD87" s="162">
        <v>15</v>
      </c>
      <c r="AE87" s="151">
        <f t="shared" si="43"/>
        <v>27</v>
      </c>
      <c r="AF87" s="150">
        <v>13</v>
      </c>
      <c r="AG87" s="151">
        <f t="shared" si="44"/>
        <v>40</v>
      </c>
      <c r="AH87" s="215"/>
      <c r="AI87" s="162">
        <f t="shared" si="45"/>
        <v>2</v>
      </c>
      <c r="AJ87" s="149">
        <v>11</v>
      </c>
      <c r="AK87" s="162">
        <v>17</v>
      </c>
      <c r="AL87" s="163">
        <f t="shared" si="46"/>
        <v>28</v>
      </c>
      <c r="AM87" s="150">
        <v>12</v>
      </c>
      <c r="AN87" s="151">
        <f t="shared" si="62"/>
        <v>40</v>
      </c>
      <c r="AO87" s="217"/>
      <c r="AP87" s="162">
        <f t="shared" si="47"/>
        <v>2</v>
      </c>
      <c r="AQ87" s="162">
        <v>14</v>
      </c>
      <c r="AR87" s="162">
        <v>20</v>
      </c>
      <c r="AS87" s="150">
        <f t="shared" si="67"/>
        <v>34</v>
      </c>
      <c r="AT87" s="218"/>
      <c r="AU87" s="162">
        <f t="shared" si="48"/>
        <v>3.5</v>
      </c>
      <c r="AV87" s="149">
        <v>14</v>
      </c>
      <c r="AW87" s="162">
        <v>9</v>
      </c>
      <c r="AX87" s="163">
        <f t="shared" si="49"/>
        <v>23</v>
      </c>
      <c r="AY87" s="162">
        <v>18</v>
      </c>
      <c r="AZ87" s="163">
        <f t="shared" si="50"/>
        <v>41</v>
      </c>
      <c r="BA87" s="217"/>
      <c r="BB87" s="162">
        <f t="shared" si="51"/>
        <v>2</v>
      </c>
      <c r="BC87" s="149">
        <v>13</v>
      </c>
      <c r="BD87" s="162">
        <v>20</v>
      </c>
      <c r="BE87" s="163">
        <f t="shared" si="52"/>
        <v>33</v>
      </c>
      <c r="BF87" s="162">
        <v>29</v>
      </c>
      <c r="BG87" s="163">
        <f t="shared" si="53"/>
        <v>62</v>
      </c>
      <c r="BH87" s="217"/>
      <c r="BI87" s="162">
        <f t="shared" si="54"/>
        <v>3.5</v>
      </c>
      <c r="BJ87" s="149">
        <v>5</v>
      </c>
      <c r="BK87" s="162">
        <v>32</v>
      </c>
      <c r="BL87" s="163">
        <f t="shared" si="55"/>
        <v>37</v>
      </c>
      <c r="BM87" s="151">
        <f t="shared" si="68"/>
        <v>37</v>
      </c>
      <c r="BN87" s="217"/>
      <c r="BO87" s="162">
        <f t="shared" si="64"/>
        <v>4</v>
      </c>
      <c r="BP87" s="150">
        <f t="shared" si="69"/>
        <v>21</v>
      </c>
      <c r="BQ87" s="152">
        <f t="shared" si="70"/>
        <v>2.625</v>
      </c>
      <c r="BR87" s="164" t="str">
        <f t="shared" si="56"/>
        <v>C</v>
      </c>
      <c r="BS87" s="165" t="str">
        <f t="shared" si="65"/>
        <v>GOOD</v>
      </c>
      <c r="BT87" s="154">
        <f t="shared" si="71"/>
        <v>392</v>
      </c>
      <c r="BU87" s="62"/>
      <c r="BV87" s="62"/>
      <c r="BW87" s="178">
        <f>'1st_Semester'!BT87</f>
        <v>436</v>
      </c>
      <c r="BX87" s="179">
        <f>'2nd_Semester'!BT87</f>
        <v>387</v>
      </c>
      <c r="BY87" s="179">
        <f t="shared" si="72"/>
        <v>392</v>
      </c>
      <c r="BZ87" s="179">
        <f t="shared" si="73"/>
        <v>405</v>
      </c>
      <c r="CA87" s="182" t="str">
        <f>'1st_Semester'!BQ87</f>
        <v>F</v>
      </c>
      <c r="CB87" s="182" t="str">
        <f>'2nd_Semester'!BQ87</f>
        <v>F</v>
      </c>
      <c r="CC87" s="182">
        <f t="shared" si="74"/>
        <v>2.625</v>
      </c>
      <c r="CD87" s="182">
        <f t="shared" si="75"/>
        <v>2.625</v>
      </c>
    </row>
    <row r="88" spans="1:82" ht="27.95" customHeight="1">
      <c r="A88" s="71">
        <v>80</v>
      </c>
      <c r="B88" s="53">
        <v>104</v>
      </c>
      <c r="C88" s="51" t="s">
        <v>418</v>
      </c>
      <c r="D88" s="51" t="s">
        <v>419</v>
      </c>
      <c r="E88" s="51" t="s">
        <v>420</v>
      </c>
      <c r="F88" s="66" t="s">
        <v>421</v>
      </c>
      <c r="G88" s="78">
        <v>18</v>
      </c>
      <c r="H88" s="150">
        <v>26</v>
      </c>
      <c r="I88" s="151">
        <f t="shared" si="57"/>
        <v>44</v>
      </c>
      <c r="J88" s="150">
        <v>22</v>
      </c>
      <c r="K88" s="151">
        <f t="shared" si="58"/>
        <v>66</v>
      </c>
      <c r="L88" s="149">
        <v>8</v>
      </c>
      <c r="M88" s="150">
        <v>18</v>
      </c>
      <c r="N88" s="151">
        <f t="shared" si="59"/>
        <v>26</v>
      </c>
      <c r="O88" s="151">
        <f t="shared" si="66"/>
        <v>26</v>
      </c>
      <c r="P88" s="151">
        <f t="shared" si="63"/>
        <v>92</v>
      </c>
      <c r="Q88" s="215"/>
      <c r="R88" s="162">
        <f t="shared" si="39"/>
        <v>3</v>
      </c>
      <c r="S88" s="149">
        <v>16</v>
      </c>
      <c r="T88" s="162">
        <v>44</v>
      </c>
      <c r="U88" s="151">
        <f t="shared" si="40"/>
        <v>60</v>
      </c>
      <c r="V88" s="149">
        <v>8</v>
      </c>
      <c r="W88" s="162">
        <v>26</v>
      </c>
      <c r="X88" s="151">
        <f t="shared" si="41"/>
        <v>34</v>
      </c>
      <c r="Y88" s="151">
        <f t="shared" si="60"/>
        <v>94</v>
      </c>
      <c r="Z88" s="151">
        <f t="shared" si="61"/>
        <v>94</v>
      </c>
      <c r="AA88" s="215"/>
      <c r="AB88" s="162">
        <f t="shared" si="42"/>
        <v>3.5</v>
      </c>
      <c r="AC88" s="149">
        <v>13</v>
      </c>
      <c r="AD88" s="162">
        <v>13</v>
      </c>
      <c r="AE88" s="151">
        <f t="shared" si="43"/>
        <v>26</v>
      </c>
      <c r="AF88" s="150">
        <v>14</v>
      </c>
      <c r="AG88" s="151">
        <f t="shared" si="44"/>
        <v>40</v>
      </c>
      <c r="AH88" s="215"/>
      <c r="AI88" s="162">
        <f t="shared" si="45"/>
        <v>2</v>
      </c>
      <c r="AJ88" s="149">
        <v>16</v>
      </c>
      <c r="AK88" s="162">
        <v>27</v>
      </c>
      <c r="AL88" s="163">
        <f t="shared" si="46"/>
        <v>43</v>
      </c>
      <c r="AM88" s="150">
        <v>29</v>
      </c>
      <c r="AN88" s="151">
        <f t="shared" si="62"/>
        <v>72</v>
      </c>
      <c r="AO88" s="217"/>
      <c r="AP88" s="162">
        <f t="shared" si="47"/>
        <v>4</v>
      </c>
      <c r="AQ88" s="162">
        <v>23</v>
      </c>
      <c r="AR88" s="162">
        <v>25</v>
      </c>
      <c r="AS88" s="150">
        <f t="shared" si="67"/>
        <v>48</v>
      </c>
      <c r="AT88" s="218"/>
      <c r="AU88" s="162">
        <f t="shared" si="48"/>
        <v>5</v>
      </c>
      <c r="AV88" s="149">
        <v>16</v>
      </c>
      <c r="AW88" s="162">
        <v>24</v>
      </c>
      <c r="AX88" s="163">
        <f t="shared" si="49"/>
        <v>40</v>
      </c>
      <c r="AY88" s="162">
        <v>26</v>
      </c>
      <c r="AZ88" s="163">
        <f t="shared" si="50"/>
        <v>66</v>
      </c>
      <c r="BA88" s="217"/>
      <c r="BB88" s="162">
        <f t="shared" si="51"/>
        <v>3.5</v>
      </c>
      <c r="BC88" s="149">
        <v>13</v>
      </c>
      <c r="BD88" s="162">
        <v>33</v>
      </c>
      <c r="BE88" s="163">
        <f t="shared" si="52"/>
        <v>46</v>
      </c>
      <c r="BF88" s="162">
        <v>28</v>
      </c>
      <c r="BG88" s="163">
        <f t="shared" si="53"/>
        <v>74</v>
      </c>
      <c r="BH88" s="217"/>
      <c r="BI88" s="162">
        <f t="shared" si="54"/>
        <v>4</v>
      </c>
      <c r="BJ88" s="149">
        <v>8</v>
      </c>
      <c r="BK88" s="162">
        <v>32</v>
      </c>
      <c r="BL88" s="163">
        <f t="shared" si="55"/>
        <v>40</v>
      </c>
      <c r="BM88" s="151">
        <f t="shared" si="68"/>
        <v>40</v>
      </c>
      <c r="BN88" s="217"/>
      <c r="BO88" s="162">
        <f t="shared" si="64"/>
        <v>5</v>
      </c>
      <c r="BP88" s="150">
        <f t="shared" si="69"/>
        <v>30</v>
      </c>
      <c r="BQ88" s="152">
        <f t="shared" si="70"/>
        <v>3.75</v>
      </c>
      <c r="BR88" s="164" t="str">
        <f t="shared" si="56"/>
        <v>A-</v>
      </c>
      <c r="BS88" s="165" t="str">
        <f t="shared" si="65"/>
        <v>GOOD</v>
      </c>
      <c r="BT88" s="154">
        <f t="shared" si="71"/>
        <v>526</v>
      </c>
      <c r="BU88" s="62"/>
      <c r="BV88" s="62"/>
      <c r="BW88" s="178">
        <f>'1st_Semester'!BT88</f>
        <v>513</v>
      </c>
      <c r="BX88" s="179">
        <f>'2nd_Semester'!BT88</f>
        <v>499</v>
      </c>
      <c r="BY88" s="179">
        <f t="shared" si="72"/>
        <v>526</v>
      </c>
      <c r="BZ88" s="179">
        <f t="shared" si="73"/>
        <v>512.66666666666663</v>
      </c>
      <c r="CA88" s="182">
        <f>'1st_Semester'!BQ88</f>
        <v>3.6875</v>
      </c>
      <c r="CB88" s="182">
        <f>'2nd_Semester'!BQ88</f>
        <v>3.5625</v>
      </c>
      <c r="CC88" s="182">
        <f t="shared" si="74"/>
        <v>3.75</v>
      </c>
      <c r="CD88" s="182">
        <f t="shared" si="75"/>
        <v>3.6666666666666665</v>
      </c>
    </row>
    <row r="89" spans="1:82" ht="27.95" customHeight="1">
      <c r="A89" s="71">
        <v>81</v>
      </c>
      <c r="B89" s="53">
        <v>105</v>
      </c>
      <c r="C89" s="51" t="s">
        <v>308</v>
      </c>
      <c r="D89" s="51" t="s">
        <v>309</v>
      </c>
      <c r="E89" s="51" t="s">
        <v>310</v>
      </c>
      <c r="F89" s="66" t="s">
        <v>311</v>
      </c>
      <c r="G89" s="78">
        <v>11</v>
      </c>
      <c r="H89" s="150">
        <v>22</v>
      </c>
      <c r="I89" s="151">
        <f t="shared" si="57"/>
        <v>33</v>
      </c>
      <c r="J89" s="150">
        <v>17</v>
      </c>
      <c r="K89" s="151">
        <f t="shared" si="58"/>
        <v>50</v>
      </c>
      <c r="L89" s="149">
        <v>9</v>
      </c>
      <c r="M89" s="150">
        <v>27</v>
      </c>
      <c r="N89" s="151">
        <f t="shared" si="59"/>
        <v>36</v>
      </c>
      <c r="O89" s="151">
        <f t="shared" si="66"/>
        <v>36</v>
      </c>
      <c r="P89" s="151">
        <f t="shared" si="63"/>
        <v>86</v>
      </c>
      <c r="Q89" s="215"/>
      <c r="R89" s="162">
        <f t="shared" si="39"/>
        <v>3</v>
      </c>
      <c r="S89" s="149">
        <v>16</v>
      </c>
      <c r="T89" s="162">
        <v>48</v>
      </c>
      <c r="U89" s="151">
        <f t="shared" si="40"/>
        <v>64</v>
      </c>
      <c r="V89" s="149">
        <v>7</v>
      </c>
      <c r="W89" s="162">
        <v>30</v>
      </c>
      <c r="X89" s="151">
        <f t="shared" si="41"/>
        <v>37</v>
      </c>
      <c r="Y89" s="151">
        <f t="shared" si="60"/>
        <v>101</v>
      </c>
      <c r="Z89" s="151">
        <f t="shared" si="61"/>
        <v>101</v>
      </c>
      <c r="AA89" s="215"/>
      <c r="AB89" s="162">
        <f t="shared" si="42"/>
        <v>3.5</v>
      </c>
      <c r="AC89" s="149">
        <v>18</v>
      </c>
      <c r="AD89" s="162">
        <v>21</v>
      </c>
      <c r="AE89" s="151">
        <f t="shared" si="43"/>
        <v>39</v>
      </c>
      <c r="AF89" s="150">
        <v>12</v>
      </c>
      <c r="AG89" s="151">
        <f t="shared" si="44"/>
        <v>51</v>
      </c>
      <c r="AH89" s="215"/>
      <c r="AI89" s="162">
        <f t="shared" si="45"/>
        <v>3</v>
      </c>
      <c r="AJ89" s="149">
        <v>12</v>
      </c>
      <c r="AK89" s="162">
        <v>16</v>
      </c>
      <c r="AL89" s="163">
        <f t="shared" si="46"/>
        <v>28</v>
      </c>
      <c r="AM89" s="150">
        <v>19</v>
      </c>
      <c r="AN89" s="151">
        <f t="shared" si="62"/>
        <v>47</v>
      </c>
      <c r="AO89" s="217"/>
      <c r="AP89" s="162">
        <f t="shared" si="47"/>
        <v>2</v>
      </c>
      <c r="AQ89" s="162">
        <v>22</v>
      </c>
      <c r="AR89" s="162">
        <v>25</v>
      </c>
      <c r="AS89" s="150">
        <f t="shared" si="67"/>
        <v>47</v>
      </c>
      <c r="AT89" s="218"/>
      <c r="AU89" s="162">
        <f t="shared" si="48"/>
        <v>5</v>
      </c>
      <c r="AV89" s="149">
        <v>15</v>
      </c>
      <c r="AW89" s="162">
        <v>31</v>
      </c>
      <c r="AX89" s="163">
        <f t="shared" si="49"/>
        <v>46</v>
      </c>
      <c r="AY89" s="162">
        <v>23</v>
      </c>
      <c r="AZ89" s="163">
        <f t="shared" si="50"/>
        <v>69</v>
      </c>
      <c r="BA89" s="217"/>
      <c r="BB89" s="162">
        <f t="shared" si="51"/>
        <v>3.5</v>
      </c>
      <c r="BC89" s="149">
        <v>14</v>
      </c>
      <c r="BD89" s="162">
        <v>29</v>
      </c>
      <c r="BE89" s="163">
        <f t="shared" si="52"/>
        <v>43</v>
      </c>
      <c r="BF89" s="162">
        <v>26</v>
      </c>
      <c r="BG89" s="163">
        <f t="shared" si="53"/>
        <v>69</v>
      </c>
      <c r="BH89" s="217"/>
      <c r="BI89" s="162">
        <f t="shared" si="54"/>
        <v>3.5</v>
      </c>
      <c r="BJ89" s="149">
        <v>9</v>
      </c>
      <c r="BK89" s="162">
        <v>32</v>
      </c>
      <c r="BL89" s="163">
        <f t="shared" si="55"/>
        <v>41</v>
      </c>
      <c r="BM89" s="151">
        <f t="shared" si="68"/>
        <v>41</v>
      </c>
      <c r="BN89" s="217"/>
      <c r="BO89" s="162">
        <f t="shared" si="64"/>
        <v>5</v>
      </c>
      <c r="BP89" s="150">
        <f t="shared" si="69"/>
        <v>28.5</v>
      </c>
      <c r="BQ89" s="152">
        <f t="shared" si="70"/>
        <v>3.5625</v>
      </c>
      <c r="BR89" s="164" t="str">
        <f t="shared" si="56"/>
        <v>A-</v>
      </c>
      <c r="BS89" s="165" t="str">
        <f t="shared" si="65"/>
        <v>GOOD</v>
      </c>
      <c r="BT89" s="154">
        <f t="shared" si="71"/>
        <v>511</v>
      </c>
      <c r="BU89" s="62"/>
      <c r="BV89" s="62"/>
      <c r="BW89" s="178">
        <f>'1st_Semester'!BT89</f>
        <v>286</v>
      </c>
      <c r="BX89" s="179">
        <f>'2nd_Semester'!BT89</f>
        <v>466</v>
      </c>
      <c r="BY89" s="179">
        <f t="shared" si="72"/>
        <v>511</v>
      </c>
      <c r="BZ89" s="179">
        <f t="shared" si="73"/>
        <v>421</v>
      </c>
      <c r="CA89" s="182" t="str">
        <f>'1st_Semester'!BQ89</f>
        <v>F</v>
      </c>
      <c r="CB89" s="182">
        <f>'2nd_Semester'!BQ89</f>
        <v>3.4375</v>
      </c>
      <c r="CC89" s="182">
        <f t="shared" si="74"/>
        <v>3.5625</v>
      </c>
      <c r="CD89" s="182">
        <f t="shared" si="75"/>
        <v>3.5</v>
      </c>
    </row>
    <row r="90" spans="1:82" ht="27.95" customHeight="1">
      <c r="A90" s="71">
        <v>82</v>
      </c>
      <c r="B90" s="53">
        <v>106</v>
      </c>
      <c r="C90" s="51" t="s">
        <v>312</v>
      </c>
      <c r="D90" s="51" t="s">
        <v>313</v>
      </c>
      <c r="E90" s="51" t="s">
        <v>314</v>
      </c>
      <c r="F90" s="66" t="s">
        <v>315</v>
      </c>
      <c r="G90" s="78">
        <v>16</v>
      </c>
      <c r="H90" s="150">
        <v>22</v>
      </c>
      <c r="I90" s="151">
        <f t="shared" si="57"/>
        <v>38</v>
      </c>
      <c r="J90" s="150">
        <v>15</v>
      </c>
      <c r="K90" s="151">
        <f t="shared" si="58"/>
        <v>53</v>
      </c>
      <c r="L90" s="149">
        <v>9</v>
      </c>
      <c r="M90" s="150">
        <v>21</v>
      </c>
      <c r="N90" s="151">
        <f t="shared" si="59"/>
        <v>30</v>
      </c>
      <c r="O90" s="151">
        <f t="shared" si="66"/>
        <v>30</v>
      </c>
      <c r="P90" s="151">
        <f t="shared" si="63"/>
        <v>83</v>
      </c>
      <c r="Q90" s="215"/>
      <c r="R90" s="162">
        <f t="shared" si="39"/>
        <v>3</v>
      </c>
      <c r="S90" s="149">
        <v>15</v>
      </c>
      <c r="T90" s="162">
        <v>43</v>
      </c>
      <c r="U90" s="151">
        <f t="shared" si="40"/>
        <v>58</v>
      </c>
      <c r="V90" s="149">
        <v>7</v>
      </c>
      <c r="W90" s="162">
        <v>26</v>
      </c>
      <c r="X90" s="151">
        <f t="shared" si="41"/>
        <v>33</v>
      </c>
      <c r="Y90" s="151">
        <f t="shared" si="60"/>
        <v>91</v>
      </c>
      <c r="Z90" s="151">
        <f t="shared" si="61"/>
        <v>91</v>
      </c>
      <c r="AA90" s="215"/>
      <c r="AB90" s="162">
        <f t="shared" si="42"/>
        <v>3.5</v>
      </c>
      <c r="AC90" s="149">
        <v>13</v>
      </c>
      <c r="AD90" s="162">
        <v>13</v>
      </c>
      <c r="AE90" s="151">
        <f t="shared" si="43"/>
        <v>26</v>
      </c>
      <c r="AF90" s="150">
        <v>14</v>
      </c>
      <c r="AG90" s="151">
        <f t="shared" si="44"/>
        <v>40</v>
      </c>
      <c r="AH90" s="215"/>
      <c r="AI90" s="162">
        <f t="shared" si="45"/>
        <v>2</v>
      </c>
      <c r="AJ90" s="149">
        <v>14</v>
      </c>
      <c r="AK90" s="162">
        <v>21</v>
      </c>
      <c r="AL90" s="163">
        <f t="shared" si="46"/>
        <v>35</v>
      </c>
      <c r="AM90" s="150">
        <v>16</v>
      </c>
      <c r="AN90" s="151">
        <f t="shared" si="62"/>
        <v>51</v>
      </c>
      <c r="AO90" s="217"/>
      <c r="AP90" s="162">
        <f t="shared" si="47"/>
        <v>3</v>
      </c>
      <c r="AQ90" s="162">
        <v>13</v>
      </c>
      <c r="AR90" s="162">
        <v>20</v>
      </c>
      <c r="AS90" s="150">
        <f t="shared" si="67"/>
        <v>33</v>
      </c>
      <c r="AT90" s="218"/>
      <c r="AU90" s="162">
        <f t="shared" si="48"/>
        <v>3.5</v>
      </c>
      <c r="AV90" s="149">
        <v>15</v>
      </c>
      <c r="AW90" s="162">
        <v>29</v>
      </c>
      <c r="AX90" s="163">
        <f t="shared" si="49"/>
        <v>44</v>
      </c>
      <c r="AY90" s="162">
        <v>19</v>
      </c>
      <c r="AZ90" s="163">
        <f t="shared" si="50"/>
        <v>63</v>
      </c>
      <c r="BA90" s="217"/>
      <c r="BB90" s="162">
        <f t="shared" si="51"/>
        <v>3.5</v>
      </c>
      <c r="BC90" s="149">
        <v>13</v>
      </c>
      <c r="BD90" s="162">
        <v>31</v>
      </c>
      <c r="BE90" s="163">
        <f t="shared" si="52"/>
        <v>44</v>
      </c>
      <c r="BF90" s="162">
        <v>28</v>
      </c>
      <c r="BG90" s="163">
        <f t="shared" si="53"/>
        <v>72</v>
      </c>
      <c r="BH90" s="217"/>
      <c r="BI90" s="162">
        <f t="shared" si="54"/>
        <v>4</v>
      </c>
      <c r="BJ90" s="149">
        <v>6</v>
      </c>
      <c r="BK90" s="162">
        <v>32</v>
      </c>
      <c r="BL90" s="163">
        <f t="shared" si="55"/>
        <v>38</v>
      </c>
      <c r="BM90" s="151">
        <f t="shared" si="68"/>
        <v>38</v>
      </c>
      <c r="BN90" s="217"/>
      <c r="BO90" s="162">
        <f t="shared" si="64"/>
        <v>4</v>
      </c>
      <c r="BP90" s="150">
        <f t="shared" si="69"/>
        <v>26.5</v>
      </c>
      <c r="BQ90" s="152">
        <f t="shared" si="70"/>
        <v>3.3125</v>
      </c>
      <c r="BR90" s="164" t="str">
        <f t="shared" si="56"/>
        <v>B</v>
      </c>
      <c r="BS90" s="165" t="str">
        <f t="shared" si="65"/>
        <v>GOOD</v>
      </c>
      <c r="BT90" s="154">
        <f t="shared" si="71"/>
        <v>471</v>
      </c>
      <c r="BU90" s="62"/>
      <c r="BV90" s="62"/>
      <c r="BW90" s="178">
        <f>'1st_Semester'!BT90</f>
        <v>634</v>
      </c>
      <c r="BX90" s="179">
        <f>'2nd_Semester'!BT90</f>
        <v>426</v>
      </c>
      <c r="BY90" s="179">
        <f t="shared" si="72"/>
        <v>471</v>
      </c>
      <c r="BZ90" s="179">
        <f t="shared" si="73"/>
        <v>510.33333333333331</v>
      </c>
      <c r="CA90" s="182">
        <f>'1st_Semester'!BQ90</f>
        <v>4.4375</v>
      </c>
      <c r="CB90" s="182">
        <f>'2nd_Semester'!BQ90</f>
        <v>2.8125</v>
      </c>
      <c r="CC90" s="182">
        <f t="shared" si="74"/>
        <v>3.3125</v>
      </c>
      <c r="CD90" s="182">
        <f t="shared" si="75"/>
        <v>3.5208333333333335</v>
      </c>
    </row>
    <row r="91" spans="1:82" ht="27.95" customHeight="1">
      <c r="A91" s="71">
        <v>83</v>
      </c>
      <c r="B91" s="49">
        <v>108</v>
      </c>
      <c r="C91" s="50" t="s">
        <v>422</v>
      </c>
      <c r="D91" s="50" t="s">
        <v>423</v>
      </c>
      <c r="E91" s="50" t="s">
        <v>424</v>
      </c>
      <c r="F91" s="65" t="s">
        <v>425</v>
      </c>
      <c r="G91" s="78">
        <v>18</v>
      </c>
      <c r="H91" s="150">
        <v>29</v>
      </c>
      <c r="I91" s="151">
        <f t="shared" si="57"/>
        <v>47</v>
      </c>
      <c r="J91" s="150">
        <v>19</v>
      </c>
      <c r="K91" s="151">
        <f t="shared" si="58"/>
        <v>66</v>
      </c>
      <c r="L91" s="149">
        <v>10</v>
      </c>
      <c r="M91" s="150">
        <v>21</v>
      </c>
      <c r="N91" s="151">
        <f t="shared" si="59"/>
        <v>31</v>
      </c>
      <c r="O91" s="151">
        <f t="shared" si="66"/>
        <v>31</v>
      </c>
      <c r="P91" s="151">
        <f t="shared" si="63"/>
        <v>97</v>
      </c>
      <c r="Q91" s="215"/>
      <c r="R91" s="162">
        <f t="shared" si="39"/>
        <v>3.5</v>
      </c>
      <c r="S91" s="149">
        <v>17</v>
      </c>
      <c r="T91" s="162">
        <v>55</v>
      </c>
      <c r="U91" s="151">
        <f t="shared" si="40"/>
        <v>72</v>
      </c>
      <c r="V91" s="149">
        <v>9</v>
      </c>
      <c r="W91" s="162">
        <v>37</v>
      </c>
      <c r="X91" s="151">
        <f t="shared" si="41"/>
        <v>46</v>
      </c>
      <c r="Y91" s="151">
        <f t="shared" si="60"/>
        <v>118</v>
      </c>
      <c r="Z91" s="151">
        <f t="shared" si="61"/>
        <v>118</v>
      </c>
      <c r="AA91" s="215"/>
      <c r="AB91" s="162">
        <f t="shared" si="42"/>
        <v>4</v>
      </c>
      <c r="AC91" s="149">
        <v>12</v>
      </c>
      <c r="AD91" s="162">
        <v>19</v>
      </c>
      <c r="AE91" s="151">
        <f t="shared" si="43"/>
        <v>31</v>
      </c>
      <c r="AF91" s="150">
        <v>10</v>
      </c>
      <c r="AG91" s="151">
        <f t="shared" si="44"/>
        <v>41</v>
      </c>
      <c r="AH91" s="215"/>
      <c r="AI91" s="162">
        <f t="shared" si="45"/>
        <v>2</v>
      </c>
      <c r="AJ91" s="149">
        <v>15</v>
      </c>
      <c r="AK91" s="162">
        <v>22</v>
      </c>
      <c r="AL91" s="163">
        <f t="shared" si="46"/>
        <v>37</v>
      </c>
      <c r="AM91" s="150">
        <v>16</v>
      </c>
      <c r="AN91" s="151">
        <f t="shared" si="62"/>
        <v>53</v>
      </c>
      <c r="AO91" s="217"/>
      <c r="AP91" s="162">
        <f t="shared" si="47"/>
        <v>3</v>
      </c>
      <c r="AQ91" s="162">
        <v>22</v>
      </c>
      <c r="AR91" s="162">
        <v>25</v>
      </c>
      <c r="AS91" s="150">
        <f t="shared" si="67"/>
        <v>47</v>
      </c>
      <c r="AT91" s="218"/>
      <c r="AU91" s="162">
        <f t="shared" si="48"/>
        <v>5</v>
      </c>
      <c r="AV91" s="149">
        <v>16</v>
      </c>
      <c r="AW91" s="162">
        <v>14</v>
      </c>
      <c r="AX91" s="163">
        <f t="shared" si="49"/>
        <v>30</v>
      </c>
      <c r="AY91" s="162">
        <v>25</v>
      </c>
      <c r="AZ91" s="163">
        <f t="shared" si="50"/>
        <v>55</v>
      </c>
      <c r="BA91" s="217"/>
      <c r="BB91" s="162">
        <f t="shared" si="51"/>
        <v>3</v>
      </c>
      <c r="BC91" s="149">
        <v>13</v>
      </c>
      <c r="BD91" s="162">
        <v>33</v>
      </c>
      <c r="BE91" s="163">
        <f t="shared" si="52"/>
        <v>46</v>
      </c>
      <c r="BF91" s="162">
        <v>27</v>
      </c>
      <c r="BG91" s="163">
        <f t="shared" si="53"/>
        <v>73</v>
      </c>
      <c r="BH91" s="217"/>
      <c r="BI91" s="162">
        <f t="shared" si="54"/>
        <v>4</v>
      </c>
      <c r="BJ91" s="149">
        <v>6</v>
      </c>
      <c r="BK91" s="162">
        <v>32</v>
      </c>
      <c r="BL91" s="163">
        <f t="shared" si="55"/>
        <v>38</v>
      </c>
      <c r="BM91" s="151">
        <f t="shared" si="68"/>
        <v>38</v>
      </c>
      <c r="BN91" s="217"/>
      <c r="BO91" s="162">
        <f t="shared" si="64"/>
        <v>4</v>
      </c>
      <c r="BP91" s="150">
        <f t="shared" si="69"/>
        <v>28.5</v>
      </c>
      <c r="BQ91" s="152">
        <f t="shared" si="70"/>
        <v>3.5625</v>
      </c>
      <c r="BR91" s="164" t="str">
        <f t="shared" si="56"/>
        <v>A-</v>
      </c>
      <c r="BS91" s="165" t="str">
        <f t="shared" si="65"/>
        <v>GOOD</v>
      </c>
      <c r="BT91" s="154">
        <f t="shared" si="71"/>
        <v>522</v>
      </c>
      <c r="BU91" s="62"/>
      <c r="BV91" s="62"/>
      <c r="BW91" s="178">
        <f>'1st_Semester'!BT91</f>
        <v>607</v>
      </c>
      <c r="BX91" s="179">
        <f>'2nd_Semester'!BT91</f>
        <v>413</v>
      </c>
      <c r="BY91" s="179">
        <f t="shared" si="72"/>
        <v>522</v>
      </c>
      <c r="BZ91" s="179">
        <f t="shared" si="73"/>
        <v>514</v>
      </c>
      <c r="CA91" s="182">
        <f>'1st_Semester'!BQ91</f>
        <v>4.125</v>
      </c>
      <c r="CB91" s="182" t="str">
        <f>'2nd_Semester'!BQ91</f>
        <v>F</v>
      </c>
      <c r="CC91" s="182">
        <f t="shared" si="74"/>
        <v>3.5625</v>
      </c>
      <c r="CD91" s="182">
        <f t="shared" si="75"/>
        <v>3.84375</v>
      </c>
    </row>
    <row r="92" spans="1:82" ht="27.95" customHeight="1">
      <c r="A92" s="71">
        <v>84</v>
      </c>
      <c r="B92" s="49">
        <v>109</v>
      </c>
      <c r="C92" s="51" t="s">
        <v>317</v>
      </c>
      <c r="D92" s="51" t="s">
        <v>318</v>
      </c>
      <c r="E92" s="51" t="s">
        <v>319</v>
      </c>
      <c r="F92" s="66" t="s">
        <v>320</v>
      </c>
      <c r="G92" s="78">
        <v>17</v>
      </c>
      <c r="H92" s="151">
        <v>18</v>
      </c>
      <c r="I92" s="151">
        <f t="shared" si="57"/>
        <v>35</v>
      </c>
      <c r="J92" s="151">
        <v>18</v>
      </c>
      <c r="K92" s="151">
        <f t="shared" si="58"/>
        <v>53</v>
      </c>
      <c r="L92" s="149">
        <v>9</v>
      </c>
      <c r="M92" s="151">
        <v>22</v>
      </c>
      <c r="N92" s="151">
        <f t="shared" si="59"/>
        <v>31</v>
      </c>
      <c r="O92" s="151">
        <f t="shared" si="66"/>
        <v>31</v>
      </c>
      <c r="P92" s="151">
        <f t="shared" si="63"/>
        <v>84</v>
      </c>
      <c r="Q92" s="215"/>
      <c r="R92" s="162">
        <f t="shared" si="39"/>
        <v>3</v>
      </c>
      <c r="S92" s="149">
        <v>16</v>
      </c>
      <c r="T92" s="162">
        <v>36</v>
      </c>
      <c r="U92" s="151">
        <f t="shared" si="40"/>
        <v>52</v>
      </c>
      <c r="V92" s="149">
        <v>6</v>
      </c>
      <c r="W92" s="162">
        <v>19</v>
      </c>
      <c r="X92" s="151">
        <f t="shared" si="41"/>
        <v>25</v>
      </c>
      <c r="Y92" s="151">
        <f t="shared" si="60"/>
        <v>77</v>
      </c>
      <c r="Z92" s="151">
        <f t="shared" si="61"/>
        <v>77</v>
      </c>
      <c r="AA92" s="215"/>
      <c r="AB92" s="162">
        <f t="shared" si="42"/>
        <v>3</v>
      </c>
      <c r="AC92" s="149">
        <v>14</v>
      </c>
      <c r="AD92" s="162">
        <v>15</v>
      </c>
      <c r="AE92" s="151">
        <f t="shared" si="43"/>
        <v>29</v>
      </c>
      <c r="AF92" s="150">
        <v>11</v>
      </c>
      <c r="AG92" s="151">
        <f t="shared" si="44"/>
        <v>40</v>
      </c>
      <c r="AH92" s="215"/>
      <c r="AI92" s="162">
        <f t="shared" si="45"/>
        <v>2</v>
      </c>
      <c r="AJ92" s="149">
        <v>11</v>
      </c>
      <c r="AK92" s="162">
        <v>17</v>
      </c>
      <c r="AL92" s="163">
        <f t="shared" si="46"/>
        <v>28</v>
      </c>
      <c r="AM92" s="150">
        <v>12</v>
      </c>
      <c r="AN92" s="151">
        <f t="shared" si="62"/>
        <v>40</v>
      </c>
      <c r="AO92" s="217"/>
      <c r="AP92" s="162">
        <f t="shared" si="47"/>
        <v>2</v>
      </c>
      <c r="AQ92" s="162">
        <v>23</v>
      </c>
      <c r="AR92" s="162">
        <v>25</v>
      </c>
      <c r="AS92" s="150">
        <f t="shared" si="67"/>
        <v>48</v>
      </c>
      <c r="AT92" s="218"/>
      <c r="AU92" s="162">
        <f t="shared" si="48"/>
        <v>5</v>
      </c>
      <c r="AV92" s="149">
        <v>16</v>
      </c>
      <c r="AW92" s="162">
        <v>21</v>
      </c>
      <c r="AX92" s="163">
        <f t="shared" si="49"/>
        <v>37</v>
      </c>
      <c r="AY92" s="162">
        <v>25</v>
      </c>
      <c r="AZ92" s="163">
        <f t="shared" si="50"/>
        <v>62</v>
      </c>
      <c r="BA92" s="217"/>
      <c r="BB92" s="162">
        <f t="shared" si="51"/>
        <v>3.5</v>
      </c>
      <c r="BC92" s="149">
        <v>13</v>
      </c>
      <c r="BD92" s="162">
        <v>20</v>
      </c>
      <c r="BE92" s="163">
        <f t="shared" si="52"/>
        <v>33</v>
      </c>
      <c r="BF92" s="162">
        <v>29</v>
      </c>
      <c r="BG92" s="163">
        <f t="shared" si="53"/>
        <v>62</v>
      </c>
      <c r="BH92" s="217"/>
      <c r="BI92" s="162">
        <f t="shared" si="54"/>
        <v>3.5</v>
      </c>
      <c r="BJ92" s="149">
        <v>9</v>
      </c>
      <c r="BK92" s="162">
        <v>40</v>
      </c>
      <c r="BL92" s="163">
        <f t="shared" si="55"/>
        <v>49</v>
      </c>
      <c r="BM92" s="151">
        <f t="shared" si="68"/>
        <v>49</v>
      </c>
      <c r="BN92" s="217"/>
      <c r="BO92" s="162">
        <f t="shared" si="64"/>
        <v>5</v>
      </c>
      <c r="BP92" s="150">
        <f t="shared" si="69"/>
        <v>27</v>
      </c>
      <c r="BQ92" s="152">
        <f t="shared" si="70"/>
        <v>3.375</v>
      </c>
      <c r="BR92" s="164" t="str">
        <f t="shared" si="56"/>
        <v>B</v>
      </c>
      <c r="BS92" s="165" t="str">
        <f t="shared" si="65"/>
        <v>GOOD</v>
      </c>
      <c r="BT92" s="154">
        <f t="shared" si="71"/>
        <v>462</v>
      </c>
      <c r="BU92" s="62"/>
      <c r="BV92" s="59"/>
      <c r="BW92" s="178">
        <f>'1st_Semester'!BT92</f>
        <v>383</v>
      </c>
      <c r="BX92" s="179">
        <f>'2nd_Semester'!BT92</f>
        <v>449</v>
      </c>
      <c r="BY92" s="179">
        <f t="shared" si="72"/>
        <v>462</v>
      </c>
      <c r="BZ92" s="179">
        <f t="shared" si="73"/>
        <v>431.33333333333331</v>
      </c>
      <c r="CA92" s="182" t="str">
        <f>'1st_Semester'!BQ92</f>
        <v>F</v>
      </c>
      <c r="CB92" s="182">
        <f>'2nd_Semester'!BQ92</f>
        <v>3.1875</v>
      </c>
      <c r="CC92" s="182">
        <f t="shared" si="74"/>
        <v>3.375</v>
      </c>
      <c r="CD92" s="182">
        <f t="shared" si="75"/>
        <v>3.28125</v>
      </c>
    </row>
    <row r="93" spans="1:82" ht="27.95" customHeight="1">
      <c r="A93" s="71">
        <v>85</v>
      </c>
      <c r="B93" s="49">
        <v>110</v>
      </c>
      <c r="C93" s="50" t="s">
        <v>426</v>
      </c>
      <c r="D93" s="50" t="s">
        <v>427</v>
      </c>
      <c r="E93" s="50" t="s">
        <v>428</v>
      </c>
      <c r="F93" s="65" t="s">
        <v>429</v>
      </c>
      <c r="G93" s="78">
        <v>20</v>
      </c>
      <c r="H93" s="162">
        <v>44</v>
      </c>
      <c r="I93" s="163">
        <f t="shared" si="57"/>
        <v>64</v>
      </c>
      <c r="J93" s="162">
        <v>25</v>
      </c>
      <c r="K93" s="163">
        <f t="shared" si="58"/>
        <v>89</v>
      </c>
      <c r="L93" s="149">
        <v>10</v>
      </c>
      <c r="M93" s="162">
        <v>34</v>
      </c>
      <c r="N93" s="163">
        <f t="shared" si="59"/>
        <v>44</v>
      </c>
      <c r="O93" s="151">
        <f t="shared" si="66"/>
        <v>44</v>
      </c>
      <c r="P93" s="163">
        <f t="shared" si="63"/>
        <v>133</v>
      </c>
      <c r="Q93" s="215"/>
      <c r="R93" s="162">
        <f t="shared" si="39"/>
        <v>5</v>
      </c>
      <c r="S93" s="149">
        <v>18</v>
      </c>
      <c r="T93" s="162">
        <v>62</v>
      </c>
      <c r="U93" s="151">
        <f t="shared" si="40"/>
        <v>80</v>
      </c>
      <c r="V93" s="149">
        <v>9</v>
      </c>
      <c r="W93" s="162">
        <v>38</v>
      </c>
      <c r="X93" s="151">
        <f t="shared" si="41"/>
        <v>47</v>
      </c>
      <c r="Y93" s="151">
        <f t="shared" si="60"/>
        <v>127</v>
      </c>
      <c r="Z93" s="151">
        <f t="shared" si="61"/>
        <v>127</v>
      </c>
      <c r="AA93" s="215"/>
      <c r="AB93" s="162">
        <f t="shared" si="42"/>
        <v>5</v>
      </c>
      <c r="AC93" s="149">
        <v>18</v>
      </c>
      <c r="AD93" s="162">
        <v>46</v>
      </c>
      <c r="AE93" s="151">
        <f t="shared" si="43"/>
        <v>64</v>
      </c>
      <c r="AF93" s="150">
        <v>19</v>
      </c>
      <c r="AG93" s="151">
        <f t="shared" si="44"/>
        <v>83</v>
      </c>
      <c r="AH93" s="215"/>
      <c r="AI93" s="162">
        <f t="shared" si="45"/>
        <v>5</v>
      </c>
      <c r="AJ93" s="149">
        <v>20</v>
      </c>
      <c r="AK93" s="162">
        <v>49</v>
      </c>
      <c r="AL93" s="163">
        <f t="shared" si="46"/>
        <v>69</v>
      </c>
      <c r="AM93" s="150">
        <v>28</v>
      </c>
      <c r="AN93" s="151">
        <f t="shared" si="62"/>
        <v>97</v>
      </c>
      <c r="AO93" s="217"/>
      <c r="AP93" s="162">
        <f t="shared" si="47"/>
        <v>5</v>
      </c>
      <c r="AQ93" s="162">
        <v>24</v>
      </c>
      <c r="AR93" s="162">
        <v>25</v>
      </c>
      <c r="AS93" s="150">
        <f t="shared" si="67"/>
        <v>49</v>
      </c>
      <c r="AT93" s="218"/>
      <c r="AU93" s="162">
        <f t="shared" si="48"/>
        <v>5</v>
      </c>
      <c r="AV93" s="149">
        <v>19</v>
      </c>
      <c r="AW93" s="162">
        <v>49</v>
      </c>
      <c r="AX93" s="163">
        <f t="shared" si="49"/>
        <v>68</v>
      </c>
      <c r="AY93" s="162">
        <v>28</v>
      </c>
      <c r="AZ93" s="163">
        <f t="shared" si="50"/>
        <v>96</v>
      </c>
      <c r="BA93" s="217"/>
      <c r="BB93" s="162">
        <f t="shared" si="51"/>
        <v>5</v>
      </c>
      <c r="BC93" s="149">
        <v>19</v>
      </c>
      <c r="BD93" s="162">
        <v>44</v>
      </c>
      <c r="BE93" s="163">
        <f t="shared" si="52"/>
        <v>63</v>
      </c>
      <c r="BF93" s="162">
        <v>28</v>
      </c>
      <c r="BG93" s="163">
        <f t="shared" si="53"/>
        <v>91</v>
      </c>
      <c r="BH93" s="217"/>
      <c r="BI93" s="162">
        <f t="shared" si="54"/>
        <v>5</v>
      </c>
      <c r="BJ93" s="149">
        <v>9</v>
      </c>
      <c r="BK93" s="162">
        <v>32</v>
      </c>
      <c r="BL93" s="163">
        <f t="shared" si="55"/>
        <v>41</v>
      </c>
      <c r="BM93" s="151">
        <f t="shared" si="68"/>
        <v>41</v>
      </c>
      <c r="BN93" s="217"/>
      <c r="BO93" s="162">
        <f t="shared" si="64"/>
        <v>5</v>
      </c>
      <c r="BP93" s="150">
        <f t="shared" si="69"/>
        <v>40</v>
      </c>
      <c r="BQ93" s="152">
        <f t="shared" si="70"/>
        <v>5</v>
      </c>
      <c r="BR93" s="164" t="str">
        <f t="shared" si="56"/>
        <v>A+</v>
      </c>
      <c r="BS93" s="165" t="str">
        <f t="shared" si="65"/>
        <v>BEST</v>
      </c>
      <c r="BT93" s="154">
        <f t="shared" si="71"/>
        <v>717</v>
      </c>
      <c r="BU93" s="62"/>
      <c r="BV93" s="62"/>
      <c r="BW93" s="178">
        <f>'1st_Semester'!BT93</f>
        <v>389</v>
      </c>
      <c r="BX93" s="179">
        <f>'2nd_Semester'!BT93</f>
        <v>673</v>
      </c>
      <c r="BY93" s="179">
        <f t="shared" si="72"/>
        <v>717</v>
      </c>
      <c r="BZ93" s="179">
        <f t="shared" si="73"/>
        <v>593</v>
      </c>
      <c r="CA93" s="182" t="str">
        <f>'1st_Semester'!BQ93</f>
        <v>F</v>
      </c>
      <c r="CB93" s="182">
        <f>'2nd_Semester'!BQ93</f>
        <v>4.5625</v>
      </c>
      <c r="CC93" s="182">
        <f t="shared" si="74"/>
        <v>5</v>
      </c>
      <c r="CD93" s="182">
        <f t="shared" si="75"/>
        <v>4.78125</v>
      </c>
    </row>
    <row r="94" spans="1:82" s="102" customFormat="1" ht="27.95" customHeight="1">
      <c r="A94" s="98">
        <v>86</v>
      </c>
      <c r="B94" s="99">
        <v>111</v>
      </c>
      <c r="C94" s="103" t="s">
        <v>435</v>
      </c>
      <c r="D94" s="103" t="s">
        <v>436</v>
      </c>
      <c r="E94" s="103" t="s">
        <v>437</v>
      </c>
      <c r="F94" s="104" t="s">
        <v>438</v>
      </c>
      <c r="G94" s="100">
        <v>0</v>
      </c>
      <c r="H94" s="155">
        <v>27</v>
      </c>
      <c r="I94" s="156">
        <f t="shared" si="57"/>
        <v>27</v>
      </c>
      <c r="J94" s="155">
        <v>17</v>
      </c>
      <c r="K94" s="156">
        <f t="shared" si="58"/>
        <v>44</v>
      </c>
      <c r="L94" s="148">
        <v>0</v>
      </c>
      <c r="M94" s="155">
        <v>27</v>
      </c>
      <c r="N94" s="156">
        <f t="shared" si="59"/>
        <v>27</v>
      </c>
      <c r="O94" s="156">
        <f t="shared" si="66"/>
        <v>27</v>
      </c>
      <c r="P94" s="156">
        <f t="shared" si="63"/>
        <v>71</v>
      </c>
      <c r="Q94" s="216"/>
      <c r="R94" s="155">
        <f t="shared" si="39"/>
        <v>3</v>
      </c>
      <c r="S94" s="148">
        <v>0</v>
      </c>
      <c r="T94" s="155">
        <v>36</v>
      </c>
      <c r="U94" s="156">
        <f t="shared" si="40"/>
        <v>36</v>
      </c>
      <c r="V94" s="148">
        <v>3</v>
      </c>
      <c r="W94" s="155">
        <v>18</v>
      </c>
      <c r="X94" s="156">
        <v>24</v>
      </c>
      <c r="Y94" s="156">
        <f t="shared" si="60"/>
        <v>60</v>
      </c>
      <c r="Z94" s="156">
        <f t="shared" si="61"/>
        <v>60</v>
      </c>
      <c r="AA94" s="216"/>
      <c r="AB94" s="155">
        <f t="shared" si="42"/>
        <v>2</v>
      </c>
      <c r="AC94" s="148">
        <v>0</v>
      </c>
      <c r="AD94" s="155">
        <v>4</v>
      </c>
      <c r="AE94" s="156">
        <f t="shared" si="43"/>
        <v>4</v>
      </c>
      <c r="AF94" s="155">
        <v>8</v>
      </c>
      <c r="AG94" s="156">
        <f t="shared" si="44"/>
        <v>12</v>
      </c>
      <c r="AH94" s="216"/>
      <c r="AI94" s="155" t="str">
        <f t="shared" si="45"/>
        <v>F</v>
      </c>
      <c r="AJ94" s="148">
        <v>0</v>
      </c>
      <c r="AK94" s="155">
        <v>0</v>
      </c>
      <c r="AL94" s="156">
        <v>34</v>
      </c>
      <c r="AM94" s="155">
        <v>16</v>
      </c>
      <c r="AN94" s="156">
        <f t="shared" si="62"/>
        <v>50</v>
      </c>
      <c r="AO94" s="217"/>
      <c r="AP94" s="155">
        <f t="shared" si="47"/>
        <v>3</v>
      </c>
      <c r="AQ94" s="155">
        <v>24</v>
      </c>
      <c r="AR94" s="155">
        <v>25</v>
      </c>
      <c r="AS94" s="155">
        <f t="shared" si="67"/>
        <v>49</v>
      </c>
      <c r="AT94" s="218"/>
      <c r="AU94" s="155">
        <f t="shared" si="48"/>
        <v>5</v>
      </c>
      <c r="AV94" s="148">
        <v>0</v>
      </c>
      <c r="AW94" s="155">
        <v>38</v>
      </c>
      <c r="AX94" s="156">
        <f t="shared" si="49"/>
        <v>38</v>
      </c>
      <c r="AY94" s="155">
        <v>23</v>
      </c>
      <c r="AZ94" s="156">
        <f t="shared" si="50"/>
        <v>61</v>
      </c>
      <c r="BA94" s="217"/>
      <c r="BB94" s="155">
        <f t="shared" si="51"/>
        <v>3.5</v>
      </c>
      <c r="BC94" s="148">
        <v>5</v>
      </c>
      <c r="BD94" s="155">
        <v>30</v>
      </c>
      <c r="BE94" s="156">
        <f t="shared" si="52"/>
        <v>35</v>
      </c>
      <c r="BF94" s="155">
        <v>28</v>
      </c>
      <c r="BG94" s="156">
        <f t="shared" si="53"/>
        <v>63</v>
      </c>
      <c r="BH94" s="217"/>
      <c r="BI94" s="155">
        <f t="shared" si="54"/>
        <v>3.5</v>
      </c>
      <c r="BJ94" s="148">
        <v>3</v>
      </c>
      <c r="BK94" s="155">
        <v>32</v>
      </c>
      <c r="BL94" s="156">
        <f t="shared" si="55"/>
        <v>35</v>
      </c>
      <c r="BM94" s="156">
        <f t="shared" si="68"/>
        <v>35</v>
      </c>
      <c r="BN94" s="217"/>
      <c r="BO94" s="155">
        <f t="shared" si="64"/>
        <v>4</v>
      </c>
      <c r="BP94" s="155" t="str">
        <f t="shared" si="69"/>
        <v>F</v>
      </c>
      <c r="BQ94" s="152" t="str">
        <f t="shared" si="70"/>
        <v>F</v>
      </c>
      <c r="BR94" s="157" t="str">
        <f t="shared" si="56"/>
        <v>F</v>
      </c>
      <c r="BS94" s="166" t="str">
        <f t="shared" si="65"/>
        <v>NEED TO PROGRESS</v>
      </c>
      <c r="BT94" s="154">
        <f t="shared" si="71"/>
        <v>401</v>
      </c>
      <c r="BU94" s="101"/>
      <c r="BV94" s="101"/>
      <c r="BW94" s="178">
        <f>'1st_Semester'!BT94</f>
        <v>392</v>
      </c>
      <c r="BX94" s="179">
        <f>'2nd_Semester'!BT94</f>
        <v>481</v>
      </c>
      <c r="BY94" s="179">
        <f t="shared" si="72"/>
        <v>401</v>
      </c>
      <c r="BZ94" s="179">
        <f t="shared" si="73"/>
        <v>424.66666666666669</v>
      </c>
      <c r="CA94" s="182" t="str">
        <f>'1st_Semester'!BQ94</f>
        <v>F</v>
      </c>
      <c r="CB94" s="182">
        <f>'2nd_Semester'!BQ94</f>
        <v>3.375</v>
      </c>
      <c r="CC94" s="182" t="str">
        <f t="shared" si="74"/>
        <v>F</v>
      </c>
      <c r="CD94" s="182">
        <f t="shared" si="75"/>
        <v>3.375</v>
      </c>
    </row>
    <row r="95" spans="1:82" ht="27.95" customHeight="1">
      <c r="AY95" t="s">
        <v>456</v>
      </c>
      <c r="BC95" s="41"/>
    </row>
    <row r="96" spans="1:82" ht="27.95" customHeight="1">
      <c r="BC96" s="41"/>
    </row>
    <row r="97" spans="1:74" s="83" customFormat="1" ht="27.95" customHeight="1">
      <c r="A97" s="84">
        <v>0</v>
      </c>
      <c r="B97" s="85">
        <v>1</v>
      </c>
      <c r="C97" s="83">
        <v>2</v>
      </c>
      <c r="D97" s="83">
        <v>3</v>
      </c>
      <c r="E97" s="84">
        <v>4</v>
      </c>
      <c r="F97" s="85">
        <v>5</v>
      </c>
      <c r="G97" s="83">
        <v>6</v>
      </c>
      <c r="H97" s="83">
        <v>7</v>
      </c>
      <c r="I97" s="84">
        <v>8</v>
      </c>
      <c r="J97" s="85">
        <v>9</v>
      </c>
      <c r="K97" s="83">
        <v>10</v>
      </c>
      <c r="L97" s="83">
        <v>11</v>
      </c>
      <c r="M97" s="84">
        <v>12</v>
      </c>
      <c r="N97" s="85">
        <v>13</v>
      </c>
      <c r="O97" s="83">
        <v>14</v>
      </c>
      <c r="P97" s="83">
        <v>15</v>
      </c>
      <c r="Q97" s="84">
        <v>16</v>
      </c>
      <c r="R97" s="85">
        <v>17</v>
      </c>
      <c r="S97" s="83">
        <v>18</v>
      </c>
      <c r="T97" s="83">
        <v>19</v>
      </c>
      <c r="U97" s="84">
        <v>20</v>
      </c>
      <c r="V97" s="85">
        <v>21</v>
      </c>
      <c r="W97" s="83">
        <v>22</v>
      </c>
      <c r="X97" s="83">
        <v>23</v>
      </c>
      <c r="Y97" s="84">
        <v>24</v>
      </c>
      <c r="Z97" s="85">
        <v>25</v>
      </c>
      <c r="AA97" s="83">
        <v>26</v>
      </c>
      <c r="AB97" s="83">
        <v>27</v>
      </c>
      <c r="AC97" s="84">
        <v>28</v>
      </c>
      <c r="AD97" s="85">
        <v>29</v>
      </c>
      <c r="AE97" s="83">
        <v>30</v>
      </c>
      <c r="AF97" s="83">
        <v>31</v>
      </c>
      <c r="AG97" s="84">
        <v>32</v>
      </c>
      <c r="AH97" s="85">
        <v>33</v>
      </c>
      <c r="AI97" s="83">
        <v>34</v>
      </c>
      <c r="AJ97" s="83">
        <v>35</v>
      </c>
      <c r="AK97" s="84">
        <v>36</v>
      </c>
      <c r="AL97" s="85">
        <v>37</v>
      </c>
      <c r="AM97" s="83">
        <v>38</v>
      </c>
      <c r="AN97" s="83">
        <v>39</v>
      </c>
      <c r="AO97" s="84">
        <v>40</v>
      </c>
      <c r="AP97" s="85">
        <v>41</v>
      </c>
      <c r="AQ97" s="83">
        <v>42</v>
      </c>
      <c r="AR97" s="83">
        <v>43</v>
      </c>
      <c r="AS97" s="84">
        <v>44</v>
      </c>
      <c r="AT97" s="85">
        <v>45</v>
      </c>
      <c r="AU97" s="83">
        <v>46</v>
      </c>
      <c r="AV97" s="83">
        <v>47</v>
      </c>
      <c r="AW97" s="84">
        <v>48</v>
      </c>
      <c r="AX97" s="85">
        <v>49</v>
      </c>
      <c r="AY97" s="83">
        <v>50</v>
      </c>
      <c r="AZ97" s="83">
        <v>51</v>
      </c>
      <c r="BA97" s="84">
        <v>52</v>
      </c>
      <c r="BB97" s="85">
        <v>53</v>
      </c>
      <c r="BC97" s="83">
        <v>54</v>
      </c>
      <c r="BD97" s="83">
        <v>55</v>
      </c>
      <c r="BE97" s="84">
        <v>56</v>
      </c>
      <c r="BF97" s="85">
        <v>57</v>
      </c>
      <c r="BG97" s="83">
        <v>58</v>
      </c>
      <c r="BH97" s="83">
        <v>59</v>
      </c>
      <c r="BI97" s="84">
        <v>60</v>
      </c>
      <c r="BJ97" s="85">
        <v>61</v>
      </c>
      <c r="BK97" s="83">
        <v>62</v>
      </c>
      <c r="BL97" s="83">
        <v>63</v>
      </c>
      <c r="BM97" s="84">
        <v>64</v>
      </c>
      <c r="BN97" s="85">
        <v>65</v>
      </c>
      <c r="BO97" s="83">
        <v>66</v>
      </c>
      <c r="BP97" s="83">
        <v>67</v>
      </c>
      <c r="BQ97" s="84">
        <v>68</v>
      </c>
      <c r="BR97" s="85">
        <v>69</v>
      </c>
      <c r="BS97" s="83">
        <v>70</v>
      </c>
      <c r="BT97" s="83">
        <v>71</v>
      </c>
      <c r="BU97" s="84">
        <v>72</v>
      </c>
      <c r="BV97" s="85">
        <v>73</v>
      </c>
    </row>
  </sheetData>
  <mergeCells count="62">
    <mergeCell ref="CA7:CA8"/>
    <mergeCell ref="CB7:CB8"/>
    <mergeCell ref="CC7:CC8"/>
    <mergeCell ref="CD7:CD8"/>
    <mergeCell ref="AP7:AP8"/>
    <mergeCell ref="AQ7:AR7"/>
    <mergeCell ref="AS7:AS8"/>
    <mergeCell ref="AT7:AT8"/>
    <mergeCell ref="AU7:AU8"/>
    <mergeCell ref="AV7:AY7"/>
    <mergeCell ref="AZ7:AZ8"/>
    <mergeCell ref="BC7:BF7"/>
    <mergeCell ref="BJ7:BL7"/>
    <mergeCell ref="BN7:BN8"/>
    <mergeCell ref="BM7:BM8"/>
    <mergeCell ref="O7:O8"/>
    <mergeCell ref="Z7:Z8"/>
    <mergeCell ref="Y7:Y8"/>
    <mergeCell ref="P7:P8"/>
    <mergeCell ref="Q7:Q8"/>
    <mergeCell ref="A7:A8"/>
    <mergeCell ref="B7:B8"/>
    <mergeCell ref="C7:C8"/>
    <mergeCell ref="D7:D8"/>
    <mergeCell ref="E7:E8"/>
    <mergeCell ref="B1:BU6"/>
    <mergeCell ref="F7:F8"/>
    <mergeCell ref="G7:J7"/>
    <mergeCell ref="K7:K8"/>
    <mergeCell ref="L7:N7"/>
    <mergeCell ref="R7:R8"/>
    <mergeCell ref="S7:X7"/>
    <mergeCell ref="AA7:AA8"/>
    <mergeCell ref="AB7:AB8"/>
    <mergeCell ref="AC7:AF7"/>
    <mergeCell ref="AG7:AG8"/>
    <mergeCell ref="AH7:AH8"/>
    <mergeCell ref="AI7:AI8"/>
    <mergeCell ref="AJ7:AM7"/>
    <mergeCell ref="AN7:AN8"/>
    <mergeCell ref="AO7:AO8"/>
    <mergeCell ref="BA9:BA94"/>
    <mergeCell ref="BH9:BH94"/>
    <mergeCell ref="BN9:BN94"/>
    <mergeCell ref="BV7:BV8"/>
    <mergeCell ref="BQ7:BQ8"/>
    <mergeCell ref="BR7:BR8"/>
    <mergeCell ref="BS7:BS8"/>
    <mergeCell ref="BT7:BT8"/>
    <mergeCell ref="BU7:BU8"/>
    <mergeCell ref="BP7:BP8"/>
    <mergeCell ref="BG7:BG8"/>
    <mergeCell ref="BH7:BH8"/>
    <mergeCell ref="BI7:BI8"/>
    <mergeCell ref="BA7:BA8"/>
    <mergeCell ref="BB7:BB8"/>
    <mergeCell ref="BO7:BO8"/>
    <mergeCell ref="Q9:Q94"/>
    <mergeCell ref="AA9:AA94"/>
    <mergeCell ref="AH9:AH94"/>
    <mergeCell ref="AO9:AO94"/>
    <mergeCell ref="AT9:AT94"/>
  </mergeCells>
  <pageMargins left="0.23622047244094491" right="0.23622047244094491" top="0.74803149606299213" bottom="0.74803149606299213" header="0.31496062992125984" footer="0.31496062992125984"/>
  <pageSetup paperSize="9"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Z32"/>
  <sheetViews>
    <sheetView tabSelected="1" zoomScale="106" zoomScaleNormal="106" workbookViewId="0">
      <selection activeCell="C9" sqref="C9"/>
    </sheetView>
  </sheetViews>
  <sheetFormatPr defaultRowHeight="15"/>
  <cols>
    <col min="1" max="1" width="23.140625" bestFit="1" customWidth="1"/>
    <col min="2" max="2" width="5" style="47" customWidth="1"/>
    <col min="3" max="20" width="6.85546875" customWidth="1"/>
    <col min="21" max="21" width="8.85546875" customWidth="1"/>
    <col min="22" max="22" width="6.85546875" customWidth="1"/>
    <col min="23" max="23" width="7.7109375" customWidth="1"/>
    <col min="24" max="24" width="8.7109375" customWidth="1"/>
    <col min="25" max="25" width="7.140625" customWidth="1"/>
    <col min="26" max="26" width="6" customWidth="1"/>
  </cols>
  <sheetData>
    <row r="1" spans="1:26" ht="14.25" customHeight="1">
      <c r="A1" s="242" t="s">
        <v>469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4"/>
    </row>
    <row r="2" spans="1:26" ht="20.100000000000001" customHeight="1">
      <c r="A2" s="245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7"/>
    </row>
    <row r="3" spans="1:26" ht="20.100000000000001" customHeight="1">
      <c r="A3" s="245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7"/>
    </row>
    <row r="4" spans="1:26" ht="20.100000000000001" customHeight="1">
      <c r="A4" s="248"/>
      <c r="B4" s="249"/>
      <c r="C4" s="249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49"/>
      <c r="Q4" s="249"/>
      <c r="R4" s="249"/>
      <c r="S4" s="249"/>
      <c r="T4" s="249"/>
      <c r="U4" s="249"/>
      <c r="V4" s="249"/>
      <c r="W4" s="249"/>
      <c r="X4" s="249"/>
      <c r="Y4" s="249"/>
      <c r="Z4" s="250"/>
    </row>
    <row r="5" spans="1:26" s="47" customFormat="1" ht="20.100000000000001" customHeight="1">
      <c r="A5" s="42" t="s">
        <v>53</v>
      </c>
      <c r="B5" s="44" t="s">
        <v>47</v>
      </c>
      <c r="C5" s="183" t="str">
        <f>IFERROR(VLOOKUP(C$8,'1st_Semester'!B$6:BU$96,2,0),"Please Enter The Right Roll")</f>
        <v xml:space="preserve">Bin Yamin </v>
      </c>
      <c r="D5" s="183"/>
      <c r="E5" s="183"/>
      <c r="F5" s="183"/>
      <c r="G5" s="183"/>
      <c r="H5" s="183"/>
      <c r="I5" s="183"/>
      <c r="J5" s="183"/>
      <c r="K5" s="183"/>
      <c r="L5" s="90"/>
      <c r="M5" s="90"/>
      <c r="N5" s="90"/>
      <c r="O5" s="90"/>
      <c r="P5" s="90"/>
      <c r="Q5" s="90"/>
      <c r="S5" s="90"/>
      <c r="T5" s="265" t="s">
        <v>61</v>
      </c>
      <c r="U5" s="265"/>
      <c r="V5" s="265"/>
      <c r="W5" s="265"/>
      <c r="X5" s="265"/>
      <c r="Y5" s="265"/>
      <c r="Z5" s="91"/>
    </row>
    <row r="6" spans="1:26" s="47" customFormat="1" ht="20.100000000000001" customHeight="1">
      <c r="A6" s="92" t="s">
        <v>54</v>
      </c>
      <c r="B6" s="45" t="s">
        <v>47</v>
      </c>
      <c r="C6" s="184" t="s">
        <v>19</v>
      </c>
      <c r="D6" s="184"/>
      <c r="E6" s="184"/>
      <c r="F6" s="184"/>
      <c r="G6" s="184"/>
      <c r="H6" s="185"/>
      <c r="I6" s="185"/>
      <c r="J6" s="185"/>
      <c r="K6" s="185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93"/>
    </row>
    <row r="7" spans="1:26" s="47" customFormat="1" ht="20.100000000000001" customHeight="1">
      <c r="A7" s="94" t="s">
        <v>55</v>
      </c>
      <c r="B7" s="45" t="s">
        <v>47</v>
      </c>
      <c r="C7" s="184" t="s">
        <v>455</v>
      </c>
      <c r="D7" s="184"/>
      <c r="E7" s="184"/>
      <c r="F7" s="184"/>
      <c r="G7" s="184"/>
      <c r="H7" s="185"/>
      <c r="I7" s="185"/>
      <c r="J7" s="185"/>
      <c r="K7" s="185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93"/>
    </row>
    <row r="8" spans="1:26" s="47" customFormat="1" ht="20.100000000000001" customHeight="1">
      <c r="A8" s="94" t="s">
        <v>56</v>
      </c>
      <c r="B8" s="45" t="s">
        <v>47</v>
      </c>
      <c r="C8" s="186">
        <v>71</v>
      </c>
      <c r="D8" s="185"/>
      <c r="E8" s="185"/>
      <c r="F8" s="185"/>
      <c r="G8" s="185"/>
      <c r="H8" s="185"/>
      <c r="I8" s="185"/>
      <c r="J8" s="185"/>
      <c r="K8" s="185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93"/>
    </row>
    <row r="9" spans="1:26" s="47" customFormat="1" ht="20.100000000000001" customHeight="1">
      <c r="A9" s="94" t="s">
        <v>57</v>
      </c>
      <c r="B9" s="45" t="s">
        <v>47</v>
      </c>
      <c r="C9" s="184" t="str">
        <f>IFERROR(VLOOKUP(C$8,'1st_Semester'!B$6:BU$96,3,0),"Please Enter The Right Roll")</f>
        <v xml:space="preserve">Shafiqul Islam </v>
      </c>
      <c r="D9" s="184"/>
      <c r="E9" s="184"/>
      <c r="F9" s="184"/>
      <c r="G9" s="184"/>
      <c r="H9" s="184"/>
      <c r="I9" s="184"/>
      <c r="J9" s="185"/>
      <c r="K9" s="185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93"/>
    </row>
    <row r="10" spans="1:26" s="47" customFormat="1" ht="20.100000000000001" customHeight="1">
      <c r="A10" s="94" t="s">
        <v>58</v>
      </c>
      <c r="B10" s="45" t="s">
        <v>47</v>
      </c>
      <c r="C10" s="184" t="str">
        <f>IFERROR(VLOOKUP(C$8,'1st_Semester'!B$6:BU$96,4,0),"Please Enter The Right Roll")</f>
        <v>Santa Islam Bethi</v>
      </c>
      <c r="D10" s="187"/>
      <c r="E10" s="187"/>
      <c r="F10" s="187"/>
      <c r="G10" s="187"/>
      <c r="H10" s="187"/>
      <c r="I10" s="187"/>
      <c r="J10" s="187"/>
      <c r="K10" s="185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93"/>
    </row>
    <row r="11" spans="1:26" s="47" customFormat="1" ht="20.100000000000001" customHeight="1">
      <c r="A11" s="95" t="s">
        <v>59</v>
      </c>
      <c r="B11" s="46" t="s">
        <v>47</v>
      </c>
      <c r="C11" s="252" t="s">
        <v>454</v>
      </c>
      <c r="D11" s="252"/>
      <c r="E11" s="252"/>
      <c r="F11" s="252"/>
      <c r="G11" s="252"/>
      <c r="H11" s="252"/>
      <c r="I11" s="252"/>
      <c r="J11" s="252"/>
      <c r="K11" s="252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7"/>
    </row>
    <row r="12" spans="1:26" ht="30" customHeight="1">
      <c r="A12" s="253" t="s">
        <v>60</v>
      </c>
      <c r="B12" s="254"/>
      <c r="C12" s="259" t="s">
        <v>44</v>
      </c>
      <c r="D12" s="233" t="s">
        <v>466</v>
      </c>
      <c r="E12" s="251"/>
      <c r="F12" s="251"/>
      <c r="G12" s="251"/>
      <c r="H12" s="234"/>
      <c r="I12" s="259" t="s">
        <v>44</v>
      </c>
      <c r="J12" s="233" t="s">
        <v>467</v>
      </c>
      <c r="K12" s="251"/>
      <c r="L12" s="251"/>
      <c r="M12" s="251"/>
      <c r="N12" s="234"/>
      <c r="O12" s="259" t="s">
        <v>44</v>
      </c>
      <c r="P12" s="233" t="s">
        <v>468</v>
      </c>
      <c r="Q12" s="251"/>
      <c r="R12" s="251"/>
      <c r="S12" s="251"/>
      <c r="T12" s="234"/>
      <c r="U12" s="233" t="s">
        <v>49</v>
      </c>
      <c r="V12" s="251"/>
      <c r="W12" s="251"/>
      <c r="X12" s="251"/>
      <c r="Y12" s="251"/>
      <c r="Z12" s="234"/>
    </row>
    <row r="13" spans="1:26" ht="30" customHeight="1">
      <c r="A13" s="255"/>
      <c r="B13" s="256"/>
      <c r="C13" s="260"/>
      <c r="D13" s="233" t="s">
        <v>48</v>
      </c>
      <c r="E13" s="234"/>
      <c r="F13" s="225" t="s">
        <v>7</v>
      </c>
      <c r="G13" s="225" t="s">
        <v>45</v>
      </c>
      <c r="H13" s="225" t="s">
        <v>1</v>
      </c>
      <c r="I13" s="260"/>
      <c r="J13" s="233" t="s">
        <v>48</v>
      </c>
      <c r="K13" s="234"/>
      <c r="L13" s="225" t="s">
        <v>7</v>
      </c>
      <c r="M13" s="225" t="s">
        <v>45</v>
      </c>
      <c r="N13" s="225" t="s">
        <v>1</v>
      </c>
      <c r="O13" s="260"/>
      <c r="P13" s="233" t="s">
        <v>48</v>
      </c>
      <c r="Q13" s="234"/>
      <c r="R13" s="225" t="s">
        <v>7</v>
      </c>
      <c r="S13" s="225" t="s">
        <v>45</v>
      </c>
      <c r="T13" s="225" t="s">
        <v>1</v>
      </c>
      <c r="U13" s="262" t="s">
        <v>50</v>
      </c>
      <c r="V13" s="262" t="s">
        <v>442</v>
      </c>
      <c r="W13" s="262" t="s">
        <v>51</v>
      </c>
      <c r="X13" s="225" t="s">
        <v>7</v>
      </c>
      <c r="Y13" s="225" t="s">
        <v>1</v>
      </c>
      <c r="Z13" s="225" t="s">
        <v>52</v>
      </c>
    </row>
    <row r="14" spans="1:26" ht="30" customHeight="1">
      <c r="A14" s="255"/>
      <c r="B14" s="256"/>
      <c r="C14" s="260"/>
      <c r="D14" s="225" t="s">
        <v>441</v>
      </c>
      <c r="E14" s="225" t="s">
        <v>46</v>
      </c>
      <c r="F14" s="226"/>
      <c r="G14" s="226"/>
      <c r="H14" s="226"/>
      <c r="I14" s="260"/>
      <c r="J14" s="225" t="s">
        <v>441</v>
      </c>
      <c r="K14" s="225" t="s">
        <v>46</v>
      </c>
      <c r="L14" s="226"/>
      <c r="M14" s="226"/>
      <c r="N14" s="226"/>
      <c r="O14" s="260"/>
      <c r="P14" s="225" t="s">
        <v>441</v>
      </c>
      <c r="Q14" s="225" t="s">
        <v>46</v>
      </c>
      <c r="R14" s="226"/>
      <c r="S14" s="226"/>
      <c r="T14" s="226"/>
      <c r="U14" s="263"/>
      <c r="V14" s="263"/>
      <c r="W14" s="263"/>
      <c r="X14" s="226"/>
      <c r="Y14" s="226"/>
      <c r="Z14" s="226"/>
    </row>
    <row r="15" spans="1:26" ht="30" customHeight="1">
      <c r="A15" s="255"/>
      <c r="B15" s="256"/>
      <c r="C15" s="260"/>
      <c r="D15" s="226"/>
      <c r="E15" s="226"/>
      <c r="F15" s="226"/>
      <c r="G15" s="226"/>
      <c r="H15" s="226"/>
      <c r="I15" s="260"/>
      <c r="J15" s="226"/>
      <c r="K15" s="226"/>
      <c r="L15" s="226"/>
      <c r="M15" s="226"/>
      <c r="N15" s="226"/>
      <c r="O15" s="260"/>
      <c r="P15" s="226"/>
      <c r="Q15" s="226"/>
      <c r="R15" s="226"/>
      <c r="S15" s="226"/>
      <c r="T15" s="226"/>
      <c r="U15" s="263"/>
      <c r="V15" s="263"/>
      <c r="W15" s="263"/>
      <c r="X15" s="226"/>
      <c r="Y15" s="226"/>
      <c r="Z15" s="226"/>
    </row>
    <row r="16" spans="1:26" ht="30" customHeight="1">
      <c r="A16" s="257"/>
      <c r="B16" s="258"/>
      <c r="C16" s="261"/>
      <c r="D16" s="227"/>
      <c r="E16" s="227"/>
      <c r="F16" s="227"/>
      <c r="G16" s="227"/>
      <c r="H16" s="227"/>
      <c r="I16" s="261"/>
      <c r="J16" s="227"/>
      <c r="K16" s="227"/>
      <c r="L16" s="227"/>
      <c r="M16" s="227"/>
      <c r="N16" s="227"/>
      <c r="O16" s="261"/>
      <c r="P16" s="227"/>
      <c r="Q16" s="227"/>
      <c r="R16" s="227"/>
      <c r="S16" s="227"/>
      <c r="T16" s="227"/>
      <c r="U16" s="264"/>
      <c r="V16" s="264"/>
      <c r="W16" s="264"/>
      <c r="X16" s="227"/>
      <c r="Y16" s="227"/>
      <c r="Z16" s="227"/>
    </row>
    <row r="17" spans="1:26" ht="30" customHeight="1">
      <c r="A17" s="233" t="s">
        <v>443</v>
      </c>
      <c r="B17" s="234"/>
      <c r="C17" s="188">
        <f>IFERROR(VLOOKUP(C$8,'1st_Semester'!B$6:BU$96,6,0),"")</f>
        <v>8</v>
      </c>
      <c r="D17" s="188">
        <f>IFERROR(VLOOKUP(C$8,'1st_Semester'!B$6:BU$96,9,0),"")</f>
        <v>20</v>
      </c>
      <c r="E17" s="188">
        <f>IFERROR(VLOOKUP(C$8,'1st_Semester'!B$6:BVU$96,7,0),"")</f>
        <v>3</v>
      </c>
      <c r="F17" s="231">
        <f>IFERROR(VLOOKUP(C$8,'1st_Semester'!B$6:BU$96,15,0),"")</f>
        <v>51</v>
      </c>
      <c r="G17" s="231">
        <f>'1st_Semester'!Q9</f>
        <v>144</v>
      </c>
      <c r="H17" s="223" t="str">
        <f>IFERROR(VLOOKUP(C$8,'1st_Semester'!B$6:BU$96,17,0),"")</f>
        <v>F</v>
      </c>
      <c r="I17" s="188">
        <f>IFERROR(VLOOKUP(C$8,'2nd_Semester'!B$5:BV$96,6,0),"")</f>
        <v>12</v>
      </c>
      <c r="J17" s="188">
        <f>IFERROR(VLOOKUP(C$8,'2nd_Semester'!B$5:BV$96,9,0),"")</f>
        <v>8</v>
      </c>
      <c r="K17" s="188">
        <f>IFERROR(VLOOKUP(C$8,'2nd_Semester'!B$5:BV$96,7,0),"")</f>
        <v>9</v>
      </c>
      <c r="L17" s="190">
        <f>IFERROR(VLOOKUP(C$8,'2nd_Semester'!B$5:BV$96,15,0),"")</f>
        <v>52</v>
      </c>
      <c r="M17" s="231">
        <f>'2nd_Semester'!Q9</f>
        <v>140</v>
      </c>
      <c r="N17" s="223" t="str">
        <f>IFERROR(VLOOKUP(C$8,'2nd_Semester'!B$5:BV$96,17,0),"")</f>
        <v>F</v>
      </c>
      <c r="O17" s="190">
        <f>IFERROR(VLOOKUP(C$8,'3rd_Semester'!B$7:BV$95,6,0),"")</f>
        <v>11</v>
      </c>
      <c r="P17" s="190">
        <f>IFERROR(VLOOKUP(C$8,'3rd_Semester'!B$7:BV$95,9,0),"")</f>
        <v>18</v>
      </c>
      <c r="Q17" s="190">
        <f>IFERROR(VLOOKUP(C$8,'3rd_Semester'!B$7:BV$95,7,0),"")</f>
        <v>19</v>
      </c>
      <c r="R17" s="231">
        <f>IFERROR(VLOOKUP(C$8,'3rd_Semester'!B$7:BV$95,15,0),"")</f>
        <v>72</v>
      </c>
      <c r="S17" s="231">
        <f>'3rd_Semester'!Q9</f>
        <v>143</v>
      </c>
      <c r="T17" s="223">
        <f>IFERROR(VLOOKUP(C$8,'3rd_Semester'!B$7:BV$96,17,0),"")</f>
        <v>3</v>
      </c>
      <c r="U17" s="191">
        <f>AVERAGE(C17,I17,O17)</f>
        <v>10.333333333333334</v>
      </c>
      <c r="V17" s="191">
        <f>AVERAGE(D17,J17,P17)</f>
        <v>15.333333333333334</v>
      </c>
      <c r="W17" s="191">
        <f>AVERAGE(E17,K17,Q17)</f>
        <v>10.333333333333334</v>
      </c>
      <c r="X17" s="237">
        <f>AVERAGE(F17,L17,R17)</f>
        <v>58.333333333333336</v>
      </c>
      <c r="Y17" s="237">
        <f>SUM(H17,N17,T17)/3</f>
        <v>1</v>
      </c>
      <c r="Z17" s="228">
        <f>IF(Y17="F","F",IF(Y19="F","F",IF(Y21="F","F",IF(Y22="F","F",IF(Y23="F","F",IF(Y24="F","F",IF(Y25="F","F",IF(Y26="F","F",IF(SUM(Y17:Y26)&gt;40,5,SUM(Y17:Y26)/8)))))))))</f>
        <v>1.9999999999999998</v>
      </c>
    </row>
    <row r="18" spans="1:26" ht="30" customHeight="1">
      <c r="A18" s="233" t="s">
        <v>444</v>
      </c>
      <c r="B18" s="234"/>
      <c r="C18" s="188">
        <f>IFERROR(VLOOKUP(C$8,'1st_Semester'!B$6:BU$96,11,0),"")</f>
        <v>6</v>
      </c>
      <c r="D18" s="188"/>
      <c r="E18" s="188">
        <f>IFERROR(VLOOKUP(C$8,'1st_Semester'!B$6:BVU$96,12,0),"")</f>
        <v>14</v>
      </c>
      <c r="F18" s="232"/>
      <c r="G18" s="232"/>
      <c r="H18" s="224"/>
      <c r="I18" s="188">
        <f>IFERROR(VLOOKUP(C$8,'2nd_Semester'!B$5:BV$96,11,0),"")</f>
        <v>7</v>
      </c>
      <c r="J18" s="188"/>
      <c r="K18" s="188">
        <f>IFERROR(VLOOKUP(C$8,'2nd_Semester'!B$5:BV$96,12,0),"")</f>
        <v>16</v>
      </c>
      <c r="L18" s="190" t="str">
        <f>IFERROR(VLOOKUP(D$8,'2nd_Semester'!C$5:BI$50,5,0),"")</f>
        <v/>
      </c>
      <c r="M18" s="232"/>
      <c r="N18" s="224"/>
      <c r="O18" s="190">
        <f>IFERROR(VLOOKUP(C$8,'3rd_Semester'!B$7:BV$95,11,0),"")</f>
        <v>8</v>
      </c>
      <c r="P18" s="190"/>
      <c r="Q18" s="190">
        <f>IFERROR(VLOOKUP(C$8,'3rd_Semester'!B$7:BV$95,12,0),"")</f>
        <v>16</v>
      </c>
      <c r="R18" s="232"/>
      <c r="S18" s="232"/>
      <c r="T18" s="224"/>
      <c r="U18" s="191">
        <f>AVERAGE(C18,I18,O18)</f>
        <v>7</v>
      </c>
      <c r="V18" s="191"/>
      <c r="W18" s="191">
        <f t="shared" ref="W18:W24" si="0">AVERAGE(E18,K18,Q18)</f>
        <v>15.333333333333334</v>
      </c>
      <c r="X18" s="238"/>
      <c r="Y18" s="238"/>
      <c r="Z18" s="229"/>
    </row>
    <row r="19" spans="1:26" ht="30" customHeight="1">
      <c r="A19" s="233" t="s">
        <v>445</v>
      </c>
      <c r="B19" s="234"/>
      <c r="C19" s="188">
        <f>IFERROR(VLOOKUP(C$8,'1st_Semester'!B$6:BU$96,18,0),"")</f>
        <v>7</v>
      </c>
      <c r="D19" s="188"/>
      <c r="E19" s="188">
        <f>IFERROR(VLOOKUP(C$8,'1st_Semester'!B$6:BVU$96,19,0),"")</f>
        <v>20</v>
      </c>
      <c r="F19" s="231">
        <f>IFERROR(VLOOKUP(C$8,'1st_Semester'!B$6:BU$96,25,0),"")</f>
        <v>49</v>
      </c>
      <c r="G19" s="231">
        <f>'1st_Semester'!AA9</f>
        <v>148</v>
      </c>
      <c r="H19" s="223">
        <f>IFERROR(VLOOKUP(C$8,'1st_Semester'!B$6:BU$96,27,0),"")</f>
        <v>0</v>
      </c>
      <c r="I19" s="188">
        <f>IFERROR(VLOOKUP(C$8,'2nd_Semester'!B$5:BV$96,18,0),"")</f>
        <v>14</v>
      </c>
      <c r="J19" s="188"/>
      <c r="K19" s="188">
        <f>IFERROR(VLOOKUP(C$8,'2nd_Semester'!B$5:BV$96,19,0),"")</f>
        <v>34</v>
      </c>
      <c r="L19" s="231">
        <f>IFERROR(VLOOKUP(C$8,'2nd_Semester'!B$5:BV$96,25,0),"")</f>
        <v>64</v>
      </c>
      <c r="M19" s="231">
        <f>'2nd_Semester'!AA9</f>
        <v>148</v>
      </c>
      <c r="N19" s="223">
        <f>IFERROR(VLOOKUP(C$8,'2nd_Semester'!B$5:BV$96,27,0),"")</f>
        <v>2</v>
      </c>
      <c r="O19" s="190">
        <f>IFERROR(VLOOKUP(C$8,'3rd_Semester'!B$7:BV$95,18,0),"")</f>
        <v>16</v>
      </c>
      <c r="P19" s="190"/>
      <c r="Q19" s="190">
        <f>IFERROR(VLOOKUP(C$8,'3rd_Semester'!B$7:BV$95,19,0),"")</f>
        <v>22</v>
      </c>
      <c r="R19" s="231">
        <f>IFERROR(VLOOKUP(C$8,'3rd_Semester'!B$7:BV$95,25,0),"")</f>
        <v>60</v>
      </c>
      <c r="S19" s="231">
        <f>'3rd_Semester'!AA9</f>
        <v>143</v>
      </c>
      <c r="T19" s="223">
        <f>IFERROR(VLOOKUP(C$8,'3rd_Semester'!B$7:BV$96,27,0),"")</f>
        <v>2</v>
      </c>
      <c r="U19" s="191">
        <f>AVERAGE(C19,I19,O19)</f>
        <v>12.333333333333334</v>
      </c>
      <c r="V19" s="191"/>
      <c r="W19" s="191">
        <f t="shared" si="0"/>
        <v>25.333333333333332</v>
      </c>
      <c r="X19" s="237">
        <f>AVERAGE(F19,L19,R19)</f>
        <v>57.666666666666664</v>
      </c>
      <c r="Y19" s="237">
        <f>SUM(H19,N19,T19)/3</f>
        <v>1.3333333333333333</v>
      </c>
      <c r="Z19" s="229"/>
    </row>
    <row r="20" spans="1:26" ht="30" customHeight="1">
      <c r="A20" s="233" t="s">
        <v>446</v>
      </c>
      <c r="B20" s="234"/>
      <c r="C20" s="188">
        <f>IFERROR(VLOOKUP(C$8,'1st_Semester'!B$6:BU$96,21,0),"")</f>
        <v>2</v>
      </c>
      <c r="D20" s="188"/>
      <c r="E20" s="188">
        <f>IFERROR(VLOOKUP(C$8,'1st_Semester'!B$6:BVU$96,22,0),"")</f>
        <v>20</v>
      </c>
      <c r="F20" s="232"/>
      <c r="G20" s="232"/>
      <c r="H20" s="224"/>
      <c r="I20" s="188">
        <f>IFERROR(VLOOKUP(C$8,'2nd_Semester'!B$5:BV$96,21,0),"")</f>
        <v>6</v>
      </c>
      <c r="J20" s="188"/>
      <c r="K20" s="188">
        <f>IFERROR(VLOOKUP(C$8,'2nd_Semester'!B$5:BV$96,22,0),"")</f>
        <v>10</v>
      </c>
      <c r="L20" s="232"/>
      <c r="M20" s="232"/>
      <c r="N20" s="224"/>
      <c r="O20" s="190">
        <f>IFERROR(VLOOKUP(C$8,'3rd_Semester'!B$7:BV$95,21,0),"")</f>
        <v>6</v>
      </c>
      <c r="P20" s="190"/>
      <c r="Q20" s="190">
        <f>IFERROR(VLOOKUP(C$8,'3rd_Semester'!B$7:BV$95,22,0),"")</f>
        <v>16</v>
      </c>
      <c r="R20" s="232"/>
      <c r="S20" s="232"/>
      <c r="T20" s="224"/>
      <c r="U20" s="191">
        <f>AVERAGE(C20,I20,O20)</f>
        <v>4.666666666666667</v>
      </c>
      <c r="V20" s="191"/>
      <c r="W20" s="191">
        <f t="shared" si="0"/>
        <v>15.333333333333334</v>
      </c>
      <c r="X20" s="238"/>
      <c r="Y20" s="238"/>
      <c r="Z20" s="229"/>
    </row>
    <row r="21" spans="1:26" ht="30" customHeight="1">
      <c r="A21" s="233" t="s">
        <v>447</v>
      </c>
      <c r="B21" s="234"/>
      <c r="C21" s="188">
        <f>IFERROR(VLOOKUP(C$8,'1st_Semester'!B$6:BU$96,28,0),"")</f>
        <v>10</v>
      </c>
      <c r="D21" s="188">
        <f>IFERROR(VLOOKUP(C$8,'1st_Semester'!B$6:BU$96,31,0),"")</f>
        <v>10</v>
      </c>
      <c r="E21" s="188">
        <f>IFERROR(VLOOKUP(C$8,'1st_Semester'!B$6:BVU$96,29,0),"")</f>
        <v>8</v>
      </c>
      <c r="F21" s="188">
        <f>IFERROR(VLOOKUP(C$8,'1st_Semester'!B$6:BU$96,32,0),"")</f>
        <v>28</v>
      </c>
      <c r="G21" s="190">
        <f>'1st_Semester'!AH9</f>
        <v>98</v>
      </c>
      <c r="H21" s="189" t="str">
        <f>IFERROR(VLOOKUP(C$8,'1st_Semester'!B$6:BU$96,34,0),"")</f>
        <v>F</v>
      </c>
      <c r="I21" s="188">
        <f>IFERROR(VLOOKUP(C$8,'2nd_Semester'!B$5:BV$96,28,0),"")</f>
        <v>6</v>
      </c>
      <c r="J21" s="188">
        <f>IFERROR(VLOOKUP(C$8,'2nd_Semester'!B$5:BV$96,31,0),"")</f>
        <v>28</v>
      </c>
      <c r="K21" s="188">
        <f>IFERROR(VLOOKUP(C$8,'2nd_Semester'!B$5:BV$96,29,0),"")</f>
        <v>8</v>
      </c>
      <c r="L21" s="188">
        <f>IFERROR(VLOOKUP(C$8,'2nd_Semester'!B$5:BV$96,32,0),"")</f>
        <v>42</v>
      </c>
      <c r="M21" s="190">
        <f>'2nd_Semester'!AH9</f>
        <v>98</v>
      </c>
      <c r="N21" s="189">
        <f>IFERROR(VLOOKUP(C$8,'2nd_Semester'!B$5:BV$96,34,0),"")</f>
        <v>2</v>
      </c>
      <c r="O21" s="190">
        <f>IFERROR(VLOOKUP(C$8,'3rd_Semester'!B$7:BV$95,28,0),"")</f>
        <v>13</v>
      </c>
      <c r="P21" s="190">
        <f>IFERROR(VLOOKUP(C$8,'3rd_Semester'!B$7:BV$95,31,0),"")</f>
        <v>12</v>
      </c>
      <c r="Q21" s="190">
        <f>IFERROR(VLOOKUP(C$8,'3rd_Semester'!B$7:BV$95,29,0),"")</f>
        <v>0</v>
      </c>
      <c r="R21" s="190">
        <f>IFERROR(VLOOKUP(C$8,'3rd_Semester'!B$7:BV$95,32,0),"")</f>
        <v>25</v>
      </c>
      <c r="S21" s="190">
        <f>'3rd_Semester'!AH9</f>
        <v>95</v>
      </c>
      <c r="T21" s="189" t="str">
        <f>IFERROR(VLOOKUP(C$8,'3rd_Semester'!B$7:BV$96,34,0),"")</f>
        <v>F</v>
      </c>
      <c r="U21" s="191">
        <f>AVERAGE(C21,I21,O21)</f>
        <v>9.6666666666666661</v>
      </c>
      <c r="V21" s="191">
        <f>AVERAGE(D21,J21,P21)</f>
        <v>16.666666666666668</v>
      </c>
      <c r="W21" s="191">
        <f t="shared" si="0"/>
        <v>5.333333333333333</v>
      </c>
      <c r="X21" s="191">
        <f>AVERAGE(F21,L21,R21)</f>
        <v>31.666666666666668</v>
      </c>
      <c r="Y21" s="191">
        <f>SUM(H21,N21,T21)/3</f>
        <v>0.66666666666666663</v>
      </c>
      <c r="Z21" s="229"/>
    </row>
    <row r="22" spans="1:26" ht="30" customHeight="1">
      <c r="A22" s="233" t="s">
        <v>448</v>
      </c>
      <c r="B22" s="234"/>
      <c r="C22" s="188">
        <f>IFERROR(VLOOKUP(C$8,'1st_Semester'!B$6:BU$96,35,0),"")</f>
        <v>7</v>
      </c>
      <c r="D22" s="188">
        <f>IFERROR(VLOOKUP(C$8,'1st_Semester'!B$6:BU$96,38,0),"")</f>
        <v>14</v>
      </c>
      <c r="E22" s="188">
        <f>IFERROR(VLOOKUP(C$8,'1st_Semester'!B$6:BVU$96,36,0),"")</f>
        <v>12</v>
      </c>
      <c r="F22" s="188">
        <f>IFERROR(VLOOKUP(C$8,'1st_Semester'!B$6:BU$96,39,0),"")</f>
        <v>33</v>
      </c>
      <c r="G22" s="190">
        <f>'1st_Semester'!AO9</f>
        <v>97</v>
      </c>
      <c r="H22" s="189" t="str">
        <f>IFERROR(VLOOKUP(C$8,'1st_Semester'!B$6:BU$96,41,0),"")</f>
        <v>F</v>
      </c>
      <c r="I22" s="188">
        <f>IFERROR(VLOOKUP(C$8,'2nd_Semester'!B$5:BV$96,35,0),"")</f>
        <v>12</v>
      </c>
      <c r="J22" s="188">
        <f>IFERROR(VLOOKUP(C$8,'2nd_Semester'!B$5:BV$96,38,0),"")</f>
        <v>18</v>
      </c>
      <c r="K22" s="188">
        <f>IFERROR(VLOOKUP(C$8,'2nd_Semester'!B$5:BV$96,36,0),"")</f>
        <v>6</v>
      </c>
      <c r="L22" s="188">
        <f>IFERROR(VLOOKUP(C$8,'2nd_Semester'!B$5:BV$96,39,0),"")</f>
        <v>36</v>
      </c>
      <c r="M22" s="190">
        <f>'2nd_Semester'!AO9</f>
        <v>99</v>
      </c>
      <c r="N22" s="189" t="str">
        <f>IFERROR(VLOOKUP(C$8,'2nd_Semester'!B$5:BV$96,41,0),"")</f>
        <v>F</v>
      </c>
      <c r="O22" s="190">
        <f>IFERROR(VLOOKUP(C$8,'3rd_Semester'!B$7:BV$95,35,0),"")</f>
        <v>5</v>
      </c>
      <c r="P22" s="190">
        <f>IFERROR(VLOOKUP(C$8,'3rd_Semester'!B$7:BV$95,38,0),"")</f>
        <v>17</v>
      </c>
      <c r="Q22" s="190">
        <f>IFERROR(VLOOKUP(C$8,'3rd_Semester'!B$7:BV$95,36,0),"")</f>
        <v>19</v>
      </c>
      <c r="R22" s="190">
        <f>IFERROR(VLOOKUP(C$8,'3rd_Semester'!B$7:BV$95,39,0),"")</f>
        <v>41</v>
      </c>
      <c r="S22" s="190">
        <f>'3rd_Semester'!AO9</f>
        <v>99</v>
      </c>
      <c r="T22" s="189">
        <f>IFERROR(VLOOKUP(C$8,'3rd_Semester'!B$7:BV$96,41,0),"")</f>
        <v>2</v>
      </c>
      <c r="U22" s="191">
        <f>AVERAGE(C22,I22,O22)</f>
        <v>8</v>
      </c>
      <c r="V22" s="191">
        <f>AVERAGE(D22,J22,P22)</f>
        <v>16.333333333333332</v>
      </c>
      <c r="W22" s="191">
        <f t="shared" si="0"/>
        <v>12.333333333333334</v>
      </c>
      <c r="X22" s="191">
        <f t="shared" ref="X22:X26" si="1">AVERAGE(F22,L22,R22)</f>
        <v>36.666666666666664</v>
      </c>
      <c r="Y22" s="191">
        <f t="shared" ref="Y22:Y24" si="2">SUM(H22,N22,T22)/3</f>
        <v>0.66666666666666663</v>
      </c>
      <c r="Z22" s="229"/>
    </row>
    <row r="23" spans="1:26" ht="30" customHeight="1">
      <c r="A23" s="233" t="s">
        <v>449</v>
      </c>
      <c r="B23" s="234"/>
      <c r="C23" s="188"/>
      <c r="D23" s="188">
        <f>IFERROR(VLOOKUP(C$8,'1st_Semester'!B$6:BU$96,42,0),"")</f>
        <v>23</v>
      </c>
      <c r="E23" s="188">
        <f>IFERROR(VLOOKUP(C$8,'1st_Semester'!B$6:BVU$96,43,0),"")</f>
        <v>25</v>
      </c>
      <c r="F23" s="188">
        <f>IFERROR(VLOOKUP(C$8,'1st_Semester'!B$6:BU$96,44,0),"")</f>
        <v>48</v>
      </c>
      <c r="G23" s="190">
        <f>'1st_Semester'!AT9</f>
        <v>50</v>
      </c>
      <c r="H23" s="189">
        <f>IFERROR(VLOOKUP(C$8,'1st_Semester'!B$6:BU$96,46,0),"")</f>
        <v>5</v>
      </c>
      <c r="I23" s="188"/>
      <c r="J23" s="188">
        <f>IFERROR(VLOOKUP(C$8,'2nd_Semester'!B$5:BV$96,42,0),"")</f>
        <v>23</v>
      </c>
      <c r="K23" s="188">
        <f>IFERROR(VLOOKUP(C$8,'2nd_Semester'!B$5:BV$96,43,0),"")</f>
        <v>25</v>
      </c>
      <c r="L23" s="188">
        <f>IFERROR(VLOOKUP(C$8,'2nd_Semester'!B$5:BV$96,44,0),"")</f>
        <v>48</v>
      </c>
      <c r="M23" s="190">
        <f>'2nd_Semester'!AT9</f>
        <v>48</v>
      </c>
      <c r="N23" s="189">
        <f>IFERROR(VLOOKUP(C$8,'2nd_Semester'!B$5:BV$96,46,0),"")</f>
        <v>5</v>
      </c>
      <c r="O23" s="190"/>
      <c r="P23" s="190">
        <f>IFERROR(VLOOKUP(C$8,'3rd_Semester'!B$7:BV$95,42,0),"")</f>
        <v>18</v>
      </c>
      <c r="Q23" s="190">
        <f>IFERROR(VLOOKUP(C$8,'3rd_Semester'!B$7:BV$95,43,0),"")</f>
        <v>20</v>
      </c>
      <c r="R23" s="190">
        <f>IFERROR(VLOOKUP(C$8,'3rd_Semester'!B$7:BV$95,44,0),"")</f>
        <v>38</v>
      </c>
      <c r="S23" s="190">
        <f>'3rd_Semester'!AT9</f>
        <v>50</v>
      </c>
      <c r="T23" s="189">
        <f>IFERROR(VLOOKUP(C$8,'3rd_Semester'!B$7:BV$96,46,0),"")</f>
        <v>4</v>
      </c>
      <c r="U23" s="191"/>
      <c r="V23" s="191">
        <f>AVERAGE(D23,J23,P23)</f>
        <v>21.333333333333332</v>
      </c>
      <c r="W23" s="191">
        <f t="shared" si="0"/>
        <v>23.333333333333332</v>
      </c>
      <c r="X23" s="191">
        <f t="shared" si="1"/>
        <v>44.666666666666664</v>
      </c>
      <c r="Y23" s="191">
        <f t="shared" si="2"/>
        <v>4.666666666666667</v>
      </c>
      <c r="Z23" s="229"/>
    </row>
    <row r="24" spans="1:26" ht="30" customHeight="1">
      <c r="A24" s="233" t="s">
        <v>450</v>
      </c>
      <c r="B24" s="234"/>
      <c r="C24" s="188">
        <f>IFERROR(VLOOKUP(C$8,'1st_Semester'!B$6:BU$96,47,0),"")</f>
        <v>8</v>
      </c>
      <c r="D24" s="188">
        <f>IFERROR(VLOOKUP(C$8,'1st_Semester'!B$6:BU$96,50,0),"")</f>
        <v>14</v>
      </c>
      <c r="E24" s="188">
        <f>IFERROR(VLOOKUP(C$8,'1st_Semester'!B$6:BVU$96,48,0),"")</f>
        <v>12</v>
      </c>
      <c r="F24" s="188">
        <f>IFERROR(VLOOKUP(C$8,'1st_Semester'!B$6:BU$96,51,0),"")</f>
        <v>34</v>
      </c>
      <c r="G24" s="190">
        <f>'1st_Semester'!BA9</f>
        <v>100</v>
      </c>
      <c r="H24" s="189" t="str">
        <f>IFERROR(VLOOKUP(C$8,'1st_Semester'!B$6:BU$96,53,0),"")</f>
        <v>F</v>
      </c>
      <c r="I24" s="188">
        <f>IFERROR(VLOOKUP(C$8,'2nd_Semester'!B$5:BV$96,47,0),"")</f>
        <v>17</v>
      </c>
      <c r="J24" s="188">
        <f>IFERROR(VLOOKUP(C$8,'2nd_Semester'!B$5:BV$96,50,0),"")</f>
        <v>15</v>
      </c>
      <c r="K24" s="188">
        <f>IFERROR(VLOOKUP(C$8,'2nd_Semester'!B$5:BV$96,48,0),"")</f>
        <v>14</v>
      </c>
      <c r="L24" s="188">
        <f>IFERROR(VLOOKUP(C$8,'2nd_Semester'!B$5:BV$96,51,0),"")</f>
        <v>46</v>
      </c>
      <c r="M24" s="190">
        <f>'2nd_Semester'!BA9</f>
        <v>100</v>
      </c>
      <c r="N24" s="189">
        <f>IFERROR(VLOOKUP(C$8,'2nd_Semester'!B$5:BV$96,53,0),"")</f>
        <v>2</v>
      </c>
      <c r="O24" s="190">
        <f>IFERROR(VLOOKUP(C$8,'3rd_Semester'!B$7:BV$95,47,0),"")</f>
        <v>14</v>
      </c>
      <c r="P24" s="190">
        <f>IFERROR(VLOOKUP(C$8,'3rd_Semester'!B$7:BV$95,50,0),"")</f>
        <v>22</v>
      </c>
      <c r="Q24" s="190">
        <f>IFERROR(VLOOKUP(C$8,'3rd_Semester'!B$7:BV$95,48,0),"")</f>
        <v>21</v>
      </c>
      <c r="R24" s="190">
        <f>IFERROR(VLOOKUP(C$8,'3rd_Semester'!B$7:BV$95,51,0),"")</f>
        <v>57</v>
      </c>
      <c r="S24" s="190">
        <f>'3rd_Semester'!BA9</f>
        <v>96</v>
      </c>
      <c r="T24" s="189">
        <f>IFERROR(VLOOKUP(C$8,'3rd_Semester'!B$7:BV$96,53,0),"")</f>
        <v>3</v>
      </c>
      <c r="U24" s="191">
        <f>AVERAGE(C24,I24,O24)</f>
        <v>13</v>
      </c>
      <c r="V24" s="191">
        <f>AVERAGE(D24,J24,P24)</f>
        <v>17</v>
      </c>
      <c r="W24" s="191">
        <f t="shared" si="0"/>
        <v>15.666666666666666</v>
      </c>
      <c r="X24" s="191">
        <f t="shared" si="1"/>
        <v>45.666666666666664</v>
      </c>
      <c r="Y24" s="191">
        <f t="shared" si="2"/>
        <v>1.6666666666666667</v>
      </c>
      <c r="Z24" s="229"/>
    </row>
    <row r="25" spans="1:26" ht="30" customHeight="1">
      <c r="A25" s="233" t="s">
        <v>451</v>
      </c>
      <c r="B25" s="234"/>
      <c r="C25" s="188">
        <f>IFERROR(VLOOKUP(C$8,'1st_Semester'!B$6:BU$96,54,0),"")</f>
        <v>8</v>
      </c>
      <c r="D25" s="188">
        <f>IFERROR(VLOOKUP(C$8,'1st_Semester'!B$6:BU$96,57,0),"")</f>
        <v>17</v>
      </c>
      <c r="E25" s="188">
        <f>IFERROR(VLOOKUP(C$8,'1st_Semester'!B$6:BVU$96,55,0),"")</f>
        <v>21</v>
      </c>
      <c r="F25" s="188">
        <f>IFERROR(VLOOKUP(C$8,'1st_Semester'!B$6:BU$96,58,0),"")</f>
        <v>46</v>
      </c>
      <c r="G25" s="190">
        <f>'1st_Semester'!BH9</f>
        <v>98</v>
      </c>
      <c r="H25" s="189">
        <f>IFERROR(VLOOKUP(C$8,'1st_Semester'!B$6:BU$96,60,0),"")</f>
        <v>2</v>
      </c>
      <c r="I25" s="188">
        <f>IFERROR(VLOOKUP(C$8,'2nd_Semester'!B$5:BV$96,54,0),"")</f>
        <v>12</v>
      </c>
      <c r="J25" s="188">
        <f>IFERROR(VLOOKUP(C$8,'2nd_Semester'!B$5:BV$96,57,0),"")</f>
        <v>27</v>
      </c>
      <c r="K25" s="188">
        <f>IFERROR(VLOOKUP(C$8,'2nd_Semester'!B$5:BV$96,55,0),"")</f>
        <v>5</v>
      </c>
      <c r="L25" s="188">
        <f>IFERROR(VLOOKUP(C$8,'2nd_Semester'!B$5:BV$96,58,0),"")</f>
        <v>44</v>
      </c>
      <c r="M25" s="190">
        <f>'2nd_Semester'!BH9</f>
        <v>99</v>
      </c>
      <c r="N25" s="189">
        <f>IFERROR(VLOOKUP(C$8,'2nd_Semester'!B$5:BV$96,60,0),"")</f>
        <v>2</v>
      </c>
      <c r="O25" s="190">
        <f>IFERROR(VLOOKUP(C$8,'3rd_Semester'!B$7:BV$95,54,0),"")</f>
        <v>13</v>
      </c>
      <c r="P25" s="190">
        <f>IFERROR(VLOOKUP(C$8,'3rd_Semester'!B$7:BV$95,57,0),"")</f>
        <v>28</v>
      </c>
      <c r="Q25" s="190">
        <f>IFERROR(VLOOKUP(C$8,'3rd_Semester'!B$7:BV$95,55,0),"")</f>
        <v>21</v>
      </c>
      <c r="R25" s="190">
        <f>IFERROR(VLOOKUP(C$8,'3rd_Semester'!B$7:BV$95,58,0),"")</f>
        <v>62</v>
      </c>
      <c r="S25" s="190">
        <f>'3rd_Semester'!BH9</f>
        <v>98</v>
      </c>
      <c r="T25" s="189">
        <f>IFERROR(VLOOKUP(C$8,'3rd_Semester'!B$7:BV$96,60,0),"")</f>
        <v>3.5</v>
      </c>
      <c r="U25" s="191">
        <f>AVERAGE(C25,I25,O25)</f>
        <v>11</v>
      </c>
      <c r="V25" s="191">
        <f>AVERAGE(D25,J25,P25)</f>
        <v>24</v>
      </c>
      <c r="W25" s="191">
        <f t="shared" ref="W25:W26" si="3">AVERAGE(E25,K25,Q25)</f>
        <v>15.666666666666666</v>
      </c>
      <c r="X25" s="191">
        <f t="shared" si="1"/>
        <v>50.666666666666664</v>
      </c>
      <c r="Y25" s="191">
        <f>SUM(H25,N25,T25)/3</f>
        <v>2.5</v>
      </c>
      <c r="Z25" s="229"/>
    </row>
    <row r="26" spans="1:26" ht="30" customHeight="1">
      <c r="A26" s="233" t="s">
        <v>452</v>
      </c>
      <c r="B26" s="234"/>
      <c r="C26" s="188">
        <f>IFERROR(VLOOKUP(C$8,'1st_Semester'!B$6:BU$96,61,0),"")</f>
        <v>4</v>
      </c>
      <c r="D26" s="188"/>
      <c r="E26" s="188">
        <f>IFERROR(VLOOKUP(C$8,'1st_Semester'!B$6:BVU$96,62,0),"")</f>
        <v>24</v>
      </c>
      <c r="F26" s="188">
        <f>IFERROR(VLOOKUP(C$8,'1st_Semester'!B$6:BU$96,64,0),"")</f>
        <v>28</v>
      </c>
      <c r="G26" s="190">
        <f>'1st_Semester'!BN9</f>
        <v>42</v>
      </c>
      <c r="H26" s="189">
        <f>IFERROR(VLOOKUP(C$8,'1st_Semester'!B$6:BU$96,66,0),"")</f>
        <v>3</v>
      </c>
      <c r="I26" s="188">
        <f>IFERROR(VLOOKUP(C$8,'2nd_Semester'!B$5:BV$96,61,0),"")</f>
        <v>9</v>
      </c>
      <c r="J26" s="188"/>
      <c r="K26" s="188">
        <f>IFERROR(VLOOKUP(C$8,'2nd_Semester'!B$5:BV$96,62,0),"")</f>
        <v>22</v>
      </c>
      <c r="L26" s="188">
        <f>IFERROR(VLOOKUP(C$8,'2nd_Semester'!B$5:BV$96,64,0),"")</f>
        <v>31</v>
      </c>
      <c r="M26" s="190">
        <f>'2nd_Semester'!BN9</f>
        <v>42</v>
      </c>
      <c r="N26" s="189">
        <f>IFERROR(VLOOKUP(C$8,'2nd_Semester'!B$5:BV$96,66,0),"")</f>
        <v>3.5</v>
      </c>
      <c r="O26" s="190">
        <f>IFERROR(VLOOKUP(C$8,'3rd_Semester'!B$7:BV$95,61,0),"")</f>
        <v>6</v>
      </c>
      <c r="P26" s="190"/>
      <c r="Q26" s="190">
        <f>IFERROR(VLOOKUP(C$8,'3rd_Semester'!B$7:BV$95,62,0),"")</f>
        <v>32</v>
      </c>
      <c r="R26" s="190">
        <f>IFERROR(VLOOKUP(C$8,'3rd_Semester'!B$7:BV$95,64,0),"")</f>
        <v>38</v>
      </c>
      <c r="S26" s="190">
        <f>'3rd_Semester'!BN9</f>
        <v>50</v>
      </c>
      <c r="T26" s="189">
        <f>IFERROR(VLOOKUP(C$8,'3rd_Semester'!B$7:BV$96,66,0),"")</f>
        <v>4</v>
      </c>
      <c r="U26" s="191">
        <f>AVERAGE(C26,I26,O26)</f>
        <v>6.333333333333333</v>
      </c>
      <c r="V26" s="189"/>
      <c r="W26" s="191">
        <f t="shared" si="3"/>
        <v>26</v>
      </c>
      <c r="X26" s="191">
        <f t="shared" si="1"/>
        <v>32.333333333333336</v>
      </c>
      <c r="Y26" s="191">
        <f>SUM(H26,N26,T26)/3</f>
        <v>3.5</v>
      </c>
      <c r="Z26" s="230"/>
    </row>
    <row r="27" spans="1:26" ht="30" customHeight="1">
      <c r="A27" s="235" t="s">
        <v>453</v>
      </c>
      <c r="B27" s="236"/>
      <c r="C27" s="192"/>
      <c r="D27" s="193"/>
      <c r="E27" s="192"/>
      <c r="F27" s="194">
        <f>SUM(F17:F26)</f>
        <v>317</v>
      </c>
      <c r="G27" s="235"/>
      <c r="H27" s="236"/>
      <c r="I27" s="192"/>
      <c r="J27" s="193"/>
      <c r="K27" s="192"/>
      <c r="L27" s="194">
        <f>SUM(L17:L26)</f>
        <v>363</v>
      </c>
      <c r="M27" s="235"/>
      <c r="N27" s="236"/>
      <c r="O27" s="192"/>
      <c r="P27" s="193"/>
      <c r="Q27" s="192"/>
      <c r="R27" s="194">
        <f>SUM(R17:R26)</f>
        <v>393</v>
      </c>
      <c r="S27" s="235"/>
      <c r="T27" s="236"/>
      <c r="U27" s="239"/>
      <c r="V27" s="240"/>
      <c r="W27" s="241"/>
      <c r="X27" s="194">
        <f>SUM(X17:X26)</f>
        <v>357.66666666666663</v>
      </c>
      <c r="Y27" s="239"/>
      <c r="Z27" s="241"/>
    </row>
    <row r="32" spans="1:26">
      <c r="A32" s="89" t="s">
        <v>59</v>
      </c>
      <c r="L32" s="48" t="s">
        <v>32</v>
      </c>
      <c r="W32" s="48" t="s">
        <v>62</v>
      </c>
    </row>
  </sheetData>
  <mergeCells count="73">
    <mergeCell ref="T5:Y5"/>
    <mergeCell ref="J12:N12"/>
    <mergeCell ref="O12:O16"/>
    <mergeCell ref="P12:T12"/>
    <mergeCell ref="P13:Q13"/>
    <mergeCell ref="R13:R16"/>
    <mergeCell ref="S13:S16"/>
    <mergeCell ref="P14:P16"/>
    <mergeCell ref="N13:N16"/>
    <mergeCell ref="Q14:Q16"/>
    <mergeCell ref="A1:Z4"/>
    <mergeCell ref="U12:Z12"/>
    <mergeCell ref="C11:K11"/>
    <mergeCell ref="A12:B16"/>
    <mergeCell ref="C12:C16"/>
    <mergeCell ref="D14:D16"/>
    <mergeCell ref="I12:I16"/>
    <mergeCell ref="D12:H12"/>
    <mergeCell ref="D13:E13"/>
    <mergeCell ref="F13:F16"/>
    <mergeCell ref="G13:G16"/>
    <mergeCell ref="W13:W16"/>
    <mergeCell ref="U13:U16"/>
    <mergeCell ref="V13:V16"/>
    <mergeCell ref="T13:T16"/>
    <mergeCell ref="X13:X16"/>
    <mergeCell ref="G27:H27"/>
    <mergeCell ref="Y17:Y18"/>
    <mergeCell ref="Y19:Y20"/>
    <mergeCell ref="X19:X20"/>
    <mergeCell ref="U27:W27"/>
    <mergeCell ref="Y27:Z27"/>
    <mergeCell ref="S27:T27"/>
    <mergeCell ref="R17:R18"/>
    <mergeCell ref="S17:S18"/>
    <mergeCell ref="T17:T18"/>
    <mergeCell ref="R19:R20"/>
    <mergeCell ref="S19:S20"/>
    <mergeCell ref="T19:T20"/>
    <mergeCell ref="X17:X18"/>
    <mergeCell ref="M27:N27"/>
    <mergeCell ref="M19:M20"/>
    <mergeCell ref="A21:B21"/>
    <mergeCell ref="A27:B27"/>
    <mergeCell ref="A22:B22"/>
    <mergeCell ref="A23:B23"/>
    <mergeCell ref="A24:B24"/>
    <mergeCell ref="A25:B25"/>
    <mergeCell ref="A26:B26"/>
    <mergeCell ref="A18:B18"/>
    <mergeCell ref="A17:B17"/>
    <mergeCell ref="F19:F20"/>
    <mergeCell ref="G19:G20"/>
    <mergeCell ref="A20:B20"/>
    <mergeCell ref="A19:B19"/>
    <mergeCell ref="F17:F18"/>
    <mergeCell ref="G17:G18"/>
    <mergeCell ref="H17:H18"/>
    <mergeCell ref="N17:N18"/>
    <mergeCell ref="E14:E16"/>
    <mergeCell ref="Z17:Z26"/>
    <mergeCell ref="L19:L20"/>
    <mergeCell ref="H19:H20"/>
    <mergeCell ref="H13:H16"/>
    <mergeCell ref="J13:K13"/>
    <mergeCell ref="L13:L16"/>
    <mergeCell ref="M13:M16"/>
    <mergeCell ref="J14:J16"/>
    <mergeCell ref="K14:K16"/>
    <mergeCell ref="M17:M18"/>
    <mergeCell ref="Y13:Y16"/>
    <mergeCell ref="Z13:Z16"/>
    <mergeCell ref="N19:N20"/>
  </mergeCells>
  <phoneticPr fontId="36" type="noConversion"/>
  <printOptions horizontalCentered="1" verticalCentered="1"/>
  <pageMargins left="0" right="0" top="0" bottom="0" header="0" footer="0"/>
  <pageSetup paperSize="9" scale="72" orientation="landscape" r:id="rId1"/>
  <ignoredErrors>
    <ignoredError sqref="C18 E18 L22 L19 H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O33"/>
  <sheetViews>
    <sheetView topLeftCell="C10" zoomScale="98" zoomScaleNormal="98" workbookViewId="0">
      <selection activeCell="W24" sqref="W24"/>
    </sheetView>
  </sheetViews>
  <sheetFormatPr defaultRowHeight="15"/>
  <cols>
    <col min="1" max="1" width="0.7109375" hidden="1" customWidth="1"/>
    <col min="2" max="2" width="9.140625" hidden="1" customWidth="1"/>
    <col min="3" max="3" width="2.5703125" customWidth="1"/>
    <col min="4" max="4" width="21.5703125" customWidth="1"/>
    <col min="5" max="5" width="9.140625" customWidth="1"/>
    <col min="6" max="6" width="7.42578125" customWidth="1"/>
    <col min="7" max="14" width="6.5703125" customWidth="1"/>
    <col min="15" max="15" width="8.7109375" customWidth="1"/>
  </cols>
  <sheetData>
    <row r="1" spans="4:15" ht="25.5" customHeight="1"/>
    <row r="2" spans="4:15" ht="15" customHeight="1">
      <c r="D2" s="269" t="s">
        <v>29</v>
      </c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</row>
    <row r="3" spans="4:15" ht="15" customHeight="1">
      <c r="D3" s="269"/>
      <c r="E3" s="269"/>
      <c r="F3" s="269"/>
      <c r="G3" s="269"/>
      <c r="H3" s="269"/>
      <c r="I3" s="269"/>
      <c r="J3" s="269"/>
      <c r="K3" s="269"/>
      <c r="L3" s="269"/>
      <c r="M3" s="269"/>
      <c r="N3" s="269"/>
      <c r="O3" s="269"/>
    </row>
    <row r="4" spans="4:15" ht="15" customHeight="1">
      <c r="D4" s="269"/>
      <c r="E4" s="269"/>
      <c r="F4" s="269"/>
      <c r="G4" s="269"/>
      <c r="H4" s="269"/>
      <c r="I4" s="269"/>
      <c r="J4" s="269"/>
      <c r="K4" s="269"/>
      <c r="L4" s="269"/>
      <c r="M4" s="269"/>
      <c r="N4" s="269"/>
      <c r="O4" s="269"/>
    </row>
    <row r="5" spans="4:15" ht="36.75" customHeight="1">
      <c r="D5" s="269"/>
      <c r="E5" s="269"/>
      <c r="F5" s="269"/>
      <c r="G5" s="269"/>
      <c r="H5" s="269"/>
      <c r="I5" s="269"/>
      <c r="J5" s="269"/>
      <c r="K5" s="269"/>
      <c r="L5" s="269"/>
      <c r="M5" s="269"/>
      <c r="N5" s="269"/>
      <c r="O5" s="269"/>
    </row>
    <row r="6" spans="4:15" ht="16.5" customHeight="1"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</row>
    <row r="7" spans="4:15" ht="17.25" customHeight="1">
      <c r="D7" s="38" t="s">
        <v>35</v>
      </c>
      <c r="E7" s="32" t="str">
        <f>IFERROR(VLOOKUP(L$9,'2nd_Semester'!B$7:BF$50,2,0),"ENTER THE RIGHT ROLL")</f>
        <v>ENTER THE RIGHT ROLL</v>
      </c>
      <c r="F7" s="16"/>
      <c r="G7" s="16"/>
      <c r="H7" s="18"/>
      <c r="I7" s="273" t="s">
        <v>39</v>
      </c>
      <c r="J7" s="273"/>
      <c r="K7" s="273"/>
      <c r="L7" s="33" t="s">
        <v>19</v>
      </c>
      <c r="M7" s="16"/>
      <c r="N7" s="16"/>
      <c r="O7" s="25"/>
    </row>
    <row r="8" spans="4:15" ht="18" customHeight="1">
      <c r="D8" s="38" t="s">
        <v>36</v>
      </c>
      <c r="E8" s="32" t="str">
        <f>IFERROR(VLOOKUP(L9,'2nd_Semester'!B7:BF50,3,0),"")</f>
        <v/>
      </c>
      <c r="F8" s="16"/>
      <c r="G8" s="16"/>
      <c r="H8" s="19"/>
      <c r="I8" s="274" t="s">
        <v>40</v>
      </c>
      <c r="J8" s="274"/>
      <c r="K8" s="274"/>
      <c r="L8" s="16" t="s">
        <v>43</v>
      </c>
      <c r="M8" s="23"/>
      <c r="N8" s="23"/>
      <c r="O8" s="24"/>
    </row>
    <row r="9" spans="4:15" ht="15.75" customHeight="1">
      <c r="D9" s="38" t="s">
        <v>37</v>
      </c>
      <c r="E9" s="32" t="str">
        <f>IFERROR(VLOOKUP(L9,'2nd_Semester'!B7:BF50,4,0),"")</f>
        <v/>
      </c>
      <c r="F9" s="16"/>
      <c r="G9" s="16"/>
      <c r="H9" s="20"/>
      <c r="I9" s="275" t="s">
        <v>41</v>
      </c>
      <c r="J9" s="275"/>
      <c r="K9" s="275"/>
      <c r="L9" s="26">
        <v>106</v>
      </c>
      <c r="M9" s="21"/>
      <c r="N9" s="21"/>
      <c r="O9" s="22"/>
    </row>
    <row r="10" spans="4:15" ht="15.75" customHeight="1">
      <c r="D10" s="38" t="s">
        <v>38</v>
      </c>
      <c r="E10" s="32" t="s">
        <v>28</v>
      </c>
      <c r="F10" s="16"/>
      <c r="G10" s="16"/>
      <c r="H10" s="275" t="s">
        <v>42</v>
      </c>
      <c r="I10" s="275"/>
      <c r="J10" s="275"/>
      <c r="K10" s="275"/>
      <c r="L10" s="27">
        <v>86</v>
      </c>
      <c r="M10" s="23"/>
      <c r="N10" s="23"/>
      <c r="O10" s="24"/>
    </row>
    <row r="11" spans="4:15" ht="15.75" customHeight="1">
      <c r="D11" s="38" t="s">
        <v>20</v>
      </c>
      <c r="E11" s="285">
        <v>1778840512</v>
      </c>
      <c r="F11" s="285"/>
      <c r="G11" s="17"/>
      <c r="H11" s="2"/>
      <c r="I11" s="2"/>
      <c r="J11" s="1"/>
      <c r="K11" s="2"/>
      <c r="L11" s="2"/>
      <c r="M11" s="2"/>
      <c r="N11" s="2"/>
      <c r="O11" s="3"/>
    </row>
    <row r="12" spans="4:15" ht="15.75" customHeight="1">
      <c r="D12" s="13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5"/>
    </row>
    <row r="13" spans="4:15" ht="15.75" customHeight="1">
      <c r="D13" s="278" t="s">
        <v>8</v>
      </c>
      <c r="E13" s="278"/>
      <c r="F13" s="278"/>
      <c r="G13" s="266" t="s">
        <v>9</v>
      </c>
      <c r="H13" s="266" t="s">
        <v>21</v>
      </c>
      <c r="I13" s="266" t="s">
        <v>23</v>
      </c>
      <c r="J13" s="266" t="s">
        <v>30</v>
      </c>
      <c r="K13" s="266" t="s">
        <v>22</v>
      </c>
      <c r="L13" s="266" t="s">
        <v>15</v>
      </c>
      <c r="M13" s="270" t="s">
        <v>1</v>
      </c>
      <c r="N13" s="270" t="s">
        <v>24</v>
      </c>
      <c r="O13" s="297" t="s">
        <v>3</v>
      </c>
    </row>
    <row r="14" spans="4:15" ht="15.75" customHeight="1">
      <c r="D14" s="278"/>
      <c r="E14" s="278"/>
      <c r="F14" s="278"/>
      <c r="G14" s="266"/>
      <c r="H14" s="266"/>
      <c r="I14" s="266"/>
      <c r="J14" s="266"/>
      <c r="K14" s="266"/>
      <c r="L14" s="266"/>
      <c r="M14" s="271"/>
      <c r="N14" s="271"/>
      <c r="O14" s="298"/>
    </row>
    <row r="15" spans="4:15" ht="25.5" customHeight="1">
      <c r="D15" s="278"/>
      <c r="E15" s="278"/>
      <c r="F15" s="278"/>
      <c r="G15" s="266"/>
      <c r="H15" s="266"/>
      <c r="I15" s="266"/>
      <c r="J15" s="266"/>
      <c r="K15" s="266"/>
      <c r="L15" s="266"/>
      <c r="M15" s="271"/>
      <c r="N15" s="271"/>
      <c r="O15" s="298"/>
    </row>
    <row r="16" spans="4:15" ht="18.75" customHeight="1">
      <c r="D16" s="278"/>
      <c r="E16" s="278"/>
      <c r="F16" s="278"/>
      <c r="G16" s="266"/>
      <c r="H16" s="266"/>
      <c r="I16" s="266"/>
      <c r="J16" s="266"/>
      <c r="K16" s="266"/>
      <c r="L16" s="266"/>
      <c r="M16" s="271"/>
      <c r="N16" s="271"/>
      <c r="O16" s="298"/>
    </row>
    <row r="17" spans="4:15" ht="20.25" customHeight="1">
      <c r="D17" s="278"/>
      <c r="E17" s="278"/>
      <c r="F17" s="278"/>
      <c r="G17" s="266"/>
      <c r="H17" s="266"/>
      <c r="I17" s="266"/>
      <c r="J17" s="266"/>
      <c r="K17" s="266"/>
      <c r="L17" s="266"/>
      <c r="M17" s="271"/>
      <c r="N17" s="271"/>
      <c r="O17" s="298"/>
    </row>
    <row r="18" spans="4:15" ht="26.25" customHeight="1">
      <c r="D18" s="267" t="s">
        <v>13</v>
      </c>
      <c r="E18" s="267"/>
      <c r="F18" s="267"/>
      <c r="G18" s="29">
        <v>100</v>
      </c>
      <c r="H18" s="29" t="str">
        <f>IFERROR(VLOOKUP($L$9,'2nd_Semester'!B7:BF50,6,0),"")</f>
        <v/>
      </c>
      <c r="I18" s="29" t="str">
        <f>IFERROR(VLOOKUP(L$9,'2nd_Semester'!B$7:BF$50,5,0),"")</f>
        <v/>
      </c>
      <c r="J18" s="29" t="str">
        <f>IFERROR(VLOOKUP($L$9,'2nd_Semester'!B7:BF52,7,0),"")</f>
        <v/>
      </c>
      <c r="K18" s="279" t="str">
        <f>IFERROR(VLOOKUP(L9,'2nd_Semester'!B$7:BF$52,13,0),"")</f>
        <v/>
      </c>
      <c r="L18" s="279" t="e">
        <f>'2nd_Semester'!#REF!</f>
        <v>#REF!</v>
      </c>
      <c r="M18" s="280" t="str">
        <f>IFERROR(VLOOKUP(L9,'2nd_Semester'!B7:BF$52,15,0),"")</f>
        <v/>
      </c>
      <c r="N18" s="299" t="str">
        <f>IF(M18="F","F",IF(M18&lt;2.5,"D",IF(M18&lt;3,"C",IF(M18&lt;3.5,"B",IF(M18&lt;4,"A-",IF(M18&lt;5,"A","A+"))))))</f>
        <v>A+</v>
      </c>
      <c r="O18" s="272" t="str">
        <f>IFERROR(VLOOKUP(L9,'2nd_Semester'!B7:BF$52,60,0),"")</f>
        <v/>
      </c>
    </row>
    <row r="19" spans="4:15" ht="31.5" customHeight="1">
      <c r="D19" s="267" t="s">
        <v>14</v>
      </c>
      <c r="E19" s="267"/>
      <c r="F19" s="267"/>
      <c r="G19" s="29">
        <v>50</v>
      </c>
      <c r="H19" s="29" t="str">
        <f>IFERROR(VLOOKUP($L$9,'2nd_Semester'!B8:BF50,10,0),"")</f>
        <v/>
      </c>
      <c r="I19" s="30" t="str">
        <f>IFERROR(VLOOKUP(L$9,'2nd_Semester'!B$7:BF$50,9,0),"")</f>
        <v/>
      </c>
      <c r="J19" s="29" t="str">
        <f>IFERROR(VLOOKUP($L$9,'2nd_Semester'!B7:BF52,11,0),"")</f>
        <v/>
      </c>
      <c r="K19" s="279"/>
      <c r="L19" s="279"/>
      <c r="M19" s="281"/>
      <c r="N19" s="300"/>
      <c r="O19" s="272"/>
    </row>
    <row r="20" spans="4:15" ht="29.25" customHeight="1">
      <c r="D20" s="267" t="s">
        <v>16</v>
      </c>
      <c r="E20" s="267"/>
      <c r="F20" s="267"/>
      <c r="G20" s="29">
        <v>100</v>
      </c>
      <c r="H20" s="29" t="str">
        <f>IFERROR(VLOOKUP($L$9,'2nd_Semester'!B7:BF50,17,0),"")</f>
        <v/>
      </c>
      <c r="I20" s="30" t="str">
        <f>IFERROR(VLOOKUP(L$9,'2nd_Semester'!B$7:BF$50,16,0),"")</f>
        <v/>
      </c>
      <c r="J20" s="29" t="str">
        <f>IFERROR(VLOOKUP($L$9,'2nd_Semester'!B7:BF52,18,0),"")</f>
        <v/>
      </c>
      <c r="K20" s="283" t="str">
        <f>IFERROR(VLOOKUP(L$9,'2nd_Semester'!B$7:BF$52,25,0),"")</f>
        <v/>
      </c>
      <c r="L20" s="279">
        <f>'2nd_Semester'!Z9</f>
        <v>148</v>
      </c>
      <c r="M20" s="282" t="str">
        <f>IFERROR(VLOOKUP(L9,'2nd_Semester'!B9:BF$52,27,0),"")</f>
        <v/>
      </c>
      <c r="N20" s="299" t="str">
        <f>IF(M20="F","F",IF(M20&lt;2.5,"D",IF(M20&lt;3,"C",IF(M20&lt;3.5,"B",IF(M20&lt;4,"A-",IF(M20&lt;5,"A","A+"))))))</f>
        <v>A+</v>
      </c>
      <c r="O20" s="272"/>
    </row>
    <row r="21" spans="4:15" ht="27.75" customHeight="1">
      <c r="D21" s="267" t="s">
        <v>10</v>
      </c>
      <c r="E21" s="267"/>
      <c r="F21" s="267"/>
      <c r="G21" s="29">
        <v>50</v>
      </c>
      <c r="H21" s="29" t="str">
        <f>IFERROR(VLOOKUP($L$9,'2nd_Semester'!B8:BF50,21,0),"")</f>
        <v/>
      </c>
      <c r="I21" s="30" t="str">
        <f>IFERROR(VLOOKUP(L$9,'2nd_Semester'!B$7:BF$50,20,0),"")</f>
        <v/>
      </c>
      <c r="J21" s="29" t="str">
        <f>IFERROR(VLOOKUP($L$9,'2nd_Semester'!B7:BF52,23,0),"")</f>
        <v/>
      </c>
      <c r="K21" s="284"/>
      <c r="L21" s="279"/>
      <c r="M21" s="282"/>
      <c r="N21" s="300"/>
      <c r="O21" s="272"/>
    </row>
    <row r="22" spans="4:15" ht="28.5" customHeight="1">
      <c r="D22" s="267" t="s">
        <v>11</v>
      </c>
      <c r="E22" s="267"/>
      <c r="F22" s="267"/>
      <c r="G22" s="29">
        <v>100</v>
      </c>
      <c r="H22" s="29" t="str">
        <f>IFERROR(VLOOKUP($L$9,'2nd_Semester'!B7:BF50,28,0),"")</f>
        <v/>
      </c>
      <c r="I22" s="29" t="str">
        <f>IFERROR(VLOOKUP(L$9,'2nd_Semester'!B$12:BF$50,29,0),"")</f>
        <v/>
      </c>
      <c r="J22" s="29" t="str">
        <f>IFERROR(VLOOKUP($L$9,'2nd_Semester'!B7:BF52,30,0),"")</f>
        <v/>
      </c>
      <c r="K22" s="29" t="str">
        <f>IFERROR(VLOOKUP(L9,'2nd_Semester'!B$7:BF$50,31,0),"")</f>
        <v/>
      </c>
      <c r="L22" s="29">
        <f>'2nd_Semester'!AF9</f>
        <v>29</v>
      </c>
      <c r="M22" s="28" t="str">
        <f>IFERROR(VLOOKUP(L9,'2nd_Semester'!B5:BF$52,33,0),"")</f>
        <v/>
      </c>
      <c r="N22" s="4" t="str">
        <f>IF(M22="F","F",IF(M22&lt;2.5,"D",IF(M22&lt;3,"C",IF(M22&lt;3.5,"B",IF(M22&lt;4,"A-",IF(M22&lt;5,"A","A+"))))))</f>
        <v>A+</v>
      </c>
      <c r="O22" s="272"/>
    </row>
    <row r="23" spans="4:15" ht="25.5" customHeight="1">
      <c r="D23" s="267" t="s">
        <v>4</v>
      </c>
      <c r="E23" s="267"/>
      <c r="F23" s="267"/>
      <c r="G23" s="29">
        <v>100</v>
      </c>
      <c r="H23" s="29" t="str">
        <f>IFERROR(VLOOKUP($L$9,'2nd_Semester'!B7:BF50,35,0),"")</f>
        <v/>
      </c>
      <c r="I23" s="29" t="str">
        <f>IFERROR(VLOOKUP(L$9,'2nd_Semester'!B$12:BF$52,34,0),"")</f>
        <v/>
      </c>
      <c r="J23" s="29" t="str">
        <f>IFERROR(VLOOKUP($L$9,'2nd_Semester'!B7:BF52,36,0),"")</f>
        <v/>
      </c>
      <c r="K23" s="29" t="str">
        <f>IFERROR(VLOOKUP(L9,'2nd_Semester'!B7:BF$52,37,0),"")</f>
        <v/>
      </c>
      <c r="L23" s="29">
        <f>'2nd_Semester'!AL9</f>
        <v>70</v>
      </c>
      <c r="M23" s="28" t="str">
        <f>IFERROR(VLOOKUP(L9,'2nd_Semester'!B7:BF$52,39,0),"")</f>
        <v/>
      </c>
      <c r="N23" s="4" t="str">
        <f>IF(M23="F","F",IF(M23&lt;2.5,"D",IF(M23&lt;3,"C",IF(M23&lt;3.5,"B",IF(M23&lt;4,"A-",IF(M23&lt;5,"A","A+"))))))</f>
        <v>A+</v>
      </c>
      <c r="O23" s="272"/>
    </row>
    <row r="24" spans="4:15" ht="29.25" customHeight="1">
      <c r="D24" s="268" t="s">
        <v>5</v>
      </c>
      <c r="E24" s="268"/>
      <c r="F24" s="268"/>
      <c r="G24" s="29">
        <v>100</v>
      </c>
      <c r="H24" s="29" t="str">
        <f>IFERROR(VLOOKUP($L$9,'2nd_Semester'!B7:BF50,41,0),"")</f>
        <v/>
      </c>
      <c r="I24" s="29">
        <f>IFERROR(VLOOKUP(L$9,'2nd_Semester'!B$13:BF$52,40),"")</f>
        <v>0</v>
      </c>
      <c r="J24" s="29" t="str">
        <f>IFERROR(VLOOKUP($L$9,'2nd_Semester'!B7:BF52,42,0),"")</f>
        <v/>
      </c>
      <c r="K24" s="29" t="str">
        <f>IFERROR(VLOOKUP(L9,'2nd_Semester'!B7:BF$52,43,0),"")</f>
        <v/>
      </c>
      <c r="L24" s="29">
        <f>'2nd_Semester'!AQ9</f>
        <v>23</v>
      </c>
      <c r="M24" s="28" t="str">
        <f>IFERROR(VLOOKUP(L9,'2nd_Semester'!B7:BF52,45,0),"")</f>
        <v/>
      </c>
      <c r="N24" s="4" t="str">
        <f>IF(M24="F","F",IF(M24&lt;2.5,"D",IF(M24&lt;3,"C",IF(M24&lt;3.5,"B",IF(M24&lt;4,"A-",IF(M24&lt;5,"A","A+"))))))</f>
        <v>A+</v>
      </c>
      <c r="O24" s="272"/>
    </row>
    <row r="25" spans="4:15" ht="29.25" customHeight="1">
      <c r="D25" s="268" t="s">
        <v>18</v>
      </c>
      <c r="E25" s="268"/>
      <c r="F25" s="268"/>
      <c r="G25" s="29">
        <v>100</v>
      </c>
      <c r="H25" s="29" t="str">
        <f>IFERROR(VLOOKUP($L$9,'2nd_Semester'!B7:BF50,47,0),"")</f>
        <v/>
      </c>
      <c r="I25" s="29" t="str">
        <f>IFERROR(VLOOKUP(L$9,'2nd_Semester'!B$14:BF$52,46,0),"")</f>
        <v/>
      </c>
      <c r="J25" s="29" t="str">
        <f>IFERROR(VLOOKUP($L$9,'2nd_Semester'!B7:BF52,48,0),"")</f>
        <v/>
      </c>
      <c r="K25" s="29" t="str">
        <f>IFERROR(VLOOKUP(L9,'2nd_Semester'!B7:BF$52,49,0),"")</f>
        <v/>
      </c>
      <c r="L25" s="29">
        <f>'2nd_Semester'!AW9</f>
        <v>50</v>
      </c>
      <c r="M25" s="28" t="str">
        <f>IFERROR(VLOOKUP(L9,'2nd_Semester'!B7:BF52,51,0),"")</f>
        <v/>
      </c>
      <c r="N25" s="4" t="str">
        <f>IF(M25="F","F",IF(M25&lt;2.5,"D",IF(M25&lt;3,"C",IF(M25&lt;3.5,"B",IF(M25&lt;4,"A-",IF(M25&lt;5,"A","A+"))))))</f>
        <v>A+</v>
      </c>
      <c r="O25" s="272"/>
    </row>
    <row r="26" spans="4:15" ht="28.5" customHeight="1">
      <c r="D26" s="267" t="s">
        <v>6</v>
      </c>
      <c r="E26" s="267"/>
      <c r="F26" s="267"/>
      <c r="G26" s="29">
        <v>50</v>
      </c>
      <c r="H26" s="29" t="str">
        <f>IFERROR(VLOOKUP($L$9,'2nd_Semester'!B$8:BF$50,53,0),"")</f>
        <v/>
      </c>
      <c r="I26" s="29">
        <f>IFERROR(VLOOKUP(L$9,'2nd_Semester'!B$14:BF$52,52),"")</f>
        <v>0</v>
      </c>
      <c r="J26" s="28" t="str">
        <f>IFERROR(VLOOKUP($L$9,'2nd_Semester'!B7:BF52,55,0),"")</f>
        <v/>
      </c>
      <c r="K26" s="28" t="str">
        <f>IFERROR(VLOOKUP(L9,'2nd_Semester'!B7:BF$52,56,0),"")</f>
        <v/>
      </c>
      <c r="L26" s="29">
        <f>'2nd_Semester'!BD9</f>
        <v>49</v>
      </c>
      <c r="M26" s="28" t="str">
        <f>IFERROR(VLOOKUP(L9,'2nd_Semester'!B7:BF$52,58,0),"")</f>
        <v/>
      </c>
      <c r="N26" s="4" t="str">
        <f>IF(M26="F","F",IF(M26&lt;2.5,"D",IF(M26&lt;3,"C",IF(M26&lt;3.5,"B",IF(M26&lt;4,"A-",IF(M26&lt;5,"A","A+"))))))</f>
        <v>A+</v>
      </c>
      <c r="O26" s="272"/>
    </row>
    <row r="27" spans="4:15" ht="31.5" customHeight="1">
      <c r="D27" s="277" t="s">
        <v>17</v>
      </c>
      <c r="E27" s="277"/>
      <c r="F27" s="277"/>
      <c r="G27" s="34">
        <f>SUM(G18:G26)</f>
        <v>750</v>
      </c>
      <c r="H27" s="276"/>
      <c r="I27" s="276"/>
      <c r="J27" s="276"/>
      <c r="K27" s="31">
        <f>SUM(K18:K26)</f>
        <v>0</v>
      </c>
      <c r="L27" s="301"/>
      <c r="M27" s="302"/>
      <c r="N27" s="303"/>
      <c r="O27" s="272"/>
    </row>
    <row r="28" spans="4:15" ht="18.75" customHeight="1">
      <c r="D28" s="5"/>
      <c r="E28" s="6"/>
      <c r="F28" s="6"/>
      <c r="G28" s="7"/>
      <c r="H28" s="8"/>
      <c r="I28" s="8"/>
      <c r="J28" s="9"/>
      <c r="K28" s="8"/>
      <c r="L28" s="8"/>
      <c r="M28" s="8"/>
      <c r="N28" s="8"/>
      <c r="O28" s="10"/>
    </row>
    <row r="29" spans="4:15" ht="30.75" customHeight="1">
      <c r="D29" s="292" t="s">
        <v>25</v>
      </c>
      <c r="E29" s="293"/>
      <c r="F29" s="293"/>
      <c r="G29" s="11" t="str">
        <f>IFERROR(VLOOKUP(L9,'2nd_Semester'!B7:BF$52,64,0),"")</f>
        <v/>
      </c>
      <c r="H29" s="293" t="s">
        <v>27</v>
      </c>
      <c r="I29" s="293"/>
      <c r="J29" s="293"/>
      <c r="K29" s="293"/>
      <c r="L29" s="293"/>
      <c r="M29" s="12" t="str">
        <f>IFERROR(VLOOKUP($L$9,'2nd_Semester'!B7:BF$98,63,0),"")</f>
        <v/>
      </c>
      <c r="N29" s="12"/>
      <c r="O29" s="10"/>
    </row>
    <row r="30" spans="4:15" ht="28.5" customHeight="1">
      <c r="D30" s="294" t="s">
        <v>26</v>
      </c>
      <c r="E30" s="295"/>
      <c r="F30" s="295"/>
      <c r="G30" s="296" t="str">
        <f>IFERROR(VLOOKUP(L9,'2nd_Semester'!B7:BF$52,61,0),"")</f>
        <v/>
      </c>
      <c r="H30" s="296"/>
      <c r="I30" s="296"/>
      <c r="J30" s="296"/>
      <c r="K30" s="296"/>
      <c r="L30" s="8"/>
      <c r="M30" s="8"/>
      <c r="N30" s="8"/>
      <c r="O30" s="10"/>
    </row>
    <row r="31" spans="4:15" ht="26.25" customHeight="1">
      <c r="D31" s="36" t="s">
        <v>31</v>
      </c>
      <c r="E31" s="37"/>
      <c r="F31" s="37"/>
      <c r="G31" s="37" t="s">
        <v>32</v>
      </c>
      <c r="H31" s="37"/>
      <c r="I31" s="37"/>
      <c r="J31" s="37"/>
      <c r="K31" s="37"/>
      <c r="L31" s="37" t="s">
        <v>33</v>
      </c>
      <c r="M31" s="37"/>
      <c r="N31" s="37"/>
      <c r="O31" s="35"/>
    </row>
    <row r="32" spans="4:15" ht="23.25" customHeight="1">
      <c r="D32" s="286"/>
      <c r="E32" s="287"/>
      <c r="F32" s="287"/>
      <c r="G32" s="287"/>
      <c r="H32" s="287"/>
      <c r="I32" s="287"/>
      <c r="J32" s="287"/>
      <c r="K32" s="287"/>
      <c r="L32" s="287"/>
      <c r="M32" s="287"/>
      <c r="N32" s="287"/>
      <c r="O32" s="288"/>
    </row>
    <row r="33" spans="4:15" ht="25.5" customHeight="1">
      <c r="D33" s="289" t="s">
        <v>34</v>
      </c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1"/>
    </row>
  </sheetData>
  <mergeCells count="43">
    <mergeCell ref="E11:F11"/>
    <mergeCell ref="D32:O32"/>
    <mergeCell ref="D33:O33"/>
    <mergeCell ref="D29:F29"/>
    <mergeCell ref="D30:F30"/>
    <mergeCell ref="H29:L29"/>
    <mergeCell ref="G30:K30"/>
    <mergeCell ref="L18:L19"/>
    <mergeCell ref="L20:L21"/>
    <mergeCell ref="L13:L17"/>
    <mergeCell ref="O13:O17"/>
    <mergeCell ref="N13:N17"/>
    <mergeCell ref="N18:N19"/>
    <mergeCell ref="N20:N21"/>
    <mergeCell ref="L27:N27"/>
    <mergeCell ref="D26:F26"/>
    <mergeCell ref="D2:O6"/>
    <mergeCell ref="D18:F18"/>
    <mergeCell ref="D19:F19"/>
    <mergeCell ref="M13:M17"/>
    <mergeCell ref="O18:O27"/>
    <mergeCell ref="I7:K7"/>
    <mergeCell ref="I8:K8"/>
    <mergeCell ref="I9:K9"/>
    <mergeCell ref="H27:J27"/>
    <mergeCell ref="D27:F27"/>
    <mergeCell ref="D13:F17"/>
    <mergeCell ref="K18:K19"/>
    <mergeCell ref="M18:M19"/>
    <mergeCell ref="M20:M21"/>
    <mergeCell ref="K20:K21"/>
    <mergeCell ref="H10:K10"/>
    <mergeCell ref="D20:F20"/>
    <mergeCell ref="D21:F21"/>
    <mergeCell ref="D22:F22"/>
    <mergeCell ref="D25:F25"/>
    <mergeCell ref="D23:F23"/>
    <mergeCell ref="D24:F24"/>
    <mergeCell ref="G13:G17"/>
    <mergeCell ref="H13:H17"/>
    <mergeCell ref="J13:J17"/>
    <mergeCell ref="K13:K17"/>
    <mergeCell ref="I13:I17"/>
  </mergeCells>
  <pageMargins left="0" right="0" top="0" bottom="0" header="0" footer="0"/>
  <pageSetup paperSize="9" orientation="portrait" r:id="rId1"/>
  <ignoredErrors>
    <ignoredError sqref="L22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3rd_Semester</vt:lpstr>
      <vt:lpstr>ANNUAL_CARD</vt:lpstr>
      <vt:lpstr>Result card 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2025-12-28T05:34:05Z</cp:lastPrinted>
  <dcterms:created xsi:type="dcterms:W3CDTF">2020-11-16T05:16:13Z</dcterms:created>
  <dcterms:modified xsi:type="dcterms:W3CDTF">2025-12-28T05:34:07Z</dcterms:modified>
</cp:coreProperties>
</file>