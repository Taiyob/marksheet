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Default Extension="jpeg" ContentType="image/jpeg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0" yWindow="-90" windowWidth="24240" windowHeight="5775" tabRatio="403" activeTab="3"/>
  </bookViews>
  <sheets>
    <sheet name="1ST_SEMESTER" sheetId="6" r:id="rId1"/>
    <sheet name="2ND_SEMESTER" sheetId="4" r:id="rId2"/>
    <sheet name="3RD_SEMESTER" sheetId="7" r:id="rId3"/>
    <sheet name="ANNUAL_CARD" sheetId="5" r:id="rId4"/>
    <sheet name="PROGRASIVE SCI" sheetId="2" r:id="rId5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2" i="5"/>
  <c r="S22"/>
  <c r="M22"/>
  <c r="L22"/>
  <c r="K22"/>
  <c r="F22"/>
  <c r="E22"/>
  <c r="D23"/>
  <c r="D22"/>
  <c r="D21"/>
  <c r="U30" l="1"/>
  <c r="CV17" i="7"/>
  <c r="CV20"/>
  <c r="CV32"/>
  <c r="CV38"/>
  <c r="CV45"/>
  <c r="CU9"/>
  <c r="CU10"/>
  <c r="CU11"/>
  <c r="CU12"/>
  <c r="CU13"/>
  <c r="CU14"/>
  <c r="CU15"/>
  <c r="CU16"/>
  <c r="CU17"/>
  <c r="CU18"/>
  <c r="CU19"/>
  <c r="CU20"/>
  <c r="CU21"/>
  <c r="CU22"/>
  <c r="CU23"/>
  <c r="CU24"/>
  <c r="CU25"/>
  <c r="CU26"/>
  <c r="CU27"/>
  <c r="CU28"/>
  <c r="CU29"/>
  <c r="CU30"/>
  <c r="CU31"/>
  <c r="CU32"/>
  <c r="CU33"/>
  <c r="CU34"/>
  <c r="CU35"/>
  <c r="CU36"/>
  <c r="CU38"/>
  <c r="CU39"/>
  <c r="CU40"/>
  <c r="CU41"/>
  <c r="CU42"/>
  <c r="CU43"/>
  <c r="CU44"/>
  <c r="CU45"/>
  <c r="CU46"/>
  <c r="CU47"/>
  <c r="CU48"/>
  <c r="CU49"/>
  <c r="CT9"/>
  <c r="CT10"/>
  <c r="CT11"/>
  <c r="CT12"/>
  <c r="CV12" s="1"/>
  <c r="CT13"/>
  <c r="CV13" s="1"/>
  <c r="CT14"/>
  <c r="CT15"/>
  <c r="CT16"/>
  <c r="CT17"/>
  <c r="CT18"/>
  <c r="CT19"/>
  <c r="CT20"/>
  <c r="CT21"/>
  <c r="CT22"/>
  <c r="CT23"/>
  <c r="CT24"/>
  <c r="CV24" s="1"/>
  <c r="CT25"/>
  <c r="CV25" s="1"/>
  <c r="CT26"/>
  <c r="CT28"/>
  <c r="CT29"/>
  <c r="CT30"/>
  <c r="CT31"/>
  <c r="CT32"/>
  <c r="CT33"/>
  <c r="CT34"/>
  <c r="CT35"/>
  <c r="CT36"/>
  <c r="CV36" s="1"/>
  <c r="CT37"/>
  <c r="CT38"/>
  <c r="CT39"/>
  <c r="CT40"/>
  <c r="CT41"/>
  <c r="CT42"/>
  <c r="CT43"/>
  <c r="CT44"/>
  <c r="CT45"/>
  <c r="CT46"/>
  <c r="CT47"/>
  <c r="CT48"/>
  <c r="CV48" s="1"/>
  <c r="CT49"/>
  <c r="CV49" s="1"/>
  <c r="CS9"/>
  <c r="CV9" s="1"/>
  <c r="CS10"/>
  <c r="CS11"/>
  <c r="CS12"/>
  <c r="CS13"/>
  <c r="CS14"/>
  <c r="CV14" s="1"/>
  <c r="CS15"/>
  <c r="CS16"/>
  <c r="CS17"/>
  <c r="CS18"/>
  <c r="CV18" s="1"/>
  <c r="CS19"/>
  <c r="CV19" s="1"/>
  <c r="CS20"/>
  <c r="CS21"/>
  <c r="CV21" s="1"/>
  <c r="CS22"/>
  <c r="CS23"/>
  <c r="CS24"/>
  <c r="CS25"/>
  <c r="CS26"/>
  <c r="CV26" s="1"/>
  <c r="CS28"/>
  <c r="CS30"/>
  <c r="CV30" s="1"/>
  <c r="CS31"/>
  <c r="CV31" s="1"/>
  <c r="CS32"/>
  <c r="CS33"/>
  <c r="CV33" s="1"/>
  <c r="CS34"/>
  <c r="CS35"/>
  <c r="CS36"/>
  <c r="CS37"/>
  <c r="CS38"/>
  <c r="CS39"/>
  <c r="CS40"/>
  <c r="CS41"/>
  <c r="CV41" s="1"/>
  <c r="CS42"/>
  <c r="CV42" s="1"/>
  <c r="CS43"/>
  <c r="CV43" s="1"/>
  <c r="CS44"/>
  <c r="CV44" s="1"/>
  <c r="CS45"/>
  <c r="CS46"/>
  <c r="CS47"/>
  <c r="CS48"/>
  <c r="CS49"/>
  <c r="CU8"/>
  <c r="CT8"/>
  <c r="CS8"/>
  <c r="CV34" l="1"/>
  <c r="CV46"/>
  <c r="CV22"/>
  <c r="CV10"/>
  <c r="CV47"/>
  <c r="CV35"/>
  <c r="CV23"/>
  <c r="CV11"/>
  <c r="CV39"/>
  <c r="CV15"/>
  <c r="CV8"/>
  <c r="CV40"/>
  <c r="CV28"/>
  <c r="CV16"/>
  <c r="CR16"/>
  <c r="CR31"/>
  <c r="CR36"/>
  <c r="CR40"/>
  <c r="CR42"/>
  <c r="CO9"/>
  <c r="CR9" s="1"/>
  <c r="CO10"/>
  <c r="CO11"/>
  <c r="CO12"/>
  <c r="CO13"/>
  <c r="CO14"/>
  <c r="CR14" s="1"/>
  <c r="CO15"/>
  <c r="CO16"/>
  <c r="CO17"/>
  <c r="CO18"/>
  <c r="CO19"/>
  <c r="CR19" s="1"/>
  <c r="CO20"/>
  <c r="CO22"/>
  <c r="CO24"/>
  <c r="CO25"/>
  <c r="CO26"/>
  <c r="CR26" s="1"/>
  <c r="CO27"/>
  <c r="CO28"/>
  <c r="CO29"/>
  <c r="CR29" s="1"/>
  <c r="CO30"/>
  <c r="CO31"/>
  <c r="CO32"/>
  <c r="CO33"/>
  <c r="CR33" s="1"/>
  <c r="CO34"/>
  <c r="CO35"/>
  <c r="CO36"/>
  <c r="CO37"/>
  <c r="CO38"/>
  <c r="CR38" s="1"/>
  <c r="CO39"/>
  <c r="CO40"/>
  <c r="CO41"/>
  <c r="CR41" s="1"/>
  <c r="CO42"/>
  <c r="CO43"/>
  <c r="CR43" s="1"/>
  <c r="CO44"/>
  <c r="CO45"/>
  <c r="CR45" s="1"/>
  <c r="CO46"/>
  <c r="CO47"/>
  <c r="CO48"/>
  <c r="CR48" s="1"/>
  <c r="CO49"/>
  <c r="CO8"/>
  <c r="CR8" s="1"/>
  <c r="CP9"/>
  <c r="CP10"/>
  <c r="CR10" s="1"/>
  <c r="CP11"/>
  <c r="CP12"/>
  <c r="CR12" s="1"/>
  <c r="CP13"/>
  <c r="CP14"/>
  <c r="CP15"/>
  <c r="CP16"/>
  <c r="CP18"/>
  <c r="CP19"/>
  <c r="CP20"/>
  <c r="CR20" s="1"/>
  <c r="CP21"/>
  <c r="CP22"/>
  <c r="CR22" s="1"/>
  <c r="CP23"/>
  <c r="CP24"/>
  <c r="CR24" s="1"/>
  <c r="CP25"/>
  <c r="CP26"/>
  <c r="CP27"/>
  <c r="CP28"/>
  <c r="CP29"/>
  <c r="CP30"/>
  <c r="CP31"/>
  <c r="CP32"/>
  <c r="CP33"/>
  <c r="CP34"/>
  <c r="CP35"/>
  <c r="CP36"/>
  <c r="CP37"/>
  <c r="CP38"/>
  <c r="CP39"/>
  <c r="CP40"/>
  <c r="CP41"/>
  <c r="CP42"/>
  <c r="CP43"/>
  <c r="CP44"/>
  <c r="CP45"/>
  <c r="CP46"/>
  <c r="CP47"/>
  <c r="CR47" s="1"/>
  <c r="CP48"/>
  <c r="CP49"/>
  <c r="CP8"/>
  <c r="CQ9"/>
  <c r="CQ10"/>
  <c r="CQ11"/>
  <c r="CQ12"/>
  <c r="CQ13"/>
  <c r="CQ14"/>
  <c r="CQ15"/>
  <c r="CQ16"/>
  <c r="CQ17"/>
  <c r="CQ18"/>
  <c r="CQ19"/>
  <c r="CQ20"/>
  <c r="CQ21"/>
  <c r="CQ22"/>
  <c r="CQ23"/>
  <c r="CQ24"/>
  <c r="CQ26"/>
  <c r="CQ27"/>
  <c r="CQ29"/>
  <c r="CQ31"/>
  <c r="CQ33"/>
  <c r="CQ34"/>
  <c r="CQ35"/>
  <c r="CQ36"/>
  <c r="CQ38"/>
  <c r="CQ40"/>
  <c r="CQ41"/>
  <c r="CQ42"/>
  <c r="CQ43"/>
  <c r="CQ45"/>
  <c r="CQ46"/>
  <c r="CQ47"/>
  <c r="CQ48"/>
  <c r="CQ49"/>
  <c r="CQ8"/>
  <c r="CL8"/>
  <c r="BU13"/>
  <c r="BW13" s="1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CL9" i="6"/>
  <c r="CH10"/>
  <c r="CH11"/>
  <c r="CH12"/>
  <c r="CH13"/>
  <c r="CH14"/>
  <c r="CH15"/>
  <c r="CH16"/>
  <c r="CH17"/>
  <c r="CH18"/>
  <c r="CH19"/>
  <c r="CH20"/>
  <c r="CH21"/>
  <c r="CH22"/>
  <c r="CH23"/>
  <c r="CH24"/>
  <c r="CH25"/>
  <c r="CH26"/>
  <c r="CH27"/>
  <c r="CH28"/>
  <c r="CH29"/>
  <c r="CH30"/>
  <c r="CH31"/>
  <c r="CH32"/>
  <c r="CH33"/>
  <c r="CH34"/>
  <c r="CH35"/>
  <c r="CH36"/>
  <c r="CH37"/>
  <c r="CH38"/>
  <c r="CH39"/>
  <c r="CH40"/>
  <c r="CH41"/>
  <c r="CH42"/>
  <c r="CH43"/>
  <c r="CH44"/>
  <c r="CH45"/>
  <c r="CH46"/>
  <c r="CH47"/>
  <c r="CH48"/>
  <c r="CH50"/>
  <c r="CG10"/>
  <c r="CG11"/>
  <c r="CG12"/>
  <c r="CG13"/>
  <c r="CG14"/>
  <c r="CG15"/>
  <c r="CG16"/>
  <c r="CG17"/>
  <c r="CG18"/>
  <c r="CG19"/>
  <c r="CG20"/>
  <c r="CG21"/>
  <c r="CG22"/>
  <c r="CG23"/>
  <c r="CG24"/>
  <c r="CG25"/>
  <c r="CG26"/>
  <c r="CG27"/>
  <c r="CG28"/>
  <c r="CG29"/>
  <c r="CG30"/>
  <c r="CG31"/>
  <c r="CG32"/>
  <c r="CG33"/>
  <c r="CG34"/>
  <c r="CG35"/>
  <c r="CG36"/>
  <c r="CG37"/>
  <c r="CG38"/>
  <c r="CG39"/>
  <c r="CG40"/>
  <c r="CG41"/>
  <c r="CG42"/>
  <c r="CG43"/>
  <c r="CG44"/>
  <c r="CG45"/>
  <c r="CG46"/>
  <c r="CG47"/>
  <c r="CG48"/>
  <c r="CG50"/>
  <c r="CE10"/>
  <c r="CE11"/>
  <c r="CE12"/>
  <c r="CE13"/>
  <c r="CE14"/>
  <c r="CE15"/>
  <c r="CE16"/>
  <c r="CE17"/>
  <c r="CE18"/>
  <c r="CE19"/>
  <c r="CE20"/>
  <c r="CE21"/>
  <c r="CE22"/>
  <c r="CE23"/>
  <c r="CE24"/>
  <c r="CE25"/>
  <c r="CE26"/>
  <c r="CE27"/>
  <c r="CE28"/>
  <c r="CE29"/>
  <c r="CE30"/>
  <c r="CE31"/>
  <c r="CE32"/>
  <c r="CE33"/>
  <c r="CE34"/>
  <c r="CE35"/>
  <c r="CE36"/>
  <c r="CE37"/>
  <c r="CE38"/>
  <c r="CE39"/>
  <c r="CE40"/>
  <c r="CE41"/>
  <c r="CE42"/>
  <c r="CE43"/>
  <c r="CE44"/>
  <c r="CE45"/>
  <c r="CE46"/>
  <c r="CE47"/>
  <c r="CE48"/>
  <c r="CE50"/>
  <c r="CB10"/>
  <c r="CB11"/>
  <c r="CB12"/>
  <c r="CB13"/>
  <c r="CB14"/>
  <c r="CB15"/>
  <c r="CB16"/>
  <c r="CB17"/>
  <c r="CB18"/>
  <c r="CB19"/>
  <c r="CB20"/>
  <c r="CB21"/>
  <c r="CB22"/>
  <c r="CB23"/>
  <c r="CB24"/>
  <c r="CB25"/>
  <c r="CB26"/>
  <c r="CB27"/>
  <c r="CB28"/>
  <c r="CB29"/>
  <c r="CB30"/>
  <c r="CB31"/>
  <c r="CB32"/>
  <c r="CB33"/>
  <c r="CB34"/>
  <c r="CB35"/>
  <c r="CB36"/>
  <c r="CB37"/>
  <c r="CB38"/>
  <c r="CB39"/>
  <c r="CB40"/>
  <c r="CB41"/>
  <c r="CB42"/>
  <c r="CB43"/>
  <c r="CB44"/>
  <c r="CB45"/>
  <c r="CB46"/>
  <c r="CB47"/>
  <c r="CB48"/>
  <c r="CB50"/>
  <c r="BY10"/>
  <c r="BY11"/>
  <c r="BY12"/>
  <c r="BY13"/>
  <c r="BY14"/>
  <c r="BY15"/>
  <c r="BY16"/>
  <c r="BY1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Y42"/>
  <c r="BY43"/>
  <c r="BY44"/>
  <c r="BY45"/>
  <c r="BY46"/>
  <c r="BY47"/>
  <c r="BY48"/>
  <c r="BY50"/>
  <c r="BW10"/>
  <c r="BW11"/>
  <c r="BW12"/>
  <c r="BW13"/>
  <c r="BW14"/>
  <c r="BW15"/>
  <c r="BW16"/>
  <c r="BW17"/>
  <c r="BW18"/>
  <c r="BW19"/>
  <c r="BW20"/>
  <c r="BW21"/>
  <c r="BW22"/>
  <c r="BW23"/>
  <c r="BW24"/>
  <c r="BW25"/>
  <c r="BW26"/>
  <c r="BW27"/>
  <c r="BW28"/>
  <c r="BW29"/>
  <c r="BW30"/>
  <c r="BW31"/>
  <c r="BW32"/>
  <c r="BW33"/>
  <c r="BW34"/>
  <c r="BW35"/>
  <c r="BW36"/>
  <c r="BW37"/>
  <c r="BW38"/>
  <c r="BW39"/>
  <c r="BW40"/>
  <c r="BW41"/>
  <c r="BW42"/>
  <c r="BW43"/>
  <c r="BW44"/>
  <c r="BW45"/>
  <c r="BW46"/>
  <c r="BW47"/>
  <c r="BW48"/>
  <c r="BW50"/>
  <c r="BU10"/>
  <c r="BU11"/>
  <c r="BU12"/>
  <c r="BU13"/>
  <c r="BU14"/>
  <c r="BU15"/>
  <c r="BU16"/>
  <c r="BU17"/>
  <c r="BU18"/>
  <c r="BU19"/>
  <c r="BU20"/>
  <c r="BU21"/>
  <c r="BU22"/>
  <c r="BU23"/>
  <c r="BU24"/>
  <c r="BU25"/>
  <c r="BU26"/>
  <c r="BU27"/>
  <c r="BU28"/>
  <c r="BU29"/>
  <c r="BU30"/>
  <c r="BU31"/>
  <c r="BU32"/>
  <c r="BU33"/>
  <c r="BU34"/>
  <c r="BU35"/>
  <c r="BU36"/>
  <c r="BU37"/>
  <c r="BU38"/>
  <c r="BU39"/>
  <c r="BU40"/>
  <c r="BU41"/>
  <c r="BU42"/>
  <c r="BU43"/>
  <c r="BU44"/>
  <c r="BU45"/>
  <c r="BU46"/>
  <c r="BU47"/>
  <c r="BU48"/>
  <c r="BU50"/>
  <c r="BR10"/>
  <c r="BR11"/>
  <c r="BR12"/>
  <c r="BR13"/>
  <c r="BR14"/>
  <c r="BR15"/>
  <c r="BR16"/>
  <c r="BR17"/>
  <c r="BR18"/>
  <c r="BR19"/>
  <c r="BR20"/>
  <c r="BR21"/>
  <c r="BR22"/>
  <c r="BR23"/>
  <c r="BR24"/>
  <c r="BR25"/>
  <c r="BR26"/>
  <c r="BR27"/>
  <c r="BR28"/>
  <c r="BR29"/>
  <c r="BR30"/>
  <c r="BR31"/>
  <c r="BR32"/>
  <c r="BR33"/>
  <c r="BR34"/>
  <c r="BR35"/>
  <c r="BR36"/>
  <c r="BR37"/>
  <c r="BR38"/>
  <c r="BR39"/>
  <c r="BR40"/>
  <c r="BR41"/>
  <c r="BR42"/>
  <c r="BR43"/>
  <c r="BR44"/>
  <c r="BR45"/>
  <c r="BR46"/>
  <c r="BR47"/>
  <c r="BR48"/>
  <c r="BR50"/>
  <c r="BP10"/>
  <c r="BP11"/>
  <c r="BP12"/>
  <c r="BP13"/>
  <c r="BP14"/>
  <c r="BP15"/>
  <c r="BP16"/>
  <c r="BP17"/>
  <c r="BP18"/>
  <c r="BP19"/>
  <c r="BP20"/>
  <c r="BP21"/>
  <c r="BP22"/>
  <c r="BP23"/>
  <c r="BP24"/>
  <c r="BP25"/>
  <c r="BP26"/>
  <c r="BP27"/>
  <c r="BP28"/>
  <c r="BP29"/>
  <c r="BP30"/>
  <c r="BP31"/>
  <c r="BP32"/>
  <c r="BP33"/>
  <c r="BP34"/>
  <c r="BP35"/>
  <c r="BP36"/>
  <c r="BP37"/>
  <c r="BP38"/>
  <c r="BP39"/>
  <c r="BP40"/>
  <c r="BP41"/>
  <c r="BP42"/>
  <c r="BP43"/>
  <c r="BP44"/>
  <c r="BP45"/>
  <c r="BP46"/>
  <c r="BP47"/>
  <c r="BP48"/>
  <c r="BP50"/>
  <c r="BN10"/>
  <c r="BN11"/>
  <c r="BN12"/>
  <c r="BN13"/>
  <c r="BN14"/>
  <c r="BN15"/>
  <c r="BN16"/>
  <c r="BN17"/>
  <c r="BN18"/>
  <c r="BN19"/>
  <c r="BN20"/>
  <c r="BN21"/>
  <c r="BN22"/>
  <c r="BN23"/>
  <c r="BN24"/>
  <c r="BN25"/>
  <c r="BN26"/>
  <c r="BN27"/>
  <c r="BN28"/>
  <c r="BN29"/>
  <c r="BN30"/>
  <c r="BN31"/>
  <c r="BN32"/>
  <c r="BN33"/>
  <c r="BN34"/>
  <c r="BN35"/>
  <c r="BN36"/>
  <c r="BN37"/>
  <c r="BN38"/>
  <c r="BN39"/>
  <c r="BN40"/>
  <c r="BN41"/>
  <c r="BN42"/>
  <c r="BN43"/>
  <c r="BN44"/>
  <c r="BN45"/>
  <c r="BN46"/>
  <c r="BN47"/>
  <c r="BN48"/>
  <c r="BN50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50"/>
  <c r="BI10"/>
  <c r="BI11"/>
  <c r="BI12"/>
  <c r="BI13"/>
  <c r="BI14"/>
  <c r="BI15"/>
  <c r="BI16"/>
  <c r="BI17"/>
  <c r="BI18"/>
  <c r="BI19"/>
  <c r="BI20"/>
  <c r="BI21"/>
  <c r="BI22"/>
  <c r="BI23"/>
  <c r="BI24"/>
  <c r="BI25"/>
  <c r="BI26"/>
  <c r="BI27"/>
  <c r="BI28"/>
  <c r="BI29"/>
  <c r="BI30"/>
  <c r="BI31"/>
  <c r="BI32"/>
  <c r="BI33"/>
  <c r="BI34"/>
  <c r="BI35"/>
  <c r="BI36"/>
  <c r="BI37"/>
  <c r="BI38"/>
  <c r="BI39"/>
  <c r="BI40"/>
  <c r="BI41"/>
  <c r="BI42"/>
  <c r="BI43"/>
  <c r="BI44"/>
  <c r="BI45"/>
  <c r="BI46"/>
  <c r="BI47"/>
  <c r="BI48"/>
  <c r="BI50"/>
  <c r="BG48"/>
  <c r="BG50"/>
  <c r="BG10"/>
  <c r="BG11"/>
  <c r="BG12"/>
  <c r="BG13"/>
  <c r="BG14"/>
  <c r="BG15"/>
  <c r="BG16"/>
  <c r="BG17"/>
  <c r="BG18"/>
  <c r="BG19"/>
  <c r="BG20"/>
  <c r="BG21"/>
  <c r="BG22"/>
  <c r="BG23"/>
  <c r="BG24"/>
  <c r="BG25"/>
  <c r="BG26"/>
  <c r="BG27"/>
  <c r="BG28"/>
  <c r="BG29"/>
  <c r="BG30"/>
  <c r="BG31"/>
  <c r="BG32"/>
  <c r="BG33"/>
  <c r="BG34"/>
  <c r="BG35"/>
  <c r="BG36"/>
  <c r="BG37"/>
  <c r="BG38"/>
  <c r="BG39"/>
  <c r="BG40"/>
  <c r="BG41"/>
  <c r="BG42"/>
  <c r="BG43"/>
  <c r="BG44"/>
  <c r="BG45"/>
  <c r="BG46"/>
  <c r="BG47"/>
  <c r="BD10"/>
  <c r="BD11"/>
  <c r="BD12"/>
  <c r="BD13"/>
  <c r="BD14"/>
  <c r="BD15"/>
  <c r="BD16"/>
  <c r="BD17"/>
  <c r="BD18"/>
  <c r="BD19"/>
  <c r="BD20"/>
  <c r="BD21"/>
  <c r="BD22"/>
  <c r="BD23"/>
  <c r="BD24"/>
  <c r="BD25"/>
  <c r="BD26"/>
  <c r="BD27"/>
  <c r="BD28"/>
  <c r="BD29"/>
  <c r="BD30"/>
  <c r="BD31"/>
  <c r="BD32"/>
  <c r="BD33"/>
  <c r="BD34"/>
  <c r="BD35"/>
  <c r="BD36"/>
  <c r="BD37"/>
  <c r="BD38"/>
  <c r="BD39"/>
  <c r="BD40"/>
  <c r="BD41"/>
  <c r="BD42"/>
  <c r="BD43"/>
  <c r="BD44"/>
  <c r="BD45"/>
  <c r="BD46"/>
  <c r="BD47"/>
  <c r="BD48"/>
  <c r="BD50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45"/>
  <c r="BB46"/>
  <c r="BB47"/>
  <c r="BB48"/>
  <c r="BB50"/>
  <c r="AZ48"/>
  <c r="AZ50"/>
  <c r="AZ10"/>
  <c r="AZ11"/>
  <c r="AZ12"/>
  <c r="AZ13"/>
  <c r="AZ14"/>
  <c r="AZ15"/>
  <c r="AZ16"/>
  <c r="AZ17"/>
  <c r="AZ18"/>
  <c r="AZ19"/>
  <c r="AZ20"/>
  <c r="AZ21"/>
  <c r="AZ22"/>
  <c r="AZ23"/>
  <c r="AZ24"/>
  <c r="AZ25"/>
  <c r="AZ26"/>
  <c r="AZ27"/>
  <c r="AZ28"/>
  <c r="AZ29"/>
  <c r="AZ30"/>
  <c r="AZ31"/>
  <c r="AZ32"/>
  <c r="AZ33"/>
  <c r="AZ34"/>
  <c r="AZ35"/>
  <c r="AZ36"/>
  <c r="AZ37"/>
  <c r="AZ38"/>
  <c r="AZ39"/>
  <c r="AZ40"/>
  <c r="AZ41"/>
  <c r="AZ42"/>
  <c r="AZ43"/>
  <c r="AZ44"/>
  <c r="AZ45"/>
  <c r="AZ46"/>
  <c r="AZ47"/>
  <c r="AW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50"/>
  <c r="AU1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50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50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50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O28" s="1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50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50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50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H28" s="1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50"/>
  <c r="AC10"/>
  <c r="AC11"/>
  <c r="AC12"/>
  <c r="AC13"/>
  <c r="AC14"/>
  <c r="AC15"/>
  <c r="AC16"/>
  <c r="AC17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50"/>
  <c r="AA10"/>
  <c r="AA11"/>
  <c r="AA12"/>
  <c r="AA13"/>
  <c r="AA14"/>
  <c r="AA15"/>
  <c r="AA16"/>
  <c r="AA17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50"/>
  <c r="Z10"/>
  <c r="Z11"/>
  <c r="Z12"/>
  <c r="Z13"/>
  <c r="Z14"/>
  <c r="Z15"/>
  <c r="Z16"/>
  <c r="Z17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50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50"/>
  <c r="V10"/>
  <c r="V11"/>
  <c r="V12"/>
  <c r="V13"/>
  <c r="V14"/>
  <c r="V15"/>
  <c r="V16"/>
  <c r="V17"/>
  <c r="V18"/>
  <c r="Z18" s="1"/>
  <c r="AA18" s="1"/>
  <c r="AC18" s="1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50"/>
  <c r="Q10"/>
  <c r="S10" s="1"/>
  <c r="Q11"/>
  <c r="S11" s="1"/>
  <c r="Q12"/>
  <c r="Q13"/>
  <c r="S13" s="1"/>
  <c r="Q14"/>
  <c r="Q15"/>
  <c r="Q16"/>
  <c r="Q17"/>
  <c r="S17" s="1"/>
  <c r="Q18"/>
  <c r="Q19"/>
  <c r="Q20"/>
  <c r="Q21"/>
  <c r="Q22"/>
  <c r="S22" s="1"/>
  <c r="Q23"/>
  <c r="S23" s="1"/>
  <c r="Q24"/>
  <c r="Q25"/>
  <c r="Q26"/>
  <c r="Q27"/>
  <c r="Q28"/>
  <c r="Q29"/>
  <c r="Q31"/>
  <c r="Q32"/>
  <c r="Q33"/>
  <c r="Q34"/>
  <c r="Q35"/>
  <c r="S35" s="1"/>
  <c r="Q36"/>
  <c r="Q37"/>
  <c r="Q38"/>
  <c r="Q39"/>
  <c r="Q40"/>
  <c r="Q41"/>
  <c r="S41" s="1"/>
  <c r="Q42"/>
  <c r="Q43"/>
  <c r="Q44"/>
  <c r="Q45"/>
  <c r="Q46"/>
  <c r="S46" s="1"/>
  <c r="Q47"/>
  <c r="Q48"/>
  <c r="Q50"/>
  <c r="S12"/>
  <c r="S14"/>
  <c r="S15"/>
  <c r="S16"/>
  <c r="S18"/>
  <c r="S19"/>
  <c r="S20"/>
  <c r="S21"/>
  <c r="S24"/>
  <c r="S25"/>
  <c r="S26"/>
  <c r="S27"/>
  <c r="S28"/>
  <c r="S29"/>
  <c r="S30"/>
  <c r="S31"/>
  <c r="S32"/>
  <c r="S33"/>
  <c r="S34"/>
  <c r="S36"/>
  <c r="S37"/>
  <c r="S38"/>
  <c r="S39"/>
  <c r="S40"/>
  <c r="S42"/>
  <c r="S43"/>
  <c r="S44"/>
  <c r="S45"/>
  <c r="S47"/>
  <c r="S48"/>
  <c r="S50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50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50"/>
  <c r="AC9" i="7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S23"/>
  <c r="S32"/>
  <c r="S33"/>
  <c r="S35"/>
  <c r="S36"/>
  <c r="S38"/>
  <c r="S48"/>
  <c r="S49"/>
  <c r="AH9"/>
  <c r="AH10"/>
  <c r="AH11"/>
  <c r="AH12"/>
  <c r="AH13"/>
  <c r="AH14"/>
  <c r="AH16"/>
  <c r="AH17"/>
  <c r="AH18"/>
  <c r="AH19"/>
  <c r="AH20"/>
  <c r="AH21"/>
  <c r="AH23"/>
  <c r="AH27"/>
  <c r="AH29"/>
  <c r="AH30"/>
  <c r="AH31"/>
  <c r="AH32"/>
  <c r="AH33"/>
  <c r="AH34"/>
  <c r="AH35"/>
  <c r="AH36"/>
  <c r="AH38"/>
  <c r="AH39"/>
  <c r="AH40"/>
  <c r="AH41"/>
  <c r="AH42"/>
  <c r="AH43"/>
  <c r="AH44"/>
  <c r="AH46"/>
  <c r="AH47"/>
  <c r="AH48"/>
  <c r="AH49"/>
  <c r="AM9"/>
  <c r="AM10"/>
  <c r="AO10" s="1"/>
  <c r="AM11"/>
  <c r="AM12"/>
  <c r="AM13"/>
  <c r="AM14"/>
  <c r="AO14" s="1"/>
  <c r="AM15"/>
  <c r="AM16"/>
  <c r="AO16" s="1"/>
  <c r="AM17"/>
  <c r="AO17" s="1"/>
  <c r="AM18"/>
  <c r="AM19"/>
  <c r="AM20"/>
  <c r="AM21"/>
  <c r="AM22"/>
  <c r="AO22" s="1"/>
  <c r="AM23"/>
  <c r="AM24"/>
  <c r="AM25"/>
  <c r="AM26"/>
  <c r="AO26" s="1"/>
  <c r="AM27"/>
  <c r="AM28"/>
  <c r="AO28" s="1"/>
  <c r="AM29"/>
  <c r="AO29" s="1"/>
  <c r="AM30"/>
  <c r="AM31"/>
  <c r="AM32"/>
  <c r="AM33"/>
  <c r="AM34"/>
  <c r="AO34" s="1"/>
  <c r="AM35"/>
  <c r="AM36"/>
  <c r="AM37"/>
  <c r="AM38"/>
  <c r="AO38" s="1"/>
  <c r="AM39"/>
  <c r="AM40"/>
  <c r="AO40" s="1"/>
  <c r="AM41"/>
  <c r="AO41" s="1"/>
  <c r="AM42"/>
  <c r="AM43"/>
  <c r="AM44"/>
  <c r="AM45"/>
  <c r="AM46"/>
  <c r="AO46" s="1"/>
  <c r="AM47"/>
  <c r="AO47" s="1"/>
  <c r="AM48"/>
  <c r="AM49"/>
  <c r="AO9"/>
  <c r="AO11"/>
  <c r="AO12"/>
  <c r="AO13"/>
  <c r="AO15"/>
  <c r="AO18"/>
  <c r="AO19"/>
  <c r="AO20"/>
  <c r="AO21"/>
  <c r="AO23"/>
  <c r="AO24"/>
  <c r="AO25"/>
  <c r="AO27"/>
  <c r="AO30"/>
  <c r="AO31"/>
  <c r="AO32"/>
  <c r="AO33"/>
  <c r="AO35"/>
  <c r="AO36"/>
  <c r="AO37"/>
  <c r="AO39"/>
  <c r="AO42"/>
  <c r="AO43"/>
  <c r="AO44"/>
  <c r="AO45"/>
  <c r="AO48"/>
  <c r="AO49"/>
  <c r="AW9"/>
  <c r="AW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U9"/>
  <c r="AU1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BB9"/>
  <c r="BB10"/>
  <c r="BB11"/>
  <c r="BB12"/>
  <c r="BB13"/>
  <c r="BB14"/>
  <c r="BB18"/>
  <c r="BB19"/>
  <c r="BB22"/>
  <c r="BB24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45"/>
  <c r="BB46"/>
  <c r="BB47"/>
  <c r="BB48"/>
  <c r="BB49"/>
  <c r="AZ9"/>
  <c r="AZ10"/>
  <c r="AZ11"/>
  <c r="AZ12"/>
  <c r="AZ13"/>
  <c r="AZ14"/>
  <c r="AZ15"/>
  <c r="BB15" s="1"/>
  <c r="AZ16"/>
  <c r="BB16" s="1"/>
  <c r="AZ17"/>
  <c r="BB17" s="1"/>
  <c r="AZ18"/>
  <c r="AZ19"/>
  <c r="AZ20"/>
  <c r="BB20" s="1"/>
  <c r="AZ21"/>
  <c r="BB21" s="1"/>
  <c r="AZ22"/>
  <c r="AZ23"/>
  <c r="BB23" s="1"/>
  <c r="AZ24"/>
  <c r="AZ25"/>
  <c r="BB25" s="1"/>
  <c r="AZ26"/>
  <c r="AZ27"/>
  <c r="AZ28"/>
  <c r="AZ29"/>
  <c r="AZ30"/>
  <c r="AZ31"/>
  <c r="AZ32"/>
  <c r="AZ33"/>
  <c r="AZ34"/>
  <c r="AZ35"/>
  <c r="AZ36"/>
  <c r="AZ37"/>
  <c r="AZ38"/>
  <c r="AZ39"/>
  <c r="AZ40"/>
  <c r="AZ41"/>
  <c r="AZ42"/>
  <c r="AZ43"/>
  <c r="AZ44"/>
  <c r="AZ45"/>
  <c r="AZ46"/>
  <c r="AZ47"/>
  <c r="AZ48"/>
  <c r="AZ49"/>
  <c r="BG9"/>
  <c r="BG10"/>
  <c r="BI10" s="1"/>
  <c r="BK10" s="1"/>
  <c r="BG11"/>
  <c r="BI11" s="1"/>
  <c r="BK11" s="1"/>
  <c r="BG12"/>
  <c r="BI12" s="1"/>
  <c r="BK12" s="1"/>
  <c r="BG13"/>
  <c r="BG14"/>
  <c r="BG15"/>
  <c r="BG16"/>
  <c r="BG17"/>
  <c r="BG18"/>
  <c r="BG19"/>
  <c r="BG20"/>
  <c r="BG21"/>
  <c r="BG22"/>
  <c r="BI22" s="1"/>
  <c r="BK22" s="1"/>
  <c r="BG23"/>
  <c r="BI23" s="1"/>
  <c r="BG24"/>
  <c r="BI24" s="1"/>
  <c r="BG25"/>
  <c r="BG26"/>
  <c r="BG27"/>
  <c r="BG28"/>
  <c r="BG29"/>
  <c r="BG30"/>
  <c r="BG31"/>
  <c r="BG32"/>
  <c r="BG33"/>
  <c r="BI33" s="1"/>
  <c r="BG34"/>
  <c r="BI34" s="1"/>
  <c r="BK34" s="1"/>
  <c r="BG35"/>
  <c r="BI35" s="1"/>
  <c r="BK35" s="1"/>
  <c r="BG36"/>
  <c r="BI36" s="1"/>
  <c r="BG37"/>
  <c r="BG38"/>
  <c r="BG39"/>
  <c r="BK39" s="1"/>
  <c r="BG40"/>
  <c r="BG41"/>
  <c r="BG42"/>
  <c r="BG43"/>
  <c r="BG44"/>
  <c r="BG45"/>
  <c r="BG46"/>
  <c r="BI46" s="1"/>
  <c r="BK46" s="1"/>
  <c r="BG47"/>
  <c r="BI47" s="1"/>
  <c r="BK47" s="1"/>
  <c r="BG48"/>
  <c r="BI48" s="1"/>
  <c r="BG49"/>
  <c r="BI13"/>
  <c r="BI14"/>
  <c r="BK14" s="1"/>
  <c r="BI15"/>
  <c r="BI16"/>
  <c r="BK16" s="1"/>
  <c r="BI17"/>
  <c r="BK17" s="1"/>
  <c r="BI18"/>
  <c r="BI19"/>
  <c r="BK19" s="1"/>
  <c r="BI20"/>
  <c r="BI25"/>
  <c r="BI26"/>
  <c r="BK26" s="1"/>
  <c r="BI27"/>
  <c r="BI28"/>
  <c r="BK28" s="1"/>
  <c r="BI29"/>
  <c r="BK29" s="1"/>
  <c r="BI30"/>
  <c r="BI31"/>
  <c r="BI32"/>
  <c r="BI37"/>
  <c r="BI38"/>
  <c r="BI39"/>
  <c r="BI40"/>
  <c r="BK40" s="1"/>
  <c r="BI41"/>
  <c r="BK41" s="1"/>
  <c r="BI42"/>
  <c r="BI43"/>
  <c r="BK43" s="1"/>
  <c r="BI44"/>
  <c r="BI49"/>
  <c r="BK13"/>
  <c r="BK15"/>
  <c r="BK18"/>
  <c r="BK20"/>
  <c r="BK25"/>
  <c r="BK27"/>
  <c r="BK30"/>
  <c r="BK31"/>
  <c r="BK32"/>
  <c r="BK37"/>
  <c r="BK38"/>
  <c r="BK42"/>
  <c r="BK44"/>
  <c r="BK48"/>
  <c r="BK49"/>
  <c r="BN9"/>
  <c r="BP9" s="1"/>
  <c r="BN10"/>
  <c r="BP10" s="1"/>
  <c r="BN11"/>
  <c r="BN12"/>
  <c r="BN13"/>
  <c r="BN14"/>
  <c r="BN15"/>
  <c r="BP15" s="1"/>
  <c r="BN16"/>
  <c r="BN17"/>
  <c r="BN18"/>
  <c r="BN19"/>
  <c r="BN20"/>
  <c r="BN21"/>
  <c r="BP21" s="1"/>
  <c r="BN22"/>
  <c r="BP22" s="1"/>
  <c r="BN23"/>
  <c r="BN24"/>
  <c r="BN25"/>
  <c r="BN26"/>
  <c r="BN27"/>
  <c r="BP27" s="1"/>
  <c r="BN28"/>
  <c r="BN29"/>
  <c r="BN30"/>
  <c r="BN31"/>
  <c r="BN32"/>
  <c r="BP32" s="1"/>
  <c r="BN33"/>
  <c r="BP33" s="1"/>
  <c r="BN34"/>
  <c r="BP34" s="1"/>
  <c r="BN35"/>
  <c r="BN36"/>
  <c r="BP36" s="1"/>
  <c r="BN37"/>
  <c r="BN38"/>
  <c r="BN39"/>
  <c r="BP39" s="1"/>
  <c r="BN40"/>
  <c r="BN41"/>
  <c r="BN42"/>
  <c r="BN43"/>
  <c r="BN44"/>
  <c r="BN45"/>
  <c r="BP45" s="1"/>
  <c r="BN46"/>
  <c r="BP46" s="1"/>
  <c r="BN47"/>
  <c r="BN48"/>
  <c r="BN49"/>
  <c r="BP11"/>
  <c r="BP12"/>
  <c r="BP13"/>
  <c r="BP14"/>
  <c r="BP16"/>
  <c r="BP17"/>
  <c r="BP18"/>
  <c r="BP19"/>
  <c r="BP20"/>
  <c r="BP23"/>
  <c r="BP24"/>
  <c r="BP25"/>
  <c r="BP26"/>
  <c r="BP28"/>
  <c r="BP29"/>
  <c r="BP30"/>
  <c r="BP31"/>
  <c r="BP35"/>
  <c r="BP37"/>
  <c r="BP38"/>
  <c r="BP40"/>
  <c r="BP41"/>
  <c r="BP42"/>
  <c r="BP43"/>
  <c r="BP44"/>
  <c r="BP47"/>
  <c r="BP48"/>
  <c r="BP49"/>
  <c r="BU9"/>
  <c r="BU10"/>
  <c r="BW10" s="1"/>
  <c r="BU11"/>
  <c r="BU12"/>
  <c r="BW12" s="1"/>
  <c r="BU14"/>
  <c r="BU15"/>
  <c r="BU16"/>
  <c r="BW16" s="1"/>
  <c r="BU17"/>
  <c r="BU18"/>
  <c r="BW18" s="1"/>
  <c r="BU19"/>
  <c r="BU20"/>
  <c r="BU21"/>
  <c r="BU22"/>
  <c r="BW22" s="1"/>
  <c r="BU23"/>
  <c r="BU24"/>
  <c r="BW24" s="1"/>
  <c r="BU25"/>
  <c r="BU26"/>
  <c r="BU27"/>
  <c r="BU28"/>
  <c r="BW28" s="1"/>
  <c r="BU29"/>
  <c r="BU30"/>
  <c r="BW30" s="1"/>
  <c r="BU31"/>
  <c r="BU32"/>
  <c r="BU33"/>
  <c r="BU34"/>
  <c r="BW34" s="1"/>
  <c r="BU35"/>
  <c r="BU36"/>
  <c r="BW36" s="1"/>
  <c r="BU37"/>
  <c r="BU38"/>
  <c r="BU39"/>
  <c r="BU40"/>
  <c r="BW40" s="1"/>
  <c r="BU41"/>
  <c r="BU42"/>
  <c r="BW42" s="1"/>
  <c r="BU43"/>
  <c r="BU44"/>
  <c r="BU45"/>
  <c r="BU46"/>
  <c r="BW46" s="1"/>
  <c r="BU47"/>
  <c r="BU48"/>
  <c r="BW48" s="1"/>
  <c r="BU49"/>
  <c r="BW9"/>
  <c r="BW11"/>
  <c r="BW14"/>
  <c r="BW15"/>
  <c r="BW17"/>
  <c r="BW19"/>
  <c r="BW20"/>
  <c r="BW21"/>
  <c r="BW23"/>
  <c r="BW25"/>
  <c r="BW26"/>
  <c r="BW27"/>
  <c r="BW29"/>
  <c r="BW31"/>
  <c r="BW32"/>
  <c r="BW33"/>
  <c r="BW35"/>
  <c r="BW37"/>
  <c r="BW38"/>
  <c r="BW39"/>
  <c r="BW41"/>
  <c r="BW43"/>
  <c r="BW44"/>
  <c r="BW45"/>
  <c r="BW47"/>
  <c r="BW49"/>
  <c r="CB9"/>
  <c r="CB10"/>
  <c r="CE10" s="1"/>
  <c r="CB11"/>
  <c r="CB12"/>
  <c r="CE12" s="1"/>
  <c r="CB13"/>
  <c r="CB14"/>
  <c r="CB15"/>
  <c r="CB16"/>
  <c r="CE16" s="1"/>
  <c r="CB17"/>
  <c r="CB18"/>
  <c r="CB19"/>
  <c r="CB20"/>
  <c r="CB21"/>
  <c r="CB22"/>
  <c r="CE22" s="1"/>
  <c r="CB23"/>
  <c r="CB24"/>
  <c r="CE24" s="1"/>
  <c r="CB25"/>
  <c r="CB26"/>
  <c r="CB27"/>
  <c r="CB28"/>
  <c r="CE28" s="1"/>
  <c r="CB29"/>
  <c r="CB30"/>
  <c r="CB31"/>
  <c r="CB32"/>
  <c r="CB33"/>
  <c r="CB34"/>
  <c r="CE34" s="1"/>
  <c r="CB35"/>
  <c r="CB36"/>
  <c r="CE36" s="1"/>
  <c r="CB37"/>
  <c r="CB38"/>
  <c r="CB39"/>
  <c r="CB40"/>
  <c r="CE40" s="1"/>
  <c r="CB41"/>
  <c r="CB42"/>
  <c r="CB43"/>
  <c r="CB44"/>
  <c r="CB45"/>
  <c r="CB46"/>
  <c r="CE46" s="1"/>
  <c r="CB47"/>
  <c r="CB48"/>
  <c r="CE48" s="1"/>
  <c r="CB49"/>
  <c r="CE9"/>
  <c r="CE11"/>
  <c r="CE13"/>
  <c r="CE14"/>
  <c r="CE15"/>
  <c r="CE17"/>
  <c r="CE18"/>
  <c r="CE19"/>
  <c r="CE20"/>
  <c r="CE21"/>
  <c r="CE23"/>
  <c r="CE25"/>
  <c r="CE26"/>
  <c r="CE27"/>
  <c r="CE29"/>
  <c r="CE30"/>
  <c r="CE31"/>
  <c r="CE32"/>
  <c r="CE33"/>
  <c r="CE35"/>
  <c r="CE37"/>
  <c r="CH37" s="1"/>
  <c r="CE38"/>
  <c r="CE39"/>
  <c r="CE41"/>
  <c r="CE42"/>
  <c r="CE43"/>
  <c r="CE44"/>
  <c r="CE45"/>
  <c r="CE47"/>
  <c r="CE49"/>
  <c r="CH9"/>
  <c r="CH11"/>
  <c r="CH13"/>
  <c r="CH14"/>
  <c r="CH15"/>
  <c r="CH17"/>
  <c r="CH18"/>
  <c r="CH19"/>
  <c r="CH20"/>
  <c r="CH21"/>
  <c r="CH23"/>
  <c r="CH24"/>
  <c r="CH25"/>
  <c r="CH26"/>
  <c r="CH27"/>
  <c r="CH29"/>
  <c r="CH30"/>
  <c r="CH31"/>
  <c r="CH32"/>
  <c r="CH33"/>
  <c r="CH35"/>
  <c r="CH36"/>
  <c r="CH38"/>
  <c r="CH39"/>
  <c r="CH41"/>
  <c r="CH42"/>
  <c r="CH43"/>
  <c r="CH44"/>
  <c r="CH45"/>
  <c r="CH46"/>
  <c r="CH47"/>
  <c r="CH48"/>
  <c r="CH49"/>
  <c r="CG9"/>
  <c r="CG11"/>
  <c r="CG13"/>
  <c r="CG14"/>
  <c r="CG15"/>
  <c r="CG17"/>
  <c r="CG18"/>
  <c r="CG19"/>
  <c r="CG20"/>
  <c r="CG21"/>
  <c r="CG23"/>
  <c r="CG24"/>
  <c r="CG25"/>
  <c r="CG26"/>
  <c r="CG27"/>
  <c r="CG29"/>
  <c r="CG30"/>
  <c r="CG31"/>
  <c r="CG32"/>
  <c r="CG33"/>
  <c r="CG35"/>
  <c r="CG36"/>
  <c r="CG38"/>
  <c r="CG39"/>
  <c r="CG41"/>
  <c r="CG42"/>
  <c r="CG43"/>
  <c r="CG44"/>
  <c r="CG45"/>
  <c r="CG46"/>
  <c r="CG47"/>
  <c r="CG48"/>
  <c r="CG49"/>
  <c r="BY48"/>
  <c r="BD48"/>
  <c r="BD49"/>
  <c r="AQ48"/>
  <c r="AF48"/>
  <c r="AJ48" s="1"/>
  <c r="P49"/>
  <c r="P48"/>
  <c r="K49"/>
  <c r="K48"/>
  <c r="CB46" i="4"/>
  <c r="CB45"/>
  <c r="CB44"/>
  <c r="CB43"/>
  <c r="CB42"/>
  <c r="CB41"/>
  <c r="CB40"/>
  <c r="CB39"/>
  <c r="CB38"/>
  <c r="CB37"/>
  <c r="CB36"/>
  <c r="CB35"/>
  <c r="CB34"/>
  <c r="CB33"/>
  <c r="CB32"/>
  <c r="CB31"/>
  <c r="CB30"/>
  <c r="CB29"/>
  <c r="CB28"/>
  <c r="CB27"/>
  <c r="CB26"/>
  <c r="CB25"/>
  <c r="CB24"/>
  <c r="CB23"/>
  <c r="CB22"/>
  <c r="CB21"/>
  <c r="CB20"/>
  <c r="CB19"/>
  <c r="CB18"/>
  <c r="CB17"/>
  <c r="CB16"/>
  <c r="CB15"/>
  <c r="CB14"/>
  <c r="CB13"/>
  <c r="CB12"/>
  <c r="CB11"/>
  <c r="CB10"/>
  <c r="CB9"/>
  <c r="CB8"/>
  <c r="BU46"/>
  <c r="BU45"/>
  <c r="BU44"/>
  <c r="BU43"/>
  <c r="BU42"/>
  <c r="BU41"/>
  <c r="BU40"/>
  <c r="BU39"/>
  <c r="BU38"/>
  <c r="BU37"/>
  <c r="BU36"/>
  <c r="BU35"/>
  <c r="BU31"/>
  <c r="BU34"/>
  <c r="BU33"/>
  <c r="BU32"/>
  <c r="BU30"/>
  <c r="BU29"/>
  <c r="BU28"/>
  <c r="BU27"/>
  <c r="BU26"/>
  <c r="BU25"/>
  <c r="BU24"/>
  <c r="BU23"/>
  <c r="BU22"/>
  <c r="BU21"/>
  <c r="BU20"/>
  <c r="BU19"/>
  <c r="BU18"/>
  <c r="BU17"/>
  <c r="BU16"/>
  <c r="BU15"/>
  <c r="BU14"/>
  <c r="BU13"/>
  <c r="BU12"/>
  <c r="BU11"/>
  <c r="BU10"/>
  <c r="BU9"/>
  <c r="BU8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G46"/>
  <c r="BG45"/>
  <c r="BG44"/>
  <c r="BG43"/>
  <c r="BG42"/>
  <c r="BG41"/>
  <c r="BG40"/>
  <c r="BG39"/>
  <c r="BG38"/>
  <c r="BG37"/>
  <c r="BG36"/>
  <c r="BG35"/>
  <c r="BG34"/>
  <c r="BG33"/>
  <c r="BG32"/>
  <c r="BG31"/>
  <c r="BG30"/>
  <c r="BI30" s="1"/>
  <c r="BG29"/>
  <c r="BG28"/>
  <c r="BG27"/>
  <c r="BG26"/>
  <c r="BG25"/>
  <c r="BG24"/>
  <c r="BG23"/>
  <c r="BG22"/>
  <c r="BG21"/>
  <c r="BG20"/>
  <c r="BG19"/>
  <c r="BG18"/>
  <c r="BI18" s="1"/>
  <c r="BG17"/>
  <c r="BG16"/>
  <c r="BG15"/>
  <c r="BG14"/>
  <c r="BG13"/>
  <c r="BG12"/>
  <c r="BG11"/>
  <c r="BG10"/>
  <c r="BG9"/>
  <c r="BG8"/>
  <c r="BI29"/>
  <c r="BI28"/>
  <c r="BI27"/>
  <c r="BI26"/>
  <c r="BI25"/>
  <c r="BI24"/>
  <c r="BI23"/>
  <c r="BI22"/>
  <c r="BI21"/>
  <c r="BI20"/>
  <c r="BI19"/>
  <c r="BI17"/>
  <c r="BI16"/>
  <c r="BI15"/>
  <c r="BI14"/>
  <c r="BI13"/>
  <c r="BI12"/>
  <c r="BI11"/>
  <c r="BI10"/>
  <c r="BI9"/>
  <c r="BI8"/>
  <c r="AZ46"/>
  <c r="AZ45"/>
  <c r="AZ44"/>
  <c r="AZ43"/>
  <c r="AZ42"/>
  <c r="AZ41"/>
  <c r="AZ40"/>
  <c r="AZ39"/>
  <c r="AZ38"/>
  <c r="AZ37"/>
  <c r="AZ36"/>
  <c r="AZ35"/>
  <c r="AZ34"/>
  <c r="AZ33"/>
  <c r="AZ32"/>
  <c r="AZ31"/>
  <c r="AZ30"/>
  <c r="AZ29"/>
  <c r="AZ28"/>
  <c r="AZ27"/>
  <c r="AZ26"/>
  <c r="AZ25"/>
  <c r="AZ24"/>
  <c r="AZ23"/>
  <c r="AZ22"/>
  <c r="AZ21"/>
  <c r="AZ20"/>
  <c r="AZ19"/>
  <c r="AZ18"/>
  <c r="AZ17"/>
  <c r="AZ16"/>
  <c r="AZ15"/>
  <c r="AZ14"/>
  <c r="AZ13"/>
  <c r="AZ12"/>
  <c r="AZ11"/>
  <c r="AZ10"/>
  <c r="AZ9"/>
  <c r="AZ8"/>
  <c r="AM46"/>
  <c r="AM45"/>
  <c r="AM44"/>
  <c r="AM43"/>
  <c r="AM42"/>
  <c r="AM41"/>
  <c r="AM40"/>
  <c r="AM39"/>
  <c r="AM38"/>
  <c r="AM37"/>
  <c r="AM36"/>
  <c r="AM35"/>
  <c r="AM34"/>
  <c r="AM33"/>
  <c r="AM32"/>
  <c r="AM31"/>
  <c r="AM30"/>
  <c r="AM29"/>
  <c r="AM28"/>
  <c r="AM27"/>
  <c r="AM26"/>
  <c r="AM25"/>
  <c r="AM24"/>
  <c r="AM23"/>
  <c r="AM22"/>
  <c r="AM21"/>
  <c r="AM20"/>
  <c r="AM19"/>
  <c r="AM18"/>
  <c r="AM17"/>
  <c r="AM16"/>
  <c r="AM15"/>
  <c r="AM14"/>
  <c r="AM13"/>
  <c r="AM12"/>
  <c r="AM11"/>
  <c r="AM10"/>
  <c r="AM9"/>
  <c r="AM8"/>
  <c r="AF46"/>
  <c r="AF45"/>
  <c r="AF44"/>
  <c r="AF43"/>
  <c r="AF42"/>
  <c r="AF41"/>
  <c r="AF40"/>
  <c r="AF39"/>
  <c r="AF38"/>
  <c r="AF37"/>
  <c r="AF36"/>
  <c r="AF35"/>
  <c r="AF34"/>
  <c r="AF33"/>
  <c r="AF32"/>
  <c r="AF31"/>
  <c r="AF30"/>
  <c r="AF29"/>
  <c r="AF28"/>
  <c r="AF27"/>
  <c r="AF26"/>
  <c r="AF25"/>
  <c r="AF24"/>
  <c r="AF23"/>
  <c r="AF22"/>
  <c r="AF21"/>
  <c r="AF20"/>
  <c r="AF19"/>
  <c r="AF18"/>
  <c r="AF17"/>
  <c r="AF16"/>
  <c r="AF15"/>
  <c r="AF14"/>
  <c r="AF13"/>
  <c r="AF12"/>
  <c r="AF11"/>
  <c r="AF10"/>
  <c r="AF9"/>
  <c r="AF8"/>
  <c r="V46"/>
  <c r="V45"/>
  <c r="V44"/>
  <c r="V43"/>
  <c r="V42"/>
  <c r="V41"/>
  <c r="V40"/>
  <c r="V39"/>
  <c r="V38"/>
  <c r="V37"/>
  <c r="V36"/>
  <c r="V35"/>
  <c r="V34"/>
  <c r="V33"/>
  <c r="V32"/>
  <c r="V31"/>
  <c r="S20"/>
  <c r="S21"/>
  <c r="S22"/>
  <c r="S23"/>
  <c r="S32"/>
  <c r="S33"/>
  <c r="S34"/>
  <c r="S35"/>
  <c r="S36"/>
  <c r="S37"/>
  <c r="S38"/>
  <c r="S39"/>
  <c r="S40"/>
  <c r="S41"/>
  <c r="S42"/>
  <c r="S43"/>
  <c r="S44"/>
  <c r="S45"/>
  <c r="S28"/>
  <c r="S29"/>
  <c r="S30"/>
  <c r="S31"/>
  <c r="N46"/>
  <c r="K46"/>
  <c r="I46"/>
  <c r="N45"/>
  <c r="I45"/>
  <c r="K45" s="1"/>
  <c r="N44"/>
  <c r="K44"/>
  <c r="I44"/>
  <c r="N43"/>
  <c r="K43"/>
  <c r="I43"/>
  <c r="N42"/>
  <c r="K42"/>
  <c r="I42"/>
  <c r="N41"/>
  <c r="I41"/>
  <c r="K41" s="1"/>
  <c r="N40"/>
  <c r="K40"/>
  <c r="I40"/>
  <c r="N39"/>
  <c r="K39"/>
  <c r="I39"/>
  <c r="N38"/>
  <c r="K38"/>
  <c r="I38"/>
  <c r="N37"/>
  <c r="I37"/>
  <c r="K37" s="1"/>
  <c r="N36"/>
  <c r="K36"/>
  <c r="I36"/>
  <c r="N35"/>
  <c r="K35"/>
  <c r="I35"/>
  <c r="P34"/>
  <c r="N34"/>
  <c r="K34"/>
  <c r="I34"/>
  <c r="P33"/>
  <c r="N33"/>
  <c r="K33"/>
  <c r="I33"/>
  <c r="P32"/>
  <c r="N32"/>
  <c r="K32"/>
  <c r="I32"/>
  <c r="N31"/>
  <c r="I31"/>
  <c r="K31" s="1"/>
  <c r="N30"/>
  <c r="K30"/>
  <c r="I30"/>
  <c r="N29"/>
  <c r="K29"/>
  <c r="I29"/>
  <c r="N28"/>
  <c r="K28"/>
  <c r="I28"/>
  <c r="N27"/>
  <c r="K27"/>
  <c r="I27"/>
  <c r="N26"/>
  <c r="I26"/>
  <c r="K26" s="1"/>
  <c r="N25"/>
  <c r="K25"/>
  <c r="I25"/>
  <c r="N24"/>
  <c r="I24"/>
  <c r="K24" s="1"/>
  <c r="N23"/>
  <c r="K23"/>
  <c r="I23"/>
  <c r="N22"/>
  <c r="K22"/>
  <c r="I22"/>
  <c r="N21"/>
  <c r="K21"/>
  <c r="I21"/>
  <c r="N20"/>
  <c r="I20"/>
  <c r="K20" s="1"/>
  <c r="N19"/>
  <c r="K19"/>
  <c r="I19"/>
  <c r="N18"/>
  <c r="K18"/>
  <c r="I18"/>
  <c r="N17"/>
  <c r="K17"/>
  <c r="I17"/>
  <c r="N16"/>
  <c r="I16"/>
  <c r="K16" s="1"/>
  <c r="N15"/>
  <c r="K15"/>
  <c r="I15"/>
  <c r="N14"/>
  <c r="K14"/>
  <c r="I14"/>
  <c r="N13"/>
  <c r="K13"/>
  <c r="I13"/>
  <c r="N12"/>
  <c r="I12"/>
  <c r="K12" s="1"/>
  <c r="N11"/>
  <c r="K11"/>
  <c r="I11"/>
  <c r="N10"/>
  <c r="K10"/>
  <c r="I10"/>
  <c r="N9"/>
  <c r="K9"/>
  <c r="I9"/>
  <c r="N8"/>
  <c r="I8"/>
  <c r="K8" s="1"/>
  <c r="AQ28" i="6" l="1"/>
  <c r="AJ28"/>
  <c r="CR46" i="7"/>
  <c r="CR34"/>
  <c r="CR35"/>
  <c r="CR11"/>
  <c r="CR49"/>
  <c r="CR13"/>
  <c r="CR27"/>
  <c r="CR15"/>
  <c r="CR18"/>
  <c r="CG37"/>
  <c r="Q49"/>
  <c r="Q48"/>
  <c r="BK21"/>
  <c r="BK33"/>
  <c r="BK36"/>
  <c r="BI45"/>
  <c r="BI21"/>
  <c r="BI9"/>
  <c r="BK23"/>
  <c r="BK24"/>
  <c r="CL48"/>
  <c r="CG34"/>
  <c r="CH34"/>
  <c r="CG22"/>
  <c r="CH22"/>
  <c r="CG10"/>
  <c r="CH10"/>
  <c r="CG12"/>
  <c r="CH12"/>
  <c r="CH40"/>
  <c r="CG40"/>
  <c r="CH28"/>
  <c r="CG28"/>
  <c r="CH16"/>
  <c r="CG16"/>
  <c r="BR48"/>
  <c r="CI48"/>
  <c r="CJ48" s="1"/>
  <c r="CK48" s="1"/>
  <c r="V8" i="4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AU8"/>
  <c r="O24" i="5" s="1"/>
  <c r="BB46" i="4"/>
  <c r="BB47"/>
  <c r="BB49"/>
  <c r="BD47" i="7"/>
  <c r="BB9" i="6"/>
  <c r="H25" i="5"/>
  <c r="U24"/>
  <c r="T30"/>
  <c r="T28"/>
  <c r="T27"/>
  <c r="T26"/>
  <c r="T25"/>
  <c r="T24"/>
  <c r="T23"/>
  <c r="T19"/>
  <c r="T18"/>
  <c r="S30"/>
  <c r="S28"/>
  <c r="S26"/>
  <c r="S23"/>
  <c r="S21"/>
  <c r="S20"/>
  <c r="S19"/>
  <c r="S18"/>
  <c r="R30"/>
  <c r="R28"/>
  <c r="R27"/>
  <c r="R26"/>
  <c r="R25"/>
  <c r="R24"/>
  <c r="R23"/>
  <c r="R22"/>
  <c r="R21"/>
  <c r="R20"/>
  <c r="R19"/>
  <c r="H30"/>
  <c r="J30" s="1"/>
  <c r="N30"/>
  <c r="N24"/>
  <c r="M28"/>
  <c r="M27"/>
  <c r="M26"/>
  <c r="M25"/>
  <c r="M24"/>
  <c r="M23"/>
  <c r="M19"/>
  <c r="M18"/>
  <c r="M30"/>
  <c r="J28"/>
  <c r="J27"/>
  <c r="J26"/>
  <c r="J24"/>
  <c r="J23"/>
  <c r="H28"/>
  <c r="H27"/>
  <c r="H26"/>
  <c r="H24"/>
  <c r="H23"/>
  <c r="H20"/>
  <c r="G30"/>
  <c r="G24"/>
  <c r="F30"/>
  <c r="F28"/>
  <c r="F27"/>
  <c r="F26"/>
  <c r="F25"/>
  <c r="F24"/>
  <c r="L30"/>
  <c r="L28"/>
  <c r="L26"/>
  <c r="L23"/>
  <c r="L21"/>
  <c r="L20"/>
  <c r="L19"/>
  <c r="L18"/>
  <c r="E30"/>
  <c r="E28"/>
  <c r="E26"/>
  <c r="K30"/>
  <c r="K28"/>
  <c r="K27"/>
  <c r="K26"/>
  <c r="K25"/>
  <c r="K24"/>
  <c r="K23"/>
  <c r="K21"/>
  <c r="K20"/>
  <c r="K19"/>
  <c r="D30"/>
  <c r="D28"/>
  <c r="D27"/>
  <c r="D26"/>
  <c r="D25"/>
  <c r="D24"/>
  <c r="BY49" i="7"/>
  <c r="BR49"/>
  <c r="AF49"/>
  <c r="AJ49" s="1"/>
  <c r="BY47"/>
  <c r="BR47"/>
  <c r="AF47"/>
  <c r="AJ47" s="1"/>
  <c r="P47"/>
  <c r="K47"/>
  <c r="AF46"/>
  <c r="AJ46" s="1"/>
  <c r="P46"/>
  <c r="AF45"/>
  <c r="P45"/>
  <c r="Q45" s="1"/>
  <c r="S45" s="1"/>
  <c r="K45"/>
  <c r="BY44"/>
  <c r="AF44"/>
  <c r="AJ44" s="1"/>
  <c r="P44"/>
  <c r="Q44" s="1"/>
  <c r="S44" s="1"/>
  <c r="K44"/>
  <c r="BY43"/>
  <c r="AF43"/>
  <c r="P43"/>
  <c r="K43"/>
  <c r="AF42"/>
  <c r="P42"/>
  <c r="K42"/>
  <c r="BY41"/>
  <c r="AF41"/>
  <c r="AJ41" s="1"/>
  <c r="P41"/>
  <c r="K41"/>
  <c r="BY40"/>
  <c r="AF40"/>
  <c r="P40"/>
  <c r="K40"/>
  <c r="BY39"/>
  <c r="AF39"/>
  <c r="AJ39" s="1"/>
  <c r="P39"/>
  <c r="K39"/>
  <c r="BY38"/>
  <c r="AF38"/>
  <c r="P38"/>
  <c r="K38"/>
  <c r="BY37"/>
  <c r="BR37"/>
  <c r="AQ37"/>
  <c r="AF37"/>
  <c r="P37"/>
  <c r="K37"/>
  <c r="BY36"/>
  <c r="AF36"/>
  <c r="P36"/>
  <c r="K36"/>
  <c r="BY35"/>
  <c r="AJ35"/>
  <c r="P35"/>
  <c r="Q35" s="1"/>
  <c r="K35"/>
  <c r="AF34"/>
  <c r="P34"/>
  <c r="K34"/>
  <c r="BY33"/>
  <c r="BD33"/>
  <c r="AF33"/>
  <c r="P33"/>
  <c r="K33"/>
  <c r="AF32"/>
  <c r="P32"/>
  <c r="AF31"/>
  <c r="AJ31" s="1"/>
  <c r="P31"/>
  <c r="Q31" s="1"/>
  <c r="S31" s="1"/>
  <c r="K31"/>
  <c r="AF30"/>
  <c r="P30"/>
  <c r="AF29"/>
  <c r="P29"/>
  <c r="K29"/>
  <c r="AF28"/>
  <c r="P28"/>
  <c r="K28"/>
  <c r="BY27"/>
  <c r="AQ27"/>
  <c r="AF27"/>
  <c r="P27"/>
  <c r="AF26"/>
  <c r="AH26" s="1"/>
  <c r="P26"/>
  <c r="K26"/>
  <c r="AF25"/>
  <c r="AH25" s="1"/>
  <c r="P25"/>
  <c r="Q25" s="1"/>
  <c r="S25" s="1"/>
  <c r="K25"/>
  <c r="AF24"/>
  <c r="AH24" s="1"/>
  <c r="P24"/>
  <c r="AQ23"/>
  <c r="AF23"/>
  <c r="P23"/>
  <c r="Q23" s="1"/>
  <c r="K23"/>
  <c r="AF22"/>
  <c r="AH22" s="1"/>
  <c r="P22"/>
  <c r="K22"/>
  <c r="AQ21"/>
  <c r="AF21"/>
  <c r="P21"/>
  <c r="BR20"/>
  <c r="AQ20"/>
  <c r="AF20"/>
  <c r="P20"/>
  <c r="Q20" s="1"/>
  <c r="S20" s="1"/>
  <c r="K20"/>
  <c r="AF19"/>
  <c r="P19"/>
  <c r="K19"/>
  <c r="AF18"/>
  <c r="P18"/>
  <c r="AQ17"/>
  <c r="AF17"/>
  <c r="P17"/>
  <c r="K17"/>
  <c r="AJ16"/>
  <c r="AF16"/>
  <c r="P16"/>
  <c r="Q16" s="1"/>
  <c r="S16" s="1"/>
  <c r="K16"/>
  <c r="AF15"/>
  <c r="AH15" s="1"/>
  <c r="P15"/>
  <c r="BR14"/>
  <c r="AQ14"/>
  <c r="AF14"/>
  <c r="P14"/>
  <c r="K14"/>
  <c r="AF13"/>
  <c r="P13"/>
  <c r="Q13" s="1"/>
  <c r="S13" s="1"/>
  <c r="K13"/>
  <c r="AF12"/>
  <c r="P12"/>
  <c r="K12"/>
  <c r="AQ11"/>
  <c r="AF11"/>
  <c r="P11"/>
  <c r="K11"/>
  <c r="AF10"/>
  <c r="AJ10" s="1"/>
  <c r="P10"/>
  <c r="AF9"/>
  <c r="P9"/>
  <c r="K9"/>
  <c r="CB8"/>
  <c r="CE8" s="1"/>
  <c r="V30" i="5" s="1"/>
  <c r="BU8" i="7"/>
  <c r="BW8" s="1"/>
  <c r="V28" i="5" s="1"/>
  <c r="BN8" i="7"/>
  <c r="BP8" s="1"/>
  <c r="V27" i="5" s="1"/>
  <c r="BG8" i="7"/>
  <c r="BI8" s="1"/>
  <c r="V26" i="5" s="1"/>
  <c r="AZ8" i="7"/>
  <c r="S25" i="5" s="1"/>
  <c r="AU8" i="7"/>
  <c r="V24" i="5" s="1"/>
  <c r="AM8" i="7"/>
  <c r="AO8" s="1"/>
  <c r="V23" i="5" s="1"/>
  <c r="AF8" i="7"/>
  <c r="AH8" s="1"/>
  <c r="Y8"/>
  <c r="V8"/>
  <c r="N8"/>
  <c r="P8" s="1"/>
  <c r="I8"/>
  <c r="K8" s="1"/>
  <c r="CH49" i="4"/>
  <c r="CG49"/>
  <c r="CE49"/>
  <c r="BY49"/>
  <c r="BW49"/>
  <c r="BR49"/>
  <c r="BP49"/>
  <c r="BK49"/>
  <c r="BI49"/>
  <c r="BD49"/>
  <c r="AW49"/>
  <c r="AU49"/>
  <c r="AM49"/>
  <c r="AO49" s="1"/>
  <c r="AF49"/>
  <c r="AH49" s="1"/>
  <c r="Y49"/>
  <c r="V49"/>
  <c r="Z49" s="1"/>
  <c r="AA49" s="1"/>
  <c r="AC49" s="1"/>
  <c r="N49"/>
  <c r="P49" s="1"/>
  <c r="I49"/>
  <c r="K49" s="1"/>
  <c r="CH47"/>
  <c r="CG47"/>
  <c r="CE47"/>
  <c r="BY47"/>
  <c r="BW47"/>
  <c r="BR47"/>
  <c r="BP47"/>
  <c r="BK47"/>
  <c r="BI47"/>
  <c r="BD47"/>
  <c r="AW47"/>
  <c r="AU47"/>
  <c r="AM47"/>
  <c r="AO47" s="1"/>
  <c r="AF47"/>
  <c r="AJ47" s="1"/>
  <c r="Y47"/>
  <c r="V47"/>
  <c r="N47"/>
  <c r="P47" s="1"/>
  <c r="I47"/>
  <c r="K47" s="1"/>
  <c r="BW46"/>
  <c r="BP46"/>
  <c r="BI46"/>
  <c r="BD46"/>
  <c r="AW46"/>
  <c r="AU46"/>
  <c r="AO46"/>
  <c r="Y46"/>
  <c r="P46"/>
  <c r="CG45"/>
  <c r="BP45"/>
  <c r="BI45"/>
  <c r="BB45"/>
  <c r="AU45"/>
  <c r="AW45" s="1"/>
  <c r="AO45"/>
  <c r="AQ45" s="1"/>
  <c r="AJ45"/>
  <c r="Y45"/>
  <c r="P45"/>
  <c r="CE44"/>
  <c r="CG44" s="1"/>
  <c r="BW44"/>
  <c r="BY44" s="1"/>
  <c r="BP44"/>
  <c r="BI44"/>
  <c r="BK44" s="1"/>
  <c r="AU44"/>
  <c r="AW44" s="1"/>
  <c r="AO44"/>
  <c r="Y44"/>
  <c r="P44"/>
  <c r="CE43"/>
  <c r="BW43"/>
  <c r="BP43"/>
  <c r="BI43"/>
  <c r="BK43" s="1"/>
  <c r="BB43"/>
  <c r="AU43"/>
  <c r="AW43" s="1"/>
  <c r="AO43"/>
  <c r="AQ43" s="1"/>
  <c r="AH43"/>
  <c r="AJ43" s="1"/>
  <c r="Y43"/>
  <c r="P43"/>
  <c r="CE42"/>
  <c r="BP42"/>
  <c r="BI42"/>
  <c r="BB42"/>
  <c r="AU42"/>
  <c r="AW42" s="1"/>
  <c r="AO42"/>
  <c r="AQ42" s="1"/>
  <c r="Y42"/>
  <c r="P42"/>
  <c r="BW41"/>
  <c r="BP41"/>
  <c r="BI41"/>
  <c r="BK41" s="1"/>
  <c r="AU41"/>
  <c r="AW41" s="1"/>
  <c r="AO41"/>
  <c r="AQ41" s="1"/>
  <c r="AH41"/>
  <c r="Y41"/>
  <c r="Z41" s="1"/>
  <c r="AA41" s="1"/>
  <c r="AC41" s="1"/>
  <c r="P41"/>
  <c r="CE40"/>
  <c r="CG40" s="1"/>
  <c r="BW40"/>
  <c r="BP40"/>
  <c r="BI40"/>
  <c r="BK40" s="1"/>
  <c r="AU40"/>
  <c r="AW40" s="1"/>
  <c r="AO40"/>
  <c r="AH40"/>
  <c r="AJ40" s="1"/>
  <c r="Y40"/>
  <c r="P40"/>
  <c r="CE39"/>
  <c r="BY39"/>
  <c r="BP39"/>
  <c r="BI39"/>
  <c r="BB39"/>
  <c r="AU39"/>
  <c r="AW39" s="1"/>
  <c r="AO39"/>
  <c r="AQ39" s="1"/>
  <c r="AH39"/>
  <c r="Y39"/>
  <c r="P39"/>
  <c r="CE38"/>
  <c r="CG38" s="1"/>
  <c r="BW38"/>
  <c r="BP38"/>
  <c r="BI38"/>
  <c r="BD38"/>
  <c r="AU38"/>
  <c r="AW38" s="1"/>
  <c r="AO38"/>
  <c r="AH38"/>
  <c r="Y38"/>
  <c r="Z38" s="1"/>
  <c r="AA38" s="1"/>
  <c r="AC38" s="1"/>
  <c r="P38"/>
  <c r="CE37"/>
  <c r="BW37"/>
  <c r="BP37"/>
  <c r="BI37"/>
  <c r="BB37"/>
  <c r="AU37"/>
  <c r="AW37" s="1"/>
  <c r="AO37"/>
  <c r="AQ37" s="1"/>
  <c r="AH37"/>
  <c r="Y37"/>
  <c r="P37"/>
  <c r="CE36"/>
  <c r="CG36" s="1"/>
  <c r="BP36"/>
  <c r="BI36"/>
  <c r="BB36"/>
  <c r="AU36"/>
  <c r="AW36" s="1"/>
  <c r="AO36"/>
  <c r="AH36"/>
  <c r="Y36"/>
  <c r="Z36" s="1"/>
  <c r="AA36" s="1"/>
  <c r="AC36" s="1"/>
  <c r="P36"/>
  <c r="BW35"/>
  <c r="BP35"/>
  <c r="BI35"/>
  <c r="BB35"/>
  <c r="AU35"/>
  <c r="AW35" s="1"/>
  <c r="AO35"/>
  <c r="AH35"/>
  <c r="Y35"/>
  <c r="P35"/>
  <c r="CE34"/>
  <c r="BW34"/>
  <c r="BP34"/>
  <c r="BI34"/>
  <c r="AU34"/>
  <c r="AW34" s="1"/>
  <c r="AO34"/>
  <c r="AH34"/>
  <c r="Y34"/>
  <c r="CE33"/>
  <c r="BY33"/>
  <c r="BP33"/>
  <c r="BI33"/>
  <c r="BB33"/>
  <c r="AU33"/>
  <c r="AW33" s="1"/>
  <c r="AO33"/>
  <c r="AH33"/>
  <c r="Y33"/>
  <c r="CH32"/>
  <c r="BW32"/>
  <c r="BR32"/>
  <c r="BB32"/>
  <c r="AU32"/>
  <c r="AW32" s="1"/>
  <c r="AO32"/>
  <c r="AH32"/>
  <c r="Y32"/>
  <c r="CE31"/>
  <c r="BW31"/>
  <c r="BP31"/>
  <c r="BI31"/>
  <c r="BB31"/>
  <c r="AW31"/>
  <c r="AU31"/>
  <c r="AO31"/>
  <c r="AJ31"/>
  <c r="Y31"/>
  <c r="P31"/>
  <c r="CE30"/>
  <c r="BW30"/>
  <c r="BP30"/>
  <c r="BB30"/>
  <c r="AU30"/>
  <c r="AW30" s="1"/>
  <c r="AO30"/>
  <c r="AH30"/>
  <c r="Y30"/>
  <c r="P30"/>
  <c r="BW29"/>
  <c r="BP29"/>
  <c r="BD29"/>
  <c r="AW29"/>
  <c r="AU29"/>
  <c r="AO29"/>
  <c r="AH29"/>
  <c r="Y29"/>
  <c r="P29"/>
  <c r="CE28"/>
  <c r="BW28"/>
  <c r="BB28"/>
  <c r="AU28"/>
  <c r="AW28" s="1"/>
  <c r="AO28"/>
  <c r="Y28"/>
  <c r="P28"/>
  <c r="CE27"/>
  <c r="BW27"/>
  <c r="BP27"/>
  <c r="BR27" s="1"/>
  <c r="BB27"/>
  <c r="AU27"/>
  <c r="AW27" s="1"/>
  <c r="Y27"/>
  <c r="P27"/>
  <c r="CE26"/>
  <c r="BR26"/>
  <c r="BB26"/>
  <c r="AW26"/>
  <c r="AU26"/>
  <c r="AO26"/>
  <c r="AH26"/>
  <c r="Y26"/>
  <c r="P26"/>
  <c r="CE25"/>
  <c r="BW25"/>
  <c r="BP25"/>
  <c r="BB25"/>
  <c r="AU25"/>
  <c r="AW25" s="1"/>
  <c r="AO25"/>
  <c r="AH25"/>
  <c r="Y25"/>
  <c r="P25"/>
  <c r="CE24"/>
  <c r="BW24"/>
  <c r="BP24"/>
  <c r="BB24"/>
  <c r="AU24"/>
  <c r="AW24" s="1"/>
  <c r="AH24"/>
  <c r="Y24"/>
  <c r="P24"/>
  <c r="CE23"/>
  <c r="BW23"/>
  <c r="BB23"/>
  <c r="AU23"/>
  <c r="AW23" s="1"/>
  <c r="AO23"/>
  <c r="AH23"/>
  <c r="Y23"/>
  <c r="P23"/>
  <c r="CE22"/>
  <c r="BW22"/>
  <c r="BP22"/>
  <c r="BK22"/>
  <c r="BB22"/>
  <c r="AU22"/>
  <c r="AW22" s="1"/>
  <c r="AO22"/>
  <c r="AH22"/>
  <c r="Y22"/>
  <c r="P22"/>
  <c r="CE21"/>
  <c r="BW21"/>
  <c r="BP21"/>
  <c r="BK21"/>
  <c r="BB21"/>
  <c r="AU21"/>
  <c r="AW21" s="1"/>
  <c r="AO21"/>
  <c r="AH21"/>
  <c r="Y21"/>
  <c r="P21"/>
  <c r="CE20"/>
  <c r="BW20"/>
  <c r="BP20"/>
  <c r="BB20"/>
  <c r="AU20"/>
  <c r="AW20" s="1"/>
  <c r="AO20"/>
  <c r="AH20"/>
  <c r="Y20"/>
  <c r="P20"/>
  <c r="CE19"/>
  <c r="BW19"/>
  <c r="BP19"/>
  <c r="BB19"/>
  <c r="AU19"/>
  <c r="AW19" s="1"/>
  <c r="AO19"/>
  <c r="AH19"/>
  <c r="Y19"/>
  <c r="P19"/>
  <c r="CE18"/>
  <c r="BW18"/>
  <c r="BP18"/>
  <c r="BR18" s="1"/>
  <c r="BB18"/>
  <c r="AU18"/>
  <c r="AW18" s="1"/>
  <c r="AO18"/>
  <c r="AH18"/>
  <c r="Y18"/>
  <c r="P18"/>
  <c r="CE17"/>
  <c r="BW17"/>
  <c r="BP17"/>
  <c r="BB17"/>
  <c r="AU17"/>
  <c r="AW17" s="1"/>
  <c r="AO17"/>
  <c r="AH17"/>
  <c r="Y17"/>
  <c r="P17"/>
  <c r="CE16"/>
  <c r="BW16"/>
  <c r="BP16"/>
  <c r="BB16"/>
  <c r="AU16"/>
  <c r="AW16" s="1"/>
  <c r="AO16"/>
  <c r="AH16"/>
  <c r="Y16"/>
  <c r="P16"/>
  <c r="CE15"/>
  <c r="BW15"/>
  <c r="BP15"/>
  <c r="BR15" s="1"/>
  <c r="BB15"/>
  <c r="AU15"/>
  <c r="AW15" s="1"/>
  <c r="AO15"/>
  <c r="AH15"/>
  <c r="Y15"/>
  <c r="P15"/>
  <c r="CE14"/>
  <c r="BW14"/>
  <c r="BP14"/>
  <c r="BB14"/>
  <c r="AU14"/>
  <c r="AW14" s="1"/>
  <c r="AO14"/>
  <c r="AH14"/>
  <c r="Y14"/>
  <c r="P14"/>
  <c r="CE13"/>
  <c r="BW13"/>
  <c r="BP13"/>
  <c r="BB13"/>
  <c r="AW13"/>
  <c r="AU13"/>
  <c r="AO13"/>
  <c r="AH13"/>
  <c r="Y13"/>
  <c r="P13"/>
  <c r="CE12"/>
  <c r="BW12"/>
  <c r="BP12"/>
  <c r="BR12" s="1"/>
  <c r="BB12"/>
  <c r="AU12"/>
  <c r="AW12" s="1"/>
  <c r="AO12"/>
  <c r="AH12"/>
  <c r="Y12"/>
  <c r="P12"/>
  <c r="CE11"/>
  <c r="BW11"/>
  <c r="BP11"/>
  <c r="BB11"/>
  <c r="AU11"/>
  <c r="AW11" s="1"/>
  <c r="AO11"/>
  <c r="AH11"/>
  <c r="Y11"/>
  <c r="P11"/>
  <c r="CE10"/>
  <c r="BW10"/>
  <c r="BP10"/>
  <c r="BB10"/>
  <c r="AU10"/>
  <c r="AW10" s="1"/>
  <c r="AO10"/>
  <c r="AH10"/>
  <c r="Y10"/>
  <c r="P10"/>
  <c r="CE9"/>
  <c r="BW9"/>
  <c r="BP9"/>
  <c r="BR9" s="1"/>
  <c r="BB9"/>
  <c r="AU9"/>
  <c r="AW9" s="1"/>
  <c r="AO9"/>
  <c r="AH9"/>
  <c r="Y9"/>
  <c r="P9"/>
  <c r="CE8"/>
  <c r="O30" i="5" s="1"/>
  <c r="BW8" i="4"/>
  <c r="O28" i="5" s="1"/>
  <c r="BP8" i="4"/>
  <c r="O27" i="5" s="1"/>
  <c r="O26"/>
  <c r="L25"/>
  <c r="AO8" i="4"/>
  <c r="O23" i="5" s="1"/>
  <c r="AH8" i="4"/>
  <c r="Y8"/>
  <c r="P8"/>
  <c r="AJ37" i="7" l="1"/>
  <c r="AH37"/>
  <c r="V22" i="5"/>
  <c r="AJ45" i="7"/>
  <c r="CI45" s="1"/>
  <c r="CJ45" s="1"/>
  <c r="CK45" s="1"/>
  <c r="AH45"/>
  <c r="Q12"/>
  <c r="S12" s="1"/>
  <c r="Q27"/>
  <c r="S27" s="1"/>
  <c r="Q40"/>
  <c r="S40" s="1"/>
  <c r="Q47"/>
  <c r="S47" s="1"/>
  <c r="CI47" s="1"/>
  <c r="CJ47" s="1"/>
  <c r="CK47" s="1"/>
  <c r="Q19"/>
  <c r="S19" s="1"/>
  <c r="Q34"/>
  <c r="S34" s="1"/>
  <c r="Q43"/>
  <c r="S43" s="1"/>
  <c r="Q15"/>
  <c r="S15" s="1"/>
  <c r="Q22"/>
  <c r="S22" s="1"/>
  <c r="Q26"/>
  <c r="S26" s="1"/>
  <c r="Q37"/>
  <c r="S37" s="1"/>
  <c r="Q11"/>
  <c r="S11" s="1"/>
  <c r="Q29"/>
  <c r="S29" s="1"/>
  <c r="Q39"/>
  <c r="S39" s="1"/>
  <c r="Q42"/>
  <c r="S42" s="1"/>
  <c r="Q14"/>
  <c r="S14" s="1"/>
  <c r="Q33"/>
  <c r="Q36"/>
  <c r="Q10"/>
  <c r="S10" s="1"/>
  <c r="Q17"/>
  <c r="S17" s="1"/>
  <c r="Q28"/>
  <c r="S28" s="1"/>
  <c r="Q38"/>
  <c r="Q41"/>
  <c r="S41" s="1"/>
  <c r="Q32"/>
  <c r="AJ28"/>
  <c r="AH28"/>
  <c r="Q9"/>
  <c r="S9" s="1"/>
  <c r="CL13"/>
  <c r="CL42"/>
  <c r="BK45"/>
  <c r="BK9"/>
  <c r="BD34"/>
  <c r="BY32"/>
  <c r="BY31"/>
  <c r="BY15"/>
  <c r="BY34"/>
  <c r="BR31"/>
  <c r="BR24"/>
  <c r="BR16"/>
  <c r="BR23"/>
  <c r="AQ30"/>
  <c r="AQ24"/>
  <c r="AJ34"/>
  <c r="AJ30"/>
  <c r="AJ19"/>
  <c r="Q8"/>
  <c r="L27" i="5"/>
  <c r="BR22" i="4"/>
  <c r="BB8"/>
  <c r="O25" i="5" s="1"/>
  <c r="BB38" i="4"/>
  <c r="BB40"/>
  <c r="BD40" s="1"/>
  <c r="BB41"/>
  <c r="BD41" s="1"/>
  <c r="BB29"/>
  <c r="BD35"/>
  <c r="BB44"/>
  <c r="BD44" s="1"/>
  <c r="BB34"/>
  <c r="BD34" s="1"/>
  <c r="Q38"/>
  <c r="AB24" i="5"/>
  <c r="BY21" i="7"/>
  <c r="BY12"/>
  <c r="BY18"/>
  <c r="BR26"/>
  <c r="BR13"/>
  <c r="S27" i="5"/>
  <c r="BD45" i="7"/>
  <c r="BB8"/>
  <c r="V25" i="5" s="1"/>
  <c r="AQ26" i="7"/>
  <c r="AQ31"/>
  <c r="AJ36"/>
  <c r="AA27" i="5"/>
  <c r="AA24"/>
  <c r="CI32" i="7"/>
  <c r="CJ32" s="1"/>
  <c r="CK32" s="1"/>
  <c r="AA26" i="5"/>
  <c r="Z30"/>
  <c r="AA30"/>
  <c r="AA28"/>
  <c r="AA25"/>
  <c r="BD21" i="4"/>
  <c r="AQ28" i="7"/>
  <c r="BY30"/>
  <c r="K32"/>
  <c r="AQ34"/>
  <c r="BD42"/>
  <c r="AQ46"/>
  <c r="AJ25"/>
  <c r="BR11"/>
  <c r="BR17"/>
  <c r="BR22"/>
  <c r="AQ29"/>
  <c r="BY46"/>
  <c r="BD39"/>
  <c r="BR19"/>
  <c r="Z46" i="4"/>
  <c r="AA46" s="1"/>
  <c r="AC46" s="1"/>
  <c r="Z12"/>
  <c r="AA12" s="1"/>
  <c r="AC12" s="1"/>
  <c r="Z32"/>
  <c r="AA32" s="1"/>
  <c r="AC32" s="1"/>
  <c r="S49"/>
  <c r="CI49" s="1"/>
  <c r="CJ49" s="1"/>
  <c r="AO24"/>
  <c r="AQ24" s="1"/>
  <c r="Q33"/>
  <c r="BK45"/>
  <c r="Q29"/>
  <c r="Z25"/>
  <c r="AA25" s="1"/>
  <c r="AC25" s="1"/>
  <c r="Z16"/>
  <c r="AA16" s="1"/>
  <c r="AC16" s="1"/>
  <c r="Z22"/>
  <c r="AA22" s="1"/>
  <c r="AC22" s="1"/>
  <c r="Q25"/>
  <c r="AH31"/>
  <c r="AH46"/>
  <c r="AJ46" s="1"/>
  <c r="AQ21"/>
  <c r="CE46"/>
  <c r="CG46" s="1"/>
  <c r="Z30"/>
  <c r="AA30" s="1"/>
  <c r="AC30" s="1"/>
  <c r="Z29"/>
  <c r="AA29" s="1"/>
  <c r="AC29" s="1"/>
  <c r="CH30"/>
  <c r="BD32"/>
  <c r="AJ37"/>
  <c r="Z44"/>
  <c r="AA44" s="1"/>
  <c r="AC44" s="1"/>
  <c r="Z45"/>
  <c r="AA45" s="1"/>
  <c r="AC45" s="1"/>
  <c r="CE45"/>
  <c r="Z14"/>
  <c r="AA14" s="1"/>
  <c r="AC14" s="1"/>
  <c r="Q14"/>
  <c r="BP28"/>
  <c r="BR28" s="1"/>
  <c r="Q37"/>
  <c r="Z47"/>
  <c r="AA47" s="1"/>
  <c r="AC47" s="1"/>
  <c r="AQ30"/>
  <c r="BP32"/>
  <c r="Z39"/>
  <c r="AA39" s="1"/>
  <c r="AC39" s="1"/>
  <c r="AH45"/>
  <c r="AJ26"/>
  <c r="BI32"/>
  <c r="BK32" s="1"/>
  <c r="S47"/>
  <c r="CI47" s="1"/>
  <c r="CJ47" s="1"/>
  <c r="BD25"/>
  <c r="AJ34"/>
  <c r="AH42"/>
  <c r="AJ42" s="1"/>
  <c r="Z10"/>
  <c r="AA10" s="1"/>
  <c r="AC10" s="1"/>
  <c r="Z35"/>
  <c r="AA35" s="1"/>
  <c r="AC35" s="1"/>
  <c r="Q36"/>
  <c r="AJ41"/>
  <c r="Z9"/>
  <c r="AA9" s="1"/>
  <c r="AC9" s="1"/>
  <c r="Z26"/>
  <c r="AA26" s="1"/>
  <c r="AC26" s="1"/>
  <c r="Z34"/>
  <c r="AA34" s="1"/>
  <c r="AC34" s="1"/>
  <c r="CG35"/>
  <c r="Z42"/>
  <c r="AA42" s="1"/>
  <c r="AC42" s="1"/>
  <c r="CH46"/>
  <c r="BR21"/>
  <c r="CI33"/>
  <c r="CJ33" s="1"/>
  <c r="CK33" s="1"/>
  <c r="Z18"/>
  <c r="AA18" s="1"/>
  <c r="AC18" s="1"/>
  <c r="Q21"/>
  <c r="BJ8"/>
  <c r="P26" i="5" s="1"/>
  <c r="AH28" i="4"/>
  <c r="AJ28" s="1"/>
  <c r="AQ47"/>
  <c r="AH27"/>
  <c r="Z28"/>
  <c r="AA28" s="1"/>
  <c r="AC28" s="1"/>
  <c r="AQ8" i="7"/>
  <c r="X23" i="5" s="1"/>
  <c r="BY9" i="7"/>
  <c r="BR15"/>
  <c r="BR25"/>
  <c r="BD28"/>
  <c r="BR34"/>
  <c r="AJ38"/>
  <c r="BD40"/>
  <c r="BR43"/>
  <c r="CI35"/>
  <c r="CJ35" s="1"/>
  <c r="CK35" s="1"/>
  <c r="BD41"/>
  <c r="BR9"/>
  <c r="BD11"/>
  <c r="BD30"/>
  <c r="BD31"/>
  <c r="BD36"/>
  <c r="AQ40"/>
  <c r="BD43"/>
  <c r="BR46"/>
  <c r="Z8"/>
  <c r="AA8" s="1"/>
  <c r="V20" i="5" s="1"/>
  <c r="AQ19" i="7"/>
  <c r="CI33"/>
  <c r="CJ33" s="1"/>
  <c r="CK33" s="1"/>
  <c r="BY8"/>
  <c r="X28" i="5" s="1"/>
  <c r="BR10" i="7"/>
  <c r="AQ13"/>
  <c r="BR18"/>
  <c r="BD20"/>
  <c r="AQ22"/>
  <c r="CI30"/>
  <c r="CJ30" s="1"/>
  <c r="CK30" s="1"/>
  <c r="BD37"/>
  <c r="AJ42"/>
  <c r="CI42" s="1"/>
  <c r="CJ42" s="1"/>
  <c r="CK42" s="1"/>
  <c r="BD44"/>
  <c r="BR8"/>
  <c r="X27" i="5" s="1"/>
  <c r="AJ13" i="7"/>
  <c r="BD14"/>
  <c r="AJ22"/>
  <c r="BY24"/>
  <c r="AQ25"/>
  <c r="BR28"/>
  <c r="AJ29"/>
  <c r="AJ32"/>
  <c r="AJ33"/>
  <c r="AJ40"/>
  <c r="BR40"/>
  <c r="AQ43"/>
  <c r="BD46"/>
  <c r="AQ10"/>
  <c r="K10"/>
  <c r="BR12"/>
  <c r="BR21"/>
  <c r="BR27"/>
  <c r="BD38"/>
  <c r="AQ16"/>
  <c r="AV8"/>
  <c r="W24" i="5" s="1"/>
  <c r="AJ43" i="7"/>
  <c r="CG8"/>
  <c r="CH8"/>
  <c r="BQ8"/>
  <c r="W27" i="5" s="1"/>
  <c r="BK8" i="7"/>
  <c r="X26" i="5" s="1"/>
  <c r="AQ9" i="7"/>
  <c r="AQ12"/>
  <c r="AQ15"/>
  <c r="AQ18"/>
  <c r="BY42"/>
  <c r="K46"/>
  <c r="Q46" s="1"/>
  <c r="S46" s="1"/>
  <c r="AJ8"/>
  <c r="BY11"/>
  <c r="BY14"/>
  <c r="BY17"/>
  <c r="BY20"/>
  <c r="BY23"/>
  <c r="BY26"/>
  <c r="BR30"/>
  <c r="AQ33"/>
  <c r="AQ36"/>
  <c r="AQ39"/>
  <c r="AQ42"/>
  <c r="AQ45"/>
  <c r="AJ9"/>
  <c r="BD10"/>
  <c r="AJ12"/>
  <c r="BD13"/>
  <c r="K15"/>
  <c r="AJ15"/>
  <c r="BD16"/>
  <c r="K18"/>
  <c r="Q18" s="1"/>
  <c r="S18" s="1"/>
  <c r="AJ18"/>
  <c r="BD19"/>
  <c r="K21"/>
  <c r="Q21" s="1"/>
  <c r="S21" s="1"/>
  <c r="AJ21"/>
  <c r="BD22"/>
  <c r="CI23"/>
  <c r="CJ23" s="1"/>
  <c r="CK23" s="1"/>
  <c r="K24"/>
  <c r="Q24" s="1"/>
  <c r="S24" s="1"/>
  <c r="CI24" s="1"/>
  <c r="CJ24" s="1"/>
  <c r="CK24" s="1"/>
  <c r="AJ24"/>
  <c r="BD25"/>
  <c r="K27"/>
  <c r="AJ27"/>
  <c r="BY29"/>
  <c r="BR33"/>
  <c r="BR36"/>
  <c r="BR39"/>
  <c r="BR42"/>
  <c r="BR45"/>
  <c r="K30"/>
  <c r="Q30" s="1"/>
  <c r="S30" s="1"/>
  <c r="BY10"/>
  <c r="BY13"/>
  <c r="BY16"/>
  <c r="BY19"/>
  <c r="BY22"/>
  <c r="BY25"/>
  <c r="BR29"/>
  <c r="AQ32"/>
  <c r="AQ35"/>
  <c r="AQ38"/>
  <c r="AQ41"/>
  <c r="AQ44"/>
  <c r="AQ47"/>
  <c r="CI49"/>
  <c r="CJ49" s="1"/>
  <c r="CK49" s="1"/>
  <c r="AW8"/>
  <c r="X24" i="5" s="1"/>
  <c r="BD9" i="7"/>
  <c r="AJ11"/>
  <c r="BD12"/>
  <c r="AJ14"/>
  <c r="BD15"/>
  <c r="AJ17"/>
  <c r="BD18"/>
  <c r="AJ20"/>
  <c r="BD21"/>
  <c r="AJ23"/>
  <c r="BD24"/>
  <c r="AJ26"/>
  <c r="BD27"/>
  <c r="BY28"/>
  <c r="BR32"/>
  <c r="BR35"/>
  <c r="BR38"/>
  <c r="BR41"/>
  <c r="BR44"/>
  <c r="AQ49"/>
  <c r="Q34" i="4"/>
  <c r="Q42"/>
  <c r="AV8"/>
  <c r="P24" i="5" s="1"/>
  <c r="Q11" i="4"/>
  <c r="BW26"/>
  <c r="BY26" s="1"/>
  <c r="AO27"/>
  <c r="Z31"/>
  <c r="AA31" s="1"/>
  <c r="AC31" s="1"/>
  <c r="CI31" s="1"/>
  <c r="CJ31" s="1"/>
  <c r="CK31" s="1"/>
  <c r="CH38"/>
  <c r="CE41"/>
  <c r="CH41" s="1"/>
  <c r="Z43"/>
  <c r="AA43" s="1"/>
  <c r="AC43" s="1"/>
  <c r="Q47"/>
  <c r="CG34"/>
  <c r="BK36"/>
  <c r="Z15"/>
  <c r="AA15" s="1"/>
  <c r="AC15" s="1"/>
  <c r="Z21"/>
  <c r="AA21" s="1"/>
  <c r="AC21" s="1"/>
  <c r="Z24"/>
  <c r="AA24" s="1"/>
  <c r="AC24" s="1"/>
  <c r="BK25"/>
  <c r="BP26"/>
  <c r="Z37"/>
  <c r="AA37" s="1"/>
  <c r="AC37" s="1"/>
  <c r="AQ46"/>
  <c r="CG9"/>
  <c r="Q16"/>
  <c r="BR24"/>
  <c r="BK28"/>
  <c r="BY41"/>
  <c r="BD43"/>
  <c r="Q45"/>
  <c r="CI45" s="1"/>
  <c r="CJ45" s="1"/>
  <c r="AJ49"/>
  <c r="Z8"/>
  <c r="AA8" s="1"/>
  <c r="O20" i="5" s="1"/>
  <c r="Z20" i="4"/>
  <c r="AA20" s="1"/>
  <c r="AC20" s="1"/>
  <c r="Z23"/>
  <c r="AA23" s="1"/>
  <c r="AC23" s="1"/>
  <c r="Z33"/>
  <c r="AA33" s="1"/>
  <c r="AC33" s="1"/>
  <c r="CG42"/>
  <c r="AH44"/>
  <c r="AJ44" s="1"/>
  <c r="AH47"/>
  <c r="AQ18"/>
  <c r="AQ22"/>
  <c r="CG8"/>
  <c r="Z13"/>
  <c r="AA13" s="1"/>
  <c r="AC13" s="1"/>
  <c r="Z19"/>
  <c r="AA19" s="1"/>
  <c r="AC19" s="1"/>
  <c r="Z27"/>
  <c r="AA27" s="1"/>
  <c r="AC27" s="1"/>
  <c r="CE29"/>
  <c r="CG29" s="1"/>
  <c r="Z40"/>
  <c r="AA40" s="1"/>
  <c r="AC40" s="1"/>
  <c r="BD45"/>
  <c r="BK10"/>
  <c r="AQ12"/>
  <c r="BK16"/>
  <c r="CH25"/>
  <c r="BW33"/>
  <c r="CH44"/>
  <c r="BK46"/>
  <c r="BP23"/>
  <c r="BR23" s="1"/>
  <c r="CG25"/>
  <c r="CG32"/>
  <c r="BW36"/>
  <c r="BY36" s="1"/>
  <c r="CI39"/>
  <c r="CJ39" s="1"/>
  <c r="Q27"/>
  <c r="S27" s="1"/>
  <c r="BD42"/>
  <c r="CI42" s="1"/>
  <c r="CJ42" s="1"/>
  <c r="BK8"/>
  <c r="Q26" i="5" s="1"/>
  <c r="AQ9" i="4"/>
  <c r="Z11"/>
  <c r="AA11" s="1"/>
  <c r="AC11" s="1"/>
  <c r="CI29"/>
  <c r="CJ29" s="1"/>
  <c r="S46"/>
  <c r="Z17"/>
  <c r="AA17" s="1"/>
  <c r="AC17" s="1"/>
  <c r="BK13"/>
  <c r="AQ15"/>
  <c r="BK19"/>
  <c r="CG21"/>
  <c r="BY25"/>
  <c r="Q32"/>
  <c r="CI32" s="1"/>
  <c r="CJ32" s="1"/>
  <c r="BR36"/>
  <c r="CK49"/>
  <c r="Q10"/>
  <c r="S10" s="1"/>
  <c r="Q31"/>
  <c r="Q28"/>
  <c r="CL38"/>
  <c r="Q26"/>
  <c r="S26" s="1"/>
  <c r="Q41"/>
  <c r="Q20"/>
  <c r="Q23"/>
  <c r="Q13"/>
  <c r="S13" s="1"/>
  <c r="Q19"/>
  <c r="S19" s="1"/>
  <c r="Q22"/>
  <c r="CL22" s="1"/>
  <c r="Q39"/>
  <c r="Q44"/>
  <c r="Q49"/>
  <c r="CL49" s="1"/>
  <c r="CG43"/>
  <c r="CH43"/>
  <c r="Q17"/>
  <c r="Q35"/>
  <c r="BW39"/>
  <c r="Q40"/>
  <c r="CL40" s="1"/>
  <c r="BW42"/>
  <c r="Q43"/>
  <c r="BW45"/>
  <c r="BY45" s="1"/>
  <c r="Q46"/>
  <c r="AJ8"/>
  <c r="CH10"/>
  <c r="BY11"/>
  <c r="CH13"/>
  <c r="BY14"/>
  <c r="CH16"/>
  <c r="BY17"/>
  <c r="CH19"/>
  <c r="BY20"/>
  <c r="CH22"/>
  <c r="BY23"/>
  <c r="BR30"/>
  <c r="BK31"/>
  <c r="CE32"/>
  <c r="AQ33"/>
  <c r="BK34"/>
  <c r="CE35"/>
  <c r="CH35" s="1"/>
  <c r="AQ36"/>
  <c r="BK37"/>
  <c r="BD8"/>
  <c r="Q25" i="5" s="1"/>
  <c r="BY8" i="4"/>
  <c r="Q28" i="5" s="1"/>
  <c r="Q9" i="4"/>
  <c r="CL9" s="1"/>
  <c r="AJ9"/>
  <c r="BD10"/>
  <c r="CG10"/>
  <c r="S11"/>
  <c r="Q12"/>
  <c r="AJ12"/>
  <c r="BD13"/>
  <c r="CG13"/>
  <c r="S14"/>
  <c r="Q15"/>
  <c r="CL15" s="1"/>
  <c r="AJ15"/>
  <c r="BD16"/>
  <c r="CG16"/>
  <c r="Q18"/>
  <c r="AJ18"/>
  <c r="BD19"/>
  <c r="CG19"/>
  <c r="AJ21"/>
  <c r="BD22"/>
  <c r="CG22"/>
  <c r="CI23"/>
  <c r="CJ23" s="1"/>
  <c r="Q24"/>
  <c r="S24" s="1"/>
  <c r="AJ24"/>
  <c r="CH28"/>
  <c r="BY29"/>
  <c r="BR33"/>
  <c r="BR39"/>
  <c r="BR42"/>
  <c r="BR45"/>
  <c r="BK9"/>
  <c r="AQ11"/>
  <c r="BK12"/>
  <c r="AQ14"/>
  <c r="BK15"/>
  <c r="AQ17"/>
  <c r="BK18"/>
  <c r="AQ20"/>
  <c r="AQ23"/>
  <c r="BK24"/>
  <c r="AQ26"/>
  <c r="BK27"/>
  <c r="BD28"/>
  <c r="CG28"/>
  <c r="Q30"/>
  <c r="AJ30"/>
  <c r="CH31"/>
  <c r="BY32"/>
  <c r="CH34"/>
  <c r="BY35"/>
  <c r="CH37"/>
  <c r="BY38"/>
  <c r="CH40"/>
  <c r="Q8"/>
  <c r="BR11"/>
  <c r="BR14"/>
  <c r="BR17"/>
  <c r="BR20"/>
  <c r="AQ29"/>
  <c r="BK30"/>
  <c r="BD31"/>
  <c r="CG31"/>
  <c r="AJ33"/>
  <c r="CI35"/>
  <c r="CJ35" s="1"/>
  <c r="AJ36"/>
  <c r="BD37"/>
  <c r="CG37"/>
  <c r="AJ39"/>
  <c r="CH9"/>
  <c r="BY10"/>
  <c r="CH12"/>
  <c r="BY13"/>
  <c r="CH15"/>
  <c r="BY16"/>
  <c r="CH18"/>
  <c r="BY19"/>
  <c r="CH21"/>
  <c r="BY22"/>
  <c r="CH24"/>
  <c r="CH27"/>
  <c r="BR29"/>
  <c r="AQ32"/>
  <c r="BK33"/>
  <c r="AQ35"/>
  <c r="AQ38"/>
  <c r="BK39"/>
  <c r="BK42"/>
  <c r="AQ44"/>
  <c r="AW8"/>
  <c r="Q24" i="5" s="1"/>
  <c r="BR8" i="4"/>
  <c r="Q27" i="5" s="1"/>
  <c r="BD9" i="4"/>
  <c r="AJ11"/>
  <c r="BD12"/>
  <c r="CG12"/>
  <c r="AJ14"/>
  <c r="BD15"/>
  <c r="CG15"/>
  <c r="S16"/>
  <c r="AJ17"/>
  <c r="BD18"/>
  <c r="CG18"/>
  <c r="AJ20"/>
  <c r="AJ23"/>
  <c r="BD24"/>
  <c r="CG24"/>
  <c r="BD27"/>
  <c r="CG27"/>
  <c r="BY28"/>
  <c r="BR35"/>
  <c r="BR38"/>
  <c r="BR41"/>
  <c r="BR44"/>
  <c r="AQ49"/>
  <c r="AQ10"/>
  <c r="BK11"/>
  <c r="AQ13"/>
  <c r="BK14"/>
  <c r="AQ16"/>
  <c r="BK17"/>
  <c r="AQ19"/>
  <c r="BK20"/>
  <c r="BK23"/>
  <c r="AQ25"/>
  <c r="BK26"/>
  <c r="AJ29"/>
  <c r="BD30"/>
  <c r="CG30"/>
  <c r="BY31"/>
  <c r="CH33"/>
  <c r="BY34"/>
  <c r="CH36"/>
  <c r="BY37"/>
  <c r="CH39"/>
  <c r="BY40"/>
  <c r="CH42"/>
  <c r="BY43"/>
  <c r="CH45"/>
  <c r="BY46"/>
  <c r="BR10"/>
  <c r="BR13"/>
  <c r="BR16"/>
  <c r="BR19"/>
  <c r="BR25"/>
  <c r="AQ28"/>
  <c r="BK29"/>
  <c r="AJ32"/>
  <c r="BD33"/>
  <c r="CG33"/>
  <c r="AJ35"/>
  <c r="BD36"/>
  <c r="AJ38"/>
  <c r="BD39"/>
  <c r="CG39"/>
  <c r="AQ8"/>
  <c r="Q23" i="5" s="1"/>
  <c r="CH8" i="4"/>
  <c r="BY9"/>
  <c r="CH11"/>
  <c r="BY12"/>
  <c r="CH14"/>
  <c r="BY15"/>
  <c r="CH17"/>
  <c r="BY18"/>
  <c r="CH20"/>
  <c r="BY21"/>
  <c r="CH23"/>
  <c r="BY24"/>
  <c r="CH26"/>
  <c r="BY27"/>
  <c r="AQ31"/>
  <c r="AQ34"/>
  <c r="BK35"/>
  <c r="BK38"/>
  <c r="AQ40"/>
  <c r="AJ10"/>
  <c r="BD11"/>
  <c r="CG11"/>
  <c r="AJ13"/>
  <c r="BD14"/>
  <c r="CG14"/>
  <c r="AJ16"/>
  <c r="BD17"/>
  <c r="CG17"/>
  <c r="AJ19"/>
  <c r="BD20"/>
  <c r="CG20"/>
  <c r="AJ22"/>
  <c r="BD23"/>
  <c r="CG23"/>
  <c r="AJ25"/>
  <c r="BD26"/>
  <c r="CG26"/>
  <c r="CH29"/>
  <c r="BY30"/>
  <c r="BR31"/>
  <c r="BR34"/>
  <c r="BR37"/>
  <c r="BR40"/>
  <c r="BR43"/>
  <c r="BR46"/>
  <c r="CB9" i="6"/>
  <c r="BU9"/>
  <c r="BN9"/>
  <c r="BG9"/>
  <c r="AZ9"/>
  <c r="Q22" i="5" l="1"/>
  <c r="O22"/>
  <c r="AJ27" i="4"/>
  <c r="CI27" s="1"/>
  <c r="CJ27" s="1"/>
  <c r="AC24" i="5"/>
  <c r="X22"/>
  <c r="V18"/>
  <c r="CI26" i="7"/>
  <c r="CJ26" s="1"/>
  <c r="CK26" s="1"/>
  <c r="CL37"/>
  <c r="CQ37" s="1"/>
  <c r="CR37" s="1"/>
  <c r="CI22"/>
  <c r="CJ22" s="1"/>
  <c r="CK22" s="1"/>
  <c r="CL22"/>
  <c r="CI44"/>
  <c r="CJ44" s="1"/>
  <c r="CK44" s="1"/>
  <c r="CL44"/>
  <c r="CQ44" s="1"/>
  <c r="CR44" s="1"/>
  <c r="CL38"/>
  <c r="CI31"/>
  <c r="CJ31" s="1"/>
  <c r="CK31" s="1"/>
  <c r="CL31"/>
  <c r="CL46"/>
  <c r="CL34"/>
  <c r="CL49"/>
  <c r="CL36"/>
  <c r="CI28"/>
  <c r="CJ28" s="1"/>
  <c r="CK28" s="1"/>
  <c r="CL28"/>
  <c r="CQ28" s="1"/>
  <c r="CR28" s="1"/>
  <c r="CI16"/>
  <c r="CJ16" s="1"/>
  <c r="CK16" s="1"/>
  <c r="CL16"/>
  <c r="CL24"/>
  <c r="CI39"/>
  <c r="CJ39" s="1"/>
  <c r="CK39" s="1"/>
  <c r="CL39"/>
  <c r="CQ39" s="1"/>
  <c r="CR39" s="1"/>
  <c r="CI12"/>
  <c r="CJ12" s="1"/>
  <c r="CK12" s="1"/>
  <c r="CL12"/>
  <c r="CL9"/>
  <c r="CL43"/>
  <c r="CI15"/>
  <c r="CJ15" s="1"/>
  <c r="CK15" s="1"/>
  <c r="CL15"/>
  <c r="CI41"/>
  <c r="CJ41" s="1"/>
  <c r="CK41" s="1"/>
  <c r="CL41"/>
  <c r="CL47"/>
  <c r="CL21"/>
  <c r="CI10"/>
  <c r="CJ10" s="1"/>
  <c r="CK10" s="1"/>
  <c r="CL10"/>
  <c r="CI11"/>
  <c r="CJ11" s="1"/>
  <c r="CK11" s="1"/>
  <c r="CL11"/>
  <c r="CI40"/>
  <c r="CJ40" s="1"/>
  <c r="CK40" s="1"/>
  <c r="CL40"/>
  <c r="CI46"/>
  <c r="CJ46" s="1"/>
  <c r="CK46" s="1"/>
  <c r="CI19"/>
  <c r="CJ19" s="1"/>
  <c r="CK19" s="1"/>
  <c r="CL19"/>
  <c r="CL14"/>
  <c r="CL30"/>
  <c r="CQ30" s="1"/>
  <c r="CR30" s="1"/>
  <c r="CL25"/>
  <c r="CQ25" s="1"/>
  <c r="CR25" s="1"/>
  <c r="CL33"/>
  <c r="CI27"/>
  <c r="CJ27" s="1"/>
  <c r="CK27" s="1"/>
  <c r="CL27"/>
  <c r="CL18"/>
  <c r="CI20"/>
  <c r="CJ20" s="1"/>
  <c r="CK20" s="1"/>
  <c r="CL20"/>
  <c r="CI25"/>
  <c r="CJ25" s="1"/>
  <c r="CK25" s="1"/>
  <c r="CI13"/>
  <c r="CJ13" s="1"/>
  <c r="CK13" s="1"/>
  <c r="CI43"/>
  <c r="CJ43" s="1"/>
  <c r="CK43" s="1"/>
  <c r="BD26"/>
  <c r="CL26"/>
  <c r="BD29"/>
  <c r="CL29"/>
  <c r="CL45"/>
  <c r="BD17"/>
  <c r="CI17" s="1"/>
  <c r="CJ17" s="1"/>
  <c r="CK17" s="1"/>
  <c r="CL17"/>
  <c r="CI14"/>
  <c r="CJ14" s="1"/>
  <c r="CK14" s="1"/>
  <c r="BD32"/>
  <c r="CL32"/>
  <c r="CQ32" s="1"/>
  <c r="CR32" s="1"/>
  <c r="BD35"/>
  <c r="CL35"/>
  <c r="BD23"/>
  <c r="CL23"/>
  <c r="CI29"/>
  <c r="CJ29" s="1"/>
  <c r="CK29" s="1"/>
  <c r="CI18"/>
  <c r="CJ18" s="1"/>
  <c r="CK18" s="1"/>
  <c r="CI34"/>
  <c r="CJ34" s="1"/>
  <c r="CK34" s="1"/>
  <c r="BD8"/>
  <c r="X25" i="5" s="1"/>
  <c r="AI8" i="7"/>
  <c r="W22" i="5" s="1"/>
  <c r="S8" i="7"/>
  <c r="X18" i="5" s="1"/>
  <c r="CG41" i="4"/>
  <c r="CI41" s="1"/>
  <c r="CJ41" s="1"/>
  <c r="CI34"/>
  <c r="CJ34" s="1"/>
  <c r="CK34" s="1"/>
  <c r="BC8"/>
  <c r="P25" i="5" s="1"/>
  <c r="CI36" i="4"/>
  <c r="CJ36" s="1"/>
  <c r="AP8"/>
  <c r="P23" i="5" s="1"/>
  <c r="AQ27" i="4"/>
  <c r="CI46"/>
  <c r="CJ46" s="1"/>
  <c r="CI28"/>
  <c r="CJ28" s="1"/>
  <c r="CK28" s="1"/>
  <c r="CL30"/>
  <c r="CL25"/>
  <c r="CI37"/>
  <c r="CJ37" s="1"/>
  <c r="CK37" s="1"/>
  <c r="CL28"/>
  <c r="CI26"/>
  <c r="CJ26" s="1"/>
  <c r="CI21"/>
  <c r="CJ21" s="1"/>
  <c r="CK21" s="1"/>
  <c r="CL16"/>
  <c r="CI24"/>
  <c r="CJ24" s="1"/>
  <c r="CI11"/>
  <c r="CJ11" s="1"/>
  <c r="CK11" s="1"/>
  <c r="CI30"/>
  <c r="CJ30" s="1"/>
  <c r="CL29"/>
  <c r="S25"/>
  <c r="CI25" s="1"/>
  <c r="CJ25" s="1"/>
  <c r="CL46"/>
  <c r="BX8"/>
  <c r="P28" i="5" s="1"/>
  <c r="BQ8" i="4"/>
  <c r="P27" i="5" s="1"/>
  <c r="CL34" i="4"/>
  <c r="CL14"/>
  <c r="CL20"/>
  <c r="CL10"/>
  <c r="CL18"/>
  <c r="CL44"/>
  <c r="CL21"/>
  <c r="CL24"/>
  <c r="CL31"/>
  <c r="CL26"/>
  <c r="CK47"/>
  <c r="S8"/>
  <c r="Q18" i="5" s="1"/>
  <c r="O18"/>
  <c r="BC8" i="7"/>
  <c r="W25" i="5" s="1"/>
  <c r="AC8" i="7"/>
  <c r="X20" i="5" s="1"/>
  <c r="BX8" i="7"/>
  <c r="W28" i="5" s="1"/>
  <c r="CI37" i="7"/>
  <c r="CJ37" s="1"/>
  <c r="CL12" i="4"/>
  <c r="CL19"/>
  <c r="CI40"/>
  <c r="CJ40" s="1"/>
  <c r="CL36"/>
  <c r="CI22"/>
  <c r="CJ22" s="1"/>
  <c r="CL42"/>
  <c r="AI8"/>
  <c r="P22" i="5" s="1"/>
  <c r="CF8" i="4"/>
  <c r="P30" i="5" s="1"/>
  <c r="CL13" i="4"/>
  <c r="AB8"/>
  <c r="P20" i="5" s="1"/>
  <c r="CL27" i="4"/>
  <c r="CP17" i="7" s="1"/>
  <c r="CR17" s="1"/>
  <c r="CL37" i="4"/>
  <c r="CI44"/>
  <c r="CJ44" s="1"/>
  <c r="CL23"/>
  <c r="CL33"/>
  <c r="CK39"/>
  <c r="CL43"/>
  <c r="AB8" i="7"/>
  <c r="W20" i="5" s="1"/>
  <c r="CF8" i="7"/>
  <c r="W30" i="5" s="1"/>
  <c r="BJ8" i="7"/>
  <c r="W26" i="5" s="1"/>
  <c r="CI36" i="7"/>
  <c r="CJ36" s="1"/>
  <c r="CK36" s="1"/>
  <c r="CI38"/>
  <c r="CJ38" s="1"/>
  <c r="CK38" s="1"/>
  <c r="BY45"/>
  <c r="R8"/>
  <c r="W18" i="5" s="1"/>
  <c r="CI9" i="7"/>
  <c r="CJ9" s="1"/>
  <c r="CK9" s="1"/>
  <c r="AP8"/>
  <c r="W23" i="5" s="1"/>
  <c r="CI21" i="7"/>
  <c r="CJ21" s="1"/>
  <c r="CK21" s="1"/>
  <c r="CK29" i="4"/>
  <c r="AC8"/>
  <c r="Q20" i="5" s="1"/>
  <c r="S9" i="4"/>
  <c r="CI9" s="1"/>
  <c r="CJ9" s="1"/>
  <c r="CK9" s="1"/>
  <c r="CL11"/>
  <c r="CL39"/>
  <c r="CI13"/>
  <c r="CJ13" s="1"/>
  <c r="S12"/>
  <c r="CI12" s="1"/>
  <c r="CJ12" s="1"/>
  <c r="CL47"/>
  <c r="R8"/>
  <c r="P18" i="5" s="1"/>
  <c r="CL8" i="4"/>
  <c r="CI20"/>
  <c r="CJ20" s="1"/>
  <c r="CL32"/>
  <c r="CI43"/>
  <c r="CJ43" s="1"/>
  <c r="CL41"/>
  <c r="CI16"/>
  <c r="CJ16" s="1"/>
  <c r="CL35"/>
  <c r="CL45"/>
  <c r="CK45"/>
  <c r="BY42"/>
  <c r="CI38"/>
  <c r="CJ38" s="1"/>
  <c r="CI14"/>
  <c r="CJ14" s="1"/>
  <c r="CK23"/>
  <c r="CK42"/>
  <c r="CI10"/>
  <c r="CJ10" s="1"/>
  <c r="CI19"/>
  <c r="CJ19" s="1"/>
  <c r="CK32"/>
  <c r="S15"/>
  <c r="CI15" s="1"/>
  <c r="CJ15" s="1"/>
  <c r="CL17"/>
  <c r="S17"/>
  <c r="CI17" s="1"/>
  <c r="CJ17" s="1"/>
  <c r="CK35"/>
  <c r="S18"/>
  <c r="CI18" s="1"/>
  <c r="CJ18" s="1"/>
  <c r="AM9" i="6"/>
  <c r="AF9"/>
  <c r="V9"/>
  <c r="N9"/>
  <c r="I9"/>
  <c r="CT27" i="7" l="1"/>
  <c r="CK27" i="4"/>
  <c r="CK37" i="7"/>
  <c r="CU37"/>
  <c r="CV37" s="1"/>
  <c r="CI8"/>
  <c r="CJ8" s="1"/>
  <c r="CK8" s="1"/>
  <c r="CK36" i="4"/>
  <c r="CK46"/>
  <c r="CK26"/>
  <c r="CK24"/>
  <c r="CK30"/>
  <c r="CK25"/>
  <c r="CI8"/>
  <c r="CJ8" s="1"/>
  <c r="CK13"/>
  <c r="CK12"/>
  <c r="CK44"/>
  <c r="CK43"/>
  <c r="CK14"/>
  <c r="CK18"/>
  <c r="CK10"/>
  <c r="CK15"/>
  <c r="CK19"/>
  <c r="CK22"/>
  <c r="CK20"/>
  <c r="CK38"/>
  <c r="CK40"/>
  <c r="CK41"/>
  <c r="CK17"/>
  <c r="CK16"/>
  <c r="CI36" i="6"/>
  <c r="CJ36" s="1"/>
  <c r="CK36" s="1"/>
  <c r="CI28"/>
  <c r="CJ28" s="1"/>
  <c r="CS27" i="7" s="1"/>
  <c r="CI30" i="6"/>
  <c r="CJ30" s="1"/>
  <c r="CS29" i="7" s="1"/>
  <c r="CV29" s="1"/>
  <c r="CI31" i="6"/>
  <c r="CJ31" s="1"/>
  <c r="P28"/>
  <c r="P30"/>
  <c r="P31"/>
  <c r="P33"/>
  <c r="P34"/>
  <c r="P35"/>
  <c r="P36"/>
  <c r="P37"/>
  <c r="P38"/>
  <c r="P39"/>
  <c r="P40"/>
  <c r="P29"/>
  <c r="P32"/>
  <c r="K28"/>
  <c r="K30"/>
  <c r="Q30" s="1"/>
  <c r="K31"/>
  <c r="K33"/>
  <c r="K34"/>
  <c r="K35"/>
  <c r="K36"/>
  <c r="K37"/>
  <c r="K38"/>
  <c r="K39"/>
  <c r="K40"/>
  <c r="K41"/>
  <c r="K42"/>
  <c r="K43"/>
  <c r="K44"/>
  <c r="K45"/>
  <c r="K46"/>
  <c r="K29"/>
  <c r="K32"/>
  <c r="K47"/>
  <c r="K48"/>
  <c r="AE5" i="5"/>
  <c r="CV27" i="7" l="1"/>
  <c r="CI33" i="6"/>
  <c r="CJ33" s="1"/>
  <c r="CK33" s="1"/>
  <c r="CI34"/>
  <c r="CJ34" s="1"/>
  <c r="CK34" s="1"/>
  <c r="CK8" i="4"/>
  <c r="CI32" i="6"/>
  <c r="CJ32" s="1"/>
  <c r="CK32" s="1"/>
  <c r="CI29"/>
  <c r="CJ29" s="1"/>
  <c r="CK29" s="1"/>
  <c r="CL40"/>
  <c r="CM36"/>
  <c r="CK31"/>
  <c r="CM31"/>
  <c r="CM30"/>
  <c r="CK30"/>
  <c r="CK28"/>
  <c r="CM28"/>
  <c r="CL38"/>
  <c r="CL36"/>
  <c r="CL37"/>
  <c r="CL33"/>
  <c r="CL34"/>
  <c r="CL35"/>
  <c r="CL30"/>
  <c r="CO23" i="7" s="1"/>
  <c r="CR23" s="1"/>
  <c r="CL31" i="6"/>
  <c r="CL28"/>
  <c r="CO21" i="7" s="1"/>
  <c r="CR21" s="1"/>
  <c r="K14" i="6"/>
  <c r="K16"/>
  <c r="K26"/>
  <c r="K50"/>
  <c r="P21"/>
  <c r="P44"/>
  <c r="R18" i="5"/>
  <c r="K18"/>
  <c r="O21"/>
  <c r="F23"/>
  <c r="AA23" s="1"/>
  <c r="AA22"/>
  <c r="F19"/>
  <c r="AA19" s="1"/>
  <c r="F18"/>
  <c r="AA18" s="1"/>
  <c r="E27"/>
  <c r="E25"/>
  <c r="E23"/>
  <c r="E21"/>
  <c r="E20"/>
  <c r="E19"/>
  <c r="E18"/>
  <c r="D20"/>
  <c r="D19"/>
  <c r="J21"/>
  <c r="J19"/>
  <c r="H21"/>
  <c r="H19"/>
  <c r="D18"/>
  <c r="D10"/>
  <c r="D9"/>
  <c r="D5"/>
  <c r="BW9" i="6"/>
  <c r="BI9"/>
  <c r="AU9"/>
  <c r="AO9"/>
  <c r="Y9"/>
  <c r="P9"/>
  <c r="K10"/>
  <c r="K11"/>
  <c r="K12"/>
  <c r="K13"/>
  <c r="K15"/>
  <c r="K17"/>
  <c r="K18"/>
  <c r="K19"/>
  <c r="K20"/>
  <c r="K21"/>
  <c r="K22"/>
  <c r="K23"/>
  <c r="K24"/>
  <c r="K25"/>
  <c r="K27"/>
  <c r="K9"/>
  <c r="P46"/>
  <c r="P43"/>
  <c r="P42"/>
  <c r="P41"/>
  <c r="P27"/>
  <c r="P26"/>
  <c r="P25"/>
  <c r="P23"/>
  <c r="P20"/>
  <c r="P19"/>
  <c r="P18"/>
  <c r="P17"/>
  <c r="P16"/>
  <c r="P15"/>
  <c r="P14"/>
  <c r="P13"/>
  <c r="K9" i="2"/>
  <c r="CM33" i="6" l="1"/>
  <c r="CM34"/>
  <c r="CM29"/>
  <c r="CL43"/>
  <c r="CM32"/>
  <c r="CL32"/>
  <c r="P50"/>
  <c r="CL29"/>
  <c r="AQ9"/>
  <c r="AP9"/>
  <c r="CI39"/>
  <c r="CJ39" s="1"/>
  <c r="CM39" s="1"/>
  <c r="CL39"/>
  <c r="CI37"/>
  <c r="CJ37" s="1"/>
  <c r="CI35"/>
  <c r="CJ35" s="1"/>
  <c r="CI38"/>
  <c r="CJ38" s="1"/>
  <c r="P48"/>
  <c r="Z21" i="5"/>
  <c r="Z18"/>
  <c r="Z19"/>
  <c r="Z26"/>
  <c r="Z23"/>
  <c r="Z28"/>
  <c r="Z25"/>
  <c r="Z27"/>
  <c r="Y18"/>
  <c r="Y19"/>
  <c r="CL42" i="6"/>
  <c r="CL41"/>
  <c r="Y20" i="5"/>
  <c r="Y21"/>
  <c r="CE9" i="6"/>
  <c r="BY9"/>
  <c r="BP9"/>
  <c r="BK9"/>
  <c r="BD9"/>
  <c r="J25" i="5" s="1"/>
  <c r="AH9" i="6"/>
  <c r="AJ9" s="1"/>
  <c r="P47"/>
  <c r="P24"/>
  <c r="P12"/>
  <c r="P11"/>
  <c r="P45"/>
  <c r="P22"/>
  <c r="P10"/>
  <c r="Z9"/>
  <c r="AA9" s="1"/>
  <c r="AC9" s="1"/>
  <c r="Q9"/>
  <c r="AW9"/>
  <c r="AC18" i="5" l="1"/>
  <c r="CL47" i="6"/>
  <c r="CL48"/>
  <c r="CL44"/>
  <c r="CL50"/>
  <c r="CL46"/>
  <c r="CL45"/>
  <c r="S9"/>
  <c r="J18" i="5" s="1"/>
  <c r="CM38" i="6"/>
  <c r="CK38"/>
  <c r="CK37"/>
  <c r="CM37"/>
  <c r="CG9"/>
  <c r="CK35"/>
  <c r="CM35"/>
  <c r="CH9"/>
  <c r="BR9"/>
  <c r="H22" i="5"/>
  <c r="CI14" i="6"/>
  <c r="CJ14" s="1"/>
  <c r="CK14" s="1"/>
  <c r="CL15"/>
  <c r="CL13"/>
  <c r="CL18"/>
  <c r="X30" i="5"/>
  <c r="J22"/>
  <c r="CL22" i="6"/>
  <c r="CL26"/>
  <c r="CL20"/>
  <c r="CL19"/>
  <c r="H18" i="5"/>
  <c r="BX9" i="6"/>
  <c r="CI50"/>
  <c r="CJ50" s="1"/>
  <c r="BQ9"/>
  <c r="I27" i="5" s="1"/>
  <c r="CF9" i="6"/>
  <c r="I30" i="5" s="1"/>
  <c r="BC9" i="6"/>
  <c r="AV9"/>
  <c r="BJ9"/>
  <c r="AI9"/>
  <c r="I22" i="5" s="1"/>
  <c r="CI13" i="6" l="1"/>
  <c r="CJ13" s="1"/>
  <c r="CK13" s="1"/>
  <c r="CL11"/>
  <c r="CI45"/>
  <c r="CJ45" s="1"/>
  <c r="CK45" s="1"/>
  <c r="CI27"/>
  <c r="CJ27" s="1"/>
  <c r="CK27" s="1"/>
  <c r="CL23"/>
  <c r="CL12"/>
  <c r="CI16"/>
  <c r="CJ16" s="1"/>
  <c r="CK16" s="1"/>
  <c r="CI24"/>
  <c r="CJ24" s="1"/>
  <c r="CK24" s="1"/>
  <c r="CI18"/>
  <c r="CJ18" s="1"/>
  <c r="CK18" s="1"/>
  <c r="CL27"/>
  <c r="CL14"/>
  <c r="CI10"/>
  <c r="CJ10" s="1"/>
  <c r="CK10" s="1"/>
  <c r="CL10"/>
  <c r="CL16"/>
  <c r="CI21"/>
  <c r="CJ21" s="1"/>
  <c r="CK21" s="1"/>
  <c r="CL21"/>
  <c r="CI46"/>
  <c r="CJ46" s="1"/>
  <c r="CK46" s="1"/>
  <c r="CL17"/>
  <c r="CL24"/>
  <c r="CL25"/>
  <c r="I24" i="5"/>
  <c r="I28"/>
  <c r="I26"/>
  <c r="I25"/>
  <c r="CI9" i="6"/>
  <c r="CJ9" s="1"/>
  <c r="CK9" s="1"/>
  <c r="CI11"/>
  <c r="CJ11" s="1"/>
  <c r="CK11" s="1"/>
  <c r="CI15"/>
  <c r="CJ15" s="1"/>
  <c r="CK15" s="1"/>
  <c r="CI12"/>
  <c r="CJ12" s="1"/>
  <c r="CK12" s="1"/>
  <c r="V31" i="5"/>
  <c r="J20"/>
  <c r="CI43" i="6"/>
  <c r="CJ43" s="1"/>
  <c r="CI22"/>
  <c r="CJ22" s="1"/>
  <c r="CI44"/>
  <c r="CJ44" s="1"/>
  <c r="CI42"/>
  <c r="CJ42" s="1"/>
  <c r="CK39"/>
  <c r="CI26"/>
  <c r="CJ26" s="1"/>
  <c r="CK26" s="1"/>
  <c r="CI23"/>
  <c r="CJ23" s="1"/>
  <c r="CK23" s="1"/>
  <c r="AB9"/>
  <c r="I20" i="5" s="1"/>
  <c r="CI20" i="6"/>
  <c r="CJ20" s="1"/>
  <c r="CK20" s="1"/>
  <c r="CI19"/>
  <c r="CJ19" s="1"/>
  <c r="CK19" s="1"/>
  <c r="CI41"/>
  <c r="CJ41" s="1"/>
  <c r="CI17"/>
  <c r="CJ17" s="1"/>
  <c r="CK17" s="1"/>
  <c r="R9"/>
  <c r="I18" i="5" s="1"/>
  <c r="CI40" i="6"/>
  <c r="CJ40" s="1"/>
  <c r="CM40" s="1"/>
  <c r="CI47"/>
  <c r="CJ47" s="1"/>
  <c r="CI48"/>
  <c r="CJ48" s="1"/>
  <c r="CM50"/>
  <c r="CK50"/>
  <c r="CI25"/>
  <c r="CJ25" s="1"/>
  <c r="CK25" s="1"/>
  <c r="CM16" l="1"/>
  <c r="I23" i="5"/>
  <c r="H31"/>
  <c r="CK44" i="6"/>
  <c r="CM44"/>
  <c r="CK43"/>
  <c r="CM43"/>
  <c r="CK42"/>
  <c r="CM42"/>
  <c r="CK41"/>
  <c r="CM41"/>
  <c r="CM22"/>
  <c r="CK22"/>
  <c r="CM18"/>
  <c r="CM26"/>
  <c r="CM9"/>
  <c r="CM11"/>
  <c r="CM46"/>
  <c r="CM14"/>
  <c r="CM45"/>
  <c r="CM13"/>
  <c r="CM12"/>
  <c r="CM27"/>
  <c r="CM23"/>
  <c r="CM21"/>
  <c r="CM17"/>
  <c r="CM10"/>
  <c r="CM47"/>
  <c r="CM15"/>
  <c r="CK40"/>
  <c r="CM19"/>
  <c r="CM24"/>
  <c r="CK47"/>
  <c r="CM20"/>
  <c r="CK48"/>
  <c r="CM48"/>
  <c r="CM25"/>
  <c r="K10" i="2"/>
  <c r="K7" l="1"/>
  <c r="H31"/>
  <c r="H25"/>
  <c r="G31"/>
  <c r="G29"/>
  <c r="G28"/>
  <c r="G27"/>
  <c r="G26"/>
  <c r="G25"/>
  <c r="G24"/>
  <c r="G23"/>
  <c r="G20"/>
  <c r="G19"/>
  <c r="E31"/>
  <c r="E29"/>
  <c r="E28"/>
  <c r="E27"/>
  <c r="E26"/>
  <c r="E24"/>
  <c r="E23"/>
  <c r="E22"/>
  <c r="E21"/>
  <c r="E20"/>
  <c r="F27"/>
  <c r="F26"/>
  <c r="F24"/>
  <c r="Z22" i="5"/>
  <c r="AB30"/>
  <c r="E19" i="2"/>
  <c r="D8"/>
  <c r="D7"/>
  <c r="D6"/>
  <c r="Z20" i="5" l="1"/>
  <c r="AC20" s="1"/>
  <c r="F20" i="2"/>
  <c r="F29"/>
  <c r="F28"/>
  <c r="F21"/>
  <c r="F22"/>
  <c r="F23"/>
  <c r="F31"/>
  <c r="F19"/>
  <c r="I21"/>
  <c r="AD20" i="5" l="1"/>
  <c r="AD18"/>
  <c r="K8" i="2"/>
  <c r="K21" l="1"/>
  <c r="L21" s="1"/>
  <c r="Y22" i="5"/>
  <c r="AC22" s="1"/>
  <c r="AD22" s="1"/>
  <c r="K19" i="2"/>
  <c r="L19" s="1"/>
  <c r="I19"/>
  <c r="D9"/>
  <c r="D10" l="1"/>
  <c r="M10" l="1"/>
  <c r="AD24" i="5"/>
  <c r="Q30" l="1"/>
  <c r="I23" i="2"/>
  <c r="Y23" i="5"/>
  <c r="AC23" s="1"/>
  <c r="I28" i="2"/>
  <c r="I25"/>
  <c r="G36"/>
  <c r="J21"/>
  <c r="M25"/>
  <c r="M31"/>
  <c r="M29"/>
  <c r="M27"/>
  <c r="M23"/>
  <c r="M21"/>
  <c r="M30"/>
  <c r="M28"/>
  <c r="M26"/>
  <c r="M22"/>
  <c r="M20"/>
  <c r="AD23" i="5" l="1"/>
  <c r="O31"/>
  <c r="J31" i="2"/>
  <c r="J24"/>
  <c r="I29"/>
  <c r="I24"/>
  <c r="I27"/>
  <c r="K23"/>
  <c r="L23" s="1"/>
  <c r="I26"/>
  <c r="I31"/>
  <c r="K31"/>
  <c r="L31" s="1"/>
  <c r="J23"/>
  <c r="J26"/>
  <c r="I34"/>
  <c r="H34"/>
  <c r="G34"/>
  <c r="M24"/>
  <c r="M32"/>
  <c r="J19"/>
  <c r="K29" l="1"/>
  <c r="L29" s="1"/>
  <c r="Y30" i="5"/>
  <c r="AC30" s="1"/>
  <c r="AD30" s="1"/>
  <c r="K28" i="2"/>
  <c r="L28" s="1"/>
  <c r="Y28" i="5"/>
  <c r="AC28" s="1"/>
  <c r="AD28" s="1"/>
  <c r="K27" i="2"/>
  <c r="L27" s="1"/>
  <c r="Y27" i="5"/>
  <c r="AC27" s="1"/>
  <c r="AD27" s="1"/>
  <c r="K26" i="2"/>
  <c r="L26" s="1"/>
  <c r="Y26" i="5"/>
  <c r="AC26" s="1"/>
  <c r="AD26" s="1"/>
  <c r="K25" i="2"/>
  <c r="L25" s="1"/>
  <c r="Y25" i="5"/>
  <c r="AC25" s="1"/>
  <c r="AD25" s="1"/>
  <c r="K24" i="2"/>
  <c r="L24" s="1"/>
  <c r="Y24" i="5"/>
  <c r="J27" i="2"/>
  <c r="J28"/>
  <c r="J29"/>
  <c r="J25"/>
  <c r="I32"/>
  <c r="AE18" i="5" l="1"/>
  <c r="AC31"/>
  <c r="F36" i="2"/>
  <c r="M19"/>
  <c r="F34"/>
</calcChain>
</file>

<file path=xl/sharedStrings.xml><?xml version="1.0" encoding="utf-8"?>
<sst xmlns="http://schemas.openxmlformats.org/spreadsheetml/2006/main" count="919" uniqueCount="275">
  <si>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</si>
  <si>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</si>
  <si>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</si>
  <si>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</si>
  <si>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</si>
  <si>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</si>
  <si>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</si>
  <si>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</si>
  <si>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</si>
  <si>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</si>
  <si>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ACCOUNTING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</si>
  <si>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</si>
  <si>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</si>
  <si>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</si>
  <si>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</si>
  <si>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</si>
  <si>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</si>
  <si>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</si>
  <si>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</si>
  <si>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</si>
  <si>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</si>
  <si>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Father's Name</t>
  </si>
  <si>
    <t>HIGHST
MARKS</t>
  </si>
  <si>
    <t>SCIENCE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</si>
  <si>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</si>
  <si>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</si>
  <si>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</si>
  <si>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</si>
  <si>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</si>
  <si>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</si>
  <si>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</si>
  <si>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</si>
  <si>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</si>
  <si>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</si>
  <si>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</si>
  <si>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</si>
  <si>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</si>
  <si>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</si>
  <si>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AGRICULTURE</t>
  </si>
  <si>
    <t>G. TOTAL / TOTAL MARKS</t>
  </si>
  <si>
    <t>ABOVE - 2</t>
  </si>
  <si>
    <t>STUDENTS BEHAVIOURS AND SKILL</t>
  </si>
  <si>
    <t>POSITION OF THE EXAMINEE</t>
  </si>
  <si>
    <t>PRINCIPAL SIGNATURE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</si>
  <si>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</si>
  <si>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</si>
  <si>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</si>
  <si>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</si>
  <si>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</si>
  <si>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</si>
  <si>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</si>
  <si>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</si>
  <si>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 xml:space="preserve"> SCIENCE</t>
  </si>
  <si>
    <t>BUSINESS ENTERP</t>
  </si>
  <si>
    <t>FINANS AND BANKING</t>
  </si>
  <si>
    <t>RANK OF STUDENT</t>
  </si>
  <si>
    <t>BUSINESS ETP</t>
  </si>
  <si>
    <t>FINANCE AND BANKNIG</t>
  </si>
  <si>
    <t xml:space="preserve">STUDENT'S NAME </t>
  </si>
  <si>
    <t xml:space="preserve">FATHER'S NAME </t>
  </si>
  <si>
    <t xml:space="preserve">MOTHER'S NAME </t>
  </si>
  <si>
    <t xml:space="preserve">CLASS TEACHER </t>
  </si>
  <si>
    <t xml:space="preserve">MOBILE NUMBER </t>
  </si>
  <si>
    <t xml:space="preserve">CLASS </t>
  </si>
  <si>
    <t xml:space="preserve">WORKING DAYS </t>
  </si>
  <si>
    <t xml:space="preserve">  ROLL NO.</t>
  </si>
  <si>
    <t xml:space="preserve">  SECTION </t>
  </si>
  <si>
    <t xml:space="preserve">       TOTAL STUDENT </t>
  </si>
  <si>
    <t>NINE</t>
  </si>
  <si>
    <t xml:space="preserve">  </t>
  </si>
  <si>
    <t>MT+CR</t>
  </si>
  <si>
    <t>GP-1</t>
  </si>
  <si>
    <t>TOTAL
100%</t>
  </si>
  <si>
    <t>GRADE</t>
  </si>
  <si>
    <t>CLASS TEACHER</t>
  </si>
  <si>
    <t>MD.ABDUL AZIZ</t>
  </si>
  <si>
    <t>BUSINESS</t>
  </si>
  <si>
    <r>
      <rPr>
        <b/>
        <sz val="12"/>
        <color theme="3" tint="-0.249977111117893"/>
        <rFont val="Cooper Black"/>
        <family val="1"/>
      </rPr>
      <t xml:space="preserve">       </t>
    </r>
    <r>
      <rPr>
        <b/>
        <sz val="18"/>
        <color theme="3" tint="-0.249977111117893"/>
        <rFont val="Cooper Black"/>
        <family val="1"/>
      </rPr>
      <t>AMIN CADET ACADEMY</t>
    </r>
    <r>
      <rPr>
        <b/>
        <sz val="18"/>
        <color theme="3" tint="-0.249977111117893"/>
        <rFont val="Ebrima"/>
      </rPr>
      <t xml:space="preserve">
</t>
    </r>
    <r>
      <rPr>
        <b/>
        <sz val="10"/>
        <color theme="3" tint="-0.249977111117893"/>
        <rFont val="Ebrima"/>
      </rPr>
      <t>Amin Model Town, Savar Cantonment, Ashulia, Dhaka-1344.</t>
    </r>
    <r>
      <rPr>
        <b/>
        <sz val="12"/>
        <color theme="3" tint="-0.249977111117893"/>
        <rFont val="Ebrima"/>
      </rPr>
      <t xml:space="preserve">
</t>
    </r>
    <r>
      <rPr>
        <b/>
        <sz val="14"/>
        <color theme="3" tint="-0.249977111117893"/>
        <rFont val="Ebrima"/>
      </rPr>
      <t>2nd Semester Examination</t>
    </r>
    <r>
      <rPr>
        <b/>
        <sz val="12"/>
        <color theme="3" tint="-0.249977111117893"/>
        <rFont val="Ebrima"/>
      </rPr>
      <t xml:space="preserve">
Progressive Report - 2023</t>
    </r>
  </si>
  <si>
    <t xml:space="preserve">Name Of The Student </t>
  </si>
  <si>
    <t>:</t>
  </si>
  <si>
    <t xml:space="preserve">Class </t>
  </si>
  <si>
    <t>Section</t>
  </si>
  <si>
    <t>Roll No.</t>
  </si>
  <si>
    <t xml:space="preserve">Father's Name </t>
  </si>
  <si>
    <t xml:space="preserve">Mother's Name </t>
  </si>
  <si>
    <t>Class Teacher</t>
  </si>
  <si>
    <t>Name of the Subjects</t>
  </si>
  <si>
    <t>Final Result</t>
  </si>
  <si>
    <t>Term Exam</t>
  </si>
  <si>
    <t>Average Marks of Continuous Assesment</t>
  </si>
  <si>
    <t>Average Marks of  Creative</t>
  </si>
  <si>
    <t>Average Marks of Objective</t>
  </si>
  <si>
    <t>Average Marks of Practical</t>
  </si>
  <si>
    <t>C.GPA</t>
  </si>
  <si>
    <t xml:space="preserve">RELIGION </t>
  </si>
  <si>
    <t>Nine</t>
  </si>
  <si>
    <t>Business</t>
  </si>
  <si>
    <t>MT + CR</t>
  </si>
  <si>
    <t>Abdul Aziz</t>
  </si>
  <si>
    <t xml:space="preserve">                                                            </t>
  </si>
  <si>
    <t>All Semester Total Marks</t>
  </si>
  <si>
    <t>1st semester</t>
  </si>
  <si>
    <t>2nd Semester</t>
  </si>
  <si>
    <t>3rd Semester</t>
  </si>
  <si>
    <t>Avarege</t>
  </si>
  <si>
    <t>Rank</t>
  </si>
  <si>
    <t xml:space="preserve"> </t>
  </si>
  <si>
    <t>Final Position Of The Examination</t>
  </si>
  <si>
    <t>ABOVE-2</t>
  </si>
  <si>
    <r>
      <rPr>
        <b/>
        <sz val="18"/>
        <color theme="1"/>
        <rFont val="Cambria"/>
        <family val="1"/>
        <scheme val="major"/>
      </rPr>
      <t>AMIN CADET RESIDENTIAL ACADEMY</t>
    </r>
    <r>
      <rPr>
        <b/>
        <sz val="11"/>
        <color theme="1"/>
        <rFont val="Cambria"/>
        <family val="1"/>
        <scheme val="major"/>
      </rPr>
      <t xml:space="preserve">
Amin Model Town, Savar Cantonment, Ashulia, Dhaka-1344.
Annual Examination Result -2025
</t>
    </r>
  </si>
  <si>
    <r>
      <rPr>
        <b/>
        <sz val="26"/>
        <rFont val="Times New Roman"/>
        <family val="1"/>
      </rPr>
      <t>AMIN CADET RESIDENTIAL ACADEMY</t>
    </r>
    <r>
      <rPr>
        <b/>
        <sz val="15"/>
        <rFont val="Calibri"/>
        <family val="2"/>
        <scheme val="minor"/>
      </rPr>
      <t xml:space="preserve">
</t>
    </r>
    <r>
      <rPr>
        <sz val="15"/>
        <rFont val="Times New Roman"/>
        <family val="1"/>
      </rPr>
      <t>Amin Model Town, Savar Cantonment, Ashulia, Dhaka - 1344.</t>
    </r>
    <r>
      <rPr>
        <b/>
        <sz val="15"/>
        <rFont val="Times New Roman"/>
        <family val="1"/>
      </rPr>
      <t xml:space="preserve">
3</t>
    </r>
    <r>
      <rPr>
        <b/>
        <vertAlign val="superscript"/>
        <sz val="15"/>
        <rFont val="Times New Roman"/>
        <family val="1"/>
      </rPr>
      <t>rd</t>
    </r>
    <r>
      <rPr>
        <b/>
        <sz val="15"/>
        <rFont val="Times New Roman"/>
        <family val="1"/>
      </rPr>
      <t xml:space="preserve"> SEMESTER TABULATION SHEET-2025
CLASS-9 (BUSINESS)</t>
    </r>
  </si>
  <si>
    <t>Mahim Arafat Mamun</t>
  </si>
  <si>
    <t>Md. Abdul Huque</t>
  </si>
  <si>
    <t>Asa Akter</t>
  </si>
  <si>
    <t>01850-371122</t>
  </si>
  <si>
    <t xml:space="preserve">Mahfuj Rahman Siam </t>
  </si>
  <si>
    <t xml:space="preserve">Fajal Haque </t>
  </si>
  <si>
    <t xml:space="preserve">Maksuda Begum </t>
  </si>
  <si>
    <t>01789-295910                                 01318-532614</t>
  </si>
  <si>
    <t>Md. Toriqul Islam</t>
  </si>
  <si>
    <t>Md. Nahid</t>
  </si>
  <si>
    <t>Salma Begum</t>
  </si>
  <si>
    <t>01712-570904   01911-032649</t>
  </si>
  <si>
    <t xml:space="preserve">Samiul Ahamed Siam </t>
  </si>
  <si>
    <t>Md. Sohel</t>
  </si>
  <si>
    <t xml:space="preserve">Sonia Akter </t>
  </si>
  <si>
    <t xml:space="preserve">01626-842516     </t>
  </si>
  <si>
    <t xml:space="preserve">Md. Tahamid Amin Alve </t>
  </si>
  <si>
    <t xml:space="preserve">Shafikul Islam Rubel </t>
  </si>
  <si>
    <t xml:space="preserve">Nagmon Naher </t>
  </si>
  <si>
    <t>01714-980124     01926-065084</t>
  </si>
  <si>
    <t xml:space="preserve">Sayem Miah </t>
  </si>
  <si>
    <t xml:space="preserve">Md. Ziaur Rahman </t>
  </si>
  <si>
    <t xml:space="preserve">Mosammad Sharmin Akter </t>
  </si>
  <si>
    <t>01626-536429                        01626-157424</t>
  </si>
  <si>
    <t xml:space="preserve">Abu Saleh Shakib </t>
  </si>
  <si>
    <t xml:space="preserve">Md. Belal Hossain </t>
  </si>
  <si>
    <t xml:space="preserve">Mst. Sokhina Khatun </t>
  </si>
  <si>
    <t>01780-667041</t>
  </si>
  <si>
    <t>Rihadul Islam Siam</t>
  </si>
  <si>
    <t xml:space="preserve">Md. Jasim Uddin </t>
  </si>
  <si>
    <t xml:space="preserve">Rukhshana </t>
  </si>
  <si>
    <t>01715-178250     01720-008001</t>
  </si>
  <si>
    <t xml:space="preserve">Md. Sajjad Hossain </t>
  </si>
  <si>
    <t>Md. Jasim Uddin</t>
  </si>
  <si>
    <t>Aysha Akter Shathey</t>
  </si>
  <si>
    <t>01715-178250   01741-894676</t>
  </si>
  <si>
    <t xml:space="preserve">Md. Samiul Islam Sayem </t>
  </si>
  <si>
    <t>Md. Agahar Ali</t>
  </si>
  <si>
    <t xml:space="preserve">Mst. Shafali Khatun </t>
  </si>
  <si>
    <t>01757-679681</t>
  </si>
  <si>
    <t>Mahin Ahammed Misil</t>
  </si>
  <si>
    <t xml:space="preserve">Md. Jowel Rana </t>
  </si>
  <si>
    <t xml:space="preserve">Mst. Mino Akther </t>
  </si>
  <si>
    <t>01745-242976</t>
  </si>
  <si>
    <t>Shuvo Chakma</t>
  </si>
  <si>
    <t>Shanti Priya Chakma</t>
  </si>
  <si>
    <t>Sonali Chakma</t>
  </si>
  <si>
    <t>01730-325851
01749-102613</t>
  </si>
  <si>
    <t>Jarfan Hasan</t>
  </si>
  <si>
    <t>01715-178250      01715-178250</t>
  </si>
  <si>
    <t xml:space="preserve">Md. Siam </t>
  </si>
  <si>
    <t xml:space="preserve">Md. Delwar Hossain </t>
  </si>
  <si>
    <t xml:space="preserve">Mst. Shahanaz </t>
  </si>
  <si>
    <t>01793-729674       01715-524192</t>
  </si>
  <si>
    <t xml:space="preserve">Safayat Islam Nibir </t>
  </si>
  <si>
    <t xml:space="preserve">Md. Abdus Salek </t>
  </si>
  <si>
    <t xml:space="preserve">Nasrin Akter </t>
  </si>
  <si>
    <t>01753-184900                   01787-784927</t>
  </si>
  <si>
    <t xml:space="preserve">Habibur Rhaman </t>
  </si>
  <si>
    <t xml:space="preserve">Juwel </t>
  </si>
  <si>
    <t>Hafiza</t>
  </si>
  <si>
    <t>01716-554412      01914-908962</t>
  </si>
  <si>
    <t>Md. Abdul Rabbi</t>
  </si>
  <si>
    <t>Md. Abul Hosain</t>
  </si>
  <si>
    <t>Sorna</t>
  </si>
  <si>
    <t>01932-037633
01737-609616</t>
  </si>
  <si>
    <t xml:space="preserve">Meharab Hasan Samir </t>
  </si>
  <si>
    <t>Md. Leton</t>
  </si>
  <si>
    <t>Rehana Kabir</t>
  </si>
  <si>
    <t>01642-910657</t>
  </si>
  <si>
    <t>Bayjid Bostami</t>
  </si>
  <si>
    <t>Samidul Islam</t>
  </si>
  <si>
    <t>Beauty Akter</t>
  </si>
  <si>
    <t>01738578307, 01969416618</t>
  </si>
  <si>
    <t>Mohammad Mynul Hasan</t>
  </si>
  <si>
    <t>Kamrul Hasan</t>
  </si>
  <si>
    <t xml:space="preserve">Moriom </t>
  </si>
  <si>
    <t>01712-094565</t>
  </si>
  <si>
    <t xml:space="preserve">Siam Hossain </t>
  </si>
  <si>
    <t xml:space="preserve">Rubel </t>
  </si>
  <si>
    <t xml:space="preserve">Rujina </t>
  </si>
  <si>
    <t>01998-701946</t>
  </si>
  <si>
    <t>Md. Ibrahim</t>
  </si>
  <si>
    <t>Md. Barakat Bapare</t>
  </si>
  <si>
    <t>Kamrun Nahar</t>
  </si>
  <si>
    <t>01915-343781</t>
  </si>
  <si>
    <t>Arian Mahmud Nafiu</t>
  </si>
  <si>
    <t>Sukur Mahmud</t>
  </si>
  <si>
    <t>Nusrat Jahan Pinu</t>
  </si>
  <si>
    <t>01684-320515</t>
  </si>
  <si>
    <t xml:space="preserve">Md. Abidur Rahman </t>
  </si>
  <si>
    <t xml:space="preserve">Md. Anisur Rahman </t>
  </si>
  <si>
    <t>Nupor Akther</t>
  </si>
  <si>
    <t>01814-240156               01785-533900</t>
  </si>
  <si>
    <t>Md. Ashraful Islam Nirob</t>
  </si>
  <si>
    <t>Md. Habibur Rahman</t>
  </si>
  <si>
    <t>Aysha Akter Asa</t>
  </si>
  <si>
    <t>01900-506707</t>
  </si>
  <si>
    <t xml:space="preserve">Md. Johirul Islam Rabby </t>
  </si>
  <si>
    <t xml:space="preserve">Md. Rubel Mia </t>
  </si>
  <si>
    <t xml:space="preserve">Sanjida </t>
  </si>
  <si>
    <t>01826-367737</t>
  </si>
  <si>
    <t xml:space="preserve">Masud Kaysar </t>
  </si>
  <si>
    <t xml:space="preserve">Aminul Islam </t>
  </si>
  <si>
    <t>Monowara Begum</t>
  </si>
  <si>
    <t>01408-907265</t>
  </si>
  <si>
    <t xml:space="preserve">Aiman </t>
  </si>
  <si>
    <t>Santo Miah</t>
  </si>
  <si>
    <t xml:space="preserve">Nazmun Nahar Raheema </t>
  </si>
  <si>
    <t>01615-819048                     01688-384446</t>
  </si>
  <si>
    <t>Md. Ariyan Hossain Rizu</t>
  </si>
  <si>
    <t>Md. Anowar Hossain</t>
  </si>
  <si>
    <t>Mukta</t>
  </si>
  <si>
    <t>01935-088009                                 01705-129100</t>
  </si>
  <si>
    <t xml:space="preserve">Md. Shimul Khan </t>
  </si>
  <si>
    <t xml:space="preserve">Md. Mahafijur Rahaman </t>
  </si>
  <si>
    <t xml:space="preserve">Sima Akter </t>
  </si>
  <si>
    <t>01690-268641                      01759-513162</t>
  </si>
  <si>
    <t xml:space="preserve">Md. Siam Ahamed </t>
  </si>
  <si>
    <t>Md. Sorn Ahmed</t>
  </si>
  <si>
    <t>Malaka</t>
  </si>
  <si>
    <t>01799-871662</t>
  </si>
  <si>
    <t xml:space="preserve">Hafiz Uddin Sourov </t>
  </si>
  <si>
    <t>Reaz Uddin Ahmed</t>
  </si>
  <si>
    <t xml:space="preserve">Hafsa Akter </t>
  </si>
  <si>
    <t>01680-092093     01799-223689</t>
  </si>
  <si>
    <t xml:space="preserve">Abdhulla Al Fahim </t>
  </si>
  <si>
    <t xml:space="preserve">Mohammed Hannan Talukder </t>
  </si>
  <si>
    <t xml:space="preserve">Fatema Khanam </t>
  </si>
  <si>
    <t>01715-560243     01675-827300</t>
  </si>
  <si>
    <t xml:space="preserve">Md Tuhin Hasan </t>
  </si>
  <si>
    <t xml:space="preserve">Jabed Mia </t>
  </si>
  <si>
    <t xml:space="preserve">Eysmin Begum </t>
  </si>
  <si>
    <t>01864-359982     01850-559675</t>
  </si>
  <si>
    <t xml:space="preserve">Md. Mominur Rahman </t>
  </si>
  <si>
    <t xml:space="preserve">Abdur Rahman </t>
  </si>
  <si>
    <t xml:space="preserve">Monira Akther </t>
  </si>
  <si>
    <t>01724-449908</t>
  </si>
  <si>
    <t xml:space="preserve">Md. Amir Hamza Mollik </t>
  </si>
  <si>
    <t xml:space="preserve">Md. Imran Mollik </t>
  </si>
  <si>
    <t xml:space="preserve">Lakhi Parvin </t>
  </si>
  <si>
    <t>01922-401172     01754-589941</t>
  </si>
  <si>
    <t xml:space="preserve">Rezvi Ahmed Naiym  </t>
  </si>
  <si>
    <t xml:space="preserve">Md. Wazed Ali </t>
  </si>
  <si>
    <t xml:space="preserve">Nasima Begum </t>
  </si>
  <si>
    <t xml:space="preserve">01730-207557                               </t>
  </si>
  <si>
    <t xml:space="preserve">Md. Saad Bin Abu Bakar </t>
  </si>
  <si>
    <t xml:space="preserve">Md. Abu Bakar Siddique </t>
  </si>
  <si>
    <t xml:space="preserve">Mst. Fahima Khatun </t>
  </si>
  <si>
    <t>01757-582539                          01311-450789</t>
  </si>
  <si>
    <t>Rakibul Hasan Rakib</t>
  </si>
  <si>
    <r>
      <rPr>
        <b/>
        <sz val="26"/>
        <rFont val="Times New Roman"/>
        <family val="1"/>
      </rPr>
      <t>AMIN CADET RESIDENTIAL ACADEMY</t>
    </r>
    <r>
      <rPr>
        <b/>
        <sz val="15"/>
        <rFont val="Calibri"/>
        <family val="2"/>
        <scheme val="minor"/>
      </rPr>
      <t xml:space="preserve">
</t>
    </r>
    <r>
      <rPr>
        <sz val="15"/>
        <rFont val="Times New Roman"/>
        <family val="1"/>
      </rPr>
      <t>Amin Model Town, Savar Cantonment, Ashulia, Dhaka - 1344.</t>
    </r>
    <r>
      <rPr>
        <b/>
        <sz val="15"/>
        <rFont val="Times New Roman"/>
        <family val="1"/>
      </rPr>
      <t xml:space="preserve">
1ST SEMESTER TABULATION SHEET-2025
CLASS-9 (BUSINESS)</t>
    </r>
  </si>
  <si>
    <r>
      <rPr>
        <b/>
        <sz val="26"/>
        <rFont val="Times New Roman"/>
        <family val="1"/>
      </rPr>
      <t>AMIN CADET RESIDENTIAL ACADEMY</t>
    </r>
    <r>
      <rPr>
        <b/>
        <sz val="15"/>
        <rFont val="Calibri"/>
        <family val="2"/>
        <scheme val="minor"/>
      </rPr>
      <t xml:space="preserve">
</t>
    </r>
    <r>
      <rPr>
        <sz val="15"/>
        <rFont val="Times New Roman"/>
        <family val="1"/>
      </rPr>
      <t>Amin Model Town, Savar Cantonment, Ashulia, Dhaka - 1344.</t>
    </r>
    <r>
      <rPr>
        <b/>
        <sz val="15"/>
        <rFont val="Times New Roman"/>
        <family val="1"/>
      </rPr>
      <t xml:space="preserve">
2ND SEMESTER TABULATION SHEET-2025
CLASS-9 (BUSINESS)</t>
    </r>
  </si>
  <si>
    <t>Co Ordinator</t>
  </si>
  <si>
    <t>Principal(Acting)</t>
  </si>
  <si>
    <t>Shakib Zaman</t>
  </si>
  <si>
    <t>Rabid Rabbi</t>
  </si>
  <si>
    <t>Fuad</t>
  </si>
  <si>
    <r>
      <t>1</t>
    </r>
    <r>
      <rPr>
        <b/>
        <vertAlign val="superscript"/>
        <sz val="11"/>
        <color theme="1"/>
        <rFont val="Cambria"/>
        <family val="1"/>
        <scheme val="major"/>
      </rPr>
      <t xml:space="preserve">st  </t>
    </r>
    <r>
      <rPr>
        <b/>
        <sz val="11"/>
        <color theme="1"/>
        <rFont val="Cambria"/>
        <family val="1"/>
        <scheme val="major"/>
      </rPr>
      <t>Term Exam</t>
    </r>
  </si>
  <si>
    <r>
      <t>2</t>
    </r>
    <r>
      <rPr>
        <b/>
        <vertAlign val="superscript"/>
        <sz val="11"/>
        <color theme="1"/>
        <rFont val="Cambria"/>
        <family val="1"/>
        <scheme val="major"/>
      </rPr>
      <t>nd</t>
    </r>
    <r>
      <rPr>
        <b/>
        <sz val="11"/>
        <color theme="1"/>
        <rFont val="Cambria"/>
        <family val="1"/>
        <scheme val="major"/>
      </rPr>
      <t xml:space="preserve"> </t>
    </r>
    <r>
      <rPr>
        <b/>
        <vertAlign val="superscript"/>
        <sz val="11"/>
        <color theme="1"/>
        <rFont val="Cambria"/>
        <family val="1"/>
        <scheme val="major"/>
      </rPr>
      <t xml:space="preserve"> </t>
    </r>
    <r>
      <rPr>
        <b/>
        <sz val="11"/>
        <color theme="1"/>
        <rFont val="Cambria"/>
        <family val="1"/>
        <scheme val="major"/>
      </rPr>
      <t>Term Exam</t>
    </r>
  </si>
  <si>
    <r>
      <t>3</t>
    </r>
    <r>
      <rPr>
        <b/>
        <vertAlign val="superscript"/>
        <sz val="11"/>
        <color theme="1"/>
        <rFont val="Cambria"/>
        <family val="1"/>
        <scheme val="major"/>
      </rPr>
      <t xml:space="preserve">rd  </t>
    </r>
    <r>
      <rPr>
        <b/>
        <sz val="11"/>
        <color theme="1"/>
        <rFont val="Cambria"/>
        <family val="1"/>
        <scheme val="major"/>
      </rPr>
      <t>Term Exam</t>
    </r>
  </si>
  <si>
    <t xml:space="preserve"> TOTAL MARKS</t>
  </si>
  <si>
    <t>:-</t>
  </si>
  <si>
    <t>Riyadul Islam Siam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</si>
</sst>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0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9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b/>
      <sz val="11"/>
      <name val="Tempus Sans ITC"/>
      <family val="5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1"/>
      <name val="Times New Roman"/>
      <family val="1"/>
    </font>
    <font>
      <b/>
      <sz val="12"/>
      <color theme="3" tint="-0.249977111117893"/>
      <name val="Ebrima"/>
    </font>
    <font>
      <b/>
      <sz val="12"/>
      <color theme="3" tint="-0.249977111117893"/>
      <name val="Cooper Black"/>
      <family val="1"/>
    </font>
    <font>
      <b/>
      <sz val="18"/>
      <color theme="3" tint="-0.249977111117893"/>
      <name val="Cooper Black"/>
      <family val="1"/>
    </font>
    <font>
      <b/>
      <sz val="18"/>
      <color theme="3" tint="-0.249977111117893"/>
      <name val="Ebrima"/>
    </font>
    <font>
      <b/>
      <sz val="10"/>
      <color theme="3" tint="-0.249977111117893"/>
      <name val="Ebrima"/>
    </font>
    <font>
      <b/>
      <sz val="14"/>
      <color theme="3" tint="-0.249977111117893"/>
      <name val="Ebrima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Times New Roman"/>
      <family val="1"/>
    </font>
    <font>
      <u/>
      <sz val="11"/>
      <color theme="1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8"/>
      <color theme="1"/>
      <name val="Times New Roman"/>
      <family val="1"/>
    </font>
    <font>
      <sz val="10"/>
      <name val="Times New Roman"/>
      <family val="1"/>
    </font>
    <font>
      <sz val="13"/>
      <color theme="1"/>
      <name val="Calibri"/>
      <family val="2"/>
      <scheme val="minor"/>
    </font>
    <font>
      <b/>
      <sz val="18"/>
      <color theme="1"/>
      <name val="Cambria"/>
      <family val="1"/>
      <scheme val="major"/>
    </font>
    <font>
      <b/>
      <sz val="26"/>
      <name val="Times New Roman"/>
      <family val="1"/>
    </font>
    <font>
      <b/>
      <sz val="15"/>
      <name val="Calibri"/>
      <family val="2"/>
      <scheme val="minor"/>
    </font>
    <font>
      <b/>
      <sz val="15"/>
      <name val="Times New Roman"/>
      <family val="1"/>
    </font>
    <font>
      <b/>
      <vertAlign val="superscript"/>
      <sz val="15"/>
      <name val="Times New Roman"/>
      <family val="1"/>
    </font>
    <font>
      <b/>
      <sz val="15"/>
      <name val="Calibri"/>
      <family val="1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u/>
      <sz val="11"/>
      <color theme="1"/>
      <name val="Cambria"/>
      <family val="1"/>
      <scheme val="major"/>
    </font>
    <font>
      <sz val="15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sz val="6"/>
      <name val="Times New Roman"/>
      <family val="1"/>
    </font>
    <font>
      <sz val="10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b/>
      <sz val="8"/>
      <name val="Times New Roman"/>
      <family val="1"/>
    </font>
    <font>
      <sz val="14"/>
      <color theme="1"/>
      <name val="Times New Roman"/>
      <family val="1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</font>
    <font>
      <b/>
      <sz val="12"/>
      <color theme="1"/>
      <name val="Arial"/>
      <family val="2"/>
    </font>
    <font>
      <b/>
      <vertAlign val="superscript"/>
      <sz val="11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8"/>
      <color theme="1"/>
      <name val="Cambria"/>
      <family val="1"/>
      <scheme val="maj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/>
      <bottom/>
      <diagonal/>
    </border>
    <border>
      <left style="thin">
        <color rgb="FF00B050"/>
      </left>
      <right style="thin">
        <color rgb="FF00B050"/>
      </right>
      <top/>
      <bottom/>
      <diagonal/>
    </border>
    <border>
      <left style="thin">
        <color rgb="FF00B050"/>
      </left>
      <right/>
      <top/>
      <bottom/>
      <diagonal/>
    </border>
    <border>
      <left style="thin">
        <color rgb="FF00B050"/>
      </left>
      <right/>
      <top/>
      <bottom style="thin">
        <color rgb="FF00B050"/>
      </bottom>
      <diagonal/>
    </border>
    <border>
      <left/>
      <right style="thin">
        <color rgb="FF00B050"/>
      </right>
      <top/>
      <bottom style="thin">
        <color rgb="FF00B050"/>
      </bottom>
      <diagonal/>
    </border>
    <border>
      <left style="thin">
        <color rgb="FF00B050"/>
      </left>
      <right style="thin">
        <color indexed="64"/>
      </right>
      <top style="thin">
        <color rgb="FF00B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B050"/>
      </top>
      <bottom style="thin">
        <color indexed="64"/>
      </bottom>
      <diagonal/>
    </border>
    <border>
      <left style="thin">
        <color rgb="FF00B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indexed="64"/>
      </right>
      <top style="thin">
        <color indexed="64"/>
      </top>
      <bottom style="thin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B050"/>
      </bottom>
      <diagonal/>
    </border>
    <border>
      <left/>
      <right style="thin">
        <color rgb="FF00B050"/>
      </right>
      <top style="thin">
        <color indexed="64"/>
      </top>
      <bottom/>
      <diagonal/>
    </border>
    <border>
      <left style="thin">
        <color indexed="64"/>
      </left>
      <right style="thin">
        <color rgb="FF00B05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B050"/>
      </right>
      <top style="thin">
        <color rgb="FF00B050"/>
      </top>
      <bottom style="thin">
        <color indexed="64"/>
      </bottom>
      <diagonal/>
    </border>
    <border>
      <left style="thin">
        <color indexed="64"/>
      </left>
      <right style="thin">
        <color rgb="FF00B050"/>
      </right>
      <top style="thin">
        <color indexed="64"/>
      </top>
      <bottom style="thin">
        <color rgb="FF00B050"/>
      </bottom>
      <diagonal/>
    </border>
    <border>
      <left style="thin">
        <color indexed="64"/>
      </left>
      <right style="thin">
        <color rgb="FF00B050"/>
      </right>
      <top/>
      <bottom/>
      <diagonal/>
    </border>
    <border>
      <left style="thin">
        <color indexed="64"/>
      </left>
      <right style="thin">
        <color rgb="FF00B050"/>
      </right>
      <top/>
      <bottom style="thin">
        <color indexed="64"/>
      </bottom>
      <diagonal/>
    </border>
    <border>
      <left style="thin">
        <color rgb="FF00B050"/>
      </left>
      <right/>
      <top style="thin">
        <color indexed="64"/>
      </top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/>
      <right/>
      <top style="thin">
        <color rgb="FF00B050"/>
      </top>
      <bottom/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indexed="64"/>
      </left>
      <right/>
      <top style="thin">
        <color rgb="FF00B05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B050"/>
      </bottom>
      <diagonal/>
    </border>
    <border>
      <left style="thin">
        <color indexed="64"/>
      </left>
      <right style="thin">
        <color indexed="64"/>
      </right>
      <top style="thin">
        <color rgb="FF00B050"/>
      </top>
      <bottom/>
      <diagonal/>
    </border>
    <border>
      <left/>
      <right style="thin">
        <color rgb="FF00B050"/>
      </right>
      <top/>
      <bottom style="thin">
        <color indexed="64"/>
      </bottom>
      <diagonal/>
    </border>
    <border>
      <left style="thin">
        <color rgb="FF00B050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6" fillId="0" borderId="0"/>
  </cellStyleXfs>
  <cellXfs count="353">
    <xf numFmtId="0" fontId="0" fillId="0" borderId="0" xfId="0"/>
    <xf numFmtId="0" fontId="0" fillId="3" borderId="0" xfId="0" applyFill="1"/>
    <xf numFmtId="0" fontId="0" fillId="3" borderId="8" xfId="0" applyFill="1" applyBorder="1"/>
    <xf numFmtId="0" fontId="0" fillId="3" borderId="11" xfId="0" applyFill="1" applyBorder="1"/>
    <xf numFmtId="0" fontId="0" fillId="0" borderId="18" xfId="0" applyBorder="1"/>
    <xf numFmtId="0" fontId="0" fillId="3" borderId="28" xfId="0" applyFill="1" applyBorder="1"/>
    <xf numFmtId="0" fontId="0" fillId="3" borderId="18" xfId="0" applyFill="1" applyBorder="1"/>
    <xf numFmtId="0" fontId="0" fillId="0" borderId="20" xfId="0" applyBorder="1"/>
    <xf numFmtId="0" fontId="0" fillId="3" borderId="20" xfId="0" applyFill="1" applyBorder="1"/>
    <xf numFmtId="0" fontId="0" fillId="3" borderId="34" xfId="0" applyFill="1" applyBorder="1"/>
    <xf numFmtId="1" fontId="0" fillId="3" borderId="1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1" fontId="0" fillId="3" borderId="5" xfId="0" applyNumberFormat="1" applyFill="1" applyBorder="1" applyAlignment="1">
      <alignment horizontal="center" vertical="center"/>
    </xf>
    <xf numFmtId="1" fontId="5" fillId="3" borderId="5" xfId="0" applyNumberFormat="1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4" fillId="3" borderId="0" xfId="0" applyFont="1" applyFill="1" applyAlignment="1">
      <alignment horizontal="right"/>
    </xf>
    <xf numFmtId="0" fontId="4" fillId="3" borderId="0" xfId="0" applyFont="1" applyFill="1"/>
    <xf numFmtId="1" fontId="3" fillId="3" borderId="1" xfId="0" applyNumberFormat="1" applyFont="1" applyFill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0" fontId="27" fillId="0" borderId="0" xfId="0" applyFont="1"/>
    <xf numFmtId="0" fontId="29" fillId="0" borderId="0" xfId="0" applyFont="1"/>
    <xf numFmtId="0" fontId="30" fillId="0" borderId="1" xfId="0" applyFont="1" applyBorder="1"/>
    <xf numFmtId="0" fontId="3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vertical="center"/>
    </xf>
    <xf numFmtId="0" fontId="22" fillId="0" borderId="1" xfId="0" applyFont="1" applyBorder="1"/>
    <xf numFmtId="0" fontId="2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/>
    <xf numFmtId="1" fontId="22" fillId="0" borderId="12" xfId="0" applyNumberFormat="1" applyFont="1" applyBorder="1"/>
    <xf numFmtId="1" fontId="15" fillId="0" borderId="0" xfId="0" applyNumberFormat="1" applyFont="1" applyAlignment="1">
      <alignment horizontal="center" vertical="center" wrapText="1"/>
    </xf>
    <xf numFmtId="1" fontId="25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/>
    </xf>
    <xf numFmtId="1" fontId="27" fillId="0" borderId="0" xfId="0" applyNumberFormat="1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 wrapText="1"/>
    </xf>
    <xf numFmtId="1" fontId="26" fillId="0" borderId="0" xfId="0" applyNumberFormat="1" applyFont="1" applyAlignment="1">
      <alignment horizontal="center"/>
    </xf>
    <xf numFmtId="1" fontId="22" fillId="0" borderId="0" xfId="0" applyNumberFormat="1" applyFont="1"/>
    <xf numFmtId="0" fontId="22" fillId="0" borderId="0" xfId="0" applyFont="1"/>
    <xf numFmtId="0" fontId="0" fillId="0" borderId="0" xfId="0" applyAlignment="1">
      <alignment horizontal="center"/>
    </xf>
    <xf numFmtId="1" fontId="42" fillId="0" borderId="1" xfId="0" applyNumberFormat="1" applyFont="1" applyBorder="1" applyAlignment="1">
      <alignment horizontal="center" vertical="center"/>
    </xf>
    <xf numFmtId="0" fontId="46" fillId="0" borderId="0" xfId="0" applyFont="1"/>
    <xf numFmtId="0" fontId="43" fillId="2" borderId="0" xfId="0" applyFont="1" applyFill="1"/>
    <xf numFmtId="0" fontId="43" fillId="2" borderId="45" xfId="0" applyFont="1" applyFill="1" applyBorder="1"/>
    <xf numFmtId="0" fontId="43" fillId="2" borderId="48" xfId="0" applyFont="1" applyFill="1" applyBorder="1"/>
    <xf numFmtId="1" fontId="30" fillId="0" borderId="1" xfId="0" applyNumberFormat="1" applyFont="1" applyBorder="1" applyAlignment="1">
      <alignment horizontal="center" vertical="center"/>
    </xf>
    <xf numFmtId="0" fontId="48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left" vertical="center"/>
    </xf>
    <xf numFmtId="0" fontId="31" fillId="2" borderId="1" xfId="0" applyFont="1" applyFill="1" applyBorder="1" applyAlignment="1">
      <alignment horizontal="center" vertical="distributed" readingOrder="1"/>
    </xf>
    <xf numFmtId="0" fontId="48" fillId="2" borderId="1" xfId="0" applyFont="1" applyFill="1" applyBorder="1" applyAlignment="1">
      <alignment horizontal="left" vertical="center"/>
    </xf>
    <xf numFmtId="0" fontId="48" fillId="2" borderId="1" xfId="0" applyFont="1" applyFill="1" applyBorder="1" applyAlignment="1">
      <alignment horizontal="center" vertical="distributed" readingOrder="1"/>
    </xf>
    <xf numFmtId="0" fontId="49" fillId="2" borderId="1" xfId="0" applyFont="1" applyFill="1" applyBorder="1" applyAlignment="1">
      <alignment horizontal="left" vertical="center"/>
    </xf>
    <xf numFmtId="0" fontId="48" fillId="2" borderId="1" xfId="0" applyFont="1" applyFill="1" applyBorder="1" applyAlignment="1">
      <alignment horizontal="center" vertical="center" wrapText="1"/>
    </xf>
    <xf numFmtId="0" fontId="48" fillId="2" borderId="1" xfId="0" applyFont="1" applyFill="1" applyBorder="1" applyAlignment="1">
      <alignment horizontal="left" vertical="center" wrapText="1"/>
    </xf>
    <xf numFmtId="1" fontId="30" fillId="2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46" fillId="0" borderId="0" xfId="0" applyFont="1" applyAlignment="1">
      <alignment horizontal="right"/>
    </xf>
    <xf numFmtId="1" fontId="2" fillId="0" borderId="0" xfId="0" applyNumberFormat="1" applyFont="1" applyAlignment="1">
      <alignment horizontal="center" vertical="center" wrapText="1"/>
    </xf>
    <xf numFmtId="0" fontId="48" fillId="2" borderId="2" xfId="0" applyFont="1" applyFill="1" applyBorder="1" applyAlignment="1">
      <alignment horizontal="center" vertical="center"/>
    </xf>
    <xf numFmtId="0" fontId="48" fillId="2" borderId="2" xfId="0" applyFont="1" applyFill="1" applyBorder="1" applyAlignment="1">
      <alignment horizontal="left" vertical="center"/>
    </xf>
    <xf numFmtId="0" fontId="48" fillId="2" borderId="2" xfId="0" applyFont="1" applyFill="1" applyBorder="1" applyAlignment="1">
      <alignment horizontal="center" vertical="distributed" readingOrder="1"/>
    </xf>
    <xf numFmtId="0" fontId="48" fillId="2" borderId="51" xfId="0" applyFont="1" applyFill="1" applyBorder="1" applyAlignment="1">
      <alignment horizontal="center" vertical="center"/>
    </xf>
    <xf numFmtId="0" fontId="48" fillId="2" borderId="51" xfId="0" applyFont="1" applyFill="1" applyBorder="1" applyAlignment="1">
      <alignment horizontal="left" vertical="center"/>
    </xf>
    <xf numFmtId="0" fontId="48" fillId="2" borderId="51" xfId="0" applyFont="1" applyFill="1" applyBorder="1" applyAlignment="1">
      <alignment horizontal="center" vertical="center" wrapText="1"/>
    </xf>
    <xf numFmtId="0" fontId="52" fillId="0" borderId="0" xfId="0" applyFont="1"/>
    <xf numFmtId="1" fontId="53" fillId="0" borderId="1" xfId="0" applyNumberFormat="1" applyFont="1" applyBorder="1" applyAlignment="1">
      <alignment horizontal="center" vertical="center"/>
    </xf>
    <xf numFmtId="1" fontId="53" fillId="0" borderId="1" xfId="0" applyNumberFormat="1" applyFont="1" applyBorder="1" applyAlignment="1">
      <alignment horizontal="center" vertical="center" wrapText="1"/>
    </xf>
    <xf numFmtId="1" fontId="55" fillId="2" borderId="1" xfId="0" applyNumberFormat="1" applyFont="1" applyFill="1" applyBorder="1" applyAlignment="1">
      <alignment horizontal="center" vertical="center"/>
    </xf>
    <xf numFmtId="1" fontId="55" fillId="4" borderId="1" xfId="0" applyNumberFormat="1" applyFont="1" applyFill="1" applyBorder="1" applyAlignment="1">
      <alignment horizontal="center" vertical="center"/>
    </xf>
    <xf numFmtId="1" fontId="55" fillId="0" borderId="1" xfId="0" applyNumberFormat="1" applyFont="1" applyBorder="1" applyAlignment="1">
      <alignment horizontal="center" vertical="center"/>
    </xf>
    <xf numFmtId="164" fontId="55" fillId="0" borderId="1" xfId="0" applyNumberFormat="1" applyFont="1" applyBorder="1" applyAlignment="1">
      <alignment horizontal="center" vertical="center"/>
    </xf>
    <xf numFmtId="2" fontId="55" fillId="0" borderId="1" xfId="1" applyNumberFormat="1" applyFont="1" applyFill="1" applyBorder="1" applyAlignment="1">
      <alignment horizontal="center" vertical="center"/>
    </xf>
    <xf numFmtId="164" fontId="55" fillId="0" borderId="2" xfId="0" applyNumberFormat="1" applyFont="1" applyBorder="1" applyAlignment="1">
      <alignment horizontal="center" vertical="center"/>
    </xf>
    <xf numFmtId="2" fontId="55" fillId="0" borderId="2" xfId="1" applyNumberFormat="1" applyFont="1" applyFill="1" applyBorder="1" applyAlignment="1">
      <alignment horizontal="center" vertical="center"/>
    </xf>
    <xf numFmtId="1" fontId="55" fillId="0" borderId="51" xfId="0" applyNumberFormat="1" applyFont="1" applyBorder="1" applyAlignment="1">
      <alignment horizontal="center" vertical="center"/>
    </xf>
    <xf numFmtId="164" fontId="55" fillId="0" borderId="51" xfId="0" applyNumberFormat="1" applyFont="1" applyBorder="1" applyAlignment="1">
      <alignment horizontal="center" vertical="center"/>
    </xf>
    <xf numFmtId="2" fontId="55" fillId="0" borderId="51" xfId="1" applyNumberFormat="1" applyFont="1" applyFill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1" fontId="33" fillId="0" borderId="2" xfId="0" applyNumberFormat="1" applyFont="1" applyBorder="1" applyAlignment="1">
      <alignment horizontal="center" vertical="center"/>
    </xf>
    <xf numFmtId="1" fontId="33" fillId="0" borderId="51" xfId="0" applyNumberFormat="1" applyFont="1" applyBorder="1" applyAlignment="1">
      <alignment horizontal="center" vertical="center"/>
    </xf>
    <xf numFmtId="1" fontId="28" fillId="0" borderId="1" xfId="0" applyNumberFormat="1" applyFont="1" applyBorder="1" applyAlignment="1">
      <alignment horizontal="center" vertical="center"/>
    </xf>
    <xf numFmtId="1" fontId="55" fillId="0" borderId="2" xfId="0" applyNumberFormat="1" applyFont="1" applyBorder="1" applyAlignment="1">
      <alignment horizontal="center" vertical="center"/>
    </xf>
    <xf numFmtId="1" fontId="15" fillId="0" borderId="12" xfId="0" applyNumberFormat="1" applyFont="1" applyBorder="1" applyAlignment="1">
      <alignment horizontal="center" vertical="center" wrapText="1"/>
    </xf>
    <xf numFmtId="1" fontId="33" fillId="0" borderId="5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/>
    </xf>
    <xf numFmtId="0" fontId="48" fillId="2" borderId="3" xfId="0" applyFont="1" applyFill="1" applyBorder="1" applyAlignment="1">
      <alignment horizontal="center" vertical="center"/>
    </xf>
    <xf numFmtId="0" fontId="48" fillId="2" borderId="3" xfId="0" applyFont="1" applyFill="1" applyBorder="1" applyAlignment="1">
      <alignment horizontal="left" vertical="center"/>
    </xf>
    <xf numFmtId="0" fontId="48" fillId="2" borderId="3" xfId="0" applyFont="1" applyFill="1" applyBorder="1" applyAlignment="1">
      <alignment horizontal="center" vertical="distributed" readingOrder="1"/>
    </xf>
    <xf numFmtId="1" fontId="30" fillId="0" borderId="53" xfId="0" applyNumberFormat="1" applyFont="1" applyBorder="1" applyAlignment="1">
      <alignment horizontal="center" vertical="center"/>
    </xf>
    <xf numFmtId="0" fontId="48" fillId="2" borderId="53" xfId="0" applyFont="1" applyFill="1" applyBorder="1" applyAlignment="1">
      <alignment horizontal="center" vertical="center"/>
    </xf>
    <xf numFmtId="0" fontId="48" fillId="2" borderId="53" xfId="0" applyFont="1" applyFill="1" applyBorder="1" applyAlignment="1">
      <alignment horizontal="left" vertical="center"/>
    </xf>
    <xf numFmtId="0" fontId="48" fillId="2" borderId="53" xfId="0" applyFont="1" applyFill="1" applyBorder="1" applyAlignment="1">
      <alignment horizontal="center" vertical="center" wrapText="1"/>
    </xf>
    <xf numFmtId="0" fontId="48" fillId="2" borderId="53" xfId="0" applyFont="1" applyFill="1" applyBorder="1" applyAlignment="1">
      <alignment horizontal="center" vertical="distributed" readingOrder="1"/>
    </xf>
    <xf numFmtId="0" fontId="0" fillId="0" borderId="55" xfId="0" applyBorder="1"/>
    <xf numFmtId="1" fontId="30" fillId="0" borderId="0" xfId="0" applyNumberFormat="1" applyFont="1" applyFill="1" applyBorder="1" applyAlignment="1">
      <alignment horizontal="center" vertical="center"/>
    </xf>
    <xf numFmtId="1" fontId="33" fillId="2" borderId="1" xfId="0" applyNumberFormat="1" applyFont="1" applyFill="1" applyBorder="1" applyAlignment="1">
      <alignment horizontal="center" vertical="center"/>
    </xf>
    <xf numFmtId="0" fontId="42" fillId="0" borderId="0" xfId="0" applyFont="1"/>
    <xf numFmtId="0" fontId="32" fillId="0" borderId="0" xfId="0" applyFont="1"/>
    <xf numFmtId="165" fontId="55" fillId="0" borderId="7" xfId="2" applyNumberFormat="1" applyFont="1" applyBorder="1" applyAlignment="1">
      <alignment horizontal="center" vertical="center"/>
    </xf>
    <xf numFmtId="1" fontId="58" fillId="2" borderId="1" xfId="0" applyNumberFormat="1" applyFont="1" applyFill="1" applyBorder="1" applyAlignment="1">
      <alignment horizontal="center" vertical="center"/>
    </xf>
    <xf numFmtId="165" fontId="55" fillId="0" borderId="1" xfId="2" applyNumberFormat="1" applyFont="1" applyBorder="1" applyAlignment="1">
      <alignment horizontal="center" vertical="center"/>
    </xf>
    <xf numFmtId="165" fontId="59" fillId="0" borderId="7" xfId="2" applyNumberFormat="1" applyFont="1" applyBorder="1" applyAlignment="1">
      <alignment horizontal="center" vertical="center"/>
    </xf>
    <xf numFmtId="165" fontId="55" fillId="4" borderId="1" xfId="2" applyNumberFormat="1" applyFont="1" applyFill="1" applyBorder="1" applyAlignment="1">
      <alignment horizontal="center" vertical="center"/>
    </xf>
    <xf numFmtId="1" fontId="58" fillId="4" borderId="1" xfId="0" applyNumberFormat="1" applyFont="1" applyFill="1" applyBorder="1" applyAlignment="1">
      <alignment horizontal="center" vertical="center"/>
    </xf>
    <xf numFmtId="165" fontId="59" fillId="4" borderId="7" xfId="2" applyNumberFormat="1" applyFont="1" applyFill="1" applyBorder="1" applyAlignment="1">
      <alignment horizontal="center" vertical="center"/>
    </xf>
    <xf numFmtId="165" fontId="55" fillId="2" borderId="7" xfId="2" applyNumberFormat="1" applyFont="1" applyFill="1" applyBorder="1" applyAlignment="1">
      <alignment horizontal="center" vertical="center"/>
    </xf>
    <xf numFmtId="165" fontId="55" fillId="2" borderId="1" xfId="2" applyNumberFormat="1" applyFont="1" applyFill="1" applyBorder="1" applyAlignment="1">
      <alignment horizontal="center" vertical="center"/>
    </xf>
    <xf numFmtId="164" fontId="55" fillId="2" borderId="1" xfId="0" applyNumberFormat="1" applyFont="1" applyFill="1" applyBorder="1" applyAlignment="1">
      <alignment horizontal="center" vertical="center"/>
    </xf>
    <xf numFmtId="2" fontId="55" fillId="2" borderId="1" xfId="1" applyNumberFormat="1" applyFont="1" applyFill="1" applyBorder="1" applyAlignment="1">
      <alignment horizontal="center" vertical="center"/>
    </xf>
    <xf numFmtId="1" fontId="30" fillId="2" borderId="2" xfId="0" applyNumberFormat="1" applyFont="1" applyFill="1" applyBorder="1" applyAlignment="1">
      <alignment horizontal="center" vertical="center"/>
    </xf>
    <xf numFmtId="165" fontId="59" fillId="2" borderId="7" xfId="2" applyNumberFormat="1" applyFont="1" applyFill="1" applyBorder="1" applyAlignment="1">
      <alignment horizontal="center" vertical="center"/>
    </xf>
    <xf numFmtId="1" fontId="30" fillId="2" borderId="53" xfId="0" applyNumberFormat="1" applyFont="1" applyFill="1" applyBorder="1" applyAlignment="1">
      <alignment horizontal="center" vertical="center"/>
    </xf>
    <xf numFmtId="1" fontId="55" fillId="2" borderId="2" xfId="0" applyNumberFormat="1" applyFont="1" applyFill="1" applyBorder="1" applyAlignment="1">
      <alignment horizontal="center" vertical="center"/>
    </xf>
    <xf numFmtId="164" fontId="55" fillId="2" borderId="2" xfId="0" applyNumberFormat="1" applyFont="1" applyFill="1" applyBorder="1" applyAlignment="1">
      <alignment horizontal="center" vertical="center"/>
    </xf>
    <xf numFmtId="2" fontId="55" fillId="2" borderId="2" xfId="1" applyNumberFormat="1" applyFont="1" applyFill="1" applyBorder="1" applyAlignment="1">
      <alignment horizontal="center" vertical="center"/>
    </xf>
    <xf numFmtId="1" fontId="33" fillId="2" borderId="2" xfId="0" applyNumberFormat="1" applyFont="1" applyFill="1" applyBorder="1" applyAlignment="1">
      <alignment horizontal="center" vertical="center"/>
    </xf>
    <xf numFmtId="1" fontId="30" fillId="2" borderId="3" xfId="0" applyNumberFormat="1" applyFont="1" applyFill="1" applyBorder="1" applyAlignment="1">
      <alignment horizontal="center" vertical="center"/>
    </xf>
    <xf numFmtId="1" fontId="55" fillId="2" borderId="51" xfId="0" applyNumberFormat="1" applyFont="1" applyFill="1" applyBorder="1" applyAlignment="1">
      <alignment horizontal="center" vertical="center"/>
    </xf>
    <xf numFmtId="164" fontId="55" fillId="2" borderId="51" xfId="0" applyNumberFormat="1" applyFont="1" applyFill="1" applyBorder="1" applyAlignment="1">
      <alignment horizontal="center" vertical="center"/>
    </xf>
    <xf numFmtId="2" fontId="55" fillId="2" borderId="51" xfId="1" applyNumberFormat="1" applyFont="1" applyFill="1" applyBorder="1" applyAlignment="1">
      <alignment horizontal="center" vertical="center"/>
    </xf>
    <xf numFmtId="1" fontId="33" fillId="2" borderId="51" xfId="0" applyNumberFormat="1" applyFont="1" applyFill="1" applyBorder="1" applyAlignment="1">
      <alignment horizontal="center" vertical="center"/>
    </xf>
    <xf numFmtId="0" fontId="0" fillId="2" borderId="54" xfId="0" applyFill="1" applyBorder="1"/>
    <xf numFmtId="1" fontId="33" fillId="0" borderId="1" xfId="0" applyNumberFormat="1" applyFont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1" fontId="60" fillId="2" borderId="1" xfId="0" applyNumberFormat="1" applyFont="1" applyFill="1" applyBorder="1" applyAlignment="1">
      <alignment horizontal="center" vertical="center"/>
    </xf>
    <xf numFmtId="1" fontId="60" fillId="0" borderId="1" xfId="0" applyNumberFormat="1" applyFont="1" applyBorder="1" applyAlignment="1">
      <alignment horizontal="center" vertical="center"/>
    </xf>
    <xf numFmtId="164" fontId="60" fillId="0" borderId="1" xfId="0" applyNumberFormat="1" applyFont="1" applyBorder="1" applyAlignment="1">
      <alignment horizontal="center" vertical="center"/>
    </xf>
    <xf numFmtId="1" fontId="60" fillId="4" borderId="1" xfId="0" applyNumberFormat="1" applyFont="1" applyFill="1" applyBorder="1" applyAlignment="1">
      <alignment horizontal="center" vertical="center"/>
    </xf>
    <xf numFmtId="2" fontId="60" fillId="0" borderId="1" xfId="1" applyNumberFormat="1" applyFont="1" applyFill="1" applyBorder="1" applyAlignment="1">
      <alignment horizontal="center" vertical="center"/>
    </xf>
    <xf numFmtId="1" fontId="60" fillId="0" borderId="2" xfId="0" applyNumberFormat="1" applyFont="1" applyBorder="1" applyAlignment="1">
      <alignment horizontal="center" vertical="center"/>
    </xf>
    <xf numFmtId="164" fontId="60" fillId="0" borderId="2" xfId="0" applyNumberFormat="1" applyFont="1" applyBorder="1" applyAlignment="1">
      <alignment horizontal="center" vertical="center"/>
    </xf>
    <xf numFmtId="1" fontId="60" fillId="0" borderId="51" xfId="0" applyNumberFormat="1" applyFont="1" applyBorder="1" applyAlignment="1">
      <alignment horizontal="center" vertical="center"/>
    </xf>
    <xf numFmtId="164" fontId="60" fillId="0" borderId="51" xfId="0" applyNumberFormat="1" applyFont="1" applyBorder="1" applyAlignment="1">
      <alignment horizontal="center" vertical="center"/>
    </xf>
    <xf numFmtId="1" fontId="61" fillId="2" borderId="1" xfId="0" applyNumberFormat="1" applyFont="1" applyFill="1" applyBorder="1" applyAlignment="1">
      <alignment horizontal="center" vertical="center"/>
    </xf>
    <xf numFmtId="164" fontId="60" fillId="2" borderId="1" xfId="0" applyNumberFormat="1" applyFont="1" applyFill="1" applyBorder="1" applyAlignment="1">
      <alignment horizontal="center" vertical="center"/>
    </xf>
    <xf numFmtId="0" fontId="62" fillId="2" borderId="0" xfId="0" applyFont="1" applyFill="1"/>
    <xf numFmtId="1" fontId="60" fillId="2" borderId="2" xfId="0" applyNumberFormat="1" applyFont="1" applyFill="1" applyBorder="1" applyAlignment="1">
      <alignment horizontal="center" vertical="center"/>
    </xf>
    <xf numFmtId="164" fontId="60" fillId="2" borderId="2" xfId="0" applyNumberFormat="1" applyFont="1" applyFill="1" applyBorder="1" applyAlignment="1">
      <alignment horizontal="center" vertical="center"/>
    </xf>
    <xf numFmtId="1" fontId="60" fillId="2" borderId="51" xfId="0" applyNumberFormat="1" applyFont="1" applyFill="1" applyBorder="1" applyAlignment="1">
      <alignment horizontal="center" vertical="center"/>
    </xf>
    <xf numFmtId="164" fontId="60" fillId="2" borderId="51" xfId="0" applyNumberFormat="1" applyFont="1" applyFill="1" applyBorder="1" applyAlignment="1">
      <alignment horizontal="center" vertical="center"/>
    </xf>
    <xf numFmtId="165" fontId="60" fillId="0" borderId="1" xfId="0" applyNumberFormat="1" applyFont="1" applyBorder="1" applyAlignment="1">
      <alignment horizontal="center" vertical="center"/>
    </xf>
    <xf numFmtId="0" fontId="60" fillId="0" borderId="1" xfId="0" applyFont="1" applyBorder="1" applyAlignment="1">
      <alignment horizontal="center" vertical="center"/>
    </xf>
    <xf numFmtId="1" fontId="28" fillId="2" borderId="1" xfId="0" applyNumberFormat="1" applyFont="1" applyFill="1" applyBorder="1" applyAlignment="1">
      <alignment horizontal="center" vertical="center"/>
    </xf>
    <xf numFmtId="1" fontId="53" fillId="2" borderId="1" xfId="0" applyNumberFormat="1" applyFont="1" applyFill="1" applyBorder="1" applyAlignment="1">
      <alignment horizontal="center" vertical="center"/>
    </xf>
    <xf numFmtId="1" fontId="53" fillId="2" borderId="1" xfId="0" applyNumberFormat="1" applyFont="1" applyFill="1" applyBorder="1" applyAlignment="1">
      <alignment horizontal="center" vertical="center" wrapText="1"/>
    </xf>
    <xf numFmtId="0" fontId="28" fillId="2" borderId="0" xfId="0" applyFont="1" applyFill="1"/>
    <xf numFmtId="164" fontId="61" fillId="2" borderId="1" xfId="0" applyNumberFormat="1" applyFont="1" applyFill="1" applyBorder="1" applyAlignment="1">
      <alignment horizontal="center" vertical="center"/>
    </xf>
    <xf numFmtId="2" fontId="61" fillId="2" borderId="1" xfId="1" applyNumberFormat="1" applyFont="1" applyFill="1" applyBorder="1" applyAlignment="1">
      <alignment horizontal="center" vertical="center"/>
    </xf>
    <xf numFmtId="0" fontId="13" fillId="2" borderId="0" xfId="0" applyFont="1" applyFill="1"/>
    <xf numFmtId="1" fontId="61" fillId="2" borderId="2" xfId="0" applyNumberFormat="1" applyFont="1" applyFill="1" applyBorder="1" applyAlignment="1">
      <alignment horizontal="center" vertical="center"/>
    </xf>
    <xf numFmtId="2" fontId="61" fillId="2" borderId="2" xfId="1" applyNumberFormat="1" applyFont="1" applyFill="1" applyBorder="1" applyAlignment="1">
      <alignment horizontal="center" vertical="center"/>
    </xf>
    <xf numFmtId="1" fontId="61" fillId="2" borderId="51" xfId="0" applyNumberFormat="1" applyFont="1" applyFill="1" applyBorder="1" applyAlignment="1">
      <alignment horizontal="center" vertical="center"/>
    </xf>
    <xf numFmtId="2" fontId="61" fillId="2" borderId="51" xfId="1" applyNumberFormat="1" applyFont="1" applyFill="1" applyBorder="1" applyAlignment="1">
      <alignment horizontal="center" vertical="center"/>
    </xf>
    <xf numFmtId="0" fontId="13" fillId="2" borderId="52" xfId="0" applyFont="1" applyFill="1" applyBorder="1"/>
    <xf numFmtId="0" fontId="54" fillId="2" borderId="0" xfId="0" applyFont="1" applyFill="1"/>
    <xf numFmtId="0" fontId="54" fillId="2" borderId="52" xfId="0" applyFont="1" applyFill="1" applyBorder="1"/>
    <xf numFmtId="0" fontId="33" fillId="2" borderId="1" xfId="0" applyFont="1" applyFill="1" applyBorder="1" applyAlignment="1">
      <alignment vertical="center"/>
    </xf>
    <xf numFmtId="1" fontId="33" fillId="2" borderId="5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165" fontId="60" fillId="2" borderId="1" xfId="0" applyNumberFormat="1" applyFont="1" applyFill="1" applyBorder="1" applyAlignment="1">
      <alignment horizontal="center" vertical="center"/>
    </xf>
    <xf numFmtId="2" fontId="60" fillId="2" borderId="1" xfId="1" applyNumberFormat="1" applyFont="1" applyFill="1" applyBorder="1" applyAlignment="1">
      <alignment horizontal="center" vertical="center"/>
    </xf>
    <xf numFmtId="1" fontId="42" fillId="2" borderId="1" xfId="0" applyNumberFormat="1" applyFont="1" applyFill="1" applyBorder="1" applyAlignment="1">
      <alignment horizontal="center" vertical="center"/>
    </xf>
    <xf numFmtId="0" fontId="60" fillId="2" borderId="1" xfId="0" applyFont="1" applyFill="1" applyBorder="1" applyAlignment="1">
      <alignment horizontal="center" vertical="center"/>
    </xf>
    <xf numFmtId="2" fontId="42" fillId="0" borderId="1" xfId="0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" xfId="0" applyBorder="1"/>
    <xf numFmtId="0" fontId="43" fillId="2" borderId="0" xfId="0" applyFont="1" applyFill="1" applyBorder="1"/>
    <xf numFmtId="1" fontId="7" fillId="0" borderId="1" xfId="0" applyNumberFormat="1" applyFont="1" applyBorder="1" applyAlignment="1">
      <alignment vertical="center" textRotation="90"/>
    </xf>
    <xf numFmtId="0" fontId="7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1" fontId="64" fillId="0" borderId="1" xfId="0" applyNumberFormat="1" applyFont="1" applyBorder="1" applyAlignment="1">
      <alignment horizontal="center" vertical="center"/>
    </xf>
    <xf numFmtId="164" fontId="64" fillId="0" borderId="1" xfId="0" applyNumberFormat="1" applyFont="1" applyBorder="1" applyAlignment="1">
      <alignment horizontal="center" vertical="center"/>
    </xf>
    <xf numFmtId="1" fontId="64" fillId="5" borderId="1" xfId="0" applyNumberFormat="1" applyFont="1" applyFill="1" applyBorder="1"/>
    <xf numFmtId="1" fontId="64" fillId="5" borderId="1" xfId="0" applyNumberFormat="1" applyFont="1" applyFill="1" applyBorder="1" applyAlignment="1">
      <alignment horizontal="center" vertical="center"/>
    </xf>
    <xf numFmtId="0" fontId="64" fillId="5" borderId="1" xfId="0" applyFont="1" applyFill="1" applyBorder="1"/>
    <xf numFmtId="0" fontId="7" fillId="2" borderId="47" xfId="0" applyFont="1" applyFill="1" applyBorder="1" applyAlignment="1">
      <alignment horizontal="left" vertical="top"/>
    </xf>
    <xf numFmtId="0" fontId="7" fillId="2" borderId="47" xfId="0" applyFont="1" applyFill="1" applyBorder="1" applyAlignment="1">
      <alignment vertical="top"/>
    </xf>
    <xf numFmtId="0" fontId="14" fillId="2" borderId="45" xfId="0" applyFont="1" applyFill="1" applyBorder="1"/>
    <xf numFmtId="0" fontId="14" fillId="2" borderId="0" xfId="0" applyFont="1" applyFill="1"/>
    <xf numFmtId="0" fontId="14" fillId="2" borderId="0" xfId="0" applyFont="1" applyFill="1" applyBorder="1"/>
    <xf numFmtId="0" fontId="64" fillId="2" borderId="45" xfId="0" applyFont="1" applyFill="1" applyBorder="1"/>
    <xf numFmtId="0" fontId="65" fillId="2" borderId="45" xfId="0" applyFont="1" applyFill="1" applyBorder="1"/>
    <xf numFmtId="0" fontId="7" fillId="2" borderId="45" xfId="0" applyFont="1" applyFill="1" applyBorder="1" applyAlignment="1">
      <alignment horizontal="left" vertical="center"/>
    </xf>
    <xf numFmtId="0" fontId="7" fillId="2" borderId="45" xfId="0" applyFont="1" applyFill="1" applyBorder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horizontal="left" vertical="center"/>
    </xf>
    <xf numFmtId="0" fontId="7" fillId="2" borderId="0" xfId="0" applyFont="1" applyFill="1" applyBorder="1" applyAlignment="1">
      <alignment vertical="center"/>
    </xf>
    <xf numFmtId="0" fontId="7" fillId="2" borderId="4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64" fillId="2" borderId="46" xfId="0" applyFont="1" applyFill="1" applyBorder="1" applyAlignment="1">
      <alignment horizontal="left" vertical="center"/>
    </xf>
    <xf numFmtId="1" fontId="33" fillId="0" borderId="1" xfId="0" applyNumberFormat="1" applyFont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2" fontId="64" fillId="0" borderId="1" xfId="0" applyNumberFormat="1" applyFont="1" applyBorder="1" applyAlignment="1">
      <alignment horizontal="center" vertical="center"/>
    </xf>
    <xf numFmtId="164" fontId="66" fillId="0" borderId="1" xfId="0" applyNumberFormat="1" applyFont="1" applyBorder="1" applyAlignment="1">
      <alignment horizontal="center" vertical="center" wrapText="1"/>
    </xf>
    <xf numFmtId="2" fontId="66" fillId="0" borderId="1" xfId="0" applyNumberFormat="1" applyFont="1" applyBorder="1" applyAlignment="1">
      <alignment horizontal="center" vertical="center" wrapText="1"/>
    </xf>
    <xf numFmtId="0" fontId="67" fillId="2" borderId="45" xfId="0" applyFont="1" applyFill="1" applyBorder="1" applyAlignment="1">
      <alignment horizontal="left"/>
    </xf>
    <xf numFmtId="0" fontId="45" fillId="2" borderId="44" xfId="0" applyFont="1" applyFill="1" applyBorder="1" applyAlignment="1">
      <alignment horizontal="left" vertical="center"/>
    </xf>
    <xf numFmtId="2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" fontId="40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61" fillId="2" borderId="2" xfId="0" applyNumberFormat="1" applyFont="1" applyFill="1" applyBorder="1" applyAlignment="1">
      <alignment horizontal="center" vertical="center"/>
    </xf>
    <xf numFmtId="1" fontId="61" fillId="2" borderId="4" xfId="0" applyNumberFormat="1" applyFont="1" applyFill="1" applyBorder="1" applyAlignment="1">
      <alignment horizontal="center" vertical="center"/>
    </xf>
    <xf numFmtId="1" fontId="61" fillId="2" borderId="3" xfId="0" applyNumberFormat="1" applyFont="1" applyFill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 wrapText="1"/>
    </xf>
    <xf numFmtId="1" fontId="33" fillId="0" borderId="1" xfId="0" applyNumberFormat="1" applyFont="1" applyBorder="1" applyAlignment="1">
      <alignment horizontal="center" vertical="center" wrapText="1"/>
    </xf>
    <xf numFmtId="1" fontId="28" fillId="0" borderId="1" xfId="0" applyNumberFormat="1" applyFont="1" applyBorder="1" applyAlignment="1">
      <alignment horizontal="center" vertical="center" wrapText="1"/>
    </xf>
    <xf numFmtId="1" fontId="33" fillId="0" borderId="1" xfId="0" applyNumberFormat="1" applyFont="1" applyBorder="1" applyAlignment="1">
      <alignment horizontal="center" vertical="center"/>
    </xf>
    <xf numFmtId="1" fontId="28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33" fillId="0" borderId="2" xfId="0" applyNumberFormat="1" applyFont="1" applyBorder="1" applyAlignment="1">
      <alignment horizontal="center" vertical="center" wrapText="1"/>
    </xf>
    <xf numFmtId="1" fontId="33" fillId="0" borderId="3" xfId="0" applyNumberFormat="1" applyFont="1" applyBorder="1" applyAlignment="1">
      <alignment horizontal="center" vertical="center" wrapText="1"/>
    </xf>
    <xf numFmtId="1" fontId="50" fillId="0" borderId="1" xfId="0" applyNumberFormat="1" applyFont="1" applyBorder="1" applyAlignment="1">
      <alignment horizontal="center" vertical="center" wrapText="1"/>
    </xf>
    <xf numFmtId="1" fontId="52" fillId="0" borderId="1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50" fillId="0" borderId="1" xfId="0" applyNumberFormat="1" applyFont="1" applyBorder="1" applyAlignment="1">
      <alignment vertical="center"/>
    </xf>
    <xf numFmtId="1" fontId="33" fillId="0" borderId="1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 wrapText="1"/>
    </xf>
    <xf numFmtId="1" fontId="25" fillId="0" borderId="1" xfId="0" applyNumberFormat="1" applyFont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 wrapText="1"/>
    </xf>
    <xf numFmtId="1" fontId="30" fillId="0" borderId="1" xfId="0" applyNumberFormat="1" applyFont="1" applyBorder="1" applyAlignment="1">
      <alignment horizontal="center" vertical="center"/>
    </xf>
    <xf numFmtId="1" fontId="57" fillId="0" borderId="1" xfId="0" applyNumberFormat="1" applyFont="1" applyBorder="1" applyAlignment="1">
      <alignment horizontal="center" vertical="center"/>
    </xf>
    <xf numFmtId="1" fontId="57" fillId="0" borderId="1" xfId="0" applyNumberFormat="1" applyFont="1" applyBorder="1" applyAlignment="1">
      <alignment horizontal="center" vertical="center" wrapText="1"/>
    </xf>
    <xf numFmtId="1" fontId="55" fillId="0" borderId="2" xfId="0" applyNumberFormat="1" applyFont="1" applyBorder="1" applyAlignment="1">
      <alignment horizontal="center" vertical="center"/>
    </xf>
    <xf numFmtId="1" fontId="55" fillId="0" borderId="4" xfId="0" applyNumberFormat="1" applyFont="1" applyBorder="1" applyAlignment="1">
      <alignment horizontal="center" vertical="center"/>
    </xf>
    <xf numFmtId="1" fontId="55" fillId="0" borderId="3" xfId="0" applyNumberFormat="1" applyFont="1" applyBorder="1" applyAlignment="1">
      <alignment horizontal="center" vertical="center"/>
    </xf>
    <xf numFmtId="0" fontId="41" fillId="0" borderId="5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7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4" fillId="0" borderId="2" xfId="0" applyFont="1" applyBorder="1" applyAlignment="1">
      <alignment horizontal="center" vertical="center" wrapText="1"/>
    </xf>
    <xf numFmtId="0" fontId="44" fillId="0" borderId="3" xfId="0" applyFont="1" applyBorder="1" applyAlignment="1">
      <alignment horizontal="center" vertical="center" wrapText="1"/>
    </xf>
    <xf numFmtId="1" fontId="51" fillId="0" borderId="1" xfId="0" applyNumberFormat="1" applyFont="1" applyBorder="1" applyAlignment="1">
      <alignment horizontal="center" vertical="center"/>
    </xf>
    <xf numFmtId="1" fontId="60" fillId="0" borderId="2" xfId="0" applyNumberFormat="1" applyFont="1" applyBorder="1" applyAlignment="1">
      <alignment horizontal="center" vertical="center"/>
    </xf>
    <xf numFmtId="1" fontId="60" fillId="0" borderId="4" xfId="0" applyNumberFormat="1" applyFont="1" applyBorder="1" applyAlignment="1">
      <alignment horizontal="center" vertical="center"/>
    </xf>
    <xf numFmtId="1" fontId="60" fillId="0" borderId="3" xfId="0" applyNumberFormat="1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4" fillId="0" borderId="2" xfId="0" applyFont="1" applyBorder="1" applyAlignment="1">
      <alignment horizontal="center" vertical="center"/>
    </xf>
    <xf numFmtId="0" fontId="44" fillId="0" borderId="3" xfId="0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64" fillId="5" borderId="1" xfId="0" applyFont="1" applyFill="1" applyBorder="1" applyAlignment="1">
      <alignment horizontal="center"/>
    </xf>
    <xf numFmtId="0" fontId="7" fillId="2" borderId="44" xfId="0" applyFont="1" applyFill="1" applyBorder="1" applyAlignment="1">
      <alignment horizontal="center" wrapText="1"/>
    </xf>
    <xf numFmtId="0" fontId="7" fillId="2" borderId="45" xfId="0" applyFont="1" applyFill="1" applyBorder="1" applyAlignment="1">
      <alignment horizontal="center" wrapText="1"/>
    </xf>
    <xf numFmtId="0" fontId="7" fillId="2" borderId="47" xfId="0" applyFont="1" applyFill="1" applyBorder="1" applyAlignment="1">
      <alignment horizontal="center" wrapText="1"/>
    </xf>
    <xf numFmtId="0" fontId="7" fillId="2" borderId="0" xfId="0" applyFont="1" applyFill="1" applyBorder="1" applyAlignment="1">
      <alignment horizontal="center" wrapText="1"/>
    </xf>
    <xf numFmtId="0" fontId="7" fillId="2" borderId="49" xfId="0" applyFont="1" applyFill="1" applyBorder="1" applyAlignment="1">
      <alignment horizontal="center" wrapText="1"/>
    </xf>
    <xf numFmtId="0" fontId="7" fillId="2" borderId="50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 vertical="center" textRotation="90" wrapText="1"/>
    </xf>
    <xf numFmtId="0" fontId="7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 wrapText="1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1" fontId="7" fillId="0" borderId="1" xfId="0" applyNumberFormat="1" applyFont="1" applyBorder="1" applyAlignment="1">
      <alignment horizontal="left" vertical="center"/>
    </xf>
    <xf numFmtId="2" fontId="64" fillId="0" borderId="1" xfId="0" applyNumberFormat="1" applyFont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64" fillId="5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0" fontId="45" fillId="0" borderId="1" xfId="0" applyFont="1" applyBorder="1" applyAlignment="1">
      <alignment horizontal="center"/>
    </xf>
    <xf numFmtId="2" fontId="66" fillId="0" borderId="1" xfId="0" applyNumberFormat="1" applyFont="1" applyBorder="1" applyAlignment="1">
      <alignment horizontal="center" wrapText="1"/>
    </xf>
    <xf numFmtId="1" fontId="0" fillId="3" borderId="5" xfId="0" applyNumberFormat="1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" fontId="4" fillId="3" borderId="6" xfId="0" applyNumberFormat="1" applyFont="1" applyFill="1" applyBorder="1" applyAlignment="1">
      <alignment horizontal="center" vertical="center"/>
    </xf>
    <xf numFmtId="1" fontId="4" fillId="3" borderId="7" xfId="0" applyNumberFormat="1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1" fontId="13" fillId="2" borderId="15" xfId="0" applyNumberFormat="1" applyFont="1" applyFill="1" applyBorder="1" applyAlignment="1">
      <alignment horizontal="center" vertical="center"/>
    </xf>
    <xf numFmtId="1" fontId="13" fillId="2" borderId="16" xfId="0" applyNumberFormat="1" applyFont="1" applyFill="1" applyBorder="1" applyAlignment="1">
      <alignment horizontal="center" vertical="center"/>
    </xf>
    <xf numFmtId="1" fontId="6" fillId="3" borderId="6" xfId="0" applyNumberFormat="1" applyFont="1" applyFill="1" applyBorder="1" applyAlignment="1">
      <alignment horizontal="left" vertical="center"/>
    </xf>
    <xf numFmtId="1" fontId="6" fillId="3" borderId="7" xfId="0" applyNumberFormat="1" applyFont="1" applyFill="1" applyBorder="1" applyAlignment="1">
      <alignment horizontal="left" vertical="center"/>
    </xf>
    <xf numFmtId="0" fontId="12" fillId="4" borderId="15" xfId="0" applyFont="1" applyFill="1" applyBorder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0" fontId="12" fillId="4" borderId="16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0" fontId="7" fillId="3" borderId="32" xfId="0" applyFont="1" applyFill="1" applyBorder="1" applyAlignment="1">
      <alignment horizontal="center" vertical="center" textRotation="90"/>
    </xf>
    <xf numFmtId="0" fontId="7" fillId="3" borderId="33" xfId="0" applyFont="1" applyFill="1" applyBorder="1" applyAlignment="1">
      <alignment horizontal="center" vertical="center" textRotation="90"/>
    </xf>
    <xf numFmtId="164" fontId="0" fillId="3" borderId="2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2" fontId="14" fillId="3" borderId="29" xfId="0" applyNumberFormat="1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right" vertical="center"/>
    </xf>
    <xf numFmtId="0" fontId="4" fillId="3" borderId="42" xfId="0" applyFont="1" applyFill="1" applyBorder="1" applyAlignment="1">
      <alignment horizontal="right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textRotation="90" wrapText="1"/>
    </xf>
    <xf numFmtId="0" fontId="7" fillId="3" borderId="3" xfId="0" applyFont="1" applyFill="1" applyBorder="1" applyAlignment="1">
      <alignment horizontal="center" vertical="center" textRotation="90" wrapText="1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3" xfId="0" applyFont="1" applyFill="1" applyBorder="1" applyAlignment="1">
      <alignment horizontal="center" vertical="center" textRotation="90"/>
    </xf>
    <xf numFmtId="0" fontId="7" fillId="3" borderId="1" xfId="0" applyFont="1" applyFill="1" applyBorder="1" applyAlignment="1">
      <alignment horizontal="center" vertical="center" textRotation="90"/>
    </xf>
    <xf numFmtId="0" fontId="7" fillId="3" borderId="41" xfId="0" applyFont="1" applyFill="1" applyBorder="1" applyAlignment="1">
      <alignment horizontal="center" vertical="center" textRotation="90"/>
    </xf>
    <xf numFmtId="0" fontId="4" fillId="3" borderId="43" xfId="0" applyFont="1" applyFill="1" applyBorder="1" applyAlignment="1">
      <alignment horizontal="center"/>
    </xf>
    <xf numFmtId="0" fontId="4" fillId="3" borderId="42" xfId="0" applyFont="1" applyFill="1" applyBorder="1" applyAlignment="1">
      <alignment horizontal="center"/>
    </xf>
    <xf numFmtId="0" fontId="16" fillId="3" borderId="23" xfId="0" applyFont="1" applyFill="1" applyBorder="1" applyAlignment="1">
      <alignment horizontal="center" vertical="center" wrapText="1"/>
    </xf>
    <xf numFmtId="0" fontId="16" fillId="3" borderId="24" xfId="0" applyFont="1" applyFill="1" applyBorder="1" applyAlignment="1">
      <alignment horizontal="center" vertical="center" wrapText="1"/>
    </xf>
    <xf numFmtId="0" fontId="16" fillId="3" borderId="39" xfId="0" applyFont="1" applyFill="1" applyBorder="1" applyAlignment="1">
      <alignment horizontal="center" vertical="center" wrapText="1"/>
    </xf>
    <xf numFmtId="0" fontId="16" fillId="3" borderId="30" xfId="0" applyFont="1" applyFill="1" applyBorder="1" applyAlignment="1">
      <alignment horizontal="center" vertical="center" wrapText="1"/>
    </xf>
    <xf numFmtId="0" fontId="16" fillId="3" borderId="25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6" fillId="3" borderId="5" xfId="0" applyFont="1" applyFill="1" applyBorder="1" applyAlignment="1">
      <alignment horizontal="center" vertical="center" wrapText="1"/>
    </xf>
    <xf numFmtId="0" fontId="16" fillId="3" borderId="29" xfId="0" applyFont="1" applyFill="1" applyBorder="1" applyAlignment="1">
      <alignment horizontal="center" vertical="center" wrapText="1"/>
    </xf>
    <xf numFmtId="0" fontId="16" fillId="3" borderId="26" xfId="0" applyFont="1" applyFill="1" applyBorder="1" applyAlignment="1">
      <alignment horizontal="center" vertical="center" wrapText="1"/>
    </xf>
    <xf numFmtId="0" fontId="16" fillId="3" borderId="27" xfId="0" applyFont="1" applyFill="1" applyBorder="1" applyAlignment="1">
      <alignment horizontal="center" vertical="center" wrapText="1"/>
    </xf>
    <xf numFmtId="0" fontId="16" fillId="3" borderId="40" xfId="0" applyFont="1" applyFill="1" applyBorder="1" applyAlignment="1">
      <alignment horizontal="center" vertical="center" wrapText="1"/>
    </xf>
    <xf numFmtId="0" fontId="16" fillId="3" borderId="3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/>
    </xf>
    <xf numFmtId="0" fontId="4" fillId="3" borderId="35" xfId="0" applyFont="1" applyFill="1" applyBorder="1" applyAlignment="1">
      <alignment horizontal="right"/>
    </xf>
    <xf numFmtId="0" fontId="4" fillId="3" borderId="36" xfId="0" applyFont="1" applyFill="1" applyBorder="1" applyAlignment="1">
      <alignment horizontal="right"/>
    </xf>
    <xf numFmtId="0" fontId="4" fillId="3" borderId="37" xfId="0" applyFont="1" applyFill="1" applyBorder="1" applyAlignment="1">
      <alignment horizontal="right"/>
    </xf>
    <xf numFmtId="0" fontId="4" fillId="3" borderId="20" xfId="0" applyFont="1" applyFill="1" applyBorder="1" applyAlignment="1">
      <alignment horizontal="right"/>
    </xf>
    <xf numFmtId="0" fontId="4" fillId="3" borderId="0" xfId="0" applyFont="1" applyFill="1" applyAlignment="1">
      <alignment horizontal="right"/>
    </xf>
    <xf numFmtId="0" fontId="4" fillId="3" borderId="18" xfId="0" applyFont="1" applyFill="1" applyBorder="1" applyAlignment="1">
      <alignment horizontal="right"/>
    </xf>
    <xf numFmtId="1" fontId="4" fillId="3" borderId="15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/>
    </xf>
    <xf numFmtId="1" fontId="4" fillId="3" borderId="13" xfId="0" applyNumberFormat="1" applyFont="1" applyFill="1" applyBorder="1" applyAlignment="1">
      <alignment horizontal="center"/>
    </xf>
    <xf numFmtId="1" fontId="4" fillId="3" borderId="38" xfId="0" applyNumberFormat="1" applyFont="1" applyFill="1" applyBorder="1" applyAlignment="1">
      <alignment horizontal="center"/>
    </xf>
    <xf numFmtId="0" fontId="4" fillId="3" borderId="0" xfId="0" applyFont="1" applyFill="1" applyAlignment="1">
      <alignment horizontal="right" vertical="center"/>
    </xf>
  </cellXfs>
  <cellStyles count="3">
    <cellStyle name="Normal" xfId="0" builtinId="0"/>
    <cellStyle name="Normal 2" xfId="2"/>
    <cellStyle name="Percent" xfId="1" builtinId="5"/>
  </cellStyles>
  <dxfs count="5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16265</xdr:colOff>
      <xdr:row>0</xdr:row>
      <xdr:rowOff>138175</xdr:rowOff>
    </xdr:from>
    <xdr:to>
      <xdr:col>28</xdr:col>
      <xdr:colOff>205613</xdr:colOff>
      <xdr:row>4</xdr:row>
      <xdr:rowOff>26905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7773586" y="138175"/>
          <a:ext cx="726211" cy="81401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280648</xdr:colOff>
      <xdr:row>0</xdr:row>
      <xdr:rowOff>59531</xdr:rowOff>
    </xdr:from>
    <xdr:to>
      <xdr:col>36</xdr:col>
      <xdr:colOff>90206</xdr:colOff>
      <xdr:row>4</xdr:row>
      <xdr:rowOff>112259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4581755" y="59531"/>
          <a:ext cx="952558" cy="103244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82223</xdr:colOff>
      <xdr:row>0</xdr:row>
      <xdr:rowOff>76200</xdr:rowOff>
    </xdr:from>
    <xdr:to>
      <xdr:col>33</xdr:col>
      <xdr:colOff>160722</xdr:colOff>
      <xdr:row>4</xdr:row>
      <xdr:rowOff>126206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9121448" y="76200"/>
          <a:ext cx="821449" cy="104060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397570</xdr:colOff>
      <xdr:row>34</xdr:row>
      <xdr:rowOff>49698</xdr:rowOff>
    </xdr:from>
    <xdr:to>
      <xdr:col>28</xdr:col>
      <xdr:colOff>521805</xdr:colOff>
      <xdr:row>36</xdr:row>
      <xdr:rowOff>49693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6ADB850A-517F-1535-3200-C6FBFB161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11566668" y="8734013"/>
          <a:ext cx="380995" cy="1085018"/>
        </a:xfrm>
        <a:prstGeom prst="rect">
          <a:avLst/>
        </a:prstGeom>
      </xdr:spPr>
    </xdr:pic>
    <xdr:clientData/>
  </xdr:twoCellAnchor>
  <xdr:twoCellAnchor editAs="oneCell">
    <xdr:from>
      <xdr:col>8</xdr:col>
      <xdr:colOff>182217</xdr:colOff>
      <xdr:row>0</xdr:row>
      <xdr:rowOff>0</xdr:rowOff>
    </xdr:from>
    <xdr:to>
      <xdr:col>10</xdr:col>
      <xdr:colOff>57977</xdr:colOff>
      <xdr:row>3</xdr:row>
      <xdr:rowOff>111616</xdr:rowOff>
    </xdr:to>
    <xdr:pic>
      <xdr:nvPicPr>
        <xdr:cNvPr id="6" name="Picture 5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3793434" y="0"/>
          <a:ext cx="745434" cy="7742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14</xdr:col>
      <xdr:colOff>57979</xdr:colOff>
      <xdr:row>34</xdr:row>
      <xdr:rowOff>82826</xdr:rowOff>
    </xdr:from>
    <xdr:to>
      <xdr:col>16</xdr:col>
      <xdr:colOff>57979</xdr:colOff>
      <xdr:row>35</xdr:row>
      <xdr:rowOff>183328</xdr:rowOff>
    </xdr:to>
    <xdr:pic>
      <xdr:nvPicPr>
        <xdr:cNvPr id="5" name="Picture 4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37414" y="6800022"/>
          <a:ext cx="762000" cy="2910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101600</xdr:colOff>
      <xdr:row>1</xdr:row>
      <xdr:rowOff>186363</xdr:rowOff>
    </xdr:from>
    <xdr:to>
      <xdr:col>3</xdr:col>
      <xdr:colOff>254000</xdr:colOff>
      <xdr:row>4</xdr:row>
      <xdr:rowOff>180977</xdr:rowOff>
    </xdr:to>
    <xdr:pic>
      <xdr:nvPicPr>
        <xdr:cNvPr id="3" name="Picture 2" descr="logo.png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07063"/>
          <a:ext cx="762000" cy="80106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R4362"/>
  <sheetViews>
    <sheetView zoomScale="85" zoomScaleNormal="85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H31" sqref="H31"/>
    </sheetView>
  </sheetViews>
  <sheetFormatPr defaultColWidth="5.7109375" defaultRowHeight="15"/>
  <cols>
    <col min="2" max="2" width="6" bestFit="1" customWidth="1"/>
    <col min="3" max="3" width="20" bestFit="1" customWidth="1"/>
    <col min="4" max="4" width="30.7109375" hidden="1" customWidth="1"/>
    <col min="5" max="5" width="27.85546875" hidden="1" customWidth="1"/>
    <col min="6" max="6" width="22.5703125" style="27" hidden="1" customWidth="1"/>
    <col min="7" max="8" width="5.7109375" customWidth="1"/>
    <col min="9" max="9" width="7.42578125" customWidth="1"/>
    <col min="10" max="10" width="5.7109375" customWidth="1"/>
    <col min="11" max="11" width="6.85546875" customWidth="1"/>
    <col min="12" max="13" width="5.7109375" customWidth="1"/>
    <col min="14" max="14" width="5.140625" customWidth="1"/>
    <col min="15" max="15" width="5.7109375" customWidth="1"/>
    <col min="16" max="16" width="6.5703125" customWidth="1"/>
    <col min="17" max="17" width="7.140625" bestFit="1" customWidth="1"/>
    <col min="18" max="18" width="8" bestFit="1" customWidth="1"/>
    <col min="19" max="19" width="6.85546875" bestFit="1" customWidth="1"/>
    <col min="20" max="25" width="5.7109375" customWidth="1"/>
    <col min="26" max="26" width="6.85546875" customWidth="1"/>
    <col min="27" max="27" width="7.140625" bestFit="1" customWidth="1"/>
    <col min="28" max="28" width="8" bestFit="1" customWidth="1"/>
    <col min="29" max="29" width="6.85546875" bestFit="1" customWidth="1"/>
    <col min="30" max="31" width="5.7109375" customWidth="1"/>
    <col min="32" max="32" width="5.140625" customWidth="1"/>
    <col min="33" max="35" width="5.7109375" customWidth="1"/>
    <col min="36" max="36" width="6.85546875" bestFit="1" customWidth="1"/>
    <col min="37" max="38" width="5.7109375" customWidth="1"/>
    <col min="39" max="39" width="5.140625" customWidth="1"/>
    <col min="40" max="40" width="5.7109375" customWidth="1"/>
    <col min="41" max="41" width="5.85546875" bestFit="1" customWidth="1"/>
    <col min="42" max="42" width="7" customWidth="1"/>
    <col min="43" max="43" width="6.85546875" bestFit="1" customWidth="1"/>
    <col min="44" max="48" width="5.7109375" customWidth="1"/>
    <col min="49" max="49" width="6.85546875" bestFit="1" customWidth="1"/>
    <col min="50" max="55" width="5.7109375" customWidth="1"/>
    <col min="56" max="56" width="6.85546875" bestFit="1" customWidth="1"/>
    <col min="57" max="62" width="5.7109375" customWidth="1"/>
    <col min="63" max="63" width="6.85546875" bestFit="1" customWidth="1"/>
    <col min="64" max="68" width="5.7109375" customWidth="1"/>
    <col min="69" max="69" width="5.28515625" customWidth="1"/>
    <col min="70" max="70" width="7" bestFit="1" customWidth="1"/>
    <col min="71" max="72" width="6.140625" bestFit="1" customWidth="1"/>
    <col min="73" max="73" width="7.140625" customWidth="1"/>
    <col min="74" max="76" width="6.140625" bestFit="1" customWidth="1"/>
    <col min="77" max="77" width="7" bestFit="1" customWidth="1"/>
    <col min="78" max="79" width="6.140625" bestFit="1" customWidth="1"/>
    <col min="80" max="80" width="5.7109375" customWidth="1"/>
    <col min="81" max="84" width="6.140625" bestFit="1" customWidth="1"/>
    <col min="85" max="86" width="7" bestFit="1" customWidth="1"/>
    <col min="87" max="87" width="6.140625" bestFit="1" customWidth="1"/>
    <col min="88" max="88" width="8.7109375" bestFit="1" customWidth="1"/>
    <col min="89" max="89" width="21.42578125" bestFit="1" customWidth="1"/>
    <col min="90" max="90" width="8.7109375" customWidth="1"/>
    <col min="91" max="91" width="5.7109375" style="28"/>
  </cols>
  <sheetData>
    <row r="1" spans="1:122" ht="14.45" customHeight="1">
      <c r="A1" s="209" t="s">
        <v>262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210"/>
      <c r="BF1" s="210"/>
      <c r="BG1" s="210"/>
      <c r="BH1" s="210"/>
      <c r="BI1" s="210"/>
      <c r="BJ1" s="210"/>
      <c r="BK1" s="210"/>
      <c r="BL1" s="210"/>
      <c r="BM1" s="210"/>
      <c r="BN1" s="210"/>
      <c r="BO1" s="210"/>
      <c r="BP1" s="210"/>
      <c r="BQ1" s="210"/>
      <c r="BR1" s="210"/>
      <c r="BS1" s="210"/>
      <c r="BT1" s="210"/>
      <c r="BU1" s="210"/>
      <c r="BV1" s="210"/>
      <c r="BW1" s="210"/>
      <c r="BX1" s="210"/>
      <c r="BY1" s="210"/>
      <c r="BZ1" s="210"/>
      <c r="CA1" s="210"/>
      <c r="CB1" s="210"/>
      <c r="CC1" s="210"/>
      <c r="CD1" s="210"/>
      <c r="CE1" s="210"/>
      <c r="CF1" s="210"/>
      <c r="CG1" s="210"/>
      <c r="CH1" s="210"/>
      <c r="CI1" s="210"/>
      <c r="CJ1" s="210"/>
      <c r="CK1" s="210"/>
      <c r="CL1" s="210"/>
      <c r="CM1" s="210"/>
      <c r="CN1" s="210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</row>
    <row r="2" spans="1:122" ht="20.45" customHeight="1">
      <c r="A2" s="210"/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  <c r="AF2" s="210"/>
      <c r="AG2" s="210"/>
      <c r="AH2" s="210"/>
      <c r="AI2" s="210"/>
      <c r="AJ2" s="210"/>
      <c r="AK2" s="210"/>
      <c r="AL2" s="210"/>
      <c r="AM2" s="210"/>
      <c r="AN2" s="210"/>
      <c r="AO2" s="210"/>
      <c r="AP2" s="210"/>
      <c r="AQ2" s="210"/>
      <c r="AR2" s="210"/>
      <c r="AS2" s="210"/>
      <c r="AT2" s="210"/>
      <c r="AU2" s="210"/>
      <c r="AV2" s="210"/>
      <c r="AW2" s="210"/>
      <c r="AX2" s="210"/>
      <c r="AY2" s="210"/>
      <c r="AZ2" s="210"/>
      <c r="BA2" s="210"/>
      <c r="BB2" s="210"/>
      <c r="BC2" s="210"/>
      <c r="BD2" s="210"/>
      <c r="BE2" s="210"/>
      <c r="BF2" s="210"/>
      <c r="BG2" s="210"/>
      <c r="BH2" s="210"/>
      <c r="BI2" s="210"/>
      <c r="BJ2" s="210"/>
      <c r="BK2" s="210"/>
      <c r="BL2" s="210"/>
      <c r="BM2" s="210"/>
      <c r="BN2" s="210"/>
      <c r="BO2" s="210"/>
      <c r="BP2" s="210"/>
      <c r="BQ2" s="210"/>
      <c r="BR2" s="210"/>
      <c r="BS2" s="210"/>
      <c r="BT2" s="210"/>
      <c r="BU2" s="210"/>
      <c r="BV2" s="210"/>
      <c r="BW2" s="210"/>
      <c r="BX2" s="210"/>
      <c r="BY2" s="210"/>
      <c r="BZ2" s="210"/>
      <c r="CA2" s="210"/>
      <c r="CB2" s="210"/>
      <c r="CC2" s="210"/>
      <c r="CD2" s="210"/>
      <c r="CE2" s="210"/>
      <c r="CF2" s="210"/>
      <c r="CG2" s="210"/>
      <c r="CH2" s="210"/>
      <c r="CI2" s="210"/>
      <c r="CJ2" s="210"/>
      <c r="CK2" s="210"/>
      <c r="CL2" s="210"/>
      <c r="CM2" s="210"/>
      <c r="CN2" s="210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58"/>
      <c r="DI2" s="58"/>
      <c r="DJ2" s="58"/>
      <c r="DK2" s="58"/>
      <c r="DL2" s="58"/>
      <c r="DM2" s="58"/>
      <c r="DN2" s="58"/>
      <c r="DO2" s="58"/>
      <c r="DP2" s="58"/>
      <c r="DQ2" s="58"/>
      <c r="DR2" s="58"/>
    </row>
    <row r="3" spans="1:122" ht="24.6" customHeight="1">
      <c r="A3" s="210"/>
      <c r="B3" s="210"/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0"/>
      <c r="AO3" s="210"/>
      <c r="AP3" s="210"/>
      <c r="AQ3" s="210"/>
      <c r="AR3" s="210"/>
      <c r="AS3" s="210"/>
      <c r="AT3" s="210"/>
      <c r="AU3" s="210"/>
      <c r="AV3" s="210"/>
      <c r="AW3" s="210"/>
      <c r="AX3" s="210"/>
      <c r="AY3" s="210"/>
      <c r="AZ3" s="210"/>
      <c r="BA3" s="210"/>
      <c r="BB3" s="210"/>
      <c r="BC3" s="210"/>
      <c r="BD3" s="210"/>
      <c r="BE3" s="210"/>
      <c r="BF3" s="210"/>
      <c r="BG3" s="210"/>
      <c r="BH3" s="210"/>
      <c r="BI3" s="210"/>
      <c r="BJ3" s="210"/>
      <c r="BK3" s="210"/>
      <c r="BL3" s="210"/>
      <c r="BM3" s="210"/>
      <c r="BN3" s="210"/>
      <c r="BO3" s="210"/>
      <c r="BP3" s="210"/>
      <c r="BQ3" s="210"/>
      <c r="BR3" s="210"/>
      <c r="BS3" s="210"/>
      <c r="BT3" s="210"/>
      <c r="BU3" s="210"/>
      <c r="BV3" s="210"/>
      <c r="BW3" s="210"/>
      <c r="BX3" s="210"/>
      <c r="BY3" s="210"/>
      <c r="BZ3" s="210"/>
      <c r="CA3" s="210"/>
      <c r="CB3" s="210"/>
      <c r="CC3" s="210"/>
      <c r="CD3" s="210"/>
      <c r="CE3" s="210"/>
      <c r="CF3" s="210"/>
      <c r="CG3" s="210"/>
      <c r="CH3" s="210"/>
      <c r="CI3" s="210"/>
      <c r="CJ3" s="210"/>
      <c r="CK3" s="210"/>
      <c r="CL3" s="210"/>
      <c r="CM3" s="210"/>
      <c r="CN3" s="210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</row>
    <row r="4" spans="1:122" ht="15" customHeight="1">
      <c r="A4" s="210"/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  <c r="CE4" s="210"/>
      <c r="CF4" s="210"/>
      <c r="CG4" s="210"/>
      <c r="CH4" s="210"/>
      <c r="CI4" s="210"/>
      <c r="CJ4" s="210"/>
      <c r="CK4" s="210"/>
      <c r="CL4" s="210"/>
      <c r="CM4" s="210"/>
      <c r="CN4" s="210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</row>
    <row r="5" spans="1:122" ht="17.100000000000001" customHeight="1">
      <c r="A5" s="210"/>
      <c r="B5" s="210"/>
      <c r="C5" s="210"/>
      <c r="D5" s="210"/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AS5" s="210"/>
      <c r="AT5" s="210"/>
      <c r="AU5" s="210"/>
      <c r="AV5" s="210"/>
      <c r="AW5" s="210"/>
      <c r="AX5" s="210"/>
      <c r="AY5" s="210"/>
      <c r="AZ5" s="210"/>
      <c r="BA5" s="210"/>
      <c r="BB5" s="210"/>
      <c r="BC5" s="210"/>
      <c r="BD5" s="210"/>
      <c r="BE5" s="210"/>
      <c r="BF5" s="210"/>
      <c r="BG5" s="210"/>
      <c r="BH5" s="210"/>
      <c r="BI5" s="210"/>
      <c r="BJ5" s="210"/>
      <c r="BK5" s="210"/>
      <c r="BL5" s="210"/>
      <c r="BM5" s="210"/>
      <c r="BN5" s="210"/>
      <c r="BO5" s="210"/>
      <c r="BP5" s="210"/>
      <c r="BQ5" s="210"/>
      <c r="BR5" s="210"/>
      <c r="BS5" s="210"/>
      <c r="BT5" s="210"/>
      <c r="BU5" s="210"/>
      <c r="BV5" s="210"/>
      <c r="BW5" s="210"/>
      <c r="BX5" s="210"/>
      <c r="BY5" s="210"/>
      <c r="BZ5" s="210"/>
      <c r="CA5" s="210"/>
      <c r="CB5" s="210"/>
      <c r="CC5" s="210"/>
      <c r="CD5" s="210"/>
      <c r="CE5" s="210"/>
      <c r="CF5" s="210"/>
      <c r="CG5" s="210"/>
      <c r="CH5" s="210"/>
      <c r="CI5" s="210"/>
      <c r="CJ5" s="210"/>
      <c r="CK5" s="210"/>
      <c r="CL5" s="210"/>
      <c r="CM5" s="210"/>
      <c r="CN5" s="210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58"/>
      <c r="DI5" s="58"/>
      <c r="DJ5" s="58"/>
      <c r="DK5" s="58"/>
      <c r="DL5" s="58"/>
      <c r="DM5" s="58"/>
      <c r="DN5" s="58"/>
      <c r="DO5" s="58"/>
      <c r="DP5" s="58"/>
      <c r="DQ5" s="58"/>
      <c r="DR5" s="58"/>
    </row>
    <row r="6" spans="1:122" s="39" customFormat="1" ht="21.95" hidden="1" customHeight="1">
      <c r="A6" s="29"/>
      <c r="B6" s="30"/>
      <c r="C6" s="31" t="s">
        <v>74</v>
      </c>
      <c r="D6" s="31" t="s">
        <v>75</v>
      </c>
      <c r="E6" s="32" t="s">
        <v>51</v>
      </c>
      <c r="F6" s="33">
        <v>8801799616204</v>
      </c>
      <c r="G6" s="34" t="s">
        <v>50</v>
      </c>
      <c r="H6" s="31" t="s">
        <v>68</v>
      </c>
      <c r="I6" s="36" t="s">
        <v>49</v>
      </c>
      <c r="J6" s="36" t="s">
        <v>76</v>
      </c>
      <c r="K6" s="224" t="s">
        <v>44</v>
      </c>
      <c r="L6" s="224"/>
      <c r="M6" s="35">
        <v>31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84"/>
      <c r="CL6" s="30"/>
      <c r="CM6" s="37"/>
      <c r="CN6" s="38"/>
    </row>
    <row r="7" spans="1:122" s="65" customFormat="1" ht="23.1" customHeight="1">
      <c r="A7" s="219" t="s">
        <v>11</v>
      </c>
      <c r="B7" s="219" t="s">
        <v>0</v>
      </c>
      <c r="C7" s="219" t="s">
        <v>16</v>
      </c>
      <c r="D7" s="225" t="s">
        <v>21</v>
      </c>
      <c r="E7" s="225" t="s">
        <v>15</v>
      </c>
      <c r="F7" s="226" t="s">
        <v>18</v>
      </c>
      <c r="G7" s="219" t="s">
        <v>20</v>
      </c>
      <c r="H7" s="219"/>
      <c r="I7" s="219"/>
      <c r="J7" s="219"/>
      <c r="K7" s="215" t="s">
        <v>72</v>
      </c>
      <c r="L7" s="219" t="s">
        <v>19</v>
      </c>
      <c r="M7" s="219"/>
      <c r="N7" s="219"/>
      <c r="O7" s="219"/>
      <c r="P7" s="215" t="s">
        <v>72</v>
      </c>
      <c r="Q7" s="217" t="s">
        <v>1</v>
      </c>
      <c r="R7" s="216" t="s">
        <v>22</v>
      </c>
      <c r="S7" s="217" t="s">
        <v>2</v>
      </c>
      <c r="T7" s="219" t="s">
        <v>12</v>
      </c>
      <c r="U7" s="219"/>
      <c r="V7" s="219"/>
      <c r="W7" s="219"/>
      <c r="X7" s="219"/>
      <c r="Y7" s="219"/>
      <c r="Z7" s="215" t="s">
        <v>72</v>
      </c>
      <c r="AA7" s="215" t="s">
        <v>1</v>
      </c>
      <c r="AB7" s="216" t="s">
        <v>22</v>
      </c>
      <c r="AC7" s="217" t="s">
        <v>2</v>
      </c>
      <c r="AD7" s="219" t="s">
        <v>45</v>
      </c>
      <c r="AE7" s="219"/>
      <c r="AF7" s="219"/>
      <c r="AG7" s="219"/>
      <c r="AH7" s="217" t="s">
        <v>1</v>
      </c>
      <c r="AI7" s="216" t="s">
        <v>22</v>
      </c>
      <c r="AJ7" s="217" t="s">
        <v>2</v>
      </c>
      <c r="AK7" s="219" t="s">
        <v>3</v>
      </c>
      <c r="AL7" s="219"/>
      <c r="AM7" s="219"/>
      <c r="AN7" s="219"/>
      <c r="AO7" s="215" t="s">
        <v>1</v>
      </c>
      <c r="AP7" s="216" t="s">
        <v>22</v>
      </c>
      <c r="AQ7" s="217" t="s">
        <v>2</v>
      </c>
      <c r="AR7" s="219" t="s">
        <v>4</v>
      </c>
      <c r="AS7" s="219"/>
      <c r="AT7" s="219"/>
      <c r="AU7" s="218" t="s">
        <v>1</v>
      </c>
      <c r="AV7" s="216" t="s">
        <v>22</v>
      </c>
      <c r="AW7" s="217" t="s">
        <v>2</v>
      </c>
      <c r="AX7" s="219" t="s">
        <v>52</v>
      </c>
      <c r="AY7" s="219"/>
      <c r="AZ7" s="219"/>
      <c r="BA7" s="219"/>
      <c r="BB7" s="217" t="s">
        <v>1</v>
      </c>
      <c r="BC7" s="216" t="s">
        <v>22</v>
      </c>
      <c r="BD7" s="217" t="s">
        <v>2</v>
      </c>
      <c r="BE7" s="219" t="s">
        <v>53</v>
      </c>
      <c r="BF7" s="219"/>
      <c r="BG7" s="219"/>
      <c r="BH7" s="219"/>
      <c r="BI7" s="217" t="s">
        <v>1</v>
      </c>
      <c r="BJ7" s="216" t="s">
        <v>22</v>
      </c>
      <c r="BK7" s="217" t="s">
        <v>2</v>
      </c>
      <c r="BL7" s="223" t="s">
        <v>54</v>
      </c>
      <c r="BM7" s="223"/>
      <c r="BN7" s="223"/>
      <c r="BO7" s="223"/>
      <c r="BP7" s="217" t="s">
        <v>1</v>
      </c>
      <c r="BQ7" s="216" t="s">
        <v>22</v>
      </c>
      <c r="BR7" s="217" t="s">
        <v>2</v>
      </c>
      <c r="BS7" s="222" t="s">
        <v>10</v>
      </c>
      <c r="BT7" s="219"/>
      <c r="BU7" s="219"/>
      <c r="BV7" s="219"/>
      <c r="BW7" s="217" t="s">
        <v>1</v>
      </c>
      <c r="BX7" s="216" t="s">
        <v>22</v>
      </c>
      <c r="BY7" s="217" t="s">
        <v>2</v>
      </c>
      <c r="BZ7" s="219" t="s">
        <v>38</v>
      </c>
      <c r="CA7" s="219"/>
      <c r="CB7" s="219"/>
      <c r="CC7" s="219"/>
      <c r="CD7" s="219"/>
      <c r="CE7" s="217" t="s">
        <v>1</v>
      </c>
      <c r="CF7" s="216" t="s">
        <v>22</v>
      </c>
      <c r="CG7" s="220" t="s">
        <v>71</v>
      </c>
      <c r="CH7" s="217" t="s">
        <v>2</v>
      </c>
      <c r="CI7" s="217" t="s">
        <v>5</v>
      </c>
      <c r="CJ7" s="217" t="s">
        <v>6</v>
      </c>
      <c r="CK7" s="217" t="s">
        <v>46</v>
      </c>
      <c r="CL7" s="216" t="s">
        <v>47</v>
      </c>
      <c r="CM7" s="214" t="s">
        <v>55</v>
      </c>
      <c r="CN7" s="215" t="s">
        <v>48</v>
      </c>
    </row>
    <row r="8" spans="1:122" s="148" customFormat="1" ht="26.25" customHeight="1">
      <c r="A8" s="219"/>
      <c r="B8" s="219"/>
      <c r="C8" s="219"/>
      <c r="D8" s="225"/>
      <c r="E8" s="225"/>
      <c r="F8" s="226"/>
      <c r="G8" s="145" t="s">
        <v>17</v>
      </c>
      <c r="H8" s="145" t="s">
        <v>7</v>
      </c>
      <c r="I8" s="146" t="s">
        <v>70</v>
      </c>
      <c r="J8" s="145" t="s">
        <v>8</v>
      </c>
      <c r="K8" s="217"/>
      <c r="L8" s="145" t="s">
        <v>17</v>
      </c>
      <c r="M8" s="145" t="s">
        <v>7</v>
      </c>
      <c r="N8" s="146" t="s">
        <v>70</v>
      </c>
      <c r="O8" s="145" t="s">
        <v>8</v>
      </c>
      <c r="P8" s="217"/>
      <c r="Q8" s="217"/>
      <c r="R8" s="218"/>
      <c r="S8" s="217"/>
      <c r="T8" s="145" t="s">
        <v>17</v>
      </c>
      <c r="U8" s="145" t="s">
        <v>13</v>
      </c>
      <c r="V8" s="147" t="s">
        <v>97</v>
      </c>
      <c r="W8" s="145" t="s">
        <v>17</v>
      </c>
      <c r="X8" s="145" t="s">
        <v>14</v>
      </c>
      <c r="Y8" s="147" t="s">
        <v>97</v>
      </c>
      <c r="Z8" s="217"/>
      <c r="AA8" s="217"/>
      <c r="AB8" s="218"/>
      <c r="AC8" s="217"/>
      <c r="AD8" s="145" t="s">
        <v>17</v>
      </c>
      <c r="AE8" s="145" t="s">
        <v>7</v>
      </c>
      <c r="AF8" s="146" t="s">
        <v>70</v>
      </c>
      <c r="AG8" s="145" t="s">
        <v>8</v>
      </c>
      <c r="AH8" s="217"/>
      <c r="AI8" s="218"/>
      <c r="AJ8" s="217"/>
      <c r="AK8" s="145" t="s">
        <v>17</v>
      </c>
      <c r="AL8" s="145" t="s">
        <v>7</v>
      </c>
      <c r="AM8" s="146" t="s">
        <v>70</v>
      </c>
      <c r="AN8" s="145" t="s">
        <v>8</v>
      </c>
      <c r="AO8" s="217"/>
      <c r="AP8" s="218"/>
      <c r="AQ8" s="217"/>
      <c r="AR8" s="145" t="s">
        <v>17</v>
      </c>
      <c r="AS8" s="145" t="s">
        <v>8</v>
      </c>
      <c r="AT8" s="145" t="s">
        <v>9</v>
      </c>
      <c r="AU8" s="218"/>
      <c r="AV8" s="218"/>
      <c r="AW8" s="217"/>
      <c r="AX8" s="145" t="s">
        <v>17</v>
      </c>
      <c r="AY8" s="145" t="s">
        <v>7</v>
      </c>
      <c r="AZ8" s="145" t="s">
        <v>70</v>
      </c>
      <c r="BA8" s="145" t="s">
        <v>8</v>
      </c>
      <c r="BB8" s="217"/>
      <c r="BC8" s="218"/>
      <c r="BD8" s="217"/>
      <c r="BE8" s="145" t="s">
        <v>17</v>
      </c>
      <c r="BF8" s="145" t="s">
        <v>7</v>
      </c>
      <c r="BG8" s="146" t="s">
        <v>70</v>
      </c>
      <c r="BH8" s="145" t="s">
        <v>8</v>
      </c>
      <c r="BI8" s="217"/>
      <c r="BJ8" s="216"/>
      <c r="BK8" s="217"/>
      <c r="BL8" s="145" t="s">
        <v>17</v>
      </c>
      <c r="BM8" s="145" t="s">
        <v>7</v>
      </c>
      <c r="BN8" s="146" t="s">
        <v>70</v>
      </c>
      <c r="BO8" s="145" t="s">
        <v>8</v>
      </c>
      <c r="BP8" s="217"/>
      <c r="BQ8" s="216"/>
      <c r="BR8" s="217"/>
      <c r="BS8" s="145" t="s">
        <v>17</v>
      </c>
      <c r="BT8" s="145" t="s">
        <v>7</v>
      </c>
      <c r="BU8" s="145" t="s">
        <v>70</v>
      </c>
      <c r="BV8" s="145" t="s">
        <v>8</v>
      </c>
      <c r="BW8" s="217"/>
      <c r="BX8" s="216"/>
      <c r="BY8" s="217"/>
      <c r="BZ8" s="145" t="s">
        <v>17</v>
      </c>
      <c r="CA8" s="145" t="s">
        <v>7</v>
      </c>
      <c r="CB8" s="145" t="s">
        <v>70</v>
      </c>
      <c r="CC8" s="145" t="s">
        <v>8</v>
      </c>
      <c r="CD8" s="145" t="s">
        <v>9</v>
      </c>
      <c r="CE8" s="217"/>
      <c r="CF8" s="216"/>
      <c r="CG8" s="221"/>
      <c r="CH8" s="217"/>
      <c r="CI8" s="217"/>
      <c r="CJ8" s="217"/>
      <c r="CK8" s="217"/>
      <c r="CL8" s="216"/>
      <c r="CM8" s="214"/>
      <c r="CN8" s="215"/>
    </row>
    <row r="9" spans="1:122" s="151" customFormat="1" ht="24.95" customHeight="1">
      <c r="A9" s="97">
        <v>1</v>
      </c>
      <c r="B9" s="47">
        <v>42</v>
      </c>
      <c r="C9" s="50" t="s">
        <v>111</v>
      </c>
      <c r="D9" s="50" t="s">
        <v>112</v>
      </c>
      <c r="E9" s="50" t="s">
        <v>113</v>
      </c>
      <c r="F9" s="51" t="s">
        <v>114</v>
      </c>
      <c r="G9" s="136">
        <v>14</v>
      </c>
      <c r="H9" s="136">
        <v>16</v>
      </c>
      <c r="I9" s="136">
        <f>G9+H9</f>
        <v>30</v>
      </c>
      <c r="J9" s="136">
        <v>10</v>
      </c>
      <c r="K9" s="136">
        <f>I9+J9</f>
        <v>40</v>
      </c>
      <c r="L9" s="136">
        <v>14</v>
      </c>
      <c r="M9" s="136">
        <v>26</v>
      </c>
      <c r="N9" s="136">
        <f>L9+M9</f>
        <v>40</v>
      </c>
      <c r="O9" s="136">
        <v>17</v>
      </c>
      <c r="P9" s="136">
        <f>N9+O9</f>
        <v>57</v>
      </c>
      <c r="Q9" s="136">
        <f t="shared" ref="Q9:Q50" si="0">K9+P9</f>
        <v>97</v>
      </c>
      <c r="R9" s="211">
        <f>MAX(Q9:Q50)</f>
        <v>131</v>
      </c>
      <c r="S9" s="149">
        <f>IF(I9+N9&lt;56,"F",IF(J9+O9&lt;24,"F",IF(Q9&lt;80,"F",IF(Q9&lt;100,2,IF(Q9&lt;120,3,IF(Q9&lt;140,3.5,IF(Q9&lt;160,4,5)))))))</f>
        <v>2</v>
      </c>
      <c r="T9" s="136">
        <v>13</v>
      </c>
      <c r="U9" s="136">
        <v>40</v>
      </c>
      <c r="V9" s="136">
        <f t="shared" ref="V9:V50" si="1">U9+T9</f>
        <v>53</v>
      </c>
      <c r="W9" s="136">
        <v>12</v>
      </c>
      <c r="X9" s="136">
        <v>40</v>
      </c>
      <c r="Y9" s="136">
        <f>X9+W9</f>
        <v>52</v>
      </c>
      <c r="Z9" s="136">
        <f t="shared" ref="Z9:Z50" si="2">V9+Y9</f>
        <v>105</v>
      </c>
      <c r="AA9" s="136">
        <f>Z9</f>
        <v>105</v>
      </c>
      <c r="AB9" s="211">
        <f>MAX(AA9:AA50)</f>
        <v>126</v>
      </c>
      <c r="AC9" s="149">
        <f>IF(AA9&lt;80,"F",IF(AA9&lt;100,2,IF(AA9&lt;120,3,IF(AA9&lt;140,3.5,IF(AA9&lt;160,4,5)))))</f>
        <v>3</v>
      </c>
      <c r="AD9" s="136">
        <v>17</v>
      </c>
      <c r="AE9" s="136">
        <v>31</v>
      </c>
      <c r="AF9" s="136">
        <f t="shared" ref="AF9:AF50" si="3">AE9+AD9</f>
        <v>48</v>
      </c>
      <c r="AG9" s="136">
        <v>19</v>
      </c>
      <c r="AH9" s="136">
        <f>AF9+AG9</f>
        <v>67</v>
      </c>
      <c r="AI9" s="211">
        <f>MAX(AH9:AH50)</f>
        <v>67</v>
      </c>
      <c r="AJ9" s="149">
        <f>IF(AF9&lt;28,"F",IF(AG9&lt;12,"F",IF(AH9&lt;40,"F",IF(AH9&lt;50,2,IF(AH9&lt;60,3,IF(AH9&lt;70,3.5,IF(AH9&lt;80,4,5)))))))</f>
        <v>3.5</v>
      </c>
      <c r="AK9" s="136">
        <v>15</v>
      </c>
      <c r="AL9" s="136">
        <v>33</v>
      </c>
      <c r="AM9" s="136">
        <f t="shared" ref="AM9:AM50" si="4">AL9+AK9</f>
        <v>48</v>
      </c>
      <c r="AN9" s="136">
        <v>22</v>
      </c>
      <c r="AO9" s="136">
        <f>AM9+AN9</f>
        <v>70</v>
      </c>
      <c r="AP9" s="211">
        <f>MAX(AO9:AO50)</f>
        <v>71</v>
      </c>
      <c r="AQ9" s="149">
        <f>IF(AM9&lt;28,"F",IF(AN9&lt;12,"F",IF(AO9&lt;40,"F",IF(AO9&lt;50,2,IF(AO9&lt;60,3,IF(AO9&lt;70,3.5,IF(AO9&lt;80,4,5)))))))</f>
        <v>4</v>
      </c>
      <c r="AR9" s="136"/>
      <c r="AS9" s="136">
        <v>21</v>
      </c>
      <c r="AT9" s="136">
        <v>25</v>
      </c>
      <c r="AU9" s="136">
        <f>SUM(AR9:AT9)</f>
        <v>46</v>
      </c>
      <c r="AV9" s="211">
        <f>MAX(AU9:AU40)</f>
        <v>48</v>
      </c>
      <c r="AW9" s="149">
        <f t="shared" ref="AW9:AW50" si="5">IF(AS9&lt;10,"F",IF(AT9&lt;10,"F",IF(AU9&lt;20,"F",IF(AU9&lt;25,2,IF(AU9&lt;30,3,IF(AU9&lt;35,3.5,IF(AU9&lt;40,4,5)))))))</f>
        <v>5</v>
      </c>
      <c r="AX9" s="136">
        <v>16</v>
      </c>
      <c r="AY9" s="136">
        <v>20</v>
      </c>
      <c r="AZ9" s="136">
        <f>SUM(AX9:AY9)</f>
        <v>36</v>
      </c>
      <c r="BA9" s="136">
        <v>18</v>
      </c>
      <c r="BB9" s="136">
        <f>SUM(AZ9+BA9)</f>
        <v>54</v>
      </c>
      <c r="BC9" s="211">
        <f>MAX(BB9:BB40)</f>
        <v>66</v>
      </c>
      <c r="BD9" s="149">
        <f>IF(AZ9&lt;28,"F",IF(BA9&lt;12,"F",IF(BB9&lt;40,"F",IF(BB9&lt;50,2,IF(BB9&lt;60,3,IF(BB9&lt;70,3.5,IF(BB9&lt;80,4,5)))))))</f>
        <v>3</v>
      </c>
      <c r="BE9" s="136">
        <v>14</v>
      </c>
      <c r="BF9" s="136">
        <v>28</v>
      </c>
      <c r="BG9" s="136">
        <f>SUM(BE9:BF9)</f>
        <v>42</v>
      </c>
      <c r="BH9" s="136">
        <v>15</v>
      </c>
      <c r="BI9" s="136">
        <f>SUM(BG9:BH9)</f>
        <v>57</v>
      </c>
      <c r="BJ9" s="211">
        <f>MAX(BI9:BI40)</f>
        <v>71</v>
      </c>
      <c r="BK9" s="149">
        <f>IF(BG9&lt;28,"F",IF(BH9&lt;12,"F",IF(BI9&lt;40,"F",IF(BI9&lt;50,2,IF(BI9&lt;60,3,IF(BI9&lt;70,3.5,IF(BI9&lt;80,4,5)))))))</f>
        <v>3</v>
      </c>
      <c r="BL9" s="136">
        <v>19</v>
      </c>
      <c r="BM9" s="136">
        <v>27</v>
      </c>
      <c r="BN9" s="136">
        <f>SUM(BL9:BM9)</f>
        <v>46</v>
      </c>
      <c r="BO9" s="136">
        <v>17</v>
      </c>
      <c r="BP9" s="136">
        <f>SUM(BN9:BO9)</f>
        <v>63</v>
      </c>
      <c r="BQ9" s="211">
        <f>MAX(BP9:BP40)</f>
        <v>73</v>
      </c>
      <c r="BR9" s="149">
        <f>IF(BN9&lt;28,"F",IF(BO9&lt;12,"F",IF(BP9&lt;40,"F",IF(BP9&lt;50,2,IF(BP9&lt;60,3,IF(BP9&lt;70,3.5,IF(BP9&lt;80,4,5)))))))</f>
        <v>3.5</v>
      </c>
      <c r="BS9" s="136">
        <v>17</v>
      </c>
      <c r="BT9" s="136">
        <v>37</v>
      </c>
      <c r="BU9" s="136">
        <f>SUM(BS9:BT9)</f>
        <v>54</v>
      </c>
      <c r="BV9" s="136">
        <v>16</v>
      </c>
      <c r="BW9" s="136">
        <f>BU9+BV9</f>
        <v>70</v>
      </c>
      <c r="BX9" s="211">
        <f>MAX(BW9:BW40)</f>
        <v>70</v>
      </c>
      <c r="BY9" s="149">
        <f>IF(BU9&lt;28,"F",IF(BV9&lt;12,"F",IF(BW9&lt;40,"F",IF(BW9&lt;50,2,IF(BW9&lt;60,3,IF(BW9&lt;70,3.5,IF(BW9&lt;80,4,5)))))))</f>
        <v>4</v>
      </c>
      <c r="BZ9" s="136">
        <v>6</v>
      </c>
      <c r="CA9" s="136">
        <v>17</v>
      </c>
      <c r="CB9" s="136">
        <f>SUM(BZ9:CA9)</f>
        <v>23</v>
      </c>
      <c r="CC9" s="136">
        <v>22</v>
      </c>
      <c r="CD9" s="136">
        <v>22</v>
      </c>
      <c r="CE9" s="136">
        <f>CB9+CC9+CD9</f>
        <v>67</v>
      </c>
      <c r="CF9" s="211">
        <f>MAX(CE9:CE40)</f>
        <v>74</v>
      </c>
      <c r="CG9" s="149">
        <f>IF(CB9&lt;20,"0",IF(CC9&lt;10,"0",IF(CD9&lt;10,"0",IF(CE9&lt;40,"0",IF(CE9&lt;50,2,IF(CE9&lt;60,3,IF(CE9&lt;70,3.5,IF(CE9&lt;80,4,5))))))))</f>
        <v>3.5</v>
      </c>
      <c r="CH9" s="149">
        <f>IF(CB9&lt;20,"F",IF(CC9&lt;10,"F",IF(CD9&lt;10,"F",IF(CE9&lt;40,"F",IF(CE9&lt;50,2,IF(CE9&lt;60,3,IF(CE9&lt;70,3.5,IF(CE9&lt;80,4,5))))))))</f>
        <v>3.5</v>
      </c>
      <c r="CI9" s="136">
        <f t="shared" ref="CI9:CI50" si="6">IF(S9="F","F",IF(AC9="F","F",IF(AJ9="F","F",IF(AQ9="F","F",IF(BD9="F","F",IF(BK9="F","F",IF(BR9="F","F",IF(BY9="F","F",IF(CG9="F","F",IF(AW9="F","F", IF(CG9&lt;2,SUM(S9,AC9,AJ9,AQ9,AW9,BD9,BK9,BR9,BY9,CG9),IF(CG9&gt;=2,SUM(S9,AC9,AJ9,AQ9,BD9,BK9,AW9,BR9,BY9,CG9-2)))))))))))))</f>
        <v>32.5</v>
      </c>
      <c r="CJ9" s="150">
        <f>IF(CI9="F","F",IF(CI9&gt;=45,5,IF(CI9&lt;45,CI9/9)))</f>
        <v>3.6111111111111112</v>
      </c>
      <c r="CK9" s="97" t="str">
        <f>IF(CJ9="F","NEED TO PROGRESS",IF(CJ9&gt;=5,"BEST",IF(CJ9&gt;=4,"BETTER",IF(CJ9&gt;=2,"GOOD"))))</f>
        <v>GOOD</v>
      </c>
      <c r="CL9" s="97">
        <f>Q9+AA9+AH9+AO9+AU9+BB9+BI9+BP9+BW9+CE9</f>
        <v>696</v>
      </c>
      <c r="CM9" s="97">
        <f t="shared" ref="CM9:CM50" si="7">IF(CJ9="F","F",RANK(CL9,CL$9:CL$50))</f>
        <v>2</v>
      </c>
      <c r="CN9" s="97"/>
    </row>
    <row r="10" spans="1:122" s="151" customFormat="1" ht="24.95" customHeight="1">
      <c r="A10" s="97">
        <v>2</v>
      </c>
      <c r="B10" s="47">
        <v>46</v>
      </c>
      <c r="C10" s="50" t="s">
        <v>115</v>
      </c>
      <c r="D10" s="50" t="s">
        <v>116</v>
      </c>
      <c r="E10" s="50" t="s">
        <v>117</v>
      </c>
      <c r="F10" s="51" t="s">
        <v>118</v>
      </c>
      <c r="G10" s="136">
        <v>9</v>
      </c>
      <c r="H10" s="136">
        <v>29</v>
      </c>
      <c r="I10" s="136">
        <f t="shared" ref="I10:I50" si="8">G10+H10</f>
        <v>38</v>
      </c>
      <c r="J10" s="136">
        <v>15</v>
      </c>
      <c r="K10" s="136">
        <f t="shared" ref="K10:K50" si="9">I10+J10</f>
        <v>53</v>
      </c>
      <c r="L10" s="136">
        <v>14</v>
      </c>
      <c r="M10" s="136">
        <v>25</v>
      </c>
      <c r="N10" s="136">
        <f t="shared" ref="N10:N50" si="10">L10+M10</f>
        <v>39</v>
      </c>
      <c r="O10" s="136">
        <v>17</v>
      </c>
      <c r="P10" s="136">
        <f t="shared" ref="P10:P50" si="11">N10+O10</f>
        <v>56</v>
      </c>
      <c r="Q10" s="136">
        <f t="shared" si="0"/>
        <v>109</v>
      </c>
      <c r="R10" s="212"/>
      <c r="S10" s="149">
        <f t="shared" ref="S10:S50" si="12">IF(I10+N10&lt;56,"F",IF(J10+O10&lt;24,"F",IF(Q10&lt;80,"F",IF(Q10&lt;100,2,IF(Q10&lt;120,3,IF(Q10&lt;140,3.5,IF(Q10&lt;160,4,5)))))))</f>
        <v>3</v>
      </c>
      <c r="T10" s="136">
        <v>12</v>
      </c>
      <c r="U10" s="136">
        <v>20</v>
      </c>
      <c r="V10" s="136">
        <f t="shared" si="1"/>
        <v>32</v>
      </c>
      <c r="W10" s="136">
        <v>14</v>
      </c>
      <c r="X10" s="136">
        <v>16</v>
      </c>
      <c r="Y10" s="136">
        <f t="shared" ref="Y10:Y50" si="13">X10+W10</f>
        <v>30</v>
      </c>
      <c r="Z10" s="136">
        <f t="shared" si="2"/>
        <v>62</v>
      </c>
      <c r="AA10" s="136">
        <f t="shared" ref="AA10:AA50" si="14">Z10</f>
        <v>62</v>
      </c>
      <c r="AB10" s="212"/>
      <c r="AC10" s="149" t="str">
        <f t="shared" ref="AC10:AC50" si="15">IF(AA10&lt;80,"F",IF(AA10&lt;100,2,IF(AA10&lt;120,3,IF(AA10&lt;140,3.5,IF(AA10&lt;160,4,5)))))</f>
        <v>F</v>
      </c>
      <c r="AD10" s="136">
        <v>14</v>
      </c>
      <c r="AE10" s="136">
        <v>14</v>
      </c>
      <c r="AF10" s="136">
        <f t="shared" si="3"/>
        <v>28</v>
      </c>
      <c r="AG10" s="136">
        <v>13</v>
      </c>
      <c r="AH10" s="136">
        <f t="shared" ref="AH10:AH50" si="16">AF10+AG10</f>
        <v>41</v>
      </c>
      <c r="AI10" s="212"/>
      <c r="AJ10" s="149">
        <f t="shared" ref="AJ10:AJ50" si="17">IF(AF10&lt;28,"F",IF(AG10&lt;12,"F",IF(AH10&lt;40,"F",IF(AH10&lt;50,2,IF(AH10&lt;60,3,IF(AH10&lt;70,3.5,IF(AH10&lt;80,4,5)))))))</f>
        <v>2</v>
      </c>
      <c r="AK10" s="136">
        <v>14</v>
      </c>
      <c r="AL10" s="136">
        <v>31</v>
      </c>
      <c r="AM10" s="136">
        <f t="shared" si="4"/>
        <v>45</v>
      </c>
      <c r="AN10" s="136">
        <v>18</v>
      </c>
      <c r="AO10" s="136">
        <f t="shared" ref="AO10:AO50" si="18">AM10+AN10</f>
        <v>63</v>
      </c>
      <c r="AP10" s="212"/>
      <c r="AQ10" s="149">
        <f t="shared" ref="AQ10:AQ50" si="19">IF(AM10&lt;28,"F",IF(AN10&lt;12,"F",IF(AO10&lt;40,"F",IF(AO10&lt;50,2,IF(AO10&lt;60,3,IF(AO10&lt;70,3.5,IF(AO10&lt;80,4,5)))))))</f>
        <v>3.5</v>
      </c>
      <c r="AR10" s="136"/>
      <c r="AS10" s="136">
        <v>18</v>
      </c>
      <c r="AT10" s="136">
        <v>25</v>
      </c>
      <c r="AU10" s="136">
        <f t="shared" ref="AU10:AU50" si="20">SUM(AR10:AT10)</f>
        <v>43</v>
      </c>
      <c r="AV10" s="212"/>
      <c r="AW10" s="149">
        <f t="shared" si="5"/>
        <v>5</v>
      </c>
      <c r="AX10" s="136">
        <v>14</v>
      </c>
      <c r="AY10" s="136">
        <v>28</v>
      </c>
      <c r="AZ10" s="136">
        <f t="shared" ref="AZ10:AZ50" si="21">SUM(AX10:AY10)</f>
        <v>42</v>
      </c>
      <c r="BA10" s="136">
        <v>19</v>
      </c>
      <c r="BB10" s="136">
        <f t="shared" ref="BB10:BB50" si="22">SUM(AZ10+BA10)</f>
        <v>61</v>
      </c>
      <c r="BC10" s="212"/>
      <c r="BD10" s="149">
        <f t="shared" ref="BD10:BD50" si="23">IF(AZ10&lt;28,"F",IF(BA10&lt;12,"F",IF(BB10&lt;40,"F",IF(BB10&lt;50,2,IF(BB10&lt;60,3,IF(BB10&lt;70,3.5,IF(BB10&lt;80,4,5)))))))</f>
        <v>3.5</v>
      </c>
      <c r="BE10" s="136">
        <v>14</v>
      </c>
      <c r="BF10" s="136">
        <v>25</v>
      </c>
      <c r="BG10" s="136">
        <f t="shared" ref="BG10:BG50" si="24">SUM(BE10:BF10)</f>
        <v>39</v>
      </c>
      <c r="BH10" s="136">
        <v>14</v>
      </c>
      <c r="BI10" s="136">
        <f t="shared" ref="BI10:BI50" si="25">SUM(BG10:BH10)</f>
        <v>53</v>
      </c>
      <c r="BJ10" s="212"/>
      <c r="BK10" s="149">
        <f t="shared" ref="BK10:BK50" si="26">IF(BG10&lt;28,"F",IF(BH10&lt;12,"F",IF(BI10&lt;40,"F",IF(BI10&lt;50,2,IF(BI10&lt;60,3,IF(BI10&lt;70,3.5,IF(BI10&lt;80,4,5)))))))</f>
        <v>3</v>
      </c>
      <c r="BL10" s="136">
        <v>16</v>
      </c>
      <c r="BM10" s="136">
        <v>25</v>
      </c>
      <c r="BN10" s="136">
        <f t="shared" ref="BN10:BN50" si="27">SUM(BL10:BM10)</f>
        <v>41</v>
      </c>
      <c r="BO10" s="136">
        <v>17</v>
      </c>
      <c r="BP10" s="136">
        <f t="shared" ref="BP10:BP50" si="28">SUM(BN10:BO10)</f>
        <v>58</v>
      </c>
      <c r="BQ10" s="212"/>
      <c r="BR10" s="149">
        <f t="shared" ref="BR10:BR50" si="29">IF(BN10&lt;28,"F",IF(BO10&lt;12,"F",IF(BP10&lt;40,"F",IF(BP10&lt;50,2,IF(BP10&lt;60,3,IF(BP10&lt;70,3.5,IF(BP10&lt;80,4,5)))))))</f>
        <v>3</v>
      </c>
      <c r="BS10" s="136">
        <v>11</v>
      </c>
      <c r="BT10" s="136">
        <v>18</v>
      </c>
      <c r="BU10" s="136">
        <f t="shared" ref="BU10:BU50" si="30">SUM(BS10:BT10)</f>
        <v>29</v>
      </c>
      <c r="BV10" s="136">
        <v>9</v>
      </c>
      <c r="BW10" s="136">
        <f t="shared" ref="BW10:BW50" si="31">BU10+BV10</f>
        <v>38</v>
      </c>
      <c r="BX10" s="212"/>
      <c r="BY10" s="149" t="str">
        <f t="shared" ref="BY10:BY50" si="32">IF(BU10&lt;28,"F",IF(BV10&lt;12,"F",IF(BW10&lt;40,"F",IF(BW10&lt;50,2,IF(BW10&lt;60,3,IF(BW10&lt;70,3.5,IF(BW10&lt;80,4,5)))))))</f>
        <v>F</v>
      </c>
      <c r="BZ10" s="136">
        <v>7</v>
      </c>
      <c r="CA10" s="136">
        <v>18</v>
      </c>
      <c r="CB10" s="136">
        <f t="shared" ref="CB10:CB50" si="33">SUM(BZ10:CA10)</f>
        <v>25</v>
      </c>
      <c r="CC10" s="136">
        <v>20</v>
      </c>
      <c r="CD10" s="136">
        <v>22</v>
      </c>
      <c r="CE10" s="136">
        <f t="shared" ref="CE10:CE50" si="34">CB10+CC10+CD10</f>
        <v>67</v>
      </c>
      <c r="CF10" s="212"/>
      <c r="CG10" s="149">
        <f t="shared" ref="CG10:CG50" si="35">IF(CB10&lt;20,"0",IF(CC10&lt;10,"0",IF(CD10&lt;10,"0",IF(CE10&lt;40,"0",IF(CE10&lt;50,2,IF(CE10&lt;60,3,IF(CE10&lt;70,3.5,IF(CE10&lt;80,4,5))))))))</f>
        <v>3.5</v>
      </c>
      <c r="CH10" s="149">
        <f t="shared" ref="CH10:CH50" si="36">IF(CB10&lt;20,"F",IF(CC10&lt;10,"F",IF(CD10&lt;10,"F",IF(CE10&lt;40,"F",IF(CE10&lt;50,2,IF(CE10&lt;60,3,IF(CE10&lt;70,3.5,IF(CE10&lt;80,4,5))))))))</f>
        <v>3.5</v>
      </c>
      <c r="CI10" s="136" t="str">
        <f t="shared" si="6"/>
        <v>F</v>
      </c>
      <c r="CJ10" s="150" t="str">
        <f t="shared" ref="CJ10:CJ50" si="37">IF(CI10="F","F",IF(CI10&gt;=45,5,IF(CI10&lt;45,CI10/9)))</f>
        <v>F</v>
      </c>
      <c r="CK10" s="97" t="str">
        <f t="shared" ref="CK10:CK50" si="38">IF(CJ10="F","NEED TO PROGRESS",IF(CJ10&gt;=5,"BEST",IF(CJ10&gt;=4,"BETTER",IF(CJ10&gt;=2,"GOOD"))))</f>
        <v>NEED TO PROGRESS</v>
      </c>
      <c r="CL10" s="97">
        <f t="shared" ref="CL10:CL50" si="39">Q10+AA10+AH10+AO10+AU10+BB10+BI10+BP10+BW10+CE10</f>
        <v>595</v>
      </c>
      <c r="CM10" s="97" t="str">
        <f t="shared" si="7"/>
        <v>F</v>
      </c>
      <c r="CN10" s="97"/>
    </row>
    <row r="11" spans="1:122" s="151" customFormat="1" ht="24.95" customHeight="1">
      <c r="A11" s="97">
        <v>3</v>
      </c>
      <c r="B11" s="47">
        <v>47</v>
      </c>
      <c r="C11" s="50" t="s">
        <v>119</v>
      </c>
      <c r="D11" s="50" t="s">
        <v>120</v>
      </c>
      <c r="E11" s="50" t="s">
        <v>121</v>
      </c>
      <c r="F11" s="51" t="s">
        <v>122</v>
      </c>
      <c r="G11" s="136">
        <v>15</v>
      </c>
      <c r="H11" s="136">
        <v>21</v>
      </c>
      <c r="I11" s="136">
        <f t="shared" si="8"/>
        <v>36</v>
      </c>
      <c r="J11" s="136">
        <v>16</v>
      </c>
      <c r="K11" s="136">
        <f t="shared" si="9"/>
        <v>52</v>
      </c>
      <c r="L11" s="136">
        <v>15</v>
      </c>
      <c r="M11" s="136">
        <v>25</v>
      </c>
      <c r="N11" s="136">
        <f t="shared" si="10"/>
        <v>40</v>
      </c>
      <c r="O11" s="136">
        <v>14</v>
      </c>
      <c r="P11" s="136">
        <f t="shared" si="11"/>
        <v>54</v>
      </c>
      <c r="Q11" s="136">
        <f t="shared" si="0"/>
        <v>106</v>
      </c>
      <c r="R11" s="212"/>
      <c r="S11" s="149">
        <f t="shared" si="12"/>
        <v>3</v>
      </c>
      <c r="T11" s="136">
        <v>13</v>
      </c>
      <c r="U11" s="136">
        <v>43</v>
      </c>
      <c r="V11" s="136">
        <f t="shared" si="1"/>
        <v>56</v>
      </c>
      <c r="W11" s="136">
        <v>12</v>
      </c>
      <c r="X11" s="136">
        <v>40</v>
      </c>
      <c r="Y11" s="136">
        <f t="shared" si="13"/>
        <v>52</v>
      </c>
      <c r="Z11" s="136">
        <f t="shared" si="2"/>
        <v>108</v>
      </c>
      <c r="AA11" s="136">
        <f t="shared" si="14"/>
        <v>108</v>
      </c>
      <c r="AB11" s="212"/>
      <c r="AC11" s="149">
        <f t="shared" si="15"/>
        <v>3</v>
      </c>
      <c r="AD11" s="136">
        <v>9</v>
      </c>
      <c r="AE11" s="136">
        <v>35</v>
      </c>
      <c r="AF11" s="136">
        <f t="shared" si="3"/>
        <v>44</v>
      </c>
      <c r="AG11" s="136">
        <v>16</v>
      </c>
      <c r="AH11" s="136">
        <f t="shared" si="16"/>
        <v>60</v>
      </c>
      <c r="AI11" s="212"/>
      <c r="AJ11" s="149">
        <f t="shared" si="17"/>
        <v>3.5</v>
      </c>
      <c r="AK11" s="136">
        <v>15</v>
      </c>
      <c r="AL11" s="136">
        <v>32</v>
      </c>
      <c r="AM11" s="136">
        <f t="shared" si="4"/>
        <v>47</v>
      </c>
      <c r="AN11" s="136">
        <v>21</v>
      </c>
      <c r="AO11" s="136">
        <f t="shared" si="18"/>
        <v>68</v>
      </c>
      <c r="AP11" s="212"/>
      <c r="AQ11" s="149">
        <f t="shared" si="19"/>
        <v>3.5</v>
      </c>
      <c r="AR11" s="136"/>
      <c r="AS11" s="136">
        <v>16</v>
      </c>
      <c r="AT11" s="136">
        <v>25</v>
      </c>
      <c r="AU11" s="136">
        <f t="shared" si="20"/>
        <v>41</v>
      </c>
      <c r="AV11" s="212"/>
      <c r="AW11" s="149">
        <f t="shared" si="5"/>
        <v>5</v>
      </c>
      <c r="AX11" s="136">
        <v>12</v>
      </c>
      <c r="AY11" s="136">
        <v>30</v>
      </c>
      <c r="AZ11" s="136">
        <f t="shared" si="21"/>
        <v>42</v>
      </c>
      <c r="BA11" s="136">
        <v>16</v>
      </c>
      <c r="BB11" s="136">
        <f t="shared" si="22"/>
        <v>58</v>
      </c>
      <c r="BC11" s="212"/>
      <c r="BD11" s="149">
        <f t="shared" si="23"/>
        <v>3</v>
      </c>
      <c r="BE11" s="136">
        <v>9</v>
      </c>
      <c r="BF11" s="136">
        <v>25</v>
      </c>
      <c r="BG11" s="136">
        <f t="shared" si="24"/>
        <v>34</v>
      </c>
      <c r="BH11" s="136">
        <v>13</v>
      </c>
      <c r="BI11" s="136">
        <f t="shared" si="25"/>
        <v>47</v>
      </c>
      <c r="BJ11" s="212"/>
      <c r="BK11" s="149">
        <f t="shared" si="26"/>
        <v>2</v>
      </c>
      <c r="BL11" s="136">
        <v>15</v>
      </c>
      <c r="BM11" s="136">
        <v>39</v>
      </c>
      <c r="BN11" s="136">
        <f t="shared" si="27"/>
        <v>54</v>
      </c>
      <c r="BO11" s="136">
        <v>19</v>
      </c>
      <c r="BP11" s="136">
        <f t="shared" si="28"/>
        <v>73</v>
      </c>
      <c r="BQ11" s="212"/>
      <c r="BR11" s="149">
        <f t="shared" si="29"/>
        <v>4</v>
      </c>
      <c r="BS11" s="136">
        <v>10</v>
      </c>
      <c r="BT11" s="136">
        <v>24</v>
      </c>
      <c r="BU11" s="136">
        <f t="shared" si="30"/>
        <v>34</v>
      </c>
      <c r="BV11" s="136">
        <v>12</v>
      </c>
      <c r="BW11" s="136">
        <f t="shared" si="31"/>
        <v>46</v>
      </c>
      <c r="BX11" s="212"/>
      <c r="BY11" s="149">
        <f t="shared" si="32"/>
        <v>2</v>
      </c>
      <c r="BZ11" s="136">
        <v>5</v>
      </c>
      <c r="CA11" s="136">
        <v>17</v>
      </c>
      <c r="CB11" s="136">
        <f t="shared" si="33"/>
        <v>22</v>
      </c>
      <c r="CC11" s="136">
        <v>16</v>
      </c>
      <c r="CD11" s="136">
        <v>22</v>
      </c>
      <c r="CE11" s="136">
        <f t="shared" si="34"/>
        <v>60</v>
      </c>
      <c r="CF11" s="212"/>
      <c r="CG11" s="149">
        <f t="shared" si="35"/>
        <v>3.5</v>
      </c>
      <c r="CH11" s="149">
        <f t="shared" si="36"/>
        <v>3.5</v>
      </c>
      <c r="CI11" s="136">
        <f t="shared" si="6"/>
        <v>30.5</v>
      </c>
      <c r="CJ11" s="150">
        <f t="shared" si="37"/>
        <v>3.3888888888888888</v>
      </c>
      <c r="CK11" s="97" t="str">
        <f t="shared" si="38"/>
        <v>GOOD</v>
      </c>
      <c r="CL11" s="97">
        <f t="shared" si="39"/>
        <v>667</v>
      </c>
      <c r="CM11" s="97">
        <f t="shared" si="7"/>
        <v>5</v>
      </c>
      <c r="CN11" s="97"/>
    </row>
    <row r="12" spans="1:122" s="151" customFormat="1" ht="24.95" customHeight="1">
      <c r="A12" s="97">
        <v>4</v>
      </c>
      <c r="B12" s="47">
        <v>49</v>
      </c>
      <c r="C12" s="50" t="s">
        <v>123</v>
      </c>
      <c r="D12" s="52" t="s">
        <v>124</v>
      </c>
      <c r="E12" s="50" t="s">
        <v>125</v>
      </c>
      <c r="F12" s="53" t="s">
        <v>126</v>
      </c>
      <c r="G12" s="136">
        <v>10</v>
      </c>
      <c r="H12" s="136">
        <v>20</v>
      </c>
      <c r="I12" s="136">
        <f t="shared" si="8"/>
        <v>30</v>
      </c>
      <c r="J12" s="136">
        <v>10</v>
      </c>
      <c r="K12" s="136">
        <f t="shared" si="9"/>
        <v>40</v>
      </c>
      <c r="L12" s="136">
        <v>14</v>
      </c>
      <c r="M12" s="136">
        <v>24</v>
      </c>
      <c r="N12" s="136">
        <f t="shared" si="10"/>
        <v>38</v>
      </c>
      <c r="O12" s="136">
        <v>13</v>
      </c>
      <c r="P12" s="136">
        <f t="shared" si="11"/>
        <v>51</v>
      </c>
      <c r="Q12" s="136">
        <f t="shared" si="0"/>
        <v>91</v>
      </c>
      <c r="R12" s="212"/>
      <c r="S12" s="149" t="str">
        <f t="shared" si="12"/>
        <v>F</v>
      </c>
      <c r="T12" s="136">
        <v>11</v>
      </c>
      <c r="U12" s="136">
        <v>35</v>
      </c>
      <c r="V12" s="136">
        <f t="shared" si="1"/>
        <v>46</v>
      </c>
      <c r="W12" s="136">
        <v>14</v>
      </c>
      <c r="X12" s="136">
        <v>31</v>
      </c>
      <c r="Y12" s="136">
        <f t="shared" si="13"/>
        <v>45</v>
      </c>
      <c r="Z12" s="136">
        <f t="shared" si="2"/>
        <v>91</v>
      </c>
      <c r="AA12" s="136">
        <f t="shared" si="14"/>
        <v>91</v>
      </c>
      <c r="AB12" s="212"/>
      <c r="AC12" s="149">
        <f t="shared" si="15"/>
        <v>2</v>
      </c>
      <c r="AD12" s="136">
        <v>13</v>
      </c>
      <c r="AE12" s="136">
        <v>8</v>
      </c>
      <c r="AF12" s="136">
        <f t="shared" si="3"/>
        <v>21</v>
      </c>
      <c r="AG12" s="136">
        <v>15</v>
      </c>
      <c r="AH12" s="136">
        <f t="shared" si="16"/>
        <v>36</v>
      </c>
      <c r="AI12" s="212"/>
      <c r="AJ12" s="149" t="str">
        <f t="shared" si="17"/>
        <v>F</v>
      </c>
      <c r="AK12" s="136">
        <v>14</v>
      </c>
      <c r="AL12" s="136">
        <v>21</v>
      </c>
      <c r="AM12" s="136">
        <f t="shared" si="4"/>
        <v>35</v>
      </c>
      <c r="AN12" s="136">
        <v>22</v>
      </c>
      <c r="AO12" s="136">
        <f t="shared" si="18"/>
        <v>57</v>
      </c>
      <c r="AP12" s="212"/>
      <c r="AQ12" s="149">
        <f t="shared" si="19"/>
        <v>3</v>
      </c>
      <c r="AR12" s="136"/>
      <c r="AS12" s="136">
        <v>23</v>
      </c>
      <c r="AT12" s="136">
        <v>25</v>
      </c>
      <c r="AU12" s="136">
        <f t="shared" si="20"/>
        <v>48</v>
      </c>
      <c r="AV12" s="212"/>
      <c r="AW12" s="149">
        <f t="shared" si="5"/>
        <v>5</v>
      </c>
      <c r="AX12" s="136">
        <v>11</v>
      </c>
      <c r="AY12" s="136">
        <v>24</v>
      </c>
      <c r="AZ12" s="136">
        <f t="shared" si="21"/>
        <v>35</v>
      </c>
      <c r="BA12" s="136">
        <v>21</v>
      </c>
      <c r="BB12" s="136">
        <f t="shared" si="22"/>
        <v>56</v>
      </c>
      <c r="BC12" s="212"/>
      <c r="BD12" s="149">
        <f t="shared" si="23"/>
        <v>3</v>
      </c>
      <c r="BE12" s="136">
        <v>15</v>
      </c>
      <c r="BF12" s="136">
        <v>19</v>
      </c>
      <c r="BG12" s="136">
        <f t="shared" si="24"/>
        <v>34</v>
      </c>
      <c r="BH12" s="136">
        <v>21</v>
      </c>
      <c r="BI12" s="136">
        <f t="shared" si="25"/>
        <v>55</v>
      </c>
      <c r="BJ12" s="212"/>
      <c r="BK12" s="149">
        <f t="shared" si="26"/>
        <v>3</v>
      </c>
      <c r="BL12" s="136">
        <v>13</v>
      </c>
      <c r="BM12" s="136">
        <v>24</v>
      </c>
      <c r="BN12" s="136">
        <f t="shared" si="27"/>
        <v>37</v>
      </c>
      <c r="BO12" s="136">
        <v>19</v>
      </c>
      <c r="BP12" s="136">
        <f t="shared" si="28"/>
        <v>56</v>
      </c>
      <c r="BQ12" s="212"/>
      <c r="BR12" s="149">
        <f t="shared" si="29"/>
        <v>3</v>
      </c>
      <c r="BS12" s="136">
        <v>10</v>
      </c>
      <c r="BT12" s="136">
        <v>20</v>
      </c>
      <c r="BU12" s="136">
        <f t="shared" si="30"/>
        <v>30</v>
      </c>
      <c r="BV12" s="136">
        <v>18</v>
      </c>
      <c r="BW12" s="136">
        <f t="shared" si="31"/>
        <v>48</v>
      </c>
      <c r="BX12" s="212"/>
      <c r="BY12" s="149">
        <f t="shared" si="32"/>
        <v>2</v>
      </c>
      <c r="BZ12" s="136">
        <v>5</v>
      </c>
      <c r="CA12" s="136">
        <v>15</v>
      </c>
      <c r="CB12" s="136">
        <f t="shared" si="33"/>
        <v>20</v>
      </c>
      <c r="CC12" s="136">
        <v>20</v>
      </c>
      <c r="CD12" s="136">
        <v>22</v>
      </c>
      <c r="CE12" s="136">
        <f t="shared" si="34"/>
        <v>62</v>
      </c>
      <c r="CF12" s="212"/>
      <c r="CG12" s="149">
        <f t="shared" si="35"/>
        <v>3.5</v>
      </c>
      <c r="CH12" s="149">
        <f t="shared" si="36"/>
        <v>3.5</v>
      </c>
      <c r="CI12" s="136" t="str">
        <f t="shared" si="6"/>
        <v>F</v>
      </c>
      <c r="CJ12" s="150" t="str">
        <f t="shared" si="37"/>
        <v>F</v>
      </c>
      <c r="CK12" s="97" t="str">
        <f t="shared" si="38"/>
        <v>NEED TO PROGRESS</v>
      </c>
      <c r="CL12" s="97">
        <f t="shared" si="39"/>
        <v>600</v>
      </c>
      <c r="CM12" s="97" t="str">
        <f t="shared" si="7"/>
        <v>F</v>
      </c>
      <c r="CN12" s="97"/>
    </row>
    <row r="13" spans="1:122" s="151" customFormat="1" ht="24.95" customHeight="1">
      <c r="A13" s="97">
        <v>5</v>
      </c>
      <c r="B13" s="47">
        <v>51</v>
      </c>
      <c r="C13" s="50" t="s">
        <v>127</v>
      </c>
      <c r="D13" s="50" t="s">
        <v>128</v>
      </c>
      <c r="E13" s="50" t="s">
        <v>129</v>
      </c>
      <c r="F13" s="51" t="s">
        <v>130</v>
      </c>
      <c r="G13" s="136">
        <v>16</v>
      </c>
      <c r="H13" s="136">
        <v>29</v>
      </c>
      <c r="I13" s="136">
        <f t="shared" si="8"/>
        <v>45</v>
      </c>
      <c r="J13" s="136">
        <v>11</v>
      </c>
      <c r="K13" s="136">
        <f t="shared" si="9"/>
        <v>56</v>
      </c>
      <c r="L13" s="136">
        <v>14</v>
      </c>
      <c r="M13" s="136">
        <v>21</v>
      </c>
      <c r="N13" s="136">
        <f t="shared" si="10"/>
        <v>35</v>
      </c>
      <c r="O13" s="136">
        <v>23</v>
      </c>
      <c r="P13" s="136">
        <f t="shared" si="11"/>
        <v>58</v>
      </c>
      <c r="Q13" s="136">
        <f t="shared" si="0"/>
        <v>114</v>
      </c>
      <c r="R13" s="212"/>
      <c r="S13" s="149">
        <f t="shared" si="12"/>
        <v>3</v>
      </c>
      <c r="T13" s="136">
        <v>13</v>
      </c>
      <c r="U13" s="136">
        <v>34</v>
      </c>
      <c r="V13" s="136">
        <f t="shared" si="1"/>
        <v>47</v>
      </c>
      <c r="W13" s="136">
        <v>14</v>
      </c>
      <c r="X13" s="136">
        <v>40</v>
      </c>
      <c r="Y13" s="136">
        <f t="shared" si="13"/>
        <v>54</v>
      </c>
      <c r="Z13" s="136">
        <f t="shared" si="2"/>
        <v>101</v>
      </c>
      <c r="AA13" s="136">
        <f t="shared" si="14"/>
        <v>101</v>
      </c>
      <c r="AB13" s="212"/>
      <c r="AC13" s="149">
        <f t="shared" si="15"/>
        <v>3</v>
      </c>
      <c r="AD13" s="136">
        <v>11</v>
      </c>
      <c r="AE13" s="136">
        <v>9</v>
      </c>
      <c r="AF13" s="136">
        <f t="shared" si="3"/>
        <v>20</v>
      </c>
      <c r="AG13" s="136">
        <v>12</v>
      </c>
      <c r="AH13" s="136">
        <f t="shared" si="16"/>
        <v>32</v>
      </c>
      <c r="AI13" s="212"/>
      <c r="AJ13" s="149" t="str">
        <f t="shared" si="17"/>
        <v>F</v>
      </c>
      <c r="AK13" s="136">
        <v>11</v>
      </c>
      <c r="AL13" s="136">
        <v>25</v>
      </c>
      <c r="AM13" s="136">
        <f t="shared" si="4"/>
        <v>36</v>
      </c>
      <c r="AN13" s="136">
        <v>19</v>
      </c>
      <c r="AO13" s="136">
        <f t="shared" si="18"/>
        <v>55</v>
      </c>
      <c r="AP13" s="212"/>
      <c r="AQ13" s="149">
        <f t="shared" si="19"/>
        <v>3</v>
      </c>
      <c r="AR13" s="136"/>
      <c r="AS13" s="136">
        <v>22</v>
      </c>
      <c r="AT13" s="136">
        <v>25</v>
      </c>
      <c r="AU13" s="136">
        <f t="shared" si="20"/>
        <v>47</v>
      </c>
      <c r="AV13" s="212"/>
      <c r="AW13" s="149">
        <f t="shared" si="5"/>
        <v>5</v>
      </c>
      <c r="AX13" s="136">
        <v>13</v>
      </c>
      <c r="AY13" s="136">
        <v>31</v>
      </c>
      <c r="AZ13" s="136">
        <f t="shared" si="21"/>
        <v>44</v>
      </c>
      <c r="BA13" s="136">
        <v>18</v>
      </c>
      <c r="BB13" s="136">
        <f t="shared" si="22"/>
        <v>62</v>
      </c>
      <c r="BC13" s="212"/>
      <c r="BD13" s="149">
        <f t="shared" si="23"/>
        <v>3.5</v>
      </c>
      <c r="BE13" s="136">
        <v>13</v>
      </c>
      <c r="BF13" s="136">
        <v>26</v>
      </c>
      <c r="BG13" s="136">
        <f t="shared" si="24"/>
        <v>39</v>
      </c>
      <c r="BH13" s="136">
        <v>19</v>
      </c>
      <c r="BI13" s="136">
        <f t="shared" si="25"/>
        <v>58</v>
      </c>
      <c r="BJ13" s="212"/>
      <c r="BK13" s="149">
        <f t="shared" si="26"/>
        <v>3</v>
      </c>
      <c r="BL13" s="136">
        <v>16</v>
      </c>
      <c r="BM13" s="136">
        <v>27</v>
      </c>
      <c r="BN13" s="136">
        <f t="shared" si="27"/>
        <v>43</v>
      </c>
      <c r="BO13" s="136">
        <v>24</v>
      </c>
      <c r="BP13" s="136">
        <f t="shared" si="28"/>
        <v>67</v>
      </c>
      <c r="BQ13" s="212"/>
      <c r="BR13" s="149">
        <f t="shared" si="29"/>
        <v>3.5</v>
      </c>
      <c r="BS13" s="136">
        <v>11</v>
      </c>
      <c r="BT13" s="136">
        <v>11</v>
      </c>
      <c r="BU13" s="136">
        <f t="shared" si="30"/>
        <v>22</v>
      </c>
      <c r="BV13" s="136">
        <v>19</v>
      </c>
      <c r="BW13" s="136">
        <f t="shared" si="31"/>
        <v>41</v>
      </c>
      <c r="BX13" s="212"/>
      <c r="BY13" s="149" t="str">
        <f t="shared" si="32"/>
        <v>F</v>
      </c>
      <c r="BZ13" s="136">
        <v>7</v>
      </c>
      <c r="CA13" s="136">
        <v>17</v>
      </c>
      <c r="CB13" s="136">
        <f t="shared" si="33"/>
        <v>24</v>
      </c>
      <c r="CC13" s="136">
        <v>17</v>
      </c>
      <c r="CD13" s="136">
        <v>22</v>
      </c>
      <c r="CE13" s="136">
        <f t="shared" si="34"/>
        <v>63</v>
      </c>
      <c r="CF13" s="212"/>
      <c r="CG13" s="149">
        <f t="shared" si="35"/>
        <v>3.5</v>
      </c>
      <c r="CH13" s="149">
        <f t="shared" si="36"/>
        <v>3.5</v>
      </c>
      <c r="CI13" s="136" t="str">
        <f t="shared" si="6"/>
        <v>F</v>
      </c>
      <c r="CJ13" s="150" t="str">
        <f t="shared" si="37"/>
        <v>F</v>
      </c>
      <c r="CK13" s="97" t="str">
        <f t="shared" ref="CK13:CK27" si="40">IF(CJ13="F","NEED TO PROGRESS",IF(CJ13&gt;=5,"BEST",IF(CJ13&gt;=4,"BETTER",IF(CJ13&gt;=2,"GOOD"))))</f>
        <v>NEED TO PROGRESS</v>
      </c>
      <c r="CL13" s="97">
        <f t="shared" si="39"/>
        <v>640</v>
      </c>
      <c r="CM13" s="97" t="str">
        <f t="shared" si="7"/>
        <v>F</v>
      </c>
      <c r="CN13" s="97"/>
    </row>
    <row r="14" spans="1:122" s="151" customFormat="1" ht="24.95" customHeight="1">
      <c r="A14" s="97">
        <v>6</v>
      </c>
      <c r="B14" s="47">
        <v>55</v>
      </c>
      <c r="C14" s="50" t="s">
        <v>131</v>
      </c>
      <c r="D14" s="50" t="s">
        <v>132</v>
      </c>
      <c r="E14" s="50" t="s">
        <v>133</v>
      </c>
      <c r="F14" s="51" t="s">
        <v>134</v>
      </c>
      <c r="G14" s="136">
        <v>12</v>
      </c>
      <c r="H14" s="136">
        <v>36</v>
      </c>
      <c r="I14" s="136">
        <f t="shared" si="8"/>
        <v>48</v>
      </c>
      <c r="J14" s="136">
        <v>10</v>
      </c>
      <c r="K14" s="136">
        <f t="shared" si="9"/>
        <v>58</v>
      </c>
      <c r="L14" s="136">
        <v>13</v>
      </c>
      <c r="M14" s="136">
        <v>27</v>
      </c>
      <c r="N14" s="136">
        <f t="shared" si="10"/>
        <v>40</v>
      </c>
      <c r="O14" s="136">
        <v>25</v>
      </c>
      <c r="P14" s="136">
        <f t="shared" si="11"/>
        <v>65</v>
      </c>
      <c r="Q14" s="136">
        <f t="shared" si="0"/>
        <v>123</v>
      </c>
      <c r="R14" s="212"/>
      <c r="S14" s="149">
        <f t="shared" si="12"/>
        <v>3.5</v>
      </c>
      <c r="T14" s="136">
        <v>13</v>
      </c>
      <c r="U14" s="136">
        <v>35</v>
      </c>
      <c r="V14" s="136">
        <f t="shared" si="1"/>
        <v>48</v>
      </c>
      <c r="W14" s="136">
        <v>12</v>
      </c>
      <c r="X14" s="136">
        <v>40</v>
      </c>
      <c r="Y14" s="136">
        <f t="shared" si="13"/>
        <v>52</v>
      </c>
      <c r="Z14" s="136">
        <f t="shared" si="2"/>
        <v>100</v>
      </c>
      <c r="AA14" s="136">
        <f t="shared" si="14"/>
        <v>100</v>
      </c>
      <c r="AB14" s="212"/>
      <c r="AC14" s="149">
        <f t="shared" si="15"/>
        <v>3</v>
      </c>
      <c r="AD14" s="136">
        <v>9</v>
      </c>
      <c r="AE14" s="136">
        <v>6</v>
      </c>
      <c r="AF14" s="136">
        <f t="shared" si="3"/>
        <v>15</v>
      </c>
      <c r="AG14" s="136">
        <v>16</v>
      </c>
      <c r="AH14" s="136">
        <f t="shared" si="16"/>
        <v>31</v>
      </c>
      <c r="AI14" s="212"/>
      <c r="AJ14" s="149" t="str">
        <f t="shared" si="17"/>
        <v>F</v>
      </c>
      <c r="AK14" s="136">
        <v>12</v>
      </c>
      <c r="AL14" s="136">
        <v>28</v>
      </c>
      <c r="AM14" s="136">
        <f t="shared" si="4"/>
        <v>40</v>
      </c>
      <c r="AN14" s="136">
        <v>20</v>
      </c>
      <c r="AO14" s="136">
        <f t="shared" si="18"/>
        <v>60</v>
      </c>
      <c r="AP14" s="212"/>
      <c r="AQ14" s="149">
        <f t="shared" si="19"/>
        <v>3.5</v>
      </c>
      <c r="AR14" s="136"/>
      <c r="AS14" s="136">
        <v>15</v>
      </c>
      <c r="AT14" s="136">
        <v>25</v>
      </c>
      <c r="AU14" s="136">
        <f t="shared" si="20"/>
        <v>40</v>
      </c>
      <c r="AV14" s="212"/>
      <c r="AW14" s="149">
        <f t="shared" si="5"/>
        <v>5</v>
      </c>
      <c r="AX14" s="136">
        <v>14</v>
      </c>
      <c r="AY14" s="136">
        <v>34</v>
      </c>
      <c r="AZ14" s="136">
        <f t="shared" si="21"/>
        <v>48</v>
      </c>
      <c r="BA14" s="136">
        <v>18</v>
      </c>
      <c r="BB14" s="136">
        <f t="shared" si="22"/>
        <v>66</v>
      </c>
      <c r="BC14" s="212"/>
      <c r="BD14" s="149">
        <f t="shared" si="23"/>
        <v>3.5</v>
      </c>
      <c r="BE14" s="136">
        <v>15</v>
      </c>
      <c r="BF14" s="136">
        <v>24</v>
      </c>
      <c r="BG14" s="136">
        <f t="shared" si="24"/>
        <v>39</v>
      </c>
      <c r="BH14" s="136">
        <v>16</v>
      </c>
      <c r="BI14" s="136">
        <f t="shared" si="25"/>
        <v>55</v>
      </c>
      <c r="BJ14" s="212"/>
      <c r="BK14" s="149">
        <f t="shared" si="26"/>
        <v>3</v>
      </c>
      <c r="BL14" s="136">
        <v>14</v>
      </c>
      <c r="BM14" s="136">
        <v>31</v>
      </c>
      <c r="BN14" s="136">
        <f t="shared" si="27"/>
        <v>45</v>
      </c>
      <c r="BO14" s="136">
        <v>24</v>
      </c>
      <c r="BP14" s="136">
        <f t="shared" si="28"/>
        <v>69</v>
      </c>
      <c r="BQ14" s="212"/>
      <c r="BR14" s="149">
        <f t="shared" si="29"/>
        <v>3.5</v>
      </c>
      <c r="BS14" s="136">
        <v>16</v>
      </c>
      <c r="BT14" s="136">
        <v>29</v>
      </c>
      <c r="BU14" s="136">
        <f t="shared" si="30"/>
        <v>45</v>
      </c>
      <c r="BV14" s="136">
        <v>11</v>
      </c>
      <c r="BW14" s="136">
        <f t="shared" si="31"/>
        <v>56</v>
      </c>
      <c r="BX14" s="212"/>
      <c r="BY14" s="149" t="str">
        <f t="shared" si="32"/>
        <v>F</v>
      </c>
      <c r="BZ14" s="136">
        <v>7</v>
      </c>
      <c r="CA14" s="136">
        <v>26</v>
      </c>
      <c r="CB14" s="136">
        <f t="shared" si="33"/>
        <v>33</v>
      </c>
      <c r="CC14" s="136">
        <v>19</v>
      </c>
      <c r="CD14" s="136">
        <v>22</v>
      </c>
      <c r="CE14" s="136">
        <f t="shared" si="34"/>
        <v>74</v>
      </c>
      <c r="CF14" s="212"/>
      <c r="CG14" s="149">
        <f t="shared" si="35"/>
        <v>4</v>
      </c>
      <c r="CH14" s="149">
        <f t="shared" si="36"/>
        <v>4</v>
      </c>
      <c r="CI14" s="136" t="str">
        <f t="shared" si="6"/>
        <v>F</v>
      </c>
      <c r="CJ14" s="150" t="str">
        <f t="shared" si="37"/>
        <v>F</v>
      </c>
      <c r="CK14" s="97" t="str">
        <f t="shared" si="40"/>
        <v>NEED TO PROGRESS</v>
      </c>
      <c r="CL14" s="97">
        <f t="shared" si="39"/>
        <v>674</v>
      </c>
      <c r="CM14" s="97" t="str">
        <f t="shared" si="7"/>
        <v>F</v>
      </c>
      <c r="CN14" s="97"/>
    </row>
    <row r="15" spans="1:122" s="151" customFormat="1" ht="24.95" customHeight="1">
      <c r="A15" s="97">
        <v>7</v>
      </c>
      <c r="B15" s="47">
        <v>57</v>
      </c>
      <c r="C15" s="50" t="s">
        <v>135</v>
      </c>
      <c r="D15" s="50" t="s">
        <v>136</v>
      </c>
      <c r="E15" s="50" t="s">
        <v>137</v>
      </c>
      <c r="F15" s="51" t="s">
        <v>138</v>
      </c>
      <c r="G15" s="136">
        <v>9</v>
      </c>
      <c r="H15" s="136">
        <v>22</v>
      </c>
      <c r="I15" s="136">
        <f t="shared" si="8"/>
        <v>31</v>
      </c>
      <c r="J15" s="136">
        <v>14</v>
      </c>
      <c r="K15" s="136">
        <f t="shared" si="9"/>
        <v>45</v>
      </c>
      <c r="L15" s="136">
        <v>17</v>
      </c>
      <c r="M15" s="136">
        <v>31</v>
      </c>
      <c r="N15" s="136">
        <f t="shared" si="10"/>
        <v>48</v>
      </c>
      <c r="O15" s="136">
        <v>25</v>
      </c>
      <c r="P15" s="136">
        <f t="shared" si="11"/>
        <v>73</v>
      </c>
      <c r="Q15" s="136">
        <f t="shared" si="0"/>
        <v>118</v>
      </c>
      <c r="R15" s="212"/>
      <c r="S15" s="149">
        <f t="shared" si="12"/>
        <v>3</v>
      </c>
      <c r="T15" s="136">
        <v>12</v>
      </c>
      <c r="U15" s="136">
        <v>39</v>
      </c>
      <c r="V15" s="136">
        <f t="shared" si="1"/>
        <v>51</v>
      </c>
      <c r="W15" s="136">
        <v>12</v>
      </c>
      <c r="X15" s="136">
        <v>22</v>
      </c>
      <c r="Y15" s="136">
        <f t="shared" si="13"/>
        <v>34</v>
      </c>
      <c r="Z15" s="136">
        <f t="shared" si="2"/>
        <v>85</v>
      </c>
      <c r="AA15" s="136">
        <f t="shared" si="14"/>
        <v>85</v>
      </c>
      <c r="AB15" s="212"/>
      <c r="AC15" s="149">
        <f t="shared" si="15"/>
        <v>2</v>
      </c>
      <c r="AD15" s="136">
        <v>9</v>
      </c>
      <c r="AE15" s="136">
        <v>3</v>
      </c>
      <c r="AF15" s="136">
        <f t="shared" si="3"/>
        <v>12</v>
      </c>
      <c r="AG15" s="136">
        <v>7</v>
      </c>
      <c r="AH15" s="136">
        <f t="shared" si="16"/>
        <v>19</v>
      </c>
      <c r="AI15" s="212"/>
      <c r="AJ15" s="149" t="str">
        <f t="shared" si="17"/>
        <v>F</v>
      </c>
      <c r="AK15" s="136">
        <v>15</v>
      </c>
      <c r="AL15" s="136">
        <v>27</v>
      </c>
      <c r="AM15" s="136">
        <f t="shared" si="4"/>
        <v>42</v>
      </c>
      <c r="AN15" s="136">
        <v>18</v>
      </c>
      <c r="AO15" s="136">
        <f t="shared" si="18"/>
        <v>60</v>
      </c>
      <c r="AP15" s="212"/>
      <c r="AQ15" s="149">
        <f t="shared" si="19"/>
        <v>3.5</v>
      </c>
      <c r="AR15" s="136"/>
      <c r="AS15" s="136">
        <v>22</v>
      </c>
      <c r="AT15" s="136">
        <v>25</v>
      </c>
      <c r="AU15" s="136">
        <f t="shared" si="20"/>
        <v>47</v>
      </c>
      <c r="AV15" s="212"/>
      <c r="AW15" s="149">
        <f t="shared" si="5"/>
        <v>5</v>
      </c>
      <c r="AX15" s="136">
        <v>12</v>
      </c>
      <c r="AY15" s="136">
        <v>30</v>
      </c>
      <c r="AZ15" s="136">
        <f t="shared" si="21"/>
        <v>42</v>
      </c>
      <c r="BA15" s="136">
        <v>18</v>
      </c>
      <c r="BB15" s="136">
        <f t="shared" si="22"/>
        <v>60</v>
      </c>
      <c r="BC15" s="212"/>
      <c r="BD15" s="149">
        <f t="shared" si="23"/>
        <v>3.5</v>
      </c>
      <c r="BE15" s="136">
        <v>14</v>
      </c>
      <c r="BF15" s="136">
        <v>24</v>
      </c>
      <c r="BG15" s="136">
        <f t="shared" si="24"/>
        <v>38</v>
      </c>
      <c r="BH15" s="136">
        <v>12</v>
      </c>
      <c r="BI15" s="136">
        <f t="shared" si="25"/>
        <v>50</v>
      </c>
      <c r="BJ15" s="212"/>
      <c r="BK15" s="149">
        <f t="shared" si="26"/>
        <v>3</v>
      </c>
      <c r="BL15" s="136">
        <v>15</v>
      </c>
      <c r="BM15" s="136">
        <v>33</v>
      </c>
      <c r="BN15" s="136">
        <f t="shared" si="27"/>
        <v>48</v>
      </c>
      <c r="BO15" s="136">
        <v>18</v>
      </c>
      <c r="BP15" s="136">
        <f t="shared" si="28"/>
        <v>66</v>
      </c>
      <c r="BQ15" s="212"/>
      <c r="BR15" s="149">
        <f t="shared" si="29"/>
        <v>3.5</v>
      </c>
      <c r="BS15" s="136">
        <v>13</v>
      </c>
      <c r="BT15" s="136">
        <v>27</v>
      </c>
      <c r="BU15" s="136">
        <f t="shared" si="30"/>
        <v>40</v>
      </c>
      <c r="BV15" s="136">
        <v>12</v>
      </c>
      <c r="BW15" s="136">
        <f t="shared" si="31"/>
        <v>52</v>
      </c>
      <c r="BX15" s="212"/>
      <c r="BY15" s="149">
        <f t="shared" si="32"/>
        <v>3</v>
      </c>
      <c r="BZ15" s="136">
        <v>5</v>
      </c>
      <c r="CA15" s="136">
        <v>22</v>
      </c>
      <c r="CB15" s="136">
        <f t="shared" si="33"/>
        <v>27</v>
      </c>
      <c r="CC15" s="136">
        <v>18</v>
      </c>
      <c r="CD15" s="136">
        <v>22</v>
      </c>
      <c r="CE15" s="136">
        <f t="shared" si="34"/>
        <v>67</v>
      </c>
      <c r="CF15" s="212"/>
      <c r="CG15" s="149">
        <f t="shared" si="35"/>
        <v>3.5</v>
      </c>
      <c r="CH15" s="149">
        <f t="shared" si="36"/>
        <v>3.5</v>
      </c>
      <c r="CI15" s="136" t="str">
        <f t="shared" si="6"/>
        <v>F</v>
      </c>
      <c r="CJ15" s="150" t="str">
        <f t="shared" si="37"/>
        <v>F</v>
      </c>
      <c r="CK15" s="97" t="str">
        <f t="shared" si="40"/>
        <v>NEED TO PROGRESS</v>
      </c>
      <c r="CL15" s="97">
        <f t="shared" si="39"/>
        <v>624</v>
      </c>
      <c r="CM15" s="97" t="str">
        <f t="shared" si="7"/>
        <v>F</v>
      </c>
      <c r="CN15" s="97"/>
    </row>
    <row r="16" spans="1:122" s="151" customFormat="1" ht="24.95" customHeight="1">
      <c r="A16" s="97">
        <v>8</v>
      </c>
      <c r="B16" s="47">
        <v>58</v>
      </c>
      <c r="C16" s="50" t="s">
        <v>274</v>
      </c>
      <c r="D16" s="50" t="s">
        <v>140</v>
      </c>
      <c r="E16" s="50" t="s">
        <v>141</v>
      </c>
      <c r="F16" s="51" t="s">
        <v>142</v>
      </c>
      <c r="G16" s="136">
        <v>10</v>
      </c>
      <c r="H16" s="136">
        <v>18</v>
      </c>
      <c r="I16" s="136">
        <f t="shared" si="8"/>
        <v>28</v>
      </c>
      <c r="J16" s="136">
        <v>12</v>
      </c>
      <c r="K16" s="136">
        <f t="shared" si="9"/>
        <v>40</v>
      </c>
      <c r="L16" s="136">
        <v>11</v>
      </c>
      <c r="M16" s="136">
        <v>27</v>
      </c>
      <c r="N16" s="136">
        <f t="shared" si="10"/>
        <v>38</v>
      </c>
      <c r="O16" s="136">
        <v>14</v>
      </c>
      <c r="P16" s="136">
        <f t="shared" si="11"/>
        <v>52</v>
      </c>
      <c r="Q16" s="136">
        <f t="shared" si="0"/>
        <v>92</v>
      </c>
      <c r="R16" s="212"/>
      <c r="S16" s="149">
        <f t="shared" si="12"/>
        <v>2</v>
      </c>
      <c r="T16" s="136">
        <v>10</v>
      </c>
      <c r="U16" s="136">
        <v>33</v>
      </c>
      <c r="V16" s="136">
        <f t="shared" si="1"/>
        <v>43</v>
      </c>
      <c r="W16" s="136">
        <v>11</v>
      </c>
      <c r="X16" s="136">
        <v>16</v>
      </c>
      <c r="Y16" s="136">
        <f t="shared" si="13"/>
        <v>27</v>
      </c>
      <c r="Z16" s="136">
        <f t="shared" si="2"/>
        <v>70</v>
      </c>
      <c r="AA16" s="136">
        <f t="shared" si="14"/>
        <v>70</v>
      </c>
      <c r="AB16" s="212"/>
      <c r="AC16" s="149" t="str">
        <f t="shared" si="15"/>
        <v>F</v>
      </c>
      <c r="AD16" s="136">
        <v>8</v>
      </c>
      <c r="AE16" s="136">
        <v>2</v>
      </c>
      <c r="AF16" s="136">
        <f t="shared" si="3"/>
        <v>10</v>
      </c>
      <c r="AG16" s="136">
        <v>12</v>
      </c>
      <c r="AH16" s="136">
        <f t="shared" si="16"/>
        <v>22</v>
      </c>
      <c r="AI16" s="212"/>
      <c r="AJ16" s="149" t="str">
        <f t="shared" si="17"/>
        <v>F</v>
      </c>
      <c r="AK16" s="136">
        <v>11</v>
      </c>
      <c r="AL16" s="136">
        <v>23</v>
      </c>
      <c r="AM16" s="136">
        <f t="shared" si="4"/>
        <v>34</v>
      </c>
      <c r="AN16" s="136">
        <v>20</v>
      </c>
      <c r="AO16" s="136">
        <f t="shared" si="18"/>
        <v>54</v>
      </c>
      <c r="AP16" s="212"/>
      <c r="AQ16" s="149">
        <f t="shared" si="19"/>
        <v>3</v>
      </c>
      <c r="AR16" s="136"/>
      <c r="AS16" s="136">
        <v>17</v>
      </c>
      <c r="AT16" s="136">
        <v>25</v>
      </c>
      <c r="AU16" s="136">
        <f t="shared" si="20"/>
        <v>42</v>
      </c>
      <c r="AV16" s="212"/>
      <c r="AW16" s="149">
        <f t="shared" si="5"/>
        <v>5</v>
      </c>
      <c r="AX16" s="136">
        <v>11</v>
      </c>
      <c r="AY16" s="136">
        <v>20</v>
      </c>
      <c r="AZ16" s="136">
        <f t="shared" si="21"/>
        <v>31</v>
      </c>
      <c r="BA16" s="136">
        <v>20</v>
      </c>
      <c r="BB16" s="136">
        <f t="shared" si="22"/>
        <v>51</v>
      </c>
      <c r="BC16" s="212"/>
      <c r="BD16" s="149">
        <f t="shared" si="23"/>
        <v>3</v>
      </c>
      <c r="BE16" s="136">
        <v>11</v>
      </c>
      <c r="BF16" s="136">
        <v>22</v>
      </c>
      <c r="BG16" s="136">
        <f t="shared" si="24"/>
        <v>33</v>
      </c>
      <c r="BH16" s="136">
        <v>15</v>
      </c>
      <c r="BI16" s="136">
        <f t="shared" si="25"/>
        <v>48</v>
      </c>
      <c r="BJ16" s="212"/>
      <c r="BK16" s="149">
        <f t="shared" si="26"/>
        <v>2</v>
      </c>
      <c r="BL16" s="136">
        <v>18</v>
      </c>
      <c r="BM16" s="136">
        <v>33</v>
      </c>
      <c r="BN16" s="136">
        <f t="shared" si="27"/>
        <v>51</v>
      </c>
      <c r="BO16" s="136">
        <v>18</v>
      </c>
      <c r="BP16" s="136">
        <f t="shared" si="28"/>
        <v>69</v>
      </c>
      <c r="BQ16" s="212"/>
      <c r="BR16" s="149">
        <f t="shared" si="29"/>
        <v>3.5</v>
      </c>
      <c r="BS16" s="136">
        <v>4</v>
      </c>
      <c r="BT16" s="136">
        <v>20</v>
      </c>
      <c r="BU16" s="136">
        <f t="shared" si="30"/>
        <v>24</v>
      </c>
      <c r="BV16" s="136">
        <v>17</v>
      </c>
      <c r="BW16" s="136">
        <f t="shared" si="31"/>
        <v>41</v>
      </c>
      <c r="BX16" s="212"/>
      <c r="BY16" s="149" t="str">
        <f t="shared" si="32"/>
        <v>F</v>
      </c>
      <c r="BZ16" s="136">
        <v>6</v>
      </c>
      <c r="CA16" s="136">
        <v>18</v>
      </c>
      <c r="CB16" s="136">
        <f t="shared" si="33"/>
        <v>24</v>
      </c>
      <c r="CC16" s="136">
        <v>14</v>
      </c>
      <c r="CD16" s="136">
        <v>22</v>
      </c>
      <c r="CE16" s="136">
        <f t="shared" si="34"/>
        <v>60</v>
      </c>
      <c r="CF16" s="212"/>
      <c r="CG16" s="149">
        <f t="shared" si="35"/>
        <v>3.5</v>
      </c>
      <c r="CH16" s="149">
        <f t="shared" si="36"/>
        <v>3.5</v>
      </c>
      <c r="CI16" s="136" t="str">
        <f t="shared" si="6"/>
        <v>F</v>
      </c>
      <c r="CJ16" s="150" t="str">
        <f t="shared" si="37"/>
        <v>F</v>
      </c>
      <c r="CK16" s="97" t="str">
        <f t="shared" si="40"/>
        <v>NEED TO PROGRESS</v>
      </c>
      <c r="CL16" s="97">
        <f t="shared" si="39"/>
        <v>549</v>
      </c>
      <c r="CM16" s="97" t="str">
        <f t="shared" si="7"/>
        <v>F</v>
      </c>
      <c r="CN16" s="97"/>
    </row>
    <row r="17" spans="1:92" s="151" customFormat="1" ht="24.95" customHeight="1">
      <c r="A17" s="97">
        <v>9</v>
      </c>
      <c r="B17" s="47">
        <v>59</v>
      </c>
      <c r="C17" s="50" t="s">
        <v>143</v>
      </c>
      <c r="D17" s="50" t="s">
        <v>144</v>
      </c>
      <c r="E17" s="50" t="s">
        <v>145</v>
      </c>
      <c r="F17" s="51" t="s">
        <v>146</v>
      </c>
      <c r="G17" s="136">
        <v>10</v>
      </c>
      <c r="H17" s="136">
        <v>16</v>
      </c>
      <c r="I17" s="136">
        <f t="shared" si="8"/>
        <v>26</v>
      </c>
      <c r="J17" s="136">
        <v>14</v>
      </c>
      <c r="K17" s="136">
        <f t="shared" si="9"/>
        <v>40</v>
      </c>
      <c r="L17" s="136">
        <v>14</v>
      </c>
      <c r="M17" s="136">
        <v>24</v>
      </c>
      <c r="N17" s="136">
        <f t="shared" si="10"/>
        <v>38</v>
      </c>
      <c r="O17" s="136">
        <v>16</v>
      </c>
      <c r="P17" s="136">
        <f t="shared" si="11"/>
        <v>54</v>
      </c>
      <c r="Q17" s="136">
        <f t="shared" si="0"/>
        <v>94</v>
      </c>
      <c r="R17" s="212"/>
      <c r="S17" s="149">
        <f t="shared" si="12"/>
        <v>2</v>
      </c>
      <c r="T17" s="136">
        <v>11</v>
      </c>
      <c r="U17" s="136">
        <v>33</v>
      </c>
      <c r="V17" s="136">
        <f t="shared" si="1"/>
        <v>44</v>
      </c>
      <c r="W17" s="136">
        <v>10</v>
      </c>
      <c r="X17" s="136">
        <v>32</v>
      </c>
      <c r="Y17" s="136">
        <f t="shared" si="13"/>
        <v>42</v>
      </c>
      <c r="Z17" s="136">
        <f t="shared" si="2"/>
        <v>86</v>
      </c>
      <c r="AA17" s="136">
        <f t="shared" si="14"/>
        <v>86</v>
      </c>
      <c r="AB17" s="212"/>
      <c r="AC17" s="149">
        <f t="shared" si="15"/>
        <v>2</v>
      </c>
      <c r="AD17" s="136">
        <v>8</v>
      </c>
      <c r="AE17" s="136">
        <v>1</v>
      </c>
      <c r="AF17" s="136">
        <f t="shared" si="3"/>
        <v>9</v>
      </c>
      <c r="AG17" s="136">
        <v>12</v>
      </c>
      <c r="AH17" s="136">
        <f t="shared" si="16"/>
        <v>21</v>
      </c>
      <c r="AI17" s="212"/>
      <c r="AJ17" s="149" t="str">
        <f t="shared" si="17"/>
        <v>F</v>
      </c>
      <c r="AK17" s="136">
        <v>9</v>
      </c>
      <c r="AL17" s="136">
        <v>19</v>
      </c>
      <c r="AM17" s="136">
        <f t="shared" si="4"/>
        <v>28</v>
      </c>
      <c r="AN17" s="136">
        <v>16</v>
      </c>
      <c r="AO17" s="136">
        <f t="shared" si="18"/>
        <v>44</v>
      </c>
      <c r="AP17" s="212"/>
      <c r="AQ17" s="149">
        <f t="shared" si="19"/>
        <v>2</v>
      </c>
      <c r="AR17" s="136"/>
      <c r="AS17" s="136">
        <v>16</v>
      </c>
      <c r="AT17" s="136">
        <v>25</v>
      </c>
      <c r="AU17" s="136">
        <f t="shared" si="20"/>
        <v>41</v>
      </c>
      <c r="AV17" s="212"/>
      <c r="AW17" s="149">
        <f t="shared" si="5"/>
        <v>5</v>
      </c>
      <c r="AX17" s="136">
        <v>11</v>
      </c>
      <c r="AY17" s="136">
        <v>20</v>
      </c>
      <c r="AZ17" s="136">
        <f t="shared" si="21"/>
        <v>31</v>
      </c>
      <c r="BA17" s="136">
        <v>18</v>
      </c>
      <c r="BB17" s="136">
        <f t="shared" si="22"/>
        <v>49</v>
      </c>
      <c r="BC17" s="212"/>
      <c r="BD17" s="149">
        <f t="shared" si="23"/>
        <v>2</v>
      </c>
      <c r="BE17" s="136">
        <v>13</v>
      </c>
      <c r="BF17" s="136">
        <v>21</v>
      </c>
      <c r="BG17" s="136">
        <f t="shared" si="24"/>
        <v>34</v>
      </c>
      <c r="BH17" s="136">
        <v>12</v>
      </c>
      <c r="BI17" s="136">
        <f t="shared" si="25"/>
        <v>46</v>
      </c>
      <c r="BJ17" s="212"/>
      <c r="BK17" s="149">
        <f t="shared" si="26"/>
        <v>2</v>
      </c>
      <c r="BL17" s="136">
        <v>13</v>
      </c>
      <c r="BM17" s="136">
        <v>26</v>
      </c>
      <c r="BN17" s="136">
        <f t="shared" si="27"/>
        <v>39</v>
      </c>
      <c r="BO17" s="136">
        <v>15</v>
      </c>
      <c r="BP17" s="136">
        <f t="shared" si="28"/>
        <v>54</v>
      </c>
      <c r="BQ17" s="212"/>
      <c r="BR17" s="149">
        <f t="shared" si="29"/>
        <v>3</v>
      </c>
      <c r="BS17" s="136">
        <v>8</v>
      </c>
      <c r="BT17" s="136">
        <v>26</v>
      </c>
      <c r="BU17" s="136">
        <f t="shared" si="30"/>
        <v>34</v>
      </c>
      <c r="BV17" s="136">
        <v>16</v>
      </c>
      <c r="BW17" s="136">
        <f t="shared" si="31"/>
        <v>50</v>
      </c>
      <c r="BX17" s="212"/>
      <c r="BY17" s="149">
        <f t="shared" si="32"/>
        <v>3</v>
      </c>
      <c r="BZ17" s="136">
        <v>5</v>
      </c>
      <c r="CA17" s="136">
        <v>18</v>
      </c>
      <c r="CB17" s="136">
        <f t="shared" si="33"/>
        <v>23</v>
      </c>
      <c r="CC17" s="136">
        <v>12</v>
      </c>
      <c r="CD17" s="136">
        <v>22</v>
      </c>
      <c r="CE17" s="136">
        <f t="shared" si="34"/>
        <v>57</v>
      </c>
      <c r="CF17" s="212"/>
      <c r="CG17" s="149">
        <f t="shared" si="35"/>
        <v>3</v>
      </c>
      <c r="CH17" s="149">
        <f t="shared" si="36"/>
        <v>3</v>
      </c>
      <c r="CI17" s="136" t="str">
        <f t="shared" si="6"/>
        <v>F</v>
      </c>
      <c r="CJ17" s="150" t="str">
        <f t="shared" si="37"/>
        <v>F</v>
      </c>
      <c r="CK17" s="97" t="str">
        <f t="shared" si="40"/>
        <v>NEED TO PROGRESS</v>
      </c>
      <c r="CL17" s="97">
        <f t="shared" si="39"/>
        <v>542</v>
      </c>
      <c r="CM17" s="97" t="str">
        <f t="shared" si="7"/>
        <v>F</v>
      </c>
      <c r="CN17" s="97"/>
    </row>
    <row r="18" spans="1:92" s="151" customFormat="1" ht="24.95" customHeight="1">
      <c r="A18" s="97">
        <v>10</v>
      </c>
      <c r="B18" s="47">
        <v>60</v>
      </c>
      <c r="C18" s="50" t="s">
        <v>147</v>
      </c>
      <c r="D18" s="50" t="s">
        <v>148</v>
      </c>
      <c r="E18" s="50" t="s">
        <v>149</v>
      </c>
      <c r="F18" s="51" t="s">
        <v>150</v>
      </c>
      <c r="G18" s="136">
        <v>11</v>
      </c>
      <c r="H18" s="136">
        <v>34</v>
      </c>
      <c r="I18" s="136">
        <f t="shared" si="8"/>
        <v>45</v>
      </c>
      <c r="J18" s="136">
        <v>16</v>
      </c>
      <c r="K18" s="136">
        <f t="shared" si="9"/>
        <v>61</v>
      </c>
      <c r="L18" s="136">
        <v>11</v>
      </c>
      <c r="M18" s="136">
        <v>21</v>
      </c>
      <c r="N18" s="136">
        <f t="shared" si="10"/>
        <v>32</v>
      </c>
      <c r="O18" s="136">
        <v>13</v>
      </c>
      <c r="P18" s="136">
        <f t="shared" si="11"/>
        <v>45</v>
      </c>
      <c r="Q18" s="136">
        <f t="shared" si="0"/>
        <v>106</v>
      </c>
      <c r="R18" s="212"/>
      <c r="S18" s="149">
        <f t="shared" si="12"/>
        <v>3</v>
      </c>
      <c r="T18" s="136">
        <v>13</v>
      </c>
      <c r="U18" s="136">
        <v>36</v>
      </c>
      <c r="V18" s="136">
        <f t="shared" si="1"/>
        <v>49</v>
      </c>
      <c r="W18" s="136">
        <v>11</v>
      </c>
      <c r="X18" s="136">
        <v>16</v>
      </c>
      <c r="Y18" s="136">
        <f t="shared" si="13"/>
        <v>27</v>
      </c>
      <c r="Z18" s="136">
        <f t="shared" si="2"/>
        <v>76</v>
      </c>
      <c r="AA18" s="136">
        <f t="shared" si="14"/>
        <v>76</v>
      </c>
      <c r="AB18" s="212"/>
      <c r="AC18" s="149" t="str">
        <f t="shared" si="15"/>
        <v>F</v>
      </c>
      <c r="AD18" s="136">
        <v>8</v>
      </c>
      <c r="AE18" s="136">
        <v>4</v>
      </c>
      <c r="AF18" s="136">
        <f t="shared" si="3"/>
        <v>12</v>
      </c>
      <c r="AG18" s="136">
        <v>5</v>
      </c>
      <c r="AH18" s="136">
        <f t="shared" si="16"/>
        <v>17</v>
      </c>
      <c r="AI18" s="212"/>
      <c r="AJ18" s="149" t="str">
        <f t="shared" si="17"/>
        <v>F</v>
      </c>
      <c r="AK18" s="136">
        <v>15</v>
      </c>
      <c r="AL18" s="136">
        <v>28</v>
      </c>
      <c r="AM18" s="136">
        <f t="shared" si="4"/>
        <v>43</v>
      </c>
      <c r="AN18" s="136">
        <v>17</v>
      </c>
      <c r="AO18" s="136">
        <f t="shared" si="18"/>
        <v>60</v>
      </c>
      <c r="AP18" s="212"/>
      <c r="AQ18" s="149">
        <f t="shared" si="19"/>
        <v>3.5</v>
      </c>
      <c r="AR18" s="136"/>
      <c r="AS18" s="136">
        <v>18</v>
      </c>
      <c r="AT18" s="136">
        <v>25</v>
      </c>
      <c r="AU18" s="136">
        <f t="shared" si="20"/>
        <v>43</v>
      </c>
      <c r="AV18" s="212"/>
      <c r="AW18" s="149">
        <f t="shared" si="5"/>
        <v>5</v>
      </c>
      <c r="AX18" s="136">
        <v>10</v>
      </c>
      <c r="AY18" s="136">
        <v>25</v>
      </c>
      <c r="AZ18" s="136">
        <f t="shared" si="21"/>
        <v>35</v>
      </c>
      <c r="BA18" s="136">
        <v>18</v>
      </c>
      <c r="BB18" s="136">
        <f t="shared" si="22"/>
        <v>53</v>
      </c>
      <c r="BC18" s="212"/>
      <c r="BD18" s="149">
        <f t="shared" si="23"/>
        <v>3</v>
      </c>
      <c r="BE18" s="136">
        <v>11</v>
      </c>
      <c r="BF18" s="136">
        <v>21</v>
      </c>
      <c r="BG18" s="136">
        <f t="shared" si="24"/>
        <v>32</v>
      </c>
      <c r="BH18" s="136">
        <v>15</v>
      </c>
      <c r="BI18" s="136">
        <f t="shared" si="25"/>
        <v>47</v>
      </c>
      <c r="BJ18" s="212"/>
      <c r="BK18" s="149">
        <f t="shared" si="26"/>
        <v>2</v>
      </c>
      <c r="BL18" s="136">
        <v>9</v>
      </c>
      <c r="BM18" s="136">
        <v>26</v>
      </c>
      <c r="BN18" s="136">
        <f t="shared" si="27"/>
        <v>35</v>
      </c>
      <c r="BO18" s="136">
        <v>21</v>
      </c>
      <c r="BP18" s="136">
        <f t="shared" si="28"/>
        <v>56</v>
      </c>
      <c r="BQ18" s="212"/>
      <c r="BR18" s="149">
        <f t="shared" si="29"/>
        <v>3</v>
      </c>
      <c r="BS18" s="136">
        <v>10</v>
      </c>
      <c r="BT18" s="136">
        <v>6</v>
      </c>
      <c r="BU18" s="136">
        <f t="shared" si="30"/>
        <v>16</v>
      </c>
      <c r="BV18" s="136">
        <v>14</v>
      </c>
      <c r="BW18" s="136">
        <f t="shared" si="31"/>
        <v>30</v>
      </c>
      <c r="BX18" s="212"/>
      <c r="BY18" s="149" t="str">
        <f t="shared" si="32"/>
        <v>F</v>
      </c>
      <c r="BZ18" s="136">
        <v>5</v>
      </c>
      <c r="CA18" s="136">
        <v>16</v>
      </c>
      <c r="CB18" s="136">
        <f t="shared" si="33"/>
        <v>21</v>
      </c>
      <c r="CC18" s="136">
        <v>13</v>
      </c>
      <c r="CD18" s="136">
        <v>22</v>
      </c>
      <c r="CE18" s="136">
        <f t="shared" si="34"/>
        <v>56</v>
      </c>
      <c r="CF18" s="212"/>
      <c r="CG18" s="149">
        <f t="shared" si="35"/>
        <v>3</v>
      </c>
      <c r="CH18" s="149">
        <f t="shared" si="36"/>
        <v>3</v>
      </c>
      <c r="CI18" s="136" t="str">
        <f t="shared" si="6"/>
        <v>F</v>
      </c>
      <c r="CJ18" s="150" t="str">
        <f t="shared" si="37"/>
        <v>F</v>
      </c>
      <c r="CK18" s="97" t="str">
        <f t="shared" si="40"/>
        <v>NEED TO PROGRESS</v>
      </c>
      <c r="CL18" s="97">
        <f t="shared" si="39"/>
        <v>544</v>
      </c>
      <c r="CM18" s="97" t="str">
        <f t="shared" si="7"/>
        <v>F</v>
      </c>
      <c r="CN18" s="97"/>
    </row>
    <row r="19" spans="1:92" s="151" customFormat="1" ht="24.95" customHeight="1">
      <c r="A19" s="97">
        <v>11</v>
      </c>
      <c r="B19" s="47">
        <v>67</v>
      </c>
      <c r="C19" s="50" t="s">
        <v>151</v>
      </c>
      <c r="D19" s="50" t="s">
        <v>152</v>
      </c>
      <c r="E19" s="50" t="s">
        <v>153</v>
      </c>
      <c r="F19" s="51" t="s">
        <v>154</v>
      </c>
      <c r="G19" s="136">
        <v>12</v>
      </c>
      <c r="H19" s="136">
        <v>21</v>
      </c>
      <c r="I19" s="136">
        <f t="shared" si="8"/>
        <v>33</v>
      </c>
      <c r="J19" s="136">
        <v>15</v>
      </c>
      <c r="K19" s="136">
        <f t="shared" si="9"/>
        <v>48</v>
      </c>
      <c r="L19" s="136">
        <v>9</v>
      </c>
      <c r="M19" s="136">
        <v>26</v>
      </c>
      <c r="N19" s="136">
        <f t="shared" si="10"/>
        <v>35</v>
      </c>
      <c r="O19" s="136">
        <v>18</v>
      </c>
      <c r="P19" s="136">
        <f t="shared" si="11"/>
        <v>53</v>
      </c>
      <c r="Q19" s="136">
        <f t="shared" si="0"/>
        <v>101</v>
      </c>
      <c r="R19" s="212"/>
      <c r="S19" s="149">
        <f t="shared" si="12"/>
        <v>3</v>
      </c>
      <c r="T19" s="136">
        <v>12</v>
      </c>
      <c r="U19" s="136">
        <v>27</v>
      </c>
      <c r="V19" s="136">
        <f t="shared" si="1"/>
        <v>39</v>
      </c>
      <c r="W19" s="136">
        <v>12</v>
      </c>
      <c r="X19" s="136">
        <v>28</v>
      </c>
      <c r="Y19" s="136">
        <f t="shared" si="13"/>
        <v>40</v>
      </c>
      <c r="Z19" s="136">
        <f t="shared" si="2"/>
        <v>79</v>
      </c>
      <c r="AA19" s="136">
        <f t="shared" si="14"/>
        <v>79</v>
      </c>
      <c r="AB19" s="212"/>
      <c r="AC19" s="149" t="str">
        <f t="shared" si="15"/>
        <v>F</v>
      </c>
      <c r="AD19" s="136">
        <v>8</v>
      </c>
      <c r="AE19" s="136">
        <v>5</v>
      </c>
      <c r="AF19" s="136">
        <f t="shared" si="3"/>
        <v>13</v>
      </c>
      <c r="AG19" s="136">
        <v>7</v>
      </c>
      <c r="AH19" s="136">
        <f t="shared" si="16"/>
        <v>20</v>
      </c>
      <c r="AI19" s="212"/>
      <c r="AJ19" s="149" t="str">
        <f t="shared" si="17"/>
        <v>F</v>
      </c>
      <c r="AK19" s="136">
        <v>11</v>
      </c>
      <c r="AL19" s="136">
        <v>23</v>
      </c>
      <c r="AM19" s="136">
        <f t="shared" si="4"/>
        <v>34</v>
      </c>
      <c r="AN19" s="136">
        <v>16</v>
      </c>
      <c r="AO19" s="136">
        <f t="shared" si="18"/>
        <v>50</v>
      </c>
      <c r="AP19" s="212"/>
      <c r="AQ19" s="149">
        <f t="shared" si="19"/>
        <v>3</v>
      </c>
      <c r="AR19" s="136"/>
      <c r="AS19" s="136">
        <v>20</v>
      </c>
      <c r="AT19" s="136">
        <v>25</v>
      </c>
      <c r="AU19" s="136">
        <f t="shared" si="20"/>
        <v>45</v>
      </c>
      <c r="AV19" s="212"/>
      <c r="AW19" s="149">
        <f t="shared" si="5"/>
        <v>5</v>
      </c>
      <c r="AX19" s="136">
        <v>10</v>
      </c>
      <c r="AY19" s="136">
        <v>24</v>
      </c>
      <c r="AZ19" s="136">
        <f t="shared" si="21"/>
        <v>34</v>
      </c>
      <c r="BA19" s="136">
        <v>19</v>
      </c>
      <c r="BB19" s="136">
        <f t="shared" si="22"/>
        <v>53</v>
      </c>
      <c r="BC19" s="212"/>
      <c r="BD19" s="149">
        <f t="shared" si="23"/>
        <v>3</v>
      </c>
      <c r="BE19" s="136">
        <v>12</v>
      </c>
      <c r="BF19" s="136">
        <v>25</v>
      </c>
      <c r="BG19" s="136">
        <f t="shared" si="24"/>
        <v>37</v>
      </c>
      <c r="BH19" s="136">
        <v>21</v>
      </c>
      <c r="BI19" s="136">
        <f t="shared" si="25"/>
        <v>58</v>
      </c>
      <c r="BJ19" s="212"/>
      <c r="BK19" s="149">
        <f t="shared" si="26"/>
        <v>3</v>
      </c>
      <c r="BL19" s="136">
        <v>15</v>
      </c>
      <c r="BM19" s="136">
        <v>26</v>
      </c>
      <c r="BN19" s="136">
        <f t="shared" si="27"/>
        <v>41</v>
      </c>
      <c r="BO19" s="136">
        <v>17</v>
      </c>
      <c r="BP19" s="136">
        <f t="shared" si="28"/>
        <v>58</v>
      </c>
      <c r="BQ19" s="212"/>
      <c r="BR19" s="149">
        <f t="shared" si="29"/>
        <v>3</v>
      </c>
      <c r="BS19" s="136">
        <v>8</v>
      </c>
      <c r="BT19" s="136">
        <v>14</v>
      </c>
      <c r="BU19" s="136">
        <f t="shared" si="30"/>
        <v>22</v>
      </c>
      <c r="BV19" s="136">
        <v>14</v>
      </c>
      <c r="BW19" s="136">
        <f t="shared" si="31"/>
        <v>36</v>
      </c>
      <c r="BX19" s="212"/>
      <c r="BY19" s="149" t="str">
        <f t="shared" si="32"/>
        <v>F</v>
      </c>
      <c r="BZ19" s="136">
        <v>6</v>
      </c>
      <c r="CA19" s="136">
        <v>14</v>
      </c>
      <c r="CB19" s="136">
        <f t="shared" si="33"/>
        <v>20</v>
      </c>
      <c r="CC19" s="136">
        <v>14</v>
      </c>
      <c r="CD19" s="136">
        <v>22</v>
      </c>
      <c r="CE19" s="136">
        <f t="shared" si="34"/>
        <v>56</v>
      </c>
      <c r="CF19" s="212"/>
      <c r="CG19" s="149">
        <f t="shared" si="35"/>
        <v>3</v>
      </c>
      <c r="CH19" s="149">
        <f t="shared" si="36"/>
        <v>3</v>
      </c>
      <c r="CI19" s="136" t="str">
        <f t="shared" si="6"/>
        <v>F</v>
      </c>
      <c r="CJ19" s="150" t="str">
        <f t="shared" si="37"/>
        <v>F</v>
      </c>
      <c r="CK19" s="97" t="str">
        <f t="shared" si="40"/>
        <v>NEED TO PROGRESS</v>
      </c>
      <c r="CL19" s="97">
        <f t="shared" si="39"/>
        <v>556</v>
      </c>
      <c r="CM19" s="97" t="str">
        <f t="shared" si="7"/>
        <v>F</v>
      </c>
      <c r="CN19" s="97"/>
    </row>
    <row r="20" spans="1:92" s="151" customFormat="1" ht="24.95" customHeight="1">
      <c r="A20" s="97">
        <v>12</v>
      </c>
      <c r="B20" s="47">
        <v>69</v>
      </c>
      <c r="C20" s="50" t="s">
        <v>155</v>
      </c>
      <c r="D20" s="50" t="s">
        <v>156</v>
      </c>
      <c r="E20" s="50" t="s">
        <v>157</v>
      </c>
      <c r="F20" s="51" t="s">
        <v>158</v>
      </c>
      <c r="G20" s="136">
        <v>9</v>
      </c>
      <c r="H20" s="136">
        <v>19</v>
      </c>
      <c r="I20" s="136">
        <f t="shared" si="8"/>
        <v>28</v>
      </c>
      <c r="J20" s="136">
        <v>13</v>
      </c>
      <c r="K20" s="136">
        <f t="shared" si="9"/>
        <v>41</v>
      </c>
      <c r="L20" s="136">
        <v>9</v>
      </c>
      <c r="M20" s="136">
        <v>22</v>
      </c>
      <c r="N20" s="136">
        <f t="shared" si="10"/>
        <v>31</v>
      </c>
      <c r="O20" s="136">
        <v>16</v>
      </c>
      <c r="P20" s="136">
        <f t="shared" si="11"/>
        <v>47</v>
      </c>
      <c r="Q20" s="136">
        <f t="shared" si="0"/>
        <v>88</v>
      </c>
      <c r="R20" s="212"/>
      <c r="S20" s="149">
        <f t="shared" si="12"/>
        <v>2</v>
      </c>
      <c r="T20" s="136">
        <v>12</v>
      </c>
      <c r="U20" s="136">
        <v>34</v>
      </c>
      <c r="V20" s="136">
        <f t="shared" si="1"/>
        <v>46</v>
      </c>
      <c r="W20" s="136">
        <v>13</v>
      </c>
      <c r="X20" s="136">
        <v>45</v>
      </c>
      <c r="Y20" s="136">
        <f t="shared" si="13"/>
        <v>58</v>
      </c>
      <c r="Z20" s="136">
        <f t="shared" si="2"/>
        <v>104</v>
      </c>
      <c r="AA20" s="136">
        <f t="shared" si="14"/>
        <v>104</v>
      </c>
      <c r="AB20" s="212"/>
      <c r="AC20" s="149">
        <f t="shared" si="15"/>
        <v>3</v>
      </c>
      <c r="AD20" s="136">
        <v>8</v>
      </c>
      <c r="AE20" s="136">
        <v>7</v>
      </c>
      <c r="AF20" s="136">
        <f t="shared" si="3"/>
        <v>15</v>
      </c>
      <c r="AG20" s="136">
        <v>4</v>
      </c>
      <c r="AH20" s="136">
        <f t="shared" si="16"/>
        <v>19</v>
      </c>
      <c r="AI20" s="212"/>
      <c r="AJ20" s="149" t="str">
        <f t="shared" si="17"/>
        <v>F</v>
      </c>
      <c r="AK20" s="136">
        <v>15</v>
      </c>
      <c r="AL20" s="136">
        <v>23</v>
      </c>
      <c r="AM20" s="136">
        <f t="shared" si="4"/>
        <v>38</v>
      </c>
      <c r="AN20" s="136">
        <v>25</v>
      </c>
      <c r="AO20" s="136">
        <f t="shared" si="18"/>
        <v>63</v>
      </c>
      <c r="AP20" s="212"/>
      <c r="AQ20" s="149">
        <f t="shared" si="19"/>
        <v>3.5</v>
      </c>
      <c r="AR20" s="136"/>
      <c r="AS20" s="136">
        <v>20</v>
      </c>
      <c r="AT20" s="136">
        <v>25</v>
      </c>
      <c r="AU20" s="136">
        <f t="shared" si="20"/>
        <v>45</v>
      </c>
      <c r="AV20" s="212"/>
      <c r="AW20" s="149">
        <f t="shared" si="5"/>
        <v>5</v>
      </c>
      <c r="AX20" s="136">
        <v>11</v>
      </c>
      <c r="AY20" s="136">
        <v>12</v>
      </c>
      <c r="AZ20" s="136">
        <f t="shared" si="21"/>
        <v>23</v>
      </c>
      <c r="BA20" s="136">
        <v>20</v>
      </c>
      <c r="BB20" s="136">
        <f t="shared" si="22"/>
        <v>43</v>
      </c>
      <c r="BC20" s="212"/>
      <c r="BD20" s="149" t="str">
        <f t="shared" si="23"/>
        <v>F</v>
      </c>
      <c r="BE20" s="136">
        <v>9</v>
      </c>
      <c r="BF20" s="136">
        <v>25</v>
      </c>
      <c r="BG20" s="136">
        <f t="shared" si="24"/>
        <v>34</v>
      </c>
      <c r="BH20" s="136">
        <v>15</v>
      </c>
      <c r="BI20" s="136">
        <f t="shared" si="25"/>
        <v>49</v>
      </c>
      <c r="BJ20" s="212"/>
      <c r="BK20" s="149">
        <f t="shared" si="26"/>
        <v>2</v>
      </c>
      <c r="BL20" s="136">
        <v>10</v>
      </c>
      <c r="BM20" s="136">
        <v>24</v>
      </c>
      <c r="BN20" s="136">
        <f t="shared" si="27"/>
        <v>34</v>
      </c>
      <c r="BO20" s="136">
        <v>20</v>
      </c>
      <c r="BP20" s="136">
        <f t="shared" si="28"/>
        <v>54</v>
      </c>
      <c r="BQ20" s="212"/>
      <c r="BR20" s="149">
        <f t="shared" si="29"/>
        <v>3</v>
      </c>
      <c r="BS20" s="136">
        <v>13</v>
      </c>
      <c r="BT20" s="136">
        <v>11</v>
      </c>
      <c r="BU20" s="136">
        <f t="shared" si="30"/>
        <v>24</v>
      </c>
      <c r="BV20" s="136">
        <v>13</v>
      </c>
      <c r="BW20" s="136">
        <f t="shared" si="31"/>
        <v>37</v>
      </c>
      <c r="BX20" s="212"/>
      <c r="BY20" s="149" t="str">
        <f t="shared" si="32"/>
        <v>F</v>
      </c>
      <c r="BZ20" s="136">
        <v>4</v>
      </c>
      <c r="CA20" s="136">
        <v>4</v>
      </c>
      <c r="CB20" s="136">
        <f t="shared" si="33"/>
        <v>8</v>
      </c>
      <c r="CC20" s="136">
        <v>13</v>
      </c>
      <c r="CD20" s="136">
        <v>22</v>
      </c>
      <c r="CE20" s="136">
        <f t="shared" si="34"/>
        <v>43</v>
      </c>
      <c r="CF20" s="212"/>
      <c r="CG20" s="149" t="str">
        <f t="shared" si="35"/>
        <v>0</v>
      </c>
      <c r="CH20" s="149" t="str">
        <f t="shared" si="36"/>
        <v>F</v>
      </c>
      <c r="CI20" s="136" t="str">
        <f t="shared" si="6"/>
        <v>F</v>
      </c>
      <c r="CJ20" s="150" t="str">
        <f t="shared" si="37"/>
        <v>F</v>
      </c>
      <c r="CK20" s="97" t="str">
        <f t="shared" si="40"/>
        <v>NEED TO PROGRESS</v>
      </c>
      <c r="CL20" s="97">
        <f t="shared" si="39"/>
        <v>545</v>
      </c>
      <c r="CM20" s="97" t="str">
        <f t="shared" si="7"/>
        <v>F</v>
      </c>
      <c r="CN20" s="97"/>
    </row>
    <row r="21" spans="1:92" s="151" customFormat="1" ht="24.95" customHeight="1">
      <c r="A21" s="97">
        <v>13</v>
      </c>
      <c r="B21" s="47">
        <v>73</v>
      </c>
      <c r="C21" s="50" t="s">
        <v>159</v>
      </c>
      <c r="D21" s="50" t="s">
        <v>140</v>
      </c>
      <c r="E21" s="50" t="s">
        <v>145</v>
      </c>
      <c r="F21" s="51" t="s">
        <v>160</v>
      </c>
      <c r="G21" s="136">
        <v>10</v>
      </c>
      <c r="H21" s="136">
        <v>18</v>
      </c>
      <c r="I21" s="136">
        <f t="shared" si="8"/>
        <v>28</v>
      </c>
      <c r="J21" s="136">
        <v>12</v>
      </c>
      <c r="K21" s="136">
        <f t="shared" si="9"/>
        <v>40</v>
      </c>
      <c r="L21" s="136">
        <v>11</v>
      </c>
      <c r="M21" s="136">
        <v>18</v>
      </c>
      <c r="N21" s="136">
        <f t="shared" si="10"/>
        <v>29</v>
      </c>
      <c r="O21" s="136">
        <v>17</v>
      </c>
      <c r="P21" s="136">
        <f t="shared" si="11"/>
        <v>46</v>
      </c>
      <c r="Q21" s="136">
        <f t="shared" si="0"/>
        <v>86</v>
      </c>
      <c r="R21" s="212"/>
      <c r="S21" s="149">
        <f t="shared" si="12"/>
        <v>2</v>
      </c>
      <c r="T21" s="136">
        <v>10</v>
      </c>
      <c r="U21" s="136">
        <v>44</v>
      </c>
      <c r="V21" s="136">
        <f t="shared" si="1"/>
        <v>54</v>
      </c>
      <c r="W21" s="136">
        <v>13</v>
      </c>
      <c r="X21" s="136">
        <v>59</v>
      </c>
      <c r="Y21" s="136">
        <f t="shared" si="13"/>
        <v>72</v>
      </c>
      <c r="Z21" s="136">
        <f t="shared" si="2"/>
        <v>126</v>
      </c>
      <c r="AA21" s="136">
        <f t="shared" si="14"/>
        <v>126</v>
      </c>
      <c r="AB21" s="212"/>
      <c r="AC21" s="149">
        <f t="shared" si="15"/>
        <v>3.5</v>
      </c>
      <c r="AD21" s="136">
        <v>5</v>
      </c>
      <c r="AE21" s="136">
        <v>7</v>
      </c>
      <c r="AF21" s="136">
        <f t="shared" si="3"/>
        <v>12</v>
      </c>
      <c r="AG21" s="136">
        <v>10</v>
      </c>
      <c r="AH21" s="136">
        <f t="shared" si="16"/>
        <v>22</v>
      </c>
      <c r="AI21" s="212"/>
      <c r="AJ21" s="149" t="str">
        <f t="shared" si="17"/>
        <v>F</v>
      </c>
      <c r="AK21" s="136">
        <v>8</v>
      </c>
      <c r="AL21" s="136">
        <v>20</v>
      </c>
      <c r="AM21" s="136">
        <f t="shared" si="4"/>
        <v>28</v>
      </c>
      <c r="AN21" s="136">
        <v>13</v>
      </c>
      <c r="AO21" s="136">
        <f t="shared" si="18"/>
        <v>41</v>
      </c>
      <c r="AP21" s="212"/>
      <c r="AQ21" s="149">
        <f t="shared" si="19"/>
        <v>2</v>
      </c>
      <c r="AR21" s="136"/>
      <c r="AS21" s="136">
        <v>18</v>
      </c>
      <c r="AT21" s="136">
        <v>25</v>
      </c>
      <c r="AU21" s="136">
        <f t="shared" si="20"/>
        <v>43</v>
      </c>
      <c r="AV21" s="212"/>
      <c r="AW21" s="149">
        <f t="shared" si="5"/>
        <v>5</v>
      </c>
      <c r="AX21" s="136">
        <v>10</v>
      </c>
      <c r="AY21" s="136">
        <v>7</v>
      </c>
      <c r="AZ21" s="136">
        <f t="shared" si="21"/>
        <v>17</v>
      </c>
      <c r="BA21" s="136">
        <v>15</v>
      </c>
      <c r="BB21" s="136">
        <f t="shared" si="22"/>
        <v>32</v>
      </c>
      <c r="BC21" s="212"/>
      <c r="BD21" s="149" t="str">
        <f t="shared" si="23"/>
        <v>F</v>
      </c>
      <c r="BE21" s="136">
        <v>9</v>
      </c>
      <c r="BF21" s="136">
        <v>20</v>
      </c>
      <c r="BG21" s="136">
        <f t="shared" si="24"/>
        <v>29</v>
      </c>
      <c r="BH21" s="136">
        <v>9</v>
      </c>
      <c r="BI21" s="136">
        <f t="shared" si="25"/>
        <v>38</v>
      </c>
      <c r="BJ21" s="212"/>
      <c r="BK21" s="149" t="str">
        <f t="shared" si="26"/>
        <v>F</v>
      </c>
      <c r="BL21" s="136">
        <v>16</v>
      </c>
      <c r="BM21" s="136">
        <v>32</v>
      </c>
      <c r="BN21" s="136">
        <f t="shared" si="27"/>
        <v>48</v>
      </c>
      <c r="BO21" s="136">
        <v>14</v>
      </c>
      <c r="BP21" s="136">
        <f t="shared" si="28"/>
        <v>62</v>
      </c>
      <c r="BQ21" s="212"/>
      <c r="BR21" s="149">
        <f t="shared" si="29"/>
        <v>3.5</v>
      </c>
      <c r="BS21" s="136">
        <v>5</v>
      </c>
      <c r="BT21" s="136">
        <v>10</v>
      </c>
      <c r="BU21" s="136">
        <f t="shared" si="30"/>
        <v>15</v>
      </c>
      <c r="BV21" s="136">
        <v>8</v>
      </c>
      <c r="BW21" s="136">
        <f t="shared" si="31"/>
        <v>23</v>
      </c>
      <c r="BX21" s="212"/>
      <c r="BY21" s="149" t="str">
        <f t="shared" si="32"/>
        <v>F</v>
      </c>
      <c r="BZ21" s="136">
        <v>5</v>
      </c>
      <c r="CA21" s="136">
        <v>14</v>
      </c>
      <c r="CB21" s="136">
        <f t="shared" si="33"/>
        <v>19</v>
      </c>
      <c r="CC21" s="136">
        <v>11</v>
      </c>
      <c r="CD21" s="136">
        <v>22</v>
      </c>
      <c r="CE21" s="136">
        <f t="shared" si="34"/>
        <v>52</v>
      </c>
      <c r="CF21" s="212"/>
      <c r="CG21" s="149" t="str">
        <f t="shared" si="35"/>
        <v>0</v>
      </c>
      <c r="CH21" s="149" t="str">
        <f t="shared" si="36"/>
        <v>F</v>
      </c>
      <c r="CI21" s="136" t="str">
        <f t="shared" si="6"/>
        <v>F</v>
      </c>
      <c r="CJ21" s="150" t="str">
        <f t="shared" si="37"/>
        <v>F</v>
      </c>
      <c r="CK21" s="97" t="str">
        <f t="shared" si="40"/>
        <v>NEED TO PROGRESS</v>
      </c>
      <c r="CL21" s="97">
        <f t="shared" si="39"/>
        <v>525</v>
      </c>
      <c r="CM21" s="97" t="str">
        <f t="shared" si="7"/>
        <v>F</v>
      </c>
      <c r="CN21" s="97"/>
    </row>
    <row r="22" spans="1:92" s="151" customFormat="1" ht="24.95" customHeight="1">
      <c r="A22" s="97">
        <v>14</v>
      </c>
      <c r="B22" s="47">
        <v>76</v>
      </c>
      <c r="C22" s="50" t="s">
        <v>161</v>
      </c>
      <c r="D22" s="52" t="s">
        <v>162</v>
      </c>
      <c r="E22" s="50" t="s">
        <v>163</v>
      </c>
      <c r="F22" s="51" t="s">
        <v>164</v>
      </c>
      <c r="G22" s="136">
        <v>4</v>
      </c>
      <c r="H22" s="136">
        <v>21</v>
      </c>
      <c r="I22" s="136">
        <f t="shared" si="8"/>
        <v>25</v>
      </c>
      <c r="J22" s="136">
        <v>15</v>
      </c>
      <c r="K22" s="136">
        <f t="shared" si="9"/>
        <v>40</v>
      </c>
      <c r="L22" s="136">
        <v>11</v>
      </c>
      <c r="M22" s="136">
        <v>22</v>
      </c>
      <c r="N22" s="136">
        <f t="shared" si="10"/>
        <v>33</v>
      </c>
      <c r="O22" s="136">
        <v>15</v>
      </c>
      <c r="P22" s="136">
        <f t="shared" si="11"/>
        <v>48</v>
      </c>
      <c r="Q22" s="136">
        <f t="shared" si="0"/>
        <v>88</v>
      </c>
      <c r="R22" s="212"/>
      <c r="S22" s="149">
        <f t="shared" si="12"/>
        <v>2</v>
      </c>
      <c r="T22" s="136">
        <v>0</v>
      </c>
      <c r="U22" s="136">
        <v>23</v>
      </c>
      <c r="V22" s="136">
        <f t="shared" si="1"/>
        <v>23</v>
      </c>
      <c r="W22" s="136">
        <v>14</v>
      </c>
      <c r="X22" s="136">
        <v>28</v>
      </c>
      <c r="Y22" s="136">
        <f t="shared" si="13"/>
        <v>42</v>
      </c>
      <c r="Z22" s="136">
        <f t="shared" si="2"/>
        <v>65</v>
      </c>
      <c r="AA22" s="136">
        <f t="shared" si="14"/>
        <v>65</v>
      </c>
      <c r="AB22" s="212"/>
      <c r="AC22" s="149" t="str">
        <f t="shared" si="15"/>
        <v>F</v>
      </c>
      <c r="AD22" s="136">
        <v>9</v>
      </c>
      <c r="AE22" s="136">
        <v>7</v>
      </c>
      <c r="AF22" s="136">
        <f t="shared" si="3"/>
        <v>16</v>
      </c>
      <c r="AG22" s="136">
        <v>10</v>
      </c>
      <c r="AH22" s="136">
        <f t="shared" si="16"/>
        <v>26</v>
      </c>
      <c r="AI22" s="212"/>
      <c r="AJ22" s="149" t="str">
        <f t="shared" si="17"/>
        <v>F</v>
      </c>
      <c r="AK22" s="136">
        <v>7</v>
      </c>
      <c r="AL22" s="136">
        <v>20</v>
      </c>
      <c r="AM22" s="136">
        <f t="shared" si="4"/>
        <v>27</v>
      </c>
      <c r="AN22" s="136">
        <v>18</v>
      </c>
      <c r="AO22" s="136">
        <f t="shared" si="18"/>
        <v>45</v>
      </c>
      <c r="AP22" s="212"/>
      <c r="AQ22" s="149" t="str">
        <f t="shared" si="19"/>
        <v>F</v>
      </c>
      <c r="AR22" s="136"/>
      <c r="AS22" s="136">
        <v>21</v>
      </c>
      <c r="AT22" s="136">
        <v>25</v>
      </c>
      <c r="AU22" s="136">
        <f t="shared" si="20"/>
        <v>46</v>
      </c>
      <c r="AV22" s="212"/>
      <c r="AW22" s="149">
        <f t="shared" si="5"/>
        <v>5</v>
      </c>
      <c r="AX22" s="136">
        <v>8</v>
      </c>
      <c r="AY22" s="136">
        <v>20</v>
      </c>
      <c r="AZ22" s="136">
        <f t="shared" si="21"/>
        <v>28</v>
      </c>
      <c r="BA22" s="136">
        <v>17</v>
      </c>
      <c r="BB22" s="136">
        <f t="shared" si="22"/>
        <v>45</v>
      </c>
      <c r="BC22" s="212"/>
      <c r="BD22" s="149">
        <f t="shared" si="23"/>
        <v>2</v>
      </c>
      <c r="BE22" s="136">
        <v>10</v>
      </c>
      <c r="BF22" s="136">
        <v>17</v>
      </c>
      <c r="BG22" s="136">
        <f t="shared" si="24"/>
        <v>27</v>
      </c>
      <c r="BH22" s="136">
        <v>10</v>
      </c>
      <c r="BI22" s="136">
        <f t="shared" si="25"/>
        <v>37</v>
      </c>
      <c r="BJ22" s="212"/>
      <c r="BK22" s="149" t="str">
        <f t="shared" si="26"/>
        <v>F</v>
      </c>
      <c r="BL22" s="136">
        <v>11</v>
      </c>
      <c r="BM22" s="136">
        <v>26</v>
      </c>
      <c r="BN22" s="136">
        <f t="shared" si="27"/>
        <v>37</v>
      </c>
      <c r="BO22" s="136">
        <v>21</v>
      </c>
      <c r="BP22" s="136">
        <f t="shared" si="28"/>
        <v>58</v>
      </c>
      <c r="BQ22" s="212"/>
      <c r="BR22" s="149">
        <f t="shared" si="29"/>
        <v>3</v>
      </c>
      <c r="BS22" s="136">
        <v>13</v>
      </c>
      <c r="BT22" s="136">
        <v>10</v>
      </c>
      <c r="BU22" s="136">
        <f t="shared" si="30"/>
        <v>23</v>
      </c>
      <c r="BV22" s="136">
        <v>9</v>
      </c>
      <c r="BW22" s="136">
        <f t="shared" si="31"/>
        <v>32</v>
      </c>
      <c r="BX22" s="212"/>
      <c r="BY22" s="149" t="str">
        <f t="shared" si="32"/>
        <v>F</v>
      </c>
      <c r="BZ22" s="136">
        <v>5</v>
      </c>
      <c r="CA22" s="136">
        <v>14</v>
      </c>
      <c r="CB22" s="136">
        <f t="shared" si="33"/>
        <v>19</v>
      </c>
      <c r="CC22" s="136">
        <v>15</v>
      </c>
      <c r="CD22" s="136">
        <v>22</v>
      </c>
      <c r="CE22" s="136">
        <f t="shared" si="34"/>
        <v>56</v>
      </c>
      <c r="CF22" s="212"/>
      <c r="CG22" s="149" t="str">
        <f t="shared" si="35"/>
        <v>0</v>
      </c>
      <c r="CH22" s="149" t="str">
        <f t="shared" si="36"/>
        <v>F</v>
      </c>
      <c r="CI22" s="136" t="str">
        <f t="shared" si="6"/>
        <v>F</v>
      </c>
      <c r="CJ22" s="150" t="str">
        <f t="shared" si="37"/>
        <v>F</v>
      </c>
      <c r="CK22" s="97" t="str">
        <f t="shared" si="40"/>
        <v>NEED TO PROGRESS</v>
      </c>
      <c r="CL22" s="97">
        <f t="shared" si="39"/>
        <v>498</v>
      </c>
      <c r="CM22" s="97" t="str">
        <f t="shared" si="7"/>
        <v>F</v>
      </c>
      <c r="CN22" s="97"/>
    </row>
    <row r="23" spans="1:92" s="151" customFormat="1" ht="24.95" customHeight="1">
      <c r="A23" s="97">
        <v>15</v>
      </c>
      <c r="B23" s="47">
        <v>77</v>
      </c>
      <c r="C23" s="50" t="s">
        <v>165</v>
      </c>
      <c r="D23" s="50" t="s">
        <v>166</v>
      </c>
      <c r="E23" s="50" t="s">
        <v>167</v>
      </c>
      <c r="F23" s="51" t="s">
        <v>168</v>
      </c>
      <c r="G23" s="136">
        <v>8</v>
      </c>
      <c r="H23" s="136">
        <v>10</v>
      </c>
      <c r="I23" s="136">
        <f t="shared" si="8"/>
        <v>18</v>
      </c>
      <c r="J23" s="136">
        <v>11</v>
      </c>
      <c r="K23" s="136">
        <f t="shared" si="9"/>
        <v>29</v>
      </c>
      <c r="L23" s="136">
        <v>17</v>
      </c>
      <c r="M23" s="136">
        <v>23</v>
      </c>
      <c r="N23" s="136">
        <f t="shared" si="10"/>
        <v>40</v>
      </c>
      <c r="O23" s="136">
        <v>24</v>
      </c>
      <c r="P23" s="136">
        <f t="shared" si="11"/>
        <v>64</v>
      </c>
      <c r="Q23" s="136">
        <f t="shared" si="0"/>
        <v>93</v>
      </c>
      <c r="R23" s="212"/>
      <c r="S23" s="149">
        <f t="shared" si="12"/>
        <v>2</v>
      </c>
      <c r="T23" s="136">
        <v>10</v>
      </c>
      <c r="U23" s="136">
        <v>34</v>
      </c>
      <c r="V23" s="136">
        <f t="shared" si="1"/>
        <v>44</v>
      </c>
      <c r="W23" s="136">
        <v>13</v>
      </c>
      <c r="X23" s="136">
        <v>37</v>
      </c>
      <c r="Y23" s="136">
        <f t="shared" si="13"/>
        <v>50</v>
      </c>
      <c r="Z23" s="136">
        <f t="shared" si="2"/>
        <v>94</v>
      </c>
      <c r="AA23" s="136">
        <f t="shared" si="14"/>
        <v>94</v>
      </c>
      <c r="AB23" s="212"/>
      <c r="AC23" s="149">
        <f t="shared" si="15"/>
        <v>2</v>
      </c>
      <c r="AD23" s="136">
        <v>10</v>
      </c>
      <c r="AE23" s="136">
        <v>1</v>
      </c>
      <c r="AF23" s="136">
        <f t="shared" si="3"/>
        <v>11</v>
      </c>
      <c r="AG23" s="136">
        <v>12</v>
      </c>
      <c r="AH23" s="136">
        <f t="shared" si="16"/>
        <v>23</v>
      </c>
      <c r="AI23" s="212"/>
      <c r="AJ23" s="149" t="str">
        <f t="shared" si="17"/>
        <v>F</v>
      </c>
      <c r="AK23" s="136">
        <v>11</v>
      </c>
      <c r="AL23" s="136">
        <v>22</v>
      </c>
      <c r="AM23" s="136">
        <f t="shared" si="4"/>
        <v>33</v>
      </c>
      <c r="AN23" s="136">
        <v>14</v>
      </c>
      <c r="AO23" s="136">
        <f t="shared" si="18"/>
        <v>47</v>
      </c>
      <c r="AP23" s="212"/>
      <c r="AQ23" s="149">
        <f t="shared" si="19"/>
        <v>2</v>
      </c>
      <c r="AR23" s="136"/>
      <c r="AS23" s="136">
        <v>23</v>
      </c>
      <c r="AT23" s="136">
        <v>25</v>
      </c>
      <c r="AU23" s="136">
        <f t="shared" si="20"/>
        <v>48</v>
      </c>
      <c r="AV23" s="212"/>
      <c r="AW23" s="149">
        <f t="shared" si="5"/>
        <v>5</v>
      </c>
      <c r="AX23" s="136">
        <v>13</v>
      </c>
      <c r="AY23" s="136">
        <v>20</v>
      </c>
      <c r="AZ23" s="136">
        <f t="shared" si="21"/>
        <v>33</v>
      </c>
      <c r="BA23" s="136">
        <v>20</v>
      </c>
      <c r="BB23" s="136">
        <f t="shared" si="22"/>
        <v>53</v>
      </c>
      <c r="BC23" s="212"/>
      <c r="BD23" s="149">
        <f t="shared" si="23"/>
        <v>3</v>
      </c>
      <c r="BE23" s="136">
        <v>10</v>
      </c>
      <c r="BF23" s="136">
        <v>24</v>
      </c>
      <c r="BG23" s="136">
        <f t="shared" si="24"/>
        <v>34</v>
      </c>
      <c r="BH23" s="136">
        <v>14</v>
      </c>
      <c r="BI23" s="136">
        <f t="shared" si="25"/>
        <v>48</v>
      </c>
      <c r="BJ23" s="212"/>
      <c r="BK23" s="149">
        <f t="shared" si="26"/>
        <v>2</v>
      </c>
      <c r="BL23" s="136">
        <v>10</v>
      </c>
      <c r="BM23" s="136">
        <v>14</v>
      </c>
      <c r="BN23" s="136">
        <f t="shared" si="27"/>
        <v>24</v>
      </c>
      <c r="BO23" s="136">
        <v>21</v>
      </c>
      <c r="BP23" s="136">
        <f t="shared" si="28"/>
        <v>45</v>
      </c>
      <c r="BQ23" s="212"/>
      <c r="BR23" s="149" t="str">
        <f t="shared" si="29"/>
        <v>F</v>
      </c>
      <c r="BS23" s="136">
        <v>12</v>
      </c>
      <c r="BT23" s="136">
        <v>13</v>
      </c>
      <c r="BU23" s="136">
        <f t="shared" si="30"/>
        <v>25</v>
      </c>
      <c r="BV23" s="136">
        <v>12</v>
      </c>
      <c r="BW23" s="136">
        <f t="shared" si="31"/>
        <v>37</v>
      </c>
      <c r="BX23" s="212"/>
      <c r="BY23" s="149" t="str">
        <f t="shared" si="32"/>
        <v>F</v>
      </c>
      <c r="BZ23" s="136">
        <v>5</v>
      </c>
      <c r="CA23" s="136">
        <v>22</v>
      </c>
      <c r="CB23" s="136">
        <f t="shared" si="33"/>
        <v>27</v>
      </c>
      <c r="CC23" s="136">
        <v>14</v>
      </c>
      <c r="CD23" s="136">
        <v>22</v>
      </c>
      <c r="CE23" s="136">
        <f t="shared" si="34"/>
        <v>63</v>
      </c>
      <c r="CF23" s="212"/>
      <c r="CG23" s="149">
        <f t="shared" si="35"/>
        <v>3.5</v>
      </c>
      <c r="CH23" s="149">
        <f t="shared" si="36"/>
        <v>3.5</v>
      </c>
      <c r="CI23" s="136" t="str">
        <f t="shared" si="6"/>
        <v>F</v>
      </c>
      <c r="CJ23" s="150" t="str">
        <f t="shared" si="37"/>
        <v>F</v>
      </c>
      <c r="CK23" s="97" t="str">
        <f t="shared" si="40"/>
        <v>NEED TO PROGRESS</v>
      </c>
      <c r="CL23" s="97">
        <f t="shared" si="39"/>
        <v>551</v>
      </c>
      <c r="CM23" s="97" t="str">
        <f t="shared" si="7"/>
        <v>F</v>
      </c>
      <c r="CN23" s="97"/>
    </row>
    <row r="24" spans="1:92" s="151" customFormat="1" ht="24.95" customHeight="1">
      <c r="A24" s="97">
        <v>16</v>
      </c>
      <c r="B24" s="47">
        <v>80</v>
      </c>
      <c r="C24" s="50" t="s">
        <v>169</v>
      </c>
      <c r="D24" s="50" t="s">
        <v>170</v>
      </c>
      <c r="E24" s="50" t="s">
        <v>171</v>
      </c>
      <c r="F24" s="51" t="s">
        <v>172</v>
      </c>
      <c r="G24" s="136">
        <v>9</v>
      </c>
      <c r="H24" s="136">
        <v>10</v>
      </c>
      <c r="I24" s="136">
        <f t="shared" si="8"/>
        <v>19</v>
      </c>
      <c r="J24" s="136">
        <v>19</v>
      </c>
      <c r="K24" s="136">
        <f t="shared" si="9"/>
        <v>38</v>
      </c>
      <c r="L24" s="136">
        <v>13</v>
      </c>
      <c r="M24" s="136">
        <v>20</v>
      </c>
      <c r="N24" s="136">
        <f t="shared" si="10"/>
        <v>33</v>
      </c>
      <c r="O24" s="136">
        <v>24</v>
      </c>
      <c r="P24" s="136">
        <f t="shared" si="11"/>
        <v>57</v>
      </c>
      <c r="Q24" s="136">
        <f t="shared" si="0"/>
        <v>95</v>
      </c>
      <c r="R24" s="212"/>
      <c r="S24" s="149" t="str">
        <f t="shared" si="12"/>
        <v>F</v>
      </c>
      <c r="T24" s="136">
        <v>11</v>
      </c>
      <c r="U24" s="136">
        <v>15</v>
      </c>
      <c r="V24" s="136">
        <f t="shared" si="1"/>
        <v>26</v>
      </c>
      <c r="W24" s="136">
        <v>12</v>
      </c>
      <c r="X24" s="136">
        <v>32</v>
      </c>
      <c r="Y24" s="136">
        <f t="shared" si="13"/>
        <v>44</v>
      </c>
      <c r="Z24" s="136">
        <f t="shared" si="2"/>
        <v>70</v>
      </c>
      <c r="AA24" s="136">
        <f t="shared" si="14"/>
        <v>70</v>
      </c>
      <c r="AB24" s="212"/>
      <c r="AC24" s="149" t="str">
        <f t="shared" si="15"/>
        <v>F</v>
      </c>
      <c r="AD24" s="136">
        <v>8</v>
      </c>
      <c r="AE24" s="136">
        <v>1</v>
      </c>
      <c r="AF24" s="136">
        <f t="shared" si="3"/>
        <v>9</v>
      </c>
      <c r="AG24" s="136">
        <v>12</v>
      </c>
      <c r="AH24" s="136">
        <f t="shared" si="16"/>
        <v>21</v>
      </c>
      <c r="AI24" s="212"/>
      <c r="AJ24" s="149" t="str">
        <f t="shared" si="17"/>
        <v>F</v>
      </c>
      <c r="AK24" s="136">
        <v>9</v>
      </c>
      <c r="AL24" s="136">
        <v>19</v>
      </c>
      <c r="AM24" s="136">
        <f t="shared" si="4"/>
        <v>28</v>
      </c>
      <c r="AN24" s="136">
        <v>16</v>
      </c>
      <c r="AO24" s="136">
        <f t="shared" si="18"/>
        <v>44</v>
      </c>
      <c r="AP24" s="212"/>
      <c r="AQ24" s="149">
        <f t="shared" si="19"/>
        <v>2</v>
      </c>
      <c r="AR24" s="136"/>
      <c r="AS24" s="136">
        <v>23</v>
      </c>
      <c r="AT24" s="136">
        <v>25</v>
      </c>
      <c r="AU24" s="136">
        <f t="shared" si="20"/>
        <v>48</v>
      </c>
      <c r="AV24" s="212"/>
      <c r="AW24" s="149">
        <f t="shared" si="5"/>
        <v>5</v>
      </c>
      <c r="AX24" s="136">
        <v>11</v>
      </c>
      <c r="AY24" s="136">
        <v>20</v>
      </c>
      <c r="AZ24" s="136">
        <f t="shared" si="21"/>
        <v>31</v>
      </c>
      <c r="BA24" s="136">
        <v>20</v>
      </c>
      <c r="BB24" s="136">
        <f t="shared" si="22"/>
        <v>51</v>
      </c>
      <c r="BC24" s="212"/>
      <c r="BD24" s="149">
        <f t="shared" si="23"/>
        <v>3</v>
      </c>
      <c r="BE24" s="136">
        <v>6</v>
      </c>
      <c r="BF24" s="136">
        <v>9</v>
      </c>
      <c r="BG24" s="136">
        <f t="shared" si="24"/>
        <v>15</v>
      </c>
      <c r="BH24" s="136">
        <v>13</v>
      </c>
      <c r="BI24" s="136">
        <f t="shared" si="25"/>
        <v>28</v>
      </c>
      <c r="BJ24" s="212"/>
      <c r="BK24" s="149" t="str">
        <f t="shared" si="26"/>
        <v>F</v>
      </c>
      <c r="BL24" s="136">
        <v>10</v>
      </c>
      <c r="BM24" s="136">
        <v>15</v>
      </c>
      <c r="BN24" s="136">
        <f t="shared" si="27"/>
        <v>25</v>
      </c>
      <c r="BO24" s="136">
        <v>15</v>
      </c>
      <c r="BP24" s="136">
        <f t="shared" si="28"/>
        <v>40</v>
      </c>
      <c r="BQ24" s="212"/>
      <c r="BR24" s="149" t="str">
        <f t="shared" si="29"/>
        <v>F</v>
      </c>
      <c r="BS24" s="136">
        <v>12</v>
      </c>
      <c r="BT24" s="136">
        <v>8</v>
      </c>
      <c r="BU24" s="136">
        <f t="shared" si="30"/>
        <v>20</v>
      </c>
      <c r="BV24" s="136">
        <v>9</v>
      </c>
      <c r="BW24" s="136">
        <f t="shared" si="31"/>
        <v>29</v>
      </c>
      <c r="BX24" s="212"/>
      <c r="BY24" s="149" t="str">
        <f t="shared" si="32"/>
        <v>F</v>
      </c>
      <c r="BZ24" s="136">
        <v>5</v>
      </c>
      <c r="CA24" s="136">
        <v>14</v>
      </c>
      <c r="CB24" s="136">
        <f t="shared" si="33"/>
        <v>19</v>
      </c>
      <c r="CC24" s="136">
        <v>17</v>
      </c>
      <c r="CD24" s="136">
        <v>22</v>
      </c>
      <c r="CE24" s="136">
        <f t="shared" si="34"/>
        <v>58</v>
      </c>
      <c r="CF24" s="212"/>
      <c r="CG24" s="149" t="str">
        <f t="shared" si="35"/>
        <v>0</v>
      </c>
      <c r="CH24" s="149" t="str">
        <f t="shared" si="36"/>
        <v>F</v>
      </c>
      <c r="CI24" s="136" t="str">
        <f t="shared" si="6"/>
        <v>F</v>
      </c>
      <c r="CJ24" s="150" t="str">
        <f t="shared" si="37"/>
        <v>F</v>
      </c>
      <c r="CK24" s="97" t="str">
        <f t="shared" si="40"/>
        <v>NEED TO PROGRESS</v>
      </c>
      <c r="CL24" s="97">
        <f t="shared" si="39"/>
        <v>484</v>
      </c>
      <c r="CM24" s="97" t="str">
        <f t="shared" si="7"/>
        <v>F</v>
      </c>
      <c r="CN24" s="97"/>
    </row>
    <row r="25" spans="1:92" s="151" customFormat="1" ht="24.95" customHeight="1">
      <c r="A25" s="97">
        <v>17</v>
      </c>
      <c r="B25" s="47">
        <v>81</v>
      </c>
      <c r="C25" s="50" t="s">
        <v>173</v>
      </c>
      <c r="D25" s="50" t="s">
        <v>174</v>
      </c>
      <c r="E25" s="50" t="s">
        <v>175</v>
      </c>
      <c r="F25" s="51" t="s">
        <v>176</v>
      </c>
      <c r="G25" s="136">
        <v>9</v>
      </c>
      <c r="H25" s="136">
        <v>9</v>
      </c>
      <c r="I25" s="136">
        <f t="shared" si="8"/>
        <v>18</v>
      </c>
      <c r="J25" s="136">
        <v>11</v>
      </c>
      <c r="K25" s="136">
        <f t="shared" si="9"/>
        <v>29</v>
      </c>
      <c r="L25" s="136">
        <v>11</v>
      </c>
      <c r="M25" s="136">
        <v>20</v>
      </c>
      <c r="N25" s="136">
        <f t="shared" si="10"/>
        <v>31</v>
      </c>
      <c r="O25" s="136">
        <v>14</v>
      </c>
      <c r="P25" s="136">
        <f t="shared" si="11"/>
        <v>45</v>
      </c>
      <c r="Q25" s="136">
        <f t="shared" si="0"/>
        <v>74</v>
      </c>
      <c r="R25" s="212"/>
      <c r="S25" s="149" t="str">
        <f t="shared" si="12"/>
        <v>F</v>
      </c>
      <c r="T25" s="136">
        <v>11</v>
      </c>
      <c r="U25" s="136">
        <v>35</v>
      </c>
      <c r="V25" s="136">
        <f t="shared" si="1"/>
        <v>46</v>
      </c>
      <c r="W25" s="136">
        <v>11</v>
      </c>
      <c r="X25" s="136">
        <v>30</v>
      </c>
      <c r="Y25" s="136">
        <f t="shared" si="13"/>
        <v>41</v>
      </c>
      <c r="Z25" s="136">
        <f t="shared" si="2"/>
        <v>87</v>
      </c>
      <c r="AA25" s="136">
        <f t="shared" si="14"/>
        <v>87</v>
      </c>
      <c r="AB25" s="212"/>
      <c r="AC25" s="149">
        <f t="shared" si="15"/>
        <v>2</v>
      </c>
      <c r="AD25" s="136">
        <v>8</v>
      </c>
      <c r="AE25" s="136">
        <v>1</v>
      </c>
      <c r="AF25" s="136">
        <f t="shared" si="3"/>
        <v>9</v>
      </c>
      <c r="AG25" s="136">
        <v>12</v>
      </c>
      <c r="AH25" s="136">
        <f t="shared" si="16"/>
        <v>21</v>
      </c>
      <c r="AI25" s="212"/>
      <c r="AJ25" s="149" t="str">
        <f t="shared" si="17"/>
        <v>F</v>
      </c>
      <c r="AK25" s="136">
        <v>12</v>
      </c>
      <c r="AL25" s="136">
        <v>14</v>
      </c>
      <c r="AM25" s="136">
        <f t="shared" si="4"/>
        <v>26</v>
      </c>
      <c r="AN25" s="136">
        <v>14</v>
      </c>
      <c r="AO25" s="136">
        <f t="shared" si="18"/>
        <v>40</v>
      </c>
      <c r="AP25" s="212"/>
      <c r="AQ25" s="149" t="str">
        <f t="shared" si="19"/>
        <v>F</v>
      </c>
      <c r="AR25" s="136"/>
      <c r="AS25" s="136">
        <v>19</v>
      </c>
      <c r="AT25" s="136">
        <v>25</v>
      </c>
      <c r="AU25" s="136">
        <f t="shared" si="20"/>
        <v>44</v>
      </c>
      <c r="AV25" s="212"/>
      <c r="AW25" s="149">
        <f t="shared" si="5"/>
        <v>5</v>
      </c>
      <c r="AX25" s="136">
        <v>13</v>
      </c>
      <c r="AY25" s="136">
        <v>20</v>
      </c>
      <c r="AZ25" s="136">
        <f t="shared" si="21"/>
        <v>33</v>
      </c>
      <c r="BA25" s="136">
        <v>22</v>
      </c>
      <c r="BB25" s="136">
        <f t="shared" si="22"/>
        <v>55</v>
      </c>
      <c r="BC25" s="212"/>
      <c r="BD25" s="149">
        <f t="shared" si="23"/>
        <v>3</v>
      </c>
      <c r="BE25" s="136">
        <v>9</v>
      </c>
      <c r="BF25" s="136">
        <v>10</v>
      </c>
      <c r="BG25" s="136">
        <f t="shared" si="24"/>
        <v>19</v>
      </c>
      <c r="BH25" s="136">
        <v>17</v>
      </c>
      <c r="BI25" s="136">
        <f t="shared" si="25"/>
        <v>36</v>
      </c>
      <c r="BJ25" s="212"/>
      <c r="BK25" s="149" t="str">
        <f t="shared" si="26"/>
        <v>F</v>
      </c>
      <c r="BL25" s="136">
        <v>12</v>
      </c>
      <c r="BM25" s="136">
        <v>14</v>
      </c>
      <c r="BN25" s="136">
        <f t="shared" si="27"/>
        <v>26</v>
      </c>
      <c r="BO25" s="136">
        <v>16</v>
      </c>
      <c r="BP25" s="136">
        <f t="shared" si="28"/>
        <v>42</v>
      </c>
      <c r="BQ25" s="212"/>
      <c r="BR25" s="149" t="str">
        <f t="shared" si="29"/>
        <v>F</v>
      </c>
      <c r="BS25" s="136">
        <v>15</v>
      </c>
      <c r="BT25" s="136">
        <v>24</v>
      </c>
      <c r="BU25" s="136">
        <f t="shared" si="30"/>
        <v>39</v>
      </c>
      <c r="BV25" s="136">
        <v>10</v>
      </c>
      <c r="BW25" s="136">
        <f t="shared" si="31"/>
        <v>49</v>
      </c>
      <c r="BX25" s="212"/>
      <c r="BY25" s="149" t="str">
        <f t="shared" si="32"/>
        <v>F</v>
      </c>
      <c r="BZ25" s="136">
        <v>3</v>
      </c>
      <c r="CA25" s="136">
        <v>14</v>
      </c>
      <c r="CB25" s="136">
        <f t="shared" si="33"/>
        <v>17</v>
      </c>
      <c r="CC25" s="136">
        <v>21</v>
      </c>
      <c r="CD25" s="136">
        <v>22</v>
      </c>
      <c r="CE25" s="136">
        <f t="shared" si="34"/>
        <v>60</v>
      </c>
      <c r="CF25" s="212"/>
      <c r="CG25" s="149" t="str">
        <f t="shared" si="35"/>
        <v>0</v>
      </c>
      <c r="CH25" s="149" t="str">
        <f t="shared" si="36"/>
        <v>F</v>
      </c>
      <c r="CI25" s="136" t="str">
        <f t="shared" si="6"/>
        <v>F</v>
      </c>
      <c r="CJ25" s="150" t="str">
        <f t="shared" si="37"/>
        <v>F</v>
      </c>
      <c r="CK25" s="97" t="str">
        <f t="shared" si="40"/>
        <v>NEED TO PROGRESS</v>
      </c>
      <c r="CL25" s="97">
        <f t="shared" si="39"/>
        <v>508</v>
      </c>
      <c r="CM25" s="97" t="str">
        <f t="shared" si="7"/>
        <v>F</v>
      </c>
      <c r="CN25" s="97"/>
    </row>
    <row r="26" spans="1:92" s="151" customFormat="1" ht="24.95" customHeight="1">
      <c r="A26" s="97">
        <v>18</v>
      </c>
      <c r="B26" s="47">
        <v>82</v>
      </c>
      <c r="C26" s="54" t="s">
        <v>177</v>
      </c>
      <c r="D26" s="54" t="s">
        <v>178</v>
      </c>
      <c r="E26" s="54" t="s">
        <v>179</v>
      </c>
      <c r="F26" s="51" t="s">
        <v>180</v>
      </c>
      <c r="G26" s="136">
        <v>10</v>
      </c>
      <c r="H26" s="136">
        <v>10</v>
      </c>
      <c r="I26" s="136">
        <f t="shared" si="8"/>
        <v>20</v>
      </c>
      <c r="J26" s="136">
        <v>9</v>
      </c>
      <c r="K26" s="136">
        <f t="shared" si="9"/>
        <v>29</v>
      </c>
      <c r="L26" s="136">
        <v>13</v>
      </c>
      <c r="M26" s="136">
        <v>21</v>
      </c>
      <c r="N26" s="136">
        <f t="shared" si="10"/>
        <v>34</v>
      </c>
      <c r="O26" s="136">
        <v>10</v>
      </c>
      <c r="P26" s="136">
        <f t="shared" si="11"/>
        <v>44</v>
      </c>
      <c r="Q26" s="136">
        <f t="shared" si="0"/>
        <v>73</v>
      </c>
      <c r="R26" s="212"/>
      <c r="S26" s="149" t="str">
        <f t="shared" si="12"/>
        <v>F</v>
      </c>
      <c r="T26" s="136">
        <v>16</v>
      </c>
      <c r="U26" s="136">
        <v>32</v>
      </c>
      <c r="V26" s="136">
        <f t="shared" si="1"/>
        <v>48</v>
      </c>
      <c r="W26" s="136">
        <v>11</v>
      </c>
      <c r="X26" s="136">
        <v>30</v>
      </c>
      <c r="Y26" s="136">
        <f t="shared" si="13"/>
        <v>41</v>
      </c>
      <c r="Z26" s="136">
        <f t="shared" si="2"/>
        <v>89</v>
      </c>
      <c r="AA26" s="136">
        <f t="shared" si="14"/>
        <v>89</v>
      </c>
      <c r="AB26" s="212"/>
      <c r="AC26" s="149">
        <f t="shared" si="15"/>
        <v>2</v>
      </c>
      <c r="AD26" s="136">
        <v>10</v>
      </c>
      <c r="AE26" s="136">
        <v>6</v>
      </c>
      <c r="AF26" s="136">
        <f t="shared" si="3"/>
        <v>16</v>
      </c>
      <c r="AG26" s="136">
        <v>13</v>
      </c>
      <c r="AH26" s="136">
        <f t="shared" si="16"/>
        <v>29</v>
      </c>
      <c r="AI26" s="212"/>
      <c r="AJ26" s="149" t="str">
        <f t="shared" si="17"/>
        <v>F</v>
      </c>
      <c r="AK26" s="136">
        <v>11</v>
      </c>
      <c r="AL26" s="136">
        <v>14</v>
      </c>
      <c r="AM26" s="136">
        <f t="shared" si="4"/>
        <v>25</v>
      </c>
      <c r="AN26" s="136">
        <v>21</v>
      </c>
      <c r="AO26" s="136">
        <f t="shared" si="18"/>
        <v>46</v>
      </c>
      <c r="AP26" s="212"/>
      <c r="AQ26" s="149" t="str">
        <f t="shared" si="19"/>
        <v>F</v>
      </c>
      <c r="AR26" s="136"/>
      <c r="AS26" s="136">
        <v>17</v>
      </c>
      <c r="AT26" s="136">
        <v>25</v>
      </c>
      <c r="AU26" s="136">
        <f t="shared" si="20"/>
        <v>42</v>
      </c>
      <c r="AV26" s="212"/>
      <c r="AW26" s="149">
        <f t="shared" si="5"/>
        <v>5</v>
      </c>
      <c r="AX26" s="136">
        <v>10</v>
      </c>
      <c r="AY26" s="136">
        <v>0</v>
      </c>
      <c r="AZ26" s="136">
        <f t="shared" si="21"/>
        <v>10</v>
      </c>
      <c r="BA26" s="136">
        <v>23</v>
      </c>
      <c r="BB26" s="136">
        <f t="shared" si="22"/>
        <v>33</v>
      </c>
      <c r="BC26" s="212"/>
      <c r="BD26" s="149" t="str">
        <f t="shared" si="23"/>
        <v>F</v>
      </c>
      <c r="BE26" s="136">
        <v>10</v>
      </c>
      <c r="BF26" s="136">
        <v>21</v>
      </c>
      <c r="BG26" s="136">
        <f t="shared" si="24"/>
        <v>31</v>
      </c>
      <c r="BH26" s="136">
        <v>19</v>
      </c>
      <c r="BI26" s="136">
        <f t="shared" si="25"/>
        <v>50</v>
      </c>
      <c r="BJ26" s="212"/>
      <c r="BK26" s="149">
        <f t="shared" si="26"/>
        <v>3</v>
      </c>
      <c r="BL26" s="136">
        <v>19</v>
      </c>
      <c r="BM26" s="136">
        <v>26</v>
      </c>
      <c r="BN26" s="136">
        <f t="shared" si="27"/>
        <v>45</v>
      </c>
      <c r="BO26" s="136">
        <v>12</v>
      </c>
      <c r="BP26" s="136">
        <f t="shared" si="28"/>
        <v>57</v>
      </c>
      <c r="BQ26" s="212"/>
      <c r="BR26" s="149">
        <f t="shared" si="29"/>
        <v>3</v>
      </c>
      <c r="BS26" s="136">
        <v>15</v>
      </c>
      <c r="BT26" s="136">
        <v>21</v>
      </c>
      <c r="BU26" s="136">
        <f t="shared" si="30"/>
        <v>36</v>
      </c>
      <c r="BV26" s="136">
        <v>12</v>
      </c>
      <c r="BW26" s="136">
        <f t="shared" si="31"/>
        <v>48</v>
      </c>
      <c r="BX26" s="212"/>
      <c r="BY26" s="149">
        <f t="shared" si="32"/>
        <v>2</v>
      </c>
      <c r="BZ26" s="136">
        <v>5</v>
      </c>
      <c r="CA26" s="136">
        <v>9</v>
      </c>
      <c r="CB26" s="136">
        <f t="shared" si="33"/>
        <v>14</v>
      </c>
      <c r="CC26" s="136">
        <v>21</v>
      </c>
      <c r="CD26" s="136">
        <v>22</v>
      </c>
      <c r="CE26" s="136">
        <f t="shared" si="34"/>
        <v>57</v>
      </c>
      <c r="CF26" s="212"/>
      <c r="CG26" s="149" t="str">
        <f t="shared" si="35"/>
        <v>0</v>
      </c>
      <c r="CH26" s="149" t="str">
        <f t="shared" si="36"/>
        <v>F</v>
      </c>
      <c r="CI26" s="136" t="str">
        <f t="shared" si="6"/>
        <v>F</v>
      </c>
      <c r="CJ26" s="150" t="str">
        <f t="shared" si="37"/>
        <v>F</v>
      </c>
      <c r="CK26" s="97" t="str">
        <f t="shared" si="40"/>
        <v>NEED TO PROGRESS</v>
      </c>
      <c r="CL26" s="97">
        <f t="shared" si="39"/>
        <v>524</v>
      </c>
      <c r="CM26" s="97" t="str">
        <f t="shared" si="7"/>
        <v>F</v>
      </c>
      <c r="CN26" s="97"/>
    </row>
    <row r="27" spans="1:92" s="151" customFormat="1" ht="24.95" customHeight="1">
      <c r="A27" s="97">
        <v>19</v>
      </c>
      <c r="B27" s="47">
        <v>84</v>
      </c>
      <c r="C27" s="50" t="s">
        <v>181</v>
      </c>
      <c r="D27" s="50" t="s">
        <v>182</v>
      </c>
      <c r="E27" s="50" t="s">
        <v>183</v>
      </c>
      <c r="F27" s="51" t="s">
        <v>184</v>
      </c>
      <c r="G27" s="136"/>
      <c r="H27" s="136"/>
      <c r="I27" s="136">
        <f t="shared" si="8"/>
        <v>0</v>
      </c>
      <c r="J27" s="136"/>
      <c r="K27" s="136">
        <f t="shared" si="9"/>
        <v>0</v>
      </c>
      <c r="L27" s="136"/>
      <c r="M27" s="136"/>
      <c r="N27" s="136">
        <f t="shared" si="10"/>
        <v>0</v>
      </c>
      <c r="O27" s="136"/>
      <c r="P27" s="136">
        <f t="shared" si="11"/>
        <v>0</v>
      </c>
      <c r="Q27" s="136">
        <f t="shared" si="0"/>
        <v>0</v>
      </c>
      <c r="R27" s="212"/>
      <c r="S27" s="149" t="str">
        <f t="shared" si="12"/>
        <v>F</v>
      </c>
      <c r="T27" s="136"/>
      <c r="U27" s="136"/>
      <c r="V27" s="136">
        <f t="shared" si="1"/>
        <v>0</v>
      </c>
      <c r="W27" s="136"/>
      <c r="X27" s="136"/>
      <c r="Y27" s="136">
        <f t="shared" si="13"/>
        <v>0</v>
      </c>
      <c r="Z27" s="136">
        <f t="shared" si="2"/>
        <v>0</v>
      </c>
      <c r="AA27" s="136">
        <f t="shared" si="14"/>
        <v>0</v>
      </c>
      <c r="AB27" s="212"/>
      <c r="AC27" s="149" t="str">
        <f t="shared" si="15"/>
        <v>F</v>
      </c>
      <c r="AD27" s="136"/>
      <c r="AE27" s="136"/>
      <c r="AF27" s="136">
        <f t="shared" si="3"/>
        <v>0</v>
      </c>
      <c r="AG27" s="136"/>
      <c r="AH27" s="136">
        <f t="shared" si="16"/>
        <v>0</v>
      </c>
      <c r="AI27" s="212"/>
      <c r="AJ27" s="149" t="str">
        <f t="shared" si="17"/>
        <v>F</v>
      </c>
      <c r="AK27" s="136"/>
      <c r="AL27" s="136"/>
      <c r="AM27" s="136">
        <f t="shared" si="4"/>
        <v>0</v>
      </c>
      <c r="AN27" s="136"/>
      <c r="AO27" s="136">
        <f t="shared" si="18"/>
        <v>0</v>
      </c>
      <c r="AP27" s="212"/>
      <c r="AQ27" s="149" t="str">
        <f t="shared" si="19"/>
        <v>F</v>
      </c>
      <c r="AR27" s="136"/>
      <c r="AS27" s="136"/>
      <c r="AT27" s="136"/>
      <c r="AU27" s="136">
        <f t="shared" si="20"/>
        <v>0</v>
      </c>
      <c r="AV27" s="212"/>
      <c r="AW27" s="149" t="str">
        <f t="shared" si="5"/>
        <v>F</v>
      </c>
      <c r="AX27" s="136"/>
      <c r="AY27" s="136"/>
      <c r="AZ27" s="136">
        <f t="shared" si="21"/>
        <v>0</v>
      </c>
      <c r="BA27" s="136"/>
      <c r="BB27" s="136">
        <f t="shared" si="22"/>
        <v>0</v>
      </c>
      <c r="BC27" s="212"/>
      <c r="BD27" s="149" t="str">
        <f t="shared" si="23"/>
        <v>F</v>
      </c>
      <c r="BE27" s="136"/>
      <c r="BF27" s="136"/>
      <c r="BG27" s="136">
        <f t="shared" si="24"/>
        <v>0</v>
      </c>
      <c r="BH27" s="136"/>
      <c r="BI27" s="136">
        <f t="shared" si="25"/>
        <v>0</v>
      </c>
      <c r="BJ27" s="212"/>
      <c r="BK27" s="149" t="str">
        <f t="shared" si="26"/>
        <v>F</v>
      </c>
      <c r="BL27" s="136"/>
      <c r="BM27" s="136"/>
      <c r="BN27" s="136">
        <f t="shared" si="27"/>
        <v>0</v>
      </c>
      <c r="BO27" s="136"/>
      <c r="BP27" s="136">
        <f t="shared" si="28"/>
        <v>0</v>
      </c>
      <c r="BQ27" s="212"/>
      <c r="BR27" s="149" t="str">
        <f t="shared" si="29"/>
        <v>F</v>
      </c>
      <c r="BS27" s="136"/>
      <c r="BT27" s="136"/>
      <c r="BU27" s="136">
        <f t="shared" si="30"/>
        <v>0</v>
      </c>
      <c r="BV27" s="136"/>
      <c r="BW27" s="136">
        <f t="shared" si="31"/>
        <v>0</v>
      </c>
      <c r="BX27" s="212"/>
      <c r="BY27" s="149" t="str">
        <f t="shared" si="32"/>
        <v>F</v>
      </c>
      <c r="BZ27" s="136"/>
      <c r="CA27" s="136"/>
      <c r="CB27" s="136">
        <f t="shared" si="33"/>
        <v>0</v>
      </c>
      <c r="CC27" s="136"/>
      <c r="CD27" s="136"/>
      <c r="CE27" s="136">
        <f t="shared" si="34"/>
        <v>0</v>
      </c>
      <c r="CF27" s="212"/>
      <c r="CG27" s="149" t="str">
        <f t="shared" si="35"/>
        <v>0</v>
      </c>
      <c r="CH27" s="149" t="str">
        <f t="shared" si="36"/>
        <v>F</v>
      </c>
      <c r="CI27" s="136" t="str">
        <f t="shared" si="6"/>
        <v>F</v>
      </c>
      <c r="CJ27" s="150" t="str">
        <f t="shared" si="37"/>
        <v>F</v>
      </c>
      <c r="CK27" s="97" t="str">
        <f t="shared" si="40"/>
        <v>NEED TO PROGRESS</v>
      </c>
      <c r="CL27" s="97">
        <f t="shared" si="39"/>
        <v>0</v>
      </c>
      <c r="CM27" s="97" t="str">
        <f t="shared" si="7"/>
        <v>F</v>
      </c>
      <c r="CN27" s="97"/>
    </row>
    <row r="28" spans="1:92" s="151" customFormat="1" ht="24.95" customHeight="1">
      <c r="A28" s="97">
        <v>20</v>
      </c>
      <c r="B28" s="47">
        <v>85</v>
      </c>
      <c r="C28" s="50" t="s">
        <v>185</v>
      </c>
      <c r="D28" s="50" t="s">
        <v>186</v>
      </c>
      <c r="E28" s="50" t="s">
        <v>187</v>
      </c>
      <c r="F28" s="51" t="s">
        <v>188</v>
      </c>
      <c r="G28" s="136">
        <v>6</v>
      </c>
      <c r="H28" s="136">
        <v>8</v>
      </c>
      <c r="I28" s="136">
        <f t="shared" si="8"/>
        <v>14</v>
      </c>
      <c r="J28" s="136">
        <v>10</v>
      </c>
      <c r="K28" s="136">
        <f t="shared" si="9"/>
        <v>24</v>
      </c>
      <c r="L28" s="136">
        <v>11</v>
      </c>
      <c r="M28" s="136">
        <v>19</v>
      </c>
      <c r="N28" s="136">
        <f t="shared" si="10"/>
        <v>30</v>
      </c>
      <c r="O28" s="136">
        <v>10</v>
      </c>
      <c r="P28" s="136">
        <f t="shared" ref="P28:P40" si="41">N28+O28</f>
        <v>40</v>
      </c>
      <c r="Q28" s="136">
        <f t="shared" si="0"/>
        <v>64</v>
      </c>
      <c r="R28" s="212"/>
      <c r="S28" s="149" t="str">
        <f t="shared" si="12"/>
        <v>F</v>
      </c>
      <c r="T28" s="136">
        <v>14</v>
      </c>
      <c r="U28" s="136">
        <v>32</v>
      </c>
      <c r="V28" s="136">
        <f t="shared" si="1"/>
        <v>46</v>
      </c>
      <c r="W28" s="136">
        <v>11</v>
      </c>
      <c r="X28" s="136">
        <v>21</v>
      </c>
      <c r="Y28" s="136">
        <f t="shared" si="13"/>
        <v>32</v>
      </c>
      <c r="Z28" s="136">
        <f t="shared" si="2"/>
        <v>78</v>
      </c>
      <c r="AA28" s="136">
        <f t="shared" si="14"/>
        <v>78</v>
      </c>
      <c r="AB28" s="212"/>
      <c r="AC28" s="149" t="str">
        <f t="shared" si="15"/>
        <v>F</v>
      </c>
      <c r="AD28" s="136">
        <v>14</v>
      </c>
      <c r="AE28" s="136">
        <v>12</v>
      </c>
      <c r="AF28" s="136">
        <f t="shared" si="3"/>
        <v>26</v>
      </c>
      <c r="AG28" s="136">
        <v>12</v>
      </c>
      <c r="AH28" s="136">
        <f t="shared" si="16"/>
        <v>38</v>
      </c>
      <c r="AI28" s="212"/>
      <c r="AJ28" s="149" t="str">
        <f t="shared" si="17"/>
        <v>F</v>
      </c>
      <c r="AK28" s="136">
        <v>14</v>
      </c>
      <c r="AL28" s="136">
        <v>10</v>
      </c>
      <c r="AM28" s="136">
        <f t="shared" si="4"/>
        <v>24</v>
      </c>
      <c r="AN28" s="136">
        <v>19</v>
      </c>
      <c r="AO28" s="136">
        <f t="shared" si="18"/>
        <v>43</v>
      </c>
      <c r="AP28" s="212"/>
      <c r="AQ28" s="149" t="str">
        <f t="shared" si="19"/>
        <v>F</v>
      </c>
      <c r="AR28" s="136"/>
      <c r="AS28" s="136">
        <v>16</v>
      </c>
      <c r="AT28" s="136">
        <v>25</v>
      </c>
      <c r="AU28" s="136">
        <f t="shared" si="20"/>
        <v>41</v>
      </c>
      <c r="AV28" s="212"/>
      <c r="AW28" s="149">
        <f t="shared" si="5"/>
        <v>5</v>
      </c>
      <c r="AX28" s="136">
        <v>8</v>
      </c>
      <c r="AY28" s="136">
        <v>0</v>
      </c>
      <c r="AZ28" s="136">
        <f t="shared" si="21"/>
        <v>8</v>
      </c>
      <c r="BA28" s="136">
        <v>18</v>
      </c>
      <c r="BB28" s="136">
        <f t="shared" si="22"/>
        <v>26</v>
      </c>
      <c r="BC28" s="212"/>
      <c r="BD28" s="149" t="str">
        <f t="shared" si="23"/>
        <v>F</v>
      </c>
      <c r="BE28" s="136">
        <v>10</v>
      </c>
      <c r="BF28" s="136">
        <v>1</v>
      </c>
      <c r="BG28" s="136">
        <f t="shared" si="24"/>
        <v>11</v>
      </c>
      <c r="BH28" s="136">
        <v>12</v>
      </c>
      <c r="BI28" s="136">
        <f t="shared" si="25"/>
        <v>23</v>
      </c>
      <c r="BJ28" s="212"/>
      <c r="BK28" s="149" t="str">
        <f t="shared" si="26"/>
        <v>F</v>
      </c>
      <c r="BL28" s="136">
        <v>17</v>
      </c>
      <c r="BM28" s="136">
        <v>25</v>
      </c>
      <c r="BN28" s="136">
        <f t="shared" si="27"/>
        <v>42</v>
      </c>
      <c r="BO28" s="136">
        <v>12</v>
      </c>
      <c r="BP28" s="136">
        <f t="shared" si="28"/>
        <v>54</v>
      </c>
      <c r="BQ28" s="212"/>
      <c r="BR28" s="149">
        <f t="shared" si="29"/>
        <v>3</v>
      </c>
      <c r="BS28" s="136">
        <v>12</v>
      </c>
      <c r="BT28" s="136">
        <v>4</v>
      </c>
      <c r="BU28" s="136">
        <f t="shared" si="30"/>
        <v>16</v>
      </c>
      <c r="BV28" s="136">
        <v>14</v>
      </c>
      <c r="BW28" s="136">
        <f t="shared" si="31"/>
        <v>30</v>
      </c>
      <c r="BX28" s="212"/>
      <c r="BY28" s="149" t="str">
        <f t="shared" si="32"/>
        <v>F</v>
      </c>
      <c r="BZ28" s="136">
        <v>3</v>
      </c>
      <c r="CA28" s="136">
        <v>0</v>
      </c>
      <c r="CB28" s="136">
        <f t="shared" si="33"/>
        <v>3</v>
      </c>
      <c r="CC28" s="136">
        <v>20</v>
      </c>
      <c r="CD28" s="136">
        <v>22</v>
      </c>
      <c r="CE28" s="136">
        <f t="shared" si="34"/>
        <v>45</v>
      </c>
      <c r="CF28" s="212"/>
      <c r="CG28" s="149" t="str">
        <f t="shared" si="35"/>
        <v>0</v>
      </c>
      <c r="CH28" s="149" t="str">
        <f t="shared" si="36"/>
        <v>F</v>
      </c>
      <c r="CI28" s="136" t="str">
        <f t="shared" si="6"/>
        <v>F</v>
      </c>
      <c r="CJ28" s="150" t="str">
        <f t="shared" ref="CJ28:CJ39" si="42">IF(CI28="F","F",IF(CI28&gt;=45,5,IF(CI28&lt;45,CI28/9)))</f>
        <v>F</v>
      </c>
      <c r="CK28" s="97" t="str">
        <f t="shared" ref="CK28" si="43">IF(CJ28="F","NEED TO PROGRESS",IF(CJ28&gt;=5,"BEST",IF(CJ28&gt;=4,"BETTER",IF(CJ28&gt;=2,"GOOD"))))</f>
        <v>NEED TO PROGRESS</v>
      </c>
      <c r="CL28" s="97">
        <f t="shared" si="39"/>
        <v>442</v>
      </c>
      <c r="CM28" s="97" t="str">
        <f t="shared" si="7"/>
        <v>F</v>
      </c>
      <c r="CN28" s="97"/>
    </row>
    <row r="29" spans="1:92" s="151" customFormat="1" ht="24.95" customHeight="1">
      <c r="A29" s="97">
        <v>21</v>
      </c>
      <c r="B29" s="47">
        <v>86</v>
      </c>
      <c r="C29" s="50" t="s">
        <v>189</v>
      </c>
      <c r="D29" s="50" t="s">
        <v>190</v>
      </c>
      <c r="E29" s="50" t="s">
        <v>191</v>
      </c>
      <c r="F29" s="51" t="s">
        <v>192</v>
      </c>
      <c r="G29" s="136"/>
      <c r="H29" s="136"/>
      <c r="I29" s="136">
        <f t="shared" si="8"/>
        <v>0</v>
      </c>
      <c r="J29" s="136"/>
      <c r="K29" s="136">
        <f t="shared" si="9"/>
        <v>0</v>
      </c>
      <c r="L29" s="136"/>
      <c r="M29" s="136"/>
      <c r="N29" s="136">
        <f t="shared" si="10"/>
        <v>0</v>
      </c>
      <c r="O29" s="136"/>
      <c r="P29" s="136">
        <f t="shared" si="41"/>
        <v>0</v>
      </c>
      <c r="Q29" s="136">
        <f t="shared" si="0"/>
        <v>0</v>
      </c>
      <c r="R29" s="212"/>
      <c r="S29" s="149" t="str">
        <f t="shared" si="12"/>
        <v>F</v>
      </c>
      <c r="T29" s="136"/>
      <c r="U29" s="136"/>
      <c r="V29" s="136">
        <f t="shared" si="1"/>
        <v>0</v>
      </c>
      <c r="W29" s="136"/>
      <c r="X29" s="136"/>
      <c r="Y29" s="136">
        <f t="shared" si="13"/>
        <v>0</v>
      </c>
      <c r="Z29" s="136">
        <f t="shared" si="2"/>
        <v>0</v>
      </c>
      <c r="AA29" s="136">
        <f t="shared" si="14"/>
        <v>0</v>
      </c>
      <c r="AB29" s="212"/>
      <c r="AC29" s="149" t="str">
        <f t="shared" si="15"/>
        <v>F</v>
      </c>
      <c r="AD29" s="136"/>
      <c r="AE29" s="136"/>
      <c r="AF29" s="136">
        <f t="shared" si="3"/>
        <v>0</v>
      </c>
      <c r="AG29" s="136"/>
      <c r="AH29" s="136">
        <f t="shared" si="16"/>
        <v>0</v>
      </c>
      <c r="AI29" s="212"/>
      <c r="AJ29" s="149" t="str">
        <f t="shared" si="17"/>
        <v>F</v>
      </c>
      <c r="AK29" s="136"/>
      <c r="AL29" s="136"/>
      <c r="AM29" s="136">
        <f t="shared" si="4"/>
        <v>0</v>
      </c>
      <c r="AN29" s="136"/>
      <c r="AO29" s="136">
        <f t="shared" si="18"/>
        <v>0</v>
      </c>
      <c r="AP29" s="212"/>
      <c r="AQ29" s="149" t="str">
        <f t="shared" si="19"/>
        <v>F</v>
      </c>
      <c r="AR29" s="136"/>
      <c r="AS29" s="136"/>
      <c r="AT29" s="136"/>
      <c r="AU29" s="136">
        <f t="shared" si="20"/>
        <v>0</v>
      </c>
      <c r="AV29" s="212"/>
      <c r="AW29" s="149" t="str">
        <f t="shared" si="5"/>
        <v>F</v>
      </c>
      <c r="AX29" s="136"/>
      <c r="AY29" s="136"/>
      <c r="AZ29" s="136">
        <f t="shared" si="21"/>
        <v>0</v>
      </c>
      <c r="BA29" s="136"/>
      <c r="BB29" s="136">
        <f t="shared" si="22"/>
        <v>0</v>
      </c>
      <c r="BC29" s="212"/>
      <c r="BD29" s="149" t="str">
        <f t="shared" si="23"/>
        <v>F</v>
      </c>
      <c r="BE29" s="136"/>
      <c r="BF29" s="136"/>
      <c r="BG29" s="136">
        <f t="shared" si="24"/>
        <v>0</v>
      </c>
      <c r="BH29" s="136"/>
      <c r="BI29" s="136">
        <f t="shared" si="25"/>
        <v>0</v>
      </c>
      <c r="BJ29" s="212"/>
      <c r="BK29" s="149" t="str">
        <f t="shared" si="26"/>
        <v>F</v>
      </c>
      <c r="BL29" s="136"/>
      <c r="BM29" s="136"/>
      <c r="BN29" s="136">
        <f t="shared" si="27"/>
        <v>0</v>
      </c>
      <c r="BO29" s="136"/>
      <c r="BP29" s="136">
        <f t="shared" si="28"/>
        <v>0</v>
      </c>
      <c r="BQ29" s="212"/>
      <c r="BR29" s="149" t="str">
        <f t="shared" si="29"/>
        <v>F</v>
      </c>
      <c r="BS29" s="136"/>
      <c r="BT29" s="136"/>
      <c r="BU29" s="136">
        <f t="shared" si="30"/>
        <v>0</v>
      </c>
      <c r="BV29" s="136"/>
      <c r="BW29" s="136">
        <f t="shared" si="31"/>
        <v>0</v>
      </c>
      <c r="BX29" s="212"/>
      <c r="BY29" s="149" t="str">
        <f t="shared" si="32"/>
        <v>F</v>
      </c>
      <c r="BZ29" s="136"/>
      <c r="CA29" s="136"/>
      <c r="CB29" s="136">
        <f t="shared" si="33"/>
        <v>0</v>
      </c>
      <c r="CC29" s="136"/>
      <c r="CD29" s="136"/>
      <c r="CE29" s="136">
        <f t="shared" si="34"/>
        <v>0</v>
      </c>
      <c r="CF29" s="212"/>
      <c r="CG29" s="149" t="str">
        <f t="shared" si="35"/>
        <v>0</v>
      </c>
      <c r="CH29" s="149" t="str">
        <f t="shared" si="36"/>
        <v>F</v>
      </c>
      <c r="CI29" s="136" t="str">
        <f t="shared" si="6"/>
        <v>F</v>
      </c>
      <c r="CJ29" s="150" t="str">
        <f t="shared" si="42"/>
        <v>F</v>
      </c>
      <c r="CK29" s="97" t="str">
        <f t="shared" ref="CK29:CK38" si="44">IF(CJ29="F","NEED TO PROGRESS",IF(CJ29&gt;=5,"BEST",IF(CJ29&gt;=4,"BETTER",IF(CJ29&gt;=2,"GOOD"))))</f>
        <v>NEED TO PROGRESS</v>
      </c>
      <c r="CL29" s="97">
        <f t="shared" si="39"/>
        <v>0</v>
      </c>
      <c r="CM29" s="97" t="str">
        <f t="shared" si="7"/>
        <v>F</v>
      </c>
      <c r="CN29" s="97"/>
    </row>
    <row r="30" spans="1:92" s="151" customFormat="1" ht="24.95" customHeight="1">
      <c r="A30" s="97">
        <v>22</v>
      </c>
      <c r="B30" s="47">
        <v>88</v>
      </c>
      <c r="C30" s="50" t="s">
        <v>193</v>
      </c>
      <c r="D30" s="50" t="s">
        <v>194</v>
      </c>
      <c r="E30" s="50" t="s">
        <v>195</v>
      </c>
      <c r="F30" s="51" t="s">
        <v>196</v>
      </c>
      <c r="G30" s="136">
        <v>4</v>
      </c>
      <c r="H30" s="136">
        <v>20</v>
      </c>
      <c r="I30" s="136">
        <f t="shared" si="8"/>
        <v>24</v>
      </c>
      <c r="J30" s="136">
        <v>12</v>
      </c>
      <c r="K30" s="136">
        <f t="shared" si="9"/>
        <v>36</v>
      </c>
      <c r="L30" s="136">
        <v>12</v>
      </c>
      <c r="M30" s="136">
        <v>11</v>
      </c>
      <c r="N30" s="136">
        <f t="shared" si="10"/>
        <v>23</v>
      </c>
      <c r="O30" s="136">
        <v>14</v>
      </c>
      <c r="P30" s="136">
        <f t="shared" si="41"/>
        <v>37</v>
      </c>
      <c r="Q30" s="136">
        <f t="shared" si="0"/>
        <v>73</v>
      </c>
      <c r="R30" s="212"/>
      <c r="S30" s="149" t="str">
        <f t="shared" si="12"/>
        <v>F</v>
      </c>
      <c r="T30" s="136">
        <v>11</v>
      </c>
      <c r="U30" s="136">
        <v>23</v>
      </c>
      <c r="V30" s="136">
        <f t="shared" si="1"/>
        <v>34</v>
      </c>
      <c r="W30" s="136">
        <v>11</v>
      </c>
      <c r="X30" s="136">
        <v>29</v>
      </c>
      <c r="Y30" s="136">
        <f t="shared" si="13"/>
        <v>40</v>
      </c>
      <c r="Z30" s="136">
        <f t="shared" si="2"/>
        <v>74</v>
      </c>
      <c r="AA30" s="136">
        <f t="shared" si="14"/>
        <v>74</v>
      </c>
      <c r="AB30" s="212"/>
      <c r="AC30" s="149" t="str">
        <f t="shared" si="15"/>
        <v>F</v>
      </c>
      <c r="AD30" s="136">
        <v>8</v>
      </c>
      <c r="AE30" s="136">
        <v>9</v>
      </c>
      <c r="AF30" s="136">
        <f t="shared" si="3"/>
        <v>17</v>
      </c>
      <c r="AG30" s="136">
        <v>14</v>
      </c>
      <c r="AH30" s="136">
        <f t="shared" si="16"/>
        <v>31</v>
      </c>
      <c r="AI30" s="212"/>
      <c r="AJ30" s="149" t="str">
        <f t="shared" si="17"/>
        <v>F</v>
      </c>
      <c r="AK30" s="136">
        <v>2</v>
      </c>
      <c r="AL30" s="136">
        <v>14</v>
      </c>
      <c r="AM30" s="136">
        <f t="shared" si="4"/>
        <v>16</v>
      </c>
      <c r="AN30" s="136">
        <v>21</v>
      </c>
      <c r="AO30" s="136">
        <f t="shared" si="18"/>
        <v>37</v>
      </c>
      <c r="AP30" s="212"/>
      <c r="AQ30" s="149" t="str">
        <f t="shared" si="19"/>
        <v>F</v>
      </c>
      <c r="AR30" s="136"/>
      <c r="AS30" s="136">
        <v>23</v>
      </c>
      <c r="AT30" s="136">
        <v>25</v>
      </c>
      <c r="AU30" s="136">
        <f t="shared" si="20"/>
        <v>48</v>
      </c>
      <c r="AV30" s="212"/>
      <c r="AW30" s="149">
        <f t="shared" si="5"/>
        <v>5</v>
      </c>
      <c r="AX30" s="136">
        <v>10</v>
      </c>
      <c r="AY30" s="136">
        <v>6</v>
      </c>
      <c r="AZ30" s="136">
        <f t="shared" si="21"/>
        <v>16</v>
      </c>
      <c r="BA30" s="136">
        <v>19</v>
      </c>
      <c r="BB30" s="136">
        <f t="shared" si="22"/>
        <v>35</v>
      </c>
      <c r="BC30" s="212"/>
      <c r="BD30" s="149" t="str">
        <f t="shared" si="23"/>
        <v>F</v>
      </c>
      <c r="BE30" s="136">
        <v>8</v>
      </c>
      <c r="BF30" s="136">
        <v>16</v>
      </c>
      <c r="BG30" s="136">
        <f t="shared" si="24"/>
        <v>24</v>
      </c>
      <c r="BH30" s="136">
        <v>15</v>
      </c>
      <c r="BI30" s="136">
        <f t="shared" si="25"/>
        <v>39</v>
      </c>
      <c r="BJ30" s="212"/>
      <c r="BK30" s="149" t="str">
        <f t="shared" si="26"/>
        <v>F</v>
      </c>
      <c r="BL30" s="136">
        <v>15</v>
      </c>
      <c r="BM30" s="136">
        <v>20</v>
      </c>
      <c r="BN30" s="136">
        <f t="shared" si="27"/>
        <v>35</v>
      </c>
      <c r="BO30" s="136">
        <v>15</v>
      </c>
      <c r="BP30" s="136">
        <f t="shared" si="28"/>
        <v>50</v>
      </c>
      <c r="BQ30" s="212"/>
      <c r="BR30" s="149">
        <f t="shared" si="29"/>
        <v>3</v>
      </c>
      <c r="BS30" s="136">
        <v>9</v>
      </c>
      <c r="BT30" s="136">
        <v>9</v>
      </c>
      <c r="BU30" s="136">
        <f t="shared" si="30"/>
        <v>18</v>
      </c>
      <c r="BV30" s="136">
        <v>14</v>
      </c>
      <c r="BW30" s="136">
        <f t="shared" si="31"/>
        <v>32</v>
      </c>
      <c r="BX30" s="212"/>
      <c r="BY30" s="149" t="str">
        <f t="shared" si="32"/>
        <v>F</v>
      </c>
      <c r="BZ30" s="136">
        <v>2</v>
      </c>
      <c r="CA30" s="136">
        <v>6</v>
      </c>
      <c r="CB30" s="136">
        <f t="shared" si="33"/>
        <v>8</v>
      </c>
      <c r="CC30" s="136">
        <v>15</v>
      </c>
      <c r="CD30" s="136">
        <v>22</v>
      </c>
      <c r="CE30" s="136">
        <f t="shared" si="34"/>
        <v>45</v>
      </c>
      <c r="CF30" s="212"/>
      <c r="CG30" s="149" t="str">
        <f t="shared" si="35"/>
        <v>0</v>
      </c>
      <c r="CH30" s="149" t="str">
        <f t="shared" si="36"/>
        <v>F</v>
      </c>
      <c r="CI30" s="136" t="str">
        <f t="shared" si="6"/>
        <v>F</v>
      </c>
      <c r="CJ30" s="150" t="str">
        <f t="shared" si="42"/>
        <v>F</v>
      </c>
      <c r="CK30" s="97" t="str">
        <f t="shared" si="44"/>
        <v>NEED TO PROGRESS</v>
      </c>
      <c r="CL30" s="97">
        <f t="shared" si="39"/>
        <v>464</v>
      </c>
      <c r="CM30" s="97" t="str">
        <f t="shared" si="7"/>
        <v>F</v>
      </c>
      <c r="CN30" s="97"/>
    </row>
    <row r="31" spans="1:92" s="151" customFormat="1" ht="24.95" customHeight="1">
      <c r="A31" s="97">
        <v>23</v>
      </c>
      <c r="B31" s="47">
        <v>89</v>
      </c>
      <c r="C31" s="50" t="s">
        <v>197</v>
      </c>
      <c r="D31" s="50" t="s">
        <v>198</v>
      </c>
      <c r="E31" s="50" t="s">
        <v>199</v>
      </c>
      <c r="F31" s="51" t="s">
        <v>200</v>
      </c>
      <c r="G31" s="136">
        <v>10</v>
      </c>
      <c r="H31" s="136">
        <v>10</v>
      </c>
      <c r="I31" s="136">
        <f t="shared" si="8"/>
        <v>20</v>
      </c>
      <c r="J31" s="136">
        <v>7</v>
      </c>
      <c r="K31" s="136">
        <f t="shared" si="9"/>
        <v>27</v>
      </c>
      <c r="L31" s="136">
        <v>11</v>
      </c>
      <c r="M31" s="136">
        <v>9</v>
      </c>
      <c r="N31" s="136">
        <f t="shared" si="10"/>
        <v>20</v>
      </c>
      <c r="O31" s="136">
        <v>6</v>
      </c>
      <c r="P31" s="136">
        <f t="shared" si="41"/>
        <v>26</v>
      </c>
      <c r="Q31" s="136">
        <f t="shared" si="0"/>
        <v>53</v>
      </c>
      <c r="R31" s="212"/>
      <c r="S31" s="149" t="str">
        <f t="shared" si="12"/>
        <v>F</v>
      </c>
      <c r="T31" s="136">
        <v>9</v>
      </c>
      <c r="U31" s="136">
        <v>6</v>
      </c>
      <c r="V31" s="136">
        <f t="shared" si="1"/>
        <v>15</v>
      </c>
      <c r="W31" s="136">
        <v>12</v>
      </c>
      <c r="X31" s="136">
        <v>8</v>
      </c>
      <c r="Y31" s="136">
        <f t="shared" si="13"/>
        <v>20</v>
      </c>
      <c r="Z31" s="136">
        <f t="shared" si="2"/>
        <v>35</v>
      </c>
      <c r="AA31" s="136">
        <f t="shared" si="14"/>
        <v>35</v>
      </c>
      <c r="AB31" s="212"/>
      <c r="AC31" s="149" t="str">
        <f t="shared" si="15"/>
        <v>F</v>
      </c>
      <c r="AD31" s="136">
        <v>10</v>
      </c>
      <c r="AE31" s="136">
        <v>0</v>
      </c>
      <c r="AF31" s="136">
        <f t="shared" si="3"/>
        <v>10</v>
      </c>
      <c r="AG31" s="136">
        <v>9</v>
      </c>
      <c r="AH31" s="136">
        <f t="shared" si="16"/>
        <v>19</v>
      </c>
      <c r="AI31" s="212"/>
      <c r="AJ31" s="149" t="str">
        <f t="shared" si="17"/>
        <v>F</v>
      </c>
      <c r="AK31" s="136">
        <v>9</v>
      </c>
      <c r="AL31" s="136">
        <v>14</v>
      </c>
      <c r="AM31" s="136">
        <f t="shared" si="4"/>
        <v>23</v>
      </c>
      <c r="AN31" s="136">
        <v>12</v>
      </c>
      <c r="AO31" s="136">
        <f t="shared" si="18"/>
        <v>35</v>
      </c>
      <c r="AP31" s="212"/>
      <c r="AQ31" s="149" t="str">
        <f t="shared" si="19"/>
        <v>F</v>
      </c>
      <c r="AR31" s="136"/>
      <c r="AS31" s="136">
        <v>23</v>
      </c>
      <c r="AT31" s="136">
        <v>25</v>
      </c>
      <c r="AU31" s="136">
        <f t="shared" si="20"/>
        <v>48</v>
      </c>
      <c r="AV31" s="212"/>
      <c r="AW31" s="149">
        <f t="shared" si="5"/>
        <v>5</v>
      </c>
      <c r="AX31" s="136">
        <v>11</v>
      </c>
      <c r="AY31" s="136">
        <v>10</v>
      </c>
      <c r="AZ31" s="136">
        <f t="shared" si="21"/>
        <v>21</v>
      </c>
      <c r="BA31" s="136">
        <v>21</v>
      </c>
      <c r="BB31" s="136">
        <f t="shared" si="22"/>
        <v>42</v>
      </c>
      <c r="BC31" s="212"/>
      <c r="BD31" s="149" t="str">
        <f t="shared" si="23"/>
        <v>F</v>
      </c>
      <c r="BE31" s="136">
        <v>9</v>
      </c>
      <c r="BF31" s="136">
        <v>20</v>
      </c>
      <c r="BG31" s="136">
        <f t="shared" si="24"/>
        <v>29</v>
      </c>
      <c r="BH31" s="136">
        <v>8</v>
      </c>
      <c r="BI31" s="136">
        <f t="shared" si="25"/>
        <v>37</v>
      </c>
      <c r="BJ31" s="212"/>
      <c r="BK31" s="149" t="str">
        <f t="shared" si="26"/>
        <v>F</v>
      </c>
      <c r="BL31" s="136">
        <v>11</v>
      </c>
      <c r="BM31" s="136">
        <v>20</v>
      </c>
      <c r="BN31" s="136">
        <f t="shared" si="27"/>
        <v>31</v>
      </c>
      <c r="BO31" s="136">
        <v>12</v>
      </c>
      <c r="BP31" s="136">
        <f t="shared" si="28"/>
        <v>43</v>
      </c>
      <c r="BQ31" s="212"/>
      <c r="BR31" s="149">
        <f t="shared" si="29"/>
        <v>2</v>
      </c>
      <c r="BS31" s="136">
        <v>8</v>
      </c>
      <c r="BT31" s="136">
        <v>13</v>
      </c>
      <c r="BU31" s="136">
        <f t="shared" si="30"/>
        <v>21</v>
      </c>
      <c r="BV31" s="136">
        <v>8</v>
      </c>
      <c r="BW31" s="136">
        <f t="shared" si="31"/>
        <v>29</v>
      </c>
      <c r="BX31" s="212"/>
      <c r="BY31" s="149" t="str">
        <f t="shared" si="32"/>
        <v>F</v>
      </c>
      <c r="BZ31" s="136">
        <v>3</v>
      </c>
      <c r="CA31" s="136">
        <v>11</v>
      </c>
      <c r="CB31" s="136">
        <f t="shared" si="33"/>
        <v>14</v>
      </c>
      <c r="CC31" s="136">
        <v>19</v>
      </c>
      <c r="CD31" s="136">
        <v>22</v>
      </c>
      <c r="CE31" s="136">
        <f t="shared" si="34"/>
        <v>55</v>
      </c>
      <c r="CF31" s="212"/>
      <c r="CG31" s="149" t="str">
        <f t="shared" si="35"/>
        <v>0</v>
      </c>
      <c r="CH31" s="149" t="str">
        <f t="shared" si="36"/>
        <v>F</v>
      </c>
      <c r="CI31" s="136" t="str">
        <f t="shared" si="6"/>
        <v>F</v>
      </c>
      <c r="CJ31" s="150" t="str">
        <f t="shared" si="42"/>
        <v>F</v>
      </c>
      <c r="CK31" s="97" t="str">
        <f t="shared" si="44"/>
        <v>NEED TO PROGRESS</v>
      </c>
      <c r="CL31" s="97">
        <f t="shared" si="39"/>
        <v>396</v>
      </c>
      <c r="CM31" s="97" t="str">
        <f t="shared" si="7"/>
        <v>F</v>
      </c>
      <c r="CN31" s="97"/>
    </row>
    <row r="32" spans="1:92" s="151" customFormat="1" ht="24.95" customHeight="1">
      <c r="A32" s="97">
        <v>24</v>
      </c>
      <c r="B32" s="47">
        <v>90</v>
      </c>
      <c r="C32" s="50" t="s">
        <v>261</v>
      </c>
      <c r="D32" s="50"/>
      <c r="E32" s="50"/>
      <c r="F32" s="51"/>
      <c r="G32" s="136"/>
      <c r="H32" s="136"/>
      <c r="I32" s="136">
        <f t="shared" si="8"/>
        <v>0</v>
      </c>
      <c r="J32" s="136"/>
      <c r="K32" s="136">
        <f t="shared" si="9"/>
        <v>0</v>
      </c>
      <c r="L32" s="136"/>
      <c r="M32" s="136"/>
      <c r="N32" s="136">
        <f t="shared" si="10"/>
        <v>0</v>
      </c>
      <c r="O32" s="136"/>
      <c r="P32" s="136">
        <f t="shared" si="41"/>
        <v>0</v>
      </c>
      <c r="Q32" s="136">
        <f t="shared" si="0"/>
        <v>0</v>
      </c>
      <c r="R32" s="212"/>
      <c r="S32" s="149" t="str">
        <f t="shared" si="12"/>
        <v>F</v>
      </c>
      <c r="T32" s="136"/>
      <c r="U32" s="136"/>
      <c r="V32" s="136">
        <f t="shared" si="1"/>
        <v>0</v>
      </c>
      <c r="W32" s="136"/>
      <c r="X32" s="136"/>
      <c r="Y32" s="136">
        <f t="shared" si="13"/>
        <v>0</v>
      </c>
      <c r="Z32" s="136">
        <f t="shared" si="2"/>
        <v>0</v>
      </c>
      <c r="AA32" s="136">
        <f t="shared" si="14"/>
        <v>0</v>
      </c>
      <c r="AB32" s="212"/>
      <c r="AC32" s="149" t="str">
        <f t="shared" si="15"/>
        <v>F</v>
      </c>
      <c r="AD32" s="136"/>
      <c r="AE32" s="136"/>
      <c r="AF32" s="136">
        <f t="shared" si="3"/>
        <v>0</v>
      </c>
      <c r="AG32" s="136"/>
      <c r="AH32" s="136">
        <f t="shared" si="16"/>
        <v>0</v>
      </c>
      <c r="AI32" s="212"/>
      <c r="AJ32" s="149" t="str">
        <f t="shared" si="17"/>
        <v>F</v>
      </c>
      <c r="AK32" s="136"/>
      <c r="AL32" s="136"/>
      <c r="AM32" s="136">
        <f t="shared" si="4"/>
        <v>0</v>
      </c>
      <c r="AN32" s="136"/>
      <c r="AO32" s="136">
        <f t="shared" si="18"/>
        <v>0</v>
      </c>
      <c r="AP32" s="212"/>
      <c r="AQ32" s="149" t="str">
        <f t="shared" si="19"/>
        <v>F</v>
      </c>
      <c r="AR32" s="136"/>
      <c r="AS32" s="136"/>
      <c r="AT32" s="136"/>
      <c r="AU32" s="136">
        <f t="shared" si="20"/>
        <v>0</v>
      </c>
      <c r="AV32" s="212"/>
      <c r="AW32" s="149" t="str">
        <f t="shared" si="5"/>
        <v>F</v>
      </c>
      <c r="AX32" s="136"/>
      <c r="AY32" s="136"/>
      <c r="AZ32" s="136">
        <f t="shared" si="21"/>
        <v>0</v>
      </c>
      <c r="BA32" s="136"/>
      <c r="BB32" s="136">
        <f t="shared" si="22"/>
        <v>0</v>
      </c>
      <c r="BC32" s="212"/>
      <c r="BD32" s="149" t="str">
        <f t="shared" si="23"/>
        <v>F</v>
      </c>
      <c r="BE32" s="136"/>
      <c r="BF32" s="136"/>
      <c r="BG32" s="136">
        <f t="shared" si="24"/>
        <v>0</v>
      </c>
      <c r="BH32" s="136"/>
      <c r="BI32" s="136">
        <f t="shared" si="25"/>
        <v>0</v>
      </c>
      <c r="BJ32" s="212"/>
      <c r="BK32" s="149" t="str">
        <f t="shared" si="26"/>
        <v>F</v>
      </c>
      <c r="BL32" s="136"/>
      <c r="BM32" s="136"/>
      <c r="BN32" s="136">
        <f t="shared" si="27"/>
        <v>0</v>
      </c>
      <c r="BO32" s="136"/>
      <c r="BP32" s="136">
        <f t="shared" si="28"/>
        <v>0</v>
      </c>
      <c r="BQ32" s="212"/>
      <c r="BR32" s="149" t="str">
        <f t="shared" si="29"/>
        <v>F</v>
      </c>
      <c r="BS32" s="136"/>
      <c r="BT32" s="136"/>
      <c r="BU32" s="136">
        <f t="shared" si="30"/>
        <v>0</v>
      </c>
      <c r="BV32" s="136"/>
      <c r="BW32" s="136">
        <f t="shared" si="31"/>
        <v>0</v>
      </c>
      <c r="BX32" s="212"/>
      <c r="BY32" s="149" t="str">
        <f t="shared" si="32"/>
        <v>F</v>
      </c>
      <c r="BZ32" s="136"/>
      <c r="CA32" s="136"/>
      <c r="CB32" s="136">
        <f t="shared" si="33"/>
        <v>0</v>
      </c>
      <c r="CC32" s="136"/>
      <c r="CD32" s="136"/>
      <c r="CE32" s="136">
        <f t="shared" si="34"/>
        <v>0</v>
      </c>
      <c r="CF32" s="212"/>
      <c r="CG32" s="149" t="str">
        <f t="shared" si="35"/>
        <v>0</v>
      </c>
      <c r="CH32" s="149" t="str">
        <f t="shared" si="36"/>
        <v>F</v>
      </c>
      <c r="CI32" s="136" t="str">
        <f t="shared" si="6"/>
        <v>F</v>
      </c>
      <c r="CJ32" s="150" t="str">
        <f t="shared" si="42"/>
        <v>F</v>
      </c>
      <c r="CK32" s="97" t="str">
        <f t="shared" si="44"/>
        <v>NEED TO PROGRESS</v>
      </c>
      <c r="CL32" s="97">
        <f t="shared" si="39"/>
        <v>0</v>
      </c>
      <c r="CM32" s="97" t="str">
        <f t="shared" si="7"/>
        <v>F</v>
      </c>
      <c r="CN32" s="97"/>
    </row>
    <row r="33" spans="1:92" s="151" customFormat="1" ht="24.95" customHeight="1">
      <c r="A33" s="97">
        <v>25</v>
      </c>
      <c r="B33" s="47">
        <v>91</v>
      </c>
      <c r="C33" s="50" t="s">
        <v>201</v>
      </c>
      <c r="D33" s="50" t="s">
        <v>202</v>
      </c>
      <c r="E33" s="50" t="s">
        <v>203</v>
      </c>
      <c r="F33" s="51" t="s">
        <v>204</v>
      </c>
      <c r="G33" s="136">
        <v>5</v>
      </c>
      <c r="H33" s="136">
        <v>2</v>
      </c>
      <c r="I33" s="136">
        <f t="shared" si="8"/>
        <v>7</v>
      </c>
      <c r="J33" s="136">
        <v>9</v>
      </c>
      <c r="K33" s="136">
        <f t="shared" si="9"/>
        <v>16</v>
      </c>
      <c r="L33" s="136">
        <v>2</v>
      </c>
      <c r="M33" s="136">
        <v>11</v>
      </c>
      <c r="N33" s="136">
        <f t="shared" si="10"/>
        <v>13</v>
      </c>
      <c r="O33" s="136">
        <v>16</v>
      </c>
      <c r="P33" s="136">
        <f t="shared" si="41"/>
        <v>29</v>
      </c>
      <c r="Q33" s="136">
        <f t="shared" si="0"/>
        <v>45</v>
      </c>
      <c r="R33" s="212"/>
      <c r="S33" s="149" t="str">
        <f t="shared" si="12"/>
        <v>F</v>
      </c>
      <c r="T33" s="136">
        <v>8</v>
      </c>
      <c r="U33" s="136">
        <v>14</v>
      </c>
      <c r="V33" s="136">
        <f t="shared" si="1"/>
        <v>22</v>
      </c>
      <c r="W33" s="136">
        <v>11</v>
      </c>
      <c r="X33" s="136">
        <v>8</v>
      </c>
      <c r="Y33" s="136">
        <f t="shared" si="13"/>
        <v>19</v>
      </c>
      <c r="Z33" s="136">
        <f t="shared" si="2"/>
        <v>41</v>
      </c>
      <c r="AA33" s="136">
        <f t="shared" si="14"/>
        <v>41</v>
      </c>
      <c r="AB33" s="212"/>
      <c r="AC33" s="149" t="str">
        <f t="shared" si="15"/>
        <v>F</v>
      </c>
      <c r="AD33" s="136">
        <v>4</v>
      </c>
      <c r="AE33" s="136">
        <v>5</v>
      </c>
      <c r="AF33" s="136">
        <f t="shared" si="3"/>
        <v>9</v>
      </c>
      <c r="AG33" s="136">
        <v>10</v>
      </c>
      <c r="AH33" s="136">
        <f t="shared" si="16"/>
        <v>19</v>
      </c>
      <c r="AI33" s="212"/>
      <c r="AJ33" s="149" t="str">
        <f t="shared" si="17"/>
        <v>F</v>
      </c>
      <c r="AK33" s="136">
        <v>8</v>
      </c>
      <c r="AL33" s="136">
        <v>5</v>
      </c>
      <c r="AM33" s="136">
        <f t="shared" si="4"/>
        <v>13</v>
      </c>
      <c r="AN33" s="136">
        <v>15</v>
      </c>
      <c r="AO33" s="136">
        <f t="shared" si="18"/>
        <v>28</v>
      </c>
      <c r="AP33" s="212"/>
      <c r="AQ33" s="149" t="str">
        <f t="shared" si="19"/>
        <v>F</v>
      </c>
      <c r="AR33" s="136"/>
      <c r="AS33" s="136">
        <v>15</v>
      </c>
      <c r="AT33" s="136">
        <v>25</v>
      </c>
      <c r="AU33" s="136">
        <f t="shared" si="20"/>
        <v>40</v>
      </c>
      <c r="AV33" s="212"/>
      <c r="AW33" s="149">
        <f t="shared" si="5"/>
        <v>5</v>
      </c>
      <c r="AX33" s="136">
        <v>8</v>
      </c>
      <c r="AY33" s="136">
        <v>6</v>
      </c>
      <c r="AZ33" s="136">
        <f t="shared" si="21"/>
        <v>14</v>
      </c>
      <c r="BA33" s="136">
        <v>20</v>
      </c>
      <c r="BB33" s="136">
        <f t="shared" si="22"/>
        <v>34</v>
      </c>
      <c r="BC33" s="212"/>
      <c r="BD33" s="149" t="str">
        <f t="shared" si="23"/>
        <v>F</v>
      </c>
      <c r="BE33" s="136">
        <v>8</v>
      </c>
      <c r="BF33" s="136">
        <v>7</v>
      </c>
      <c r="BG33" s="136">
        <f t="shared" si="24"/>
        <v>15</v>
      </c>
      <c r="BH33" s="136">
        <v>14</v>
      </c>
      <c r="BI33" s="136">
        <f t="shared" si="25"/>
        <v>29</v>
      </c>
      <c r="BJ33" s="212"/>
      <c r="BK33" s="149" t="str">
        <f t="shared" si="26"/>
        <v>F</v>
      </c>
      <c r="BL33" s="136">
        <v>11</v>
      </c>
      <c r="BM33" s="136">
        <v>19</v>
      </c>
      <c r="BN33" s="136">
        <f t="shared" si="27"/>
        <v>30</v>
      </c>
      <c r="BO33" s="136">
        <v>10</v>
      </c>
      <c r="BP33" s="136">
        <f t="shared" si="28"/>
        <v>40</v>
      </c>
      <c r="BQ33" s="212"/>
      <c r="BR33" s="149" t="str">
        <f t="shared" si="29"/>
        <v>F</v>
      </c>
      <c r="BS33" s="136">
        <v>5</v>
      </c>
      <c r="BT33" s="136">
        <v>7</v>
      </c>
      <c r="BU33" s="136">
        <f t="shared" si="30"/>
        <v>12</v>
      </c>
      <c r="BV33" s="136">
        <v>10</v>
      </c>
      <c r="BW33" s="136">
        <f t="shared" si="31"/>
        <v>22</v>
      </c>
      <c r="BX33" s="212"/>
      <c r="BY33" s="149" t="str">
        <f t="shared" si="32"/>
        <v>F</v>
      </c>
      <c r="BZ33" s="136">
        <v>2</v>
      </c>
      <c r="CA33" s="136">
        <v>10</v>
      </c>
      <c r="CB33" s="136">
        <f t="shared" si="33"/>
        <v>12</v>
      </c>
      <c r="CC33" s="136">
        <v>19</v>
      </c>
      <c r="CD33" s="136">
        <v>22</v>
      </c>
      <c r="CE33" s="136">
        <f t="shared" si="34"/>
        <v>53</v>
      </c>
      <c r="CF33" s="212"/>
      <c r="CG33" s="149" t="str">
        <f t="shared" si="35"/>
        <v>0</v>
      </c>
      <c r="CH33" s="149" t="str">
        <f t="shared" si="36"/>
        <v>F</v>
      </c>
      <c r="CI33" s="136" t="str">
        <f t="shared" si="6"/>
        <v>F</v>
      </c>
      <c r="CJ33" s="150" t="str">
        <f t="shared" si="42"/>
        <v>F</v>
      </c>
      <c r="CK33" s="97" t="str">
        <f t="shared" si="44"/>
        <v>NEED TO PROGRESS</v>
      </c>
      <c r="CL33" s="97">
        <f t="shared" si="39"/>
        <v>351</v>
      </c>
      <c r="CM33" s="97" t="str">
        <f t="shared" si="7"/>
        <v>F</v>
      </c>
      <c r="CN33" s="97"/>
    </row>
    <row r="34" spans="1:92" s="151" customFormat="1" ht="24.95" customHeight="1">
      <c r="A34" s="97">
        <v>26</v>
      </c>
      <c r="B34" s="47">
        <v>92</v>
      </c>
      <c r="C34" s="50" t="s">
        <v>205</v>
      </c>
      <c r="D34" s="50" t="s">
        <v>206</v>
      </c>
      <c r="E34" s="50" t="s">
        <v>207</v>
      </c>
      <c r="F34" s="51" t="s">
        <v>208</v>
      </c>
      <c r="G34" s="136">
        <v>9</v>
      </c>
      <c r="H34" s="136">
        <v>27</v>
      </c>
      <c r="I34" s="136">
        <f t="shared" si="8"/>
        <v>36</v>
      </c>
      <c r="J34" s="136">
        <v>10</v>
      </c>
      <c r="K34" s="136">
        <f t="shared" si="9"/>
        <v>46</v>
      </c>
      <c r="L34" s="136">
        <v>9</v>
      </c>
      <c r="M34" s="136">
        <v>21</v>
      </c>
      <c r="N34" s="136">
        <f t="shared" si="10"/>
        <v>30</v>
      </c>
      <c r="O34" s="136">
        <v>10</v>
      </c>
      <c r="P34" s="136">
        <f t="shared" si="41"/>
        <v>40</v>
      </c>
      <c r="Q34" s="136">
        <f t="shared" si="0"/>
        <v>86</v>
      </c>
      <c r="R34" s="212"/>
      <c r="S34" s="149" t="str">
        <f t="shared" si="12"/>
        <v>F</v>
      </c>
      <c r="T34" s="136">
        <v>9</v>
      </c>
      <c r="U34" s="136">
        <v>4</v>
      </c>
      <c r="V34" s="136">
        <f t="shared" si="1"/>
        <v>13</v>
      </c>
      <c r="W34" s="136">
        <v>9</v>
      </c>
      <c r="X34" s="136">
        <v>27</v>
      </c>
      <c r="Y34" s="136">
        <f t="shared" si="13"/>
        <v>36</v>
      </c>
      <c r="Z34" s="136">
        <f t="shared" si="2"/>
        <v>49</v>
      </c>
      <c r="AA34" s="136">
        <f t="shared" si="14"/>
        <v>49</v>
      </c>
      <c r="AB34" s="212"/>
      <c r="AC34" s="149" t="str">
        <f t="shared" si="15"/>
        <v>F</v>
      </c>
      <c r="AD34" s="136">
        <v>8</v>
      </c>
      <c r="AE34" s="136">
        <v>0</v>
      </c>
      <c r="AF34" s="136">
        <f t="shared" si="3"/>
        <v>8</v>
      </c>
      <c r="AG34" s="136">
        <v>11</v>
      </c>
      <c r="AH34" s="136">
        <f t="shared" si="16"/>
        <v>19</v>
      </c>
      <c r="AI34" s="212"/>
      <c r="AJ34" s="149" t="str">
        <f t="shared" si="17"/>
        <v>F</v>
      </c>
      <c r="AK34" s="136">
        <v>12</v>
      </c>
      <c r="AL34" s="136">
        <v>19</v>
      </c>
      <c r="AM34" s="136">
        <f t="shared" si="4"/>
        <v>31</v>
      </c>
      <c r="AN34" s="136">
        <v>9</v>
      </c>
      <c r="AO34" s="136">
        <f t="shared" si="18"/>
        <v>40</v>
      </c>
      <c r="AP34" s="212"/>
      <c r="AQ34" s="149" t="str">
        <f t="shared" si="19"/>
        <v>F</v>
      </c>
      <c r="AR34" s="136"/>
      <c r="AS34" s="136">
        <v>10</v>
      </c>
      <c r="AT34" s="136">
        <v>25</v>
      </c>
      <c r="AU34" s="136">
        <f t="shared" si="20"/>
        <v>35</v>
      </c>
      <c r="AV34" s="212"/>
      <c r="AW34" s="149">
        <f t="shared" si="5"/>
        <v>4</v>
      </c>
      <c r="AX34" s="136">
        <v>8</v>
      </c>
      <c r="AY34" s="136">
        <v>20</v>
      </c>
      <c r="AZ34" s="136">
        <f t="shared" si="21"/>
        <v>28</v>
      </c>
      <c r="BA34" s="136">
        <v>21</v>
      </c>
      <c r="BB34" s="136">
        <f t="shared" si="22"/>
        <v>49</v>
      </c>
      <c r="BC34" s="212"/>
      <c r="BD34" s="149">
        <f t="shared" si="23"/>
        <v>2</v>
      </c>
      <c r="BE34" s="136">
        <v>9</v>
      </c>
      <c r="BF34" s="136">
        <v>20</v>
      </c>
      <c r="BG34" s="136">
        <f t="shared" si="24"/>
        <v>29</v>
      </c>
      <c r="BH34" s="136">
        <v>12</v>
      </c>
      <c r="BI34" s="136">
        <f t="shared" si="25"/>
        <v>41</v>
      </c>
      <c r="BJ34" s="212"/>
      <c r="BK34" s="149">
        <f t="shared" si="26"/>
        <v>2</v>
      </c>
      <c r="BL34" s="136">
        <v>10</v>
      </c>
      <c r="BM34" s="136">
        <v>24</v>
      </c>
      <c r="BN34" s="136">
        <f t="shared" si="27"/>
        <v>34</v>
      </c>
      <c r="BO34" s="136">
        <v>12</v>
      </c>
      <c r="BP34" s="136">
        <f t="shared" si="28"/>
        <v>46</v>
      </c>
      <c r="BQ34" s="212"/>
      <c r="BR34" s="149">
        <f t="shared" si="29"/>
        <v>2</v>
      </c>
      <c r="BS34" s="136">
        <v>8</v>
      </c>
      <c r="BT34" s="136">
        <v>14</v>
      </c>
      <c r="BU34" s="136">
        <f t="shared" si="30"/>
        <v>22</v>
      </c>
      <c r="BV34" s="136">
        <v>14</v>
      </c>
      <c r="BW34" s="136">
        <f t="shared" si="31"/>
        <v>36</v>
      </c>
      <c r="BX34" s="212"/>
      <c r="BY34" s="149" t="str">
        <f t="shared" si="32"/>
        <v>F</v>
      </c>
      <c r="BZ34" s="136">
        <v>4</v>
      </c>
      <c r="CA34" s="136">
        <v>16</v>
      </c>
      <c r="CB34" s="136">
        <f t="shared" si="33"/>
        <v>20</v>
      </c>
      <c r="CC34" s="136">
        <v>12</v>
      </c>
      <c r="CD34" s="136">
        <v>22</v>
      </c>
      <c r="CE34" s="136">
        <f t="shared" si="34"/>
        <v>54</v>
      </c>
      <c r="CF34" s="212"/>
      <c r="CG34" s="149">
        <f t="shared" si="35"/>
        <v>3</v>
      </c>
      <c r="CH34" s="149">
        <f t="shared" si="36"/>
        <v>3</v>
      </c>
      <c r="CI34" s="136" t="str">
        <f t="shared" si="6"/>
        <v>F</v>
      </c>
      <c r="CJ34" s="150" t="str">
        <f t="shared" si="42"/>
        <v>F</v>
      </c>
      <c r="CK34" s="97" t="str">
        <f t="shared" si="44"/>
        <v>NEED TO PROGRESS</v>
      </c>
      <c r="CL34" s="97">
        <f t="shared" si="39"/>
        <v>455</v>
      </c>
      <c r="CM34" s="97" t="str">
        <f t="shared" si="7"/>
        <v>F</v>
      </c>
      <c r="CN34" s="97"/>
    </row>
    <row r="35" spans="1:92" s="151" customFormat="1" ht="24.95" customHeight="1" thickBot="1">
      <c r="A35" s="117">
        <v>27</v>
      </c>
      <c r="B35" s="59">
        <v>100</v>
      </c>
      <c r="C35" s="60" t="s">
        <v>209</v>
      </c>
      <c r="D35" s="60" t="s">
        <v>210</v>
      </c>
      <c r="E35" s="60" t="s">
        <v>211</v>
      </c>
      <c r="F35" s="61" t="s">
        <v>212</v>
      </c>
      <c r="G35" s="136">
        <v>10</v>
      </c>
      <c r="H35" s="136">
        <v>30</v>
      </c>
      <c r="I35" s="136">
        <f t="shared" si="8"/>
        <v>40</v>
      </c>
      <c r="J35" s="136">
        <v>11</v>
      </c>
      <c r="K35" s="152">
        <f t="shared" si="9"/>
        <v>51</v>
      </c>
      <c r="L35" s="136">
        <v>12</v>
      </c>
      <c r="M35" s="136">
        <v>24</v>
      </c>
      <c r="N35" s="136">
        <f t="shared" si="10"/>
        <v>36</v>
      </c>
      <c r="O35" s="136">
        <v>16</v>
      </c>
      <c r="P35" s="152">
        <f t="shared" si="41"/>
        <v>52</v>
      </c>
      <c r="Q35" s="136">
        <f t="shared" si="0"/>
        <v>103</v>
      </c>
      <c r="R35" s="212"/>
      <c r="S35" s="149">
        <f t="shared" si="12"/>
        <v>3</v>
      </c>
      <c r="T35" s="136">
        <v>9</v>
      </c>
      <c r="U35" s="136">
        <v>19</v>
      </c>
      <c r="V35" s="136">
        <f t="shared" si="1"/>
        <v>28</v>
      </c>
      <c r="W35" s="136">
        <v>11</v>
      </c>
      <c r="X35" s="136">
        <v>34</v>
      </c>
      <c r="Y35" s="136">
        <f t="shared" si="13"/>
        <v>45</v>
      </c>
      <c r="Z35" s="136">
        <f t="shared" si="2"/>
        <v>73</v>
      </c>
      <c r="AA35" s="136">
        <f t="shared" si="14"/>
        <v>73</v>
      </c>
      <c r="AB35" s="212"/>
      <c r="AC35" s="149" t="str">
        <f t="shared" si="15"/>
        <v>F</v>
      </c>
      <c r="AD35" s="136">
        <v>8</v>
      </c>
      <c r="AE35" s="136">
        <v>0</v>
      </c>
      <c r="AF35" s="136">
        <f t="shared" si="3"/>
        <v>8</v>
      </c>
      <c r="AG35" s="136">
        <v>8</v>
      </c>
      <c r="AH35" s="136">
        <f t="shared" si="16"/>
        <v>16</v>
      </c>
      <c r="AI35" s="212"/>
      <c r="AJ35" s="149" t="str">
        <f t="shared" si="17"/>
        <v>F</v>
      </c>
      <c r="AK35" s="136">
        <v>9</v>
      </c>
      <c r="AL35" s="136">
        <v>26</v>
      </c>
      <c r="AM35" s="136">
        <f t="shared" si="4"/>
        <v>35</v>
      </c>
      <c r="AN35" s="136">
        <v>17</v>
      </c>
      <c r="AO35" s="136">
        <f t="shared" si="18"/>
        <v>52</v>
      </c>
      <c r="AP35" s="212"/>
      <c r="AQ35" s="149">
        <f t="shared" si="19"/>
        <v>3</v>
      </c>
      <c r="AR35" s="152"/>
      <c r="AS35" s="136">
        <v>18</v>
      </c>
      <c r="AT35" s="136">
        <v>25</v>
      </c>
      <c r="AU35" s="136">
        <f t="shared" si="20"/>
        <v>43</v>
      </c>
      <c r="AV35" s="212"/>
      <c r="AW35" s="149">
        <f t="shared" si="5"/>
        <v>5</v>
      </c>
      <c r="AX35" s="136">
        <v>11</v>
      </c>
      <c r="AY35" s="136">
        <v>25</v>
      </c>
      <c r="AZ35" s="136">
        <f t="shared" si="21"/>
        <v>36</v>
      </c>
      <c r="BA35" s="136">
        <v>18</v>
      </c>
      <c r="BB35" s="136">
        <f t="shared" si="22"/>
        <v>54</v>
      </c>
      <c r="BC35" s="212"/>
      <c r="BD35" s="149">
        <f t="shared" si="23"/>
        <v>3</v>
      </c>
      <c r="BE35" s="136">
        <v>11</v>
      </c>
      <c r="BF35" s="136">
        <v>26</v>
      </c>
      <c r="BG35" s="136">
        <f t="shared" si="24"/>
        <v>37</v>
      </c>
      <c r="BH35" s="136">
        <v>15</v>
      </c>
      <c r="BI35" s="136">
        <f t="shared" si="25"/>
        <v>52</v>
      </c>
      <c r="BJ35" s="212"/>
      <c r="BK35" s="149">
        <f t="shared" si="26"/>
        <v>3</v>
      </c>
      <c r="BL35" s="136">
        <v>9</v>
      </c>
      <c r="BM35" s="136">
        <v>24</v>
      </c>
      <c r="BN35" s="136">
        <f t="shared" si="27"/>
        <v>33</v>
      </c>
      <c r="BO35" s="136">
        <v>15</v>
      </c>
      <c r="BP35" s="136">
        <f t="shared" si="28"/>
        <v>48</v>
      </c>
      <c r="BQ35" s="212"/>
      <c r="BR35" s="149">
        <f t="shared" si="29"/>
        <v>2</v>
      </c>
      <c r="BS35" s="136">
        <v>8</v>
      </c>
      <c r="BT35" s="136">
        <v>14</v>
      </c>
      <c r="BU35" s="136">
        <f t="shared" si="30"/>
        <v>22</v>
      </c>
      <c r="BV35" s="136">
        <v>12</v>
      </c>
      <c r="BW35" s="136">
        <f t="shared" si="31"/>
        <v>34</v>
      </c>
      <c r="BX35" s="212"/>
      <c r="BY35" s="149" t="str">
        <f t="shared" si="32"/>
        <v>F</v>
      </c>
      <c r="BZ35" s="136">
        <v>5</v>
      </c>
      <c r="CA35" s="136">
        <v>15</v>
      </c>
      <c r="CB35" s="136">
        <f t="shared" si="33"/>
        <v>20</v>
      </c>
      <c r="CC35" s="136">
        <v>14</v>
      </c>
      <c r="CD35" s="136">
        <v>22</v>
      </c>
      <c r="CE35" s="136">
        <f t="shared" si="34"/>
        <v>56</v>
      </c>
      <c r="CF35" s="212"/>
      <c r="CG35" s="149">
        <f t="shared" si="35"/>
        <v>3</v>
      </c>
      <c r="CH35" s="149">
        <f t="shared" si="36"/>
        <v>3</v>
      </c>
      <c r="CI35" s="152" t="str">
        <f t="shared" si="6"/>
        <v>F</v>
      </c>
      <c r="CJ35" s="153" t="str">
        <f t="shared" si="42"/>
        <v>F</v>
      </c>
      <c r="CK35" s="117" t="str">
        <f t="shared" si="44"/>
        <v>NEED TO PROGRESS</v>
      </c>
      <c r="CL35" s="97">
        <f t="shared" si="39"/>
        <v>531</v>
      </c>
      <c r="CM35" s="117" t="str">
        <f t="shared" si="7"/>
        <v>F</v>
      </c>
      <c r="CN35" s="117"/>
    </row>
    <row r="36" spans="1:92" s="156" customFormat="1" ht="24.95" customHeight="1" thickTop="1">
      <c r="A36" s="122">
        <v>28</v>
      </c>
      <c r="B36" s="62">
        <v>103</v>
      </c>
      <c r="C36" s="63" t="s">
        <v>213</v>
      </c>
      <c r="D36" s="63" t="s">
        <v>214</v>
      </c>
      <c r="E36" s="63" t="s">
        <v>215</v>
      </c>
      <c r="F36" s="64" t="s">
        <v>216</v>
      </c>
      <c r="G36" s="136">
        <v>4</v>
      </c>
      <c r="H36" s="136">
        <v>11</v>
      </c>
      <c r="I36" s="136">
        <f t="shared" si="8"/>
        <v>15</v>
      </c>
      <c r="J36" s="136">
        <v>15</v>
      </c>
      <c r="K36" s="154">
        <f t="shared" si="9"/>
        <v>30</v>
      </c>
      <c r="L36" s="136">
        <v>10</v>
      </c>
      <c r="M36" s="136">
        <v>16</v>
      </c>
      <c r="N36" s="136">
        <f t="shared" si="10"/>
        <v>26</v>
      </c>
      <c r="O36" s="136">
        <v>17</v>
      </c>
      <c r="P36" s="154">
        <f t="shared" si="41"/>
        <v>43</v>
      </c>
      <c r="Q36" s="136">
        <f t="shared" si="0"/>
        <v>73</v>
      </c>
      <c r="R36" s="212"/>
      <c r="S36" s="149" t="str">
        <f t="shared" si="12"/>
        <v>F</v>
      </c>
      <c r="T36" s="136">
        <v>10</v>
      </c>
      <c r="U36" s="136">
        <v>9</v>
      </c>
      <c r="V36" s="136">
        <f t="shared" si="1"/>
        <v>19</v>
      </c>
      <c r="W36" s="136">
        <v>13</v>
      </c>
      <c r="X36" s="136">
        <v>32</v>
      </c>
      <c r="Y36" s="136">
        <f t="shared" si="13"/>
        <v>45</v>
      </c>
      <c r="Z36" s="136">
        <f t="shared" si="2"/>
        <v>64</v>
      </c>
      <c r="AA36" s="136">
        <f t="shared" si="14"/>
        <v>64</v>
      </c>
      <c r="AB36" s="212"/>
      <c r="AC36" s="149" t="str">
        <f t="shared" si="15"/>
        <v>F</v>
      </c>
      <c r="AD36" s="136">
        <v>2</v>
      </c>
      <c r="AE36" s="136">
        <v>0</v>
      </c>
      <c r="AF36" s="136">
        <f t="shared" si="3"/>
        <v>2</v>
      </c>
      <c r="AG36" s="136">
        <v>9</v>
      </c>
      <c r="AH36" s="136">
        <f t="shared" si="16"/>
        <v>11</v>
      </c>
      <c r="AI36" s="212"/>
      <c r="AJ36" s="149" t="str">
        <f t="shared" si="17"/>
        <v>F</v>
      </c>
      <c r="AK36" s="136">
        <v>4</v>
      </c>
      <c r="AL36" s="136">
        <v>10</v>
      </c>
      <c r="AM36" s="136">
        <f t="shared" si="4"/>
        <v>14</v>
      </c>
      <c r="AN36" s="136">
        <v>17</v>
      </c>
      <c r="AO36" s="136">
        <f t="shared" si="18"/>
        <v>31</v>
      </c>
      <c r="AP36" s="212"/>
      <c r="AQ36" s="149" t="str">
        <f t="shared" si="19"/>
        <v>F</v>
      </c>
      <c r="AR36" s="154"/>
      <c r="AS36" s="136">
        <v>10</v>
      </c>
      <c r="AT36" s="136">
        <v>25</v>
      </c>
      <c r="AU36" s="136">
        <f t="shared" si="20"/>
        <v>35</v>
      </c>
      <c r="AV36" s="212"/>
      <c r="AW36" s="149">
        <f t="shared" si="5"/>
        <v>4</v>
      </c>
      <c r="AX36" s="136">
        <v>8</v>
      </c>
      <c r="AY36" s="136">
        <v>9</v>
      </c>
      <c r="AZ36" s="136">
        <f t="shared" si="21"/>
        <v>17</v>
      </c>
      <c r="BA36" s="136">
        <v>17</v>
      </c>
      <c r="BB36" s="136">
        <f t="shared" si="22"/>
        <v>34</v>
      </c>
      <c r="BC36" s="212"/>
      <c r="BD36" s="149" t="str">
        <f t="shared" si="23"/>
        <v>F</v>
      </c>
      <c r="BE36" s="136">
        <v>9</v>
      </c>
      <c r="BF36" s="136">
        <v>3</v>
      </c>
      <c r="BG36" s="136">
        <f t="shared" si="24"/>
        <v>12</v>
      </c>
      <c r="BH36" s="136">
        <v>12</v>
      </c>
      <c r="BI36" s="136">
        <f t="shared" si="25"/>
        <v>24</v>
      </c>
      <c r="BJ36" s="212"/>
      <c r="BK36" s="149" t="str">
        <f t="shared" si="26"/>
        <v>F</v>
      </c>
      <c r="BL36" s="136">
        <v>8</v>
      </c>
      <c r="BM36" s="136">
        <v>9</v>
      </c>
      <c r="BN36" s="136">
        <f t="shared" si="27"/>
        <v>17</v>
      </c>
      <c r="BO36" s="136">
        <v>16</v>
      </c>
      <c r="BP36" s="136">
        <f t="shared" si="28"/>
        <v>33</v>
      </c>
      <c r="BQ36" s="212"/>
      <c r="BR36" s="149" t="str">
        <f t="shared" si="29"/>
        <v>F</v>
      </c>
      <c r="BS36" s="136">
        <v>5</v>
      </c>
      <c r="BT36" s="136">
        <v>27</v>
      </c>
      <c r="BU36" s="136">
        <f t="shared" si="30"/>
        <v>32</v>
      </c>
      <c r="BV36" s="136">
        <v>12</v>
      </c>
      <c r="BW36" s="136">
        <f t="shared" si="31"/>
        <v>44</v>
      </c>
      <c r="BX36" s="212"/>
      <c r="BY36" s="149">
        <f t="shared" si="32"/>
        <v>2</v>
      </c>
      <c r="BZ36" s="136">
        <v>4</v>
      </c>
      <c r="CA36" s="136">
        <v>8</v>
      </c>
      <c r="CB36" s="136">
        <f t="shared" si="33"/>
        <v>12</v>
      </c>
      <c r="CC36" s="136">
        <v>12</v>
      </c>
      <c r="CD36" s="136">
        <v>22</v>
      </c>
      <c r="CE36" s="136">
        <f t="shared" si="34"/>
        <v>46</v>
      </c>
      <c r="CF36" s="212"/>
      <c r="CG36" s="149" t="str">
        <f t="shared" si="35"/>
        <v>0</v>
      </c>
      <c r="CH36" s="149" t="str">
        <f t="shared" si="36"/>
        <v>F</v>
      </c>
      <c r="CI36" s="154" t="str">
        <f t="shared" si="6"/>
        <v>F</v>
      </c>
      <c r="CJ36" s="155" t="str">
        <f t="shared" si="42"/>
        <v>F</v>
      </c>
      <c r="CK36" s="122" t="str">
        <f t="shared" si="44"/>
        <v>NEED TO PROGRESS</v>
      </c>
      <c r="CL36" s="97">
        <f t="shared" si="39"/>
        <v>395</v>
      </c>
      <c r="CM36" s="122" t="str">
        <f t="shared" si="7"/>
        <v>F</v>
      </c>
      <c r="CN36" s="122"/>
    </row>
    <row r="37" spans="1:92" s="151" customFormat="1" ht="24.95" customHeight="1">
      <c r="A37" s="97">
        <v>29</v>
      </c>
      <c r="B37" s="47">
        <v>111</v>
      </c>
      <c r="C37" s="50" t="s">
        <v>217</v>
      </c>
      <c r="D37" s="50" t="s">
        <v>218</v>
      </c>
      <c r="E37" s="50" t="s">
        <v>219</v>
      </c>
      <c r="F37" s="51" t="s">
        <v>220</v>
      </c>
      <c r="G37" s="136">
        <v>10</v>
      </c>
      <c r="H37" s="136">
        <v>17</v>
      </c>
      <c r="I37" s="136">
        <f t="shared" si="8"/>
        <v>27</v>
      </c>
      <c r="J37" s="136">
        <v>17</v>
      </c>
      <c r="K37" s="136">
        <f t="shared" si="9"/>
        <v>44</v>
      </c>
      <c r="L37" s="136">
        <v>11</v>
      </c>
      <c r="M37" s="136">
        <v>24</v>
      </c>
      <c r="N37" s="136">
        <f t="shared" si="10"/>
        <v>35</v>
      </c>
      <c r="O37" s="136">
        <v>22</v>
      </c>
      <c r="P37" s="136">
        <f t="shared" si="41"/>
        <v>57</v>
      </c>
      <c r="Q37" s="136">
        <f t="shared" si="0"/>
        <v>101</v>
      </c>
      <c r="R37" s="212"/>
      <c r="S37" s="149">
        <f t="shared" si="12"/>
        <v>3</v>
      </c>
      <c r="T37" s="136">
        <v>6</v>
      </c>
      <c r="U37" s="136">
        <v>19</v>
      </c>
      <c r="V37" s="136">
        <f t="shared" si="1"/>
        <v>25</v>
      </c>
      <c r="W37" s="136">
        <v>13</v>
      </c>
      <c r="X37" s="136">
        <v>12</v>
      </c>
      <c r="Y37" s="136">
        <f t="shared" si="13"/>
        <v>25</v>
      </c>
      <c r="Z37" s="136">
        <f t="shared" si="2"/>
        <v>50</v>
      </c>
      <c r="AA37" s="136">
        <f t="shared" si="14"/>
        <v>50</v>
      </c>
      <c r="AB37" s="212"/>
      <c r="AC37" s="149" t="str">
        <f t="shared" si="15"/>
        <v>F</v>
      </c>
      <c r="AD37" s="136">
        <v>8</v>
      </c>
      <c r="AE37" s="136">
        <v>1</v>
      </c>
      <c r="AF37" s="136">
        <f t="shared" si="3"/>
        <v>9</v>
      </c>
      <c r="AG37" s="136">
        <v>11</v>
      </c>
      <c r="AH37" s="136">
        <f t="shared" si="16"/>
        <v>20</v>
      </c>
      <c r="AI37" s="212"/>
      <c r="AJ37" s="149" t="str">
        <f t="shared" si="17"/>
        <v>F</v>
      </c>
      <c r="AK37" s="136">
        <v>12</v>
      </c>
      <c r="AL37" s="136">
        <v>18</v>
      </c>
      <c r="AM37" s="136">
        <f t="shared" si="4"/>
        <v>30</v>
      </c>
      <c r="AN37" s="136">
        <v>19</v>
      </c>
      <c r="AO37" s="136">
        <f t="shared" si="18"/>
        <v>49</v>
      </c>
      <c r="AP37" s="212"/>
      <c r="AQ37" s="149">
        <f t="shared" si="19"/>
        <v>2</v>
      </c>
      <c r="AR37" s="136"/>
      <c r="AS37" s="136">
        <v>21</v>
      </c>
      <c r="AT37" s="136">
        <v>25</v>
      </c>
      <c r="AU37" s="136">
        <f t="shared" si="20"/>
        <v>46</v>
      </c>
      <c r="AV37" s="212"/>
      <c r="AW37" s="149">
        <f t="shared" si="5"/>
        <v>5</v>
      </c>
      <c r="AX37" s="136">
        <v>8</v>
      </c>
      <c r="AY37" s="136">
        <v>23</v>
      </c>
      <c r="AZ37" s="136">
        <f t="shared" si="21"/>
        <v>31</v>
      </c>
      <c r="BA37" s="136">
        <v>20</v>
      </c>
      <c r="BB37" s="136">
        <f t="shared" si="22"/>
        <v>51</v>
      </c>
      <c r="BC37" s="212"/>
      <c r="BD37" s="149">
        <f t="shared" si="23"/>
        <v>3</v>
      </c>
      <c r="BE37" s="136">
        <v>11</v>
      </c>
      <c r="BF37" s="136">
        <v>25</v>
      </c>
      <c r="BG37" s="136">
        <f t="shared" si="24"/>
        <v>36</v>
      </c>
      <c r="BH37" s="136">
        <v>16</v>
      </c>
      <c r="BI37" s="136">
        <f t="shared" si="25"/>
        <v>52</v>
      </c>
      <c r="BJ37" s="212"/>
      <c r="BK37" s="149">
        <f t="shared" si="26"/>
        <v>3</v>
      </c>
      <c r="BL37" s="136">
        <v>11</v>
      </c>
      <c r="BM37" s="136">
        <v>20</v>
      </c>
      <c r="BN37" s="136">
        <f t="shared" si="27"/>
        <v>31</v>
      </c>
      <c r="BO37" s="136">
        <v>16</v>
      </c>
      <c r="BP37" s="136">
        <f t="shared" si="28"/>
        <v>47</v>
      </c>
      <c r="BQ37" s="212"/>
      <c r="BR37" s="149">
        <f t="shared" si="29"/>
        <v>2</v>
      </c>
      <c r="BS37" s="136">
        <v>12</v>
      </c>
      <c r="BT37" s="136">
        <v>13</v>
      </c>
      <c r="BU37" s="136">
        <f t="shared" si="30"/>
        <v>25</v>
      </c>
      <c r="BV37" s="136">
        <v>13</v>
      </c>
      <c r="BW37" s="136">
        <f t="shared" si="31"/>
        <v>38</v>
      </c>
      <c r="BX37" s="212"/>
      <c r="BY37" s="149" t="str">
        <f t="shared" si="32"/>
        <v>F</v>
      </c>
      <c r="BZ37" s="136">
        <v>6</v>
      </c>
      <c r="CA37" s="136">
        <v>14</v>
      </c>
      <c r="CB37" s="136">
        <f t="shared" si="33"/>
        <v>20</v>
      </c>
      <c r="CC37" s="136">
        <v>19</v>
      </c>
      <c r="CD37" s="136">
        <v>22</v>
      </c>
      <c r="CE37" s="136">
        <f t="shared" si="34"/>
        <v>61</v>
      </c>
      <c r="CF37" s="212"/>
      <c r="CG37" s="149">
        <f t="shared" si="35"/>
        <v>3.5</v>
      </c>
      <c r="CH37" s="149">
        <f t="shared" si="36"/>
        <v>3.5</v>
      </c>
      <c r="CI37" s="136" t="str">
        <f t="shared" si="6"/>
        <v>F</v>
      </c>
      <c r="CJ37" s="150" t="str">
        <f t="shared" si="42"/>
        <v>F</v>
      </c>
      <c r="CK37" s="97" t="str">
        <f t="shared" si="44"/>
        <v>NEED TO PROGRESS</v>
      </c>
      <c r="CL37" s="97">
        <f t="shared" si="39"/>
        <v>515</v>
      </c>
      <c r="CM37" s="97" t="str">
        <f t="shared" si="7"/>
        <v>F</v>
      </c>
      <c r="CN37" s="97"/>
    </row>
    <row r="38" spans="1:92" s="151" customFormat="1" ht="24.95" customHeight="1">
      <c r="A38" s="97">
        <v>30</v>
      </c>
      <c r="B38" s="47">
        <v>120</v>
      </c>
      <c r="C38" s="50" t="s">
        <v>221</v>
      </c>
      <c r="D38" s="50" t="s">
        <v>222</v>
      </c>
      <c r="E38" s="50" t="s">
        <v>223</v>
      </c>
      <c r="F38" s="51" t="s">
        <v>224</v>
      </c>
      <c r="G38" s="136">
        <v>11</v>
      </c>
      <c r="H38" s="136">
        <v>21</v>
      </c>
      <c r="I38" s="136">
        <f t="shared" si="8"/>
        <v>32</v>
      </c>
      <c r="J38" s="136">
        <v>13</v>
      </c>
      <c r="K38" s="136">
        <f t="shared" si="9"/>
        <v>45</v>
      </c>
      <c r="L38" s="136">
        <v>12</v>
      </c>
      <c r="M38" s="136">
        <v>20</v>
      </c>
      <c r="N38" s="136">
        <f t="shared" si="10"/>
        <v>32</v>
      </c>
      <c r="O38" s="136">
        <v>19</v>
      </c>
      <c r="P38" s="136">
        <f t="shared" si="41"/>
        <v>51</v>
      </c>
      <c r="Q38" s="136">
        <f t="shared" si="0"/>
        <v>96</v>
      </c>
      <c r="R38" s="212"/>
      <c r="S38" s="149">
        <f t="shared" si="12"/>
        <v>2</v>
      </c>
      <c r="T38" s="136">
        <v>12</v>
      </c>
      <c r="U38" s="136">
        <v>39</v>
      </c>
      <c r="V38" s="136">
        <f t="shared" si="1"/>
        <v>51</v>
      </c>
      <c r="W38" s="136">
        <v>13</v>
      </c>
      <c r="X38" s="136">
        <v>32</v>
      </c>
      <c r="Y38" s="136">
        <f t="shared" si="13"/>
        <v>45</v>
      </c>
      <c r="Z38" s="136">
        <f t="shared" si="2"/>
        <v>96</v>
      </c>
      <c r="AA38" s="136">
        <f t="shared" si="14"/>
        <v>96</v>
      </c>
      <c r="AB38" s="212"/>
      <c r="AC38" s="149">
        <f t="shared" si="15"/>
        <v>2</v>
      </c>
      <c r="AD38" s="136">
        <v>11</v>
      </c>
      <c r="AE38" s="136">
        <v>9</v>
      </c>
      <c r="AF38" s="136">
        <f t="shared" si="3"/>
        <v>20</v>
      </c>
      <c r="AG38" s="136">
        <v>18</v>
      </c>
      <c r="AH38" s="136">
        <f t="shared" si="16"/>
        <v>38</v>
      </c>
      <c r="AI38" s="212"/>
      <c r="AJ38" s="149" t="str">
        <f t="shared" si="17"/>
        <v>F</v>
      </c>
      <c r="AK38" s="136">
        <v>12</v>
      </c>
      <c r="AL38" s="136">
        <v>17</v>
      </c>
      <c r="AM38" s="136">
        <f t="shared" si="4"/>
        <v>29</v>
      </c>
      <c r="AN38" s="136">
        <v>19</v>
      </c>
      <c r="AO38" s="136">
        <f t="shared" si="18"/>
        <v>48</v>
      </c>
      <c r="AP38" s="212"/>
      <c r="AQ38" s="149">
        <f t="shared" si="19"/>
        <v>2</v>
      </c>
      <c r="AR38" s="136"/>
      <c r="AS38" s="136">
        <v>19</v>
      </c>
      <c r="AT38" s="136">
        <v>25</v>
      </c>
      <c r="AU38" s="136">
        <f t="shared" si="20"/>
        <v>44</v>
      </c>
      <c r="AV38" s="212"/>
      <c r="AW38" s="149">
        <f t="shared" si="5"/>
        <v>5</v>
      </c>
      <c r="AX38" s="136">
        <v>10</v>
      </c>
      <c r="AY38" s="136">
        <v>20</v>
      </c>
      <c r="AZ38" s="136">
        <f t="shared" si="21"/>
        <v>30</v>
      </c>
      <c r="BA38" s="136">
        <v>19</v>
      </c>
      <c r="BB38" s="136">
        <f t="shared" si="22"/>
        <v>49</v>
      </c>
      <c r="BC38" s="212"/>
      <c r="BD38" s="149">
        <f t="shared" si="23"/>
        <v>2</v>
      </c>
      <c r="BE38" s="136">
        <v>11</v>
      </c>
      <c r="BF38" s="136">
        <v>15</v>
      </c>
      <c r="BG38" s="136">
        <f t="shared" si="24"/>
        <v>26</v>
      </c>
      <c r="BH38" s="136">
        <v>20</v>
      </c>
      <c r="BI38" s="136">
        <f t="shared" si="25"/>
        <v>46</v>
      </c>
      <c r="BJ38" s="212"/>
      <c r="BK38" s="149" t="str">
        <f t="shared" si="26"/>
        <v>F</v>
      </c>
      <c r="BL38" s="136">
        <v>14</v>
      </c>
      <c r="BM38" s="136">
        <v>20</v>
      </c>
      <c r="BN38" s="136">
        <f t="shared" si="27"/>
        <v>34</v>
      </c>
      <c r="BO38" s="136">
        <v>15</v>
      </c>
      <c r="BP38" s="136">
        <f t="shared" si="28"/>
        <v>49</v>
      </c>
      <c r="BQ38" s="212"/>
      <c r="BR38" s="149">
        <f t="shared" si="29"/>
        <v>2</v>
      </c>
      <c r="BS38" s="136">
        <v>17</v>
      </c>
      <c r="BT38" s="136">
        <v>36</v>
      </c>
      <c r="BU38" s="136">
        <f t="shared" si="30"/>
        <v>53</v>
      </c>
      <c r="BV38" s="136">
        <v>15</v>
      </c>
      <c r="BW38" s="136">
        <f t="shared" si="31"/>
        <v>68</v>
      </c>
      <c r="BX38" s="212"/>
      <c r="BY38" s="149">
        <f t="shared" si="32"/>
        <v>3.5</v>
      </c>
      <c r="BZ38" s="136">
        <v>6</v>
      </c>
      <c r="CA38" s="136">
        <v>16</v>
      </c>
      <c r="CB38" s="136">
        <f t="shared" si="33"/>
        <v>22</v>
      </c>
      <c r="CC38" s="136">
        <v>18</v>
      </c>
      <c r="CD38" s="136">
        <v>22</v>
      </c>
      <c r="CE38" s="136">
        <f t="shared" si="34"/>
        <v>62</v>
      </c>
      <c r="CF38" s="212"/>
      <c r="CG38" s="149">
        <f t="shared" si="35"/>
        <v>3.5</v>
      </c>
      <c r="CH38" s="149">
        <f t="shared" si="36"/>
        <v>3.5</v>
      </c>
      <c r="CI38" s="136" t="str">
        <f t="shared" si="6"/>
        <v>F</v>
      </c>
      <c r="CJ38" s="150" t="str">
        <f t="shared" si="42"/>
        <v>F</v>
      </c>
      <c r="CK38" s="97" t="str">
        <f t="shared" si="44"/>
        <v>NEED TO PROGRESS</v>
      </c>
      <c r="CL38" s="97">
        <f t="shared" si="39"/>
        <v>596</v>
      </c>
      <c r="CM38" s="97" t="str">
        <f t="shared" si="7"/>
        <v>F</v>
      </c>
      <c r="CN38" s="97"/>
    </row>
    <row r="39" spans="1:92" s="151" customFormat="1" ht="24.95" customHeight="1">
      <c r="A39" s="97">
        <v>31</v>
      </c>
      <c r="B39" s="47">
        <v>121</v>
      </c>
      <c r="C39" s="50" t="s">
        <v>225</v>
      </c>
      <c r="D39" s="50" t="s">
        <v>226</v>
      </c>
      <c r="E39" s="50" t="s">
        <v>227</v>
      </c>
      <c r="F39" s="51" t="s">
        <v>228</v>
      </c>
      <c r="G39" s="136">
        <v>10</v>
      </c>
      <c r="H39" s="136">
        <v>29</v>
      </c>
      <c r="I39" s="136">
        <f t="shared" si="8"/>
        <v>39</v>
      </c>
      <c r="J39" s="136">
        <v>12</v>
      </c>
      <c r="K39" s="136">
        <f t="shared" si="9"/>
        <v>51</v>
      </c>
      <c r="L39" s="136">
        <v>16</v>
      </c>
      <c r="M39" s="136">
        <v>29</v>
      </c>
      <c r="N39" s="136">
        <f t="shared" si="10"/>
        <v>45</v>
      </c>
      <c r="O39" s="136">
        <v>24</v>
      </c>
      <c r="P39" s="136">
        <f t="shared" si="41"/>
        <v>69</v>
      </c>
      <c r="Q39" s="136">
        <f t="shared" si="0"/>
        <v>120</v>
      </c>
      <c r="R39" s="212"/>
      <c r="S39" s="149">
        <f t="shared" si="12"/>
        <v>3.5</v>
      </c>
      <c r="T39" s="136">
        <v>9</v>
      </c>
      <c r="U39" s="136">
        <v>32</v>
      </c>
      <c r="V39" s="136">
        <f t="shared" si="1"/>
        <v>41</v>
      </c>
      <c r="W39" s="136">
        <v>13</v>
      </c>
      <c r="X39" s="136">
        <v>28</v>
      </c>
      <c r="Y39" s="136">
        <f t="shared" si="13"/>
        <v>41</v>
      </c>
      <c r="Z39" s="136">
        <f t="shared" si="2"/>
        <v>82</v>
      </c>
      <c r="AA39" s="136">
        <f t="shared" si="14"/>
        <v>82</v>
      </c>
      <c r="AB39" s="212"/>
      <c r="AC39" s="149">
        <f t="shared" si="15"/>
        <v>2</v>
      </c>
      <c r="AD39" s="136">
        <v>10</v>
      </c>
      <c r="AE39" s="136">
        <v>0</v>
      </c>
      <c r="AF39" s="136">
        <f t="shared" si="3"/>
        <v>10</v>
      </c>
      <c r="AG39" s="136">
        <v>11</v>
      </c>
      <c r="AH39" s="136">
        <f t="shared" si="16"/>
        <v>21</v>
      </c>
      <c r="AI39" s="212"/>
      <c r="AJ39" s="149" t="str">
        <f t="shared" si="17"/>
        <v>F</v>
      </c>
      <c r="AK39" s="136">
        <v>15</v>
      </c>
      <c r="AL39" s="136">
        <v>27</v>
      </c>
      <c r="AM39" s="136">
        <f t="shared" si="4"/>
        <v>42</v>
      </c>
      <c r="AN39" s="136">
        <v>13</v>
      </c>
      <c r="AO39" s="136">
        <f t="shared" si="18"/>
        <v>55</v>
      </c>
      <c r="AP39" s="212"/>
      <c r="AQ39" s="149">
        <f t="shared" si="19"/>
        <v>3</v>
      </c>
      <c r="AR39" s="136"/>
      <c r="AS39" s="136">
        <v>18</v>
      </c>
      <c r="AT39" s="136">
        <v>25</v>
      </c>
      <c r="AU39" s="136">
        <f t="shared" si="20"/>
        <v>43</v>
      </c>
      <c r="AV39" s="212"/>
      <c r="AW39" s="149">
        <f t="shared" si="5"/>
        <v>5</v>
      </c>
      <c r="AX39" s="136">
        <v>11</v>
      </c>
      <c r="AY39" s="136">
        <v>29</v>
      </c>
      <c r="AZ39" s="136">
        <f t="shared" si="21"/>
        <v>40</v>
      </c>
      <c r="BA39" s="136">
        <v>20</v>
      </c>
      <c r="BB39" s="136">
        <f t="shared" si="22"/>
        <v>60</v>
      </c>
      <c r="BC39" s="212"/>
      <c r="BD39" s="149">
        <f t="shared" si="23"/>
        <v>3.5</v>
      </c>
      <c r="BE39" s="136">
        <v>13</v>
      </c>
      <c r="BF39" s="136">
        <v>41</v>
      </c>
      <c r="BG39" s="136">
        <f t="shared" si="24"/>
        <v>54</v>
      </c>
      <c r="BH39" s="136">
        <v>17</v>
      </c>
      <c r="BI39" s="136">
        <f t="shared" si="25"/>
        <v>71</v>
      </c>
      <c r="BJ39" s="212"/>
      <c r="BK39" s="149">
        <f t="shared" si="26"/>
        <v>4</v>
      </c>
      <c r="BL39" s="136">
        <v>14</v>
      </c>
      <c r="BM39" s="136">
        <v>36</v>
      </c>
      <c r="BN39" s="136">
        <f t="shared" si="27"/>
        <v>50</v>
      </c>
      <c r="BO39" s="136">
        <v>18</v>
      </c>
      <c r="BP39" s="136">
        <f t="shared" si="28"/>
        <v>68</v>
      </c>
      <c r="BQ39" s="212"/>
      <c r="BR39" s="149">
        <f t="shared" si="29"/>
        <v>3.5</v>
      </c>
      <c r="BS39" s="136">
        <v>15</v>
      </c>
      <c r="BT39" s="136">
        <v>35</v>
      </c>
      <c r="BU39" s="136">
        <f t="shared" si="30"/>
        <v>50</v>
      </c>
      <c r="BV39" s="136">
        <v>15</v>
      </c>
      <c r="BW39" s="136">
        <f t="shared" si="31"/>
        <v>65</v>
      </c>
      <c r="BX39" s="212"/>
      <c r="BY39" s="149">
        <f t="shared" si="32"/>
        <v>3.5</v>
      </c>
      <c r="BZ39" s="136">
        <v>6</v>
      </c>
      <c r="CA39" s="136">
        <v>25</v>
      </c>
      <c r="CB39" s="136">
        <f t="shared" si="33"/>
        <v>31</v>
      </c>
      <c r="CC39" s="136">
        <v>19</v>
      </c>
      <c r="CD39" s="136">
        <v>22</v>
      </c>
      <c r="CE39" s="136">
        <f t="shared" si="34"/>
        <v>72</v>
      </c>
      <c r="CF39" s="212"/>
      <c r="CG39" s="149">
        <f t="shared" si="35"/>
        <v>4</v>
      </c>
      <c r="CH39" s="149">
        <f t="shared" si="36"/>
        <v>4</v>
      </c>
      <c r="CI39" s="136" t="str">
        <f t="shared" si="6"/>
        <v>F</v>
      </c>
      <c r="CJ39" s="150" t="str">
        <f t="shared" si="42"/>
        <v>F</v>
      </c>
      <c r="CK39" s="97" t="str">
        <f t="shared" si="38"/>
        <v>NEED TO PROGRESS</v>
      </c>
      <c r="CL39" s="97">
        <f t="shared" si="39"/>
        <v>657</v>
      </c>
      <c r="CM39" s="97" t="str">
        <f t="shared" si="7"/>
        <v>F</v>
      </c>
      <c r="CN39" s="97"/>
    </row>
    <row r="40" spans="1:92" s="151" customFormat="1" ht="24.95" customHeight="1">
      <c r="A40" s="97">
        <v>32</v>
      </c>
      <c r="B40" s="47">
        <v>123</v>
      </c>
      <c r="C40" s="50" t="s">
        <v>229</v>
      </c>
      <c r="D40" s="50" t="s">
        <v>230</v>
      </c>
      <c r="E40" s="50" t="s">
        <v>231</v>
      </c>
      <c r="F40" s="51" t="s">
        <v>232</v>
      </c>
      <c r="G40" s="136">
        <v>12</v>
      </c>
      <c r="H40" s="136">
        <v>29</v>
      </c>
      <c r="I40" s="136">
        <f t="shared" si="8"/>
        <v>41</v>
      </c>
      <c r="J40" s="136">
        <v>7</v>
      </c>
      <c r="K40" s="136">
        <f t="shared" si="9"/>
        <v>48</v>
      </c>
      <c r="L40" s="136">
        <v>11</v>
      </c>
      <c r="M40" s="136">
        <v>20</v>
      </c>
      <c r="N40" s="136">
        <f t="shared" si="10"/>
        <v>31</v>
      </c>
      <c r="O40" s="136">
        <v>13</v>
      </c>
      <c r="P40" s="136">
        <f t="shared" si="41"/>
        <v>44</v>
      </c>
      <c r="Q40" s="136">
        <f t="shared" si="0"/>
        <v>92</v>
      </c>
      <c r="R40" s="212"/>
      <c r="S40" s="149" t="str">
        <f t="shared" si="12"/>
        <v>F</v>
      </c>
      <c r="T40" s="136">
        <v>11</v>
      </c>
      <c r="U40" s="136">
        <v>39</v>
      </c>
      <c r="V40" s="136">
        <f t="shared" si="1"/>
        <v>50</v>
      </c>
      <c r="W40" s="136">
        <v>14</v>
      </c>
      <c r="X40" s="136">
        <v>22</v>
      </c>
      <c r="Y40" s="136">
        <f t="shared" si="13"/>
        <v>36</v>
      </c>
      <c r="Z40" s="136">
        <f t="shared" si="2"/>
        <v>86</v>
      </c>
      <c r="AA40" s="136">
        <f t="shared" si="14"/>
        <v>86</v>
      </c>
      <c r="AB40" s="212"/>
      <c r="AC40" s="149">
        <f t="shared" si="15"/>
        <v>2</v>
      </c>
      <c r="AD40" s="136">
        <v>9</v>
      </c>
      <c r="AE40" s="136">
        <v>1</v>
      </c>
      <c r="AF40" s="136">
        <f t="shared" si="3"/>
        <v>10</v>
      </c>
      <c r="AG40" s="136">
        <v>7</v>
      </c>
      <c r="AH40" s="136">
        <f t="shared" si="16"/>
        <v>17</v>
      </c>
      <c r="AI40" s="212"/>
      <c r="AJ40" s="149" t="str">
        <f t="shared" si="17"/>
        <v>F</v>
      </c>
      <c r="AK40" s="136">
        <v>9</v>
      </c>
      <c r="AL40" s="136">
        <v>25</v>
      </c>
      <c r="AM40" s="136">
        <f t="shared" si="4"/>
        <v>34</v>
      </c>
      <c r="AN40" s="136">
        <v>17</v>
      </c>
      <c r="AO40" s="136">
        <f t="shared" si="18"/>
        <v>51</v>
      </c>
      <c r="AP40" s="212"/>
      <c r="AQ40" s="149">
        <f t="shared" si="19"/>
        <v>3</v>
      </c>
      <c r="AR40" s="136"/>
      <c r="AS40" s="136">
        <v>10</v>
      </c>
      <c r="AT40" s="136">
        <v>25</v>
      </c>
      <c r="AU40" s="136">
        <f t="shared" si="20"/>
        <v>35</v>
      </c>
      <c r="AV40" s="212"/>
      <c r="AW40" s="149">
        <f t="shared" si="5"/>
        <v>4</v>
      </c>
      <c r="AX40" s="136">
        <v>11</v>
      </c>
      <c r="AY40" s="136">
        <v>25</v>
      </c>
      <c r="AZ40" s="136">
        <f t="shared" si="21"/>
        <v>36</v>
      </c>
      <c r="BA40" s="136">
        <v>22</v>
      </c>
      <c r="BB40" s="136">
        <f t="shared" si="22"/>
        <v>58</v>
      </c>
      <c r="BC40" s="212"/>
      <c r="BD40" s="149">
        <f t="shared" si="23"/>
        <v>3</v>
      </c>
      <c r="BE40" s="136">
        <v>10</v>
      </c>
      <c r="BF40" s="136">
        <v>20</v>
      </c>
      <c r="BG40" s="136">
        <f t="shared" si="24"/>
        <v>30</v>
      </c>
      <c r="BH40" s="136">
        <v>12</v>
      </c>
      <c r="BI40" s="136">
        <f t="shared" si="25"/>
        <v>42</v>
      </c>
      <c r="BJ40" s="212"/>
      <c r="BK40" s="149">
        <f t="shared" si="26"/>
        <v>2</v>
      </c>
      <c r="BL40" s="136">
        <v>8</v>
      </c>
      <c r="BM40" s="136">
        <v>17</v>
      </c>
      <c r="BN40" s="136">
        <f t="shared" si="27"/>
        <v>25</v>
      </c>
      <c r="BO40" s="136">
        <v>6</v>
      </c>
      <c r="BP40" s="136">
        <f t="shared" si="28"/>
        <v>31</v>
      </c>
      <c r="BQ40" s="212"/>
      <c r="BR40" s="149" t="str">
        <f t="shared" si="29"/>
        <v>F</v>
      </c>
      <c r="BS40" s="136">
        <v>5</v>
      </c>
      <c r="BT40" s="136">
        <v>9</v>
      </c>
      <c r="BU40" s="136">
        <f t="shared" si="30"/>
        <v>14</v>
      </c>
      <c r="BV40" s="136">
        <v>11</v>
      </c>
      <c r="BW40" s="136">
        <f t="shared" si="31"/>
        <v>25</v>
      </c>
      <c r="BX40" s="212"/>
      <c r="BY40" s="149" t="str">
        <f t="shared" si="32"/>
        <v>F</v>
      </c>
      <c r="BZ40" s="136">
        <v>6</v>
      </c>
      <c r="CA40" s="136">
        <v>14</v>
      </c>
      <c r="CB40" s="136">
        <f t="shared" si="33"/>
        <v>20</v>
      </c>
      <c r="CC40" s="136">
        <v>11</v>
      </c>
      <c r="CD40" s="136">
        <v>22</v>
      </c>
      <c r="CE40" s="136">
        <f t="shared" si="34"/>
        <v>53</v>
      </c>
      <c r="CF40" s="212"/>
      <c r="CG40" s="149">
        <f t="shared" si="35"/>
        <v>3</v>
      </c>
      <c r="CH40" s="149">
        <f t="shared" si="36"/>
        <v>3</v>
      </c>
      <c r="CI40" s="136" t="str">
        <f t="shared" si="6"/>
        <v>F</v>
      </c>
      <c r="CJ40" s="150" t="str">
        <f t="shared" si="37"/>
        <v>F</v>
      </c>
      <c r="CK40" s="97" t="str">
        <f t="shared" si="38"/>
        <v>NEED TO PROGRESS</v>
      </c>
      <c r="CL40" s="97">
        <f t="shared" si="39"/>
        <v>490</v>
      </c>
      <c r="CM40" s="97" t="str">
        <f t="shared" si="7"/>
        <v>F</v>
      </c>
      <c r="CN40" s="97"/>
    </row>
    <row r="41" spans="1:92" s="151" customFormat="1" ht="24.95" customHeight="1">
      <c r="A41" s="97">
        <v>33</v>
      </c>
      <c r="B41" s="47">
        <v>124</v>
      </c>
      <c r="C41" s="50" t="s">
        <v>233</v>
      </c>
      <c r="D41" s="50" t="s">
        <v>234</v>
      </c>
      <c r="E41" s="50" t="s">
        <v>235</v>
      </c>
      <c r="F41" s="51" t="s">
        <v>236</v>
      </c>
      <c r="G41" s="136">
        <v>11</v>
      </c>
      <c r="H41" s="136">
        <v>28</v>
      </c>
      <c r="I41" s="136">
        <f t="shared" si="8"/>
        <v>39</v>
      </c>
      <c r="J41" s="136">
        <v>15</v>
      </c>
      <c r="K41" s="136">
        <f t="shared" si="9"/>
        <v>54</v>
      </c>
      <c r="L41" s="136">
        <v>14</v>
      </c>
      <c r="M41" s="136">
        <v>24</v>
      </c>
      <c r="N41" s="136">
        <f t="shared" si="10"/>
        <v>38</v>
      </c>
      <c r="O41" s="136">
        <v>22</v>
      </c>
      <c r="P41" s="136">
        <f t="shared" si="11"/>
        <v>60</v>
      </c>
      <c r="Q41" s="136">
        <f t="shared" si="0"/>
        <v>114</v>
      </c>
      <c r="R41" s="212"/>
      <c r="S41" s="149">
        <f t="shared" si="12"/>
        <v>3</v>
      </c>
      <c r="T41" s="136">
        <v>10</v>
      </c>
      <c r="U41" s="136">
        <v>32</v>
      </c>
      <c r="V41" s="136">
        <f t="shared" si="1"/>
        <v>42</v>
      </c>
      <c r="W41" s="136">
        <v>14</v>
      </c>
      <c r="X41" s="136">
        <v>39</v>
      </c>
      <c r="Y41" s="136">
        <f t="shared" si="13"/>
        <v>53</v>
      </c>
      <c r="Z41" s="136">
        <f t="shared" si="2"/>
        <v>95</v>
      </c>
      <c r="AA41" s="136">
        <f t="shared" si="14"/>
        <v>95</v>
      </c>
      <c r="AB41" s="212"/>
      <c r="AC41" s="149">
        <f t="shared" si="15"/>
        <v>2</v>
      </c>
      <c r="AD41" s="136">
        <v>10</v>
      </c>
      <c r="AE41" s="136">
        <v>20</v>
      </c>
      <c r="AF41" s="136">
        <f t="shared" si="3"/>
        <v>30</v>
      </c>
      <c r="AG41" s="136">
        <v>16</v>
      </c>
      <c r="AH41" s="136">
        <f t="shared" si="16"/>
        <v>46</v>
      </c>
      <c r="AI41" s="212"/>
      <c r="AJ41" s="149">
        <f t="shared" si="17"/>
        <v>2</v>
      </c>
      <c r="AK41" s="136">
        <v>13</v>
      </c>
      <c r="AL41" s="136">
        <v>27</v>
      </c>
      <c r="AM41" s="136">
        <f t="shared" si="4"/>
        <v>40</v>
      </c>
      <c r="AN41" s="136">
        <v>12</v>
      </c>
      <c r="AO41" s="136">
        <f t="shared" si="18"/>
        <v>52</v>
      </c>
      <c r="AP41" s="212"/>
      <c r="AQ41" s="149">
        <f t="shared" si="19"/>
        <v>3</v>
      </c>
      <c r="AR41" s="136"/>
      <c r="AS41" s="136">
        <v>20</v>
      </c>
      <c r="AT41" s="136">
        <v>25</v>
      </c>
      <c r="AU41" s="136">
        <f t="shared" si="20"/>
        <v>45</v>
      </c>
      <c r="AV41" s="212"/>
      <c r="AW41" s="149">
        <f t="shared" si="5"/>
        <v>5</v>
      </c>
      <c r="AX41" s="136">
        <v>10</v>
      </c>
      <c r="AY41" s="136">
        <v>28</v>
      </c>
      <c r="AZ41" s="136">
        <f t="shared" si="21"/>
        <v>38</v>
      </c>
      <c r="BA41" s="136">
        <v>21</v>
      </c>
      <c r="BB41" s="136">
        <f t="shared" si="22"/>
        <v>59</v>
      </c>
      <c r="BC41" s="212"/>
      <c r="BD41" s="149">
        <f t="shared" si="23"/>
        <v>3</v>
      </c>
      <c r="BE41" s="136">
        <v>12</v>
      </c>
      <c r="BF41" s="136">
        <v>24</v>
      </c>
      <c r="BG41" s="136">
        <f t="shared" si="24"/>
        <v>36</v>
      </c>
      <c r="BH41" s="136">
        <v>15</v>
      </c>
      <c r="BI41" s="136">
        <f t="shared" si="25"/>
        <v>51</v>
      </c>
      <c r="BJ41" s="212"/>
      <c r="BK41" s="149">
        <f t="shared" si="26"/>
        <v>3</v>
      </c>
      <c r="BL41" s="136">
        <v>13</v>
      </c>
      <c r="BM41" s="136">
        <v>30</v>
      </c>
      <c r="BN41" s="136">
        <f t="shared" si="27"/>
        <v>43</v>
      </c>
      <c r="BO41" s="136">
        <v>12</v>
      </c>
      <c r="BP41" s="136">
        <f t="shared" si="28"/>
        <v>55</v>
      </c>
      <c r="BQ41" s="212"/>
      <c r="BR41" s="149">
        <f t="shared" si="29"/>
        <v>3</v>
      </c>
      <c r="BS41" s="136">
        <v>10</v>
      </c>
      <c r="BT41" s="136">
        <v>24</v>
      </c>
      <c r="BU41" s="136">
        <f t="shared" si="30"/>
        <v>34</v>
      </c>
      <c r="BV41" s="136">
        <v>17</v>
      </c>
      <c r="BW41" s="136">
        <f t="shared" si="31"/>
        <v>51</v>
      </c>
      <c r="BX41" s="212"/>
      <c r="BY41" s="149">
        <f t="shared" si="32"/>
        <v>3</v>
      </c>
      <c r="BZ41" s="136">
        <v>5</v>
      </c>
      <c r="CA41" s="136">
        <v>18</v>
      </c>
      <c r="CB41" s="136">
        <f t="shared" si="33"/>
        <v>23</v>
      </c>
      <c r="CC41" s="136">
        <v>16</v>
      </c>
      <c r="CD41" s="136">
        <v>22</v>
      </c>
      <c r="CE41" s="136">
        <f t="shared" si="34"/>
        <v>61</v>
      </c>
      <c r="CF41" s="212"/>
      <c r="CG41" s="149">
        <f t="shared" si="35"/>
        <v>3.5</v>
      </c>
      <c r="CH41" s="149">
        <f t="shared" si="36"/>
        <v>3.5</v>
      </c>
      <c r="CI41" s="136">
        <f t="shared" si="6"/>
        <v>28.5</v>
      </c>
      <c r="CJ41" s="150">
        <f t="shared" si="37"/>
        <v>3.1666666666666665</v>
      </c>
      <c r="CK41" s="97" t="str">
        <f t="shared" si="38"/>
        <v>GOOD</v>
      </c>
      <c r="CL41" s="97">
        <f t="shared" si="39"/>
        <v>629</v>
      </c>
      <c r="CM41" s="97">
        <f t="shared" si="7"/>
        <v>8</v>
      </c>
      <c r="CN41" s="97"/>
    </row>
    <row r="42" spans="1:92" s="157" customFormat="1" ht="24.95" customHeight="1">
      <c r="A42" s="97">
        <v>34</v>
      </c>
      <c r="B42" s="47">
        <v>126</v>
      </c>
      <c r="C42" s="50" t="s">
        <v>237</v>
      </c>
      <c r="D42" s="50" t="s">
        <v>238</v>
      </c>
      <c r="E42" s="50" t="s">
        <v>239</v>
      </c>
      <c r="F42" s="51" t="s">
        <v>240</v>
      </c>
      <c r="G42" s="136">
        <v>11</v>
      </c>
      <c r="H42" s="136">
        <v>25</v>
      </c>
      <c r="I42" s="136">
        <f t="shared" si="8"/>
        <v>36</v>
      </c>
      <c r="J42" s="136">
        <v>19</v>
      </c>
      <c r="K42" s="136">
        <f t="shared" si="9"/>
        <v>55</v>
      </c>
      <c r="L42" s="136">
        <v>12</v>
      </c>
      <c r="M42" s="136">
        <v>26</v>
      </c>
      <c r="N42" s="136">
        <f t="shared" si="10"/>
        <v>38</v>
      </c>
      <c r="O42" s="136">
        <v>12</v>
      </c>
      <c r="P42" s="136">
        <f t="shared" si="11"/>
        <v>50</v>
      </c>
      <c r="Q42" s="136">
        <f t="shared" si="0"/>
        <v>105</v>
      </c>
      <c r="R42" s="212"/>
      <c r="S42" s="149">
        <f t="shared" si="12"/>
        <v>3</v>
      </c>
      <c r="T42" s="136">
        <v>11</v>
      </c>
      <c r="U42" s="136">
        <v>40</v>
      </c>
      <c r="V42" s="136">
        <f t="shared" si="1"/>
        <v>51</v>
      </c>
      <c r="W42" s="136">
        <v>12</v>
      </c>
      <c r="X42" s="136">
        <v>32</v>
      </c>
      <c r="Y42" s="136">
        <f t="shared" si="13"/>
        <v>44</v>
      </c>
      <c r="Z42" s="136">
        <f t="shared" si="2"/>
        <v>95</v>
      </c>
      <c r="AA42" s="136">
        <f t="shared" si="14"/>
        <v>95</v>
      </c>
      <c r="AB42" s="212"/>
      <c r="AC42" s="149">
        <f t="shared" si="15"/>
        <v>2</v>
      </c>
      <c r="AD42" s="136">
        <v>14</v>
      </c>
      <c r="AE42" s="136">
        <v>14</v>
      </c>
      <c r="AF42" s="136">
        <f t="shared" si="3"/>
        <v>28</v>
      </c>
      <c r="AG42" s="136">
        <v>12</v>
      </c>
      <c r="AH42" s="136">
        <f t="shared" si="16"/>
        <v>40</v>
      </c>
      <c r="AI42" s="212"/>
      <c r="AJ42" s="149">
        <f t="shared" si="17"/>
        <v>2</v>
      </c>
      <c r="AK42" s="136">
        <v>14</v>
      </c>
      <c r="AL42" s="136">
        <v>25</v>
      </c>
      <c r="AM42" s="136">
        <f t="shared" si="4"/>
        <v>39</v>
      </c>
      <c r="AN42" s="136">
        <v>20</v>
      </c>
      <c r="AO42" s="136">
        <f t="shared" si="18"/>
        <v>59</v>
      </c>
      <c r="AP42" s="212"/>
      <c r="AQ42" s="149">
        <f t="shared" si="19"/>
        <v>3</v>
      </c>
      <c r="AR42" s="136"/>
      <c r="AS42" s="136">
        <v>22</v>
      </c>
      <c r="AT42" s="136">
        <v>25</v>
      </c>
      <c r="AU42" s="136">
        <f t="shared" si="20"/>
        <v>47</v>
      </c>
      <c r="AV42" s="212"/>
      <c r="AW42" s="149">
        <f t="shared" si="5"/>
        <v>5</v>
      </c>
      <c r="AX42" s="136">
        <v>10</v>
      </c>
      <c r="AY42" s="136">
        <v>20</v>
      </c>
      <c r="AZ42" s="136">
        <f t="shared" si="21"/>
        <v>30</v>
      </c>
      <c r="BA42" s="136">
        <v>18</v>
      </c>
      <c r="BB42" s="136">
        <f t="shared" si="22"/>
        <v>48</v>
      </c>
      <c r="BC42" s="212"/>
      <c r="BD42" s="149">
        <f t="shared" si="23"/>
        <v>2</v>
      </c>
      <c r="BE42" s="136">
        <v>10</v>
      </c>
      <c r="BF42" s="136">
        <v>22</v>
      </c>
      <c r="BG42" s="136">
        <f t="shared" si="24"/>
        <v>32</v>
      </c>
      <c r="BH42" s="136">
        <v>17</v>
      </c>
      <c r="BI42" s="136">
        <f t="shared" si="25"/>
        <v>49</v>
      </c>
      <c r="BJ42" s="212"/>
      <c r="BK42" s="149">
        <f t="shared" si="26"/>
        <v>2</v>
      </c>
      <c r="BL42" s="136">
        <v>13</v>
      </c>
      <c r="BM42" s="136">
        <v>13</v>
      </c>
      <c r="BN42" s="136">
        <f t="shared" si="27"/>
        <v>26</v>
      </c>
      <c r="BO42" s="136">
        <v>17</v>
      </c>
      <c r="BP42" s="136">
        <f t="shared" si="28"/>
        <v>43</v>
      </c>
      <c r="BQ42" s="212"/>
      <c r="BR42" s="149" t="str">
        <f t="shared" si="29"/>
        <v>F</v>
      </c>
      <c r="BS42" s="136">
        <v>13</v>
      </c>
      <c r="BT42" s="136">
        <v>20</v>
      </c>
      <c r="BU42" s="136">
        <f t="shared" si="30"/>
        <v>33</v>
      </c>
      <c r="BV42" s="136">
        <v>13</v>
      </c>
      <c r="BW42" s="136">
        <f t="shared" si="31"/>
        <v>46</v>
      </c>
      <c r="BX42" s="212"/>
      <c r="BY42" s="149">
        <f t="shared" si="32"/>
        <v>2</v>
      </c>
      <c r="BZ42" s="136">
        <v>5</v>
      </c>
      <c r="CA42" s="136">
        <v>14</v>
      </c>
      <c r="CB42" s="136">
        <f t="shared" si="33"/>
        <v>19</v>
      </c>
      <c r="CC42" s="136">
        <v>14</v>
      </c>
      <c r="CD42" s="136">
        <v>22</v>
      </c>
      <c r="CE42" s="136">
        <f t="shared" si="34"/>
        <v>55</v>
      </c>
      <c r="CF42" s="212"/>
      <c r="CG42" s="149" t="str">
        <f t="shared" si="35"/>
        <v>0</v>
      </c>
      <c r="CH42" s="149" t="str">
        <f t="shared" si="36"/>
        <v>F</v>
      </c>
      <c r="CI42" s="136" t="str">
        <f t="shared" si="6"/>
        <v>F</v>
      </c>
      <c r="CJ42" s="150" t="str">
        <f t="shared" si="37"/>
        <v>F</v>
      </c>
      <c r="CK42" s="97" t="str">
        <f t="shared" si="38"/>
        <v>NEED TO PROGRESS</v>
      </c>
      <c r="CL42" s="97">
        <f t="shared" si="39"/>
        <v>587</v>
      </c>
      <c r="CM42" s="97" t="str">
        <f t="shared" si="7"/>
        <v>F</v>
      </c>
      <c r="CN42" s="97"/>
    </row>
    <row r="43" spans="1:92" s="157" customFormat="1" ht="24.95" customHeight="1">
      <c r="A43" s="97">
        <v>35</v>
      </c>
      <c r="B43" s="47">
        <v>127</v>
      </c>
      <c r="C43" s="50" t="s">
        <v>241</v>
      </c>
      <c r="D43" s="50" t="s">
        <v>242</v>
      </c>
      <c r="E43" s="50" t="s">
        <v>243</v>
      </c>
      <c r="F43" s="51" t="s">
        <v>244</v>
      </c>
      <c r="G43" s="136">
        <v>13</v>
      </c>
      <c r="H43" s="136">
        <v>26</v>
      </c>
      <c r="I43" s="136">
        <f t="shared" si="8"/>
        <v>39</v>
      </c>
      <c r="J43" s="136">
        <v>18</v>
      </c>
      <c r="K43" s="136">
        <f t="shared" si="9"/>
        <v>57</v>
      </c>
      <c r="L43" s="136">
        <v>11</v>
      </c>
      <c r="M43" s="136">
        <v>27</v>
      </c>
      <c r="N43" s="136">
        <f t="shared" si="10"/>
        <v>38</v>
      </c>
      <c r="O43" s="136">
        <v>11</v>
      </c>
      <c r="P43" s="136">
        <f t="shared" si="11"/>
        <v>49</v>
      </c>
      <c r="Q43" s="136">
        <f t="shared" si="0"/>
        <v>106</v>
      </c>
      <c r="R43" s="212"/>
      <c r="S43" s="149">
        <f t="shared" si="12"/>
        <v>3</v>
      </c>
      <c r="T43" s="136">
        <v>12</v>
      </c>
      <c r="U43" s="136">
        <v>36</v>
      </c>
      <c r="V43" s="136">
        <f t="shared" si="1"/>
        <v>48</v>
      </c>
      <c r="W43" s="136">
        <v>9</v>
      </c>
      <c r="X43" s="136">
        <v>22</v>
      </c>
      <c r="Y43" s="136">
        <f t="shared" si="13"/>
        <v>31</v>
      </c>
      <c r="Z43" s="136">
        <f t="shared" si="2"/>
        <v>79</v>
      </c>
      <c r="AA43" s="136">
        <f t="shared" si="14"/>
        <v>79</v>
      </c>
      <c r="AB43" s="212"/>
      <c r="AC43" s="149" t="str">
        <f t="shared" si="15"/>
        <v>F</v>
      </c>
      <c r="AD43" s="136">
        <v>8</v>
      </c>
      <c r="AE43" s="136">
        <v>1</v>
      </c>
      <c r="AF43" s="136">
        <f t="shared" si="3"/>
        <v>9</v>
      </c>
      <c r="AG43" s="136">
        <v>14</v>
      </c>
      <c r="AH43" s="136">
        <f t="shared" si="16"/>
        <v>23</v>
      </c>
      <c r="AI43" s="212"/>
      <c r="AJ43" s="149" t="str">
        <f t="shared" si="17"/>
        <v>F</v>
      </c>
      <c r="AK43" s="136">
        <v>14</v>
      </c>
      <c r="AL43" s="136">
        <v>28</v>
      </c>
      <c r="AM43" s="136">
        <f t="shared" si="4"/>
        <v>42</v>
      </c>
      <c r="AN43" s="136">
        <v>19</v>
      </c>
      <c r="AO43" s="136">
        <f t="shared" si="18"/>
        <v>61</v>
      </c>
      <c r="AP43" s="212"/>
      <c r="AQ43" s="149">
        <f t="shared" si="19"/>
        <v>3.5</v>
      </c>
      <c r="AR43" s="136"/>
      <c r="AS43" s="136">
        <v>18</v>
      </c>
      <c r="AT43" s="136">
        <v>25</v>
      </c>
      <c r="AU43" s="136">
        <f t="shared" si="20"/>
        <v>43</v>
      </c>
      <c r="AV43" s="212"/>
      <c r="AW43" s="149">
        <f t="shared" si="5"/>
        <v>5</v>
      </c>
      <c r="AX43" s="136">
        <v>10</v>
      </c>
      <c r="AY43" s="136">
        <v>20</v>
      </c>
      <c r="AZ43" s="136">
        <f t="shared" si="21"/>
        <v>30</v>
      </c>
      <c r="BA43" s="136">
        <v>20</v>
      </c>
      <c r="BB43" s="136">
        <f t="shared" si="22"/>
        <v>50</v>
      </c>
      <c r="BC43" s="212"/>
      <c r="BD43" s="149">
        <f t="shared" si="23"/>
        <v>3</v>
      </c>
      <c r="BE43" s="136">
        <v>8</v>
      </c>
      <c r="BF43" s="136">
        <v>21</v>
      </c>
      <c r="BG43" s="136">
        <f t="shared" si="24"/>
        <v>29</v>
      </c>
      <c r="BH43" s="136">
        <v>19</v>
      </c>
      <c r="BI43" s="136">
        <f t="shared" si="25"/>
        <v>48</v>
      </c>
      <c r="BJ43" s="212"/>
      <c r="BK43" s="149">
        <f t="shared" si="26"/>
        <v>2</v>
      </c>
      <c r="BL43" s="136">
        <v>13</v>
      </c>
      <c r="BM43" s="136">
        <v>20</v>
      </c>
      <c r="BN43" s="136">
        <f t="shared" si="27"/>
        <v>33</v>
      </c>
      <c r="BO43" s="136">
        <v>16</v>
      </c>
      <c r="BP43" s="136">
        <f t="shared" si="28"/>
        <v>49</v>
      </c>
      <c r="BQ43" s="212"/>
      <c r="BR43" s="149">
        <f t="shared" si="29"/>
        <v>2</v>
      </c>
      <c r="BS43" s="136">
        <v>13</v>
      </c>
      <c r="BT43" s="136">
        <v>21</v>
      </c>
      <c r="BU43" s="136">
        <f t="shared" si="30"/>
        <v>34</v>
      </c>
      <c r="BV43" s="136">
        <v>14</v>
      </c>
      <c r="BW43" s="136">
        <f t="shared" si="31"/>
        <v>48</v>
      </c>
      <c r="BX43" s="212"/>
      <c r="BY43" s="149">
        <f t="shared" si="32"/>
        <v>2</v>
      </c>
      <c r="BZ43" s="136">
        <v>5</v>
      </c>
      <c r="CA43" s="136">
        <v>18</v>
      </c>
      <c r="CB43" s="136">
        <f t="shared" si="33"/>
        <v>23</v>
      </c>
      <c r="CC43" s="136">
        <v>15</v>
      </c>
      <c r="CD43" s="136">
        <v>22</v>
      </c>
      <c r="CE43" s="136">
        <f t="shared" si="34"/>
        <v>60</v>
      </c>
      <c r="CF43" s="212"/>
      <c r="CG43" s="149">
        <f t="shared" si="35"/>
        <v>3.5</v>
      </c>
      <c r="CH43" s="149">
        <f t="shared" si="36"/>
        <v>3.5</v>
      </c>
      <c r="CI43" s="136" t="str">
        <f t="shared" si="6"/>
        <v>F</v>
      </c>
      <c r="CJ43" s="150" t="str">
        <f t="shared" si="37"/>
        <v>F</v>
      </c>
      <c r="CK43" s="97" t="str">
        <f t="shared" si="38"/>
        <v>NEED TO PROGRESS</v>
      </c>
      <c r="CL43" s="97">
        <f t="shared" si="39"/>
        <v>567</v>
      </c>
      <c r="CM43" s="97" t="str">
        <f t="shared" si="7"/>
        <v>F</v>
      </c>
      <c r="CN43" s="97"/>
    </row>
    <row r="44" spans="1:92" s="157" customFormat="1" ht="24.95" customHeight="1">
      <c r="A44" s="97">
        <v>36</v>
      </c>
      <c r="B44" s="47">
        <v>128</v>
      </c>
      <c r="C44" s="50" t="s">
        <v>245</v>
      </c>
      <c r="D44" s="50" t="s">
        <v>246</v>
      </c>
      <c r="E44" s="50" t="s">
        <v>247</v>
      </c>
      <c r="F44" s="51" t="s">
        <v>248</v>
      </c>
      <c r="G44" s="136">
        <v>15</v>
      </c>
      <c r="H44" s="136">
        <v>29</v>
      </c>
      <c r="I44" s="136">
        <f t="shared" si="8"/>
        <v>44</v>
      </c>
      <c r="J44" s="136">
        <v>19</v>
      </c>
      <c r="K44" s="136">
        <f t="shared" si="9"/>
        <v>63</v>
      </c>
      <c r="L44" s="136">
        <v>17</v>
      </c>
      <c r="M44" s="136">
        <v>26</v>
      </c>
      <c r="N44" s="136">
        <f t="shared" si="10"/>
        <v>43</v>
      </c>
      <c r="O44" s="136">
        <v>22</v>
      </c>
      <c r="P44" s="136">
        <f t="shared" si="11"/>
        <v>65</v>
      </c>
      <c r="Q44" s="136">
        <f t="shared" si="0"/>
        <v>128</v>
      </c>
      <c r="R44" s="212"/>
      <c r="S44" s="149">
        <f t="shared" si="12"/>
        <v>3.5</v>
      </c>
      <c r="T44" s="136">
        <v>13</v>
      </c>
      <c r="U44" s="136">
        <v>43</v>
      </c>
      <c r="V44" s="136">
        <f t="shared" si="1"/>
        <v>56</v>
      </c>
      <c r="W44" s="136">
        <v>11</v>
      </c>
      <c r="X44" s="136">
        <v>34</v>
      </c>
      <c r="Y44" s="136">
        <f t="shared" si="13"/>
        <v>45</v>
      </c>
      <c r="Z44" s="136">
        <f t="shared" si="2"/>
        <v>101</v>
      </c>
      <c r="AA44" s="136">
        <f t="shared" si="14"/>
        <v>101</v>
      </c>
      <c r="AB44" s="212"/>
      <c r="AC44" s="149">
        <f t="shared" si="15"/>
        <v>3</v>
      </c>
      <c r="AD44" s="136">
        <v>9</v>
      </c>
      <c r="AE44" s="136">
        <v>36</v>
      </c>
      <c r="AF44" s="136">
        <f t="shared" si="3"/>
        <v>45</v>
      </c>
      <c r="AG44" s="136">
        <v>19</v>
      </c>
      <c r="AH44" s="136">
        <f t="shared" si="16"/>
        <v>64</v>
      </c>
      <c r="AI44" s="212"/>
      <c r="AJ44" s="149">
        <f t="shared" si="17"/>
        <v>3.5</v>
      </c>
      <c r="AK44" s="136">
        <v>17</v>
      </c>
      <c r="AL44" s="136">
        <v>30</v>
      </c>
      <c r="AM44" s="136">
        <f t="shared" si="4"/>
        <v>47</v>
      </c>
      <c r="AN44" s="136">
        <v>20</v>
      </c>
      <c r="AO44" s="136">
        <f t="shared" si="18"/>
        <v>67</v>
      </c>
      <c r="AP44" s="212"/>
      <c r="AQ44" s="149">
        <f t="shared" si="19"/>
        <v>3.5</v>
      </c>
      <c r="AR44" s="136"/>
      <c r="AS44" s="136">
        <v>20</v>
      </c>
      <c r="AT44" s="136">
        <v>25</v>
      </c>
      <c r="AU44" s="136">
        <f t="shared" si="20"/>
        <v>45</v>
      </c>
      <c r="AV44" s="212"/>
      <c r="AW44" s="149">
        <f t="shared" si="5"/>
        <v>5</v>
      </c>
      <c r="AX44" s="136">
        <v>13</v>
      </c>
      <c r="AY44" s="136">
        <v>33</v>
      </c>
      <c r="AZ44" s="136">
        <f t="shared" si="21"/>
        <v>46</v>
      </c>
      <c r="BA44" s="136">
        <v>21</v>
      </c>
      <c r="BB44" s="136">
        <f t="shared" si="22"/>
        <v>67</v>
      </c>
      <c r="BC44" s="212"/>
      <c r="BD44" s="149">
        <f t="shared" si="23"/>
        <v>3.5</v>
      </c>
      <c r="BE44" s="136">
        <v>10</v>
      </c>
      <c r="BF44" s="136">
        <v>33</v>
      </c>
      <c r="BG44" s="136">
        <f t="shared" si="24"/>
        <v>43</v>
      </c>
      <c r="BH44" s="136">
        <v>15</v>
      </c>
      <c r="BI44" s="136">
        <f t="shared" si="25"/>
        <v>58</v>
      </c>
      <c r="BJ44" s="212"/>
      <c r="BK44" s="149">
        <f t="shared" si="26"/>
        <v>3</v>
      </c>
      <c r="BL44" s="136">
        <v>19</v>
      </c>
      <c r="BM44" s="136">
        <v>37</v>
      </c>
      <c r="BN44" s="136">
        <f t="shared" si="27"/>
        <v>56</v>
      </c>
      <c r="BO44" s="136">
        <v>21</v>
      </c>
      <c r="BP44" s="136">
        <f t="shared" si="28"/>
        <v>77</v>
      </c>
      <c r="BQ44" s="212"/>
      <c r="BR44" s="149">
        <f t="shared" si="29"/>
        <v>4</v>
      </c>
      <c r="BS44" s="136">
        <v>20</v>
      </c>
      <c r="BT44" s="136">
        <v>39</v>
      </c>
      <c r="BU44" s="136">
        <f t="shared" si="30"/>
        <v>59</v>
      </c>
      <c r="BV44" s="136">
        <v>23</v>
      </c>
      <c r="BW44" s="136">
        <f t="shared" si="31"/>
        <v>82</v>
      </c>
      <c r="BX44" s="212"/>
      <c r="BY44" s="149">
        <f t="shared" si="32"/>
        <v>5</v>
      </c>
      <c r="BZ44" s="136">
        <v>5</v>
      </c>
      <c r="CA44" s="136">
        <v>22</v>
      </c>
      <c r="CB44" s="136">
        <f t="shared" si="33"/>
        <v>27</v>
      </c>
      <c r="CC44" s="136">
        <v>22</v>
      </c>
      <c r="CD44" s="136">
        <v>22</v>
      </c>
      <c r="CE44" s="136">
        <f t="shared" si="34"/>
        <v>71</v>
      </c>
      <c r="CF44" s="212"/>
      <c r="CG44" s="149">
        <f t="shared" si="35"/>
        <v>4</v>
      </c>
      <c r="CH44" s="149">
        <f t="shared" si="36"/>
        <v>4</v>
      </c>
      <c r="CI44" s="136">
        <f t="shared" si="6"/>
        <v>36</v>
      </c>
      <c r="CJ44" s="150">
        <f t="shared" si="37"/>
        <v>4</v>
      </c>
      <c r="CK44" s="97" t="str">
        <f t="shared" si="38"/>
        <v>BETTER</v>
      </c>
      <c r="CL44" s="97">
        <f t="shared" si="39"/>
        <v>760</v>
      </c>
      <c r="CM44" s="97">
        <f t="shared" si="7"/>
        <v>1</v>
      </c>
      <c r="CN44" s="97"/>
    </row>
    <row r="45" spans="1:92" s="157" customFormat="1" ht="24.95" customHeight="1">
      <c r="A45" s="97">
        <v>37</v>
      </c>
      <c r="B45" s="47">
        <v>130</v>
      </c>
      <c r="C45" s="50" t="s">
        <v>249</v>
      </c>
      <c r="D45" s="50" t="s">
        <v>250</v>
      </c>
      <c r="E45" s="50" t="s">
        <v>251</v>
      </c>
      <c r="F45" s="51" t="s">
        <v>252</v>
      </c>
      <c r="G45" s="136">
        <v>14</v>
      </c>
      <c r="H45" s="136">
        <v>31</v>
      </c>
      <c r="I45" s="136">
        <f t="shared" si="8"/>
        <v>45</v>
      </c>
      <c r="J45" s="136">
        <v>15</v>
      </c>
      <c r="K45" s="136">
        <f t="shared" si="9"/>
        <v>60</v>
      </c>
      <c r="L45" s="136">
        <v>17</v>
      </c>
      <c r="M45" s="136">
        <v>33</v>
      </c>
      <c r="N45" s="136">
        <f t="shared" si="10"/>
        <v>50</v>
      </c>
      <c r="O45" s="136">
        <v>21</v>
      </c>
      <c r="P45" s="136">
        <f t="shared" si="11"/>
        <v>71</v>
      </c>
      <c r="Q45" s="136">
        <f t="shared" si="0"/>
        <v>131</v>
      </c>
      <c r="R45" s="212"/>
      <c r="S45" s="149">
        <f t="shared" si="12"/>
        <v>3.5</v>
      </c>
      <c r="T45" s="136">
        <v>13</v>
      </c>
      <c r="U45" s="136">
        <v>35</v>
      </c>
      <c r="V45" s="136">
        <f t="shared" si="1"/>
        <v>48</v>
      </c>
      <c r="W45" s="136">
        <v>13</v>
      </c>
      <c r="X45" s="136">
        <v>35</v>
      </c>
      <c r="Y45" s="136">
        <f t="shared" si="13"/>
        <v>48</v>
      </c>
      <c r="Z45" s="136">
        <f t="shared" si="2"/>
        <v>96</v>
      </c>
      <c r="AA45" s="136">
        <f t="shared" si="14"/>
        <v>96</v>
      </c>
      <c r="AB45" s="212"/>
      <c r="AC45" s="149">
        <f t="shared" si="15"/>
        <v>2</v>
      </c>
      <c r="AD45" s="136">
        <v>9</v>
      </c>
      <c r="AE45" s="136">
        <v>14</v>
      </c>
      <c r="AF45" s="136">
        <f t="shared" si="3"/>
        <v>23</v>
      </c>
      <c r="AG45" s="136">
        <v>9</v>
      </c>
      <c r="AH45" s="136">
        <f t="shared" si="16"/>
        <v>32</v>
      </c>
      <c r="AI45" s="212"/>
      <c r="AJ45" s="149" t="str">
        <f t="shared" si="17"/>
        <v>F</v>
      </c>
      <c r="AK45" s="136">
        <v>15</v>
      </c>
      <c r="AL45" s="136">
        <v>36</v>
      </c>
      <c r="AM45" s="136">
        <f t="shared" si="4"/>
        <v>51</v>
      </c>
      <c r="AN45" s="136">
        <v>20</v>
      </c>
      <c r="AO45" s="136">
        <f t="shared" si="18"/>
        <v>71</v>
      </c>
      <c r="AP45" s="212"/>
      <c r="AQ45" s="149">
        <f t="shared" si="19"/>
        <v>4</v>
      </c>
      <c r="AR45" s="136"/>
      <c r="AS45" s="136">
        <v>23</v>
      </c>
      <c r="AT45" s="136">
        <v>25</v>
      </c>
      <c r="AU45" s="136">
        <f t="shared" si="20"/>
        <v>48</v>
      </c>
      <c r="AV45" s="212"/>
      <c r="AW45" s="149">
        <f t="shared" si="5"/>
        <v>5</v>
      </c>
      <c r="AX45" s="136">
        <v>10</v>
      </c>
      <c r="AY45" s="136">
        <v>22</v>
      </c>
      <c r="AZ45" s="136">
        <f t="shared" si="21"/>
        <v>32</v>
      </c>
      <c r="BA45" s="136">
        <v>21</v>
      </c>
      <c r="BB45" s="136">
        <f t="shared" si="22"/>
        <v>53</v>
      </c>
      <c r="BC45" s="212"/>
      <c r="BD45" s="149">
        <f t="shared" si="23"/>
        <v>3</v>
      </c>
      <c r="BE45" s="136">
        <v>11</v>
      </c>
      <c r="BF45" s="136">
        <v>34</v>
      </c>
      <c r="BG45" s="136">
        <f t="shared" si="24"/>
        <v>45</v>
      </c>
      <c r="BH45" s="136">
        <v>18</v>
      </c>
      <c r="BI45" s="136">
        <f t="shared" si="25"/>
        <v>63</v>
      </c>
      <c r="BJ45" s="212"/>
      <c r="BK45" s="149">
        <f t="shared" si="26"/>
        <v>3.5</v>
      </c>
      <c r="BL45" s="136">
        <v>13</v>
      </c>
      <c r="BM45" s="136">
        <v>35</v>
      </c>
      <c r="BN45" s="136">
        <f t="shared" si="27"/>
        <v>48</v>
      </c>
      <c r="BO45" s="136">
        <v>17</v>
      </c>
      <c r="BP45" s="136">
        <f t="shared" si="28"/>
        <v>65</v>
      </c>
      <c r="BQ45" s="212"/>
      <c r="BR45" s="149">
        <f t="shared" si="29"/>
        <v>3.5</v>
      </c>
      <c r="BS45" s="136">
        <v>11</v>
      </c>
      <c r="BT45" s="136">
        <v>27</v>
      </c>
      <c r="BU45" s="136">
        <f t="shared" si="30"/>
        <v>38</v>
      </c>
      <c r="BV45" s="136">
        <v>21</v>
      </c>
      <c r="BW45" s="136">
        <f t="shared" si="31"/>
        <v>59</v>
      </c>
      <c r="BX45" s="212"/>
      <c r="BY45" s="149">
        <f t="shared" si="32"/>
        <v>3</v>
      </c>
      <c r="BZ45" s="136">
        <v>7</v>
      </c>
      <c r="CA45" s="136">
        <v>22</v>
      </c>
      <c r="CB45" s="136">
        <f t="shared" si="33"/>
        <v>29</v>
      </c>
      <c r="CC45" s="136">
        <v>18</v>
      </c>
      <c r="CD45" s="136">
        <v>22</v>
      </c>
      <c r="CE45" s="136">
        <f t="shared" si="34"/>
        <v>69</v>
      </c>
      <c r="CF45" s="212"/>
      <c r="CG45" s="149">
        <f t="shared" si="35"/>
        <v>3.5</v>
      </c>
      <c r="CH45" s="149">
        <f t="shared" si="36"/>
        <v>3.5</v>
      </c>
      <c r="CI45" s="136" t="str">
        <f t="shared" si="6"/>
        <v>F</v>
      </c>
      <c r="CJ45" s="150" t="str">
        <f t="shared" si="37"/>
        <v>F</v>
      </c>
      <c r="CK45" s="97" t="str">
        <f t="shared" si="38"/>
        <v>NEED TO PROGRESS</v>
      </c>
      <c r="CL45" s="97">
        <f t="shared" si="39"/>
        <v>687</v>
      </c>
      <c r="CM45" s="97" t="str">
        <f t="shared" si="7"/>
        <v>F</v>
      </c>
      <c r="CN45" s="97"/>
    </row>
    <row r="46" spans="1:92" s="157" customFormat="1" ht="24.95" customHeight="1" thickBot="1">
      <c r="A46" s="117">
        <v>38</v>
      </c>
      <c r="B46" s="59">
        <v>138</v>
      </c>
      <c r="C46" s="60" t="s">
        <v>253</v>
      </c>
      <c r="D46" s="60" t="s">
        <v>254</v>
      </c>
      <c r="E46" s="60" t="s">
        <v>255</v>
      </c>
      <c r="F46" s="61" t="s">
        <v>256</v>
      </c>
      <c r="G46" s="136">
        <v>8</v>
      </c>
      <c r="H46" s="136">
        <v>26</v>
      </c>
      <c r="I46" s="136">
        <f t="shared" si="8"/>
        <v>34</v>
      </c>
      <c r="J46" s="136">
        <v>12</v>
      </c>
      <c r="K46" s="152">
        <f t="shared" si="9"/>
        <v>46</v>
      </c>
      <c r="L46" s="136">
        <v>15</v>
      </c>
      <c r="M46" s="136">
        <v>14</v>
      </c>
      <c r="N46" s="136">
        <f t="shared" si="10"/>
        <v>29</v>
      </c>
      <c r="O46" s="136">
        <v>26</v>
      </c>
      <c r="P46" s="152">
        <f t="shared" si="11"/>
        <v>55</v>
      </c>
      <c r="Q46" s="136">
        <f t="shared" si="0"/>
        <v>101</v>
      </c>
      <c r="R46" s="212"/>
      <c r="S46" s="149">
        <f t="shared" si="12"/>
        <v>3</v>
      </c>
      <c r="T46" s="136">
        <v>13</v>
      </c>
      <c r="U46" s="136">
        <v>41</v>
      </c>
      <c r="V46" s="136">
        <f t="shared" si="1"/>
        <v>54</v>
      </c>
      <c r="W46" s="136">
        <v>13</v>
      </c>
      <c r="X46" s="136">
        <v>39</v>
      </c>
      <c r="Y46" s="136">
        <f t="shared" si="13"/>
        <v>52</v>
      </c>
      <c r="Z46" s="136">
        <f t="shared" si="2"/>
        <v>106</v>
      </c>
      <c r="AA46" s="136">
        <f t="shared" si="14"/>
        <v>106</v>
      </c>
      <c r="AB46" s="212"/>
      <c r="AC46" s="149">
        <f t="shared" si="15"/>
        <v>3</v>
      </c>
      <c r="AD46" s="136">
        <v>8</v>
      </c>
      <c r="AE46" s="136">
        <v>6</v>
      </c>
      <c r="AF46" s="136">
        <f t="shared" si="3"/>
        <v>14</v>
      </c>
      <c r="AG46" s="136">
        <v>17</v>
      </c>
      <c r="AH46" s="136">
        <f t="shared" si="16"/>
        <v>31</v>
      </c>
      <c r="AI46" s="212"/>
      <c r="AJ46" s="149" t="str">
        <f t="shared" si="17"/>
        <v>F</v>
      </c>
      <c r="AK46" s="136">
        <v>15</v>
      </c>
      <c r="AL46" s="136">
        <v>28</v>
      </c>
      <c r="AM46" s="136">
        <f t="shared" si="4"/>
        <v>43</v>
      </c>
      <c r="AN46" s="136">
        <v>23</v>
      </c>
      <c r="AO46" s="136">
        <f t="shared" si="18"/>
        <v>66</v>
      </c>
      <c r="AP46" s="212"/>
      <c r="AQ46" s="149">
        <f t="shared" si="19"/>
        <v>3.5</v>
      </c>
      <c r="AR46" s="152"/>
      <c r="AS46" s="136">
        <v>19</v>
      </c>
      <c r="AT46" s="136">
        <v>25</v>
      </c>
      <c r="AU46" s="136">
        <f t="shared" si="20"/>
        <v>44</v>
      </c>
      <c r="AV46" s="212"/>
      <c r="AW46" s="149">
        <f t="shared" si="5"/>
        <v>5</v>
      </c>
      <c r="AX46" s="136">
        <v>10</v>
      </c>
      <c r="AY46" s="136">
        <v>20</v>
      </c>
      <c r="AZ46" s="136">
        <f t="shared" si="21"/>
        <v>30</v>
      </c>
      <c r="BA46" s="136">
        <v>20</v>
      </c>
      <c r="BB46" s="136">
        <f t="shared" si="22"/>
        <v>50</v>
      </c>
      <c r="BC46" s="212"/>
      <c r="BD46" s="149">
        <f t="shared" si="23"/>
        <v>3</v>
      </c>
      <c r="BE46" s="136">
        <v>10</v>
      </c>
      <c r="BF46" s="136">
        <v>15</v>
      </c>
      <c r="BG46" s="136">
        <f t="shared" si="24"/>
        <v>25</v>
      </c>
      <c r="BH46" s="136">
        <v>16</v>
      </c>
      <c r="BI46" s="136">
        <f t="shared" si="25"/>
        <v>41</v>
      </c>
      <c r="BJ46" s="212"/>
      <c r="BK46" s="149" t="str">
        <f t="shared" si="26"/>
        <v>F</v>
      </c>
      <c r="BL46" s="136">
        <v>13</v>
      </c>
      <c r="BM46" s="136">
        <v>2</v>
      </c>
      <c r="BN46" s="136">
        <f t="shared" si="27"/>
        <v>15</v>
      </c>
      <c r="BO46" s="136">
        <v>13</v>
      </c>
      <c r="BP46" s="136">
        <f t="shared" si="28"/>
        <v>28</v>
      </c>
      <c r="BQ46" s="212"/>
      <c r="BR46" s="149" t="str">
        <f t="shared" si="29"/>
        <v>F</v>
      </c>
      <c r="BS46" s="136">
        <v>8</v>
      </c>
      <c r="BT46" s="136">
        <v>20</v>
      </c>
      <c r="BU46" s="136">
        <f t="shared" si="30"/>
        <v>28</v>
      </c>
      <c r="BV46" s="136">
        <v>23</v>
      </c>
      <c r="BW46" s="136">
        <f t="shared" si="31"/>
        <v>51</v>
      </c>
      <c r="BX46" s="212"/>
      <c r="BY46" s="149">
        <f t="shared" si="32"/>
        <v>3</v>
      </c>
      <c r="BZ46" s="136">
        <v>7</v>
      </c>
      <c r="CA46" s="136">
        <v>2</v>
      </c>
      <c r="CB46" s="136">
        <f t="shared" si="33"/>
        <v>9</v>
      </c>
      <c r="CC46" s="136">
        <v>15</v>
      </c>
      <c r="CD46" s="136">
        <v>22</v>
      </c>
      <c r="CE46" s="136">
        <f t="shared" si="34"/>
        <v>46</v>
      </c>
      <c r="CF46" s="212"/>
      <c r="CG46" s="149" t="str">
        <f t="shared" si="35"/>
        <v>0</v>
      </c>
      <c r="CH46" s="149" t="str">
        <f t="shared" si="36"/>
        <v>F</v>
      </c>
      <c r="CI46" s="152" t="str">
        <f t="shared" si="6"/>
        <v>F</v>
      </c>
      <c r="CJ46" s="153" t="str">
        <f t="shared" si="37"/>
        <v>F</v>
      </c>
      <c r="CK46" s="117" t="str">
        <f t="shared" si="38"/>
        <v>NEED TO PROGRESS</v>
      </c>
      <c r="CL46" s="97">
        <f t="shared" si="39"/>
        <v>564</v>
      </c>
      <c r="CM46" s="117" t="str">
        <f t="shared" si="7"/>
        <v>F</v>
      </c>
      <c r="CN46" s="117"/>
    </row>
    <row r="47" spans="1:92" s="158" customFormat="1" ht="24.95" customHeight="1" thickTop="1">
      <c r="A47" s="122">
        <v>39</v>
      </c>
      <c r="B47" s="62">
        <v>146</v>
      </c>
      <c r="C47" s="63" t="s">
        <v>257</v>
      </c>
      <c r="D47" s="63" t="s">
        <v>258</v>
      </c>
      <c r="E47" s="63" t="s">
        <v>259</v>
      </c>
      <c r="F47" s="64" t="s">
        <v>260</v>
      </c>
      <c r="G47" s="154"/>
      <c r="H47" s="154"/>
      <c r="I47" s="136">
        <f t="shared" si="8"/>
        <v>0</v>
      </c>
      <c r="J47" s="154"/>
      <c r="K47" s="154">
        <f t="shared" si="9"/>
        <v>0</v>
      </c>
      <c r="L47" s="154"/>
      <c r="M47" s="154"/>
      <c r="N47" s="136">
        <f t="shared" si="10"/>
        <v>0</v>
      </c>
      <c r="O47" s="154"/>
      <c r="P47" s="154">
        <f t="shared" si="11"/>
        <v>0</v>
      </c>
      <c r="Q47" s="136">
        <f t="shared" si="0"/>
        <v>0</v>
      </c>
      <c r="R47" s="212"/>
      <c r="S47" s="149" t="str">
        <f t="shared" si="12"/>
        <v>F</v>
      </c>
      <c r="T47" s="154"/>
      <c r="U47" s="154"/>
      <c r="V47" s="136">
        <f t="shared" si="1"/>
        <v>0</v>
      </c>
      <c r="W47" s="154"/>
      <c r="X47" s="154"/>
      <c r="Y47" s="136">
        <f t="shared" si="13"/>
        <v>0</v>
      </c>
      <c r="Z47" s="136">
        <f t="shared" si="2"/>
        <v>0</v>
      </c>
      <c r="AA47" s="136">
        <f t="shared" si="14"/>
        <v>0</v>
      </c>
      <c r="AB47" s="212"/>
      <c r="AC47" s="149" t="str">
        <f t="shared" si="15"/>
        <v>F</v>
      </c>
      <c r="AD47" s="154"/>
      <c r="AE47" s="154"/>
      <c r="AF47" s="136">
        <f t="shared" si="3"/>
        <v>0</v>
      </c>
      <c r="AG47" s="154"/>
      <c r="AH47" s="136">
        <f t="shared" si="16"/>
        <v>0</v>
      </c>
      <c r="AI47" s="212"/>
      <c r="AJ47" s="149" t="str">
        <f t="shared" si="17"/>
        <v>F</v>
      </c>
      <c r="AK47" s="154"/>
      <c r="AL47" s="154"/>
      <c r="AM47" s="136">
        <f t="shared" si="4"/>
        <v>0</v>
      </c>
      <c r="AN47" s="154"/>
      <c r="AO47" s="136">
        <f t="shared" si="18"/>
        <v>0</v>
      </c>
      <c r="AP47" s="212"/>
      <c r="AQ47" s="149" t="str">
        <f t="shared" si="19"/>
        <v>F</v>
      </c>
      <c r="AR47" s="154"/>
      <c r="AS47" s="154"/>
      <c r="AT47" s="154"/>
      <c r="AU47" s="136">
        <f t="shared" si="20"/>
        <v>0</v>
      </c>
      <c r="AV47" s="212"/>
      <c r="AW47" s="149" t="str">
        <f t="shared" si="5"/>
        <v>F</v>
      </c>
      <c r="AX47" s="154"/>
      <c r="AY47" s="154"/>
      <c r="AZ47" s="136">
        <f t="shared" si="21"/>
        <v>0</v>
      </c>
      <c r="BA47" s="154"/>
      <c r="BB47" s="136">
        <f t="shared" si="22"/>
        <v>0</v>
      </c>
      <c r="BC47" s="212"/>
      <c r="BD47" s="149" t="str">
        <f t="shared" si="23"/>
        <v>F</v>
      </c>
      <c r="BE47" s="154"/>
      <c r="BF47" s="154"/>
      <c r="BG47" s="136">
        <f t="shared" si="24"/>
        <v>0</v>
      </c>
      <c r="BH47" s="154"/>
      <c r="BI47" s="136">
        <f t="shared" si="25"/>
        <v>0</v>
      </c>
      <c r="BJ47" s="212"/>
      <c r="BK47" s="149" t="str">
        <f t="shared" si="26"/>
        <v>F</v>
      </c>
      <c r="BL47" s="136">
        <v>16</v>
      </c>
      <c r="BM47" s="136">
        <v>30</v>
      </c>
      <c r="BN47" s="136">
        <f t="shared" si="27"/>
        <v>46</v>
      </c>
      <c r="BO47" s="154"/>
      <c r="BP47" s="136">
        <f t="shared" si="28"/>
        <v>46</v>
      </c>
      <c r="BQ47" s="212"/>
      <c r="BR47" s="149" t="str">
        <f t="shared" si="29"/>
        <v>F</v>
      </c>
      <c r="BS47" s="154"/>
      <c r="BT47" s="154"/>
      <c r="BU47" s="136">
        <f t="shared" si="30"/>
        <v>0</v>
      </c>
      <c r="BV47" s="154"/>
      <c r="BW47" s="136">
        <f t="shared" si="31"/>
        <v>0</v>
      </c>
      <c r="BX47" s="212"/>
      <c r="BY47" s="149" t="str">
        <f t="shared" si="32"/>
        <v>F</v>
      </c>
      <c r="BZ47" s="154"/>
      <c r="CA47" s="154"/>
      <c r="CB47" s="136">
        <f t="shared" si="33"/>
        <v>0</v>
      </c>
      <c r="CC47" s="154"/>
      <c r="CD47" s="154"/>
      <c r="CE47" s="136">
        <f t="shared" si="34"/>
        <v>0</v>
      </c>
      <c r="CF47" s="212"/>
      <c r="CG47" s="149" t="str">
        <f t="shared" si="35"/>
        <v>0</v>
      </c>
      <c r="CH47" s="149" t="str">
        <f t="shared" si="36"/>
        <v>F</v>
      </c>
      <c r="CI47" s="154" t="str">
        <f t="shared" si="6"/>
        <v>F</v>
      </c>
      <c r="CJ47" s="155" t="str">
        <f t="shared" si="37"/>
        <v>F</v>
      </c>
      <c r="CK47" s="122" t="str">
        <f t="shared" si="38"/>
        <v>NEED TO PROGRESS</v>
      </c>
      <c r="CL47" s="97">
        <f t="shared" si="39"/>
        <v>46</v>
      </c>
      <c r="CM47" s="122" t="str">
        <f t="shared" si="7"/>
        <v>F</v>
      </c>
      <c r="CN47" s="122"/>
    </row>
    <row r="48" spans="1:92" s="157" customFormat="1" ht="24.95" customHeight="1" thickBot="1">
      <c r="A48" s="97">
        <v>40</v>
      </c>
      <c r="B48" s="199">
        <v>159</v>
      </c>
      <c r="C48" s="24" t="s">
        <v>266</v>
      </c>
      <c r="D48" s="159"/>
      <c r="E48" s="159"/>
      <c r="F48" s="159"/>
      <c r="G48" s="136"/>
      <c r="H48" s="136"/>
      <c r="I48" s="136">
        <f t="shared" si="8"/>
        <v>0</v>
      </c>
      <c r="J48" s="136"/>
      <c r="K48" s="136">
        <f t="shared" si="9"/>
        <v>0</v>
      </c>
      <c r="L48" s="136"/>
      <c r="M48" s="136"/>
      <c r="N48" s="136">
        <f t="shared" si="10"/>
        <v>0</v>
      </c>
      <c r="O48" s="136"/>
      <c r="P48" s="136">
        <f t="shared" si="11"/>
        <v>0</v>
      </c>
      <c r="Q48" s="136">
        <f t="shared" si="0"/>
        <v>0</v>
      </c>
      <c r="R48" s="212"/>
      <c r="S48" s="149" t="str">
        <f t="shared" si="12"/>
        <v>F</v>
      </c>
      <c r="T48" s="136"/>
      <c r="U48" s="136"/>
      <c r="V48" s="136">
        <f t="shared" si="1"/>
        <v>0</v>
      </c>
      <c r="W48" s="136"/>
      <c r="X48" s="136"/>
      <c r="Y48" s="136">
        <f t="shared" si="13"/>
        <v>0</v>
      </c>
      <c r="Z48" s="136">
        <f t="shared" si="2"/>
        <v>0</v>
      </c>
      <c r="AA48" s="136">
        <f t="shared" si="14"/>
        <v>0</v>
      </c>
      <c r="AB48" s="212"/>
      <c r="AC48" s="149" t="str">
        <f t="shared" si="15"/>
        <v>F</v>
      </c>
      <c r="AD48" s="136"/>
      <c r="AE48" s="136"/>
      <c r="AF48" s="136">
        <f t="shared" si="3"/>
        <v>0</v>
      </c>
      <c r="AG48" s="136"/>
      <c r="AH48" s="136">
        <f t="shared" si="16"/>
        <v>0</v>
      </c>
      <c r="AI48" s="212"/>
      <c r="AJ48" s="149" t="str">
        <f t="shared" si="17"/>
        <v>F</v>
      </c>
      <c r="AK48" s="136"/>
      <c r="AL48" s="136"/>
      <c r="AM48" s="136">
        <f t="shared" si="4"/>
        <v>0</v>
      </c>
      <c r="AN48" s="136"/>
      <c r="AO48" s="136">
        <f t="shared" si="18"/>
        <v>0</v>
      </c>
      <c r="AP48" s="212"/>
      <c r="AQ48" s="149" t="str">
        <f t="shared" si="19"/>
        <v>F</v>
      </c>
      <c r="AR48" s="136"/>
      <c r="AS48" s="136"/>
      <c r="AT48" s="136"/>
      <c r="AU48" s="136">
        <f t="shared" si="20"/>
        <v>0</v>
      </c>
      <c r="AV48" s="212"/>
      <c r="AW48" s="149" t="str">
        <f t="shared" si="5"/>
        <v>F</v>
      </c>
      <c r="AX48" s="136"/>
      <c r="AY48" s="136"/>
      <c r="AZ48" s="136">
        <f>SUM(AX48:AY48)</f>
        <v>0</v>
      </c>
      <c r="BA48" s="136"/>
      <c r="BB48" s="136">
        <f t="shared" si="22"/>
        <v>0</v>
      </c>
      <c r="BC48" s="212"/>
      <c r="BD48" s="149" t="str">
        <f t="shared" si="23"/>
        <v>F</v>
      </c>
      <c r="BE48" s="136"/>
      <c r="BF48" s="136"/>
      <c r="BG48" s="136">
        <f>SUM(BE48:BF48)</f>
        <v>0</v>
      </c>
      <c r="BH48" s="136"/>
      <c r="BI48" s="136">
        <f t="shared" si="25"/>
        <v>0</v>
      </c>
      <c r="BJ48" s="212"/>
      <c r="BK48" s="149" t="str">
        <f t="shared" si="26"/>
        <v>F</v>
      </c>
      <c r="BL48" s="136"/>
      <c r="BM48" s="136"/>
      <c r="BN48" s="136">
        <f t="shared" si="27"/>
        <v>0</v>
      </c>
      <c r="BO48" s="136"/>
      <c r="BP48" s="136">
        <f t="shared" si="28"/>
        <v>0</v>
      </c>
      <c r="BQ48" s="212"/>
      <c r="BR48" s="149" t="str">
        <f t="shared" si="29"/>
        <v>F</v>
      </c>
      <c r="BS48" s="136"/>
      <c r="BT48" s="136"/>
      <c r="BU48" s="136">
        <f t="shared" si="30"/>
        <v>0</v>
      </c>
      <c r="BV48" s="136"/>
      <c r="BW48" s="136">
        <f t="shared" si="31"/>
        <v>0</v>
      </c>
      <c r="BX48" s="212"/>
      <c r="BY48" s="149" t="str">
        <f t="shared" si="32"/>
        <v>F</v>
      </c>
      <c r="BZ48" s="136"/>
      <c r="CA48" s="136"/>
      <c r="CB48" s="136">
        <f t="shared" si="33"/>
        <v>0</v>
      </c>
      <c r="CC48" s="136"/>
      <c r="CD48" s="136"/>
      <c r="CE48" s="136">
        <f t="shared" si="34"/>
        <v>0</v>
      </c>
      <c r="CF48" s="212"/>
      <c r="CG48" s="149" t="str">
        <f t="shared" si="35"/>
        <v>0</v>
      </c>
      <c r="CH48" s="149" t="str">
        <f t="shared" si="36"/>
        <v>F</v>
      </c>
      <c r="CI48" s="136" t="str">
        <f t="shared" si="6"/>
        <v>F</v>
      </c>
      <c r="CJ48" s="150" t="str">
        <f t="shared" si="37"/>
        <v>F</v>
      </c>
      <c r="CK48" s="97" t="str">
        <f t="shared" si="38"/>
        <v>NEED TO PROGRESS</v>
      </c>
      <c r="CL48" s="97">
        <f t="shared" si="39"/>
        <v>0</v>
      </c>
      <c r="CM48" s="97" t="str">
        <f t="shared" si="7"/>
        <v>F</v>
      </c>
      <c r="CN48" s="97"/>
    </row>
    <row r="49" spans="1:92" s="157" customFormat="1" ht="24.95" customHeight="1" thickTop="1">
      <c r="A49" s="122">
        <v>41</v>
      </c>
      <c r="B49" s="199">
        <v>140</v>
      </c>
      <c r="C49" s="24" t="s">
        <v>267</v>
      </c>
      <c r="D49" s="159"/>
      <c r="E49" s="159"/>
      <c r="F49" s="159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212"/>
      <c r="S49" s="149"/>
      <c r="T49" s="136"/>
      <c r="U49" s="136"/>
      <c r="V49" s="136"/>
      <c r="W49" s="136"/>
      <c r="X49" s="136"/>
      <c r="Y49" s="136"/>
      <c r="Z49" s="136"/>
      <c r="AA49" s="136"/>
      <c r="AB49" s="212"/>
      <c r="AC49" s="149"/>
      <c r="AD49" s="136"/>
      <c r="AE49" s="136"/>
      <c r="AF49" s="136"/>
      <c r="AG49" s="136"/>
      <c r="AH49" s="136"/>
      <c r="AI49" s="212"/>
      <c r="AJ49" s="149"/>
      <c r="AK49" s="136"/>
      <c r="AL49" s="136"/>
      <c r="AM49" s="136"/>
      <c r="AN49" s="136"/>
      <c r="AO49" s="136"/>
      <c r="AP49" s="212"/>
      <c r="AQ49" s="149"/>
      <c r="AR49" s="136"/>
      <c r="AS49" s="136"/>
      <c r="AT49" s="136"/>
      <c r="AU49" s="136"/>
      <c r="AV49" s="212"/>
      <c r="AW49" s="149"/>
      <c r="AX49" s="136"/>
      <c r="AY49" s="136"/>
      <c r="AZ49" s="136"/>
      <c r="BA49" s="136"/>
      <c r="BB49" s="136"/>
      <c r="BC49" s="212"/>
      <c r="BD49" s="149"/>
      <c r="BE49" s="136"/>
      <c r="BF49" s="136"/>
      <c r="BG49" s="136"/>
      <c r="BH49" s="136"/>
      <c r="BI49" s="136"/>
      <c r="BJ49" s="212"/>
      <c r="BK49" s="149"/>
      <c r="BL49" s="136"/>
      <c r="BM49" s="136"/>
      <c r="BN49" s="136"/>
      <c r="BO49" s="136"/>
      <c r="BP49" s="136"/>
      <c r="BQ49" s="212"/>
      <c r="BR49" s="149"/>
      <c r="BS49" s="136"/>
      <c r="BT49" s="136"/>
      <c r="BU49" s="136"/>
      <c r="BV49" s="136"/>
      <c r="BW49" s="136"/>
      <c r="BX49" s="212"/>
      <c r="BY49" s="149"/>
      <c r="BZ49" s="136"/>
      <c r="CA49" s="136"/>
      <c r="CB49" s="136"/>
      <c r="CC49" s="136"/>
      <c r="CD49" s="136"/>
      <c r="CE49" s="136"/>
      <c r="CF49" s="212"/>
      <c r="CG49" s="149"/>
      <c r="CH49" s="149"/>
      <c r="CI49" s="136"/>
      <c r="CJ49" s="150"/>
      <c r="CK49" s="160"/>
      <c r="CL49" s="97"/>
      <c r="CM49" s="97"/>
      <c r="CN49" s="97"/>
    </row>
    <row r="50" spans="1:92" s="157" customFormat="1" ht="24.95" customHeight="1">
      <c r="A50" s="97">
        <v>42</v>
      </c>
      <c r="B50" s="199">
        <v>155</v>
      </c>
      <c r="C50" s="24" t="s">
        <v>268</v>
      </c>
      <c r="D50" s="159"/>
      <c r="E50" s="159"/>
      <c r="F50" s="159"/>
      <c r="G50" s="136"/>
      <c r="H50" s="136"/>
      <c r="I50" s="136">
        <f t="shared" si="8"/>
        <v>0</v>
      </c>
      <c r="J50" s="136"/>
      <c r="K50" s="136">
        <f t="shared" si="9"/>
        <v>0</v>
      </c>
      <c r="L50" s="136"/>
      <c r="M50" s="136"/>
      <c r="N50" s="136">
        <f t="shared" si="10"/>
        <v>0</v>
      </c>
      <c r="O50" s="136"/>
      <c r="P50" s="136">
        <f t="shared" si="11"/>
        <v>0</v>
      </c>
      <c r="Q50" s="136">
        <f t="shared" si="0"/>
        <v>0</v>
      </c>
      <c r="R50" s="213"/>
      <c r="S50" s="149" t="str">
        <f t="shared" si="12"/>
        <v>F</v>
      </c>
      <c r="T50" s="136"/>
      <c r="U50" s="136"/>
      <c r="V50" s="136">
        <f t="shared" si="1"/>
        <v>0</v>
      </c>
      <c r="W50" s="136"/>
      <c r="X50" s="136"/>
      <c r="Y50" s="136">
        <f t="shared" si="13"/>
        <v>0</v>
      </c>
      <c r="Z50" s="136">
        <f t="shared" si="2"/>
        <v>0</v>
      </c>
      <c r="AA50" s="136">
        <f t="shared" si="14"/>
        <v>0</v>
      </c>
      <c r="AB50" s="213"/>
      <c r="AC50" s="149" t="str">
        <f t="shared" si="15"/>
        <v>F</v>
      </c>
      <c r="AD50" s="136"/>
      <c r="AE50" s="136"/>
      <c r="AF50" s="136">
        <f t="shared" si="3"/>
        <v>0</v>
      </c>
      <c r="AG50" s="136"/>
      <c r="AH50" s="136">
        <f t="shared" si="16"/>
        <v>0</v>
      </c>
      <c r="AI50" s="213"/>
      <c r="AJ50" s="149" t="str">
        <f t="shared" si="17"/>
        <v>F</v>
      </c>
      <c r="AK50" s="136"/>
      <c r="AL50" s="136"/>
      <c r="AM50" s="136">
        <f t="shared" si="4"/>
        <v>0</v>
      </c>
      <c r="AN50" s="136"/>
      <c r="AO50" s="136">
        <f t="shared" si="18"/>
        <v>0</v>
      </c>
      <c r="AP50" s="213"/>
      <c r="AQ50" s="149" t="str">
        <f t="shared" si="19"/>
        <v>F</v>
      </c>
      <c r="AR50" s="136"/>
      <c r="AS50" s="136"/>
      <c r="AT50" s="136"/>
      <c r="AU50" s="136">
        <f t="shared" si="20"/>
        <v>0</v>
      </c>
      <c r="AV50" s="213"/>
      <c r="AW50" s="149" t="str">
        <f t="shared" si="5"/>
        <v>F</v>
      </c>
      <c r="AX50" s="136"/>
      <c r="AY50" s="136"/>
      <c r="AZ50" s="136">
        <f t="shared" si="21"/>
        <v>0</v>
      </c>
      <c r="BA50" s="136"/>
      <c r="BB50" s="136">
        <f t="shared" si="22"/>
        <v>0</v>
      </c>
      <c r="BC50" s="213"/>
      <c r="BD50" s="149" t="str">
        <f t="shared" si="23"/>
        <v>F</v>
      </c>
      <c r="BE50" s="136"/>
      <c r="BF50" s="136"/>
      <c r="BG50" s="136">
        <f t="shared" si="24"/>
        <v>0</v>
      </c>
      <c r="BH50" s="136"/>
      <c r="BI50" s="136">
        <f t="shared" si="25"/>
        <v>0</v>
      </c>
      <c r="BJ50" s="213"/>
      <c r="BK50" s="149" t="str">
        <f t="shared" si="26"/>
        <v>F</v>
      </c>
      <c r="BL50" s="136"/>
      <c r="BM50" s="136"/>
      <c r="BN50" s="136">
        <f t="shared" si="27"/>
        <v>0</v>
      </c>
      <c r="BO50" s="136"/>
      <c r="BP50" s="136">
        <f t="shared" si="28"/>
        <v>0</v>
      </c>
      <c r="BQ50" s="213"/>
      <c r="BR50" s="149" t="str">
        <f t="shared" si="29"/>
        <v>F</v>
      </c>
      <c r="BS50" s="136"/>
      <c r="BT50" s="136"/>
      <c r="BU50" s="136">
        <f t="shared" si="30"/>
        <v>0</v>
      </c>
      <c r="BV50" s="136"/>
      <c r="BW50" s="136">
        <f t="shared" si="31"/>
        <v>0</v>
      </c>
      <c r="BX50" s="213"/>
      <c r="BY50" s="149" t="str">
        <f t="shared" si="32"/>
        <v>F</v>
      </c>
      <c r="BZ50" s="136"/>
      <c r="CA50" s="136"/>
      <c r="CB50" s="136">
        <f t="shared" si="33"/>
        <v>0</v>
      </c>
      <c r="CC50" s="136"/>
      <c r="CD50" s="136"/>
      <c r="CE50" s="136">
        <f t="shared" si="34"/>
        <v>0</v>
      </c>
      <c r="CF50" s="213"/>
      <c r="CG50" s="149" t="str">
        <f t="shared" si="35"/>
        <v>0</v>
      </c>
      <c r="CH50" s="149" t="str">
        <f t="shared" si="36"/>
        <v>F</v>
      </c>
      <c r="CI50" s="136" t="str">
        <f t="shared" si="6"/>
        <v>F</v>
      </c>
      <c r="CJ50" s="150" t="str">
        <f t="shared" si="37"/>
        <v>F</v>
      </c>
      <c r="CK50" s="160" t="str">
        <f t="shared" si="38"/>
        <v>NEED TO PROGRESS</v>
      </c>
      <c r="CL50" s="97">
        <f t="shared" si="39"/>
        <v>0</v>
      </c>
      <c r="CM50" s="97" t="str">
        <f t="shared" si="7"/>
        <v>F</v>
      </c>
      <c r="CN50" s="97"/>
    </row>
    <row r="51" spans="1:92" s="151" customFormat="1">
      <c r="F51" s="161"/>
    </row>
    <row r="52" spans="1:92" s="151" customFormat="1">
      <c r="F52" s="161"/>
    </row>
    <row r="53" spans="1:92" s="151" customFormat="1">
      <c r="F53" s="161"/>
    </row>
    <row r="54" spans="1:92" s="151" customFormat="1">
      <c r="A54" s="162">
        <v>0</v>
      </c>
      <c r="B54" s="162">
        <v>1</v>
      </c>
      <c r="C54" s="162">
        <v>2</v>
      </c>
      <c r="D54" s="162">
        <v>3</v>
      </c>
      <c r="E54" s="162">
        <v>4</v>
      </c>
      <c r="F54" s="162">
        <v>5</v>
      </c>
      <c r="G54" s="162">
        <v>6</v>
      </c>
      <c r="H54" s="162">
        <v>7</v>
      </c>
      <c r="I54" s="162">
        <v>8</v>
      </c>
      <c r="J54" s="162">
        <v>9</v>
      </c>
      <c r="K54" s="162">
        <v>10</v>
      </c>
      <c r="L54" s="162">
        <v>11</v>
      </c>
      <c r="M54" s="162">
        <v>12</v>
      </c>
      <c r="N54" s="162">
        <v>13</v>
      </c>
      <c r="O54" s="162">
        <v>14</v>
      </c>
      <c r="P54" s="162">
        <v>15</v>
      </c>
      <c r="Q54" s="162">
        <v>16</v>
      </c>
      <c r="R54" s="162">
        <v>17</v>
      </c>
      <c r="S54" s="162">
        <v>18</v>
      </c>
      <c r="T54" s="162">
        <v>19</v>
      </c>
      <c r="U54" s="162">
        <v>20</v>
      </c>
      <c r="V54" s="162">
        <v>21</v>
      </c>
      <c r="W54" s="162">
        <v>22</v>
      </c>
      <c r="X54" s="162">
        <v>23</v>
      </c>
      <c r="Y54" s="162">
        <v>24</v>
      </c>
      <c r="Z54" s="162">
        <v>25</v>
      </c>
      <c r="AA54" s="162">
        <v>26</v>
      </c>
      <c r="AB54" s="162">
        <v>27</v>
      </c>
      <c r="AC54" s="162">
        <v>28</v>
      </c>
      <c r="AD54" s="162">
        <v>29</v>
      </c>
      <c r="AE54" s="162">
        <v>30</v>
      </c>
      <c r="AF54" s="162">
        <v>31</v>
      </c>
      <c r="AG54" s="162">
        <v>32</v>
      </c>
      <c r="AH54" s="162">
        <v>33</v>
      </c>
      <c r="AI54" s="162">
        <v>34</v>
      </c>
      <c r="AJ54" s="162">
        <v>35</v>
      </c>
      <c r="AK54" s="162">
        <v>36</v>
      </c>
      <c r="AL54" s="162">
        <v>37</v>
      </c>
      <c r="AM54" s="162">
        <v>38</v>
      </c>
      <c r="AN54" s="162">
        <v>39</v>
      </c>
      <c r="AO54" s="162">
        <v>40</v>
      </c>
      <c r="AP54" s="162">
        <v>41</v>
      </c>
      <c r="AQ54" s="162">
        <v>42</v>
      </c>
      <c r="AR54" s="162">
        <v>43</v>
      </c>
      <c r="AS54" s="162">
        <v>44</v>
      </c>
      <c r="AT54" s="162">
        <v>45</v>
      </c>
      <c r="AU54" s="162">
        <v>46</v>
      </c>
      <c r="AV54" s="162">
        <v>47</v>
      </c>
      <c r="AW54" s="162">
        <v>48</v>
      </c>
      <c r="AX54" s="162">
        <v>49</v>
      </c>
      <c r="AY54" s="162">
        <v>50</v>
      </c>
      <c r="AZ54" s="162">
        <v>51</v>
      </c>
      <c r="BA54" s="162">
        <v>52</v>
      </c>
      <c r="BB54" s="162">
        <v>53</v>
      </c>
      <c r="BC54" s="162">
        <v>54</v>
      </c>
      <c r="BD54" s="162">
        <v>55</v>
      </c>
      <c r="BE54" s="162">
        <v>56</v>
      </c>
      <c r="BF54" s="162">
        <v>57</v>
      </c>
      <c r="BG54" s="162">
        <v>58</v>
      </c>
      <c r="BH54" s="162">
        <v>59</v>
      </c>
      <c r="BI54" s="162">
        <v>60</v>
      </c>
      <c r="BJ54" s="162">
        <v>61</v>
      </c>
      <c r="BK54" s="162">
        <v>62</v>
      </c>
      <c r="BL54" s="162">
        <v>63</v>
      </c>
      <c r="BM54" s="162">
        <v>64</v>
      </c>
      <c r="BN54" s="162">
        <v>65</v>
      </c>
      <c r="BO54" s="162">
        <v>66</v>
      </c>
      <c r="BP54" s="162">
        <v>67</v>
      </c>
      <c r="BQ54" s="162">
        <v>68</v>
      </c>
      <c r="BR54" s="162">
        <v>69</v>
      </c>
      <c r="BS54" s="162">
        <v>70</v>
      </c>
      <c r="BT54" s="162">
        <v>71</v>
      </c>
      <c r="BU54" s="162">
        <v>72</v>
      </c>
      <c r="BV54" s="162">
        <v>73</v>
      </c>
      <c r="BW54" s="162">
        <v>74</v>
      </c>
      <c r="BX54" s="162">
        <v>75</v>
      </c>
      <c r="BY54" s="162">
        <v>76</v>
      </c>
      <c r="BZ54" s="162">
        <v>77</v>
      </c>
      <c r="CA54" s="162">
        <v>78</v>
      </c>
      <c r="CB54" s="162">
        <v>79</v>
      </c>
      <c r="CC54" s="162">
        <v>80</v>
      </c>
      <c r="CD54" s="162">
        <v>81</v>
      </c>
      <c r="CE54" s="162">
        <v>82</v>
      </c>
      <c r="CF54" s="162">
        <v>83</v>
      </c>
      <c r="CG54" s="162">
        <v>84</v>
      </c>
      <c r="CH54" s="162">
        <v>85</v>
      </c>
      <c r="CI54" s="162">
        <v>86</v>
      </c>
      <c r="CJ54" s="162">
        <v>87</v>
      </c>
      <c r="CK54" s="162">
        <v>88</v>
      </c>
      <c r="CL54" s="162">
        <v>89</v>
      </c>
      <c r="CM54" s="162">
        <v>90</v>
      </c>
      <c r="CN54" s="162">
        <v>91</v>
      </c>
    </row>
    <row r="55" spans="1:92" s="151" customFormat="1">
      <c r="F55" s="161"/>
    </row>
    <row r="56" spans="1:92" s="151" customFormat="1">
      <c r="F56" s="161"/>
      <c r="CJ56" s="151" t="s">
        <v>69</v>
      </c>
    </row>
    <row r="57" spans="1:92" s="151" customFormat="1">
      <c r="F57" s="161"/>
    </row>
    <row r="58" spans="1:92" s="151" customFormat="1">
      <c r="F58" s="161"/>
    </row>
    <row r="59" spans="1:92" s="151" customFormat="1">
      <c r="F59" s="161"/>
    </row>
    <row r="60" spans="1:92" s="151" customFormat="1">
      <c r="F60" s="161"/>
    </row>
    <row r="61" spans="1:92" s="151" customFormat="1">
      <c r="F61" s="161"/>
    </row>
    <row r="62" spans="1:92" s="151" customFormat="1">
      <c r="F62" s="161"/>
    </row>
    <row r="63" spans="1:92" s="151" customFormat="1">
      <c r="F63" s="161"/>
    </row>
    <row r="64" spans="1:92" s="151" customFormat="1">
      <c r="F64" s="161"/>
    </row>
    <row r="65" spans="6:27" s="151" customFormat="1">
      <c r="F65" s="161"/>
    </row>
    <row r="66" spans="6:27" s="151" customFormat="1">
      <c r="F66" s="161"/>
    </row>
    <row r="67" spans="6:27" s="151" customFormat="1">
      <c r="F67" s="161"/>
      <c r="AA67" s="151" t="s">
        <v>106</v>
      </c>
    </row>
    <row r="68" spans="6:27" s="151" customFormat="1">
      <c r="F68" s="161"/>
    </row>
    <row r="69" spans="6:27" s="151" customFormat="1">
      <c r="F69" s="161"/>
    </row>
    <row r="70" spans="6:27" s="151" customFormat="1">
      <c r="F70" s="161"/>
    </row>
    <row r="71" spans="6:27" s="151" customFormat="1">
      <c r="F71" s="161"/>
    </row>
    <row r="72" spans="6:27" s="151" customFormat="1">
      <c r="F72" s="161"/>
    </row>
    <row r="73" spans="6:27" s="151" customFormat="1">
      <c r="F73" s="161"/>
    </row>
    <row r="74" spans="6:27" s="151" customFormat="1">
      <c r="F74" s="161"/>
    </row>
    <row r="75" spans="6:27" s="151" customFormat="1">
      <c r="F75" s="161"/>
    </row>
    <row r="76" spans="6:27" s="151" customFormat="1">
      <c r="F76" s="161"/>
    </row>
    <row r="77" spans="6:27" s="151" customFormat="1">
      <c r="F77" s="161"/>
    </row>
    <row r="78" spans="6:27" s="151" customFormat="1">
      <c r="F78" s="161"/>
    </row>
    <row r="79" spans="6:27" s="151" customFormat="1">
      <c r="F79" s="161"/>
    </row>
    <row r="80" spans="6:27" s="151" customFormat="1">
      <c r="F80" s="161"/>
    </row>
    <row r="81" spans="6:6" s="151" customFormat="1">
      <c r="F81" s="161"/>
    </row>
    <row r="82" spans="6:6" s="151" customFormat="1">
      <c r="F82" s="161"/>
    </row>
    <row r="83" spans="6:6" s="151" customFormat="1">
      <c r="F83" s="161"/>
    </row>
    <row r="84" spans="6:6" s="151" customFormat="1">
      <c r="F84" s="161"/>
    </row>
    <row r="85" spans="6:6" s="151" customFormat="1">
      <c r="F85" s="161"/>
    </row>
    <row r="86" spans="6:6" s="151" customFormat="1">
      <c r="F86" s="161"/>
    </row>
    <row r="87" spans="6:6" s="151" customFormat="1">
      <c r="F87" s="161"/>
    </row>
    <row r="88" spans="6:6" s="151" customFormat="1">
      <c r="F88" s="161"/>
    </row>
    <row r="89" spans="6:6" s="151" customFormat="1">
      <c r="F89" s="161"/>
    </row>
    <row r="90" spans="6:6" s="151" customFormat="1">
      <c r="F90" s="161"/>
    </row>
    <row r="91" spans="6:6" s="151" customFormat="1">
      <c r="F91" s="161"/>
    </row>
    <row r="92" spans="6:6" s="151" customFormat="1">
      <c r="F92" s="161"/>
    </row>
    <row r="93" spans="6:6" s="151" customFormat="1">
      <c r="F93" s="161"/>
    </row>
    <row r="94" spans="6:6" s="151" customFormat="1">
      <c r="F94" s="161"/>
    </row>
    <row r="95" spans="6:6" s="151" customFormat="1">
      <c r="F95" s="161"/>
    </row>
    <row r="96" spans="6:6" s="151" customFormat="1">
      <c r="F96" s="161"/>
    </row>
    <row r="97" spans="6:6" s="151" customFormat="1">
      <c r="F97" s="161"/>
    </row>
    <row r="98" spans="6:6" s="151" customFormat="1">
      <c r="F98" s="161"/>
    </row>
    <row r="99" spans="6:6" s="151" customFormat="1">
      <c r="F99" s="161"/>
    </row>
    <row r="100" spans="6:6" s="151" customFormat="1">
      <c r="F100" s="161"/>
    </row>
    <row r="101" spans="6:6" s="151" customFormat="1">
      <c r="F101" s="161"/>
    </row>
    <row r="102" spans="6:6" s="151" customFormat="1">
      <c r="F102" s="161"/>
    </row>
    <row r="103" spans="6:6" s="151" customFormat="1">
      <c r="F103" s="161"/>
    </row>
    <row r="104" spans="6:6" s="151" customFormat="1">
      <c r="F104" s="161"/>
    </row>
    <row r="105" spans="6:6" s="151" customFormat="1">
      <c r="F105" s="161"/>
    </row>
    <row r="106" spans="6:6" s="151" customFormat="1">
      <c r="F106" s="161"/>
    </row>
    <row r="107" spans="6:6" s="151" customFormat="1">
      <c r="F107" s="161"/>
    </row>
    <row r="108" spans="6:6" s="151" customFormat="1">
      <c r="F108" s="161"/>
    </row>
    <row r="109" spans="6:6" s="151" customFormat="1">
      <c r="F109" s="161"/>
    </row>
    <row r="110" spans="6:6" s="151" customFormat="1">
      <c r="F110" s="161"/>
    </row>
    <row r="111" spans="6:6" s="151" customFormat="1">
      <c r="F111" s="161"/>
    </row>
    <row r="112" spans="6:6" s="151" customFormat="1">
      <c r="F112" s="161"/>
    </row>
    <row r="113" spans="6:6" s="151" customFormat="1">
      <c r="F113" s="161"/>
    </row>
    <row r="114" spans="6:6" s="151" customFormat="1">
      <c r="F114" s="161"/>
    </row>
    <row r="115" spans="6:6" s="151" customFormat="1">
      <c r="F115" s="161"/>
    </row>
    <row r="116" spans="6:6" s="151" customFormat="1">
      <c r="F116" s="161"/>
    </row>
    <row r="117" spans="6:6" s="151" customFormat="1">
      <c r="F117" s="161"/>
    </row>
    <row r="118" spans="6:6" s="151" customFormat="1">
      <c r="F118" s="161"/>
    </row>
    <row r="119" spans="6:6" s="151" customFormat="1">
      <c r="F119" s="161"/>
    </row>
    <row r="120" spans="6:6" s="151" customFormat="1">
      <c r="F120" s="161"/>
    </row>
    <row r="121" spans="6:6" s="151" customFormat="1">
      <c r="F121" s="161"/>
    </row>
    <row r="122" spans="6:6" s="151" customFormat="1">
      <c r="F122" s="161"/>
    </row>
    <row r="123" spans="6:6" s="151" customFormat="1">
      <c r="F123" s="161"/>
    </row>
    <row r="124" spans="6:6" s="151" customFormat="1">
      <c r="F124" s="161"/>
    </row>
    <row r="125" spans="6:6" s="151" customFormat="1">
      <c r="F125" s="161"/>
    </row>
    <row r="126" spans="6:6" s="151" customFormat="1">
      <c r="F126" s="161"/>
    </row>
    <row r="127" spans="6:6" s="151" customFormat="1">
      <c r="F127" s="161"/>
    </row>
    <row r="128" spans="6:6" s="151" customFormat="1">
      <c r="F128" s="161"/>
    </row>
    <row r="129" spans="6:6" s="151" customFormat="1">
      <c r="F129" s="161"/>
    </row>
    <row r="130" spans="6:6" s="151" customFormat="1">
      <c r="F130" s="161"/>
    </row>
    <row r="131" spans="6:6" s="151" customFormat="1">
      <c r="F131" s="161"/>
    </row>
    <row r="132" spans="6:6" s="151" customFormat="1">
      <c r="F132" s="161"/>
    </row>
    <row r="133" spans="6:6" s="151" customFormat="1">
      <c r="F133" s="161"/>
    </row>
    <row r="134" spans="6:6" s="151" customFormat="1">
      <c r="F134" s="161"/>
    </row>
    <row r="135" spans="6:6" s="151" customFormat="1">
      <c r="F135" s="161"/>
    </row>
    <row r="136" spans="6:6" s="151" customFormat="1">
      <c r="F136" s="161"/>
    </row>
    <row r="137" spans="6:6" s="151" customFormat="1">
      <c r="F137" s="161"/>
    </row>
    <row r="138" spans="6:6" s="151" customFormat="1">
      <c r="F138" s="161"/>
    </row>
    <row r="139" spans="6:6" s="151" customFormat="1">
      <c r="F139" s="161"/>
    </row>
    <row r="140" spans="6:6" s="151" customFormat="1">
      <c r="F140" s="161"/>
    </row>
    <row r="141" spans="6:6" s="151" customFormat="1">
      <c r="F141" s="161"/>
    </row>
    <row r="142" spans="6:6" s="151" customFormat="1">
      <c r="F142" s="161"/>
    </row>
    <row r="143" spans="6:6" s="151" customFormat="1">
      <c r="F143" s="161"/>
    </row>
    <row r="144" spans="6:6" s="151" customFormat="1">
      <c r="F144" s="161"/>
    </row>
    <row r="145" spans="6:6" s="151" customFormat="1">
      <c r="F145" s="161"/>
    </row>
    <row r="146" spans="6:6" s="151" customFormat="1">
      <c r="F146" s="161"/>
    </row>
    <row r="147" spans="6:6" s="151" customFormat="1">
      <c r="F147" s="161"/>
    </row>
    <row r="148" spans="6:6" s="151" customFormat="1">
      <c r="F148" s="161"/>
    </row>
    <row r="149" spans="6:6" s="151" customFormat="1">
      <c r="F149" s="161"/>
    </row>
    <row r="150" spans="6:6" s="151" customFormat="1">
      <c r="F150" s="161"/>
    </row>
    <row r="151" spans="6:6" s="151" customFormat="1">
      <c r="F151" s="161"/>
    </row>
    <row r="152" spans="6:6" s="151" customFormat="1">
      <c r="F152" s="161"/>
    </row>
    <row r="153" spans="6:6" s="151" customFormat="1">
      <c r="F153" s="161"/>
    </row>
    <row r="154" spans="6:6" s="151" customFormat="1">
      <c r="F154" s="161"/>
    </row>
    <row r="155" spans="6:6" s="151" customFormat="1">
      <c r="F155" s="161"/>
    </row>
    <row r="156" spans="6:6" s="151" customFormat="1">
      <c r="F156" s="161"/>
    </row>
    <row r="157" spans="6:6" s="151" customFormat="1">
      <c r="F157" s="161"/>
    </row>
    <row r="158" spans="6:6" s="151" customFormat="1">
      <c r="F158" s="161"/>
    </row>
    <row r="159" spans="6:6" s="151" customFormat="1">
      <c r="F159" s="161"/>
    </row>
    <row r="160" spans="6:6" s="151" customFormat="1">
      <c r="F160" s="161"/>
    </row>
    <row r="161" spans="6:6" s="151" customFormat="1">
      <c r="F161" s="161"/>
    </row>
    <row r="162" spans="6:6" s="56" customFormat="1">
      <c r="F162" s="163"/>
    </row>
    <row r="163" spans="6:6" s="56" customFormat="1">
      <c r="F163" s="163"/>
    </row>
    <row r="164" spans="6:6" s="56" customFormat="1">
      <c r="F164" s="163"/>
    </row>
    <row r="165" spans="6:6" s="56" customFormat="1">
      <c r="F165" s="163"/>
    </row>
    <row r="166" spans="6:6" s="56" customFormat="1">
      <c r="F166" s="163"/>
    </row>
    <row r="167" spans="6:6" s="56" customFormat="1">
      <c r="F167" s="163"/>
    </row>
    <row r="168" spans="6:6" s="56" customFormat="1">
      <c r="F168" s="163"/>
    </row>
    <row r="169" spans="6:6" s="56" customFormat="1">
      <c r="F169" s="163"/>
    </row>
    <row r="170" spans="6:6" s="56" customFormat="1">
      <c r="F170" s="163"/>
    </row>
    <row r="171" spans="6:6" s="56" customFormat="1">
      <c r="F171" s="163"/>
    </row>
    <row r="172" spans="6:6" s="56" customFormat="1">
      <c r="F172" s="163"/>
    </row>
    <row r="173" spans="6:6" s="56" customFormat="1">
      <c r="F173" s="163"/>
    </row>
    <row r="174" spans="6:6" s="56" customFormat="1">
      <c r="F174" s="163"/>
    </row>
    <row r="175" spans="6:6" s="56" customFormat="1">
      <c r="F175" s="163"/>
    </row>
    <row r="176" spans="6:6" s="56" customFormat="1">
      <c r="F176" s="163"/>
    </row>
    <row r="177" spans="6:6" s="56" customFormat="1">
      <c r="F177" s="163"/>
    </row>
    <row r="178" spans="6:6" s="56" customFormat="1">
      <c r="F178" s="163"/>
    </row>
    <row r="179" spans="6:6" s="56" customFormat="1">
      <c r="F179" s="163"/>
    </row>
    <row r="180" spans="6:6" s="56" customFormat="1">
      <c r="F180" s="163"/>
    </row>
    <row r="181" spans="6:6" s="56" customFormat="1">
      <c r="F181" s="163"/>
    </row>
    <row r="182" spans="6:6" s="56" customFormat="1">
      <c r="F182" s="163"/>
    </row>
    <row r="183" spans="6:6" s="56" customFormat="1">
      <c r="F183" s="163"/>
    </row>
    <row r="184" spans="6:6" s="56" customFormat="1">
      <c r="F184" s="163"/>
    </row>
    <row r="185" spans="6:6" s="56" customFormat="1">
      <c r="F185" s="163"/>
    </row>
    <row r="186" spans="6:6" s="56" customFormat="1">
      <c r="F186" s="163"/>
    </row>
    <row r="187" spans="6:6" s="56" customFormat="1">
      <c r="F187" s="163"/>
    </row>
    <row r="188" spans="6:6" s="56" customFormat="1">
      <c r="F188" s="163"/>
    </row>
    <row r="189" spans="6:6" s="56" customFormat="1">
      <c r="F189" s="163"/>
    </row>
    <row r="190" spans="6:6" s="56" customFormat="1">
      <c r="F190" s="163"/>
    </row>
    <row r="191" spans="6:6" s="56" customFormat="1">
      <c r="F191" s="163"/>
    </row>
    <row r="192" spans="6:6" s="56" customFormat="1">
      <c r="F192" s="163"/>
    </row>
    <row r="193" spans="6:6" s="56" customFormat="1">
      <c r="F193" s="163"/>
    </row>
    <row r="194" spans="6:6" s="56" customFormat="1">
      <c r="F194" s="163"/>
    </row>
    <row r="195" spans="6:6" s="56" customFormat="1">
      <c r="F195" s="163"/>
    </row>
    <row r="196" spans="6:6" s="56" customFormat="1">
      <c r="F196" s="163"/>
    </row>
    <row r="197" spans="6:6" s="56" customFormat="1">
      <c r="F197" s="163"/>
    </row>
    <row r="198" spans="6:6" s="56" customFormat="1">
      <c r="F198" s="163"/>
    </row>
    <row r="199" spans="6:6" s="56" customFormat="1">
      <c r="F199" s="163"/>
    </row>
    <row r="200" spans="6:6" s="56" customFormat="1">
      <c r="F200" s="163"/>
    </row>
    <row r="201" spans="6:6" s="56" customFormat="1">
      <c r="F201" s="163"/>
    </row>
    <row r="202" spans="6:6" s="56" customFormat="1">
      <c r="F202" s="163"/>
    </row>
    <row r="203" spans="6:6" s="56" customFormat="1">
      <c r="F203" s="163"/>
    </row>
    <row r="204" spans="6:6" s="56" customFormat="1">
      <c r="F204" s="163"/>
    </row>
    <row r="205" spans="6:6" s="56" customFormat="1">
      <c r="F205" s="163"/>
    </row>
    <row r="206" spans="6:6" s="56" customFormat="1">
      <c r="F206" s="163"/>
    </row>
    <row r="207" spans="6:6" s="56" customFormat="1">
      <c r="F207" s="163"/>
    </row>
    <row r="208" spans="6:6" s="56" customFormat="1">
      <c r="F208" s="163"/>
    </row>
    <row r="209" spans="6:6" s="56" customFormat="1">
      <c r="F209" s="163"/>
    </row>
    <row r="210" spans="6:6" s="56" customFormat="1">
      <c r="F210" s="163"/>
    </row>
    <row r="211" spans="6:6" s="56" customFormat="1">
      <c r="F211" s="163"/>
    </row>
    <row r="212" spans="6:6" s="56" customFormat="1">
      <c r="F212" s="163"/>
    </row>
    <row r="213" spans="6:6" s="56" customFormat="1">
      <c r="F213" s="163"/>
    </row>
    <row r="214" spans="6:6" s="56" customFormat="1">
      <c r="F214" s="163"/>
    </row>
    <row r="215" spans="6:6" s="56" customFormat="1">
      <c r="F215" s="163"/>
    </row>
    <row r="216" spans="6:6" s="56" customFormat="1">
      <c r="F216" s="163"/>
    </row>
    <row r="217" spans="6:6" s="56" customFormat="1">
      <c r="F217" s="163"/>
    </row>
    <row r="218" spans="6:6" s="56" customFormat="1">
      <c r="F218" s="163"/>
    </row>
    <row r="219" spans="6:6" s="56" customFormat="1">
      <c r="F219" s="163"/>
    </row>
    <row r="220" spans="6:6" s="56" customFormat="1">
      <c r="F220" s="163"/>
    </row>
    <row r="221" spans="6:6" s="56" customFormat="1">
      <c r="F221" s="163"/>
    </row>
    <row r="222" spans="6:6" s="56" customFormat="1">
      <c r="F222" s="163"/>
    </row>
    <row r="223" spans="6:6" s="56" customFormat="1">
      <c r="F223" s="163"/>
    </row>
    <row r="224" spans="6:6" s="56" customFormat="1">
      <c r="F224" s="163"/>
    </row>
    <row r="225" spans="6:6" s="56" customFormat="1">
      <c r="F225" s="163"/>
    </row>
    <row r="226" spans="6:6" s="56" customFormat="1">
      <c r="F226" s="163"/>
    </row>
    <row r="227" spans="6:6" s="56" customFormat="1">
      <c r="F227" s="163"/>
    </row>
    <row r="228" spans="6:6" s="56" customFormat="1">
      <c r="F228" s="163"/>
    </row>
    <row r="229" spans="6:6" s="56" customFormat="1">
      <c r="F229" s="163"/>
    </row>
    <row r="230" spans="6:6" s="56" customFormat="1">
      <c r="F230" s="163"/>
    </row>
    <row r="231" spans="6:6" s="56" customFormat="1">
      <c r="F231" s="163"/>
    </row>
    <row r="232" spans="6:6" s="56" customFormat="1">
      <c r="F232" s="163"/>
    </row>
    <row r="233" spans="6:6" s="56" customFormat="1">
      <c r="F233" s="163"/>
    </row>
    <row r="234" spans="6:6" s="56" customFormat="1">
      <c r="F234" s="163"/>
    </row>
    <row r="235" spans="6:6" s="56" customFormat="1">
      <c r="F235" s="163"/>
    </row>
    <row r="236" spans="6:6" s="56" customFormat="1">
      <c r="F236" s="163"/>
    </row>
    <row r="237" spans="6:6" s="56" customFormat="1">
      <c r="F237" s="163"/>
    </row>
    <row r="238" spans="6:6" s="56" customFormat="1">
      <c r="F238" s="163"/>
    </row>
    <row r="239" spans="6:6" s="56" customFormat="1">
      <c r="F239" s="163"/>
    </row>
    <row r="240" spans="6:6" s="56" customFormat="1">
      <c r="F240" s="163"/>
    </row>
    <row r="241" spans="6:6" s="56" customFormat="1">
      <c r="F241" s="163"/>
    </row>
    <row r="242" spans="6:6" s="56" customFormat="1">
      <c r="F242" s="163"/>
    </row>
    <row r="243" spans="6:6" s="56" customFormat="1">
      <c r="F243" s="163"/>
    </row>
    <row r="244" spans="6:6" s="56" customFormat="1">
      <c r="F244" s="163"/>
    </row>
    <row r="245" spans="6:6" s="56" customFormat="1">
      <c r="F245" s="163"/>
    </row>
    <row r="246" spans="6:6" s="56" customFormat="1">
      <c r="F246" s="163"/>
    </row>
    <row r="247" spans="6:6" s="56" customFormat="1">
      <c r="F247" s="163"/>
    </row>
    <row r="248" spans="6:6" s="56" customFormat="1">
      <c r="F248" s="163"/>
    </row>
    <row r="249" spans="6:6" s="56" customFormat="1">
      <c r="F249" s="163"/>
    </row>
    <row r="250" spans="6:6" s="56" customFormat="1">
      <c r="F250" s="163"/>
    </row>
    <row r="251" spans="6:6" s="56" customFormat="1">
      <c r="F251" s="163"/>
    </row>
    <row r="252" spans="6:6" s="56" customFormat="1">
      <c r="F252" s="163"/>
    </row>
    <row r="253" spans="6:6" s="56" customFormat="1">
      <c r="F253" s="163"/>
    </row>
    <row r="254" spans="6:6" s="56" customFormat="1">
      <c r="F254" s="163"/>
    </row>
    <row r="255" spans="6:6" s="56" customFormat="1">
      <c r="F255" s="163"/>
    </row>
    <row r="256" spans="6:6" s="56" customFormat="1">
      <c r="F256" s="163"/>
    </row>
    <row r="257" spans="6:6" s="56" customFormat="1">
      <c r="F257" s="163"/>
    </row>
    <row r="258" spans="6:6" s="56" customFormat="1">
      <c r="F258" s="163"/>
    </row>
    <row r="259" spans="6:6" s="56" customFormat="1">
      <c r="F259" s="163"/>
    </row>
    <row r="260" spans="6:6" s="56" customFormat="1">
      <c r="F260" s="163"/>
    </row>
    <row r="261" spans="6:6" s="56" customFormat="1">
      <c r="F261" s="163"/>
    </row>
    <row r="262" spans="6:6" s="56" customFormat="1">
      <c r="F262" s="163"/>
    </row>
    <row r="263" spans="6:6" s="56" customFormat="1">
      <c r="F263" s="163"/>
    </row>
    <row r="264" spans="6:6" s="56" customFormat="1">
      <c r="F264" s="163"/>
    </row>
    <row r="265" spans="6:6" s="56" customFormat="1">
      <c r="F265" s="163"/>
    </row>
    <row r="266" spans="6:6" s="56" customFormat="1">
      <c r="F266" s="163"/>
    </row>
    <row r="267" spans="6:6" s="56" customFormat="1">
      <c r="F267" s="163"/>
    </row>
    <row r="268" spans="6:6" s="56" customFormat="1">
      <c r="F268" s="163"/>
    </row>
    <row r="269" spans="6:6" s="56" customFormat="1">
      <c r="F269" s="163"/>
    </row>
    <row r="270" spans="6:6" s="56" customFormat="1">
      <c r="F270" s="163"/>
    </row>
    <row r="271" spans="6:6" s="56" customFormat="1">
      <c r="F271" s="163"/>
    </row>
    <row r="272" spans="6:6" s="56" customFormat="1">
      <c r="F272" s="163"/>
    </row>
    <row r="273" spans="6:6" s="56" customFormat="1">
      <c r="F273" s="163"/>
    </row>
    <row r="274" spans="6:6" s="56" customFormat="1">
      <c r="F274" s="163"/>
    </row>
    <row r="275" spans="6:6" s="56" customFormat="1">
      <c r="F275" s="163"/>
    </row>
    <row r="276" spans="6:6" s="56" customFormat="1">
      <c r="F276" s="163"/>
    </row>
    <row r="277" spans="6:6" s="56" customFormat="1">
      <c r="F277" s="163"/>
    </row>
    <row r="278" spans="6:6" s="56" customFormat="1">
      <c r="F278" s="163"/>
    </row>
    <row r="279" spans="6:6" s="56" customFormat="1">
      <c r="F279" s="163"/>
    </row>
    <row r="280" spans="6:6" s="56" customFormat="1">
      <c r="F280" s="163"/>
    </row>
    <row r="281" spans="6:6" s="56" customFormat="1">
      <c r="F281" s="163"/>
    </row>
    <row r="282" spans="6:6" s="56" customFormat="1">
      <c r="F282" s="163"/>
    </row>
    <row r="283" spans="6:6" s="56" customFormat="1">
      <c r="F283" s="163"/>
    </row>
    <row r="284" spans="6:6" s="56" customFormat="1">
      <c r="F284" s="163"/>
    </row>
    <row r="285" spans="6:6" s="56" customFormat="1">
      <c r="F285" s="163"/>
    </row>
    <row r="286" spans="6:6" s="56" customFormat="1">
      <c r="F286" s="163"/>
    </row>
    <row r="287" spans="6:6" s="56" customFormat="1">
      <c r="F287" s="163"/>
    </row>
    <row r="288" spans="6:6" s="56" customFormat="1">
      <c r="F288" s="163"/>
    </row>
    <row r="289" spans="6:6" s="56" customFormat="1">
      <c r="F289" s="163"/>
    </row>
    <row r="290" spans="6:6" s="56" customFormat="1">
      <c r="F290" s="163"/>
    </row>
    <row r="291" spans="6:6" s="56" customFormat="1">
      <c r="F291" s="163"/>
    </row>
    <row r="292" spans="6:6" s="56" customFormat="1">
      <c r="F292" s="163"/>
    </row>
    <row r="293" spans="6:6" s="56" customFormat="1">
      <c r="F293" s="163"/>
    </row>
    <row r="294" spans="6:6" s="56" customFormat="1">
      <c r="F294" s="163"/>
    </row>
    <row r="295" spans="6:6" s="56" customFormat="1">
      <c r="F295" s="163"/>
    </row>
    <row r="296" spans="6:6" s="56" customFormat="1">
      <c r="F296" s="163"/>
    </row>
    <row r="297" spans="6:6" s="56" customFormat="1">
      <c r="F297" s="163"/>
    </row>
    <row r="298" spans="6:6" s="56" customFormat="1">
      <c r="F298" s="163"/>
    </row>
    <row r="299" spans="6:6" s="56" customFormat="1">
      <c r="F299" s="163"/>
    </row>
    <row r="300" spans="6:6" s="56" customFormat="1">
      <c r="F300" s="163"/>
    </row>
    <row r="301" spans="6:6" s="56" customFormat="1">
      <c r="F301" s="163"/>
    </row>
    <row r="302" spans="6:6" s="56" customFormat="1">
      <c r="F302" s="163"/>
    </row>
    <row r="303" spans="6:6" s="56" customFormat="1">
      <c r="F303" s="163"/>
    </row>
    <row r="304" spans="6:6" s="56" customFormat="1">
      <c r="F304" s="163"/>
    </row>
    <row r="305" spans="6:6" s="56" customFormat="1">
      <c r="F305" s="163"/>
    </row>
    <row r="306" spans="6:6" s="56" customFormat="1">
      <c r="F306" s="163"/>
    </row>
    <row r="307" spans="6:6" s="56" customFormat="1">
      <c r="F307" s="163"/>
    </row>
    <row r="308" spans="6:6" s="56" customFormat="1">
      <c r="F308" s="163"/>
    </row>
    <row r="309" spans="6:6" s="56" customFormat="1">
      <c r="F309" s="163"/>
    </row>
    <row r="310" spans="6:6" s="56" customFormat="1">
      <c r="F310" s="163"/>
    </row>
    <row r="311" spans="6:6" s="56" customFormat="1">
      <c r="F311" s="163"/>
    </row>
    <row r="312" spans="6:6" s="56" customFormat="1">
      <c r="F312" s="163"/>
    </row>
    <row r="313" spans="6:6" s="56" customFormat="1">
      <c r="F313" s="163"/>
    </row>
    <row r="314" spans="6:6" s="56" customFormat="1">
      <c r="F314" s="163"/>
    </row>
    <row r="315" spans="6:6" s="56" customFormat="1">
      <c r="F315" s="163"/>
    </row>
    <row r="316" spans="6:6" s="56" customFormat="1">
      <c r="F316" s="163"/>
    </row>
    <row r="317" spans="6:6" s="56" customFormat="1">
      <c r="F317" s="163"/>
    </row>
    <row r="318" spans="6:6" s="56" customFormat="1">
      <c r="F318" s="163"/>
    </row>
    <row r="319" spans="6:6" s="56" customFormat="1">
      <c r="F319" s="163"/>
    </row>
    <row r="320" spans="6:6" s="56" customFormat="1">
      <c r="F320" s="163"/>
    </row>
    <row r="321" spans="6:6" s="56" customFormat="1">
      <c r="F321" s="163"/>
    </row>
    <row r="322" spans="6:6" s="56" customFormat="1">
      <c r="F322" s="163"/>
    </row>
    <row r="323" spans="6:6" s="56" customFormat="1">
      <c r="F323" s="163"/>
    </row>
    <row r="324" spans="6:6" s="56" customFormat="1">
      <c r="F324" s="163"/>
    </row>
    <row r="325" spans="6:6" s="56" customFormat="1">
      <c r="F325" s="163"/>
    </row>
    <row r="326" spans="6:6" s="56" customFormat="1">
      <c r="F326" s="163"/>
    </row>
    <row r="327" spans="6:6" s="56" customFormat="1">
      <c r="F327" s="163"/>
    </row>
    <row r="328" spans="6:6" s="56" customFormat="1">
      <c r="F328" s="163"/>
    </row>
    <row r="329" spans="6:6" s="56" customFormat="1">
      <c r="F329" s="163"/>
    </row>
    <row r="330" spans="6:6" s="56" customFormat="1">
      <c r="F330" s="163"/>
    </row>
    <row r="331" spans="6:6" s="56" customFormat="1">
      <c r="F331" s="163"/>
    </row>
    <row r="332" spans="6:6" s="56" customFormat="1">
      <c r="F332" s="163"/>
    </row>
    <row r="333" spans="6:6" s="56" customFormat="1">
      <c r="F333" s="163"/>
    </row>
    <row r="334" spans="6:6" s="56" customFormat="1">
      <c r="F334" s="163"/>
    </row>
    <row r="335" spans="6:6" s="56" customFormat="1">
      <c r="F335" s="163"/>
    </row>
    <row r="336" spans="6:6" s="56" customFormat="1">
      <c r="F336" s="163"/>
    </row>
    <row r="337" spans="6:6" s="56" customFormat="1">
      <c r="F337" s="163"/>
    </row>
    <row r="338" spans="6:6" s="56" customFormat="1">
      <c r="F338" s="163"/>
    </row>
    <row r="339" spans="6:6" s="56" customFormat="1">
      <c r="F339" s="163"/>
    </row>
    <row r="340" spans="6:6" s="56" customFormat="1">
      <c r="F340" s="163"/>
    </row>
    <row r="341" spans="6:6" s="56" customFormat="1">
      <c r="F341" s="163"/>
    </row>
    <row r="342" spans="6:6" s="56" customFormat="1">
      <c r="F342" s="163"/>
    </row>
    <row r="343" spans="6:6" s="56" customFormat="1">
      <c r="F343" s="163"/>
    </row>
    <row r="344" spans="6:6" s="56" customFormat="1">
      <c r="F344" s="163"/>
    </row>
    <row r="345" spans="6:6" s="56" customFormat="1">
      <c r="F345" s="163"/>
    </row>
    <row r="346" spans="6:6" s="56" customFormat="1">
      <c r="F346" s="163"/>
    </row>
    <row r="347" spans="6:6" s="56" customFormat="1">
      <c r="F347" s="163"/>
    </row>
    <row r="348" spans="6:6" s="56" customFormat="1">
      <c r="F348" s="163"/>
    </row>
    <row r="349" spans="6:6" s="56" customFormat="1">
      <c r="F349" s="163"/>
    </row>
    <row r="350" spans="6:6" s="56" customFormat="1">
      <c r="F350" s="163"/>
    </row>
    <row r="351" spans="6:6" s="56" customFormat="1">
      <c r="F351" s="163"/>
    </row>
    <row r="352" spans="6:6" s="56" customFormat="1">
      <c r="F352" s="163"/>
    </row>
    <row r="353" spans="6:91" s="56" customFormat="1">
      <c r="F353" s="163"/>
    </row>
    <row r="354" spans="6:91" s="56" customFormat="1">
      <c r="F354" s="163"/>
    </row>
    <row r="355" spans="6:91" s="56" customFormat="1">
      <c r="F355" s="163"/>
    </row>
    <row r="356" spans="6:91" s="56" customFormat="1">
      <c r="F356" s="163"/>
    </row>
    <row r="357" spans="6:91" s="56" customFormat="1">
      <c r="F357" s="163"/>
    </row>
    <row r="358" spans="6:91" s="56" customFormat="1">
      <c r="F358" s="163"/>
    </row>
    <row r="359" spans="6:91" s="56" customFormat="1">
      <c r="F359" s="163"/>
    </row>
    <row r="360" spans="6:91" s="56" customFormat="1">
      <c r="F360" s="163"/>
    </row>
    <row r="361" spans="6:91" s="56" customFormat="1">
      <c r="F361" s="163"/>
    </row>
    <row r="362" spans="6:91" s="56" customFormat="1">
      <c r="F362" s="163"/>
    </row>
    <row r="363" spans="6:91" s="56" customFormat="1">
      <c r="F363" s="163"/>
    </row>
    <row r="364" spans="6:91" s="56" customFormat="1">
      <c r="F364" s="163"/>
    </row>
    <row r="365" spans="6:91" s="56" customFormat="1">
      <c r="F365" s="163"/>
    </row>
    <row r="366" spans="6:91" s="56" customFormat="1">
      <c r="F366" s="163"/>
    </row>
    <row r="367" spans="6:91">
      <c r="CM367"/>
    </row>
    <row r="368" spans="6:91">
      <c r="CM368"/>
    </row>
    <row r="369" spans="91:91">
      <c r="CM369"/>
    </row>
    <row r="370" spans="91:91">
      <c r="CM370"/>
    </row>
    <row r="371" spans="91:91">
      <c r="CM371"/>
    </row>
    <row r="372" spans="91:91">
      <c r="CM372"/>
    </row>
    <row r="373" spans="91:91">
      <c r="CM373"/>
    </row>
    <row r="374" spans="91:91">
      <c r="CM374"/>
    </row>
    <row r="375" spans="91:91">
      <c r="CM375"/>
    </row>
    <row r="376" spans="91:91">
      <c r="CM376"/>
    </row>
    <row r="377" spans="91:91">
      <c r="CM377"/>
    </row>
    <row r="378" spans="91:91">
      <c r="CM378"/>
    </row>
    <row r="379" spans="91:91">
      <c r="CM379"/>
    </row>
    <row r="380" spans="91:91">
      <c r="CM380"/>
    </row>
    <row r="381" spans="91:91">
      <c r="CM381"/>
    </row>
    <row r="382" spans="91:91">
      <c r="CM382"/>
    </row>
    <row r="383" spans="91:91">
      <c r="CM383"/>
    </row>
    <row r="384" spans="91:91">
      <c r="CM384"/>
    </row>
    <row r="385" spans="91:91">
      <c r="CM385"/>
    </row>
    <row r="386" spans="91:91">
      <c r="CM386"/>
    </row>
    <row r="387" spans="91:91">
      <c r="CM387"/>
    </row>
    <row r="388" spans="91:91">
      <c r="CM388"/>
    </row>
    <row r="389" spans="91:91">
      <c r="CM389"/>
    </row>
    <row r="390" spans="91:91">
      <c r="CM390"/>
    </row>
    <row r="391" spans="91:91">
      <c r="CM391"/>
    </row>
    <row r="392" spans="91:91">
      <c r="CM392"/>
    </row>
    <row r="393" spans="91:91">
      <c r="CM393"/>
    </row>
    <row r="394" spans="91:91">
      <c r="CM394"/>
    </row>
    <row r="395" spans="91:91">
      <c r="CM395"/>
    </row>
    <row r="396" spans="91:91">
      <c r="CM396"/>
    </row>
    <row r="397" spans="91:91">
      <c r="CM397"/>
    </row>
    <row r="398" spans="91:91">
      <c r="CM398"/>
    </row>
    <row r="399" spans="91:91">
      <c r="CM399"/>
    </row>
    <row r="400" spans="91:91">
      <c r="CM400"/>
    </row>
    <row r="401" spans="91:91">
      <c r="CM401"/>
    </row>
    <row r="402" spans="91:91">
      <c r="CM402"/>
    </row>
    <row r="403" spans="91:91">
      <c r="CM403"/>
    </row>
    <row r="404" spans="91:91">
      <c r="CM404"/>
    </row>
    <row r="405" spans="91:91">
      <c r="CM405"/>
    </row>
    <row r="406" spans="91:91">
      <c r="CM406"/>
    </row>
    <row r="407" spans="91:91">
      <c r="CM407"/>
    </row>
    <row r="408" spans="91:91">
      <c r="CM408"/>
    </row>
    <row r="409" spans="91:91">
      <c r="CM409"/>
    </row>
    <row r="410" spans="91:91">
      <c r="CM410"/>
    </row>
    <row r="411" spans="91:91">
      <c r="CM411"/>
    </row>
    <row r="412" spans="91:91">
      <c r="CM412"/>
    </row>
    <row r="413" spans="91:91">
      <c r="CM413"/>
    </row>
    <row r="414" spans="91:91">
      <c r="CM414"/>
    </row>
    <row r="415" spans="91:91">
      <c r="CM415"/>
    </row>
    <row r="416" spans="91:91">
      <c r="CM416"/>
    </row>
    <row r="417" spans="91:91">
      <c r="CM417"/>
    </row>
    <row r="418" spans="91:91">
      <c r="CM418"/>
    </row>
    <row r="419" spans="91:91">
      <c r="CM419"/>
    </row>
    <row r="420" spans="91:91">
      <c r="CM420"/>
    </row>
    <row r="421" spans="91:91">
      <c r="CM421"/>
    </row>
    <row r="422" spans="91:91">
      <c r="CM422"/>
    </row>
    <row r="423" spans="91:91">
      <c r="CM423"/>
    </row>
    <row r="424" spans="91:91">
      <c r="CM424"/>
    </row>
    <row r="425" spans="91:91">
      <c r="CM425"/>
    </row>
    <row r="426" spans="91:91">
      <c r="CM426"/>
    </row>
    <row r="427" spans="91:91">
      <c r="CM427"/>
    </row>
    <row r="428" spans="91:91">
      <c r="CM428"/>
    </row>
    <row r="429" spans="91:91">
      <c r="CM429"/>
    </row>
    <row r="430" spans="91:91">
      <c r="CM430"/>
    </row>
    <row r="431" spans="91:91">
      <c r="CM431"/>
    </row>
    <row r="432" spans="91:91">
      <c r="CM432"/>
    </row>
    <row r="433" spans="91:91">
      <c r="CM433"/>
    </row>
    <row r="434" spans="91:91">
      <c r="CM434"/>
    </row>
    <row r="435" spans="91:91">
      <c r="CM435"/>
    </row>
    <row r="436" spans="91:91">
      <c r="CM436"/>
    </row>
    <row r="437" spans="91:91">
      <c r="CM437"/>
    </row>
    <row r="438" spans="91:91">
      <c r="CM438"/>
    </row>
    <row r="439" spans="91:91">
      <c r="CM439"/>
    </row>
    <row r="440" spans="91:91">
      <c r="CM440"/>
    </row>
    <row r="441" spans="91:91">
      <c r="CM441"/>
    </row>
    <row r="442" spans="91:91">
      <c r="CM442"/>
    </row>
    <row r="443" spans="91:91">
      <c r="CM443"/>
    </row>
    <row r="444" spans="91:91">
      <c r="CM444"/>
    </row>
    <row r="445" spans="91:91">
      <c r="CM445"/>
    </row>
    <row r="446" spans="91:91">
      <c r="CM446"/>
    </row>
    <row r="447" spans="91:91">
      <c r="CM447"/>
    </row>
    <row r="448" spans="91:91">
      <c r="CM448"/>
    </row>
    <row r="449" spans="91:91">
      <c r="CM449"/>
    </row>
    <row r="450" spans="91:91">
      <c r="CM450"/>
    </row>
    <row r="451" spans="91:91">
      <c r="CM451"/>
    </row>
    <row r="452" spans="91:91">
      <c r="CM452"/>
    </row>
    <row r="453" spans="91:91">
      <c r="CM453"/>
    </row>
    <row r="454" spans="91:91">
      <c r="CM454"/>
    </row>
    <row r="455" spans="91:91">
      <c r="CM455"/>
    </row>
    <row r="456" spans="91:91">
      <c r="CM456"/>
    </row>
    <row r="457" spans="91:91">
      <c r="CM457"/>
    </row>
    <row r="458" spans="91:91">
      <c r="CM458"/>
    </row>
    <row r="459" spans="91:91">
      <c r="CM459"/>
    </row>
    <row r="460" spans="91:91">
      <c r="CM460"/>
    </row>
    <row r="461" spans="91:91">
      <c r="CM461"/>
    </row>
    <row r="462" spans="91:91">
      <c r="CM462"/>
    </row>
    <row r="463" spans="91:91">
      <c r="CM463"/>
    </row>
    <row r="464" spans="91:91">
      <c r="CM464"/>
    </row>
    <row r="465" spans="91:91">
      <c r="CM465"/>
    </row>
    <row r="466" spans="91:91">
      <c r="CM466"/>
    </row>
    <row r="467" spans="91:91">
      <c r="CM467"/>
    </row>
    <row r="468" spans="91:91">
      <c r="CM468"/>
    </row>
    <row r="469" spans="91:91">
      <c r="CM469"/>
    </row>
    <row r="470" spans="91:91">
      <c r="CM470"/>
    </row>
    <row r="471" spans="91:91">
      <c r="CM471"/>
    </row>
    <row r="472" spans="91:91">
      <c r="CM472"/>
    </row>
    <row r="473" spans="91:91">
      <c r="CM473"/>
    </row>
    <row r="474" spans="91:91">
      <c r="CM474"/>
    </row>
    <row r="475" spans="91:91">
      <c r="CM475"/>
    </row>
    <row r="476" spans="91:91">
      <c r="CM476"/>
    </row>
    <row r="477" spans="91:91">
      <c r="CM477"/>
    </row>
    <row r="478" spans="91:91">
      <c r="CM478"/>
    </row>
    <row r="479" spans="91:91">
      <c r="CM479"/>
    </row>
    <row r="480" spans="91:91">
      <c r="CM480"/>
    </row>
    <row r="481" spans="91:91">
      <c r="CM481"/>
    </row>
    <row r="482" spans="91:91">
      <c r="CM482"/>
    </row>
    <row r="483" spans="91:91">
      <c r="CM483"/>
    </row>
    <row r="484" spans="91:91">
      <c r="CM484"/>
    </row>
    <row r="485" spans="91:91">
      <c r="CM485"/>
    </row>
    <row r="486" spans="91:91">
      <c r="CM486"/>
    </row>
    <row r="487" spans="91:91">
      <c r="CM487"/>
    </row>
    <row r="488" spans="91:91">
      <c r="CM488"/>
    </row>
    <row r="489" spans="91:91">
      <c r="CM489"/>
    </row>
    <row r="490" spans="91:91">
      <c r="CM490"/>
    </row>
    <row r="491" spans="91:91">
      <c r="CM491"/>
    </row>
    <row r="492" spans="91:91">
      <c r="CM492"/>
    </row>
    <row r="493" spans="91:91">
      <c r="CM493"/>
    </row>
    <row r="494" spans="91:91">
      <c r="CM494"/>
    </row>
    <row r="495" spans="91:91">
      <c r="CM495"/>
    </row>
    <row r="496" spans="91:91">
      <c r="CM496"/>
    </row>
    <row r="497" spans="91:91">
      <c r="CM497"/>
    </row>
    <row r="498" spans="91:91">
      <c r="CM498"/>
    </row>
    <row r="499" spans="91:91">
      <c r="CM499"/>
    </row>
    <row r="500" spans="91:91">
      <c r="CM500"/>
    </row>
    <row r="501" spans="91:91">
      <c r="CM501"/>
    </row>
    <row r="502" spans="91:91">
      <c r="CM502"/>
    </row>
    <row r="503" spans="91:91">
      <c r="CM503"/>
    </row>
    <row r="504" spans="91:91">
      <c r="CM504"/>
    </row>
    <row r="505" spans="91:91">
      <c r="CM505"/>
    </row>
    <row r="506" spans="91:91">
      <c r="CM506"/>
    </row>
    <row r="507" spans="91:91">
      <c r="CM507"/>
    </row>
    <row r="508" spans="91:91">
      <c r="CM508"/>
    </row>
    <row r="509" spans="91:91">
      <c r="CM509"/>
    </row>
    <row r="510" spans="91:91">
      <c r="CM510"/>
    </row>
    <row r="511" spans="91:91">
      <c r="CM511"/>
    </row>
    <row r="512" spans="91:91">
      <c r="CM512"/>
    </row>
    <row r="513" spans="91:91">
      <c r="CM513"/>
    </row>
    <row r="514" spans="91:91">
      <c r="CM514"/>
    </row>
    <row r="515" spans="91:91">
      <c r="CM515"/>
    </row>
    <row r="516" spans="91:91">
      <c r="CM516"/>
    </row>
    <row r="517" spans="91:91">
      <c r="CM517"/>
    </row>
    <row r="518" spans="91:91">
      <c r="CM518"/>
    </row>
    <row r="519" spans="91:91">
      <c r="CM519"/>
    </row>
    <row r="520" spans="91:91">
      <c r="CM520"/>
    </row>
    <row r="521" spans="91:91">
      <c r="CM521"/>
    </row>
    <row r="522" spans="91:91">
      <c r="CM522"/>
    </row>
    <row r="523" spans="91:91">
      <c r="CM523"/>
    </row>
    <row r="524" spans="91:91">
      <c r="CM524"/>
    </row>
    <row r="525" spans="91:91">
      <c r="CM525"/>
    </row>
    <row r="526" spans="91:91">
      <c r="CM526"/>
    </row>
    <row r="527" spans="91:91">
      <c r="CM527"/>
    </row>
    <row r="528" spans="91:91">
      <c r="CM528"/>
    </row>
    <row r="529" spans="91:91">
      <c r="CM529"/>
    </row>
    <row r="530" spans="91:91">
      <c r="CM530"/>
    </row>
    <row r="531" spans="91:91">
      <c r="CM531"/>
    </row>
    <row r="532" spans="91:91">
      <c r="CM532"/>
    </row>
    <row r="533" spans="91:91">
      <c r="CM533"/>
    </row>
    <row r="534" spans="91:91">
      <c r="CM534"/>
    </row>
    <row r="535" spans="91:91">
      <c r="CM535"/>
    </row>
    <row r="536" spans="91:91">
      <c r="CM536"/>
    </row>
    <row r="537" spans="91:91">
      <c r="CM537"/>
    </row>
    <row r="538" spans="91:91">
      <c r="CM538"/>
    </row>
    <row r="539" spans="91:91">
      <c r="CM539"/>
    </row>
    <row r="540" spans="91:91">
      <c r="CM540"/>
    </row>
    <row r="541" spans="91:91">
      <c r="CM541"/>
    </row>
    <row r="542" spans="91:91">
      <c r="CM542"/>
    </row>
    <row r="543" spans="91:91">
      <c r="CM543"/>
    </row>
    <row r="544" spans="91:91">
      <c r="CM544"/>
    </row>
    <row r="545" spans="91:91">
      <c r="CM545"/>
    </row>
    <row r="546" spans="91:91">
      <c r="CM546"/>
    </row>
    <row r="547" spans="91:91">
      <c r="CM547"/>
    </row>
    <row r="548" spans="91:91">
      <c r="CM548"/>
    </row>
    <row r="549" spans="91:91">
      <c r="CM549"/>
    </row>
    <row r="550" spans="91:91">
      <c r="CM550"/>
    </row>
    <row r="551" spans="91:91">
      <c r="CM551"/>
    </row>
    <row r="552" spans="91:91">
      <c r="CM552"/>
    </row>
    <row r="553" spans="91:91">
      <c r="CM553"/>
    </row>
    <row r="554" spans="91:91">
      <c r="CM554"/>
    </row>
    <row r="555" spans="91:91">
      <c r="CM555"/>
    </row>
    <row r="556" spans="91:91">
      <c r="CM556"/>
    </row>
    <row r="557" spans="91:91">
      <c r="CM557"/>
    </row>
    <row r="558" spans="91:91">
      <c r="CM558"/>
    </row>
    <row r="559" spans="91:91">
      <c r="CM559"/>
    </row>
    <row r="560" spans="91:91">
      <c r="CM560"/>
    </row>
    <row r="561" spans="91:91">
      <c r="CM561"/>
    </row>
    <row r="562" spans="91:91">
      <c r="CM562"/>
    </row>
    <row r="563" spans="91:91">
      <c r="CM563"/>
    </row>
    <row r="564" spans="91:91">
      <c r="CM564"/>
    </row>
    <row r="565" spans="91:91">
      <c r="CM565"/>
    </row>
    <row r="566" spans="91:91">
      <c r="CM566"/>
    </row>
    <row r="567" spans="91:91">
      <c r="CM567"/>
    </row>
    <row r="568" spans="91:91">
      <c r="CM568"/>
    </row>
    <row r="569" spans="91:91">
      <c r="CM569"/>
    </row>
    <row r="570" spans="91:91">
      <c r="CM570"/>
    </row>
    <row r="571" spans="91:91">
      <c r="CM571"/>
    </row>
    <row r="572" spans="91:91">
      <c r="CM572"/>
    </row>
    <row r="573" spans="91:91">
      <c r="CM573"/>
    </row>
    <row r="574" spans="91:91">
      <c r="CM574"/>
    </row>
    <row r="575" spans="91:91">
      <c r="CM575"/>
    </row>
    <row r="576" spans="91:91">
      <c r="CM576"/>
    </row>
    <row r="577" spans="91:91">
      <c r="CM577"/>
    </row>
    <row r="578" spans="91:91">
      <c r="CM578"/>
    </row>
    <row r="579" spans="91:91">
      <c r="CM579"/>
    </row>
    <row r="580" spans="91:91">
      <c r="CM580"/>
    </row>
    <row r="581" spans="91:91">
      <c r="CM581"/>
    </row>
    <row r="582" spans="91:91">
      <c r="CM582"/>
    </row>
    <row r="583" spans="91:91">
      <c r="CM583"/>
    </row>
    <row r="584" spans="91:91">
      <c r="CM584"/>
    </row>
    <row r="585" spans="91:91">
      <c r="CM585"/>
    </row>
    <row r="586" spans="91:91">
      <c r="CM586"/>
    </row>
    <row r="587" spans="91:91">
      <c r="CM587"/>
    </row>
    <row r="588" spans="91:91">
      <c r="CM588"/>
    </row>
    <row r="589" spans="91:91">
      <c r="CM589"/>
    </row>
    <row r="590" spans="91:91">
      <c r="CM590"/>
    </row>
    <row r="591" spans="91:91">
      <c r="CM591"/>
    </row>
    <row r="592" spans="91:91">
      <c r="CM592"/>
    </row>
    <row r="593" spans="91:91">
      <c r="CM593"/>
    </row>
    <row r="594" spans="91:91">
      <c r="CM594"/>
    </row>
    <row r="595" spans="91:91">
      <c r="CM595"/>
    </row>
    <row r="596" spans="91:91">
      <c r="CM596"/>
    </row>
    <row r="597" spans="91:91">
      <c r="CM597"/>
    </row>
    <row r="598" spans="91:91">
      <c r="CM598"/>
    </row>
    <row r="599" spans="91:91">
      <c r="CM599"/>
    </row>
    <row r="600" spans="91:91">
      <c r="CM600"/>
    </row>
    <row r="601" spans="91:91">
      <c r="CM601"/>
    </row>
    <row r="602" spans="91:91">
      <c r="CM602"/>
    </row>
    <row r="603" spans="91:91">
      <c r="CM603"/>
    </row>
    <row r="604" spans="91:91">
      <c r="CM604"/>
    </row>
    <row r="605" spans="91:91">
      <c r="CM605"/>
    </row>
    <row r="606" spans="91:91">
      <c r="CM606"/>
    </row>
    <row r="607" spans="91:91">
      <c r="CM607"/>
    </row>
    <row r="608" spans="91:91">
      <c r="CM608"/>
    </row>
    <row r="609" spans="91:91">
      <c r="CM609"/>
    </row>
    <row r="610" spans="91:91">
      <c r="CM610"/>
    </row>
    <row r="611" spans="91:91">
      <c r="CM611"/>
    </row>
    <row r="612" spans="91:91">
      <c r="CM612"/>
    </row>
    <row r="613" spans="91:91">
      <c r="CM613"/>
    </row>
    <row r="614" spans="91:91">
      <c r="CM614"/>
    </row>
    <row r="615" spans="91:91">
      <c r="CM615"/>
    </row>
    <row r="616" spans="91:91">
      <c r="CM616"/>
    </row>
    <row r="617" spans="91:91">
      <c r="CM617"/>
    </row>
    <row r="618" spans="91:91">
      <c r="CM618"/>
    </row>
    <row r="619" spans="91:91">
      <c r="CM619"/>
    </row>
    <row r="620" spans="91:91">
      <c r="CM620"/>
    </row>
    <row r="621" spans="91:91">
      <c r="CM621"/>
    </row>
    <row r="622" spans="91:91">
      <c r="CM622"/>
    </row>
    <row r="623" spans="91:91">
      <c r="CM623"/>
    </row>
    <row r="624" spans="91:91">
      <c r="CM624"/>
    </row>
    <row r="625" spans="91:91">
      <c r="CM625"/>
    </row>
    <row r="626" spans="91:91">
      <c r="CM626"/>
    </row>
    <row r="627" spans="91:91">
      <c r="CM627"/>
    </row>
    <row r="628" spans="91:91">
      <c r="CM628"/>
    </row>
    <row r="629" spans="91:91">
      <c r="CM629"/>
    </row>
    <row r="630" spans="91:91">
      <c r="CM630"/>
    </row>
    <row r="631" spans="91:91">
      <c r="CM631"/>
    </row>
    <row r="632" spans="91:91">
      <c r="CM632"/>
    </row>
    <row r="633" spans="91:91">
      <c r="CM633"/>
    </row>
    <row r="634" spans="91:91">
      <c r="CM634"/>
    </row>
    <row r="635" spans="91:91">
      <c r="CM635"/>
    </row>
    <row r="636" spans="91:91">
      <c r="CM636"/>
    </row>
    <row r="637" spans="91:91">
      <c r="CM637"/>
    </row>
    <row r="638" spans="91:91">
      <c r="CM638"/>
    </row>
    <row r="639" spans="91:91">
      <c r="CM639"/>
    </row>
    <row r="640" spans="91:91">
      <c r="CM640"/>
    </row>
    <row r="641" spans="91:91">
      <c r="CM641"/>
    </row>
    <row r="642" spans="91:91">
      <c r="CM642"/>
    </row>
    <row r="643" spans="91:91">
      <c r="CM643"/>
    </row>
    <row r="644" spans="91:91">
      <c r="CM644"/>
    </row>
    <row r="645" spans="91:91">
      <c r="CM645"/>
    </row>
    <row r="646" spans="91:91">
      <c r="CM646"/>
    </row>
    <row r="647" spans="91:91">
      <c r="CM647"/>
    </row>
    <row r="648" spans="91:91">
      <c r="CM648"/>
    </row>
    <row r="649" spans="91:91">
      <c r="CM649"/>
    </row>
    <row r="650" spans="91:91">
      <c r="CM650"/>
    </row>
    <row r="651" spans="91:91">
      <c r="CM651"/>
    </row>
    <row r="652" spans="91:91">
      <c r="CM652"/>
    </row>
    <row r="653" spans="91:91">
      <c r="CM653"/>
    </row>
    <row r="654" spans="91:91">
      <c r="CM654"/>
    </row>
    <row r="655" spans="91:91">
      <c r="CM655"/>
    </row>
    <row r="656" spans="91:91">
      <c r="CM656"/>
    </row>
    <row r="657" spans="91:91">
      <c r="CM657"/>
    </row>
    <row r="658" spans="91:91">
      <c r="CM658"/>
    </row>
    <row r="659" spans="91:91">
      <c r="CM659"/>
    </row>
    <row r="660" spans="91:91">
      <c r="CM660"/>
    </row>
    <row r="661" spans="91:91">
      <c r="CM661"/>
    </row>
    <row r="662" spans="91:91">
      <c r="CM662"/>
    </row>
    <row r="663" spans="91:91">
      <c r="CM663"/>
    </row>
    <row r="664" spans="91:91">
      <c r="CM664"/>
    </row>
    <row r="665" spans="91:91">
      <c r="CM665"/>
    </row>
    <row r="666" spans="91:91">
      <c r="CM666"/>
    </row>
    <row r="667" spans="91:91">
      <c r="CM667"/>
    </row>
    <row r="668" spans="91:91">
      <c r="CM668"/>
    </row>
    <row r="669" spans="91:91">
      <c r="CM669"/>
    </row>
    <row r="670" spans="91:91">
      <c r="CM670"/>
    </row>
    <row r="671" spans="91:91">
      <c r="CM671"/>
    </row>
    <row r="672" spans="91:91">
      <c r="CM672"/>
    </row>
    <row r="673" spans="91:91">
      <c r="CM673"/>
    </row>
    <row r="674" spans="91:91">
      <c r="CM674"/>
    </row>
    <row r="675" spans="91:91">
      <c r="CM675"/>
    </row>
    <row r="676" spans="91:91">
      <c r="CM676"/>
    </row>
    <row r="677" spans="91:91">
      <c r="CM677"/>
    </row>
    <row r="678" spans="91:91">
      <c r="CM678"/>
    </row>
    <row r="679" spans="91:91">
      <c r="CM679"/>
    </row>
    <row r="680" spans="91:91">
      <c r="CM680"/>
    </row>
    <row r="681" spans="91:91">
      <c r="CM681"/>
    </row>
    <row r="682" spans="91:91">
      <c r="CM682"/>
    </row>
    <row r="683" spans="91:91">
      <c r="CM683"/>
    </row>
    <row r="684" spans="91:91">
      <c r="CM684"/>
    </row>
    <row r="685" spans="91:91">
      <c r="CM685"/>
    </row>
    <row r="686" spans="91:91">
      <c r="CM686"/>
    </row>
    <row r="687" spans="91:91">
      <c r="CM687"/>
    </row>
    <row r="688" spans="91:91">
      <c r="CM688"/>
    </row>
    <row r="689" spans="91:91">
      <c r="CM689"/>
    </row>
    <row r="690" spans="91:91">
      <c r="CM690"/>
    </row>
    <row r="691" spans="91:91">
      <c r="CM691"/>
    </row>
    <row r="692" spans="91:91">
      <c r="CM692"/>
    </row>
    <row r="693" spans="91:91">
      <c r="CM693"/>
    </row>
    <row r="694" spans="91:91">
      <c r="CM694"/>
    </row>
    <row r="695" spans="91:91">
      <c r="CM695"/>
    </row>
    <row r="696" spans="91:91">
      <c r="CM696"/>
    </row>
    <row r="697" spans="91:91">
      <c r="CM697"/>
    </row>
    <row r="698" spans="91:91">
      <c r="CM698"/>
    </row>
    <row r="699" spans="91:91">
      <c r="CM699"/>
    </row>
    <row r="700" spans="91:91">
      <c r="CM700"/>
    </row>
    <row r="701" spans="91:91">
      <c r="CM701"/>
    </row>
    <row r="702" spans="91:91">
      <c r="CM702"/>
    </row>
    <row r="703" spans="91:91">
      <c r="CM703"/>
    </row>
    <row r="704" spans="91:91">
      <c r="CM704"/>
    </row>
    <row r="705" spans="91:91">
      <c r="CM705"/>
    </row>
    <row r="706" spans="91:91">
      <c r="CM706"/>
    </row>
    <row r="707" spans="91:91">
      <c r="CM707"/>
    </row>
    <row r="708" spans="91:91">
      <c r="CM708"/>
    </row>
    <row r="709" spans="91:91">
      <c r="CM709"/>
    </row>
    <row r="710" spans="91:91">
      <c r="CM710"/>
    </row>
    <row r="711" spans="91:91">
      <c r="CM711"/>
    </row>
    <row r="712" spans="91:91">
      <c r="CM712"/>
    </row>
    <row r="713" spans="91:91">
      <c r="CM713"/>
    </row>
    <row r="714" spans="91:91">
      <c r="CM714"/>
    </row>
    <row r="715" spans="91:91">
      <c r="CM715"/>
    </row>
    <row r="716" spans="91:91">
      <c r="CM716"/>
    </row>
    <row r="717" spans="91:91">
      <c r="CM717"/>
    </row>
    <row r="718" spans="91:91">
      <c r="CM718"/>
    </row>
    <row r="719" spans="91:91">
      <c r="CM719"/>
    </row>
    <row r="720" spans="91:91">
      <c r="CM720"/>
    </row>
    <row r="721" spans="91:91">
      <c r="CM721"/>
    </row>
    <row r="722" spans="91:91">
      <c r="CM722"/>
    </row>
    <row r="723" spans="91:91">
      <c r="CM723"/>
    </row>
    <row r="724" spans="91:91">
      <c r="CM724"/>
    </row>
    <row r="725" spans="91:91">
      <c r="CM725"/>
    </row>
    <row r="726" spans="91:91">
      <c r="CM726"/>
    </row>
    <row r="727" spans="91:91">
      <c r="CM727"/>
    </row>
    <row r="728" spans="91:91">
      <c r="CM728"/>
    </row>
    <row r="729" spans="91:91">
      <c r="CM729"/>
    </row>
    <row r="730" spans="91:91">
      <c r="CM730"/>
    </row>
    <row r="731" spans="91:91">
      <c r="CM731"/>
    </row>
    <row r="732" spans="91:91">
      <c r="CM732"/>
    </row>
    <row r="733" spans="91:91">
      <c r="CM733"/>
    </row>
    <row r="734" spans="91:91">
      <c r="CM734"/>
    </row>
    <row r="735" spans="91:91">
      <c r="CM735"/>
    </row>
    <row r="736" spans="91:91">
      <c r="CM736"/>
    </row>
    <row r="737" spans="91:91">
      <c r="CM737"/>
    </row>
    <row r="738" spans="91:91">
      <c r="CM738"/>
    </row>
    <row r="739" spans="91:91">
      <c r="CM739"/>
    </row>
    <row r="740" spans="91:91">
      <c r="CM740"/>
    </row>
    <row r="741" spans="91:91">
      <c r="CM741"/>
    </row>
    <row r="742" spans="91:91">
      <c r="CM742"/>
    </row>
    <row r="743" spans="91:91">
      <c r="CM743"/>
    </row>
    <row r="744" spans="91:91">
      <c r="CM744"/>
    </row>
    <row r="745" spans="91:91">
      <c r="CM745"/>
    </row>
    <row r="746" spans="91:91">
      <c r="CM746"/>
    </row>
    <row r="747" spans="91:91">
      <c r="CM747"/>
    </row>
    <row r="748" spans="91:91">
      <c r="CM748"/>
    </row>
    <row r="749" spans="91:91">
      <c r="CM749"/>
    </row>
    <row r="750" spans="91:91">
      <c r="CM750"/>
    </row>
    <row r="751" spans="91:91">
      <c r="CM751"/>
    </row>
    <row r="752" spans="91:91">
      <c r="CM752"/>
    </row>
    <row r="753" spans="91:91">
      <c r="CM753"/>
    </row>
    <row r="754" spans="91:91">
      <c r="CM754"/>
    </row>
    <row r="755" spans="91:91">
      <c r="CM755"/>
    </row>
    <row r="756" spans="91:91">
      <c r="CM756"/>
    </row>
    <row r="757" spans="91:91">
      <c r="CM757"/>
    </row>
    <row r="758" spans="91:91">
      <c r="CM758"/>
    </row>
    <row r="759" spans="91:91">
      <c r="CM759"/>
    </row>
    <row r="760" spans="91:91">
      <c r="CM760"/>
    </row>
    <row r="761" spans="91:91">
      <c r="CM761"/>
    </row>
    <row r="762" spans="91:91">
      <c r="CM762"/>
    </row>
    <row r="763" spans="91:91">
      <c r="CM763"/>
    </row>
    <row r="764" spans="91:91">
      <c r="CM764"/>
    </row>
    <row r="765" spans="91:91">
      <c r="CM765"/>
    </row>
    <row r="766" spans="91:91">
      <c r="CM766"/>
    </row>
    <row r="767" spans="91:91">
      <c r="CM767"/>
    </row>
    <row r="768" spans="91:91">
      <c r="CM768"/>
    </row>
    <row r="769" spans="91:91">
      <c r="CM769"/>
    </row>
    <row r="770" spans="91:91">
      <c r="CM770"/>
    </row>
    <row r="771" spans="91:91">
      <c r="CM771"/>
    </row>
    <row r="772" spans="91:91">
      <c r="CM772"/>
    </row>
    <row r="773" spans="91:91">
      <c r="CM773"/>
    </row>
    <row r="774" spans="91:91">
      <c r="CM774"/>
    </row>
    <row r="775" spans="91:91">
      <c r="CM775"/>
    </row>
    <row r="776" spans="91:91">
      <c r="CM776"/>
    </row>
    <row r="777" spans="91:91">
      <c r="CM777"/>
    </row>
    <row r="778" spans="91:91">
      <c r="CM778"/>
    </row>
    <row r="779" spans="91:91">
      <c r="CM779"/>
    </row>
    <row r="780" spans="91:91">
      <c r="CM780"/>
    </row>
    <row r="781" spans="91:91">
      <c r="CM781"/>
    </row>
    <row r="782" spans="91:91">
      <c r="CM782"/>
    </row>
    <row r="783" spans="91:91">
      <c r="CM783"/>
    </row>
    <row r="784" spans="91:91">
      <c r="CM784"/>
    </row>
    <row r="785" spans="91:91">
      <c r="CM785"/>
    </row>
    <row r="786" spans="91:91">
      <c r="CM786"/>
    </row>
    <row r="787" spans="91:91">
      <c r="CM787"/>
    </row>
    <row r="788" spans="91:91">
      <c r="CM788"/>
    </row>
    <row r="789" spans="91:91">
      <c r="CM789"/>
    </row>
    <row r="790" spans="91:91">
      <c r="CM790"/>
    </row>
    <row r="791" spans="91:91">
      <c r="CM791"/>
    </row>
    <row r="792" spans="91:91">
      <c r="CM792"/>
    </row>
    <row r="793" spans="91:91">
      <c r="CM793"/>
    </row>
    <row r="794" spans="91:91">
      <c r="CM794"/>
    </row>
    <row r="795" spans="91:91">
      <c r="CM795"/>
    </row>
    <row r="796" spans="91:91">
      <c r="CM796"/>
    </row>
    <row r="797" spans="91:91">
      <c r="CM797"/>
    </row>
    <row r="798" spans="91:91">
      <c r="CM798"/>
    </row>
    <row r="799" spans="91:91">
      <c r="CM799"/>
    </row>
    <row r="800" spans="91:91">
      <c r="CM800"/>
    </row>
    <row r="801" spans="91:91">
      <c r="CM801"/>
    </row>
    <row r="802" spans="91:91">
      <c r="CM802"/>
    </row>
    <row r="803" spans="91:91">
      <c r="CM803"/>
    </row>
    <row r="804" spans="91:91">
      <c r="CM804"/>
    </row>
    <row r="805" spans="91:91">
      <c r="CM805"/>
    </row>
    <row r="806" spans="91:91">
      <c r="CM806"/>
    </row>
    <row r="807" spans="91:91">
      <c r="CM807"/>
    </row>
    <row r="808" spans="91:91">
      <c r="CM808"/>
    </row>
    <row r="809" spans="91:91">
      <c r="CM809"/>
    </row>
    <row r="810" spans="91:91">
      <c r="CM810"/>
    </row>
    <row r="811" spans="91:91">
      <c r="CM811"/>
    </row>
    <row r="812" spans="91:91">
      <c r="CM812"/>
    </row>
    <row r="813" spans="91:91">
      <c r="CM813"/>
    </row>
    <row r="814" spans="91:91">
      <c r="CM814"/>
    </row>
    <row r="815" spans="91:91">
      <c r="CM815"/>
    </row>
    <row r="816" spans="91:91">
      <c r="CM816"/>
    </row>
    <row r="817" spans="91:91">
      <c r="CM817"/>
    </row>
    <row r="818" spans="91:91">
      <c r="CM818"/>
    </row>
    <row r="819" spans="91:91">
      <c r="CM819"/>
    </row>
    <row r="820" spans="91:91">
      <c r="CM820"/>
    </row>
    <row r="821" spans="91:91">
      <c r="CM821"/>
    </row>
    <row r="822" spans="91:91">
      <c r="CM822"/>
    </row>
    <row r="823" spans="91:91">
      <c r="CM823"/>
    </row>
    <row r="824" spans="91:91">
      <c r="CM824"/>
    </row>
    <row r="825" spans="91:91">
      <c r="CM825"/>
    </row>
    <row r="826" spans="91:91">
      <c r="CM826"/>
    </row>
    <row r="827" spans="91:91">
      <c r="CM827"/>
    </row>
    <row r="828" spans="91:91">
      <c r="CM828"/>
    </row>
    <row r="829" spans="91:91">
      <c r="CM829"/>
    </row>
    <row r="830" spans="91:91">
      <c r="CM830"/>
    </row>
    <row r="831" spans="91:91">
      <c r="CM831"/>
    </row>
    <row r="832" spans="91:91">
      <c r="CM832"/>
    </row>
    <row r="833" spans="91:91">
      <c r="CM833"/>
    </row>
    <row r="834" spans="91:91">
      <c r="CM834"/>
    </row>
    <row r="835" spans="91:91">
      <c r="CM835"/>
    </row>
    <row r="836" spans="91:91">
      <c r="CM836"/>
    </row>
    <row r="837" spans="91:91">
      <c r="CM837"/>
    </row>
    <row r="838" spans="91:91">
      <c r="CM838"/>
    </row>
    <row r="839" spans="91:91">
      <c r="CM839"/>
    </row>
    <row r="840" spans="91:91">
      <c r="CM840"/>
    </row>
    <row r="841" spans="91:91">
      <c r="CM841"/>
    </row>
    <row r="842" spans="91:91">
      <c r="CM842"/>
    </row>
    <row r="843" spans="91:91">
      <c r="CM843"/>
    </row>
    <row r="844" spans="91:91">
      <c r="CM844"/>
    </row>
    <row r="845" spans="91:91">
      <c r="CM845"/>
    </row>
    <row r="846" spans="91:91">
      <c r="CM846"/>
    </row>
    <row r="847" spans="91:91">
      <c r="CM847"/>
    </row>
    <row r="848" spans="91:91">
      <c r="CM848"/>
    </row>
    <row r="849" spans="91:91">
      <c r="CM849"/>
    </row>
    <row r="850" spans="91:91">
      <c r="CM850"/>
    </row>
    <row r="851" spans="91:91">
      <c r="CM851"/>
    </row>
    <row r="852" spans="91:91">
      <c r="CM852"/>
    </row>
    <row r="853" spans="91:91">
      <c r="CM853"/>
    </row>
    <row r="854" spans="91:91">
      <c r="CM854"/>
    </row>
    <row r="855" spans="91:91">
      <c r="CM855"/>
    </row>
    <row r="856" spans="91:91">
      <c r="CM856"/>
    </row>
    <row r="857" spans="91:91">
      <c r="CM857"/>
    </row>
    <row r="858" spans="91:91">
      <c r="CM858"/>
    </row>
    <row r="859" spans="91:91">
      <c r="CM859"/>
    </row>
    <row r="860" spans="91:91">
      <c r="CM860"/>
    </row>
    <row r="861" spans="91:91">
      <c r="CM861"/>
    </row>
    <row r="862" spans="91:91">
      <c r="CM862"/>
    </row>
    <row r="863" spans="91:91">
      <c r="CM863"/>
    </row>
    <row r="864" spans="91:91">
      <c r="CM864"/>
    </row>
    <row r="865" spans="91:91">
      <c r="CM865"/>
    </row>
    <row r="866" spans="91:91">
      <c r="CM866"/>
    </row>
    <row r="867" spans="91:91">
      <c r="CM867"/>
    </row>
    <row r="868" spans="91:91">
      <c r="CM868"/>
    </row>
    <row r="869" spans="91:91">
      <c r="CM869"/>
    </row>
    <row r="870" spans="91:91">
      <c r="CM870"/>
    </row>
    <row r="871" spans="91:91">
      <c r="CM871"/>
    </row>
    <row r="872" spans="91:91">
      <c r="CM872"/>
    </row>
    <row r="873" spans="91:91">
      <c r="CM873"/>
    </row>
    <row r="874" spans="91:91">
      <c r="CM874"/>
    </row>
    <row r="875" spans="91:91">
      <c r="CM875"/>
    </row>
    <row r="876" spans="91:91">
      <c r="CM876"/>
    </row>
    <row r="877" spans="91:91">
      <c r="CM877"/>
    </row>
    <row r="878" spans="91:91">
      <c r="CM878"/>
    </row>
    <row r="879" spans="91:91">
      <c r="CM879"/>
    </row>
    <row r="880" spans="91:91">
      <c r="CM880"/>
    </row>
    <row r="881" spans="91:91">
      <c r="CM881"/>
    </row>
    <row r="882" spans="91:91">
      <c r="CM882"/>
    </row>
    <row r="883" spans="91:91">
      <c r="CM883"/>
    </row>
    <row r="884" spans="91:91">
      <c r="CM884"/>
    </row>
    <row r="885" spans="91:91">
      <c r="CM885"/>
    </row>
    <row r="886" spans="91:91">
      <c r="CM886"/>
    </row>
    <row r="887" spans="91:91">
      <c r="CM887"/>
    </row>
    <row r="888" spans="91:91">
      <c r="CM888"/>
    </row>
    <row r="889" spans="91:91">
      <c r="CM889"/>
    </row>
    <row r="890" spans="91:91">
      <c r="CM890"/>
    </row>
    <row r="891" spans="91:91">
      <c r="CM891"/>
    </row>
    <row r="892" spans="91:91">
      <c r="CM892"/>
    </row>
    <row r="893" spans="91:91">
      <c r="CM893"/>
    </row>
    <row r="894" spans="91:91">
      <c r="CM894"/>
    </row>
    <row r="895" spans="91:91">
      <c r="CM895"/>
    </row>
    <row r="896" spans="91:91">
      <c r="CM896"/>
    </row>
    <row r="897" spans="91:91">
      <c r="CM897"/>
    </row>
    <row r="898" spans="91:91">
      <c r="CM898"/>
    </row>
    <row r="899" spans="91:91">
      <c r="CM899"/>
    </row>
    <row r="900" spans="91:91">
      <c r="CM900"/>
    </row>
    <row r="901" spans="91:91">
      <c r="CM901"/>
    </row>
    <row r="902" spans="91:91">
      <c r="CM902"/>
    </row>
    <row r="903" spans="91:91">
      <c r="CM903"/>
    </row>
    <row r="904" spans="91:91">
      <c r="CM904"/>
    </row>
    <row r="905" spans="91:91">
      <c r="CM905"/>
    </row>
    <row r="906" spans="91:91">
      <c r="CM906"/>
    </row>
    <row r="907" spans="91:91">
      <c r="CM907"/>
    </row>
    <row r="908" spans="91:91">
      <c r="CM908"/>
    </row>
    <row r="909" spans="91:91">
      <c r="CM909"/>
    </row>
    <row r="910" spans="91:91">
      <c r="CM910"/>
    </row>
    <row r="911" spans="91:91">
      <c r="CM911"/>
    </row>
    <row r="912" spans="91:91">
      <c r="CM912"/>
    </row>
    <row r="913" spans="91:91">
      <c r="CM913"/>
    </row>
    <row r="914" spans="91:91">
      <c r="CM914"/>
    </row>
    <row r="915" spans="91:91">
      <c r="CM915"/>
    </row>
    <row r="916" spans="91:91">
      <c r="CM916"/>
    </row>
    <row r="917" spans="91:91">
      <c r="CM917"/>
    </row>
    <row r="918" spans="91:91">
      <c r="CM918"/>
    </row>
    <row r="919" spans="91:91">
      <c r="CM919"/>
    </row>
    <row r="920" spans="91:91">
      <c r="CM920"/>
    </row>
    <row r="921" spans="91:91">
      <c r="CM921"/>
    </row>
    <row r="922" spans="91:91">
      <c r="CM922"/>
    </row>
    <row r="923" spans="91:91">
      <c r="CM923"/>
    </row>
    <row r="924" spans="91:91">
      <c r="CM924"/>
    </row>
    <row r="925" spans="91:91">
      <c r="CM925"/>
    </row>
    <row r="926" spans="91:91">
      <c r="CM926"/>
    </row>
    <row r="927" spans="91:91">
      <c r="CM927"/>
    </row>
    <row r="928" spans="91:91">
      <c r="CM928"/>
    </row>
    <row r="929" spans="91:91">
      <c r="CM929"/>
    </row>
    <row r="930" spans="91:91">
      <c r="CM930"/>
    </row>
    <row r="931" spans="91:91">
      <c r="CM931"/>
    </row>
    <row r="932" spans="91:91">
      <c r="CM932"/>
    </row>
    <row r="933" spans="91:91">
      <c r="CM933"/>
    </row>
    <row r="934" spans="91:91">
      <c r="CM934"/>
    </row>
    <row r="935" spans="91:91">
      <c r="CM935"/>
    </row>
    <row r="936" spans="91:91">
      <c r="CM936"/>
    </row>
    <row r="937" spans="91:91">
      <c r="CM937"/>
    </row>
    <row r="938" spans="91:91">
      <c r="CM938"/>
    </row>
    <row r="939" spans="91:91">
      <c r="CM939"/>
    </row>
    <row r="940" spans="91:91">
      <c r="CM940"/>
    </row>
    <row r="941" spans="91:91">
      <c r="CM941"/>
    </row>
    <row r="942" spans="91:91">
      <c r="CM942"/>
    </row>
    <row r="943" spans="91:91">
      <c r="CM943"/>
    </row>
    <row r="944" spans="91:91">
      <c r="CM944"/>
    </row>
    <row r="945" spans="91:91">
      <c r="CM945"/>
    </row>
    <row r="946" spans="91:91">
      <c r="CM946"/>
    </row>
    <row r="947" spans="91:91">
      <c r="CM947"/>
    </row>
    <row r="948" spans="91:91">
      <c r="CM948"/>
    </row>
    <row r="949" spans="91:91">
      <c r="CM949"/>
    </row>
    <row r="950" spans="91:91">
      <c r="CM950"/>
    </row>
    <row r="951" spans="91:91">
      <c r="CM951"/>
    </row>
    <row r="952" spans="91:91">
      <c r="CM952"/>
    </row>
    <row r="953" spans="91:91">
      <c r="CM953"/>
    </row>
    <row r="954" spans="91:91">
      <c r="CM954"/>
    </row>
    <row r="955" spans="91:91">
      <c r="CM955"/>
    </row>
    <row r="956" spans="91:91">
      <c r="CM956"/>
    </row>
    <row r="957" spans="91:91">
      <c r="CM957"/>
    </row>
    <row r="958" spans="91:91">
      <c r="CM958"/>
    </row>
    <row r="959" spans="91:91">
      <c r="CM959"/>
    </row>
    <row r="960" spans="91:91">
      <c r="CM960"/>
    </row>
    <row r="961" spans="91:91">
      <c r="CM961"/>
    </row>
    <row r="962" spans="91:91">
      <c r="CM962"/>
    </row>
    <row r="963" spans="91:91">
      <c r="CM963"/>
    </row>
    <row r="964" spans="91:91">
      <c r="CM964"/>
    </row>
    <row r="965" spans="91:91">
      <c r="CM965"/>
    </row>
    <row r="966" spans="91:91">
      <c r="CM966"/>
    </row>
    <row r="967" spans="91:91">
      <c r="CM967"/>
    </row>
    <row r="968" spans="91:91">
      <c r="CM968"/>
    </row>
    <row r="969" spans="91:91">
      <c r="CM969"/>
    </row>
    <row r="970" spans="91:91">
      <c r="CM970"/>
    </row>
    <row r="971" spans="91:91">
      <c r="CM971"/>
    </row>
    <row r="972" spans="91:91">
      <c r="CM972"/>
    </row>
    <row r="973" spans="91:91">
      <c r="CM973"/>
    </row>
    <row r="974" spans="91:91">
      <c r="CM974"/>
    </row>
    <row r="975" spans="91:91">
      <c r="CM975"/>
    </row>
    <row r="976" spans="91:91">
      <c r="CM976"/>
    </row>
    <row r="977" spans="91:91">
      <c r="CM977"/>
    </row>
    <row r="978" spans="91:91">
      <c r="CM978"/>
    </row>
    <row r="979" spans="91:91">
      <c r="CM979"/>
    </row>
    <row r="980" spans="91:91">
      <c r="CM980"/>
    </row>
    <row r="981" spans="91:91">
      <c r="CM981"/>
    </row>
    <row r="982" spans="91:91">
      <c r="CM982"/>
    </row>
    <row r="983" spans="91:91">
      <c r="CM983"/>
    </row>
    <row r="984" spans="91:91">
      <c r="CM984"/>
    </row>
    <row r="985" spans="91:91">
      <c r="CM985"/>
    </row>
    <row r="986" spans="91:91">
      <c r="CM986"/>
    </row>
    <row r="987" spans="91:91">
      <c r="CM987"/>
    </row>
    <row r="988" spans="91:91">
      <c r="CM988"/>
    </row>
    <row r="989" spans="91:91">
      <c r="CM989"/>
    </row>
    <row r="990" spans="91:91">
      <c r="CM990"/>
    </row>
    <row r="991" spans="91:91">
      <c r="CM991"/>
    </row>
    <row r="992" spans="91:91">
      <c r="CM992"/>
    </row>
    <row r="993" spans="91:91">
      <c r="CM993"/>
    </row>
    <row r="994" spans="91:91">
      <c r="CM994"/>
    </row>
    <row r="995" spans="91:91">
      <c r="CM995"/>
    </row>
    <row r="996" spans="91:91">
      <c r="CM996"/>
    </row>
    <row r="997" spans="91:91">
      <c r="CM997"/>
    </row>
    <row r="998" spans="91:91">
      <c r="CM998"/>
    </row>
    <row r="999" spans="91:91">
      <c r="CM999"/>
    </row>
    <row r="1000" spans="91:91">
      <c r="CM1000"/>
    </row>
    <row r="1001" spans="91:91">
      <c r="CM1001"/>
    </row>
    <row r="1002" spans="91:91">
      <c r="CM1002"/>
    </row>
    <row r="1003" spans="91:91">
      <c r="CM1003"/>
    </row>
    <row r="1004" spans="91:91">
      <c r="CM1004"/>
    </row>
    <row r="1005" spans="91:91">
      <c r="CM1005"/>
    </row>
    <row r="1006" spans="91:91">
      <c r="CM1006"/>
    </row>
    <row r="1007" spans="91:91">
      <c r="CM1007"/>
    </row>
    <row r="1008" spans="91:91">
      <c r="CM1008"/>
    </row>
    <row r="1009" spans="91:91">
      <c r="CM1009"/>
    </row>
    <row r="1010" spans="91:91">
      <c r="CM1010"/>
    </row>
    <row r="1011" spans="91:91">
      <c r="CM1011"/>
    </row>
    <row r="1012" spans="91:91">
      <c r="CM1012"/>
    </row>
    <row r="1013" spans="91:91">
      <c r="CM1013"/>
    </row>
    <row r="1014" spans="91:91">
      <c r="CM1014"/>
    </row>
    <row r="1015" spans="91:91">
      <c r="CM1015"/>
    </row>
    <row r="1016" spans="91:91">
      <c r="CM1016"/>
    </row>
    <row r="1017" spans="91:91">
      <c r="CM1017"/>
    </row>
    <row r="1018" spans="91:91">
      <c r="CM1018"/>
    </row>
    <row r="1019" spans="91:91">
      <c r="CM1019"/>
    </row>
    <row r="1020" spans="91:91">
      <c r="CM1020"/>
    </row>
    <row r="1021" spans="91:91">
      <c r="CM1021"/>
    </row>
    <row r="1022" spans="91:91">
      <c r="CM1022"/>
    </row>
    <row r="1023" spans="91:91">
      <c r="CM1023"/>
    </row>
    <row r="1024" spans="91:91">
      <c r="CM1024"/>
    </row>
    <row r="1025" spans="91:91">
      <c r="CM1025"/>
    </row>
    <row r="1026" spans="91:91">
      <c r="CM1026"/>
    </row>
    <row r="1027" spans="91:91">
      <c r="CM1027"/>
    </row>
    <row r="1028" spans="91:91">
      <c r="CM1028"/>
    </row>
    <row r="1029" spans="91:91">
      <c r="CM1029"/>
    </row>
    <row r="1030" spans="91:91">
      <c r="CM1030"/>
    </row>
    <row r="1031" spans="91:91">
      <c r="CM1031"/>
    </row>
    <row r="1032" spans="91:91">
      <c r="CM1032"/>
    </row>
    <row r="1033" spans="91:91">
      <c r="CM1033"/>
    </row>
    <row r="1034" spans="91:91">
      <c r="CM1034"/>
    </row>
    <row r="1035" spans="91:91">
      <c r="CM1035"/>
    </row>
    <row r="1036" spans="91:91">
      <c r="CM1036"/>
    </row>
    <row r="1037" spans="91:91">
      <c r="CM1037"/>
    </row>
    <row r="1038" spans="91:91">
      <c r="CM1038"/>
    </row>
    <row r="1039" spans="91:91">
      <c r="CM1039"/>
    </row>
    <row r="1040" spans="91:91">
      <c r="CM1040"/>
    </row>
    <row r="1041" spans="91:91">
      <c r="CM1041"/>
    </row>
    <row r="1042" spans="91:91">
      <c r="CM1042"/>
    </row>
    <row r="1043" spans="91:91">
      <c r="CM1043"/>
    </row>
    <row r="1044" spans="91:91">
      <c r="CM1044"/>
    </row>
    <row r="1045" spans="91:91">
      <c r="CM1045"/>
    </row>
    <row r="1046" spans="91:91">
      <c r="CM1046"/>
    </row>
    <row r="1047" spans="91:91">
      <c r="CM1047"/>
    </row>
    <row r="1048" spans="91:91">
      <c r="CM1048"/>
    </row>
    <row r="1049" spans="91:91">
      <c r="CM1049"/>
    </row>
    <row r="1050" spans="91:91">
      <c r="CM1050"/>
    </row>
    <row r="1051" spans="91:91">
      <c r="CM1051"/>
    </row>
    <row r="1052" spans="91:91">
      <c r="CM1052"/>
    </row>
    <row r="1053" spans="91:91">
      <c r="CM1053"/>
    </row>
    <row r="1054" spans="91:91">
      <c r="CM1054"/>
    </row>
    <row r="1055" spans="91:91">
      <c r="CM1055"/>
    </row>
    <row r="1056" spans="91:91">
      <c r="CM1056"/>
    </row>
    <row r="1057" spans="91:91">
      <c r="CM1057"/>
    </row>
    <row r="1058" spans="91:91">
      <c r="CM1058"/>
    </row>
    <row r="1059" spans="91:91">
      <c r="CM1059"/>
    </row>
    <row r="1060" spans="91:91">
      <c r="CM1060"/>
    </row>
    <row r="1061" spans="91:91">
      <c r="CM1061"/>
    </row>
    <row r="1062" spans="91:91">
      <c r="CM1062"/>
    </row>
    <row r="1063" spans="91:91">
      <c r="CM1063"/>
    </row>
    <row r="1064" spans="91:91">
      <c r="CM1064"/>
    </row>
    <row r="1065" spans="91:91">
      <c r="CM1065"/>
    </row>
    <row r="1066" spans="91:91">
      <c r="CM1066"/>
    </row>
    <row r="1067" spans="91:91">
      <c r="CM1067"/>
    </row>
    <row r="1068" spans="91:91">
      <c r="CM1068"/>
    </row>
    <row r="1069" spans="91:91">
      <c r="CM1069"/>
    </row>
    <row r="1070" spans="91:91">
      <c r="CM1070"/>
    </row>
    <row r="1071" spans="91:91">
      <c r="CM1071"/>
    </row>
    <row r="1072" spans="91:91">
      <c r="CM1072"/>
    </row>
    <row r="1073" spans="91:91">
      <c r="CM1073"/>
    </row>
    <row r="1074" spans="91:91">
      <c r="CM1074"/>
    </row>
    <row r="1075" spans="91:91">
      <c r="CM1075"/>
    </row>
    <row r="1076" spans="91:91">
      <c r="CM1076"/>
    </row>
    <row r="1077" spans="91:91">
      <c r="CM1077"/>
    </row>
    <row r="1078" spans="91:91">
      <c r="CM1078"/>
    </row>
    <row r="1079" spans="91:91">
      <c r="CM1079"/>
    </row>
    <row r="1080" spans="91:91">
      <c r="CM1080"/>
    </row>
    <row r="1081" spans="91:91">
      <c r="CM1081"/>
    </row>
    <row r="1082" spans="91:91">
      <c r="CM1082"/>
    </row>
    <row r="1083" spans="91:91">
      <c r="CM1083"/>
    </row>
    <row r="1084" spans="91:91">
      <c r="CM1084"/>
    </row>
    <row r="1085" spans="91:91">
      <c r="CM1085"/>
    </row>
    <row r="1086" spans="91:91">
      <c r="CM1086"/>
    </row>
    <row r="1087" spans="91:91">
      <c r="CM1087"/>
    </row>
    <row r="1088" spans="91:91">
      <c r="CM1088"/>
    </row>
    <row r="1089" spans="91:91">
      <c r="CM1089"/>
    </row>
    <row r="1090" spans="91:91">
      <c r="CM1090"/>
    </row>
    <row r="1091" spans="91:91">
      <c r="CM1091"/>
    </row>
    <row r="1092" spans="91:91">
      <c r="CM1092"/>
    </row>
    <row r="1093" spans="91:91">
      <c r="CM1093"/>
    </row>
    <row r="1094" spans="91:91">
      <c r="CM1094"/>
    </row>
    <row r="1095" spans="91:91">
      <c r="CM1095"/>
    </row>
    <row r="1096" spans="91:91">
      <c r="CM1096"/>
    </row>
    <row r="1097" spans="91:91">
      <c r="CM1097"/>
    </row>
    <row r="1098" spans="91:91">
      <c r="CM1098"/>
    </row>
    <row r="1099" spans="91:91">
      <c r="CM1099"/>
    </row>
    <row r="1100" spans="91:91">
      <c r="CM1100"/>
    </row>
    <row r="1101" spans="91:91">
      <c r="CM1101"/>
    </row>
    <row r="1102" spans="91:91">
      <c r="CM1102"/>
    </row>
    <row r="1103" spans="91:91">
      <c r="CM1103"/>
    </row>
    <row r="1104" spans="91:91">
      <c r="CM1104"/>
    </row>
    <row r="1105" spans="91:91">
      <c r="CM1105"/>
    </row>
    <row r="1106" spans="91:91">
      <c r="CM1106"/>
    </row>
    <row r="1107" spans="91:91">
      <c r="CM1107"/>
    </row>
    <row r="1108" spans="91:91">
      <c r="CM1108"/>
    </row>
    <row r="1109" spans="91:91">
      <c r="CM1109"/>
    </row>
    <row r="1110" spans="91:91">
      <c r="CM1110"/>
    </row>
    <row r="1111" spans="91:91">
      <c r="CM1111"/>
    </row>
    <row r="1112" spans="91:91">
      <c r="CM1112"/>
    </row>
    <row r="1113" spans="91:91">
      <c r="CM1113"/>
    </row>
    <row r="1114" spans="91:91">
      <c r="CM1114"/>
    </row>
    <row r="1115" spans="91:91">
      <c r="CM1115"/>
    </row>
    <row r="1116" spans="91:91">
      <c r="CM1116"/>
    </row>
    <row r="1117" spans="91:91">
      <c r="CM1117"/>
    </row>
    <row r="1118" spans="91:91">
      <c r="CM1118"/>
    </row>
    <row r="1119" spans="91:91">
      <c r="CM1119"/>
    </row>
    <row r="1120" spans="91:91">
      <c r="CM1120"/>
    </row>
    <row r="1121" spans="91:91">
      <c r="CM1121"/>
    </row>
    <row r="1122" spans="91:91">
      <c r="CM1122"/>
    </row>
    <row r="1123" spans="91:91">
      <c r="CM1123"/>
    </row>
    <row r="1124" spans="91:91">
      <c r="CM1124"/>
    </row>
    <row r="1125" spans="91:91">
      <c r="CM1125"/>
    </row>
    <row r="1126" spans="91:91">
      <c r="CM1126"/>
    </row>
    <row r="1127" spans="91:91">
      <c r="CM1127"/>
    </row>
    <row r="1128" spans="91:91">
      <c r="CM1128"/>
    </row>
    <row r="1129" spans="91:91">
      <c r="CM1129"/>
    </row>
    <row r="1130" spans="91:91">
      <c r="CM1130"/>
    </row>
    <row r="1131" spans="91:91">
      <c r="CM1131"/>
    </row>
    <row r="1132" spans="91:91">
      <c r="CM1132"/>
    </row>
    <row r="1133" spans="91:91">
      <c r="CM1133"/>
    </row>
    <row r="1134" spans="91:91">
      <c r="CM1134"/>
    </row>
    <row r="1135" spans="91:91">
      <c r="CM1135"/>
    </row>
    <row r="1136" spans="91:91">
      <c r="CM1136"/>
    </row>
    <row r="1137" spans="91:91">
      <c r="CM1137"/>
    </row>
    <row r="1138" spans="91:91">
      <c r="CM1138"/>
    </row>
    <row r="1139" spans="91:91">
      <c r="CM1139"/>
    </row>
    <row r="1140" spans="91:91">
      <c r="CM1140"/>
    </row>
    <row r="1141" spans="91:91">
      <c r="CM1141"/>
    </row>
    <row r="1142" spans="91:91">
      <c r="CM1142"/>
    </row>
    <row r="1143" spans="91:91">
      <c r="CM1143"/>
    </row>
    <row r="1144" spans="91:91">
      <c r="CM1144"/>
    </row>
    <row r="1145" spans="91:91">
      <c r="CM1145"/>
    </row>
    <row r="1146" spans="91:91">
      <c r="CM1146"/>
    </row>
    <row r="1147" spans="91:91">
      <c r="CM1147"/>
    </row>
    <row r="1148" spans="91:91">
      <c r="CM1148"/>
    </row>
    <row r="1149" spans="91:91">
      <c r="CM1149"/>
    </row>
    <row r="1150" spans="91:91">
      <c r="CM1150"/>
    </row>
    <row r="1151" spans="91:91">
      <c r="CM1151"/>
    </row>
    <row r="1152" spans="91:91">
      <c r="CM1152"/>
    </row>
    <row r="1153" spans="91:91">
      <c r="CM1153"/>
    </row>
    <row r="1154" spans="91:91">
      <c r="CM1154"/>
    </row>
    <row r="1155" spans="91:91">
      <c r="CM1155"/>
    </row>
    <row r="1156" spans="91:91">
      <c r="CM1156"/>
    </row>
    <row r="1157" spans="91:91">
      <c r="CM1157"/>
    </row>
    <row r="1158" spans="91:91">
      <c r="CM1158"/>
    </row>
    <row r="1159" spans="91:91">
      <c r="CM1159"/>
    </row>
    <row r="1160" spans="91:91">
      <c r="CM1160"/>
    </row>
    <row r="1161" spans="91:91">
      <c r="CM1161"/>
    </row>
    <row r="1162" spans="91:91">
      <c r="CM1162"/>
    </row>
    <row r="1163" spans="91:91">
      <c r="CM1163"/>
    </row>
    <row r="1164" spans="91:91">
      <c r="CM1164"/>
    </row>
    <row r="1165" spans="91:91">
      <c r="CM1165"/>
    </row>
    <row r="1166" spans="91:91">
      <c r="CM1166"/>
    </row>
    <row r="1167" spans="91:91">
      <c r="CM1167"/>
    </row>
    <row r="1168" spans="91:91">
      <c r="CM1168"/>
    </row>
    <row r="1169" spans="91:91">
      <c r="CM1169"/>
    </row>
    <row r="1170" spans="91:91">
      <c r="CM1170"/>
    </row>
    <row r="1171" spans="91:91">
      <c r="CM1171"/>
    </row>
    <row r="1172" spans="91:91">
      <c r="CM1172"/>
    </row>
    <row r="1173" spans="91:91">
      <c r="CM1173"/>
    </row>
    <row r="1174" spans="91:91">
      <c r="CM1174"/>
    </row>
    <row r="1175" spans="91:91">
      <c r="CM1175"/>
    </row>
    <row r="1176" spans="91:91">
      <c r="CM1176"/>
    </row>
    <row r="1177" spans="91:91">
      <c r="CM1177"/>
    </row>
    <row r="1178" spans="91:91">
      <c r="CM1178"/>
    </row>
    <row r="1179" spans="91:91">
      <c r="CM1179"/>
    </row>
    <row r="1180" spans="91:91">
      <c r="CM1180"/>
    </row>
    <row r="1181" spans="91:91">
      <c r="CM1181"/>
    </row>
    <row r="1182" spans="91:91">
      <c r="CM1182"/>
    </row>
    <row r="1183" spans="91:91">
      <c r="CM1183"/>
    </row>
    <row r="1184" spans="91:91">
      <c r="CM1184"/>
    </row>
    <row r="1185" spans="91:91">
      <c r="CM1185"/>
    </row>
    <row r="1186" spans="91:91">
      <c r="CM1186"/>
    </row>
    <row r="1187" spans="91:91">
      <c r="CM1187"/>
    </row>
    <row r="1188" spans="91:91">
      <c r="CM1188"/>
    </row>
    <row r="1189" spans="91:91">
      <c r="CM1189"/>
    </row>
    <row r="1190" spans="91:91">
      <c r="CM1190"/>
    </row>
    <row r="1191" spans="91:91">
      <c r="CM1191"/>
    </row>
    <row r="1192" spans="91:91">
      <c r="CM1192"/>
    </row>
    <row r="1193" spans="91:91">
      <c r="CM1193"/>
    </row>
    <row r="1194" spans="91:91">
      <c r="CM1194"/>
    </row>
    <row r="1195" spans="91:91">
      <c r="CM1195"/>
    </row>
    <row r="1196" spans="91:91">
      <c r="CM1196"/>
    </row>
    <row r="1197" spans="91:91">
      <c r="CM1197"/>
    </row>
    <row r="1198" spans="91:91">
      <c r="CM1198"/>
    </row>
    <row r="1199" spans="91:91">
      <c r="CM1199"/>
    </row>
    <row r="1200" spans="91:91">
      <c r="CM1200"/>
    </row>
    <row r="1201" spans="91:91">
      <c r="CM1201"/>
    </row>
    <row r="1202" spans="91:91">
      <c r="CM1202"/>
    </row>
    <row r="1203" spans="91:91">
      <c r="CM1203"/>
    </row>
    <row r="1204" spans="91:91">
      <c r="CM1204"/>
    </row>
    <row r="1205" spans="91:91">
      <c r="CM1205"/>
    </row>
    <row r="1206" spans="91:91">
      <c r="CM1206"/>
    </row>
    <row r="1207" spans="91:91">
      <c r="CM1207"/>
    </row>
    <row r="1208" spans="91:91">
      <c r="CM1208"/>
    </row>
    <row r="1209" spans="91:91">
      <c r="CM1209"/>
    </row>
    <row r="1210" spans="91:91">
      <c r="CM1210"/>
    </row>
    <row r="1211" spans="91:91">
      <c r="CM1211"/>
    </row>
    <row r="1212" spans="91:91">
      <c r="CM1212"/>
    </row>
    <row r="1213" spans="91:91">
      <c r="CM1213"/>
    </row>
    <row r="1214" spans="91:91">
      <c r="CM1214"/>
    </row>
    <row r="1215" spans="91:91">
      <c r="CM1215"/>
    </row>
    <row r="1216" spans="91:91">
      <c r="CM1216"/>
    </row>
    <row r="1217" spans="91:91">
      <c r="CM1217"/>
    </row>
    <row r="1218" spans="91:91">
      <c r="CM1218"/>
    </row>
    <row r="1219" spans="91:91">
      <c r="CM1219"/>
    </row>
    <row r="1220" spans="91:91">
      <c r="CM1220"/>
    </row>
    <row r="1221" spans="91:91">
      <c r="CM1221"/>
    </row>
    <row r="1222" spans="91:91">
      <c r="CM1222"/>
    </row>
    <row r="1223" spans="91:91">
      <c r="CM1223"/>
    </row>
    <row r="1224" spans="91:91">
      <c r="CM1224"/>
    </row>
    <row r="1225" spans="91:91">
      <c r="CM1225"/>
    </row>
    <row r="1226" spans="91:91">
      <c r="CM1226"/>
    </row>
    <row r="1227" spans="91:91">
      <c r="CM1227"/>
    </row>
    <row r="1228" spans="91:91">
      <c r="CM1228"/>
    </row>
    <row r="1229" spans="91:91">
      <c r="CM1229"/>
    </row>
    <row r="1230" spans="91:91">
      <c r="CM1230"/>
    </row>
    <row r="1231" spans="91:91">
      <c r="CM1231"/>
    </row>
    <row r="1232" spans="91:91">
      <c r="CM1232"/>
    </row>
    <row r="1233" spans="91:91">
      <c r="CM1233"/>
    </row>
    <row r="1234" spans="91:91">
      <c r="CM1234"/>
    </row>
    <row r="1235" spans="91:91">
      <c r="CM1235"/>
    </row>
    <row r="1236" spans="91:91">
      <c r="CM1236"/>
    </row>
    <row r="1237" spans="91:91">
      <c r="CM1237"/>
    </row>
    <row r="1238" spans="91:91">
      <c r="CM1238"/>
    </row>
    <row r="1239" spans="91:91">
      <c r="CM1239"/>
    </row>
    <row r="1240" spans="91:91">
      <c r="CM1240"/>
    </row>
    <row r="1241" spans="91:91">
      <c r="CM1241"/>
    </row>
    <row r="1242" spans="91:91">
      <c r="CM1242"/>
    </row>
    <row r="1243" spans="91:91">
      <c r="CM1243"/>
    </row>
    <row r="1244" spans="91:91">
      <c r="CM1244"/>
    </row>
    <row r="1245" spans="91:91">
      <c r="CM1245"/>
    </row>
    <row r="1246" spans="91:91">
      <c r="CM1246"/>
    </row>
    <row r="1247" spans="91:91">
      <c r="CM1247"/>
    </row>
    <row r="1248" spans="91:91">
      <c r="CM1248"/>
    </row>
    <row r="1249" spans="91:91">
      <c r="CM1249"/>
    </row>
    <row r="1250" spans="91:91">
      <c r="CM1250"/>
    </row>
    <row r="1251" spans="91:91">
      <c r="CM1251"/>
    </row>
    <row r="1252" spans="91:91">
      <c r="CM1252"/>
    </row>
    <row r="1253" spans="91:91">
      <c r="CM1253"/>
    </row>
    <row r="1254" spans="91:91">
      <c r="CM1254"/>
    </row>
    <row r="1255" spans="91:91">
      <c r="CM1255"/>
    </row>
    <row r="1256" spans="91:91">
      <c r="CM1256"/>
    </row>
    <row r="1257" spans="91:91">
      <c r="CM1257"/>
    </row>
    <row r="1258" spans="91:91">
      <c r="CM1258"/>
    </row>
    <row r="1259" spans="91:91">
      <c r="CM1259"/>
    </row>
    <row r="1260" spans="91:91">
      <c r="CM1260"/>
    </row>
    <row r="1261" spans="91:91">
      <c r="CM1261"/>
    </row>
    <row r="1262" spans="91:91">
      <c r="CM1262"/>
    </row>
    <row r="1263" spans="91:91">
      <c r="CM1263"/>
    </row>
    <row r="1264" spans="91:91">
      <c r="CM1264"/>
    </row>
    <row r="1265" spans="91:91">
      <c r="CM1265"/>
    </row>
    <row r="1266" spans="91:91">
      <c r="CM1266"/>
    </row>
    <row r="1267" spans="91:91">
      <c r="CM1267"/>
    </row>
    <row r="1268" spans="91:91">
      <c r="CM1268"/>
    </row>
    <row r="1269" spans="91:91">
      <c r="CM1269"/>
    </row>
    <row r="1270" spans="91:91">
      <c r="CM1270"/>
    </row>
    <row r="1271" spans="91:91">
      <c r="CM1271"/>
    </row>
    <row r="1272" spans="91:91">
      <c r="CM1272"/>
    </row>
    <row r="1273" spans="91:91">
      <c r="CM1273"/>
    </row>
    <row r="1274" spans="91:91">
      <c r="CM1274"/>
    </row>
    <row r="1275" spans="91:91">
      <c r="CM1275"/>
    </row>
    <row r="1276" spans="91:91">
      <c r="CM1276"/>
    </row>
    <row r="1277" spans="91:91">
      <c r="CM1277"/>
    </row>
    <row r="1278" spans="91:91">
      <c r="CM1278"/>
    </row>
    <row r="1279" spans="91:91">
      <c r="CM1279"/>
    </row>
    <row r="1280" spans="91:91">
      <c r="CM1280"/>
    </row>
    <row r="1281" spans="91:91">
      <c r="CM1281"/>
    </row>
    <row r="1282" spans="91:91">
      <c r="CM1282"/>
    </row>
    <row r="1283" spans="91:91">
      <c r="CM1283"/>
    </row>
    <row r="1284" spans="91:91">
      <c r="CM1284"/>
    </row>
    <row r="1285" spans="91:91">
      <c r="CM1285"/>
    </row>
    <row r="1286" spans="91:91">
      <c r="CM1286"/>
    </row>
    <row r="1287" spans="91:91">
      <c r="CM1287"/>
    </row>
    <row r="1288" spans="91:91">
      <c r="CM1288"/>
    </row>
    <row r="1289" spans="91:91">
      <c r="CM1289"/>
    </row>
    <row r="1290" spans="91:91">
      <c r="CM1290"/>
    </row>
    <row r="1291" spans="91:91">
      <c r="CM1291"/>
    </row>
    <row r="1292" spans="91:91">
      <c r="CM1292"/>
    </row>
    <row r="1293" spans="91:91">
      <c r="CM1293"/>
    </row>
    <row r="1294" spans="91:91">
      <c r="CM1294"/>
    </row>
    <row r="1295" spans="91:91">
      <c r="CM1295"/>
    </row>
    <row r="1296" spans="91:91">
      <c r="CM1296"/>
    </row>
    <row r="1297" spans="91:91">
      <c r="CM1297"/>
    </row>
    <row r="1298" spans="91:91">
      <c r="CM1298"/>
    </row>
    <row r="1299" spans="91:91">
      <c r="CM1299"/>
    </row>
    <row r="1300" spans="91:91">
      <c r="CM1300"/>
    </row>
    <row r="1301" spans="91:91">
      <c r="CM1301"/>
    </row>
    <row r="1302" spans="91:91">
      <c r="CM1302"/>
    </row>
    <row r="1303" spans="91:91">
      <c r="CM1303"/>
    </row>
    <row r="1304" spans="91:91">
      <c r="CM1304"/>
    </row>
    <row r="1305" spans="91:91">
      <c r="CM1305"/>
    </row>
    <row r="1306" spans="91:91">
      <c r="CM1306"/>
    </row>
    <row r="1307" spans="91:91">
      <c r="CM1307"/>
    </row>
    <row r="1308" spans="91:91">
      <c r="CM1308"/>
    </row>
    <row r="1309" spans="91:91">
      <c r="CM1309"/>
    </row>
    <row r="1310" spans="91:91">
      <c r="CM1310"/>
    </row>
    <row r="1311" spans="91:91">
      <c r="CM1311"/>
    </row>
    <row r="1312" spans="91:91">
      <c r="CM1312"/>
    </row>
    <row r="1313" spans="91:91">
      <c r="CM1313"/>
    </row>
    <row r="1314" spans="91:91">
      <c r="CM1314"/>
    </row>
    <row r="1315" spans="91:91">
      <c r="CM1315"/>
    </row>
    <row r="1316" spans="91:91">
      <c r="CM1316"/>
    </row>
    <row r="1317" spans="91:91">
      <c r="CM1317"/>
    </row>
    <row r="1318" spans="91:91">
      <c r="CM1318"/>
    </row>
    <row r="1319" spans="91:91">
      <c r="CM1319"/>
    </row>
    <row r="1320" spans="91:91">
      <c r="CM1320"/>
    </row>
    <row r="1321" spans="91:91">
      <c r="CM1321"/>
    </row>
    <row r="1322" spans="91:91">
      <c r="CM1322"/>
    </row>
    <row r="1323" spans="91:91">
      <c r="CM1323"/>
    </row>
    <row r="1324" spans="91:91">
      <c r="CM1324"/>
    </row>
    <row r="1325" spans="91:91">
      <c r="CM1325"/>
    </row>
    <row r="1326" spans="91:91">
      <c r="CM1326"/>
    </row>
    <row r="1327" spans="91:91">
      <c r="CM1327"/>
    </row>
    <row r="1328" spans="91:91">
      <c r="CM1328"/>
    </row>
    <row r="1329" spans="91:91">
      <c r="CM1329"/>
    </row>
    <row r="1330" spans="91:91">
      <c r="CM1330"/>
    </row>
    <row r="1331" spans="91:91">
      <c r="CM1331"/>
    </row>
    <row r="1332" spans="91:91">
      <c r="CM1332"/>
    </row>
    <row r="1333" spans="91:91">
      <c r="CM1333"/>
    </row>
    <row r="1334" spans="91:91">
      <c r="CM1334"/>
    </row>
    <row r="1335" spans="91:91">
      <c r="CM1335"/>
    </row>
    <row r="1336" spans="91:91">
      <c r="CM1336"/>
    </row>
    <row r="1337" spans="91:91">
      <c r="CM1337"/>
    </row>
    <row r="1338" spans="91:91">
      <c r="CM1338"/>
    </row>
    <row r="1339" spans="91:91">
      <c r="CM1339"/>
    </row>
    <row r="1340" spans="91:91">
      <c r="CM1340"/>
    </row>
    <row r="1341" spans="91:91">
      <c r="CM1341"/>
    </row>
    <row r="1342" spans="91:91">
      <c r="CM1342"/>
    </row>
    <row r="1343" spans="91:91">
      <c r="CM1343"/>
    </row>
    <row r="1344" spans="91:91">
      <c r="CM1344"/>
    </row>
    <row r="1345" spans="91:91">
      <c r="CM1345"/>
    </row>
    <row r="1346" spans="91:91">
      <c r="CM1346"/>
    </row>
    <row r="1347" spans="91:91">
      <c r="CM1347"/>
    </row>
    <row r="1348" spans="91:91">
      <c r="CM1348"/>
    </row>
    <row r="1349" spans="91:91">
      <c r="CM1349"/>
    </row>
    <row r="1350" spans="91:91">
      <c r="CM1350"/>
    </row>
    <row r="1351" spans="91:91">
      <c r="CM1351"/>
    </row>
    <row r="1352" spans="91:91">
      <c r="CM1352"/>
    </row>
    <row r="1353" spans="91:91">
      <c r="CM1353"/>
    </row>
    <row r="1354" spans="91:91">
      <c r="CM1354"/>
    </row>
    <row r="1355" spans="91:91">
      <c r="CM1355"/>
    </row>
    <row r="1356" spans="91:91">
      <c r="CM1356"/>
    </row>
    <row r="1357" spans="91:91">
      <c r="CM1357"/>
    </row>
    <row r="1358" spans="91:91">
      <c r="CM1358"/>
    </row>
    <row r="1359" spans="91:91">
      <c r="CM1359"/>
    </row>
    <row r="1360" spans="91:91">
      <c r="CM1360"/>
    </row>
    <row r="1361" spans="91:91">
      <c r="CM1361"/>
    </row>
    <row r="1362" spans="91:91">
      <c r="CM1362"/>
    </row>
    <row r="1363" spans="91:91">
      <c r="CM1363"/>
    </row>
    <row r="1364" spans="91:91">
      <c r="CM1364"/>
    </row>
    <row r="1365" spans="91:91">
      <c r="CM1365"/>
    </row>
    <row r="1366" spans="91:91">
      <c r="CM1366"/>
    </row>
    <row r="1367" spans="91:91">
      <c r="CM1367"/>
    </row>
    <row r="1368" spans="91:91">
      <c r="CM1368"/>
    </row>
    <row r="1369" spans="91:91">
      <c r="CM1369"/>
    </row>
    <row r="1370" spans="91:91">
      <c r="CM1370"/>
    </row>
    <row r="1371" spans="91:91">
      <c r="CM1371"/>
    </row>
    <row r="1372" spans="91:91">
      <c r="CM1372"/>
    </row>
    <row r="1373" spans="91:91">
      <c r="CM1373"/>
    </row>
    <row r="1374" spans="91:91">
      <c r="CM1374"/>
    </row>
    <row r="1375" spans="91:91">
      <c r="CM1375"/>
    </row>
    <row r="1376" spans="91:91">
      <c r="CM1376"/>
    </row>
    <row r="1377" spans="91:91">
      <c r="CM1377"/>
    </row>
    <row r="1378" spans="91:91">
      <c r="CM1378"/>
    </row>
    <row r="1379" spans="91:91">
      <c r="CM1379"/>
    </row>
    <row r="1380" spans="91:91">
      <c r="CM1380"/>
    </row>
    <row r="1381" spans="91:91">
      <c r="CM1381"/>
    </row>
    <row r="1382" spans="91:91">
      <c r="CM1382"/>
    </row>
    <row r="1383" spans="91:91">
      <c r="CM1383"/>
    </row>
    <row r="1384" spans="91:91">
      <c r="CM1384"/>
    </row>
    <row r="1385" spans="91:91">
      <c r="CM1385"/>
    </row>
    <row r="1386" spans="91:91">
      <c r="CM1386"/>
    </row>
    <row r="1387" spans="91:91">
      <c r="CM1387"/>
    </row>
    <row r="1388" spans="91:91">
      <c r="CM1388"/>
    </row>
    <row r="1389" spans="91:91">
      <c r="CM1389"/>
    </row>
    <row r="1390" spans="91:91">
      <c r="CM1390"/>
    </row>
    <row r="1391" spans="91:91">
      <c r="CM1391"/>
    </row>
    <row r="1392" spans="91:91">
      <c r="CM1392"/>
    </row>
    <row r="1393" spans="91:91">
      <c r="CM1393"/>
    </row>
    <row r="1394" spans="91:91">
      <c r="CM1394"/>
    </row>
    <row r="1395" spans="91:91">
      <c r="CM1395"/>
    </row>
    <row r="1396" spans="91:91">
      <c r="CM1396"/>
    </row>
    <row r="1397" spans="91:91">
      <c r="CM1397"/>
    </row>
    <row r="1398" spans="91:91">
      <c r="CM1398"/>
    </row>
    <row r="1399" spans="91:91">
      <c r="CM1399"/>
    </row>
    <row r="1400" spans="91:91">
      <c r="CM1400"/>
    </row>
    <row r="1401" spans="91:91">
      <c r="CM1401"/>
    </row>
    <row r="1402" spans="91:91">
      <c r="CM1402"/>
    </row>
    <row r="1403" spans="91:91">
      <c r="CM1403"/>
    </row>
    <row r="1404" spans="91:91">
      <c r="CM1404"/>
    </row>
    <row r="1405" spans="91:91">
      <c r="CM1405"/>
    </row>
    <row r="1406" spans="91:91">
      <c r="CM1406"/>
    </row>
    <row r="1407" spans="91:91">
      <c r="CM1407"/>
    </row>
    <row r="1408" spans="91:91">
      <c r="CM1408"/>
    </row>
    <row r="1409" spans="91:91">
      <c r="CM1409"/>
    </row>
    <row r="1410" spans="91:91">
      <c r="CM1410"/>
    </row>
    <row r="1411" spans="91:91">
      <c r="CM1411"/>
    </row>
    <row r="1412" spans="91:91">
      <c r="CM1412"/>
    </row>
    <row r="1413" spans="91:91">
      <c r="CM1413"/>
    </row>
    <row r="1414" spans="91:91">
      <c r="CM1414"/>
    </row>
    <row r="1415" spans="91:91">
      <c r="CM1415"/>
    </row>
    <row r="1416" spans="91:91">
      <c r="CM1416"/>
    </row>
    <row r="1417" spans="91:91">
      <c r="CM1417"/>
    </row>
    <row r="1418" spans="91:91">
      <c r="CM1418"/>
    </row>
    <row r="1419" spans="91:91">
      <c r="CM1419"/>
    </row>
    <row r="1420" spans="91:91">
      <c r="CM1420"/>
    </row>
    <row r="1421" spans="91:91">
      <c r="CM1421"/>
    </row>
    <row r="1422" spans="91:91">
      <c r="CM1422"/>
    </row>
    <row r="1423" spans="91:91">
      <c r="CM1423"/>
    </row>
    <row r="1424" spans="91:91">
      <c r="CM1424"/>
    </row>
    <row r="1425" spans="91:91">
      <c r="CM1425"/>
    </row>
    <row r="1426" spans="91:91">
      <c r="CM1426"/>
    </row>
    <row r="1427" spans="91:91">
      <c r="CM1427"/>
    </row>
    <row r="1428" spans="91:91">
      <c r="CM1428"/>
    </row>
    <row r="1429" spans="91:91">
      <c r="CM1429"/>
    </row>
    <row r="1430" spans="91:91">
      <c r="CM1430"/>
    </row>
    <row r="1431" spans="91:91">
      <c r="CM1431"/>
    </row>
    <row r="1432" spans="91:91">
      <c r="CM1432"/>
    </row>
    <row r="1433" spans="91:91">
      <c r="CM1433"/>
    </row>
    <row r="1434" spans="91:91">
      <c r="CM1434"/>
    </row>
    <row r="1435" spans="91:91">
      <c r="CM1435"/>
    </row>
    <row r="1436" spans="91:91">
      <c r="CM1436"/>
    </row>
    <row r="1437" spans="91:91">
      <c r="CM1437"/>
    </row>
    <row r="1438" spans="91:91">
      <c r="CM1438"/>
    </row>
    <row r="1439" spans="91:91">
      <c r="CM1439"/>
    </row>
    <row r="1440" spans="91:91">
      <c r="CM1440"/>
    </row>
    <row r="1441" spans="91:91">
      <c r="CM1441"/>
    </row>
    <row r="1442" spans="91:91">
      <c r="CM1442"/>
    </row>
    <row r="1443" spans="91:91">
      <c r="CM1443"/>
    </row>
    <row r="1444" spans="91:91">
      <c r="CM1444"/>
    </row>
    <row r="1445" spans="91:91">
      <c r="CM1445"/>
    </row>
    <row r="1446" spans="91:91">
      <c r="CM1446"/>
    </row>
    <row r="1447" spans="91:91">
      <c r="CM1447"/>
    </row>
    <row r="1448" spans="91:91">
      <c r="CM1448"/>
    </row>
    <row r="1449" spans="91:91">
      <c r="CM1449"/>
    </row>
    <row r="1450" spans="91:91">
      <c r="CM1450"/>
    </row>
    <row r="1451" spans="91:91">
      <c r="CM1451"/>
    </row>
    <row r="1452" spans="91:91">
      <c r="CM1452"/>
    </row>
    <row r="1453" spans="91:91">
      <c r="CM1453"/>
    </row>
    <row r="1454" spans="91:91">
      <c r="CM1454"/>
    </row>
    <row r="1455" spans="91:91">
      <c r="CM1455"/>
    </row>
    <row r="1456" spans="91:91">
      <c r="CM1456"/>
    </row>
    <row r="1457" spans="91:91">
      <c r="CM1457"/>
    </row>
    <row r="1458" spans="91:91">
      <c r="CM1458"/>
    </row>
    <row r="1459" spans="91:91">
      <c r="CM1459"/>
    </row>
    <row r="1460" spans="91:91">
      <c r="CM1460"/>
    </row>
    <row r="1461" spans="91:91">
      <c r="CM1461"/>
    </row>
    <row r="1462" spans="91:91">
      <c r="CM1462"/>
    </row>
    <row r="1463" spans="91:91">
      <c r="CM1463"/>
    </row>
    <row r="1464" spans="91:91">
      <c r="CM1464"/>
    </row>
    <row r="1465" spans="91:91">
      <c r="CM1465"/>
    </row>
    <row r="1466" spans="91:91">
      <c r="CM1466"/>
    </row>
    <row r="1467" spans="91:91">
      <c r="CM1467"/>
    </row>
    <row r="1468" spans="91:91">
      <c r="CM1468"/>
    </row>
    <row r="1469" spans="91:91">
      <c r="CM1469"/>
    </row>
    <row r="1470" spans="91:91">
      <c r="CM1470"/>
    </row>
    <row r="1471" spans="91:91">
      <c r="CM1471"/>
    </row>
    <row r="1472" spans="91:91">
      <c r="CM1472"/>
    </row>
    <row r="1473" spans="91:91">
      <c r="CM1473"/>
    </row>
    <row r="1474" spans="91:91">
      <c r="CM1474"/>
    </row>
    <row r="1475" spans="91:91">
      <c r="CM1475"/>
    </row>
    <row r="1476" spans="91:91">
      <c r="CM1476"/>
    </row>
    <row r="1477" spans="91:91">
      <c r="CM1477"/>
    </row>
    <row r="1478" spans="91:91">
      <c r="CM1478"/>
    </row>
    <row r="1479" spans="91:91">
      <c r="CM1479"/>
    </row>
    <row r="1480" spans="91:91">
      <c r="CM1480"/>
    </row>
    <row r="1481" spans="91:91">
      <c r="CM1481"/>
    </row>
    <row r="1482" spans="91:91">
      <c r="CM1482"/>
    </row>
    <row r="1483" spans="91:91">
      <c r="CM1483"/>
    </row>
    <row r="1484" spans="91:91">
      <c r="CM1484"/>
    </row>
    <row r="1485" spans="91:91">
      <c r="CM1485"/>
    </row>
    <row r="1486" spans="91:91">
      <c r="CM1486"/>
    </row>
    <row r="1487" spans="91:91">
      <c r="CM1487"/>
    </row>
    <row r="1488" spans="91:91">
      <c r="CM1488"/>
    </row>
    <row r="1489" spans="91:91">
      <c r="CM1489"/>
    </row>
    <row r="1490" spans="91:91">
      <c r="CM1490"/>
    </row>
    <row r="1491" spans="91:91">
      <c r="CM1491"/>
    </row>
    <row r="1492" spans="91:91">
      <c r="CM1492"/>
    </row>
    <row r="1493" spans="91:91">
      <c r="CM1493"/>
    </row>
    <row r="1494" spans="91:91">
      <c r="CM1494"/>
    </row>
    <row r="1495" spans="91:91">
      <c r="CM1495"/>
    </row>
    <row r="1496" spans="91:91">
      <c r="CM1496"/>
    </row>
    <row r="1497" spans="91:91">
      <c r="CM1497"/>
    </row>
    <row r="1498" spans="91:91">
      <c r="CM1498"/>
    </row>
    <row r="1499" spans="91:91">
      <c r="CM1499"/>
    </row>
    <row r="1500" spans="91:91">
      <c r="CM1500"/>
    </row>
    <row r="1501" spans="91:91">
      <c r="CM1501"/>
    </row>
    <row r="1502" spans="91:91">
      <c r="CM1502"/>
    </row>
    <row r="1503" spans="91:91">
      <c r="CM1503"/>
    </row>
    <row r="1504" spans="91:91">
      <c r="CM1504"/>
    </row>
    <row r="1505" spans="91:91">
      <c r="CM1505"/>
    </row>
    <row r="1506" spans="91:91">
      <c r="CM1506"/>
    </row>
    <row r="1507" spans="91:91">
      <c r="CM1507"/>
    </row>
    <row r="1508" spans="91:91">
      <c r="CM1508"/>
    </row>
    <row r="1509" spans="91:91">
      <c r="CM1509"/>
    </row>
    <row r="1510" spans="91:91">
      <c r="CM1510"/>
    </row>
    <row r="1511" spans="91:91">
      <c r="CM1511"/>
    </row>
    <row r="1512" spans="91:91">
      <c r="CM1512"/>
    </row>
    <row r="1513" spans="91:91">
      <c r="CM1513"/>
    </row>
    <row r="1514" spans="91:91">
      <c r="CM1514"/>
    </row>
    <row r="1515" spans="91:91">
      <c r="CM1515"/>
    </row>
    <row r="1516" spans="91:91">
      <c r="CM1516"/>
    </row>
    <row r="1517" spans="91:91">
      <c r="CM1517"/>
    </row>
    <row r="1518" spans="91:91">
      <c r="CM1518"/>
    </row>
    <row r="1519" spans="91:91">
      <c r="CM1519"/>
    </row>
    <row r="1520" spans="91:91">
      <c r="CM1520"/>
    </row>
    <row r="1521" spans="91:91">
      <c r="CM1521"/>
    </row>
    <row r="1522" spans="91:91">
      <c r="CM1522"/>
    </row>
    <row r="1523" spans="91:91">
      <c r="CM1523"/>
    </row>
    <row r="1524" spans="91:91">
      <c r="CM1524"/>
    </row>
    <row r="1525" spans="91:91">
      <c r="CM1525"/>
    </row>
    <row r="1526" spans="91:91">
      <c r="CM1526"/>
    </row>
    <row r="1527" spans="91:91">
      <c r="CM1527"/>
    </row>
    <row r="1528" spans="91:91">
      <c r="CM1528"/>
    </row>
    <row r="1529" spans="91:91">
      <c r="CM1529"/>
    </row>
    <row r="1530" spans="91:91">
      <c r="CM1530"/>
    </row>
    <row r="1531" spans="91:91">
      <c r="CM1531"/>
    </row>
    <row r="1532" spans="91:91">
      <c r="CM1532"/>
    </row>
    <row r="1533" spans="91:91">
      <c r="CM1533"/>
    </row>
    <row r="1534" spans="91:91">
      <c r="CM1534"/>
    </row>
    <row r="1535" spans="91:91">
      <c r="CM1535"/>
    </row>
    <row r="1536" spans="91:91">
      <c r="CM1536"/>
    </row>
    <row r="1537" spans="91:91">
      <c r="CM1537"/>
    </row>
    <row r="1538" spans="91:91">
      <c r="CM1538"/>
    </row>
    <row r="1539" spans="91:91">
      <c r="CM1539"/>
    </row>
    <row r="1540" spans="91:91">
      <c r="CM1540"/>
    </row>
    <row r="1541" spans="91:91">
      <c r="CM1541"/>
    </row>
    <row r="1542" spans="91:91">
      <c r="CM1542"/>
    </row>
    <row r="1543" spans="91:91">
      <c r="CM1543"/>
    </row>
    <row r="1544" spans="91:91">
      <c r="CM1544"/>
    </row>
    <row r="1545" spans="91:91">
      <c r="CM1545"/>
    </row>
    <row r="1546" spans="91:91">
      <c r="CM1546"/>
    </row>
    <row r="1547" spans="91:91">
      <c r="CM1547"/>
    </row>
    <row r="1548" spans="91:91">
      <c r="CM1548"/>
    </row>
    <row r="1549" spans="91:91">
      <c r="CM1549"/>
    </row>
    <row r="1550" spans="91:91">
      <c r="CM1550"/>
    </row>
    <row r="1551" spans="91:91">
      <c r="CM1551"/>
    </row>
    <row r="1552" spans="91:91">
      <c r="CM1552"/>
    </row>
    <row r="1553" spans="91:91">
      <c r="CM1553"/>
    </row>
    <row r="1554" spans="91:91">
      <c r="CM1554"/>
    </row>
    <row r="1555" spans="91:91">
      <c r="CM1555"/>
    </row>
    <row r="1556" spans="91:91">
      <c r="CM1556"/>
    </row>
    <row r="1557" spans="91:91">
      <c r="CM1557"/>
    </row>
    <row r="1558" spans="91:91">
      <c r="CM1558"/>
    </row>
    <row r="1559" spans="91:91">
      <c r="CM1559"/>
    </row>
    <row r="1560" spans="91:91">
      <c r="CM1560"/>
    </row>
    <row r="1561" spans="91:91">
      <c r="CM1561"/>
    </row>
    <row r="1562" spans="91:91">
      <c r="CM1562"/>
    </row>
    <row r="1563" spans="91:91">
      <c r="CM1563"/>
    </row>
    <row r="1564" spans="91:91">
      <c r="CM1564"/>
    </row>
    <row r="1565" spans="91:91">
      <c r="CM1565"/>
    </row>
    <row r="1566" spans="91:91">
      <c r="CM1566"/>
    </row>
    <row r="1567" spans="91:91">
      <c r="CM1567"/>
    </row>
    <row r="1568" spans="91:91">
      <c r="CM1568"/>
    </row>
    <row r="1569" spans="91:91">
      <c r="CM1569"/>
    </row>
    <row r="1570" spans="91:91">
      <c r="CM1570"/>
    </row>
    <row r="1571" spans="91:91">
      <c r="CM1571"/>
    </row>
    <row r="1572" spans="91:91">
      <c r="CM1572"/>
    </row>
    <row r="1573" spans="91:91">
      <c r="CM1573"/>
    </row>
    <row r="1574" spans="91:91">
      <c r="CM1574"/>
    </row>
    <row r="1575" spans="91:91">
      <c r="CM1575"/>
    </row>
    <row r="1576" spans="91:91">
      <c r="CM1576"/>
    </row>
    <row r="1577" spans="91:91">
      <c r="CM1577"/>
    </row>
    <row r="1578" spans="91:91">
      <c r="CM1578"/>
    </row>
    <row r="1579" spans="91:91">
      <c r="CM1579"/>
    </row>
    <row r="1580" spans="91:91">
      <c r="CM1580"/>
    </row>
    <row r="1581" spans="91:91">
      <c r="CM1581"/>
    </row>
    <row r="1582" spans="91:91">
      <c r="CM1582"/>
    </row>
    <row r="1583" spans="91:91">
      <c r="CM1583"/>
    </row>
    <row r="1584" spans="91:91">
      <c r="CM1584"/>
    </row>
    <row r="1585" spans="91:91">
      <c r="CM1585"/>
    </row>
    <row r="1586" spans="91:91">
      <c r="CM1586"/>
    </row>
    <row r="1587" spans="91:91">
      <c r="CM1587"/>
    </row>
    <row r="1588" spans="91:91">
      <c r="CM1588"/>
    </row>
    <row r="1589" spans="91:91">
      <c r="CM1589"/>
    </row>
    <row r="1590" spans="91:91">
      <c r="CM1590"/>
    </row>
    <row r="1591" spans="91:91">
      <c r="CM1591"/>
    </row>
    <row r="1592" spans="91:91">
      <c r="CM1592"/>
    </row>
    <row r="1593" spans="91:91">
      <c r="CM1593"/>
    </row>
    <row r="1594" spans="91:91">
      <c r="CM1594"/>
    </row>
    <row r="1595" spans="91:91">
      <c r="CM1595"/>
    </row>
    <row r="1596" spans="91:91">
      <c r="CM1596"/>
    </row>
    <row r="1597" spans="91:91">
      <c r="CM1597"/>
    </row>
    <row r="1598" spans="91:91">
      <c r="CM1598"/>
    </row>
    <row r="1599" spans="91:91">
      <c r="CM1599"/>
    </row>
    <row r="1600" spans="91:91">
      <c r="CM1600"/>
    </row>
    <row r="1601" spans="91:91">
      <c r="CM1601"/>
    </row>
    <row r="1602" spans="91:91">
      <c r="CM1602"/>
    </row>
    <row r="1603" spans="91:91">
      <c r="CM1603"/>
    </row>
    <row r="1604" spans="91:91">
      <c r="CM1604"/>
    </row>
    <row r="1605" spans="91:91">
      <c r="CM1605"/>
    </row>
    <row r="1606" spans="91:91">
      <c r="CM1606"/>
    </row>
    <row r="1607" spans="91:91">
      <c r="CM1607"/>
    </row>
    <row r="1608" spans="91:91">
      <c r="CM1608"/>
    </row>
    <row r="1609" spans="91:91">
      <c r="CM1609"/>
    </row>
    <row r="1610" spans="91:91">
      <c r="CM1610"/>
    </row>
    <row r="1611" spans="91:91">
      <c r="CM1611"/>
    </row>
    <row r="1612" spans="91:91">
      <c r="CM1612"/>
    </row>
    <row r="1613" spans="91:91">
      <c r="CM1613"/>
    </row>
    <row r="1614" spans="91:91">
      <c r="CM1614"/>
    </row>
    <row r="1615" spans="91:91">
      <c r="CM1615"/>
    </row>
    <row r="1616" spans="91:91">
      <c r="CM1616"/>
    </row>
    <row r="1617" spans="91:91">
      <c r="CM1617"/>
    </row>
    <row r="1618" spans="91:91">
      <c r="CM1618"/>
    </row>
    <row r="1619" spans="91:91">
      <c r="CM1619"/>
    </row>
    <row r="1620" spans="91:91">
      <c r="CM1620"/>
    </row>
    <row r="1621" spans="91:91">
      <c r="CM1621"/>
    </row>
    <row r="1622" spans="91:91">
      <c r="CM1622"/>
    </row>
    <row r="1623" spans="91:91">
      <c r="CM1623"/>
    </row>
    <row r="1624" spans="91:91">
      <c r="CM1624"/>
    </row>
    <row r="1625" spans="91:91">
      <c r="CM1625"/>
    </row>
    <row r="1626" spans="91:91">
      <c r="CM1626"/>
    </row>
    <row r="1627" spans="91:91">
      <c r="CM1627"/>
    </row>
    <row r="1628" spans="91:91">
      <c r="CM1628"/>
    </row>
    <row r="1629" spans="91:91">
      <c r="CM1629"/>
    </row>
    <row r="1630" spans="91:91">
      <c r="CM1630"/>
    </row>
    <row r="1631" spans="91:91">
      <c r="CM1631"/>
    </row>
    <row r="1632" spans="91:91">
      <c r="CM1632"/>
    </row>
    <row r="1633" spans="91:91">
      <c r="CM1633"/>
    </row>
    <row r="1634" spans="91:91">
      <c r="CM1634"/>
    </row>
    <row r="1635" spans="91:91">
      <c r="CM1635"/>
    </row>
    <row r="1636" spans="91:91">
      <c r="CM1636"/>
    </row>
    <row r="1637" spans="91:91">
      <c r="CM1637"/>
    </row>
    <row r="1638" spans="91:91">
      <c r="CM1638"/>
    </row>
    <row r="1639" spans="91:91">
      <c r="CM1639"/>
    </row>
    <row r="1640" spans="91:91">
      <c r="CM1640"/>
    </row>
    <row r="1641" spans="91:91">
      <c r="CM1641"/>
    </row>
    <row r="1642" spans="91:91">
      <c r="CM1642"/>
    </row>
    <row r="1643" spans="91:91">
      <c r="CM1643"/>
    </row>
    <row r="1644" spans="91:91">
      <c r="CM1644"/>
    </row>
    <row r="1645" spans="91:91">
      <c r="CM1645"/>
    </row>
    <row r="1646" spans="91:91">
      <c r="CM1646"/>
    </row>
    <row r="1647" spans="91:91">
      <c r="CM1647"/>
    </row>
    <row r="1648" spans="91:91">
      <c r="CM1648"/>
    </row>
    <row r="1649" spans="91:91">
      <c r="CM1649"/>
    </row>
    <row r="1650" spans="91:91">
      <c r="CM1650"/>
    </row>
    <row r="1651" spans="91:91">
      <c r="CM1651"/>
    </row>
    <row r="1652" spans="91:91">
      <c r="CM1652"/>
    </row>
    <row r="1653" spans="91:91">
      <c r="CM1653"/>
    </row>
    <row r="1654" spans="91:91">
      <c r="CM1654"/>
    </row>
    <row r="1655" spans="91:91">
      <c r="CM1655"/>
    </row>
    <row r="1656" spans="91:91">
      <c r="CM1656"/>
    </row>
    <row r="1657" spans="91:91">
      <c r="CM1657"/>
    </row>
    <row r="1658" spans="91:91">
      <c r="CM1658"/>
    </row>
    <row r="1659" spans="91:91">
      <c r="CM1659"/>
    </row>
    <row r="1660" spans="91:91">
      <c r="CM1660"/>
    </row>
    <row r="1661" spans="91:91">
      <c r="CM1661"/>
    </row>
    <row r="1662" spans="91:91">
      <c r="CM1662"/>
    </row>
    <row r="1663" spans="91:91">
      <c r="CM1663"/>
    </row>
    <row r="1664" spans="91:91">
      <c r="CM1664"/>
    </row>
    <row r="1665" spans="91:91">
      <c r="CM1665"/>
    </row>
    <row r="1666" spans="91:91">
      <c r="CM1666"/>
    </row>
    <row r="1667" spans="91:91">
      <c r="CM1667"/>
    </row>
    <row r="1668" spans="91:91">
      <c r="CM1668"/>
    </row>
    <row r="1669" spans="91:91">
      <c r="CM1669"/>
    </row>
    <row r="1670" spans="91:91">
      <c r="CM1670"/>
    </row>
    <row r="1671" spans="91:91">
      <c r="CM1671"/>
    </row>
    <row r="1672" spans="91:91">
      <c r="CM1672"/>
    </row>
    <row r="1673" spans="91:91">
      <c r="CM1673"/>
    </row>
    <row r="1674" spans="91:91">
      <c r="CM1674"/>
    </row>
    <row r="1675" spans="91:91">
      <c r="CM1675"/>
    </row>
    <row r="1676" spans="91:91">
      <c r="CM1676"/>
    </row>
    <row r="1677" spans="91:91">
      <c r="CM1677"/>
    </row>
    <row r="1678" spans="91:91">
      <c r="CM1678"/>
    </row>
    <row r="1679" spans="91:91">
      <c r="CM1679"/>
    </row>
    <row r="1680" spans="91:91">
      <c r="CM1680"/>
    </row>
    <row r="1681" spans="91:91">
      <c r="CM1681"/>
    </row>
    <row r="1682" spans="91:91">
      <c r="CM1682"/>
    </row>
    <row r="1683" spans="91:91">
      <c r="CM1683"/>
    </row>
    <row r="1684" spans="91:91">
      <c r="CM1684"/>
    </row>
    <row r="1685" spans="91:91">
      <c r="CM1685"/>
    </row>
    <row r="1686" spans="91:91">
      <c r="CM1686"/>
    </row>
    <row r="1687" spans="91:91">
      <c r="CM1687"/>
    </row>
    <row r="1688" spans="91:91">
      <c r="CM1688"/>
    </row>
    <row r="1689" spans="91:91">
      <c r="CM1689"/>
    </row>
    <row r="1690" spans="91:91">
      <c r="CM1690"/>
    </row>
    <row r="1691" spans="91:91">
      <c r="CM1691"/>
    </row>
    <row r="1692" spans="91:91">
      <c r="CM1692"/>
    </row>
    <row r="1693" spans="91:91">
      <c r="CM1693"/>
    </row>
    <row r="1694" spans="91:91">
      <c r="CM1694"/>
    </row>
    <row r="1695" spans="91:91">
      <c r="CM1695"/>
    </row>
    <row r="1696" spans="91:91">
      <c r="CM1696"/>
    </row>
    <row r="1697" spans="91:91">
      <c r="CM1697"/>
    </row>
    <row r="1698" spans="91:91">
      <c r="CM1698"/>
    </row>
    <row r="1699" spans="91:91">
      <c r="CM1699"/>
    </row>
    <row r="1700" spans="91:91">
      <c r="CM1700"/>
    </row>
    <row r="1701" spans="91:91">
      <c r="CM1701"/>
    </row>
    <row r="1702" spans="91:91">
      <c r="CM1702"/>
    </row>
    <row r="1703" spans="91:91">
      <c r="CM1703"/>
    </row>
    <row r="1704" spans="91:91">
      <c r="CM1704"/>
    </row>
    <row r="1705" spans="91:91">
      <c r="CM1705"/>
    </row>
    <row r="1706" spans="91:91">
      <c r="CM1706"/>
    </row>
    <row r="1707" spans="91:91">
      <c r="CM1707"/>
    </row>
    <row r="1708" spans="91:91">
      <c r="CM1708"/>
    </row>
    <row r="1709" spans="91:91">
      <c r="CM1709"/>
    </row>
    <row r="1710" spans="91:91">
      <c r="CM1710"/>
    </row>
    <row r="1711" spans="91:91">
      <c r="CM1711"/>
    </row>
    <row r="1712" spans="91:91">
      <c r="CM1712"/>
    </row>
    <row r="1713" spans="91:91">
      <c r="CM1713"/>
    </row>
    <row r="1714" spans="91:91">
      <c r="CM1714"/>
    </row>
    <row r="1715" spans="91:91">
      <c r="CM1715"/>
    </row>
    <row r="1716" spans="91:91">
      <c r="CM1716"/>
    </row>
    <row r="1717" spans="91:91">
      <c r="CM1717"/>
    </row>
    <row r="1718" spans="91:91">
      <c r="CM1718"/>
    </row>
    <row r="1719" spans="91:91">
      <c r="CM1719"/>
    </row>
    <row r="1720" spans="91:91">
      <c r="CM1720"/>
    </row>
    <row r="1721" spans="91:91">
      <c r="CM1721"/>
    </row>
    <row r="1722" spans="91:91">
      <c r="CM1722"/>
    </row>
    <row r="1723" spans="91:91">
      <c r="CM1723"/>
    </row>
    <row r="1724" spans="91:91">
      <c r="CM1724"/>
    </row>
    <row r="1725" spans="91:91">
      <c r="CM1725"/>
    </row>
    <row r="1726" spans="91:91">
      <c r="CM1726"/>
    </row>
    <row r="1727" spans="91:91">
      <c r="CM1727"/>
    </row>
    <row r="1728" spans="91:91">
      <c r="CM1728"/>
    </row>
    <row r="1729" spans="91:91">
      <c r="CM1729"/>
    </row>
    <row r="1730" spans="91:91">
      <c r="CM1730"/>
    </row>
    <row r="1731" spans="91:91">
      <c r="CM1731"/>
    </row>
    <row r="1732" spans="91:91">
      <c r="CM1732"/>
    </row>
    <row r="1733" spans="91:91">
      <c r="CM1733"/>
    </row>
    <row r="1734" spans="91:91">
      <c r="CM1734"/>
    </row>
    <row r="1735" spans="91:91">
      <c r="CM1735"/>
    </row>
    <row r="1736" spans="91:91">
      <c r="CM1736"/>
    </row>
    <row r="1737" spans="91:91">
      <c r="CM1737"/>
    </row>
    <row r="1738" spans="91:91">
      <c r="CM1738"/>
    </row>
    <row r="1739" spans="91:91">
      <c r="CM1739"/>
    </row>
    <row r="1740" spans="91:91">
      <c r="CM1740"/>
    </row>
    <row r="1741" spans="91:91">
      <c r="CM1741"/>
    </row>
    <row r="1742" spans="91:91">
      <c r="CM1742"/>
    </row>
    <row r="1743" spans="91:91">
      <c r="CM1743"/>
    </row>
    <row r="1744" spans="91:91">
      <c r="CM1744"/>
    </row>
    <row r="1745" spans="91:91">
      <c r="CM1745"/>
    </row>
    <row r="1746" spans="91:91">
      <c r="CM1746"/>
    </row>
    <row r="1747" spans="91:91">
      <c r="CM1747"/>
    </row>
    <row r="1748" spans="91:91">
      <c r="CM1748"/>
    </row>
    <row r="1749" spans="91:91">
      <c r="CM1749"/>
    </row>
    <row r="1750" spans="91:91">
      <c r="CM1750"/>
    </row>
    <row r="1751" spans="91:91">
      <c r="CM1751"/>
    </row>
    <row r="1752" spans="91:91">
      <c r="CM1752"/>
    </row>
    <row r="1753" spans="91:91">
      <c r="CM1753"/>
    </row>
    <row r="1754" spans="91:91">
      <c r="CM1754"/>
    </row>
    <row r="1755" spans="91:91">
      <c r="CM1755"/>
    </row>
    <row r="1756" spans="91:91">
      <c r="CM1756"/>
    </row>
    <row r="1757" spans="91:91">
      <c r="CM1757"/>
    </row>
    <row r="1758" spans="91:91">
      <c r="CM1758"/>
    </row>
    <row r="1759" spans="91:91">
      <c r="CM1759"/>
    </row>
    <row r="1760" spans="91:91">
      <c r="CM1760"/>
    </row>
    <row r="1761" spans="91:91">
      <c r="CM1761"/>
    </row>
    <row r="1762" spans="91:91">
      <c r="CM1762"/>
    </row>
    <row r="1763" spans="91:91">
      <c r="CM1763"/>
    </row>
    <row r="1764" spans="91:91">
      <c r="CM1764"/>
    </row>
    <row r="1765" spans="91:91">
      <c r="CM1765"/>
    </row>
    <row r="1766" spans="91:91">
      <c r="CM1766"/>
    </row>
    <row r="1767" spans="91:91">
      <c r="CM1767"/>
    </row>
    <row r="1768" spans="91:91">
      <c r="CM1768"/>
    </row>
    <row r="1769" spans="91:91">
      <c r="CM1769"/>
    </row>
    <row r="1770" spans="91:91">
      <c r="CM1770"/>
    </row>
    <row r="1771" spans="91:91">
      <c r="CM1771"/>
    </row>
    <row r="1772" spans="91:91">
      <c r="CM1772"/>
    </row>
    <row r="1773" spans="91:91">
      <c r="CM1773"/>
    </row>
    <row r="1774" spans="91:91">
      <c r="CM1774"/>
    </row>
    <row r="1775" spans="91:91">
      <c r="CM1775"/>
    </row>
    <row r="1776" spans="91:91">
      <c r="CM1776"/>
    </row>
    <row r="1777" spans="91:91">
      <c r="CM1777"/>
    </row>
    <row r="1778" spans="91:91">
      <c r="CM1778"/>
    </row>
    <row r="1779" spans="91:91">
      <c r="CM1779"/>
    </row>
    <row r="1780" spans="91:91">
      <c r="CM1780"/>
    </row>
    <row r="1781" spans="91:91">
      <c r="CM1781"/>
    </row>
    <row r="1782" spans="91:91">
      <c r="CM1782"/>
    </row>
    <row r="1783" spans="91:91">
      <c r="CM1783"/>
    </row>
    <row r="1784" spans="91:91">
      <c r="CM1784"/>
    </row>
    <row r="1785" spans="91:91">
      <c r="CM1785"/>
    </row>
    <row r="1786" spans="91:91">
      <c r="CM1786"/>
    </row>
    <row r="1787" spans="91:91">
      <c r="CM1787"/>
    </row>
    <row r="1788" spans="91:91">
      <c r="CM1788"/>
    </row>
    <row r="1789" spans="91:91">
      <c r="CM1789"/>
    </row>
    <row r="1790" spans="91:91">
      <c r="CM1790"/>
    </row>
    <row r="1791" spans="91:91">
      <c r="CM1791"/>
    </row>
    <row r="1792" spans="91:91">
      <c r="CM1792"/>
    </row>
    <row r="1793" spans="91:91">
      <c r="CM1793"/>
    </row>
    <row r="1794" spans="91:91">
      <c r="CM1794"/>
    </row>
    <row r="1795" spans="91:91">
      <c r="CM1795"/>
    </row>
    <row r="1796" spans="91:91">
      <c r="CM1796"/>
    </row>
    <row r="1797" spans="91:91">
      <c r="CM1797"/>
    </row>
    <row r="1798" spans="91:91">
      <c r="CM1798"/>
    </row>
    <row r="1799" spans="91:91">
      <c r="CM1799"/>
    </row>
    <row r="1800" spans="91:91">
      <c r="CM1800"/>
    </row>
    <row r="1801" spans="91:91">
      <c r="CM1801"/>
    </row>
    <row r="1802" spans="91:91">
      <c r="CM1802"/>
    </row>
    <row r="1803" spans="91:91">
      <c r="CM1803"/>
    </row>
    <row r="1804" spans="91:91">
      <c r="CM1804"/>
    </row>
    <row r="1805" spans="91:91">
      <c r="CM1805"/>
    </row>
    <row r="1806" spans="91:91">
      <c r="CM1806"/>
    </row>
    <row r="1807" spans="91:91">
      <c r="CM1807"/>
    </row>
    <row r="1808" spans="91:91">
      <c r="CM1808"/>
    </row>
    <row r="1809" spans="91:91">
      <c r="CM1809"/>
    </row>
    <row r="1810" spans="91:91">
      <c r="CM1810"/>
    </row>
    <row r="1811" spans="91:91">
      <c r="CM1811"/>
    </row>
    <row r="1812" spans="91:91">
      <c r="CM1812"/>
    </row>
    <row r="1813" spans="91:91">
      <c r="CM1813"/>
    </row>
    <row r="1814" spans="91:91">
      <c r="CM1814"/>
    </row>
    <row r="1815" spans="91:91">
      <c r="CM1815"/>
    </row>
    <row r="1816" spans="91:91">
      <c r="CM1816"/>
    </row>
    <row r="1817" spans="91:91">
      <c r="CM1817"/>
    </row>
    <row r="1818" spans="91:91">
      <c r="CM1818"/>
    </row>
    <row r="1819" spans="91:91">
      <c r="CM1819"/>
    </row>
    <row r="1820" spans="91:91">
      <c r="CM1820"/>
    </row>
    <row r="1821" spans="91:91">
      <c r="CM1821"/>
    </row>
    <row r="1822" spans="91:91">
      <c r="CM1822"/>
    </row>
    <row r="1823" spans="91:91">
      <c r="CM1823"/>
    </row>
    <row r="1824" spans="91:91">
      <c r="CM1824"/>
    </row>
    <row r="1825" spans="91:91">
      <c r="CM1825"/>
    </row>
    <row r="1826" spans="91:91">
      <c r="CM1826"/>
    </row>
    <row r="1827" spans="91:91">
      <c r="CM1827"/>
    </row>
    <row r="1828" spans="91:91">
      <c r="CM1828"/>
    </row>
    <row r="1829" spans="91:91">
      <c r="CM1829"/>
    </row>
    <row r="1830" spans="91:91">
      <c r="CM1830"/>
    </row>
    <row r="1831" spans="91:91">
      <c r="CM1831"/>
    </row>
    <row r="1832" spans="91:91">
      <c r="CM1832"/>
    </row>
    <row r="1833" spans="91:91">
      <c r="CM1833"/>
    </row>
    <row r="1834" spans="91:91">
      <c r="CM1834"/>
    </row>
    <row r="1835" spans="91:91">
      <c r="CM1835"/>
    </row>
    <row r="1836" spans="91:91">
      <c r="CM1836"/>
    </row>
    <row r="1837" spans="91:91">
      <c r="CM1837"/>
    </row>
    <row r="1838" spans="91:91">
      <c r="CM1838"/>
    </row>
    <row r="1839" spans="91:91">
      <c r="CM1839"/>
    </row>
    <row r="1840" spans="91:91">
      <c r="CM1840"/>
    </row>
    <row r="1841" spans="91:91">
      <c r="CM1841"/>
    </row>
    <row r="1842" spans="91:91">
      <c r="CM1842"/>
    </row>
    <row r="1843" spans="91:91">
      <c r="CM1843"/>
    </row>
    <row r="1844" spans="91:91">
      <c r="CM1844"/>
    </row>
    <row r="1845" spans="91:91">
      <c r="CM1845"/>
    </row>
    <row r="1846" spans="91:91">
      <c r="CM1846"/>
    </row>
    <row r="1847" spans="91:91">
      <c r="CM1847"/>
    </row>
    <row r="1848" spans="91:91">
      <c r="CM1848"/>
    </row>
    <row r="1849" spans="91:91">
      <c r="CM1849"/>
    </row>
    <row r="1850" spans="91:91">
      <c r="CM1850"/>
    </row>
    <row r="1851" spans="91:91">
      <c r="CM1851"/>
    </row>
    <row r="1852" spans="91:91">
      <c r="CM1852"/>
    </row>
    <row r="1853" spans="91:91">
      <c r="CM1853"/>
    </row>
    <row r="1854" spans="91:91">
      <c r="CM1854"/>
    </row>
    <row r="1855" spans="91:91">
      <c r="CM1855"/>
    </row>
    <row r="1856" spans="91:91">
      <c r="CM1856"/>
    </row>
    <row r="1857" spans="91:91">
      <c r="CM1857"/>
    </row>
    <row r="1858" spans="91:91">
      <c r="CM1858"/>
    </row>
    <row r="1859" spans="91:91">
      <c r="CM1859"/>
    </row>
    <row r="1860" spans="91:91">
      <c r="CM1860"/>
    </row>
    <row r="1861" spans="91:91">
      <c r="CM1861"/>
    </row>
    <row r="1862" spans="91:91">
      <c r="CM1862"/>
    </row>
    <row r="1863" spans="91:91">
      <c r="CM1863"/>
    </row>
    <row r="1864" spans="91:91">
      <c r="CM1864"/>
    </row>
    <row r="1865" spans="91:91">
      <c r="CM1865"/>
    </row>
    <row r="1866" spans="91:91">
      <c r="CM1866"/>
    </row>
    <row r="1867" spans="91:91">
      <c r="CM1867"/>
    </row>
    <row r="1868" spans="91:91">
      <c r="CM1868"/>
    </row>
    <row r="1869" spans="91:91">
      <c r="CM1869"/>
    </row>
    <row r="1870" spans="91:91">
      <c r="CM1870"/>
    </row>
    <row r="1871" spans="91:91">
      <c r="CM1871"/>
    </row>
    <row r="1872" spans="91:91">
      <c r="CM1872"/>
    </row>
    <row r="1873" spans="91:91">
      <c r="CM1873"/>
    </row>
    <row r="1874" spans="91:91">
      <c r="CM1874"/>
    </row>
    <row r="1875" spans="91:91">
      <c r="CM1875"/>
    </row>
    <row r="1876" spans="91:91">
      <c r="CM1876"/>
    </row>
    <row r="1877" spans="91:91">
      <c r="CM1877"/>
    </row>
    <row r="1878" spans="91:91">
      <c r="CM1878"/>
    </row>
    <row r="1879" spans="91:91">
      <c r="CM1879"/>
    </row>
    <row r="1880" spans="91:91">
      <c r="CM1880"/>
    </row>
    <row r="1881" spans="91:91">
      <c r="CM1881"/>
    </row>
    <row r="1882" spans="91:91">
      <c r="CM1882"/>
    </row>
    <row r="1883" spans="91:91">
      <c r="CM1883"/>
    </row>
    <row r="1884" spans="91:91">
      <c r="CM1884"/>
    </row>
    <row r="1885" spans="91:91">
      <c r="CM1885"/>
    </row>
    <row r="1886" spans="91:91">
      <c r="CM1886"/>
    </row>
    <row r="1887" spans="91:91">
      <c r="CM1887"/>
    </row>
    <row r="1888" spans="91:91">
      <c r="CM1888"/>
    </row>
    <row r="1889" spans="91:91">
      <c r="CM1889"/>
    </row>
    <row r="1890" spans="91:91">
      <c r="CM1890"/>
    </row>
    <row r="1891" spans="91:91">
      <c r="CM1891"/>
    </row>
    <row r="1892" spans="91:91">
      <c r="CM1892"/>
    </row>
    <row r="1893" spans="91:91">
      <c r="CM1893"/>
    </row>
    <row r="1894" spans="91:91">
      <c r="CM1894"/>
    </row>
    <row r="1895" spans="91:91">
      <c r="CM1895"/>
    </row>
    <row r="1896" spans="91:91">
      <c r="CM1896"/>
    </row>
    <row r="1897" spans="91:91">
      <c r="CM1897"/>
    </row>
    <row r="1898" spans="91:91">
      <c r="CM1898"/>
    </row>
    <row r="1899" spans="91:91">
      <c r="CM1899"/>
    </row>
    <row r="1900" spans="91:91">
      <c r="CM1900"/>
    </row>
    <row r="1901" spans="91:91">
      <c r="CM1901"/>
    </row>
    <row r="1902" spans="91:91">
      <c r="CM1902"/>
    </row>
    <row r="1903" spans="91:91">
      <c r="CM1903"/>
    </row>
    <row r="1904" spans="91:91">
      <c r="CM1904"/>
    </row>
    <row r="1905" spans="91:91">
      <c r="CM1905"/>
    </row>
    <row r="1906" spans="91:91">
      <c r="CM1906"/>
    </row>
    <row r="1907" spans="91:91">
      <c r="CM1907"/>
    </row>
    <row r="1908" spans="91:91">
      <c r="CM1908"/>
    </row>
    <row r="1909" spans="91:91">
      <c r="CM1909"/>
    </row>
    <row r="1910" spans="91:91">
      <c r="CM1910"/>
    </row>
    <row r="1911" spans="91:91">
      <c r="CM1911"/>
    </row>
    <row r="1912" spans="91:91">
      <c r="CM1912"/>
    </row>
    <row r="1913" spans="91:91">
      <c r="CM1913"/>
    </row>
    <row r="1914" spans="91:91">
      <c r="CM1914"/>
    </row>
    <row r="1915" spans="91:91">
      <c r="CM1915"/>
    </row>
    <row r="1916" spans="91:91">
      <c r="CM1916"/>
    </row>
    <row r="1917" spans="91:91">
      <c r="CM1917"/>
    </row>
    <row r="1918" spans="91:91">
      <c r="CM1918"/>
    </row>
    <row r="1919" spans="91:91">
      <c r="CM1919"/>
    </row>
    <row r="1920" spans="91:91">
      <c r="CM1920"/>
    </row>
    <row r="1921" spans="91:91">
      <c r="CM1921"/>
    </row>
    <row r="1922" spans="91:91">
      <c r="CM1922"/>
    </row>
    <row r="1923" spans="91:91">
      <c r="CM1923"/>
    </row>
    <row r="1924" spans="91:91">
      <c r="CM1924"/>
    </row>
    <row r="1925" spans="91:91">
      <c r="CM1925"/>
    </row>
    <row r="1926" spans="91:91">
      <c r="CM1926"/>
    </row>
    <row r="1927" spans="91:91">
      <c r="CM1927"/>
    </row>
    <row r="1928" spans="91:91">
      <c r="CM1928"/>
    </row>
    <row r="1929" spans="91:91">
      <c r="CM1929"/>
    </row>
    <row r="1930" spans="91:91">
      <c r="CM1930"/>
    </row>
    <row r="1931" spans="91:91">
      <c r="CM1931"/>
    </row>
    <row r="1932" spans="91:91">
      <c r="CM1932"/>
    </row>
    <row r="1933" spans="91:91">
      <c r="CM1933"/>
    </row>
    <row r="1934" spans="91:91">
      <c r="CM1934"/>
    </row>
    <row r="1935" spans="91:91">
      <c r="CM1935"/>
    </row>
    <row r="1936" spans="91:91">
      <c r="CM1936"/>
    </row>
    <row r="1937" spans="91:91">
      <c r="CM1937"/>
    </row>
    <row r="1938" spans="91:91">
      <c r="CM1938"/>
    </row>
    <row r="1939" spans="91:91">
      <c r="CM1939"/>
    </row>
    <row r="1940" spans="91:91">
      <c r="CM1940"/>
    </row>
    <row r="1941" spans="91:91">
      <c r="CM1941"/>
    </row>
    <row r="1942" spans="91:91">
      <c r="CM1942"/>
    </row>
    <row r="1943" spans="91:91">
      <c r="CM1943"/>
    </row>
    <row r="1944" spans="91:91">
      <c r="CM1944"/>
    </row>
    <row r="1945" spans="91:91">
      <c r="CM1945"/>
    </row>
    <row r="1946" spans="91:91">
      <c r="CM1946"/>
    </row>
    <row r="1947" spans="91:91">
      <c r="CM1947"/>
    </row>
    <row r="1948" spans="91:91">
      <c r="CM1948"/>
    </row>
    <row r="1949" spans="91:91">
      <c r="CM1949"/>
    </row>
    <row r="1950" spans="91:91">
      <c r="CM1950"/>
    </row>
    <row r="1951" spans="91:91">
      <c r="CM1951"/>
    </row>
    <row r="1952" spans="91:91">
      <c r="CM1952"/>
    </row>
    <row r="1953" spans="91:91">
      <c r="CM1953"/>
    </row>
    <row r="1954" spans="91:91">
      <c r="CM1954"/>
    </row>
    <row r="1955" spans="91:91">
      <c r="CM1955"/>
    </row>
    <row r="1956" spans="91:91">
      <c r="CM1956"/>
    </row>
    <row r="1957" spans="91:91">
      <c r="CM1957"/>
    </row>
    <row r="1958" spans="91:91">
      <c r="CM1958"/>
    </row>
    <row r="1959" spans="91:91">
      <c r="CM1959"/>
    </row>
    <row r="1960" spans="91:91">
      <c r="CM1960"/>
    </row>
    <row r="1961" spans="91:91">
      <c r="CM1961"/>
    </row>
    <row r="1962" spans="91:91">
      <c r="CM1962"/>
    </row>
    <row r="1963" spans="91:91">
      <c r="CM1963"/>
    </row>
    <row r="1964" spans="91:91">
      <c r="CM1964"/>
    </row>
    <row r="1965" spans="91:91">
      <c r="CM1965"/>
    </row>
    <row r="1966" spans="91:91">
      <c r="CM1966"/>
    </row>
    <row r="1967" spans="91:91">
      <c r="CM1967"/>
    </row>
    <row r="1968" spans="91:91">
      <c r="CM1968"/>
    </row>
    <row r="1969" spans="91:91">
      <c r="CM1969"/>
    </row>
    <row r="1970" spans="91:91">
      <c r="CM1970"/>
    </row>
    <row r="1971" spans="91:91">
      <c r="CM1971"/>
    </row>
    <row r="1972" spans="91:91">
      <c r="CM1972"/>
    </row>
    <row r="1973" spans="91:91">
      <c r="CM1973"/>
    </row>
    <row r="1974" spans="91:91">
      <c r="CM1974"/>
    </row>
    <row r="1975" spans="91:91">
      <c r="CM1975"/>
    </row>
    <row r="1976" spans="91:91">
      <c r="CM1976"/>
    </row>
    <row r="1977" spans="91:91">
      <c r="CM1977"/>
    </row>
    <row r="1978" spans="91:91">
      <c r="CM1978"/>
    </row>
    <row r="1979" spans="91:91">
      <c r="CM1979"/>
    </row>
    <row r="1980" spans="91:91">
      <c r="CM1980"/>
    </row>
    <row r="1981" spans="91:91">
      <c r="CM1981"/>
    </row>
    <row r="1982" spans="91:91">
      <c r="CM1982"/>
    </row>
    <row r="1983" spans="91:91">
      <c r="CM1983"/>
    </row>
    <row r="1984" spans="91:91">
      <c r="CM1984"/>
    </row>
    <row r="1985" spans="91:91">
      <c r="CM1985"/>
    </row>
    <row r="1986" spans="91:91">
      <c r="CM1986"/>
    </row>
    <row r="1987" spans="91:91">
      <c r="CM1987"/>
    </row>
    <row r="1988" spans="91:91">
      <c r="CM1988"/>
    </row>
    <row r="1989" spans="91:91">
      <c r="CM1989"/>
    </row>
    <row r="1990" spans="91:91">
      <c r="CM1990"/>
    </row>
    <row r="1991" spans="91:91">
      <c r="CM1991"/>
    </row>
    <row r="1992" spans="91:91">
      <c r="CM1992"/>
    </row>
    <row r="1993" spans="91:91">
      <c r="CM1993"/>
    </row>
    <row r="1994" spans="91:91">
      <c r="CM1994"/>
    </row>
    <row r="1995" spans="91:91">
      <c r="CM1995"/>
    </row>
    <row r="1996" spans="91:91">
      <c r="CM1996"/>
    </row>
    <row r="1997" spans="91:91">
      <c r="CM1997"/>
    </row>
    <row r="1998" spans="91:91">
      <c r="CM1998"/>
    </row>
    <row r="1999" spans="91:91">
      <c r="CM1999"/>
    </row>
    <row r="2000" spans="91:91">
      <c r="CM2000"/>
    </row>
    <row r="2001" spans="91:91">
      <c r="CM2001"/>
    </row>
    <row r="2002" spans="91:91">
      <c r="CM2002"/>
    </row>
    <row r="2003" spans="91:91">
      <c r="CM2003"/>
    </row>
    <row r="2004" spans="91:91">
      <c r="CM2004"/>
    </row>
    <row r="2005" spans="91:91">
      <c r="CM2005"/>
    </row>
    <row r="2006" spans="91:91">
      <c r="CM2006"/>
    </row>
    <row r="2007" spans="91:91">
      <c r="CM2007"/>
    </row>
    <row r="2008" spans="91:91">
      <c r="CM2008"/>
    </row>
    <row r="2009" spans="91:91">
      <c r="CM2009"/>
    </row>
    <row r="2010" spans="91:91">
      <c r="CM2010"/>
    </row>
    <row r="2011" spans="91:91">
      <c r="CM2011"/>
    </row>
    <row r="2012" spans="91:91">
      <c r="CM2012"/>
    </row>
    <row r="2013" spans="91:91">
      <c r="CM2013"/>
    </row>
    <row r="2014" spans="91:91">
      <c r="CM2014"/>
    </row>
    <row r="2015" spans="91:91">
      <c r="CM2015"/>
    </row>
    <row r="2016" spans="91:91">
      <c r="CM2016"/>
    </row>
    <row r="2017" spans="91:91">
      <c r="CM2017"/>
    </row>
    <row r="2018" spans="91:91">
      <c r="CM2018"/>
    </row>
    <row r="2019" spans="91:91">
      <c r="CM2019"/>
    </row>
    <row r="2020" spans="91:91">
      <c r="CM2020"/>
    </row>
    <row r="2021" spans="91:91">
      <c r="CM2021"/>
    </row>
    <row r="2022" spans="91:91">
      <c r="CM2022"/>
    </row>
    <row r="2023" spans="91:91">
      <c r="CM2023"/>
    </row>
    <row r="2024" spans="91:91">
      <c r="CM2024"/>
    </row>
    <row r="2025" spans="91:91">
      <c r="CM2025"/>
    </row>
    <row r="2026" spans="91:91">
      <c r="CM2026"/>
    </row>
    <row r="2027" spans="91:91">
      <c r="CM2027"/>
    </row>
    <row r="2028" spans="91:91">
      <c r="CM2028"/>
    </row>
    <row r="2029" spans="91:91">
      <c r="CM2029"/>
    </row>
    <row r="2030" spans="91:91">
      <c r="CM2030"/>
    </row>
    <row r="2031" spans="91:91">
      <c r="CM2031"/>
    </row>
    <row r="2032" spans="91:91">
      <c r="CM2032"/>
    </row>
    <row r="2033" spans="91:91">
      <c r="CM2033"/>
    </row>
    <row r="2034" spans="91:91">
      <c r="CM2034"/>
    </row>
    <row r="2035" spans="91:91">
      <c r="CM2035"/>
    </row>
    <row r="2036" spans="91:91">
      <c r="CM2036"/>
    </row>
    <row r="2037" spans="91:91">
      <c r="CM2037"/>
    </row>
    <row r="2038" spans="91:91">
      <c r="CM2038"/>
    </row>
    <row r="2039" spans="91:91">
      <c r="CM2039"/>
    </row>
    <row r="2040" spans="91:91">
      <c r="CM2040"/>
    </row>
    <row r="2041" spans="91:91">
      <c r="CM2041"/>
    </row>
    <row r="2042" spans="91:91">
      <c r="CM2042"/>
    </row>
    <row r="2043" spans="91:91">
      <c r="CM2043"/>
    </row>
    <row r="2044" spans="91:91">
      <c r="CM2044"/>
    </row>
    <row r="2045" spans="91:91">
      <c r="CM2045"/>
    </row>
    <row r="2046" spans="91:91">
      <c r="CM2046"/>
    </row>
    <row r="2047" spans="91:91">
      <c r="CM2047"/>
    </row>
    <row r="2048" spans="91:91">
      <c r="CM2048"/>
    </row>
    <row r="2049" spans="91:91">
      <c r="CM2049"/>
    </row>
    <row r="2050" spans="91:91">
      <c r="CM2050"/>
    </row>
    <row r="2051" spans="91:91">
      <c r="CM2051"/>
    </row>
    <row r="2052" spans="91:91">
      <c r="CM2052"/>
    </row>
    <row r="2053" spans="91:91">
      <c r="CM2053"/>
    </row>
    <row r="2054" spans="91:91">
      <c r="CM2054"/>
    </row>
    <row r="2055" spans="91:91">
      <c r="CM2055"/>
    </row>
    <row r="2056" spans="91:91">
      <c r="CM2056"/>
    </row>
    <row r="2057" spans="91:91">
      <c r="CM2057"/>
    </row>
    <row r="2058" spans="91:91">
      <c r="CM2058"/>
    </row>
    <row r="2059" spans="91:91">
      <c r="CM2059"/>
    </row>
    <row r="2060" spans="91:91">
      <c r="CM2060"/>
    </row>
    <row r="2061" spans="91:91">
      <c r="CM2061"/>
    </row>
    <row r="2062" spans="91:91">
      <c r="CM2062"/>
    </row>
    <row r="2063" spans="91:91">
      <c r="CM2063"/>
    </row>
    <row r="2064" spans="91:91">
      <c r="CM2064"/>
    </row>
    <row r="2065" spans="91:91">
      <c r="CM2065"/>
    </row>
    <row r="2066" spans="91:91">
      <c r="CM2066"/>
    </row>
    <row r="2067" spans="91:91">
      <c r="CM2067"/>
    </row>
    <row r="2068" spans="91:91">
      <c r="CM2068"/>
    </row>
    <row r="2069" spans="91:91">
      <c r="CM2069"/>
    </row>
    <row r="2070" spans="91:91">
      <c r="CM2070"/>
    </row>
    <row r="2071" spans="91:91">
      <c r="CM2071"/>
    </row>
    <row r="2072" spans="91:91">
      <c r="CM2072"/>
    </row>
    <row r="2073" spans="91:91">
      <c r="CM2073"/>
    </row>
    <row r="2074" spans="91:91">
      <c r="CM2074"/>
    </row>
    <row r="2075" spans="91:91">
      <c r="CM2075"/>
    </row>
    <row r="2076" spans="91:91">
      <c r="CM2076"/>
    </row>
    <row r="2077" spans="91:91">
      <c r="CM2077"/>
    </row>
    <row r="2078" spans="91:91">
      <c r="CM2078"/>
    </row>
    <row r="2079" spans="91:91">
      <c r="CM2079"/>
    </row>
    <row r="2080" spans="91:91">
      <c r="CM2080"/>
    </row>
    <row r="2081" spans="91:91">
      <c r="CM2081"/>
    </row>
    <row r="2082" spans="91:91">
      <c r="CM2082"/>
    </row>
    <row r="2083" spans="91:91">
      <c r="CM2083"/>
    </row>
    <row r="2084" spans="91:91">
      <c r="CM2084"/>
    </row>
    <row r="2085" spans="91:91">
      <c r="CM2085"/>
    </row>
    <row r="2086" spans="91:91">
      <c r="CM2086"/>
    </row>
    <row r="2087" spans="91:91">
      <c r="CM2087"/>
    </row>
    <row r="2088" spans="91:91">
      <c r="CM2088"/>
    </row>
    <row r="2089" spans="91:91">
      <c r="CM2089"/>
    </row>
    <row r="2090" spans="91:91">
      <c r="CM2090"/>
    </row>
    <row r="2091" spans="91:91">
      <c r="CM2091"/>
    </row>
    <row r="2092" spans="91:91">
      <c r="CM2092"/>
    </row>
    <row r="2093" spans="91:91">
      <c r="CM2093"/>
    </row>
    <row r="2094" spans="91:91">
      <c r="CM2094"/>
    </row>
    <row r="2095" spans="91:91">
      <c r="CM2095"/>
    </row>
    <row r="2096" spans="91:91">
      <c r="CM2096"/>
    </row>
    <row r="2097" spans="91:91">
      <c r="CM2097"/>
    </row>
    <row r="2098" spans="91:91">
      <c r="CM2098"/>
    </row>
    <row r="2099" spans="91:91">
      <c r="CM2099"/>
    </row>
    <row r="2100" spans="91:91">
      <c r="CM2100"/>
    </row>
    <row r="2101" spans="91:91">
      <c r="CM2101"/>
    </row>
    <row r="2102" spans="91:91">
      <c r="CM2102"/>
    </row>
    <row r="2103" spans="91:91">
      <c r="CM2103"/>
    </row>
    <row r="2104" spans="91:91">
      <c r="CM2104"/>
    </row>
    <row r="2105" spans="91:91">
      <c r="CM2105"/>
    </row>
    <row r="2106" spans="91:91">
      <c r="CM2106"/>
    </row>
    <row r="2107" spans="91:91">
      <c r="CM2107"/>
    </row>
    <row r="2108" spans="91:91">
      <c r="CM2108"/>
    </row>
    <row r="2109" spans="91:91">
      <c r="CM2109"/>
    </row>
    <row r="2110" spans="91:91">
      <c r="CM2110"/>
    </row>
    <row r="2111" spans="91:91">
      <c r="CM2111"/>
    </row>
    <row r="2112" spans="91:91">
      <c r="CM2112"/>
    </row>
    <row r="2113" spans="91:91">
      <c r="CM2113"/>
    </row>
    <row r="2114" spans="91:91">
      <c r="CM2114"/>
    </row>
    <row r="2115" spans="91:91">
      <c r="CM2115"/>
    </row>
    <row r="2116" spans="91:91">
      <c r="CM2116"/>
    </row>
    <row r="2117" spans="91:91">
      <c r="CM2117"/>
    </row>
    <row r="2118" spans="91:91">
      <c r="CM2118"/>
    </row>
    <row r="2119" spans="91:91">
      <c r="CM2119"/>
    </row>
    <row r="2120" spans="91:91">
      <c r="CM2120"/>
    </row>
    <row r="2121" spans="91:91">
      <c r="CM2121"/>
    </row>
    <row r="2122" spans="91:91">
      <c r="CM2122"/>
    </row>
    <row r="2123" spans="91:91">
      <c r="CM2123"/>
    </row>
    <row r="2124" spans="91:91">
      <c r="CM2124"/>
    </row>
    <row r="2125" spans="91:91">
      <c r="CM2125"/>
    </row>
    <row r="2126" spans="91:91">
      <c r="CM2126"/>
    </row>
    <row r="2127" spans="91:91">
      <c r="CM2127"/>
    </row>
    <row r="2128" spans="91:91">
      <c r="CM2128"/>
    </row>
    <row r="2129" spans="91:91">
      <c r="CM2129"/>
    </row>
    <row r="2130" spans="91:91">
      <c r="CM2130"/>
    </row>
    <row r="2131" spans="91:91">
      <c r="CM2131"/>
    </row>
    <row r="2132" spans="91:91">
      <c r="CM2132"/>
    </row>
    <row r="2133" spans="91:91">
      <c r="CM2133"/>
    </row>
    <row r="2134" spans="91:91">
      <c r="CM2134"/>
    </row>
    <row r="2135" spans="91:91">
      <c r="CM2135"/>
    </row>
    <row r="2136" spans="91:91">
      <c r="CM2136"/>
    </row>
    <row r="2137" spans="91:91">
      <c r="CM2137"/>
    </row>
    <row r="2138" spans="91:91">
      <c r="CM2138"/>
    </row>
    <row r="2139" spans="91:91">
      <c r="CM2139"/>
    </row>
    <row r="2140" spans="91:91">
      <c r="CM2140"/>
    </row>
    <row r="2141" spans="91:91">
      <c r="CM2141"/>
    </row>
    <row r="2142" spans="91:91">
      <c r="CM2142"/>
    </row>
    <row r="2143" spans="91:91">
      <c r="CM2143"/>
    </row>
    <row r="2144" spans="91:91">
      <c r="CM2144"/>
    </row>
    <row r="2145" spans="91:91">
      <c r="CM2145"/>
    </row>
    <row r="2146" spans="91:91">
      <c r="CM2146"/>
    </row>
    <row r="2147" spans="91:91">
      <c r="CM2147"/>
    </row>
    <row r="2148" spans="91:91">
      <c r="CM2148"/>
    </row>
    <row r="2149" spans="91:91">
      <c r="CM2149"/>
    </row>
    <row r="2150" spans="91:91">
      <c r="CM2150"/>
    </row>
    <row r="2151" spans="91:91">
      <c r="CM2151"/>
    </row>
    <row r="2152" spans="91:91">
      <c r="CM2152"/>
    </row>
    <row r="2153" spans="91:91">
      <c r="CM2153"/>
    </row>
    <row r="2154" spans="91:91">
      <c r="CM2154"/>
    </row>
    <row r="2155" spans="91:91">
      <c r="CM2155"/>
    </row>
    <row r="2156" spans="91:91">
      <c r="CM2156"/>
    </row>
    <row r="2157" spans="91:91">
      <c r="CM2157"/>
    </row>
    <row r="2158" spans="91:91">
      <c r="CM2158"/>
    </row>
    <row r="2159" spans="91:91">
      <c r="CM2159"/>
    </row>
    <row r="2160" spans="91:91">
      <c r="CM2160"/>
    </row>
    <row r="2161" spans="91:91">
      <c r="CM2161"/>
    </row>
    <row r="2162" spans="91:91">
      <c r="CM2162"/>
    </row>
    <row r="2163" spans="91:91">
      <c r="CM2163"/>
    </row>
    <row r="2164" spans="91:91">
      <c r="CM2164"/>
    </row>
    <row r="2165" spans="91:91">
      <c r="CM2165"/>
    </row>
    <row r="2166" spans="91:91">
      <c r="CM2166"/>
    </row>
    <row r="2167" spans="91:91">
      <c r="CM2167"/>
    </row>
    <row r="2168" spans="91:91">
      <c r="CM2168"/>
    </row>
    <row r="2169" spans="91:91">
      <c r="CM2169"/>
    </row>
    <row r="2170" spans="91:91">
      <c r="CM2170"/>
    </row>
    <row r="2171" spans="91:91">
      <c r="CM2171"/>
    </row>
    <row r="2172" spans="91:91">
      <c r="CM2172"/>
    </row>
    <row r="2173" spans="91:91">
      <c r="CM2173"/>
    </row>
    <row r="2174" spans="91:91">
      <c r="CM2174"/>
    </row>
    <row r="2175" spans="91:91">
      <c r="CM2175"/>
    </row>
    <row r="2176" spans="91:91">
      <c r="CM2176"/>
    </row>
    <row r="2177" spans="91:91">
      <c r="CM2177"/>
    </row>
    <row r="2178" spans="91:91">
      <c r="CM2178"/>
    </row>
    <row r="2179" spans="91:91">
      <c r="CM2179"/>
    </row>
    <row r="2180" spans="91:91">
      <c r="CM2180"/>
    </row>
    <row r="2181" spans="91:91">
      <c r="CM2181"/>
    </row>
    <row r="2182" spans="91:91">
      <c r="CM2182"/>
    </row>
    <row r="2183" spans="91:91">
      <c r="CM2183"/>
    </row>
    <row r="2184" spans="91:91">
      <c r="CM2184"/>
    </row>
    <row r="2185" spans="91:91">
      <c r="CM2185"/>
    </row>
    <row r="2186" spans="91:91">
      <c r="CM2186"/>
    </row>
    <row r="2187" spans="91:91">
      <c r="CM2187"/>
    </row>
    <row r="2188" spans="91:91">
      <c r="CM2188"/>
    </row>
    <row r="2189" spans="91:91">
      <c r="CM2189"/>
    </row>
    <row r="2190" spans="91:91">
      <c r="CM2190"/>
    </row>
    <row r="2191" spans="91:91">
      <c r="CM2191"/>
    </row>
    <row r="2192" spans="91:91">
      <c r="CM2192"/>
    </row>
    <row r="2193" spans="91:91">
      <c r="CM2193"/>
    </row>
    <row r="2194" spans="91:91">
      <c r="CM2194"/>
    </row>
    <row r="2195" spans="91:91">
      <c r="CM2195"/>
    </row>
    <row r="2196" spans="91:91">
      <c r="CM2196"/>
    </row>
    <row r="2197" spans="91:91">
      <c r="CM2197"/>
    </row>
    <row r="2198" spans="91:91">
      <c r="CM2198"/>
    </row>
    <row r="2199" spans="91:91">
      <c r="CM2199"/>
    </row>
    <row r="2200" spans="91:91">
      <c r="CM2200"/>
    </row>
    <row r="2201" spans="91:91">
      <c r="CM2201"/>
    </row>
    <row r="2202" spans="91:91">
      <c r="CM2202"/>
    </row>
    <row r="2203" spans="91:91">
      <c r="CM2203"/>
    </row>
    <row r="2204" spans="91:91">
      <c r="CM2204"/>
    </row>
    <row r="2205" spans="91:91">
      <c r="CM2205"/>
    </row>
    <row r="2206" spans="91:91">
      <c r="CM2206"/>
    </row>
    <row r="2207" spans="91:91">
      <c r="CM2207"/>
    </row>
    <row r="2208" spans="91:91">
      <c r="CM2208"/>
    </row>
    <row r="2209" spans="91:91">
      <c r="CM2209"/>
    </row>
    <row r="2210" spans="91:91">
      <c r="CM2210"/>
    </row>
    <row r="2211" spans="91:91">
      <c r="CM2211"/>
    </row>
    <row r="2212" spans="91:91">
      <c r="CM2212"/>
    </row>
    <row r="2213" spans="91:91">
      <c r="CM2213"/>
    </row>
    <row r="2214" spans="91:91">
      <c r="CM2214"/>
    </row>
    <row r="2215" spans="91:91">
      <c r="CM2215"/>
    </row>
    <row r="2216" spans="91:91">
      <c r="CM2216"/>
    </row>
    <row r="2217" spans="91:91">
      <c r="CM2217"/>
    </row>
    <row r="2218" spans="91:91">
      <c r="CM2218"/>
    </row>
    <row r="2219" spans="91:91">
      <c r="CM2219"/>
    </row>
    <row r="2220" spans="91:91">
      <c r="CM2220"/>
    </row>
    <row r="2221" spans="91:91">
      <c r="CM2221"/>
    </row>
    <row r="2222" spans="91:91">
      <c r="CM2222"/>
    </row>
    <row r="2223" spans="91:91">
      <c r="CM2223"/>
    </row>
    <row r="2224" spans="91:91">
      <c r="CM2224"/>
    </row>
    <row r="2225" spans="91:91">
      <c r="CM2225"/>
    </row>
    <row r="2226" spans="91:91">
      <c r="CM2226"/>
    </row>
    <row r="2227" spans="91:91">
      <c r="CM2227"/>
    </row>
    <row r="2228" spans="91:91">
      <c r="CM2228"/>
    </row>
    <row r="2229" spans="91:91">
      <c r="CM2229"/>
    </row>
    <row r="2230" spans="91:91">
      <c r="CM2230"/>
    </row>
    <row r="2231" spans="91:91">
      <c r="CM2231"/>
    </row>
    <row r="2232" spans="91:91">
      <c r="CM2232"/>
    </row>
    <row r="2233" spans="91:91">
      <c r="CM2233"/>
    </row>
    <row r="2234" spans="91:91">
      <c r="CM2234"/>
    </row>
    <row r="2235" spans="91:91">
      <c r="CM2235"/>
    </row>
    <row r="2236" spans="91:91">
      <c r="CM2236"/>
    </row>
    <row r="2237" spans="91:91">
      <c r="CM2237"/>
    </row>
    <row r="2238" spans="91:91">
      <c r="CM2238"/>
    </row>
    <row r="2239" spans="91:91">
      <c r="CM2239"/>
    </row>
    <row r="2240" spans="91:91">
      <c r="CM2240"/>
    </row>
    <row r="2241" spans="91:91">
      <c r="CM2241"/>
    </row>
    <row r="2242" spans="91:91">
      <c r="CM2242"/>
    </row>
    <row r="2243" spans="91:91">
      <c r="CM2243"/>
    </row>
    <row r="2244" spans="91:91">
      <c r="CM2244"/>
    </row>
    <row r="2245" spans="91:91">
      <c r="CM2245"/>
    </row>
    <row r="2246" spans="91:91">
      <c r="CM2246"/>
    </row>
    <row r="2247" spans="91:91">
      <c r="CM2247"/>
    </row>
    <row r="2248" spans="91:91">
      <c r="CM2248"/>
    </row>
    <row r="2249" spans="91:91">
      <c r="CM2249"/>
    </row>
    <row r="2250" spans="91:91">
      <c r="CM2250"/>
    </row>
    <row r="2251" spans="91:91">
      <c r="CM2251"/>
    </row>
    <row r="2252" spans="91:91">
      <c r="CM2252"/>
    </row>
    <row r="2253" spans="91:91">
      <c r="CM2253"/>
    </row>
    <row r="2254" spans="91:91">
      <c r="CM2254"/>
    </row>
    <row r="2255" spans="91:91">
      <c r="CM2255"/>
    </row>
    <row r="2256" spans="91:91">
      <c r="CM2256"/>
    </row>
    <row r="2257" spans="91:91">
      <c r="CM2257"/>
    </row>
    <row r="2258" spans="91:91">
      <c r="CM2258"/>
    </row>
    <row r="2259" spans="91:91">
      <c r="CM2259"/>
    </row>
    <row r="2260" spans="91:91">
      <c r="CM2260"/>
    </row>
    <row r="2261" spans="91:91">
      <c r="CM2261"/>
    </row>
    <row r="2262" spans="91:91">
      <c r="CM2262"/>
    </row>
    <row r="2263" spans="91:91">
      <c r="CM2263"/>
    </row>
    <row r="2264" spans="91:91">
      <c r="CM2264"/>
    </row>
    <row r="2265" spans="91:91">
      <c r="CM2265"/>
    </row>
    <row r="2266" spans="91:91">
      <c r="CM2266"/>
    </row>
    <row r="2267" spans="91:91">
      <c r="CM2267"/>
    </row>
    <row r="2268" spans="91:91">
      <c r="CM2268"/>
    </row>
    <row r="2269" spans="91:91">
      <c r="CM2269"/>
    </row>
    <row r="2270" spans="91:91">
      <c r="CM2270"/>
    </row>
    <row r="2271" spans="91:91">
      <c r="CM2271"/>
    </row>
    <row r="2272" spans="91:91">
      <c r="CM2272"/>
    </row>
    <row r="2273" spans="91:91">
      <c r="CM2273"/>
    </row>
    <row r="2274" spans="91:91">
      <c r="CM2274"/>
    </row>
    <row r="2275" spans="91:91">
      <c r="CM2275"/>
    </row>
    <row r="2276" spans="91:91">
      <c r="CM2276"/>
    </row>
    <row r="2277" spans="91:91">
      <c r="CM2277"/>
    </row>
    <row r="2278" spans="91:91">
      <c r="CM2278"/>
    </row>
    <row r="2279" spans="91:91">
      <c r="CM2279"/>
    </row>
    <row r="2280" spans="91:91">
      <c r="CM2280"/>
    </row>
    <row r="2281" spans="91:91">
      <c r="CM2281"/>
    </row>
    <row r="2282" spans="91:91">
      <c r="CM2282"/>
    </row>
    <row r="2283" spans="91:91">
      <c r="CM2283"/>
    </row>
    <row r="2284" spans="91:91">
      <c r="CM2284"/>
    </row>
    <row r="2285" spans="91:91">
      <c r="CM2285"/>
    </row>
    <row r="2286" spans="91:91">
      <c r="CM2286"/>
    </row>
    <row r="2287" spans="91:91">
      <c r="CM2287"/>
    </row>
    <row r="2288" spans="91:91">
      <c r="CM2288"/>
    </row>
    <row r="2289" spans="91:91">
      <c r="CM2289"/>
    </row>
    <row r="2290" spans="91:91">
      <c r="CM2290"/>
    </row>
    <row r="2291" spans="91:91">
      <c r="CM2291"/>
    </row>
    <row r="2292" spans="91:91">
      <c r="CM2292"/>
    </row>
    <row r="2293" spans="91:91">
      <c r="CM2293"/>
    </row>
    <row r="2294" spans="91:91">
      <c r="CM2294"/>
    </row>
    <row r="2295" spans="91:91">
      <c r="CM2295"/>
    </row>
    <row r="2296" spans="91:91">
      <c r="CM2296"/>
    </row>
    <row r="2297" spans="91:91">
      <c r="CM2297"/>
    </row>
    <row r="2298" spans="91:91">
      <c r="CM2298"/>
    </row>
    <row r="2299" spans="91:91">
      <c r="CM2299"/>
    </row>
    <row r="2300" spans="91:91">
      <c r="CM2300"/>
    </row>
    <row r="2301" spans="91:91">
      <c r="CM2301"/>
    </row>
    <row r="2302" spans="91:91">
      <c r="CM2302"/>
    </row>
    <row r="2303" spans="91:91">
      <c r="CM2303"/>
    </row>
    <row r="2304" spans="91:91">
      <c r="CM2304"/>
    </row>
    <row r="2305" spans="91:91">
      <c r="CM2305"/>
    </row>
    <row r="2306" spans="91:91">
      <c r="CM2306"/>
    </row>
    <row r="2307" spans="91:91">
      <c r="CM2307"/>
    </row>
    <row r="2308" spans="91:91">
      <c r="CM2308"/>
    </row>
    <row r="2309" spans="91:91">
      <c r="CM2309"/>
    </row>
    <row r="2310" spans="91:91">
      <c r="CM2310"/>
    </row>
    <row r="2311" spans="91:91">
      <c r="CM2311"/>
    </row>
    <row r="2312" spans="91:91">
      <c r="CM2312"/>
    </row>
    <row r="2313" spans="91:91">
      <c r="CM2313"/>
    </row>
    <row r="2314" spans="91:91">
      <c r="CM2314"/>
    </row>
    <row r="2315" spans="91:91">
      <c r="CM2315"/>
    </row>
    <row r="2316" spans="91:91">
      <c r="CM2316"/>
    </row>
    <row r="2317" spans="91:91">
      <c r="CM2317"/>
    </row>
    <row r="2318" spans="91:91">
      <c r="CM2318"/>
    </row>
    <row r="2319" spans="91:91">
      <c r="CM2319"/>
    </row>
    <row r="2320" spans="91:91">
      <c r="CM2320"/>
    </row>
    <row r="2321" spans="91:91">
      <c r="CM2321"/>
    </row>
    <row r="2322" spans="91:91">
      <c r="CM2322"/>
    </row>
    <row r="2323" spans="91:91">
      <c r="CM2323"/>
    </row>
    <row r="2324" spans="91:91">
      <c r="CM2324"/>
    </row>
    <row r="2325" spans="91:91">
      <c r="CM2325"/>
    </row>
    <row r="2326" spans="91:91">
      <c r="CM2326"/>
    </row>
    <row r="2327" spans="91:91">
      <c r="CM2327"/>
    </row>
    <row r="2328" spans="91:91">
      <c r="CM2328"/>
    </row>
    <row r="2329" spans="91:91">
      <c r="CM2329"/>
    </row>
    <row r="2330" spans="91:91">
      <c r="CM2330"/>
    </row>
    <row r="2331" spans="91:91">
      <c r="CM2331"/>
    </row>
    <row r="2332" spans="91:91">
      <c r="CM2332"/>
    </row>
    <row r="2333" spans="91:91">
      <c r="CM2333"/>
    </row>
    <row r="2334" spans="91:91">
      <c r="CM2334"/>
    </row>
    <row r="2335" spans="91:91">
      <c r="CM2335"/>
    </row>
    <row r="2336" spans="91:91">
      <c r="CM2336"/>
    </row>
    <row r="2337" spans="91:91">
      <c r="CM2337"/>
    </row>
    <row r="2338" spans="91:91">
      <c r="CM2338"/>
    </row>
    <row r="2339" spans="91:91">
      <c r="CM2339"/>
    </row>
    <row r="2340" spans="91:91">
      <c r="CM2340"/>
    </row>
    <row r="2341" spans="91:91">
      <c r="CM2341"/>
    </row>
    <row r="2342" spans="91:91">
      <c r="CM2342"/>
    </row>
    <row r="2343" spans="91:91">
      <c r="CM2343"/>
    </row>
    <row r="2344" spans="91:91">
      <c r="CM2344"/>
    </row>
    <row r="2345" spans="91:91">
      <c r="CM2345"/>
    </row>
    <row r="2346" spans="91:91">
      <c r="CM2346"/>
    </row>
    <row r="2347" spans="91:91">
      <c r="CM2347"/>
    </row>
    <row r="2348" spans="91:91">
      <c r="CM2348"/>
    </row>
    <row r="2349" spans="91:91">
      <c r="CM2349"/>
    </row>
    <row r="2350" spans="91:91">
      <c r="CM2350"/>
    </row>
    <row r="2351" spans="91:91">
      <c r="CM2351"/>
    </row>
    <row r="2352" spans="91:91">
      <c r="CM2352"/>
    </row>
    <row r="2353" spans="91:91">
      <c r="CM2353"/>
    </row>
    <row r="2354" spans="91:91">
      <c r="CM2354"/>
    </row>
    <row r="2355" spans="91:91">
      <c r="CM2355"/>
    </row>
    <row r="2356" spans="91:91">
      <c r="CM2356"/>
    </row>
    <row r="2357" spans="91:91">
      <c r="CM2357"/>
    </row>
    <row r="2358" spans="91:91">
      <c r="CM2358"/>
    </row>
    <row r="2359" spans="91:91">
      <c r="CM2359"/>
    </row>
    <row r="2360" spans="91:91">
      <c r="CM2360"/>
    </row>
    <row r="2361" spans="91:91">
      <c r="CM2361"/>
    </row>
    <row r="2362" spans="91:91">
      <c r="CM2362"/>
    </row>
    <row r="2363" spans="91:91">
      <c r="CM2363"/>
    </row>
    <row r="2364" spans="91:91">
      <c r="CM2364"/>
    </row>
    <row r="2365" spans="91:91">
      <c r="CM2365"/>
    </row>
    <row r="2366" spans="91:91">
      <c r="CM2366"/>
    </row>
    <row r="2367" spans="91:91">
      <c r="CM2367"/>
    </row>
    <row r="2368" spans="91:91">
      <c r="CM2368"/>
    </row>
    <row r="2369" spans="91:91">
      <c r="CM2369"/>
    </row>
    <row r="2370" spans="91:91">
      <c r="CM2370"/>
    </row>
    <row r="2371" spans="91:91">
      <c r="CM2371"/>
    </row>
    <row r="2372" spans="91:91">
      <c r="CM2372"/>
    </row>
    <row r="2373" spans="91:91">
      <c r="CM2373"/>
    </row>
    <row r="2374" spans="91:91">
      <c r="CM2374"/>
    </row>
    <row r="2375" spans="91:91">
      <c r="CM2375"/>
    </row>
    <row r="2376" spans="91:91">
      <c r="CM2376"/>
    </row>
    <row r="2377" spans="91:91">
      <c r="CM2377"/>
    </row>
    <row r="2378" spans="91:91">
      <c r="CM2378"/>
    </row>
    <row r="2379" spans="91:91">
      <c r="CM2379"/>
    </row>
    <row r="2380" spans="91:91">
      <c r="CM2380"/>
    </row>
    <row r="2381" spans="91:91">
      <c r="CM2381"/>
    </row>
    <row r="2382" spans="91:91">
      <c r="CM2382"/>
    </row>
    <row r="2383" spans="91:91">
      <c r="CM2383"/>
    </row>
    <row r="2384" spans="91:91">
      <c r="CM2384"/>
    </row>
    <row r="2385" spans="91:91">
      <c r="CM2385"/>
    </row>
    <row r="2386" spans="91:91">
      <c r="CM2386"/>
    </row>
    <row r="2387" spans="91:91">
      <c r="CM2387"/>
    </row>
    <row r="2388" spans="91:91">
      <c r="CM2388"/>
    </row>
    <row r="2389" spans="91:91">
      <c r="CM2389"/>
    </row>
    <row r="2390" spans="91:91">
      <c r="CM2390"/>
    </row>
    <row r="2391" spans="91:91">
      <c r="CM2391"/>
    </row>
    <row r="2392" spans="91:91">
      <c r="CM2392"/>
    </row>
    <row r="2393" spans="91:91">
      <c r="CM2393"/>
    </row>
    <row r="2394" spans="91:91">
      <c r="CM2394"/>
    </row>
    <row r="2395" spans="91:91">
      <c r="CM2395"/>
    </row>
    <row r="2396" spans="91:91">
      <c r="CM2396"/>
    </row>
    <row r="2397" spans="91:91">
      <c r="CM2397"/>
    </row>
    <row r="2398" spans="91:91">
      <c r="CM2398"/>
    </row>
    <row r="2399" spans="91:91">
      <c r="CM2399"/>
    </row>
    <row r="2400" spans="91:91">
      <c r="CM2400"/>
    </row>
    <row r="2401" spans="91:91">
      <c r="CM2401"/>
    </row>
    <row r="2402" spans="91:91">
      <c r="CM2402"/>
    </row>
    <row r="2403" spans="91:91">
      <c r="CM2403"/>
    </row>
    <row r="2404" spans="91:91">
      <c r="CM2404"/>
    </row>
    <row r="2405" spans="91:91">
      <c r="CM2405"/>
    </row>
    <row r="2406" spans="91:91">
      <c r="CM2406"/>
    </row>
    <row r="2407" spans="91:91">
      <c r="CM2407"/>
    </row>
    <row r="2408" spans="91:91">
      <c r="CM2408"/>
    </row>
    <row r="2409" spans="91:91">
      <c r="CM2409"/>
    </row>
    <row r="2410" spans="91:91">
      <c r="CM2410"/>
    </row>
    <row r="2411" spans="91:91">
      <c r="CM2411"/>
    </row>
    <row r="2412" spans="91:91">
      <c r="CM2412"/>
    </row>
    <row r="2413" spans="91:91">
      <c r="CM2413"/>
    </row>
    <row r="2414" spans="91:91">
      <c r="CM2414"/>
    </row>
    <row r="2415" spans="91:91">
      <c r="CM2415"/>
    </row>
    <row r="2416" spans="91:91">
      <c r="CM2416"/>
    </row>
    <row r="2417" spans="91:91">
      <c r="CM2417"/>
    </row>
    <row r="2418" spans="91:91">
      <c r="CM2418"/>
    </row>
    <row r="2419" spans="91:91">
      <c r="CM2419"/>
    </row>
    <row r="2420" spans="91:91">
      <c r="CM2420"/>
    </row>
    <row r="2421" spans="91:91">
      <c r="CM2421"/>
    </row>
    <row r="2422" spans="91:91">
      <c r="CM2422"/>
    </row>
    <row r="2423" spans="91:91">
      <c r="CM2423"/>
    </row>
    <row r="2424" spans="91:91">
      <c r="CM2424"/>
    </row>
    <row r="2425" spans="91:91">
      <c r="CM2425"/>
    </row>
    <row r="2426" spans="91:91">
      <c r="CM2426"/>
    </row>
    <row r="2427" spans="91:91">
      <c r="CM2427"/>
    </row>
    <row r="2428" spans="91:91">
      <c r="CM2428"/>
    </row>
    <row r="2429" spans="91:91">
      <c r="CM2429"/>
    </row>
    <row r="2430" spans="91:91">
      <c r="CM2430"/>
    </row>
    <row r="2431" spans="91:91">
      <c r="CM2431"/>
    </row>
    <row r="2432" spans="91:91">
      <c r="CM2432"/>
    </row>
    <row r="2433" spans="91:91">
      <c r="CM2433"/>
    </row>
    <row r="2434" spans="91:91">
      <c r="CM2434"/>
    </row>
    <row r="2435" spans="91:91">
      <c r="CM2435"/>
    </row>
    <row r="2436" spans="91:91">
      <c r="CM2436"/>
    </row>
    <row r="2437" spans="91:91">
      <c r="CM2437"/>
    </row>
    <row r="2438" spans="91:91">
      <c r="CM2438"/>
    </row>
    <row r="2439" spans="91:91">
      <c r="CM2439"/>
    </row>
    <row r="2440" spans="91:91">
      <c r="CM2440"/>
    </row>
    <row r="2441" spans="91:91">
      <c r="CM2441"/>
    </row>
    <row r="2442" spans="91:91">
      <c r="CM2442"/>
    </row>
    <row r="2443" spans="91:91">
      <c r="CM2443"/>
    </row>
    <row r="2444" spans="91:91">
      <c r="CM2444"/>
    </row>
    <row r="2445" spans="91:91">
      <c r="CM2445"/>
    </row>
    <row r="2446" spans="91:91">
      <c r="CM2446"/>
    </row>
    <row r="2447" spans="91:91">
      <c r="CM2447"/>
    </row>
    <row r="2448" spans="91:91">
      <c r="CM2448"/>
    </row>
    <row r="2449" spans="91:91">
      <c r="CM2449"/>
    </row>
    <row r="2450" spans="91:91">
      <c r="CM2450"/>
    </row>
    <row r="2451" spans="91:91">
      <c r="CM2451"/>
    </row>
    <row r="2452" spans="91:91">
      <c r="CM2452"/>
    </row>
    <row r="2453" spans="91:91">
      <c r="CM2453"/>
    </row>
    <row r="2454" spans="91:91">
      <c r="CM2454"/>
    </row>
    <row r="2455" spans="91:91">
      <c r="CM2455"/>
    </row>
    <row r="2456" spans="91:91">
      <c r="CM2456"/>
    </row>
    <row r="2457" spans="91:91">
      <c r="CM2457"/>
    </row>
    <row r="2458" spans="91:91">
      <c r="CM2458"/>
    </row>
    <row r="2459" spans="91:91">
      <c r="CM2459"/>
    </row>
    <row r="2460" spans="91:91">
      <c r="CM2460"/>
    </row>
    <row r="2461" spans="91:91">
      <c r="CM2461"/>
    </row>
    <row r="2462" spans="91:91">
      <c r="CM2462"/>
    </row>
    <row r="2463" spans="91:91">
      <c r="CM2463"/>
    </row>
    <row r="2464" spans="91:91">
      <c r="CM2464"/>
    </row>
    <row r="2465" spans="91:91">
      <c r="CM2465"/>
    </row>
    <row r="2466" spans="91:91">
      <c r="CM2466"/>
    </row>
    <row r="2467" spans="91:91">
      <c r="CM2467"/>
    </row>
    <row r="2468" spans="91:91">
      <c r="CM2468"/>
    </row>
    <row r="2469" spans="91:91">
      <c r="CM2469"/>
    </row>
    <row r="2470" spans="91:91">
      <c r="CM2470"/>
    </row>
    <row r="2471" spans="91:91">
      <c r="CM2471"/>
    </row>
    <row r="2472" spans="91:91">
      <c r="CM2472"/>
    </row>
    <row r="2473" spans="91:91">
      <c r="CM2473"/>
    </row>
    <row r="2474" spans="91:91">
      <c r="CM2474"/>
    </row>
    <row r="2475" spans="91:91">
      <c r="CM2475"/>
    </row>
    <row r="2476" spans="91:91">
      <c r="CM2476"/>
    </row>
    <row r="2477" spans="91:91">
      <c r="CM2477"/>
    </row>
    <row r="2478" spans="91:91">
      <c r="CM2478"/>
    </row>
    <row r="2479" spans="91:91">
      <c r="CM2479"/>
    </row>
    <row r="2480" spans="91:91">
      <c r="CM2480"/>
    </row>
    <row r="2481" spans="91:91">
      <c r="CM2481"/>
    </row>
    <row r="2482" spans="91:91">
      <c r="CM2482"/>
    </row>
    <row r="2483" spans="91:91">
      <c r="CM2483"/>
    </row>
    <row r="2484" spans="91:91">
      <c r="CM2484"/>
    </row>
    <row r="2485" spans="91:91">
      <c r="CM2485"/>
    </row>
    <row r="2486" spans="91:91">
      <c r="CM2486"/>
    </row>
    <row r="2487" spans="91:91">
      <c r="CM2487"/>
    </row>
    <row r="2488" spans="91:91">
      <c r="CM2488"/>
    </row>
    <row r="2489" spans="91:91">
      <c r="CM2489"/>
    </row>
    <row r="2490" spans="91:91">
      <c r="CM2490"/>
    </row>
    <row r="2491" spans="91:91">
      <c r="CM2491"/>
    </row>
    <row r="2492" spans="91:91">
      <c r="CM2492"/>
    </row>
    <row r="2493" spans="91:91">
      <c r="CM2493"/>
    </row>
    <row r="2494" spans="91:91">
      <c r="CM2494"/>
    </row>
    <row r="2495" spans="91:91">
      <c r="CM2495"/>
    </row>
    <row r="2496" spans="91:91">
      <c r="CM2496"/>
    </row>
    <row r="2497" spans="91:91">
      <c r="CM2497"/>
    </row>
    <row r="2498" spans="91:91">
      <c r="CM2498"/>
    </row>
    <row r="2499" spans="91:91">
      <c r="CM2499"/>
    </row>
    <row r="2500" spans="91:91">
      <c r="CM2500"/>
    </row>
    <row r="2501" spans="91:91">
      <c r="CM2501"/>
    </row>
    <row r="2502" spans="91:91">
      <c r="CM2502"/>
    </row>
    <row r="2503" spans="91:91">
      <c r="CM2503"/>
    </row>
    <row r="2504" spans="91:91">
      <c r="CM2504"/>
    </row>
    <row r="2505" spans="91:91">
      <c r="CM2505"/>
    </row>
    <row r="2506" spans="91:91">
      <c r="CM2506"/>
    </row>
    <row r="2507" spans="91:91">
      <c r="CM2507"/>
    </row>
    <row r="2508" spans="91:91">
      <c r="CM2508"/>
    </row>
    <row r="2509" spans="91:91">
      <c r="CM2509"/>
    </row>
    <row r="2510" spans="91:91">
      <c r="CM2510"/>
    </row>
    <row r="2511" spans="91:91">
      <c r="CM2511"/>
    </row>
    <row r="2512" spans="91:91">
      <c r="CM2512"/>
    </row>
    <row r="2513" spans="91:91">
      <c r="CM2513"/>
    </row>
    <row r="2514" spans="91:91">
      <c r="CM2514"/>
    </row>
    <row r="2515" spans="91:91">
      <c r="CM2515"/>
    </row>
    <row r="2516" spans="91:91">
      <c r="CM2516"/>
    </row>
    <row r="2517" spans="91:91">
      <c r="CM2517"/>
    </row>
    <row r="2518" spans="91:91">
      <c r="CM2518"/>
    </row>
    <row r="2519" spans="91:91">
      <c r="CM2519"/>
    </row>
    <row r="2520" spans="91:91">
      <c r="CM2520"/>
    </row>
    <row r="2521" spans="91:91">
      <c r="CM2521"/>
    </row>
    <row r="2522" spans="91:91">
      <c r="CM2522"/>
    </row>
    <row r="2523" spans="91:91">
      <c r="CM2523"/>
    </row>
    <row r="2524" spans="91:91">
      <c r="CM2524"/>
    </row>
    <row r="2525" spans="91:91">
      <c r="CM2525"/>
    </row>
    <row r="2526" spans="91:91">
      <c r="CM2526"/>
    </row>
    <row r="2527" spans="91:91">
      <c r="CM2527"/>
    </row>
    <row r="2528" spans="91:91">
      <c r="CM2528"/>
    </row>
    <row r="2529" spans="91:91">
      <c r="CM2529"/>
    </row>
    <row r="2530" spans="91:91">
      <c r="CM2530"/>
    </row>
    <row r="2531" spans="91:91">
      <c r="CM2531"/>
    </row>
    <row r="2532" spans="91:91">
      <c r="CM2532"/>
    </row>
    <row r="2533" spans="91:91">
      <c r="CM2533"/>
    </row>
    <row r="2534" spans="91:91">
      <c r="CM2534"/>
    </row>
    <row r="2535" spans="91:91">
      <c r="CM2535"/>
    </row>
    <row r="2536" spans="91:91">
      <c r="CM2536"/>
    </row>
    <row r="2537" spans="91:91">
      <c r="CM2537"/>
    </row>
    <row r="2538" spans="91:91">
      <c r="CM2538"/>
    </row>
    <row r="2539" spans="91:91">
      <c r="CM2539"/>
    </row>
    <row r="2540" spans="91:91">
      <c r="CM2540"/>
    </row>
    <row r="2541" spans="91:91">
      <c r="CM2541"/>
    </row>
    <row r="2542" spans="91:91">
      <c r="CM2542"/>
    </row>
    <row r="2543" spans="91:91">
      <c r="CM2543"/>
    </row>
    <row r="2544" spans="91:91">
      <c r="CM2544"/>
    </row>
    <row r="2545" spans="91:91">
      <c r="CM2545"/>
    </row>
    <row r="2546" spans="91:91">
      <c r="CM2546"/>
    </row>
    <row r="2547" spans="91:91">
      <c r="CM2547"/>
    </row>
    <row r="2548" spans="91:91">
      <c r="CM2548"/>
    </row>
    <row r="2549" spans="91:91">
      <c r="CM2549"/>
    </row>
    <row r="2550" spans="91:91">
      <c r="CM2550"/>
    </row>
    <row r="2551" spans="91:91">
      <c r="CM2551"/>
    </row>
    <row r="2552" spans="91:91">
      <c r="CM2552"/>
    </row>
    <row r="2553" spans="91:91">
      <c r="CM2553"/>
    </row>
    <row r="2554" spans="91:91">
      <c r="CM2554"/>
    </row>
    <row r="2555" spans="91:91">
      <c r="CM2555"/>
    </row>
    <row r="2556" spans="91:91">
      <c r="CM2556"/>
    </row>
    <row r="2557" spans="91:91">
      <c r="CM2557"/>
    </row>
    <row r="2558" spans="91:91">
      <c r="CM2558"/>
    </row>
    <row r="2559" spans="91:91">
      <c r="CM2559"/>
    </row>
    <row r="2560" spans="91:91">
      <c r="CM2560"/>
    </row>
    <row r="2561" spans="91:91">
      <c r="CM2561"/>
    </row>
    <row r="2562" spans="91:91">
      <c r="CM2562"/>
    </row>
    <row r="2563" spans="91:91">
      <c r="CM2563"/>
    </row>
    <row r="2564" spans="91:91">
      <c r="CM2564"/>
    </row>
    <row r="2565" spans="91:91">
      <c r="CM2565"/>
    </row>
    <row r="2566" spans="91:91">
      <c r="CM2566"/>
    </row>
    <row r="2567" spans="91:91">
      <c r="CM2567"/>
    </row>
    <row r="2568" spans="91:91">
      <c r="CM2568"/>
    </row>
    <row r="2569" spans="91:91">
      <c r="CM2569"/>
    </row>
    <row r="2570" spans="91:91">
      <c r="CM2570"/>
    </row>
    <row r="2571" spans="91:91">
      <c r="CM2571"/>
    </row>
    <row r="2572" spans="91:91">
      <c r="CM2572"/>
    </row>
    <row r="2573" spans="91:91">
      <c r="CM2573"/>
    </row>
    <row r="2574" spans="91:91">
      <c r="CM2574"/>
    </row>
    <row r="2575" spans="91:91">
      <c r="CM2575"/>
    </row>
    <row r="2576" spans="91:91">
      <c r="CM2576"/>
    </row>
    <row r="2577" spans="91:91">
      <c r="CM2577"/>
    </row>
    <row r="2578" spans="91:91">
      <c r="CM2578"/>
    </row>
    <row r="2579" spans="91:91">
      <c r="CM2579"/>
    </row>
    <row r="2580" spans="91:91">
      <c r="CM2580"/>
    </row>
    <row r="2581" spans="91:91">
      <c r="CM2581"/>
    </row>
    <row r="2582" spans="91:91">
      <c r="CM2582"/>
    </row>
    <row r="2583" spans="91:91">
      <c r="CM2583"/>
    </row>
    <row r="2584" spans="91:91">
      <c r="CM2584"/>
    </row>
    <row r="2585" spans="91:91">
      <c r="CM2585"/>
    </row>
    <row r="2586" spans="91:91">
      <c r="CM2586"/>
    </row>
    <row r="2587" spans="91:91">
      <c r="CM2587"/>
    </row>
    <row r="2588" spans="91:91">
      <c r="CM2588"/>
    </row>
    <row r="2589" spans="91:91">
      <c r="CM2589"/>
    </row>
    <row r="2590" spans="91:91">
      <c r="CM2590"/>
    </row>
    <row r="2591" spans="91:91">
      <c r="CM2591"/>
    </row>
    <row r="2592" spans="91:91">
      <c r="CM2592"/>
    </row>
    <row r="2593" spans="91:91">
      <c r="CM2593"/>
    </row>
    <row r="2594" spans="91:91">
      <c r="CM2594"/>
    </row>
    <row r="2595" spans="91:91">
      <c r="CM2595"/>
    </row>
    <row r="2596" spans="91:91">
      <c r="CM2596"/>
    </row>
    <row r="2597" spans="91:91">
      <c r="CM2597"/>
    </row>
    <row r="2598" spans="91:91">
      <c r="CM2598"/>
    </row>
    <row r="2599" spans="91:91">
      <c r="CM2599"/>
    </row>
    <row r="2600" spans="91:91">
      <c r="CM2600"/>
    </row>
    <row r="2601" spans="91:91">
      <c r="CM2601"/>
    </row>
    <row r="2602" spans="91:91">
      <c r="CM2602"/>
    </row>
    <row r="2603" spans="91:91">
      <c r="CM2603"/>
    </row>
    <row r="2604" spans="91:91">
      <c r="CM2604"/>
    </row>
    <row r="2605" spans="91:91">
      <c r="CM2605"/>
    </row>
    <row r="2606" spans="91:91">
      <c r="CM2606"/>
    </row>
    <row r="2607" spans="91:91">
      <c r="CM2607"/>
    </row>
    <row r="2608" spans="91:91">
      <c r="CM2608"/>
    </row>
    <row r="2609" spans="91:91">
      <c r="CM2609"/>
    </row>
    <row r="2610" spans="91:91">
      <c r="CM2610"/>
    </row>
    <row r="2611" spans="91:91">
      <c r="CM2611"/>
    </row>
    <row r="2612" spans="91:91">
      <c r="CM2612"/>
    </row>
    <row r="2613" spans="91:91">
      <c r="CM2613"/>
    </row>
    <row r="2614" spans="91:91">
      <c r="CM2614"/>
    </row>
    <row r="2615" spans="91:91">
      <c r="CM2615"/>
    </row>
    <row r="2616" spans="91:91">
      <c r="CM2616"/>
    </row>
    <row r="2617" spans="91:91">
      <c r="CM2617"/>
    </row>
    <row r="2618" spans="91:91">
      <c r="CM2618"/>
    </row>
    <row r="2619" spans="91:91">
      <c r="CM2619"/>
    </row>
    <row r="2620" spans="91:91">
      <c r="CM2620"/>
    </row>
    <row r="2621" spans="91:91">
      <c r="CM2621"/>
    </row>
    <row r="2622" spans="91:91">
      <c r="CM2622"/>
    </row>
    <row r="2623" spans="91:91">
      <c r="CM2623"/>
    </row>
    <row r="2624" spans="91:91">
      <c r="CM2624"/>
    </row>
    <row r="2625" spans="91:91">
      <c r="CM2625"/>
    </row>
    <row r="2626" spans="91:91">
      <c r="CM2626"/>
    </row>
    <row r="2627" spans="91:91">
      <c r="CM2627"/>
    </row>
    <row r="2628" spans="91:91">
      <c r="CM2628"/>
    </row>
    <row r="2629" spans="91:91">
      <c r="CM2629"/>
    </row>
    <row r="2630" spans="91:91">
      <c r="CM2630"/>
    </row>
    <row r="2631" spans="91:91">
      <c r="CM2631"/>
    </row>
    <row r="2632" spans="91:91">
      <c r="CM2632"/>
    </row>
    <row r="2633" spans="91:91">
      <c r="CM2633"/>
    </row>
    <row r="2634" spans="91:91">
      <c r="CM2634"/>
    </row>
    <row r="2635" spans="91:91">
      <c r="CM2635"/>
    </row>
    <row r="2636" spans="91:91">
      <c r="CM2636"/>
    </row>
    <row r="2637" spans="91:91">
      <c r="CM2637"/>
    </row>
    <row r="2638" spans="91:91">
      <c r="CM2638"/>
    </row>
    <row r="2639" spans="91:91">
      <c r="CM2639"/>
    </row>
    <row r="2640" spans="91:91">
      <c r="CM2640"/>
    </row>
    <row r="2641" spans="91:91">
      <c r="CM2641"/>
    </row>
    <row r="2642" spans="91:91">
      <c r="CM2642"/>
    </row>
    <row r="2643" spans="91:91">
      <c r="CM2643"/>
    </row>
    <row r="2644" spans="91:91">
      <c r="CM2644"/>
    </row>
    <row r="2645" spans="91:91">
      <c r="CM2645"/>
    </row>
    <row r="2646" spans="91:91">
      <c r="CM2646"/>
    </row>
    <row r="2647" spans="91:91">
      <c r="CM2647"/>
    </row>
    <row r="2648" spans="91:91">
      <c r="CM2648"/>
    </row>
    <row r="2649" spans="91:91">
      <c r="CM2649"/>
    </row>
    <row r="2650" spans="91:91">
      <c r="CM2650"/>
    </row>
    <row r="2651" spans="91:91">
      <c r="CM2651"/>
    </row>
    <row r="2652" spans="91:91">
      <c r="CM2652"/>
    </row>
    <row r="2653" spans="91:91">
      <c r="CM2653"/>
    </row>
    <row r="2654" spans="91:91">
      <c r="CM2654"/>
    </row>
    <row r="2655" spans="91:91">
      <c r="CM2655"/>
    </row>
    <row r="2656" spans="91:91">
      <c r="CM2656"/>
    </row>
    <row r="2657" spans="91:91">
      <c r="CM2657"/>
    </row>
    <row r="2658" spans="91:91">
      <c r="CM2658"/>
    </row>
    <row r="2659" spans="91:91">
      <c r="CM2659"/>
    </row>
    <row r="2660" spans="91:91">
      <c r="CM2660"/>
    </row>
    <row r="2661" spans="91:91">
      <c r="CM2661"/>
    </row>
    <row r="2662" spans="91:91">
      <c r="CM2662"/>
    </row>
    <row r="2663" spans="91:91">
      <c r="CM2663"/>
    </row>
    <row r="2664" spans="91:91">
      <c r="CM2664"/>
    </row>
    <row r="2665" spans="91:91">
      <c r="CM2665"/>
    </row>
    <row r="2666" spans="91:91">
      <c r="CM2666"/>
    </row>
    <row r="2667" spans="91:91">
      <c r="CM2667"/>
    </row>
    <row r="2668" spans="91:91">
      <c r="CM2668"/>
    </row>
    <row r="2669" spans="91:91">
      <c r="CM2669"/>
    </row>
    <row r="2670" spans="91:91">
      <c r="CM2670"/>
    </row>
    <row r="2671" spans="91:91">
      <c r="CM2671"/>
    </row>
    <row r="2672" spans="91:91">
      <c r="CM2672"/>
    </row>
    <row r="2673" spans="91:91">
      <c r="CM2673"/>
    </row>
    <row r="2674" spans="91:91">
      <c r="CM2674"/>
    </row>
    <row r="2675" spans="91:91">
      <c r="CM2675"/>
    </row>
    <row r="2676" spans="91:91">
      <c r="CM2676"/>
    </row>
    <row r="2677" spans="91:91">
      <c r="CM2677"/>
    </row>
    <row r="2678" spans="91:91">
      <c r="CM2678"/>
    </row>
    <row r="2679" spans="91:91">
      <c r="CM2679"/>
    </row>
    <row r="2680" spans="91:91">
      <c r="CM2680"/>
    </row>
    <row r="2681" spans="91:91">
      <c r="CM2681"/>
    </row>
    <row r="2682" spans="91:91">
      <c r="CM2682"/>
    </row>
    <row r="2683" spans="91:91">
      <c r="CM2683"/>
    </row>
    <row r="2684" spans="91:91">
      <c r="CM2684"/>
    </row>
    <row r="2685" spans="91:91">
      <c r="CM2685"/>
    </row>
    <row r="2686" spans="91:91">
      <c r="CM2686"/>
    </row>
    <row r="2687" spans="91:91">
      <c r="CM2687"/>
    </row>
    <row r="2688" spans="91:91">
      <c r="CM2688"/>
    </row>
    <row r="2689" spans="91:91">
      <c r="CM2689"/>
    </row>
    <row r="2690" spans="91:91">
      <c r="CM2690"/>
    </row>
    <row r="2691" spans="91:91">
      <c r="CM2691"/>
    </row>
    <row r="2692" spans="91:91">
      <c r="CM2692"/>
    </row>
    <row r="2693" spans="91:91">
      <c r="CM2693"/>
    </row>
    <row r="2694" spans="91:91">
      <c r="CM2694"/>
    </row>
    <row r="2695" spans="91:91">
      <c r="CM2695"/>
    </row>
    <row r="2696" spans="91:91">
      <c r="CM2696"/>
    </row>
    <row r="2697" spans="91:91">
      <c r="CM2697"/>
    </row>
    <row r="2698" spans="91:91">
      <c r="CM2698"/>
    </row>
    <row r="2699" spans="91:91">
      <c r="CM2699"/>
    </row>
    <row r="2700" spans="91:91">
      <c r="CM2700"/>
    </row>
    <row r="2701" spans="91:91">
      <c r="CM2701"/>
    </row>
    <row r="2702" spans="91:91">
      <c r="CM2702"/>
    </row>
    <row r="2703" spans="91:91">
      <c r="CM2703"/>
    </row>
    <row r="2704" spans="91:91">
      <c r="CM2704"/>
    </row>
    <row r="2705" spans="91:91">
      <c r="CM2705"/>
    </row>
    <row r="2706" spans="91:91">
      <c r="CM2706"/>
    </row>
    <row r="2707" spans="91:91">
      <c r="CM2707"/>
    </row>
    <row r="2708" spans="91:91">
      <c r="CM2708"/>
    </row>
    <row r="2709" spans="91:91">
      <c r="CM2709"/>
    </row>
    <row r="2710" spans="91:91">
      <c r="CM2710"/>
    </row>
    <row r="2711" spans="91:91">
      <c r="CM2711"/>
    </row>
    <row r="2712" spans="91:91">
      <c r="CM2712"/>
    </row>
    <row r="2713" spans="91:91">
      <c r="CM2713"/>
    </row>
    <row r="2714" spans="91:91">
      <c r="CM2714"/>
    </row>
    <row r="2715" spans="91:91">
      <c r="CM2715"/>
    </row>
    <row r="2716" spans="91:91">
      <c r="CM2716"/>
    </row>
    <row r="2717" spans="91:91">
      <c r="CM2717"/>
    </row>
    <row r="2718" spans="91:91">
      <c r="CM2718"/>
    </row>
    <row r="2719" spans="91:91">
      <c r="CM2719"/>
    </row>
    <row r="2720" spans="91:91">
      <c r="CM2720"/>
    </row>
    <row r="2721" spans="91:91">
      <c r="CM2721"/>
    </row>
    <row r="2722" spans="91:91">
      <c r="CM2722"/>
    </row>
    <row r="2723" spans="91:91">
      <c r="CM2723"/>
    </row>
    <row r="2724" spans="91:91">
      <c r="CM2724"/>
    </row>
    <row r="2725" spans="91:91">
      <c r="CM2725"/>
    </row>
    <row r="2726" spans="91:91">
      <c r="CM2726"/>
    </row>
    <row r="2727" spans="91:91">
      <c r="CM2727"/>
    </row>
    <row r="2728" spans="91:91">
      <c r="CM2728"/>
    </row>
    <row r="2729" spans="91:91">
      <c r="CM2729"/>
    </row>
    <row r="2730" spans="91:91">
      <c r="CM2730"/>
    </row>
    <row r="2731" spans="91:91">
      <c r="CM2731"/>
    </row>
    <row r="2732" spans="91:91">
      <c r="CM2732"/>
    </row>
    <row r="2733" spans="91:91">
      <c r="CM2733"/>
    </row>
    <row r="2734" spans="91:91">
      <c r="CM2734"/>
    </row>
    <row r="2735" spans="91:91">
      <c r="CM2735"/>
    </row>
    <row r="2736" spans="91:91">
      <c r="CM2736"/>
    </row>
    <row r="2737" spans="91:91">
      <c r="CM2737"/>
    </row>
    <row r="2738" spans="91:91">
      <c r="CM2738"/>
    </row>
    <row r="2739" spans="91:91">
      <c r="CM2739"/>
    </row>
    <row r="2740" spans="91:91">
      <c r="CM2740"/>
    </row>
    <row r="2741" spans="91:91">
      <c r="CM2741"/>
    </row>
    <row r="2742" spans="91:91">
      <c r="CM2742"/>
    </row>
    <row r="2743" spans="91:91">
      <c r="CM2743"/>
    </row>
    <row r="2744" spans="91:91">
      <c r="CM2744"/>
    </row>
    <row r="2745" spans="91:91">
      <c r="CM2745"/>
    </row>
    <row r="2746" spans="91:91">
      <c r="CM2746"/>
    </row>
    <row r="2747" spans="91:91">
      <c r="CM2747"/>
    </row>
    <row r="2748" spans="91:91">
      <c r="CM2748"/>
    </row>
    <row r="2749" spans="91:91">
      <c r="CM2749"/>
    </row>
    <row r="2750" spans="91:91">
      <c r="CM2750"/>
    </row>
    <row r="2751" spans="91:91">
      <c r="CM2751"/>
    </row>
    <row r="2752" spans="91:91">
      <c r="CM2752"/>
    </row>
    <row r="2753" spans="91:91">
      <c r="CM2753"/>
    </row>
    <row r="2754" spans="91:91">
      <c r="CM2754"/>
    </row>
    <row r="2755" spans="91:91">
      <c r="CM2755"/>
    </row>
    <row r="2756" spans="91:91">
      <c r="CM2756"/>
    </row>
    <row r="2757" spans="91:91">
      <c r="CM2757"/>
    </row>
    <row r="2758" spans="91:91">
      <c r="CM2758"/>
    </row>
    <row r="2759" spans="91:91">
      <c r="CM2759"/>
    </row>
    <row r="2760" spans="91:91">
      <c r="CM2760"/>
    </row>
    <row r="2761" spans="91:91">
      <c r="CM2761"/>
    </row>
    <row r="2762" spans="91:91">
      <c r="CM2762"/>
    </row>
    <row r="2763" spans="91:91">
      <c r="CM2763"/>
    </row>
    <row r="2764" spans="91:91">
      <c r="CM2764"/>
    </row>
    <row r="2765" spans="91:91">
      <c r="CM2765"/>
    </row>
    <row r="2766" spans="91:91">
      <c r="CM2766"/>
    </row>
    <row r="2767" spans="91:91">
      <c r="CM2767"/>
    </row>
    <row r="2768" spans="91:91">
      <c r="CM2768"/>
    </row>
    <row r="2769" spans="91:91">
      <c r="CM2769"/>
    </row>
    <row r="2770" spans="91:91">
      <c r="CM2770"/>
    </row>
    <row r="2771" spans="91:91">
      <c r="CM2771"/>
    </row>
    <row r="2772" spans="91:91">
      <c r="CM2772"/>
    </row>
    <row r="2773" spans="91:91">
      <c r="CM2773"/>
    </row>
    <row r="2774" spans="91:91">
      <c r="CM2774"/>
    </row>
    <row r="2775" spans="91:91">
      <c r="CM2775"/>
    </row>
    <row r="2776" spans="91:91">
      <c r="CM2776"/>
    </row>
    <row r="2777" spans="91:91">
      <c r="CM2777"/>
    </row>
    <row r="2778" spans="91:91">
      <c r="CM2778"/>
    </row>
    <row r="2779" spans="91:91">
      <c r="CM2779"/>
    </row>
    <row r="2780" spans="91:91">
      <c r="CM2780"/>
    </row>
    <row r="2781" spans="91:91">
      <c r="CM2781"/>
    </row>
    <row r="2782" spans="91:91">
      <c r="CM2782"/>
    </row>
    <row r="2783" spans="91:91">
      <c r="CM2783"/>
    </row>
    <row r="2784" spans="91:91">
      <c r="CM2784"/>
    </row>
    <row r="2785" spans="91:91">
      <c r="CM2785"/>
    </row>
    <row r="2786" spans="91:91">
      <c r="CM2786"/>
    </row>
    <row r="2787" spans="91:91">
      <c r="CM2787"/>
    </row>
    <row r="2788" spans="91:91">
      <c r="CM2788"/>
    </row>
    <row r="2789" spans="91:91">
      <c r="CM2789"/>
    </row>
    <row r="2790" spans="91:91">
      <c r="CM2790"/>
    </row>
    <row r="2791" spans="91:91">
      <c r="CM2791"/>
    </row>
    <row r="2792" spans="91:91">
      <c r="CM2792"/>
    </row>
    <row r="2793" spans="91:91">
      <c r="CM2793"/>
    </row>
    <row r="2794" spans="91:91">
      <c r="CM2794"/>
    </row>
    <row r="2795" spans="91:91">
      <c r="CM2795"/>
    </row>
    <row r="2796" spans="91:91">
      <c r="CM2796"/>
    </row>
    <row r="2797" spans="91:91">
      <c r="CM2797"/>
    </row>
    <row r="2798" spans="91:91">
      <c r="CM2798"/>
    </row>
    <row r="2799" spans="91:91">
      <c r="CM2799"/>
    </row>
    <row r="2800" spans="91:91">
      <c r="CM2800"/>
    </row>
    <row r="2801" spans="91:91">
      <c r="CM2801"/>
    </row>
    <row r="2802" spans="91:91">
      <c r="CM2802"/>
    </row>
    <row r="2803" spans="91:91">
      <c r="CM2803"/>
    </row>
    <row r="2804" spans="91:91">
      <c r="CM2804"/>
    </row>
    <row r="2805" spans="91:91">
      <c r="CM2805"/>
    </row>
    <row r="2806" spans="91:91">
      <c r="CM2806"/>
    </row>
    <row r="2807" spans="91:91">
      <c r="CM2807"/>
    </row>
    <row r="2808" spans="91:91">
      <c r="CM2808"/>
    </row>
    <row r="2809" spans="91:91">
      <c r="CM2809"/>
    </row>
    <row r="2810" spans="91:91">
      <c r="CM2810"/>
    </row>
    <row r="2811" spans="91:91">
      <c r="CM2811"/>
    </row>
    <row r="2812" spans="91:91">
      <c r="CM2812"/>
    </row>
    <row r="2813" spans="91:91">
      <c r="CM2813"/>
    </row>
    <row r="2814" spans="91:91">
      <c r="CM2814"/>
    </row>
    <row r="2815" spans="91:91">
      <c r="CM2815"/>
    </row>
    <row r="2816" spans="91:91">
      <c r="CM2816"/>
    </row>
    <row r="2817" spans="91:91">
      <c r="CM2817"/>
    </row>
    <row r="2818" spans="91:91">
      <c r="CM2818"/>
    </row>
    <row r="2819" spans="91:91">
      <c r="CM2819"/>
    </row>
    <row r="2820" spans="91:91">
      <c r="CM2820"/>
    </row>
    <row r="2821" spans="91:91">
      <c r="CM2821"/>
    </row>
    <row r="2822" spans="91:91">
      <c r="CM2822"/>
    </row>
    <row r="2823" spans="91:91">
      <c r="CM2823"/>
    </row>
    <row r="2824" spans="91:91">
      <c r="CM2824"/>
    </row>
    <row r="2825" spans="91:91">
      <c r="CM2825"/>
    </row>
    <row r="2826" spans="91:91">
      <c r="CM2826"/>
    </row>
    <row r="2827" spans="91:91">
      <c r="CM2827"/>
    </row>
    <row r="2828" spans="91:91">
      <c r="CM2828"/>
    </row>
    <row r="2829" spans="91:91">
      <c r="CM2829"/>
    </row>
    <row r="2830" spans="91:91">
      <c r="CM2830"/>
    </row>
    <row r="2831" spans="91:91">
      <c r="CM2831"/>
    </row>
    <row r="2832" spans="91:91">
      <c r="CM2832"/>
    </row>
    <row r="2833" spans="91:91">
      <c r="CM2833"/>
    </row>
    <row r="2834" spans="91:91">
      <c r="CM2834"/>
    </row>
    <row r="2835" spans="91:91">
      <c r="CM2835"/>
    </row>
    <row r="2836" spans="91:91">
      <c r="CM2836"/>
    </row>
    <row r="2837" spans="91:91">
      <c r="CM2837"/>
    </row>
    <row r="2838" spans="91:91">
      <c r="CM2838"/>
    </row>
    <row r="2839" spans="91:91">
      <c r="CM2839"/>
    </row>
    <row r="2840" spans="91:91">
      <c r="CM2840"/>
    </row>
    <row r="2841" spans="91:91">
      <c r="CM2841"/>
    </row>
    <row r="2842" spans="91:91">
      <c r="CM2842"/>
    </row>
    <row r="2843" spans="91:91">
      <c r="CM2843"/>
    </row>
    <row r="2844" spans="91:91">
      <c r="CM2844"/>
    </row>
    <row r="2845" spans="91:91">
      <c r="CM2845"/>
    </row>
    <row r="2846" spans="91:91">
      <c r="CM2846"/>
    </row>
    <row r="2847" spans="91:91">
      <c r="CM2847"/>
    </row>
    <row r="2848" spans="91:91">
      <c r="CM2848"/>
    </row>
    <row r="2849" spans="91:91">
      <c r="CM2849"/>
    </row>
    <row r="2850" spans="91:91">
      <c r="CM2850"/>
    </row>
    <row r="2851" spans="91:91">
      <c r="CM2851"/>
    </row>
    <row r="2852" spans="91:91">
      <c r="CM2852"/>
    </row>
    <row r="2853" spans="91:91">
      <c r="CM2853"/>
    </row>
    <row r="2854" spans="91:91">
      <c r="CM2854"/>
    </row>
    <row r="2855" spans="91:91">
      <c r="CM2855"/>
    </row>
    <row r="2856" spans="91:91">
      <c r="CM2856"/>
    </row>
    <row r="2857" spans="91:91">
      <c r="CM2857"/>
    </row>
    <row r="2858" spans="91:91">
      <c r="CM2858"/>
    </row>
    <row r="2859" spans="91:91">
      <c r="CM2859"/>
    </row>
    <row r="2860" spans="91:91">
      <c r="CM2860"/>
    </row>
    <row r="2861" spans="91:91">
      <c r="CM2861"/>
    </row>
    <row r="2862" spans="91:91">
      <c r="CM2862"/>
    </row>
    <row r="2863" spans="91:91">
      <c r="CM2863"/>
    </row>
    <row r="2864" spans="91:91">
      <c r="CM2864"/>
    </row>
    <row r="2865" spans="91:91">
      <c r="CM2865"/>
    </row>
    <row r="2866" spans="91:91">
      <c r="CM2866"/>
    </row>
    <row r="2867" spans="91:91">
      <c r="CM2867"/>
    </row>
    <row r="2868" spans="91:91">
      <c r="CM2868"/>
    </row>
    <row r="2869" spans="91:91">
      <c r="CM2869"/>
    </row>
    <row r="2870" spans="91:91">
      <c r="CM2870"/>
    </row>
    <row r="2871" spans="91:91">
      <c r="CM2871"/>
    </row>
    <row r="2872" spans="91:91">
      <c r="CM2872"/>
    </row>
    <row r="2873" spans="91:91">
      <c r="CM2873"/>
    </row>
    <row r="2874" spans="91:91">
      <c r="CM2874"/>
    </row>
    <row r="2875" spans="91:91">
      <c r="CM2875"/>
    </row>
    <row r="2876" spans="91:91">
      <c r="CM2876"/>
    </row>
    <row r="2877" spans="91:91">
      <c r="CM2877"/>
    </row>
    <row r="2878" spans="91:91">
      <c r="CM2878"/>
    </row>
    <row r="2879" spans="91:91">
      <c r="CM2879"/>
    </row>
    <row r="2880" spans="91:91">
      <c r="CM2880"/>
    </row>
    <row r="2881" spans="91:91">
      <c r="CM2881"/>
    </row>
    <row r="2882" spans="91:91">
      <c r="CM2882"/>
    </row>
    <row r="2883" spans="91:91">
      <c r="CM2883"/>
    </row>
    <row r="2884" spans="91:91">
      <c r="CM2884"/>
    </row>
    <row r="2885" spans="91:91">
      <c r="CM2885"/>
    </row>
    <row r="2886" spans="91:91">
      <c r="CM2886"/>
    </row>
    <row r="2887" spans="91:91">
      <c r="CM2887"/>
    </row>
    <row r="2888" spans="91:91">
      <c r="CM2888"/>
    </row>
    <row r="2889" spans="91:91">
      <c r="CM2889"/>
    </row>
    <row r="2890" spans="91:91">
      <c r="CM2890"/>
    </row>
    <row r="2891" spans="91:91">
      <c r="CM2891"/>
    </row>
    <row r="2892" spans="91:91">
      <c r="CM2892"/>
    </row>
    <row r="2893" spans="91:91">
      <c r="CM2893"/>
    </row>
    <row r="2894" spans="91:91">
      <c r="CM2894"/>
    </row>
    <row r="2895" spans="91:91">
      <c r="CM2895"/>
    </row>
    <row r="2896" spans="91:91">
      <c r="CM2896"/>
    </row>
    <row r="2897" spans="91:91">
      <c r="CM2897"/>
    </row>
    <row r="2898" spans="91:91">
      <c r="CM2898"/>
    </row>
    <row r="2899" spans="91:91">
      <c r="CM2899"/>
    </row>
    <row r="2900" spans="91:91">
      <c r="CM2900"/>
    </row>
    <row r="2901" spans="91:91">
      <c r="CM2901"/>
    </row>
    <row r="2902" spans="91:91">
      <c r="CM2902"/>
    </row>
    <row r="2903" spans="91:91">
      <c r="CM2903"/>
    </row>
    <row r="2904" spans="91:91">
      <c r="CM2904"/>
    </row>
    <row r="2905" spans="91:91">
      <c r="CM2905"/>
    </row>
    <row r="2906" spans="91:91">
      <c r="CM2906"/>
    </row>
    <row r="2907" spans="91:91">
      <c r="CM2907"/>
    </row>
    <row r="2908" spans="91:91">
      <c r="CM2908"/>
    </row>
    <row r="2909" spans="91:91">
      <c r="CM2909"/>
    </row>
    <row r="2910" spans="91:91">
      <c r="CM2910"/>
    </row>
    <row r="2911" spans="91:91">
      <c r="CM2911"/>
    </row>
    <row r="2912" spans="91:91">
      <c r="CM2912"/>
    </row>
    <row r="2913" spans="91:91">
      <c r="CM2913"/>
    </row>
    <row r="2914" spans="91:91">
      <c r="CM2914"/>
    </row>
    <row r="2915" spans="91:91">
      <c r="CM2915"/>
    </row>
    <row r="2916" spans="91:91">
      <c r="CM2916"/>
    </row>
    <row r="2917" spans="91:91">
      <c r="CM2917"/>
    </row>
    <row r="2918" spans="91:91">
      <c r="CM2918"/>
    </row>
    <row r="2919" spans="91:91">
      <c r="CM2919"/>
    </row>
    <row r="2920" spans="91:91">
      <c r="CM2920"/>
    </row>
    <row r="2921" spans="91:91">
      <c r="CM2921"/>
    </row>
    <row r="2922" spans="91:91">
      <c r="CM2922"/>
    </row>
    <row r="2923" spans="91:91">
      <c r="CM2923"/>
    </row>
    <row r="2924" spans="91:91">
      <c r="CM2924"/>
    </row>
    <row r="2925" spans="91:91">
      <c r="CM2925"/>
    </row>
    <row r="2926" spans="91:91">
      <c r="CM2926"/>
    </row>
    <row r="2927" spans="91:91">
      <c r="CM2927"/>
    </row>
    <row r="2928" spans="91:91">
      <c r="CM2928"/>
    </row>
    <row r="2929" spans="91:91">
      <c r="CM2929"/>
    </row>
    <row r="2930" spans="91:91">
      <c r="CM2930"/>
    </row>
    <row r="2931" spans="91:91">
      <c r="CM2931"/>
    </row>
    <row r="2932" spans="91:91">
      <c r="CM2932"/>
    </row>
    <row r="2933" spans="91:91">
      <c r="CM2933"/>
    </row>
    <row r="2934" spans="91:91">
      <c r="CM2934"/>
    </row>
    <row r="2935" spans="91:91">
      <c r="CM2935"/>
    </row>
    <row r="2936" spans="91:91">
      <c r="CM2936"/>
    </row>
    <row r="2937" spans="91:91">
      <c r="CM2937"/>
    </row>
    <row r="2938" spans="91:91">
      <c r="CM2938"/>
    </row>
    <row r="2939" spans="91:91">
      <c r="CM2939"/>
    </row>
    <row r="2940" spans="91:91">
      <c r="CM2940"/>
    </row>
    <row r="2941" spans="91:91">
      <c r="CM2941"/>
    </row>
    <row r="2942" spans="91:91">
      <c r="CM2942"/>
    </row>
    <row r="2943" spans="91:91">
      <c r="CM2943"/>
    </row>
    <row r="2944" spans="91:91">
      <c r="CM2944"/>
    </row>
    <row r="2945" spans="91:91">
      <c r="CM2945"/>
    </row>
    <row r="2946" spans="91:91">
      <c r="CM2946"/>
    </row>
    <row r="2947" spans="91:91">
      <c r="CM2947"/>
    </row>
    <row r="2948" spans="91:91">
      <c r="CM2948"/>
    </row>
    <row r="2949" spans="91:91">
      <c r="CM2949"/>
    </row>
    <row r="2950" spans="91:91">
      <c r="CM2950"/>
    </row>
    <row r="2951" spans="91:91">
      <c r="CM2951"/>
    </row>
    <row r="2952" spans="91:91">
      <c r="CM2952"/>
    </row>
    <row r="2953" spans="91:91">
      <c r="CM2953"/>
    </row>
    <row r="2954" spans="91:91">
      <c r="CM2954"/>
    </row>
    <row r="2955" spans="91:91">
      <c r="CM2955"/>
    </row>
    <row r="2956" spans="91:91">
      <c r="CM2956"/>
    </row>
    <row r="2957" spans="91:91">
      <c r="CM2957"/>
    </row>
    <row r="2958" spans="91:91">
      <c r="CM2958"/>
    </row>
    <row r="2959" spans="91:91">
      <c r="CM2959"/>
    </row>
    <row r="2960" spans="91:91">
      <c r="CM2960"/>
    </row>
    <row r="2961" spans="91:91">
      <c r="CM2961"/>
    </row>
    <row r="2962" spans="91:91">
      <c r="CM2962"/>
    </row>
    <row r="2963" spans="91:91">
      <c r="CM2963"/>
    </row>
    <row r="2964" spans="91:91">
      <c r="CM2964"/>
    </row>
    <row r="2965" spans="91:91">
      <c r="CM2965"/>
    </row>
    <row r="2966" spans="91:91">
      <c r="CM2966"/>
    </row>
    <row r="2967" spans="91:91">
      <c r="CM2967"/>
    </row>
    <row r="2968" spans="91:91">
      <c r="CM2968"/>
    </row>
    <row r="2969" spans="91:91">
      <c r="CM2969"/>
    </row>
    <row r="2970" spans="91:91">
      <c r="CM2970"/>
    </row>
    <row r="2971" spans="91:91">
      <c r="CM2971"/>
    </row>
    <row r="2972" spans="91:91">
      <c r="CM2972"/>
    </row>
    <row r="2973" spans="91:91">
      <c r="CM2973"/>
    </row>
    <row r="2974" spans="91:91">
      <c r="CM2974"/>
    </row>
    <row r="2975" spans="91:91">
      <c r="CM2975"/>
    </row>
    <row r="2976" spans="91:91">
      <c r="CM2976"/>
    </row>
    <row r="2977" spans="91:91">
      <c r="CM2977"/>
    </row>
    <row r="2978" spans="91:91">
      <c r="CM2978"/>
    </row>
    <row r="2979" spans="91:91">
      <c r="CM2979"/>
    </row>
    <row r="2980" spans="91:91">
      <c r="CM2980"/>
    </row>
    <row r="2981" spans="91:91">
      <c r="CM2981"/>
    </row>
    <row r="2982" spans="91:91">
      <c r="CM2982"/>
    </row>
    <row r="2983" spans="91:91">
      <c r="CM2983"/>
    </row>
    <row r="2984" spans="91:91">
      <c r="CM2984"/>
    </row>
    <row r="2985" spans="91:91">
      <c r="CM2985"/>
    </row>
    <row r="2986" spans="91:91">
      <c r="CM2986"/>
    </row>
    <row r="2987" spans="91:91">
      <c r="CM2987"/>
    </row>
    <row r="2988" spans="91:91">
      <c r="CM2988"/>
    </row>
    <row r="2989" spans="91:91">
      <c r="CM2989"/>
    </row>
    <row r="2990" spans="91:91">
      <c r="CM2990"/>
    </row>
    <row r="2991" spans="91:91">
      <c r="CM2991"/>
    </row>
    <row r="2992" spans="91:91">
      <c r="CM2992"/>
    </row>
    <row r="2993" spans="91:91">
      <c r="CM2993"/>
    </row>
    <row r="2994" spans="91:91">
      <c r="CM2994"/>
    </row>
    <row r="2995" spans="91:91">
      <c r="CM2995"/>
    </row>
    <row r="2996" spans="91:91">
      <c r="CM2996"/>
    </row>
    <row r="2997" spans="91:91">
      <c r="CM2997"/>
    </row>
    <row r="2998" spans="91:91">
      <c r="CM2998"/>
    </row>
    <row r="2999" spans="91:91">
      <c r="CM2999"/>
    </row>
    <row r="3000" spans="91:91">
      <c r="CM3000"/>
    </row>
    <row r="3001" spans="91:91">
      <c r="CM3001"/>
    </row>
    <row r="3002" spans="91:91">
      <c r="CM3002"/>
    </row>
    <row r="3003" spans="91:91">
      <c r="CM3003"/>
    </row>
    <row r="3004" spans="91:91">
      <c r="CM3004"/>
    </row>
    <row r="3005" spans="91:91">
      <c r="CM3005"/>
    </row>
    <row r="3006" spans="91:91">
      <c r="CM3006"/>
    </row>
    <row r="3007" spans="91:91">
      <c r="CM3007"/>
    </row>
    <row r="3008" spans="91:91">
      <c r="CM3008"/>
    </row>
    <row r="3009" spans="91:91">
      <c r="CM3009"/>
    </row>
    <row r="3010" spans="91:91">
      <c r="CM3010"/>
    </row>
    <row r="3011" spans="91:91">
      <c r="CM3011"/>
    </row>
    <row r="3012" spans="91:91">
      <c r="CM3012"/>
    </row>
    <row r="3013" spans="91:91">
      <c r="CM3013"/>
    </row>
    <row r="3014" spans="91:91">
      <c r="CM3014"/>
    </row>
    <row r="3015" spans="91:91">
      <c r="CM3015"/>
    </row>
    <row r="3016" spans="91:91">
      <c r="CM3016"/>
    </row>
    <row r="3017" spans="91:91">
      <c r="CM3017"/>
    </row>
    <row r="3018" spans="91:91">
      <c r="CM3018"/>
    </row>
    <row r="3019" spans="91:91">
      <c r="CM3019"/>
    </row>
    <row r="3020" spans="91:91">
      <c r="CM3020"/>
    </row>
    <row r="3021" spans="91:91">
      <c r="CM3021"/>
    </row>
    <row r="3022" spans="91:91">
      <c r="CM3022"/>
    </row>
    <row r="3023" spans="91:91">
      <c r="CM3023"/>
    </row>
    <row r="3024" spans="91:91">
      <c r="CM3024"/>
    </row>
    <row r="3025" spans="91:91">
      <c r="CM3025"/>
    </row>
    <row r="3026" spans="91:91">
      <c r="CM3026"/>
    </row>
    <row r="3027" spans="91:91">
      <c r="CM3027"/>
    </row>
    <row r="3028" spans="91:91">
      <c r="CM3028"/>
    </row>
    <row r="3029" spans="91:91">
      <c r="CM3029"/>
    </row>
    <row r="3030" spans="91:91">
      <c r="CM3030"/>
    </row>
    <row r="3031" spans="91:91">
      <c r="CM3031"/>
    </row>
    <row r="3032" spans="91:91">
      <c r="CM3032"/>
    </row>
    <row r="3033" spans="91:91">
      <c r="CM3033"/>
    </row>
    <row r="3034" spans="91:91">
      <c r="CM3034"/>
    </row>
    <row r="3035" spans="91:91">
      <c r="CM3035"/>
    </row>
    <row r="3036" spans="91:91">
      <c r="CM3036"/>
    </row>
    <row r="3037" spans="91:91">
      <c r="CM3037"/>
    </row>
    <row r="3038" spans="91:91">
      <c r="CM3038"/>
    </row>
    <row r="3039" spans="91:91">
      <c r="CM3039"/>
    </row>
    <row r="3040" spans="91:91">
      <c r="CM3040"/>
    </row>
    <row r="3041" spans="91:91">
      <c r="CM3041"/>
    </row>
    <row r="3042" spans="91:91">
      <c r="CM3042"/>
    </row>
    <row r="3043" spans="91:91">
      <c r="CM3043"/>
    </row>
    <row r="3044" spans="91:91">
      <c r="CM3044"/>
    </row>
    <row r="3045" spans="91:91">
      <c r="CM3045"/>
    </row>
    <row r="3046" spans="91:91">
      <c r="CM3046"/>
    </row>
    <row r="3047" spans="91:91">
      <c r="CM3047"/>
    </row>
    <row r="3048" spans="91:91">
      <c r="CM3048"/>
    </row>
    <row r="3049" spans="91:91">
      <c r="CM3049"/>
    </row>
    <row r="3050" spans="91:91">
      <c r="CM3050"/>
    </row>
    <row r="3051" spans="91:91">
      <c r="CM3051"/>
    </row>
    <row r="3052" spans="91:91">
      <c r="CM3052"/>
    </row>
    <row r="3053" spans="91:91">
      <c r="CM3053"/>
    </row>
    <row r="3054" spans="91:91">
      <c r="CM3054"/>
    </row>
    <row r="3055" spans="91:91">
      <c r="CM3055"/>
    </row>
    <row r="3056" spans="91:91">
      <c r="CM3056"/>
    </row>
    <row r="3057" spans="91:91">
      <c r="CM3057"/>
    </row>
    <row r="3058" spans="91:91">
      <c r="CM3058"/>
    </row>
    <row r="3059" spans="91:91">
      <c r="CM3059"/>
    </row>
    <row r="3060" spans="91:91">
      <c r="CM3060"/>
    </row>
    <row r="3061" spans="91:91">
      <c r="CM3061"/>
    </row>
    <row r="3062" spans="91:91">
      <c r="CM3062"/>
    </row>
    <row r="3063" spans="91:91">
      <c r="CM3063"/>
    </row>
    <row r="3064" spans="91:91">
      <c r="CM3064"/>
    </row>
    <row r="3065" spans="91:91">
      <c r="CM3065"/>
    </row>
    <row r="3066" spans="91:91">
      <c r="CM3066"/>
    </row>
    <row r="3067" spans="91:91">
      <c r="CM3067"/>
    </row>
    <row r="3068" spans="91:91">
      <c r="CM3068"/>
    </row>
    <row r="3069" spans="91:91">
      <c r="CM3069"/>
    </row>
    <row r="3070" spans="91:91">
      <c r="CM3070"/>
    </row>
    <row r="3071" spans="91:91">
      <c r="CM3071"/>
    </row>
    <row r="3072" spans="91:91">
      <c r="CM3072"/>
    </row>
    <row r="3073" spans="91:91">
      <c r="CM3073"/>
    </row>
    <row r="3074" spans="91:91">
      <c r="CM3074"/>
    </row>
    <row r="3075" spans="91:91">
      <c r="CM3075"/>
    </row>
    <row r="3076" spans="91:91">
      <c r="CM3076"/>
    </row>
    <row r="3077" spans="91:91">
      <c r="CM3077"/>
    </row>
    <row r="3078" spans="91:91">
      <c r="CM3078"/>
    </row>
    <row r="3079" spans="91:91">
      <c r="CM3079"/>
    </row>
    <row r="3080" spans="91:91">
      <c r="CM3080"/>
    </row>
    <row r="3081" spans="91:91">
      <c r="CM3081"/>
    </row>
    <row r="3082" spans="91:91">
      <c r="CM3082"/>
    </row>
    <row r="3083" spans="91:91">
      <c r="CM3083"/>
    </row>
    <row r="3084" spans="91:91">
      <c r="CM3084"/>
    </row>
    <row r="3085" spans="91:91">
      <c r="CM3085"/>
    </row>
    <row r="3086" spans="91:91">
      <c r="CM3086"/>
    </row>
    <row r="3087" spans="91:91">
      <c r="CM3087"/>
    </row>
    <row r="3088" spans="91:91">
      <c r="CM3088"/>
    </row>
    <row r="3089" spans="91:91">
      <c r="CM3089"/>
    </row>
    <row r="3090" spans="91:91">
      <c r="CM3090"/>
    </row>
    <row r="3091" spans="91:91">
      <c r="CM3091"/>
    </row>
    <row r="3092" spans="91:91">
      <c r="CM3092"/>
    </row>
    <row r="3093" spans="91:91">
      <c r="CM3093"/>
    </row>
    <row r="3094" spans="91:91">
      <c r="CM3094"/>
    </row>
    <row r="3095" spans="91:91">
      <c r="CM3095"/>
    </row>
    <row r="3096" spans="91:91">
      <c r="CM3096"/>
    </row>
    <row r="3097" spans="91:91">
      <c r="CM3097"/>
    </row>
    <row r="3098" spans="91:91">
      <c r="CM3098"/>
    </row>
    <row r="3099" spans="91:91">
      <c r="CM3099"/>
    </row>
    <row r="3100" spans="91:91">
      <c r="CM3100"/>
    </row>
    <row r="3101" spans="91:91">
      <c r="CM3101"/>
    </row>
    <row r="3102" spans="91:91">
      <c r="CM3102"/>
    </row>
    <row r="3103" spans="91:91">
      <c r="CM3103"/>
    </row>
    <row r="3104" spans="91:91">
      <c r="CM3104"/>
    </row>
    <row r="3105" spans="91:91">
      <c r="CM3105"/>
    </row>
    <row r="3106" spans="91:91">
      <c r="CM3106"/>
    </row>
    <row r="3107" spans="91:91">
      <c r="CM3107"/>
    </row>
    <row r="3108" spans="91:91">
      <c r="CM3108"/>
    </row>
    <row r="3109" spans="91:91">
      <c r="CM3109"/>
    </row>
    <row r="3110" spans="91:91">
      <c r="CM3110"/>
    </row>
    <row r="3111" spans="91:91">
      <c r="CM3111"/>
    </row>
    <row r="3112" spans="91:91">
      <c r="CM3112"/>
    </row>
    <row r="3113" spans="91:91">
      <c r="CM3113"/>
    </row>
    <row r="3114" spans="91:91">
      <c r="CM3114"/>
    </row>
    <row r="3115" spans="91:91">
      <c r="CM3115"/>
    </row>
    <row r="3116" spans="91:91">
      <c r="CM3116"/>
    </row>
    <row r="3117" spans="91:91">
      <c r="CM3117"/>
    </row>
    <row r="3118" spans="91:91">
      <c r="CM3118"/>
    </row>
    <row r="3119" spans="91:91">
      <c r="CM3119"/>
    </row>
    <row r="3120" spans="91:91">
      <c r="CM3120"/>
    </row>
    <row r="3121" spans="91:91">
      <c r="CM3121"/>
    </row>
    <row r="3122" spans="91:91">
      <c r="CM3122"/>
    </row>
    <row r="3123" spans="91:91">
      <c r="CM3123"/>
    </row>
    <row r="3124" spans="91:91">
      <c r="CM3124"/>
    </row>
    <row r="3125" spans="91:91">
      <c r="CM3125"/>
    </row>
    <row r="3126" spans="91:91">
      <c r="CM3126"/>
    </row>
    <row r="3127" spans="91:91">
      <c r="CM3127"/>
    </row>
    <row r="3128" spans="91:91">
      <c r="CM3128"/>
    </row>
    <row r="3129" spans="91:91">
      <c r="CM3129"/>
    </row>
    <row r="3130" spans="91:91">
      <c r="CM3130"/>
    </row>
    <row r="3131" spans="91:91">
      <c r="CM3131"/>
    </row>
    <row r="3132" spans="91:91">
      <c r="CM3132"/>
    </row>
    <row r="3133" spans="91:91">
      <c r="CM3133"/>
    </row>
    <row r="3134" spans="91:91">
      <c r="CM3134"/>
    </row>
    <row r="3135" spans="91:91">
      <c r="CM3135"/>
    </row>
    <row r="3136" spans="91:91">
      <c r="CM3136"/>
    </row>
    <row r="3137" spans="91:91">
      <c r="CM3137"/>
    </row>
    <row r="3138" spans="91:91">
      <c r="CM3138"/>
    </row>
    <row r="3139" spans="91:91">
      <c r="CM3139"/>
    </row>
    <row r="3140" spans="91:91">
      <c r="CM3140"/>
    </row>
    <row r="3141" spans="91:91">
      <c r="CM3141"/>
    </row>
    <row r="3142" spans="91:91">
      <c r="CM3142"/>
    </row>
    <row r="3143" spans="91:91">
      <c r="CM3143"/>
    </row>
    <row r="3144" spans="91:91">
      <c r="CM3144"/>
    </row>
    <row r="3145" spans="91:91">
      <c r="CM3145"/>
    </row>
    <row r="3146" spans="91:91">
      <c r="CM3146"/>
    </row>
    <row r="3147" spans="91:91">
      <c r="CM3147"/>
    </row>
    <row r="3148" spans="91:91">
      <c r="CM3148"/>
    </row>
    <row r="3149" spans="91:91">
      <c r="CM3149"/>
    </row>
    <row r="3150" spans="91:91">
      <c r="CM3150"/>
    </row>
    <row r="3151" spans="91:91">
      <c r="CM3151"/>
    </row>
    <row r="3152" spans="91:91">
      <c r="CM3152"/>
    </row>
    <row r="3153" spans="91:91">
      <c r="CM3153"/>
    </row>
    <row r="3154" spans="91:91">
      <c r="CM3154"/>
    </row>
    <row r="3155" spans="91:91">
      <c r="CM3155"/>
    </row>
    <row r="3156" spans="91:91">
      <c r="CM3156"/>
    </row>
    <row r="3157" spans="91:91">
      <c r="CM3157"/>
    </row>
    <row r="3158" spans="91:91">
      <c r="CM3158"/>
    </row>
    <row r="3159" spans="91:91">
      <c r="CM3159"/>
    </row>
    <row r="3160" spans="91:91">
      <c r="CM3160"/>
    </row>
    <row r="3161" spans="91:91">
      <c r="CM3161"/>
    </row>
    <row r="3162" spans="91:91">
      <c r="CM3162"/>
    </row>
    <row r="3163" spans="91:91">
      <c r="CM3163"/>
    </row>
    <row r="3164" spans="91:91">
      <c r="CM3164"/>
    </row>
    <row r="3165" spans="91:91">
      <c r="CM3165"/>
    </row>
    <row r="3166" spans="91:91">
      <c r="CM3166"/>
    </row>
    <row r="3167" spans="91:91">
      <c r="CM3167"/>
    </row>
    <row r="3168" spans="91:91">
      <c r="CM3168"/>
    </row>
    <row r="3169" spans="91:91">
      <c r="CM3169"/>
    </row>
    <row r="3170" spans="91:91">
      <c r="CM3170"/>
    </row>
    <row r="3171" spans="91:91">
      <c r="CM3171"/>
    </row>
    <row r="3172" spans="91:91">
      <c r="CM3172"/>
    </row>
    <row r="3173" spans="91:91">
      <c r="CM3173"/>
    </row>
    <row r="3174" spans="91:91">
      <c r="CM3174"/>
    </row>
    <row r="3175" spans="91:91">
      <c r="CM3175"/>
    </row>
    <row r="3176" spans="91:91">
      <c r="CM3176"/>
    </row>
    <row r="3177" spans="91:91">
      <c r="CM3177"/>
    </row>
    <row r="3178" spans="91:91">
      <c r="CM3178"/>
    </row>
    <row r="3179" spans="91:91">
      <c r="CM3179"/>
    </row>
    <row r="3180" spans="91:91">
      <c r="CM3180"/>
    </row>
    <row r="3181" spans="91:91">
      <c r="CM3181"/>
    </row>
    <row r="3182" spans="91:91">
      <c r="CM3182"/>
    </row>
    <row r="3183" spans="91:91">
      <c r="CM3183"/>
    </row>
    <row r="3184" spans="91:91">
      <c r="CM3184"/>
    </row>
    <row r="3185" spans="91:91">
      <c r="CM3185"/>
    </row>
    <row r="3186" spans="91:91">
      <c r="CM3186"/>
    </row>
    <row r="3187" spans="91:91">
      <c r="CM3187"/>
    </row>
    <row r="3188" spans="91:91">
      <c r="CM3188"/>
    </row>
    <row r="3189" spans="91:91">
      <c r="CM3189"/>
    </row>
    <row r="3190" spans="91:91">
      <c r="CM3190"/>
    </row>
    <row r="3191" spans="91:91">
      <c r="CM3191"/>
    </row>
    <row r="3192" spans="91:91">
      <c r="CM3192"/>
    </row>
    <row r="3193" spans="91:91">
      <c r="CM3193"/>
    </row>
    <row r="3194" spans="91:91">
      <c r="CM3194"/>
    </row>
    <row r="3195" spans="91:91">
      <c r="CM3195"/>
    </row>
    <row r="3196" spans="91:91">
      <c r="CM3196"/>
    </row>
    <row r="3197" spans="91:91">
      <c r="CM3197"/>
    </row>
    <row r="3198" spans="91:91">
      <c r="CM3198"/>
    </row>
    <row r="3199" spans="91:91">
      <c r="CM3199"/>
    </row>
    <row r="3200" spans="91:91">
      <c r="CM3200"/>
    </row>
    <row r="3201" spans="91:91">
      <c r="CM3201"/>
    </row>
    <row r="3202" spans="91:91">
      <c r="CM3202"/>
    </row>
    <row r="3203" spans="91:91">
      <c r="CM3203"/>
    </row>
    <row r="3204" spans="91:91">
      <c r="CM3204"/>
    </row>
    <row r="3205" spans="91:91">
      <c r="CM3205"/>
    </row>
    <row r="3206" spans="91:91">
      <c r="CM3206"/>
    </row>
    <row r="3207" spans="91:91">
      <c r="CM3207"/>
    </row>
    <row r="3208" spans="91:91">
      <c r="CM3208"/>
    </row>
    <row r="3209" spans="91:91">
      <c r="CM3209"/>
    </row>
    <row r="3210" spans="91:91">
      <c r="CM3210"/>
    </row>
    <row r="3211" spans="91:91">
      <c r="CM3211"/>
    </row>
    <row r="3212" spans="91:91">
      <c r="CM3212"/>
    </row>
    <row r="3213" spans="91:91">
      <c r="CM3213"/>
    </row>
    <row r="3214" spans="91:91">
      <c r="CM3214"/>
    </row>
    <row r="3215" spans="91:91">
      <c r="CM3215"/>
    </row>
    <row r="3216" spans="91:91">
      <c r="CM3216"/>
    </row>
    <row r="3217" spans="91:91">
      <c r="CM3217"/>
    </row>
    <row r="3218" spans="91:91">
      <c r="CM3218"/>
    </row>
    <row r="3219" spans="91:91">
      <c r="CM3219"/>
    </row>
    <row r="3220" spans="91:91">
      <c r="CM3220"/>
    </row>
    <row r="3221" spans="91:91">
      <c r="CM3221"/>
    </row>
    <row r="3222" spans="91:91">
      <c r="CM3222"/>
    </row>
    <row r="3223" spans="91:91">
      <c r="CM3223"/>
    </row>
    <row r="3224" spans="91:91">
      <c r="CM3224"/>
    </row>
    <row r="3225" spans="91:91">
      <c r="CM3225"/>
    </row>
    <row r="3226" spans="91:91">
      <c r="CM3226"/>
    </row>
    <row r="3227" spans="91:91">
      <c r="CM3227"/>
    </row>
    <row r="3228" spans="91:91">
      <c r="CM3228"/>
    </row>
    <row r="3229" spans="91:91">
      <c r="CM3229"/>
    </row>
    <row r="3230" spans="91:91">
      <c r="CM3230"/>
    </row>
    <row r="3231" spans="91:91">
      <c r="CM3231"/>
    </row>
    <row r="3232" spans="91:91">
      <c r="CM3232"/>
    </row>
    <row r="3233" spans="91:91">
      <c r="CM3233"/>
    </row>
    <row r="3234" spans="91:91">
      <c r="CM3234"/>
    </row>
    <row r="3235" spans="91:91">
      <c r="CM3235"/>
    </row>
    <row r="3236" spans="91:91">
      <c r="CM3236"/>
    </row>
    <row r="3237" spans="91:91">
      <c r="CM3237"/>
    </row>
    <row r="3238" spans="91:91">
      <c r="CM3238"/>
    </row>
    <row r="3239" spans="91:91">
      <c r="CM3239"/>
    </row>
    <row r="3240" spans="91:91">
      <c r="CM3240"/>
    </row>
    <row r="3241" spans="91:91">
      <c r="CM3241"/>
    </row>
    <row r="3242" spans="91:91">
      <c r="CM3242"/>
    </row>
    <row r="3243" spans="91:91">
      <c r="CM3243"/>
    </row>
    <row r="3244" spans="91:91">
      <c r="CM3244"/>
    </row>
    <row r="3245" spans="91:91">
      <c r="CM3245"/>
    </row>
    <row r="3246" spans="91:91">
      <c r="CM3246"/>
    </row>
    <row r="3247" spans="91:91">
      <c r="CM3247"/>
    </row>
    <row r="3248" spans="91:91">
      <c r="CM3248"/>
    </row>
    <row r="3249" spans="91:91">
      <c r="CM3249"/>
    </row>
    <row r="3250" spans="91:91">
      <c r="CM3250"/>
    </row>
    <row r="3251" spans="91:91">
      <c r="CM3251"/>
    </row>
    <row r="3252" spans="91:91">
      <c r="CM3252"/>
    </row>
    <row r="3253" spans="91:91">
      <c r="CM3253"/>
    </row>
    <row r="3254" spans="91:91">
      <c r="CM3254"/>
    </row>
    <row r="3255" spans="91:91">
      <c r="CM3255"/>
    </row>
    <row r="3256" spans="91:91">
      <c r="CM3256"/>
    </row>
    <row r="3257" spans="91:91">
      <c r="CM3257"/>
    </row>
    <row r="3258" spans="91:91">
      <c r="CM3258"/>
    </row>
    <row r="3259" spans="91:91">
      <c r="CM3259"/>
    </row>
    <row r="3260" spans="91:91">
      <c r="CM3260"/>
    </row>
    <row r="3261" spans="91:91">
      <c r="CM3261"/>
    </row>
    <row r="3262" spans="91:91">
      <c r="CM3262"/>
    </row>
    <row r="3263" spans="91:91">
      <c r="CM3263"/>
    </row>
    <row r="3264" spans="91:91">
      <c r="CM3264"/>
    </row>
    <row r="3265" spans="91:91">
      <c r="CM3265"/>
    </row>
    <row r="3266" spans="91:91">
      <c r="CM3266"/>
    </row>
    <row r="3267" spans="91:91">
      <c r="CM3267"/>
    </row>
    <row r="3268" spans="91:91">
      <c r="CM3268"/>
    </row>
    <row r="3269" spans="91:91">
      <c r="CM3269"/>
    </row>
    <row r="3270" spans="91:91">
      <c r="CM3270"/>
    </row>
    <row r="3271" spans="91:91">
      <c r="CM3271"/>
    </row>
    <row r="3272" spans="91:91">
      <c r="CM3272"/>
    </row>
    <row r="3273" spans="91:91">
      <c r="CM3273"/>
    </row>
    <row r="3274" spans="91:91">
      <c r="CM3274"/>
    </row>
    <row r="3275" spans="91:91">
      <c r="CM3275"/>
    </row>
    <row r="3276" spans="91:91">
      <c r="CM3276"/>
    </row>
    <row r="3277" spans="91:91">
      <c r="CM3277"/>
    </row>
    <row r="3278" spans="91:91">
      <c r="CM3278"/>
    </row>
    <row r="3279" spans="91:91">
      <c r="CM3279"/>
    </row>
    <row r="3280" spans="91:91">
      <c r="CM3280"/>
    </row>
    <row r="3281" spans="91:91">
      <c r="CM3281"/>
    </row>
    <row r="3282" spans="91:91">
      <c r="CM3282"/>
    </row>
    <row r="3283" spans="91:91">
      <c r="CM3283"/>
    </row>
    <row r="3284" spans="91:91">
      <c r="CM3284"/>
    </row>
    <row r="3285" spans="91:91">
      <c r="CM3285"/>
    </row>
    <row r="3286" spans="91:91">
      <c r="CM3286"/>
    </row>
    <row r="3287" spans="91:91">
      <c r="CM3287"/>
    </row>
    <row r="3288" spans="91:91">
      <c r="CM3288"/>
    </row>
    <row r="3289" spans="91:91">
      <c r="CM3289"/>
    </row>
    <row r="3290" spans="91:91">
      <c r="CM3290"/>
    </row>
    <row r="3291" spans="91:91">
      <c r="CM3291"/>
    </row>
    <row r="3292" spans="91:91">
      <c r="CM3292"/>
    </row>
    <row r="3293" spans="91:91">
      <c r="CM3293"/>
    </row>
    <row r="3294" spans="91:91">
      <c r="CM3294"/>
    </row>
    <row r="3295" spans="91:91">
      <c r="CM3295"/>
    </row>
    <row r="3296" spans="91:91">
      <c r="CM3296"/>
    </row>
    <row r="3297" spans="91:91">
      <c r="CM3297"/>
    </row>
    <row r="3298" spans="91:91">
      <c r="CM3298"/>
    </row>
    <row r="3299" spans="91:91">
      <c r="CM3299"/>
    </row>
    <row r="3300" spans="91:91">
      <c r="CM3300"/>
    </row>
    <row r="3301" spans="91:91">
      <c r="CM3301"/>
    </row>
    <row r="3302" spans="91:91">
      <c r="CM3302"/>
    </row>
    <row r="3303" spans="91:91">
      <c r="CM3303"/>
    </row>
    <row r="3304" spans="91:91">
      <c r="CM3304"/>
    </row>
    <row r="3305" spans="91:91">
      <c r="CM3305"/>
    </row>
    <row r="3306" spans="91:91">
      <c r="CM3306"/>
    </row>
    <row r="3307" spans="91:91">
      <c r="CM3307"/>
    </row>
    <row r="3308" spans="91:91">
      <c r="CM3308"/>
    </row>
    <row r="3309" spans="91:91">
      <c r="CM3309"/>
    </row>
    <row r="3310" spans="91:91">
      <c r="CM3310"/>
    </row>
    <row r="3311" spans="91:91">
      <c r="CM3311"/>
    </row>
    <row r="3312" spans="91:91">
      <c r="CM3312"/>
    </row>
    <row r="3313" spans="91:91">
      <c r="CM3313"/>
    </row>
    <row r="3314" spans="91:91">
      <c r="CM3314"/>
    </row>
    <row r="3315" spans="91:91">
      <c r="CM3315"/>
    </row>
    <row r="3316" spans="91:91">
      <c r="CM3316"/>
    </row>
    <row r="3317" spans="91:91">
      <c r="CM3317"/>
    </row>
    <row r="3318" spans="91:91">
      <c r="CM3318"/>
    </row>
    <row r="3319" spans="91:91">
      <c r="CM3319"/>
    </row>
    <row r="3320" spans="91:91">
      <c r="CM3320"/>
    </row>
    <row r="3321" spans="91:91">
      <c r="CM3321"/>
    </row>
    <row r="3322" spans="91:91">
      <c r="CM3322"/>
    </row>
    <row r="3323" spans="91:91">
      <c r="CM3323"/>
    </row>
    <row r="3324" spans="91:91">
      <c r="CM3324"/>
    </row>
    <row r="3325" spans="91:91">
      <c r="CM3325"/>
    </row>
    <row r="3326" spans="91:91">
      <c r="CM3326"/>
    </row>
    <row r="3327" spans="91:91">
      <c r="CM3327"/>
    </row>
    <row r="3328" spans="91:91">
      <c r="CM3328"/>
    </row>
    <row r="3329" spans="91:91">
      <c r="CM3329"/>
    </row>
    <row r="3330" spans="91:91">
      <c r="CM3330"/>
    </row>
    <row r="3331" spans="91:91">
      <c r="CM3331"/>
    </row>
    <row r="3332" spans="91:91">
      <c r="CM3332"/>
    </row>
    <row r="3333" spans="91:91">
      <c r="CM3333"/>
    </row>
    <row r="3334" spans="91:91">
      <c r="CM3334"/>
    </row>
    <row r="3335" spans="91:91">
      <c r="CM3335"/>
    </row>
    <row r="3336" spans="91:91">
      <c r="CM3336"/>
    </row>
    <row r="3337" spans="91:91">
      <c r="CM3337"/>
    </row>
    <row r="3338" spans="91:91">
      <c r="CM3338"/>
    </row>
    <row r="3339" spans="91:91">
      <c r="CM3339"/>
    </row>
    <row r="3340" spans="91:91">
      <c r="CM3340"/>
    </row>
    <row r="3341" spans="91:91">
      <c r="CM3341"/>
    </row>
    <row r="3342" spans="91:91">
      <c r="CM3342"/>
    </row>
    <row r="3343" spans="91:91">
      <c r="CM3343"/>
    </row>
    <row r="3344" spans="91:91">
      <c r="CM3344"/>
    </row>
    <row r="3345" spans="91:91">
      <c r="CM3345"/>
    </row>
    <row r="3346" spans="91:91">
      <c r="CM3346"/>
    </row>
    <row r="3347" spans="91:91">
      <c r="CM3347"/>
    </row>
    <row r="3348" spans="91:91">
      <c r="CM3348"/>
    </row>
    <row r="3349" spans="91:91">
      <c r="CM3349"/>
    </row>
    <row r="3350" spans="91:91">
      <c r="CM3350"/>
    </row>
    <row r="3351" spans="91:91">
      <c r="CM3351"/>
    </row>
    <row r="3352" spans="91:91">
      <c r="CM3352"/>
    </row>
    <row r="3353" spans="91:91">
      <c r="CM3353"/>
    </row>
    <row r="3354" spans="91:91">
      <c r="CM3354"/>
    </row>
    <row r="3355" spans="91:91">
      <c r="CM3355"/>
    </row>
    <row r="3356" spans="91:91">
      <c r="CM3356"/>
    </row>
    <row r="3357" spans="91:91">
      <c r="CM3357"/>
    </row>
    <row r="3358" spans="91:91">
      <c r="CM3358"/>
    </row>
    <row r="3359" spans="91:91">
      <c r="CM3359"/>
    </row>
    <row r="3360" spans="91:91">
      <c r="CM3360"/>
    </row>
    <row r="3361" spans="91:91">
      <c r="CM3361"/>
    </row>
    <row r="3362" spans="91:91">
      <c r="CM3362"/>
    </row>
    <row r="3363" spans="91:91">
      <c r="CM3363"/>
    </row>
    <row r="3364" spans="91:91">
      <c r="CM3364"/>
    </row>
    <row r="3365" spans="91:91">
      <c r="CM3365"/>
    </row>
    <row r="3366" spans="91:91">
      <c r="CM3366"/>
    </row>
    <row r="3367" spans="91:91">
      <c r="CM3367"/>
    </row>
    <row r="3368" spans="91:91">
      <c r="CM3368"/>
    </row>
    <row r="3369" spans="91:91">
      <c r="CM3369"/>
    </row>
    <row r="3370" spans="91:91">
      <c r="CM3370"/>
    </row>
    <row r="3371" spans="91:91">
      <c r="CM3371"/>
    </row>
    <row r="3372" spans="91:91">
      <c r="CM3372"/>
    </row>
    <row r="3373" spans="91:91">
      <c r="CM3373"/>
    </row>
    <row r="3374" spans="91:91">
      <c r="CM3374"/>
    </row>
    <row r="3375" spans="91:91">
      <c r="CM3375"/>
    </row>
    <row r="3376" spans="91:91">
      <c r="CM3376"/>
    </row>
    <row r="3377" spans="91:91">
      <c r="CM3377"/>
    </row>
    <row r="3378" spans="91:91">
      <c r="CM3378"/>
    </row>
    <row r="3379" spans="91:91">
      <c r="CM3379"/>
    </row>
    <row r="3380" spans="91:91">
      <c r="CM3380"/>
    </row>
    <row r="3381" spans="91:91">
      <c r="CM3381"/>
    </row>
    <row r="3382" spans="91:91">
      <c r="CM3382"/>
    </row>
    <row r="3383" spans="91:91">
      <c r="CM3383"/>
    </row>
    <row r="3384" spans="91:91">
      <c r="CM3384"/>
    </row>
    <row r="3385" spans="91:91">
      <c r="CM3385"/>
    </row>
    <row r="3386" spans="91:91">
      <c r="CM3386"/>
    </row>
    <row r="3387" spans="91:91">
      <c r="CM3387"/>
    </row>
    <row r="3388" spans="91:91">
      <c r="CM3388"/>
    </row>
    <row r="3389" spans="91:91">
      <c r="CM3389"/>
    </row>
    <row r="3390" spans="91:91">
      <c r="CM3390"/>
    </row>
    <row r="3391" spans="91:91">
      <c r="CM3391"/>
    </row>
    <row r="3392" spans="91:91">
      <c r="CM3392"/>
    </row>
    <row r="3393" spans="91:91">
      <c r="CM3393"/>
    </row>
    <row r="3394" spans="91:91">
      <c r="CM3394"/>
    </row>
    <row r="3395" spans="91:91">
      <c r="CM3395"/>
    </row>
    <row r="3396" spans="91:91">
      <c r="CM3396"/>
    </row>
    <row r="3397" spans="91:91">
      <c r="CM3397"/>
    </row>
    <row r="3398" spans="91:91">
      <c r="CM3398"/>
    </row>
    <row r="3399" spans="91:91">
      <c r="CM3399"/>
    </row>
    <row r="3400" spans="91:91">
      <c r="CM3400"/>
    </row>
    <row r="3401" spans="91:91">
      <c r="CM3401"/>
    </row>
    <row r="3402" spans="91:91">
      <c r="CM3402"/>
    </row>
    <row r="3403" spans="91:91">
      <c r="CM3403"/>
    </row>
    <row r="3404" spans="91:91">
      <c r="CM3404"/>
    </row>
    <row r="3405" spans="91:91">
      <c r="CM3405"/>
    </row>
    <row r="3406" spans="91:91">
      <c r="CM3406"/>
    </row>
    <row r="3407" spans="91:91">
      <c r="CM3407"/>
    </row>
    <row r="3408" spans="91:91">
      <c r="CM3408"/>
    </row>
    <row r="3409" spans="91:91">
      <c r="CM3409"/>
    </row>
    <row r="3410" spans="91:91">
      <c r="CM3410"/>
    </row>
    <row r="3411" spans="91:91">
      <c r="CM3411"/>
    </row>
    <row r="3412" spans="91:91">
      <c r="CM3412"/>
    </row>
    <row r="3413" spans="91:91">
      <c r="CM3413"/>
    </row>
    <row r="3414" spans="91:91">
      <c r="CM3414"/>
    </row>
    <row r="3415" spans="91:91">
      <c r="CM3415"/>
    </row>
    <row r="3416" spans="91:91">
      <c r="CM3416"/>
    </row>
    <row r="3417" spans="91:91">
      <c r="CM3417"/>
    </row>
    <row r="3418" spans="91:91">
      <c r="CM3418"/>
    </row>
    <row r="3419" spans="91:91">
      <c r="CM3419"/>
    </row>
    <row r="3420" spans="91:91">
      <c r="CM3420"/>
    </row>
    <row r="3421" spans="91:91">
      <c r="CM3421"/>
    </row>
    <row r="3422" spans="91:91">
      <c r="CM3422"/>
    </row>
    <row r="3423" spans="91:91">
      <c r="CM3423"/>
    </row>
    <row r="3424" spans="91:91">
      <c r="CM3424"/>
    </row>
    <row r="3425" spans="91:91">
      <c r="CM3425"/>
    </row>
    <row r="3426" spans="91:91">
      <c r="CM3426"/>
    </row>
    <row r="3427" spans="91:91">
      <c r="CM3427"/>
    </row>
    <row r="3428" spans="91:91">
      <c r="CM3428"/>
    </row>
    <row r="3429" spans="91:91">
      <c r="CM3429"/>
    </row>
    <row r="3430" spans="91:91">
      <c r="CM3430"/>
    </row>
    <row r="3431" spans="91:91">
      <c r="CM3431"/>
    </row>
    <row r="3432" spans="91:91">
      <c r="CM3432"/>
    </row>
    <row r="3433" spans="91:91">
      <c r="CM3433"/>
    </row>
    <row r="3434" spans="91:91">
      <c r="CM3434"/>
    </row>
    <row r="3435" spans="91:91">
      <c r="CM3435"/>
    </row>
    <row r="3436" spans="91:91">
      <c r="CM3436"/>
    </row>
    <row r="3437" spans="91:91">
      <c r="CM3437"/>
    </row>
    <row r="3438" spans="91:91">
      <c r="CM3438"/>
    </row>
    <row r="3439" spans="91:91">
      <c r="CM3439"/>
    </row>
    <row r="3440" spans="91:91">
      <c r="CM3440"/>
    </row>
    <row r="3441" spans="91:91">
      <c r="CM3441"/>
    </row>
    <row r="3442" spans="91:91">
      <c r="CM3442"/>
    </row>
    <row r="3443" spans="91:91">
      <c r="CM3443"/>
    </row>
    <row r="3444" spans="91:91">
      <c r="CM3444"/>
    </row>
    <row r="3445" spans="91:91">
      <c r="CM3445"/>
    </row>
    <row r="3446" spans="91:91">
      <c r="CM3446"/>
    </row>
    <row r="3447" spans="91:91">
      <c r="CM3447"/>
    </row>
    <row r="3448" spans="91:91">
      <c r="CM3448"/>
    </row>
    <row r="3449" spans="91:91">
      <c r="CM3449"/>
    </row>
    <row r="3450" spans="91:91">
      <c r="CM3450"/>
    </row>
    <row r="3451" spans="91:91">
      <c r="CM3451"/>
    </row>
    <row r="3452" spans="91:91">
      <c r="CM3452"/>
    </row>
    <row r="3453" spans="91:91">
      <c r="CM3453"/>
    </row>
    <row r="3454" spans="91:91">
      <c r="CM3454"/>
    </row>
    <row r="3455" spans="91:91">
      <c r="CM3455"/>
    </row>
    <row r="3456" spans="91:91">
      <c r="CM3456"/>
    </row>
    <row r="3457" spans="91:91">
      <c r="CM3457"/>
    </row>
    <row r="3458" spans="91:91">
      <c r="CM3458"/>
    </row>
    <row r="3459" spans="91:91">
      <c r="CM3459"/>
    </row>
    <row r="3460" spans="91:91">
      <c r="CM3460"/>
    </row>
    <row r="3461" spans="91:91">
      <c r="CM3461"/>
    </row>
    <row r="3462" spans="91:91">
      <c r="CM3462"/>
    </row>
    <row r="3463" spans="91:91">
      <c r="CM3463"/>
    </row>
    <row r="3464" spans="91:91">
      <c r="CM3464"/>
    </row>
    <row r="3465" spans="91:91">
      <c r="CM3465"/>
    </row>
    <row r="3466" spans="91:91">
      <c r="CM3466"/>
    </row>
    <row r="3467" spans="91:91">
      <c r="CM3467"/>
    </row>
    <row r="3468" spans="91:91">
      <c r="CM3468"/>
    </row>
    <row r="3469" spans="91:91">
      <c r="CM3469"/>
    </row>
    <row r="3470" spans="91:91">
      <c r="CM3470"/>
    </row>
    <row r="3471" spans="91:91">
      <c r="CM3471"/>
    </row>
    <row r="3472" spans="91:91">
      <c r="CM3472"/>
    </row>
    <row r="3473" spans="91:91">
      <c r="CM3473"/>
    </row>
    <row r="3474" spans="91:91">
      <c r="CM3474"/>
    </row>
    <row r="3475" spans="91:91">
      <c r="CM3475"/>
    </row>
    <row r="3476" spans="91:91">
      <c r="CM3476"/>
    </row>
    <row r="3477" spans="91:91">
      <c r="CM3477"/>
    </row>
    <row r="3478" spans="91:91">
      <c r="CM3478"/>
    </row>
    <row r="3479" spans="91:91">
      <c r="CM3479"/>
    </row>
    <row r="3480" spans="91:91">
      <c r="CM3480"/>
    </row>
    <row r="3481" spans="91:91">
      <c r="CM3481"/>
    </row>
    <row r="3482" spans="91:91">
      <c r="CM3482"/>
    </row>
    <row r="3483" spans="91:91">
      <c r="CM3483"/>
    </row>
    <row r="3484" spans="91:91">
      <c r="CM3484"/>
    </row>
    <row r="3485" spans="91:91">
      <c r="CM3485"/>
    </row>
    <row r="3486" spans="91:91">
      <c r="CM3486"/>
    </row>
    <row r="3487" spans="91:91">
      <c r="CM3487"/>
    </row>
    <row r="3488" spans="91:91">
      <c r="CM3488"/>
    </row>
    <row r="3489" spans="91:91">
      <c r="CM3489"/>
    </row>
    <row r="3490" spans="91:91">
      <c r="CM3490"/>
    </row>
    <row r="3491" spans="91:91">
      <c r="CM3491"/>
    </row>
    <row r="3492" spans="91:91">
      <c r="CM3492"/>
    </row>
    <row r="3493" spans="91:91">
      <c r="CM3493"/>
    </row>
    <row r="3494" spans="91:91">
      <c r="CM3494"/>
    </row>
    <row r="3495" spans="91:91">
      <c r="CM3495"/>
    </row>
    <row r="3496" spans="91:91">
      <c r="CM3496"/>
    </row>
    <row r="3497" spans="91:91">
      <c r="CM3497"/>
    </row>
    <row r="3498" spans="91:91">
      <c r="CM3498"/>
    </row>
    <row r="3499" spans="91:91">
      <c r="CM3499"/>
    </row>
    <row r="3500" spans="91:91">
      <c r="CM3500"/>
    </row>
    <row r="3501" spans="91:91">
      <c r="CM3501"/>
    </row>
    <row r="3502" spans="91:91">
      <c r="CM3502"/>
    </row>
    <row r="3503" spans="91:91">
      <c r="CM3503"/>
    </row>
    <row r="3504" spans="91:91">
      <c r="CM3504"/>
    </row>
    <row r="3505" spans="91:91">
      <c r="CM3505"/>
    </row>
    <row r="3506" spans="91:91">
      <c r="CM3506"/>
    </row>
    <row r="3507" spans="91:91">
      <c r="CM3507"/>
    </row>
    <row r="3508" spans="91:91">
      <c r="CM3508"/>
    </row>
    <row r="3509" spans="91:91">
      <c r="CM3509"/>
    </row>
    <row r="3510" spans="91:91">
      <c r="CM3510"/>
    </row>
    <row r="3511" spans="91:91">
      <c r="CM3511"/>
    </row>
    <row r="3512" spans="91:91">
      <c r="CM3512"/>
    </row>
    <row r="3513" spans="91:91">
      <c r="CM3513"/>
    </row>
    <row r="3514" spans="91:91">
      <c r="CM3514"/>
    </row>
    <row r="3515" spans="91:91">
      <c r="CM3515"/>
    </row>
    <row r="3516" spans="91:91">
      <c r="CM3516"/>
    </row>
    <row r="3517" spans="91:91">
      <c r="CM3517"/>
    </row>
    <row r="3518" spans="91:91">
      <c r="CM3518"/>
    </row>
    <row r="3519" spans="91:91">
      <c r="CM3519"/>
    </row>
    <row r="3520" spans="91:91">
      <c r="CM3520"/>
    </row>
    <row r="3521" spans="91:91">
      <c r="CM3521"/>
    </row>
    <row r="3522" spans="91:91">
      <c r="CM3522"/>
    </row>
    <row r="3523" spans="91:91">
      <c r="CM3523"/>
    </row>
    <row r="3524" spans="91:91">
      <c r="CM3524"/>
    </row>
    <row r="3525" spans="91:91">
      <c r="CM3525"/>
    </row>
    <row r="3526" spans="91:91">
      <c r="CM3526"/>
    </row>
    <row r="3527" spans="91:91">
      <c r="CM3527"/>
    </row>
    <row r="3528" spans="91:91">
      <c r="CM3528"/>
    </row>
    <row r="3529" spans="91:91">
      <c r="CM3529"/>
    </row>
    <row r="3530" spans="91:91">
      <c r="CM3530"/>
    </row>
    <row r="3531" spans="91:91">
      <c r="CM3531"/>
    </row>
    <row r="3532" spans="91:91">
      <c r="CM3532"/>
    </row>
    <row r="3533" spans="91:91">
      <c r="CM3533"/>
    </row>
    <row r="3534" spans="91:91">
      <c r="CM3534"/>
    </row>
    <row r="3535" spans="91:91">
      <c r="CM3535"/>
    </row>
    <row r="3536" spans="91:91">
      <c r="CM3536"/>
    </row>
    <row r="3537" spans="91:91">
      <c r="CM3537"/>
    </row>
    <row r="3538" spans="91:91">
      <c r="CM3538"/>
    </row>
    <row r="3539" spans="91:91">
      <c r="CM3539"/>
    </row>
    <row r="3540" spans="91:91">
      <c r="CM3540"/>
    </row>
    <row r="3541" spans="91:91">
      <c r="CM3541"/>
    </row>
    <row r="3542" spans="91:91">
      <c r="CM3542"/>
    </row>
    <row r="3543" spans="91:91">
      <c r="CM3543"/>
    </row>
    <row r="3544" spans="91:91">
      <c r="CM3544"/>
    </row>
    <row r="3545" spans="91:91">
      <c r="CM3545"/>
    </row>
    <row r="3546" spans="91:91">
      <c r="CM3546"/>
    </row>
    <row r="3547" spans="91:91">
      <c r="CM3547"/>
    </row>
    <row r="3548" spans="91:91">
      <c r="CM3548"/>
    </row>
    <row r="3549" spans="91:91">
      <c r="CM3549"/>
    </row>
    <row r="3550" spans="91:91">
      <c r="CM3550"/>
    </row>
    <row r="3551" spans="91:91">
      <c r="CM3551"/>
    </row>
    <row r="3552" spans="91:91">
      <c r="CM3552"/>
    </row>
    <row r="3553" spans="91:91">
      <c r="CM3553"/>
    </row>
    <row r="3554" spans="91:91">
      <c r="CM3554"/>
    </row>
    <row r="3555" spans="91:91">
      <c r="CM3555"/>
    </row>
    <row r="3556" spans="91:91">
      <c r="CM3556"/>
    </row>
    <row r="3557" spans="91:91">
      <c r="CM3557"/>
    </row>
    <row r="3558" spans="91:91">
      <c r="CM3558"/>
    </row>
    <row r="3559" spans="91:91">
      <c r="CM3559"/>
    </row>
    <row r="3560" spans="91:91">
      <c r="CM3560"/>
    </row>
    <row r="3561" spans="91:91">
      <c r="CM3561"/>
    </row>
    <row r="3562" spans="91:91">
      <c r="CM3562"/>
    </row>
    <row r="3563" spans="91:91">
      <c r="CM3563"/>
    </row>
    <row r="3564" spans="91:91">
      <c r="CM3564"/>
    </row>
    <row r="3565" spans="91:91">
      <c r="CM3565"/>
    </row>
    <row r="3566" spans="91:91">
      <c r="CM3566"/>
    </row>
    <row r="3567" spans="91:91">
      <c r="CM3567"/>
    </row>
    <row r="3568" spans="91:91">
      <c r="CM3568"/>
    </row>
    <row r="3569" spans="91:91">
      <c r="CM3569"/>
    </row>
    <row r="3570" spans="91:91">
      <c r="CM3570"/>
    </row>
    <row r="3571" spans="91:91">
      <c r="CM3571"/>
    </row>
    <row r="3572" spans="91:91">
      <c r="CM3572"/>
    </row>
    <row r="3573" spans="91:91">
      <c r="CM3573"/>
    </row>
    <row r="3574" spans="91:91">
      <c r="CM3574"/>
    </row>
    <row r="3575" spans="91:91">
      <c r="CM3575"/>
    </row>
    <row r="3576" spans="91:91">
      <c r="CM3576"/>
    </row>
    <row r="3577" spans="91:91">
      <c r="CM3577"/>
    </row>
    <row r="3578" spans="91:91">
      <c r="CM3578"/>
    </row>
    <row r="3579" spans="91:91">
      <c r="CM3579"/>
    </row>
    <row r="3580" spans="91:91">
      <c r="CM3580"/>
    </row>
    <row r="3581" spans="91:91">
      <c r="CM3581"/>
    </row>
    <row r="3582" spans="91:91">
      <c r="CM3582"/>
    </row>
    <row r="3583" spans="91:91">
      <c r="CM3583"/>
    </row>
    <row r="3584" spans="91:91">
      <c r="CM3584"/>
    </row>
    <row r="3585" spans="91:91">
      <c r="CM3585"/>
    </row>
    <row r="3586" spans="91:91">
      <c r="CM3586"/>
    </row>
    <row r="3587" spans="91:91">
      <c r="CM3587"/>
    </row>
    <row r="3588" spans="91:91">
      <c r="CM3588"/>
    </row>
    <row r="3589" spans="91:91">
      <c r="CM3589"/>
    </row>
    <row r="3590" spans="91:91">
      <c r="CM3590"/>
    </row>
    <row r="3591" spans="91:91">
      <c r="CM3591"/>
    </row>
    <row r="3592" spans="91:91">
      <c r="CM3592"/>
    </row>
    <row r="3593" spans="91:91">
      <c r="CM3593"/>
    </row>
    <row r="3594" spans="91:91">
      <c r="CM3594"/>
    </row>
    <row r="3595" spans="91:91">
      <c r="CM3595"/>
    </row>
    <row r="3596" spans="91:91">
      <c r="CM3596"/>
    </row>
    <row r="3597" spans="91:91">
      <c r="CM3597"/>
    </row>
    <row r="3598" spans="91:91">
      <c r="CM3598"/>
    </row>
    <row r="3599" spans="91:91">
      <c r="CM3599"/>
    </row>
    <row r="3600" spans="91:91">
      <c r="CM3600"/>
    </row>
    <row r="3601" spans="91:91">
      <c r="CM3601"/>
    </row>
    <row r="3602" spans="91:91">
      <c r="CM3602"/>
    </row>
    <row r="3603" spans="91:91">
      <c r="CM3603"/>
    </row>
    <row r="3604" spans="91:91">
      <c r="CM3604"/>
    </row>
    <row r="3605" spans="91:91">
      <c r="CM3605"/>
    </row>
    <row r="3606" spans="91:91">
      <c r="CM3606"/>
    </row>
    <row r="3607" spans="91:91">
      <c r="CM3607"/>
    </row>
    <row r="3608" spans="91:91">
      <c r="CM3608"/>
    </row>
    <row r="3609" spans="91:91">
      <c r="CM3609"/>
    </row>
    <row r="3610" spans="91:91">
      <c r="CM3610"/>
    </row>
    <row r="3611" spans="91:91">
      <c r="CM3611"/>
    </row>
    <row r="3612" spans="91:91">
      <c r="CM3612"/>
    </row>
    <row r="3613" spans="91:91">
      <c r="CM3613"/>
    </row>
    <row r="3614" spans="91:91">
      <c r="CM3614"/>
    </row>
    <row r="3615" spans="91:91">
      <c r="CM3615"/>
    </row>
    <row r="3616" spans="91:91">
      <c r="CM3616"/>
    </row>
    <row r="3617" spans="91:91">
      <c r="CM3617"/>
    </row>
    <row r="3618" spans="91:91">
      <c r="CM3618"/>
    </row>
    <row r="3619" spans="91:91">
      <c r="CM3619"/>
    </row>
    <row r="3620" spans="91:91">
      <c r="CM3620"/>
    </row>
    <row r="3621" spans="91:91">
      <c r="CM3621"/>
    </row>
    <row r="3622" spans="91:91">
      <c r="CM3622"/>
    </row>
    <row r="3623" spans="91:91">
      <c r="CM3623"/>
    </row>
    <row r="3624" spans="91:91">
      <c r="CM3624"/>
    </row>
    <row r="3625" spans="91:91">
      <c r="CM3625"/>
    </row>
    <row r="3626" spans="91:91">
      <c r="CM3626"/>
    </row>
    <row r="3627" spans="91:91">
      <c r="CM3627"/>
    </row>
    <row r="3628" spans="91:91">
      <c r="CM3628"/>
    </row>
    <row r="3629" spans="91:91">
      <c r="CM3629"/>
    </row>
    <row r="3630" spans="91:91">
      <c r="CM3630"/>
    </row>
    <row r="3631" spans="91:91">
      <c r="CM3631"/>
    </row>
    <row r="3632" spans="91:91">
      <c r="CM3632"/>
    </row>
    <row r="3633" spans="91:91">
      <c r="CM3633"/>
    </row>
    <row r="3634" spans="91:91">
      <c r="CM3634"/>
    </row>
    <row r="3635" spans="91:91">
      <c r="CM3635"/>
    </row>
    <row r="3636" spans="91:91">
      <c r="CM3636"/>
    </row>
    <row r="3637" spans="91:91">
      <c r="CM3637"/>
    </row>
    <row r="3638" spans="91:91">
      <c r="CM3638"/>
    </row>
    <row r="3639" spans="91:91">
      <c r="CM3639"/>
    </row>
    <row r="3640" spans="91:91">
      <c r="CM3640"/>
    </row>
    <row r="3641" spans="91:91">
      <c r="CM3641"/>
    </row>
    <row r="3642" spans="91:91">
      <c r="CM3642"/>
    </row>
    <row r="3643" spans="91:91">
      <c r="CM3643"/>
    </row>
    <row r="3644" spans="91:91">
      <c r="CM3644"/>
    </row>
    <row r="3645" spans="91:91">
      <c r="CM3645"/>
    </row>
    <row r="3646" spans="91:91">
      <c r="CM3646"/>
    </row>
    <row r="3647" spans="91:91">
      <c r="CM3647"/>
    </row>
    <row r="3648" spans="91:91">
      <c r="CM3648"/>
    </row>
    <row r="3649" spans="91:91">
      <c r="CM3649"/>
    </row>
    <row r="3650" spans="91:91">
      <c r="CM3650"/>
    </row>
    <row r="3651" spans="91:91">
      <c r="CM3651"/>
    </row>
    <row r="3652" spans="91:91">
      <c r="CM3652"/>
    </row>
    <row r="3653" spans="91:91">
      <c r="CM3653"/>
    </row>
    <row r="3654" spans="91:91">
      <c r="CM3654"/>
    </row>
    <row r="3655" spans="91:91">
      <c r="CM3655"/>
    </row>
    <row r="3656" spans="91:91">
      <c r="CM3656"/>
    </row>
    <row r="3657" spans="91:91">
      <c r="CM3657"/>
    </row>
    <row r="3658" spans="91:91">
      <c r="CM3658"/>
    </row>
    <row r="3659" spans="91:91">
      <c r="CM3659"/>
    </row>
    <row r="3660" spans="91:91">
      <c r="CM3660"/>
    </row>
    <row r="3661" spans="91:91">
      <c r="CM3661"/>
    </row>
    <row r="3662" spans="91:91">
      <c r="CM3662"/>
    </row>
    <row r="3663" spans="91:91">
      <c r="CM3663"/>
    </row>
    <row r="3664" spans="91:91">
      <c r="CM3664"/>
    </row>
    <row r="3665" spans="91:91">
      <c r="CM3665"/>
    </row>
    <row r="3666" spans="91:91">
      <c r="CM3666"/>
    </row>
    <row r="3667" spans="91:91">
      <c r="CM3667"/>
    </row>
    <row r="3668" spans="91:91">
      <c r="CM3668"/>
    </row>
    <row r="3669" spans="91:91">
      <c r="CM3669"/>
    </row>
    <row r="3670" spans="91:91">
      <c r="CM3670"/>
    </row>
    <row r="3671" spans="91:91">
      <c r="CM3671"/>
    </row>
    <row r="3672" spans="91:91">
      <c r="CM3672"/>
    </row>
    <row r="3673" spans="91:91">
      <c r="CM3673"/>
    </row>
    <row r="3674" spans="91:91">
      <c r="CM3674"/>
    </row>
    <row r="3675" spans="91:91">
      <c r="CM3675"/>
    </row>
    <row r="3676" spans="91:91">
      <c r="CM3676"/>
    </row>
    <row r="3677" spans="91:91">
      <c r="CM3677"/>
    </row>
    <row r="3678" spans="91:91">
      <c r="CM3678"/>
    </row>
    <row r="3679" spans="91:91">
      <c r="CM3679"/>
    </row>
    <row r="3680" spans="91:91">
      <c r="CM3680"/>
    </row>
    <row r="3681" spans="91:91">
      <c r="CM3681"/>
    </row>
    <row r="3682" spans="91:91">
      <c r="CM3682"/>
    </row>
    <row r="3683" spans="91:91">
      <c r="CM3683"/>
    </row>
    <row r="3684" spans="91:91">
      <c r="CM3684"/>
    </row>
    <row r="3685" spans="91:91">
      <c r="CM3685"/>
    </row>
    <row r="3686" spans="91:91">
      <c r="CM3686"/>
    </row>
    <row r="3687" spans="91:91">
      <c r="CM3687"/>
    </row>
    <row r="3688" spans="91:91">
      <c r="CM3688"/>
    </row>
    <row r="3689" spans="91:91">
      <c r="CM3689"/>
    </row>
    <row r="3690" spans="91:91">
      <c r="CM3690"/>
    </row>
    <row r="3691" spans="91:91">
      <c r="CM3691"/>
    </row>
    <row r="3692" spans="91:91">
      <c r="CM3692"/>
    </row>
    <row r="3693" spans="91:91">
      <c r="CM3693"/>
    </row>
    <row r="3694" spans="91:91">
      <c r="CM3694"/>
    </row>
    <row r="3695" spans="91:91">
      <c r="CM3695"/>
    </row>
    <row r="3696" spans="91:91">
      <c r="CM3696"/>
    </row>
    <row r="3697" spans="91:91">
      <c r="CM3697"/>
    </row>
    <row r="3698" spans="91:91">
      <c r="CM3698"/>
    </row>
    <row r="3699" spans="91:91">
      <c r="CM3699"/>
    </row>
    <row r="3700" spans="91:91">
      <c r="CM3700"/>
    </row>
    <row r="3701" spans="91:91">
      <c r="CM3701"/>
    </row>
    <row r="3702" spans="91:91">
      <c r="CM3702"/>
    </row>
    <row r="3703" spans="91:91">
      <c r="CM3703"/>
    </row>
    <row r="3704" spans="91:91">
      <c r="CM3704"/>
    </row>
    <row r="3705" spans="91:91">
      <c r="CM3705"/>
    </row>
    <row r="3706" spans="91:91">
      <c r="CM3706"/>
    </row>
    <row r="3707" spans="91:91">
      <c r="CM3707"/>
    </row>
    <row r="3708" spans="91:91">
      <c r="CM3708"/>
    </row>
    <row r="3709" spans="91:91">
      <c r="CM3709"/>
    </row>
    <row r="3710" spans="91:91">
      <c r="CM3710"/>
    </row>
    <row r="3711" spans="91:91">
      <c r="CM3711"/>
    </row>
    <row r="3712" spans="91:91">
      <c r="CM3712"/>
    </row>
    <row r="3713" spans="91:91">
      <c r="CM3713"/>
    </row>
    <row r="3714" spans="91:91">
      <c r="CM3714"/>
    </row>
    <row r="3715" spans="91:91">
      <c r="CM3715"/>
    </row>
    <row r="3716" spans="91:91">
      <c r="CM3716"/>
    </row>
    <row r="3717" spans="91:91">
      <c r="CM3717"/>
    </row>
    <row r="3718" spans="91:91">
      <c r="CM3718"/>
    </row>
    <row r="3719" spans="91:91">
      <c r="CM3719"/>
    </row>
    <row r="3720" spans="91:91">
      <c r="CM3720"/>
    </row>
    <row r="3721" spans="91:91">
      <c r="CM3721"/>
    </row>
    <row r="3722" spans="91:91">
      <c r="CM3722"/>
    </row>
    <row r="3723" spans="91:91">
      <c r="CM3723"/>
    </row>
    <row r="3724" spans="91:91">
      <c r="CM3724"/>
    </row>
    <row r="3725" spans="91:91">
      <c r="CM3725"/>
    </row>
    <row r="3726" spans="91:91">
      <c r="CM3726"/>
    </row>
    <row r="3727" spans="91:91">
      <c r="CM3727"/>
    </row>
    <row r="3728" spans="91:91">
      <c r="CM3728"/>
    </row>
    <row r="3729" spans="91:91">
      <c r="CM3729"/>
    </row>
    <row r="3730" spans="91:91">
      <c r="CM3730"/>
    </row>
    <row r="3731" spans="91:91">
      <c r="CM3731"/>
    </row>
    <row r="3732" spans="91:91">
      <c r="CM3732"/>
    </row>
    <row r="3733" spans="91:91">
      <c r="CM3733"/>
    </row>
    <row r="3734" spans="91:91">
      <c r="CM3734"/>
    </row>
    <row r="3735" spans="91:91">
      <c r="CM3735"/>
    </row>
    <row r="3736" spans="91:91">
      <c r="CM3736"/>
    </row>
    <row r="3737" spans="91:91">
      <c r="CM3737"/>
    </row>
    <row r="3738" spans="91:91">
      <c r="CM3738"/>
    </row>
    <row r="3739" spans="91:91">
      <c r="CM3739"/>
    </row>
    <row r="3740" spans="91:91">
      <c r="CM3740"/>
    </row>
    <row r="3741" spans="91:91">
      <c r="CM3741"/>
    </row>
    <row r="3742" spans="91:91">
      <c r="CM3742"/>
    </row>
    <row r="3743" spans="91:91">
      <c r="CM3743"/>
    </row>
    <row r="3744" spans="91:91">
      <c r="CM3744"/>
    </row>
    <row r="3745" spans="91:91">
      <c r="CM3745"/>
    </row>
    <row r="3746" spans="91:91">
      <c r="CM3746"/>
    </row>
    <row r="3747" spans="91:91">
      <c r="CM3747"/>
    </row>
    <row r="3748" spans="91:91">
      <c r="CM3748"/>
    </row>
    <row r="3749" spans="91:91">
      <c r="CM3749"/>
    </row>
    <row r="3750" spans="91:91">
      <c r="CM3750"/>
    </row>
    <row r="3751" spans="91:91">
      <c r="CM3751"/>
    </row>
    <row r="3752" spans="91:91">
      <c r="CM3752"/>
    </row>
    <row r="3753" spans="91:91">
      <c r="CM3753"/>
    </row>
    <row r="3754" spans="91:91">
      <c r="CM3754"/>
    </row>
    <row r="3755" spans="91:91">
      <c r="CM3755"/>
    </row>
    <row r="3756" spans="91:91">
      <c r="CM3756"/>
    </row>
    <row r="3757" spans="91:91">
      <c r="CM3757"/>
    </row>
    <row r="3758" spans="91:91">
      <c r="CM3758"/>
    </row>
    <row r="3759" spans="91:91">
      <c r="CM3759"/>
    </row>
    <row r="3760" spans="91:91">
      <c r="CM3760"/>
    </row>
    <row r="3761" spans="91:91">
      <c r="CM3761"/>
    </row>
    <row r="3762" spans="91:91">
      <c r="CM3762"/>
    </row>
    <row r="3763" spans="91:91">
      <c r="CM3763"/>
    </row>
    <row r="3764" spans="91:91">
      <c r="CM3764"/>
    </row>
    <row r="3765" spans="91:91">
      <c r="CM3765"/>
    </row>
    <row r="3766" spans="91:91">
      <c r="CM3766"/>
    </row>
    <row r="3767" spans="91:91">
      <c r="CM3767"/>
    </row>
    <row r="3768" spans="91:91">
      <c r="CM3768"/>
    </row>
    <row r="3769" spans="91:91">
      <c r="CM3769"/>
    </row>
    <row r="3770" spans="91:91">
      <c r="CM3770"/>
    </row>
    <row r="3771" spans="91:91">
      <c r="CM3771"/>
    </row>
    <row r="3772" spans="91:91">
      <c r="CM3772"/>
    </row>
    <row r="3773" spans="91:91">
      <c r="CM3773"/>
    </row>
    <row r="3774" spans="91:91">
      <c r="CM3774"/>
    </row>
    <row r="3775" spans="91:91">
      <c r="CM3775"/>
    </row>
    <row r="3776" spans="91:91">
      <c r="CM3776"/>
    </row>
    <row r="3777" spans="91:91">
      <c r="CM3777"/>
    </row>
    <row r="3778" spans="91:91">
      <c r="CM3778"/>
    </row>
    <row r="3779" spans="91:91">
      <c r="CM3779"/>
    </row>
    <row r="3780" spans="91:91">
      <c r="CM3780"/>
    </row>
    <row r="3781" spans="91:91">
      <c r="CM3781"/>
    </row>
    <row r="3782" spans="91:91">
      <c r="CM3782"/>
    </row>
    <row r="3783" spans="91:91">
      <c r="CM3783"/>
    </row>
    <row r="3784" spans="91:91">
      <c r="CM3784"/>
    </row>
    <row r="3785" spans="91:91">
      <c r="CM3785"/>
    </row>
    <row r="3786" spans="91:91">
      <c r="CM3786"/>
    </row>
    <row r="3787" spans="91:91">
      <c r="CM3787"/>
    </row>
    <row r="3788" spans="91:91">
      <c r="CM3788"/>
    </row>
    <row r="3789" spans="91:91">
      <c r="CM3789"/>
    </row>
    <row r="3790" spans="91:91">
      <c r="CM3790"/>
    </row>
    <row r="3791" spans="91:91">
      <c r="CM3791"/>
    </row>
    <row r="3792" spans="91:91">
      <c r="CM3792"/>
    </row>
    <row r="3793" spans="91:91">
      <c r="CM3793"/>
    </row>
    <row r="3794" spans="91:91">
      <c r="CM3794"/>
    </row>
    <row r="3795" spans="91:91">
      <c r="CM3795"/>
    </row>
    <row r="3796" spans="91:91">
      <c r="CM3796"/>
    </row>
    <row r="3797" spans="91:91">
      <c r="CM3797"/>
    </row>
    <row r="3798" spans="91:91">
      <c r="CM3798"/>
    </row>
    <row r="3799" spans="91:91">
      <c r="CM3799"/>
    </row>
    <row r="3800" spans="91:91">
      <c r="CM3800"/>
    </row>
    <row r="3801" spans="91:91">
      <c r="CM3801"/>
    </row>
    <row r="3802" spans="91:91">
      <c r="CM3802"/>
    </row>
    <row r="3803" spans="91:91">
      <c r="CM3803"/>
    </row>
    <row r="3804" spans="91:91">
      <c r="CM3804"/>
    </row>
    <row r="3805" spans="91:91">
      <c r="CM3805"/>
    </row>
    <row r="3806" spans="91:91">
      <c r="CM3806"/>
    </row>
    <row r="3807" spans="91:91">
      <c r="CM3807"/>
    </row>
    <row r="3808" spans="91:91">
      <c r="CM3808"/>
    </row>
    <row r="3809" spans="91:91">
      <c r="CM3809"/>
    </row>
    <row r="3810" spans="91:91">
      <c r="CM3810"/>
    </row>
    <row r="3811" spans="91:91">
      <c r="CM3811"/>
    </row>
    <row r="3812" spans="91:91">
      <c r="CM3812"/>
    </row>
    <row r="3813" spans="91:91">
      <c r="CM3813"/>
    </row>
    <row r="3814" spans="91:91">
      <c r="CM3814"/>
    </row>
    <row r="3815" spans="91:91">
      <c r="CM3815"/>
    </row>
    <row r="3816" spans="91:91">
      <c r="CM3816"/>
    </row>
    <row r="3817" spans="91:91">
      <c r="CM3817"/>
    </row>
    <row r="3818" spans="91:91">
      <c r="CM3818"/>
    </row>
    <row r="3819" spans="91:91">
      <c r="CM3819"/>
    </row>
    <row r="3820" spans="91:91">
      <c r="CM3820"/>
    </row>
    <row r="3821" spans="91:91">
      <c r="CM3821"/>
    </row>
    <row r="3822" spans="91:91">
      <c r="CM3822"/>
    </row>
    <row r="3823" spans="91:91">
      <c r="CM3823"/>
    </row>
    <row r="3824" spans="91:91">
      <c r="CM3824"/>
    </row>
    <row r="3825" spans="91:91">
      <c r="CM3825"/>
    </row>
    <row r="3826" spans="91:91">
      <c r="CM3826"/>
    </row>
    <row r="3827" spans="91:91">
      <c r="CM3827"/>
    </row>
    <row r="3828" spans="91:91">
      <c r="CM3828"/>
    </row>
    <row r="3829" spans="91:91">
      <c r="CM3829"/>
    </row>
    <row r="3830" spans="91:91">
      <c r="CM3830"/>
    </row>
    <row r="3831" spans="91:91">
      <c r="CM3831"/>
    </row>
    <row r="3832" spans="91:91">
      <c r="CM3832"/>
    </row>
    <row r="3833" spans="91:91">
      <c r="CM3833"/>
    </row>
    <row r="3834" spans="91:91">
      <c r="CM3834"/>
    </row>
    <row r="3835" spans="91:91">
      <c r="CM3835"/>
    </row>
    <row r="3836" spans="91:91">
      <c r="CM3836"/>
    </row>
    <row r="3837" spans="91:91">
      <c r="CM3837"/>
    </row>
    <row r="3838" spans="91:91">
      <c r="CM3838"/>
    </row>
    <row r="3839" spans="91:91">
      <c r="CM3839"/>
    </row>
    <row r="3840" spans="91:91">
      <c r="CM3840"/>
    </row>
    <row r="3841" spans="91:91">
      <c r="CM3841"/>
    </row>
    <row r="3842" spans="91:91">
      <c r="CM3842"/>
    </row>
    <row r="3843" spans="91:91">
      <c r="CM3843"/>
    </row>
    <row r="3844" spans="91:91">
      <c r="CM3844"/>
    </row>
    <row r="3845" spans="91:91">
      <c r="CM3845"/>
    </row>
    <row r="3846" spans="91:91">
      <c r="CM3846"/>
    </row>
    <row r="3847" spans="91:91">
      <c r="CM3847"/>
    </row>
    <row r="3848" spans="91:91">
      <c r="CM3848"/>
    </row>
    <row r="3849" spans="91:91">
      <c r="CM3849"/>
    </row>
    <row r="3850" spans="91:91">
      <c r="CM3850"/>
    </row>
    <row r="3851" spans="91:91">
      <c r="CM3851"/>
    </row>
    <row r="3852" spans="91:91">
      <c r="CM3852"/>
    </row>
    <row r="3853" spans="91:91">
      <c r="CM3853"/>
    </row>
    <row r="3854" spans="91:91">
      <c r="CM3854"/>
    </row>
    <row r="3855" spans="91:91">
      <c r="CM3855"/>
    </row>
    <row r="3856" spans="91:91">
      <c r="CM3856"/>
    </row>
    <row r="3857" spans="91:91">
      <c r="CM3857"/>
    </row>
    <row r="3858" spans="91:91">
      <c r="CM3858"/>
    </row>
    <row r="3859" spans="91:91">
      <c r="CM3859"/>
    </row>
    <row r="3860" spans="91:91">
      <c r="CM3860"/>
    </row>
    <row r="3861" spans="91:91">
      <c r="CM3861"/>
    </row>
    <row r="3862" spans="91:91">
      <c r="CM3862"/>
    </row>
    <row r="3863" spans="91:91">
      <c r="CM3863"/>
    </row>
    <row r="3864" spans="91:91">
      <c r="CM3864"/>
    </row>
    <row r="3865" spans="91:91">
      <c r="CM3865"/>
    </row>
    <row r="3866" spans="91:91">
      <c r="CM3866"/>
    </row>
    <row r="3867" spans="91:91">
      <c r="CM3867"/>
    </row>
    <row r="3868" spans="91:91">
      <c r="CM3868"/>
    </row>
    <row r="3869" spans="91:91">
      <c r="CM3869"/>
    </row>
    <row r="3870" spans="91:91">
      <c r="CM3870"/>
    </row>
    <row r="3871" spans="91:91">
      <c r="CM3871"/>
    </row>
    <row r="3872" spans="91:91">
      <c r="CM3872"/>
    </row>
    <row r="3873" spans="91:91">
      <c r="CM3873"/>
    </row>
    <row r="3874" spans="91:91">
      <c r="CM3874"/>
    </row>
    <row r="3875" spans="91:91">
      <c r="CM3875"/>
    </row>
    <row r="3876" spans="91:91">
      <c r="CM3876"/>
    </row>
    <row r="3877" spans="91:91">
      <c r="CM3877"/>
    </row>
    <row r="3878" spans="91:91">
      <c r="CM3878"/>
    </row>
    <row r="3879" spans="91:91">
      <c r="CM3879"/>
    </row>
    <row r="3880" spans="91:91">
      <c r="CM3880"/>
    </row>
    <row r="3881" spans="91:91">
      <c r="CM3881"/>
    </row>
    <row r="3882" spans="91:91">
      <c r="CM3882"/>
    </row>
    <row r="3883" spans="91:91">
      <c r="CM3883"/>
    </row>
    <row r="3884" spans="91:91">
      <c r="CM3884"/>
    </row>
    <row r="3885" spans="91:91">
      <c r="CM3885"/>
    </row>
    <row r="3886" spans="91:91">
      <c r="CM3886"/>
    </row>
    <row r="3887" spans="91:91">
      <c r="CM3887"/>
    </row>
    <row r="3888" spans="91:91">
      <c r="CM3888"/>
    </row>
    <row r="3889" spans="91:91">
      <c r="CM3889"/>
    </row>
    <row r="3890" spans="91:91">
      <c r="CM3890"/>
    </row>
    <row r="3891" spans="91:91">
      <c r="CM3891"/>
    </row>
    <row r="3892" spans="91:91">
      <c r="CM3892"/>
    </row>
    <row r="3893" spans="91:91">
      <c r="CM3893"/>
    </row>
    <row r="3894" spans="91:91">
      <c r="CM3894"/>
    </row>
    <row r="3895" spans="91:91">
      <c r="CM3895"/>
    </row>
    <row r="3896" spans="91:91">
      <c r="CM3896"/>
    </row>
    <row r="3897" spans="91:91">
      <c r="CM3897"/>
    </row>
    <row r="3898" spans="91:91">
      <c r="CM3898"/>
    </row>
    <row r="3899" spans="91:91">
      <c r="CM3899"/>
    </row>
    <row r="3900" spans="91:91">
      <c r="CM3900"/>
    </row>
    <row r="3901" spans="91:91">
      <c r="CM3901"/>
    </row>
    <row r="3902" spans="91:91">
      <c r="CM3902"/>
    </row>
    <row r="3903" spans="91:91">
      <c r="CM3903"/>
    </row>
    <row r="3904" spans="91:91">
      <c r="CM3904"/>
    </row>
    <row r="3905" spans="91:91">
      <c r="CM3905"/>
    </row>
    <row r="3906" spans="91:91">
      <c r="CM3906"/>
    </row>
    <row r="3907" spans="91:91">
      <c r="CM3907"/>
    </row>
    <row r="3908" spans="91:91">
      <c r="CM3908"/>
    </row>
    <row r="3909" spans="91:91">
      <c r="CM3909"/>
    </row>
    <row r="3910" spans="91:91">
      <c r="CM3910"/>
    </row>
    <row r="3911" spans="91:91">
      <c r="CM3911"/>
    </row>
    <row r="3912" spans="91:91">
      <c r="CM3912"/>
    </row>
    <row r="3913" spans="91:91">
      <c r="CM3913"/>
    </row>
    <row r="3914" spans="91:91">
      <c r="CM3914"/>
    </row>
    <row r="3915" spans="91:91">
      <c r="CM3915"/>
    </row>
    <row r="3916" spans="91:91">
      <c r="CM3916"/>
    </row>
    <row r="3917" spans="91:91">
      <c r="CM3917"/>
    </row>
    <row r="3918" spans="91:91">
      <c r="CM3918"/>
    </row>
    <row r="3919" spans="91:91">
      <c r="CM3919"/>
    </row>
    <row r="3920" spans="91:91">
      <c r="CM3920"/>
    </row>
    <row r="3921" spans="91:91">
      <c r="CM3921"/>
    </row>
    <row r="3922" spans="91:91">
      <c r="CM3922"/>
    </row>
    <row r="3923" spans="91:91">
      <c r="CM3923"/>
    </row>
    <row r="3924" spans="91:91">
      <c r="CM3924"/>
    </row>
    <row r="3925" spans="91:91">
      <c r="CM3925"/>
    </row>
    <row r="3926" spans="91:91">
      <c r="CM3926"/>
    </row>
    <row r="3927" spans="91:91">
      <c r="CM3927"/>
    </row>
    <row r="3928" spans="91:91">
      <c r="CM3928"/>
    </row>
    <row r="3929" spans="91:91">
      <c r="CM3929"/>
    </row>
    <row r="3930" spans="91:91">
      <c r="CM3930"/>
    </row>
    <row r="3931" spans="91:91">
      <c r="CM3931"/>
    </row>
    <row r="3932" spans="91:91">
      <c r="CM3932"/>
    </row>
    <row r="3933" spans="91:91">
      <c r="CM3933"/>
    </row>
    <row r="3934" spans="91:91">
      <c r="CM3934"/>
    </row>
    <row r="3935" spans="91:91">
      <c r="CM3935"/>
    </row>
    <row r="3936" spans="91:91">
      <c r="CM3936"/>
    </row>
    <row r="3937" spans="91:91">
      <c r="CM3937"/>
    </row>
    <row r="3938" spans="91:91">
      <c r="CM3938"/>
    </row>
    <row r="3939" spans="91:91">
      <c r="CM3939"/>
    </row>
    <row r="3940" spans="91:91">
      <c r="CM3940"/>
    </row>
    <row r="3941" spans="91:91">
      <c r="CM3941"/>
    </row>
    <row r="3942" spans="91:91">
      <c r="CM3942"/>
    </row>
    <row r="3943" spans="91:91">
      <c r="CM3943"/>
    </row>
    <row r="3944" spans="91:91">
      <c r="CM3944"/>
    </row>
    <row r="3945" spans="91:91">
      <c r="CM3945"/>
    </row>
    <row r="3946" spans="91:91">
      <c r="CM3946"/>
    </row>
    <row r="3947" spans="91:91">
      <c r="CM3947"/>
    </row>
    <row r="3948" spans="91:91">
      <c r="CM3948"/>
    </row>
    <row r="3949" spans="91:91">
      <c r="CM3949"/>
    </row>
    <row r="3950" spans="91:91">
      <c r="CM3950"/>
    </row>
    <row r="3951" spans="91:91">
      <c r="CM3951"/>
    </row>
    <row r="3952" spans="91:91">
      <c r="CM3952"/>
    </row>
    <row r="3953" spans="91:91">
      <c r="CM3953"/>
    </row>
    <row r="3954" spans="91:91">
      <c r="CM3954"/>
    </row>
    <row r="3955" spans="91:91">
      <c r="CM3955"/>
    </row>
    <row r="3956" spans="91:91">
      <c r="CM3956"/>
    </row>
    <row r="3957" spans="91:91">
      <c r="CM3957"/>
    </row>
    <row r="3958" spans="91:91">
      <c r="CM3958"/>
    </row>
    <row r="3959" spans="91:91">
      <c r="CM3959"/>
    </row>
    <row r="3960" spans="91:91">
      <c r="CM3960"/>
    </row>
    <row r="3961" spans="91:91">
      <c r="CM3961"/>
    </row>
    <row r="3962" spans="91:91">
      <c r="CM3962"/>
    </row>
    <row r="3963" spans="91:91">
      <c r="CM3963"/>
    </row>
    <row r="3964" spans="91:91">
      <c r="CM3964"/>
    </row>
    <row r="3965" spans="91:91">
      <c r="CM3965"/>
    </row>
    <row r="3966" spans="91:91">
      <c r="CM3966"/>
    </row>
    <row r="3967" spans="91:91">
      <c r="CM3967"/>
    </row>
    <row r="3968" spans="91:91">
      <c r="CM3968"/>
    </row>
    <row r="3969" spans="91:91">
      <c r="CM3969"/>
    </row>
    <row r="3970" spans="91:91">
      <c r="CM3970"/>
    </row>
    <row r="3971" spans="91:91">
      <c r="CM3971"/>
    </row>
    <row r="3972" spans="91:91">
      <c r="CM3972"/>
    </row>
    <row r="3973" spans="91:91">
      <c r="CM3973"/>
    </row>
    <row r="3974" spans="91:91">
      <c r="CM3974"/>
    </row>
    <row r="3975" spans="91:91">
      <c r="CM3975"/>
    </row>
    <row r="3976" spans="91:91">
      <c r="CM3976"/>
    </row>
    <row r="3977" spans="91:91">
      <c r="CM3977"/>
    </row>
    <row r="3978" spans="91:91">
      <c r="CM3978"/>
    </row>
    <row r="3979" spans="91:91">
      <c r="CM3979"/>
    </row>
    <row r="3980" spans="91:91">
      <c r="CM3980"/>
    </row>
    <row r="3981" spans="91:91">
      <c r="CM3981"/>
    </row>
    <row r="3982" spans="91:91">
      <c r="CM3982"/>
    </row>
    <row r="3983" spans="91:91">
      <c r="CM3983"/>
    </row>
    <row r="3984" spans="91:91">
      <c r="CM3984"/>
    </row>
    <row r="3985" spans="91:91">
      <c r="CM3985"/>
    </row>
    <row r="3986" spans="91:91">
      <c r="CM3986"/>
    </row>
    <row r="3987" spans="91:91">
      <c r="CM3987"/>
    </row>
    <row r="3988" spans="91:91">
      <c r="CM3988"/>
    </row>
    <row r="3989" spans="91:91">
      <c r="CM3989"/>
    </row>
    <row r="3990" spans="91:91">
      <c r="CM3990"/>
    </row>
    <row r="3991" spans="91:91">
      <c r="CM3991"/>
    </row>
    <row r="3992" spans="91:91">
      <c r="CM3992"/>
    </row>
    <row r="3993" spans="91:91">
      <c r="CM3993"/>
    </row>
    <row r="3994" spans="91:91">
      <c r="CM3994"/>
    </row>
    <row r="3995" spans="91:91">
      <c r="CM3995"/>
    </row>
    <row r="3996" spans="91:91">
      <c r="CM3996"/>
    </row>
    <row r="3997" spans="91:91">
      <c r="CM3997"/>
    </row>
    <row r="3998" spans="91:91">
      <c r="CM3998"/>
    </row>
    <row r="3999" spans="91:91">
      <c r="CM3999"/>
    </row>
    <row r="4000" spans="91:91">
      <c r="CM4000"/>
    </row>
    <row r="4001" spans="91:91">
      <c r="CM4001"/>
    </row>
    <row r="4002" spans="91:91">
      <c r="CM4002"/>
    </row>
    <row r="4003" spans="91:91">
      <c r="CM4003"/>
    </row>
    <row r="4004" spans="91:91">
      <c r="CM4004"/>
    </row>
    <row r="4005" spans="91:91">
      <c r="CM4005"/>
    </row>
    <row r="4006" spans="91:91">
      <c r="CM4006"/>
    </row>
    <row r="4007" spans="91:91">
      <c r="CM4007"/>
    </row>
    <row r="4008" spans="91:91">
      <c r="CM4008"/>
    </row>
    <row r="4009" spans="91:91">
      <c r="CM4009"/>
    </row>
    <row r="4010" spans="91:91">
      <c r="CM4010"/>
    </row>
    <row r="4011" spans="91:91">
      <c r="CM4011"/>
    </row>
    <row r="4012" spans="91:91">
      <c r="CM4012"/>
    </row>
    <row r="4013" spans="91:91">
      <c r="CM4013"/>
    </row>
    <row r="4014" spans="91:91">
      <c r="CM4014"/>
    </row>
    <row r="4015" spans="91:91">
      <c r="CM4015"/>
    </row>
    <row r="4016" spans="91:91">
      <c r="CM4016"/>
    </row>
    <row r="4017" spans="91:91">
      <c r="CM4017"/>
    </row>
    <row r="4018" spans="91:91">
      <c r="CM4018"/>
    </row>
    <row r="4019" spans="91:91">
      <c r="CM4019"/>
    </row>
    <row r="4020" spans="91:91">
      <c r="CM4020"/>
    </row>
    <row r="4021" spans="91:91">
      <c r="CM4021"/>
    </row>
    <row r="4022" spans="91:91">
      <c r="CM4022"/>
    </row>
    <row r="4023" spans="91:91">
      <c r="CM4023"/>
    </row>
    <row r="4024" spans="91:91">
      <c r="CM4024"/>
    </row>
    <row r="4025" spans="91:91">
      <c r="CM4025"/>
    </row>
    <row r="4026" spans="91:91">
      <c r="CM4026"/>
    </row>
    <row r="4027" spans="91:91">
      <c r="CM4027"/>
    </row>
    <row r="4028" spans="91:91">
      <c r="CM4028"/>
    </row>
    <row r="4029" spans="91:91">
      <c r="CM4029"/>
    </row>
    <row r="4030" spans="91:91">
      <c r="CM4030"/>
    </row>
    <row r="4031" spans="91:91">
      <c r="CM4031"/>
    </row>
    <row r="4032" spans="91:91">
      <c r="CM4032"/>
    </row>
    <row r="4033" spans="91:91">
      <c r="CM4033"/>
    </row>
    <row r="4034" spans="91:91">
      <c r="CM4034"/>
    </row>
    <row r="4035" spans="91:91">
      <c r="CM4035"/>
    </row>
    <row r="4036" spans="91:91">
      <c r="CM4036"/>
    </row>
    <row r="4037" spans="91:91">
      <c r="CM4037"/>
    </row>
    <row r="4038" spans="91:91">
      <c r="CM4038"/>
    </row>
    <row r="4039" spans="91:91">
      <c r="CM4039"/>
    </row>
    <row r="4040" spans="91:91">
      <c r="CM4040"/>
    </row>
    <row r="4041" spans="91:91">
      <c r="CM4041"/>
    </row>
    <row r="4042" spans="91:91">
      <c r="CM4042"/>
    </row>
    <row r="4043" spans="91:91">
      <c r="CM4043"/>
    </row>
    <row r="4044" spans="91:91">
      <c r="CM4044"/>
    </row>
    <row r="4045" spans="91:91">
      <c r="CM4045"/>
    </row>
    <row r="4046" spans="91:91">
      <c r="CM4046"/>
    </row>
    <row r="4047" spans="91:91">
      <c r="CM4047"/>
    </row>
    <row r="4048" spans="91:91">
      <c r="CM4048"/>
    </row>
    <row r="4049" spans="91:91">
      <c r="CM4049"/>
    </row>
    <row r="4050" spans="91:91">
      <c r="CM4050"/>
    </row>
    <row r="4051" spans="91:91">
      <c r="CM4051"/>
    </row>
    <row r="4052" spans="91:91">
      <c r="CM4052"/>
    </row>
    <row r="4053" spans="91:91">
      <c r="CM4053"/>
    </row>
    <row r="4054" spans="91:91">
      <c r="CM4054"/>
    </row>
    <row r="4055" spans="91:91">
      <c r="CM4055"/>
    </row>
    <row r="4056" spans="91:91">
      <c r="CM4056"/>
    </row>
    <row r="4057" spans="91:91">
      <c r="CM4057"/>
    </row>
    <row r="4058" spans="91:91">
      <c r="CM4058"/>
    </row>
    <row r="4059" spans="91:91">
      <c r="CM4059"/>
    </row>
    <row r="4060" spans="91:91">
      <c r="CM4060"/>
    </row>
    <row r="4061" spans="91:91">
      <c r="CM4061"/>
    </row>
    <row r="4062" spans="91:91">
      <c r="CM4062"/>
    </row>
    <row r="4063" spans="91:91">
      <c r="CM4063"/>
    </row>
    <row r="4064" spans="91:91">
      <c r="CM4064"/>
    </row>
    <row r="4065" spans="91:91">
      <c r="CM4065"/>
    </row>
    <row r="4066" spans="91:91">
      <c r="CM4066"/>
    </row>
    <row r="4067" spans="91:91">
      <c r="CM4067"/>
    </row>
    <row r="4068" spans="91:91">
      <c r="CM4068"/>
    </row>
    <row r="4069" spans="91:91">
      <c r="CM4069"/>
    </row>
    <row r="4070" spans="91:91">
      <c r="CM4070"/>
    </row>
    <row r="4071" spans="91:91">
      <c r="CM4071"/>
    </row>
    <row r="4072" spans="91:91">
      <c r="CM4072"/>
    </row>
    <row r="4073" spans="91:91">
      <c r="CM4073"/>
    </row>
    <row r="4074" spans="91:91">
      <c r="CM4074"/>
    </row>
    <row r="4075" spans="91:91">
      <c r="CM4075"/>
    </row>
    <row r="4076" spans="91:91">
      <c r="CM4076"/>
    </row>
    <row r="4077" spans="91:91">
      <c r="CM4077"/>
    </row>
    <row r="4078" spans="91:91">
      <c r="CM4078"/>
    </row>
    <row r="4079" spans="91:91">
      <c r="CM4079"/>
    </row>
    <row r="4080" spans="91:91">
      <c r="CM4080"/>
    </row>
    <row r="4081" spans="91:91">
      <c r="CM4081"/>
    </row>
    <row r="4082" spans="91:91">
      <c r="CM4082"/>
    </row>
    <row r="4083" spans="91:91">
      <c r="CM4083"/>
    </row>
    <row r="4084" spans="91:91">
      <c r="CM4084"/>
    </row>
    <row r="4085" spans="91:91">
      <c r="CM4085"/>
    </row>
    <row r="4086" spans="91:91">
      <c r="CM4086"/>
    </row>
    <row r="4087" spans="91:91">
      <c r="CM4087"/>
    </row>
    <row r="4088" spans="91:91">
      <c r="CM4088"/>
    </row>
    <row r="4089" spans="91:91">
      <c r="CM4089"/>
    </row>
    <row r="4090" spans="91:91">
      <c r="CM4090"/>
    </row>
    <row r="4091" spans="91:91">
      <c r="CM4091"/>
    </row>
    <row r="4092" spans="91:91">
      <c r="CM4092"/>
    </row>
    <row r="4093" spans="91:91">
      <c r="CM4093"/>
    </row>
    <row r="4094" spans="91:91">
      <c r="CM4094"/>
    </row>
    <row r="4095" spans="91:91">
      <c r="CM4095"/>
    </row>
    <row r="4096" spans="91:91">
      <c r="CM4096"/>
    </row>
    <row r="4097" spans="91:91">
      <c r="CM4097"/>
    </row>
    <row r="4098" spans="91:91">
      <c r="CM4098"/>
    </row>
    <row r="4099" spans="91:91">
      <c r="CM4099"/>
    </row>
    <row r="4100" spans="91:91">
      <c r="CM4100"/>
    </row>
    <row r="4101" spans="91:91">
      <c r="CM4101"/>
    </row>
    <row r="4102" spans="91:91">
      <c r="CM4102"/>
    </row>
    <row r="4103" spans="91:91">
      <c r="CM4103"/>
    </row>
    <row r="4104" spans="91:91">
      <c r="CM4104"/>
    </row>
    <row r="4105" spans="91:91">
      <c r="CM4105"/>
    </row>
    <row r="4106" spans="91:91">
      <c r="CM4106"/>
    </row>
    <row r="4107" spans="91:91">
      <c r="CM4107"/>
    </row>
    <row r="4108" spans="91:91">
      <c r="CM4108"/>
    </row>
    <row r="4109" spans="91:91">
      <c r="CM4109"/>
    </row>
    <row r="4110" spans="91:91">
      <c r="CM4110"/>
    </row>
    <row r="4111" spans="91:91">
      <c r="CM4111"/>
    </row>
    <row r="4112" spans="91:91">
      <c r="CM4112"/>
    </row>
    <row r="4113" spans="91:91">
      <c r="CM4113"/>
    </row>
    <row r="4114" spans="91:91">
      <c r="CM4114"/>
    </row>
    <row r="4115" spans="91:91">
      <c r="CM4115"/>
    </row>
    <row r="4116" spans="91:91">
      <c r="CM4116"/>
    </row>
    <row r="4117" spans="91:91">
      <c r="CM4117"/>
    </row>
    <row r="4118" spans="91:91">
      <c r="CM4118"/>
    </row>
    <row r="4119" spans="91:91">
      <c r="CM4119"/>
    </row>
    <row r="4120" spans="91:91">
      <c r="CM4120"/>
    </row>
    <row r="4121" spans="91:91">
      <c r="CM4121"/>
    </row>
    <row r="4122" spans="91:91">
      <c r="CM4122"/>
    </row>
    <row r="4123" spans="91:91">
      <c r="CM4123"/>
    </row>
    <row r="4124" spans="91:91">
      <c r="CM4124"/>
    </row>
    <row r="4125" spans="91:91">
      <c r="CM4125"/>
    </row>
    <row r="4126" spans="91:91">
      <c r="CM4126"/>
    </row>
    <row r="4127" spans="91:91">
      <c r="CM4127"/>
    </row>
    <row r="4128" spans="91:91">
      <c r="CM4128"/>
    </row>
    <row r="4129" spans="91:91">
      <c r="CM4129"/>
    </row>
    <row r="4130" spans="91:91">
      <c r="CM4130"/>
    </row>
    <row r="4131" spans="91:91">
      <c r="CM4131"/>
    </row>
    <row r="4132" spans="91:91">
      <c r="CM4132"/>
    </row>
    <row r="4133" spans="91:91">
      <c r="CM4133"/>
    </row>
    <row r="4134" spans="91:91">
      <c r="CM4134"/>
    </row>
    <row r="4135" spans="91:91">
      <c r="CM4135"/>
    </row>
    <row r="4136" spans="91:91">
      <c r="CM4136"/>
    </row>
    <row r="4137" spans="91:91">
      <c r="CM4137"/>
    </row>
    <row r="4138" spans="91:91">
      <c r="CM4138"/>
    </row>
    <row r="4139" spans="91:91">
      <c r="CM4139"/>
    </row>
    <row r="4140" spans="91:91">
      <c r="CM4140"/>
    </row>
    <row r="4141" spans="91:91">
      <c r="CM4141"/>
    </row>
    <row r="4142" spans="91:91">
      <c r="CM4142"/>
    </row>
    <row r="4143" spans="91:91">
      <c r="CM4143"/>
    </row>
    <row r="4144" spans="91:91">
      <c r="CM4144"/>
    </row>
    <row r="4145" spans="91:91">
      <c r="CM4145"/>
    </row>
    <row r="4146" spans="91:91">
      <c r="CM4146"/>
    </row>
    <row r="4147" spans="91:91">
      <c r="CM4147"/>
    </row>
    <row r="4148" spans="91:91">
      <c r="CM4148"/>
    </row>
    <row r="4149" spans="91:91">
      <c r="CM4149"/>
    </row>
    <row r="4150" spans="91:91">
      <c r="CM4150"/>
    </row>
    <row r="4151" spans="91:91">
      <c r="CM4151"/>
    </row>
    <row r="4152" spans="91:91">
      <c r="CM4152"/>
    </row>
    <row r="4153" spans="91:91">
      <c r="CM4153"/>
    </row>
    <row r="4154" spans="91:91">
      <c r="CM4154"/>
    </row>
    <row r="4155" spans="91:91">
      <c r="CM4155"/>
    </row>
    <row r="4156" spans="91:91">
      <c r="CM4156"/>
    </row>
    <row r="4157" spans="91:91">
      <c r="CM4157"/>
    </row>
    <row r="4158" spans="91:91">
      <c r="CM4158"/>
    </row>
    <row r="4159" spans="91:91">
      <c r="CM4159"/>
    </row>
    <row r="4160" spans="91:91">
      <c r="CM4160"/>
    </row>
    <row r="4161" spans="91:91">
      <c r="CM4161"/>
    </row>
    <row r="4162" spans="91:91">
      <c r="CM4162"/>
    </row>
    <row r="4163" spans="91:91">
      <c r="CM4163"/>
    </row>
    <row r="4164" spans="91:91">
      <c r="CM4164"/>
    </row>
    <row r="4165" spans="91:91">
      <c r="CM4165"/>
    </row>
    <row r="4166" spans="91:91">
      <c r="CM4166"/>
    </row>
    <row r="4167" spans="91:91">
      <c r="CM4167"/>
    </row>
    <row r="4168" spans="91:91">
      <c r="CM4168"/>
    </row>
    <row r="4169" spans="91:91">
      <c r="CM4169"/>
    </row>
    <row r="4170" spans="91:91">
      <c r="CM4170"/>
    </row>
    <row r="4171" spans="91:91">
      <c r="CM4171"/>
    </row>
    <row r="4172" spans="91:91">
      <c r="CM4172"/>
    </row>
    <row r="4173" spans="91:91">
      <c r="CM4173"/>
    </row>
    <row r="4174" spans="91:91">
      <c r="CM4174"/>
    </row>
    <row r="4175" spans="91:91">
      <c r="CM4175"/>
    </row>
    <row r="4176" spans="91:91">
      <c r="CM4176"/>
    </row>
    <row r="4177" spans="91:91">
      <c r="CM4177"/>
    </row>
    <row r="4178" spans="91:91">
      <c r="CM4178"/>
    </row>
    <row r="4179" spans="91:91">
      <c r="CM4179"/>
    </row>
    <row r="4180" spans="91:91">
      <c r="CM4180"/>
    </row>
    <row r="4181" spans="91:91">
      <c r="CM4181"/>
    </row>
    <row r="4182" spans="91:91">
      <c r="CM4182"/>
    </row>
    <row r="4183" spans="91:91">
      <c r="CM4183"/>
    </row>
    <row r="4184" spans="91:91">
      <c r="CM4184"/>
    </row>
    <row r="4185" spans="91:91">
      <c r="CM4185"/>
    </row>
    <row r="4186" spans="91:91">
      <c r="CM4186"/>
    </row>
    <row r="4187" spans="91:91">
      <c r="CM4187"/>
    </row>
    <row r="4188" spans="91:91">
      <c r="CM4188"/>
    </row>
    <row r="4189" spans="91:91">
      <c r="CM4189"/>
    </row>
    <row r="4190" spans="91:91">
      <c r="CM4190"/>
    </row>
    <row r="4191" spans="91:91">
      <c r="CM4191"/>
    </row>
    <row r="4192" spans="91:91">
      <c r="CM4192"/>
    </row>
    <row r="4193" spans="91:91">
      <c r="CM4193"/>
    </row>
    <row r="4194" spans="91:91">
      <c r="CM4194"/>
    </row>
    <row r="4195" spans="91:91">
      <c r="CM4195"/>
    </row>
    <row r="4196" spans="91:91">
      <c r="CM4196"/>
    </row>
    <row r="4197" spans="91:91">
      <c r="CM4197"/>
    </row>
    <row r="4198" spans="91:91">
      <c r="CM4198"/>
    </row>
    <row r="4199" spans="91:91">
      <c r="CM4199"/>
    </row>
    <row r="4200" spans="91:91">
      <c r="CM4200"/>
    </row>
    <row r="4201" spans="91:91">
      <c r="CM4201"/>
    </row>
    <row r="4202" spans="91:91">
      <c r="CM4202"/>
    </row>
    <row r="4203" spans="91:91">
      <c r="CM4203"/>
    </row>
    <row r="4204" spans="91:91">
      <c r="CM4204"/>
    </row>
    <row r="4205" spans="91:91">
      <c r="CM4205"/>
    </row>
    <row r="4206" spans="91:91">
      <c r="CM4206"/>
    </row>
    <row r="4207" spans="91:91">
      <c r="CM4207"/>
    </row>
    <row r="4208" spans="91:91">
      <c r="CM4208"/>
    </row>
    <row r="4209" spans="91:91">
      <c r="CM4209"/>
    </row>
    <row r="4210" spans="91:91">
      <c r="CM4210"/>
    </row>
    <row r="4211" spans="91:91">
      <c r="CM4211"/>
    </row>
    <row r="4212" spans="91:91">
      <c r="CM4212"/>
    </row>
    <row r="4213" spans="91:91">
      <c r="CM4213"/>
    </row>
    <row r="4214" spans="91:91">
      <c r="CM4214"/>
    </row>
    <row r="4215" spans="91:91">
      <c r="CM4215"/>
    </row>
    <row r="4216" spans="91:91">
      <c r="CM4216"/>
    </row>
    <row r="4217" spans="91:91">
      <c r="CM4217"/>
    </row>
    <row r="4218" spans="91:91">
      <c r="CM4218"/>
    </row>
    <row r="4219" spans="91:91">
      <c r="CM4219"/>
    </row>
    <row r="4220" spans="91:91">
      <c r="CM4220"/>
    </row>
    <row r="4221" spans="91:91">
      <c r="CM4221"/>
    </row>
    <row r="4222" spans="91:91">
      <c r="CM4222"/>
    </row>
    <row r="4223" spans="91:91">
      <c r="CM4223"/>
    </row>
    <row r="4224" spans="91:91">
      <c r="CM4224"/>
    </row>
    <row r="4225" spans="91:91">
      <c r="CM4225"/>
    </row>
    <row r="4226" spans="91:91">
      <c r="CM4226"/>
    </row>
    <row r="4227" spans="91:91">
      <c r="CM4227"/>
    </row>
    <row r="4228" spans="91:91">
      <c r="CM4228"/>
    </row>
    <row r="4229" spans="91:91">
      <c r="CM4229"/>
    </row>
    <row r="4230" spans="91:91">
      <c r="CM4230"/>
    </row>
    <row r="4231" spans="91:91">
      <c r="CM4231"/>
    </row>
    <row r="4232" spans="91:91">
      <c r="CM4232"/>
    </row>
    <row r="4233" spans="91:91">
      <c r="CM4233"/>
    </row>
    <row r="4234" spans="91:91">
      <c r="CM4234"/>
    </row>
    <row r="4235" spans="91:91">
      <c r="CM4235"/>
    </row>
    <row r="4236" spans="91:91">
      <c r="CM4236"/>
    </row>
    <row r="4237" spans="91:91">
      <c r="CM4237"/>
    </row>
    <row r="4238" spans="91:91">
      <c r="CM4238"/>
    </row>
    <row r="4239" spans="91:91">
      <c r="CM4239"/>
    </row>
    <row r="4240" spans="91:91">
      <c r="CM4240"/>
    </row>
    <row r="4241" spans="91:91">
      <c r="CM4241"/>
    </row>
    <row r="4242" spans="91:91">
      <c r="CM4242"/>
    </row>
    <row r="4243" spans="91:91">
      <c r="CM4243"/>
    </row>
    <row r="4244" spans="91:91">
      <c r="CM4244"/>
    </row>
    <row r="4245" spans="91:91">
      <c r="CM4245"/>
    </row>
    <row r="4246" spans="91:91">
      <c r="CM4246"/>
    </row>
    <row r="4247" spans="91:91">
      <c r="CM4247"/>
    </row>
    <row r="4248" spans="91:91">
      <c r="CM4248"/>
    </row>
    <row r="4249" spans="91:91">
      <c r="CM4249"/>
    </row>
    <row r="4250" spans="91:91">
      <c r="CM4250"/>
    </row>
    <row r="4251" spans="91:91">
      <c r="CM4251"/>
    </row>
    <row r="4252" spans="91:91">
      <c r="CM4252"/>
    </row>
    <row r="4253" spans="91:91">
      <c r="CM4253"/>
    </row>
    <row r="4254" spans="91:91">
      <c r="CM4254"/>
    </row>
    <row r="4255" spans="91:91">
      <c r="CM4255"/>
    </row>
    <row r="4256" spans="91:91">
      <c r="CM4256"/>
    </row>
    <row r="4257" spans="91:91">
      <c r="CM4257"/>
    </row>
    <row r="4258" spans="91:91">
      <c r="CM4258"/>
    </row>
    <row r="4259" spans="91:91">
      <c r="CM4259"/>
    </row>
    <row r="4260" spans="91:91">
      <c r="CM4260"/>
    </row>
    <row r="4261" spans="91:91">
      <c r="CM4261"/>
    </row>
    <row r="4262" spans="91:91">
      <c r="CM4262"/>
    </row>
    <row r="4263" spans="91:91">
      <c r="CM4263"/>
    </row>
    <row r="4264" spans="91:91">
      <c r="CM4264"/>
    </row>
    <row r="4265" spans="91:91">
      <c r="CM4265"/>
    </row>
    <row r="4266" spans="91:91">
      <c r="CM4266"/>
    </row>
    <row r="4267" spans="91:91">
      <c r="CM4267"/>
    </row>
    <row r="4268" spans="91:91">
      <c r="CM4268"/>
    </row>
    <row r="4269" spans="91:91">
      <c r="CM4269"/>
    </row>
    <row r="4270" spans="91:91">
      <c r="CM4270"/>
    </row>
    <row r="4271" spans="91:91">
      <c r="CM4271"/>
    </row>
    <row r="4272" spans="91:91">
      <c r="CM4272"/>
    </row>
    <row r="4273" spans="91:91">
      <c r="CM4273"/>
    </row>
    <row r="4274" spans="91:91">
      <c r="CM4274"/>
    </row>
    <row r="4275" spans="91:91">
      <c r="CM4275"/>
    </row>
    <row r="4276" spans="91:91">
      <c r="CM4276"/>
    </row>
    <row r="4277" spans="91:91">
      <c r="CM4277"/>
    </row>
    <row r="4278" spans="91:91">
      <c r="CM4278"/>
    </row>
    <row r="4279" spans="91:91">
      <c r="CM4279"/>
    </row>
    <row r="4280" spans="91:91">
      <c r="CM4280"/>
    </row>
    <row r="4281" spans="91:91">
      <c r="CM4281"/>
    </row>
    <row r="4282" spans="91:91">
      <c r="CM4282"/>
    </row>
    <row r="4283" spans="91:91">
      <c r="CM4283"/>
    </row>
    <row r="4284" spans="91:91">
      <c r="CM4284"/>
    </row>
    <row r="4285" spans="91:91">
      <c r="CM4285"/>
    </row>
    <row r="4286" spans="91:91">
      <c r="CM4286"/>
    </row>
    <row r="4287" spans="91:91">
      <c r="CM4287"/>
    </row>
    <row r="4288" spans="91:91">
      <c r="CM4288"/>
    </row>
    <row r="4289" spans="91:91">
      <c r="CM4289"/>
    </row>
    <row r="4290" spans="91:91">
      <c r="CM4290"/>
    </row>
    <row r="4291" spans="91:91">
      <c r="CM4291"/>
    </row>
    <row r="4292" spans="91:91">
      <c r="CM4292"/>
    </row>
    <row r="4293" spans="91:91">
      <c r="CM4293"/>
    </row>
    <row r="4294" spans="91:91">
      <c r="CM4294"/>
    </row>
    <row r="4295" spans="91:91">
      <c r="CM4295"/>
    </row>
    <row r="4296" spans="91:91">
      <c r="CM4296"/>
    </row>
    <row r="4297" spans="91:91">
      <c r="CM4297"/>
    </row>
    <row r="4298" spans="91:91">
      <c r="CM4298"/>
    </row>
    <row r="4299" spans="91:91">
      <c r="CM4299"/>
    </row>
    <row r="4300" spans="91:91">
      <c r="CM4300"/>
    </row>
    <row r="4301" spans="91:91">
      <c r="CM4301"/>
    </row>
    <row r="4302" spans="91:91">
      <c r="CM4302"/>
    </row>
    <row r="4303" spans="91:91">
      <c r="CM4303"/>
    </row>
    <row r="4304" spans="91:91">
      <c r="CM4304"/>
    </row>
    <row r="4305" spans="91:91">
      <c r="CM4305"/>
    </row>
    <row r="4306" spans="91:91">
      <c r="CM4306"/>
    </row>
    <row r="4307" spans="91:91">
      <c r="CM4307"/>
    </row>
    <row r="4308" spans="91:91">
      <c r="CM4308"/>
    </row>
    <row r="4309" spans="91:91">
      <c r="CM4309"/>
    </row>
    <row r="4310" spans="91:91">
      <c r="CM4310"/>
    </row>
    <row r="4311" spans="91:91">
      <c r="CM4311"/>
    </row>
    <row r="4312" spans="91:91">
      <c r="CM4312"/>
    </row>
    <row r="4313" spans="91:91">
      <c r="CM4313"/>
    </row>
    <row r="4314" spans="91:91">
      <c r="CM4314"/>
    </row>
    <row r="4315" spans="91:91">
      <c r="CM4315"/>
    </row>
    <row r="4316" spans="91:91">
      <c r="CM4316"/>
    </row>
    <row r="4317" spans="91:91">
      <c r="CM4317"/>
    </row>
    <row r="4318" spans="91:91">
      <c r="CM4318"/>
    </row>
    <row r="4319" spans="91:91">
      <c r="CM4319"/>
    </row>
    <row r="4320" spans="91:91">
      <c r="CM4320"/>
    </row>
    <row r="4321" spans="91:91">
      <c r="CM4321"/>
    </row>
    <row r="4322" spans="91:91">
      <c r="CM4322"/>
    </row>
    <row r="4323" spans="91:91">
      <c r="CM4323"/>
    </row>
    <row r="4324" spans="91:91">
      <c r="CM4324"/>
    </row>
    <row r="4325" spans="91:91">
      <c r="CM4325"/>
    </row>
    <row r="4326" spans="91:91">
      <c r="CM4326"/>
    </row>
    <row r="4327" spans="91:91">
      <c r="CM4327"/>
    </row>
    <row r="4328" spans="91:91">
      <c r="CM4328"/>
    </row>
    <row r="4329" spans="91:91">
      <c r="CM4329"/>
    </row>
    <row r="4330" spans="91:91">
      <c r="CM4330"/>
    </row>
    <row r="4331" spans="91:91">
      <c r="CM4331"/>
    </row>
    <row r="4332" spans="91:91">
      <c r="CM4332"/>
    </row>
    <row r="4333" spans="91:91">
      <c r="CM4333"/>
    </row>
    <row r="4334" spans="91:91">
      <c r="CM4334"/>
    </row>
    <row r="4335" spans="91:91">
      <c r="CM4335"/>
    </row>
    <row r="4336" spans="91:91">
      <c r="CM4336"/>
    </row>
    <row r="4337" spans="91:91">
      <c r="CM4337"/>
    </row>
    <row r="4338" spans="91:91">
      <c r="CM4338"/>
    </row>
    <row r="4339" spans="91:91">
      <c r="CM4339"/>
    </row>
    <row r="4340" spans="91:91">
      <c r="CM4340"/>
    </row>
    <row r="4341" spans="91:91">
      <c r="CM4341"/>
    </row>
    <row r="4342" spans="91:91">
      <c r="CM4342"/>
    </row>
    <row r="4343" spans="91:91">
      <c r="CM4343"/>
    </row>
    <row r="4344" spans="91:91">
      <c r="CM4344"/>
    </row>
    <row r="4345" spans="91:91">
      <c r="CM4345"/>
    </row>
    <row r="4346" spans="91:91">
      <c r="CM4346"/>
    </row>
    <row r="4347" spans="91:91">
      <c r="CM4347"/>
    </row>
    <row r="4348" spans="91:91">
      <c r="CM4348"/>
    </row>
    <row r="4349" spans="91:91">
      <c r="CM4349"/>
    </row>
    <row r="4350" spans="91:91">
      <c r="CM4350"/>
    </row>
    <row r="4351" spans="91:91">
      <c r="CM4351"/>
    </row>
    <row r="4352" spans="91:91">
      <c r="CM4352"/>
    </row>
    <row r="4353" spans="91:91">
      <c r="CM4353"/>
    </row>
    <row r="4354" spans="91:91">
      <c r="CM4354"/>
    </row>
    <row r="4355" spans="91:91">
      <c r="CM4355"/>
    </row>
    <row r="4356" spans="91:91">
      <c r="CM4356"/>
    </row>
    <row r="4357" spans="91:91">
      <c r="CM4357"/>
    </row>
    <row r="4358" spans="91:91">
      <c r="CM4358"/>
    </row>
    <row r="4359" spans="91:91">
      <c r="CM4359"/>
    </row>
    <row r="4360" spans="91:91">
      <c r="CM4360"/>
    </row>
    <row r="4361" spans="91:91">
      <c r="CM4361"/>
    </row>
    <row r="4362" spans="91:91">
      <c r="CM4362"/>
    </row>
  </sheetData>
  <mergeCells count="69">
    <mergeCell ref="K6:L6"/>
    <mergeCell ref="A7:A8"/>
    <mergeCell ref="B7:B8"/>
    <mergeCell ref="C7:C8"/>
    <mergeCell ref="D7:D8"/>
    <mergeCell ref="E7:E8"/>
    <mergeCell ref="F7:F8"/>
    <mergeCell ref="G7:J7"/>
    <mergeCell ref="K7:K8"/>
    <mergeCell ref="L7:O7"/>
    <mergeCell ref="P7:P8"/>
    <mergeCell ref="Q7:Q8"/>
    <mergeCell ref="R7:R8"/>
    <mergeCell ref="S7:S8"/>
    <mergeCell ref="T7:Y7"/>
    <mergeCell ref="CH7:CH8"/>
    <mergeCell ref="CI7:CI8"/>
    <mergeCell ref="BL7:BO7"/>
    <mergeCell ref="AB7:AB8"/>
    <mergeCell ref="AC7:AC8"/>
    <mergeCell ref="AD7:AG7"/>
    <mergeCell ref="AW7:AW8"/>
    <mergeCell ref="AX7:BA7"/>
    <mergeCell ref="BB7:BB8"/>
    <mergeCell ref="AH7:AH8"/>
    <mergeCell ref="AI7:AI8"/>
    <mergeCell ref="AJ7:AJ8"/>
    <mergeCell ref="AK7:AN7"/>
    <mergeCell ref="AO7:AO8"/>
    <mergeCell ref="BE7:BH7"/>
    <mergeCell ref="BI7:BI8"/>
    <mergeCell ref="Z7:Z8"/>
    <mergeCell ref="AA7:AA8"/>
    <mergeCell ref="BC7:BC8"/>
    <mergeCell ref="R9:R50"/>
    <mergeCell ref="AB9:AB50"/>
    <mergeCell ref="AI9:AI50"/>
    <mergeCell ref="AP9:AP50"/>
    <mergeCell ref="AV9:AV50"/>
    <mergeCell ref="BC9:BC50"/>
    <mergeCell ref="AV7:AV8"/>
    <mergeCell ref="BJ7:BJ8"/>
    <mergeCell ref="BK7:BK8"/>
    <mergeCell ref="BW7:BW8"/>
    <mergeCell ref="BX7:BX8"/>
    <mergeCell ref="BY7:BY8"/>
    <mergeCell ref="CG7:CG8"/>
    <mergeCell ref="BP7:BP8"/>
    <mergeCell ref="BQ7:BQ8"/>
    <mergeCell ref="BR7:BR8"/>
    <mergeCell ref="BS7:BV7"/>
    <mergeCell ref="BZ7:CD7"/>
    <mergeCell ref="CE7:CE8"/>
    <mergeCell ref="A1:CN5"/>
    <mergeCell ref="BQ9:BQ50"/>
    <mergeCell ref="BX9:BX50"/>
    <mergeCell ref="CF9:CF50"/>
    <mergeCell ref="CM7:CM8"/>
    <mergeCell ref="CN7:CN8"/>
    <mergeCell ref="CL7:CL8"/>
    <mergeCell ref="CJ7:CJ8"/>
    <mergeCell ref="CK7:CK8"/>
    <mergeCell ref="BD7:BD8"/>
    <mergeCell ref="AP7:AP8"/>
    <mergeCell ref="AQ7:AQ8"/>
    <mergeCell ref="AR7:AT7"/>
    <mergeCell ref="AU7:AU8"/>
    <mergeCell ref="BJ9:BJ50"/>
    <mergeCell ref="CF7:CF8"/>
  </mergeCells>
  <conditionalFormatting sqref="H9:I26 H28:I28 H30:I31 H33:I46 M9:N26 M28:N28 M30:N31 M33:N46 V9:W26 V28:W28 V30:W31 V33:W46 AE9:AF26 AE28:AF28 AE30:AF31 AE33:AF46 AL9:AM26 AL28:AM28 AL30:AM31 AL33:AM46 AY9:AY26 AY28 AY30:AY31 AY33:AY46 BF9:BF26 BF28 BF30:BF31 BF33:BF46 BH9:BH26 BH28 BH30:BH31 BH33:BH46 I10:I50 N10:N50 V10:V50 AF10:AF50 AM10:AM50">
    <cfRule type="cellIs" dxfId="52" priority="52" operator="lessThan">
      <formula>28</formula>
    </cfRule>
  </conditionalFormatting>
  <pageMargins left="0.31496062992125984" right="0.35433070866141736" top="0.35433070866141736" bottom="0.23622047244094491" header="0.23622047244094491" footer="0.19685039370078741"/>
  <pageSetup paperSize="5" scale="6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T4314"/>
  <sheetViews>
    <sheetView zoomScale="70" zoomScaleNormal="70" workbookViewId="0">
      <pane xSplit="2" ySplit="7" topLeftCell="C17" activePane="bottomRight" state="frozen"/>
      <selection pane="topRight" activeCell="C1" sqref="C1"/>
      <selection pane="bottomLeft" activeCell="A8" sqref="A8"/>
      <selection pane="bottomRight" activeCell="AF27" sqref="AF27"/>
    </sheetView>
  </sheetViews>
  <sheetFormatPr defaultRowHeight="15"/>
  <cols>
    <col min="1" max="1" width="6" customWidth="1"/>
    <col min="2" max="2" width="5.85546875" customWidth="1"/>
    <col min="3" max="3" width="26" bestFit="1" customWidth="1"/>
    <col min="4" max="4" width="30.7109375" hidden="1" customWidth="1"/>
    <col min="5" max="5" width="27.85546875" hidden="1" customWidth="1"/>
    <col min="6" max="6" width="26.7109375" style="27" hidden="1" customWidth="1"/>
    <col min="7" max="16" width="5.7109375" customWidth="1"/>
    <col min="17" max="17" width="5.7109375" hidden="1" customWidth="1"/>
    <col min="18" max="24" width="5.7109375" customWidth="1"/>
    <col min="25" max="25" width="5.5703125" customWidth="1"/>
    <col min="26" max="26" width="5.7109375" customWidth="1"/>
    <col min="27" max="27" width="5.7109375" hidden="1" customWidth="1"/>
    <col min="28" max="37" width="5.7109375" customWidth="1"/>
    <col min="38" max="38" width="6" customWidth="1"/>
    <col min="39" max="47" width="5.7109375" customWidth="1"/>
    <col min="48" max="48" width="7.42578125" bestFit="1" customWidth="1"/>
    <col min="49" max="49" width="5.7109375" customWidth="1"/>
    <col min="50" max="50" width="4.42578125" bestFit="1" customWidth="1"/>
    <col min="51" max="51" width="5.7109375" customWidth="1"/>
    <col min="52" max="52" width="7.28515625" bestFit="1" customWidth="1"/>
    <col min="53" max="53" width="4.42578125" bestFit="1" customWidth="1"/>
    <col min="54" max="58" width="5.7109375" customWidth="1"/>
    <col min="59" max="59" width="5.140625" bestFit="1" customWidth="1"/>
    <col min="60" max="60" width="5.7109375" customWidth="1"/>
    <col min="61" max="61" width="7.7109375" bestFit="1" customWidth="1"/>
    <col min="62" max="62" width="7.42578125" bestFit="1" customWidth="1"/>
    <col min="63" max="66" width="5.7109375" customWidth="1"/>
    <col min="67" max="67" width="4.42578125" bestFit="1" customWidth="1"/>
    <col min="68" max="76" width="5.7109375" customWidth="1"/>
    <col min="77" max="77" width="5.140625" bestFit="1" customWidth="1"/>
    <col min="78" max="78" width="5.7109375" customWidth="1"/>
    <col min="79" max="79" width="4.42578125" bestFit="1" customWidth="1"/>
    <col min="80" max="80" width="5.7109375" customWidth="1"/>
    <col min="81" max="82" width="4.42578125" bestFit="1" customWidth="1"/>
    <col min="83" max="86" width="5.7109375" customWidth="1"/>
    <col min="87" max="87" width="6" bestFit="1" customWidth="1"/>
    <col min="88" max="88" width="6.7109375" bestFit="1" customWidth="1"/>
    <col min="89" max="89" width="21.42578125" bestFit="1" customWidth="1"/>
    <col min="90" max="90" width="7.42578125" bestFit="1" customWidth="1"/>
    <col min="91" max="91" width="13.85546875" bestFit="1" customWidth="1"/>
    <col min="92" max="92" width="7.42578125" bestFit="1" customWidth="1"/>
    <col min="93" max="105" width="5.7109375" customWidth="1"/>
    <col min="106" max="106" width="5.7109375" hidden="1" customWidth="1"/>
    <col min="107" max="107" width="5.7109375" customWidth="1"/>
    <col min="108" max="108" width="5.7109375" hidden="1" customWidth="1"/>
    <col min="109" max="109" width="5.7109375" customWidth="1"/>
    <col min="110" max="110" width="5.7109375" hidden="1" customWidth="1"/>
    <col min="111" max="111" width="5.7109375" customWidth="1"/>
    <col min="112" max="113" width="5.7109375" hidden="1" customWidth="1"/>
    <col min="114" max="118" width="5.7109375" customWidth="1"/>
    <col min="119" max="119" width="7.85546875" customWidth="1"/>
    <col min="120" max="120" width="12.140625" customWidth="1"/>
    <col min="121" max="121" width="6.42578125" customWidth="1"/>
    <col min="122" max="122" width="5.7109375" customWidth="1"/>
    <col min="123" max="123" width="5.7109375" style="28" customWidth="1"/>
    <col min="124" max="124" width="5.7109375" hidden="1" customWidth="1"/>
  </cols>
  <sheetData>
    <row r="1" spans="1:124" ht="20.100000000000001" customHeight="1">
      <c r="A1" s="209" t="s">
        <v>263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  <c r="Y1" s="227"/>
      <c r="Z1" s="227"/>
      <c r="AA1" s="227"/>
      <c r="AB1" s="227"/>
      <c r="AC1" s="227"/>
      <c r="AD1" s="227"/>
      <c r="AE1" s="227"/>
      <c r="AF1" s="227"/>
      <c r="AG1" s="227"/>
      <c r="AH1" s="227"/>
      <c r="AI1" s="227"/>
      <c r="AJ1" s="227"/>
      <c r="AK1" s="227"/>
      <c r="AL1" s="227"/>
      <c r="AM1" s="227"/>
      <c r="AN1" s="227"/>
      <c r="AO1" s="227"/>
      <c r="AP1" s="227"/>
      <c r="AQ1" s="227"/>
      <c r="AR1" s="227"/>
      <c r="AS1" s="227"/>
      <c r="AT1" s="227"/>
      <c r="AU1" s="227"/>
      <c r="AV1" s="227"/>
      <c r="AW1" s="227"/>
      <c r="AX1" s="227"/>
      <c r="AY1" s="227"/>
      <c r="AZ1" s="227"/>
      <c r="BA1" s="227"/>
      <c r="BB1" s="227"/>
      <c r="BC1" s="227"/>
      <c r="BD1" s="227"/>
      <c r="BE1" s="227"/>
      <c r="BF1" s="227"/>
      <c r="BG1" s="227"/>
      <c r="BH1" s="227"/>
      <c r="BI1" s="227"/>
      <c r="BJ1" s="227"/>
      <c r="BK1" s="227"/>
      <c r="BL1" s="227"/>
      <c r="BM1" s="227"/>
      <c r="BN1" s="227"/>
      <c r="BO1" s="227"/>
      <c r="BP1" s="227"/>
      <c r="BQ1" s="227"/>
      <c r="BR1" s="227"/>
      <c r="BS1" s="227"/>
      <c r="BT1" s="227"/>
      <c r="BU1" s="227"/>
      <c r="BV1" s="227"/>
      <c r="BW1" s="227"/>
      <c r="BX1" s="227"/>
      <c r="BY1" s="227"/>
      <c r="BZ1" s="227"/>
      <c r="CA1" s="227"/>
      <c r="CB1" s="227"/>
      <c r="CC1" s="227"/>
      <c r="CD1" s="227"/>
      <c r="CE1" s="227"/>
      <c r="CF1" s="227"/>
      <c r="CG1" s="227"/>
      <c r="CH1" s="227"/>
      <c r="CI1" s="227"/>
      <c r="CJ1" s="227"/>
      <c r="CK1" s="227"/>
      <c r="CL1" s="227"/>
      <c r="CM1" s="227"/>
      <c r="CN1" s="227"/>
      <c r="CO1" s="227"/>
      <c r="CP1" s="227"/>
      <c r="CQ1" s="227"/>
      <c r="CR1" s="227"/>
      <c r="CS1" s="227"/>
      <c r="CT1" s="227"/>
      <c r="CU1" s="227"/>
      <c r="CV1" s="227"/>
      <c r="CW1" s="227"/>
      <c r="CX1" s="227"/>
      <c r="CY1" s="227"/>
      <c r="CZ1" s="227"/>
      <c r="DA1" s="227"/>
      <c r="DB1" s="227"/>
      <c r="DC1" s="227"/>
      <c r="DD1" s="227"/>
      <c r="DE1" s="227"/>
      <c r="DF1" s="227"/>
      <c r="DG1" s="227"/>
      <c r="DH1" s="227"/>
      <c r="DI1" s="227"/>
      <c r="DJ1" s="227"/>
      <c r="DK1" s="227"/>
      <c r="DL1" s="227"/>
      <c r="DM1" s="227"/>
      <c r="DN1" s="227"/>
      <c r="DO1" s="227"/>
      <c r="DP1" s="227"/>
      <c r="DQ1" s="227"/>
      <c r="DR1" s="227"/>
      <c r="DS1" s="227"/>
      <c r="DT1" s="227"/>
    </row>
    <row r="2" spans="1:124" ht="20.100000000000001" customHeight="1">
      <c r="A2" s="227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7"/>
      <c r="U2" s="227"/>
      <c r="V2" s="227"/>
      <c r="W2" s="227"/>
      <c r="X2" s="227"/>
      <c r="Y2" s="227"/>
      <c r="Z2" s="227"/>
      <c r="AA2" s="227"/>
      <c r="AB2" s="227"/>
      <c r="AC2" s="227"/>
      <c r="AD2" s="227"/>
      <c r="AE2" s="227"/>
      <c r="AF2" s="227"/>
      <c r="AG2" s="227"/>
      <c r="AH2" s="227"/>
      <c r="AI2" s="227"/>
      <c r="AJ2" s="227"/>
      <c r="AK2" s="227"/>
      <c r="AL2" s="227"/>
      <c r="AM2" s="227"/>
      <c r="AN2" s="227"/>
      <c r="AO2" s="227"/>
      <c r="AP2" s="227"/>
      <c r="AQ2" s="227"/>
      <c r="AR2" s="227"/>
      <c r="AS2" s="227"/>
      <c r="AT2" s="227"/>
      <c r="AU2" s="227"/>
      <c r="AV2" s="227"/>
      <c r="AW2" s="227"/>
      <c r="AX2" s="227"/>
      <c r="AY2" s="227"/>
      <c r="AZ2" s="227"/>
      <c r="BA2" s="227"/>
      <c r="BB2" s="227"/>
      <c r="BC2" s="227"/>
      <c r="BD2" s="227"/>
      <c r="BE2" s="227"/>
      <c r="BF2" s="227"/>
      <c r="BG2" s="227"/>
      <c r="BH2" s="227"/>
      <c r="BI2" s="227"/>
      <c r="BJ2" s="227"/>
      <c r="BK2" s="227"/>
      <c r="BL2" s="227"/>
      <c r="BM2" s="227"/>
      <c r="BN2" s="227"/>
      <c r="BO2" s="227"/>
      <c r="BP2" s="227"/>
      <c r="BQ2" s="227"/>
      <c r="BR2" s="227"/>
      <c r="BS2" s="227"/>
      <c r="BT2" s="227"/>
      <c r="BU2" s="227"/>
      <c r="BV2" s="227"/>
      <c r="BW2" s="227"/>
      <c r="BX2" s="227"/>
      <c r="BY2" s="227"/>
      <c r="BZ2" s="227"/>
      <c r="CA2" s="227"/>
      <c r="CB2" s="227"/>
      <c r="CC2" s="227"/>
      <c r="CD2" s="227"/>
      <c r="CE2" s="227"/>
      <c r="CF2" s="227"/>
      <c r="CG2" s="227"/>
      <c r="CH2" s="227"/>
      <c r="CI2" s="227"/>
      <c r="CJ2" s="227"/>
      <c r="CK2" s="227"/>
      <c r="CL2" s="227"/>
      <c r="CM2" s="227"/>
      <c r="CN2" s="227"/>
      <c r="CO2" s="227"/>
      <c r="CP2" s="227"/>
      <c r="CQ2" s="227"/>
      <c r="CR2" s="227"/>
      <c r="CS2" s="227"/>
      <c r="CT2" s="227"/>
      <c r="CU2" s="227"/>
      <c r="CV2" s="227"/>
      <c r="CW2" s="227"/>
      <c r="CX2" s="227"/>
      <c r="CY2" s="227"/>
      <c r="CZ2" s="227"/>
      <c r="DA2" s="227"/>
      <c r="DB2" s="227"/>
      <c r="DC2" s="227"/>
      <c r="DD2" s="227"/>
      <c r="DE2" s="227"/>
      <c r="DF2" s="227"/>
      <c r="DG2" s="227"/>
      <c r="DH2" s="227"/>
      <c r="DI2" s="227"/>
      <c r="DJ2" s="227"/>
      <c r="DK2" s="227"/>
      <c r="DL2" s="227"/>
      <c r="DM2" s="227"/>
      <c r="DN2" s="227"/>
      <c r="DO2" s="227"/>
      <c r="DP2" s="227"/>
      <c r="DQ2" s="227"/>
      <c r="DR2" s="227"/>
      <c r="DS2" s="227"/>
      <c r="DT2" s="227"/>
    </row>
    <row r="3" spans="1:124" ht="20.100000000000001" customHeight="1">
      <c r="A3" s="227"/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7"/>
      <c r="U3" s="227"/>
      <c r="V3" s="227"/>
      <c r="W3" s="227"/>
      <c r="X3" s="227"/>
      <c r="Y3" s="227"/>
      <c r="Z3" s="227"/>
      <c r="AA3" s="227"/>
      <c r="AB3" s="227"/>
      <c r="AC3" s="227"/>
      <c r="AD3" s="227"/>
      <c r="AE3" s="227"/>
      <c r="AF3" s="227"/>
      <c r="AG3" s="227"/>
      <c r="AH3" s="227"/>
      <c r="AI3" s="227"/>
      <c r="AJ3" s="227"/>
      <c r="AK3" s="227"/>
      <c r="AL3" s="227"/>
      <c r="AM3" s="227"/>
      <c r="AN3" s="227"/>
      <c r="AO3" s="227"/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7"/>
      <c r="BC3" s="227"/>
      <c r="BD3" s="227"/>
      <c r="BE3" s="227"/>
      <c r="BF3" s="227"/>
      <c r="BG3" s="227"/>
      <c r="BH3" s="227"/>
      <c r="BI3" s="227"/>
      <c r="BJ3" s="227"/>
      <c r="BK3" s="227"/>
      <c r="BL3" s="227"/>
      <c r="BM3" s="227"/>
      <c r="BN3" s="227"/>
      <c r="BO3" s="227"/>
      <c r="BP3" s="227"/>
      <c r="BQ3" s="227"/>
      <c r="BR3" s="227"/>
      <c r="BS3" s="227"/>
      <c r="BT3" s="227"/>
      <c r="BU3" s="227"/>
      <c r="BV3" s="227"/>
      <c r="BW3" s="227"/>
      <c r="BX3" s="227"/>
      <c r="BY3" s="227"/>
      <c r="BZ3" s="227"/>
      <c r="CA3" s="227"/>
      <c r="CB3" s="227"/>
      <c r="CC3" s="227"/>
      <c r="CD3" s="227"/>
      <c r="CE3" s="227"/>
      <c r="CF3" s="227"/>
      <c r="CG3" s="227"/>
      <c r="CH3" s="227"/>
      <c r="CI3" s="227"/>
      <c r="CJ3" s="227"/>
      <c r="CK3" s="227"/>
      <c r="CL3" s="227"/>
      <c r="CM3" s="227"/>
      <c r="CN3" s="227"/>
      <c r="CO3" s="227"/>
      <c r="CP3" s="227"/>
      <c r="CQ3" s="227"/>
      <c r="CR3" s="227"/>
      <c r="CS3" s="227"/>
      <c r="CT3" s="227"/>
      <c r="CU3" s="227"/>
      <c r="CV3" s="227"/>
      <c r="CW3" s="227"/>
      <c r="CX3" s="227"/>
      <c r="CY3" s="227"/>
      <c r="CZ3" s="227"/>
      <c r="DA3" s="227"/>
      <c r="DB3" s="227"/>
      <c r="DC3" s="227"/>
      <c r="DD3" s="227"/>
      <c r="DE3" s="227"/>
      <c r="DF3" s="227"/>
      <c r="DG3" s="227"/>
      <c r="DH3" s="227"/>
      <c r="DI3" s="227"/>
      <c r="DJ3" s="227"/>
      <c r="DK3" s="227"/>
      <c r="DL3" s="227"/>
      <c r="DM3" s="227"/>
      <c r="DN3" s="227"/>
      <c r="DO3" s="227"/>
      <c r="DP3" s="227"/>
      <c r="DQ3" s="227"/>
      <c r="DR3" s="227"/>
      <c r="DS3" s="227"/>
      <c r="DT3" s="227"/>
    </row>
    <row r="4" spans="1:124" ht="20.100000000000001" customHeight="1">
      <c r="A4" s="227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227"/>
      <c r="Z4" s="227"/>
      <c r="AA4" s="227"/>
      <c r="AB4" s="227"/>
      <c r="AC4" s="227"/>
      <c r="AD4" s="227"/>
      <c r="AE4" s="227"/>
      <c r="AF4" s="227"/>
      <c r="AG4" s="227"/>
      <c r="AH4" s="227"/>
      <c r="AI4" s="227"/>
      <c r="AJ4" s="227"/>
      <c r="AK4" s="227"/>
      <c r="AL4" s="227"/>
      <c r="AM4" s="227"/>
      <c r="AN4" s="227"/>
      <c r="AO4" s="227"/>
      <c r="AP4" s="227"/>
      <c r="AQ4" s="227"/>
      <c r="AR4" s="227"/>
      <c r="AS4" s="227"/>
      <c r="AT4" s="227"/>
      <c r="AU4" s="227"/>
      <c r="AV4" s="227"/>
      <c r="AW4" s="227"/>
      <c r="AX4" s="227"/>
      <c r="AY4" s="227"/>
      <c r="AZ4" s="227"/>
      <c r="BA4" s="227"/>
      <c r="BB4" s="227"/>
      <c r="BC4" s="227"/>
      <c r="BD4" s="227"/>
      <c r="BE4" s="227"/>
      <c r="BF4" s="227"/>
      <c r="BG4" s="227"/>
      <c r="BH4" s="227"/>
      <c r="BI4" s="227"/>
      <c r="BJ4" s="227"/>
      <c r="BK4" s="227"/>
      <c r="BL4" s="227"/>
      <c r="BM4" s="227"/>
      <c r="BN4" s="227"/>
      <c r="BO4" s="227"/>
      <c r="BP4" s="227"/>
      <c r="BQ4" s="227"/>
      <c r="BR4" s="227"/>
      <c r="BS4" s="227"/>
      <c r="BT4" s="227"/>
      <c r="BU4" s="227"/>
      <c r="BV4" s="227"/>
      <c r="BW4" s="227"/>
      <c r="BX4" s="227"/>
      <c r="BY4" s="227"/>
      <c r="BZ4" s="227"/>
      <c r="CA4" s="227"/>
      <c r="CB4" s="227"/>
      <c r="CC4" s="227"/>
      <c r="CD4" s="227"/>
      <c r="CE4" s="227"/>
      <c r="CF4" s="227"/>
      <c r="CG4" s="227"/>
      <c r="CH4" s="227"/>
      <c r="CI4" s="227"/>
      <c r="CJ4" s="227"/>
      <c r="CK4" s="227"/>
      <c r="CL4" s="227"/>
      <c r="CM4" s="227"/>
      <c r="CN4" s="227"/>
      <c r="CO4" s="227"/>
      <c r="CP4" s="227"/>
      <c r="CQ4" s="227"/>
      <c r="CR4" s="227"/>
      <c r="CS4" s="227"/>
      <c r="CT4" s="227"/>
      <c r="CU4" s="227"/>
      <c r="CV4" s="227"/>
      <c r="CW4" s="227"/>
      <c r="CX4" s="227"/>
      <c r="CY4" s="227"/>
      <c r="CZ4" s="227"/>
      <c r="DA4" s="227"/>
      <c r="DB4" s="227"/>
      <c r="DC4" s="227"/>
      <c r="DD4" s="227"/>
      <c r="DE4" s="227"/>
      <c r="DF4" s="227"/>
      <c r="DG4" s="227"/>
      <c r="DH4" s="227"/>
      <c r="DI4" s="227"/>
      <c r="DJ4" s="227"/>
      <c r="DK4" s="227"/>
      <c r="DL4" s="227"/>
      <c r="DM4" s="227"/>
      <c r="DN4" s="227"/>
      <c r="DO4" s="227"/>
      <c r="DP4" s="227"/>
      <c r="DQ4" s="227"/>
      <c r="DR4" s="227"/>
      <c r="DS4" s="227"/>
      <c r="DT4" s="227"/>
    </row>
    <row r="5" spans="1:124" ht="20.100000000000001" customHeight="1">
      <c r="A5" s="227"/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  <c r="AB5" s="227"/>
      <c r="AC5" s="227"/>
      <c r="AD5" s="227"/>
      <c r="AE5" s="227"/>
      <c r="AF5" s="227"/>
      <c r="AG5" s="227"/>
      <c r="AH5" s="227"/>
      <c r="AI5" s="227"/>
      <c r="AJ5" s="227"/>
      <c r="AK5" s="227"/>
      <c r="AL5" s="227"/>
      <c r="AM5" s="227"/>
      <c r="AN5" s="227"/>
      <c r="AO5" s="227"/>
      <c r="AP5" s="227"/>
      <c r="AQ5" s="227"/>
      <c r="AR5" s="227"/>
      <c r="AS5" s="227"/>
      <c r="AT5" s="227"/>
      <c r="AU5" s="227"/>
      <c r="AV5" s="227"/>
      <c r="AW5" s="227"/>
      <c r="AX5" s="227"/>
      <c r="AY5" s="227"/>
      <c r="AZ5" s="227"/>
      <c r="BA5" s="227"/>
      <c r="BB5" s="227"/>
      <c r="BC5" s="227"/>
      <c r="BD5" s="227"/>
      <c r="BE5" s="227"/>
      <c r="BF5" s="227"/>
      <c r="BG5" s="227"/>
      <c r="BH5" s="227"/>
      <c r="BI5" s="227"/>
      <c r="BJ5" s="227"/>
      <c r="BK5" s="227"/>
      <c r="BL5" s="227"/>
      <c r="BM5" s="227"/>
      <c r="BN5" s="227"/>
      <c r="BO5" s="227"/>
      <c r="BP5" s="227"/>
      <c r="BQ5" s="227"/>
      <c r="BR5" s="227"/>
      <c r="BS5" s="227"/>
      <c r="BT5" s="227"/>
      <c r="BU5" s="227"/>
      <c r="BV5" s="227"/>
      <c r="BW5" s="227"/>
      <c r="BX5" s="227"/>
      <c r="BY5" s="227"/>
      <c r="BZ5" s="227"/>
      <c r="CA5" s="227"/>
      <c r="CB5" s="227"/>
      <c r="CC5" s="227"/>
      <c r="CD5" s="227"/>
      <c r="CE5" s="227"/>
      <c r="CF5" s="227"/>
      <c r="CG5" s="227"/>
      <c r="CH5" s="227"/>
      <c r="CI5" s="227"/>
      <c r="CJ5" s="227"/>
      <c r="CK5" s="227"/>
      <c r="CL5" s="227"/>
      <c r="CM5" s="227"/>
      <c r="CN5" s="227"/>
      <c r="CO5" s="227"/>
      <c r="CP5" s="227"/>
      <c r="CQ5" s="227"/>
      <c r="CR5" s="227"/>
      <c r="CS5" s="227"/>
      <c r="CT5" s="227"/>
      <c r="CU5" s="227"/>
      <c r="CV5" s="227"/>
      <c r="CW5" s="227"/>
      <c r="CX5" s="227"/>
      <c r="CY5" s="227"/>
      <c r="CZ5" s="227"/>
      <c r="DA5" s="227"/>
      <c r="DB5" s="227"/>
      <c r="DC5" s="227"/>
      <c r="DD5" s="227"/>
      <c r="DE5" s="227"/>
      <c r="DF5" s="227"/>
      <c r="DG5" s="227"/>
      <c r="DH5" s="227"/>
      <c r="DI5" s="227"/>
      <c r="DJ5" s="227"/>
      <c r="DK5" s="227"/>
      <c r="DL5" s="227"/>
      <c r="DM5" s="227"/>
      <c r="DN5" s="227"/>
      <c r="DO5" s="227"/>
      <c r="DP5" s="227"/>
      <c r="DQ5" s="227"/>
      <c r="DR5" s="227"/>
      <c r="DS5" s="227"/>
      <c r="DT5" s="227"/>
    </row>
    <row r="6" spans="1:124" s="99" customFormat="1" ht="23.1" customHeight="1">
      <c r="A6" s="228" t="s">
        <v>11</v>
      </c>
      <c r="B6" s="228" t="s">
        <v>0</v>
      </c>
      <c r="C6" s="228" t="s">
        <v>16</v>
      </c>
      <c r="D6" s="228" t="s">
        <v>21</v>
      </c>
      <c r="E6" s="228" t="s">
        <v>15</v>
      </c>
      <c r="F6" s="230" t="s">
        <v>18</v>
      </c>
      <c r="G6" s="231" t="s">
        <v>20</v>
      </c>
      <c r="H6" s="231"/>
      <c r="I6" s="231"/>
      <c r="J6" s="231"/>
      <c r="K6" s="215" t="s">
        <v>72</v>
      </c>
      <c r="L6" s="231" t="s">
        <v>19</v>
      </c>
      <c r="M6" s="231"/>
      <c r="N6" s="231"/>
      <c r="O6" s="231"/>
      <c r="P6" s="215" t="s">
        <v>72</v>
      </c>
      <c r="Q6" s="217" t="s">
        <v>1</v>
      </c>
      <c r="R6" s="216" t="s">
        <v>22</v>
      </c>
      <c r="S6" s="217" t="s">
        <v>2</v>
      </c>
      <c r="T6" s="231" t="s">
        <v>12</v>
      </c>
      <c r="U6" s="231"/>
      <c r="V6" s="231"/>
      <c r="W6" s="231"/>
      <c r="X6" s="231"/>
      <c r="Y6" s="231"/>
      <c r="Z6" s="215" t="s">
        <v>72</v>
      </c>
      <c r="AA6" s="215" t="s">
        <v>1</v>
      </c>
      <c r="AB6" s="216" t="s">
        <v>22</v>
      </c>
      <c r="AC6" s="217" t="s">
        <v>2</v>
      </c>
      <c r="AD6" s="231" t="s">
        <v>45</v>
      </c>
      <c r="AE6" s="231"/>
      <c r="AF6" s="231"/>
      <c r="AG6" s="231"/>
      <c r="AH6" s="217" t="s">
        <v>1</v>
      </c>
      <c r="AI6" s="216" t="s">
        <v>22</v>
      </c>
      <c r="AJ6" s="217" t="s">
        <v>2</v>
      </c>
      <c r="AK6" s="231" t="s">
        <v>3</v>
      </c>
      <c r="AL6" s="231"/>
      <c r="AM6" s="231"/>
      <c r="AN6" s="231"/>
      <c r="AO6" s="215" t="s">
        <v>72</v>
      </c>
      <c r="AP6" s="216" t="s">
        <v>22</v>
      </c>
      <c r="AQ6" s="217" t="s">
        <v>2</v>
      </c>
      <c r="AR6" s="231" t="s">
        <v>4</v>
      </c>
      <c r="AS6" s="231"/>
      <c r="AT6" s="231"/>
      <c r="AU6" s="218" t="s">
        <v>1</v>
      </c>
      <c r="AV6" s="216" t="s">
        <v>22</v>
      </c>
      <c r="AW6" s="217" t="s">
        <v>2</v>
      </c>
      <c r="AX6" s="231" t="s">
        <v>52</v>
      </c>
      <c r="AY6" s="231"/>
      <c r="AZ6" s="231"/>
      <c r="BA6" s="231"/>
      <c r="BB6" s="217" t="s">
        <v>1</v>
      </c>
      <c r="BC6" s="216" t="s">
        <v>22</v>
      </c>
      <c r="BD6" s="217" t="s">
        <v>2</v>
      </c>
      <c r="BE6" s="231" t="s">
        <v>53</v>
      </c>
      <c r="BF6" s="231"/>
      <c r="BG6" s="231"/>
      <c r="BH6" s="231"/>
      <c r="BI6" s="217" t="s">
        <v>1</v>
      </c>
      <c r="BJ6" s="216" t="s">
        <v>22</v>
      </c>
      <c r="BK6" s="217" t="s">
        <v>2</v>
      </c>
      <c r="BL6" s="231" t="s">
        <v>54</v>
      </c>
      <c r="BM6" s="231"/>
      <c r="BN6" s="231"/>
      <c r="BO6" s="231"/>
      <c r="BP6" s="217" t="s">
        <v>1</v>
      </c>
      <c r="BQ6" s="216" t="s">
        <v>22</v>
      </c>
      <c r="BR6" s="217" t="s">
        <v>2</v>
      </c>
      <c r="BS6" s="232" t="s">
        <v>10</v>
      </c>
      <c r="BT6" s="231"/>
      <c r="BU6" s="231"/>
      <c r="BV6" s="231"/>
      <c r="BW6" s="217" t="s">
        <v>1</v>
      </c>
      <c r="BX6" s="216" t="s">
        <v>22</v>
      </c>
      <c r="BY6" s="217" t="s">
        <v>2</v>
      </c>
      <c r="BZ6" s="231" t="s">
        <v>38</v>
      </c>
      <c r="CA6" s="231"/>
      <c r="CB6" s="231"/>
      <c r="CC6" s="231"/>
      <c r="CD6" s="231"/>
      <c r="CE6" s="217" t="s">
        <v>1</v>
      </c>
      <c r="CF6" s="216" t="s">
        <v>22</v>
      </c>
      <c r="CG6" s="220" t="s">
        <v>71</v>
      </c>
      <c r="CH6" s="217" t="s">
        <v>2</v>
      </c>
      <c r="CI6" s="217" t="s">
        <v>5</v>
      </c>
      <c r="CJ6" s="217" t="s">
        <v>6</v>
      </c>
      <c r="CK6" s="217" t="s">
        <v>46</v>
      </c>
      <c r="CL6" s="216" t="s">
        <v>47</v>
      </c>
      <c r="CM6" s="214" t="s">
        <v>55</v>
      </c>
      <c r="CN6" s="215" t="s">
        <v>48</v>
      </c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8"/>
      <c r="DJ6" s="98"/>
      <c r="DK6" s="98"/>
      <c r="DL6" s="98"/>
      <c r="DM6" s="98"/>
      <c r="DN6" s="98"/>
      <c r="DO6" s="98"/>
      <c r="DP6" s="98"/>
      <c r="DQ6" s="98"/>
      <c r="DR6" s="98"/>
      <c r="DS6" s="98"/>
      <c r="DT6" s="229" t="s">
        <v>48</v>
      </c>
    </row>
    <row r="7" spans="1:124" s="21" customFormat="1" ht="26.25" customHeight="1">
      <c r="A7" s="228"/>
      <c r="B7" s="228"/>
      <c r="C7" s="228"/>
      <c r="D7" s="228"/>
      <c r="E7" s="228"/>
      <c r="F7" s="230"/>
      <c r="G7" s="82" t="s">
        <v>17</v>
      </c>
      <c r="H7" s="82" t="s">
        <v>7</v>
      </c>
      <c r="I7" s="66" t="s">
        <v>70</v>
      </c>
      <c r="J7" s="82" t="s">
        <v>8</v>
      </c>
      <c r="K7" s="217"/>
      <c r="L7" s="82" t="s">
        <v>17</v>
      </c>
      <c r="M7" s="82" t="s">
        <v>7</v>
      </c>
      <c r="N7" s="66" t="s">
        <v>70</v>
      </c>
      <c r="O7" s="82" t="s">
        <v>8</v>
      </c>
      <c r="P7" s="217"/>
      <c r="Q7" s="217"/>
      <c r="R7" s="218"/>
      <c r="S7" s="217"/>
      <c r="T7" s="82" t="s">
        <v>17</v>
      </c>
      <c r="U7" s="82" t="s">
        <v>13</v>
      </c>
      <c r="V7" s="67" t="s">
        <v>97</v>
      </c>
      <c r="W7" s="82" t="s">
        <v>17</v>
      </c>
      <c r="X7" s="82" t="s">
        <v>14</v>
      </c>
      <c r="Y7" s="67" t="s">
        <v>97</v>
      </c>
      <c r="Z7" s="217"/>
      <c r="AA7" s="217"/>
      <c r="AB7" s="218"/>
      <c r="AC7" s="217"/>
      <c r="AD7" s="82" t="s">
        <v>17</v>
      </c>
      <c r="AE7" s="82" t="s">
        <v>7</v>
      </c>
      <c r="AF7" s="66" t="s">
        <v>70</v>
      </c>
      <c r="AG7" s="82" t="s">
        <v>8</v>
      </c>
      <c r="AH7" s="217"/>
      <c r="AI7" s="218"/>
      <c r="AJ7" s="217"/>
      <c r="AK7" s="82" t="s">
        <v>17</v>
      </c>
      <c r="AL7" s="82" t="s">
        <v>7</v>
      </c>
      <c r="AM7" s="66" t="s">
        <v>70</v>
      </c>
      <c r="AN7" s="82" t="s">
        <v>8</v>
      </c>
      <c r="AO7" s="217"/>
      <c r="AP7" s="218"/>
      <c r="AQ7" s="217"/>
      <c r="AR7" s="82" t="s">
        <v>17</v>
      </c>
      <c r="AS7" s="82" t="s">
        <v>8</v>
      </c>
      <c r="AT7" s="82" t="s">
        <v>9</v>
      </c>
      <c r="AU7" s="218"/>
      <c r="AV7" s="218"/>
      <c r="AW7" s="217"/>
      <c r="AX7" s="82" t="s">
        <v>17</v>
      </c>
      <c r="AY7" s="82" t="s">
        <v>7</v>
      </c>
      <c r="AZ7" s="82" t="s">
        <v>70</v>
      </c>
      <c r="BA7" s="82" t="s">
        <v>8</v>
      </c>
      <c r="BB7" s="217"/>
      <c r="BC7" s="218"/>
      <c r="BD7" s="217"/>
      <c r="BE7" s="82" t="s">
        <v>17</v>
      </c>
      <c r="BF7" s="82" t="s">
        <v>7</v>
      </c>
      <c r="BG7" s="66" t="s">
        <v>70</v>
      </c>
      <c r="BH7" s="82" t="s">
        <v>8</v>
      </c>
      <c r="BI7" s="217"/>
      <c r="BJ7" s="216"/>
      <c r="BK7" s="217"/>
      <c r="BL7" s="82" t="s">
        <v>17</v>
      </c>
      <c r="BM7" s="82" t="s">
        <v>7</v>
      </c>
      <c r="BN7" s="66" t="s">
        <v>70</v>
      </c>
      <c r="BO7" s="82" t="s">
        <v>8</v>
      </c>
      <c r="BP7" s="217"/>
      <c r="BQ7" s="216"/>
      <c r="BR7" s="217"/>
      <c r="BS7" s="82" t="s">
        <v>17</v>
      </c>
      <c r="BT7" s="82" t="s">
        <v>7</v>
      </c>
      <c r="BU7" s="82" t="s">
        <v>70</v>
      </c>
      <c r="BV7" s="82" t="s">
        <v>8</v>
      </c>
      <c r="BW7" s="217"/>
      <c r="BX7" s="216"/>
      <c r="BY7" s="217"/>
      <c r="BZ7" s="82" t="s">
        <v>17</v>
      </c>
      <c r="CA7" s="82" t="s">
        <v>7</v>
      </c>
      <c r="CB7" s="82" t="s">
        <v>70</v>
      </c>
      <c r="CC7" s="82" t="s">
        <v>8</v>
      </c>
      <c r="CD7" s="82" t="s">
        <v>9</v>
      </c>
      <c r="CE7" s="217"/>
      <c r="CF7" s="216"/>
      <c r="CG7" s="221"/>
      <c r="CH7" s="217"/>
      <c r="CI7" s="217"/>
      <c r="CJ7" s="217"/>
      <c r="CK7" s="217"/>
      <c r="CL7" s="216"/>
      <c r="CM7" s="214"/>
      <c r="CN7" s="215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 s="229"/>
    </row>
    <row r="8" spans="1:124" ht="24.95" customHeight="1">
      <c r="A8" s="19">
        <v>1</v>
      </c>
      <c r="B8" s="47">
        <v>42</v>
      </c>
      <c r="C8" s="48" t="s">
        <v>111</v>
      </c>
      <c r="D8" s="48" t="s">
        <v>112</v>
      </c>
      <c r="E8" s="48" t="s">
        <v>113</v>
      </c>
      <c r="F8" s="49" t="s">
        <v>114</v>
      </c>
      <c r="G8" s="100">
        <v>18</v>
      </c>
      <c r="H8" s="101">
        <v>21</v>
      </c>
      <c r="I8" s="101">
        <f>G8+H8</f>
        <v>39</v>
      </c>
      <c r="J8" s="101">
        <v>13</v>
      </c>
      <c r="K8" s="101">
        <f t="shared" ref="K8:K46" si="0">I8+J8</f>
        <v>52</v>
      </c>
      <c r="L8" s="102">
        <v>14</v>
      </c>
      <c r="M8" s="101">
        <v>29</v>
      </c>
      <c r="N8" s="101">
        <f>L8+M8</f>
        <v>43</v>
      </c>
      <c r="O8" s="101">
        <v>13</v>
      </c>
      <c r="P8" s="70">
        <f>N8+O8</f>
        <v>56</v>
      </c>
      <c r="Q8" s="70">
        <f t="shared" ref="Q8:Q49" si="1">K8+P8</f>
        <v>108</v>
      </c>
      <c r="R8" s="233">
        <f>MAX(Q8:Q49)</f>
        <v>143</v>
      </c>
      <c r="S8" s="71">
        <f>IF(I8+N8&lt;56,"F",IF(J8+O8&lt;24,"F",IF(Q8&lt;80,"F",IF(Q8&lt;100,2,IF(Q8&lt;120,3,IF(Q8&lt;140,3.5,IF(Q8&lt;160,4,5)))))))</f>
        <v>3</v>
      </c>
      <c r="T8" s="102">
        <v>20</v>
      </c>
      <c r="U8" s="101">
        <v>50</v>
      </c>
      <c r="V8" s="69">
        <f t="shared" ref="V8:V49" si="2">U8+T8</f>
        <v>70</v>
      </c>
      <c r="W8" s="102">
        <v>18</v>
      </c>
      <c r="X8" s="101">
        <v>39</v>
      </c>
      <c r="Y8" s="70">
        <f>X8+W8</f>
        <v>57</v>
      </c>
      <c r="Z8" s="70">
        <f t="shared" ref="Z8:Z49" si="3">V8+Y8</f>
        <v>127</v>
      </c>
      <c r="AA8" s="70">
        <f>Z8</f>
        <v>127</v>
      </c>
      <c r="AB8" s="233">
        <f>MAX(AA8:AA49)</f>
        <v>129</v>
      </c>
      <c r="AC8" s="71">
        <f>IF(AA8&lt;80,"F",IF(AA8&lt;100,2,IF(AA8&lt;120,3,IF(AA8&lt;140,3.5,IF(AA8&lt;160,4,5)))))</f>
        <v>3.5</v>
      </c>
      <c r="AD8" s="104">
        <v>18</v>
      </c>
      <c r="AE8" s="105">
        <v>31</v>
      </c>
      <c r="AF8" s="105">
        <f t="shared" ref="AF8:AF46" si="4">AE8+AD8</f>
        <v>49</v>
      </c>
      <c r="AG8" s="105">
        <v>14</v>
      </c>
      <c r="AH8" s="70">
        <f>AF8+AG8</f>
        <v>63</v>
      </c>
      <c r="AI8" s="233">
        <f>MAX(AH8:AH49)</f>
        <v>63</v>
      </c>
      <c r="AJ8" s="71">
        <f>IF(AF8&lt;28,"F",IF(AG8&lt;12,"F",IF(AH8&lt;40,"F",IF(AH8&lt;50,2,IF(AH8&lt;60,3,IF(AH8&lt;70,3.5,IF(AH8&lt;80,4,5)))))))</f>
        <v>3.5</v>
      </c>
      <c r="AK8" s="102">
        <v>15</v>
      </c>
      <c r="AL8" s="101">
        <v>29</v>
      </c>
      <c r="AM8" s="101">
        <f t="shared" ref="AM8:AM46" si="5">AL8+AK8</f>
        <v>44</v>
      </c>
      <c r="AN8" s="101">
        <v>18</v>
      </c>
      <c r="AO8" s="70">
        <f>AM8+AN8</f>
        <v>62</v>
      </c>
      <c r="AP8" s="233">
        <f>MAX(AO8:AO49)</f>
        <v>66</v>
      </c>
      <c r="AQ8" s="71">
        <f>IF(AM8&lt;28,"F",IF(AN8&lt;12,"F",IF(AO8&lt;40,"F",IF(AO8&lt;50,2,IF(AO8&lt;60,3,IF(AO8&lt;70,3.5,IF(AO8&lt;80,4,5)))))))</f>
        <v>3.5</v>
      </c>
      <c r="AR8" s="70"/>
      <c r="AS8" s="101">
        <v>22</v>
      </c>
      <c r="AT8" s="101">
        <v>23</v>
      </c>
      <c r="AU8" s="70">
        <f>SUM(AR8:AT8)</f>
        <v>45</v>
      </c>
      <c r="AV8" s="233">
        <f>MAX(AU8:AU39)</f>
        <v>46</v>
      </c>
      <c r="AW8" s="71">
        <f t="shared" ref="AW8:AW49" si="6">IF(AS8&lt;10,"F",IF(AT8&lt;10,"F",IF(AU8&lt;20,"F",IF(AU8&lt;25,2,IF(AU8&lt;30,3,IF(AU8&lt;35,3.5,IF(AU8&lt;40,4,5)))))))</f>
        <v>5</v>
      </c>
      <c r="AX8" s="102">
        <v>20</v>
      </c>
      <c r="AY8" s="101">
        <v>34</v>
      </c>
      <c r="AZ8" s="101">
        <f>AY8+AX8</f>
        <v>54</v>
      </c>
      <c r="BA8" s="101">
        <v>18</v>
      </c>
      <c r="BB8" s="70">
        <f>SUM(AZ8+BA8)</f>
        <v>72</v>
      </c>
      <c r="BC8" s="233">
        <f>MAX(BB8:BB39)</f>
        <v>75</v>
      </c>
      <c r="BD8" s="71">
        <f>IF(AZ8&lt;28,"F",IF(BA8&lt;12,"F",IF(BB8&lt;40,"F",IF(BB8&lt;50,2,IF(BB8&lt;60,3,IF(BB8&lt;70,3.5,IF(BB8&lt;80,4,5)))))))</f>
        <v>4</v>
      </c>
      <c r="BE8" s="102">
        <v>14</v>
      </c>
      <c r="BF8" s="101">
        <v>32</v>
      </c>
      <c r="BG8" s="101">
        <f t="shared" ref="BG8:BG46" si="7">BF8+BE8</f>
        <v>46</v>
      </c>
      <c r="BH8" s="101">
        <v>17</v>
      </c>
      <c r="BI8" s="101">
        <f t="shared" ref="BI8:BI30" si="8">BG8+BH8</f>
        <v>63</v>
      </c>
      <c r="BJ8" s="233">
        <f>MAX(BI8:BI39)</f>
        <v>68</v>
      </c>
      <c r="BK8" s="71">
        <f>IF(BG8&lt;28,"F",IF(BH8&lt;12,"F",IF(BI8&lt;40,"F",IF(BI8&lt;50,2,IF(BI8&lt;60,3,IF(BI8&lt;70,3.5,IF(BI8&lt;80,4,5)))))))</f>
        <v>3.5</v>
      </c>
      <c r="BL8" s="102">
        <v>15</v>
      </c>
      <c r="BM8" s="101">
        <v>41</v>
      </c>
      <c r="BN8" s="101">
        <f t="shared" ref="BN8:BN46" si="9">BM8+BL8</f>
        <v>56</v>
      </c>
      <c r="BO8" s="101">
        <v>18</v>
      </c>
      <c r="BP8" s="70">
        <f>SUM(BN8:BO8)</f>
        <v>74</v>
      </c>
      <c r="BQ8" s="233">
        <f>MAX(BP8:BP39)</f>
        <v>74</v>
      </c>
      <c r="BR8" s="71">
        <f>IF(BN8&lt;28,"F",IF(BO8&lt;12,"F",IF(BP8&lt;40,"F",IF(BP8&lt;50,2,IF(BP8&lt;60,3,IF(BP8&lt;70,3.5,IF(BP8&lt;80,4,5)))))))</f>
        <v>4</v>
      </c>
      <c r="BS8" s="102">
        <v>16</v>
      </c>
      <c r="BT8" s="101">
        <v>26</v>
      </c>
      <c r="BU8" s="101">
        <f t="shared" ref="BU8:BU31" si="10">BT8+BS8</f>
        <v>42</v>
      </c>
      <c r="BV8" s="101">
        <v>20</v>
      </c>
      <c r="BW8" s="70">
        <f>BU8+BV8</f>
        <v>62</v>
      </c>
      <c r="BX8" s="233">
        <f>MAX(BW8:BW39)</f>
        <v>71</v>
      </c>
      <c r="BY8" s="71">
        <f>IF(BU8&lt;28,"F",IF(BV8&lt;12,"F",IF(BW8&lt;40,"F",IF(BW8&lt;50,2,IF(BW8&lt;60,3,IF(BW8&lt;70,3.5,IF(BW8&lt;80,4,5)))))))</f>
        <v>3.5</v>
      </c>
      <c r="BZ8" s="102">
        <v>9</v>
      </c>
      <c r="CA8" s="101">
        <v>26</v>
      </c>
      <c r="CB8" s="101">
        <f t="shared" ref="CB8:CB46" si="11">CA8+BZ8</f>
        <v>35</v>
      </c>
      <c r="CC8" s="101">
        <v>17</v>
      </c>
      <c r="CD8" s="101">
        <v>23</v>
      </c>
      <c r="CE8" s="70">
        <f>CB8+CC8+CD8</f>
        <v>75</v>
      </c>
      <c r="CF8" s="233">
        <f>MAX(CE8:CE39)</f>
        <v>75</v>
      </c>
      <c r="CG8" s="71">
        <f>IF(CB8&lt;20,"0",IF(CC8&lt;10,"0",IF(CD8&lt;10,"0",IF(CE8&lt;40,"0",IF(CE8&lt;50,2,IF(CE8&lt;60,3,IF(CE8&lt;70,3.5,IF(CE8&lt;80,4,5))))))))</f>
        <v>4</v>
      </c>
      <c r="CH8" s="71">
        <f>IF(CB8&lt;20,"F",IF(CC8&lt;10,"F",IF(CD8&lt;10,"F",IF(CE8&lt;40,"F",IF(CE8&lt;50,2,IF(CE8&lt;60,3,IF(CE8&lt;70,3.5,IF(CE8&lt;80,4,5))))))))</f>
        <v>4</v>
      </c>
      <c r="CI8" s="70">
        <f t="shared" ref="CI8:CI49" si="12">IF(S8="F","F",IF(AC8="F","F",IF(AJ8="F","F",IF(AQ8="F","F",IF(BD8="F","F",IF(BK8="F","F",IF(BR8="F","F",IF(BY8="F","F",IF(CG8="F","F",IF(AW8="F","F", IF(CG8&lt;2,SUM(S8,AC8,AJ8,AQ8,AW8,BD8,BK8,BR8,BY8,CG8),IF(CG8&gt;=2,SUM(S8,AC8,AJ8,AQ8,BD8,BK8,AW8,BR8,BY8,CG8-2)))))))))))))</f>
        <v>35.5</v>
      </c>
      <c r="CJ8" s="72">
        <f>IF(CI8="F","F",IF(CI8&gt;=45,5,IF(CI8&lt;45,CI8/9)))</f>
        <v>3.9444444444444446</v>
      </c>
      <c r="CK8" s="79" t="str">
        <f>IF(CJ8="F","NEED TO PROGRESS",IF(CJ8&gt;=5,"BEST",IF(CJ8&gt;=4,"BETTER",IF(CJ8&gt;=2,"GOOD"))))</f>
        <v>GOOD</v>
      </c>
      <c r="CL8" s="79">
        <f>Q8+AA8+AH8+AO8+AU8+BB8+BI8+BP8+BW8+CE8</f>
        <v>751</v>
      </c>
      <c r="CM8" s="79"/>
      <c r="CN8" s="79"/>
      <c r="DS8"/>
      <c r="DT8" s="19">
        <v>66</v>
      </c>
    </row>
    <row r="9" spans="1:124" ht="24.95" customHeight="1">
      <c r="A9" s="19">
        <v>2</v>
      </c>
      <c r="B9" s="47">
        <v>46</v>
      </c>
      <c r="C9" s="50" t="s">
        <v>115</v>
      </c>
      <c r="D9" s="50" t="s">
        <v>116</v>
      </c>
      <c r="E9" s="50" t="s">
        <v>117</v>
      </c>
      <c r="F9" s="51" t="s">
        <v>118</v>
      </c>
      <c r="G9" s="100">
        <v>17</v>
      </c>
      <c r="H9" s="101">
        <v>26</v>
      </c>
      <c r="I9" s="101">
        <f t="shared" ref="I9:I46" si="13">G9+H9</f>
        <v>43</v>
      </c>
      <c r="J9" s="101">
        <v>12</v>
      </c>
      <c r="K9" s="101">
        <f t="shared" si="0"/>
        <v>55</v>
      </c>
      <c r="L9" s="102">
        <v>13</v>
      </c>
      <c r="M9" s="101">
        <v>25</v>
      </c>
      <c r="N9" s="101">
        <f t="shared" ref="N9:N46" si="14">L9+M9</f>
        <v>38</v>
      </c>
      <c r="O9" s="101">
        <v>14</v>
      </c>
      <c r="P9" s="70">
        <f t="shared" ref="P9:P49" si="15">N9+O9</f>
        <v>52</v>
      </c>
      <c r="Q9" s="70">
        <f t="shared" si="1"/>
        <v>107</v>
      </c>
      <c r="R9" s="234"/>
      <c r="S9" s="71">
        <f t="shared" ref="S9:S49" si="16">IF(I9+N9&lt;56,"F",IF(J9+O9&lt;24,"F",IF(Q9&lt;80,"F",IF(Q9&lt;100,2,IF(Q9&lt;120,3,IF(Q9&lt;140,3.5,IF(Q9&lt;160,4,5)))))))</f>
        <v>3</v>
      </c>
      <c r="T9" s="102">
        <v>17</v>
      </c>
      <c r="U9" s="101">
        <v>44</v>
      </c>
      <c r="V9" s="69">
        <f t="shared" si="2"/>
        <v>61</v>
      </c>
      <c r="W9" s="102">
        <v>14</v>
      </c>
      <c r="X9" s="101">
        <v>32</v>
      </c>
      <c r="Y9" s="70">
        <f t="shared" ref="Y9:Y49" si="17">X9+W9</f>
        <v>46</v>
      </c>
      <c r="Z9" s="70">
        <f t="shared" si="3"/>
        <v>107</v>
      </c>
      <c r="AA9" s="70">
        <f t="shared" ref="AA9:AA49" si="18">Z9</f>
        <v>107</v>
      </c>
      <c r="AB9" s="234"/>
      <c r="AC9" s="71">
        <f t="shared" ref="AC9:AC49" si="19">IF(AA9&lt;80,"F",IF(AA9&lt;100,2,IF(AA9&lt;120,3,IF(AA9&lt;140,3.5,IF(AA9&lt;160,4,5)))))</f>
        <v>3</v>
      </c>
      <c r="AD9" s="104">
        <v>11</v>
      </c>
      <c r="AE9" s="105">
        <v>18</v>
      </c>
      <c r="AF9" s="105">
        <f t="shared" si="4"/>
        <v>29</v>
      </c>
      <c r="AG9" s="105">
        <v>13</v>
      </c>
      <c r="AH9" s="70">
        <f t="shared" ref="AH9:AH49" si="20">AF9+AG9</f>
        <v>42</v>
      </c>
      <c r="AI9" s="234"/>
      <c r="AJ9" s="71">
        <f t="shared" ref="AJ9:AJ26" si="21">IF(AF9&lt;28,"F",IF(AG9&lt;12,"F",IF(AH9&lt;40,"F",IF(AH9&lt;50,2,IF(AH9&lt;60,3,IF(AH9&lt;70,3.5,IF(AH9&lt;80,4,5)))))))</f>
        <v>2</v>
      </c>
      <c r="AK9" s="102">
        <v>15</v>
      </c>
      <c r="AL9" s="101">
        <v>25</v>
      </c>
      <c r="AM9" s="101">
        <f t="shared" si="5"/>
        <v>40</v>
      </c>
      <c r="AN9" s="101">
        <v>19</v>
      </c>
      <c r="AO9" s="70">
        <f t="shared" ref="AO9:AO26" si="22">AM9+AN9</f>
        <v>59</v>
      </c>
      <c r="AP9" s="234"/>
      <c r="AQ9" s="71">
        <f t="shared" ref="AQ9:AQ49" si="23">IF(AM9&lt;28,"F",IF(AN9&lt;12,"F",IF(AO9&lt;40,"F",IF(AO9&lt;50,2,IF(AO9&lt;60,3,IF(AO9&lt;70,3.5,IF(AO9&lt;80,4,5)))))))</f>
        <v>3</v>
      </c>
      <c r="AR9" s="70"/>
      <c r="AS9" s="101">
        <v>20</v>
      </c>
      <c r="AT9" s="101">
        <v>23</v>
      </c>
      <c r="AU9" s="70">
        <f t="shared" ref="AU9:AU49" si="24">SUM(AR9:AT9)</f>
        <v>43</v>
      </c>
      <c r="AV9" s="234"/>
      <c r="AW9" s="71">
        <f t="shared" si="6"/>
        <v>5</v>
      </c>
      <c r="AX9" s="102">
        <v>20</v>
      </c>
      <c r="AY9" s="101">
        <v>31</v>
      </c>
      <c r="AZ9" s="101">
        <f t="shared" ref="AZ9:AZ30" si="25">AY9+AX9</f>
        <v>51</v>
      </c>
      <c r="BA9" s="101">
        <v>20</v>
      </c>
      <c r="BB9" s="70">
        <f t="shared" ref="BB9:BB49" si="26">SUM(AZ9+BA9)</f>
        <v>71</v>
      </c>
      <c r="BC9" s="234"/>
      <c r="BD9" s="71">
        <f t="shared" ref="BD9:BD49" si="27">IF(AZ9&lt;28,"F",IF(BA9&lt;12,"F",IF(BB9&lt;40,"F",IF(BB9&lt;50,2,IF(BB9&lt;60,3,IF(BB9&lt;70,3.5,IF(BB9&lt;80,4,5)))))))</f>
        <v>4</v>
      </c>
      <c r="BE9" s="102">
        <v>12</v>
      </c>
      <c r="BF9" s="101">
        <v>29</v>
      </c>
      <c r="BG9" s="101">
        <f t="shared" si="7"/>
        <v>41</v>
      </c>
      <c r="BH9" s="101">
        <v>16</v>
      </c>
      <c r="BI9" s="101">
        <f t="shared" si="8"/>
        <v>57</v>
      </c>
      <c r="BJ9" s="234"/>
      <c r="BK9" s="71">
        <f t="shared" ref="BK9:BK49" si="28">IF(BG9&lt;28,"F",IF(BH9&lt;12,"F",IF(BI9&lt;40,"F",IF(BI9&lt;50,2,IF(BI9&lt;60,3,IF(BI9&lt;70,3.5,IF(BI9&lt;80,4,5)))))))</f>
        <v>3</v>
      </c>
      <c r="BL9" s="102">
        <v>13</v>
      </c>
      <c r="BM9" s="101">
        <v>25</v>
      </c>
      <c r="BN9" s="101">
        <f t="shared" si="9"/>
        <v>38</v>
      </c>
      <c r="BO9" s="101">
        <v>18</v>
      </c>
      <c r="BP9" s="70">
        <f t="shared" ref="BP9:BP27" si="29">SUM(BN9:BO9)</f>
        <v>56</v>
      </c>
      <c r="BQ9" s="234"/>
      <c r="BR9" s="71">
        <f t="shared" ref="BR9:BR49" si="30">IF(BN9&lt;28,"F",IF(BO9&lt;12,"F",IF(BP9&lt;40,"F",IF(BP9&lt;50,2,IF(BP9&lt;60,3,IF(BP9&lt;70,3.5,IF(BP9&lt;80,4,5)))))))</f>
        <v>3</v>
      </c>
      <c r="BS9" s="102">
        <v>16</v>
      </c>
      <c r="BT9" s="101">
        <v>24</v>
      </c>
      <c r="BU9" s="101">
        <f t="shared" si="10"/>
        <v>40</v>
      </c>
      <c r="BV9" s="101">
        <v>20</v>
      </c>
      <c r="BW9" s="70">
        <f t="shared" ref="BW9:BW49" si="31">BU9+BV9</f>
        <v>60</v>
      </c>
      <c r="BX9" s="234"/>
      <c r="BY9" s="71">
        <f t="shared" ref="BY9:BY49" si="32">IF(BU9&lt;28,"F",IF(BV9&lt;12,"F",IF(BW9&lt;40,"F",IF(BW9&lt;50,2,IF(BW9&lt;60,3,IF(BW9&lt;70,3.5,IF(BW9&lt;80,4,5)))))))</f>
        <v>3.5</v>
      </c>
      <c r="BZ9" s="102">
        <v>9</v>
      </c>
      <c r="CA9" s="101">
        <v>25</v>
      </c>
      <c r="CB9" s="101">
        <f t="shared" si="11"/>
        <v>34</v>
      </c>
      <c r="CC9" s="101">
        <v>18</v>
      </c>
      <c r="CD9" s="101">
        <v>23</v>
      </c>
      <c r="CE9" s="70">
        <f t="shared" ref="CE9:CE49" si="33">CB9+CC9+CD9</f>
        <v>75</v>
      </c>
      <c r="CF9" s="234"/>
      <c r="CG9" s="71">
        <f t="shared" ref="CG9:CG49" si="34">IF(CB9&lt;20,"0",IF(CC9&lt;10,"0",IF(CD9&lt;10,"0",IF(CE9&lt;40,"0",IF(CE9&lt;50,2,IF(CE9&lt;60,3,IF(CE9&lt;70,3.5,IF(CE9&lt;80,4,5))))))))</f>
        <v>4</v>
      </c>
      <c r="CH9" s="71">
        <f t="shared" ref="CH9:CH49" si="35">IF(CB9&lt;20,"F",IF(CC9&lt;10,"F",IF(CD9&lt;10,"F",IF(CE9&lt;40,"F",IF(CE9&lt;50,2,IF(CE9&lt;60,3,IF(CE9&lt;70,3.5,IF(CE9&lt;80,4,5))))))))</f>
        <v>4</v>
      </c>
      <c r="CI9" s="70">
        <f t="shared" si="12"/>
        <v>31.5</v>
      </c>
      <c r="CJ9" s="72">
        <f t="shared" ref="CJ9:CJ49" si="36">IF(CI9="F","F",IF(CI9&gt;=45,5,IF(CI9&lt;45,CI9/9)))</f>
        <v>3.5</v>
      </c>
      <c r="CK9" s="79" t="str">
        <f t="shared" ref="CK9:CK49" si="37">IF(CJ9="F","NEED TO PROGRESS",IF(CJ9&gt;=5,"BEST",IF(CJ9&gt;=4,"BETTER",IF(CJ9&gt;=2,"GOOD"))))</f>
        <v>GOOD</v>
      </c>
      <c r="CL9" s="79">
        <f t="shared" ref="CL9:CL49" si="38">Q9+AA9+AH9+AO9+AU9+BB9+BI9+BP9+BW9+CE9</f>
        <v>677</v>
      </c>
      <c r="CM9" s="79"/>
      <c r="CN9" s="79"/>
      <c r="CO9" s="86"/>
      <c r="CP9" s="86"/>
      <c r="CQ9" s="86"/>
      <c r="CR9" s="86"/>
      <c r="CS9" s="86"/>
      <c r="CT9" s="86"/>
      <c r="CU9" s="86"/>
      <c r="CV9" s="86"/>
      <c r="CW9" s="86"/>
      <c r="CX9" s="86"/>
      <c r="CY9" s="86"/>
      <c r="CZ9" s="86"/>
      <c r="DA9" s="86"/>
      <c r="DB9" s="86"/>
      <c r="DC9" s="86"/>
      <c r="DD9" s="86"/>
      <c r="DE9" s="86"/>
      <c r="DF9" s="86"/>
      <c r="DG9" s="86"/>
      <c r="DH9" s="86"/>
      <c r="DI9" s="86"/>
      <c r="DJ9" s="86"/>
      <c r="DK9" s="86"/>
      <c r="DL9" s="86"/>
      <c r="DM9" s="86"/>
      <c r="DN9" s="86"/>
      <c r="DO9" s="86"/>
      <c r="DP9" s="86"/>
      <c r="DQ9" s="86"/>
      <c r="DR9" s="86"/>
      <c r="DS9" s="86"/>
      <c r="DT9" s="19">
        <v>67</v>
      </c>
    </row>
    <row r="10" spans="1:124" ht="24.95" customHeight="1">
      <c r="A10" s="78">
        <v>3</v>
      </c>
      <c r="B10" s="47">
        <v>47</v>
      </c>
      <c r="C10" s="48" t="s">
        <v>119</v>
      </c>
      <c r="D10" s="48" t="s">
        <v>120</v>
      </c>
      <c r="E10" s="48" t="s">
        <v>121</v>
      </c>
      <c r="F10" s="49" t="s">
        <v>122</v>
      </c>
      <c r="G10" s="100">
        <v>15</v>
      </c>
      <c r="H10" s="101">
        <v>29</v>
      </c>
      <c r="I10" s="101">
        <f t="shared" si="13"/>
        <v>44</v>
      </c>
      <c r="J10" s="101">
        <v>14</v>
      </c>
      <c r="K10" s="101">
        <f t="shared" si="0"/>
        <v>58</v>
      </c>
      <c r="L10" s="102">
        <v>14</v>
      </c>
      <c r="M10" s="101">
        <v>26</v>
      </c>
      <c r="N10" s="101">
        <f t="shared" si="14"/>
        <v>40</v>
      </c>
      <c r="O10" s="101">
        <v>15</v>
      </c>
      <c r="P10" s="70">
        <f t="shared" si="15"/>
        <v>55</v>
      </c>
      <c r="Q10" s="70">
        <f t="shared" si="1"/>
        <v>113</v>
      </c>
      <c r="R10" s="234"/>
      <c r="S10" s="71">
        <f t="shared" si="16"/>
        <v>3</v>
      </c>
      <c r="T10" s="102">
        <v>18</v>
      </c>
      <c r="U10" s="101">
        <v>42</v>
      </c>
      <c r="V10" s="69">
        <f t="shared" si="2"/>
        <v>60</v>
      </c>
      <c r="W10" s="102">
        <v>11</v>
      </c>
      <c r="X10" s="101">
        <v>38</v>
      </c>
      <c r="Y10" s="70">
        <f t="shared" si="17"/>
        <v>49</v>
      </c>
      <c r="Z10" s="70">
        <f t="shared" si="3"/>
        <v>109</v>
      </c>
      <c r="AA10" s="70">
        <f t="shared" si="18"/>
        <v>109</v>
      </c>
      <c r="AB10" s="234"/>
      <c r="AC10" s="71">
        <f t="shared" si="19"/>
        <v>3</v>
      </c>
      <c r="AD10" s="104">
        <v>12</v>
      </c>
      <c r="AE10" s="105">
        <v>24</v>
      </c>
      <c r="AF10" s="105">
        <f t="shared" si="4"/>
        <v>36</v>
      </c>
      <c r="AG10" s="105">
        <v>14</v>
      </c>
      <c r="AH10" s="70">
        <f t="shared" si="20"/>
        <v>50</v>
      </c>
      <c r="AI10" s="234"/>
      <c r="AJ10" s="71">
        <f t="shared" si="21"/>
        <v>3</v>
      </c>
      <c r="AK10" s="102">
        <v>16</v>
      </c>
      <c r="AL10" s="101">
        <v>31</v>
      </c>
      <c r="AM10" s="101">
        <f t="shared" si="5"/>
        <v>47</v>
      </c>
      <c r="AN10" s="101">
        <v>19</v>
      </c>
      <c r="AO10" s="70">
        <f t="shared" si="22"/>
        <v>66</v>
      </c>
      <c r="AP10" s="234"/>
      <c r="AQ10" s="71">
        <f t="shared" si="23"/>
        <v>3.5</v>
      </c>
      <c r="AR10" s="70"/>
      <c r="AS10" s="101">
        <v>20</v>
      </c>
      <c r="AT10" s="101">
        <v>23</v>
      </c>
      <c r="AU10" s="70">
        <f t="shared" si="24"/>
        <v>43</v>
      </c>
      <c r="AV10" s="234"/>
      <c r="AW10" s="71">
        <f t="shared" si="6"/>
        <v>5</v>
      </c>
      <c r="AX10" s="102">
        <v>20</v>
      </c>
      <c r="AY10" s="101">
        <v>38</v>
      </c>
      <c r="AZ10" s="101">
        <f t="shared" si="25"/>
        <v>58</v>
      </c>
      <c r="BA10" s="101">
        <v>16</v>
      </c>
      <c r="BB10" s="70">
        <f t="shared" si="26"/>
        <v>74</v>
      </c>
      <c r="BC10" s="234"/>
      <c r="BD10" s="71">
        <f t="shared" si="27"/>
        <v>4</v>
      </c>
      <c r="BE10" s="102">
        <v>15</v>
      </c>
      <c r="BF10" s="101">
        <v>24</v>
      </c>
      <c r="BG10" s="101">
        <f t="shared" si="7"/>
        <v>39</v>
      </c>
      <c r="BH10" s="101">
        <v>14</v>
      </c>
      <c r="BI10" s="101">
        <f t="shared" si="8"/>
        <v>53</v>
      </c>
      <c r="BJ10" s="234"/>
      <c r="BK10" s="71">
        <f t="shared" si="28"/>
        <v>3</v>
      </c>
      <c r="BL10" s="102">
        <v>13</v>
      </c>
      <c r="BM10" s="101">
        <v>39</v>
      </c>
      <c r="BN10" s="101">
        <f t="shared" si="9"/>
        <v>52</v>
      </c>
      <c r="BO10" s="101">
        <v>18</v>
      </c>
      <c r="BP10" s="70">
        <f t="shared" si="29"/>
        <v>70</v>
      </c>
      <c r="BQ10" s="234"/>
      <c r="BR10" s="71">
        <f t="shared" si="30"/>
        <v>4</v>
      </c>
      <c r="BS10" s="102">
        <v>18</v>
      </c>
      <c r="BT10" s="101">
        <v>21</v>
      </c>
      <c r="BU10" s="101">
        <f t="shared" si="10"/>
        <v>39</v>
      </c>
      <c r="BV10" s="101">
        <v>18</v>
      </c>
      <c r="BW10" s="70">
        <f t="shared" si="31"/>
        <v>57</v>
      </c>
      <c r="BX10" s="234"/>
      <c r="BY10" s="71">
        <f t="shared" si="32"/>
        <v>3</v>
      </c>
      <c r="BZ10" s="102">
        <v>9</v>
      </c>
      <c r="CA10" s="101">
        <v>23</v>
      </c>
      <c r="CB10" s="101">
        <f t="shared" si="11"/>
        <v>32</v>
      </c>
      <c r="CC10" s="101">
        <v>17</v>
      </c>
      <c r="CD10" s="101">
        <v>23</v>
      </c>
      <c r="CE10" s="70">
        <f t="shared" si="33"/>
        <v>72</v>
      </c>
      <c r="CF10" s="234"/>
      <c r="CG10" s="71">
        <f t="shared" si="34"/>
        <v>4</v>
      </c>
      <c r="CH10" s="71">
        <f t="shared" si="35"/>
        <v>4</v>
      </c>
      <c r="CI10" s="70">
        <f t="shared" si="12"/>
        <v>33.5</v>
      </c>
      <c r="CJ10" s="72">
        <f t="shared" si="36"/>
        <v>3.7222222222222223</v>
      </c>
      <c r="CK10" s="79" t="str">
        <f t="shared" si="37"/>
        <v>GOOD</v>
      </c>
      <c r="CL10" s="79">
        <f t="shared" si="38"/>
        <v>707</v>
      </c>
      <c r="CM10" s="79"/>
      <c r="CN10" s="79"/>
      <c r="DS10"/>
      <c r="DT10" s="19">
        <v>68</v>
      </c>
    </row>
    <row r="11" spans="1:124" ht="24.95" customHeight="1">
      <c r="A11" s="78">
        <v>4</v>
      </c>
      <c r="B11" s="47">
        <v>49</v>
      </c>
      <c r="C11" s="50" t="s">
        <v>123</v>
      </c>
      <c r="D11" s="52" t="s">
        <v>124</v>
      </c>
      <c r="E11" s="50" t="s">
        <v>125</v>
      </c>
      <c r="F11" s="53" t="s">
        <v>126</v>
      </c>
      <c r="G11" s="100">
        <v>11</v>
      </c>
      <c r="H11" s="101">
        <v>21</v>
      </c>
      <c r="I11" s="101">
        <f t="shared" si="13"/>
        <v>32</v>
      </c>
      <c r="J11" s="101">
        <v>17</v>
      </c>
      <c r="K11" s="101">
        <f t="shared" si="0"/>
        <v>49</v>
      </c>
      <c r="L11" s="102">
        <v>12</v>
      </c>
      <c r="M11" s="101">
        <v>36</v>
      </c>
      <c r="N11" s="101">
        <f t="shared" si="14"/>
        <v>48</v>
      </c>
      <c r="O11" s="101">
        <v>22</v>
      </c>
      <c r="P11" s="70">
        <f t="shared" si="15"/>
        <v>70</v>
      </c>
      <c r="Q11" s="70">
        <f t="shared" si="1"/>
        <v>119</v>
      </c>
      <c r="R11" s="234"/>
      <c r="S11" s="71">
        <f t="shared" si="16"/>
        <v>3</v>
      </c>
      <c r="T11" s="102">
        <v>15</v>
      </c>
      <c r="U11" s="101">
        <v>53</v>
      </c>
      <c r="V11" s="69">
        <f t="shared" si="2"/>
        <v>68</v>
      </c>
      <c r="W11" s="102">
        <v>13</v>
      </c>
      <c r="X11" s="101">
        <v>40</v>
      </c>
      <c r="Y11" s="70">
        <f t="shared" si="17"/>
        <v>53</v>
      </c>
      <c r="Z11" s="70">
        <f t="shared" si="3"/>
        <v>121</v>
      </c>
      <c r="AA11" s="70">
        <f t="shared" si="18"/>
        <v>121</v>
      </c>
      <c r="AB11" s="234"/>
      <c r="AC11" s="71">
        <f t="shared" si="19"/>
        <v>3.5</v>
      </c>
      <c r="AD11" s="104">
        <v>15</v>
      </c>
      <c r="AE11" s="105">
        <v>14</v>
      </c>
      <c r="AF11" s="105">
        <f t="shared" si="4"/>
        <v>29</v>
      </c>
      <c r="AG11" s="105">
        <v>19</v>
      </c>
      <c r="AH11" s="70">
        <f t="shared" si="20"/>
        <v>48</v>
      </c>
      <c r="AI11" s="234"/>
      <c r="AJ11" s="71">
        <f t="shared" si="21"/>
        <v>2</v>
      </c>
      <c r="AK11" s="102">
        <v>14</v>
      </c>
      <c r="AL11" s="101">
        <v>26</v>
      </c>
      <c r="AM11" s="101">
        <f t="shared" si="5"/>
        <v>40</v>
      </c>
      <c r="AN11" s="101">
        <v>19</v>
      </c>
      <c r="AO11" s="70">
        <f t="shared" si="22"/>
        <v>59</v>
      </c>
      <c r="AP11" s="234"/>
      <c r="AQ11" s="71">
        <f t="shared" si="23"/>
        <v>3</v>
      </c>
      <c r="AR11" s="70"/>
      <c r="AS11" s="101">
        <v>22</v>
      </c>
      <c r="AT11" s="101">
        <v>23</v>
      </c>
      <c r="AU11" s="70">
        <f t="shared" si="24"/>
        <v>45</v>
      </c>
      <c r="AV11" s="234"/>
      <c r="AW11" s="71">
        <f t="shared" si="6"/>
        <v>5</v>
      </c>
      <c r="AX11" s="102">
        <v>19</v>
      </c>
      <c r="AY11" s="101">
        <v>33</v>
      </c>
      <c r="AZ11" s="101">
        <f t="shared" si="25"/>
        <v>52</v>
      </c>
      <c r="BA11" s="101">
        <v>23</v>
      </c>
      <c r="BB11" s="70">
        <f t="shared" si="26"/>
        <v>75</v>
      </c>
      <c r="BC11" s="234"/>
      <c r="BD11" s="71">
        <f t="shared" si="27"/>
        <v>4</v>
      </c>
      <c r="BE11" s="102">
        <v>14</v>
      </c>
      <c r="BF11" s="101">
        <v>39</v>
      </c>
      <c r="BG11" s="101">
        <f t="shared" si="7"/>
        <v>53</v>
      </c>
      <c r="BH11" s="101">
        <v>15</v>
      </c>
      <c r="BI11" s="101">
        <f t="shared" si="8"/>
        <v>68</v>
      </c>
      <c r="BJ11" s="234"/>
      <c r="BK11" s="71">
        <f t="shared" si="28"/>
        <v>3.5</v>
      </c>
      <c r="BL11" s="102">
        <v>15</v>
      </c>
      <c r="BM11" s="101">
        <v>32</v>
      </c>
      <c r="BN11" s="101">
        <f t="shared" si="9"/>
        <v>47</v>
      </c>
      <c r="BO11" s="101">
        <v>20</v>
      </c>
      <c r="BP11" s="70">
        <f t="shared" si="29"/>
        <v>67</v>
      </c>
      <c r="BQ11" s="234"/>
      <c r="BR11" s="71">
        <f t="shared" si="30"/>
        <v>3.5</v>
      </c>
      <c r="BS11" s="102">
        <v>17</v>
      </c>
      <c r="BT11" s="101">
        <v>31</v>
      </c>
      <c r="BU11" s="101">
        <f t="shared" si="10"/>
        <v>48</v>
      </c>
      <c r="BV11" s="101">
        <v>19</v>
      </c>
      <c r="BW11" s="70">
        <f t="shared" si="31"/>
        <v>67</v>
      </c>
      <c r="BX11" s="234"/>
      <c r="BY11" s="71">
        <f t="shared" si="32"/>
        <v>3.5</v>
      </c>
      <c r="BZ11" s="102">
        <v>7</v>
      </c>
      <c r="CA11" s="101">
        <v>24</v>
      </c>
      <c r="CB11" s="101">
        <f t="shared" si="11"/>
        <v>31</v>
      </c>
      <c r="CC11" s="101">
        <v>17</v>
      </c>
      <c r="CD11" s="101">
        <v>23</v>
      </c>
      <c r="CE11" s="70">
        <f t="shared" si="33"/>
        <v>71</v>
      </c>
      <c r="CF11" s="234"/>
      <c r="CG11" s="71">
        <f t="shared" si="34"/>
        <v>4</v>
      </c>
      <c r="CH11" s="71">
        <f t="shared" si="35"/>
        <v>4</v>
      </c>
      <c r="CI11" s="70">
        <f t="shared" si="12"/>
        <v>33</v>
      </c>
      <c r="CJ11" s="72">
        <f t="shared" si="36"/>
        <v>3.6666666666666665</v>
      </c>
      <c r="CK11" s="79" t="str">
        <f t="shared" si="37"/>
        <v>GOOD</v>
      </c>
      <c r="CL11" s="79">
        <f t="shared" si="38"/>
        <v>740</v>
      </c>
      <c r="CM11" s="79"/>
      <c r="CN11" s="79"/>
      <c r="DS11"/>
      <c r="DT11" s="19">
        <v>69</v>
      </c>
    </row>
    <row r="12" spans="1:124" s="56" customFormat="1" ht="24.95" customHeight="1">
      <c r="A12" s="78">
        <v>5</v>
      </c>
      <c r="B12" s="47">
        <v>51</v>
      </c>
      <c r="C12" s="50" t="s">
        <v>127</v>
      </c>
      <c r="D12" s="50" t="s">
        <v>128</v>
      </c>
      <c r="E12" s="50" t="s">
        <v>129</v>
      </c>
      <c r="F12" s="51" t="s">
        <v>130</v>
      </c>
      <c r="G12" s="100">
        <v>16</v>
      </c>
      <c r="H12" s="101">
        <v>25</v>
      </c>
      <c r="I12" s="101">
        <f t="shared" si="13"/>
        <v>41</v>
      </c>
      <c r="J12" s="101">
        <v>13</v>
      </c>
      <c r="K12" s="101">
        <f t="shared" si="0"/>
        <v>54</v>
      </c>
      <c r="L12" s="102">
        <v>14</v>
      </c>
      <c r="M12" s="101">
        <v>29</v>
      </c>
      <c r="N12" s="101">
        <f t="shared" si="14"/>
        <v>43</v>
      </c>
      <c r="O12" s="101">
        <v>22</v>
      </c>
      <c r="P12" s="70">
        <f t="shared" si="15"/>
        <v>65</v>
      </c>
      <c r="Q12" s="70">
        <f t="shared" si="1"/>
        <v>119</v>
      </c>
      <c r="R12" s="234"/>
      <c r="S12" s="71">
        <f t="shared" si="16"/>
        <v>3</v>
      </c>
      <c r="T12" s="102">
        <v>15</v>
      </c>
      <c r="U12" s="101">
        <v>37</v>
      </c>
      <c r="V12" s="69">
        <f t="shared" si="2"/>
        <v>52</v>
      </c>
      <c r="W12" s="102">
        <v>13</v>
      </c>
      <c r="X12" s="101">
        <v>46</v>
      </c>
      <c r="Y12" s="70">
        <f t="shared" si="17"/>
        <v>59</v>
      </c>
      <c r="Z12" s="70">
        <f t="shared" si="3"/>
        <v>111</v>
      </c>
      <c r="AA12" s="70">
        <f t="shared" si="18"/>
        <v>111</v>
      </c>
      <c r="AB12" s="234"/>
      <c r="AC12" s="71">
        <f t="shared" si="19"/>
        <v>3</v>
      </c>
      <c r="AD12" s="104">
        <v>11</v>
      </c>
      <c r="AE12" s="105">
        <v>18</v>
      </c>
      <c r="AF12" s="105">
        <f t="shared" si="4"/>
        <v>29</v>
      </c>
      <c r="AG12" s="105">
        <v>15</v>
      </c>
      <c r="AH12" s="70">
        <f t="shared" si="20"/>
        <v>44</v>
      </c>
      <c r="AI12" s="234"/>
      <c r="AJ12" s="71">
        <f t="shared" si="21"/>
        <v>2</v>
      </c>
      <c r="AK12" s="102">
        <v>13</v>
      </c>
      <c r="AL12" s="101">
        <v>19</v>
      </c>
      <c r="AM12" s="101">
        <f t="shared" si="5"/>
        <v>32</v>
      </c>
      <c r="AN12" s="101">
        <v>22</v>
      </c>
      <c r="AO12" s="70">
        <f t="shared" si="22"/>
        <v>54</v>
      </c>
      <c r="AP12" s="234"/>
      <c r="AQ12" s="71">
        <f t="shared" si="23"/>
        <v>3</v>
      </c>
      <c r="AR12" s="70"/>
      <c r="AS12" s="101">
        <v>19</v>
      </c>
      <c r="AT12" s="101">
        <v>23</v>
      </c>
      <c r="AU12" s="70">
        <f t="shared" si="24"/>
        <v>42</v>
      </c>
      <c r="AV12" s="234"/>
      <c r="AW12" s="71">
        <f t="shared" si="6"/>
        <v>5</v>
      </c>
      <c r="AX12" s="102">
        <v>20</v>
      </c>
      <c r="AY12" s="101">
        <v>21</v>
      </c>
      <c r="AZ12" s="101">
        <f t="shared" si="25"/>
        <v>41</v>
      </c>
      <c r="BA12" s="101">
        <v>21</v>
      </c>
      <c r="BB12" s="70">
        <f t="shared" si="26"/>
        <v>62</v>
      </c>
      <c r="BC12" s="234"/>
      <c r="BD12" s="71">
        <f t="shared" si="27"/>
        <v>3.5</v>
      </c>
      <c r="BE12" s="102">
        <v>15</v>
      </c>
      <c r="BF12" s="101">
        <v>27</v>
      </c>
      <c r="BG12" s="101">
        <f t="shared" si="7"/>
        <v>42</v>
      </c>
      <c r="BH12" s="101">
        <v>13</v>
      </c>
      <c r="BI12" s="101">
        <f t="shared" si="8"/>
        <v>55</v>
      </c>
      <c r="BJ12" s="234"/>
      <c r="BK12" s="71">
        <f t="shared" si="28"/>
        <v>3</v>
      </c>
      <c r="BL12" s="102">
        <v>18</v>
      </c>
      <c r="BM12" s="101">
        <v>30</v>
      </c>
      <c r="BN12" s="101">
        <f t="shared" si="9"/>
        <v>48</v>
      </c>
      <c r="BO12" s="101">
        <v>18</v>
      </c>
      <c r="BP12" s="70">
        <f t="shared" si="29"/>
        <v>66</v>
      </c>
      <c r="BQ12" s="234"/>
      <c r="BR12" s="71">
        <f t="shared" si="30"/>
        <v>3.5</v>
      </c>
      <c r="BS12" s="102">
        <v>14</v>
      </c>
      <c r="BT12" s="101">
        <v>22</v>
      </c>
      <c r="BU12" s="101">
        <f t="shared" si="10"/>
        <v>36</v>
      </c>
      <c r="BV12" s="101">
        <v>16</v>
      </c>
      <c r="BW12" s="70">
        <f t="shared" si="31"/>
        <v>52</v>
      </c>
      <c r="BX12" s="234"/>
      <c r="BY12" s="71">
        <f t="shared" si="32"/>
        <v>3</v>
      </c>
      <c r="BZ12" s="102">
        <v>9</v>
      </c>
      <c r="CA12" s="101">
        <v>19</v>
      </c>
      <c r="CB12" s="101">
        <f t="shared" si="11"/>
        <v>28</v>
      </c>
      <c r="CC12" s="101">
        <v>14</v>
      </c>
      <c r="CD12" s="101">
        <v>23</v>
      </c>
      <c r="CE12" s="70">
        <f t="shared" si="33"/>
        <v>65</v>
      </c>
      <c r="CF12" s="234"/>
      <c r="CG12" s="71">
        <f t="shared" si="34"/>
        <v>3.5</v>
      </c>
      <c r="CH12" s="71">
        <f t="shared" si="35"/>
        <v>3.5</v>
      </c>
      <c r="CI12" s="70">
        <f t="shared" si="12"/>
        <v>30.5</v>
      </c>
      <c r="CJ12" s="72">
        <f t="shared" si="36"/>
        <v>3.3888888888888888</v>
      </c>
      <c r="CK12" s="79" t="str">
        <f t="shared" si="37"/>
        <v>GOOD</v>
      </c>
      <c r="CL12" s="79">
        <f t="shared" si="38"/>
        <v>670</v>
      </c>
      <c r="CM12" s="79"/>
      <c r="CN12" s="79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 s="55">
        <v>70</v>
      </c>
    </row>
    <row r="13" spans="1:124" ht="24.95" customHeight="1">
      <c r="A13" s="78">
        <v>6</v>
      </c>
      <c r="B13" s="47">
        <v>55</v>
      </c>
      <c r="C13" s="50" t="s">
        <v>131</v>
      </c>
      <c r="D13" s="50" t="s">
        <v>132</v>
      </c>
      <c r="E13" s="50" t="s">
        <v>133</v>
      </c>
      <c r="F13" s="51" t="s">
        <v>134</v>
      </c>
      <c r="G13" s="100">
        <v>18</v>
      </c>
      <c r="H13" s="101">
        <v>26</v>
      </c>
      <c r="I13" s="101">
        <f t="shared" si="13"/>
        <v>44</v>
      </c>
      <c r="J13" s="101">
        <v>13</v>
      </c>
      <c r="K13" s="101">
        <f t="shared" si="0"/>
        <v>57</v>
      </c>
      <c r="L13" s="102">
        <v>13</v>
      </c>
      <c r="M13" s="101">
        <v>31</v>
      </c>
      <c r="N13" s="101">
        <f t="shared" si="14"/>
        <v>44</v>
      </c>
      <c r="O13" s="101">
        <v>14</v>
      </c>
      <c r="P13" s="70">
        <f t="shared" si="15"/>
        <v>58</v>
      </c>
      <c r="Q13" s="70">
        <f t="shared" si="1"/>
        <v>115</v>
      </c>
      <c r="R13" s="234"/>
      <c r="S13" s="71">
        <f t="shared" si="16"/>
        <v>3</v>
      </c>
      <c r="T13" s="102">
        <v>14</v>
      </c>
      <c r="U13" s="101">
        <v>38</v>
      </c>
      <c r="V13" s="69">
        <f t="shared" si="2"/>
        <v>52</v>
      </c>
      <c r="W13" s="102">
        <v>14</v>
      </c>
      <c r="X13" s="101">
        <v>26</v>
      </c>
      <c r="Y13" s="70">
        <f t="shared" si="17"/>
        <v>40</v>
      </c>
      <c r="Z13" s="70">
        <f t="shared" si="3"/>
        <v>92</v>
      </c>
      <c r="AA13" s="70">
        <f t="shared" si="18"/>
        <v>92</v>
      </c>
      <c r="AB13" s="234"/>
      <c r="AC13" s="71">
        <f t="shared" si="19"/>
        <v>2</v>
      </c>
      <c r="AD13" s="104">
        <v>13</v>
      </c>
      <c r="AE13" s="105">
        <v>16</v>
      </c>
      <c r="AF13" s="105">
        <f t="shared" si="4"/>
        <v>29</v>
      </c>
      <c r="AG13" s="105">
        <v>20</v>
      </c>
      <c r="AH13" s="70">
        <f t="shared" si="20"/>
        <v>49</v>
      </c>
      <c r="AI13" s="234"/>
      <c r="AJ13" s="71">
        <f t="shared" si="21"/>
        <v>2</v>
      </c>
      <c r="AK13" s="102">
        <v>14</v>
      </c>
      <c r="AL13" s="101">
        <v>27</v>
      </c>
      <c r="AM13" s="101">
        <f t="shared" si="5"/>
        <v>41</v>
      </c>
      <c r="AN13" s="101">
        <v>19</v>
      </c>
      <c r="AO13" s="70">
        <f t="shared" si="22"/>
        <v>60</v>
      </c>
      <c r="AP13" s="234"/>
      <c r="AQ13" s="71">
        <f t="shared" si="23"/>
        <v>3.5</v>
      </c>
      <c r="AR13" s="70"/>
      <c r="AS13" s="101">
        <v>16</v>
      </c>
      <c r="AT13" s="101">
        <v>23</v>
      </c>
      <c r="AU13" s="70">
        <f t="shared" si="24"/>
        <v>39</v>
      </c>
      <c r="AV13" s="234"/>
      <c r="AW13" s="71">
        <f t="shared" si="6"/>
        <v>4</v>
      </c>
      <c r="AX13" s="102">
        <v>14</v>
      </c>
      <c r="AY13" s="101">
        <v>26</v>
      </c>
      <c r="AZ13" s="101">
        <f t="shared" si="25"/>
        <v>40</v>
      </c>
      <c r="BA13" s="101">
        <v>24</v>
      </c>
      <c r="BB13" s="70">
        <f t="shared" si="26"/>
        <v>64</v>
      </c>
      <c r="BC13" s="234"/>
      <c r="BD13" s="71">
        <f t="shared" si="27"/>
        <v>3.5</v>
      </c>
      <c r="BE13" s="102">
        <v>16</v>
      </c>
      <c r="BF13" s="101">
        <v>29</v>
      </c>
      <c r="BG13" s="101">
        <f t="shared" si="7"/>
        <v>45</v>
      </c>
      <c r="BH13" s="101">
        <v>13</v>
      </c>
      <c r="BI13" s="101">
        <f t="shared" si="8"/>
        <v>58</v>
      </c>
      <c r="BJ13" s="234"/>
      <c r="BK13" s="71">
        <f t="shared" si="28"/>
        <v>3</v>
      </c>
      <c r="BL13" s="102">
        <v>17</v>
      </c>
      <c r="BM13" s="101">
        <v>33</v>
      </c>
      <c r="BN13" s="101">
        <f t="shared" si="9"/>
        <v>50</v>
      </c>
      <c r="BO13" s="101">
        <v>16</v>
      </c>
      <c r="BP13" s="70">
        <f t="shared" si="29"/>
        <v>66</v>
      </c>
      <c r="BQ13" s="234"/>
      <c r="BR13" s="71">
        <f t="shared" si="30"/>
        <v>3.5</v>
      </c>
      <c r="BS13" s="102">
        <v>17</v>
      </c>
      <c r="BT13" s="101">
        <v>36</v>
      </c>
      <c r="BU13" s="101">
        <f t="shared" si="10"/>
        <v>53</v>
      </c>
      <c r="BV13" s="101">
        <v>13</v>
      </c>
      <c r="BW13" s="70">
        <f t="shared" si="31"/>
        <v>66</v>
      </c>
      <c r="BX13" s="234"/>
      <c r="BY13" s="71">
        <f t="shared" si="32"/>
        <v>3.5</v>
      </c>
      <c r="BZ13" s="102">
        <v>9</v>
      </c>
      <c r="CA13" s="101">
        <v>22</v>
      </c>
      <c r="CB13" s="101">
        <f t="shared" si="11"/>
        <v>31</v>
      </c>
      <c r="CC13" s="101">
        <v>13</v>
      </c>
      <c r="CD13" s="101">
        <v>23</v>
      </c>
      <c r="CE13" s="70">
        <f t="shared" si="33"/>
        <v>67</v>
      </c>
      <c r="CF13" s="234"/>
      <c r="CG13" s="71">
        <f t="shared" si="34"/>
        <v>3.5</v>
      </c>
      <c r="CH13" s="71">
        <f t="shared" si="35"/>
        <v>3.5</v>
      </c>
      <c r="CI13" s="70">
        <f t="shared" si="12"/>
        <v>29.5</v>
      </c>
      <c r="CJ13" s="72">
        <f t="shared" si="36"/>
        <v>3.2777777777777777</v>
      </c>
      <c r="CK13" s="79" t="str">
        <f t="shared" si="37"/>
        <v>GOOD</v>
      </c>
      <c r="CL13" s="79">
        <f t="shared" si="38"/>
        <v>676</v>
      </c>
      <c r="CM13" s="79"/>
      <c r="CN13" s="79"/>
      <c r="DO13" t="s">
        <v>69</v>
      </c>
      <c r="DS13"/>
      <c r="DT13" s="19">
        <v>73</v>
      </c>
    </row>
    <row r="14" spans="1:124" ht="24.95" customHeight="1">
      <c r="A14" s="78">
        <v>7</v>
      </c>
      <c r="B14" s="47">
        <v>57</v>
      </c>
      <c r="C14" s="48" t="s">
        <v>135</v>
      </c>
      <c r="D14" s="48" t="s">
        <v>136</v>
      </c>
      <c r="E14" s="48" t="s">
        <v>137</v>
      </c>
      <c r="F14" s="49" t="s">
        <v>138</v>
      </c>
      <c r="G14" s="100">
        <v>17</v>
      </c>
      <c r="H14" s="101">
        <v>21</v>
      </c>
      <c r="I14" s="101">
        <f t="shared" si="13"/>
        <v>38</v>
      </c>
      <c r="J14" s="101">
        <v>17</v>
      </c>
      <c r="K14" s="101">
        <f t="shared" si="0"/>
        <v>55</v>
      </c>
      <c r="L14" s="102">
        <v>14</v>
      </c>
      <c r="M14" s="101">
        <v>34</v>
      </c>
      <c r="N14" s="101">
        <f t="shared" si="14"/>
        <v>48</v>
      </c>
      <c r="O14" s="101">
        <v>13</v>
      </c>
      <c r="P14" s="70">
        <f t="shared" si="15"/>
        <v>61</v>
      </c>
      <c r="Q14" s="70">
        <f t="shared" si="1"/>
        <v>116</v>
      </c>
      <c r="R14" s="234"/>
      <c r="S14" s="71">
        <f t="shared" si="16"/>
        <v>3</v>
      </c>
      <c r="T14" s="102">
        <v>15</v>
      </c>
      <c r="U14" s="101">
        <v>0</v>
      </c>
      <c r="V14" s="69">
        <f t="shared" si="2"/>
        <v>15</v>
      </c>
      <c r="W14" s="102">
        <v>11</v>
      </c>
      <c r="X14" s="101">
        <v>0</v>
      </c>
      <c r="Y14" s="70">
        <f t="shared" si="17"/>
        <v>11</v>
      </c>
      <c r="Z14" s="70">
        <f t="shared" si="3"/>
        <v>26</v>
      </c>
      <c r="AA14" s="70">
        <f t="shared" si="18"/>
        <v>26</v>
      </c>
      <c r="AB14" s="234"/>
      <c r="AC14" s="71" t="str">
        <f t="shared" si="19"/>
        <v>F</v>
      </c>
      <c r="AD14" s="104">
        <v>15</v>
      </c>
      <c r="AE14" s="105">
        <v>0</v>
      </c>
      <c r="AF14" s="105">
        <f t="shared" si="4"/>
        <v>15</v>
      </c>
      <c r="AG14" s="105">
        <v>0</v>
      </c>
      <c r="AH14" s="70">
        <f t="shared" si="20"/>
        <v>15</v>
      </c>
      <c r="AI14" s="234"/>
      <c r="AJ14" s="71" t="str">
        <f t="shared" si="21"/>
        <v>F</v>
      </c>
      <c r="AK14" s="102">
        <v>15</v>
      </c>
      <c r="AL14" s="101">
        <v>25</v>
      </c>
      <c r="AM14" s="101">
        <f t="shared" si="5"/>
        <v>40</v>
      </c>
      <c r="AN14" s="101">
        <v>17</v>
      </c>
      <c r="AO14" s="70">
        <f t="shared" si="22"/>
        <v>57</v>
      </c>
      <c r="AP14" s="234"/>
      <c r="AQ14" s="71">
        <f t="shared" si="23"/>
        <v>3</v>
      </c>
      <c r="AR14" s="70"/>
      <c r="AS14" s="101">
        <v>21</v>
      </c>
      <c r="AT14" s="101">
        <v>23</v>
      </c>
      <c r="AU14" s="70">
        <f t="shared" si="24"/>
        <v>44</v>
      </c>
      <c r="AV14" s="234"/>
      <c r="AW14" s="71">
        <f t="shared" si="6"/>
        <v>5</v>
      </c>
      <c r="AX14" s="102">
        <v>11</v>
      </c>
      <c r="AY14" s="101">
        <v>28</v>
      </c>
      <c r="AZ14" s="101">
        <f t="shared" si="25"/>
        <v>39</v>
      </c>
      <c r="BA14" s="101">
        <v>20</v>
      </c>
      <c r="BB14" s="70">
        <f t="shared" si="26"/>
        <v>59</v>
      </c>
      <c r="BC14" s="234"/>
      <c r="BD14" s="71">
        <f t="shared" si="27"/>
        <v>3</v>
      </c>
      <c r="BE14" s="102">
        <v>16</v>
      </c>
      <c r="BF14" s="101">
        <v>31</v>
      </c>
      <c r="BG14" s="101">
        <f t="shared" si="7"/>
        <v>47</v>
      </c>
      <c r="BH14" s="101">
        <v>15</v>
      </c>
      <c r="BI14" s="101">
        <f t="shared" si="8"/>
        <v>62</v>
      </c>
      <c r="BJ14" s="234"/>
      <c r="BK14" s="71">
        <f t="shared" si="28"/>
        <v>3.5</v>
      </c>
      <c r="BL14" s="102">
        <v>17</v>
      </c>
      <c r="BM14" s="101">
        <v>34</v>
      </c>
      <c r="BN14" s="101">
        <f t="shared" si="9"/>
        <v>51</v>
      </c>
      <c r="BO14" s="101">
        <v>17</v>
      </c>
      <c r="BP14" s="70">
        <f t="shared" si="29"/>
        <v>68</v>
      </c>
      <c r="BQ14" s="234"/>
      <c r="BR14" s="71">
        <f t="shared" si="30"/>
        <v>3.5</v>
      </c>
      <c r="BS14" s="102">
        <v>16</v>
      </c>
      <c r="BT14" s="101">
        <v>36</v>
      </c>
      <c r="BU14" s="101">
        <f t="shared" si="10"/>
        <v>52</v>
      </c>
      <c r="BV14" s="101">
        <v>19</v>
      </c>
      <c r="BW14" s="70">
        <f t="shared" si="31"/>
        <v>71</v>
      </c>
      <c r="BX14" s="234"/>
      <c r="BY14" s="71">
        <f t="shared" si="32"/>
        <v>4</v>
      </c>
      <c r="BZ14" s="102">
        <v>7</v>
      </c>
      <c r="CA14" s="101">
        <v>19</v>
      </c>
      <c r="CB14" s="101">
        <f t="shared" si="11"/>
        <v>26</v>
      </c>
      <c r="CC14" s="101">
        <v>20</v>
      </c>
      <c r="CD14" s="101">
        <v>23</v>
      </c>
      <c r="CE14" s="70">
        <f t="shared" si="33"/>
        <v>69</v>
      </c>
      <c r="CF14" s="234"/>
      <c r="CG14" s="71">
        <f t="shared" si="34"/>
        <v>3.5</v>
      </c>
      <c r="CH14" s="71">
        <f t="shared" si="35"/>
        <v>3.5</v>
      </c>
      <c r="CI14" s="70" t="str">
        <f t="shared" si="12"/>
        <v>F</v>
      </c>
      <c r="CJ14" s="72" t="str">
        <f t="shared" si="36"/>
        <v>F</v>
      </c>
      <c r="CK14" s="79" t="str">
        <f t="shared" si="37"/>
        <v>NEED TO PROGRESS</v>
      </c>
      <c r="CL14" s="79">
        <f t="shared" si="38"/>
        <v>587</v>
      </c>
      <c r="CM14" s="79"/>
      <c r="CN14" s="79"/>
      <c r="DS14"/>
      <c r="DT14" s="19">
        <v>74</v>
      </c>
    </row>
    <row r="15" spans="1:124" ht="24.95" customHeight="1">
      <c r="A15" s="78">
        <v>8</v>
      </c>
      <c r="B15" s="47">
        <v>58</v>
      </c>
      <c r="C15" s="50" t="s">
        <v>139</v>
      </c>
      <c r="D15" s="50" t="s">
        <v>140</v>
      </c>
      <c r="E15" s="50" t="s">
        <v>141</v>
      </c>
      <c r="F15" s="51" t="s">
        <v>142</v>
      </c>
      <c r="G15" s="100">
        <v>15</v>
      </c>
      <c r="H15" s="101">
        <v>29</v>
      </c>
      <c r="I15" s="101">
        <f t="shared" si="13"/>
        <v>44</v>
      </c>
      <c r="J15" s="101">
        <v>12</v>
      </c>
      <c r="K15" s="101">
        <f t="shared" si="0"/>
        <v>56</v>
      </c>
      <c r="L15" s="102">
        <v>14</v>
      </c>
      <c r="M15" s="101">
        <v>29</v>
      </c>
      <c r="N15" s="101">
        <f t="shared" si="14"/>
        <v>43</v>
      </c>
      <c r="O15" s="101">
        <v>14</v>
      </c>
      <c r="P15" s="70">
        <f t="shared" si="15"/>
        <v>57</v>
      </c>
      <c r="Q15" s="70">
        <f t="shared" si="1"/>
        <v>113</v>
      </c>
      <c r="R15" s="234"/>
      <c r="S15" s="71">
        <f t="shared" si="16"/>
        <v>3</v>
      </c>
      <c r="T15" s="102">
        <v>15</v>
      </c>
      <c r="U15" s="101">
        <v>42</v>
      </c>
      <c r="V15" s="69">
        <f t="shared" si="2"/>
        <v>57</v>
      </c>
      <c r="W15" s="102">
        <v>12</v>
      </c>
      <c r="X15" s="101">
        <v>27</v>
      </c>
      <c r="Y15" s="70">
        <f t="shared" si="17"/>
        <v>39</v>
      </c>
      <c r="Z15" s="70">
        <f t="shared" si="3"/>
        <v>96</v>
      </c>
      <c r="AA15" s="70">
        <f t="shared" si="18"/>
        <v>96</v>
      </c>
      <c r="AB15" s="234"/>
      <c r="AC15" s="71">
        <f t="shared" si="19"/>
        <v>2</v>
      </c>
      <c r="AD15" s="104">
        <v>9</v>
      </c>
      <c r="AE15" s="105">
        <v>6</v>
      </c>
      <c r="AF15" s="105">
        <f t="shared" si="4"/>
        <v>15</v>
      </c>
      <c r="AG15" s="105">
        <v>8</v>
      </c>
      <c r="AH15" s="70">
        <f t="shared" si="20"/>
        <v>23</v>
      </c>
      <c r="AI15" s="234"/>
      <c r="AJ15" s="71" t="str">
        <f t="shared" si="21"/>
        <v>F</v>
      </c>
      <c r="AK15" s="102">
        <v>14</v>
      </c>
      <c r="AL15" s="101">
        <v>17</v>
      </c>
      <c r="AM15" s="101">
        <f t="shared" si="5"/>
        <v>31</v>
      </c>
      <c r="AN15" s="101">
        <v>15</v>
      </c>
      <c r="AO15" s="70">
        <f t="shared" si="22"/>
        <v>46</v>
      </c>
      <c r="AP15" s="234"/>
      <c r="AQ15" s="71">
        <f t="shared" si="23"/>
        <v>2</v>
      </c>
      <c r="AR15" s="70"/>
      <c r="AS15" s="101">
        <v>16</v>
      </c>
      <c r="AT15" s="101">
        <v>23</v>
      </c>
      <c r="AU15" s="70">
        <f t="shared" si="24"/>
        <v>39</v>
      </c>
      <c r="AV15" s="234"/>
      <c r="AW15" s="71">
        <f t="shared" si="6"/>
        <v>4</v>
      </c>
      <c r="AX15" s="102">
        <v>15</v>
      </c>
      <c r="AY15" s="101">
        <v>29</v>
      </c>
      <c r="AZ15" s="101">
        <f t="shared" si="25"/>
        <v>44</v>
      </c>
      <c r="BA15" s="101">
        <v>15</v>
      </c>
      <c r="BB15" s="70">
        <f t="shared" si="26"/>
        <v>59</v>
      </c>
      <c r="BC15" s="234"/>
      <c r="BD15" s="71">
        <f t="shared" si="27"/>
        <v>3</v>
      </c>
      <c r="BE15" s="102">
        <v>15</v>
      </c>
      <c r="BF15" s="101">
        <v>27</v>
      </c>
      <c r="BG15" s="101">
        <f t="shared" si="7"/>
        <v>42</v>
      </c>
      <c r="BH15" s="101">
        <v>16</v>
      </c>
      <c r="BI15" s="101">
        <f t="shared" si="8"/>
        <v>58</v>
      </c>
      <c r="BJ15" s="234"/>
      <c r="BK15" s="71">
        <f t="shared" si="28"/>
        <v>3</v>
      </c>
      <c r="BL15" s="102">
        <v>16</v>
      </c>
      <c r="BM15" s="101">
        <v>39</v>
      </c>
      <c r="BN15" s="101">
        <f t="shared" si="9"/>
        <v>55</v>
      </c>
      <c r="BO15" s="101">
        <v>12</v>
      </c>
      <c r="BP15" s="70">
        <f t="shared" si="29"/>
        <v>67</v>
      </c>
      <c r="BQ15" s="234"/>
      <c r="BR15" s="71">
        <f t="shared" si="30"/>
        <v>3.5</v>
      </c>
      <c r="BS15" s="102">
        <v>12</v>
      </c>
      <c r="BT15" s="101">
        <v>21</v>
      </c>
      <c r="BU15" s="101">
        <f t="shared" si="10"/>
        <v>33</v>
      </c>
      <c r="BV15" s="101">
        <v>17</v>
      </c>
      <c r="BW15" s="70">
        <f t="shared" si="31"/>
        <v>50</v>
      </c>
      <c r="BX15" s="234"/>
      <c r="BY15" s="71">
        <f t="shared" si="32"/>
        <v>3</v>
      </c>
      <c r="BZ15" s="102">
        <v>7</v>
      </c>
      <c r="CA15" s="101">
        <v>27</v>
      </c>
      <c r="CB15" s="101">
        <f t="shared" si="11"/>
        <v>34</v>
      </c>
      <c r="CC15" s="101">
        <v>14</v>
      </c>
      <c r="CD15" s="101">
        <v>23</v>
      </c>
      <c r="CE15" s="70">
        <f t="shared" si="33"/>
        <v>71</v>
      </c>
      <c r="CF15" s="234"/>
      <c r="CG15" s="71">
        <f t="shared" si="34"/>
        <v>4</v>
      </c>
      <c r="CH15" s="71">
        <f t="shared" si="35"/>
        <v>4</v>
      </c>
      <c r="CI15" s="70" t="str">
        <f t="shared" si="12"/>
        <v>F</v>
      </c>
      <c r="CJ15" s="72" t="str">
        <f t="shared" si="36"/>
        <v>F</v>
      </c>
      <c r="CK15" s="79" t="str">
        <f t="shared" si="37"/>
        <v>NEED TO PROGRESS</v>
      </c>
      <c r="CL15" s="79">
        <f t="shared" si="38"/>
        <v>622</v>
      </c>
      <c r="CM15" s="79"/>
      <c r="CN15" s="79"/>
      <c r="DS15"/>
      <c r="DT15" s="19">
        <v>75</v>
      </c>
    </row>
    <row r="16" spans="1:124" ht="24.95" customHeight="1">
      <c r="A16" s="78">
        <v>9</v>
      </c>
      <c r="B16" s="47">
        <v>59</v>
      </c>
      <c r="C16" s="50" t="s">
        <v>143</v>
      </c>
      <c r="D16" s="50" t="s">
        <v>144</v>
      </c>
      <c r="E16" s="50" t="s">
        <v>145</v>
      </c>
      <c r="F16" s="51" t="s">
        <v>146</v>
      </c>
      <c r="G16" s="100">
        <v>14</v>
      </c>
      <c r="H16" s="101">
        <v>26</v>
      </c>
      <c r="I16" s="101">
        <f t="shared" si="13"/>
        <v>40</v>
      </c>
      <c r="J16" s="101">
        <v>12</v>
      </c>
      <c r="K16" s="101">
        <f t="shared" si="0"/>
        <v>52</v>
      </c>
      <c r="L16" s="102">
        <v>13</v>
      </c>
      <c r="M16" s="101">
        <v>31</v>
      </c>
      <c r="N16" s="101">
        <f t="shared" si="14"/>
        <v>44</v>
      </c>
      <c r="O16" s="101">
        <v>17</v>
      </c>
      <c r="P16" s="70">
        <f t="shared" si="15"/>
        <v>61</v>
      </c>
      <c r="Q16" s="70">
        <f t="shared" si="1"/>
        <v>113</v>
      </c>
      <c r="R16" s="234"/>
      <c r="S16" s="71">
        <f t="shared" si="16"/>
        <v>3</v>
      </c>
      <c r="T16" s="102">
        <v>18</v>
      </c>
      <c r="U16" s="101">
        <v>41</v>
      </c>
      <c r="V16" s="69">
        <f t="shared" si="2"/>
        <v>59</v>
      </c>
      <c r="W16" s="102">
        <v>11</v>
      </c>
      <c r="X16" s="101">
        <v>32</v>
      </c>
      <c r="Y16" s="70">
        <f t="shared" si="17"/>
        <v>43</v>
      </c>
      <c r="Z16" s="70">
        <f t="shared" si="3"/>
        <v>102</v>
      </c>
      <c r="AA16" s="70">
        <f t="shared" si="18"/>
        <v>102</v>
      </c>
      <c r="AB16" s="234"/>
      <c r="AC16" s="71">
        <f t="shared" si="19"/>
        <v>3</v>
      </c>
      <c r="AD16" s="104">
        <v>10</v>
      </c>
      <c r="AE16" s="105">
        <v>1</v>
      </c>
      <c r="AF16" s="105">
        <f t="shared" si="4"/>
        <v>11</v>
      </c>
      <c r="AG16" s="105">
        <v>7</v>
      </c>
      <c r="AH16" s="70">
        <f t="shared" si="20"/>
        <v>18</v>
      </c>
      <c r="AI16" s="234"/>
      <c r="AJ16" s="71" t="str">
        <f t="shared" si="21"/>
        <v>F</v>
      </c>
      <c r="AK16" s="102">
        <v>14</v>
      </c>
      <c r="AL16" s="101">
        <v>28</v>
      </c>
      <c r="AM16" s="101">
        <f t="shared" si="5"/>
        <v>42</v>
      </c>
      <c r="AN16" s="101">
        <v>16</v>
      </c>
      <c r="AO16" s="70">
        <f t="shared" si="22"/>
        <v>58</v>
      </c>
      <c r="AP16" s="234"/>
      <c r="AQ16" s="71">
        <f t="shared" si="23"/>
        <v>3</v>
      </c>
      <c r="AR16" s="70"/>
      <c r="AS16" s="101">
        <v>18</v>
      </c>
      <c r="AT16" s="101">
        <v>23</v>
      </c>
      <c r="AU16" s="70">
        <f t="shared" si="24"/>
        <v>41</v>
      </c>
      <c r="AV16" s="234"/>
      <c r="AW16" s="71">
        <f t="shared" si="6"/>
        <v>5</v>
      </c>
      <c r="AX16" s="102">
        <v>13</v>
      </c>
      <c r="AY16" s="101">
        <v>20</v>
      </c>
      <c r="AZ16" s="101">
        <f t="shared" si="25"/>
        <v>33</v>
      </c>
      <c r="BA16" s="101">
        <v>22</v>
      </c>
      <c r="BB16" s="70">
        <f t="shared" si="26"/>
        <v>55</v>
      </c>
      <c r="BC16" s="234"/>
      <c r="BD16" s="71">
        <f t="shared" si="27"/>
        <v>3</v>
      </c>
      <c r="BE16" s="102">
        <v>15</v>
      </c>
      <c r="BF16" s="101">
        <v>35</v>
      </c>
      <c r="BG16" s="101">
        <f t="shared" si="7"/>
        <v>50</v>
      </c>
      <c r="BH16" s="101">
        <v>17</v>
      </c>
      <c r="BI16" s="101">
        <f t="shared" si="8"/>
        <v>67</v>
      </c>
      <c r="BJ16" s="234"/>
      <c r="BK16" s="71">
        <f t="shared" si="28"/>
        <v>3.5</v>
      </c>
      <c r="BL16" s="102">
        <v>13</v>
      </c>
      <c r="BM16" s="101">
        <v>35</v>
      </c>
      <c r="BN16" s="101">
        <f t="shared" si="9"/>
        <v>48</v>
      </c>
      <c r="BO16" s="101">
        <v>12</v>
      </c>
      <c r="BP16" s="70">
        <f t="shared" si="29"/>
        <v>60</v>
      </c>
      <c r="BQ16" s="234"/>
      <c r="BR16" s="71">
        <f t="shared" si="30"/>
        <v>3.5</v>
      </c>
      <c r="BS16" s="102">
        <v>17</v>
      </c>
      <c r="BT16" s="101">
        <v>27</v>
      </c>
      <c r="BU16" s="101">
        <f t="shared" si="10"/>
        <v>44</v>
      </c>
      <c r="BV16" s="101">
        <v>21</v>
      </c>
      <c r="BW16" s="70">
        <f t="shared" si="31"/>
        <v>65</v>
      </c>
      <c r="BX16" s="234"/>
      <c r="BY16" s="71">
        <f t="shared" si="32"/>
        <v>3.5</v>
      </c>
      <c r="BZ16" s="102">
        <v>7</v>
      </c>
      <c r="CA16" s="101">
        <v>17</v>
      </c>
      <c r="CB16" s="101">
        <f t="shared" si="11"/>
        <v>24</v>
      </c>
      <c r="CC16" s="101">
        <v>15</v>
      </c>
      <c r="CD16" s="101">
        <v>23</v>
      </c>
      <c r="CE16" s="70">
        <f t="shared" si="33"/>
        <v>62</v>
      </c>
      <c r="CF16" s="234"/>
      <c r="CG16" s="71">
        <f t="shared" si="34"/>
        <v>3.5</v>
      </c>
      <c r="CH16" s="71">
        <f t="shared" si="35"/>
        <v>3.5</v>
      </c>
      <c r="CI16" s="70" t="str">
        <f t="shared" si="12"/>
        <v>F</v>
      </c>
      <c r="CJ16" s="72" t="str">
        <f t="shared" si="36"/>
        <v>F</v>
      </c>
      <c r="CK16" s="79" t="str">
        <f t="shared" si="37"/>
        <v>NEED TO PROGRESS</v>
      </c>
      <c r="CL16" s="79">
        <f t="shared" si="38"/>
        <v>641</v>
      </c>
      <c r="CM16" s="79"/>
      <c r="CN16" s="79"/>
      <c r="DS16"/>
      <c r="DT16" s="19">
        <v>76</v>
      </c>
    </row>
    <row r="17" spans="1:124" ht="24.95" customHeight="1">
      <c r="A17" s="78">
        <v>10</v>
      </c>
      <c r="B17" s="47">
        <v>60</v>
      </c>
      <c r="C17" s="50" t="s">
        <v>147</v>
      </c>
      <c r="D17" s="50" t="s">
        <v>148</v>
      </c>
      <c r="E17" s="50" t="s">
        <v>149</v>
      </c>
      <c r="F17" s="51" t="s">
        <v>150</v>
      </c>
      <c r="G17" s="100">
        <v>13</v>
      </c>
      <c r="H17" s="101">
        <v>24</v>
      </c>
      <c r="I17" s="101">
        <f t="shared" si="13"/>
        <v>37</v>
      </c>
      <c r="J17" s="101">
        <v>14</v>
      </c>
      <c r="K17" s="101">
        <f t="shared" si="0"/>
        <v>51</v>
      </c>
      <c r="L17" s="102">
        <v>15</v>
      </c>
      <c r="M17" s="101">
        <v>29</v>
      </c>
      <c r="N17" s="101">
        <f t="shared" si="14"/>
        <v>44</v>
      </c>
      <c r="O17" s="101">
        <v>21</v>
      </c>
      <c r="P17" s="70">
        <f t="shared" si="15"/>
        <v>65</v>
      </c>
      <c r="Q17" s="70">
        <f t="shared" si="1"/>
        <v>116</v>
      </c>
      <c r="R17" s="234"/>
      <c r="S17" s="71">
        <f t="shared" si="16"/>
        <v>3</v>
      </c>
      <c r="T17" s="102">
        <v>13</v>
      </c>
      <c r="U17" s="101">
        <v>41</v>
      </c>
      <c r="V17" s="69">
        <f t="shared" si="2"/>
        <v>54</v>
      </c>
      <c r="W17" s="102">
        <v>12</v>
      </c>
      <c r="X17" s="101">
        <v>28</v>
      </c>
      <c r="Y17" s="70">
        <f t="shared" si="17"/>
        <v>40</v>
      </c>
      <c r="Z17" s="70">
        <f t="shared" si="3"/>
        <v>94</v>
      </c>
      <c r="AA17" s="70">
        <f t="shared" si="18"/>
        <v>94</v>
      </c>
      <c r="AB17" s="234"/>
      <c r="AC17" s="71">
        <f t="shared" si="19"/>
        <v>2</v>
      </c>
      <c r="AD17" s="104">
        <v>9</v>
      </c>
      <c r="AE17" s="105">
        <v>7</v>
      </c>
      <c r="AF17" s="105">
        <f t="shared" si="4"/>
        <v>16</v>
      </c>
      <c r="AG17" s="105">
        <v>5</v>
      </c>
      <c r="AH17" s="70">
        <f t="shared" si="20"/>
        <v>21</v>
      </c>
      <c r="AI17" s="234"/>
      <c r="AJ17" s="71" t="str">
        <f t="shared" si="21"/>
        <v>F</v>
      </c>
      <c r="AK17" s="102">
        <v>11</v>
      </c>
      <c r="AL17" s="101">
        <v>24</v>
      </c>
      <c r="AM17" s="101">
        <f t="shared" si="5"/>
        <v>35</v>
      </c>
      <c r="AN17" s="101">
        <v>12</v>
      </c>
      <c r="AO17" s="70">
        <f t="shared" si="22"/>
        <v>47</v>
      </c>
      <c r="AP17" s="234"/>
      <c r="AQ17" s="71">
        <f t="shared" si="23"/>
        <v>2</v>
      </c>
      <c r="AR17" s="70"/>
      <c r="AS17" s="101">
        <v>19</v>
      </c>
      <c r="AT17" s="101">
        <v>23</v>
      </c>
      <c r="AU17" s="70">
        <f t="shared" si="24"/>
        <v>42</v>
      </c>
      <c r="AV17" s="234"/>
      <c r="AW17" s="71">
        <f t="shared" si="6"/>
        <v>5</v>
      </c>
      <c r="AX17" s="102">
        <v>13</v>
      </c>
      <c r="AY17" s="101">
        <v>30</v>
      </c>
      <c r="AZ17" s="101">
        <f t="shared" si="25"/>
        <v>43</v>
      </c>
      <c r="BA17" s="101">
        <v>22</v>
      </c>
      <c r="BB17" s="70">
        <f t="shared" si="26"/>
        <v>65</v>
      </c>
      <c r="BC17" s="234"/>
      <c r="BD17" s="71">
        <f t="shared" si="27"/>
        <v>3.5</v>
      </c>
      <c r="BE17" s="102">
        <v>17</v>
      </c>
      <c r="BF17" s="101">
        <v>28</v>
      </c>
      <c r="BG17" s="101">
        <f t="shared" si="7"/>
        <v>45</v>
      </c>
      <c r="BH17" s="101">
        <v>12</v>
      </c>
      <c r="BI17" s="101">
        <f t="shared" si="8"/>
        <v>57</v>
      </c>
      <c r="BJ17" s="234"/>
      <c r="BK17" s="71">
        <f t="shared" si="28"/>
        <v>3</v>
      </c>
      <c r="BL17" s="102">
        <v>13</v>
      </c>
      <c r="BM17" s="101">
        <v>33</v>
      </c>
      <c r="BN17" s="101">
        <f t="shared" si="9"/>
        <v>46</v>
      </c>
      <c r="BO17" s="101">
        <v>20</v>
      </c>
      <c r="BP17" s="70">
        <f t="shared" si="29"/>
        <v>66</v>
      </c>
      <c r="BQ17" s="234"/>
      <c r="BR17" s="71">
        <f t="shared" si="30"/>
        <v>3.5</v>
      </c>
      <c r="BS17" s="102">
        <v>15</v>
      </c>
      <c r="BT17" s="101">
        <v>22</v>
      </c>
      <c r="BU17" s="101">
        <f t="shared" si="10"/>
        <v>37</v>
      </c>
      <c r="BV17" s="101">
        <v>18</v>
      </c>
      <c r="BW17" s="70">
        <f t="shared" si="31"/>
        <v>55</v>
      </c>
      <c r="BX17" s="234"/>
      <c r="BY17" s="71">
        <f t="shared" si="32"/>
        <v>3</v>
      </c>
      <c r="BZ17" s="102">
        <v>7</v>
      </c>
      <c r="CA17" s="101">
        <v>22</v>
      </c>
      <c r="CB17" s="101">
        <f t="shared" si="11"/>
        <v>29</v>
      </c>
      <c r="CC17" s="101">
        <v>20</v>
      </c>
      <c r="CD17" s="101">
        <v>23</v>
      </c>
      <c r="CE17" s="70">
        <f t="shared" si="33"/>
        <v>72</v>
      </c>
      <c r="CF17" s="234"/>
      <c r="CG17" s="71">
        <f t="shared" si="34"/>
        <v>4</v>
      </c>
      <c r="CH17" s="71">
        <f t="shared" si="35"/>
        <v>4</v>
      </c>
      <c r="CI17" s="70" t="str">
        <f t="shared" si="12"/>
        <v>F</v>
      </c>
      <c r="CJ17" s="72" t="str">
        <f t="shared" si="36"/>
        <v>F</v>
      </c>
      <c r="CK17" s="79" t="str">
        <f t="shared" si="37"/>
        <v>NEED TO PROGRESS</v>
      </c>
      <c r="CL17" s="79">
        <f t="shared" si="38"/>
        <v>635</v>
      </c>
      <c r="CM17" s="79"/>
      <c r="CN17" s="79"/>
      <c r="DS17"/>
      <c r="DT17" s="19">
        <v>77</v>
      </c>
    </row>
    <row r="18" spans="1:124" ht="24.95" customHeight="1">
      <c r="A18" s="78">
        <v>11</v>
      </c>
      <c r="B18" s="47">
        <v>67</v>
      </c>
      <c r="C18" s="48" t="s">
        <v>151</v>
      </c>
      <c r="D18" s="48" t="s">
        <v>152</v>
      </c>
      <c r="E18" s="48" t="s">
        <v>153</v>
      </c>
      <c r="F18" s="49" t="s">
        <v>154</v>
      </c>
      <c r="G18" s="100">
        <v>17</v>
      </c>
      <c r="H18" s="101">
        <v>19</v>
      </c>
      <c r="I18" s="101">
        <f t="shared" si="13"/>
        <v>36</v>
      </c>
      <c r="J18" s="101">
        <v>15</v>
      </c>
      <c r="K18" s="101">
        <f t="shared" si="0"/>
        <v>51</v>
      </c>
      <c r="L18" s="102">
        <v>14</v>
      </c>
      <c r="M18" s="101">
        <v>34</v>
      </c>
      <c r="N18" s="101">
        <f t="shared" si="14"/>
        <v>48</v>
      </c>
      <c r="O18" s="101">
        <v>23</v>
      </c>
      <c r="P18" s="70">
        <f t="shared" si="15"/>
        <v>71</v>
      </c>
      <c r="Q18" s="70">
        <f t="shared" si="1"/>
        <v>122</v>
      </c>
      <c r="R18" s="234"/>
      <c r="S18" s="71">
        <f t="shared" si="16"/>
        <v>3.5</v>
      </c>
      <c r="T18" s="102">
        <v>16</v>
      </c>
      <c r="U18" s="101">
        <v>35</v>
      </c>
      <c r="V18" s="69">
        <f t="shared" si="2"/>
        <v>51</v>
      </c>
      <c r="W18" s="102">
        <v>12</v>
      </c>
      <c r="X18" s="101">
        <v>25</v>
      </c>
      <c r="Y18" s="70">
        <f t="shared" si="17"/>
        <v>37</v>
      </c>
      <c r="Z18" s="70">
        <f t="shared" si="3"/>
        <v>88</v>
      </c>
      <c r="AA18" s="70">
        <f t="shared" si="18"/>
        <v>88</v>
      </c>
      <c r="AB18" s="234"/>
      <c r="AC18" s="71">
        <f t="shared" si="19"/>
        <v>2</v>
      </c>
      <c r="AD18" s="104">
        <v>9</v>
      </c>
      <c r="AE18" s="105">
        <v>15</v>
      </c>
      <c r="AF18" s="105">
        <f t="shared" si="4"/>
        <v>24</v>
      </c>
      <c r="AG18" s="105">
        <v>9</v>
      </c>
      <c r="AH18" s="70">
        <f t="shared" si="20"/>
        <v>33</v>
      </c>
      <c r="AI18" s="234"/>
      <c r="AJ18" s="71" t="str">
        <f t="shared" si="21"/>
        <v>F</v>
      </c>
      <c r="AK18" s="102">
        <v>10</v>
      </c>
      <c r="AL18" s="101">
        <v>19</v>
      </c>
      <c r="AM18" s="101">
        <f t="shared" si="5"/>
        <v>29</v>
      </c>
      <c r="AN18" s="101">
        <v>13</v>
      </c>
      <c r="AO18" s="70">
        <f t="shared" si="22"/>
        <v>42</v>
      </c>
      <c r="AP18" s="234"/>
      <c r="AQ18" s="71">
        <f t="shared" si="23"/>
        <v>2</v>
      </c>
      <c r="AR18" s="70"/>
      <c r="AS18" s="101">
        <v>20</v>
      </c>
      <c r="AT18" s="101">
        <v>23</v>
      </c>
      <c r="AU18" s="70">
        <f t="shared" si="24"/>
        <v>43</v>
      </c>
      <c r="AV18" s="234"/>
      <c r="AW18" s="71">
        <f t="shared" si="6"/>
        <v>5</v>
      </c>
      <c r="AX18" s="102">
        <v>18</v>
      </c>
      <c r="AY18" s="101">
        <v>24</v>
      </c>
      <c r="AZ18" s="101">
        <f t="shared" si="25"/>
        <v>42</v>
      </c>
      <c r="BA18" s="101">
        <v>19</v>
      </c>
      <c r="BB18" s="70">
        <f t="shared" si="26"/>
        <v>61</v>
      </c>
      <c r="BC18" s="234"/>
      <c r="BD18" s="71">
        <f t="shared" si="27"/>
        <v>3.5</v>
      </c>
      <c r="BE18" s="102">
        <v>16</v>
      </c>
      <c r="BF18" s="101">
        <v>27</v>
      </c>
      <c r="BG18" s="101">
        <f t="shared" si="7"/>
        <v>43</v>
      </c>
      <c r="BH18" s="101">
        <v>15</v>
      </c>
      <c r="BI18" s="101">
        <f t="shared" si="8"/>
        <v>58</v>
      </c>
      <c r="BJ18" s="234"/>
      <c r="BK18" s="71">
        <f t="shared" si="28"/>
        <v>3</v>
      </c>
      <c r="BL18" s="102">
        <v>16</v>
      </c>
      <c r="BM18" s="101">
        <v>31</v>
      </c>
      <c r="BN18" s="101">
        <f t="shared" si="9"/>
        <v>47</v>
      </c>
      <c r="BO18" s="101">
        <v>17</v>
      </c>
      <c r="BP18" s="70">
        <f t="shared" si="29"/>
        <v>64</v>
      </c>
      <c r="BQ18" s="234"/>
      <c r="BR18" s="71">
        <f t="shared" si="30"/>
        <v>3.5</v>
      </c>
      <c r="BS18" s="102">
        <v>13</v>
      </c>
      <c r="BT18" s="101">
        <v>20</v>
      </c>
      <c r="BU18" s="101">
        <f t="shared" si="10"/>
        <v>33</v>
      </c>
      <c r="BV18" s="101">
        <v>16</v>
      </c>
      <c r="BW18" s="70">
        <f t="shared" si="31"/>
        <v>49</v>
      </c>
      <c r="BX18" s="234"/>
      <c r="BY18" s="71">
        <f t="shared" si="32"/>
        <v>2</v>
      </c>
      <c r="BZ18" s="102">
        <v>7</v>
      </c>
      <c r="CA18" s="101">
        <v>19</v>
      </c>
      <c r="CB18" s="101">
        <f t="shared" si="11"/>
        <v>26</v>
      </c>
      <c r="CC18" s="101">
        <v>19</v>
      </c>
      <c r="CD18" s="101">
        <v>23</v>
      </c>
      <c r="CE18" s="70">
        <f t="shared" si="33"/>
        <v>68</v>
      </c>
      <c r="CF18" s="234"/>
      <c r="CG18" s="71">
        <f t="shared" si="34"/>
        <v>3.5</v>
      </c>
      <c r="CH18" s="71">
        <f t="shared" si="35"/>
        <v>3.5</v>
      </c>
      <c r="CI18" s="70" t="str">
        <f t="shared" si="12"/>
        <v>F</v>
      </c>
      <c r="CJ18" s="72" t="str">
        <f t="shared" si="36"/>
        <v>F</v>
      </c>
      <c r="CK18" s="79" t="str">
        <f t="shared" si="37"/>
        <v>NEED TO PROGRESS</v>
      </c>
      <c r="CL18" s="79">
        <f t="shared" si="38"/>
        <v>628</v>
      </c>
      <c r="CM18" s="79"/>
      <c r="CN18" s="79"/>
      <c r="DS18"/>
      <c r="DT18" s="19">
        <v>78</v>
      </c>
    </row>
    <row r="19" spans="1:124" ht="24.95" customHeight="1">
      <c r="A19" s="78">
        <v>12</v>
      </c>
      <c r="B19" s="47">
        <v>69</v>
      </c>
      <c r="C19" s="50" t="s">
        <v>155</v>
      </c>
      <c r="D19" s="50" t="s">
        <v>156</v>
      </c>
      <c r="E19" s="50" t="s">
        <v>157</v>
      </c>
      <c r="F19" s="51" t="s">
        <v>158</v>
      </c>
      <c r="G19" s="100">
        <v>11</v>
      </c>
      <c r="H19" s="101">
        <v>16</v>
      </c>
      <c r="I19" s="101">
        <f t="shared" si="13"/>
        <v>27</v>
      </c>
      <c r="J19" s="101">
        <v>15</v>
      </c>
      <c r="K19" s="101">
        <f t="shared" si="0"/>
        <v>42</v>
      </c>
      <c r="L19" s="102">
        <v>13</v>
      </c>
      <c r="M19" s="101">
        <v>34</v>
      </c>
      <c r="N19" s="101">
        <f t="shared" si="14"/>
        <v>47</v>
      </c>
      <c r="O19" s="101">
        <v>18</v>
      </c>
      <c r="P19" s="70">
        <f t="shared" si="15"/>
        <v>65</v>
      </c>
      <c r="Q19" s="70">
        <f t="shared" si="1"/>
        <v>107</v>
      </c>
      <c r="R19" s="234"/>
      <c r="S19" s="71">
        <f t="shared" si="16"/>
        <v>3</v>
      </c>
      <c r="T19" s="102">
        <v>17</v>
      </c>
      <c r="U19" s="101">
        <v>41</v>
      </c>
      <c r="V19" s="69">
        <f t="shared" si="2"/>
        <v>58</v>
      </c>
      <c r="W19" s="102">
        <v>15</v>
      </c>
      <c r="X19" s="101">
        <v>26</v>
      </c>
      <c r="Y19" s="70">
        <f t="shared" si="17"/>
        <v>41</v>
      </c>
      <c r="Z19" s="70">
        <f t="shared" si="3"/>
        <v>99</v>
      </c>
      <c r="AA19" s="70">
        <f t="shared" si="18"/>
        <v>99</v>
      </c>
      <c r="AB19" s="234"/>
      <c r="AC19" s="71">
        <f t="shared" si="19"/>
        <v>2</v>
      </c>
      <c r="AD19" s="104">
        <v>15</v>
      </c>
      <c r="AE19" s="105">
        <v>15</v>
      </c>
      <c r="AF19" s="105">
        <f t="shared" si="4"/>
        <v>30</v>
      </c>
      <c r="AG19" s="105">
        <v>12</v>
      </c>
      <c r="AH19" s="70">
        <f t="shared" si="20"/>
        <v>42</v>
      </c>
      <c r="AI19" s="234"/>
      <c r="AJ19" s="71">
        <f t="shared" si="21"/>
        <v>2</v>
      </c>
      <c r="AK19" s="102">
        <v>17</v>
      </c>
      <c r="AL19" s="101">
        <v>0</v>
      </c>
      <c r="AM19" s="101">
        <f t="shared" si="5"/>
        <v>17</v>
      </c>
      <c r="AN19" s="101">
        <v>0</v>
      </c>
      <c r="AO19" s="70">
        <f t="shared" si="22"/>
        <v>17</v>
      </c>
      <c r="AP19" s="234"/>
      <c r="AQ19" s="71" t="str">
        <f t="shared" si="23"/>
        <v>F</v>
      </c>
      <c r="AR19" s="70"/>
      <c r="AS19" s="101">
        <v>20</v>
      </c>
      <c r="AT19" s="101">
        <v>23</v>
      </c>
      <c r="AU19" s="70">
        <f t="shared" si="24"/>
        <v>43</v>
      </c>
      <c r="AV19" s="234"/>
      <c r="AW19" s="71">
        <f t="shared" si="6"/>
        <v>5</v>
      </c>
      <c r="AX19" s="102">
        <v>18</v>
      </c>
      <c r="AY19" s="101">
        <v>26</v>
      </c>
      <c r="AZ19" s="101">
        <f t="shared" si="25"/>
        <v>44</v>
      </c>
      <c r="BA19" s="101">
        <v>19</v>
      </c>
      <c r="BB19" s="70">
        <f t="shared" si="26"/>
        <v>63</v>
      </c>
      <c r="BC19" s="234"/>
      <c r="BD19" s="71">
        <f t="shared" si="27"/>
        <v>3.5</v>
      </c>
      <c r="BE19" s="102">
        <v>13</v>
      </c>
      <c r="BF19" s="101">
        <v>24</v>
      </c>
      <c r="BG19" s="101">
        <f t="shared" si="7"/>
        <v>37</v>
      </c>
      <c r="BH19" s="101">
        <v>19</v>
      </c>
      <c r="BI19" s="101">
        <f t="shared" si="8"/>
        <v>56</v>
      </c>
      <c r="BJ19" s="234"/>
      <c r="BK19" s="71">
        <f t="shared" si="28"/>
        <v>3</v>
      </c>
      <c r="BL19" s="102">
        <v>16</v>
      </c>
      <c r="BM19" s="101">
        <v>30</v>
      </c>
      <c r="BN19" s="101">
        <f t="shared" si="9"/>
        <v>46</v>
      </c>
      <c r="BO19" s="101">
        <v>16</v>
      </c>
      <c r="BP19" s="70">
        <f t="shared" si="29"/>
        <v>62</v>
      </c>
      <c r="BQ19" s="234"/>
      <c r="BR19" s="71">
        <f t="shared" si="30"/>
        <v>3.5</v>
      </c>
      <c r="BS19" s="102">
        <v>15</v>
      </c>
      <c r="BT19" s="101">
        <v>26</v>
      </c>
      <c r="BU19" s="101">
        <f t="shared" si="10"/>
        <v>41</v>
      </c>
      <c r="BV19" s="101">
        <v>20</v>
      </c>
      <c r="BW19" s="70">
        <f t="shared" si="31"/>
        <v>61</v>
      </c>
      <c r="BX19" s="234"/>
      <c r="BY19" s="71">
        <f t="shared" si="32"/>
        <v>3.5</v>
      </c>
      <c r="BZ19" s="102">
        <v>7</v>
      </c>
      <c r="CA19" s="101">
        <v>6</v>
      </c>
      <c r="CB19" s="101">
        <f t="shared" si="11"/>
        <v>13</v>
      </c>
      <c r="CC19" s="101">
        <v>18</v>
      </c>
      <c r="CD19" s="101">
        <v>23</v>
      </c>
      <c r="CE19" s="70">
        <f t="shared" si="33"/>
        <v>54</v>
      </c>
      <c r="CF19" s="234"/>
      <c r="CG19" s="71" t="str">
        <f t="shared" si="34"/>
        <v>0</v>
      </c>
      <c r="CH19" s="71" t="str">
        <f t="shared" si="35"/>
        <v>F</v>
      </c>
      <c r="CI19" s="70" t="str">
        <f t="shared" si="12"/>
        <v>F</v>
      </c>
      <c r="CJ19" s="72" t="str">
        <f t="shared" si="36"/>
        <v>F</v>
      </c>
      <c r="CK19" s="79" t="str">
        <f t="shared" si="37"/>
        <v>NEED TO PROGRESS</v>
      </c>
      <c r="CL19" s="79">
        <f t="shared" si="38"/>
        <v>604</v>
      </c>
      <c r="CM19" s="79"/>
      <c r="CN19" s="79"/>
      <c r="DS19"/>
      <c r="DT19" s="19">
        <v>79</v>
      </c>
    </row>
    <row r="20" spans="1:124" ht="24.95" customHeight="1">
      <c r="A20" s="78">
        <v>13</v>
      </c>
      <c r="B20" s="47">
        <v>73</v>
      </c>
      <c r="C20" s="50" t="s">
        <v>159</v>
      </c>
      <c r="D20" s="50" t="s">
        <v>140</v>
      </c>
      <c r="E20" s="50" t="s">
        <v>145</v>
      </c>
      <c r="F20" s="51" t="s">
        <v>160</v>
      </c>
      <c r="G20" s="100">
        <v>13</v>
      </c>
      <c r="H20" s="101">
        <v>21</v>
      </c>
      <c r="I20" s="101">
        <f t="shared" si="13"/>
        <v>34</v>
      </c>
      <c r="J20" s="101">
        <v>14</v>
      </c>
      <c r="K20" s="101">
        <f t="shared" si="0"/>
        <v>48</v>
      </c>
      <c r="L20" s="102">
        <v>13</v>
      </c>
      <c r="M20" s="101">
        <v>30</v>
      </c>
      <c r="N20" s="101">
        <f t="shared" si="14"/>
        <v>43</v>
      </c>
      <c r="O20" s="101">
        <v>12</v>
      </c>
      <c r="P20" s="70">
        <f t="shared" si="15"/>
        <v>55</v>
      </c>
      <c r="Q20" s="70">
        <f t="shared" si="1"/>
        <v>103</v>
      </c>
      <c r="R20" s="234"/>
      <c r="S20" s="71">
        <f t="shared" si="16"/>
        <v>3</v>
      </c>
      <c r="T20" s="102">
        <v>20</v>
      </c>
      <c r="U20" s="101">
        <v>48</v>
      </c>
      <c r="V20" s="69">
        <f t="shared" si="2"/>
        <v>68</v>
      </c>
      <c r="W20" s="102">
        <v>12</v>
      </c>
      <c r="X20" s="101">
        <v>49</v>
      </c>
      <c r="Y20" s="70">
        <f t="shared" si="17"/>
        <v>61</v>
      </c>
      <c r="Z20" s="70">
        <f t="shared" si="3"/>
        <v>129</v>
      </c>
      <c r="AA20" s="70">
        <f t="shared" si="18"/>
        <v>129</v>
      </c>
      <c r="AB20" s="234"/>
      <c r="AC20" s="71">
        <f t="shared" si="19"/>
        <v>3.5</v>
      </c>
      <c r="AD20" s="104">
        <v>15</v>
      </c>
      <c r="AE20" s="105">
        <v>1</v>
      </c>
      <c r="AF20" s="105">
        <f t="shared" si="4"/>
        <v>16</v>
      </c>
      <c r="AG20" s="105">
        <v>10</v>
      </c>
      <c r="AH20" s="70">
        <f t="shared" si="20"/>
        <v>26</v>
      </c>
      <c r="AI20" s="234"/>
      <c r="AJ20" s="71" t="str">
        <f t="shared" si="21"/>
        <v>F</v>
      </c>
      <c r="AK20" s="102">
        <v>6</v>
      </c>
      <c r="AL20" s="101">
        <v>16</v>
      </c>
      <c r="AM20" s="101">
        <f t="shared" si="5"/>
        <v>22</v>
      </c>
      <c r="AN20" s="101">
        <v>12</v>
      </c>
      <c r="AO20" s="70">
        <f t="shared" si="22"/>
        <v>34</v>
      </c>
      <c r="AP20" s="234"/>
      <c r="AQ20" s="71" t="str">
        <f t="shared" si="23"/>
        <v>F</v>
      </c>
      <c r="AR20" s="70"/>
      <c r="AS20" s="101">
        <v>13</v>
      </c>
      <c r="AT20" s="101">
        <v>23</v>
      </c>
      <c r="AU20" s="70">
        <f t="shared" si="24"/>
        <v>36</v>
      </c>
      <c r="AV20" s="234"/>
      <c r="AW20" s="71">
        <f t="shared" si="6"/>
        <v>4</v>
      </c>
      <c r="AX20" s="102">
        <v>16</v>
      </c>
      <c r="AY20" s="101">
        <v>20</v>
      </c>
      <c r="AZ20" s="101">
        <f t="shared" si="25"/>
        <v>36</v>
      </c>
      <c r="BA20" s="101">
        <v>20</v>
      </c>
      <c r="BB20" s="70">
        <f t="shared" si="26"/>
        <v>56</v>
      </c>
      <c r="BC20" s="234"/>
      <c r="BD20" s="71">
        <f t="shared" si="27"/>
        <v>3</v>
      </c>
      <c r="BE20" s="102">
        <v>14</v>
      </c>
      <c r="BF20" s="101">
        <v>24</v>
      </c>
      <c r="BG20" s="101">
        <f t="shared" si="7"/>
        <v>38</v>
      </c>
      <c r="BH20" s="101">
        <v>20</v>
      </c>
      <c r="BI20" s="101">
        <f t="shared" si="8"/>
        <v>58</v>
      </c>
      <c r="BJ20" s="234"/>
      <c r="BK20" s="71">
        <f t="shared" si="28"/>
        <v>3</v>
      </c>
      <c r="BL20" s="102">
        <v>13</v>
      </c>
      <c r="BM20" s="101">
        <v>36</v>
      </c>
      <c r="BN20" s="101">
        <f t="shared" si="9"/>
        <v>49</v>
      </c>
      <c r="BO20" s="101">
        <v>13</v>
      </c>
      <c r="BP20" s="70">
        <f t="shared" si="29"/>
        <v>62</v>
      </c>
      <c r="BQ20" s="234"/>
      <c r="BR20" s="71">
        <f t="shared" si="30"/>
        <v>3.5</v>
      </c>
      <c r="BS20" s="102">
        <v>13</v>
      </c>
      <c r="BT20" s="101">
        <v>23</v>
      </c>
      <c r="BU20" s="101">
        <f t="shared" si="10"/>
        <v>36</v>
      </c>
      <c r="BV20" s="101">
        <v>12</v>
      </c>
      <c r="BW20" s="70">
        <f t="shared" si="31"/>
        <v>48</v>
      </c>
      <c r="BX20" s="234"/>
      <c r="BY20" s="71">
        <f t="shared" si="32"/>
        <v>2</v>
      </c>
      <c r="BZ20" s="102">
        <v>7</v>
      </c>
      <c r="CA20" s="101">
        <v>15</v>
      </c>
      <c r="CB20" s="101">
        <f t="shared" si="11"/>
        <v>22</v>
      </c>
      <c r="CC20" s="101">
        <v>10</v>
      </c>
      <c r="CD20" s="101">
        <v>23</v>
      </c>
      <c r="CE20" s="70">
        <f t="shared" si="33"/>
        <v>55</v>
      </c>
      <c r="CF20" s="234"/>
      <c r="CG20" s="71">
        <f t="shared" si="34"/>
        <v>3</v>
      </c>
      <c r="CH20" s="71">
        <f t="shared" si="35"/>
        <v>3</v>
      </c>
      <c r="CI20" s="70" t="str">
        <f t="shared" si="12"/>
        <v>F</v>
      </c>
      <c r="CJ20" s="72" t="str">
        <f t="shared" si="36"/>
        <v>F</v>
      </c>
      <c r="CK20" s="79" t="str">
        <f t="shared" si="37"/>
        <v>NEED TO PROGRESS</v>
      </c>
      <c r="CL20" s="79">
        <f t="shared" si="38"/>
        <v>607</v>
      </c>
      <c r="CM20" s="79"/>
      <c r="CN20" s="79"/>
      <c r="DS20"/>
      <c r="DT20" s="19">
        <v>80</v>
      </c>
    </row>
    <row r="21" spans="1:124" ht="24.95" customHeight="1">
      <c r="A21" s="78">
        <v>14</v>
      </c>
      <c r="B21" s="47">
        <v>76</v>
      </c>
      <c r="C21" s="50" t="s">
        <v>161</v>
      </c>
      <c r="D21" s="52" t="s">
        <v>162</v>
      </c>
      <c r="E21" s="50" t="s">
        <v>163</v>
      </c>
      <c r="F21" s="51" t="s">
        <v>164</v>
      </c>
      <c r="G21" s="100">
        <v>15</v>
      </c>
      <c r="H21" s="101">
        <v>16</v>
      </c>
      <c r="I21" s="101">
        <f t="shared" si="13"/>
        <v>31</v>
      </c>
      <c r="J21" s="101">
        <v>12</v>
      </c>
      <c r="K21" s="101">
        <f t="shared" si="0"/>
        <v>43</v>
      </c>
      <c r="L21" s="102">
        <v>8</v>
      </c>
      <c r="M21" s="101">
        <v>24</v>
      </c>
      <c r="N21" s="101">
        <f t="shared" si="14"/>
        <v>32</v>
      </c>
      <c r="O21" s="101">
        <v>14</v>
      </c>
      <c r="P21" s="70">
        <f t="shared" si="15"/>
        <v>46</v>
      </c>
      <c r="Q21" s="70">
        <f t="shared" si="1"/>
        <v>89</v>
      </c>
      <c r="R21" s="234"/>
      <c r="S21" s="71">
        <f t="shared" si="16"/>
        <v>2</v>
      </c>
      <c r="T21" s="102">
        <v>17</v>
      </c>
      <c r="U21" s="101">
        <v>30</v>
      </c>
      <c r="V21" s="69">
        <f t="shared" si="2"/>
        <v>47</v>
      </c>
      <c r="W21" s="102">
        <v>11</v>
      </c>
      <c r="X21" s="101">
        <v>19</v>
      </c>
      <c r="Y21" s="70">
        <f t="shared" si="17"/>
        <v>30</v>
      </c>
      <c r="Z21" s="70">
        <f t="shared" si="3"/>
        <v>77</v>
      </c>
      <c r="AA21" s="70">
        <f t="shared" si="18"/>
        <v>77</v>
      </c>
      <c r="AB21" s="234"/>
      <c r="AC21" s="71" t="str">
        <f t="shared" si="19"/>
        <v>F</v>
      </c>
      <c r="AD21" s="104">
        <v>11</v>
      </c>
      <c r="AE21" s="105">
        <v>0</v>
      </c>
      <c r="AF21" s="105">
        <f t="shared" si="4"/>
        <v>11</v>
      </c>
      <c r="AG21" s="105">
        <v>10</v>
      </c>
      <c r="AH21" s="70">
        <f t="shared" si="20"/>
        <v>21</v>
      </c>
      <c r="AI21" s="234"/>
      <c r="AJ21" s="71" t="str">
        <f t="shared" si="21"/>
        <v>F</v>
      </c>
      <c r="AK21" s="102">
        <v>10</v>
      </c>
      <c r="AL21" s="101">
        <v>16</v>
      </c>
      <c r="AM21" s="101">
        <f t="shared" si="5"/>
        <v>26</v>
      </c>
      <c r="AN21" s="101">
        <v>20</v>
      </c>
      <c r="AO21" s="70">
        <f t="shared" si="22"/>
        <v>46</v>
      </c>
      <c r="AP21" s="234"/>
      <c r="AQ21" s="71" t="str">
        <f t="shared" si="23"/>
        <v>F</v>
      </c>
      <c r="AR21" s="70"/>
      <c r="AS21" s="101">
        <v>23</v>
      </c>
      <c r="AT21" s="101">
        <v>23</v>
      </c>
      <c r="AU21" s="70">
        <f t="shared" si="24"/>
        <v>46</v>
      </c>
      <c r="AV21" s="234"/>
      <c r="AW21" s="71">
        <f t="shared" si="6"/>
        <v>5</v>
      </c>
      <c r="AX21" s="102">
        <v>15</v>
      </c>
      <c r="AY21" s="101">
        <v>14</v>
      </c>
      <c r="AZ21" s="101">
        <f t="shared" si="25"/>
        <v>29</v>
      </c>
      <c r="BA21" s="101">
        <v>22</v>
      </c>
      <c r="BB21" s="70">
        <f t="shared" si="26"/>
        <v>51</v>
      </c>
      <c r="BC21" s="234"/>
      <c r="BD21" s="71">
        <f t="shared" si="27"/>
        <v>3</v>
      </c>
      <c r="BE21" s="102">
        <v>9</v>
      </c>
      <c r="BF21" s="101">
        <v>20</v>
      </c>
      <c r="BG21" s="101">
        <f t="shared" si="7"/>
        <v>29</v>
      </c>
      <c r="BH21" s="101">
        <v>14</v>
      </c>
      <c r="BI21" s="101">
        <f t="shared" si="8"/>
        <v>43</v>
      </c>
      <c r="BJ21" s="234"/>
      <c r="BK21" s="71">
        <f t="shared" si="28"/>
        <v>2</v>
      </c>
      <c r="BL21" s="102">
        <v>13</v>
      </c>
      <c r="BM21" s="101">
        <v>9</v>
      </c>
      <c r="BN21" s="101">
        <f t="shared" si="9"/>
        <v>22</v>
      </c>
      <c r="BO21" s="101">
        <v>18</v>
      </c>
      <c r="BP21" s="70">
        <f t="shared" si="29"/>
        <v>40</v>
      </c>
      <c r="BQ21" s="234"/>
      <c r="BR21" s="71" t="str">
        <f t="shared" si="30"/>
        <v>F</v>
      </c>
      <c r="BS21" s="102">
        <v>14</v>
      </c>
      <c r="BT21" s="101">
        <v>5</v>
      </c>
      <c r="BU21" s="101">
        <f t="shared" si="10"/>
        <v>19</v>
      </c>
      <c r="BV21" s="101">
        <v>15</v>
      </c>
      <c r="BW21" s="70">
        <f t="shared" si="31"/>
        <v>34</v>
      </c>
      <c r="BX21" s="234"/>
      <c r="BY21" s="71" t="str">
        <f t="shared" si="32"/>
        <v>F</v>
      </c>
      <c r="BZ21" s="102">
        <v>7</v>
      </c>
      <c r="CA21" s="101">
        <v>15</v>
      </c>
      <c r="CB21" s="101">
        <f t="shared" si="11"/>
        <v>22</v>
      </c>
      <c r="CC21" s="101">
        <v>17</v>
      </c>
      <c r="CD21" s="101">
        <v>23</v>
      </c>
      <c r="CE21" s="70">
        <f t="shared" si="33"/>
        <v>62</v>
      </c>
      <c r="CF21" s="234"/>
      <c r="CG21" s="71">
        <f t="shared" si="34"/>
        <v>3.5</v>
      </c>
      <c r="CH21" s="71">
        <f t="shared" si="35"/>
        <v>3.5</v>
      </c>
      <c r="CI21" s="70" t="str">
        <f t="shared" si="12"/>
        <v>F</v>
      </c>
      <c r="CJ21" s="72" t="str">
        <f t="shared" si="36"/>
        <v>F</v>
      </c>
      <c r="CK21" s="79" t="str">
        <f t="shared" si="37"/>
        <v>NEED TO PROGRESS</v>
      </c>
      <c r="CL21" s="79">
        <f t="shared" si="38"/>
        <v>509</v>
      </c>
      <c r="CM21" s="79"/>
      <c r="CN21" s="79"/>
      <c r="DS21"/>
      <c r="DT21" s="19">
        <v>81</v>
      </c>
    </row>
    <row r="22" spans="1:124" ht="24.95" customHeight="1">
      <c r="A22" s="78">
        <v>15</v>
      </c>
      <c r="B22" s="47">
        <v>77</v>
      </c>
      <c r="C22" s="50" t="s">
        <v>165</v>
      </c>
      <c r="D22" s="50" t="s">
        <v>166</v>
      </c>
      <c r="E22" s="50" t="s">
        <v>167</v>
      </c>
      <c r="F22" s="51" t="s">
        <v>168</v>
      </c>
      <c r="G22" s="100">
        <v>13</v>
      </c>
      <c r="H22" s="101">
        <v>16</v>
      </c>
      <c r="I22" s="101">
        <f t="shared" si="13"/>
        <v>29</v>
      </c>
      <c r="J22" s="101">
        <v>14</v>
      </c>
      <c r="K22" s="101">
        <f t="shared" si="0"/>
        <v>43</v>
      </c>
      <c r="L22" s="102">
        <v>16</v>
      </c>
      <c r="M22" s="101">
        <v>39</v>
      </c>
      <c r="N22" s="101">
        <f t="shared" si="14"/>
        <v>55</v>
      </c>
      <c r="O22" s="101">
        <v>14</v>
      </c>
      <c r="P22" s="70">
        <f t="shared" si="15"/>
        <v>69</v>
      </c>
      <c r="Q22" s="70">
        <f t="shared" si="1"/>
        <v>112</v>
      </c>
      <c r="R22" s="234"/>
      <c r="S22" s="71">
        <f t="shared" si="16"/>
        <v>3</v>
      </c>
      <c r="T22" s="102">
        <v>17</v>
      </c>
      <c r="U22" s="101">
        <v>37</v>
      </c>
      <c r="V22" s="69">
        <f t="shared" si="2"/>
        <v>54</v>
      </c>
      <c r="W22" s="102">
        <v>14</v>
      </c>
      <c r="X22" s="101">
        <v>26</v>
      </c>
      <c r="Y22" s="70">
        <f t="shared" si="17"/>
        <v>40</v>
      </c>
      <c r="Z22" s="70">
        <f t="shared" si="3"/>
        <v>94</v>
      </c>
      <c r="AA22" s="70">
        <f t="shared" si="18"/>
        <v>94</v>
      </c>
      <c r="AB22" s="234"/>
      <c r="AC22" s="71">
        <f t="shared" si="19"/>
        <v>2</v>
      </c>
      <c r="AD22" s="104">
        <v>12</v>
      </c>
      <c r="AE22" s="105">
        <v>5</v>
      </c>
      <c r="AF22" s="105">
        <f t="shared" si="4"/>
        <v>17</v>
      </c>
      <c r="AG22" s="105">
        <v>17</v>
      </c>
      <c r="AH22" s="70">
        <f t="shared" si="20"/>
        <v>34</v>
      </c>
      <c r="AI22" s="234"/>
      <c r="AJ22" s="71" t="str">
        <f t="shared" si="21"/>
        <v>F</v>
      </c>
      <c r="AK22" s="102">
        <v>13</v>
      </c>
      <c r="AL22" s="101">
        <v>24</v>
      </c>
      <c r="AM22" s="101">
        <f t="shared" si="5"/>
        <v>37</v>
      </c>
      <c r="AN22" s="101">
        <v>12</v>
      </c>
      <c r="AO22" s="70">
        <f t="shared" si="22"/>
        <v>49</v>
      </c>
      <c r="AP22" s="234"/>
      <c r="AQ22" s="71">
        <f t="shared" si="23"/>
        <v>2</v>
      </c>
      <c r="AR22" s="70"/>
      <c r="AS22" s="101">
        <v>23</v>
      </c>
      <c r="AT22" s="101">
        <v>23</v>
      </c>
      <c r="AU22" s="70">
        <f t="shared" si="24"/>
        <v>46</v>
      </c>
      <c r="AV22" s="234"/>
      <c r="AW22" s="71">
        <f t="shared" si="6"/>
        <v>5</v>
      </c>
      <c r="AX22" s="102">
        <v>14</v>
      </c>
      <c r="AY22" s="101">
        <v>29</v>
      </c>
      <c r="AZ22" s="101">
        <f t="shared" si="25"/>
        <v>43</v>
      </c>
      <c r="BA22" s="101">
        <v>19</v>
      </c>
      <c r="BB22" s="70">
        <f t="shared" si="26"/>
        <v>62</v>
      </c>
      <c r="BC22" s="234"/>
      <c r="BD22" s="71">
        <f t="shared" si="27"/>
        <v>3.5</v>
      </c>
      <c r="BE22" s="102">
        <v>13</v>
      </c>
      <c r="BF22" s="101">
        <v>27</v>
      </c>
      <c r="BG22" s="101">
        <f t="shared" si="7"/>
        <v>40</v>
      </c>
      <c r="BH22" s="101">
        <v>14</v>
      </c>
      <c r="BI22" s="101">
        <f t="shared" si="8"/>
        <v>54</v>
      </c>
      <c r="BJ22" s="234"/>
      <c r="BK22" s="71">
        <f t="shared" si="28"/>
        <v>3</v>
      </c>
      <c r="BL22" s="102">
        <v>14</v>
      </c>
      <c r="BM22" s="101">
        <v>25</v>
      </c>
      <c r="BN22" s="101">
        <f t="shared" si="9"/>
        <v>39</v>
      </c>
      <c r="BO22" s="101">
        <v>15</v>
      </c>
      <c r="BP22" s="70">
        <f t="shared" si="29"/>
        <v>54</v>
      </c>
      <c r="BQ22" s="234"/>
      <c r="BR22" s="71">
        <f t="shared" si="30"/>
        <v>3</v>
      </c>
      <c r="BS22" s="102">
        <v>16</v>
      </c>
      <c r="BT22" s="101">
        <v>22</v>
      </c>
      <c r="BU22" s="101">
        <f t="shared" si="10"/>
        <v>38</v>
      </c>
      <c r="BV22" s="101">
        <v>23</v>
      </c>
      <c r="BW22" s="70">
        <f t="shared" si="31"/>
        <v>61</v>
      </c>
      <c r="BX22" s="234"/>
      <c r="BY22" s="71">
        <f t="shared" si="32"/>
        <v>3.5</v>
      </c>
      <c r="BZ22" s="102">
        <v>8</v>
      </c>
      <c r="CA22" s="101">
        <v>22</v>
      </c>
      <c r="CB22" s="101">
        <f t="shared" si="11"/>
        <v>30</v>
      </c>
      <c r="CC22" s="101">
        <v>19</v>
      </c>
      <c r="CD22" s="101">
        <v>23</v>
      </c>
      <c r="CE22" s="70">
        <f t="shared" si="33"/>
        <v>72</v>
      </c>
      <c r="CF22" s="234"/>
      <c r="CG22" s="71">
        <f t="shared" si="34"/>
        <v>4</v>
      </c>
      <c r="CH22" s="71">
        <f t="shared" si="35"/>
        <v>4</v>
      </c>
      <c r="CI22" s="70" t="str">
        <f t="shared" si="12"/>
        <v>F</v>
      </c>
      <c r="CJ22" s="72" t="str">
        <f t="shared" si="36"/>
        <v>F</v>
      </c>
      <c r="CK22" s="79" t="str">
        <f t="shared" si="37"/>
        <v>NEED TO PROGRESS</v>
      </c>
      <c r="CL22" s="79">
        <f t="shared" si="38"/>
        <v>638</v>
      </c>
      <c r="CM22" s="79"/>
      <c r="CN22" s="79"/>
      <c r="DS22"/>
      <c r="DT22" s="19">
        <v>82</v>
      </c>
    </row>
    <row r="23" spans="1:124" ht="24.95" customHeight="1">
      <c r="A23" s="78">
        <v>16</v>
      </c>
      <c r="B23" s="47">
        <v>80</v>
      </c>
      <c r="C23" s="50" t="s">
        <v>169</v>
      </c>
      <c r="D23" s="50" t="s">
        <v>170</v>
      </c>
      <c r="E23" s="50" t="s">
        <v>171</v>
      </c>
      <c r="F23" s="51" t="s">
        <v>172</v>
      </c>
      <c r="G23" s="103">
        <v>0</v>
      </c>
      <c r="H23" s="101">
        <v>11</v>
      </c>
      <c r="I23" s="101">
        <f t="shared" si="13"/>
        <v>11</v>
      </c>
      <c r="J23" s="101">
        <v>14</v>
      </c>
      <c r="K23" s="101">
        <f t="shared" si="0"/>
        <v>25</v>
      </c>
      <c r="L23" s="103">
        <v>0</v>
      </c>
      <c r="M23" s="101">
        <v>29</v>
      </c>
      <c r="N23" s="101">
        <f t="shared" si="14"/>
        <v>29</v>
      </c>
      <c r="O23" s="101">
        <v>14</v>
      </c>
      <c r="P23" s="70">
        <f t="shared" si="15"/>
        <v>43</v>
      </c>
      <c r="Q23" s="70">
        <f t="shared" si="1"/>
        <v>68</v>
      </c>
      <c r="R23" s="234"/>
      <c r="S23" s="71" t="str">
        <f t="shared" si="16"/>
        <v>F</v>
      </c>
      <c r="T23" s="103">
        <v>0</v>
      </c>
      <c r="U23" s="101">
        <v>38</v>
      </c>
      <c r="V23" s="69">
        <f t="shared" si="2"/>
        <v>38</v>
      </c>
      <c r="W23" s="103">
        <v>0</v>
      </c>
      <c r="X23" s="101">
        <v>38</v>
      </c>
      <c r="Y23" s="70">
        <f t="shared" si="17"/>
        <v>38</v>
      </c>
      <c r="Z23" s="70">
        <f t="shared" si="3"/>
        <v>76</v>
      </c>
      <c r="AA23" s="70">
        <f t="shared" si="18"/>
        <v>76</v>
      </c>
      <c r="AB23" s="234"/>
      <c r="AC23" s="71" t="str">
        <f t="shared" si="19"/>
        <v>F</v>
      </c>
      <c r="AD23" s="106">
        <v>0</v>
      </c>
      <c r="AE23" s="105">
        <v>1</v>
      </c>
      <c r="AF23" s="105">
        <f t="shared" si="4"/>
        <v>1</v>
      </c>
      <c r="AG23" s="105">
        <v>14</v>
      </c>
      <c r="AH23" s="70">
        <f t="shared" si="20"/>
        <v>15</v>
      </c>
      <c r="AI23" s="234"/>
      <c r="AJ23" s="71" t="str">
        <f t="shared" si="21"/>
        <v>F</v>
      </c>
      <c r="AK23" s="103">
        <v>0</v>
      </c>
      <c r="AL23" s="101">
        <v>14</v>
      </c>
      <c r="AM23" s="101">
        <f t="shared" si="5"/>
        <v>14</v>
      </c>
      <c r="AN23" s="101">
        <v>17</v>
      </c>
      <c r="AO23" s="70">
        <f t="shared" si="22"/>
        <v>31</v>
      </c>
      <c r="AP23" s="234"/>
      <c r="AQ23" s="71" t="str">
        <f t="shared" si="23"/>
        <v>F</v>
      </c>
      <c r="AR23" s="70"/>
      <c r="AS23" s="101">
        <v>17</v>
      </c>
      <c r="AT23" s="101">
        <v>23</v>
      </c>
      <c r="AU23" s="70">
        <f t="shared" si="24"/>
        <v>40</v>
      </c>
      <c r="AV23" s="234"/>
      <c r="AW23" s="71">
        <f t="shared" si="6"/>
        <v>5</v>
      </c>
      <c r="AX23" s="103">
        <v>0</v>
      </c>
      <c r="AY23" s="101">
        <v>14</v>
      </c>
      <c r="AZ23" s="101">
        <f t="shared" si="25"/>
        <v>14</v>
      </c>
      <c r="BA23" s="101">
        <v>21</v>
      </c>
      <c r="BB23" s="70">
        <f t="shared" si="26"/>
        <v>35</v>
      </c>
      <c r="BC23" s="234"/>
      <c r="BD23" s="71" t="str">
        <f t="shared" si="27"/>
        <v>F</v>
      </c>
      <c r="BE23" s="103">
        <v>0</v>
      </c>
      <c r="BF23" s="101">
        <v>20</v>
      </c>
      <c r="BG23" s="101">
        <f t="shared" si="7"/>
        <v>20</v>
      </c>
      <c r="BH23" s="101">
        <v>15</v>
      </c>
      <c r="BI23" s="101">
        <f t="shared" si="8"/>
        <v>35</v>
      </c>
      <c r="BJ23" s="234"/>
      <c r="BK23" s="71" t="str">
        <f t="shared" si="28"/>
        <v>F</v>
      </c>
      <c r="BL23" s="103">
        <v>0</v>
      </c>
      <c r="BM23" s="101">
        <v>29</v>
      </c>
      <c r="BN23" s="101">
        <f t="shared" si="9"/>
        <v>29</v>
      </c>
      <c r="BO23" s="101">
        <v>15</v>
      </c>
      <c r="BP23" s="70">
        <f t="shared" si="29"/>
        <v>44</v>
      </c>
      <c r="BQ23" s="234"/>
      <c r="BR23" s="71">
        <f t="shared" si="30"/>
        <v>2</v>
      </c>
      <c r="BS23" s="103">
        <v>3</v>
      </c>
      <c r="BT23" s="101">
        <v>2</v>
      </c>
      <c r="BU23" s="101">
        <f t="shared" si="10"/>
        <v>5</v>
      </c>
      <c r="BV23" s="101">
        <v>22</v>
      </c>
      <c r="BW23" s="70">
        <f t="shared" si="31"/>
        <v>27</v>
      </c>
      <c r="BX23" s="234"/>
      <c r="BY23" s="71" t="str">
        <f t="shared" si="32"/>
        <v>F</v>
      </c>
      <c r="BZ23" s="103">
        <v>0</v>
      </c>
      <c r="CA23" s="101">
        <v>10</v>
      </c>
      <c r="CB23" s="101">
        <f t="shared" si="11"/>
        <v>10</v>
      </c>
      <c r="CC23" s="101">
        <v>17</v>
      </c>
      <c r="CD23" s="101">
        <v>23</v>
      </c>
      <c r="CE23" s="70">
        <f t="shared" si="33"/>
        <v>50</v>
      </c>
      <c r="CF23" s="234"/>
      <c r="CG23" s="71" t="str">
        <f t="shared" si="34"/>
        <v>0</v>
      </c>
      <c r="CH23" s="71" t="str">
        <f t="shared" si="35"/>
        <v>F</v>
      </c>
      <c r="CI23" s="70" t="str">
        <f t="shared" si="12"/>
        <v>F</v>
      </c>
      <c r="CJ23" s="72" t="str">
        <f t="shared" si="36"/>
        <v>F</v>
      </c>
      <c r="CK23" s="79" t="str">
        <f t="shared" si="37"/>
        <v>NEED TO PROGRESS</v>
      </c>
      <c r="CL23" s="79">
        <f t="shared" si="38"/>
        <v>421</v>
      </c>
      <c r="CM23" s="79"/>
      <c r="CN23" s="79"/>
      <c r="DS23"/>
      <c r="DT23" s="46"/>
    </row>
    <row r="24" spans="1:124" ht="24.95" customHeight="1">
      <c r="A24" s="78">
        <v>17</v>
      </c>
      <c r="B24" s="47">
        <v>81</v>
      </c>
      <c r="C24" s="50" t="s">
        <v>173</v>
      </c>
      <c r="D24" s="50" t="s">
        <v>174</v>
      </c>
      <c r="E24" s="50" t="s">
        <v>175</v>
      </c>
      <c r="F24" s="51" t="s">
        <v>176</v>
      </c>
      <c r="G24" s="100">
        <v>8</v>
      </c>
      <c r="H24" s="101">
        <v>22</v>
      </c>
      <c r="I24" s="101">
        <f t="shared" si="13"/>
        <v>30</v>
      </c>
      <c r="J24" s="101">
        <v>15</v>
      </c>
      <c r="K24" s="101">
        <f t="shared" si="0"/>
        <v>45</v>
      </c>
      <c r="L24" s="102">
        <v>12</v>
      </c>
      <c r="M24" s="101">
        <v>29</v>
      </c>
      <c r="N24" s="101">
        <f t="shared" si="14"/>
        <v>41</v>
      </c>
      <c r="O24" s="101">
        <v>13</v>
      </c>
      <c r="P24" s="70">
        <f t="shared" si="15"/>
        <v>54</v>
      </c>
      <c r="Q24" s="70">
        <f t="shared" si="1"/>
        <v>99</v>
      </c>
      <c r="R24" s="234"/>
      <c r="S24" s="71">
        <f t="shared" si="16"/>
        <v>2</v>
      </c>
      <c r="T24" s="102">
        <v>11</v>
      </c>
      <c r="U24" s="101">
        <v>46</v>
      </c>
      <c r="V24" s="69">
        <f t="shared" si="2"/>
        <v>57</v>
      </c>
      <c r="W24" s="102">
        <v>12</v>
      </c>
      <c r="X24" s="101">
        <v>26</v>
      </c>
      <c r="Y24" s="70">
        <f t="shared" si="17"/>
        <v>38</v>
      </c>
      <c r="Z24" s="70">
        <f t="shared" si="3"/>
        <v>95</v>
      </c>
      <c r="AA24" s="70">
        <f t="shared" si="18"/>
        <v>95</v>
      </c>
      <c r="AB24" s="234"/>
      <c r="AC24" s="71">
        <f t="shared" si="19"/>
        <v>2</v>
      </c>
      <c r="AD24" s="104">
        <v>12</v>
      </c>
      <c r="AE24" s="105">
        <v>2</v>
      </c>
      <c r="AF24" s="105">
        <f t="shared" si="4"/>
        <v>14</v>
      </c>
      <c r="AG24" s="105">
        <v>18</v>
      </c>
      <c r="AH24" s="70">
        <f t="shared" si="20"/>
        <v>32</v>
      </c>
      <c r="AI24" s="234"/>
      <c r="AJ24" s="71" t="str">
        <f t="shared" si="21"/>
        <v>F</v>
      </c>
      <c r="AK24" s="102">
        <v>10</v>
      </c>
      <c r="AL24" s="101">
        <v>20</v>
      </c>
      <c r="AM24" s="101">
        <f t="shared" si="5"/>
        <v>30</v>
      </c>
      <c r="AN24" s="101">
        <v>16</v>
      </c>
      <c r="AO24" s="70">
        <f t="shared" si="22"/>
        <v>46</v>
      </c>
      <c r="AP24" s="234"/>
      <c r="AQ24" s="71">
        <f t="shared" si="23"/>
        <v>2</v>
      </c>
      <c r="AR24" s="70"/>
      <c r="AS24" s="101">
        <v>19</v>
      </c>
      <c r="AT24" s="101">
        <v>23</v>
      </c>
      <c r="AU24" s="70">
        <f t="shared" si="24"/>
        <v>42</v>
      </c>
      <c r="AV24" s="234"/>
      <c r="AW24" s="71">
        <f t="shared" si="6"/>
        <v>5</v>
      </c>
      <c r="AX24" s="102">
        <v>14</v>
      </c>
      <c r="AY24" s="101">
        <v>15</v>
      </c>
      <c r="AZ24" s="101">
        <f t="shared" si="25"/>
        <v>29</v>
      </c>
      <c r="BA24" s="101">
        <v>21</v>
      </c>
      <c r="BB24" s="70">
        <f t="shared" si="26"/>
        <v>50</v>
      </c>
      <c r="BC24" s="234"/>
      <c r="BD24" s="71">
        <f t="shared" si="27"/>
        <v>3</v>
      </c>
      <c r="BE24" s="102">
        <v>15</v>
      </c>
      <c r="BF24" s="101">
        <v>27</v>
      </c>
      <c r="BG24" s="101">
        <f t="shared" si="7"/>
        <v>42</v>
      </c>
      <c r="BH24" s="101">
        <v>14</v>
      </c>
      <c r="BI24" s="101">
        <f t="shared" si="8"/>
        <v>56</v>
      </c>
      <c r="BJ24" s="234"/>
      <c r="BK24" s="71">
        <f t="shared" si="28"/>
        <v>3</v>
      </c>
      <c r="BL24" s="102">
        <v>14</v>
      </c>
      <c r="BM24" s="101">
        <v>24</v>
      </c>
      <c r="BN24" s="101">
        <f t="shared" si="9"/>
        <v>38</v>
      </c>
      <c r="BO24" s="101">
        <v>14</v>
      </c>
      <c r="BP24" s="70">
        <f t="shared" si="29"/>
        <v>52</v>
      </c>
      <c r="BQ24" s="234"/>
      <c r="BR24" s="71">
        <f t="shared" si="30"/>
        <v>3</v>
      </c>
      <c r="BS24" s="102">
        <v>16</v>
      </c>
      <c r="BT24" s="101">
        <v>23</v>
      </c>
      <c r="BU24" s="101">
        <f t="shared" si="10"/>
        <v>39</v>
      </c>
      <c r="BV24" s="101">
        <v>17</v>
      </c>
      <c r="BW24" s="70">
        <f t="shared" si="31"/>
        <v>56</v>
      </c>
      <c r="BX24" s="234"/>
      <c r="BY24" s="71">
        <f t="shared" si="32"/>
        <v>3</v>
      </c>
      <c r="BZ24" s="102">
        <v>7</v>
      </c>
      <c r="CA24" s="101">
        <v>14</v>
      </c>
      <c r="CB24" s="101">
        <f t="shared" si="11"/>
        <v>21</v>
      </c>
      <c r="CC24" s="101">
        <v>18</v>
      </c>
      <c r="CD24" s="101">
        <v>23</v>
      </c>
      <c r="CE24" s="70">
        <f t="shared" si="33"/>
        <v>62</v>
      </c>
      <c r="CF24" s="234"/>
      <c r="CG24" s="71">
        <f t="shared" si="34"/>
        <v>3.5</v>
      </c>
      <c r="CH24" s="71">
        <f t="shared" si="35"/>
        <v>3.5</v>
      </c>
      <c r="CI24" s="70" t="str">
        <f t="shared" si="12"/>
        <v>F</v>
      </c>
      <c r="CJ24" s="72" t="str">
        <f t="shared" si="36"/>
        <v>F</v>
      </c>
      <c r="CK24" s="79" t="str">
        <f t="shared" si="37"/>
        <v>NEED TO PROGRESS</v>
      </c>
      <c r="CL24" s="79">
        <f t="shared" si="38"/>
        <v>590</v>
      </c>
      <c r="CM24" s="79"/>
      <c r="CN24" s="79"/>
      <c r="DS24"/>
      <c r="DT24" s="46"/>
    </row>
    <row r="25" spans="1:124" s="56" customFormat="1" ht="24.95" customHeight="1">
      <c r="A25" s="55">
        <v>18</v>
      </c>
      <c r="B25" s="47">
        <v>82</v>
      </c>
      <c r="C25" s="54" t="s">
        <v>177</v>
      </c>
      <c r="D25" s="54" t="s">
        <v>178</v>
      </c>
      <c r="E25" s="54" t="s">
        <v>179</v>
      </c>
      <c r="F25" s="51" t="s">
        <v>180</v>
      </c>
      <c r="G25" s="107">
        <v>8</v>
      </c>
      <c r="H25" s="101">
        <v>16</v>
      </c>
      <c r="I25" s="101">
        <f t="shared" si="13"/>
        <v>24</v>
      </c>
      <c r="J25" s="101">
        <v>16</v>
      </c>
      <c r="K25" s="101">
        <f t="shared" si="0"/>
        <v>40</v>
      </c>
      <c r="L25" s="108">
        <v>17</v>
      </c>
      <c r="M25" s="101">
        <v>30</v>
      </c>
      <c r="N25" s="101">
        <f t="shared" si="14"/>
        <v>47</v>
      </c>
      <c r="O25" s="101">
        <v>13</v>
      </c>
      <c r="P25" s="68">
        <f t="shared" si="15"/>
        <v>60</v>
      </c>
      <c r="Q25" s="68">
        <f t="shared" si="1"/>
        <v>100</v>
      </c>
      <c r="R25" s="234"/>
      <c r="S25" s="109">
        <f t="shared" si="16"/>
        <v>3</v>
      </c>
      <c r="T25" s="108">
        <v>20</v>
      </c>
      <c r="U25" s="101">
        <v>51</v>
      </c>
      <c r="V25" s="68">
        <f t="shared" si="2"/>
        <v>71</v>
      </c>
      <c r="W25" s="108">
        <v>13</v>
      </c>
      <c r="X25" s="101">
        <v>22</v>
      </c>
      <c r="Y25" s="68">
        <f t="shared" si="17"/>
        <v>35</v>
      </c>
      <c r="Z25" s="68">
        <f t="shared" si="3"/>
        <v>106</v>
      </c>
      <c r="AA25" s="68">
        <f t="shared" si="18"/>
        <v>106</v>
      </c>
      <c r="AB25" s="234"/>
      <c r="AC25" s="109">
        <f t="shared" si="19"/>
        <v>3</v>
      </c>
      <c r="AD25" s="108">
        <v>9</v>
      </c>
      <c r="AE25" s="101">
        <v>10</v>
      </c>
      <c r="AF25" s="101">
        <f t="shared" si="4"/>
        <v>19</v>
      </c>
      <c r="AG25" s="101">
        <v>19</v>
      </c>
      <c r="AH25" s="68">
        <f t="shared" si="20"/>
        <v>38</v>
      </c>
      <c r="AI25" s="234"/>
      <c r="AJ25" s="109" t="str">
        <f t="shared" si="21"/>
        <v>F</v>
      </c>
      <c r="AK25" s="108">
        <v>12</v>
      </c>
      <c r="AL25" s="101">
        <v>24</v>
      </c>
      <c r="AM25" s="101">
        <f t="shared" si="5"/>
        <v>36</v>
      </c>
      <c r="AN25" s="101">
        <v>19</v>
      </c>
      <c r="AO25" s="68">
        <f t="shared" si="22"/>
        <v>55</v>
      </c>
      <c r="AP25" s="234"/>
      <c r="AQ25" s="109">
        <f t="shared" si="23"/>
        <v>3</v>
      </c>
      <c r="AR25" s="68"/>
      <c r="AS25" s="101">
        <v>23</v>
      </c>
      <c r="AT25" s="101">
        <v>23</v>
      </c>
      <c r="AU25" s="68">
        <f t="shared" si="24"/>
        <v>46</v>
      </c>
      <c r="AV25" s="234"/>
      <c r="AW25" s="109">
        <f t="shared" si="6"/>
        <v>5</v>
      </c>
      <c r="AX25" s="108">
        <v>20</v>
      </c>
      <c r="AY25" s="101">
        <v>21</v>
      </c>
      <c r="AZ25" s="101">
        <f t="shared" si="25"/>
        <v>41</v>
      </c>
      <c r="BA25" s="101">
        <v>18</v>
      </c>
      <c r="BB25" s="68">
        <f t="shared" si="26"/>
        <v>59</v>
      </c>
      <c r="BC25" s="234"/>
      <c r="BD25" s="109">
        <f t="shared" si="27"/>
        <v>3</v>
      </c>
      <c r="BE25" s="108">
        <v>13</v>
      </c>
      <c r="BF25" s="101">
        <v>24</v>
      </c>
      <c r="BG25" s="101">
        <f t="shared" si="7"/>
        <v>37</v>
      </c>
      <c r="BH25" s="101">
        <v>19</v>
      </c>
      <c r="BI25" s="101">
        <f t="shared" si="8"/>
        <v>56</v>
      </c>
      <c r="BJ25" s="234"/>
      <c r="BK25" s="109">
        <f t="shared" si="28"/>
        <v>3</v>
      </c>
      <c r="BL25" s="108">
        <v>13</v>
      </c>
      <c r="BM25" s="101">
        <v>34</v>
      </c>
      <c r="BN25" s="101">
        <f t="shared" si="9"/>
        <v>47</v>
      </c>
      <c r="BO25" s="101">
        <v>15</v>
      </c>
      <c r="BP25" s="68">
        <f t="shared" si="29"/>
        <v>62</v>
      </c>
      <c r="BQ25" s="234"/>
      <c r="BR25" s="109">
        <f t="shared" si="30"/>
        <v>3.5</v>
      </c>
      <c r="BS25" s="108">
        <v>15</v>
      </c>
      <c r="BT25" s="101">
        <v>21</v>
      </c>
      <c r="BU25" s="101">
        <f t="shared" si="10"/>
        <v>36</v>
      </c>
      <c r="BV25" s="101">
        <v>18</v>
      </c>
      <c r="BW25" s="68">
        <f t="shared" si="31"/>
        <v>54</v>
      </c>
      <c r="BX25" s="234"/>
      <c r="BY25" s="109">
        <f t="shared" si="32"/>
        <v>3</v>
      </c>
      <c r="BZ25" s="108">
        <v>7</v>
      </c>
      <c r="CA25" s="101">
        <v>16</v>
      </c>
      <c r="CB25" s="101">
        <f t="shared" si="11"/>
        <v>23</v>
      </c>
      <c r="CC25" s="101">
        <v>16</v>
      </c>
      <c r="CD25" s="101">
        <v>23</v>
      </c>
      <c r="CE25" s="68">
        <f t="shared" si="33"/>
        <v>62</v>
      </c>
      <c r="CF25" s="234"/>
      <c r="CG25" s="109">
        <f t="shared" si="34"/>
        <v>3.5</v>
      </c>
      <c r="CH25" s="109">
        <f t="shared" si="35"/>
        <v>3.5</v>
      </c>
      <c r="CI25" s="68" t="str">
        <f t="shared" si="12"/>
        <v>F</v>
      </c>
      <c r="CJ25" s="110" t="str">
        <f t="shared" si="36"/>
        <v>F</v>
      </c>
      <c r="CK25" s="97" t="str">
        <f t="shared" si="37"/>
        <v>NEED TO PROGRESS</v>
      </c>
      <c r="CL25" s="97">
        <f t="shared" si="38"/>
        <v>638</v>
      </c>
      <c r="CM25" s="97"/>
      <c r="CN25" s="97"/>
      <c r="DT25" s="55"/>
    </row>
    <row r="26" spans="1:124" s="56" customFormat="1" ht="24.95" customHeight="1">
      <c r="A26" s="55">
        <v>19</v>
      </c>
      <c r="B26" s="47">
        <v>84</v>
      </c>
      <c r="C26" s="50" t="s">
        <v>181</v>
      </c>
      <c r="D26" s="50" t="s">
        <v>182</v>
      </c>
      <c r="E26" s="50" t="s">
        <v>183</v>
      </c>
      <c r="F26" s="51" t="s">
        <v>184</v>
      </c>
      <c r="G26" s="107">
        <v>10</v>
      </c>
      <c r="H26" s="101">
        <v>14</v>
      </c>
      <c r="I26" s="101">
        <f t="shared" si="13"/>
        <v>24</v>
      </c>
      <c r="J26" s="101">
        <v>14</v>
      </c>
      <c r="K26" s="101">
        <f t="shared" si="0"/>
        <v>38</v>
      </c>
      <c r="L26" s="108">
        <v>13</v>
      </c>
      <c r="M26" s="101">
        <v>29</v>
      </c>
      <c r="N26" s="101">
        <f t="shared" si="14"/>
        <v>42</v>
      </c>
      <c r="O26" s="101">
        <v>13</v>
      </c>
      <c r="P26" s="68">
        <f t="shared" si="15"/>
        <v>55</v>
      </c>
      <c r="Q26" s="68">
        <f t="shared" si="1"/>
        <v>93</v>
      </c>
      <c r="R26" s="234"/>
      <c r="S26" s="109">
        <f t="shared" si="16"/>
        <v>2</v>
      </c>
      <c r="T26" s="108">
        <v>15</v>
      </c>
      <c r="U26" s="101">
        <v>48</v>
      </c>
      <c r="V26" s="68">
        <f t="shared" si="2"/>
        <v>63</v>
      </c>
      <c r="W26" s="108">
        <v>12</v>
      </c>
      <c r="X26" s="101">
        <v>25</v>
      </c>
      <c r="Y26" s="68">
        <f t="shared" si="17"/>
        <v>37</v>
      </c>
      <c r="Z26" s="68">
        <f t="shared" si="3"/>
        <v>100</v>
      </c>
      <c r="AA26" s="68">
        <f t="shared" si="18"/>
        <v>100</v>
      </c>
      <c r="AB26" s="234"/>
      <c r="AC26" s="109">
        <f t="shared" si="19"/>
        <v>3</v>
      </c>
      <c r="AD26" s="108">
        <v>9</v>
      </c>
      <c r="AE26" s="101">
        <v>8</v>
      </c>
      <c r="AF26" s="101">
        <f t="shared" si="4"/>
        <v>17</v>
      </c>
      <c r="AG26" s="101">
        <v>18</v>
      </c>
      <c r="AH26" s="68">
        <f t="shared" si="20"/>
        <v>35</v>
      </c>
      <c r="AI26" s="234"/>
      <c r="AJ26" s="109" t="str">
        <f t="shared" si="21"/>
        <v>F</v>
      </c>
      <c r="AK26" s="108">
        <v>11</v>
      </c>
      <c r="AL26" s="101">
        <v>21</v>
      </c>
      <c r="AM26" s="101">
        <f t="shared" si="5"/>
        <v>32</v>
      </c>
      <c r="AN26" s="101">
        <v>18</v>
      </c>
      <c r="AO26" s="68">
        <f t="shared" si="22"/>
        <v>50</v>
      </c>
      <c r="AP26" s="234"/>
      <c r="AQ26" s="109">
        <f t="shared" si="23"/>
        <v>3</v>
      </c>
      <c r="AR26" s="68"/>
      <c r="AS26" s="101">
        <v>23</v>
      </c>
      <c r="AT26" s="101">
        <v>23</v>
      </c>
      <c r="AU26" s="68">
        <f t="shared" si="24"/>
        <v>46</v>
      </c>
      <c r="AV26" s="234"/>
      <c r="AW26" s="109">
        <f t="shared" si="6"/>
        <v>5</v>
      </c>
      <c r="AX26" s="108">
        <v>16</v>
      </c>
      <c r="AY26" s="101">
        <v>26</v>
      </c>
      <c r="AZ26" s="101">
        <f t="shared" si="25"/>
        <v>42</v>
      </c>
      <c r="BA26" s="101">
        <v>20</v>
      </c>
      <c r="BB26" s="68">
        <f t="shared" si="26"/>
        <v>62</v>
      </c>
      <c r="BC26" s="234"/>
      <c r="BD26" s="109">
        <f t="shared" si="27"/>
        <v>3.5</v>
      </c>
      <c r="BE26" s="108">
        <v>12</v>
      </c>
      <c r="BF26" s="101">
        <v>29</v>
      </c>
      <c r="BG26" s="101">
        <f t="shared" si="7"/>
        <v>41</v>
      </c>
      <c r="BH26" s="101">
        <v>20</v>
      </c>
      <c r="BI26" s="101">
        <f t="shared" si="8"/>
        <v>61</v>
      </c>
      <c r="BJ26" s="234"/>
      <c r="BK26" s="109">
        <f t="shared" si="28"/>
        <v>3.5</v>
      </c>
      <c r="BL26" s="108">
        <v>11</v>
      </c>
      <c r="BM26" s="101">
        <v>12</v>
      </c>
      <c r="BN26" s="101">
        <f t="shared" si="9"/>
        <v>23</v>
      </c>
      <c r="BO26" s="101">
        <v>15</v>
      </c>
      <c r="BP26" s="68">
        <f t="shared" si="29"/>
        <v>38</v>
      </c>
      <c r="BQ26" s="234"/>
      <c r="BR26" s="109" t="str">
        <f t="shared" si="30"/>
        <v>F</v>
      </c>
      <c r="BS26" s="108">
        <v>15</v>
      </c>
      <c r="BT26" s="101">
        <v>14</v>
      </c>
      <c r="BU26" s="101">
        <f t="shared" si="10"/>
        <v>29</v>
      </c>
      <c r="BV26" s="101">
        <v>19</v>
      </c>
      <c r="BW26" s="68">
        <f t="shared" si="31"/>
        <v>48</v>
      </c>
      <c r="BX26" s="234"/>
      <c r="BY26" s="109">
        <f t="shared" si="32"/>
        <v>2</v>
      </c>
      <c r="BZ26" s="108">
        <v>6</v>
      </c>
      <c r="CA26" s="101">
        <v>16</v>
      </c>
      <c r="CB26" s="101">
        <f t="shared" si="11"/>
        <v>22</v>
      </c>
      <c r="CC26" s="101">
        <v>16</v>
      </c>
      <c r="CD26" s="101">
        <v>23</v>
      </c>
      <c r="CE26" s="68">
        <f t="shared" si="33"/>
        <v>61</v>
      </c>
      <c r="CF26" s="234"/>
      <c r="CG26" s="109">
        <f t="shared" si="34"/>
        <v>3.5</v>
      </c>
      <c r="CH26" s="109">
        <f t="shared" si="35"/>
        <v>3.5</v>
      </c>
      <c r="CI26" s="68" t="str">
        <f t="shared" si="12"/>
        <v>F</v>
      </c>
      <c r="CJ26" s="110" t="str">
        <f t="shared" si="36"/>
        <v>F</v>
      </c>
      <c r="CK26" s="97" t="str">
        <f t="shared" si="37"/>
        <v>NEED TO PROGRESS</v>
      </c>
      <c r="CL26" s="97">
        <f t="shared" si="38"/>
        <v>594</v>
      </c>
      <c r="CM26" s="97"/>
      <c r="CN26" s="97"/>
      <c r="DT26" s="55"/>
    </row>
    <row r="27" spans="1:124" s="56" customFormat="1" ht="24.95" customHeight="1">
      <c r="A27" s="55">
        <v>20</v>
      </c>
      <c r="B27" s="47">
        <v>85</v>
      </c>
      <c r="C27" s="50" t="s">
        <v>185</v>
      </c>
      <c r="D27" s="50" t="s">
        <v>186</v>
      </c>
      <c r="E27" s="50" t="s">
        <v>187</v>
      </c>
      <c r="F27" s="51" t="s">
        <v>188</v>
      </c>
      <c r="G27" s="107">
        <v>10</v>
      </c>
      <c r="H27" s="101">
        <v>20</v>
      </c>
      <c r="I27" s="101">
        <f t="shared" si="13"/>
        <v>30</v>
      </c>
      <c r="J27" s="101">
        <v>15</v>
      </c>
      <c r="K27" s="101">
        <f t="shared" si="0"/>
        <v>45</v>
      </c>
      <c r="L27" s="108">
        <v>13</v>
      </c>
      <c r="M27" s="101">
        <v>29</v>
      </c>
      <c r="N27" s="101">
        <f t="shared" si="14"/>
        <v>42</v>
      </c>
      <c r="O27" s="101">
        <v>14</v>
      </c>
      <c r="P27" s="68">
        <f t="shared" si="15"/>
        <v>56</v>
      </c>
      <c r="Q27" s="68">
        <f t="shared" si="1"/>
        <v>101</v>
      </c>
      <c r="R27" s="234"/>
      <c r="S27" s="109">
        <f t="shared" si="16"/>
        <v>3</v>
      </c>
      <c r="T27" s="108">
        <v>20</v>
      </c>
      <c r="U27" s="101">
        <v>46</v>
      </c>
      <c r="V27" s="68">
        <f t="shared" si="2"/>
        <v>66</v>
      </c>
      <c r="W27" s="108">
        <v>12</v>
      </c>
      <c r="X27" s="101">
        <v>24</v>
      </c>
      <c r="Y27" s="68">
        <f t="shared" si="17"/>
        <v>36</v>
      </c>
      <c r="Z27" s="68">
        <f t="shared" si="3"/>
        <v>102</v>
      </c>
      <c r="AA27" s="68">
        <f t="shared" si="18"/>
        <v>102</v>
      </c>
      <c r="AB27" s="234"/>
      <c r="AC27" s="109">
        <f t="shared" si="19"/>
        <v>3</v>
      </c>
      <c r="AD27" s="108">
        <v>9</v>
      </c>
      <c r="AE27" s="101">
        <v>20</v>
      </c>
      <c r="AF27" s="101">
        <f t="shared" si="4"/>
        <v>29</v>
      </c>
      <c r="AG27" s="101">
        <v>12</v>
      </c>
      <c r="AH27" s="68">
        <f t="shared" si="20"/>
        <v>41</v>
      </c>
      <c r="AI27" s="234"/>
      <c r="AJ27" s="109">
        <f>IF(AF27&lt;28,"F",IF(AG27&lt;12,"F",IF(AH27&lt;40,"F",IF(AH27&lt;50,2,IF(AH27&lt;60,3,IF(AH27&lt;70,3.5,IF(AH27&lt;80,4,5)))))))</f>
        <v>2</v>
      </c>
      <c r="AK27" s="108">
        <v>10</v>
      </c>
      <c r="AL27" s="101">
        <v>21</v>
      </c>
      <c r="AM27" s="101">
        <f t="shared" si="5"/>
        <v>31</v>
      </c>
      <c r="AN27" s="101">
        <v>18</v>
      </c>
      <c r="AO27" s="68">
        <f>AM27+AN27</f>
        <v>49</v>
      </c>
      <c r="AP27" s="234"/>
      <c r="AQ27" s="109">
        <f t="shared" si="23"/>
        <v>2</v>
      </c>
      <c r="AR27" s="68"/>
      <c r="AS27" s="101">
        <v>23</v>
      </c>
      <c r="AT27" s="101">
        <v>23</v>
      </c>
      <c r="AU27" s="68">
        <f t="shared" si="24"/>
        <v>46</v>
      </c>
      <c r="AV27" s="234"/>
      <c r="AW27" s="109">
        <f t="shared" si="6"/>
        <v>5</v>
      </c>
      <c r="AX27" s="108">
        <v>17</v>
      </c>
      <c r="AY27" s="101">
        <v>20</v>
      </c>
      <c r="AZ27" s="101">
        <f t="shared" si="25"/>
        <v>37</v>
      </c>
      <c r="BA27" s="101">
        <v>17</v>
      </c>
      <c r="BB27" s="68">
        <f t="shared" si="26"/>
        <v>54</v>
      </c>
      <c r="BC27" s="234"/>
      <c r="BD27" s="109">
        <f t="shared" si="27"/>
        <v>3</v>
      </c>
      <c r="BE27" s="108">
        <v>12</v>
      </c>
      <c r="BF27" s="101">
        <v>23</v>
      </c>
      <c r="BG27" s="101">
        <f t="shared" si="7"/>
        <v>35</v>
      </c>
      <c r="BH27" s="101">
        <v>21</v>
      </c>
      <c r="BI27" s="101">
        <f t="shared" si="8"/>
        <v>56</v>
      </c>
      <c r="BJ27" s="234"/>
      <c r="BK27" s="109">
        <f t="shared" si="28"/>
        <v>3</v>
      </c>
      <c r="BL27" s="108">
        <v>10</v>
      </c>
      <c r="BM27" s="101">
        <v>20</v>
      </c>
      <c r="BN27" s="101">
        <f t="shared" si="9"/>
        <v>30</v>
      </c>
      <c r="BO27" s="101">
        <v>14</v>
      </c>
      <c r="BP27" s="68">
        <f t="shared" si="29"/>
        <v>44</v>
      </c>
      <c r="BQ27" s="234"/>
      <c r="BR27" s="109">
        <f t="shared" si="30"/>
        <v>2</v>
      </c>
      <c r="BS27" s="108">
        <v>15</v>
      </c>
      <c r="BT27" s="101">
        <v>13</v>
      </c>
      <c r="BU27" s="101">
        <f t="shared" si="10"/>
        <v>28</v>
      </c>
      <c r="BV27" s="101">
        <v>21</v>
      </c>
      <c r="BW27" s="68">
        <f t="shared" si="31"/>
        <v>49</v>
      </c>
      <c r="BX27" s="234"/>
      <c r="BY27" s="109">
        <f t="shared" si="32"/>
        <v>2</v>
      </c>
      <c r="BZ27" s="108">
        <v>4</v>
      </c>
      <c r="CA27" s="101">
        <v>1</v>
      </c>
      <c r="CB27" s="101">
        <f t="shared" si="11"/>
        <v>5</v>
      </c>
      <c r="CC27" s="101">
        <v>17</v>
      </c>
      <c r="CD27" s="101">
        <v>23</v>
      </c>
      <c r="CE27" s="68">
        <f t="shared" si="33"/>
        <v>45</v>
      </c>
      <c r="CF27" s="234"/>
      <c r="CG27" s="109" t="str">
        <f t="shared" si="34"/>
        <v>0</v>
      </c>
      <c r="CH27" s="109" t="str">
        <f t="shared" si="35"/>
        <v>F</v>
      </c>
      <c r="CI27" s="68">
        <f t="shared" si="12"/>
        <v>23</v>
      </c>
      <c r="CJ27" s="110">
        <f t="shared" si="36"/>
        <v>2.5555555555555554</v>
      </c>
      <c r="CK27" s="97" t="str">
        <f t="shared" si="37"/>
        <v>GOOD</v>
      </c>
      <c r="CL27" s="97">
        <f t="shared" si="38"/>
        <v>587</v>
      </c>
      <c r="CM27" s="97"/>
      <c r="CN27" s="97"/>
      <c r="DT27" s="55"/>
    </row>
    <row r="28" spans="1:124" s="56" customFormat="1" ht="24.95" customHeight="1">
      <c r="A28" s="55">
        <v>21</v>
      </c>
      <c r="B28" s="47">
        <v>86</v>
      </c>
      <c r="C28" s="50" t="s">
        <v>189</v>
      </c>
      <c r="D28" s="50" t="s">
        <v>190</v>
      </c>
      <c r="E28" s="50" t="s">
        <v>191</v>
      </c>
      <c r="F28" s="51" t="s">
        <v>192</v>
      </c>
      <c r="G28" s="107">
        <v>14</v>
      </c>
      <c r="H28" s="101">
        <v>23</v>
      </c>
      <c r="I28" s="101">
        <f t="shared" si="13"/>
        <v>37</v>
      </c>
      <c r="J28" s="101">
        <v>13</v>
      </c>
      <c r="K28" s="101">
        <f t="shared" si="0"/>
        <v>50</v>
      </c>
      <c r="L28" s="108">
        <v>16</v>
      </c>
      <c r="M28" s="101">
        <v>30</v>
      </c>
      <c r="N28" s="101">
        <f t="shared" si="14"/>
        <v>46</v>
      </c>
      <c r="O28" s="101">
        <v>12</v>
      </c>
      <c r="P28" s="68">
        <f t="shared" si="15"/>
        <v>58</v>
      </c>
      <c r="Q28" s="68">
        <f t="shared" si="1"/>
        <v>108</v>
      </c>
      <c r="R28" s="234"/>
      <c r="S28" s="109">
        <f t="shared" si="16"/>
        <v>3</v>
      </c>
      <c r="T28" s="108">
        <v>14</v>
      </c>
      <c r="U28" s="101">
        <v>49</v>
      </c>
      <c r="V28" s="68">
        <f t="shared" si="2"/>
        <v>63</v>
      </c>
      <c r="W28" s="108">
        <v>11</v>
      </c>
      <c r="X28" s="101">
        <v>34</v>
      </c>
      <c r="Y28" s="68">
        <f t="shared" si="17"/>
        <v>45</v>
      </c>
      <c r="Z28" s="68">
        <f t="shared" si="3"/>
        <v>108</v>
      </c>
      <c r="AA28" s="68">
        <f t="shared" si="18"/>
        <v>108</v>
      </c>
      <c r="AB28" s="234"/>
      <c r="AC28" s="109">
        <f t="shared" si="19"/>
        <v>3</v>
      </c>
      <c r="AD28" s="108">
        <v>15</v>
      </c>
      <c r="AE28" s="101">
        <v>16</v>
      </c>
      <c r="AF28" s="101">
        <f t="shared" si="4"/>
        <v>31</v>
      </c>
      <c r="AG28" s="101">
        <v>12</v>
      </c>
      <c r="AH28" s="68">
        <f t="shared" si="20"/>
        <v>43</v>
      </c>
      <c r="AI28" s="234"/>
      <c r="AJ28" s="109">
        <f t="shared" ref="AJ28:AJ42" si="39">IF(AF28&lt;28,"F",IF(AG28&lt;12,"F",IF(AH28&lt;40,"F",IF(AH28&lt;50,2,IF(AH28&lt;60,3,IF(AH28&lt;70,3.5,IF(AH28&lt;80,4,5)))))))</f>
        <v>2</v>
      </c>
      <c r="AK28" s="108">
        <v>10</v>
      </c>
      <c r="AL28" s="101">
        <v>17</v>
      </c>
      <c r="AM28" s="101">
        <f t="shared" si="5"/>
        <v>27</v>
      </c>
      <c r="AN28" s="101">
        <v>14</v>
      </c>
      <c r="AO28" s="68">
        <f t="shared" ref="AO28:AO42" si="40">AM28+AN28</f>
        <v>41</v>
      </c>
      <c r="AP28" s="234"/>
      <c r="AQ28" s="109" t="str">
        <f t="shared" si="23"/>
        <v>F</v>
      </c>
      <c r="AR28" s="68"/>
      <c r="AS28" s="101">
        <v>19</v>
      </c>
      <c r="AT28" s="101">
        <v>23</v>
      </c>
      <c r="AU28" s="68">
        <f t="shared" si="24"/>
        <v>42</v>
      </c>
      <c r="AV28" s="234"/>
      <c r="AW28" s="109">
        <f t="shared" si="6"/>
        <v>5</v>
      </c>
      <c r="AX28" s="108">
        <v>16</v>
      </c>
      <c r="AY28" s="101">
        <v>21</v>
      </c>
      <c r="AZ28" s="101">
        <f t="shared" si="25"/>
        <v>37</v>
      </c>
      <c r="BA28" s="101">
        <v>21</v>
      </c>
      <c r="BB28" s="68">
        <f t="shared" si="26"/>
        <v>58</v>
      </c>
      <c r="BC28" s="234"/>
      <c r="BD28" s="109">
        <f t="shared" si="27"/>
        <v>3</v>
      </c>
      <c r="BE28" s="108">
        <v>15</v>
      </c>
      <c r="BF28" s="101">
        <v>22</v>
      </c>
      <c r="BG28" s="101">
        <f t="shared" si="7"/>
        <v>37</v>
      </c>
      <c r="BH28" s="101">
        <v>12</v>
      </c>
      <c r="BI28" s="101">
        <f t="shared" si="8"/>
        <v>49</v>
      </c>
      <c r="BJ28" s="234"/>
      <c r="BK28" s="109">
        <f t="shared" si="28"/>
        <v>2</v>
      </c>
      <c r="BL28" s="108">
        <v>14</v>
      </c>
      <c r="BM28" s="101">
        <v>20</v>
      </c>
      <c r="BN28" s="101">
        <f t="shared" si="9"/>
        <v>34</v>
      </c>
      <c r="BO28" s="101">
        <v>15</v>
      </c>
      <c r="BP28" s="68">
        <f t="shared" ref="BP28:BP49" si="41">SUM(BN28:BO28)</f>
        <v>49</v>
      </c>
      <c r="BQ28" s="234"/>
      <c r="BR28" s="109">
        <f t="shared" si="30"/>
        <v>2</v>
      </c>
      <c r="BS28" s="108">
        <v>14</v>
      </c>
      <c r="BT28" s="101">
        <v>17</v>
      </c>
      <c r="BU28" s="101">
        <f t="shared" si="10"/>
        <v>31</v>
      </c>
      <c r="BV28" s="101">
        <v>13</v>
      </c>
      <c r="BW28" s="68">
        <f t="shared" si="31"/>
        <v>44</v>
      </c>
      <c r="BX28" s="234"/>
      <c r="BY28" s="109">
        <f t="shared" si="32"/>
        <v>2</v>
      </c>
      <c r="BZ28" s="108">
        <v>7</v>
      </c>
      <c r="CA28" s="101">
        <v>16</v>
      </c>
      <c r="CB28" s="101">
        <f t="shared" si="11"/>
        <v>23</v>
      </c>
      <c r="CC28" s="101">
        <v>16</v>
      </c>
      <c r="CD28" s="101">
        <v>23</v>
      </c>
      <c r="CE28" s="68">
        <f t="shared" si="33"/>
        <v>62</v>
      </c>
      <c r="CF28" s="234"/>
      <c r="CG28" s="109">
        <f t="shared" si="34"/>
        <v>3.5</v>
      </c>
      <c r="CH28" s="109">
        <f t="shared" si="35"/>
        <v>3.5</v>
      </c>
      <c r="CI28" s="68" t="str">
        <f t="shared" si="12"/>
        <v>F</v>
      </c>
      <c r="CJ28" s="110" t="str">
        <f t="shared" si="36"/>
        <v>F</v>
      </c>
      <c r="CK28" s="97" t="str">
        <f t="shared" si="37"/>
        <v>NEED TO PROGRESS</v>
      </c>
      <c r="CL28" s="97">
        <f t="shared" si="38"/>
        <v>604</v>
      </c>
      <c r="CM28" s="97"/>
      <c r="CN28" s="97"/>
      <c r="DT28" s="55"/>
    </row>
    <row r="29" spans="1:124" s="56" customFormat="1" ht="24.95" customHeight="1">
      <c r="A29" s="55">
        <v>22</v>
      </c>
      <c r="B29" s="47">
        <v>88</v>
      </c>
      <c r="C29" s="48" t="s">
        <v>193</v>
      </c>
      <c r="D29" s="48" t="s">
        <v>194</v>
      </c>
      <c r="E29" s="48" t="s">
        <v>195</v>
      </c>
      <c r="F29" s="49" t="s">
        <v>196</v>
      </c>
      <c r="G29" s="107">
        <v>10</v>
      </c>
      <c r="H29" s="101">
        <v>9</v>
      </c>
      <c r="I29" s="101">
        <f t="shared" si="13"/>
        <v>19</v>
      </c>
      <c r="J29" s="101">
        <v>14</v>
      </c>
      <c r="K29" s="101">
        <f t="shared" si="0"/>
        <v>33</v>
      </c>
      <c r="L29" s="108">
        <v>13</v>
      </c>
      <c r="M29" s="101">
        <v>17</v>
      </c>
      <c r="N29" s="101">
        <f t="shared" si="14"/>
        <v>30</v>
      </c>
      <c r="O29" s="101">
        <v>12</v>
      </c>
      <c r="P29" s="68">
        <f t="shared" si="15"/>
        <v>42</v>
      </c>
      <c r="Q29" s="68">
        <f t="shared" si="1"/>
        <v>75</v>
      </c>
      <c r="R29" s="234"/>
      <c r="S29" s="109" t="str">
        <f t="shared" si="16"/>
        <v>F</v>
      </c>
      <c r="T29" s="108">
        <v>12</v>
      </c>
      <c r="U29" s="101">
        <v>30</v>
      </c>
      <c r="V29" s="68">
        <f t="shared" si="2"/>
        <v>42</v>
      </c>
      <c r="W29" s="108">
        <v>11</v>
      </c>
      <c r="X29" s="101">
        <v>22</v>
      </c>
      <c r="Y29" s="68">
        <f t="shared" si="17"/>
        <v>33</v>
      </c>
      <c r="Z29" s="68">
        <f t="shared" si="3"/>
        <v>75</v>
      </c>
      <c r="AA29" s="68">
        <f t="shared" si="18"/>
        <v>75</v>
      </c>
      <c r="AB29" s="234"/>
      <c r="AC29" s="109" t="str">
        <f t="shared" si="19"/>
        <v>F</v>
      </c>
      <c r="AD29" s="108">
        <v>9</v>
      </c>
      <c r="AE29" s="101">
        <v>14</v>
      </c>
      <c r="AF29" s="101">
        <f t="shared" si="4"/>
        <v>23</v>
      </c>
      <c r="AG29" s="101">
        <v>15</v>
      </c>
      <c r="AH29" s="68">
        <f t="shared" si="20"/>
        <v>38</v>
      </c>
      <c r="AI29" s="234"/>
      <c r="AJ29" s="109" t="str">
        <f t="shared" si="39"/>
        <v>F</v>
      </c>
      <c r="AK29" s="108">
        <v>9</v>
      </c>
      <c r="AL29" s="101">
        <v>17</v>
      </c>
      <c r="AM29" s="101">
        <f t="shared" si="5"/>
        <v>26</v>
      </c>
      <c r="AN29" s="101">
        <v>17</v>
      </c>
      <c r="AO29" s="68">
        <f t="shared" si="40"/>
        <v>43</v>
      </c>
      <c r="AP29" s="234"/>
      <c r="AQ29" s="109" t="str">
        <f t="shared" si="23"/>
        <v>F</v>
      </c>
      <c r="AR29" s="68"/>
      <c r="AS29" s="101">
        <v>18</v>
      </c>
      <c r="AT29" s="101">
        <v>23</v>
      </c>
      <c r="AU29" s="68">
        <f t="shared" si="24"/>
        <v>41</v>
      </c>
      <c r="AV29" s="234"/>
      <c r="AW29" s="109">
        <f t="shared" si="6"/>
        <v>5</v>
      </c>
      <c r="AX29" s="108">
        <v>11</v>
      </c>
      <c r="AY29" s="101">
        <v>12</v>
      </c>
      <c r="AZ29" s="101">
        <f t="shared" si="25"/>
        <v>23</v>
      </c>
      <c r="BA29" s="101">
        <v>20</v>
      </c>
      <c r="BB29" s="68">
        <f t="shared" si="26"/>
        <v>43</v>
      </c>
      <c r="BC29" s="234"/>
      <c r="BD29" s="109" t="str">
        <f t="shared" si="27"/>
        <v>F</v>
      </c>
      <c r="BE29" s="108">
        <v>12</v>
      </c>
      <c r="BF29" s="101">
        <v>22</v>
      </c>
      <c r="BG29" s="101">
        <f t="shared" si="7"/>
        <v>34</v>
      </c>
      <c r="BH29" s="101">
        <v>17</v>
      </c>
      <c r="BI29" s="101">
        <f t="shared" si="8"/>
        <v>51</v>
      </c>
      <c r="BJ29" s="234"/>
      <c r="BK29" s="109">
        <f t="shared" si="28"/>
        <v>3</v>
      </c>
      <c r="BL29" s="108">
        <v>10</v>
      </c>
      <c r="BM29" s="101">
        <v>20</v>
      </c>
      <c r="BN29" s="101">
        <f t="shared" si="9"/>
        <v>30</v>
      </c>
      <c r="BO29" s="101">
        <v>15</v>
      </c>
      <c r="BP29" s="68">
        <f t="shared" si="41"/>
        <v>45</v>
      </c>
      <c r="BQ29" s="234"/>
      <c r="BR29" s="109">
        <f t="shared" si="30"/>
        <v>2</v>
      </c>
      <c r="BS29" s="108">
        <v>12</v>
      </c>
      <c r="BT29" s="101">
        <v>16</v>
      </c>
      <c r="BU29" s="101">
        <f t="shared" si="10"/>
        <v>28</v>
      </c>
      <c r="BV29" s="101">
        <v>16</v>
      </c>
      <c r="BW29" s="68">
        <f t="shared" si="31"/>
        <v>44</v>
      </c>
      <c r="BX29" s="234"/>
      <c r="BY29" s="109">
        <f t="shared" si="32"/>
        <v>2</v>
      </c>
      <c r="BZ29" s="108">
        <v>4</v>
      </c>
      <c r="CA29" s="101">
        <v>16</v>
      </c>
      <c r="CB29" s="101">
        <f t="shared" si="11"/>
        <v>20</v>
      </c>
      <c r="CC29" s="101">
        <v>15</v>
      </c>
      <c r="CD29" s="101">
        <v>23</v>
      </c>
      <c r="CE29" s="68">
        <f t="shared" si="33"/>
        <v>58</v>
      </c>
      <c r="CF29" s="234"/>
      <c r="CG29" s="109">
        <f t="shared" si="34"/>
        <v>3</v>
      </c>
      <c r="CH29" s="109">
        <f t="shared" si="35"/>
        <v>3</v>
      </c>
      <c r="CI29" s="68" t="str">
        <f t="shared" si="12"/>
        <v>F</v>
      </c>
      <c r="CJ29" s="110" t="str">
        <f t="shared" si="36"/>
        <v>F</v>
      </c>
      <c r="CK29" s="97" t="str">
        <f t="shared" si="37"/>
        <v>NEED TO PROGRESS</v>
      </c>
      <c r="CL29" s="97">
        <f t="shared" si="38"/>
        <v>513</v>
      </c>
      <c r="CM29" s="97"/>
      <c r="CN29" s="97"/>
      <c r="DT29" s="55"/>
    </row>
    <row r="30" spans="1:124" s="56" customFormat="1" ht="24.95" customHeight="1">
      <c r="A30" s="55">
        <v>23</v>
      </c>
      <c r="B30" s="47">
        <v>89</v>
      </c>
      <c r="C30" s="48" t="s">
        <v>197</v>
      </c>
      <c r="D30" s="48" t="s">
        <v>198</v>
      </c>
      <c r="E30" s="48" t="s">
        <v>199</v>
      </c>
      <c r="F30" s="49" t="s">
        <v>200</v>
      </c>
      <c r="G30" s="107">
        <v>10</v>
      </c>
      <c r="H30" s="101">
        <v>24</v>
      </c>
      <c r="I30" s="101">
        <f t="shared" si="13"/>
        <v>34</v>
      </c>
      <c r="J30" s="101">
        <v>13</v>
      </c>
      <c r="K30" s="101">
        <f t="shared" si="0"/>
        <v>47</v>
      </c>
      <c r="L30" s="108">
        <v>13</v>
      </c>
      <c r="M30" s="101">
        <v>30</v>
      </c>
      <c r="N30" s="101">
        <f t="shared" si="14"/>
        <v>43</v>
      </c>
      <c r="O30" s="101">
        <v>13</v>
      </c>
      <c r="P30" s="68">
        <f t="shared" si="15"/>
        <v>56</v>
      </c>
      <c r="Q30" s="68">
        <f t="shared" si="1"/>
        <v>103</v>
      </c>
      <c r="R30" s="234"/>
      <c r="S30" s="109">
        <f t="shared" si="16"/>
        <v>3</v>
      </c>
      <c r="T30" s="108">
        <v>13</v>
      </c>
      <c r="U30" s="101">
        <v>27</v>
      </c>
      <c r="V30" s="68">
        <f t="shared" si="2"/>
        <v>40</v>
      </c>
      <c r="W30" s="108">
        <v>11</v>
      </c>
      <c r="X30" s="101">
        <v>25</v>
      </c>
      <c r="Y30" s="68">
        <f t="shared" si="17"/>
        <v>36</v>
      </c>
      <c r="Z30" s="68">
        <f t="shared" si="3"/>
        <v>76</v>
      </c>
      <c r="AA30" s="68">
        <f t="shared" si="18"/>
        <v>76</v>
      </c>
      <c r="AB30" s="234"/>
      <c r="AC30" s="109" t="str">
        <f t="shared" si="19"/>
        <v>F</v>
      </c>
      <c r="AD30" s="108">
        <v>9</v>
      </c>
      <c r="AE30" s="101">
        <v>15</v>
      </c>
      <c r="AF30" s="101">
        <f t="shared" si="4"/>
        <v>24</v>
      </c>
      <c r="AG30" s="101">
        <v>15</v>
      </c>
      <c r="AH30" s="68">
        <f t="shared" si="20"/>
        <v>39</v>
      </c>
      <c r="AI30" s="234"/>
      <c r="AJ30" s="109" t="str">
        <f t="shared" si="39"/>
        <v>F</v>
      </c>
      <c r="AK30" s="108">
        <v>9</v>
      </c>
      <c r="AL30" s="101">
        <v>18</v>
      </c>
      <c r="AM30" s="101">
        <f t="shared" si="5"/>
        <v>27</v>
      </c>
      <c r="AN30" s="101">
        <v>18</v>
      </c>
      <c r="AO30" s="68">
        <f t="shared" si="40"/>
        <v>45</v>
      </c>
      <c r="AP30" s="234"/>
      <c r="AQ30" s="109" t="str">
        <f t="shared" si="23"/>
        <v>F</v>
      </c>
      <c r="AR30" s="68"/>
      <c r="AS30" s="101">
        <v>23</v>
      </c>
      <c r="AT30" s="101">
        <v>23</v>
      </c>
      <c r="AU30" s="68">
        <f t="shared" si="24"/>
        <v>46</v>
      </c>
      <c r="AV30" s="234"/>
      <c r="AW30" s="109">
        <f t="shared" si="6"/>
        <v>5</v>
      </c>
      <c r="AX30" s="108">
        <v>11</v>
      </c>
      <c r="AY30" s="101">
        <v>9</v>
      </c>
      <c r="AZ30" s="101">
        <f t="shared" si="25"/>
        <v>20</v>
      </c>
      <c r="BA30" s="101">
        <v>20</v>
      </c>
      <c r="BB30" s="68">
        <f t="shared" si="26"/>
        <v>40</v>
      </c>
      <c r="BC30" s="234"/>
      <c r="BD30" s="109" t="str">
        <f t="shared" si="27"/>
        <v>F</v>
      </c>
      <c r="BE30" s="108">
        <v>15</v>
      </c>
      <c r="BF30" s="101">
        <v>21</v>
      </c>
      <c r="BG30" s="101">
        <f t="shared" si="7"/>
        <v>36</v>
      </c>
      <c r="BH30" s="101">
        <v>17</v>
      </c>
      <c r="BI30" s="101">
        <f t="shared" si="8"/>
        <v>53</v>
      </c>
      <c r="BJ30" s="234"/>
      <c r="BK30" s="109">
        <f t="shared" si="28"/>
        <v>3</v>
      </c>
      <c r="BL30" s="108">
        <v>12</v>
      </c>
      <c r="BM30" s="101">
        <v>20</v>
      </c>
      <c r="BN30" s="101">
        <f t="shared" si="9"/>
        <v>32</v>
      </c>
      <c r="BO30" s="101">
        <v>14</v>
      </c>
      <c r="BP30" s="68">
        <f t="shared" si="41"/>
        <v>46</v>
      </c>
      <c r="BQ30" s="234"/>
      <c r="BR30" s="109">
        <f t="shared" si="30"/>
        <v>2</v>
      </c>
      <c r="BS30" s="108">
        <v>14</v>
      </c>
      <c r="BT30" s="101">
        <v>17</v>
      </c>
      <c r="BU30" s="101">
        <f t="shared" si="10"/>
        <v>31</v>
      </c>
      <c r="BV30" s="101">
        <v>15</v>
      </c>
      <c r="BW30" s="68">
        <f t="shared" si="31"/>
        <v>46</v>
      </c>
      <c r="BX30" s="234"/>
      <c r="BY30" s="109">
        <f t="shared" si="32"/>
        <v>2</v>
      </c>
      <c r="BZ30" s="108">
        <v>7</v>
      </c>
      <c r="CA30" s="101">
        <v>14</v>
      </c>
      <c r="CB30" s="101">
        <f t="shared" si="11"/>
        <v>21</v>
      </c>
      <c r="CC30" s="101">
        <v>15</v>
      </c>
      <c r="CD30" s="101">
        <v>23</v>
      </c>
      <c r="CE30" s="68">
        <f t="shared" si="33"/>
        <v>59</v>
      </c>
      <c r="CF30" s="234"/>
      <c r="CG30" s="109">
        <f t="shared" si="34"/>
        <v>3</v>
      </c>
      <c r="CH30" s="109">
        <f t="shared" si="35"/>
        <v>3</v>
      </c>
      <c r="CI30" s="68" t="str">
        <f t="shared" si="12"/>
        <v>F</v>
      </c>
      <c r="CJ30" s="110" t="str">
        <f t="shared" si="36"/>
        <v>F</v>
      </c>
      <c r="CK30" s="97" t="str">
        <f t="shared" si="37"/>
        <v>NEED TO PROGRESS</v>
      </c>
      <c r="CL30" s="97">
        <f t="shared" si="38"/>
        <v>553</v>
      </c>
      <c r="CM30" s="97"/>
      <c r="CN30" s="97"/>
      <c r="DT30" s="55"/>
    </row>
    <row r="31" spans="1:124" s="56" customFormat="1" ht="24.95" customHeight="1">
      <c r="A31" s="55">
        <v>24</v>
      </c>
      <c r="B31" s="47">
        <v>90</v>
      </c>
      <c r="C31" s="50" t="s">
        <v>261</v>
      </c>
      <c r="D31" s="48"/>
      <c r="E31" s="48"/>
      <c r="F31" s="49"/>
      <c r="G31" s="107">
        <v>0</v>
      </c>
      <c r="H31" s="101">
        <v>16</v>
      </c>
      <c r="I31" s="101">
        <f t="shared" si="13"/>
        <v>16</v>
      </c>
      <c r="J31" s="101">
        <v>13</v>
      </c>
      <c r="K31" s="101">
        <f t="shared" si="0"/>
        <v>29</v>
      </c>
      <c r="L31" s="108">
        <v>17</v>
      </c>
      <c r="M31" s="101">
        <v>25</v>
      </c>
      <c r="N31" s="101">
        <f t="shared" si="14"/>
        <v>42</v>
      </c>
      <c r="O31" s="101">
        <v>13</v>
      </c>
      <c r="P31" s="68">
        <f t="shared" si="15"/>
        <v>55</v>
      </c>
      <c r="Q31" s="68">
        <f t="shared" si="1"/>
        <v>84</v>
      </c>
      <c r="R31" s="234"/>
      <c r="S31" s="109">
        <f t="shared" si="16"/>
        <v>2</v>
      </c>
      <c r="T31" s="108">
        <v>0</v>
      </c>
      <c r="U31" s="101">
        <v>34</v>
      </c>
      <c r="V31" s="101">
        <f t="shared" si="2"/>
        <v>34</v>
      </c>
      <c r="W31" s="108">
        <v>0</v>
      </c>
      <c r="X31" s="101">
        <v>22</v>
      </c>
      <c r="Y31" s="68">
        <f t="shared" si="17"/>
        <v>22</v>
      </c>
      <c r="Z31" s="68">
        <f t="shared" si="3"/>
        <v>56</v>
      </c>
      <c r="AA31" s="68">
        <f t="shared" si="18"/>
        <v>56</v>
      </c>
      <c r="AB31" s="234"/>
      <c r="AC31" s="109" t="str">
        <f t="shared" si="19"/>
        <v>F</v>
      </c>
      <c r="AD31" s="108"/>
      <c r="AE31" s="101">
        <v>20</v>
      </c>
      <c r="AF31" s="101">
        <f t="shared" si="4"/>
        <v>20</v>
      </c>
      <c r="AG31" s="101">
        <v>20</v>
      </c>
      <c r="AH31" s="68">
        <f t="shared" si="20"/>
        <v>40</v>
      </c>
      <c r="AI31" s="234"/>
      <c r="AJ31" s="109" t="str">
        <f t="shared" si="39"/>
        <v>F</v>
      </c>
      <c r="AK31" s="108">
        <v>0</v>
      </c>
      <c r="AL31" s="101">
        <v>29</v>
      </c>
      <c r="AM31" s="101">
        <f t="shared" si="5"/>
        <v>29</v>
      </c>
      <c r="AN31" s="101">
        <v>22</v>
      </c>
      <c r="AO31" s="68">
        <f t="shared" si="40"/>
        <v>51</v>
      </c>
      <c r="AP31" s="234"/>
      <c r="AQ31" s="109">
        <f t="shared" si="23"/>
        <v>3</v>
      </c>
      <c r="AR31" s="68"/>
      <c r="AS31" s="101">
        <v>18</v>
      </c>
      <c r="AT31" s="101">
        <v>23</v>
      </c>
      <c r="AU31" s="68">
        <f t="shared" si="24"/>
        <v>41</v>
      </c>
      <c r="AV31" s="234"/>
      <c r="AW31" s="109">
        <f t="shared" si="6"/>
        <v>5</v>
      </c>
      <c r="AX31" s="108">
        <v>0</v>
      </c>
      <c r="AY31" s="101">
        <v>28</v>
      </c>
      <c r="AZ31" s="101">
        <f>AY31+AX31</f>
        <v>28</v>
      </c>
      <c r="BA31" s="101">
        <v>22</v>
      </c>
      <c r="BB31" s="68">
        <f t="shared" si="26"/>
        <v>50</v>
      </c>
      <c r="BC31" s="234"/>
      <c r="BD31" s="109">
        <f t="shared" si="27"/>
        <v>3</v>
      </c>
      <c r="BE31" s="108">
        <v>16</v>
      </c>
      <c r="BF31" s="101">
        <v>32</v>
      </c>
      <c r="BG31" s="101">
        <f t="shared" si="7"/>
        <v>48</v>
      </c>
      <c r="BH31" s="101">
        <v>17</v>
      </c>
      <c r="BI31" s="68">
        <f t="shared" ref="BI31:BI49" si="42">SUM(BG31:BH31)</f>
        <v>65</v>
      </c>
      <c r="BJ31" s="234"/>
      <c r="BK31" s="109">
        <f t="shared" si="28"/>
        <v>3.5</v>
      </c>
      <c r="BL31" s="108">
        <v>16</v>
      </c>
      <c r="BM31" s="101">
        <v>18</v>
      </c>
      <c r="BN31" s="101">
        <f t="shared" si="9"/>
        <v>34</v>
      </c>
      <c r="BO31" s="101">
        <v>12</v>
      </c>
      <c r="BP31" s="68">
        <f t="shared" si="41"/>
        <v>46</v>
      </c>
      <c r="BQ31" s="234"/>
      <c r="BR31" s="109">
        <f t="shared" si="30"/>
        <v>2</v>
      </c>
      <c r="BS31" s="108">
        <v>13</v>
      </c>
      <c r="BT31" s="101">
        <v>19</v>
      </c>
      <c r="BU31" s="101">
        <f t="shared" si="10"/>
        <v>32</v>
      </c>
      <c r="BV31" s="101">
        <v>13</v>
      </c>
      <c r="BW31" s="68">
        <f t="shared" si="31"/>
        <v>45</v>
      </c>
      <c r="BX31" s="234"/>
      <c r="BY31" s="109">
        <f t="shared" si="32"/>
        <v>2</v>
      </c>
      <c r="BZ31" s="108">
        <v>6</v>
      </c>
      <c r="CA31" s="101">
        <v>8</v>
      </c>
      <c r="CB31" s="101">
        <f t="shared" si="11"/>
        <v>14</v>
      </c>
      <c r="CC31" s="101">
        <v>13</v>
      </c>
      <c r="CD31" s="101">
        <v>23</v>
      </c>
      <c r="CE31" s="68">
        <f t="shared" si="33"/>
        <v>50</v>
      </c>
      <c r="CF31" s="234"/>
      <c r="CG31" s="109" t="str">
        <f t="shared" si="34"/>
        <v>0</v>
      </c>
      <c r="CH31" s="109" t="str">
        <f t="shared" si="35"/>
        <v>F</v>
      </c>
      <c r="CI31" s="68" t="str">
        <f t="shared" si="12"/>
        <v>F</v>
      </c>
      <c r="CJ31" s="110" t="str">
        <f t="shared" si="36"/>
        <v>F</v>
      </c>
      <c r="CK31" s="97" t="str">
        <f t="shared" si="37"/>
        <v>NEED TO PROGRESS</v>
      </c>
      <c r="CL31" s="97">
        <f t="shared" si="38"/>
        <v>528</v>
      </c>
      <c r="CM31" s="97"/>
      <c r="CN31" s="97"/>
      <c r="DT31" s="55"/>
    </row>
    <row r="32" spans="1:124" s="56" customFormat="1" ht="24.95" customHeight="1" thickBot="1">
      <c r="A32" s="55">
        <v>25</v>
      </c>
      <c r="B32" s="47">
        <v>91</v>
      </c>
      <c r="C32" s="50" t="s">
        <v>201</v>
      </c>
      <c r="D32" s="50" t="s">
        <v>202</v>
      </c>
      <c r="E32" s="50" t="s">
        <v>203</v>
      </c>
      <c r="F32" s="51" t="s">
        <v>204</v>
      </c>
      <c r="G32" s="107">
        <v>10</v>
      </c>
      <c r="H32" s="101">
        <v>12</v>
      </c>
      <c r="I32" s="101">
        <f t="shared" si="13"/>
        <v>22</v>
      </c>
      <c r="J32" s="101">
        <v>12</v>
      </c>
      <c r="K32" s="101">
        <f t="shared" si="0"/>
        <v>34</v>
      </c>
      <c r="L32" s="108">
        <v>13</v>
      </c>
      <c r="M32" s="101">
        <v>21</v>
      </c>
      <c r="N32" s="101">
        <f t="shared" si="14"/>
        <v>34</v>
      </c>
      <c r="O32" s="101">
        <v>13</v>
      </c>
      <c r="P32" s="101">
        <f t="shared" si="15"/>
        <v>47</v>
      </c>
      <c r="Q32" s="68">
        <f t="shared" si="1"/>
        <v>81</v>
      </c>
      <c r="R32" s="234"/>
      <c r="S32" s="109">
        <f t="shared" si="16"/>
        <v>2</v>
      </c>
      <c r="T32" s="108">
        <v>11</v>
      </c>
      <c r="U32" s="101">
        <v>26</v>
      </c>
      <c r="V32" s="101">
        <f t="shared" si="2"/>
        <v>37</v>
      </c>
      <c r="W32" s="108">
        <v>11</v>
      </c>
      <c r="X32" s="101">
        <v>10</v>
      </c>
      <c r="Y32" s="68">
        <f t="shared" si="17"/>
        <v>21</v>
      </c>
      <c r="Z32" s="68">
        <f t="shared" si="3"/>
        <v>58</v>
      </c>
      <c r="AA32" s="68">
        <f t="shared" si="18"/>
        <v>58</v>
      </c>
      <c r="AB32" s="234"/>
      <c r="AC32" s="109" t="str">
        <f t="shared" si="19"/>
        <v>F</v>
      </c>
      <c r="AD32" s="108">
        <v>11</v>
      </c>
      <c r="AE32" s="101">
        <v>4</v>
      </c>
      <c r="AF32" s="101">
        <f t="shared" si="4"/>
        <v>15</v>
      </c>
      <c r="AG32" s="101">
        <v>18</v>
      </c>
      <c r="AH32" s="68">
        <f t="shared" si="20"/>
        <v>33</v>
      </c>
      <c r="AI32" s="234"/>
      <c r="AJ32" s="109" t="str">
        <f t="shared" si="39"/>
        <v>F</v>
      </c>
      <c r="AK32" s="108">
        <v>9</v>
      </c>
      <c r="AL32" s="101">
        <v>8</v>
      </c>
      <c r="AM32" s="101">
        <f t="shared" si="5"/>
        <v>17</v>
      </c>
      <c r="AN32" s="101">
        <v>18</v>
      </c>
      <c r="AO32" s="68">
        <f t="shared" si="40"/>
        <v>35</v>
      </c>
      <c r="AP32" s="234"/>
      <c r="AQ32" s="109" t="str">
        <f t="shared" si="23"/>
        <v>F</v>
      </c>
      <c r="AR32" s="68"/>
      <c r="AS32" s="101">
        <v>20</v>
      </c>
      <c r="AT32" s="101">
        <v>23</v>
      </c>
      <c r="AU32" s="68">
        <f t="shared" si="24"/>
        <v>43</v>
      </c>
      <c r="AV32" s="234"/>
      <c r="AW32" s="109">
        <f t="shared" si="6"/>
        <v>5</v>
      </c>
      <c r="AX32" s="108">
        <v>6</v>
      </c>
      <c r="AY32" s="101">
        <v>11</v>
      </c>
      <c r="AZ32" s="101">
        <f t="shared" ref="AZ32:AZ38" si="43">AY32+AX32</f>
        <v>17</v>
      </c>
      <c r="BA32" s="101">
        <v>21</v>
      </c>
      <c r="BB32" s="68">
        <f t="shared" si="26"/>
        <v>38</v>
      </c>
      <c r="BC32" s="234"/>
      <c r="BD32" s="109" t="str">
        <f t="shared" si="27"/>
        <v>F</v>
      </c>
      <c r="BE32" s="108">
        <v>19</v>
      </c>
      <c r="BF32" s="101">
        <v>10</v>
      </c>
      <c r="BG32" s="101">
        <f t="shared" si="7"/>
        <v>29</v>
      </c>
      <c r="BH32" s="101">
        <v>19</v>
      </c>
      <c r="BI32" s="68">
        <f t="shared" si="42"/>
        <v>48</v>
      </c>
      <c r="BJ32" s="234"/>
      <c r="BK32" s="109">
        <f t="shared" si="28"/>
        <v>2</v>
      </c>
      <c r="BL32" s="108">
        <v>9</v>
      </c>
      <c r="BM32" s="101">
        <v>14</v>
      </c>
      <c r="BN32" s="101">
        <f t="shared" si="9"/>
        <v>23</v>
      </c>
      <c r="BO32" s="101">
        <v>14</v>
      </c>
      <c r="BP32" s="68">
        <f t="shared" si="41"/>
        <v>37</v>
      </c>
      <c r="BQ32" s="234"/>
      <c r="BR32" s="109" t="str">
        <f t="shared" si="30"/>
        <v>F</v>
      </c>
      <c r="BS32" s="108">
        <v>12</v>
      </c>
      <c r="BT32" s="101">
        <v>10</v>
      </c>
      <c r="BU32" s="101">
        <f t="shared" ref="BU32:BU46" si="44">BT32+BS32</f>
        <v>22</v>
      </c>
      <c r="BV32" s="101">
        <v>7</v>
      </c>
      <c r="BW32" s="68">
        <f t="shared" si="31"/>
        <v>29</v>
      </c>
      <c r="BX32" s="234"/>
      <c r="BY32" s="109" t="str">
        <f t="shared" si="32"/>
        <v>F</v>
      </c>
      <c r="BZ32" s="108">
        <v>6</v>
      </c>
      <c r="CA32" s="101">
        <v>8</v>
      </c>
      <c r="CB32" s="101">
        <f t="shared" si="11"/>
        <v>14</v>
      </c>
      <c r="CC32" s="101">
        <v>13</v>
      </c>
      <c r="CD32" s="101">
        <v>23</v>
      </c>
      <c r="CE32" s="68">
        <f t="shared" si="33"/>
        <v>50</v>
      </c>
      <c r="CF32" s="234"/>
      <c r="CG32" s="109" t="str">
        <f t="shared" si="34"/>
        <v>0</v>
      </c>
      <c r="CH32" s="109" t="str">
        <f t="shared" si="35"/>
        <v>F</v>
      </c>
      <c r="CI32" s="68" t="str">
        <f t="shared" si="12"/>
        <v>F</v>
      </c>
      <c r="CJ32" s="110" t="str">
        <f t="shared" si="36"/>
        <v>F</v>
      </c>
      <c r="CK32" s="97" t="str">
        <f t="shared" si="37"/>
        <v>NEED TO PROGRESS</v>
      </c>
      <c r="CL32" s="97">
        <f t="shared" si="38"/>
        <v>452</v>
      </c>
      <c r="CM32" s="97"/>
      <c r="CN32" s="97"/>
      <c r="DT32" s="111"/>
    </row>
    <row r="33" spans="1:124" s="56" customFormat="1" ht="24.95" customHeight="1">
      <c r="A33" s="55">
        <v>26</v>
      </c>
      <c r="B33" s="47">
        <v>92</v>
      </c>
      <c r="C33" s="48" t="s">
        <v>205</v>
      </c>
      <c r="D33" s="48" t="s">
        <v>206</v>
      </c>
      <c r="E33" s="48" t="s">
        <v>207</v>
      </c>
      <c r="F33" s="49" t="s">
        <v>208</v>
      </c>
      <c r="G33" s="112">
        <v>0</v>
      </c>
      <c r="H33" s="101">
        <v>0</v>
      </c>
      <c r="I33" s="101">
        <f t="shared" si="13"/>
        <v>0</v>
      </c>
      <c r="J33" s="101">
        <v>0</v>
      </c>
      <c r="K33" s="101">
        <f t="shared" si="0"/>
        <v>0</v>
      </c>
      <c r="L33" s="112">
        <v>0</v>
      </c>
      <c r="M33" s="101"/>
      <c r="N33" s="101">
        <f t="shared" si="14"/>
        <v>0</v>
      </c>
      <c r="O33" s="101">
        <v>0</v>
      </c>
      <c r="P33" s="101">
        <f t="shared" si="15"/>
        <v>0</v>
      </c>
      <c r="Q33" s="68">
        <f t="shared" si="1"/>
        <v>0</v>
      </c>
      <c r="R33" s="234"/>
      <c r="S33" s="109" t="str">
        <f t="shared" si="16"/>
        <v>F</v>
      </c>
      <c r="T33" s="112">
        <v>0</v>
      </c>
      <c r="U33" s="101">
        <v>0</v>
      </c>
      <c r="V33" s="101">
        <f t="shared" si="2"/>
        <v>0</v>
      </c>
      <c r="W33" s="112">
        <v>0</v>
      </c>
      <c r="X33" s="101">
        <v>0</v>
      </c>
      <c r="Y33" s="68">
        <f t="shared" si="17"/>
        <v>0</v>
      </c>
      <c r="Z33" s="68">
        <f t="shared" si="3"/>
        <v>0</v>
      </c>
      <c r="AA33" s="68">
        <f t="shared" si="18"/>
        <v>0</v>
      </c>
      <c r="AB33" s="234"/>
      <c r="AC33" s="109" t="str">
        <f t="shared" si="19"/>
        <v>F</v>
      </c>
      <c r="AD33" s="112">
        <v>0</v>
      </c>
      <c r="AE33" s="101">
        <v>0</v>
      </c>
      <c r="AF33" s="101">
        <f t="shared" si="4"/>
        <v>0</v>
      </c>
      <c r="AG33" s="101">
        <v>0</v>
      </c>
      <c r="AH33" s="68">
        <f t="shared" si="20"/>
        <v>0</v>
      </c>
      <c r="AI33" s="234"/>
      <c r="AJ33" s="109" t="str">
        <f t="shared" si="39"/>
        <v>F</v>
      </c>
      <c r="AK33" s="112">
        <v>0</v>
      </c>
      <c r="AL33" s="101">
        <v>0</v>
      </c>
      <c r="AM33" s="101">
        <f t="shared" si="5"/>
        <v>0</v>
      </c>
      <c r="AN33" s="101">
        <v>0</v>
      </c>
      <c r="AO33" s="68">
        <f t="shared" si="40"/>
        <v>0</v>
      </c>
      <c r="AP33" s="234"/>
      <c r="AQ33" s="109" t="str">
        <f t="shared" si="23"/>
        <v>F</v>
      </c>
      <c r="AR33" s="68"/>
      <c r="AS33" s="101">
        <v>0</v>
      </c>
      <c r="AT33" s="101">
        <v>0</v>
      </c>
      <c r="AU33" s="68">
        <f t="shared" si="24"/>
        <v>0</v>
      </c>
      <c r="AV33" s="234"/>
      <c r="AW33" s="109" t="str">
        <f t="shared" si="6"/>
        <v>F</v>
      </c>
      <c r="AX33" s="112">
        <v>0</v>
      </c>
      <c r="AY33" s="101">
        <v>0</v>
      </c>
      <c r="AZ33" s="101">
        <f t="shared" si="43"/>
        <v>0</v>
      </c>
      <c r="BA33" s="101">
        <v>0</v>
      </c>
      <c r="BB33" s="68">
        <f t="shared" si="26"/>
        <v>0</v>
      </c>
      <c r="BC33" s="234"/>
      <c r="BD33" s="109" t="str">
        <f t="shared" si="27"/>
        <v>F</v>
      </c>
      <c r="BE33" s="112">
        <v>0</v>
      </c>
      <c r="BF33" s="101">
        <v>0</v>
      </c>
      <c r="BG33" s="101">
        <f t="shared" si="7"/>
        <v>0</v>
      </c>
      <c r="BH33" s="101">
        <v>0</v>
      </c>
      <c r="BI33" s="68">
        <f t="shared" si="42"/>
        <v>0</v>
      </c>
      <c r="BJ33" s="234"/>
      <c r="BK33" s="109" t="str">
        <f t="shared" si="28"/>
        <v>F</v>
      </c>
      <c r="BL33" s="112">
        <v>0</v>
      </c>
      <c r="BM33" s="101">
        <v>0</v>
      </c>
      <c r="BN33" s="101">
        <f t="shared" si="9"/>
        <v>0</v>
      </c>
      <c r="BO33" s="101">
        <v>0</v>
      </c>
      <c r="BP33" s="68">
        <f t="shared" si="41"/>
        <v>0</v>
      </c>
      <c r="BQ33" s="234"/>
      <c r="BR33" s="109" t="str">
        <f t="shared" si="30"/>
        <v>F</v>
      </c>
      <c r="BS33" s="112">
        <v>0</v>
      </c>
      <c r="BT33" s="101">
        <v>0</v>
      </c>
      <c r="BU33" s="101">
        <f t="shared" si="44"/>
        <v>0</v>
      </c>
      <c r="BV33" s="101">
        <v>0</v>
      </c>
      <c r="BW33" s="68">
        <f t="shared" si="31"/>
        <v>0</v>
      </c>
      <c r="BX33" s="234"/>
      <c r="BY33" s="109" t="str">
        <f t="shared" si="32"/>
        <v>F</v>
      </c>
      <c r="BZ33" s="112">
        <v>0</v>
      </c>
      <c r="CA33" s="101">
        <v>0</v>
      </c>
      <c r="CB33" s="101">
        <f t="shared" si="11"/>
        <v>0</v>
      </c>
      <c r="CC33" s="101">
        <v>0</v>
      </c>
      <c r="CD33" s="101">
        <v>0</v>
      </c>
      <c r="CE33" s="68">
        <f t="shared" si="33"/>
        <v>0</v>
      </c>
      <c r="CF33" s="234"/>
      <c r="CG33" s="109" t="str">
        <f t="shared" si="34"/>
        <v>0</v>
      </c>
      <c r="CH33" s="109" t="str">
        <f t="shared" si="35"/>
        <v>F</v>
      </c>
      <c r="CI33" s="68" t="str">
        <f t="shared" si="12"/>
        <v>F</v>
      </c>
      <c r="CJ33" s="110" t="str">
        <f t="shared" si="36"/>
        <v>F</v>
      </c>
      <c r="CK33" s="97" t="str">
        <f t="shared" si="37"/>
        <v>NEED TO PROGRESS</v>
      </c>
      <c r="CL33" s="97">
        <f t="shared" si="38"/>
        <v>0</v>
      </c>
      <c r="CM33" s="97"/>
      <c r="CN33" s="97"/>
      <c r="DT33" s="113"/>
    </row>
    <row r="34" spans="1:124" s="56" customFormat="1" ht="24.95" customHeight="1" thickBot="1">
      <c r="A34" s="55">
        <v>27</v>
      </c>
      <c r="B34" s="59">
        <v>100</v>
      </c>
      <c r="C34" s="60" t="s">
        <v>209</v>
      </c>
      <c r="D34" s="60" t="s">
        <v>210</v>
      </c>
      <c r="E34" s="60" t="s">
        <v>211</v>
      </c>
      <c r="F34" s="61" t="s">
        <v>212</v>
      </c>
      <c r="G34" s="107">
        <v>15</v>
      </c>
      <c r="H34" s="101">
        <v>34</v>
      </c>
      <c r="I34" s="101">
        <f t="shared" si="13"/>
        <v>49</v>
      </c>
      <c r="J34" s="101">
        <v>12</v>
      </c>
      <c r="K34" s="101">
        <f t="shared" si="0"/>
        <v>61</v>
      </c>
      <c r="L34" s="108">
        <v>13</v>
      </c>
      <c r="M34" s="101">
        <v>31</v>
      </c>
      <c r="N34" s="101">
        <f t="shared" si="14"/>
        <v>44</v>
      </c>
      <c r="O34" s="101">
        <v>17</v>
      </c>
      <c r="P34" s="101">
        <f t="shared" si="15"/>
        <v>61</v>
      </c>
      <c r="Q34" s="114">
        <f t="shared" si="1"/>
        <v>122</v>
      </c>
      <c r="R34" s="234"/>
      <c r="S34" s="109">
        <f t="shared" si="16"/>
        <v>3.5</v>
      </c>
      <c r="T34" s="108">
        <v>11</v>
      </c>
      <c r="U34" s="101">
        <v>47</v>
      </c>
      <c r="V34" s="101">
        <f t="shared" si="2"/>
        <v>58</v>
      </c>
      <c r="W34" s="108">
        <v>13</v>
      </c>
      <c r="X34" s="101">
        <v>28</v>
      </c>
      <c r="Y34" s="114">
        <f t="shared" si="17"/>
        <v>41</v>
      </c>
      <c r="Z34" s="114">
        <f t="shared" si="3"/>
        <v>99</v>
      </c>
      <c r="AA34" s="114">
        <f t="shared" si="18"/>
        <v>99</v>
      </c>
      <c r="AB34" s="234"/>
      <c r="AC34" s="115">
        <f t="shared" si="19"/>
        <v>2</v>
      </c>
      <c r="AD34" s="108">
        <v>9</v>
      </c>
      <c r="AE34" s="101">
        <v>25</v>
      </c>
      <c r="AF34" s="101">
        <f t="shared" si="4"/>
        <v>34</v>
      </c>
      <c r="AG34" s="101">
        <v>12</v>
      </c>
      <c r="AH34" s="114">
        <f t="shared" si="20"/>
        <v>46</v>
      </c>
      <c r="AI34" s="234"/>
      <c r="AJ34" s="115">
        <f t="shared" si="39"/>
        <v>2</v>
      </c>
      <c r="AK34" s="108">
        <v>14</v>
      </c>
      <c r="AL34" s="101">
        <v>29</v>
      </c>
      <c r="AM34" s="101">
        <f t="shared" si="5"/>
        <v>43</v>
      </c>
      <c r="AN34" s="101">
        <v>14</v>
      </c>
      <c r="AO34" s="114">
        <f t="shared" si="40"/>
        <v>57</v>
      </c>
      <c r="AP34" s="234"/>
      <c r="AQ34" s="109">
        <f t="shared" si="23"/>
        <v>3</v>
      </c>
      <c r="AR34" s="114"/>
      <c r="AS34" s="101">
        <v>20</v>
      </c>
      <c r="AT34" s="101">
        <v>23</v>
      </c>
      <c r="AU34" s="114">
        <f t="shared" si="24"/>
        <v>43</v>
      </c>
      <c r="AV34" s="234"/>
      <c r="AW34" s="115">
        <f t="shared" si="6"/>
        <v>5</v>
      </c>
      <c r="AX34" s="108">
        <v>19</v>
      </c>
      <c r="AY34" s="101">
        <v>28</v>
      </c>
      <c r="AZ34" s="101">
        <f t="shared" si="43"/>
        <v>47</v>
      </c>
      <c r="BA34" s="101">
        <v>22</v>
      </c>
      <c r="BB34" s="68">
        <f t="shared" si="26"/>
        <v>69</v>
      </c>
      <c r="BC34" s="234"/>
      <c r="BD34" s="115">
        <f t="shared" si="27"/>
        <v>3.5</v>
      </c>
      <c r="BE34" s="108">
        <v>14</v>
      </c>
      <c r="BF34" s="101">
        <v>34</v>
      </c>
      <c r="BG34" s="101">
        <f t="shared" si="7"/>
        <v>48</v>
      </c>
      <c r="BH34" s="101">
        <v>14</v>
      </c>
      <c r="BI34" s="114">
        <f t="shared" si="42"/>
        <v>62</v>
      </c>
      <c r="BJ34" s="234"/>
      <c r="BK34" s="115">
        <f t="shared" si="28"/>
        <v>3.5</v>
      </c>
      <c r="BL34" s="108">
        <v>15</v>
      </c>
      <c r="BM34" s="101">
        <v>43</v>
      </c>
      <c r="BN34" s="101">
        <f t="shared" si="9"/>
        <v>58</v>
      </c>
      <c r="BO34" s="101">
        <v>13</v>
      </c>
      <c r="BP34" s="114">
        <f t="shared" si="41"/>
        <v>71</v>
      </c>
      <c r="BQ34" s="234"/>
      <c r="BR34" s="115">
        <f t="shared" si="30"/>
        <v>4</v>
      </c>
      <c r="BS34" s="108">
        <v>15</v>
      </c>
      <c r="BT34" s="101">
        <v>23</v>
      </c>
      <c r="BU34" s="101">
        <f t="shared" si="44"/>
        <v>38</v>
      </c>
      <c r="BV34" s="101">
        <v>17</v>
      </c>
      <c r="BW34" s="114">
        <f t="shared" si="31"/>
        <v>55</v>
      </c>
      <c r="BX34" s="234"/>
      <c r="BY34" s="115">
        <f t="shared" si="32"/>
        <v>3</v>
      </c>
      <c r="BZ34" s="108">
        <v>8</v>
      </c>
      <c r="CA34" s="101">
        <v>22</v>
      </c>
      <c r="CB34" s="101">
        <f t="shared" si="11"/>
        <v>30</v>
      </c>
      <c r="CC34" s="101">
        <v>13</v>
      </c>
      <c r="CD34" s="101">
        <v>23</v>
      </c>
      <c r="CE34" s="114">
        <f t="shared" si="33"/>
        <v>66</v>
      </c>
      <c r="CF34" s="234"/>
      <c r="CG34" s="115">
        <f t="shared" si="34"/>
        <v>3.5</v>
      </c>
      <c r="CH34" s="115">
        <f t="shared" si="35"/>
        <v>3.5</v>
      </c>
      <c r="CI34" s="114">
        <f t="shared" si="12"/>
        <v>31</v>
      </c>
      <c r="CJ34" s="116">
        <f t="shared" si="36"/>
        <v>3.4444444444444446</v>
      </c>
      <c r="CK34" s="117" t="str">
        <f t="shared" si="37"/>
        <v>GOOD</v>
      </c>
      <c r="CL34" s="97">
        <f t="shared" si="38"/>
        <v>690</v>
      </c>
      <c r="CM34" s="117"/>
      <c r="CN34" s="117"/>
      <c r="DT34" s="118"/>
    </row>
    <row r="35" spans="1:124" s="123" customFormat="1" ht="24.95" customHeight="1" thickTop="1">
      <c r="A35" s="55">
        <v>28</v>
      </c>
      <c r="B35" s="91">
        <v>103</v>
      </c>
      <c r="C35" s="92" t="s">
        <v>213</v>
      </c>
      <c r="D35" s="92" t="s">
        <v>214</v>
      </c>
      <c r="E35" s="92" t="s">
        <v>215</v>
      </c>
      <c r="F35" s="93" t="s">
        <v>216</v>
      </c>
      <c r="G35" s="107">
        <v>10</v>
      </c>
      <c r="H35" s="101">
        <v>9</v>
      </c>
      <c r="I35" s="101">
        <f t="shared" si="13"/>
        <v>19</v>
      </c>
      <c r="J35" s="101">
        <v>13</v>
      </c>
      <c r="K35" s="101">
        <f t="shared" si="0"/>
        <v>32</v>
      </c>
      <c r="L35" s="108">
        <v>13</v>
      </c>
      <c r="M35" s="101">
        <v>19</v>
      </c>
      <c r="N35" s="101">
        <f t="shared" si="14"/>
        <v>32</v>
      </c>
      <c r="O35" s="101">
        <v>19</v>
      </c>
      <c r="P35" s="119">
        <f t="shared" si="15"/>
        <v>51</v>
      </c>
      <c r="Q35" s="119">
        <f t="shared" si="1"/>
        <v>83</v>
      </c>
      <c r="R35" s="234"/>
      <c r="S35" s="109" t="str">
        <f t="shared" si="16"/>
        <v>F</v>
      </c>
      <c r="T35" s="108">
        <v>12</v>
      </c>
      <c r="U35" s="101">
        <v>28</v>
      </c>
      <c r="V35" s="101">
        <f t="shared" si="2"/>
        <v>40</v>
      </c>
      <c r="W35" s="108">
        <v>11</v>
      </c>
      <c r="X35" s="101">
        <v>26</v>
      </c>
      <c r="Y35" s="119">
        <f t="shared" si="17"/>
        <v>37</v>
      </c>
      <c r="Z35" s="119">
        <f t="shared" si="3"/>
        <v>77</v>
      </c>
      <c r="AA35" s="119">
        <f t="shared" si="18"/>
        <v>77</v>
      </c>
      <c r="AB35" s="234"/>
      <c r="AC35" s="120" t="str">
        <f t="shared" si="19"/>
        <v>F</v>
      </c>
      <c r="AD35" s="108">
        <v>11</v>
      </c>
      <c r="AE35" s="101">
        <v>13</v>
      </c>
      <c r="AF35" s="101">
        <f t="shared" si="4"/>
        <v>24</v>
      </c>
      <c r="AG35" s="101">
        <v>12</v>
      </c>
      <c r="AH35" s="119">
        <f t="shared" si="20"/>
        <v>36</v>
      </c>
      <c r="AI35" s="234"/>
      <c r="AJ35" s="120" t="str">
        <f t="shared" si="39"/>
        <v>F</v>
      </c>
      <c r="AK35" s="108">
        <v>9</v>
      </c>
      <c r="AL35" s="101">
        <v>18</v>
      </c>
      <c r="AM35" s="101">
        <f t="shared" si="5"/>
        <v>27</v>
      </c>
      <c r="AN35" s="101">
        <v>13</v>
      </c>
      <c r="AO35" s="119">
        <f t="shared" si="40"/>
        <v>40</v>
      </c>
      <c r="AP35" s="234"/>
      <c r="AQ35" s="109" t="str">
        <f t="shared" si="23"/>
        <v>F</v>
      </c>
      <c r="AR35" s="119"/>
      <c r="AS35" s="101">
        <v>17</v>
      </c>
      <c r="AT35" s="101">
        <v>23</v>
      </c>
      <c r="AU35" s="119">
        <f t="shared" si="24"/>
        <v>40</v>
      </c>
      <c r="AV35" s="234"/>
      <c r="AW35" s="120">
        <f t="shared" si="6"/>
        <v>5</v>
      </c>
      <c r="AX35" s="108">
        <v>15</v>
      </c>
      <c r="AY35" s="101">
        <v>20</v>
      </c>
      <c r="AZ35" s="101">
        <f t="shared" si="43"/>
        <v>35</v>
      </c>
      <c r="BA35" s="101">
        <v>20</v>
      </c>
      <c r="BB35" s="68">
        <f t="shared" si="26"/>
        <v>55</v>
      </c>
      <c r="BC35" s="234"/>
      <c r="BD35" s="120">
        <f t="shared" si="27"/>
        <v>3</v>
      </c>
      <c r="BE35" s="108">
        <v>12</v>
      </c>
      <c r="BF35" s="101">
        <v>20</v>
      </c>
      <c r="BG35" s="101">
        <f t="shared" si="7"/>
        <v>32</v>
      </c>
      <c r="BH35" s="101">
        <v>12</v>
      </c>
      <c r="BI35" s="119">
        <f t="shared" si="42"/>
        <v>44</v>
      </c>
      <c r="BJ35" s="234"/>
      <c r="BK35" s="120">
        <f t="shared" si="28"/>
        <v>2</v>
      </c>
      <c r="BL35" s="108">
        <v>13</v>
      </c>
      <c r="BM35" s="101">
        <v>21</v>
      </c>
      <c r="BN35" s="101">
        <f t="shared" si="9"/>
        <v>34</v>
      </c>
      <c r="BO35" s="101">
        <v>15</v>
      </c>
      <c r="BP35" s="119">
        <f t="shared" si="41"/>
        <v>49</v>
      </c>
      <c r="BQ35" s="234"/>
      <c r="BR35" s="120">
        <f t="shared" si="30"/>
        <v>2</v>
      </c>
      <c r="BS35" s="108">
        <v>11</v>
      </c>
      <c r="BT35" s="101">
        <v>17</v>
      </c>
      <c r="BU35" s="101">
        <f t="shared" si="44"/>
        <v>28</v>
      </c>
      <c r="BV35" s="101">
        <v>12</v>
      </c>
      <c r="BW35" s="119">
        <f t="shared" si="31"/>
        <v>40</v>
      </c>
      <c r="BX35" s="234"/>
      <c r="BY35" s="120">
        <f t="shared" si="32"/>
        <v>2</v>
      </c>
      <c r="BZ35" s="108">
        <v>6</v>
      </c>
      <c r="CA35" s="101">
        <v>18</v>
      </c>
      <c r="CB35" s="101">
        <f t="shared" si="11"/>
        <v>24</v>
      </c>
      <c r="CC35" s="101">
        <v>17</v>
      </c>
      <c r="CD35" s="101">
        <v>23</v>
      </c>
      <c r="CE35" s="119">
        <f t="shared" si="33"/>
        <v>64</v>
      </c>
      <c r="CF35" s="234"/>
      <c r="CG35" s="120">
        <f t="shared" si="34"/>
        <v>3.5</v>
      </c>
      <c r="CH35" s="120">
        <f t="shared" si="35"/>
        <v>3.5</v>
      </c>
      <c r="CI35" s="119" t="str">
        <f t="shared" si="12"/>
        <v>F</v>
      </c>
      <c r="CJ35" s="121" t="str">
        <f t="shared" si="36"/>
        <v>F</v>
      </c>
      <c r="CK35" s="122" t="str">
        <f t="shared" si="37"/>
        <v>NEED TO PROGRESS</v>
      </c>
      <c r="CL35" s="97">
        <f t="shared" si="38"/>
        <v>528</v>
      </c>
      <c r="CM35" s="122"/>
      <c r="CN35" s="122"/>
      <c r="CO35" s="56"/>
      <c r="CP35" s="56"/>
      <c r="CQ35" s="56"/>
      <c r="CR35" s="56"/>
      <c r="CS35" s="56"/>
      <c r="CT35" s="56"/>
      <c r="CU35" s="56"/>
      <c r="CV35" s="56"/>
      <c r="CW35" s="56"/>
      <c r="CX35" s="56"/>
      <c r="CY35" s="56"/>
      <c r="CZ35" s="56"/>
      <c r="DA35" s="56"/>
      <c r="DB35" s="56"/>
      <c r="DC35" s="56"/>
      <c r="DD35" s="56"/>
      <c r="DE35" s="56"/>
      <c r="DF35" s="56"/>
      <c r="DG35" s="56"/>
      <c r="DH35" s="56"/>
      <c r="DI35" s="56"/>
      <c r="DJ35" s="56"/>
      <c r="DK35" s="56"/>
      <c r="DL35" s="56"/>
      <c r="DM35" s="56"/>
      <c r="DN35" s="56"/>
      <c r="DO35" s="56"/>
      <c r="DP35" s="56"/>
      <c r="DQ35" s="56"/>
      <c r="DR35" s="56"/>
      <c r="DS35" s="56"/>
      <c r="DT35" s="55"/>
    </row>
    <row r="36" spans="1:124" s="56" customFormat="1" ht="24.95" customHeight="1">
      <c r="A36" s="55">
        <v>29</v>
      </c>
      <c r="B36" s="87">
        <v>111</v>
      </c>
      <c r="C36" s="88" t="s">
        <v>217</v>
      </c>
      <c r="D36" s="88" t="s">
        <v>218</v>
      </c>
      <c r="E36" s="88" t="s">
        <v>219</v>
      </c>
      <c r="F36" s="89" t="s">
        <v>220</v>
      </c>
      <c r="G36" s="107">
        <v>13</v>
      </c>
      <c r="H36" s="101">
        <v>26</v>
      </c>
      <c r="I36" s="101">
        <f t="shared" si="13"/>
        <v>39</v>
      </c>
      <c r="J36" s="101">
        <v>13</v>
      </c>
      <c r="K36" s="101">
        <f t="shared" si="0"/>
        <v>52</v>
      </c>
      <c r="L36" s="108">
        <v>16</v>
      </c>
      <c r="M36" s="101">
        <v>25</v>
      </c>
      <c r="N36" s="101">
        <f t="shared" si="14"/>
        <v>41</v>
      </c>
      <c r="O36" s="101">
        <v>19</v>
      </c>
      <c r="P36" s="68">
        <f t="shared" si="15"/>
        <v>60</v>
      </c>
      <c r="Q36" s="68">
        <f t="shared" si="1"/>
        <v>112</v>
      </c>
      <c r="R36" s="234"/>
      <c r="S36" s="109">
        <f t="shared" si="16"/>
        <v>3</v>
      </c>
      <c r="T36" s="108">
        <v>12</v>
      </c>
      <c r="U36" s="101">
        <v>41</v>
      </c>
      <c r="V36" s="101">
        <f t="shared" si="2"/>
        <v>53</v>
      </c>
      <c r="W36" s="108">
        <v>11</v>
      </c>
      <c r="X36" s="101">
        <v>30</v>
      </c>
      <c r="Y36" s="68">
        <f t="shared" si="17"/>
        <v>41</v>
      </c>
      <c r="Z36" s="68">
        <f t="shared" si="3"/>
        <v>94</v>
      </c>
      <c r="AA36" s="68">
        <f t="shared" si="18"/>
        <v>94</v>
      </c>
      <c r="AB36" s="234"/>
      <c r="AC36" s="109">
        <f t="shared" si="19"/>
        <v>2</v>
      </c>
      <c r="AD36" s="108">
        <v>15</v>
      </c>
      <c r="AE36" s="101">
        <v>22</v>
      </c>
      <c r="AF36" s="101">
        <f t="shared" si="4"/>
        <v>37</v>
      </c>
      <c r="AG36" s="101">
        <v>13</v>
      </c>
      <c r="AH36" s="68">
        <f t="shared" si="20"/>
        <v>50</v>
      </c>
      <c r="AI36" s="234"/>
      <c r="AJ36" s="109">
        <f t="shared" si="39"/>
        <v>3</v>
      </c>
      <c r="AK36" s="108">
        <v>16</v>
      </c>
      <c r="AL36" s="101">
        <v>24</v>
      </c>
      <c r="AM36" s="101">
        <f t="shared" si="5"/>
        <v>40</v>
      </c>
      <c r="AN36" s="101">
        <v>21</v>
      </c>
      <c r="AO36" s="68">
        <f t="shared" si="40"/>
        <v>61</v>
      </c>
      <c r="AP36" s="234"/>
      <c r="AQ36" s="109">
        <f t="shared" si="23"/>
        <v>3.5</v>
      </c>
      <c r="AR36" s="68"/>
      <c r="AS36" s="101">
        <v>0</v>
      </c>
      <c r="AT36" s="101">
        <v>23</v>
      </c>
      <c r="AU36" s="68">
        <f t="shared" si="24"/>
        <v>23</v>
      </c>
      <c r="AV36" s="234"/>
      <c r="AW36" s="109" t="str">
        <f t="shared" si="6"/>
        <v>F</v>
      </c>
      <c r="AX36" s="108">
        <v>17</v>
      </c>
      <c r="AY36" s="101">
        <v>29</v>
      </c>
      <c r="AZ36" s="101">
        <f t="shared" si="43"/>
        <v>46</v>
      </c>
      <c r="BA36" s="101">
        <v>18</v>
      </c>
      <c r="BB36" s="68">
        <f t="shared" si="26"/>
        <v>64</v>
      </c>
      <c r="BC36" s="234"/>
      <c r="BD36" s="109">
        <f t="shared" si="27"/>
        <v>3.5</v>
      </c>
      <c r="BE36" s="108">
        <v>14</v>
      </c>
      <c r="BF36" s="101">
        <v>29</v>
      </c>
      <c r="BG36" s="101">
        <f t="shared" si="7"/>
        <v>43</v>
      </c>
      <c r="BH36" s="101">
        <v>18</v>
      </c>
      <c r="BI36" s="68">
        <f t="shared" si="42"/>
        <v>61</v>
      </c>
      <c r="BJ36" s="234"/>
      <c r="BK36" s="109">
        <f t="shared" si="28"/>
        <v>3.5</v>
      </c>
      <c r="BL36" s="108">
        <v>13</v>
      </c>
      <c r="BM36" s="101">
        <v>31</v>
      </c>
      <c r="BN36" s="101">
        <f t="shared" si="9"/>
        <v>44</v>
      </c>
      <c r="BO36" s="101">
        <v>22</v>
      </c>
      <c r="BP36" s="68">
        <f t="shared" si="41"/>
        <v>66</v>
      </c>
      <c r="BQ36" s="234"/>
      <c r="BR36" s="109">
        <f t="shared" si="30"/>
        <v>3.5</v>
      </c>
      <c r="BS36" s="108">
        <v>15</v>
      </c>
      <c r="BT36" s="101">
        <v>22</v>
      </c>
      <c r="BU36" s="101">
        <f t="shared" si="44"/>
        <v>37</v>
      </c>
      <c r="BV36" s="101">
        <v>13</v>
      </c>
      <c r="BW36" s="68">
        <f t="shared" si="31"/>
        <v>50</v>
      </c>
      <c r="BX36" s="234"/>
      <c r="BY36" s="109">
        <f t="shared" si="32"/>
        <v>3</v>
      </c>
      <c r="BZ36" s="108">
        <v>8</v>
      </c>
      <c r="CA36" s="101">
        <v>0</v>
      </c>
      <c r="CB36" s="101">
        <f t="shared" si="11"/>
        <v>8</v>
      </c>
      <c r="CC36" s="101">
        <v>0</v>
      </c>
      <c r="CD36" s="101">
        <v>23</v>
      </c>
      <c r="CE36" s="68">
        <f t="shared" si="33"/>
        <v>31</v>
      </c>
      <c r="CF36" s="234"/>
      <c r="CG36" s="109" t="str">
        <f t="shared" si="34"/>
        <v>0</v>
      </c>
      <c r="CH36" s="109" t="str">
        <f t="shared" si="35"/>
        <v>F</v>
      </c>
      <c r="CI36" s="68" t="str">
        <f t="shared" si="12"/>
        <v>F</v>
      </c>
      <c r="CJ36" s="110" t="str">
        <f t="shared" si="36"/>
        <v>F</v>
      </c>
      <c r="CK36" s="97" t="str">
        <f t="shared" si="37"/>
        <v>NEED TO PROGRESS</v>
      </c>
      <c r="CL36" s="97">
        <f t="shared" si="38"/>
        <v>612</v>
      </c>
      <c r="CM36" s="97"/>
      <c r="CN36" s="97"/>
      <c r="DT36" s="55">
        <v>83</v>
      </c>
    </row>
    <row r="37" spans="1:124" s="56" customFormat="1" ht="24.95" customHeight="1">
      <c r="A37" s="55">
        <v>30</v>
      </c>
      <c r="B37" s="47">
        <v>120</v>
      </c>
      <c r="C37" s="50" t="s">
        <v>221</v>
      </c>
      <c r="D37" s="50" t="s">
        <v>222</v>
      </c>
      <c r="E37" s="50" t="s">
        <v>223</v>
      </c>
      <c r="F37" s="51" t="s">
        <v>224</v>
      </c>
      <c r="G37" s="107">
        <v>12</v>
      </c>
      <c r="H37" s="101">
        <v>24</v>
      </c>
      <c r="I37" s="101">
        <f t="shared" si="13"/>
        <v>36</v>
      </c>
      <c r="J37" s="101">
        <v>13</v>
      </c>
      <c r="K37" s="101">
        <f t="shared" si="0"/>
        <v>49</v>
      </c>
      <c r="L37" s="108">
        <v>16</v>
      </c>
      <c r="M37" s="101">
        <v>27</v>
      </c>
      <c r="N37" s="101">
        <f t="shared" si="14"/>
        <v>43</v>
      </c>
      <c r="O37" s="101">
        <v>18</v>
      </c>
      <c r="P37" s="68">
        <f t="shared" si="15"/>
        <v>61</v>
      </c>
      <c r="Q37" s="68">
        <f t="shared" si="1"/>
        <v>110</v>
      </c>
      <c r="R37" s="234"/>
      <c r="S37" s="109">
        <f t="shared" si="16"/>
        <v>3</v>
      </c>
      <c r="T37" s="108">
        <v>14</v>
      </c>
      <c r="U37" s="101">
        <v>36</v>
      </c>
      <c r="V37" s="101">
        <f t="shared" si="2"/>
        <v>50</v>
      </c>
      <c r="W37" s="108">
        <v>12</v>
      </c>
      <c r="X37" s="101">
        <v>27</v>
      </c>
      <c r="Y37" s="68">
        <f t="shared" si="17"/>
        <v>39</v>
      </c>
      <c r="Z37" s="68">
        <f t="shared" si="3"/>
        <v>89</v>
      </c>
      <c r="AA37" s="68">
        <f t="shared" si="18"/>
        <v>89</v>
      </c>
      <c r="AB37" s="234"/>
      <c r="AC37" s="109">
        <f t="shared" si="19"/>
        <v>2</v>
      </c>
      <c r="AD37" s="108">
        <v>15</v>
      </c>
      <c r="AE37" s="101">
        <v>19</v>
      </c>
      <c r="AF37" s="101">
        <f t="shared" si="4"/>
        <v>34</v>
      </c>
      <c r="AG37" s="101">
        <v>12</v>
      </c>
      <c r="AH37" s="68">
        <f t="shared" si="20"/>
        <v>46</v>
      </c>
      <c r="AI37" s="234"/>
      <c r="AJ37" s="109">
        <f t="shared" si="39"/>
        <v>2</v>
      </c>
      <c r="AK37" s="108">
        <v>12</v>
      </c>
      <c r="AL37" s="101">
        <v>24</v>
      </c>
      <c r="AM37" s="101">
        <f t="shared" si="5"/>
        <v>36</v>
      </c>
      <c r="AN37" s="101">
        <v>22</v>
      </c>
      <c r="AO37" s="68">
        <f t="shared" si="40"/>
        <v>58</v>
      </c>
      <c r="AP37" s="234"/>
      <c r="AQ37" s="109">
        <f t="shared" si="23"/>
        <v>3</v>
      </c>
      <c r="AR37" s="68"/>
      <c r="AS37" s="101">
        <v>23</v>
      </c>
      <c r="AT37" s="101">
        <v>23</v>
      </c>
      <c r="AU37" s="68">
        <f t="shared" si="24"/>
        <v>46</v>
      </c>
      <c r="AV37" s="234"/>
      <c r="AW37" s="109">
        <f t="shared" si="6"/>
        <v>5</v>
      </c>
      <c r="AX37" s="108">
        <v>16</v>
      </c>
      <c r="AY37" s="101">
        <v>20</v>
      </c>
      <c r="AZ37" s="101">
        <f t="shared" si="43"/>
        <v>36</v>
      </c>
      <c r="BA37" s="101">
        <v>21</v>
      </c>
      <c r="BB37" s="68">
        <f t="shared" si="26"/>
        <v>57</v>
      </c>
      <c r="BC37" s="234"/>
      <c r="BD37" s="109">
        <f t="shared" si="27"/>
        <v>3</v>
      </c>
      <c r="BE37" s="108">
        <v>15</v>
      </c>
      <c r="BF37" s="101">
        <v>32</v>
      </c>
      <c r="BG37" s="101">
        <f t="shared" si="7"/>
        <v>47</v>
      </c>
      <c r="BH37" s="101">
        <v>18</v>
      </c>
      <c r="BI37" s="68">
        <f t="shared" si="42"/>
        <v>65</v>
      </c>
      <c r="BJ37" s="234"/>
      <c r="BK37" s="109">
        <f t="shared" si="28"/>
        <v>3.5</v>
      </c>
      <c r="BL37" s="108">
        <v>13</v>
      </c>
      <c r="BM37" s="101">
        <v>29</v>
      </c>
      <c r="BN37" s="101">
        <f t="shared" si="9"/>
        <v>42</v>
      </c>
      <c r="BO37" s="101">
        <v>20</v>
      </c>
      <c r="BP37" s="68">
        <f t="shared" si="41"/>
        <v>62</v>
      </c>
      <c r="BQ37" s="234"/>
      <c r="BR37" s="109">
        <f t="shared" si="30"/>
        <v>3.5</v>
      </c>
      <c r="BS37" s="108">
        <v>15</v>
      </c>
      <c r="BT37" s="101">
        <v>19</v>
      </c>
      <c r="BU37" s="101">
        <f t="shared" si="44"/>
        <v>34</v>
      </c>
      <c r="BV37" s="101">
        <v>12</v>
      </c>
      <c r="BW37" s="68">
        <f t="shared" si="31"/>
        <v>46</v>
      </c>
      <c r="BX37" s="234"/>
      <c r="BY37" s="109">
        <f t="shared" si="32"/>
        <v>2</v>
      </c>
      <c r="BZ37" s="108">
        <v>7</v>
      </c>
      <c r="CA37" s="101">
        <v>22</v>
      </c>
      <c r="CB37" s="101">
        <f t="shared" si="11"/>
        <v>29</v>
      </c>
      <c r="CC37" s="101">
        <v>16</v>
      </c>
      <c r="CD37" s="101">
        <v>23</v>
      </c>
      <c r="CE37" s="68">
        <f t="shared" si="33"/>
        <v>68</v>
      </c>
      <c r="CF37" s="234"/>
      <c r="CG37" s="109">
        <f t="shared" si="34"/>
        <v>3.5</v>
      </c>
      <c r="CH37" s="109">
        <f t="shared" si="35"/>
        <v>3.5</v>
      </c>
      <c r="CI37" s="68">
        <f t="shared" si="12"/>
        <v>28.5</v>
      </c>
      <c r="CJ37" s="110">
        <f t="shared" si="36"/>
        <v>3.1666666666666665</v>
      </c>
      <c r="CK37" s="97" t="str">
        <f t="shared" si="37"/>
        <v>GOOD</v>
      </c>
      <c r="CL37" s="97">
        <f t="shared" si="38"/>
        <v>647</v>
      </c>
      <c r="CM37" s="97"/>
      <c r="CN37" s="97"/>
      <c r="DT37" s="55">
        <v>84</v>
      </c>
    </row>
    <row r="38" spans="1:124" s="56" customFormat="1" ht="24.95" customHeight="1">
      <c r="A38" s="55">
        <v>31</v>
      </c>
      <c r="B38" s="47">
        <v>121</v>
      </c>
      <c r="C38" s="50" t="s">
        <v>225</v>
      </c>
      <c r="D38" s="50" t="s">
        <v>226</v>
      </c>
      <c r="E38" s="50" t="s">
        <v>227</v>
      </c>
      <c r="F38" s="51" t="s">
        <v>228</v>
      </c>
      <c r="G38" s="112">
        <v>0</v>
      </c>
      <c r="H38" s="101">
        <v>0</v>
      </c>
      <c r="I38" s="101">
        <f t="shared" si="13"/>
        <v>0</v>
      </c>
      <c r="J38" s="101">
        <v>0</v>
      </c>
      <c r="K38" s="101">
        <f t="shared" si="0"/>
        <v>0</v>
      </c>
      <c r="L38" s="112">
        <v>0</v>
      </c>
      <c r="M38" s="101"/>
      <c r="N38" s="101">
        <f t="shared" si="14"/>
        <v>0</v>
      </c>
      <c r="O38" s="101">
        <v>0</v>
      </c>
      <c r="P38" s="68">
        <f t="shared" si="15"/>
        <v>0</v>
      </c>
      <c r="Q38" s="68">
        <f t="shared" si="1"/>
        <v>0</v>
      </c>
      <c r="R38" s="234"/>
      <c r="S38" s="109" t="str">
        <f t="shared" si="16"/>
        <v>F</v>
      </c>
      <c r="T38" s="112">
        <v>0</v>
      </c>
      <c r="U38" s="101">
        <v>0</v>
      </c>
      <c r="V38" s="101">
        <f t="shared" si="2"/>
        <v>0</v>
      </c>
      <c r="W38" s="112">
        <v>0</v>
      </c>
      <c r="X38" s="101">
        <v>0</v>
      </c>
      <c r="Y38" s="68">
        <f t="shared" si="17"/>
        <v>0</v>
      </c>
      <c r="Z38" s="68">
        <f t="shared" si="3"/>
        <v>0</v>
      </c>
      <c r="AA38" s="68">
        <f t="shared" si="18"/>
        <v>0</v>
      </c>
      <c r="AB38" s="234"/>
      <c r="AC38" s="109" t="str">
        <f t="shared" si="19"/>
        <v>F</v>
      </c>
      <c r="AD38" s="112">
        <v>0</v>
      </c>
      <c r="AE38" s="101">
        <v>0</v>
      </c>
      <c r="AF38" s="101">
        <f t="shared" si="4"/>
        <v>0</v>
      </c>
      <c r="AG38" s="101">
        <v>0</v>
      </c>
      <c r="AH38" s="68">
        <f t="shared" si="20"/>
        <v>0</v>
      </c>
      <c r="AI38" s="234"/>
      <c r="AJ38" s="109" t="str">
        <f t="shared" si="39"/>
        <v>F</v>
      </c>
      <c r="AK38" s="112">
        <v>0</v>
      </c>
      <c r="AL38" s="101">
        <v>0</v>
      </c>
      <c r="AM38" s="101">
        <f t="shared" si="5"/>
        <v>0</v>
      </c>
      <c r="AN38" s="101">
        <v>0</v>
      </c>
      <c r="AO38" s="68">
        <f t="shared" si="40"/>
        <v>0</v>
      </c>
      <c r="AP38" s="234"/>
      <c r="AQ38" s="109" t="str">
        <f t="shared" si="23"/>
        <v>F</v>
      </c>
      <c r="AR38" s="68"/>
      <c r="AS38" s="101">
        <v>0</v>
      </c>
      <c r="AT38" s="101">
        <v>0</v>
      </c>
      <c r="AU38" s="68">
        <f t="shared" si="24"/>
        <v>0</v>
      </c>
      <c r="AV38" s="234"/>
      <c r="AW38" s="109" t="str">
        <f t="shared" si="6"/>
        <v>F</v>
      </c>
      <c r="AX38" s="112">
        <v>0</v>
      </c>
      <c r="AY38" s="101">
        <v>0</v>
      </c>
      <c r="AZ38" s="101">
        <f t="shared" si="43"/>
        <v>0</v>
      </c>
      <c r="BA38" s="101">
        <v>0</v>
      </c>
      <c r="BB38" s="68">
        <f t="shared" si="26"/>
        <v>0</v>
      </c>
      <c r="BC38" s="234"/>
      <c r="BD38" s="109" t="str">
        <f t="shared" si="27"/>
        <v>F</v>
      </c>
      <c r="BE38" s="112">
        <v>0</v>
      </c>
      <c r="BF38" s="101">
        <v>0</v>
      </c>
      <c r="BG38" s="101">
        <f t="shared" si="7"/>
        <v>0</v>
      </c>
      <c r="BH38" s="101">
        <v>0</v>
      </c>
      <c r="BI38" s="68">
        <f t="shared" si="42"/>
        <v>0</v>
      </c>
      <c r="BJ38" s="234"/>
      <c r="BK38" s="109" t="str">
        <f t="shared" si="28"/>
        <v>F</v>
      </c>
      <c r="BL38" s="112">
        <v>0</v>
      </c>
      <c r="BM38" s="101">
        <v>0</v>
      </c>
      <c r="BN38" s="101">
        <f t="shared" si="9"/>
        <v>0</v>
      </c>
      <c r="BO38" s="101">
        <v>0</v>
      </c>
      <c r="BP38" s="68">
        <f t="shared" si="41"/>
        <v>0</v>
      </c>
      <c r="BQ38" s="234"/>
      <c r="BR38" s="109" t="str">
        <f t="shared" si="30"/>
        <v>F</v>
      </c>
      <c r="BS38" s="112">
        <v>0</v>
      </c>
      <c r="BT38" s="101">
        <v>0</v>
      </c>
      <c r="BU38" s="101">
        <f t="shared" si="44"/>
        <v>0</v>
      </c>
      <c r="BV38" s="101">
        <v>0</v>
      </c>
      <c r="BW38" s="68">
        <f t="shared" si="31"/>
        <v>0</v>
      </c>
      <c r="BX38" s="234"/>
      <c r="BY38" s="109" t="str">
        <f t="shared" si="32"/>
        <v>F</v>
      </c>
      <c r="BZ38" s="112">
        <v>0</v>
      </c>
      <c r="CA38" s="101">
        <v>0</v>
      </c>
      <c r="CB38" s="101">
        <f t="shared" si="11"/>
        <v>0</v>
      </c>
      <c r="CC38" s="101">
        <v>0</v>
      </c>
      <c r="CD38" s="101">
        <v>0</v>
      </c>
      <c r="CE38" s="68">
        <f t="shared" si="33"/>
        <v>0</v>
      </c>
      <c r="CF38" s="234"/>
      <c r="CG38" s="109" t="str">
        <f t="shared" si="34"/>
        <v>0</v>
      </c>
      <c r="CH38" s="109" t="str">
        <f t="shared" si="35"/>
        <v>F</v>
      </c>
      <c r="CI38" s="68" t="str">
        <f t="shared" si="12"/>
        <v>F</v>
      </c>
      <c r="CJ38" s="110" t="str">
        <f t="shared" si="36"/>
        <v>F</v>
      </c>
      <c r="CK38" s="97" t="str">
        <f t="shared" si="37"/>
        <v>NEED TO PROGRESS</v>
      </c>
      <c r="CL38" s="97">
        <f t="shared" si="38"/>
        <v>0</v>
      </c>
      <c r="CM38" s="97"/>
      <c r="CN38" s="97"/>
      <c r="DT38" s="55">
        <v>85</v>
      </c>
    </row>
    <row r="39" spans="1:124" s="56" customFormat="1" ht="24.95" customHeight="1">
      <c r="A39" s="55">
        <v>32</v>
      </c>
      <c r="B39" s="47">
        <v>123</v>
      </c>
      <c r="C39" s="50" t="s">
        <v>229</v>
      </c>
      <c r="D39" s="50" t="s">
        <v>230</v>
      </c>
      <c r="E39" s="50" t="s">
        <v>231</v>
      </c>
      <c r="F39" s="51" t="s">
        <v>232</v>
      </c>
      <c r="G39" s="107">
        <v>13</v>
      </c>
      <c r="H39" s="101">
        <v>0</v>
      </c>
      <c r="I39" s="101">
        <f t="shared" si="13"/>
        <v>13</v>
      </c>
      <c r="J39" s="101">
        <v>0</v>
      </c>
      <c r="K39" s="101">
        <f t="shared" si="0"/>
        <v>13</v>
      </c>
      <c r="L39" s="108">
        <v>13</v>
      </c>
      <c r="M39" s="101"/>
      <c r="N39" s="101">
        <f t="shared" si="14"/>
        <v>13</v>
      </c>
      <c r="O39" s="101"/>
      <c r="P39" s="68">
        <f t="shared" si="15"/>
        <v>13</v>
      </c>
      <c r="Q39" s="68">
        <f t="shared" si="1"/>
        <v>26</v>
      </c>
      <c r="R39" s="234"/>
      <c r="S39" s="109" t="str">
        <f t="shared" si="16"/>
        <v>F</v>
      </c>
      <c r="T39" s="108">
        <v>11</v>
      </c>
      <c r="U39" s="101">
        <v>0</v>
      </c>
      <c r="V39" s="101">
        <f t="shared" si="2"/>
        <v>11</v>
      </c>
      <c r="W39" s="108">
        <v>12</v>
      </c>
      <c r="X39" s="101">
        <v>0</v>
      </c>
      <c r="Y39" s="68">
        <f t="shared" si="17"/>
        <v>12</v>
      </c>
      <c r="Z39" s="68">
        <f t="shared" si="3"/>
        <v>23</v>
      </c>
      <c r="AA39" s="68">
        <f t="shared" si="18"/>
        <v>23</v>
      </c>
      <c r="AB39" s="234"/>
      <c r="AC39" s="109" t="str">
        <f t="shared" si="19"/>
        <v>F</v>
      </c>
      <c r="AD39" s="108">
        <v>9</v>
      </c>
      <c r="AE39" s="101">
        <v>0</v>
      </c>
      <c r="AF39" s="101">
        <f t="shared" si="4"/>
        <v>9</v>
      </c>
      <c r="AG39" s="101">
        <v>0</v>
      </c>
      <c r="AH39" s="68">
        <f t="shared" si="20"/>
        <v>9</v>
      </c>
      <c r="AI39" s="234"/>
      <c r="AJ39" s="109" t="str">
        <f t="shared" si="39"/>
        <v>F</v>
      </c>
      <c r="AK39" s="108">
        <v>12</v>
      </c>
      <c r="AL39" s="101">
        <v>0</v>
      </c>
      <c r="AM39" s="101">
        <f t="shared" si="5"/>
        <v>12</v>
      </c>
      <c r="AN39" s="101">
        <v>0</v>
      </c>
      <c r="AO39" s="68">
        <f t="shared" si="40"/>
        <v>12</v>
      </c>
      <c r="AP39" s="234"/>
      <c r="AQ39" s="109" t="str">
        <f t="shared" si="23"/>
        <v>F</v>
      </c>
      <c r="AR39" s="68"/>
      <c r="AS39" s="101">
        <v>0</v>
      </c>
      <c r="AT39" s="101">
        <v>0</v>
      </c>
      <c r="AU39" s="68">
        <f t="shared" si="24"/>
        <v>0</v>
      </c>
      <c r="AV39" s="234"/>
      <c r="AW39" s="109" t="str">
        <f t="shared" si="6"/>
        <v>F</v>
      </c>
      <c r="AX39" s="108">
        <v>12</v>
      </c>
      <c r="AY39" s="101">
        <v>0</v>
      </c>
      <c r="AZ39" s="101">
        <f>AY39+AX39</f>
        <v>12</v>
      </c>
      <c r="BA39" s="101">
        <v>0</v>
      </c>
      <c r="BB39" s="68">
        <f t="shared" si="26"/>
        <v>12</v>
      </c>
      <c r="BC39" s="234"/>
      <c r="BD39" s="109" t="str">
        <f t="shared" si="27"/>
        <v>F</v>
      </c>
      <c r="BE39" s="108">
        <v>14</v>
      </c>
      <c r="BF39" s="101">
        <v>0</v>
      </c>
      <c r="BG39" s="101">
        <f t="shared" si="7"/>
        <v>14</v>
      </c>
      <c r="BH39" s="101">
        <v>0</v>
      </c>
      <c r="BI39" s="68">
        <f t="shared" si="42"/>
        <v>14</v>
      </c>
      <c r="BJ39" s="234"/>
      <c r="BK39" s="109" t="str">
        <f t="shared" si="28"/>
        <v>F</v>
      </c>
      <c r="BL39" s="108">
        <v>8</v>
      </c>
      <c r="BM39" s="101">
        <v>0</v>
      </c>
      <c r="BN39" s="101">
        <f t="shared" si="9"/>
        <v>8</v>
      </c>
      <c r="BO39" s="101">
        <v>0</v>
      </c>
      <c r="BP39" s="68">
        <f t="shared" si="41"/>
        <v>8</v>
      </c>
      <c r="BQ39" s="234"/>
      <c r="BR39" s="109" t="str">
        <f t="shared" si="30"/>
        <v>F</v>
      </c>
      <c r="BS39" s="108">
        <v>9</v>
      </c>
      <c r="BT39" s="101">
        <v>0</v>
      </c>
      <c r="BU39" s="101">
        <f t="shared" si="44"/>
        <v>9</v>
      </c>
      <c r="BV39" s="101">
        <v>0</v>
      </c>
      <c r="BW39" s="68">
        <f t="shared" si="31"/>
        <v>9</v>
      </c>
      <c r="BX39" s="234"/>
      <c r="BY39" s="109" t="str">
        <f t="shared" si="32"/>
        <v>F</v>
      </c>
      <c r="BZ39" s="108">
        <v>8</v>
      </c>
      <c r="CA39" s="101">
        <v>0</v>
      </c>
      <c r="CB39" s="101">
        <f t="shared" si="11"/>
        <v>8</v>
      </c>
      <c r="CC39" s="101">
        <v>0</v>
      </c>
      <c r="CD39" s="101">
        <v>23</v>
      </c>
      <c r="CE39" s="68">
        <f t="shared" si="33"/>
        <v>31</v>
      </c>
      <c r="CF39" s="234"/>
      <c r="CG39" s="109" t="str">
        <f t="shared" si="34"/>
        <v>0</v>
      </c>
      <c r="CH39" s="109" t="str">
        <f t="shared" si="35"/>
        <v>F</v>
      </c>
      <c r="CI39" s="68" t="str">
        <f t="shared" si="12"/>
        <v>F</v>
      </c>
      <c r="CJ39" s="110" t="str">
        <f t="shared" si="36"/>
        <v>F</v>
      </c>
      <c r="CK39" s="97" t="str">
        <f t="shared" si="37"/>
        <v>NEED TO PROGRESS</v>
      </c>
      <c r="CL39" s="97">
        <f t="shared" si="38"/>
        <v>144</v>
      </c>
      <c r="CM39" s="97"/>
      <c r="CN39" s="97"/>
      <c r="DT39" s="55">
        <v>85</v>
      </c>
    </row>
    <row r="40" spans="1:124" s="56" customFormat="1" ht="24.95" customHeight="1">
      <c r="A40" s="55">
        <v>33</v>
      </c>
      <c r="B40" s="47">
        <v>124</v>
      </c>
      <c r="C40" s="50" t="s">
        <v>233</v>
      </c>
      <c r="D40" s="50" t="s">
        <v>234</v>
      </c>
      <c r="E40" s="50" t="s">
        <v>235</v>
      </c>
      <c r="F40" s="51" t="s">
        <v>236</v>
      </c>
      <c r="G40" s="107">
        <v>14</v>
      </c>
      <c r="H40" s="101">
        <v>20</v>
      </c>
      <c r="I40" s="101">
        <f t="shared" si="13"/>
        <v>34</v>
      </c>
      <c r="J40" s="101">
        <v>13</v>
      </c>
      <c r="K40" s="101">
        <f t="shared" si="0"/>
        <v>47</v>
      </c>
      <c r="L40" s="108">
        <v>14</v>
      </c>
      <c r="M40" s="101">
        <v>32</v>
      </c>
      <c r="N40" s="101">
        <f t="shared" si="14"/>
        <v>46</v>
      </c>
      <c r="O40" s="101">
        <v>12</v>
      </c>
      <c r="P40" s="68">
        <f t="shared" si="15"/>
        <v>58</v>
      </c>
      <c r="Q40" s="68">
        <f t="shared" si="1"/>
        <v>105</v>
      </c>
      <c r="R40" s="234"/>
      <c r="S40" s="109">
        <f t="shared" si="16"/>
        <v>3</v>
      </c>
      <c r="T40" s="108">
        <v>20</v>
      </c>
      <c r="U40" s="101">
        <v>46</v>
      </c>
      <c r="V40" s="101">
        <f t="shared" si="2"/>
        <v>66</v>
      </c>
      <c r="W40" s="108">
        <v>13</v>
      </c>
      <c r="X40" s="101">
        <v>50</v>
      </c>
      <c r="Y40" s="68">
        <f t="shared" si="17"/>
        <v>63</v>
      </c>
      <c r="Z40" s="68">
        <f t="shared" si="3"/>
        <v>129</v>
      </c>
      <c r="AA40" s="68">
        <f t="shared" si="18"/>
        <v>129</v>
      </c>
      <c r="AB40" s="234"/>
      <c r="AC40" s="109">
        <f t="shared" si="19"/>
        <v>3.5</v>
      </c>
      <c r="AD40" s="108">
        <v>18</v>
      </c>
      <c r="AE40" s="101">
        <v>21</v>
      </c>
      <c r="AF40" s="101">
        <f t="shared" si="4"/>
        <v>39</v>
      </c>
      <c r="AG40" s="101">
        <v>17</v>
      </c>
      <c r="AH40" s="68">
        <f t="shared" si="20"/>
        <v>56</v>
      </c>
      <c r="AI40" s="234"/>
      <c r="AJ40" s="109">
        <f t="shared" si="39"/>
        <v>3</v>
      </c>
      <c r="AK40" s="108">
        <v>16</v>
      </c>
      <c r="AL40" s="101">
        <v>27</v>
      </c>
      <c r="AM40" s="101">
        <f t="shared" si="5"/>
        <v>43</v>
      </c>
      <c r="AN40" s="101">
        <v>18</v>
      </c>
      <c r="AO40" s="68">
        <f t="shared" si="40"/>
        <v>61</v>
      </c>
      <c r="AP40" s="234"/>
      <c r="AQ40" s="109">
        <f t="shared" si="23"/>
        <v>3.5</v>
      </c>
      <c r="AR40" s="68"/>
      <c r="AS40" s="101">
        <v>23</v>
      </c>
      <c r="AT40" s="101">
        <v>23</v>
      </c>
      <c r="AU40" s="68">
        <f t="shared" si="24"/>
        <v>46</v>
      </c>
      <c r="AV40" s="234"/>
      <c r="AW40" s="109">
        <f t="shared" si="6"/>
        <v>5</v>
      </c>
      <c r="AX40" s="108">
        <v>18</v>
      </c>
      <c r="AY40" s="101">
        <v>25</v>
      </c>
      <c r="AZ40" s="101">
        <f t="shared" ref="AZ40:AZ45" si="45">AY40+AX40</f>
        <v>43</v>
      </c>
      <c r="BA40" s="101">
        <v>18</v>
      </c>
      <c r="BB40" s="68">
        <f t="shared" si="26"/>
        <v>61</v>
      </c>
      <c r="BC40" s="234"/>
      <c r="BD40" s="109">
        <f t="shared" si="27"/>
        <v>3.5</v>
      </c>
      <c r="BE40" s="108">
        <v>13</v>
      </c>
      <c r="BF40" s="101">
        <v>30</v>
      </c>
      <c r="BG40" s="101">
        <f t="shared" si="7"/>
        <v>43</v>
      </c>
      <c r="BH40" s="101">
        <v>15</v>
      </c>
      <c r="BI40" s="68">
        <f t="shared" si="42"/>
        <v>58</v>
      </c>
      <c r="BJ40" s="234"/>
      <c r="BK40" s="109">
        <f t="shared" si="28"/>
        <v>3</v>
      </c>
      <c r="BL40" s="108">
        <v>14</v>
      </c>
      <c r="BM40" s="101">
        <v>36</v>
      </c>
      <c r="BN40" s="101">
        <f t="shared" si="9"/>
        <v>50</v>
      </c>
      <c r="BO40" s="101">
        <v>16</v>
      </c>
      <c r="BP40" s="68">
        <f t="shared" si="41"/>
        <v>66</v>
      </c>
      <c r="BQ40" s="234"/>
      <c r="BR40" s="109">
        <f t="shared" si="30"/>
        <v>3.5</v>
      </c>
      <c r="BS40" s="108">
        <v>18</v>
      </c>
      <c r="BT40" s="101">
        <v>21</v>
      </c>
      <c r="BU40" s="101">
        <f t="shared" si="44"/>
        <v>39</v>
      </c>
      <c r="BV40" s="101">
        <v>17</v>
      </c>
      <c r="BW40" s="68">
        <f t="shared" si="31"/>
        <v>56</v>
      </c>
      <c r="BX40" s="234"/>
      <c r="BY40" s="109">
        <f t="shared" si="32"/>
        <v>3</v>
      </c>
      <c r="BZ40" s="108">
        <v>8</v>
      </c>
      <c r="CA40" s="101">
        <v>22</v>
      </c>
      <c r="CB40" s="101">
        <f t="shared" si="11"/>
        <v>30</v>
      </c>
      <c r="CC40" s="101">
        <v>13</v>
      </c>
      <c r="CD40" s="101">
        <v>23</v>
      </c>
      <c r="CE40" s="68">
        <f t="shared" si="33"/>
        <v>66</v>
      </c>
      <c r="CF40" s="234"/>
      <c r="CG40" s="109">
        <f t="shared" si="34"/>
        <v>3.5</v>
      </c>
      <c r="CH40" s="109">
        <f t="shared" si="35"/>
        <v>3.5</v>
      </c>
      <c r="CI40" s="68">
        <f t="shared" si="12"/>
        <v>32.5</v>
      </c>
      <c r="CJ40" s="110">
        <f t="shared" si="36"/>
        <v>3.6111111111111112</v>
      </c>
      <c r="CK40" s="97" t="str">
        <f t="shared" si="37"/>
        <v>GOOD</v>
      </c>
      <c r="CL40" s="97">
        <f t="shared" si="38"/>
        <v>704</v>
      </c>
      <c r="CM40" s="97"/>
      <c r="CN40" s="97"/>
      <c r="DT40" s="55">
        <v>85</v>
      </c>
    </row>
    <row r="41" spans="1:124" s="56" customFormat="1" ht="24.95" customHeight="1">
      <c r="A41" s="55">
        <v>34</v>
      </c>
      <c r="B41" s="47">
        <v>126</v>
      </c>
      <c r="C41" s="50" t="s">
        <v>237</v>
      </c>
      <c r="D41" s="50" t="s">
        <v>238</v>
      </c>
      <c r="E41" s="50" t="s">
        <v>239</v>
      </c>
      <c r="F41" s="51" t="s">
        <v>240</v>
      </c>
      <c r="G41" s="107">
        <v>11</v>
      </c>
      <c r="H41" s="101">
        <v>19</v>
      </c>
      <c r="I41" s="101">
        <f t="shared" si="13"/>
        <v>30</v>
      </c>
      <c r="J41" s="101">
        <v>13</v>
      </c>
      <c r="K41" s="101">
        <f t="shared" si="0"/>
        <v>43</v>
      </c>
      <c r="L41" s="108">
        <v>14</v>
      </c>
      <c r="M41" s="101">
        <v>36</v>
      </c>
      <c r="N41" s="101">
        <f t="shared" si="14"/>
        <v>50</v>
      </c>
      <c r="O41" s="101">
        <v>18</v>
      </c>
      <c r="P41" s="68">
        <f t="shared" si="15"/>
        <v>68</v>
      </c>
      <c r="Q41" s="68">
        <f t="shared" si="1"/>
        <v>111</v>
      </c>
      <c r="R41" s="234"/>
      <c r="S41" s="109">
        <f t="shared" si="16"/>
        <v>3</v>
      </c>
      <c r="T41" s="108">
        <v>14</v>
      </c>
      <c r="U41" s="101">
        <v>48</v>
      </c>
      <c r="V41" s="101">
        <f t="shared" si="2"/>
        <v>62</v>
      </c>
      <c r="W41" s="108">
        <v>13</v>
      </c>
      <c r="X41" s="101">
        <v>23</v>
      </c>
      <c r="Y41" s="68">
        <f t="shared" si="17"/>
        <v>36</v>
      </c>
      <c r="Z41" s="68">
        <f t="shared" si="3"/>
        <v>98</v>
      </c>
      <c r="AA41" s="68">
        <f t="shared" si="18"/>
        <v>98</v>
      </c>
      <c r="AB41" s="234"/>
      <c r="AC41" s="109">
        <f t="shared" si="19"/>
        <v>2</v>
      </c>
      <c r="AD41" s="108">
        <v>10</v>
      </c>
      <c r="AE41" s="101">
        <v>29</v>
      </c>
      <c r="AF41" s="101">
        <f t="shared" si="4"/>
        <v>39</v>
      </c>
      <c r="AG41" s="101">
        <v>15</v>
      </c>
      <c r="AH41" s="68">
        <f t="shared" si="20"/>
        <v>54</v>
      </c>
      <c r="AI41" s="234"/>
      <c r="AJ41" s="109">
        <f t="shared" si="39"/>
        <v>3</v>
      </c>
      <c r="AK41" s="108">
        <v>12</v>
      </c>
      <c r="AL41" s="101">
        <v>21</v>
      </c>
      <c r="AM41" s="101">
        <f t="shared" si="5"/>
        <v>33</v>
      </c>
      <c r="AN41" s="101">
        <v>13</v>
      </c>
      <c r="AO41" s="68">
        <f t="shared" si="40"/>
        <v>46</v>
      </c>
      <c r="AP41" s="234"/>
      <c r="AQ41" s="109">
        <f t="shared" si="23"/>
        <v>2</v>
      </c>
      <c r="AR41" s="68"/>
      <c r="AS41" s="101">
        <v>22</v>
      </c>
      <c r="AT41" s="101">
        <v>23</v>
      </c>
      <c r="AU41" s="68">
        <f t="shared" si="24"/>
        <v>45</v>
      </c>
      <c r="AV41" s="234"/>
      <c r="AW41" s="109">
        <f t="shared" si="6"/>
        <v>5</v>
      </c>
      <c r="AX41" s="108">
        <v>15</v>
      </c>
      <c r="AY41" s="101">
        <v>22</v>
      </c>
      <c r="AZ41" s="101">
        <f t="shared" si="45"/>
        <v>37</v>
      </c>
      <c r="BA41" s="101">
        <v>17</v>
      </c>
      <c r="BB41" s="68">
        <f t="shared" si="26"/>
        <v>54</v>
      </c>
      <c r="BC41" s="234"/>
      <c r="BD41" s="109">
        <f t="shared" si="27"/>
        <v>3</v>
      </c>
      <c r="BE41" s="108">
        <v>13</v>
      </c>
      <c r="BF41" s="101">
        <v>27</v>
      </c>
      <c r="BG41" s="101">
        <f t="shared" si="7"/>
        <v>40</v>
      </c>
      <c r="BH41" s="101">
        <v>18</v>
      </c>
      <c r="BI41" s="68">
        <f t="shared" si="42"/>
        <v>58</v>
      </c>
      <c r="BJ41" s="234"/>
      <c r="BK41" s="109">
        <f t="shared" si="28"/>
        <v>3</v>
      </c>
      <c r="BL41" s="108">
        <v>13</v>
      </c>
      <c r="BM41" s="101">
        <v>16</v>
      </c>
      <c r="BN41" s="101">
        <f t="shared" si="9"/>
        <v>29</v>
      </c>
      <c r="BO41" s="101">
        <v>19</v>
      </c>
      <c r="BP41" s="68">
        <f t="shared" si="41"/>
        <v>48</v>
      </c>
      <c r="BQ41" s="234"/>
      <c r="BR41" s="109">
        <f t="shared" si="30"/>
        <v>2</v>
      </c>
      <c r="BS41" s="108">
        <v>10</v>
      </c>
      <c r="BT41" s="101">
        <v>29</v>
      </c>
      <c r="BU41" s="101">
        <f t="shared" si="44"/>
        <v>39</v>
      </c>
      <c r="BV41" s="101">
        <v>15</v>
      </c>
      <c r="BW41" s="68">
        <f t="shared" si="31"/>
        <v>54</v>
      </c>
      <c r="BX41" s="234"/>
      <c r="BY41" s="109">
        <f t="shared" si="32"/>
        <v>3</v>
      </c>
      <c r="BZ41" s="108">
        <v>7</v>
      </c>
      <c r="CA41" s="101">
        <v>16</v>
      </c>
      <c r="CB41" s="101">
        <f t="shared" si="11"/>
        <v>23</v>
      </c>
      <c r="CC41" s="101">
        <v>13</v>
      </c>
      <c r="CD41" s="101">
        <v>23</v>
      </c>
      <c r="CE41" s="68">
        <f t="shared" si="33"/>
        <v>59</v>
      </c>
      <c r="CF41" s="234"/>
      <c r="CG41" s="109">
        <f t="shared" si="34"/>
        <v>3</v>
      </c>
      <c r="CH41" s="109">
        <f t="shared" si="35"/>
        <v>3</v>
      </c>
      <c r="CI41" s="68">
        <f t="shared" si="12"/>
        <v>27</v>
      </c>
      <c r="CJ41" s="110">
        <f t="shared" si="36"/>
        <v>3</v>
      </c>
      <c r="CK41" s="97" t="str">
        <f t="shared" si="37"/>
        <v>GOOD</v>
      </c>
      <c r="CL41" s="97">
        <f t="shared" si="38"/>
        <v>627</v>
      </c>
      <c r="CM41" s="97"/>
      <c r="CN41" s="97"/>
      <c r="DT41" s="55">
        <v>85</v>
      </c>
    </row>
    <row r="42" spans="1:124" s="56" customFormat="1" ht="24.95" customHeight="1" thickBot="1">
      <c r="A42" s="55">
        <v>35</v>
      </c>
      <c r="B42" s="47">
        <v>127</v>
      </c>
      <c r="C42" s="50" t="s">
        <v>241</v>
      </c>
      <c r="D42" s="50" t="s">
        <v>242</v>
      </c>
      <c r="E42" s="50" t="s">
        <v>243</v>
      </c>
      <c r="F42" s="51" t="s">
        <v>244</v>
      </c>
      <c r="G42" s="107">
        <v>11</v>
      </c>
      <c r="H42" s="101">
        <v>19</v>
      </c>
      <c r="I42" s="101">
        <f t="shared" si="13"/>
        <v>30</v>
      </c>
      <c r="J42" s="101">
        <v>13</v>
      </c>
      <c r="K42" s="101">
        <f t="shared" si="0"/>
        <v>43</v>
      </c>
      <c r="L42" s="108">
        <v>14</v>
      </c>
      <c r="M42" s="101">
        <v>34</v>
      </c>
      <c r="N42" s="101">
        <f t="shared" si="14"/>
        <v>48</v>
      </c>
      <c r="O42" s="101">
        <v>17</v>
      </c>
      <c r="P42" s="68">
        <f t="shared" si="15"/>
        <v>65</v>
      </c>
      <c r="Q42" s="68">
        <f t="shared" si="1"/>
        <v>108</v>
      </c>
      <c r="R42" s="234"/>
      <c r="S42" s="109">
        <f t="shared" si="16"/>
        <v>3</v>
      </c>
      <c r="T42" s="108">
        <v>17</v>
      </c>
      <c r="U42" s="101">
        <v>43</v>
      </c>
      <c r="V42" s="101">
        <f t="shared" si="2"/>
        <v>60</v>
      </c>
      <c r="W42" s="108">
        <v>14</v>
      </c>
      <c r="X42" s="101">
        <v>26</v>
      </c>
      <c r="Y42" s="68">
        <f t="shared" si="17"/>
        <v>40</v>
      </c>
      <c r="Z42" s="68">
        <f t="shared" si="3"/>
        <v>100</v>
      </c>
      <c r="AA42" s="68">
        <f t="shared" si="18"/>
        <v>100</v>
      </c>
      <c r="AB42" s="234"/>
      <c r="AC42" s="109">
        <f t="shared" si="19"/>
        <v>3</v>
      </c>
      <c r="AD42" s="108">
        <v>11</v>
      </c>
      <c r="AE42" s="101">
        <v>29</v>
      </c>
      <c r="AF42" s="101">
        <f t="shared" si="4"/>
        <v>40</v>
      </c>
      <c r="AG42" s="101">
        <v>16</v>
      </c>
      <c r="AH42" s="68">
        <f t="shared" si="20"/>
        <v>56</v>
      </c>
      <c r="AI42" s="234"/>
      <c r="AJ42" s="109">
        <f t="shared" si="39"/>
        <v>3</v>
      </c>
      <c r="AK42" s="108">
        <v>12</v>
      </c>
      <c r="AL42" s="101">
        <v>21</v>
      </c>
      <c r="AM42" s="101">
        <f t="shared" si="5"/>
        <v>33</v>
      </c>
      <c r="AN42" s="101">
        <v>17</v>
      </c>
      <c r="AO42" s="68">
        <f t="shared" si="40"/>
        <v>50</v>
      </c>
      <c r="AP42" s="234"/>
      <c r="AQ42" s="109">
        <f t="shared" si="23"/>
        <v>3</v>
      </c>
      <c r="AR42" s="68"/>
      <c r="AS42" s="101">
        <v>22</v>
      </c>
      <c r="AT42" s="101">
        <v>23</v>
      </c>
      <c r="AU42" s="68">
        <f t="shared" si="24"/>
        <v>45</v>
      </c>
      <c r="AV42" s="234"/>
      <c r="AW42" s="109">
        <f t="shared" si="6"/>
        <v>5</v>
      </c>
      <c r="AX42" s="108">
        <v>13</v>
      </c>
      <c r="AY42" s="101">
        <v>20</v>
      </c>
      <c r="AZ42" s="101">
        <f t="shared" si="45"/>
        <v>33</v>
      </c>
      <c r="BA42" s="101">
        <v>20</v>
      </c>
      <c r="BB42" s="68">
        <f t="shared" si="26"/>
        <v>53</v>
      </c>
      <c r="BC42" s="234"/>
      <c r="BD42" s="109">
        <f t="shared" si="27"/>
        <v>3</v>
      </c>
      <c r="BE42" s="108">
        <v>13</v>
      </c>
      <c r="BF42" s="101">
        <v>34</v>
      </c>
      <c r="BG42" s="101">
        <f t="shared" si="7"/>
        <v>47</v>
      </c>
      <c r="BH42" s="101">
        <v>12</v>
      </c>
      <c r="BI42" s="68">
        <f t="shared" si="42"/>
        <v>59</v>
      </c>
      <c r="BJ42" s="234"/>
      <c r="BK42" s="109">
        <f t="shared" si="28"/>
        <v>3</v>
      </c>
      <c r="BL42" s="108">
        <v>10</v>
      </c>
      <c r="BM42" s="101">
        <v>16</v>
      </c>
      <c r="BN42" s="101">
        <f t="shared" si="9"/>
        <v>26</v>
      </c>
      <c r="BO42" s="101">
        <v>17</v>
      </c>
      <c r="BP42" s="68">
        <f t="shared" si="41"/>
        <v>43</v>
      </c>
      <c r="BQ42" s="234"/>
      <c r="BR42" s="109" t="str">
        <f t="shared" si="30"/>
        <v>F</v>
      </c>
      <c r="BS42" s="108">
        <v>11</v>
      </c>
      <c r="BT42" s="101">
        <v>29</v>
      </c>
      <c r="BU42" s="101">
        <f t="shared" si="44"/>
        <v>40</v>
      </c>
      <c r="BV42" s="101">
        <v>16</v>
      </c>
      <c r="BW42" s="68">
        <f t="shared" si="31"/>
        <v>56</v>
      </c>
      <c r="BX42" s="234"/>
      <c r="BY42" s="109">
        <f t="shared" si="32"/>
        <v>3</v>
      </c>
      <c r="BZ42" s="108">
        <v>7</v>
      </c>
      <c r="CA42" s="101">
        <v>16</v>
      </c>
      <c r="CB42" s="101">
        <f t="shared" si="11"/>
        <v>23</v>
      </c>
      <c r="CC42" s="101">
        <v>14</v>
      </c>
      <c r="CD42" s="101">
        <v>23</v>
      </c>
      <c r="CE42" s="68">
        <f t="shared" si="33"/>
        <v>60</v>
      </c>
      <c r="CF42" s="234"/>
      <c r="CG42" s="109">
        <f t="shared" si="34"/>
        <v>3.5</v>
      </c>
      <c r="CH42" s="109">
        <f t="shared" si="35"/>
        <v>3.5</v>
      </c>
      <c r="CI42" s="68" t="str">
        <f t="shared" si="12"/>
        <v>F</v>
      </c>
      <c r="CJ42" s="110" t="str">
        <f t="shared" si="36"/>
        <v>F</v>
      </c>
      <c r="CK42" s="97" t="str">
        <f t="shared" si="37"/>
        <v>NEED TO PROGRESS</v>
      </c>
      <c r="CL42" s="97">
        <f t="shared" si="38"/>
        <v>630</v>
      </c>
      <c r="CM42" s="97"/>
      <c r="CN42" s="97"/>
      <c r="DT42" s="111">
        <v>85</v>
      </c>
    </row>
    <row r="43" spans="1:124" s="56" customFormat="1" ht="24.95" customHeight="1">
      <c r="A43" s="55">
        <v>36</v>
      </c>
      <c r="B43" s="47">
        <v>128</v>
      </c>
      <c r="C43" s="50" t="s">
        <v>245</v>
      </c>
      <c r="D43" s="50" t="s">
        <v>246</v>
      </c>
      <c r="E43" s="50" t="s">
        <v>247</v>
      </c>
      <c r="F43" s="51" t="s">
        <v>248</v>
      </c>
      <c r="G43" s="107">
        <v>20</v>
      </c>
      <c r="H43" s="101">
        <v>33</v>
      </c>
      <c r="I43" s="101">
        <f t="shared" si="13"/>
        <v>53</v>
      </c>
      <c r="J43" s="101">
        <v>14</v>
      </c>
      <c r="K43" s="101">
        <f t="shared" si="0"/>
        <v>67</v>
      </c>
      <c r="L43" s="108">
        <v>15</v>
      </c>
      <c r="M43" s="101">
        <v>43</v>
      </c>
      <c r="N43" s="101">
        <f t="shared" si="14"/>
        <v>58</v>
      </c>
      <c r="O43" s="101">
        <v>18</v>
      </c>
      <c r="P43" s="68">
        <f t="shared" si="15"/>
        <v>76</v>
      </c>
      <c r="Q43" s="68">
        <f t="shared" si="1"/>
        <v>143</v>
      </c>
      <c r="R43" s="234"/>
      <c r="S43" s="109">
        <f t="shared" si="16"/>
        <v>4</v>
      </c>
      <c r="T43" s="108">
        <v>20</v>
      </c>
      <c r="U43" s="101">
        <v>44</v>
      </c>
      <c r="V43" s="101">
        <f t="shared" si="2"/>
        <v>64</v>
      </c>
      <c r="W43" s="108">
        <v>16</v>
      </c>
      <c r="X43" s="101">
        <v>42</v>
      </c>
      <c r="Y43" s="68">
        <f t="shared" si="17"/>
        <v>58</v>
      </c>
      <c r="Z43" s="68">
        <f t="shared" si="3"/>
        <v>122</v>
      </c>
      <c r="AA43" s="68">
        <f t="shared" si="18"/>
        <v>122</v>
      </c>
      <c r="AB43" s="234"/>
      <c r="AC43" s="109">
        <f t="shared" si="19"/>
        <v>3.5</v>
      </c>
      <c r="AD43" s="108">
        <v>18</v>
      </c>
      <c r="AE43" s="101">
        <v>31</v>
      </c>
      <c r="AF43" s="101">
        <f t="shared" si="4"/>
        <v>49</v>
      </c>
      <c r="AG43" s="101">
        <v>14</v>
      </c>
      <c r="AH43" s="68">
        <f t="shared" si="20"/>
        <v>63</v>
      </c>
      <c r="AI43" s="234"/>
      <c r="AJ43" s="109">
        <f>IF(AF43&lt;28,"F",IF(AG43&lt;12,"F",IF(AH43&lt;40,"F",IF(AH43&lt;50,2,IF(AH43&lt;60,3,IF(AH43&lt;70,3.5,IF(AH43&lt;80,4,5)))))))</f>
        <v>3.5</v>
      </c>
      <c r="AK43" s="108">
        <v>17</v>
      </c>
      <c r="AL43" s="101">
        <v>31</v>
      </c>
      <c r="AM43" s="101">
        <f t="shared" si="5"/>
        <v>48</v>
      </c>
      <c r="AN43" s="101">
        <v>18</v>
      </c>
      <c r="AO43" s="68">
        <f>AM43+AN43</f>
        <v>66</v>
      </c>
      <c r="AP43" s="234"/>
      <c r="AQ43" s="109">
        <f t="shared" si="23"/>
        <v>3.5</v>
      </c>
      <c r="AR43" s="68"/>
      <c r="AS43" s="101">
        <v>22</v>
      </c>
      <c r="AT43" s="101">
        <v>23</v>
      </c>
      <c r="AU43" s="68">
        <f t="shared" si="24"/>
        <v>45</v>
      </c>
      <c r="AV43" s="234"/>
      <c r="AW43" s="109">
        <f t="shared" si="6"/>
        <v>5</v>
      </c>
      <c r="AX43" s="108">
        <v>19</v>
      </c>
      <c r="AY43" s="101">
        <v>39</v>
      </c>
      <c r="AZ43" s="101">
        <f t="shared" si="45"/>
        <v>58</v>
      </c>
      <c r="BA43" s="101">
        <v>20</v>
      </c>
      <c r="BB43" s="68">
        <f t="shared" si="26"/>
        <v>78</v>
      </c>
      <c r="BC43" s="234"/>
      <c r="BD43" s="109">
        <f t="shared" si="27"/>
        <v>4</v>
      </c>
      <c r="BE43" s="108">
        <v>16</v>
      </c>
      <c r="BF43" s="101">
        <v>38</v>
      </c>
      <c r="BG43" s="101">
        <f t="shared" si="7"/>
        <v>54</v>
      </c>
      <c r="BH43" s="101">
        <v>20</v>
      </c>
      <c r="BI43" s="68">
        <f t="shared" si="42"/>
        <v>74</v>
      </c>
      <c r="BJ43" s="234"/>
      <c r="BK43" s="109">
        <f t="shared" si="28"/>
        <v>4</v>
      </c>
      <c r="BL43" s="108">
        <v>20</v>
      </c>
      <c r="BM43" s="101">
        <v>40</v>
      </c>
      <c r="BN43" s="101">
        <f t="shared" si="9"/>
        <v>60</v>
      </c>
      <c r="BO43" s="101">
        <v>22</v>
      </c>
      <c r="BP43" s="68">
        <f t="shared" si="41"/>
        <v>82</v>
      </c>
      <c r="BQ43" s="234"/>
      <c r="BR43" s="109">
        <f t="shared" si="30"/>
        <v>5</v>
      </c>
      <c r="BS43" s="108">
        <v>18</v>
      </c>
      <c r="BT43" s="101">
        <v>31</v>
      </c>
      <c r="BU43" s="101">
        <f t="shared" si="44"/>
        <v>49</v>
      </c>
      <c r="BV43" s="101">
        <v>14</v>
      </c>
      <c r="BW43" s="68">
        <f t="shared" si="31"/>
        <v>63</v>
      </c>
      <c r="BX43" s="234"/>
      <c r="BY43" s="109">
        <f t="shared" si="32"/>
        <v>3.5</v>
      </c>
      <c r="BZ43" s="108">
        <v>9</v>
      </c>
      <c r="CA43" s="101">
        <v>18</v>
      </c>
      <c r="CB43" s="101">
        <f t="shared" si="11"/>
        <v>27</v>
      </c>
      <c r="CC43" s="101">
        <v>15</v>
      </c>
      <c r="CD43" s="101">
        <v>23</v>
      </c>
      <c r="CE43" s="68">
        <f t="shared" si="33"/>
        <v>65</v>
      </c>
      <c r="CF43" s="234"/>
      <c r="CG43" s="109">
        <f t="shared" si="34"/>
        <v>3.5</v>
      </c>
      <c r="CH43" s="109">
        <f t="shared" si="35"/>
        <v>3.5</v>
      </c>
      <c r="CI43" s="68">
        <f t="shared" si="12"/>
        <v>37.5</v>
      </c>
      <c r="CJ43" s="110">
        <f t="shared" si="36"/>
        <v>4.166666666666667</v>
      </c>
      <c r="CK43" s="97" t="str">
        <f t="shared" si="37"/>
        <v>BETTER</v>
      </c>
      <c r="CL43" s="97">
        <f t="shared" si="38"/>
        <v>801</v>
      </c>
      <c r="CM43" s="97"/>
      <c r="CN43" s="97"/>
      <c r="DT43" s="113">
        <v>85</v>
      </c>
    </row>
    <row r="44" spans="1:124" s="56" customFormat="1" ht="24.95" customHeight="1" thickBot="1">
      <c r="A44" s="111">
        <v>37</v>
      </c>
      <c r="B44" s="59">
        <v>130</v>
      </c>
      <c r="C44" s="60" t="s">
        <v>249</v>
      </c>
      <c r="D44" s="60" t="s">
        <v>250</v>
      </c>
      <c r="E44" s="60" t="s">
        <v>251</v>
      </c>
      <c r="F44" s="61" t="s">
        <v>252</v>
      </c>
      <c r="G44" s="107">
        <v>16</v>
      </c>
      <c r="H44" s="101">
        <v>29</v>
      </c>
      <c r="I44" s="101">
        <f t="shared" si="13"/>
        <v>45</v>
      </c>
      <c r="J44" s="101">
        <v>12</v>
      </c>
      <c r="K44" s="101">
        <f t="shared" si="0"/>
        <v>57</v>
      </c>
      <c r="L44" s="108">
        <v>14</v>
      </c>
      <c r="M44" s="101">
        <v>31</v>
      </c>
      <c r="N44" s="101">
        <f t="shared" si="14"/>
        <v>45</v>
      </c>
      <c r="O44" s="101">
        <v>14</v>
      </c>
      <c r="P44" s="68">
        <f t="shared" si="15"/>
        <v>59</v>
      </c>
      <c r="Q44" s="68">
        <f t="shared" si="1"/>
        <v>116</v>
      </c>
      <c r="R44" s="234"/>
      <c r="S44" s="109">
        <f t="shared" si="16"/>
        <v>3</v>
      </c>
      <c r="T44" s="108">
        <v>18</v>
      </c>
      <c r="U44" s="101">
        <v>42</v>
      </c>
      <c r="V44" s="101">
        <f t="shared" si="2"/>
        <v>60</v>
      </c>
      <c r="W44" s="108">
        <v>15</v>
      </c>
      <c r="X44" s="101">
        <v>42</v>
      </c>
      <c r="Y44" s="68">
        <f t="shared" si="17"/>
        <v>57</v>
      </c>
      <c r="Z44" s="68">
        <f t="shared" si="3"/>
        <v>117</v>
      </c>
      <c r="AA44" s="68">
        <f t="shared" si="18"/>
        <v>117</v>
      </c>
      <c r="AB44" s="234"/>
      <c r="AC44" s="109">
        <f t="shared" si="19"/>
        <v>3</v>
      </c>
      <c r="AD44" s="108">
        <v>17</v>
      </c>
      <c r="AE44" s="101">
        <v>23</v>
      </c>
      <c r="AF44" s="101">
        <f t="shared" si="4"/>
        <v>40</v>
      </c>
      <c r="AG44" s="101">
        <v>15</v>
      </c>
      <c r="AH44" s="68">
        <f t="shared" si="20"/>
        <v>55</v>
      </c>
      <c r="AI44" s="234"/>
      <c r="AJ44" s="109">
        <f t="shared" ref="AJ44:AJ49" si="46">IF(AF44&lt;28,"F",IF(AG44&lt;12,"F",IF(AH44&lt;40,"F",IF(AH44&lt;50,2,IF(AH44&lt;60,3,IF(AH44&lt;70,3.5,IF(AH44&lt;80,4,5)))))))</f>
        <v>3</v>
      </c>
      <c r="AK44" s="108">
        <v>17</v>
      </c>
      <c r="AL44" s="101">
        <v>29</v>
      </c>
      <c r="AM44" s="101">
        <f t="shared" si="5"/>
        <v>46</v>
      </c>
      <c r="AN44" s="101">
        <v>17</v>
      </c>
      <c r="AO44" s="68">
        <f t="shared" ref="AO44:AO49" si="47">AM44+AN44</f>
        <v>63</v>
      </c>
      <c r="AP44" s="234"/>
      <c r="AQ44" s="109">
        <f t="shared" si="23"/>
        <v>3.5</v>
      </c>
      <c r="AR44" s="68"/>
      <c r="AS44" s="101">
        <v>21</v>
      </c>
      <c r="AT44" s="101">
        <v>23</v>
      </c>
      <c r="AU44" s="68">
        <f t="shared" si="24"/>
        <v>44</v>
      </c>
      <c r="AV44" s="234"/>
      <c r="AW44" s="109">
        <f t="shared" si="6"/>
        <v>5</v>
      </c>
      <c r="AX44" s="108">
        <v>19</v>
      </c>
      <c r="AY44" s="101">
        <v>29</v>
      </c>
      <c r="AZ44" s="101">
        <f t="shared" si="45"/>
        <v>48</v>
      </c>
      <c r="BA44" s="101">
        <v>20</v>
      </c>
      <c r="BB44" s="68">
        <f t="shared" si="26"/>
        <v>68</v>
      </c>
      <c r="BC44" s="234"/>
      <c r="BD44" s="109">
        <f t="shared" si="27"/>
        <v>3.5</v>
      </c>
      <c r="BE44" s="108">
        <v>14</v>
      </c>
      <c r="BF44" s="101">
        <v>24</v>
      </c>
      <c r="BG44" s="101">
        <f t="shared" si="7"/>
        <v>38</v>
      </c>
      <c r="BH44" s="101">
        <v>21</v>
      </c>
      <c r="BI44" s="68">
        <f t="shared" si="42"/>
        <v>59</v>
      </c>
      <c r="BJ44" s="234"/>
      <c r="BK44" s="109">
        <f t="shared" si="28"/>
        <v>3</v>
      </c>
      <c r="BL44" s="108">
        <v>14</v>
      </c>
      <c r="BM44" s="101">
        <v>21</v>
      </c>
      <c r="BN44" s="101">
        <f t="shared" si="9"/>
        <v>35</v>
      </c>
      <c r="BO44" s="101">
        <v>15</v>
      </c>
      <c r="BP44" s="68">
        <f t="shared" si="41"/>
        <v>50</v>
      </c>
      <c r="BQ44" s="234"/>
      <c r="BR44" s="109">
        <f t="shared" si="30"/>
        <v>3</v>
      </c>
      <c r="BS44" s="108">
        <v>17</v>
      </c>
      <c r="BT44" s="101">
        <v>23</v>
      </c>
      <c r="BU44" s="101">
        <f t="shared" si="44"/>
        <v>40</v>
      </c>
      <c r="BV44" s="101">
        <v>15</v>
      </c>
      <c r="BW44" s="68">
        <f t="shared" si="31"/>
        <v>55</v>
      </c>
      <c r="BX44" s="234"/>
      <c r="BY44" s="109">
        <f t="shared" si="32"/>
        <v>3</v>
      </c>
      <c r="BZ44" s="108">
        <v>9</v>
      </c>
      <c r="CA44" s="101">
        <v>27</v>
      </c>
      <c r="CB44" s="101">
        <f t="shared" si="11"/>
        <v>36</v>
      </c>
      <c r="CC44" s="101">
        <v>17</v>
      </c>
      <c r="CD44" s="101">
        <v>23</v>
      </c>
      <c r="CE44" s="68">
        <f t="shared" si="33"/>
        <v>76</v>
      </c>
      <c r="CF44" s="234"/>
      <c r="CG44" s="109">
        <f t="shared" si="34"/>
        <v>4</v>
      </c>
      <c r="CH44" s="109">
        <f t="shared" si="35"/>
        <v>4</v>
      </c>
      <c r="CI44" s="68">
        <f t="shared" si="12"/>
        <v>32</v>
      </c>
      <c r="CJ44" s="110">
        <f t="shared" si="36"/>
        <v>3.5555555555555554</v>
      </c>
      <c r="CK44" s="97" t="str">
        <f t="shared" si="37"/>
        <v>GOOD</v>
      </c>
      <c r="CL44" s="97">
        <f t="shared" si="38"/>
        <v>703</v>
      </c>
      <c r="CM44" s="97"/>
      <c r="CN44" s="97"/>
      <c r="DT44" s="55">
        <v>85</v>
      </c>
    </row>
    <row r="45" spans="1:124" s="95" customFormat="1" ht="24.95" customHeight="1" thickBot="1">
      <c r="A45" s="90">
        <v>38</v>
      </c>
      <c r="B45" s="91">
        <v>138</v>
      </c>
      <c r="C45" s="92" t="s">
        <v>253</v>
      </c>
      <c r="D45" s="92" t="s">
        <v>254</v>
      </c>
      <c r="E45" s="92" t="s">
        <v>255</v>
      </c>
      <c r="F45" s="94" t="s">
        <v>256</v>
      </c>
      <c r="G45" s="100">
        <v>8</v>
      </c>
      <c r="H45" s="101">
        <v>23</v>
      </c>
      <c r="I45" s="101">
        <f t="shared" si="13"/>
        <v>31</v>
      </c>
      <c r="J45" s="101">
        <v>16</v>
      </c>
      <c r="K45" s="101">
        <f t="shared" si="0"/>
        <v>47</v>
      </c>
      <c r="L45" s="102">
        <v>15</v>
      </c>
      <c r="M45" s="101">
        <v>29</v>
      </c>
      <c r="N45" s="101">
        <f t="shared" si="14"/>
        <v>44</v>
      </c>
      <c r="O45" s="101">
        <v>17</v>
      </c>
      <c r="P45" s="83">
        <f t="shared" si="15"/>
        <v>61</v>
      </c>
      <c r="Q45" s="83">
        <f t="shared" si="1"/>
        <v>108</v>
      </c>
      <c r="R45" s="234"/>
      <c r="S45" s="71">
        <f t="shared" si="16"/>
        <v>3</v>
      </c>
      <c r="T45" s="102">
        <v>20</v>
      </c>
      <c r="U45" s="101">
        <v>54</v>
      </c>
      <c r="V45" s="101">
        <f t="shared" si="2"/>
        <v>74</v>
      </c>
      <c r="W45" s="102">
        <v>13</v>
      </c>
      <c r="X45" s="101">
        <v>22</v>
      </c>
      <c r="Y45" s="83">
        <f t="shared" si="17"/>
        <v>35</v>
      </c>
      <c r="Z45" s="83">
        <f t="shared" si="3"/>
        <v>109</v>
      </c>
      <c r="AA45" s="83">
        <f t="shared" si="18"/>
        <v>109</v>
      </c>
      <c r="AB45" s="234"/>
      <c r="AC45" s="73">
        <f t="shared" si="19"/>
        <v>3</v>
      </c>
      <c r="AD45" s="104">
        <v>9</v>
      </c>
      <c r="AE45" s="105">
        <v>14</v>
      </c>
      <c r="AF45" s="105">
        <f t="shared" si="4"/>
        <v>23</v>
      </c>
      <c r="AG45" s="105">
        <v>21</v>
      </c>
      <c r="AH45" s="83">
        <f t="shared" si="20"/>
        <v>44</v>
      </c>
      <c r="AI45" s="234"/>
      <c r="AJ45" s="73" t="str">
        <f t="shared" si="46"/>
        <v>F</v>
      </c>
      <c r="AK45" s="102">
        <v>10</v>
      </c>
      <c r="AL45" s="101">
        <v>27</v>
      </c>
      <c r="AM45" s="101">
        <f t="shared" si="5"/>
        <v>37</v>
      </c>
      <c r="AN45" s="101">
        <v>19</v>
      </c>
      <c r="AO45" s="83">
        <f t="shared" si="47"/>
        <v>56</v>
      </c>
      <c r="AP45" s="234"/>
      <c r="AQ45" s="71">
        <f t="shared" si="23"/>
        <v>3</v>
      </c>
      <c r="AR45" s="83"/>
      <c r="AS45" s="101">
        <v>23</v>
      </c>
      <c r="AT45" s="101">
        <v>23</v>
      </c>
      <c r="AU45" s="83">
        <f t="shared" si="24"/>
        <v>46</v>
      </c>
      <c r="AV45" s="234"/>
      <c r="AW45" s="73">
        <f t="shared" si="6"/>
        <v>5</v>
      </c>
      <c r="AX45" s="102">
        <v>13</v>
      </c>
      <c r="AY45" s="101">
        <v>21</v>
      </c>
      <c r="AZ45" s="101">
        <f t="shared" si="45"/>
        <v>34</v>
      </c>
      <c r="BA45" s="101">
        <v>18</v>
      </c>
      <c r="BB45" s="70">
        <f t="shared" si="26"/>
        <v>52</v>
      </c>
      <c r="BC45" s="234"/>
      <c r="BD45" s="73">
        <f t="shared" si="27"/>
        <v>3</v>
      </c>
      <c r="BE45" s="102">
        <v>13</v>
      </c>
      <c r="BF45" s="101">
        <v>13</v>
      </c>
      <c r="BG45" s="101">
        <f t="shared" si="7"/>
        <v>26</v>
      </c>
      <c r="BH45" s="101">
        <v>15</v>
      </c>
      <c r="BI45" s="83">
        <f t="shared" si="42"/>
        <v>41</v>
      </c>
      <c r="BJ45" s="234"/>
      <c r="BK45" s="73" t="str">
        <f t="shared" si="28"/>
        <v>F</v>
      </c>
      <c r="BL45" s="102">
        <v>12</v>
      </c>
      <c r="BM45" s="101">
        <v>20</v>
      </c>
      <c r="BN45" s="101">
        <f t="shared" si="9"/>
        <v>32</v>
      </c>
      <c r="BO45" s="101">
        <v>7</v>
      </c>
      <c r="BP45" s="83">
        <f t="shared" si="41"/>
        <v>39</v>
      </c>
      <c r="BQ45" s="234"/>
      <c r="BR45" s="73" t="str">
        <f t="shared" si="30"/>
        <v>F</v>
      </c>
      <c r="BS45" s="104">
        <v>9</v>
      </c>
      <c r="BT45" s="105">
        <v>19</v>
      </c>
      <c r="BU45" s="105">
        <f t="shared" si="44"/>
        <v>28</v>
      </c>
      <c r="BV45" s="105">
        <v>21</v>
      </c>
      <c r="BW45" s="83">
        <f t="shared" si="31"/>
        <v>49</v>
      </c>
      <c r="BX45" s="234"/>
      <c r="BY45" s="73">
        <f t="shared" si="32"/>
        <v>2</v>
      </c>
      <c r="BZ45" s="102">
        <v>3</v>
      </c>
      <c r="CA45" s="101">
        <v>14</v>
      </c>
      <c r="CB45" s="101">
        <f t="shared" si="11"/>
        <v>17</v>
      </c>
      <c r="CC45" s="101">
        <v>19</v>
      </c>
      <c r="CD45" s="101">
        <v>23</v>
      </c>
      <c r="CE45" s="83">
        <f t="shared" si="33"/>
        <v>59</v>
      </c>
      <c r="CF45" s="234"/>
      <c r="CG45" s="73" t="str">
        <f t="shared" si="34"/>
        <v>0</v>
      </c>
      <c r="CH45" s="73" t="str">
        <f t="shared" si="35"/>
        <v>F</v>
      </c>
      <c r="CI45" s="83" t="str">
        <f t="shared" si="12"/>
        <v>F</v>
      </c>
      <c r="CJ45" s="74" t="str">
        <f t="shared" si="36"/>
        <v>F</v>
      </c>
      <c r="CK45" s="80" t="str">
        <f t="shared" si="37"/>
        <v>NEED TO PROGRESS</v>
      </c>
      <c r="CL45" s="79">
        <f t="shared" si="38"/>
        <v>603</v>
      </c>
      <c r="CM45" s="80"/>
      <c r="CN45" s="80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 s="19">
        <v>85</v>
      </c>
    </row>
    <row r="46" spans="1:124" ht="24.95" customHeight="1" thickTop="1">
      <c r="A46" s="78">
        <v>39</v>
      </c>
      <c r="B46" s="47">
        <v>146</v>
      </c>
      <c r="C46" s="50" t="s">
        <v>257</v>
      </c>
      <c r="D46" s="50" t="s">
        <v>258</v>
      </c>
      <c r="E46" s="50" t="s">
        <v>259</v>
      </c>
      <c r="F46" s="53" t="s">
        <v>260</v>
      </c>
      <c r="G46" s="100">
        <v>11</v>
      </c>
      <c r="H46" s="101">
        <v>29</v>
      </c>
      <c r="I46" s="101">
        <f t="shared" si="13"/>
        <v>40</v>
      </c>
      <c r="J46" s="101">
        <v>17</v>
      </c>
      <c r="K46" s="101">
        <f t="shared" si="0"/>
        <v>57</v>
      </c>
      <c r="L46" s="102">
        <v>15</v>
      </c>
      <c r="M46" s="101">
        <v>31</v>
      </c>
      <c r="N46" s="101">
        <f t="shared" si="14"/>
        <v>46</v>
      </c>
      <c r="O46" s="101">
        <v>18</v>
      </c>
      <c r="P46" s="75">
        <f t="shared" si="15"/>
        <v>64</v>
      </c>
      <c r="Q46" s="75">
        <f t="shared" si="1"/>
        <v>121</v>
      </c>
      <c r="R46" s="234"/>
      <c r="S46" s="76">
        <f t="shared" si="16"/>
        <v>3.5</v>
      </c>
      <c r="T46" s="102">
        <v>20</v>
      </c>
      <c r="U46" s="101">
        <v>43</v>
      </c>
      <c r="V46" s="101">
        <f t="shared" si="2"/>
        <v>63</v>
      </c>
      <c r="W46" s="102">
        <v>13</v>
      </c>
      <c r="X46" s="101">
        <v>27</v>
      </c>
      <c r="Y46" s="75">
        <f t="shared" si="17"/>
        <v>40</v>
      </c>
      <c r="Z46" s="75">
        <f t="shared" si="3"/>
        <v>103</v>
      </c>
      <c r="AA46" s="75">
        <f t="shared" si="18"/>
        <v>103</v>
      </c>
      <c r="AB46" s="234"/>
      <c r="AC46" s="76">
        <f t="shared" si="19"/>
        <v>3</v>
      </c>
      <c r="AD46" s="104">
        <v>9</v>
      </c>
      <c r="AE46" s="105">
        <v>19</v>
      </c>
      <c r="AF46" s="105">
        <f t="shared" si="4"/>
        <v>28</v>
      </c>
      <c r="AG46" s="105">
        <v>17</v>
      </c>
      <c r="AH46" s="75">
        <f t="shared" si="20"/>
        <v>45</v>
      </c>
      <c r="AI46" s="234"/>
      <c r="AJ46" s="76">
        <f t="shared" si="46"/>
        <v>2</v>
      </c>
      <c r="AK46" s="102">
        <v>10</v>
      </c>
      <c r="AL46" s="101">
        <v>27</v>
      </c>
      <c r="AM46" s="101">
        <f t="shared" si="5"/>
        <v>37</v>
      </c>
      <c r="AN46" s="101">
        <v>19</v>
      </c>
      <c r="AO46" s="75">
        <f t="shared" si="47"/>
        <v>56</v>
      </c>
      <c r="AP46" s="234"/>
      <c r="AQ46" s="71">
        <f t="shared" si="23"/>
        <v>3</v>
      </c>
      <c r="AR46" s="75"/>
      <c r="AS46" s="101">
        <v>21</v>
      </c>
      <c r="AT46" s="101">
        <v>23</v>
      </c>
      <c r="AU46" s="75">
        <f t="shared" si="24"/>
        <v>44</v>
      </c>
      <c r="AV46" s="234"/>
      <c r="AW46" s="76">
        <f t="shared" si="6"/>
        <v>5</v>
      </c>
      <c r="AX46" s="102">
        <v>15</v>
      </c>
      <c r="AY46" s="101">
        <v>24</v>
      </c>
      <c r="AZ46" s="101">
        <f>AY46+AX46</f>
        <v>39</v>
      </c>
      <c r="BA46" s="101">
        <v>18</v>
      </c>
      <c r="BB46" s="70">
        <f t="shared" si="26"/>
        <v>57</v>
      </c>
      <c r="BC46" s="234"/>
      <c r="BD46" s="76">
        <f t="shared" si="27"/>
        <v>3</v>
      </c>
      <c r="BE46" s="102">
        <v>16</v>
      </c>
      <c r="BF46" s="101">
        <v>32</v>
      </c>
      <c r="BG46" s="101">
        <f t="shared" si="7"/>
        <v>48</v>
      </c>
      <c r="BH46" s="101">
        <v>20</v>
      </c>
      <c r="BI46" s="75">
        <f t="shared" si="42"/>
        <v>68</v>
      </c>
      <c r="BJ46" s="234"/>
      <c r="BK46" s="76">
        <f t="shared" si="28"/>
        <v>3.5</v>
      </c>
      <c r="BL46" s="102">
        <v>16</v>
      </c>
      <c r="BM46" s="101">
        <v>34</v>
      </c>
      <c r="BN46" s="101">
        <f t="shared" si="9"/>
        <v>50</v>
      </c>
      <c r="BO46" s="101">
        <v>18</v>
      </c>
      <c r="BP46" s="75">
        <f t="shared" si="41"/>
        <v>68</v>
      </c>
      <c r="BQ46" s="234"/>
      <c r="BR46" s="76">
        <f t="shared" si="30"/>
        <v>3.5</v>
      </c>
      <c r="BS46" s="104">
        <v>9</v>
      </c>
      <c r="BT46" s="105">
        <v>26</v>
      </c>
      <c r="BU46" s="105">
        <f t="shared" si="44"/>
        <v>35</v>
      </c>
      <c r="BV46" s="105">
        <v>17</v>
      </c>
      <c r="BW46" s="75">
        <f t="shared" si="31"/>
        <v>52</v>
      </c>
      <c r="BX46" s="234"/>
      <c r="BY46" s="76">
        <f t="shared" si="32"/>
        <v>3</v>
      </c>
      <c r="BZ46" s="102">
        <v>6</v>
      </c>
      <c r="CA46" s="101">
        <v>16</v>
      </c>
      <c r="CB46" s="101">
        <f t="shared" si="11"/>
        <v>22</v>
      </c>
      <c r="CC46" s="101">
        <v>19</v>
      </c>
      <c r="CD46" s="101">
        <v>23</v>
      </c>
      <c r="CE46" s="75">
        <f t="shared" si="33"/>
        <v>64</v>
      </c>
      <c r="CF46" s="234"/>
      <c r="CG46" s="76">
        <f t="shared" si="34"/>
        <v>3.5</v>
      </c>
      <c r="CH46" s="76">
        <f t="shared" si="35"/>
        <v>3.5</v>
      </c>
      <c r="CI46" s="75">
        <f t="shared" si="12"/>
        <v>31</v>
      </c>
      <c r="CJ46" s="77">
        <f t="shared" si="36"/>
        <v>3.4444444444444446</v>
      </c>
      <c r="CK46" s="81" t="str">
        <f t="shared" si="37"/>
        <v>GOOD</v>
      </c>
      <c r="CL46" s="79">
        <f t="shared" si="38"/>
        <v>678</v>
      </c>
      <c r="CM46" s="81"/>
      <c r="CN46" s="81"/>
      <c r="DS46"/>
      <c r="DT46" s="19">
        <v>85</v>
      </c>
    </row>
    <row r="47" spans="1:124" ht="24.95" customHeight="1">
      <c r="A47" s="78">
        <v>40</v>
      </c>
      <c r="B47" s="199">
        <v>159</v>
      </c>
      <c r="C47" s="24" t="s">
        <v>266</v>
      </c>
      <c r="D47" s="22"/>
      <c r="E47" s="22"/>
      <c r="F47" s="23"/>
      <c r="G47" s="70"/>
      <c r="H47" s="70"/>
      <c r="I47" s="70">
        <f t="shared" ref="I47:I49" si="48">H47+G47</f>
        <v>0</v>
      </c>
      <c r="J47" s="70"/>
      <c r="K47" s="70">
        <f t="shared" ref="K47:K49" si="49">I47+J47</f>
        <v>0</v>
      </c>
      <c r="L47" s="70"/>
      <c r="M47" s="70"/>
      <c r="N47" s="70">
        <f t="shared" ref="N47:N49" si="50">M47+L47</f>
        <v>0</v>
      </c>
      <c r="O47" s="70"/>
      <c r="P47" s="70">
        <f t="shared" si="15"/>
        <v>0</v>
      </c>
      <c r="Q47" s="70">
        <f t="shared" si="1"/>
        <v>0</v>
      </c>
      <c r="R47" s="234"/>
      <c r="S47" s="71" t="str">
        <f t="shared" si="16"/>
        <v>F</v>
      </c>
      <c r="T47" s="70"/>
      <c r="U47" s="70"/>
      <c r="V47" s="70">
        <f t="shared" si="2"/>
        <v>0</v>
      </c>
      <c r="W47" s="70"/>
      <c r="X47" s="70"/>
      <c r="Y47" s="70">
        <f t="shared" si="17"/>
        <v>0</v>
      </c>
      <c r="Z47" s="70">
        <f t="shared" si="3"/>
        <v>0</v>
      </c>
      <c r="AA47" s="70">
        <f t="shared" si="18"/>
        <v>0</v>
      </c>
      <c r="AB47" s="234"/>
      <c r="AC47" s="71" t="str">
        <f t="shared" si="19"/>
        <v>F</v>
      </c>
      <c r="AD47" s="70"/>
      <c r="AE47" s="70"/>
      <c r="AF47" s="70">
        <f t="shared" ref="AF47:AF49" si="51">AE47+AD47</f>
        <v>0</v>
      </c>
      <c r="AG47" s="70"/>
      <c r="AH47" s="70">
        <f t="shared" si="20"/>
        <v>0</v>
      </c>
      <c r="AI47" s="234"/>
      <c r="AJ47" s="71" t="str">
        <f t="shared" si="46"/>
        <v>F</v>
      </c>
      <c r="AK47" s="70"/>
      <c r="AL47" s="70"/>
      <c r="AM47" s="70">
        <f t="shared" ref="AM47:AM49" si="52">AL47+AK47</f>
        <v>0</v>
      </c>
      <c r="AN47" s="70"/>
      <c r="AO47" s="70">
        <f t="shared" si="47"/>
        <v>0</v>
      </c>
      <c r="AP47" s="234"/>
      <c r="AQ47" s="71" t="str">
        <f t="shared" si="23"/>
        <v>F</v>
      </c>
      <c r="AR47" s="70"/>
      <c r="AS47" s="70"/>
      <c r="AT47" s="70"/>
      <c r="AU47" s="70">
        <f t="shared" si="24"/>
        <v>0</v>
      </c>
      <c r="AV47" s="234"/>
      <c r="AW47" s="71" t="str">
        <f t="shared" si="6"/>
        <v>F</v>
      </c>
      <c r="AX47" s="70"/>
      <c r="AY47" s="70"/>
      <c r="AZ47" s="70"/>
      <c r="BA47" s="70"/>
      <c r="BB47" s="70">
        <f t="shared" si="26"/>
        <v>0</v>
      </c>
      <c r="BC47" s="234"/>
      <c r="BD47" s="71" t="str">
        <f t="shared" si="27"/>
        <v>F</v>
      </c>
      <c r="BE47" s="70"/>
      <c r="BF47" s="70"/>
      <c r="BG47" s="70"/>
      <c r="BH47" s="70"/>
      <c r="BI47" s="70">
        <f t="shared" si="42"/>
        <v>0</v>
      </c>
      <c r="BJ47" s="234"/>
      <c r="BK47" s="71" t="str">
        <f t="shared" si="28"/>
        <v>F</v>
      </c>
      <c r="BL47" s="70"/>
      <c r="BM47" s="70"/>
      <c r="BN47" s="70"/>
      <c r="BO47" s="70"/>
      <c r="BP47" s="70">
        <f t="shared" si="41"/>
        <v>0</v>
      </c>
      <c r="BQ47" s="234"/>
      <c r="BR47" s="71" t="str">
        <f t="shared" si="30"/>
        <v>F</v>
      </c>
      <c r="BS47" s="70"/>
      <c r="BT47" s="70"/>
      <c r="BU47" s="70"/>
      <c r="BV47" s="70"/>
      <c r="BW47" s="70">
        <f t="shared" si="31"/>
        <v>0</v>
      </c>
      <c r="BX47" s="234"/>
      <c r="BY47" s="71" t="str">
        <f t="shared" si="32"/>
        <v>F</v>
      </c>
      <c r="BZ47" s="70"/>
      <c r="CA47" s="70"/>
      <c r="CB47" s="70"/>
      <c r="CC47" s="70"/>
      <c r="CD47" s="70"/>
      <c r="CE47" s="70">
        <f t="shared" si="33"/>
        <v>0</v>
      </c>
      <c r="CF47" s="234"/>
      <c r="CG47" s="71" t="str">
        <f t="shared" si="34"/>
        <v>0</v>
      </c>
      <c r="CH47" s="71" t="str">
        <f t="shared" si="35"/>
        <v>F</v>
      </c>
      <c r="CI47" s="70" t="str">
        <f t="shared" si="12"/>
        <v>F</v>
      </c>
      <c r="CJ47" s="72" t="str">
        <f t="shared" si="36"/>
        <v>F</v>
      </c>
      <c r="CK47" s="79" t="str">
        <f t="shared" si="37"/>
        <v>NEED TO PROGRESS</v>
      </c>
      <c r="CL47" s="79">
        <f t="shared" si="38"/>
        <v>0</v>
      </c>
      <c r="CM47" s="79"/>
      <c r="CN47" s="79"/>
      <c r="DS47"/>
      <c r="DT47" s="19">
        <v>85</v>
      </c>
    </row>
    <row r="48" spans="1:124" ht="24.95" customHeight="1">
      <c r="A48" s="199">
        <v>41</v>
      </c>
      <c r="B48" s="199">
        <v>140</v>
      </c>
      <c r="C48" s="24" t="s">
        <v>267</v>
      </c>
      <c r="D48" s="22"/>
      <c r="E48" s="22"/>
      <c r="F48" s="23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234"/>
      <c r="S48" s="71"/>
      <c r="T48" s="70"/>
      <c r="U48" s="70"/>
      <c r="V48" s="70"/>
      <c r="W48" s="70"/>
      <c r="X48" s="70"/>
      <c r="Y48" s="70"/>
      <c r="Z48" s="70"/>
      <c r="AA48" s="70"/>
      <c r="AB48" s="234"/>
      <c r="AC48" s="71"/>
      <c r="AD48" s="70"/>
      <c r="AE48" s="70"/>
      <c r="AF48" s="70"/>
      <c r="AG48" s="70"/>
      <c r="AH48" s="70"/>
      <c r="AI48" s="234"/>
      <c r="AJ48" s="71"/>
      <c r="AK48" s="70"/>
      <c r="AL48" s="70"/>
      <c r="AM48" s="70"/>
      <c r="AN48" s="70"/>
      <c r="AO48" s="70"/>
      <c r="AP48" s="234"/>
      <c r="AQ48" s="71"/>
      <c r="AR48" s="70"/>
      <c r="AS48" s="70"/>
      <c r="AT48" s="70"/>
      <c r="AU48" s="70"/>
      <c r="AV48" s="234"/>
      <c r="AW48" s="71"/>
      <c r="AX48" s="70"/>
      <c r="AY48" s="70"/>
      <c r="AZ48" s="70"/>
      <c r="BA48" s="70"/>
      <c r="BB48" s="70"/>
      <c r="BC48" s="234"/>
      <c r="BD48" s="71"/>
      <c r="BE48" s="70"/>
      <c r="BF48" s="70"/>
      <c r="BG48" s="70"/>
      <c r="BH48" s="70"/>
      <c r="BI48" s="70"/>
      <c r="BJ48" s="234"/>
      <c r="BK48" s="71"/>
      <c r="BL48" s="70"/>
      <c r="BM48" s="70"/>
      <c r="BN48" s="70"/>
      <c r="BO48" s="70"/>
      <c r="BP48" s="70"/>
      <c r="BQ48" s="234"/>
      <c r="BR48" s="71"/>
      <c r="BS48" s="70"/>
      <c r="BT48" s="70"/>
      <c r="BU48" s="70"/>
      <c r="BV48" s="70"/>
      <c r="BW48" s="70"/>
      <c r="BX48" s="234"/>
      <c r="BY48" s="71"/>
      <c r="BZ48" s="70"/>
      <c r="CA48" s="70"/>
      <c r="CB48" s="70"/>
      <c r="CC48" s="70"/>
      <c r="CD48" s="70"/>
      <c r="CE48" s="70"/>
      <c r="CF48" s="234"/>
      <c r="CG48" s="71"/>
      <c r="CH48" s="71"/>
      <c r="CI48" s="70"/>
      <c r="CJ48" s="72"/>
      <c r="CK48" s="85"/>
      <c r="CL48" s="198"/>
      <c r="CM48" s="198"/>
      <c r="CN48" s="198"/>
      <c r="DS48"/>
      <c r="DT48" s="199"/>
    </row>
    <row r="49" spans="1:124" ht="24.95" customHeight="1">
      <c r="A49" s="199">
        <v>42</v>
      </c>
      <c r="B49" s="199">
        <v>155</v>
      </c>
      <c r="C49" s="24" t="s">
        <v>268</v>
      </c>
      <c r="D49" s="25"/>
      <c r="E49" s="25"/>
      <c r="F49" s="23"/>
      <c r="G49" s="70"/>
      <c r="H49" s="70"/>
      <c r="I49" s="70">
        <f t="shared" si="48"/>
        <v>0</v>
      </c>
      <c r="J49" s="70"/>
      <c r="K49" s="70">
        <f t="shared" si="49"/>
        <v>0</v>
      </c>
      <c r="L49" s="70"/>
      <c r="M49" s="70"/>
      <c r="N49" s="70">
        <f t="shared" si="50"/>
        <v>0</v>
      </c>
      <c r="O49" s="70"/>
      <c r="P49" s="70">
        <f t="shared" si="15"/>
        <v>0</v>
      </c>
      <c r="Q49" s="70">
        <f t="shared" si="1"/>
        <v>0</v>
      </c>
      <c r="R49" s="235"/>
      <c r="S49" s="71" t="str">
        <f t="shared" si="16"/>
        <v>F</v>
      </c>
      <c r="T49" s="70"/>
      <c r="U49" s="70"/>
      <c r="V49" s="70">
        <f t="shared" si="2"/>
        <v>0</v>
      </c>
      <c r="W49" s="70"/>
      <c r="X49" s="70"/>
      <c r="Y49" s="70">
        <f t="shared" si="17"/>
        <v>0</v>
      </c>
      <c r="Z49" s="70">
        <f t="shared" si="3"/>
        <v>0</v>
      </c>
      <c r="AA49" s="70">
        <f t="shared" si="18"/>
        <v>0</v>
      </c>
      <c r="AB49" s="235"/>
      <c r="AC49" s="71" t="str">
        <f t="shared" si="19"/>
        <v>F</v>
      </c>
      <c r="AD49" s="70"/>
      <c r="AE49" s="70"/>
      <c r="AF49" s="70">
        <f t="shared" si="51"/>
        <v>0</v>
      </c>
      <c r="AG49" s="70"/>
      <c r="AH49" s="70">
        <f t="shared" si="20"/>
        <v>0</v>
      </c>
      <c r="AI49" s="235"/>
      <c r="AJ49" s="71" t="str">
        <f t="shared" si="46"/>
        <v>F</v>
      </c>
      <c r="AK49" s="70"/>
      <c r="AL49" s="70"/>
      <c r="AM49" s="70">
        <f t="shared" si="52"/>
        <v>0</v>
      </c>
      <c r="AN49" s="70"/>
      <c r="AO49" s="70">
        <f t="shared" si="47"/>
        <v>0</v>
      </c>
      <c r="AP49" s="235"/>
      <c r="AQ49" s="71" t="str">
        <f t="shared" si="23"/>
        <v>F</v>
      </c>
      <c r="AR49" s="70"/>
      <c r="AS49" s="70"/>
      <c r="AT49" s="70"/>
      <c r="AU49" s="70">
        <f t="shared" si="24"/>
        <v>0</v>
      </c>
      <c r="AV49" s="235"/>
      <c r="AW49" s="71" t="str">
        <f t="shared" si="6"/>
        <v>F</v>
      </c>
      <c r="AX49" s="70"/>
      <c r="AY49" s="70"/>
      <c r="AZ49" s="70"/>
      <c r="BA49" s="70"/>
      <c r="BB49" s="70">
        <f t="shared" si="26"/>
        <v>0</v>
      </c>
      <c r="BC49" s="235"/>
      <c r="BD49" s="71" t="str">
        <f t="shared" si="27"/>
        <v>F</v>
      </c>
      <c r="BE49" s="70"/>
      <c r="BF49" s="70"/>
      <c r="BG49" s="70"/>
      <c r="BH49" s="70"/>
      <c r="BI49" s="70">
        <f t="shared" si="42"/>
        <v>0</v>
      </c>
      <c r="BJ49" s="235"/>
      <c r="BK49" s="71" t="str">
        <f t="shared" si="28"/>
        <v>F</v>
      </c>
      <c r="BL49" s="70"/>
      <c r="BM49" s="70"/>
      <c r="BN49" s="70"/>
      <c r="BO49" s="70"/>
      <c r="BP49" s="70">
        <f t="shared" si="41"/>
        <v>0</v>
      </c>
      <c r="BQ49" s="235"/>
      <c r="BR49" s="71" t="str">
        <f t="shared" si="30"/>
        <v>F</v>
      </c>
      <c r="BS49" s="70"/>
      <c r="BT49" s="70"/>
      <c r="BU49" s="70"/>
      <c r="BV49" s="70"/>
      <c r="BW49" s="70">
        <f t="shared" si="31"/>
        <v>0</v>
      </c>
      <c r="BX49" s="235"/>
      <c r="BY49" s="71" t="str">
        <f t="shared" si="32"/>
        <v>F</v>
      </c>
      <c r="BZ49" s="70"/>
      <c r="CA49" s="70"/>
      <c r="CB49" s="70"/>
      <c r="CC49" s="70"/>
      <c r="CD49" s="70"/>
      <c r="CE49" s="70">
        <f t="shared" si="33"/>
        <v>0</v>
      </c>
      <c r="CF49" s="235"/>
      <c r="CG49" s="71" t="str">
        <f t="shared" si="34"/>
        <v>0</v>
      </c>
      <c r="CH49" s="71" t="str">
        <f t="shared" si="35"/>
        <v>F</v>
      </c>
      <c r="CI49" s="70" t="str">
        <f t="shared" si="12"/>
        <v>F</v>
      </c>
      <c r="CJ49" s="72" t="str">
        <f t="shared" si="36"/>
        <v>F</v>
      </c>
      <c r="CK49" s="85" t="str">
        <f t="shared" si="37"/>
        <v>NEED TO PROGRESS</v>
      </c>
      <c r="CL49" s="79">
        <f t="shared" si="38"/>
        <v>0</v>
      </c>
      <c r="CM49" s="79"/>
      <c r="CN49" s="79"/>
      <c r="DS49"/>
      <c r="DT49" s="19">
        <v>85</v>
      </c>
    </row>
    <row r="50" spans="1:124">
      <c r="DS50"/>
    </row>
    <row r="51" spans="1:124">
      <c r="DS51"/>
      <c r="DT51" s="40">
        <v>123</v>
      </c>
    </row>
    <row r="52" spans="1:124">
      <c r="DS52"/>
    </row>
    <row r="53" spans="1:124">
      <c r="A53" s="40">
        <v>0</v>
      </c>
      <c r="B53" s="40">
        <v>1</v>
      </c>
      <c r="C53" s="40">
        <v>2</v>
      </c>
      <c r="D53" s="40">
        <v>3</v>
      </c>
      <c r="E53" s="40">
        <v>4</v>
      </c>
      <c r="F53" s="40">
        <v>5</v>
      </c>
      <c r="G53" s="40">
        <v>6</v>
      </c>
      <c r="H53" s="40">
        <v>7</v>
      </c>
      <c r="I53" s="40">
        <v>8</v>
      </c>
      <c r="J53" s="40">
        <v>9</v>
      </c>
      <c r="K53" s="40">
        <v>10</v>
      </c>
      <c r="L53" s="40">
        <v>11</v>
      </c>
      <c r="M53" s="40">
        <v>12</v>
      </c>
      <c r="N53" s="40">
        <v>13</v>
      </c>
      <c r="O53" s="40">
        <v>14</v>
      </c>
      <c r="P53" s="40">
        <v>15</v>
      </c>
      <c r="Q53" s="40">
        <v>16</v>
      </c>
      <c r="R53" s="40">
        <v>17</v>
      </c>
      <c r="S53" s="40">
        <v>18</v>
      </c>
      <c r="T53" s="40">
        <v>19</v>
      </c>
      <c r="U53" s="40">
        <v>20</v>
      </c>
      <c r="V53" s="40">
        <v>21</v>
      </c>
      <c r="W53" s="40">
        <v>22</v>
      </c>
      <c r="X53" s="40">
        <v>23</v>
      </c>
      <c r="Y53" s="40">
        <v>24</v>
      </c>
      <c r="Z53" s="40">
        <v>25</v>
      </c>
      <c r="AA53" s="40">
        <v>26</v>
      </c>
      <c r="AB53" s="40">
        <v>27</v>
      </c>
      <c r="AC53" s="40">
        <v>28</v>
      </c>
      <c r="AD53" s="40">
        <v>29</v>
      </c>
      <c r="AE53" s="40">
        <v>30</v>
      </c>
      <c r="AF53" s="40">
        <v>31</v>
      </c>
      <c r="AG53" s="40">
        <v>32</v>
      </c>
      <c r="AH53" s="40">
        <v>33</v>
      </c>
      <c r="AI53" s="40">
        <v>34</v>
      </c>
      <c r="AJ53" s="40">
        <v>35</v>
      </c>
      <c r="AK53" s="40">
        <v>36</v>
      </c>
      <c r="AL53" s="40">
        <v>37</v>
      </c>
      <c r="AM53" s="40">
        <v>38</v>
      </c>
      <c r="AN53" s="40">
        <v>39</v>
      </c>
      <c r="AO53" s="40">
        <v>40</v>
      </c>
      <c r="AP53" s="40">
        <v>41</v>
      </c>
      <c r="AQ53" s="40">
        <v>42</v>
      </c>
      <c r="AR53" s="40">
        <v>43</v>
      </c>
      <c r="AS53" s="40">
        <v>44</v>
      </c>
      <c r="AT53" s="40">
        <v>45</v>
      </c>
      <c r="AU53" s="40">
        <v>46</v>
      </c>
      <c r="AV53" s="40">
        <v>47</v>
      </c>
      <c r="AW53" s="40">
        <v>48</v>
      </c>
      <c r="AX53" s="40">
        <v>49</v>
      </c>
      <c r="AY53" s="40">
        <v>50</v>
      </c>
      <c r="AZ53" s="40">
        <v>51</v>
      </c>
      <c r="BA53" s="40">
        <v>52</v>
      </c>
      <c r="BB53" s="40">
        <v>53</v>
      </c>
      <c r="BC53" s="40">
        <v>54</v>
      </c>
      <c r="BD53" s="40">
        <v>55</v>
      </c>
      <c r="BE53" s="40">
        <v>56</v>
      </c>
      <c r="BF53" s="40">
        <v>57</v>
      </c>
      <c r="BG53" s="40">
        <v>58</v>
      </c>
      <c r="BH53" s="40">
        <v>59</v>
      </c>
      <c r="BI53" s="40">
        <v>60</v>
      </c>
      <c r="BJ53" s="40">
        <v>61</v>
      </c>
      <c r="BK53" s="40">
        <v>62</v>
      </c>
      <c r="BL53" s="40">
        <v>63</v>
      </c>
      <c r="BM53" s="40">
        <v>64</v>
      </c>
      <c r="BN53" s="40">
        <v>65</v>
      </c>
      <c r="BO53" s="40">
        <v>66</v>
      </c>
      <c r="BP53" s="40">
        <v>67</v>
      </c>
      <c r="BQ53" s="40">
        <v>68</v>
      </c>
      <c r="BR53" s="40">
        <v>69</v>
      </c>
      <c r="BS53" s="40">
        <v>70</v>
      </c>
      <c r="BT53" s="40">
        <v>71</v>
      </c>
      <c r="BU53" s="40">
        <v>72</v>
      </c>
      <c r="BV53" s="40">
        <v>73</v>
      </c>
      <c r="BW53" s="40">
        <v>74</v>
      </c>
      <c r="BX53" s="40">
        <v>75</v>
      </c>
      <c r="BY53" s="40">
        <v>76</v>
      </c>
      <c r="BZ53" s="40">
        <v>77</v>
      </c>
      <c r="CA53" s="40">
        <v>78</v>
      </c>
      <c r="CB53" s="40">
        <v>79</v>
      </c>
      <c r="CC53" s="40">
        <v>80</v>
      </c>
      <c r="CD53" s="40">
        <v>81</v>
      </c>
      <c r="CE53" s="40">
        <v>82</v>
      </c>
      <c r="CF53" s="40">
        <v>83</v>
      </c>
      <c r="CG53" s="40">
        <v>84</v>
      </c>
      <c r="CH53" s="40">
        <v>85</v>
      </c>
      <c r="CI53" s="40">
        <v>86</v>
      </c>
      <c r="CJ53" s="40">
        <v>87</v>
      </c>
      <c r="CK53" s="40">
        <v>88</v>
      </c>
      <c r="CL53" s="40">
        <v>89</v>
      </c>
      <c r="CM53" s="40">
        <v>90</v>
      </c>
      <c r="CN53" s="40">
        <v>91</v>
      </c>
      <c r="DS53"/>
    </row>
    <row r="54" spans="1:124">
      <c r="DS54"/>
    </row>
    <row r="55" spans="1:124">
      <c r="DS55"/>
    </row>
    <row r="56" spans="1:124">
      <c r="DS56"/>
    </row>
    <row r="57" spans="1:124">
      <c r="DS57"/>
    </row>
    <row r="58" spans="1:124">
      <c r="DS58"/>
    </row>
    <row r="59" spans="1:124">
      <c r="DS59"/>
    </row>
    <row r="60" spans="1:124">
      <c r="DS60"/>
    </row>
    <row r="61" spans="1:124">
      <c r="DS61"/>
    </row>
    <row r="62" spans="1:124">
      <c r="DS62"/>
    </row>
    <row r="63" spans="1:124">
      <c r="DS63"/>
    </row>
    <row r="64" spans="1:124">
      <c r="DS64"/>
    </row>
    <row r="65" spans="123:123">
      <c r="DS65"/>
    </row>
    <row r="66" spans="123:123">
      <c r="DS66"/>
    </row>
    <row r="67" spans="123:123">
      <c r="DS67"/>
    </row>
    <row r="68" spans="123:123">
      <c r="DS68"/>
    </row>
    <row r="69" spans="123:123">
      <c r="DS69"/>
    </row>
    <row r="70" spans="123:123">
      <c r="DS70"/>
    </row>
    <row r="71" spans="123:123">
      <c r="DS71"/>
    </row>
    <row r="72" spans="123:123">
      <c r="DS72"/>
    </row>
    <row r="73" spans="123:123">
      <c r="DS73"/>
    </row>
    <row r="74" spans="123:123">
      <c r="DS74"/>
    </row>
    <row r="75" spans="123:123">
      <c r="DS75"/>
    </row>
    <row r="76" spans="123:123">
      <c r="DS76"/>
    </row>
    <row r="77" spans="123:123">
      <c r="DS77"/>
    </row>
    <row r="78" spans="123:123">
      <c r="DS78"/>
    </row>
    <row r="79" spans="123:123">
      <c r="DS79"/>
    </row>
    <row r="80" spans="123:123">
      <c r="DS80"/>
    </row>
    <row r="81" spans="123:123">
      <c r="DS81"/>
    </row>
    <row r="82" spans="123:123">
      <c r="DS82"/>
    </row>
    <row r="83" spans="123:123">
      <c r="DS83"/>
    </row>
    <row r="84" spans="123:123">
      <c r="DS84"/>
    </row>
    <row r="85" spans="123:123">
      <c r="DS85"/>
    </row>
    <row r="86" spans="123:123">
      <c r="DS86"/>
    </row>
    <row r="87" spans="123:123">
      <c r="DS87"/>
    </row>
    <row r="88" spans="123:123">
      <c r="DS88"/>
    </row>
    <row r="89" spans="123:123">
      <c r="DS89"/>
    </row>
    <row r="90" spans="123:123">
      <c r="DS90"/>
    </row>
    <row r="91" spans="123:123">
      <c r="DS91"/>
    </row>
    <row r="92" spans="123:123">
      <c r="DS92"/>
    </row>
    <row r="93" spans="123:123">
      <c r="DS93"/>
    </row>
    <row r="94" spans="123:123">
      <c r="DS94"/>
    </row>
    <row r="95" spans="123:123">
      <c r="DS95"/>
    </row>
    <row r="96" spans="123:123">
      <c r="DS96"/>
    </row>
    <row r="97" spans="123:123">
      <c r="DS97"/>
    </row>
    <row r="98" spans="123:123">
      <c r="DS98"/>
    </row>
    <row r="99" spans="123:123">
      <c r="DS99"/>
    </row>
    <row r="100" spans="123:123">
      <c r="DS100"/>
    </row>
    <row r="101" spans="123:123">
      <c r="DS101"/>
    </row>
    <row r="102" spans="123:123">
      <c r="DS102"/>
    </row>
    <row r="103" spans="123:123">
      <c r="DS103"/>
    </row>
    <row r="104" spans="123:123">
      <c r="DS104"/>
    </row>
    <row r="105" spans="123:123">
      <c r="DS105"/>
    </row>
    <row r="106" spans="123:123">
      <c r="DS106"/>
    </row>
    <row r="107" spans="123:123">
      <c r="DS107"/>
    </row>
    <row r="108" spans="123:123">
      <c r="DS108"/>
    </row>
    <row r="109" spans="123:123">
      <c r="DS109"/>
    </row>
    <row r="110" spans="123:123">
      <c r="DS110"/>
    </row>
    <row r="111" spans="123:123">
      <c r="DS111"/>
    </row>
    <row r="112" spans="123:123">
      <c r="DS112"/>
    </row>
    <row r="113" spans="123:123">
      <c r="DS113"/>
    </row>
    <row r="114" spans="123:123">
      <c r="DS114"/>
    </row>
    <row r="115" spans="123:123">
      <c r="DS115"/>
    </row>
    <row r="116" spans="123:123">
      <c r="DS116"/>
    </row>
    <row r="117" spans="123:123">
      <c r="DS117"/>
    </row>
    <row r="118" spans="123:123">
      <c r="DS118"/>
    </row>
    <row r="119" spans="123:123">
      <c r="DS119"/>
    </row>
    <row r="120" spans="123:123">
      <c r="DS120"/>
    </row>
    <row r="121" spans="123:123">
      <c r="DS121"/>
    </row>
    <row r="122" spans="123:123">
      <c r="DS122"/>
    </row>
    <row r="123" spans="123:123">
      <c r="DS123"/>
    </row>
    <row r="124" spans="123:123">
      <c r="DS124"/>
    </row>
    <row r="125" spans="123:123">
      <c r="DS125"/>
    </row>
    <row r="126" spans="123:123">
      <c r="DS126"/>
    </row>
    <row r="127" spans="123:123">
      <c r="DS127"/>
    </row>
    <row r="128" spans="123:123">
      <c r="DS128"/>
    </row>
    <row r="129" spans="123:123">
      <c r="DS129"/>
    </row>
    <row r="130" spans="123:123">
      <c r="DS130"/>
    </row>
    <row r="131" spans="123:123">
      <c r="DS131"/>
    </row>
    <row r="132" spans="123:123">
      <c r="DS132"/>
    </row>
    <row r="133" spans="123:123">
      <c r="DS133"/>
    </row>
    <row r="134" spans="123:123">
      <c r="DS134"/>
    </row>
    <row r="135" spans="123:123">
      <c r="DS135"/>
    </row>
    <row r="136" spans="123:123">
      <c r="DS136"/>
    </row>
    <row r="137" spans="123:123">
      <c r="DS137"/>
    </row>
    <row r="138" spans="123:123">
      <c r="DS138"/>
    </row>
    <row r="139" spans="123:123">
      <c r="DS139"/>
    </row>
    <row r="140" spans="123:123">
      <c r="DS140"/>
    </row>
    <row r="141" spans="123:123">
      <c r="DS141"/>
    </row>
    <row r="142" spans="123:123">
      <c r="DS142"/>
    </row>
    <row r="143" spans="123:123">
      <c r="DS143"/>
    </row>
    <row r="144" spans="123:123">
      <c r="DS144"/>
    </row>
    <row r="145" spans="123:123">
      <c r="DS145"/>
    </row>
    <row r="146" spans="123:123">
      <c r="DS146"/>
    </row>
    <row r="147" spans="123:123">
      <c r="DS147"/>
    </row>
    <row r="148" spans="123:123">
      <c r="DS148"/>
    </row>
    <row r="149" spans="123:123">
      <c r="DS149"/>
    </row>
    <row r="150" spans="123:123">
      <c r="DS150"/>
    </row>
    <row r="151" spans="123:123">
      <c r="DS151"/>
    </row>
    <row r="152" spans="123:123">
      <c r="DS152"/>
    </row>
    <row r="153" spans="123:123">
      <c r="DS153"/>
    </row>
    <row r="154" spans="123:123">
      <c r="DS154"/>
    </row>
    <row r="155" spans="123:123">
      <c r="DS155"/>
    </row>
    <row r="156" spans="123:123">
      <c r="DS156"/>
    </row>
    <row r="157" spans="123:123">
      <c r="DS157"/>
    </row>
    <row r="158" spans="123:123">
      <c r="DS158"/>
    </row>
    <row r="159" spans="123:123">
      <c r="DS159"/>
    </row>
    <row r="160" spans="123:123">
      <c r="DS160"/>
    </row>
    <row r="161" spans="123:123">
      <c r="DS161"/>
    </row>
    <row r="162" spans="123:123">
      <c r="DS162"/>
    </row>
    <row r="163" spans="123:123">
      <c r="DS163"/>
    </row>
    <row r="164" spans="123:123">
      <c r="DS164"/>
    </row>
    <row r="165" spans="123:123">
      <c r="DS165"/>
    </row>
    <row r="166" spans="123:123">
      <c r="DS166"/>
    </row>
    <row r="167" spans="123:123">
      <c r="DS167"/>
    </row>
    <row r="168" spans="123:123">
      <c r="DS168"/>
    </row>
    <row r="169" spans="123:123">
      <c r="DS169"/>
    </row>
    <row r="170" spans="123:123">
      <c r="DS170"/>
    </row>
    <row r="171" spans="123:123">
      <c r="DS171"/>
    </row>
    <row r="172" spans="123:123">
      <c r="DS172"/>
    </row>
    <row r="173" spans="123:123">
      <c r="DS173"/>
    </row>
    <row r="174" spans="123:123">
      <c r="DS174"/>
    </row>
    <row r="175" spans="123:123">
      <c r="DS175"/>
    </row>
    <row r="176" spans="123:123">
      <c r="DS176"/>
    </row>
    <row r="177" spans="123:123">
      <c r="DS177"/>
    </row>
    <row r="178" spans="123:123">
      <c r="DS178"/>
    </row>
    <row r="179" spans="123:123">
      <c r="DS179"/>
    </row>
    <row r="180" spans="123:123">
      <c r="DS180"/>
    </row>
    <row r="181" spans="123:123">
      <c r="DS181"/>
    </row>
    <row r="182" spans="123:123">
      <c r="DS182"/>
    </row>
    <row r="183" spans="123:123">
      <c r="DS183"/>
    </row>
    <row r="184" spans="123:123">
      <c r="DS184"/>
    </row>
    <row r="185" spans="123:123">
      <c r="DS185"/>
    </row>
    <row r="186" spans="123:123">
      <c r="DS186"/>
    </row>
    <row r="187" spans="123:123">
      <c r="DS187"/>
    </row>
    <row r="188" spans="123:123">
      <c r="DS188"/>
    </row>
    <row r="189" spans="123:123">
      <c r="DS189"/>
    </row>
    <row r="190" spans="123:123">
      <c r="DS190"/>
    </row>
    <row r="191" spans="123:123">
      <c r="DS191"/>
    </row>
    <row r="192" spans="123:123">
      <c r="DS192"/>
    </row>
    <row r="193" spans="123:123">
      <c r="DS193"/>
    </row>
    <row r="194" spans="123:123">
      <c r="DS194"/>
    </row>
    <row r="195" spans="123:123">
      <c r="DS195"/>
    </row>
    <row r="196" spans="123:123">
      <c r="DS196"/>
    </row>
    <row r="197" spans="123:123">
      <c r="DS197"/>
    </row>
    <row r="198" spans="123:123">
      <c r="DS198"/>
    </row>
    <row r="199" spans="123:123">
      <c r="DS199"/>
    </row>
    <row r="200" spans="123:123">
      <c r="DS200"/>
    </row>
    <row r="201" spans="123:123">
      <c r="DS201"/>
    </row>
    <row r="202" spans="123:123">
      <c r="DS202"/>
    </row>
    <row r="203" spans="123:123">
      <c r="DS203"/>
    </row>
    <row r="204" spans="123:123">
      <c r="DS204"/>
    </row>
    <row r="205" spans="123:123">
      <c r="DS205"/>
    </row>
    <row r="206" spans="123:123">
      <c r="DS206"/>
    </row>
    <row r="207" spans="123:123">
      <c r="DS207"/>
    </row>
    <row r="208" spans="123:123">
      <c r="DS208"/>
    </row>
    <row r="209" spans="123:123">
      <c r="DS209"/>
    </row>
    <row r="210" spans="123:123">
      <c r="DS210"/>
    </row>
    <row r="211" spans="123:123">
      <c r="DS211"/>
    </row>
    <row r="212" spans="123:123">
      <c r="DS212"/>
    </row>
    <row r="213" spans="123:123">
      <c r="DS213"/>
    </row>
    <row r="214" spans="123:123">
      <c r="DS214"/>
    </row>
    <row r="215" spans="123:123">
      <c r="DS215"/>
    </row>
    <row r="216" spans="123:123">
      <c r="DS216"/>
    </row>
    <row r="217" spans="123:123">
      <c r="DS217"/>
    </row>
    <row r="218" spans="123:123">
      <c r="DS218"/>
    </row>
    <row r="219" spans="123:123">
      <c r="DS219"/>
    </row>
    <row r="220" spans="123:123">
      <c r="DS220"/>
    </row>
    <row r="221" spans="123:123">
      <c r="DS221"/>
    </row>
    <row r="222" spans="123:123">
      <c r="DS222"/>
    </row>
    <row r="223" spans="123:123">
      <c r="DS223"/>
    </row>
    <row r="224" spans="123:123">
      <c r="DS224"/>
    </row>
    <row r="225" spans="123:123">
      <c r="DS225"/>
    </row>
    <row r="226" spans="123:123">
      <c r="DS226"/>
    </row>
    <row r="227" spans="123:123">
      <c r="DS227"/>
    </row>
    <row r="228" spans="123:123">
      <c r="DS228"/>
    </row>
    <row r="229" spans="123:123">
      <c r="DS229"/>
    </row>
    <row r="230" spans="123:123">
      <c r="DS230"/>
    </row>
    <row r="231" spans="123:123">
      <c r="DS231"/>
    </row>
    <row r="232" spans="123:123">
      <c r="DS232"/>
    </row>
    <row r="233" spans="123:123">
      <c r="DS233"/>
    </row>
    <row r="234" spans="123:123">
      <c r="DS234"/>
    </row>
    <row r="235" spans="123:123">
      <c r="DS235"/>
    </row>
    <row r="236" spans="123:123">
      <c r="DS236"/>
    </row>
    <row r="237" spans="123:123">
      <c r="DS237"/>
    </row>
    <row r="238" spans="123:123">
      <c r="DS238"/>
    </row>
    <row r="239" spans="123:123">
      <c r="DS239"/>
    </row>
    <row r="240" spans="123:123">
      <c r="DS240"/>
    </row>
    <row r="241" spans="123:123">
      <c r="DS241"/>
    </row>
    <row r="242" spans="123:123">
      <c r="DS242"/>
    </row>
    <row r="243" spans="123:123">
      <c r="DS243"/>
    </row>
    <row r="244" spans="123:123">
      <c r="DS244"/>
    </row>
    <row r="245" spans="123:123">
      <c r="DS245"/>
    </row>
    <row r="246" spans="123:123">
      <c r="DS246"/>
    </row>
    <row r="247" spans="123:123">
      <c r="DS247"/>
    </row>
    <row r="248" spans="123:123">
      <c r="DS248"/>
    </row>
    <row r="249" spans="123:123">
      <c r="DS249"/>
    </row>
    <row r="250" spans="123:123">
      <c r="DS250"/>
    </row>
    <row r="251" spans="123:123">
      <c r="DS251"/>
    </row>
    <row r="252" spans="123:123">
      <c r="DS252"/>
    </row>
    <row r="253" spans="123:123">
      <c r="DS253"/>
    </row>
    <row r="254" spans="123:123">
      <c r="DS254"/>
    </row>
    <row r="255" spans="123:123">
      <c r="DS255"/>
    </row>
    <row r="256" spans="123:123">
      <c r="DS256"/>
    </row>
    <row r="257" spans="123:123">
      <c r="DS257"/>
    </row>
    <row r="258" spans="123:123">
      <c r="DS258"/>
    </row>
    <row r="259" spans="123:123">
      <c r="DS259"/>
    </row>
    <row r="260" spans="123:123">
      <c r="DS260"/>
    </row>
    <row r="261" spans="123:123">
      <c r="DS261"/>
    </row>
    <row r="262" spans="123:123">
      <c r="DS262"/>
    </row>
    <row r="263" spans="123:123">
      <c r="DS263"/>
    </row>
    <row r="264" spans="123:123">
      <c r="DS264"/>
    </row>
    <row r="265" spans="123:123">
      <c r="DS265"/>
    </row>
    <row r="266" spans="123:123">
      <c r="DS266"/>
    </row>
    <row r="267" spans="123:123">
      <c r="DS267"/>
    </row>
    <row r="268" spans="123:123">
      <c r="DS268"/>
    </row>
    <row r="269" spans="123:123">
      <c r="DS269"/>
    </row>
    <row r="270" spans="123:123">
      <c r="DS270"/>
    </row>
    <row r="271" spans="123:123">
      <c r="DS271"/>
    </row>
    <row r="272" spans="123:123">
      <c r="DS272"/>
    </row>
    <row r="273" spans="123:123">
      <c r="DS273"/>
    </row>
    <row r="274" spans="123:123">
      <c r="DS274"/>
    </row>
    <row r="275" spans="123:123">
      <c r="DS275"/>
    </row>
    <row r="276" spans="123:123">
      <c r="DS276"/>
    </row>
    <row r="277" spans="123:123">
      <c r="DS277"/>
    </row>
    <row r="278" spans="123:123">
      <c r="DS278"/>
    </row>
    <row r="279" spans="123:123">
      <c r="DS279"/>
    </row>
    <row r="280" spans="123:123">
      <c r="DS280"/>
    </row>
    <row r="281" spans="123:123">
      <c r="DS281"/>
    </row>
    <row r="282" spans="123:123">
      <c r="DS282"/>
    </row>
    <row r="283" spans="123:123">
      <c r="DS283"/>
    </row>
    <row r="284" spans="123:123">
      <c r="DS284"/>
    </row>
    <row r="285" spans="123:123">
      <c r="DS285"/>
    </row>
    <row r="286" spans="123:123">
      <c r="DS286"/>
    </row>
    <row r="287" spans="123:123">
      <c r="DS287"/>
    </row>
    <row r="288" spans="123:123">
      <c r="DS288"/>
    </row>
    <row r="289" spans="123:123">
      <c r="DS289"/>
    </row>
    <row r="290" spans="123:123">
      <c r="DS290"/>
    </row>
    <row r="291" spans="123:123">
      <c r="DS291"/>
    </row>
    <row r="292" spans="123:123">
      <c r="DS292"/>
    </row>
    <row r="293" spans="123:123">
      <c r="DS293"/>
    </row>
    <row r="294" spans="123:123">
      <c r="DS294"/>
    </row>
    <row r="295" spans="123:123">
      <c r="DS295"/>
    </row>
    <row r="296" spans="123:123">
      <c r="DS296"/>
    </row>
    <row r="297" spans="123:123">
      <c r="DS297"/>
    </row>
    <row r="298" spans="123:123">
      <c r="DS298"/>
    </row>
    <row r="299" spans="123:123">
      <c r="DS299"/>
    </row>
    <row r="300" spans="123:123">
      <c r="DS300"/>
    </row>
    <row r="301" spans="123:123">
      <c r="DS301"/>
    </row>
    <row r="302" spans="123:123">
      <c r="DS302"/>
    </row>
    <row r="303" spans="123:123">
      <c r="DS303"/>
    </row>
    <row r="304" spans="123:123">
      <c r="DS304"/>
    </row>
    <row r="305" spans="123:123">
      <c r="DS305"/>
    </row>
    <row r="306" spans="123:123">
      <c r="DS306"/>
    </row>
    <row r="307" spans="123:123">
      <c r="DS307"/>
    </row>
    <row r="308" spans="123:123">
      <c r="DS308"/>
    </row>
    <row r="309" spans="123:123">
      <c r="DS309"/>
    </row>
    <row r="310" spans="123:123">
      <c r="DS310"/>
    </row>
    <row r="311" spans="123:123">
      <c r="DS311"/>
    </row>
    <row r="312" spans="123:123">
      <c r="DS312"/>
    </row>
    <row r="313" spans="123:123">
      <c r="DS313"/>
    </row>
    <row r="314" spans="123:123">
      <c r="DS314"/>
    </row>
    <row r="315" spans="123:123">
      <c r="DS315"/>
    </row>
    <row r="316" spans="123:123">
      <c r="DS316"/>
    </row>
    <row r="317" spans="123:123">
      <c r="DS317"/>
    </row>
    <row r="318" spans="123:123">
      <c r="DS318"/>
    </row>
    <row r="319" spans="123:123">
      <c r="DS319"/>
    </row>
    <row r="320" spans="123:123">
      <c r="DS320"/>
    </row>
    <row r="321" spans="123:123">
      <c r="DS321"/>
    </row>
    <row r="322" spans="123:123">
      <c r="DS322"/>
    </row>
    <row r="323" spans="123:123">
      <c r="DS323"/>
    </row>
    <row r="324" spans="123:123">
      <c r="DS324"/>
    </row>
    <row r="325" spans="123:123">
      <c r="DS325"/>
    </row>
    <row r="326" spans="123:123">
      <c r="DS326"/>
    </row>
    <row r="327" spans="123:123">
      <c r="DS327"/>
    </row>
    <row r="328" spans="123:123">
      <c r="DS328"/>
    </row>
    <row r="329" spans="123:123">
      <c r="DS329"/>
    </row>
    <row r="330" spans="123:123">
      <c r="DS330"/>
    </row>
    <row r="331" spans="123:123">
      <c r="DS331"/>
    </row>
    <row r="332" spans="123:123">
      <c r="DS332"/>
    </row>
    <row r="333" spans="123:123">
      <c r="DS333"/>
    </row>
    <row r="334" spans="123:123">
      <c r="DS334"/>
    </row>
    <row r="335" spans="123:123">
      <c r="DS335"/>
    </row>
    <row r="336" spans="123:123">
      <c r="DS336"/>
    </row>
    <row r="337" spans="123:123">
      <c r="DS337"/>
    </row>
    <row r="338" spans="123:123">
      <c r="DS338"/>
    </row>
    <row r="339" spans="123:123">
      <c r="DS339"/>
    </row>
    <row r="340" spans="123:123">
      <c r="DS340"/>
    </row>
    <row r="341" spans="123:123">
      <c r="DS341"/>
    </row>
    <row r="342" spans="123:123">
      <c r="DS342"/>
    </row>
    <row r="343" spans="123:123">
      <c r="DS343"/>
    </row>
    <row r="344" spans="123:123">
      <c r="DS344"/>
    </row>
    <row r="345" spans="123:123">
      <c r="DS345"/>
    </row>
    <row r="346" spans="123:123">
      <c r="DS346"/>
    </row>
    <row r="347" spans="123:123">
      <c r="DS347"/>
    </row>
    <row r="348" spans="123:123">
      <c r="DS348"/>
    </row>
    <row r="349" spans="123:123">
      <c r="DS349"/>
    </row>
    <row r="350" spans="123:123">
      <c r="DS350"/>
    </row>
    <row r="351" spans="123:123">
      <c r="DS351"/>
    </row>
    <row r="352" spans="123:123">
      <c r="DS352"/>
    </row>
    <row r="353" spans="123:123">
      <c r="DS353"/>
    </row>
    <row r="354" spans="123:123">
      <c r="DS354"/>
    </row>
    <row r="355" spans="123:123">
      <c r="DS355"/>
    </row>
    <row r="356" spans="123:123">
      <c r="DS356"/>
    </row>
    <row r="357" spans="123:123">
      <c r="DS357"/>
    </row>
    <row r="358" spans="123:123">
      <c r="DS358"/>
    </row>
    <row r="359" spans="123:123">
      <c r="DS359"/>
    </row>
    <row r="360" spans="123:123">
      <c r="DS360"/>
    </row>
    <row r="361" spans="123:123">
      <c r="DS361"/>
    </row>
    <row r="362" spans="123:123">
      <c r="DS362"/>
    </row>
    <row r="363" spans="123:123">
      <c r="DS363"/>
    </row>
    <row r="364" spans="123:123">
      <c r="DS364"/>
    </row>
    <row r="365" spans="123:123">
      <c r="DS365"/>
    </row>
    <row r="366" spans="123:123">
      <c r="DS366"/>
    </row>
    <row r="367" spans="123:123">
      <c r="DS367"/>
    </row>
    <row r="368" spans="123:123">
      <c r="DS368"/>
    </row>
    <row r="369" spans="123:123">
      <c r="DS369"/>
    </row>
    <row r="370" spans="123:123">
      <c r="DS370"/>
    </row>
    <row r="371" spans="123:123">
      <c r="DS371"/>
    </row>
    <row r="372" spans="123:123">
      <c r="DS372"/>
    </row>
    <row r="373" spans="123:123">
      <c r="DS373"/>
    </row>
    <row r="374" spans="123:123">
      <c r="DS374"/>
    </row>
    <row r="375" spans="123:123">
      <c r="DS375"/>
    </row>
    <row r="376" spans="123:123">
      <c r="DS376"/>
    </row>
    <row r="377" spans="123:123">
      <c r="DS377"/>
    </row>
    <row r="378" spans="123:123">
      <c r="DS378"/>
    </row>
    <row r="379" spans="123:123">
      <c r="DS379"/>
    </row>
    <row r="380" spans="123:123">
      <c r="DS380"/>
    </row>
    <row r="381" spans="123:123">
      <c r="DS381"/>
    </row>
    <row r="382" spans="123:123">
      <c r="DS382"/>
    </row>
    <row r="383" spans="123:123">
      <c r="DS383"/>
    </row>
    <row r="384" spans="123:123">
      <c r="DS384"/>
    </row>
    <row r="385" spans="123:123">
      <c r="DS385"/>
    </row>
    <row r="386" spans="123:123">
      <c r="DS386"/>
    </row>
    <row r="387" spans="123:123">
      <c r="DS387"/>
    </row>
    <row r="388" spans="123:123">
      <c r="DS388"/>
    </row>
    <row r="389" spans="123:123">
      <c r="DS389"/>
    </row>
    <row r="390" spans="123:123">
      <c r="DS390"/>
    </row>
    <row r="391" spans="123:123">
      <c r="DS391"/>
    </row>
    <row r="392" spans="123:123">
      <c r="DS392"/>
    </row>
    <row r="393" spans="123:123">
      <c r="DS393"/>
    </row>
    <row r="394" spans="123:123">
      <c r="DS394"/>
    </row>
    <row r="395" spans="123:123">
      <c r="DS395"/>
    </row>
    <row r="396" spans="123:123">
      <c r="DS396"/>
    </row>
    <row r="397" spans="123:123">
      <c r="DS397"/>
    </row>
    <row r="398" spans="123:123">
      <c r="DS398"/>
    </row>
    <row r="399" spans="123:123">
      <c r="DS399"/>
    </row>
    <row r="400" spans="123:123">
      <c r="DS400"/>
    </row>
    <row r="401" spans="123:123">
      <c r="DS401"/>
    </row>
    <row r="402" spans="123:123">
      <c r="DS402"/>
    </row>
    <row r="403" spans="123:123">
      <c r="DS403"/>
    </row>
    <row r="404" spans="123:123">
      <c r="DS404"/>
    </row>
    <row r="405" spans="123:123">
      <c r="DS405"/>
    </row>
    <row r="406" spans="123:123">
      <c r="DS406"/>
    </row>
    <row r="407" spans="123:123">
      <c r="DS407"/>
    </row>
    <row r="408" spans="123:123">
      <c r="DS408"/>
    </row>
    <row r="409" spans="123:123">
      <c r="DS409"/>
    </row>
    <row r="410" spans="123:123">
      <c r="DS410"/>
    </row>
    <row r="411" spans="123:123">
      <c r="DS411"/>
    </row>
    <row r="412" spans="123:123">
      <c r="DS412"/>
    </row>
    <row r="413" spans="123:123">
      <c r="DS413"/>
    </row>
    <row r="414" spans="123:123">
      <c r="DS414"/>
    </row>
    <row r="415" spans="123:123">
      <c r="DS415"/>
    </row>
    <row r="416" spans="123:123">
      <c r="DS416"/>
    </row>
    <row r="417" spans="123:123">
      <c r="DS417"/>
    </row>
    <row r="418" spans="123:123">
      <c r="DS418"/>
    </row>
    <row r="419" spans="123:123">
      <c r="DS419"/>
    </row>
    <row r="420" spans="123:123">
      <c r="DS420"/>
    </row>
    <row r="421" spans="123:123">
      <c r="DS421"/>
    </row>
    <row r="422" spans="123:123">
      <c r="DS422"/>
    </row>
    <row r="423" spans="123:123">
      <c r="DS423"/>
    </row>
    <row r="424" spans="123:123">
      <c r="DS424"/>
    </row>
    <row r="425" spans="123:123">
      <c r="DS425"/>
    </row>
    <row r="426" spans="123:123">
      <c r="DS426"/>
    </row>
    <row r="427" spans="123:123">
      <c r="DS427"/>
    </row>
    <row r="428" spans="123:123">
      <c r="DS428"/>
    </row>
    <row r="429" spans="123:123">
      <c r="DS429"/>
    </row>
    <row r="430" spans="123:123">
      <c r="DS430"/>
    </row>
    <row r="431" spans="123:123">
      <c r="DS431"/>
    </row>
    <row r="432" spans="123:123">
      <c r="DS432"/>
    </row>
    <row r="433" spans="123:123">
      <c r="DS433"/>
    </row>
    <row r="434" spans="123:123">
      <c r="DS434"/>
    </row>
    <row r="435" spans="123:123">
      <c r="DS435"/>
    </row>
    <row r="436" spans="123:123">
      <c r="DS436"/>
    </row>
    <row r="437" spans="123:123">
      <c r="DS437"/>
    </row>
    <row r="438" spans="123:123">
      <c r="DS438"/>
    </row>
    <row r="439" spans="123:123">
      <c r="DS439"/>
    </row>
    <row r="440" spans="123:123">
      <c r="DS440"/>
    </row>
    <row r="441" spans="123:123">
      <c r="DS441"/>
    </row>
    <row r="442" spans="123:123">
      <c r="DS442"/>
    </row>
    <row r="443" spans="123:123">
      <c r="DS443"/>
    </row>
    <row r="444" spans="123:123">
      <c r="DS444"/>
    </row>
    <row r="445" spans="123:123">
      <c r="DS445"/>
    </row>
    <row r="446" spans="123:123">
      <c r="DS446"/>
    </row>
    <row r="447" spans="123:123">
      <c r="DS447"/>
    </row>
    <row r="448" spans="123:123">
      <c r="DS448"/>
    </row>
    <row r="449" spans="123:123">
      <c r="DS449"/>
    </row>
    <row r="450" spans="123:123">
      <c r="DS450"/>
    </row>
    <row r="451" spans="123:123">
      <c r="DS451"/>
    </row>
    <row r="452" spans="123:123">
      <c r="DS452"/>
    </row>
    <row r="453" spans="123:123">
      <c r="DS453"/>
    </row>
    <row r="454" spans="123:123">
      <c r="DS454"/>
    </row>
    <row r="455" spans="123:123">
      <c r="DS455"/>
    </row>
    <row r="456" spans="123:123">
      <c r="DS456"/>
    </row>
    <row r="457" spans="123:123">
      <c r="DS457"/>
    </row>
    <row r="458" spans="123:123">
      <c r="DS458"/>
    </row>
    <row r="459" spans="123:123">
      <c r="DS459"/>
    </row>
    <row r="460" spans="123:123">
      <c r="DS460"/>
    </row>
    <row r="461" spans="123:123">
      <c r="DS461"/>
    </row>
    <row r="462" spans="123:123">
      <c r="DS462"/>
    </row>
    <row r="463" spans="123:123">
      <c r="DS463"/>
    </row>
    <row r="464" spans="123:123">
      <c r="DS464"/>
    </row>
    <row r="465" spans="123:123">
      <c r="DS465"/>
    </row>
    <row r="466" spans="123:123">
      <c r="DS466"/>
    </row>
    <row r="467" spans="123:123">
      <c r="DS467"/>
    </row>
    <row r="468" spans="123:123">
      <c r="DS468"/>
    </row>
    <row r="469" spans="123:123">
      <c r="DS469"/>
    </row>
    <row r="470" spans="123:123">
      <c r="DS470"/>
    </row>
    <row r="471" spans="123:123">
      <c r="DS471"/>
    </row>
    <row r="472" spans="123:123">
      <c r="DS472"/>
    </row>
    <row r="473" spans="123:123">
      <c r="DS473"/>
    </row>
    <row r="474" spans="123:123">
      <c r="DS474"/>
    </row>
    <row r="475" spans="123:123">
      <c r="DS475"/>
    </row>
    <row r="476" spans="123:123">
      <c r="DS476"/>
    </row>
    <row r="477" spans="123:123">
      <c r="DS477"/>
    </row>
    <row r="478" spans="123:123">
      <c r="DS478"/>
    </row>
    <row r="479" spans="123:123">
      <c r="DS479"/>
    </row>
    <row r="480" spans="123:123">
      <c r="DS480"/>
    </row>
    <row r="481" spans="123:123">
      <c r="DS481"/>
    </row>
    <row r="482" spans="123:123">
      <c r="DS482"/>
    </row>
    <row r="483" spans="123:123">
      <c r="DS483"/>
    </row>
    <row r="484" spans="123:123">
      <c r="DS484"/>
    </row>
    <row r="485" spans="123:123">
      <c r="DS485"/>
    </row>
    <row r="486" spans="123:123">
      <c r="DS486"/>
    </row>
    <row r="487" spans="123:123">
      <c r="DS487"/>
    </row>
    <row r="488" spans="123:123">
      <c r="DS488"/>
    </row>
    <row r="489" spans="123:123">
      <c r="DS489"/>
    </row>
    <row r="490" spans="123:123">
      <c r="DS490"/>
    </row>
    <row r="491" spans="123:123">
      <c r="DS491"/>
    </row>
    <row r="492" spans="123:123">
      <c r="DS492"/>
    </row>
    <row r="493" spans="123:123">
      <c r="DS493"/>
    </row>
    <row r="494" spans="123:123">
      <c r="DS494"/>
    </row>
    <row r="495" spans="123:123">
      <c r="DS495"/>
    </row>
    <row r="496" spans="123:123">
      <c r="DS496"/>
    </row>
    <row r="497" spans="123:123">
      <c r="DS497"/>
    </row>
    <row r="498" spans="123:123">
      <c r="DS498"/>
    </row>
    <row r="499" spans="123:123">
      <c r="DS499"/>
    </row>
    <row r="500" spans="123:123">
      <c r="DS500"/>
    </row>
    <row r="501" spans="123:123">
      <c r="DS501"/>
    </row>
    <row r="502" spans="123:123">
      <c r="DS502"/>
    </row>
    <row r="503" spans="123:123">
      <c r="DS503"/>
    </row>
    <row r="504" spans="123:123">
      <c r="DS504"/>
    </row>
    <row r="505" spans="123:123">
      <c r="DS505"/>
    </row>
    <row r="506" spans="123:123">
      <c r="DS506"/>
    </row>
    <row r="507" spans="123:123">
      <c r="DS507"/>
    </row>
    <row r="508" spans="123:123">
      <c r="DS508"/>
    </row>
    <row r="509" spans="123:123">
      <c r="DS509"/>
    </row>
    <row r="510" spans="123:123">
      <c r="DS510"/>
    </row>
    <row r="511" spans="123:123">
      <c r="DS511"/>
    </row>
    <row r="512" spans="123:123">
      <c r="DS512"/>
    </row>
    <row r="513" spans="123:123">
      <c r="DS513"/>
    </row>
    <row r="514" spans="123:123">
      <c r="DS514"/>
    </row>
    <row r="515" spans="123:123">
      <c r="DS515"/>
    </row>
    <row r="516" spans="123:123">
      <c r="DS516"/>
    </row>
    <row r="517" spans="123:123">
      <c r="DS517"/>
    </row>
    <row r="518" spans="123:123">
      <c r="DS518"/>
    </row>
    <row r="519" spans="123:123">
      <c r="DS519"/>
    </row>
    <row r="520" spans="123:123">
      <c r="DS520"/>
    </row>
    <row r="521" spans="123:123">
      <c r="DS521"/>
    </row>
    <row r="522" spans="123:123">
      <c r="DS522"/>
    </row>
    <row r="523" spans="123:123">
      <c r="DS523"/>
    </row>
    <row r="524" spans="123:123">
      <c r="DS524"/>
    </row>
    <row r="525" spans="123:123">
      <c r="DS525"/>
    </row>
    <row r="526" spans="123:123">
      <c r="DS526"/>
    </row>
    <row r="527" spans="123:123">
      <c r="DS527"/>
    </row>
    <row r="528" spans="123:123">
      <c r="DS528"/>
    </row>
    <row r="529" spans="123:123">
      <c r="DS529"/>
    </row>
    <row r="530" spans="123:123">
      <c r="DS530"/>
    </row>
    <row r="531" spans="123:123">
      <c r="DS531"/>
    </row>
    <row r="532" spans="123:123">
      <c r="DS532"/>
    </row>
    <row r="533" spans="123:123">
      <c r="DS533"/>
    </row>
    <row r="534" spans="123:123">
      <c r="DS534"/>
    </row>
    <row r="535" spans="123:123">
      <c r="DS535"/>
    </row>
    <row r="536" spans="123:123">
      <c r="DS536"/>
    </row>
    <row r="537" spans="123:123">
      <c r="DS537"/>
    </row>
    <row r="538" spans="123:123">
      <c r="DS538"/>
    </row>
    <row r="539" spans="123:123">
      <c r="DS539"/>
    </row>
    <row r="540" spans="123:123">
      <c r="DS540"/>
    </row>
    <row r="541" spans="123:123">
      <c r="DS541"/>
    </row>
    <row r="542" spans="123:123">
      <c r="DS542"/>
    </row>
    <row r="543" spans="123:123">
      <c r="DS543"/>
    </row>
    <row r="544" spans="123:123">
      <c r="DS544"/>
    </row>
    <row r="545" spans="123:123">
      <c r="DS545"/>
    </row>
    <row r="546" spans="123:123">
      <c r="DS546"/>
    </row>
    <row r="547" spans="123:123">
      <c r="DS547"/>
    </row>
    <row r="548" spans="123:123">
      <c r="DS548"/>
    </row>
    <row r="549" spans="123:123">
      <c r="DS549"/>
    </row>
    <row r="550" spans="123:123">
      <c r="DS550"/>
    </row>
    <row r="551" spans="123:123">
      <c r="DS551"/>
    </row>
    <row r="552" spans="123:123">
      <c r="DS552"/>
    </row>
    <row r="553" spans="123:123">
      <c r="DS553"/>
    </row>
    <row r="554" spans="123:123">
      <c r="DS554"/>
    </row>
    <row r="555" spans="123:123">
      <c r="DS555"/>
    </row>
    <row r="556" spans="123:123">
      <c r="DS556"/>
    </row>
    <row r="557" spans="123:123">
      <c r="DS557"/>
    </row>
    <row r="558" spans="123:123">
      <c r="DS558"/>
    </row>
    <row r="559" spans="123:123">
      <c r="DS559"/>
    </row>
    <row r="560" spans="123:123">
      <c r="DS560"/>
    </row>
    <row r="561" spans="123:123">
      <c r="DS561"/>
    </row>
    <row r="562" spans="123:123">
      <c r="DS562"/>
    </row>
    <row r="563" spans="123:123">
      <c r="DS563"/>
    </row>
    <row r="564" spans="123:123">
      <c r="DS564"/>
    </row>
    <row r="565" spans="123:123">
      <c r="DS565"/>
    </row>
    <row r="566" spans="123:123">
      <c r="DS566"/>
    </row>
    <row r="567" spans="123:123">
      <c r="DS567"/>
    </row>
    <row r="568" spans="123:123">
      <c r="DS568"/>
    </row>
    <row r="569" spans="123:123">
      <c r="DS569"/>
    </row>
    <row r="570" spans="123:123">
      <c r="DS570"/>
    </row>
    <row r="571" spans="123:123">
      <c r="DS571"/>
    </row>
    <row r="572" spans="123:123">
      <c r="DS572"/>
    </row>
    <row r="573" spans="123:123">
      <c r="DS573"/>
    </row>
    <row r="574" spans="123:123">
      <c r="DS574"/>
    </row>
    <row r="575" spans="123:123">
      <c r="DS575"/>
    </row>
    <row r="576" spans="123:123">
      <c r="DS576"/>
    </row>
    <row r="577" spans="123:123">
      <c r="DS577"/>
    </row>
    <row r="578" spans="123:123">
      <c r="DS578"/>
    </row>
    <row r="579" spans="123:123">
      <c r="DS579"/>
    </row>
    <row r="580" spans="123:123">
      <c r="DS580"/>
    </row>
    <row r="581" spans="123:123">
      <c r="DS581"/>
    </row>
    <row r="582" spans="123:123">
      <c r="DS582"/>
    </row>
    <row r="583" spans="123:123">
      <c r="DS583"/>
    </row>
    <row r="584" spans="123:123">
      <c r="DS584"/>
    </row>
    <row r="585" spans="123:123">
      <c r="DS585"/>
    </row>
    <row r="586" spans="123:123">
      <c r="DS586"/>
    </row>
    <row r="587" spans="123:123">
      <c r="DS587"/>
    </row>
    <row r="588" spans="123:123">
      <c r="DS588"/>
    </row>
    <row r="589" spans="123:123">
      <c r="DS589"/>
    </row>
    <row r="590" spans="123:123">
      <c r="DS590"/>
    </row>
    <row r="591" spans="123:123">
      <c r="DS591"/>
    </row>
    <row r="592" spans="123:123">
      <c r="DS592"/>
    </row>
    <row r="593" spans="123:123">
      <c r="DS593"/>
    </row>
    <row r="594" spans="123:123">
      <c r="DS594"/>
    </row>
    <row r="595" spans="123:123">
      <c r="DS595"/>
    </row>
    <row r="596" spans="123:123">
      <c r="DS596"/>
    </row>
    <row r="597" spans="123:123">
      <c r="DS597"/>
    </row>
    <row r="598" spans="123:123">
      <c r="DS598"/>
    </row>
    <row r="599" spans="123:123">
      <c r="DS599"/>
    </row>
    <row r="600" spans="123:123">
      <c r="DS600"/>
    </row>
    <row r="601" spans="123:123">
      <c r="DS601"/>
    </row>
    <row r="602" spans="123:123">
      <c r="DS602"/>
    </row>
    <row r="603" spans="123:123">
      <c r="DS603"/>
    </row>
    <row r="604" spans="123:123">
      <c r="DS604"/>
    </row>
    <row r="605" spans="123:123">
      <c r="DS605"/>
    </row>
    <row r="606" spans="123:123">
      <c r="DS606"/>
    </row>
    <row r="607" spans="123:123">
      <c r="DS607"/>
    </row>
    <row r="608" spans="123:123">
      <c r="DS608"/>
    </row>
    <row r="609" spans="123:123">
      <c r="DS609"/>
    </row>
    <row r="610" spans="123:123">
      <c r="DS610"/>
    </row>
    <row r="611" spans="123:123">
      <c r="DS611"/>
    </row>
    <row r="612" spans="123:123">
      <c r="DS612"/>
    </row>
    <row r="613" spans="123:123">
      <c r="DS613"/>
    </row>
    <row r="614" spans="123:123">
      <c r="DS614"/>
    </row>
    <row r="615" spans="123:123">
      <c r="DS615"/>
    </row>
    <row r="616" spans="123:123">
      <c r="DS616"/>
    </row>
    <row r="617" spans="123:123">
      <c r="DS617"/>
    </row>
    <row r="618" spans="123:123">
      <c r="DS618"/>
    </row>
    <row r="619" spans="123:123">
      <c r="DS619"/>
    </row>
    <row r="620" spans="123:123">
      <c r="DS620"/>
    </row>
    <row r="621" spans="123:123">
      <c r="DS621"/>
    </row>
    <row r="622" spans="123:123">
      <c r="DS622"/>
    </row>
    <row r="623" spans="123:123">
      <c r="DS623"/>
    </row>
    <row r="624" spans="123:123">
      <c r="DS624"/>
    </row>
    <row r="625" spans="123:123">
      <c r="DS625"/>
    </row>
    <row r="626" spans="123:123">
      <c r="DS626"/>
    </row>
    <row r="627" spans="123:123">
      <c r="DS627"/>
    </row>
    <row r="628" spans="123:123">
      <c r="DS628"/>
    </row>
    <row r="629" spans="123:123">
      <c r="DS629"/>
    </row>
    <row r="630" spans="123:123">
      <c r="DS630"/>
    </row>
    <row r="631" spans="123:123">
      <c r="DS631"/>
    </row>
    <row r="632" spans="123:123">
      <c r="DS632"/>
    </row>
    <row r="633" spans="123:123">
      <c r="DS633"/>
    </row>
    <row r="634" spans="123:123">
      <c r="DS634"/>
    </row>
    <row r="635" spans="123:123">
      <c r="DS635"/>
    </row>
    <row r="636" spans="123:123">
      <c r="DS636"/>
    </row>
    <row r="637" spans="123:123">
      <c r="DS637"/>
    </row>
    <row r="638" spans="123:123">
      <c r="DS638"/>
    </row>
    <row r="639" spans="123:123">
      <c r="DS639"/>
    </row>
    <row r="640" spans="123:123">
      <c r="DS640"/>
    </row>
    <row r="641" spans="123:123">
      <c r="DS641"/>
    </row>
    <row r="642" spans="123:123">
      <c r="DS642"/>
    </row>
    <row r="643" spans="123:123">
      <c r="DS643"/>
    </row>
    <row r="644" spans="123:123">
      <c r="DS644"/>
    </row>
    <row r="645" spans="123:123">
      <c r="DS645"/>
    </row>
    <row r="646" spans="123:123">
      <c r="DS646"/>
    </row>
    <row r="647" spans="123:123">
      <c r="DS647"/>
    </row>
    <row r="648" spans="123:123">
      <c r="DS648"/>
    </row>
    <row r="649" spans="123:123">
      <c r="DS649"/>
    </row>
    <row r="650" spans="123:123">
      <c r="DS650"/>
    </row>
    <row r="651" spans="123:123">
      <c r="DS651"/>
    </row>
    <row r="652" spans="123:123">
      <c r="DS652"/>
    </row>
    <row r="653" spans="123:123">
      <c r="DS653"/>
    </row>
    <row r="654" spans="123:123">
      <c r="DS654"/>
    </row>
    <row r="655" spans="123:123">
      <c r="DS655"/>
    </row>
    <row r="656" spans="123:123">
      <c r="DS656"/>
    </row>
    <row r="657" spans="123:123">
      <c r="DS657"/>
    </row>
    <row r="658" spans="123:123">
      <c r="DS658"/>
    </row>
    <row r="659" spans="123:123">
      <c r="DS659"/>
    </row>
    <row r="660" spans="123:123">
      <c r="DS660"/>
    </row>
    <row r="661" spans="123:123">
      <c r="DS661"/>
    </row>
    <row r="662" spans="123:123">
      <c r="DS662"/>
    </row>
    <row r="663" spans="123:123">
      <c r="DS663"/>
    </row>
    <row r="664" spans="123:123">
      <c r="DS664"/>
    </row>
    <row r="665" spans="123:123">
      <c r="DS665"/>
    </row>
    <row r="666" spans="123:123">
      <c r="DS666"/>
    </row>
    <row r="667" spans="123:123">
      <c r="DS667"/>
    </row>
    <row r="668" spans="123:123">
      <c r="DS668"/>
    </row>
    <row r="669" spans="123:123">
      <c r="DS669"/>
    </row>
    <row r="670" spans="123:123">
      <c r="DS670"/>
    </row>
    <row r="671" spans="123:123">
      <c r="DS671"/>
    </row>
    <row r="672" spans="123:123">
      <c r="DS672"/>
    </row>
    <row r="673" spans="123:123">
      <c r="DS673"/>
    </row>
    <row r="674" spans="123:123">
      <c r="DS674"/>
    </row>
    <row r="675" spans="123:123">
      <c r="DS675"/>
    </row>
    <row r="676" spans="123:123">
      <c r="DS676"/>
    </row>
    <row r="677" spans="123:123">
      <c r="DS677"/>
    </row>
    <row r="678" spans="123:123">
      <c r="DS678"/>
    </row>
    <row r="679" spans="123:123">
      <c r="DS679"/>
    </row>
    <row r="680" spans="123:123">
      <c r="DS680"/>
    </row>
    <row r="681" spans="123:123">
      <c r="DS681"/>
    </row>
    <row r="682" spans="123:123">
      <c r="DS682"/>
    </row>
    <row r="683" spans="123:123">
      <c r="DS683"/>
    </row>
    <row r="684" spans="123:123">
      <c r="DS684"/>
    </row>
    <row r="685" spans="123:123">
      <c r="DS685"/>
    </row>
    <row r="686" spans="123:123">
      <c r="DS686"/>
    </row>
    <row r="687" spans="123:123">
      <c r="DS687"/>
    </row>
    <row r="688" spans="123:123">
      <c r="DS688"/>
    </row>
    <row r="689" spans="123:123">
      <c r="DS689"/>
    </row>
    <row r="690" spans="123:123">
      <c r="DS690"/>
    </row>
    <row r="691" spans="123:123">
      <c r="DS691"/>
    </row>
    <row r="692" spans="123:123">
      <c r="DS692"/>
    </row>
    <row r="693" spans="123:123">
      <c r="DS693"/>
    </row>
    <row r="694" spans="123:123">
      <c r="DS694"/>
    </row>
    <row r="695" spans="123:123">
      <c r="DS695"/>
    </row>
    <row r="696" spans="123:123">
      <c r="DS696"/>
    </row>
    <row r="697" spans="123:123">
      <c r="DS697"/>
    </row>
    <row r="698" spans="123:123">
      <c r="DS698"/>
    </row>
    <row r="699" spans="123:123">
      <c r="DS699"/>
    </row>
    <row r="700" spans="123:123">
      <c r="DS700"/>
    </row>
    <row r="701" spans="123:123">
      <c r="DS701"/>
    </row>
    <row r="702" spans="123:123">
      <c r="DS702"/>
    </row>
    <row r="703" spans="123:123">
      <c r="DS703"/>
    </row>
    <row r="704" spans="123:123">
      <c r="DS704"/>
    </row>
    <row r="705" spans="123:123">
      <c r="DS705"/>
    </row>
    <row r="706" spans="123:123">
      <c r="DS706"/>
    </row>
    <row r="707" spans="123:123">
      <c r="DS707"/>
    </row>
    <row r="708" spans="123:123">
      <c r="DS708"/>
    </row>
    <row r="709" spans="123:123">
      <c r="DS709"/>
    </row>
    <row r="710" spans="123:123">
      <c r="DS710"/>
    </row>
    <row r="711" spans="123:123">
      <c r="DS711"/>
    </row>
    <row r="712" spans="123:123">
      <c r="DS712"/>
    </row>
    <row r="713" spans="123:123">
      <c r="DS713"/>
    </row>
    <row r="714" spans="123:123">
      <c r="DS714"/>
    </row>
    <row r="715" spans="123:123">
      <c r="DS715"/>
    </row>
    <row r="716" spans="123:123">
      <c r="DS716"/>
    </row>
    <row r="717" spans="123:123">
      <c r="DS717"/>
    </row>
    <row r="718" spans="123:123">
      <c r="DS718"/>
    </row>
    <row r="719" spans="123:123">
      <c r="DS719"/>
    </row>
    <row r="720" spans="123:123">
      <c r="DS720"/>
    </row>
    <row r="721" spans="123:123">
      <c r="DS721"/>
    </row>
    <row r="722" spans="123:123">
      <c r="DS722"/>
    </row>
    <row r="723" spans="123:123">
      <c r="DS723"/>
    </row>
    <row r="724" spans="123:123">
      <c r="DS724"/>
    </row>
    <row r="725" spans="123:123">
      <c r="DS725"/>
    </row>
    <row r="726" spans="123:123">
      <c r="DS726"/>
    </row>
    <row r="727" spans="123:123">
      <c r="DS727"/>
    </row>
    <row r="728" spans="123:123">
      <c r="DS728"/>
    </row>
    <row r="729" spans="123:123">
      <c r="DS729"/>
    </row>
    <row r="730" spans="123:123">
      <c r="DS730"/>
    </row>
    <row r="731" spans="123:123">
      <c r="DS731"/>
    </row>
    <row r="732" spans="123:123">
      <c r="DS732"/>
    </row>
    <row r="733" spans="123:123">
      <c r="DS733"/>
    </row>
    <row r="734" spans="123:123">
      <c r="DS734"/>
    </row>
    <row r="735" spans="123:123">
      <c r="DS735"/>
    </row>
    <row r="736" spans="123:123">
      <c r="DS736"/>
    </row>
    <row r="737" spans="123:123">
      <c r="DS737"/>
    </row>
    <row r="738" spans="123:123">
      <c r="DS738"/>
    </row>
    <row r="739" spans="123:123">
      <c r="DS739"/>
    </row>
    <row r="740" spans="123:123">
      <c r="DS740"/>
    </row>
    <row r="741" spans="123:123">
      <c r="DS741"/>
    </row>
    <row r="742" spans="123:123">
      <c r="DS742"/>
    </row>
    <row r="743" spans="123:123">
      <c r="DS743"/>
    </row>
    <row r="744" spans="123:123">
      <c r="DS744"/>
    </row>
    <row r="745" spans="123:123">
      <c r="DS745"/>
    </row>
    <row r="746" spans="123:123">
      <c r="DS746"/>
    </row>
    <row r="747" spans="123:123">
      <c r="DS747"/>
    </row>
    <row r="748" spans="123:123">
      <c r="DS748"/>
    </row>
    <row r="749" spans="123:123">
      <c r="DS749"/>
    </row>
    <row r="750" spans="123:123">
      <c r="DS750"/>
    </row>
    <row r="751" spans="123:123">
      <c r="DS751"/>
    </row>
    <row r="752" spans="123:123">
      <c r="DS752"/>
    </row>
    <row r="753" spans="123:123">
      <c r="DS753"/>
    </row>
    <row r="754" spans="123:123">
      <c r="DS754"/>
    </row>
    <row r="755" spans="123:123">
      <c r="DS755"/>
    </row>
    <row r="756" spans="123:123">
      <c r="DS756"/>
    </row>
    <row r="757" spans="123:123">
      <c r="DS757"/>
    </row>
    <row r="758" spans="123:123">
      <c r="DS758"/>
    </row>
    <row r="759" spans="123:123">
      <c r="DS759"/>
    </row>
    <row r="760" spans="123:123">
      <c r="DS760"/>
    </row>
    <row r="761" spans="123:123">
      <c r="DS761"/>
    </row>
    <row r="762" spans="123:123">
      <c r="DS762"/>
    </row>
    <row r="763" spans="123:123">
      <c r="DS763"/>
    </row>
    <row r="764" spans="123:123">
      <c r="DS764"/>
    </row>
    <row r="765" spans="123:123">
      <c r="DS765"/>
    </row>
    <row r="766" spans="123:123">
      <c r="DS766"/>
    </row>
    <row r="767" spans="123:123">
      <c r="DS767"/>
    </row>
    <row r="768" spans="123:123">
      <c r="DS768"/>
    </row>
    <row r="769" spans="123:123">
      <c r="DS769"/>
    </row>
    <row r="770" spans="123:123">
      <c r="DS770"/>
    </row>
    <row r="771" spans="123:123">
      <c r="DS771"/>
    </row>
    <row r="772" spans="123:123">
      <c r="DS772"/>
    </row>
    <row r="773" spans="123:123">
      <c r="DS773"/>
    </row>
    <row r="774" spans="123:123">
      <c r="DS774"/>
    </row>
    <row r="775" spans="123:123">
      <c r="DS775"/>
    </row>
    <row r="776" spans="123:123">
      <c r="DS776"/>
    </row>
    <row r="777" spans="123:123">
      <c r="DS777"/>
    </row>
    <row r="778" spans="123:123">
      <c r="DS778"/>
    </row>
    <row r="779" spans="123:123">
      <c r="DS779"/>
    </row>
    <row r="780" spans="123:123">
      <c r="DS780"/>
    </row>
    <row r="781" spans="123:123">
      <c r="DS781"/>
    </row>
    <row r="782" spans="123:123">
      <c r="DS782"/>
    </row>
    <row r="783" spans="123:123">
      <c r="DS783"/>
    </row>
    <row r="784" spans="123:123">
      <c r="DS784"/>
    </row>
    <row r="785" spans="123:123">
      <c r="DS785"/>
    </row>
    <row r="786" spans="123:123">
      <c r="DS786"/>
    </row>
    <row r="787" spans="123:123">
      <c r="DS787"/>
    </row>
    <row r="788" spans="123:123">
      <c r="DS788"/>
    </row>
    <row r="789" spans="123:123">
      <c r="DS789"/>
    </row>
    <row r="790" spans="123:123">
      <c r="DS790"/>
    </row>
    <row r="791" spans="123:123">
      <c r="DS791"/>
    </row>
    <row r="792" spans="123:123">
      <c r="DS792"/>
    </row>
    <row r="793" spans="123:123">
      <c r="DS793"/>
    </row>
    <row r="794" spans="123:123">
      <c r="DS794"/>
    </row>
    <row r="795" spans="123:123">
      <c r="DS795"/>
    </row>
    <row r="796" spans="123:123">
      <c r="DS796"/>
    </row>
    <row r="797" spans="123:123">
      <c r="DS797"/>
    </row>
    <row r="798" spans="123:123">
      <c r="DS798"/>
    </row>
    <row r="799" spans="123:123">
      <c r="DS799"/>
    </row>
    <row r="800" spans="123:123">
      <c r="DS800"/>
    </row>
    <row r="801" spans="123:123">
      <c r="DS801"/>
    </row>
    <row r="802" spans="123:123">
      <c r="DS802"/>
    </row>
    <row r="803" spans="123:123">
      <c r="DS803"/>
    </row>
    <row r="804" spans="123:123">
      <c r="DS804"/>
    </row>
    <row r="805" spans="123:123">
      <c r="DS805"/>
    </row>
    <row r="806" spans="123:123">
      <c r="DS806"/>
    </row>
    <row r="807" spans="123:123">
      <c r="DS807"/>
    </row>
    <row r="808" spans="123:123">
      <c r="DS808"/>
    </row>
    <row r="809" spans="123:123">
      <c r="DS809"/>
    </row>
    <row r="810" spans="123:123">
      <c r="DS810"/>
    </row>
    <row r="811" spans="123:123">
      <c r="DS811"/>
    </row>
    <row r="812" spans="123:123">
      <c r="DS812"/>
    </row>
    <row r="813" spans="123:123">
      <c r="DS813"/>
    </row>
    <row r="814" spans="123:123">
      <c r="DS814"/>
    </row>
    <row r="815" spans="123:123">
      <c r="DS815"/>
    </row>
    <row r="816" spans="123:123">
      <c r="DS816"/>
    </row>
    <row r="817" spans="123:123">
      <c r="DS817"/>
    </row>
    <row r="818" spans="123:123">
      <c r="DS818"/>
    </row>
    <row r="819" spans="123:123">
      <c r="DS819"/>
    </row>
    <row r="820" spans="123:123">
      <c r="DS820"/>
    </row>
    <row r="821" spans="123:123">
      <c r="DS821"/>
    </row>
    <row r="822" spans="123:123">
      <c r="DS822"/>
    </row>
    <row r="823" spans="123:123">
      <c r="DS823"/>
    </row>
    <row r="824" spans="123:123">
      <c r="DS824"/>
    </row>
    <row r="825" spans="123:123">
      <c r="DS825"/>
    </row>
    <row r="826" spans="123:123">
      <c r="DS826"/>
    </row>
    <row r="827" spans="123:123">
      <c r="DS827"/>
    </row>
    <row r="828" spans="123:123">
      <c r="DS828"/>
    </row>
    <row r="829" spans="123:123">
      <c r="DS829"/>
    </row>
    <row r="830" spans="123:123">
      <c r="DS830"/>
    </row>
    <row r="831" spans="123:123">
      <c r="DS831"/>
    </row>
    <row r="832" spans="123:123">
      <c r="DS832"/>
    </row>
    <row r="833" spans="123:123">
      <c r="DS833"/>
    </row>
    <row r="834" spans="123:123">
      <c r="DS834"/>
    </row>
    <row r="835" spans="123:123">
      <c r="DS835"/>
    </row>
    <row r="836" spans="123:123">
      <c r="DS836"/>
    </row>
    <row r="837" spans="123:123">
      <c r="DS837"/>
    </row>
    <row r="838" spans="123:123">
      <c r="DS838"/>
    </row>
    <row r="839" spans="123:123">
      <c r="DS839"/>
    </row>
    <row r="840" spans="123:123">
      <c r="DS840"/>
    </row>
    <row r="841" spans="123:123">
      <c r="DS841"/>
    </row>
    <row r="842" spans="123:123">
      <c r="DS842"/>
    </row>
    <row r="843" spans="123:123">
      <c r="DS843"/>
    </row>
    <row r="844" spans="123:123">
      <c r="DS844"/>
    </row>
    <row r="845" spans="123:123">
      <c r="DS845"/>
    </row>
    <row r="846" spans="123:123">
      <c r="DS846"/>
    </row>
    <row r="847" spans="123:123">
      <c r="DS847"/>
    </row>
    <row r="848" spans="123:123">
      <c r="DS848"/>
    </row>
    <row r="849" spans="123:123">
      <c r="DS849"/>
    </row>
    <row r="850" spans="123:123">
      <c r="DS850"/>
    </row>
    <row r="851" spans="123:123">
      <c r="DS851"/>
    </row>
    <row r="852" spans="123:123">
      <c r="DS852"/>
    </row>
    <row r="853" spans="123:123">
      <c r="DS853"/>
    </row>
    <row r="854" spans="123:123">
      <c r="DS854"/>
    </row>
    <row r="855" spans="123:123">
      <c r="DS855"/>
    </row>
    <row r="856" spans="123:123">
      <c r="DS856"/>
    </row>
    <row r="857" spans="123:123">
      <c r="DS857"/>
    </row>
    <row r="858" spans="123:123">
      <c r="DS858"/>
    </row>
    <row r="859" spans="123:123">
      <c r="DS859"/>
    </row>
    <row r="860" spans="123:123">
      <c r="DS860"/>
    </row>
    <row r="861" spans="123:123">
      <c r="DS861"/>
    </row>
    <row r="862" spans="123:123">
      <c r="DS862"/>
    </row>
    <row r="863" spans="123:123">
      <c r="DS863"/>
    </row>
    <row r="864" spans="123:123">
      <c r="DS864"/>
    </row>
    <row r="865" spans="123:123">
      <c r="DS865"/>
    </row>
    <row r="866" spans="123:123">
      <c r="DS866"/>
    </row>
    <row r="867" spans="123:123">
      <c r="DS867"/>
    </row>
    <row r="868" spans="123:123">
      <c r="DS868"/>
    </row>
    <row r="869" spans="123:123">
      <c r="DS869"/>
    </row>
    <row r="870" spans="123:123">
      <c r="DS870"/>
    </row>
    <row r="871" spans="123:123">
      <c r="DS871"/>
    </row>
    <row r="872" spans="123:123">
      <c r="DS872"/>
    </row>
    <row r="873" spans="123:123">
      <c r="DS873"/>
    </row>
    <row r="874" spans="123:123">
      <c r="DS874"/>
    </row>
    <row r="875" spans="123:123">
      <c r="DS875"/>
    </row>
    <row r="876" spans="123:123">
      <c r="DS876"/>
    </row>
    <row r="877" spans="123:123">
      <c r="DS877"/>
    </row>
    <row r="878" spans="123:123">
      <c r="DS878"/>
    </row>
    <row r="879" spans="123:123">
      <c r="DS879"/>
    </row>
    <row r="880" spans="123:123">
      <c r="DS880"/>
    </row>
    <row r="881" spans="123:123">
      <c r="DS881"/>
    </row>
    <row r="882" spans="123:123">
      <c r="DS882"/>
    </row>
    <row r="883" spans="123:123">
      <c r="DS883"/>
    </row>
    <row r="884" spans="123:123">
      <c r="DS884"/>
    </row>
    <row r="885" spans="123:123">
      <c r="DS885"/>
    </row>
    <row r="886" spans="123:123">
      <c r="DS886"/>
    </row>
    <row r="887" spans="123:123">
      <c r="DS887"/>
    </row>
    <row r="888" spans="123:123">
      <c r="DS888"/>
    </row>
    <row r="889" spans="123:123">
      <c r="DS889"/>
    </row>
    <row r="890" spans="123:123">
      <c r="DS890"/>
    </row>
    <row r="891" spans="123:123">
      <c r="DS891"/>
    </row>
    <row r="892" spans="123:123">
      <c r="DS892"/>
    </row>
    <row r="893" spans="123:123">
      <c r="DS893"/>
    </row>
    <row r="894" spans="123:123">
      <c r="DS894"/>
    </row>
    <row r="895" spans="123:123">
      <c r="DS895"/>
    </row>
    <row r="896" spans="123:123">
      <c r="DS896"/>
    </row>
    <row r="897" spans="123:123">
      <c r="DS897"/>
    </row>
    <row r="898" spans="123:123">
      <c r="DS898"/>
    </row>
    <row r="899" spans="123:123">
      <c r="DS899"/>
    </row>
    <row r="900" spans="123:123">
      <c r="DS900"/>
    </row>
    <row r="901" spans="123:123">
      <c r="DS901"/>
    </row>
    <row r="902" spans="123:123">
      <c r="DS902"/>
    </row>
    <row r="903" spans="123:123">
      <c r="DS903"/>
    </row>
    <row r="904" spans="123:123">
      <c r="DS904"/>
    </row>
    <row r="905" spans="123:123">
      <c r="DS905"/>
    </row>
    <row r="906" spans="123:123">
      <c r="DS906"/>
    </row>
    <row r="907" spans="123:123">
      <c r="DS907"/>
    </row>
    <row r="908" spans="123:123">
      <c r="DS908"/>
    </row>
    <row r="909" spans="123:123">
      <c r="DS909"/>
    </row>
    <row r="910" spans="123:123">
      <c r="DS910"/>
    </row>
    <row r="911" spans="123:123">
      <c r="DS911"/>
    </row>
    <row r="912" spans="123:123">
      <c r="DS912"/>
    </row>
    <row r="913" spans="123:123">
      <c r="DS913"/>
    </row>
    <row r="914" spans="123:123">
      <c r="DS914"/>
    </row>
    <row r="915" spans="123:123">
      <c r="DS915"/>
    </row>
    <row r="916" spans="123:123">
      <c r="DS916"/>
    </row>
    <row r="917" spans="123:123">
      <c r="DS917"/>
    </row>
    <row r="918" spans="123:123">
      <c r="DS918"/>
    </row>
    <row r="919" spans="123:123">
      <c r="DS919"/>
    </row>
    <row r="920" spans="123:123">
      <c r="DS920"/>
    </row>
    <row r="921" spans="123:123">
      <c r="DS921"/>
    </row>
    <row r="922" spans="123:123">
      <c r="DS922"/>
    </row>
    <row r="923" spans="123:123">
      <c r="DS923"/>
    </row>
    <row r="924" spans="123:123">
      <c r="DS924"/>
    </row>
    <row r="925" spans="123:123">
      <c r="DS925"/>
    </row>
    <row r="926" spans="123:123">
      <c r="DS926"/>
    </row>
    <row r="927" spans="123:123">
      <c r="DS927"/>
    </row>
    <row r="928" spans="123:123">
      <c r="DS928"/>
    </row>
    <row r="929" spans="123:123">
      <c r="DS929"/>
    </row>
    <row r="930" spans="123:123">
      <c r="DS930"/>
    </row>
    <row r="931" spans="123:123">
      <c r="DS931"/>
    </row>
    <row r="932" spans="123:123">
      <c r="DS932"/>
    </row>
    <row r="933" spans="123:123">
      <c r="DS933"/>
    </row>
    <row r="934" spans="123:123">
      <c r="DS934"/>
    </row>
    <row r="935" spans="123:123">
      <c r="DS935"/>
    </row>
    <row r="936" spans="123:123">
      <c r="DS936"/>
    </row>
    <row r="937" spans="123:123">
      <c r="DS937"/>
    </row>
    <row r="938" spans="123:123">
      <c r="DS938"/>
    </row>
    <row r="939" spans="123:123">
      <c r="DS939"/>
    </row>
    <row r="940" spans="123:123">
      <c r="DS940"/>
    </row>
    <row r="941" spans="123:123">
      <c r="DS941"/>
    </row>
    <row r="942" spans="123:123">
      <c r="DS942"/>
    </row>
    <row r="943" spans="123:123">
      <c r="DS943"/>
    </row>
    <row r="944" spans="123:123">
      <c r="DS944"/>
    </row>
    <row r="945" spans="123:123">
      <c r="DS945"/>
    </row>
    <row r="946" spans="123:123">
      <c r="DS946"/>
    </row>
    <row r="947" spans="123:123">
      <c r="DS947"/>
    </row>
    <row r="948" spans="123:123">
      <c r="DS948"/>
    </row>
    <row r="949" spans="123:123">
      <c r="DS949"/>
    </row>
    <row r="950" spans="123:123">
      <c r="DS950"/>
    </row>
    <row r="951" spans="123:123">
      <c r="DS951"/>
    </row>
    <row r="952" spans="123:123">
      <c r="DS952"/>
    </row>
    <row r="953" spans="123:123">
      <c r="DS953"/>
    </row>
    <row r="954" spans="123:123">
      <c r="DS954"/>
    </row>
    <row r="955" spans="123:123">
      <c r="DS955"/>
    </row>
    <row r="956" spans="123:123">
      <c r="DS956"/>
    </row>
    <row r="957" spans="123:123">
      <c r="DS957"/>
    </row>
    <row r="958" spans="123:123">
      <c r="DS958"/>
    </row>
    <row r="959" spans="123:123">
      <c r="DS959"/>
    </row>
    <row r="960" spans="123:123">
      <c r="DS960"/>
    </row>
    <row r="961" spans="123:123">
      <c r="DS961"/>
    </row>
    <row r="962" spans="123:123">
      <c r="DS962"/>
    </row>
    <row r="963" spans="123:123">
      <c r="DS963"/>
    </row>
    <row r="964" spans="123:123">
      <c r="DS964"/>
    </row>
    <row r="965" spans="123:123">
      <c r="DS965"/>
    </row>
    <row r="966" spans="123:123">
      <c r="DS966"/>
    </row>
    <row r="967" spans="123:123">
      <c r="DS967"/>
    </row>
    <row r="968" spans="123:123">
      <c r="DS968"/>
    </row>
    <row r="969" spans="123:123">
      <c r="DS969"/>
    </row>
    <row r="970" spans="123:123">
      <c r="DS970"/>
    </row>
    <row r="971" spans="123:123">
      <c r="DS971"/>
    </row>
    <row r="972" spans="123:123">
      <c r="DS972"/>
    </row>
    <row r="973" spans="123:123">
      <c r="DS973"/>
    </row>
    <row r="974" spans="123:123">
      <c r="DS974"/>
    </row>
    <row r="975" spans="123:123">
      <c r="DS975"/>
    </row>
    <row r="976" spans="123:123">
      <c r="DS976"/>
    </row>
    <row r="977" spans="123:123">
      <c r="DS977"/>
    </row>
    <row r="978" spans="123:123">
      <c r="DS978"/>
    </row>
    <row r="979" spans="123:123">
      <c r="DS979"/>
    </row>
    <row r="980" spans="123:123">
      <c r="DS980"/>
    </row>
    <row r="981" spans="123:123">
      <c r="DS981"/>
    </row>
    <row r="982" spans="123:123">
      <c r="DS982"/>
    </row>
    <row r="983" spans="123:123">
      <c r="DS983"/>
    </row>
    <row r="984" spans="123:123">
      <c r="DS984"/>
    </row>
    <row r="985" spans="123:123">
      <c r="DS985"/>
    </row>
    <row r="986" spans="123:123">
      <c r="DS986"/>
    </row>
    <row r="987" spans="123:123">
      <c r="DS987"/>
    </row>
    <row r="988" spans="123:123">
      <c r="DS988"/>
    </row>
    <row r="989" spans="123:123">
      <c r="DS989"/>
    </row>
    <row r="990" spans="123:123">
      <c r="DS990"/>
    </row>
    <row r="991" spans="123:123">
      <c r="DS991"/>
    </row>
    <row r="992" spans="123:123">
      <c r="DS992"/>
    </row>
    <row r="993" spans="123:123">
      <c r="DS993"/>
    </row>
    <row r="994" spans="123:123">
      <c r="DS994"/>
    </row>
    <row r="995" spans="123:123">
      <c r="DS995"/>
    </row>
    <row r="996" spans="123:123">
      <c r="DS996"/>
    </row>
    <row r="997" spans="123:123">
      <c r="DS997"/>
    </row>
    <row r="998" spans="123:123">
      <c r="DS998"/>
    </row>
    <row r="999" spans="123:123">
      <c r="DS999"/>
    </row>
    <row r="1000" spans="123:123">
      <c r="DS1000"/>
    </row>
    <row r="1001" spans="123:123">
      <c r="DS1001"/>
    </row>
    <row r="1002" spans="123:123">
      <c r="DS1002"/>
    </row>
    <row r="1003" spans="123:123">
      <c r="DS1003"/>
    </row>
    <row r="1004" spans="123:123">
      <c r="DS1004"/>
    </row>
    <row r="1005" spans="123:123">
      <c r="DS1005"/>
    </row>
    <row r="1006" spans="123:123">
      <c r="DS1006"/>
    </row>
    <row r="1007" spans="123:123">
      <c r="DS1007"/>
    </row>
    <row r="1008" spans="123:123">
      <c r="DS1008"/>
    </row>
    <row r="1009" spans="123:123">
      <c r="DS1009"/>
    </row>
    <row r="1010" spans="123:123">
      <c r="DS1010"/>
    </row>
    <row r="1011" spans="123:123">
      <c r="DS1011"/>
    </row>
    <row r="1012" spans="123:123">
      <c r="DS1012"/>
    </row>
    <row r="1013" spans="123:123">
      <c r="DS1013"/>
    </row>
    <row r="1014" spans="123:123">
      <c r="DS1014"/>
    </row>
    <row r="1015" spans="123:123">
      <c r="DS1015"/>
    </row>
    <row r="1016" spans="123:123">
      <c r="DS1016"/>
    </row>
    <row r="1017" spans="123:123">
      <c r="DS1017"/>
    </row>
    <row r="1018" spans="123:123">
      <c r="DS1018"/>
    </row>
    <row r="1019" spans="123:123">
      <c r="DS1019"/>
    </row>
    <row r="1020" spans="123:123">
      <c r="DS1020"/>
    </row>
    <row r="1021" spans="123:123">
      <c r="DS1021"/>
    </row>
    <row r="1022" spans="123:123">
      <c r="DS1022"/>
    </row>
    <row r="1023" spans="123:123">
      <c r="DS1023"/>
    </row>
    <row r="1024" spans="123:123">
      <c r="DS1024"/>
    </row>
    <row r="1025" spans="123:123">
      <c r="DS1025"/>
    </row>
    <row r="1026" spans="123:123">
      <c r="DS1026"/>
    </row>
    <row r="1027" spans="123:123">
      <c r="DS1027"/>
    </row>
    <row r="1028" spans="123:123">
      <c r="DS1028"/>
    </row>
    <row r="1029" spans="123:123">
      <c r="DS1029"/>
    </row>
    <row r="1030" spans="123:123">
      <c r="DS1030"/>
    </row>
    <row r="1031" spans="123:123">
      <c r="DS1031"/>
    </row>
    <row r="1032" spans="123:123">
      <c r="DS1032"/>
    </row>
    <row r="1033" spans="123:123">
      <c r="DS1033"/>
    </row>
    <row r="1034" spans="123:123">
      <c r="DS1034"/>
    </row>
    <row r="1035" spans="123:123">
      <c r="DS1035"/>
    </row>
    <row r="1036" spans="123:123">
      <c r="DS1036"/>
    </row>
    <row r="1037" spans="123:123">
      <c r="DS1037"/>
    </row>
    <row r="1038" spans="123:123">
      <c r="DS1038"/>
    </row>
    <row r="1039" spans="123:123">
      <c r="DS1039"/>
    </row>
    <row r="1040" spans="123:123">
      <c r="DS1040"/>
    </row>
    <row r="1041" spans="123:123">
      <c r="DS1041"/>
    </row>
    <row r="1042" spans="123:123">
      <c r="DS1042"/>
    </row>
    <row r="1043" spans="123:123">
      <c r="DS1043"/>
    </row>
    <row r="1044" spans="123:123">
      <c r="DS1044"/>
    </row>
    <row r="1045" spans="123:123">
      <c r="DS1045"/>
    </row>
    <row r="1046" spans="123:123">
      <c r="DS1046"/>
    </row>
    <row r="1047" spans="123:123">
      <c r="DS1047"/>
    </row>
    <row r="1048" spans="123:123">
      <c r="DS1048"/>
    </row>
    <row r="1049" spans="123:123">
      <c r="DS1049"/>
    </row>
    <row r="1050" spans="123:123">
      <c r="DS1050"/>
    </row>
    <row r="1051" spans="123:123">
      <c r="DS1051"/>
    </row>
    <row r="1052" spans="123:123">
      <c r="DS1052"/>
    </row>
    <row r="1053" spans="123:123">
      <c r="DS1053"/>
    </row>
    <row r="1054" spans="123:123">
      <c r="DS1054"/>
    </row>
    <row r="1055" spans="123:123">
      <c r="DS1055"/>
    </row>
    <row r="1056" spans="123:123">
      <c r="DS1056"/>
    </row>
    <row r="1057" spans="123:123">
      <c r="DS1057"/>
    </row>
    <row r="1058" spans="123:123">
      <c r="DS1058"/>
    </row>
    <row r="1059" spans="123:123">
      <c r="DS1059"/>
    </row>
    <row r="1060" spans="123:123">
      <c r="DS1060"/>
    </row>
    <row r="1061" spans="123:123">
      <c r="DS1061"/>
    </row>
    <row r="1062" spans="123:123">
      <c r="DS1062"/>
    </row>
    <row r="1063" spans="123:123">
      <c r="DS1063"/>
    </row>
    <row r="1064" spans="123:123">
      <c r="DS1064"/>
    </row>
    <row r="1065" spans="123:123">
      <c r="DS1065"/>
    </row>
    <row r="1066" spans="123:123">
      <c r="DS1066"/>
    </row>
    <row r="1067" spans="123:123">
      <c r="DS1067"/>
    </row>
    <row r="1068" spans="123:123">
      <c r="DS1068"/>
    </row>
    <row r="1069" spans="123:123">
      <c r="DS1069"/>
    </row>
    <row r="1070" spans="123:123">
      <c r="DS1070"/>
    </row>
    <row r="1071" spans="123:123">
      <c r="DS1071"/>
    </row>
    <row r="1072" spans="123:123">
      <c r="DS1072"/>
    </row>
    <row r="1073" spans="123:123">
      <c r="DS1073"/>
    </row>
    <row r="1074" spans="123:123">
      <c r="DS1074"/>
    </row>
    <row r="1075" spans="123:123">
      <c r="DS1075"/>
    </row>
    <row r="1076" spans="123:123">
      <c r="DS1076"/>
    </row>
    <row r="1077" spans="123:123">
      <c r="DS1077"/>
    </row>
    <row r="1078" spans="123:123">
      <c r="DS1078"/>
    </row>
    <row r="1079" spans="123:123">
      <c r="DS1079"/>
    </row>
    <row r="1080" spans="123:123">
      <c r="DS1080"/>
    </row>
    <row r="1081" spans="123:123">
      <c r="DS1081"/>
    </row>
    <row r="1082" spans="123:123">
      <c r="DS1082"/>
    </row>
    <row r="1083" spans="123:123">
      <c r="DS1083"/>
    </row>
    <row r="1084" spans="123:123">
      <c r="DS1084"/>
    </row>
    <row r="1085" spans="123:123">
      <c r="DS1085"/>
    </row>
    <row r="1086" spans="123:123">
      <c r="DS1086"/>
    </row>
    <row r="1087" spans="123:123">
      <c r="DS1087"/>
    </row>
    <row r="1088" spans="123:123">
      <c r="DS1088"/>
    </row>
    <row r="1089" spans="123:123">
      <c r="DS1089"/>
    </row>
    <row r="1090" spans="123:123">
      <c r="DS1090"/>
    </row>
    <row r="1091" spans="123:123">
      <c r="DS1091"/>
    </row>
    <row r="1092" spans="123:123">
      <c r="DS1092"/>
    </row>
    <row r="1093" spans="123:123">
      <c r="DS1093"/>
    </row>
    <row r="1094" spans="123:123">
      <c r="DS1094"/>
    </row>
    <row r="1095" spans="123:123">
      <c r="DS1095"/>
    </row>
    <row r="1096" spans="123:123">
      <c r="DS1096"/>
    </row>
    <row r="1097" spans="123:123">
      <c r="DS1097"/>
    </row>
    <row r="1098" spans="123:123">
      <c r="DS1098"/>
    </row>
    <row r="1099" spans="123:123">
      <c r="DS1099"/>
    </row>
    <row r="1100" spans="123:123">
      <c r="DS1100"/>
    </row>
    <row r="1101" spans="123:123">
      <c r="DS1101"/>
    </row>
    <row r="1102" spans="123:123">
      <c r="DS1102"/>
    </row>
    <row r="1103" spans="123:123">
      <c r="DS1103"/>
    </row>
    <row r="1104" spans="123:123">
      <c r="DS1104"/>
    </row>
    <row r="1105" spans="123:123">
      <c r="DS1105"/>
    </row>
    <row r="1106" spans="123:123">
      <c r="DS1106"/>
    </row>
    <row r="1107" spans="123:123">
      <c r="DS1107"/>
    </row>
    <row r="1108" spans="123:123">
      <c r="DS1108"/>
    </row>
    <row r="1109" spans="123:123">
      <c r="DS1109"/>
    </row>
    <row r="1110" spans="123:123">
      <c r="DS1110"/>
    </row>
    <row r="1111" spans="123:123">
      <c r="DS1111"/>
    </row>
    <row r="1112" spans="123:123">
      <c r="DS1112"/>
    </row>
    <row r="1113" spans="123:123">
      <c r="DS1113"/>
    </row>
    <row r="1114" spans="123:123">
      <c r="DS1114"/>
    </row>
    <row r="1115" spans="123:123">
      <c r="DS1115"/>
    </row>
    <row r="1116" spans="123:123">
      <c r="DS1116"/>
    </row>
    <row r="1117" spans="123:123">
      <c r="DS1117"/>
    </row>
    <row r="1118" spans="123:123">
      <c r="DS1118"/>
    </row>
    <row r="1119" spans="123:123">
      <c r="DS1119"/>
    </row>
    <row r="1120" spans="123:123">
      <c r="DS1120"/>
    </row>
    <row r="1121" spans="123:123">
      <c r="DS1121"/>
    </row>
    <row r="1122" spans="123:123">
      <c r="DS1122"/>
    </row>
    <row r="1123" spans="123:123">
      <c r="DS1123"/>
    </row>
    <row r="1124" spans="123:123">
      <c r="DS1124"/>
    </row>
    <row r="1125" spans="123:123">
      <c r="DS1125"/>
    </row>
    <row r="1126" spans="123:123">
      <c r="DS1126"/>
    </row>
    <row r="1127" spans="123:123">
      <c r="DS1127"/>
    </row>
    <row r="1128" spans="123:123">
      <c r="DS1128"/>
    </row>
    <row r="1129" spans="123:123">
      <c r="DS1129"/>
    </row>
    <row r="1130" spans="123:123">
      <c r="DS1130"/>
    </row>
    <row r="1131" spans="123:123">
      <c r="DS1131"/>
    </row>
    <row r="1132" spans="123:123">
      <c r="DS1132"/>
    </row>
    <row r="1133" spans="123:123">
      <c r="DS1133"/>
    </row>
    <row r="1134" spans="123:123">
      <c r="DS1134"/>
    </row>
    <row r="1135" spans="123:123">
      <c r="DS1135"/>
    </row>
    <row r="1136" spans="123:123">
      <c r="DS1136"/>
    </row>
    <row r="1137" spans="123:123">
      <c r="DS1137"/>
    </row>
    <row r="1138" spans="123:123">
      <c r="DS1138"/>
    </row>
    <row r="1139" spans="123:123">
      <c r="DS1139"/>
    </row>
    <row r="1140" spans="123:123">
      <c r="DS1140"/>
    </row>
    <row r="1141" spans="123:123">
      <c r="DS1141"/>
    </row>
    <row r="1142" spans="123:123">
      <c r="DS1142"/>
    </row>
    <row r="1143" spans="123:123">
      <c r="DS1143"/>
    </row>
    <row r="1144" spans="123:123">
      <c r="DS1144"/>
    </row>
    <row r="1145" spans="123:123">
      <c r="DS1145"/>
    </row>
    <row r="1146" spans="123:123">
      <c r="DS1146"/>
    </row>
    <row r="1147" spans="123:123">
      <c r="DS1147"/>
    </row>
    <row r="1148" spans="123:123">
      <c r="DS1148"/>
    </row>
    <row r="1149" spans="123:123">
      <c r="DS1149"/>
    </row>
    <row r="1150" spans="123:123">
      <c r="DS1150"/>
    </row>
    <row r="1151" spans="123:123">
      <c r="DS1151"/>
    </row>
    <row r="1152" spans="123:123">
      <c r="DS1152"/>
    </row>
    <row r="1153" spans="123:123">
      <c r="DS1153"/>
    </row>
    <row r="1154" spans="123:123">
      <c r="DS1154"/>
    </row>
    <row r="1155" spans="123:123">
      <c r="DS1155"/>
    </row>
    <row r="1156" spans="123:123">
      <c r="DS1156"/>
    </row>
    <row r="1157" spans="123:123">
      <c r="DS1157"/>
    </row>
    <row r="1158" spans="123:123">
      <c r="DS1158"/>
    </row>
    <row r="1159" spans="123:123">
      <c r="DS1159"/>
    </row>
    <row r="1160" spans="123:123">
      <c r="DS1160"/>
    </row>
    <row r="1161" spans="123:123">
      <c r="DS1161"/>
    </row>
    <row r="1162" spans="123:123">
      <c r="DS1162"/>
    </row>
    <row r="1163" spans="123:123">
      <c r="DS1163"/>
    </row>
    <row r="1164" spans="123:123">
      <c r="DS1164"/>
    </row>
    <row r="1165" spans="123:123">
      <c r="DS1165"/>
    </row>
    <row r="1166" spans="123:123">
      <c r="DS1166"/>
    </row>
    <row r="1167" spans="123:123">
      <c r="DS1167"/>
    </row>
    <row r="1168" spans="123:123">
      <c r="DS1168"/>
    </row>
    <row r="1169" spans="123:123">
      <c r="DS1169"/>
    </row>
    <row r="1170" spans="123:123">
      <c r="DS1170"/>
    </row>
    <row r="1171" spans="123:123">
      <c r="DS1171"/>
    </row>
    <row r="1172" spans="123:123">
      <c r="DS1172"/>
    </row>
    <row r="1173" spans="123:123">
      <c r="DS1173"/>
    </row>
    <row r="1174" spans="123:123">
      <c r="DS1174"/>
    </row>
    <row r="1175" spans="123:123">
      <c r="DS1175"/>
    </row>
    <row r="1176" spans="123:123">
      <c r="DS1176"/>
    </row>
    <row r="1177" spans="123:123">
      <c r="DS1177"/>
    </row>
    <row r="1178" spans="123:123">
      <c r="DS1178"/>
    </row>
    <row r="1179" spans="123:123">
      <c r="DS1179"/>
    </row>
    <row r="1180" spans="123:123">
      <c r="DS1180"/>
    </row>
    <row r="1181" spans="123:123">
      <c r="DS1181"/>
    </row>
    <row r="1182" spans="123:123">
      <c r="DS1182"/>
    </row>
    <row r="1183" spans="123:123">
      <c r="DS1183"/>
    </row>
    <row r="1184" spans="123:123">
      <c r="DS1184"/>
    </row>
    <row r="1185" spans="123:123">
      <c r="DS1185"/>
    </row>
    <row r="1186" spans="123:123">
      <c r="DS1186"/>
    </row>
    <row r="1187" spans="123:123">
      <c r="DS1187"/>
    </row>
    <row r="1188" spans="123:123">
      <c r="DS1188"/>
    </row>
    <row r="1189" spans="123:123">
      <c r="DS1189"/>
    </row>
    <row r="1190" spans="123:123">
      <c r="DS1190"/>
    </row>
    <row r="1191" spans="123:123">
      <c r="DS1191"/>
    </row>
    <row r="1192" spans="123:123">
      <c r="DS1192"/>
    </row>
    <row r="1193" spans="123:123">
      <c r="DS1193"/>
    </row>
    <row r="1194" spans="123:123">
      <c r="DS1194"/>
    </row>
    <row r="1195" spans="123:123">
      <c r="DS1195"/>
    </row>
    <row r="1196" spans="123:123">
      <c r="DS1196"/>
    </row>
    <row r="1197" spans="123:123">
      <c r="DS1197"/>
    </row>
    <row r="1198" spans="123:123">
      <c r="DS1198"/>
    </row>
    <row r="1199" spans="123:123">
      <c r="DS1199"/>
    </row>
    <row r="1200" spans="123:123">
      <c r="DS1200"/>
    </row>
    <row r="1201" spans="123:123">
      <c r="DS1201"/>
    </row>
    <row r="1202" spans="123:123">
      <c r="DS1202"/>
    </row>
    <row r="1203" spans="123:123">
      <c r="DS1203"/>
    </row>
    <row r="1204" spans="123:123">
      <c r="DS1204"/>
    </row>
    <row r="1205" spans="123:123">
      <c r="DS1205"/>
    </row>
    <row r="1206" spans="123:123">
      <c r="DS1206"/>
    </row>
    <row r="1207" spans="123:123">
      <c r="DS1207"/>
    </row>
    <row r="1208" spans="123:123">
      <c r="DS1208"/>
    </row>
    <row r="1209" spans="123:123">
      <c r="DS1209"/>
    </row>
    <row r="1210" spans="123:123">
      <c r="DS1210"/>
    </row>
    <row r="1211" spans="123:123">
      <c r="DS1211"/>
    </row>
    <row r="1212" spans="123:123">
      <c r="DS1212"/>
    </row>
    <row r="1213" spans="123:123">
      <c r="DS1213"/>
    </row>
    <row r="1214" spans="123:123">
      <c r="DS1214"/>
    </row>
    <row r="1215" spans="123:123">
      <c r="DS1215"/>
    </row>
    <row r="1216" spans="123:123">
      <c r="DS1216"/>
    </row>
    <row r="1217" spans="123:123">
      <c r="DS1217"/>
    </row>
    <row r="1218" spans="123:123">
      <c r="DS1218"/>
    </row>
    <row r="1219" spans="123:123">
      <c r="DS1219"/>
    </row>
    <row r="1220" spans="123:123">
      <c r="DS1220"/>
    </row>
    <row r="1221" spans="123:123">
      <c r="DS1221"/>
    </row>
    <row r="1222" spans="123:123">
      <c r="DS1222"/>
    </row>
    <row r="1223" spans="123:123">
      <c r="DS1223"/>
    </row>
    <row r="1224" spans="123:123">
      <c r="DS1224"/>
    </row>
    <row r="1225" spans="123:123">
      <c r="DS1225"/>
    </row>
    <row r="1226" spans="123:123">
      <c r="DS1226"/>
    </row>
    <row r="1227" spans="123:123">
      <c r="DS1227"/>
    </row>
    <row r="1228" spans="123:123">
      <c r="DS1228"/>
    </row>
    <row r="1229" spans="123:123">
      <c r="DS1229"/>
    </row>
    <row r="1230" spans="123:123">
      <c r="DS1230"/>
    </row>
    <row r="1231" spans="123:123">
      <c r="DS1231"/>
    </row>
    <row r="1232" spans="123:123">
      <c r="DS1232"/>
    </row>
    <row r="1233" spans="123:123">
      <c r="DS1233"/>
    </row>
    <row r="1234" spans="123:123">
      <c r="DS1234"/>
    </row>
    <row r="1235" spans="123:123">
      <c r="DS1235"/>
    </row>
    <row r="1236" spans="123:123">
      <c r="DS1236"/>
    </row>
    <row r="1237" spans="123:123">
      <c r="DS1237"/>
    </row>
    <row r="1238" spans="123:123">
      <c r="DS1238"/>
    </row>
    <row r="1239" spans="123:123">
      <c r="DS1239"/>
    </row>
    <row r="1240" spans="123:123">
      <c r="DS1240"/>
    </row>
    <row r="1241" spans="123:123">
      <c r="DS1241"/>
    </row>
    <row r="1242" spans="123:123">
      <c r="DS1242"/>
    </row>
    <row r="1243" spans="123:123">
      <c r="DS1243"/>
    </row>
    <row r="1244" spans="123:123">
      <c r="DS1244"/>
    </row>
    <row r="1245" spans="123:123">
      <c r="DS1245"/>
    </row>
    <row r="1246" spans="123:123">
      <c r="DS1246"/>
    </row>
    <row r="1247" spans="123:123">
      <c r="DS1247"/>
    </row>
    <row r="1248" spans="123:123">
      <c r="DS1248"/>
    </row>
    <row r="1249" spans="123:123">
      <c r="DS1249"/>
    </row>
    <row r="1250" spans="123:123">
      <c r="DS1250"/>
    </row>
    <row r="1251" spans="123:123">
      <c r="DS1251"/>
    </row>
    <row r="1252" spans="123:123">
      <c r="DS1252"/>
    </row>
    <row r="1253" spans="123:123">
      <c r="DS1253"/>
    </row>
    <row r="1254" spans="123:123">
      <c r="DS1254"/>
    </row>
    <row r="1255" spans="123:123">
      <c r="DS1255"/>
    </row>
    <row r="1256" spans="123:123">
      <c r="DS1256"/>
    </row>
    <row r="1257" spans="123:123">
      <c r="DS1257"/>
    </row>
    <row r="1258" spans="123:123">
      <c r="DS1258"/>
    </row>
    <row r="1259" spans="123:123">
      <c r="DS1259"/>
    </row>
    <row r="1260" spans="123:123">
      <c r="DS1260"/>
    </row>
    <row r="1261" spans="123:123">
      <c r="DS1261"/>
    </row>
    <row r="1262" spans="123:123">
      <c r="DS1262"/>
    </row>
    <row r="1263" spans="123:123">
      <c r="DS1263"/>
    </row>
    <row r="1264" spans="123:123">
      <c r="DS1264"/>
    </row>
    <row r="1265" spans="123:123">
      <c r="DS1265"/>
    </row>
    <row r="1266" spans="123:123">
      <c r="DS1266"/>
    </row>
    <row r="1267" spans="123:123">
      <c r="DS1267"/>
    </row>
    <row r="1268" spans="123:123">
      <c r="DS1268"/>
    </row>
    <row r="1269" spans="123:123">
      <c r="DS1269"/>
    </row>
    <row r="1270" spans="123:123">
      <c r="DS1270"/>
    </row>
    <row r="1271" spans="123:123">
      <c r="DS1271"/>
    </row>
    <row r="1272" spans="123:123">
      <c r="DS1272"/>
    </row>
    <row r="1273" spans="123:123">
      <c r="DS1273"/>
    </row>
    <row r="1274" spans="123:123">
      <c r="DS1274"/>
    </row>
    <row r="1275" spans="123:123">
      <c r="DS1275"/>
    </row>
    <row r="1276" spans="123:123">
      <c r="DS1276"/>
    </row>
    <row r="1277" spans="123:123">
      <c r="DS1277"/>
    </row>
    <row r="1278" spans="123:123">
      <c r="DS1278"/>
    </row>
    <row r="1279" spans="123:123">
      <c r="DS1279"/>
    </row>
    <row r="1280" spans="123:123">
      <c r="DS1280"/>
    </row>
    <row r="1281" spans="123:123">
      <c r="DS1281"/>
    </row>
    <row r="1282" spans="123:123">
      <c r="DS1282"/>
    </row>
    <row r="1283" spans="123:123">
      <c r="DS1283"/>
    </row>
    <row r="1284" spans="123:123">
      <c r="DS1284"/>
    </row>
    <row r="1285" spans="123:123">
      <c r="DS1285"/>
    </row>
    <row r="1286" spans="123:123">
      <c r="DS1286"/>
    </row>
    <row r="1287" spans="123:123">
      <c r="DS1287"/>
    </row>
    <row r="1288" spans="123:123">
      <c r="DS1288"/>
    </row>
    <row r="1289" spans="123:123">
      <c r="DS1289"/>
    </row>
    <row r="1290" spans="123:123">
      <c r="DS1290"/>
    </row>
    <row r="1291" spans="123:123">
      <c r="DS1291"/>
    </row>
    <row r="1292" spans="123:123">
      <c r="DS1292"/>
    </row>
    <row r="1293" spans="123:123">
      <c r="DS1293"/>
    </row>
    <row r="1294" spans="123:123">
      <c r="DS1294"/>
    </row>
    <row r="1295" spans="123:123">
      <c r="DS1295"/>
    </row>
    <row r="1296" spans="123:123">
      <c r="DS1296"/>
    </row>
    <row r="1297" spans="123:123">
      <c r="DS1297"/>
    </row>
    <row r="1298" spans="123:123">
      <c r="DS1298"/>
    </row>
    <row r="1299" spans="123:123">
      <c r="DS1299"/>
    </row>
    <row r="1300" spans="123:123">
      <c r="DS1300"/>
    </row>
    <row r="1301" spans="123:123">
      <c r="DS1301"/>
    </row>
    <row r="1302" spans="123:123">
      <c r="DS1302"/>
    </row>
    <row r="1303" spans="123:123">
      <c r="DS1303"/>
    </row>
    <row r="1304" spans="123:123">
      <c r="DS1304"/>
    </row>
    <row r="1305" spans="123:123">
      <c r="DS1305"/>
    </row>
    <row r="1306" spans="123:123">
      <c r="DS1306"/>
    </row>
    <row r="1307" spans="123:123">
      <c r="DS1307"/>
    </row>
    <row r="1308" spans="123:123">
      <c r="DS1308"/>
    </row>
    <row r="1309" spans="123:123">
      <c r="DS1309"/>
    </row>
    <row r="1310" spans="123:123">
      <c r="DS1310"/>
    </row>
    <row r="1311" spans="123:123">
      <c r="DS1311"/>
    </row>
    <row r="1312" spans="123:123">
      <c r="DS1312"/>
    </row>
    <row r="1313" spans="123:123">
      <c r="DS1313"/>
    </row>
    <row r="1314" spans="123:123">
      <c r="DS1314"/>
    </row>
    <row r="1315" spans="123:123">
      <c r="DS1315"/>
    </row>
    <row r="1316" spans="123:123">
      <c r="DS1316"/>
    </row>
    <row r="1317" spans="123:123">
      <c r="DS1317"/>
    </row>
    <row r="1318" spans="123:123">
      <c r="DS1318"/>
    </row>
    <row r="1319" spans="123:123">
      <c r="DS1319"/>
    </row>
    <row r="1320" spans="123:123">
      <c r="DS1320"/>
    </row>
    <row r="1321" spans="123:123">
      <c r="DS1321"/>
    </row>
    <row r="1322" spans="123:123">
      <c r="DS1322"/>
    </row>
    <row r="1323" spans="123:123">
      <c r="DS1323"/>
    </row>
    <row r="1324" spans="123:123">
      <c r="DS1324"/>
    </row>
    <row r="1325" spans="123:123">
      <c r="DS1325"/>
    </row>
    <row r="1326" spans="123:123">
      <c r="DS1326"/>
    </row>
    <row r="1327" spans="123:123">
      <c r="DS1327"/>
    </row>
    <row r="1328" spans="123:123">
      <c r="DS1328"/>
    </row>
    <row r="1329" spans="123:123">
      <c r="DS1329"/>
    </row>
    <row r="1330" spans="123:123">
      <c r="DS1330"/>
    </row>
    <row r="1331" spans="123:123">
      <c r="DS1331"/>
    </row>
    <row r="1332" spans="123:123">
      <c r="DS1332"/>
    </row>
    <row r="1333" spans="123:123">
      <c r="DS1333"/>
    </row>
    <row r="1334" spans="123:123">
      <c r="DS1334"/>
    </row>
    <row r="1335" spans="123:123">
      <c r="DS1335"/>
    </row>
    <row r="1336" spans="123:123">
      <c r="DS1336"/>
    </row>
    <row r="1337" spans="123:123">
      <c r="DS1337"/>
    </row>
    <row r="1338" spans="123:123">
      <c r="DS1338"/>
    </row>
    <row r="1339" spans="123:123">
      <c r="DS1339"/>
    </row>
    <row r="1340" spans="123:123">
      <c r="DS1340"/>
    </row>
    <row r="1341" spans="123:123">
      <c r="DS1341"/>
    </row>
    <row r="1342" spans="123:123">
      <c r="DS1342"/>
    </row>
    <row r="1343" spans="123:123">
      <c r="DS1343"/>
    </row>
    <row r="1344" spans="123:123">
      <c r="DS1344"/>
    </row>
    <row r="1345" spans="123:123">
      <c r="DS1345"/>
    </row>
    <row r="1346" spans="123:123">
      <c r="DS1346"/>
    </row>
    <row r="1347" spans="123:123">
      <c r="DS1347"/>
    </row>
    <row r="1348" spans="123:123">
      <c r="DS1348"/>
    </row>
    <row r="1349" spans="123:123">
      <c r="DS1349"/>
    </row>
    <row r="1350" spans="123:123">
      <c r="DS1350"/>
    </row>
    <row r="1351" spans="123:123">
      <c r="DS1351"/>
    </row>
    <row r="1352" spans="123:123">
      <c r="DS1352"/>
    </row>
    <row r="1353" spans="123:123">
      <c r="DS1353"/>
    </row>
    <row r="1354" spans="123:123">
      <c r="DS1354"/>
    </row>
    <row r="1355" spans="123:123">
      <c r="DS1355"/>
    </row>
    <row r="1356" spans="123:123">
      <c r="DS1356"/>
    </row>
    <row r="1357" spans="123:123">
      <c r="DS1357"/>
    </row>
    <row r="1358" spans="123:123">
      <c r="DS1358"/>
    </row>
    <row r="1359" spans="123:123">
      <c r="DS1359"/>
    </row>
    <row r="1360" spans="123:123">
      <c r="DS1360"/>
    </row>
    <row r="1361" spans="123:123">
      <c r="DS1361"/>
    </row>
    <row r="1362" spans="123:123">
      <c r="DS1362"/>
    </row>
    <row r="1363" spans="123:123">
      <c r="DS1363"/>
    </row>
    <row r="1364" spans="123:123">
      <c r="DS1364"/>
    </row>
    <row r="1365" spans="123:123">
      <c r="DS1365"/>
    </row>
    <row r="1366" spans="123:123">
      <c r="DS1366"/>
    </row>
    <row r="1367" spans="123:123">
      <c r="DS1367"/>
    </row>
    <row r="1368" spans="123:123">
      <c r="DS1368"/>
    </row>
    <row r="1369" spans="123:123">
      <c r="DS1369"/>
    </row>
    <row r="1370" spans="123:123">
      <c r="DS1370"/>
    </row>
    <row r="1371" spans="123:123">
      <c r="DS1371"/>
    </row>
    <row r="1372" spans="123:123">
      <c r="DS1372"/>
    </row>
    <row r="1373" spans="123:123">
      <c r="DS1373"/>
    </row>
    <row r="1374" spans="123:123">
      <c r="DS1374"/>
    </row>
    <row r="1375" spans="123:123">
      <c r="DS1375"/>
    </row>
    <row r="1376" spans="123:123">
      <c r="DS1376"/>
    </row>
    <row r="1377" spans="123:123">
      <c r="DS1377"/>
    </row>
    <row r="1378" spans="123:123">
      <c r="DS1378"/>
    </row>
    <row r="1379" spans="123:123">
      <c r="DS1379"/>
    </row>
    <row r="1380" spans="123:123">
      <c r="DS1380"/>
    </row>
    <row r="1381" spans="123:123">
      <c r="DS1381"/>
    </row>
    <row r="1382" spans="123:123">
      <c r="DS1382"/>
    </row>
    <row r="1383" spans="123:123">
      <c r="DS1383"/>
    </row>
    <row r="1384" spans="123:123">
      <c r="DS1384"/>
    </row>
    <row r="1385" spans="123:123">
      <c r="DS1385"/>
    </row>
    <row r="1386" spans="123:123">
      <c r="DS1386"/>
    </row>
    <row r="1387" spans="123:123">
      <c r="DS1387"/>
    </row>
    <row r="1388" spans="123:123">
      <c r="DS1388"/>
    </row>
    <row r="1389" spans="123:123">
      <c r="DS1389"/>
    </row>
    <row r="1390" spans="123:123">
      <c r="DS1390"/>
    </row>
    <row r="1391" spans="123:123">
      <c r="DS1391"/>
    </row>
    <row r="1392" spans="123:123">
      <c r="DS1392"/>
    </row>
    <row r="1393" spans="123:123">
      <c r="DS1393"/>
    </row>
    <row r="1394" spans="123:123">
      <c r="DS1394"/>
    </row>
    <row r="1395" spans="123:123">
      <c r="DS1395"/>
    </row>
    <row r="1396" spans="123:123">
      <c r="DS1396"/>
    </row>
    <row r="1397" spans="123:123">
      <c r="DS1397"/>
    </row>
    <row r="1398" spans="123:123">
      <c r="DS1398"/>
    </row>
    <row r="1399" spans="123:123">
      <c r="DS1399"/>
    </row>
    <row r="1400" spans="123:123">
      <c r="DS1400"/>
    </row>
    <row r="1401" spans="123:123">
      <c r="DS1401"/>
    </row>
    <row r="1402" spans="123:123">
      <c r="DS1402"/>
    </row>
    <row r="1403" spans="123:123">
      <c r="DS1403"/>
    </row>
    <row r="1404" spans="123:123">
      <c r="DS1404"/>
    </row>
    <row r="1405" spans="123:123">
      <c r="DS1405"/>
    </row>
    <row r="1406" spans="123:123">
      <c r="DS1406"/>
    </row>
    <row r="1407" spans="123:123">
      <c r="DS1407"/>
    </row>
    <row r="1408" spans="123:123">
      <c r="DS1408"/>
    </row>
    <row r="1409" spans="123:123">
      <c r="DS1409"/>
    </row>
    <row r="1410" spans="123:123">
      <c r="DS1410"/>
    </row>
    <row r="1411" spans="123:123">
      <c r="DS1411"/>
    </row>
    <row r="1412" spans="123:123">
      <c r="DS1412"/>
    </row>
    <row r="1413" spans="123:123">
      <c r="DS1413"/>
    </row>
    <row r="1414" spans="123:123">
      <c r="DS1414"/>
    </row>
    <row r="1415" spans="123:123">
      <c r="DS1415"/>
    </row>
    <row r="1416" spans="123:123">
      <c r="DS1416"/>
    </row>
    <row r="1417" spans="123:123">
      <c r="DS1417"/>
    </row>
    <row r="1418" spans="123:123">
      <c r="DS1418"/>
    </row>
    <row r="1419" spans="123:123">
      <c r="DS1419"/>
    </row>
    <row r="1420" spans="123:123">
      <c r="DS1420"/>
    </row>
    <row r="1421" spans="123:123">
      <c r="DS1421"/>
    </row>
    <row r="1422" spans="123:123">
      <c r="DS1422"/>
    </row>
    <row r="1423" spans="123:123">
      <c r="DS1423"/>
    </row>
    <row r="1424" spans="123:123">
      <c r="DS1424"/>
    </row>
    <row r="1425" spans="123:123">
      <c r="DS1425"/>
    </row>
    <row r="1426" spans="123:123">
      <c r="DS1426"/>
    </row>
    <row r="1427" spans="123:123">
      <c r="DS1427"/>
    </row>
    <row r="1428" spans="123:123">
      <c r="DS1428"/>
    </row>
    <row r="1429" spans="123:123">
      <c r="DS1429"/>
    </row>
    <row r="1430" spans="123:123">
      <c r="DS1430"/>
    </row>
    <row r="1431" spans="123:123">
      <c r="DS1431"/>
    </row>
    <row r="1432" spans="123:123">
      <c r="DS1432"/>
    </row>
    <row r="1433" spans="123:123">
      <c r="DS1433"/>
    </row>
    <row r="1434" spans="123:123">
      <c r="DS1434"/>
    </row>
    <row r="1435" spans="123:123">
      <c r="DS1435"/>
    </row>
    <row r="1436" spans="123:123">
      <c r="DS1436"/>
    </row>
    <row r="1437" spans="123:123">
      <c r="DS1437"/>
    </row>
    <row r="1438" spans="123:123">
      <c r="DS1438"/>
    </row>
    <row r="1439" spans="123:123">
      <c r="DS1439"/>
    </row>
    <row r="1440" spans="123:123">
      <c r="DS1440"/>
    </row>
    <row r="1441" spans="123:123">
      <c r="DS1441"/>
    </row>
    <row r="1442" spans="123:123">
      <c r="DS1442"/>
    </row>
    <row r="1443" spans="123:123">
      <c r="DS1443"/>
    </row>
    <row r="1444" spans="123:123">
      <c r="DS1444"/>
    </row>
    <row r="1445" spans="123:123">
      <c r="DS1445"/>
    </row>
    <row r="1446" spans="123:123">
      <c r="DS1446"/>
    </row>
    <row r="1447" spans="123:123">
      <c r="DS1447"/>
    </row>
    <row r="1448" spans="123:123">
      <c r="DS1448"/>
    </row>
    <row r="1449" spans="123:123">
      <c r="DS1449"/>
    </row>
    <row r="1450" spans="123:123">
      <c r="DS1450"/>
    </row>
    <row r="1451" spans="123:123">
      <c r="DS1451"/>
    </row>
    <row r="1452" spans="123:123">
      <c r="DS1452"/>
    </row>
    <row r="1453" spans="123:123">
      <c r="DS1453"/>
    </row>
    <row r="1454" spans="123:123">
      <c r="DS1454"/>
    </row>
    <row r="1455" spans="123:123">
      <c r="DS1455"/>
    </row>
    <row r="1456" spans="123:123">
      <c r="DS1456"/>
    </row>
    <row r="1457" spans="123:123">
      <c r="DS1457"/>
    </row>
    <row r="1458" spans="123:123">
      <c r="DS1458"/>
    </row>
    <row r="1459" spans="123:123">
      <c r="DS1459"/>
    </row>
    <row r="1460" spans="123:123">
      <c r="DS1460"/>
    </row>
    <row r="1461" spans="123:123">
      <c r="DS1461"/>
    </row>
    <row r="1462" spans="123:123">
      <c r="DS1462"/>
    </row>
    <row r="1463" spans="123:123">
      <c r="DS1463"/>
    </row>
    <row r="1464" spans="123:123">
      <c r="DS1464"/>
    </row>
    <row r="1465" spans="123:123">
      <c r="DS1465"/>
    </row>
    <row r="1466" spans="123:123">
      <c r="DS1466"/>
    </row>
    <row r="1467" spans="123:123">
      <c r="DS1467"/>
    </row>
    <row r="1468" spans="123:123">
      <c r="DS1468"/>
    </row>
    <row r="1469" spans="123:123">
      <c r="DS1469"/>
    </row>
    <row r="1470" spans="123:123">
      <c r="DS1470"/>
    </row>
    <row r="1471" spans="123:123">
      <c r="DS1471"/>
    </row>
    <row r="1472" spans="123:123">
      <c r="DS1472"/>
    </row>
    <row r="1473" spans="123:123">
      <c r="DS1473"/>
    </row>
    <row r="1474" spans="123:123">
      <c r="DS1474"/>
    </row>
    <row r="1475" spans="123:123">
      <c r="DS1475"/>
    </row>
    <row r="1476" spans="123:123">
      <c r="DS1476"/>
    </row>
    <row r="1477" spans="123:123">
      <c r="DS1477"/>
    </row>
    <row r="1478" spans="123:123">
      <c r="DS1478"/>
    </row>
    <row r="1479" spans="123:123">
      <c r="DS1479"/>
    </row>
    <row r="1480" spans="123:123">
      <c r="DS1480"/>
    </row>
    <row r="1481" spans="123:123">
      <c r="DS1481"/>
    </row>
    <row r="1482" spans="123:123">
      <c r="DS1482"/>
    </row>
    <row r="1483" spans="123:123">
      <c r="DS1483"/>
    </row>
    <row r="1484" spans="123:123">
      <c r="DS1484"/>
    </row>
    <row r="1485" spans="123:123">
      <c r="DS1485"/>
    </row>
    <row r="1486" spans="123:123">
      <c r="DS1486"/>
    </row>
    <row r="1487" spans="123:123">
      <c r="DS1487"/>
    </row>
    <row r="1488" spans="123:123">
      <c r="DS1488"/>
    </row>
    <row r="1489" spans="123:123">
      <c r="DS1489"/>
    </row>
    <row r="1490" spans="123:123">
      <c r="DS1490"/>
    </row>
    <row r="1491" spans="123:123">
      <c r="DS1491"/>
    </row>
    <row r="1492" spans="123:123">
      <c r="DS1492"/>
    </row>
    <row r="1493" spans="123:123">
      <c r="DS1493"/>
    </row>
    <row r="1494" spans="123:123">
      <c r="DS1494"/>
    </row>
    <row r="1495" spans="123:123">
      <c r="DS1495"/>
    </row>
    <row r="1496" spans="123:123">
      <c r="DS1496"/>
    </row>
    <row r="1497" spans="123:123">
      <c r="DS1497"/>
    </row>
    <row r="1498" spans="123:123">
      <c r="DS1498"/>
    </row>
    <row r="1499" spans="123:123">
      <c r="DS1499"/>
    </row>
    <row r="1500" spans="123:123">
      <c r="DS1500"/>
    </row>
    <row r="1501" spans="123:123">
      <c r="DS1501"/>
    </row>
    <row r="1502" spans="123:123">
      <c r="DS1502"/>
    </row>
    <row r="1503" spans="123:123">
      <c r="DS1503"/>
    </row>
    <row r="1504" spans="123:123">
      <c r="DS1504"/>
    </row>
    <row r="1505" spans="123:123">
      <c r="DS1505"/>
    </row>
    <row r="1506" spans="123:123">
      <c r="DS1506"/>
    </row>
    <row r="1507" spans="123:123">
      <c r="DS1507"/>
    </row>
    <row r="1508" spans="123:123">
      <c r="DS1508"/>
    </row>
    <row r="1509" spans="123:123">
      <c r="DS1509"/>
    </row>
    <row r="1510" spans="123:123">
      <c r="DS1510"/>
    </row>
    <row r="1511" spans="123:123">
      <c r="DS1511"/>
    </row>
    <row r="1512" spans="123:123">
      <c r="DS1512"/>
    </row>
    <row r="1513" spans="123:123">
      <c r="DS1513"/>
    </row>
    <row r="1514" spans="123:123">
      <c r="DS1514"/>
    </row>
    <row r="1515" spans="123:123">
      <c r="DS1515"/>
    </row>
    <row r="1516" spans="123:123">
      <c r="DS1516"/>
    </row>
    <row r="1517" spans="123:123">
      <c r="DS1517"/>
    </row>
    <row r="1518" spans="123:123">
      <c r="DS1518"/>
    </row>
    <row r="1519" spans="123:123">
      <c r="DS1519"/>
    </row>
    <row r="1520" spans="123:123">
      <c r="DS1520"/>
    </row>
    <row r="1521" spans="123:123">
      <c r="DS1521"/>
    </row>
    <row r="1522" spans="123:123">
      <c r="DS1522"/>
    </row>
    <row r="1523" spans="123:123">
      <c r="DS1523"/>
    </row>
    <row r="1524" spans="123:123">
      <c r="DS1524"/>
    </row>
    <row r="1525" spans="123:123">
      <c r="DS1525"/>
    </row>
    <row r="1526" spans="123:123">
      <c r="DS1526"/>
    </row>
    <row r="1527" spans="123:123">
      <c r="DS1527"/>
    </row>
    <row r="1528" spans="123:123">
      <c r="DS1528"/>
    </row>
    <row r="1529" spans="123:123">
      <c r="DS1529"/>
    </row>
    <row r="1530" spans="123:123">
      <c r="DS1530"/>
    </row>
    <row r="1531" spans="123:123">
      <c r="DS1531"/>
    </row>
    <row r="1532" spans="123:123">
      <c r="DS1532"/>
    </row>
    <row r="1533" spans="123:123">
      <c r="DS1533"/>
    </row>
    <row r="1534" spans="123:123">
      <c r="DS1534"/>
    </row>
    <row r="1535" spans="123:123">
      <c r="DS1535"/>
    </row>
    <row r="1536" spans="123:123">
      <c r="DS1536"/>
    </row>
    <row r="1537" spans="123:123">
      <c r="DS1537"/>
    </row>
    <row r="1538" spans="123:123">
      <c r="DS1538"/>
    </row>
    <row r="1539" spans="123:123">
      <c r="DS1539"/>
    </row>
    <row r="1540" spans="123:123">
      <c r="DS1540"/>
    </row>
    <row r="1541" spans="123:123">
      <c r="DS1541"/>
    </row>
    <row r="1542" spans="123:123">
      <c r="DS1542"/>
    </row>
    <row r="1543" spans="123:123">
      <c r="DS1543"/>
    </row>
    <row r="1544" spans="123:123">
      <c r="DS1544"/>
    </row>
    <row r="1545" spans="123:123">
      <c r="DS1545"/>
    </row>
    <row r="1546" spans="123:123">
      <c r="DS1546"/>
    </row>
    <row r="1547" spans="123:123">
      <c r="DS1547"/>
    </row>
    <row r="1548" spans="123:123">
      <c r="DS1548"/>
    </row>
    <row r="1549" spans="123:123">
      <c r="DS1549"/>
    </row>
    <row r="1550" spans="123:123">
      <c r="DS1550"/>
    </row>
    <row r="1551" spans="123:123">
      <c r="DS1551"/>
    </row>
    <row r="1552" spans="123:123">
      <c r="DS1552"/>
    </row>
    <row r="1553" spans="123:123">
      <c r="DS1553"/>
    </row>
    <row r="1554" spans="123:123">
      <c r="DS1554"/>
    </row>
    <row r="1555" spans="123:123">
      <c r="DS1555"/>
    </row>
    <row r="1556" spans="123:123">
      <c r="DS1556"/>
    </row>
    <row r="1557" spans="123:123">
      <c r="DS1557"/>
    </row>
    <row r="1558" spans="123:123">
      <c r="DS1558"/>
    </row>
    <row r="1559" spans="123:123">
      <c r="DS1559"/>
    </row>
    <row r="1560" spans="123:123">
      <c r="DS1560"/>
    </row>
    <row r="1561" spans="123:123">
      <c r="DS1561"/>
    </row>
    <row r="1562" spans="123:123">
      <c r="DS1562"/>
    </row>
    <row r="1563" spans="123:123">
      <c r="DS1563"/>
    </row>
    <row r="1564" spans="123:123">
      <c r="DS1564"/>
    </row>
    <row r="1565" spans="123:123">
      <c r="DS1565"/>
    </row>
    <row r="1566" spans="123:123">
      <c r="DS1566"/>
    </row>
    <row r="1567" spans="123:123">
      <c r="DS1567"/>
    </row>
    <row r="1568" spans="123:123">
      <c r="DS1568"/>
    </row>
    <row r="1569" spans="123:123">
      <c r="DS1569"/>
    </row>
    <row r="1570" spans="123:123">
      <c r="DS1570"/>
    </row>
    <row r="1571" spans="123:123">
      <c r="DS1571"/>
    </row>
    <row r="1572" spans="123:123">
      <c r="DS1572"/>
    </row>
    <row r="1573" spans="123:123">
      <c r="DS1573"/>
    </row>
    <row r="1574" spans="123:123">
      <c r="DS1574"/>
    </row>
    <row r="1575" spans="123:123">
      <c r="DS1575"/>
    </row>
    <row r="1576" spans="123:123">
      <c r="DS1576"/>
    </row>
    <row r="1577" spans="123:123">
      <c r="DS1577"/>
    </row>
    <row r="1578" spans="123:123">
      <c r="DS1578"/>
    </row>
    <row r="1579" spans="123:123">
      <c r="DS1579"/>
    </row>
    <row r="1580" spans="123:123">
      <c r="DS1580"/>
    </row>
    <row r="1581" spans="123:123">
      <c r="DS1581"/>
    </row>
    <row r="1582" spans="123:123">
      <c r="DS1582"/>
    </row>
    <row r="1583" spans="123:123">
      <c r="DS1583"/>
    </row>
    <row r="1584" spans="123:123">
      <c r="DS1584"/>
    </row>
    <row r="1585" spans="123:123">
      <c r="DS1585"/>
    </row>
    <row r="1586" spans="123:123">
      <c r="DS1586"/>
    </row>
    <row r="1587" spans="123:123">
      <c r="DS1587"/>
    </row>
    <row r="1588" spans="123:123">
      <c r="DS1588"/>
    </row>
    <row r="1589" spans="123:123">
      <c r="DS1589"/>
    </row>
    <row r="1590" spans="123:123">
      <c r="DS1590"/>
    </row>
    <row r="1591" spans="123:123">
      <c r="DS1591"/>
    </row>
    <row r="1592" spans="123:123">
      <c r="DS1592"/>
    </row>
    <row r="1593" spans="123:123">
      <c r="DS1593"/>
    </row>
    <row r="1594" spans="123:123">
      <c r="DS1594"/>
    </row>
    <row r="1595" spans="123:123">
      <c r="DS1595"/>
    </row>
    <row r="1596" spans="123:123">
      <c r="DS1596"/>
    </row>
    <row r="1597" spans="123:123">
      <c r="DS1597"/>
    </row>
    <row r="1598" spans="123:123">
      <c r="DS1598"/>
    </row>
    <row r="1599" spans="123:123">
      <c r="DS1599"/>
    </row>
    <row r="1600" spans="123:123">
      <c r="DS1600"/>
    </row>
    <row r="1601" spans="123:123">
      <c r="DS1601"/>
    </row>
    <row r="1602" spans="123:123">
      <c r="DS1602"/>
    </row>
    <row r="1603" spans="123:123">
      <c r="DS1603"/>
    </row>
    <row r="1604" spans="123:123">
      <c r="DS1604"/>
    </row>
    <row r="1605" spans="123:123">
      <c r="DS1605"/>
    </row>
    <row r="1606" spans="123:123">
      <c r="DS1606"/>
    </row>
    <row r="1607" spans="123:123">
      <c r="DS1607"/>
    </row>
    <row r="1608" spans="123:123">
      <c r="DS1608"/>
    </row>
    <row r="1609" spans="123:123">
      <c r="DS1609"/>
    </row>
    <row r="1610" spans="123:123">
      <c r="DS1610"/>
    </row>
    <row r="1611" spans="123:123">
      <c r="DS1611"/>
    </row>
    <row r="1612" spans="123:123">
      <c r="DS1612"/>
    </row>
    <row r="1613" spans="123:123">
      <c r="DS1613"/>
    </row>
    <row r="1614" spans="123:123">
      <c r="DS1614"/>
    </row>
    <row r="1615" spans="123:123">
      <c r="DS1615"/>
    </row>
    <row r="1616" spans="123:123">
      <c r="DS1616"/>
    </row>
    <row r="1617" spans="123:123">
      <c r="DS1617"/>
    </row>
    <row r="1618" spans="123:123">
      <c r="DS1618"/>
    </row>
    <row r="1619" spans="123:123">
      <c r="DS1619"/>
    </row>
    <row r="1620" spans="123:123">
      <c r="DS1620"/>
    </row>
    <row r="1621" spans="123:123">
      <c r="DS1621"/>
    </row>
    <row r="1622" spans="123:123">
      <c r="DS1622"/>
    </row>
    <row r="1623" spans="123:123">
      <c r="DS1623"/>
    </row>
    <row r="1624" spans="123:123">
      <c r="DS1624"/>
    </row>
    <row r="1625" spans="123:123">
      <c r="DS1625"/>
    </row>
    <row r="1626" spans="123:123">
      <c r="DS1626"/>
    </row>
    <row r="1627" spans="123:123">
      <c r="DS1627"/>
    </row>
    <row r="1628" spans="123:123">
      <c r="DS1628"/>
    </row>
    <row r="1629" spans="123:123">
      <c r="DS1629"/>
    </row>
    <row r="1630" spans="123:123">
      <c r="DS1630"/>
    </row>
    <row r="1631" spans="123:123">
      <c r="DS1631"/>
    </row>
    <row r="1632" spans="123:123">
      <c r="DS1632"/>
    </row>
    <row r="1633" spans="123:123">
      <c r="DS1633"/>
    </row>
    <row r="1634" spans="123:123">
      <c r="DS1634"/>
    </row>
    <row r="1635" spans="123:123">
      <c r="DS1635"/>
    </row>
    <row r="1636" spans="123:123">
      <c r="DS1636"/>
    </row>
    <row r="1637" spans="123:123">
      <c r="DS1637"/>
    </row>
    <row r="1638" spans="123:123">
      <c r="DS1638"/>
    </row>
    <row r="1639" spans="123:123">
      <c r="DS1639"/>
    </row>
    <row r="1640" spans="123:123">
      <c r="DS1640"/>
    </row>
    <row r="1641" spans="123:123">
      <c r="DS1641"/>
    </row>
    <row r="1642" spans="123:123">
      <c r="DS1642"/>
    </row>
    <row r="1643" spans="123:123">
      <c r="DS1643"/>
    </row>
    <row r="1644" spans="123:123">
      <c r="DS1644"/>
    </row>
    <row r="1645" spans="123:123">
      <c r="DS1645"/>
    </row>
    <row r="1646" spans="123:123">
      <c r="DS1646"/>
    </row>
    <row r="1647" spans="123:123">
      <c r="DS1647"/>
    </row>
    <row r="1648" spans="123:123">
      <c r="DS1648"/>
    </row>
    <row r="1649" spans="123:123">
      <c r="DS1649"/>
    </row>
    <row r="1650" spans="123:123">
      <c r="DS1650"/>
    </row>
    <row r="1651" spans="123:123">
      <c r="DS1651"/>
    </row>
    <row r="1652" spans="123:123">
      <c r="DS1652"/>
    </row>
    <row r="1653" spans="123:123">
      <c r="DS1653"/>
    </row>
    <row r="1654" spans="123:123">
      <c r="DS1654"/>
    </row>
    <row r="1655" spans="123:123">
      <c r="DS1655"/>
    </row>
    <row r="1656" spans="123:123">
      <c r="DS1656"/>
    </row>
    <row r="1657" spans="123:123">
      <c r="DS1657"/>
    </row>
    <row r="1658" spans="123:123">
      <c r="DS1658"/>
    </row>
    <row r="1659" spans="123:123">
      <c r="DS1659"/>
    </row>
    <row r="1660" spans="123:123">
      <c r="DS1660"/>
    </row>
    <row r="1661" spans="123:123">
      <c r="DS1661"/>
    </row>
    <row r="1662" spans="123:123">
      <c r="DS1662"/>
    </row>
    <row r="1663" spans="123:123">
      <c r="DS1663"/>
    </row>
    <row r="1664" spans="123:123">
      <c r="DS1664"/>
    </row>
    <row r="1665" spans="123:123">
      <c r="DS1665"/>
    </row>
    <row r="1666" spans="123:123">
      <c r="DS1666"/>
    </row>
    <row r="1667" spans="123:123">
      <c r="DS1667"/>
    </row>
    <row r="1668" spans="123:123">
      <c r="DS1668"/>
    </row>
    <row r="1669" spans="123:123">
      <c r="DS1669"/>
    </row>
    <row r="1670" spans="123:123">
      <c r="DS1670"/>
    </row>
    <row r="1671" spans="123:123">
      <c r="DS1671"/>
    </row>
    <row r="1672" spans="123:123">
      <c r="DS1672"/>
    </row>
    <row r="1673" spans="123:123">
      <c r="DS1673"/>
    </row>
    <row r="1674" spans="123:123">
      <c r="DS1674"/>
    </row>
    <row r="1675" spans="123:123">
      <c r="DS1675"/>
    </row>
    <row r="1676" spans="123:123">
      <c r="DS1676"/>
    </row>
    <row r="1677" spans="123:123">
      <c r="DS1677"/>
    </row>
    <row r="1678" spans="123:123">
      <c r="DS1678"/>
    </row>
    <row r="1679" spans="123:123">
      <c r="DS1679"/>
    </row>
    <row r="1680" spans="123:123">
      <c r="DS1680"/>
    </row>
    <row r="1681" spans="123:123">
      <c r="DS1681"/>
    </row>
    <row r="1682" spans="123:123">
      <c r="DS1682"/>
    </row>
    <row r="1683" spans="123:123">
      <c r="DS1683"/>
    </row>
    <row r="1684" spans="123:123">
      <c r="DS1684"/>
    </row>
    <row r="1685" spans="123:123">
      <c r="DS1685"/>
    </row>
    <row r="1686" spans="123:123">
      <c r="DS1686"/>
    </row>
    <row r="1687" spans="123:123">
      <c r="DS1687"/>
    </row>
    <row r="1688" spans="123:123">
      <c r="DS1688"/>
    </row>
    <row r="1689" spans="123:123">
      <c r="DS1689"/>
    </row>
    <row r="1690" spans="123:123">
      <c r="DS1690"/>
    </row>
    <row r="1691" spans="123:123">
      <c r="DS1691"/>
    </row>
    <row r="1692" spans="123:123">
      <c r="DS1692"/>
    </row>
    <row r="1693" spans="123:123">
      <c r="DS1693"/>
    </row>
    <row r="1694" spans="123:123">
      <c r="DS1694"/>
    </row>
    <row r="1695" spans="123:123">
      <c r="DS1695"/>
    </row>
    <row r="1696" spans="123:123">
      <c r="DS1696"/>
    </row>
    <row r="1697" spans="123:123">
      <c r="DS1697"/>
    </row>
    <row r="1698" spans="123:123">
      <c r="DS1698"/>
    </row>
    <row r="1699" spans="123:123">
      <c r="DS1699"/>
    </row>
    <row r="1700" spans="123:123">
      <c r="DS1700"/>
    </row>
    <row r="1701" spans="123:123">
      <c r="DS1701"/>
    </row>
    <row r="1702" spans="123:123">
      <c r="DS1702"/>
    </row>
    <row r="1703" spans="123:123">
      <c r="DS1703"/>
    </row>
    <row r="1704" spans="123:123">
      <c r="DS1704"/>
    </row>
    <row r="1705" spans="123:123">
      <c r="DS1705"/>
    </row>
    <row r="1706" spans="123:123">
      <c r="DS1706"/>
    </row>
    <row r="1707" spans="123:123">
      <c r="DS1707"/>
    </row>
    <row r="1708" spans="123:123">
      <c r="DS1708"/>
    </row>
    <row r="1709" spans="123:123">
      <c r="DS1709"/>
    </row>
    <row r="1710" spans="123:123">
      <c r="DS1710"/>
    </row>
    <row r="1711" spans="123:123">
      <c r="DS1711"/>
    </row>
    <row r="1712" spans="123:123">
      <c r="DS1712"/>
    </row>
    <row r="1713" spans="123:123">
      <c r="DS1713"/>
    </row>
    <row r="1714" spans="123:123">
      <c r="DS1714"/>
    </row>
    <row r="1715" spans="123:123">
      <c r="DS1715"/>
    </row>
    <row r="1716" spans="123:123">
      <c r="DS1716"/>
    </row>
    <row r="1717" spans="123:123">
      <c r="DS1717"/>
    </row>
    <row r="1718" spans="123:123">
      <c r="DS1718"/>
    </row>
    <row r="1719" spans="123:123">
      <c r="DS1719"/>
    </row>
    <row r="1720" spans="123:123">
      <c r="DS1720"/>
    </row>
    <row r="1721" spans="123:123">
      <c r="DS1721"/>
    </row>
    <row r="1722" spans="123:123">
      <c r="DS1722"/>
    </row>
    <row r="1723" spans="123:123">
      <c r="DS1723"/>
    </row>
    <row r="1724" spans="123:123">
      <c r="DS1724"/>
    </row>
    <row r="1725" spans="123:123">
      <c r="DS1725"/>
    </row>
    <row r="1726" spans="123:123">
      <c r="DS1726"/>
    </row>
    <row r="1727" spans="123:123">
      <c r="DS1727"/>
    </row>
    <row r="1728" spans="123:123">
      <c r="DS1728"/>
    </row>
    <row r="1729" spans="123:123">
      <c r="DS1729"/>
    </row>
    <row r="1730" spans="123:123">
      <c r="DS1730"/>
    </row>
    <row r="1731" spans="123:123">
      <c r="DS1731"/>
    </row>
    <row r="1732" spans="123:123">
      <c r="DS1732"/>
    </row>
    <row r="1733" spans="123:123">
      <c r="DS1733"/>
    </row>
    <row r="1734" spans="123:123">
      <c r="DS1734"/>
    </row>
    <row r="1735" spans="123:123">
      <c r="DS1735"/>
    </row>
    <row r="1736" spans="123:123">
      <c r="DS1736"/>
    </row>
    <row r="1737" spans="123:123">
      <c r="DS1737"/>
    </row>
    <row r="1738" spans="123:123">
      <c r="DS1738"/>
    </row>
    <row r="1739" spans="123:123">
      <c r="DS1739"/>
    </row>
    <row r="1740" spans="123:123">
      <c r="DS1740"/>
    </row>
    <row r="1741" spans="123:123">
      <c r="DS1741"/>
    </row>
    <row r="1742" spans="123:123">
      <c r="DS1742"/>
    </row>
    <row r="1743" spans="123:123">
      <c r="DS1743"/>
    </row>
    <row r="1744" spans="123:123">
      <c r="DS1744"/>
    </row>
    <row r="1745" spans="123:123">
      <c r="DS1745"/>
    </row>
    <row r="1746" spans="123:123">
      <c r="DS1746"/>
    </row>
    <row r="1747" spans="123:123">
      <c r="DS1747"/>
    </row>
    <row r="1748" spans="123:123">
      <c r="DS1748"/>
    </row>
    <row r="1749" spans="123:123">
      <c r="DS1749"/>
    </row>
    <row r="1750" spans="123:123">
      <c r="DS1750"/>
    </row>
    <row r="1751" spans="123:123">
      <c r="DS1751"/>
    </row>
    <row r="1752" spans="123:123">
      <c r="DS1752"/>
    </row>
    <row r="1753" spans="123:123">
      <c r="DS1753"/>
    </row>
    <row r="1754" spans="123:123">
      <c r="DS1754"/>
    </row>
    <row r="1755" spans="123:123">
      <c r="DS1755"/>
    </row>
    <row r="1756" spans="123:123">
      <c r="DS1756"/>
    </row>
    <row r="1757" spans="123:123">
      <c r="DS1757"/>
    </row>
    <row r="1758" spans="123:123">
      <c r="DS1758"/>
    </row>
    <row r="1759" spans="123:123">
      <c r="DS1759"/>
    </row>
    <row r="1760" spans="123:123">
      <c r="DS1760"/>
    </row>
    <row r="1761" spans="123:123">
      <c r="DS1761"/>
    </row>
    <row r="1762" spans="123:123">
      <c r="DS1762"/>
    </row>
    <row r="1763" spans="123:123">
      <c r="DS1763"/>
    </row>
    <row r="1764" spans="123:123">
      <c r="DS1764"/>
    </row>
    <row r="1765" spans="123:123">
      <c r="DS1765"/>
    </row>
    <row r="1766" spans="123:123">
      <c r="DS1766"/>
    </row>
    <row r="1767" spans="123:123">
      <c r="DS1767"/>
    </row>
    <row r="1768" spans="123:123">
      <c r="DS1768"/>
    </row>
    <row r="1769" spans="123:123">
      <c r="DS1769"/>
    </row>
    <row r="1770" spans="123:123">
      <c r="DS1770"/>
    </row>
    <row r="1771" spans="123:123">
      <c r="DS1771"/>
    </row>
    <row r="1772" spans="123:123">
      <c r="DS1772"/>
    </row>
    <row r="1773" spans="123:123">
      <c r="DS1773"/>
    </row>
    <row r="1774" spans="123:123">
      <c r="DS1774"/>
    </row>
    <row r="1775" spans="123:123">
      <c r="DS1775"/>
    </row>
    <row r="1776" spans="123:123">
      <c r="DS1776"/>
    </row>
    <row r="1777" spans="123:123">
      <c r="DS1777"/>
    </row>
    <row r="1778" spans="123:123">
      <c r="DS1778"/>
    </row>
    <row r="1779" spans="123:123">
      <c r="DS1779"/>
    </row>
    <row r="1780" spans="123:123">
      <c r="DS1780"/>
    </row>
    <row r="1781" spans="123:123">
      <c r="DS1781"/>
    </row>
    <row r="1782" spans="123:123">
      <c r="DS1782"/>
    </row>
    <row r="1783" spans="123:123">
      <c r="DS1783"/>
    </row>
    <row r="1784" spans="123:123">
      <c r="DS1784"/>
    </row>
    <row r="1785" spans="123:123">
      <c r="DS1785"/>
    </row>
    <row r="1786" spans="123:123">
      <c r="DS1786"/>
    </row>
    <row r="1787" spans="123:123">
      <c r="DS1787"/>
    </row>
    <row r="1788" spans="123:123">
      <c r="DS1788"/>
    </row>
    <row r="1789" spans="123:123">
      <c r="DS1789"/>
    </row>
    <row r="1790" spans="123:123">
      <c r="DS1790"/>
    </row>
    <row r="1791" spans="123:123">
      <c r="DS1791"/>
    </row>
    <row r="1792" spans="123:123">
      <c r="DS1792"/>
    </row>
    <row r="1793" spans="123:123">
      <c r="DS1793"/>
    </row>
    <row r="1794" spans="123:123">
      <c r="DS1794"/>
    </row>
    <row r="1795" spans="123:123">
      <c r="DS1795"/>
    </row>
    <row r="1796" spans="123:123">
      <c r="DS1796"/>
    </row>
    <row r="1797" spans="123:123">
      <c r="DS1797"/>
    </row>
    <row r="1798" spans="123:123">
      <c r="DS1798"/>
    </row>
    <row r="1799" spans="123:123">
      <c r="DS1799"/>
    </row>
    <row r="1800" spans="123:123">
      <c r="DS1800"/>
    </row>
    <row r="1801" spans="123:123">
      <c r="DS1801"/>
    </row>
    <row r="1802" spans="123:123">
      <c r="DS1802"/>
    </row>
    <row r="1803" spans="123:123">
      <c r="DS1803"/>
    </row>
    <row r="1804" spans="123:123">
      <c r="DS1804"/>
    </row>
    <row r="1805" spans="123:123">
      <c r="DS1805"/>
    </row>
    <row r="1806" spans="123:123">
      <c r="DS1806"/>
    </row>
    <row r="1807" spans="123:123">
      <c r="DS1807"/>
    </row>
    <row r="1808" spans="123:123">
      <c r="DS1808"/>
    </row>
    <row r="1809" spans="123:123">
      <c r="DS1809"/>
    </row>
    <row r="1810" spans="123:123">
      <c r="DS1810"/>
    </row>
    <row r="1811" spans="123:123">
      <c r="DS1811"/>
    </row>
    <row r="1812" spans="123:123">
      <c r="DS1812"/>
    </row>
    <row r="1813" spans="123:123">
      <c r="DS1813"/>
    </row>
    <row r="1814" spans="123:123">
      <c r="DS1814"/>
    </row>
    <row r="1815" spans="123:123">
      <c r="DS1815"/>
    </row>
    <row r="1816" spans="123:123">
      <c r="DS1816"/>
    </row>
    <row r="1817" spans="123:123">
      <c r="DS1817"/>
    </row>
    <row r="1818" spans="123:123">
      <c r="DS1818"/>
    </row>
    <row r="1819" spans="123:123">
      <c r="DS1819"/>
    </row>
    <row r="1820" spans="123:123">
      <c r="DS1820"/>
    </row>
    <row r="1821" spans="123:123">
      <c r="DS1821"/>
    </row>
    <row r="1822" spans="123:123">
      <c r="DS1822"/>
    </row>
    <row r="1823" spans="123:123">
      <c r="DS1823"/>
    </row>
    <row r="1824" spans="123:123">
      <c r="DS1824"/>
    </row>
    <row r="1825" spans="123:123">
      <c r="DS1825"/>
    </row>
    <row r="1826" spans="123:123">
      <c r="DS1826"/>
    </row>
    <row r="1827" spans="123:123">
      <c r="DS1827"/>
    </row>
    <row r="1828" spans="123:123">
      <c r="DS1828"/>
    </row>
    <row r="1829" spans="123:123">
      <c r="DS1829"/>
    </row>
    <row r="1830" spans="123:123">
      <c r="DS1830"/>
    </row>
    <row r="1831" spans="123:123">
      <c r="DS1831"/>
    </row>
    <row r="1832" spans="123:123">
      <c r="DS1832"/>
    </row>
    <row r="1833" spans="123:123">
      <c r="DS1833"/>
    </row>
    <row r="1834" spans="123:123">
      <c r="DS1834"/>
    </row>
    <row r="1835" spans="123:123">
      <c r="DS1835"/>
    </row>
    <row r="1836" spans="123:123">
      <c r="DS1836"/>
    </row>
    <row r="1837" spans="123:123">
      <c r="DS1837"/>
    </row>
    <row r="1838" spans="123:123">
      <c r="DS1838"/>
    </row>
    <row r="1839" spans="123:123">
      <c r="DS1839"/>
    </row>
    <row r="1840" spans="123:123">
      <c r="DS1840"/>
    </row>
    <row r="1841" spans="123:123">
      <c r="DS1841"/>
    </row>
    <row r="1842" spans="123:123">
      <c r="DS1842"/>
    </row>
    <row r="1843" spans="123:123">
      <c r="DS1843"/>
    </row>
    <row r="1844" spans="123:123">
      <c r="DS1844"/>
    </row>
    <row r="1845" spans="123:123">
      <c r="DS1845"/>
    </row>
    <row r="1846" spans="123:123">
      <c r="DS1846"/>
    </row>
    <row r="1847" spans="123:123">
      <c r="DS1847"/>
    </row>
    <row r="1848" spans="123:123">
      <c r="DS1848"/>
    </row>
    <row r="1849" spans="123:123">
      <c r="DS1849"/>
    </row>
    <row r="1850" spans="123:123">
      <c r="DS1850"/>
    </row>
    <row r="1851" spans="123:123">
      <c r="DS1851"/>
    </row>
    <row r="1852" spans="123:123">
      <c r="DS1852"/>
    </row>
    <row r="1853" spans="123:123">
      <c r="DS1853"/>
    </row>
    <row r="1854" spans="123:123">
      <c r="DS1854"/>
    </row>
    <row r="1855" spans="123:123">
      <c r="DS1855"/>
    </row>
    <row r="1856" spans="123:123">
      <c r="DS1856"/>
    </row>
    <row r="1857" spans="123:123">
      <c r="DS1857"/>
    </row>
    <row r="1858" spans="123:123">
      <c r="DS1858"/>
    </row>
    <row r="1859" spans="123:123">
      <c r="DS1859"/>
    </row>
    <row r="1860" spans="123:123">
      <c r="DS1860"/>
    </row>
    <row r="1861" spans="123:123">
      <c r="DS1861"/>
    </row>
    <row r="1862" spans="123:123">
      <c r="DS1862"/>
    </row>
    <row r="1863" spans="123:123">
      <c r="DS1863"/>
    </row>
    <row r="1864" spans="123:123">
      <c r="DS1864"/>
    </row>
    <row r="1865" spans="123:123">
      <c r="DS1865"/>
    </row>
    <row r="1866" spans="123:123">
      <c r="DS1866"/>
    </row>
    <row r="1867" spans="123:123">
      <c r="DS1867"/>
    </row>
    <row r="1868" spans="123:123">
      <c r="DS1868"/>
    </row>
    <row r="1869" spans="123:123">
      <c r="DS1869"/>
    </row>
    <row r="1870" spans="123:123">
      <c r="DS1870"/>
    </row>
    <row r="1871" spans="123:123">
      <c r="DS1871"/>
    </row>
    <row r="1872" spans="123:123">
      <c r="DS1872"/>
    </row>
    <row r="1873" spans="123:123">
      <c r="DS1873"/>
    </row>
    <row r="1874" spans="123:123">
      <c r="DS1874"/>
    </row>
    <row r="1875" spans="123:123">
      <c r="DS1875"/>
    </row>
    <row r="1876" spans="123:123">
      <c r="DS1876"/>
    </row>
    <row r="1877" spans="123:123">
      <c r="DS1877"/>
    </row>
    <row r="1878" spans="123:123">
      <c r="DS1878"/>
    </row>
    <row r="1879" spans="123:123">
      <c r="DS1879"/>
    </row>
    <row r="1880" spans="123:123">
      <c r="DS1880"/>
    </row>
    <row r="1881" spans="123:123">
      <c r="DS1881"/>
    </row>
    <row r="1882" spans="123:123">
      <c r="DS1882"/>
    </row>
    <row r="1883" spans="123:123">
      <c r="DS1883"/>
    </row>
    <row r="1884" spans="123:123">
      <c r="DS1884"/>
    </row>
    <row r="1885" spans="123:123">
      <c r="DS1885"/>
    </row>
    <row r="1886" spans="123:123">
      <c r="DS1886"/>
    </row>
    <row r="1887" spans="123:123">
      <c r="DS1887"/>
    </row>
    <row r="1888" spans="123:123">
      <c r="DS1888"/>
    </row>
    <row r="1889" spans="123:123">
      <c r="DS1889"/>
    </row>
    <row r="1890" spans="123:123">
      <c r="DS1890"/>
    </row>
    <row r="1891" spans="123:123">
      <c r="DS1891"/>
    </row>
    <row r="1892" spans="123:123">
      <c r="DS1892"/>
    </row>
    <row r="1893" spans="123:123">
      <c r="DS1893"/>
    </row>
    <row r="1894" spans="123:123">
      <c r="DS1894"/>
    </row>
    <row r="1895" spans="123:123">
      <c r="DS1895"/>
    </row>
    <row r="1896" spans="123:123">
      <c r="DS1896"/>
    </row>
    <row r="1897" spans="123:123">
      <c r="DS1897"/>
    </row>
    <row r="1898" spans="123:123">
      <c r="DS1898"/>
    </row>
    <row r="1899" spans="123:123">
      <c r="DS1899"/>
    </row>
    <row r="1900" spans="123:123">
      <c r="DS1900"/>
    </row>
    <row r="1901" spans="123:123">
      <c r="DS1901"/>
    </row>
    <row r="1902" spans="123:123">
      <c r="DS1902"/>
    </row>
    <row r="1903" spans="123:123">
      <c r="DS1903"/>
    </row>
    <row r="1904" spans="123:123">
      <c r="DS1904"/>
    </row>
    <row r="1905" spans="123:123">
      <c r="DS1905"/>
    </row>
    <row r="1906" spans="123:123">
      <c r="DS1906"/>
    </row>
    <row r="1907" spans="123:123">
      <c r="DS1907"/>
    </row>
    <row r="1908" spans="123:123">
      <c r="DS1908"/>
    </row>
    <row r="1909" spans="123:123">
      <c r="DS1909"/>
    </row>
    <row r="1910" spans="123:123">
      <c r="DS1910"/>
    </row>
    <row r="1911" spans="123:123">
      <c r="DS1911"/>
    </row>
    <row r="1912" spans="123:123">
      <c r="DS1912"/>
    </row>
    <row r="1913" spans="123:123">
      <c r="DS1913"/>
    </row>
    <row r="1914" spans="123:123">
      <c r="DS1914"/>
    </row>
    <row r="1915" spans="123:123">
      <c r="DS1915"/>
    </row>
    <row r="1916" spans="123:123">
      <c r="DS1916"/>
    </row>
    <row r="1917" spans="123:123">
      <c r="DS1917"/>
    </row>
    <row r="1918" spans="123:123">
      <c r="DS1918"/>
    </row>
    <row r="1919" spans="123:123">
      <c r="DS1919"/>
    </row>
    <row r="1920" spans="123:123">
      <c r="DS1920"/>
    </row>
    <row r="1921" spans="123:123">
      <c r="DS1921"/>
    </row>
    <row r="1922" spans="123:123">
      <c r="DS1922"/>
    </row>
    <row r="1923" spans="123:123">
      <c r="DS1923"/>
    </row>
    <row r="1924" spans="123:123">
      <c r="DS1924"/>
    </row>
    <row r="1925" spans="123:123">
      <c r="DS1925"/>
    </row>
    <row r="1926" spans="123:123">
      <c r="DS1926"/>
    </row>
    <row r="1927" spans="123:123">
      <c r="DS1927"/>
    </row>
    <row r="1928" spans="123:123">
      <c r="DS1928"/>
    </row>
    <row r="1929" spans="123:123">
      <c r="DS1929"/>
    </row>
    <row r="1930" spans="123:123">
      <c r="DS1930"/>
    </row>
    <row r="1931" spans="123:123">
      <c r="DS1931"/>
    </row>
    <row r="1932" spans="123:123">
      <c r="DS1932"/>
    </row>
    <row r="1933" spans="123:123">
      <c r="DS1933"/>
    </row>
    <row r="1934" spans="123:123">
      <c r="DS1934"/>
    </row>
    <row r="1935" spans="123:123">
      <c r="DS1935"/>
    </row>
    <row r="1936" spans="123:123">
      <c r="DS1936"/>
    </row>
    <row r="1937" spans="123:123">
      <c r="DS1937"/>
    </row>
    <row r="1938" spans="123:123">
      <c r="DS1938"/>
    </row>
    <row r="1939" spans="123:123">
      <c r="DS1939"/>
    </row>
    <row r="1940" spans="123:123">
      <c r="DS1940"/>
    </row>
    <row r="1941" spans="123:123">
      <c r="DS1941"/>
    </row>
    <row r="1942" spans="123:123">
      <c r="DS1942"/>
    </row>
    <row r="1943" spans="123:123">
      <c r="DS1943"/>
    </row>
    <row r="1944" spans="123:123">
      <c r="DS1944"/>
    </row>
    <row r="1945" spans="123:123">
      <c r="DS1945"/>
    </row>
    <row r="1946" spans="123:123">
      <c r="DS1946"/>
    </row>
    <row r="1947" spans="123:123">
      <c r="DS1947"/>
    </row>
    <row r="1948" spans="123:123">
      <c r="DS1948"/>
    </row>
    <row r="1949" spans="123:123">
      <c r="DS1949"/>
    </row>
    <row r="1950" spans="123:123">
      <c r="DS1950"/>
    </row>
    <row r="1951" spans="123:123">
      <c r="DS1951"/>
    </row>
    <row r="1952" spans="123:123">
      <c r="DS1952"/>
    </row>
    <row r="1953" spans="123:123">
      <c r="DS1953"/>
    </row>
    <row r="1954" spans="123:123">
      <c r="DS1954"/>
    </row>
    <row r="1955" spans="123:123">
      <c r="DS1955"/>
    </row>
    <row r="1956" spans="123:123">
      <c r="DS1956"/>
    </row>
    <row r="1957" spans="123:123">
      <c r="DS1957"/>
    </row>
    <row r="1958" spans="123:123">
      <c r="DS1958"/>
    </row>
    <row r="1959" spans="123:123">
      <c r="DS1959"/>
    </row>
    <row r="1960" spans="123:123">
      <c r="DS1960"/>
    </row>
    <row r="1961" spans="123:123">
      <c r="DS1961"/>
    </row>
    <row r="1962" spans="123:123">
      <c r="DS1962"/>
    </row>
    <row r="1963" spans="123:123">
      <c r="DS1963"/>
    </row>
    <row r="1964" spans="123:123">
      <c r="DS1964"/>
    </row>
    <row r="1965" spans="123:123">
      <c r="DS1965"/>
    </row>
    <row r="1966" spans="123:123">
      <c r="DS1966"/>
    </row>
    <row r="1967" spans="123:123">
      <c r="DS1967"/>
    </row>
    <row r="1968" spans="123:123">
      <c r="DS1968"/>
    </row>
    <row r="1969" spans="123:123">
      <c r="DS1969"/>
    </row>
    <row r="1970" spans="123:123">
      <c r="DS1970"/>
    </row>
    <row r="1971" spans="123:123">
      <c r="DS1971"/>
    </row>
    <row r="1972" spans="123:123">
      <c r="DS1972"/>
    </row>
    <row r="1973" spans="123:123">
      <c r="DS1973"/>
    </row>
    <row r="1974" spans="123:123">
      <c r="DS1974"/>
    </row>
    <row r="1975" spans="123:123">
      <c r="DS1975"/>
    </row>
    <row r="1976" spans="123:123">
      <c r="DS1976"/>
    </row>
    <row r="1977" spans="123:123">
      <c r="DS1977"/>
    </row>
    <row r="1978" spans="123:123">
      <c r="DS1978"/>
    </row>
    <row r="1979" spans="123:123">
      <c r="DS1979"/>
    </row>
    <row r="1980" spans="123:123">
      <c r="DS1980"/>
    </row>
    <row r="1981" spans="123:123">
      <c r="DS1981"/>
    </row>
    <row r="1982" spans="123:123">
      <c r="DS1982"/>
    </row>
    <row r="1983" spans="123:123">
      <c r="DS1983"/>
    </row>
    <row r="1984" spans="123:123">
      <c r="DS1984"/>
    </row>
    <row r="1985" spans="123:123">
      <c r="DS1985"/>
    </row>
    <row r="1986" spans="123:123">
      <c r="DS1986"/>
    </row>
    <row r="1987" spans="123:123">
      <c r="DS1987"/>
    </row>
    <row r="1988" spans="123:123">
      <c r="DS1988"/>
    </row>
    <row r="1989" spans="123:123">
      <c r="DS1989"/>
    </row>
    <row r="1990" spans="123:123">
      <c r="DS1990"/>
    </row>
    <row r="1991" spans="123:123">
      <c r="DS1991"/>
    </row>
    <row r="1992" spans="123:123">
      <c r="DS1992"/>
    </row>
    <row r="1993" spans="123:123">
      <c r="DS1993"/>
    </row>
    <row r="1994" spans="123:123">
      <c r="DS1994"/>
    </row>
    <row r="1995" spans="123:123">
      <c r="DS1995"/>
    </row>
    <row r="1996" spans="123:123">
      <c r="DS1996"/>
    </row>
    <row r="1997" spans="123:123">
      <c r="DS1997"/>
    </row>
    <row r="1998" spans="123:123">
      <c r="DS1998"/>
    </row>
    <row r="1999" spans="123:123">
      <c r="DS1999"/>
    </row>
    <row r="2000" spans="123:123">
      <c r="DS2000"/>
    </row>
    <row r="2001" spans="123:123">
      <c r="DS2001"/>
    </row>
    <row r="2002" spans="123:123">
      <c r="DS2002"/>
    </row>
    <row r="2003" spans="123:123">
      <c r="DS2003"/>
    </row>
    <row r="2004" spans="123:123">
      <c r="DS2004"/>
    </row>
    <row r="2005" spans="123:123">
      <c r="DS2005"/>
    </row>
    <row r="2006" spans="123:123">
      <c r="DS2006"/>
    </row>
    <row r="2007" spans="123:123">
      <c r="DS2007"/>
    </row>
    <row r="2008" spans="123:123">
      <c r="DS2008"/>
    </row>
    <row r="2009" spans="123:123">
      <c r="DS2009"/>
    </row>
    <row r="2010" spans="123:123">
      <c r="DS2010"/>
    </row>
    <row r="2011" spans="123:123">
      <c r="DS2011"/>
    </row>
    <row r="2012" spans="123:123">
      <c r="DS2012"/>
    </row>
    <row r="2013" spans="123:123">
      <c r="DS2013"/>
    </row>
    <row r="2014" spans="123:123">
      <c r="DS2014"/>
    </row>
    <row r="2015" spans="123:123">
      <c r="DS2015"/>
    </row>
    <row r="2016" spans="123:123">
      <c r="DS2016"/>
    </row>
    <row r="2017" spans="123:123">
      <c r="DS2017"/>
    </row>
    <row r="2018" spans="123:123">
      <c r="DS2018"/>
    </row>
    <row r="2019" spans="123:123">
      <c r="DS2019"/>
    </row>
    <row r="2020" spans="123:123">
      <c r="DS2020"/>
    </row>
    <row r="2021" spans="123:123">
      <c r="DS2021"/>
    </row>
    <row r="2022" spans="123:123">
      <c r="DS2022"/>
    </row>
    <row r="2023" spans="123:123">
      <c r="DS2023"/>
    </row>
    <row r="2024" spans="123:123">
      <c r="DS2024"/>
    </row>
    <row r="2025" spans="123:123">
      <c r="DS2025"/>
    </row>
    <row r="2026" spans="123:123">
      <c r="DS2026"/>
    </row>
    <row r="2027" spans="123:123">
      <c r="DS2027"/>
    </row>
    <row r="2028" spans="123:123">
      <c r="DS2028"/>
    </row>
    <row r="2029" spans="123:123">
      <c r="DS2029"/>
    </row>
    <row r="2030" spans="123:123">
      <c r="DS2030"/>
    </row>
    <row r="2031" spans="123:123">
      <c r="DS2031"/>
    </row>
    <row r="2032" spans="123:123">
      <c r="DS2032"/>
    </row>
    <row r="2033" spans="123:123">
      <c r="DS2033"/>
    </row>
    <row r="2034" spans="123:123">
      <c r="DS2034"/>
    </row>
    <row r="2035" spans="123:123">
      <c r="DS2035"/>
    </row>
    <row r="2036" spans="123:123">
      <c r="DS2036"/>
    </row>
    <row r="2037" spans="123:123">
      <c r="DS2037"/>
    </row>
    <row r="2038" spans="123:123">
      <c r="DS2038"/>
    </row>
    <row r="2039" spans="123:123">
      <c r="DS2039"/>
    </row>
    <row r="2040" spans="123:123">
      <c r="DS2040"/>
    </row>
    <row r="2041" spans="123:123">
      <c r="DS2041"/>
    </row>
    <row r="2042" spans="123:123">
      <c r="DS2042"/>
    </row>
    <row r="2043" spans="123:123">
      <c r="DS2043"/>
    </row>
    <row r="2044" spans="123:123">
      <c r="DS2044"/>
    </row>
    <row r="2045" spans="123:123">
      <c r="DS2045"/>
    </row>
    <row r="2046" spans="123:123">
      <c r="DS2046"/>
    </row>
    <row r="2047" spans="123:123">
      <c r="DS2047"/>
    </row>
    <row r="2048" spans="123:123">
      <c r="DS2048"/>
    </row>
    <row r="2049" spans="123:123">
      <c r="DS2049"/>
    </row>
    <row r="2050" spans="123:123">
      <c r="DS2050"/>
    </row>
    <row r="2051" spans="123:123">
      <c r="DS2051"/>
    </row>
    <row r="2052" spans="123:123">
      <c r="DS2052"/>
    </row>
    <row r="2053" spans="123:123">
      <c r="DS2053"/>
    </row>
    <row r="2054" spans="123:123">
      <c r="DS2054"/>
    </row>
    <row r="2055" spans="123:123">
      <c r="DS2055"/>
    </row>
    <row r="2056" spans="123:123">
      <c r="DS2056"/>
    </row>
    <row r="2057" spans="123:123">
      <c r="DS2057"/>
    </row>
    <row r="2058" spans="123:123">
      <c r="DS2058"/>
    </row>
    <row r="2059" spans="123:123">
      <c r="DS2059"/>
    </row>
    <row r="2060" spans="123:123">
      <c r="DS2060"/>
    </row>
    <row r="2061" spans="123:123">
      <c r="DS2061"/>
    </row>
    <row r="2062" spans="123:123">
      <c r="DS2062"/>
    </row>
    <row r="2063" spans="123:123">
      <c r="DS2063"/>
    </row>
    <row r="2064" spans="123:123">
      <c r="DS2064"/>
    </row>
    <row r="2065" spans="123:123">
      <c r="DS2065"/>
    </row>
    <row r="2066" spans="123:123">
      <c r="DS2066"/>
    </row>
    <row r="2067" spans="123:123">
      <c r="DS2067"/>
    </row>
    <row r="2068" spans="123:123">
      <c r="DS2068"/>
    </row>
    <row r="2069" spans="123:123">
      <c r="DS2069"/>
    </row>
    <row r="2070" spans="123:123">
      <c r="DS2070"/>
    </row>
    <row r="2071" spans="123:123">
      <c r="DS2071"/>
    </row>
    <row r="2072" spans="123:123">
      <c r="DS2072"/>
    </row>
    <row r="2073" spans="123:123">
      <c r="DS2073"/>
    </row>
    <row r="2074" spans="123:123">
      <c r="DS2074"/>
    </row>
    <row r="2075" spans="123:123">
      <c r="DS2075"/>
    </row>
    <row r="2076" spans="123:123">
      <c r="DS2076"/>
    </row>
    <row r="2077" spans="123:123">
      <c r="DS2077"/>
    </row>
    <row r="2078" spans="123:123">
      <c r="DS2078"/>
    </row>
    <row r="2079" spans="123:123">
      <c r="DS2079"/>
    </row>
    <row r="2080" spans="123:123">
      <c r="DS2080"/>
    </row>
    <row r="2081" spans="123:123">
      <c r="DS2081"/>
    </row>
    <row r="2082" spans="123:123">
      <c r="DS2082"/>
    </row>
    <row r="2083" spans="123:123">
      <c r="DS2083"/>
    </row>
    <row r="2084" spans="123:123">
      <c r="DS2084"/>
    </row>
    <row r="2085" spans="123:123">
      <c r="DS2085"/>
    </row>
    <row r="2086" spans="123:123">
      <c r="DS2086"/>
    </row>
    <row r="2087" spans="123:123">
      <c r="DS2087"/>
    </row>
    <row r="2088" spans="123:123">
      <c r="DS2088"/>
    </row>
    <row r="2089" spans="123:123">
      <c r="DS2089"/>
    </row>
    <row r="2090" spans="123:123">
      <c r="DS2090"/>
    </row>
    <row r="2091" spans="123:123">
      <c r="DS2091"/>
    </row>
    <row r="2092" spans="123:123">
      <c r="DS2092"/>
    </row>
    <row r="2093" spans="123:123">
      <c r="DS2093"/>
    </row>
    <row r="2094" spans="123:123">
      <c r="DS2094"/>
    </row>
    <row r="2095" spans="123:123">
      <c r="DS2095"/>
    </row>
    <row r="2096" spans="123:123">
      <c r="DS2096"/>
    </row>
    <row r="2097" spans="123:123">
      <c r="DS2097"/>
    </row>
    <row r="2098" spans="123:123">
      <c r="DS2098"/>
    </row>
    <row r="2099" spans="123:123">
      <c r="DS2099"/>
    </row>
    <row r="2100" spans="123:123">
      <c r="DS2100"/>
    </row>
    <row r="2101" spans="123:123">
      <c r="DS2101"/>
    </row>
    <row r="2102" spans="123:123">
      <c r="DS2102"/>
    </row>
    <row r="2103" spans="123:123">
      <c r="DS2103"/>
    </row>
    <row r="2104" spans="123:123">
      <c r="DS2104"/>
    </row>
    <row r="2105" spans="123:123">
      <c r="DS2105"/>
    </row>
    <row r="2106" spans="123:123">
      <c r="DS2106"/>
    </row>
    <row r="2107" spans="123:123">
      <c r="DS2107"/>
    </row>
    <row r="2108" spans="123:123">
      <c r="DS2108"/>
    </row>
    <row r="2109" spans="123:123">
      <c r="DS2109"/>
    </row>
    <row r="2110" spans="123:123">
      <c r="DS2110"/>
    </row>
    <row r="2111" spans="123:123">
      <c r="DS2111"/>
    </row>
    <row r="2112" spans="123:123">
      <c r="DS2112"/>
    </row>
    <row r="2113" spans="123:123">
      <c r="DS2113"/>
    </row>
    <row r="2114" spans="123:123">
      <c r="DS2114"/>
    </row>
    <row r="2115" spans="123:123">
      <c r="DS2115"/>
    </row>
    <row r="2116" spans="123:123">
      <c r="DS2116"/>
    </row>
    <row r="2117" spans="123:123">
      <c r="DS2117"/>
    </row>
    <row r="2118" spans="123:123">
      <c r="DS2118"/>
    </row>
    <row r="2119" spans="123:123">
      <c r="DS2119"/>
    </row>
    <row r="2120" spans="123:123">
      <c r="DS2120"/>
    </row>
    <row r="2121" spans="123:123">
      <c r="DS2121"/>
    </row>
    <row r="2122" spans="123:123">
      <c r="DS2122"/>
    </row>
    <row r="2123" spans="123:123">
      <c r="DS2123"/>
    </row>
    <row r="2124" spans="123:123">
      <c r="DS2124"/>
    </row>
    <row r="2125" spans="123:123">
      <c r="DS2125"/>
    </row>
    <row r="2126" spans="123:123">
      <c r="DS2126"/>
    </row>
    <row r="2127" spans="123:123">
      <c r="DS2127"/>
    </row>
    <row r="2128" spans="123:123">
      <c r="DS2128"/>
    </row>
    <row r="2129" spans="123:123">
      <c r="DS2129"/>
    </row>
    <row r="2130" spans="123:123">
      <c r="DS2130"/>
    </row>
    <row r="2131" spans="123:123">
      <c r="DS2131"/>
    </row>
    <row r="2132" spans="123:123">
      <c r="DS2132"/>
    </row>
    <row r="2133" spans="123:123">
      <c r="DS2133"/>
    </row>
    <row r="2134" spans="123:123">
      <c r="DS2134"/>
    </row>
    <row r="2135" spans="123:123">
      <c r="DS2135"/>
    </row>
    <row r="2136" spans="123:123">
      <c r="DS2136"/>
    </row>
    <row r="2137" spans="123:123">
      <c r="DS2137"/>
    </row>
    <row r="2138" spans="123:123">
      <c r="DS2138"/>
    </row>
    <row r="2139" spans="123:123">
      <c r="DS2139"/>
    </row>
    <row r="2140" spans="123:123">
      <c r="DS2140"/>
    </row>
    <row r="2141" spans="123:123">
      <c r="DS2141"/>
    </row>
    <row r="2142" spans="123:123">
      <c r="DS2142"/>
    </row>
    <row r="2143" spans="123:123">
      <c r="DS2143"/>
    </row>
    <row r="2144" spans="123:123">
      <c r="DS2144"/>
    </row>
    <row r="2145" spans="123:123">
      <c r="DS2145"/>
    </row>
    <row r="2146" spans="123:123">
      <c r="DS2146"/>
    </row>
    <row r="2147" spans="123:123">
      <c r="DS2147"/>
    </row>
    <row r="2148" spans="123:123">
      <c r="DS2148"/>
    </row>
    <row r="2149" spans="123:123">
      <c r="DS2149"/>
    </row>
    <row r="2150" spans="123:123">
      <c r="DS2150"/>
    </row>
    <row r="2151" spans="123:123">
      <c r="DS2151"/>
    </row>
    <row r="2152" spans="123:123">
      <c r="DS2152"/>
    </row>
    <row r="2153" spans="123:123">
      <c r="DS2153"/>
    </row>
    <row r="2154" spans="123:123">
      <c r="DS2154"/>
    </row>
    <row r="2155" spans="123:123">
      <c r="DS2155"/>
    </row>
    <row r="2156" spans="123:123">
      <c r="DS2156"/>
    </row>
    <row r="2157" spans="123:123">
      <c r="DS2157"/>
    </row>
    <row r="2158" spans="123:123">
      <c r="DS2158"/>
    </row>
    <row r="2159" spans="123:123">
      <c r="DS2159"/>
    </row>
    <row r="2160" spans="123:123">
      <c r="DS2160"/>
    </row>
    <row r="2161" spans="123:123">
      <c r="DS2161"/>
    </row>
    <row r="2162" spans="123:123">
      <c r="DS2162"/>
    </row>
    <row r="2163" spans="123:123">
      <c r="DS2163"/>
    </row>
    <row r="2164" spans="123:123">
      <c r="DS2164"/>
    </row>
    <row r="2165" spans="123:123">
      <c r="DS2165"/>
    </row>
    <row r="2166" spans="123:123">
      <c r="DS2166"/>
    </row>
    <row r="2167" spans="123:123">
      <c r="DS2167"/>
    </row>
    <row r="2168" spans="123:123">
      <c r="DS2168"/>
    </row>
    <row r="2169" spans="123:123">
      <c r="DS2169"/>
    </row>
    <row r="2170" spans="123:123">
      <c r="DS2170"/>
    </row>
    <row r="2171" spans="123:123">
      <c r="DS2171"/>
    </row>
    <row r="2172" spans="123:123">
      <c r="DS2172"/>
    </row>
    <row r="2173" spans="123:123">
      <c r="DS2173"/>
    </row>
    <row r="2174" spans="123:123">
      <c r="DS2174"/>
    </row>
    <row r="2175" spans="123:123">
      <c r="DS2175"/>
    </row>
    <row r="2176" spans="123:123">
      <c r="DS2176"/>
    </row>
    <row r="2177" spans="123:123">
      <c r="DS2177"/>
    </row>
    <row r="2178" spans="123:123">
      <c r="DS2178"/>
    </row>
    <row r="2179" spans="123:123">
      <c r="DS2179"/>
    </row>
    <row r="2180" spans="123:123">
      <c r="DS2180"/>
    </row>
    <row r="2181" spans="123:123">
      <c r="DS2181"/>
    </row>
    <row r="2182" spans="123:123">
      <c r="DS2182"/>
    </row>
    <row r="2183" spans="123:123">
      <c r="DS2183"/>
    </row>
    <row r="2184" spans="123:123">
      <c r="DS2184"/>
    </row>
    <row r="2185" spans="123:123">
      <c r="DS2185"/>
    </row>
    <row r="2186" spans="123:123">
      <c r="DS2186"/>
    </row>
    <row r="2187" spans="123:123">
      <c r="DS2187"/>
    </row>
    <row r="2188" spans="123:123">
      <c r="DS2188"/>
    </row>
    <row r="2189" spans="123:123">
      <c r="DS2189"/>
    </row>
    <row r="2190" spans="123:123">
      <c r="DS2190"/>
    </row>
    <row r="2191" spans="123:123">
      <c r="DS2191"/>
    </row>
    <row r="2192" spans="123:123">
      <c r="DS2192"/>
    </row>
    <row r="2193" spans="123:123">
      <c r="DS2193"/>
    </row>
    <row r="2194" spans="123:123">
      <c r="DS2194"/>
    </row>
    <row r="2195" spans="123:123">
      <c r="DS2195"/>
    </row>
    <row r="2196" spans="123:123">
      <c r="DS2196"/>
    </row>
    <row r="2197" spans="123:123">
      <c r="DS2197"/>
    </row>
    <row r="2198" spans="123:123">
      <c r="DS2198"/>
    </row>
    <row r="2199" spans="123:123">
      <c r="DS2199"/>
    </row>
    <row r="2200" spans="123:123">
      <c r="DS2200"/>
    </row>
    <row r="2201" spans="123:123">
      <c r="DS2201"/>
    </row>
    <row r="2202" spans="123:123">
      <c r="DS2202"/>
    </row>
    <row r="2203" spans="123:123">
      <c r="DS2203"/>
    </row>
    <row r="2204" spans="123:123">
      <c r="DS2204"/>
    </row>
    <row r="2205" spans="123:123">
      <c r="DS2205"/>
    </row>
    <row r="2206" spans="123:123">
      <c r="DS2206"/>
    </row>
    <row r="2207" spans="123:123">
      <c r="DS2207"/>
    </row>
    <row r="2208" spans="123:123">
      <c r="DS2208"/>
    </row>
    <row r="2209" spans="123:123">
      <c r="DS2209"/>
    </row>
    <row r="2210" spans="123:123">
      <c r="DS2210"/>
    </row>
    <row r="2211" spans="123:123">
      <c r="DS2211"/>
    </row>
    <row r="2212" spans="123:123">
      <c r="DS2212"/>
    </row>
    <row r="2213" spans="123:123">
      <c r="DS2213"/>
    </row>
    <row r="2214" spans="123:123">
      <c r="DS2214"/>
    </row>
    <row r="2215" spans="123:123">
      <c r="DS2215"/>
    </row>
    <row r="2216" spans="123:123">
      <c r="DS2216"/>
    </row>
    <row r="2217" spans="123:123">
      <c r="DS2217"/>
    </row>
    <row r="2218" spans="123:123">
      <c r="DS2218"/>
    </row>
    <row r="2219" spans="123:123">
      <c r="DS2219"/>
    </row>
    <row r="2220" spans="123:123">
      <c r="DS2220"/>
    </row>
    <row r="2221" spans="123:123">
      <c r="DS2221"/>
    </row>
    <row r="2222" spans="123:123">
      <c r="DS2222"/>
    </row>
    <row r="2223" spans="123:123">
      <c r="DS2223"/>
    </row>
    <row r="2224" spans="123:123">
      <c r="DS2224"/>
    </row>
    <row r="2225" spans="123:123">
      <c r="DS2225"/>
    </row>
    <row r="2226" spans="123:123">
      <c r="DS2226"/>
    </row>
    <row r="2227" spans="123:123">
      <c r="DS2227"/>
    </row>
    <row r="2228" spans="123:123">
      <c r="DS2228"/>
    </row>
    <row r="2229" spans="123:123">
      <c r="DS2229"/>
    </row>
    <row r="2230" spans="123:123">
      <c r="DS2230"/>
    </row>
    <row r="2231" spans="123:123">
      <c r="DS2231"/>
    </row>
    <row r="2232" spans="123:123">
      <c r="DS2232"/>
    </row>
    <row r="2233" spans="123:123">
      <c r="DS2233"/>
    </row>
    <row r="2234" spans="123:123">
      <c r="DS2234"/>
    </row>
    <row r="2235" spans="123:123">
      <c r="DS2235"/>
    </row>
    <row r="2236" spans="123:123">
      <c r="DS2236"/>
    </row>
    <row r="2237" spans="123:123">
      <c r="DS2237"/>
    </row>
    <row r="2238" spans="123:123">
      <c r="DS2238"/>
    </row>
    <row r="2239" spans="123:123">
      <c r="DS2239"/>
    </row>
    <row r="2240" spans="123:123">
      <c r="DS2240"/>
    </row>
    <row r="2241" spans="123:123">
      <c r="DS2241"/>
    </row>
    <row r="2242" spans="123:123">
      <c r="DS2242"/>
    </row>
    <row r="2243" spans="123:123">
      <c r="DS2243"/>
    </row>
    <row r="2244" spans="123:123">
      <c r="DS2244"/>
    </row>
    <row r="2245" spans="123:123">
      <c r="DS2245"/>
    </row>
    <row r="2246" spans="123:123">
      <c r="DS2246"/>
    </row>
    <row r="2247" spans="123:123">
      <c r="DS2247"/>
    </row>
    <row r="2248" spans="123:123">
      <c r="DS2248"/>
    </row>
    <row r="2249" spans="123:123">
      <c r="DS2249"/>
    </row>
    <row r="2250" spans="123:123">
      <c r="DS2250"/>
    </row>
    <row r="2251" spans="123:123">
      <c r="DS2251"/>
    </row>
    <row r="2252" spans="123:123">
      <c r="DS2252"/>
    </row>
    <row r="2253" spans="123:123">
      <c r="DS2253"/>
    </row>
    <row r="2254" spans="123:123">
      <c r="DS2254"/>
    </row>
    <row r="2255" spans="123:123">
      <c r="DS2255"/>
    </row>
    <row r="2256" spans="123:123">
      <c r="DS2256"/>
    </row>
    <row r="2257" spans="123:123">
      <c r="DS2257"/>
    </row>
    <row r="2258" spans="123:123">
      <c r="DS2258"/>
    </row>
    <row r="2259" spans="123:123">
      <c r="DS2259"/>
    </row>
    <row r="2260" spans="123:123">
      <c r="DS2260"/>
    </row>
    <row r="2261" spans="123:123">
      <c r="DS2261"/>
    </row>
    <row r="2262" spans="123:123">
      <c r="DS2262"/>
    </row>
    <row r="2263" spans="123:123">
      <c r="DS2263"/>
    </row>
    <row r="2264" spans="123:123">
      <c r="DS2264"/>
    </row>
    <row r="2265" spans="123:123">
      <c r="DS2265"/>
    </row>
    <row r="2266" spans="123:123">
      <c r="DS2266"/>
    </row>
    <row r="2267" spans="123:123">
      <c r="DS2267"/>
    </row>
    <row r="2268" spans="123:123">
      <c r="DS2268"/>
    </row>
    <row r="2269" spans="123:123">
      <c r="DS2269"/>
    </row>
    <row r="2270" spans="123:123">
      <c r="DS2270"/>
    </row>
    <row r="2271" spans="123:123">
      <c r="DS2271"/>
    </row>
    <row r="2272" spans="123:123">
      <c r="DS2272"/>
    </row>
    <row r="2273" spans="123:123">
      <c r="DS2273"/>
    </row>
    <row r="2274" spans="123:123">
      <c r="DS2274"/>
    </row>
    <row r="2275" spans="123:123">
      <c r="DS2275"/>
    </row>
    <row r="2276" spans="123:123">
      <c r="DS2276"/>
    </row>
    <row r="2277" spans="123:123">
      <c r="DS2277"/>
    </row>
    <row r="2278" spans="123:123">
      <c r="DS2278"/>
    </row>
    <row r="2279" spans="123:123">
      <c r="DS2279"/>
    </row>
    <row r="2280" spans="123:123">
      <c r="DS2280"/>
    </row>
    <row r="2281" spans="123:123">
      <c r="DS2281"/>
    </row>
    <row r="2282" spans="123:123">
      <c r="DS2282"/>
    </row>
    <row r="2283" spans="123:123">
      <c r="DS2283"/>
    </row>
    <row r="2284" spans="123:123">
      <c r="DS2284"/>
    </row>
    <row r="2285" spans="123:123">
      <c r="DS2285"/>
    </row>
    <row r="2286" spans="123:123">
      <c r="DS2286"/>
    </row>
    <row r="2287" spans="123:123">
      <c r="DS2287"/>
    </row>
    <row r="2288" spans="123:123">
      <c r="DS2288"/>
    </row>
    <row r="2289" spans="123:123">
      <c r="DS2289"/>
    </row>
    <row r="2290" spans="123:123">
      <c r="DS2290"/>
    </row>
    <row r="2291" spans="123:123">
      <c r="DS2291"/>
    </row>
    <row r="2292" spans="123:123">
      <c r="DS2292"/>
    </row>
    <row r="2293" spans="123:123">
      <c r="DS2293"/>
    </row>
    <row r="2294" spans="123:123">
      <c r="DS2294"/>
    </row>
    <row r="2295" spans="123:123">
      <c r="DS2295"/>
    </row>
    <row r="2296" spans="123:123">
      <c r="DS2296"/>
    </row>
    <row r="2297" spans="123:123">
      <c r="DS2297"/>
    </row>
    <row r="2298" spans="123:123">
      <c r="DS2298"/>
    </row>
    <row r="2299" spans="123:123">
      <c r="DS2299"/>
    </row>
    <row r="2300" spans="123:123">
      <c r="DS2300"/>
    </row>
    <row r="2301" spans="123:123">
      <c r="DS2301"/>
    </row>
    <row r="2302" spans="123:123">
      <c r="DS2302"/>
    </row>
    <row r="2303" spans="123:123">
      <c r="DS2303"/>
    </row>
    <row r="2304" spans="123:123">
      <c r="DS2304"/>
    </row>
    <row r="2305" spans="123:123">
      <c r="DS2305"/>
    </row>
    <row r="2306" spans="123:123">
      <c r="DS2306"/>
    </row>
    <row r="2307" spans="123:123">
      <c r="DS2307"/>
    </row>
    <row r="2308" spans="123:123">
      <c r="DS2308"/>
    </row>
    <row r="2309" spans="123:123">
      <c r="DS2309"/>
    </row>
    <row r="2310" spans="123:123">
      <c r="DS2310"/>
    </row>
    <row r="2311" spans="123:123">
      <c r="DS2311"/>
    </row>
    <row r="2312" spans="123:123">
      <c r="DS2312"/>
    </row>
    <row r="2313" spans="123:123">
      <c r="DS2313"/>
    </row>
    <row r="2314" spans="123:123">
      <c r="DS2314"/>
    </row>
    <row r="2315" spans="123:123">
      <c r="DS2315"/>
    </row>
    <row r="2316" spans="123:123">
      <c r="DS2316"/>
    </row>
    <row r="2317" spans="123:123">
      <c r="DS2317"/>
    </row>
    <row r="2318" spans="123:123">
      <c r="DS2318"/>
    </row>
    <row r="2319" spans="123:123">
      <c r="DS2319"/>
    </row>
    <row r="2320" spans="123:123">
      <c r="DS2320"/>
    </row>
    <row r="2321" spans="123:123">
      <c r="DS2321"/>
    </row>
    <row r="2322" spans="123:123">
      <c r="DS2322"/>
    </row>
    <row r="2323" spans="123:123">
      <c r="DS2323"/>
    </row>
    <row r="2324" spans="123:123">
      <c r="DS2324"/>
    </row>
    <row r="2325" spans="123:123">
      <c r="DS2325"/>
    </row>
    <row r="2326" spans="123:123">
      <c r="DS2326"/>
    </row>
    <row r="2327" spans="123:123">
      <c r="DS2327"/>
    </row>
    <row r="2328" spans="123:123">
      <c r="DS2328"/>
    </row>
    <row r="2329" spans="123:123">
      <c r="DS2329"/>
    </row>
    <row r="2330" spans="123:123">
      <c r="DS2330"/>
    </row>
    <row r="2331" spans="123:123">
      <c r="DS2331"/>
    </row>
    <row r="2332" spans="123:123">
      <c r="DS2332"/>
    </row>
    <row r="2333" spans="123:123">
      <c r="DS2333"/>
    </row>
    <row r="2334" spans="123:123">
      <c r="DS2334"/>
    </row>
    <row r="2335" spans="123:123">
      <c r="DS2335"/>
    </row>
    <row r="2336" spans="123:123">
      <c r="DS2336"/>
    </row>
    <row r="2337" spans="123:123">
      <c r="DS2337"/>
    </row>
    <row r="2338" spans="123:123">
      <c r="DS2338"/>
    </row>
    <row r="2339" spans="123:123">
      <c r="DS2339"/>
    </row>
    <row r="2340" spans="123:123">
      <c r="DS2340"/>
    </row>
    <row r="2341" spans="123:123">
      <c r="DS2341"/>
    </row>
    <row r="2342" spans="123:123">
      <c r="DS2342"/>
    </row>
    <row r="2343" spans="123:123">
      <c r="DS2343"/>
    </row>
    <row r="2344" spans="123:123">
      <c r="DS2344"/>
    </row>
    <row r="2345" spans="123:123">
      <c r="DS2345"/>
    </row>
    <row r="2346" spans="123:123">
      <c r="DS2346"/>
    </row>
    <row r="2347" spans="123:123">
      <c r="DS2347"/>
    </row>
    <row r="2348" spans="123:123">
      <c r="DS2348"/>
    </row>
    <row r="2349" spans="123:123">
      <c r="DS2349"/>
    </row>
    <row r="2350" spans="123:123">
      <c r="DS2350"/>
    </row>
    <row r="2351" spans="123:123">
      <c r="DS2351"/>
    </row>
    <row r="2352" spans="123:123">
      <c r="DS2352"/>
    </row>
    <row r="2353" spans="123:123">
      <c r="DS2353"/>
    </row>
    <row r="2354" spans="123:123">
      <c r="DS2354"/>
    </row>
    <row r="2355" spans="123:123">
      <c r="DS2355"/>
    </row>
    <row r="2356" spans="123:123">
      <c r="DS2356"/>
    </row>
    <row r="2357" spans="123:123">
      <c r="DS2357"/>
    </row>
    <row r="2358" spans="123:123">
      <c r="DS2358"/>
    </row>
    <row r="2359" spans="123:123">
      <c r="DS2359"/>
    </row>
    <row r="2360" spans="123:123">
      <c r="DS2360"/>
    </row>
    <row r="2361" spans="123:123">
      <c r="DS2361"/>
    </row>
    <row r="2362" spans="123:123">
      <c r="DS2362"/>
    </row>
    <row r="2363" spans="123:123">
      <c r="DS2363"/>
    </row>
    <row r="2364" spans="123:123">
      <c r="DS2364"/>
    </row>
    <row r="2365" spans="123:123">
      <c r="DS2365"/>
    </row>
    <row r="2366" spans="123:123">
      <c r="DS2366"/>
    </row>
    <row r="2367" spans="123:123">
      <c r="DS2367"/>
    </row>
    <row r="2368" spans="123:123">
      <c r="DS2368"/>
    </row>
    <row r="2369" spans="123:123">
      <c r="DS2369"/>
    </row>
    <row r="2370" spans="123:123">
      <c r="DS2370"/>
    </row>
    <row r="2371" spans="123:123">
      <c r="DS2371"/>
    </row>
    <row r="2372" spans="123:123">
      <c r="DS2372"/>
    </row>
    <row r="2373" spans="123:123">
      <c r="DS2373"/>
    </row>
    <row r="2374" spans="123:123">
      <c r="DS2374"/>
    </row>
    <row r="2375" spans="123:123">
      <c r="DS2375"/>
    </row>
    <row r="2376" spans="123:123">
      <c r="DS2376"/>
    </row>
    <row r="2377" spans="123:123">
      <c r="DS2377"/>
    </row>
    <row r="2378" spans="123:123">
      <c r="DS2378"/>
    </row>
    <row r="2379" spans="123:123">
      <c r="DS2379"/>
    </row>
    <row r="2380" spans="123:123">
      <c r="DS2380"/>
    </row>
    <row r="2381" spans="123:123">
      <c r="DS2381"/>
    </row>
    <row r="2382" spans="123:123">
      <c r="DS2382"/>
    </row>
    <row r="2383" spans="123:123">
      <c r="DS2383"/>
    </row>
    <row r="2384" spans="123:123">
      <c r="DS2384"/>
    </row>
    <row r="2385" spans="123:123">
      <c r="DS2385"/>
    </row>
    <row r="2386" spans="123:123">
      <c r="DS2386"/>
    </row>
    <row r="2387" spans="123:123">
      <c r="DS2387"/>
    </row>
    <row r="2388" spans="123:123">
      <c r="DS2388"/>
    </row>
    <row r="2389" spans="123:123">
      <c r="DS2389"/>
    </row>
    <row r="2390" spans="123:123">
      <c r="DS2390"/>
    </row>
    <row r="2391" spans="123:123">
      <c r="DS2391"/>
    </row>
    <row r="2392" spans="123:123">
      <c r="DS2392"/>
    </row>
    <row r="2393" spans="123:123">
      <c r="DS2393"/>
    </row>
    <row r="2394" spans="123:123">
      <c r="DS2394"/>
    </row>
    <row r="2395" spans="123:123">
      <c r="DS2395"/>
    </row>
    <row r="2396" spans="123:123">
      <c r="DS2396"/>
    </row>
    <row r="2397" spans="123:123">
      <c r="DS2397"/>
    </row>
    <row r="2398" spans="123:123">
      <c r="DS2398"/>
    </row>
    <row r="2399" spans="123:123">
      <c r="DS2399"/>
    </row>
    <row r="2400" spans="123:123">
      <c r="DS2400"/>
    </row>
    <row r="2401" spans="123:123">
      <c r="DS2401"/>
    </row>
    <row r="2402" spans="123:123">
      <c r="DS2402"/>
    </row>
    <row r="2403" spans="123:123">
      <c r="DS2403"/>
    </row>
    <row r="2404" spans="123:123">
      <c r="DS2404"/>
    </row>
    <row r="2405" spans="123:123">
      <c r="DS2405"/>
    </row>
    <row r="2406" spans="123:123">
      <c r="DS2406"/>
    </row>
    <row r="2407" spans="123:123">
      <c r="DS2407"/>
    </row>
    <row r="2408" spans="123:123">
      <c r="DS2408"/>
    </row>
    <row r="2409" spans="123:123">
      <c r="DS2409"/>
    </row>
    <row r="2410" spans="123:123">
      <c r="DS2410"/>
    </row>
    <row r="2411" spans="123:123">
      <c r="DS2411"/>
    </row>
    <row r="2412" spans="123:123">
      <c r="DS2412"/>
    </row>
    <row r="2413" spans="123:123">
      <c r="DS2413"/>
    </row>
    <row r="2414" spans="123:123">
      <c r="DS2414"/>
    </row>
    <row r="2415" spans="123:123">
      <c r="DS2415"/>
    </row>
    <row r="2416" spans="123:123">
      <c r="DS2416"/>
    </row>
    <row r="2417" spans="123:123">
      <c r="DS2417"/>
    </row>
    <row r="2418" spans="123:123">
      <c r="DS2418"/>
    </row>
    <row r="2419" spans="123:123">
      <c r="DS2419"/>
    </row>
    <row r="2420" spans="123:123">
      <c r="DS2420"/>
    </row>
    <row r="2421" spans="123:123">
      <c r="DS2421"/>
    </row>
    <row r="2422" spans="123:123">
      <c r="DS2422"/>
    </row>
    <row r="2423" spans="123:123">
      <c r="DS2423"/>
    </row>
    <row r="2424" spans="123:123">
      <c r="DS2424"/>
    </row>
    <row r="2425" spans="123:123">
      <c r="DS2425"/>
    </row>
    <row r="2426" spans="123:123">
      <c r="DS2426"/>
    </row>
    <row r="2427" spans="123:123">
      <c r="DS2427"/>
    </row>
    <row r="2428" spans="123:123">
      <c r="DS2428"/>
    </row>
    <row r="2429" spans="123:123">
      <c r="DS2429"/>
    </row>
    <row r="2430" spans="123:123">
      <c r="DS2430"/>
    </row>
    <row r="2431" spans="123:123">
      <c r="DS2431"/>
    </row>
    <row r="2432" spans="123:123">
      <c r="DS2432"/>
    </row>
    <row r="2433" spans="123:123">
      <c r="DS2433"/>
    </row>
    <row r="2434" spans="123:123">
      <c r="DS2434"/>
    </row>
    <row r="2435" spans="123:123">
      <c r="DS2435"/>
    </row>
    <row r="2436" spans="123:123">
      <c r="DS2436"/>
    </row>
    <row r="2437" spans="123:123">
      <c r="DS2437"/>
    </row>
    <row r="2438" spans="123:123">
      <c r="DS2438"/>
    </row>
    <row r="2439" spans="123:123">
      <c r="DS2439"/>
    </row>
    <row r="2440" spans="123:123">
      <c r="DS2440"/>
    </row>
    <row r="2441" spans="123:123">
      <c r="DS2441"/>
    </row>
    <row r="2442" spans="123:123">
      <c r="DS2442"/>
    </row>
    <row r="2443" spans="123:123">
      <c r="DS2443"/>
    </row>
    <row r="2444" spans="123:123">
      <c r="DS2444"/>
    </row>
    <row r="2445" spans="123:123">
      <c r="DS2445"/>
    </row>
    <row r="2446" spans="123:123">
      <c r="DS2446"/>
    </row>
    <row r="2447" spans="123:123">
      <c r="DS2447"/>
    </row>
    <row r="2448" spans="123:123">
      <c r="DS2448"/>
    </row>
    <row r="2449" spans="123:123">
      <c r="DS2449"/>
    </row>
    <row r="2450" spans="123:123">
      <c r="DS2450"/>
    </row>
    <row r="2451" spans="123:123">
      <c r="DS2451"/>
    </row>
    <row r="2452" spans="123:123">
      <c r="DS2452"/>
    </row>
    <row r="2453" spans="123:123">
      <c r="DS2453"/>
    </row>
    <row r="2454" spans="123:123">
      <c r="DS2454"/>
    </row>
    <row r="2455" spans="123:123">
      <c r="DS2455"/>
    </row>
    <row r="2456" spans="123:123">
      <c r="DS2456"/>
    </row>
    <row r="2457" spans="123:123">
      <c r="DS2457"/>
    </row>
    <row r="2458" spans="123:123">
      <c r="DS2458"/>
    </row>
    <row r="2459" spans="123:123">
      <c r="DS2459"/>
    </row>
    <row r="2460" spans="123:123">
      <c r="DS2460"/>
    </row>
    <row r="2461" spans="123:123">
      <c r="DS2461"/>
    </row>
    <row r="2462" spans="123:123">
      <c r="DS2462"/>
    </row>
    <row r="2463" spans="123:123">
      <c r="DS2463"/>
    </row>
    <row r="2464" spans="123:123">
      <c r="DS2464"/>
    </row>
    <row r="2465" spans="123:123">
      <c r="DS2465"/>
    </row>
    <row r="2466" spans="123:123">
      <c r="DS2466"/>
    </row>
    <row r="2467" spans="123:123">
      <c r="DS2467"/>
    </row>
    <row r="2468" spans="123:123">
      <c r="DS2468"/>
    </row>
    <row r="2469" spans="123:123">
      <c r="DS2469"/>
    </row>
    <row r="2470" spans="123:123">
      <c r="DS2470"/>
    </row>
    <row r="2471" spans="123:123">
      <c r="DS2471"/>
    </row>
    <row r="2472" spans="123:123">
      <c r="DS2472"/>
    </row>
    <row r="2473" spans="123:123">
      <c r="DS2473"/>
    </row>
    <row r="2474" spans="123:123">
      <c r="DS2474"/>
    </row>
    <row r="2475" spans="123:123">
      <c r="DS2475"/>
    </row>
    <row r="2476" spans="123:123">
      <c r="DS2476"/>
    </row>
    <row r="2477" spans="123:123">
      <c r="DS2477"/>
    </row>
    <row r="2478" spans="123:123">
      <c r="DS2478"/>
    </row>
    <row r="2479" spans="123:123">
      <c r="DS2479"/>
    </row>
    <row r="2480" spans="123:123">
      <c r="DS2480"/>
    </row>
    <row r="2481" spans="123:123">
      <c r="DS2481"/>
    </row>
    <row r="2482" spans="123:123">
      <c r="DS2482"/>
    </row>
    <row r="2483" spans="123:123">
      <c r="DS2483"/>
    </row>
    <row r="2484" spans="123:123">
      <c r="DS2484"/>
    </row>
    <row r="2485" spans="123:123">
      <c r="DS2485"/>
    </row>
    <row r="2486" spans="123:123">
      <c r="DS2486"/>
    </row>
    <row r="2487" spans="123:123">
      <c r="DS2487"/>
    </row>
    <row r="2488" spans="123:123">
      <c r="DS2488"/>
    </row>
    <row r="2489" spans="123:123">
      <c r="DS2489"/>
    </row>
    <row r="2490" spans="123:123">
      <c r="DS2490"/>
    </row>
    <row r="2491" spans="123:123">
      <c r="DS2491"/>
    </row>
    <row r="2492" spans="123:123">
      <c r="DS2492"/>
    </row>
    <row r="2493" spans="123:123">
      <c r="DS2493"/>
    </row>
    <row r="2494" spans="123:123">
      <c r="DS2494"/>
    </row>
    <row r="2495" spans="123:123">
      <c r="DS2495"/>
    </row>
    <row r="2496" spans="123:123">
      <c r="DS2496"/>
    </row>
    <row r="2497" spans="123:123">
      <c r="DS2497"/>
    </row>
    <row r="2498" spans="123:123">
      <c r="DS2498"/>
    </row>
    <row r="2499" spans="123:123">
      <c r="DS2499"/>
    </row>
    <row r="2500" spans="123:123">
      <c r="DS2500"/>
    </row>
    <row r="2501" spans="123:123">
      <c r="DS2501"/>
    </row>
    <row r="2502" spans="123:123">
      <c r="DS2502"/>
    </row>
    <row r="2503" spans="123:123">
      <c r="DS2503"/>
    </row>
    <row r="2504" spans="123:123">
      <c r="DS2504"/>
    </row>
    <row r="2505" spans="123:123">
      <c r="DS2505"/>
    </row>
    <row r="2506" spans="123:123">
      <c r="DS2506"/>
    </row>
    <row r="2507" spans="123:123">
      <c r="DS2507"/>
    </row>
    <row r="2508" spans="123:123">
      <c r="DS2508"/>
    </row>
    <row r="2509" spans="123:123">
      <c r="DS2509"/>
    </row>
    <row r="2510" spans="123:123">
      <c r="DS2510"/>
    </row>
    <row r="2511" spans="123:123">
      <c r="DS2511"/>
    </row>
    <row r="2512" spans="123:123">
      <c r="DS2512"/>
    </row>
    <row r="2513" spans="123:123">
      <c r="DS2513"/>
    </row>
    <row r="2514" spans="123:123">
      <c r="DS2514"/>
    </row>
    <row r="2515" spans="123:123">
      <c r="DS2515"/>
    </row>
    <row r="2516" spans="123:123">
      <c r="DS2516"/>
    </row>
    <row r="2517" spans="123:123">
      <c r="DS2517"/>
    </row>
    <row r="2518" spans="123:123">
      <c r="DS2518"/>
    </row>
    <row r="2519" spans="123:123">
      <c r="DS2519"/>
    </row>
    <row r="2520" spans="123:123">
      <c r="DS2520"/>
    </row>
    <row r="2521" spans="123:123">
      <c r="DS2521"/>
    </row>
    <row r="2522" spans="123:123">
      <c r="DS2522"/>
    </row>
    <row r="2523" spans="123:123">
      <c r="DS2523"/>
    </row>
    <row r="2524" spans="123:123">
      <c r="DS2524"/>
    </row>
    <row r="2525" spans="123:123">
      <c r="DS2525"/>
    </row>
    <row r="2526" spans="123:123">
      <c r="DS2526"/>
    </row>
    <row r="2527" spans="123:123">
      <c r="DS2527"/>
    </row>
    <row r="2528" spans="123:123">
      <c r="DS2528"/>
    </row>
    <row r="2529" spans="123:123">
      <c r="DS2529"/>
    </row>
    <row r="2530" spans="123:123">
      <c r="DS2530"/>
    </row>
    <row r="2531" spans="123:123">
      <c r="DS2531"/>
    </row>
    <row r="2532" spans="123:123">
      <c r="DS2532"/>
    </row>
    <row r="2533" spans="123:123">
      <c r="DS2533"/>
    </row>
    <row r="2534" spans="123:123">
      <c r="DS2534"/>
    </row>
    <row r="2535" spans="123:123">
      <c r="DS2535"/>
    </row>
    <row r="2536" spans="123:123">
      <c r="DS2536"/>
    </row>
    <row r="2537" spans="123:123">
      <c r="DS2537"/>
    </row>
    <row r="2538" spans="123:123">
      <c r="DS2538"/>
    </row>
    <row r="2539" spans="123:123">
      <c r="DS2539"/>
    </row>
    <row r="2540" spans="123:123">
      <c r="DS2540"/>
    </row>
    <row r="2541" spans="123:123">
      <c r="DS2541"/>
    </row>
    <row r="2542" spans="123:123">
      <c r="DS2542"/>
    </row>
    <row r="2543" spans="123:123">
      <c r="DS2543"/>
    </row>
    <row r="2544" spans="123:123">
      <c r="DS2544"/>
    </row>
    <row r="2545" spans="123:123">
      <c r="DS2545"/>
    </row>
    <row r="2546" spans="123:123">
      <c r="DS2546"/>
    </row>
    <row r="2547" spans="123:123">
      <c r="DS2547"/>
    </row>
    <row r="2548" spans="123:123">
      <c r="DS2548"/>
    </row>
    <row r="2549" spans="123:123">
      <c r="DS2549"/>
    </row>
    <row r="2550" spans="123:123">
      <c r="DS2550"/>
    </row>
    <row r="2551" spans="123:123">
      <c r="DS2551"/>
    </row>
    <row r="2552" spans="123:123">
      <c r="DS2552"/>
    </row>
    <row r="2553" spans="123:123">
      <c r="DS2553"/>
    </row>
    <row r="2554" spans="123:123">
      <c r="DS2554"/>
    </row>
    <row r="2555" spans="123:123">
      <c r="DS2555"/>
    </row>
    <row r="2556" spans="123:123">
      <c r="DS2556"/>
    </row>
    <row r="2557" spans="123:123">
      <c r="DS2557"/>
    </row>
    <row r="2558" spans="123:123">
      <c r="DS2558"/>
    </row>
    <row r="2559" spans="123:123">
      <c r="DS2559"/>
    </row>
    <row r="2560" spans="123:123">
      <c r="DS2560"/>
    </row>
    <row r="2561" spans="123:123">
      <c r="DS2561"/>
    </row>
    <row r="2562" spans="123:123">
      <c r="DS2562"/>
    </row>
    <row r="2563" spans="123:123">
      <c r="DS2563"/>
    </row>
    <row r="2564" spans="123:123">
      <c r="DS2564"/>
    </row>
    <row r="2565" spans="123:123">
      <c r="DS2565"/>
    </row>
    <row r="2566" spans="123:123">
      <c r="DS2566"/>
    </row>
    <row r="2567" spans="123:123">
      <c r="DS2567"/>
    </row>
    <row r="2568" spans="123:123">
      <c r="DS2568"/>
    </row>
    <row r="2569" spans="123:123">
      <c r="DS2569"/>
    </row>
    <row r="2570" spans="123:123">
      <c r="DS2570"/>
    </row>
    <row r="2571" spans="123:123">
      <c r="DS2571"/>
    </row>
    <row r="2572" spans="123:123">
      <c r="DS2572"/>
    </row>
    <row r="2573" spans="123:123">
      <c r="DS2573"/>
    </row>
    <row r="2574" spans="123:123">
      <c r="DS2574"/>
    </row>
    <row r="2575" spans="123:123">
      <c r="DS2575"/>
    </row>
    <row r="2576" spans="123:123">
      <c r="DS2576"/>
    </row>
    <row r="2577" spans="123:123">
      <c r="DS2577"/>
    </row>
    <row r="2578" spans="123:123">
      <c r="DS2578"/>
    </row>
    <row r="2579" spans="123:123">
      <c r="DS2579"/>
    </row>
    <row r="2580" spans="123:123">
      <c r="DS2580"/>
    </row>
    <row r="2581" spans="123:123">
      <c r="DS2581"/>
    </row>
    <row r="2582" spans="123:123">
      <c r="DS2582"/>
    </row>
    <row r="2583" spans="123:123">
      <c r="DS2583"/>
    </row>
    <row r="2584" spans="123:123">
      <c r="DS2584"/>
    </row>
    <row r="2585" spans="123:123">
      <c r="DS2585"/>
    </row>
    <row r="2586" spans="123:123">
      <c r="DS2586"/>
    </row>
    <row r="2587" spans="123:123">
      <c r="DS2587"/>
    </row>
    <row r="2588" spans="123:123">
      <c r="DS2588"/>
    </row>
    <row r="2589" spans="123:123">
      <c r="DS2589"/>
    </row>
    <row r="2590" spans="123:123">
      <c r="DS2590"/>
    </row>
    <row r="2591" spans="123:123">
      <c r="DS2591"/>
    </row>
    <row r="2592" spans="123:123">
      <c r="DS2592"/>
    </row>
    <row r="2593" spans="123:123">
      <c r="DS2593"/>
    </row>
    <row r="2594" spans="123:123">
      <c r="DS2594"/>
    </row>
    <row r="2595" spans="123:123">
      <c r="DS2595"/>
    </row>
    <row r="2596" spans="123:123">
      <c r="DS2596"/>
    </row>
    <row r="2597" spans="123:123">
      <c r="DS2597"/>
    </row>
    <row r="2598" spans="123:123">
      <c r="DS2598"/>
    </row>
    <row r="2599" spans="123:123">
      <c r="DS2599"/>
    </row>
    <row r="2600" spans="123:123">
      <c r="DS2600"/>
    </row>
    <row r="2601" spans="123:123">
      <c r="DS2601"/>
    </row>
    <row r="2602" spans="123:123">
      <c r="DS2602"/>
    </row>
    <row r="2603" spans="123:123">
      <c r="DS2603"/>
    </row>
    <row r="2604" spans="123:123">
      <c r="DS2604"/>
    </row>
    <row r="2605" spans="123:123">
      <c r="DS2605"/>
    </row>
    <row r="2606" spans="123:123">
      <c r="DS2606"/>
    </row>
    <row r="2607" spans="123:123">
      <c r="DS2607"/>
    </row>
    <row r="2608" spans="123:123">
      <c r="DS2608"/>
    </row>
    <row r="2609" spans="123:123">
      <c r="DS2609"/>
    </row>
    <row r="2610" spans="123:123">
      <c r="DS2610"/>
    </row>
    <row r="2611" spans="123:123">
      <c r="DS2611"/>
    </row>
    <row r="2612" spans="123:123">
      <c r="DS2612"/>
    </row>
    <row r="2613" spans="123:123">
      <c r="DS2613"/>
    </row>
    <row r="2614" spans="123:123">
      <c r="DS2614"/>
    </row>
    <row r="2615" spans="123:123">
      <c r="DS2615"/>
    </row>
    <row r="2616" spans="123:123">
      <c r="DS2616"/>
    </row>
    <row r="2617" spans="123:123">
      <c r="DS2617"/>
    </row>
    <row r="2618" spans="123:123">
      <c r="DS2618"/>
    </row>
    <row r="2619" spans="123:123">
      <c r="DS2619"/>
    </row>
    <row r="2620" spans="123:123">
      <c r="DS2620"/>
    </row>
    <row r="2621" spans="123:123">
      <c r="DS2621"/>
    </row>
    <row r="2622" spans="123:123">
      <c r="DS2622"/>
    </row>
    <row r="2623" spans="123:123">
      <c r="DS2623"/>
    </row>
    <row r="2624" spans="123:123">
      <c r="DS2624"/>
    </row>
    <row r="2625" spans="123:123">
      <c r="DS2625"/>
    </row>
    <row r="2626" spans="123:123">
      <c r="DS2626"/>
    </row>
    <row r="2627" spans="123:123">
      <c r="DS2627"/>
    </row>
    <row r="2628" spans="123:123">
      <c r="DS2628"/>
    </row>
    <row r="2629" spans="123:123">
      <c r="DS2629"/>
    </row>
    <row r="2630" spans="123:123">
      <c r="DS2630"/>
    </row>
    <row r="2631" spans="123:123">
      <c r="DS2631"/>
    </row>
    <row r="2632" spans="123:123">
      <c r="DS2632"/>
    </row>
    <row r="2633" spans="123:123">
      <c r="DS2633"/>
    </row>
    <row r="2634" spans="123:123">
      <c r="DS2634"/>
    </row>
    <row r="2635" spans="123:123">
      <c r="DS2635"/>
    </row>
    <row r="2636" spans="123:123">
      <c r="DS2636"/>
    </row>
    <row r="2637" spans="123:123">
      <c r="DS2637"/>
    </row>
    <row r="2638" spans="123:123">
      <c r="DS2638"/>
    </row>
    <row r="2639" spans="123:123">
      <c r="DS2639"/>
    </row>
    <row r="2640" spans="123:123">
      <c r="DS2640"/>
    </row>
    <row r="2641" spans="123:123">
      <c r="DS2641"/>
    </row>
    <row r="2642" spans="123:123">
      <c r="DS2642"/>
    </row>
    <row r="2643" spans="123:123">
      <c r="DS2643"/>
    </row>
    <row r="2644" spans="123:123">
      <c r="DS2644"/>
    </row>
    <row r="2645" spans="123:123">
      <c r="DS2645"/>
    </row>
    <row r="2646" spans="123:123">
      <c r="DS2646"/>
    </row>
    <row r="2647" spans="123:123">
      <c r="DS2647"/>
    </row>
    <row r="2648" spans="123:123">
      <c r="DS2648"/>
    </row>
    <row r="2649" spans="123:123">
      <c r="DS2649"/>
    </row>
    <row r="2650" spans="123:123">
      <c r="DS2650"/>
    </row>
    <row r="2651" spans="123:123">
      <c r="DS2651"/>
    </row>
    <row r="2652" spans="123:123">
      <c r="DS2652"/>
    </row>
    <row r="2653" spans="123:123">
      <c r="DS2653"/>
    </row>
    <row r="2654" spans="123:123">
      <c r="DS2654"/>
    </row>
    <row r="2655" spans="123:123">
      <c r="DS2655"/>
    </row>
    <row r="2656" spans="123:123">
      <c r="DS2656"/>
    </row>
    <row r="2657" spans="123:123">
      <c r="DS2657"/>
    </row>
    <row r="2658" spans="123:123">
      <c r="DS2658"/>
    </row>
    <row r="2659" spans="123:123">
      <c r="DS2659"/>
    </row>
    <row r="2660" spans="123:123">
      <c r="DS2660"/>
    </row>
    <row r="2661" spans="123:123">
      <c r="DS2661"/>
    </row>
    <row r="2662" spans="123:123">
      <c r="DS2662"/>
    </row>
    <row r="2663" spans="123:123">
      <c r="DS2663"/>
    </row>
    <row r="2664" spans="123:123">
      <c r="DS2664"/>
    </row>
    <row r="2665" spans="123:123">
      <c r="DS2665"/>
    </row>
    <row r="2666" spans="123:123">
      <c r="DS2666"/>
    </row>
    <row r="2667" spans="123:123">
      <c r="DS2667"/>
    </row>
    <row r="2668" spans="123:123">
      <c r="DS2668"/>
    </row>
    <row r="2669" spans="123:123">
      <c r="DS2669"/>
    </row>
    <row r="2670" spans="123:123">
      <c r="DS2670"/>
    </row>
    <row r="2671" spans="123:123">
      <c r="DS2671"/>
    </row>
    <row r="2672" spans="123:123">
      <c r="DS2672"/>
    </row>
    <row r="2673" spans="123:123">
      <c r="DS2673"/>
    </row>
    <row r="2674" spans="123:123">
      <c r="DS2674"/>
    </row>
    <row r="2675" spans="123:123">
      <c r="DS2675"/>
    </row>
    <row r="2676" spans="123:123">
      <c r="DS2676"/>
    </row>
    <row r="2677" spans="123:123">
      <c r="DS2677"/>
    </row>
    <row r="2678" spans="123:123">
      <c r="DS2678"/>
    </row>
    <row r="2679" spans="123:123">
      <c r="DS2679"/>
    </row>
    <row r="2680" spans="123:123">
      <c r="DS2680"/>
    </row>
    <row r="2681" spans="123:123">
      <c r="DS2681"/>
    </row>
    <row r="2682" spans="123:123">
      <c r="DS2682"/>
    </row>
    <row r="2683" spans="123:123">
      <c r="DS2683"/>
    </row>
    <row r="2684" spans="123:123">
      <c r="DS2684"/>
    </row>
    <row r="2685" spans="123:123">
      <c r="DS2685"/>
    </row>
    <row r="2686" spans="123:123">
      <c r="DS2686"/>
    </row>
    <row r="2687" spans="123:123">
      <c r="DS2687"/>
    </row>
    <row r="2688" spans="123:123">
      <c r="DS2688"/>
    </row>
    <row r="2689" spans="123:123">
      <c r="DS2689"/>
    </row>
    <row r="2690" spans="123:123">
      <c r="DS2690"/>
    </row>
    <row r="2691" spans="123:123">
      <c r="DS2691"/>
    </row>
    <row r="2692" spans="123:123">
      <c r="DS2692"/>
    </row>
    <row r="2693" spans="123:123">
      <c r="DS2693"/>
    </row>
    <row r="2694" spans="123:123">
      <c r="DS2694"/>
    </row>
    <row r="2695" spans="123:123">
      <c r="DS2695"/>
    </row>
    <row r="2696" spans="123:123">
      <c r="DS2696"/>
    </row>
    <row r="2697" spans="123:123">
      <c r="DS2697"/>
    </row>
    <row r="2698" spans="123:123">
      <c r="DS2698"/>
    </row>
    <row r="2699" spans="123:123">
      <c r="DS2699"/>
    </row>
    <row r="2700" spans="123:123">
      <c r="DS2700"/>
    </row>
    <row r="2701" spans="123:123">
      <c r="DS2701"/>
    </row>
    <row r="2702" spans="123:123">
      <c r="DS2702"/>
    </row>
    <row r="2703" spans="123:123">
      <c r="DS2703"/>
    </row>
    <row r="2704" spans="123:123">
      <c r="DS2704"/>
    </row>
    <row r="2705" spans="123:123">
      <c r="DS2705"/>
    </row>
    <row r="2706" spans="123:123">
      <c r="DS2706"/>
    </row>
    <row r="2707" spans="123:123">
      <c r="DS2707"/>
    </row>
    <row r="2708" spans="123:123">
      <c r="DS2708"/>
    </row>
    <row r="2709" spans="123:123">
      <c r="DS2709"/>
    </row>
    <row r="2710" spans="123:123">
      <c r="DS2710"/>
    </row>
    <row r="2711" spans="123:123">
      <c r="DS2711"/>
    </row>
    <row r="2712" spans="123:123">
      <c r="DS2712"/>
    </row>
    <row r="2713" spans="123:123">
      <c r="DS2713"/>
    </row>
    <row r="2714" spans="123:123">
      <c r="DS2714"/>
    </row>
    <row r="2715" spans="123:123">
      <c r="DS2715"/>
    </row>
    <row r="2716" spans="123:123">
      <c r="DS2716"/>
    </row>
    <row r="2717" spans="123:123">
      <c r="DS2717"/>
    </row>
    <row r="2718" spans="123:123">
      <c r="DS2718"/>
    </row>
    <row r="2719" spans="123:123">
      <c r="DS2719"/>
    </row>
    <row r="2720" spans="123:123">
      <c r="DS2720"/>
    </row>
    <row r="2721" spans="123:123">
      <c r="DS2721"/>
    </row>
    <row r="2722" spans="123:123">
      <c r="DS2722"/>
    </row>
    <row r="2723" spans="123:123">
      <c r="DS2723"/>
    </row>
    <row r="2724" spans="123:123">
      <c r="DS2724"/>
    </row>
    <row r="2725" spans="123:123">
      <c r="DS2725"/>
    </row>
    <row r="2726" spans="123:123">
      <c r="DS2726"/>
    </row>
    <row r="2727" spans="123:123">
      <c r="DS2727"/>
    </row>
    <row r="2728" spans="123:123">
      <c r="DS2728"/>
    </row>
    <row r="2729" spans="123:123">
      <c r="DS2729"/>
    </row>
    <row r="2730" spans="123:123">
      <c r="DS2730"/>
    </row>
    <row r="2731" spans="123:123">
      <c r="DS2731"/>
    </row>
    <row r="2732" spans="123:123">
      <c r="DS2732"/>
    </row>
    <row r="2733" spans="123:123">
      <c r="DS2733"/>
    </row>
    <row r="2734" spans="123:123">
      <c r="DS2734"/>
    </row>
    <row r="2735" spans="123:123">
      <c r="DS2735"/>
    </row>
    <row r="2736" spans="123:123">
      <c r="DS2736"/>
    </row>
    <row r="2737" spans="123:123">
      <c r="DS2737"/>
    </row>
    <row r="2738" spans="123:123">
      <c r="DS2738"/>
    </row>
    <row r="2739" spans="123:123">
      <c r="DS2739"/>
    </row>
    <row r="2740" spans="123:123">
      <c r="DS2740"/>
    </row>
    <row r="2741" spans="123:123">
      <c r="DS2741"/>
    </row>
    <row r="2742" spans="123:123">
      <c r="DS2742"/>
    </row>
    <row r="2743" spans="123:123">
      <c r="DS2743"/>
    </row>
    <row r="2744" spans="123:123">
      <c r="DS2744"/>
    </row>
    <row r="2745" spans="123:123">
      <c r="DS2745"/>
    </row>
    <row r="2746" spans="123:123">
      <c r="DS2746"/>
    </row>
    <row r="2747" spans="123:123">
      <c r="DS2747"/>
    </row>
    <row r="2748" spans="123:123">
      <c r="DS2748"/>
    </row>
    <row r="2749" spans="123:123">
      <c r="DS2749"/>
    </row>
    <row r="2750" spans="123:123">
      <c r="DS2750"/>
    </row>
    <row r="2751" spans="123:123">
      <c r="DS2751"/>
    </row>
    <row r="2752" spans="123:123">
      <c r="DS2752"/>
    </row>
    <row r="2753" spans="123:123">
      <c r="DS2753"/>
    </row>
    <row r="2754" spans="123:123">
      <c r="DS2754"/>
    </row>
    <row r="2755" spans="123:123">
      <c r="DS2755"/>
    </row>
    <row r="2756" spans="123:123">
      <c r="DS2756"/>
    </row>
    <row r="2757" spans="123:123">
      <c r="DS2757"/>
    </row>
    <row r="2758" spans="123:123">
      <c r="DS2758"/>
    </row>
    <row r="2759" spans="123:123">
      <c r="DS2759"/>
    </row>
    <row r="2760" spans="123:123">
      <c r="DS2760"/>
    </row>
    <row r="2761" spans="123:123">
      <c r="DS2761"/>
    </row>
    <row r="2762" spans="123:123">
      <c r="DS2762"/>
    </row>
    <row r="2763" spans="123:123">
      <c r="DS2763"/>
    </row>
    <row r="2764" spans="123:123">
      <c r="DS2764"/>
    </row>
    <row r="2765" spans="123:123">
      <c r="DS2765"/>
    </row>
    <row r="2766" spans="123:123">
      <c r="DS2766"/>
    </row>
    <row r="2767" spans="123:123">
      <c r="DS2767"/>
    </row>
    <row r="2768" spans="123:123">
      <c r="DS2768"/>
    </row>
    <row r="2769" spans="123:123">
      <c r="DS2769"/>
    </row>
    <row r="2770" spans="123:123">
      <c r="DS2770"/>
    </row>
    <row r="2771" spans="123:123">
      <c r="DS2771"/>
    </row>
    <row r="2772" spans="123:123">
      <c r="DS2772"/>
    </row>
    <row r="2773" spans="123:123">
      <c r="DS2773"/>
    </row>
    <row r="2774" spans="123:123">
      <c r="DS2774"/>
    </row>
    <row r="2775" spans="123:123">
      <c r="DS2775"/>
    </row>
    <row r="2776" spans="123:123">
      <c r="DS2776"/>
    </row>
    <row r="2777" spans="123:123">
      <c r="DS2777"/>
    </row>
    <row r="2778" spans="123:123">
      <c r="DS2778"/>
    </row>
    <row r="2779" spans="123:123">
      <c r="DS2779"/>
    </row>
    <row r="2780" spans="123:123">
      <c r="DS2780"/>
    </row>
    <row r="2781" spans="123:123">
      <c r="DS2781"/>
    </row>
    <row r="2782" spans="123:123">
      <c r="DS2782"/>
    </row>
    <row r="2783" spans="123:123">
      <c r="DS2783"/>
    </row>
    <row r="2784" spans="123:123">
      <c r="DS2784"/>
    </row>
    <row r="2785" spans="123:123">
      <c r="DS2785"/>
    </row>
    <row r="2786" spans="123:123">
      <c r="DS2786"/>
    </row>
    <row r="2787" spans="123:123">
      <c r="DS2787"/>
    </row>
    <row r="2788" spans="123:123">
      <c r="DS2788"/>
    </row>
    <row r="2789" spans="123:123">
      <c r="DS2789"/>
    </row>
    <row r="2790" spans="123:123">
      <c r="DS2790"/>
    </row>
    <row r="2791" spans="123:123">
      <c r="DS2791"/>
    </row>
    <row r="2792" spans="123:123">
      <c r="DS2792"/>
    </row>
    <row r="2793" spans="123:123">
      <c r="DS2793"/>
    </row>
    <row r="2794" spans="123:123">
      <c r="DS2794"/>
    </row>
    <row r="2795" spans="123:123">
      <c r="DS2795"/>
    </row>
    <row r="2796" spans="123:123">
      <c r="DS2796"/>
    </row>
    <row r="2797" spans="123:123">
      <c r="DS2797"/>
    </row>
    <row r="2798" spans="123:123">
      <c r="DS2798"/>
    </row>
    <row r="2799" spans="123:123">
      <c r="DS2799"/>
    </row>
    <row r="2800" spans="123:123">
      <c r="DS2800"/>
    </row>
    <row r="2801" spans="123:123">
      <c r="DS2801"/>
    </row>
    <row r="2802" spans="123:123">
      <c r="DS2802"/>
    </row>
    <row r="2803" spans="123:123">
      <c r="DS2803"/>
    </row>
    <row r="2804" spans="123:123">
      <c r="DS2804"/>
    </row>
    <row r="2805" spans="123:123">
      <c r="DS2805"/>
    </row>
    <row r="2806" spans="123:123">
      <c r="DS2806"/>
    </row>
    <row r="2807" spans="123:123">
      <c r="DS2807"/>
    </row>
    <row r="2808" spans="123:123">
      <c r="DS2808"/>
    </row>
    <row r="2809" spans="123:123">
      <c r="DS2809"/>
    </row>
    <row r="2810" spans="123:123">
      <c r="DS2810"/>
    </row>
    <row r="2811" spans="123:123">
      <c r="DS2811"/>
    </row>
    <row r="2812" spans="123:123">
      <c r="DS2812"/>
    </row>
    <row r="2813" spans="123:123">
      <c r="DS2813"/>
    </row>
    <row r="2814" spans="123:123">
      <c r="DS2814"/>
    </row>
    <row r="2815" spans="123:123">
      <c r="DS2815"/>
    </row>
    <row r="2816" spans="123:123">
      <c r="DS2816"/>
    </row>
    <row r="2817" spans="123:123">
      <c r="DS2817"/>
    </row>
    <row r="2818" spans="123:123">
      <c r="DS2818"/>
    </row>
    <row r="2819" spans="123:123">
      <c r="DS2819"/>
    </row>
    <row r="2820" spans="123:123">
      <c r="DS2820"/>
    </row>
    <row r="2821" spans="123:123">
      <c r="DS2821"/>
    </row>
    <row r="2822" spans="123:123">
      <c r="DS2822"/>
    </row>
    <row r="2823" spans="123:123">
      <c r="DS2823"/>
    </row>
    <row r="2824" spans="123:123">
      <c r="DS2824"/>
    </row>
    <row r="2825" spans="123:123">
      <c r="DS2825"/>
    </row>
    <row r="2826" spans="123:123">
      <c r="DS2826"/>
    </row>
    <row r="2827" spans="123:123">
      <c r="DS2827"/>
    </row>
    <row r="2828" spans="123:123">
      <c r="DS2828"/>
    </row>
    <row r="2829" spans="123:123">
      <c r="DS2829"/>
    </row>
    <row r="2830" spans="123:123">
      <c r="DS2830"/>
    </row>
    <row r="2831" spans="123:123">
      <c r="DS2831"/>
    </row>
    <row r="2832" spans="123:123">
      <c r="DS2832"/>
    </row>
    <row r="2833" spans="123:123">
      <c r="DS2833"/>
    </row>
    <row r="2834" spans="123:123">
      <c r="DS2834"/>
    </row>
    <row r="2835" spans="123:123">
      <c r="DS2835"/>
    </row>
    <row r="2836" spans="123:123">
      <c r="DS2836"/>
    </row>
    <row r="2837" spans="123:123">
      <c r="DS2837"/>
    </row>
    <row r="2838" spans="123:123">
      <c r="DS2838"/>
    </row>
    <row r="2839" spans="123:123">
      <c r="DS2839"/>
    </row>
    <row r="2840" spans="123:123">
      <c r="DS2840"/>
    </row>
    <row r="2841" spans="123:123">
      <c r="DS2841"/>
    </row>
    <row r="2842" spans="123:123">
      <c r="DS2842"/>
    </row>
    <row r="2843" spans="123:123">
      <c r="DS2843"/>
    </row>
    <row r="2844" spans="123:123">
      <c r="DS2844"/>
    </row>
    <row r="2845" spans="123:123">
      <c r="DS2845"/>
    </row>
    <row r="2846" spans="123:123">
      <c r="DS2846"/>
    </row>
    <row r="2847" spans="123:123">
      <c r="DS2847"/>
    </row>
    <row r="2848" spans="123:123">
      <c r="DS2848"/>
    </row>
    <row r="2849" spans="123:123">
      <c r="DS2849"/>
    </row>
    <row r="2850" spans="123:123">
      <c r="DS2850"/>
    </row>
    <row r="2851" spans="123:123">
      <c r="DS2851"/>
    </row>
    <row r="2852" spans="123:123">
      <c r="DS2852"/>
    </row>
    <row r="2853" spans="123:123">
      <c r="DS2853"/>
    </row>
    <row r="2854" spans="123:123">
      <c r="DS2854"/>
    </row>
    <row r="2855" spans="123:123">
      <c r="DS2855"/>
    </row>
    <row r="2856" spans="123:123">
      <c r="DS2856"/>
    </row>
    <row r="2857" spans="123:123">
      <c r="DS2857"/>
    </row>
    <row r="2858" spans="123:123">
      <c r="DS2858"/>
    </row>
    <row r="2859" spans="123:123">
      <c r="DS2859"/>
    </row>
    <row r="2860" spans="123:123">
      <c r="DS2860"/>
    </row>
    <row r="2861" spans="123:123">
      <c r="DS2861"/>
    </row>
    <row r="2862" spans="123:123">
      <c r="DS2862"/>
    </row>
    <row r="2863" spans="123:123">
      <c r="DS2863"/>
    </row>
    <row r="2864" spans="123:123">
      <c r="DS2864"/>
    </row>
    <row r="2865" spans="123:123">
      <c r="DS2865"/>
    </row>
    <row r="2866" spans="123:123">
      <c r="DS2866"/>
    </row>
    <row r="2867" spans="123:123">
      <c r="DS2867"/>
    </row>
    <row r="2868" spans="123:123">
      <c r="DS2868"/>
    </row>
    <row r="2869" spans="123:123">
      <c r="DS2869"/>
    </row>
    <row r="2870" spans="123:123">
      <c r="DS2870"/>
    </row>
    <row r="2871" spans="123:123">
      <c r="DS2871"/>
    </row>
    <row r="2872" spans="123:123">
      <c r="DS2872"/>
    </row>
    <row r="2873" spans="123:123">
      <c r="DS2873"/>
    </row>
    <row r="2874" spans="123:123">
      <c r="DS2874"/>
    </row>
    <row r="2875" spans="123:123">
      <c r="DS2875"/>
    </row>
    <row r="2876" spans="123:123">
      <c r="DS2876"/>
    </row>
    <row r="2877" spans="123:123">
      <c r="DS2877"/>
    </row>
    <row r="2878" spans="123:123">
      <c r="DS2878"/>
    </row>
    <row r="2879" spans="123:123">
      <c r="DS2879"/>
    </row>
    <row r="2880" spans="123:123">
      <c r="DS2880"/>
    </row>
    <row r="2881" spans="123:123">
      <c r="DS2881"/>
    </row>
    <row r="2882" spans="123:123">
      <c r="DS2882"/>
    </row>
    <row r="2883" spans="123:123">
      <c r="DS2883"/>
    </row>
    <row r="2884" spans="123:123">
      <c r="DS2884"/>
    </row>
    <row r="2885" spans="123:123">
      <c r="DS2885"/>
    </row>
    <row r="2886" spans="123:123">
      <c r="DS2886"/>
    </row>
    <row r="2887" spans="123:123">
      <c r="DS2887"/>
    </row>
    <row r="2888" spans="123:123">
      <c r="DS2888"/>
    </row>
    <row r="2889" spans="123:123">
      <c r="DS2889"/>
    </row>
    <row r="2890" spans="123:123">
      <c r="DS2890"/>
    </row>
    <row r="2891" spans="123:123">
      <c r="DS2891"/>
    </row>
    <row r="2892" spans="123:123">
      <c r="DS2892"/>
    </row>
    <row r="2893" spans="123:123">
      <c r="DS2893"/>
    </row>
    <row r="2894" spans="123:123">
      <c r="DS2894"/>
    </row>
    <row r="2895" spans="123:123">
      <c r="DS2895"/>
    </row>
    <row r="2896" spans="123:123">
      <c r="DS2896"/>
    </row>
    <row r="2897" spans="123:123">
      <c r="DS2897"/>
    </row>
    <row r="2898" spans="123:123">
      <c r="DS2898"/>
    </row>
    <row r="2899" spans="123:123">
      <c r="DS2899"/>
    </row>
    <row r="2900" spans="123:123">
      <c r="DS2900"/>
    </row>
    <row r="2901" spans="123:123">
      <c r="DS2901"/>
    </row>
    <row r="2902" spans="123:123">
      <c r="DS2902"/>
    </row>
    <row r="2903" spans="123:123">
      <c r="DS2903"/>
    </row>
    <row r="2904" spans="123:123">
      <c r="DS2904"/>
    </row>
    <row r="2905" spans="123:123">
      <c r="DS2905"/>
    </row>
    <row r="2906" spans="123:123">
      <c r="DS2906"/>
    </row>
    <row r="2907" spans="123:123">
      <c r="DS2907"/>
    </row>
    <row r="2908" spans="123:123">
      <c r="DS2908"/>
    </row>
    <row r="2909" spans="123:123">
      <c r="DS2909"/>
    </row>
    <row r="2910" spans="123:123">
      <c r="DS2910"/>
    </row>
    <row r="2911" spans="123:123">
      <c r="DS2911"/>
    </row>
    <row r="2912" spans="123:123">
      <c r="DS2912"/>
    </row>
    <row r="2913" spans="123:123">
      <c r="DS2913"/>
    </row>
    <row r="2914" spans="123:123">
      <c r="DS2914"/>
    </row>
    <row r="2915" spans="123:123">
      <c r="DS2915"/>
    </row>
    <row r="2916" spans="123:123">
      <c r="DS2916"/>
    </row>
    <row r="2917" spans="123:123">
      <c r="DS2917"/>
    </row>
    <row r="2918" spans="123:123">
      <c r="DS2918"/>
    </row>
    <row r="2919" spans="123:123">
      <c r="DS2919"/>
    </row>
    <row r="2920" spans="123:123">
      <c r="DS2920"/>
    </row>
    <row r="2921" spans="123:123">
      <c r="DS2921"/>
    </row>
    <row r="2922" spans="123:123">
      <c r="DS2922"/>
    </row>
    <row r="2923" spans="123:123">
      <c r="DS2923"/>
    </row>
    <row r="2924" spans="123:123">
      <c r="DS2924"/>
    </row>
    <row r="2925" spans="123:123">
      <c r="DS2925"/>
    </row>
    <row r="2926" spans="123:123">
      <c r="DS2926"/>
    </row>
    <row r="2927" spans="123:123">
      <c r="DS2927"/>
    </row>
    <row r="2928" spans="123:123">
      <c r="DS2928"/>
    </row>
    <row r="2929" spans="123:123">
      <c r="DS2929"/>
    </row>
    <row r="2930" spans="123:123">
      <c r="DS2930"/>
    </row>
    <row r="2931" spans="123:123">
      <c r="DS2931"/>
    </row>
    <row r="2932" spans="123:123">
      <c r="DS2932"/>
    </row>
    <row r="2933" spans="123:123">
      <c r="DS2933"/>
    </row>
    <row r="2934" spans="123:123">
      <c r="DS2934"/>
    </row>
    <row r="2935" spans="123:123">
      <c r="DS2935"/>
    </row>
    <row r="2936" spans="123:123">
      <c r="DS2936"/>
    </row>
    <row r="2937" spans="123:123">
      <c r="DS2937"/>
    </row>
    <row r="2938" spans="123:123">
      <c r="DS2938"/>
    </row>
    <row r="2939" spans="123:123">
      <c r="DS2939"/>
    </row>
    <row r="2940" spans="123:123">
      <c r="DS2940"/>
    </row>
    <row r="2941" spans="123:123">
      <c r="DS2941"/>
    </row>
    <row r="2942" spans="123:123">
      <c r="DS2942"/>
    </row>
    <row r="2943" spans="123:123">
      <c r="DS2943"/>
    </row>
    <row r="2944" spans="123:123">
      <c r="DS2944"/>
    </row>
    <row r="2945" spans="123:123">
      <c r="DS2945"/>
    </row>
    <row r="2946" spans="123:123">
      <c r="DS2946"/>
    </row>
    <row r="2947" spans="123:123">
      <c r="DS2947"/>
    </row>
    <row r="2948" spans="123:123">
      <c r="DS2948"/>
    </row>
    <row r="2949" spans="123:123">
      <c r="DS2949"/>
    </row>
    <row r="2950" spans="123:123">
      <c r="DS2950"/>
    </row>
    <row r="2951" spans="123:123">
      <c r="DS2951"/>
    </row>
    <row r="2952" spans="123:123">
      <c r="DS2952"/>
    </row>
    <row r="2953" spans="123:123">
      <c r="DS2953"/>
    </row>
    <row r="2954" spans="123:123">
      <c r="DS2954"/>
    </row>
    <row r="2955" spans="123:123">
      <c r="DS2955"/>
    </row>
    <row r="2956" spans="123:123">
      <c r="DS2956"/>
    </row>
    <row r="2957" spans="123:123">
      <c r="DS2957"/>
    </row>
    <row r="2958" spans="123:123">
      <c r="DS2958"/>
    </row>
    <row r="2959" spans="123:123">
      <c r="DS2959"/>
    </row>
    <row r="2960" spans="123:123">
      <c r="DS2960"/>
    </row>
    <row r="2961" spans="123:123">
      <c r="DS2961"/>
    </row>
    <row r="2962" spans="123:123">
      <c r="DS2962"/>
    </row>
    <row r="2963" spans="123:123">
      <c r="DS2963"/>
    </row>
    <row r="2964" spans="123:123">
      <c r="DS2964"/>
    </row>
    <row r="2965" spans="123:123">
      <c r="DS2965"/>
    </row>
    <row r="2966" spans="123:123">
      <c r="DS2966"/>
    </row>
    <row r="2967" spans="123:123">
      <c r="DS2967"/>
    </row>
    <row r="2968" spans="123:123">
      <c r="DS2968"/>
    </row>
    <row r="2969" spans="123:123">
      <c r="DS2969"/>
    </row>
    <row r="2970" spans="123:123">
      <c r="DS2970"/>
    </row>
    <row r="2971" spans="123:123">
      <c r="DS2971"/>
    </row>
    <row r="2972" spans="123:123">
      <c r="DS2972"/>
    </row>
    <row r="2973" spans="123:123">
      <c r="DS2973"/>
    </row>
    <row r="2974" spans="123:123">
      <c r="DS2974"/>
    </row>
    <row r="2975" spans="123:123">
      <c r="DS2975"/>
    </row>
    <row r="2976" spans="123:123">
      <c r="DS2976"/>
    </row>
    <row r="2977" spans="123:123">
      <c r="DS2977"/>
    </row>
    <row r="2978" spans="123:123">
      <c r="DS2978"/>
    </row>
    <row r="2979" spans="123:123">
      <c r="DS2979"/>
    </row>
    <row r="2980" spans="123:123">
      <c r="DS2980"/>
    </row>
    <row r="2981" spans="123:123">
      <c r="DS2981"/>
    </row>
    <row r="2982" spans="123:123">
      <c r="DS2982"/>
    </row>
    <row r="2983" spans="123:123">
      <c r="DS2983"/>
    </row>
    <row r="2984" spans="123:123">
      <c r="DS2984"/>
    </row>
    <row r="2985" spans="123:123">
      <c r="DS2985"/>
    </row>
    <row r="2986" spans="123:123">
      <c r="DS2986"/>
    </row>
    <row r="2987" spans="123:123">
      <c r="DS2987"/>
    </row>
    <row r="2988" spans="123:123">
      <c r="DS2988"/>
    </row>
    <row r="2989" spans="123:123">
      <c r="DS2989"/>
    </row>
    <row r="2990" spans="123:123">
      <c r="DS2990"/>
    </row>
    <row r="2991" spans="123:123">
      <c r="DS2991"/>
    </row>
    <row r="2992" spans="123:123">
      <c r="DS2992"/>
    </row>
    <row r="2993" spans="123:123">
      <c r="DS2993"/>
    </row>
    <row r="2994" spans="123:123">
      <c r="DS2994"/>
    </row>
    <row r="2995" spans="123:123">
      <c r="DS2995"/>
    </row>
    <row r="2996" spans="123:123">
      <c r="DS2996"/>
    </row>
    <row r="2997" spans="123:123">
      <c r="DS2997"/>
    </row>
    <row r="2998" spans="123:123">
      <c r="DS2998"/>
    </row>
    <row r="2999" spans="123:123">
      <c r="DS2999"/>
    </row>
    <row r="3000" spans="123:123">
      <c r="DS3000"/>
    </row>
    <row r="3001" spans="123:123">
      <c r="DS3001"/>
    </row>
    <row r="3002" spans="123:123">
      <c r="DS3002"/>
    </row>
    <row r="3003" spans="123:123">
      <c r="DS3003"/>
    </row>
    <row r="3004" spans="123:123">
      <c r="DS3004"/>
    </row>
    <row r="3005" spans="123:123">
      <c r="DS3005"/>
    </row>
    <row r="3006" spans="123:123">
      <c r="DS3006"/>
    </row>
    <row r="3007" spans="123:123">
      <c r="DS3007"/>
    </row>
    <row r="3008" spans="123:123">
      <c r="DS3008"/>
    </row>
    <row r="3009" spans="123:123">
      <c r="DS3009"/>
    </row>
    <row r="3010" spans="123:123">
      <c r="DS3010"/>
    </row>
    <row r="3011" spans="123:123">
      <c r="DS3011"/>
    </row>
    <row r="3012" spans="123:123">
      <c r="DS3012"/>
    </row>
    <row r="3013" spans="123:123">
      <c r="DS3013"/>
    </row>
    <row r="3014" spans="123:123">
      <c r="DS3014"/>
    </row>
    <row r="3015" spans="123:123">
      <c r="DS3015"/>
    </row>
    <row r="3016" spans="123:123">
      <c r="DS3016"/>
    </row>
    <row r="3017" spans="123:123">
      <c r="DS3017"/>
    </row>
    <row r="3018" spans="123:123">
      <c r="DS3018"/>
    </row>
    <row r="3019" spans="123:123">
      <c r="DS3019"/>
    </row>
    <row r="3020" spans="123:123">
      <c r="DS3020"/>
    </row>
    <row r="3021" spans="123:123">
      <c r="DS3021"/>
    </row>
    <row r="3022" spans="123:123">
      <c r="DS3022"/>
    </row>
    <row r="3023" spans="123:123">
      <c r="DS3023"/>
    </row>
    <row r="3024" spans="123:123">
      <c r="DS3024"/>
    </row>
    <row r="3025" spans="123:123">
      <c r="DS3025"/>
    </row>
    <row r="3026" spans="123:123">
      <c r="DS3026"/>
    </row>
    <row r="3027" spans="123:123">
      <c r="DS3027"/>
    </row>
    <row r="3028" spans="123:123">
      <c r="DS3028"/>
    </row>
    <row r="3029" spans="123:123">
      <c r="DS3029"/>
    </row>
    <row r="3030" spans="123:123">
      <c r="DS3030"/>
    </row>
    <row r="3031" spans="123:123">
      <c r="DS3031"/>
    </row>
    <row r="3032" spans="123:123">
      <c r="DS3032"/>
    </row>
    <row r="3033" spans="123:123">
      <c r="DS3033"/>
    </row>
    <row r="3034" spans="123:123">
      <c r="DS3034"/>
    </row>
    <row r="3035" spans="123:123">
      <c r="DS3035"/>
    </row>
    <row r="3036" spans="123:123">
      <c r="DS3036"/>
    </row>
    <row r="3037" spans="123:123">
      <c r="DS3037"/>
    </row>
    <row r="3038" spans="123:123">
      <c r="DS3038"/>
    </row>
    <row r="3039" spans="123:123">
      <c r="DS3039"/>
    </row>
    <row r="3040" spans="123:123">
      <c r="DS3040"/>
    </row>
    <row r="3041" spans="123:123">
      <c r="DS3041"/>
    </row>
    <row r="3042" spans="123:123">
      <c r="DS3042"/>
    </row>
    <row r="3043" spans="123:123">
      <c r="DS3043"/>
    </row>
    <row r="3044" spans="123:123">
      <c r="DS3044"/>
    </row>
    <row r="3045" spans="123:123">
      <c r="DS3045"/>
    </row>
    <row r="3046" spans="123:123">
      <c r="DS3046"/>
    </row>
    <row r="3047" spans="123:123">
      <c r="DS3047"/>
    </row>
    <row r="3048" spans="123:123">
      <c r="DS3048"/>
    </row>
    <row r="3049" spans="123:123">
      <c r="DS3049"/>
    </row>
    <row r="3050" spans="123:123">
      <c r="DS3050"/>
    </row>
    <row r="3051" spans="123:123">
      <c r="DS3051"/>
    </row>
    <row r="3052" spans="123:123">
      <c r="DS3052"/>
    </row>
    <row r="3053" spans="123:123">
      <c r="DS3053"/>
    </row>
    <row r="3054" spans="123:123">
      <c r="DS3054"/>
    </row>
    <row r="3055" spans="123:123">
      <c r="DS3055"/>
    </row>
    <row r="3056" spans="123:123">
      <c r="DS3056"/>
    </row>
    <row r="3057" spans="123:123">
      <c r="DS3057"/>
    </row>
    <row r="3058" spans="123:123">
      <c r="DS3058"/>
    </row>
    <row r="3059" spans="123:123">
      <c r="DS3059"/>
    </row>
    <row r="3060" spans="123:123">
      <c r="DS3060"/>
    </row>
    <row r="3061" spans="123:123">
      <c r="DS3061"/>
    </row>
    <row r="3062" spans="123:123">
      <c r="DS3062"/>
    </row>
    <row r="3063" spans="123:123">
      <c r="DS3063"/>
    </row>
    <row r="3064" spans="123:123">
      <c r="DS3064"/>
    </row>
    <row r="3065" spans="123:123">
      <c r="DS3065"/>
    </row>
    <row r="3066" spans="123:123">
      <c r="DS3066"/>
    </row>
    <row r="3067" spans="123:123">
      <c r="DS3067"/>
    </row>
    <row r="3068" spans="123:123">
      <c r="DS3068"/>
    </row>
    <row r="3069" spans="123:123">
      <c r="DS3069"/>
    </row>
    <row r="3070" spans="123:123">
      <c r="DS3070"/>
    </row>
    <row r="3071" spans="123:123">
      <c r="DS3071"/>
    </row>
    <row r="3072" spans="123:123">
      <c r="DS3072"/>
    </row>
    <row r="3073" spans="123:123">
      <c r="DS3073"/>
    </row>
    <row r="3074" spans="123:123">
      <c r="DS3074"/>
    </row>
    <row r="3075" spans="123:123">
      <c r="DS3075"/>
    </row>
    <row r="3076" spans="123:123">
      <c r="DS3076"/>
    </row>
    <row r="3077" spans="123:123">
      <c r="DS3077"/>
    </row>
    <row r="3078" spans="123:123">
      <c r="DS3078"/>
    </row>
    <row r="3079" spans="123:123">
      <c r="DS3079"/>
    </row>
    <row r="3080" spans="123:123">
      <c r="DS3080"/>
    </row>
    <row r="3081" spans="123:123">
      <c r="DS3081"/>
    </row>
    <row r="3082" spans="123:123">
      <c r="DS3082"/>
    </row>
    <row r="3083" spans="123:123">
      <c r="DS3083"/>
    </row>
    <row r="3084" spans="123:123">
      <c r="DS3084"/>
    </row>
    <row r="3085" spans="123:123">
      <c r="DS3085"/>
    </row>
    <row r="3086" spans="123:123">
      <c r="DS3086"/>
    </row>
    <row r="3087" spans="123:123">
      <c r="DS3087"/>
    </row>
    <row r="3088" spans="123:123">
      <c r="DS3088"/>
    </row>
    <row r="3089" spans="123:123">
      <c r="DS3089"/>
    </row>
    <row r="3090" spans="123:123">
      <c r="DS3090"/>
    </row>
    <row r="3091" spans="123:123">
      <c r="DS3091"/>
    </row>
    <row r="3092" spans="123:123">
      <c r="DS3092"/>
    </row>
    <row r="3093" spans="123:123">
      <c r="DS3093"/>
    </row>
    <row r="3094" spans="123:123">
      <c r="DS3094"/>
    </row>
    <row r="3095" spans="123:123">
      <c r="DS3095"/>
    </row>
    <row r="3096" spans="123:123">
      <c r="DS3096"/>
    </row>
    <row r="3097" spans="123:123">
      <c r="DS3097"/>
    </row>
    <row r="3098" spans="123:123">
      <c r="DS3098"/>
    </row>
    <row r="3099" spans="123:123">
      <c r="DS3099"/>
    </row>
    <row r="3100" spans="123:123">
      <c r="DS3100"/>
    </row>
    <row r="3101" spans="123:123">
      <c r="DS3101"/>
    </row>
    <row r="3102" spans="123:123">
      <c r="DS3102"/>
    </row>
    <row r="3103" spans="123:123">
      <c r="DS3103"/>
    </row>
    <row r="3104" spans="123:123">
      <c r="DS3104"/>
    </row>
    <row r="3105" spans="123:123">
      <c r="DS3105"/>
    </row>
    <row r="3106" spans="123:123">
      <c r="DS3106"/>
    </row>
    <row r="3107" spans="123:123">
      <c r="DS3107"/>
    </row>
    <row r="3108" spans="123:123">
      <c r="DS3108"/>
    </row>
    <row r="3109" spans="123:123">
      <c r="DS3109"/>
    </row>
    <row r="3110" spans="123:123">
      <c r="DS3110"/>
    </row>
    <row r="3111" spans="123:123">
      <c r="DS3111"/>
    </row>
    <row r="3112" spans="123:123">
      <c r="DS3112"/>
    </row>
    <row r="3113" spans="123:123">
      <c r="DS3113"/>
    </row>
    <row r="3114" spans="123:123">
      <c r="DS3114"/>
    </row>
    <row r="3115" spans="123:123">
      <c r="DS3115"/>
    </row>
    <row r="3116" spans="123:123">
      <c r="DS3116"/>
    </row>
    <row r="3117" spans="123:123">
      <c r="DS3117"/>
    </row>
    <row r="3118" spans="123:123">
      <c r="DS3118"/>
    </row>
    <row r="3119" spans="123:123">
      <c r="DS3119"/>
    </row>
    <row r="3120" spans="123:123">
      <c r="DS3120"/>
    </row>
    <row r="3121" spans="123:123">
      <c r="DS3121"/>
    </row>
    <row r="3122" spans="123:123">
      <c r="DS3122"/>
    </row>
    <row r="3123" spans="123:123">
      <c r="DS3123"/>
    </row>
    <row r="3124" spans="123:123">
      <c r="DS3124"/>
    </row>
    <row r="3125" spans="123:123">
      <c r="DS3125"/>
    </row>
    <row r="3126" spans="123:123">
      <c r="DS3126"/>
    </row>
    <row r="3127" spans="123:123">
      <c r="DS3127"/>
    </row>
    <row r="3128" spans="123:123">
      <c r="DS3128"/>
    </row>
    <row r="3129" spans="123:123">
      <c r="DS3129"/>
    </row>
    <row r="3130" spans="123:123">
      <c r="DS3130"/>
    </row>
    <row r="3131" spans="123:123">
      <c r="DS3131"/>
    </row>
    <row r="3132" spans="123:123">
      <c r="DS3132"/>
    </row>
    <row r="3133" spans="123:123">
      <c r="DS3133"/>
    </row>
    <row r="3134" spans="123:123">
      <c r="DS3134"/>
    </row>
    <row r="3135" spans="123:123">
      <c r="DS3135"/>
    </row>
    <row r="3136" spans="123:123">
      <c r="DS3136"/>
    </row>
    <row r="3137" spans="123:123">
      <c r="DS3137"/>
    </row>
    <row r="3138" spans="123:123">
      <c r="DS3138"/>
    </row>
    <row r="3139" spans="123:123">
      <c r="DS3139"/>
    </row>
    <row r="3140" spans="123:123">
      <c r="DS3140"/>
    </row>
    <row r="3141" spans="123:123">
      <c r="DS3141"/>
    </row>
    <row r="3142" spans="123:123">
      <c r="DS3142"/>
    </row>
    <row r="3143" spans="123:123">
      <c r="DS3143"/>
    </row>
    <row r="3144" spans="123:123">
      <c r="DS3144"/>
    </row>
    <row r="3145" spans="123:123">
      <c r="DS3145"/>
    </row>
    <row r="3146" spans="123:123">
      <c r="DS3146"/>
    </row>
    <row r="3147" spans="123:123">
      <c r="DS3147"/>
    </row>
    <row r="3148" spans="123:123">
      <c r="DS3148"/>
    </row>
    <row r="3149" spans="123:123">
      <c r="DS3149"/>
    </row>
    <row r="3150" spans="123:123">
      <c r="DS3150"/>
    </row>
    <row r="3151" spans="123:123">
      <c r="DS3151"/>
    </row>
    <row r="3152" spans="123:123">
      <c r="DS3152"/>
    </row>
    <row r="3153" spans="123:123">
      <c r="DS3153"/>
    </row>
    <row r="3154" spans="123:123">
      <c r="DS3154"/>
    </row>
    <row r="3155" spans="123:123">
      <c r="DS3155"/>
    </row>
    <row r="3156" spans="123:123">
      <c r="DS3156"/>
    </row>
    <row r="3157" spans="123:123">
      <c r="DS3157"/>
    </row>
    <row r="3158" spans="123:123">
      <c r="DS3158"/>
    </row>
    <row r="3159" spans="123:123">
      <c r="DS3159"/>
    </row>
    <row r="3160" spans="123:123">
      <c r="DS3160"/>
    </row>
    <row r="3161" spans="123:123">
      <c r="DS3161"/>
    </row>
    <row r="3162" spans="123:123">
      <c r="DS3162"/>
    </row>
    <row r="3163" spans="123:123">
      <c r="DS3163"/>
    </row>
    <row r="3164" spans="123:123">
      <c r="DS3164"/>
    </row>
    <row r="3165" spans="123:123">
      <c r="DS3165"/>
    </row>
    <row r="3166" spans="123:123">
      <c r="DS3166"/>
    </row>
    <row r="3167" spans="123:123">
      <c r="DS3167"/>
    </row>
    <row r="3168" spans="123:123">
      <c r="DS3168"/>
    </row>
    <row r="3169" spans="123:123">
      <c r="DS3169"/>
    </row>
    <row r="3170" spans="123:123">
      <c r="DS3170"/>
    </row>
    <row r="3171" spans="123:123">
      <c r="DS3171"/>
    </row>
    <row r="3172" spans="123:123">
      <c r="DS3172"/>
    </row>
    <row r="3173" spans="123:123">
      <c r="DS3173"/>
    </row>
    <row r="3174" spans="123:123">
      <c r="DS3174"/>
    </row>
    <row r="3175" spans="123:123">
      <c r="DS3175"/>
    </row>
    <row r="3176" spans="123:123">
      <c r="DS3176"/>
    </row>
    <row r="3177" spans="123:123">
      <c r="DS3177"/>
    </row>
    <row r="3178" spans="123:123">
      <c r="DS3178"/>
    </row>
    <row r="3179" spans="123:123">
      <c r="DS3179"/>
    </row>
    <row r="3180" spans="123:123">
      <c r="DS3180"/>
    </row>
    <row r="3181" spans="123:123">
      <c r="DS3181"/>
    </row>
    <row r="3182" spans="123:123">
      <c r="DS3182"/>
    </row>
    <row r="3183" spans="123:123">
      <c r="DS3183"/>
    </row>
    <row r="3184" spans="123:123">
      <c r="DS3184"/>
    </row>
    <row r="3185" spans="123:123">
      <c r="DS3185"/>
    </row>
    <row r="3186" spans="123:123">
      <c r="DS3186"/>
    </row>
    <row r="3187" spans="123:123">
      <c r="DS3187"/>
    </row>
    <row r="3188" spans="123:123">
      <c r="DS3188"/>
    </row>
    <row r="3189" spans="123:123">
      <c r="DS3189"/>
    </row>
    <row r="3190" spans="123:123">
      <c r="DS3190"/>
    </row>
    <row r="3191" spans="123:123">
      <c r="DS3191"/>
    </row>
    <row r="3192" spans="123:123">
      <c r="DS3192"/>
    </row>
    <row r="3193" spans="123:123">
      <c r="DS3193"/>
    </row>
    <row r="3194" spans="123:123">
      <c r="DS3194"/>
    </row>
    <row r="3195" spans="123:123">
      <c r="DS3195"/>
    </row>
    <row r="3196" spans="123:123">
      <c r="DS3196"/>
    </row>
    <row r="3197" spans="123:123">
      <c r="DS3197"/>
    </row>
    <row r="3198" spans="123:123">
      <c r="DS3198"/>
    </row>
    <row r="3199" spans="123:123">
      <c r="DS3199"/>
    </row>
    <row r="3200" spans="123:123">
      <c r="DS3200"/>
    </row>
    <row r="3201" spans="123:123">
      <c r="DS3201"/>
    </row>
    <row r="3202" spans="123:123">
      <c r="DS3202"/>
    </row>
    <row r="3203" spans="123:123">
      <c r="DS3203"/>
    </row>
    <row r="3204" spans="123:123">
      <c r="DS3204"/>
    </row>
    <row r="3205" spans="123:123">
      <c r="DS3205"/>
    </row>
    <row r="3206" spans="123:123">
      <c r="DS3206"/>
    </row>
    <row r="3207" spans="123:123">
      <c r="DS3207"/>
    </row>
    <row r="3208" spans="123:123">
      <c r="DS3208"/>
    </row>
    <row r="3209" spans="123:123">
      <c r="DS3209"/>
    </row>
    <row r="3210" spans="123:123">
      <c r="DS3210"/>
    </row>
    <row r="3211" spans="123:123">
      <c r="DS3211"/>
    </row>
    <row r="3212" spans="123:123">
      <c r="DS3212"/>
    </row>
    <row r="3213" spans="123:123">
      <c r="DS3213"/>
    </row>
    <row r="3214" spans="123:123">
      <c r="DS3214"/>
    </row>
    <row r="3215" spans="123:123">
      <c r="DS3215"/>
    </row>
    <row r="3216" spans="123:123">
      <c r="DS3216"/>
    </row>
    <row r="3217" spans="123:123">
      <c r="DS3217"/>
    </row>
    <row r="3218" spans="123:123">
      <c r="DS3218"/>
    </row>
    <row r="3219" spans="123:123">
      <c r="DS3219"/>
    </row>
    <row r="3220" spans="123:123">
      <c r="DS3220"/>
    </row>
    <row r="3221" spans="123:123">
      <c r="DS3221"/>
    </row>
    <row r="3222" spans="123:123">
      <c r="DS3222"/>
    </row>
    <row r="3223" spans="123:123">
      <c r="DS3223"/>
    </row>
    <row r="3224" spans="123:123">
      <c r="DS3224"/>
    </row>
    <row r="3225" spans="123:123">
      <c r="DS3225"/>
    </row>
    <row r="3226" spans="123:123">
      <c r="DS3226"/>
    </row>
    <row r="3227" spans="123:123">
      <c r="DS3227"/>
    </row>
    <row r="3228" spans="123:123">
      <c r="DS3228"/>
    </row>
    <row r="3229" spans="123:123">
      <c r="DS3229"/>
    </row>
    <row r="3230" spans="123:123">
      <c r="DS3230"/>
    </row>
    <row r="3231" spans="123:123">
      <c r="DS3231"/>
    </row>
    <row r="3232" spans="123:123">
      <c r="DS3232"/>
    </row>
    <row r="3233" spans="123:123">
      <c r="DS3233"/>
    </row>
    <row r="3234" spans="123:123">
      <c r="DS3234"/>
    </row>
    <row r="3235" spans="123:123">
      <c r="DS3235"/>
    </row>
    <row r="3236" spans="123:123">
      <c r="DS3236"/>
    </row>
    <row r="3237" spans="123:123">
      <c r="DS3237"/>
    </row>
    <row r="3238" spans="123:123">
      <c r="DS3238"/>
    </row>
    <row r="3239" spans="123:123">
      <c r="DS3239"/>
    </row>
    <row r="3240" spans="123:123">
      <c r="DS3240"/>
    </row>
    <row r="3241" spans="123:123">
      <c r="DS3241"/>
    </row>
    <row r="3242" spans="123:123">
      <c r="DS3242"/>
    </row>
    <row r="3243" spans="123:123">
      <c r="DS3243"/>
    </row>
    <row r="3244" spans="123:123">
      <c r="DS3244"/>
    </row>
    <row r="3245" spans="123:123">
      <c r="DS3245"/>
    </row>
    <row r="3246" spans="123:123">
      <c r="DS3246"/>
    </row>
    <row r="3247" spans="123:123">
      <c r="DS3247"/>
    </row>
    <row r="3248" spans="123:123">
      <c r="DS3248"/>
    </row>
    <row r="3249" spans="123:123">
      <c r="DS3249"/>
    </row>
    <row r="3250" spans="123:123">
      <c r="DS3250"/>
    </row>
    <row r="3251" spans="123:123">
      <c r="DS3251"/>
    </row>
    <row r="3252" spans="123:123">
      <c r="DS3252"/>
    </row>
    <row r="3253" spans="123:123">
      <c r="DS3253"/>
    </row>
    <row r="3254" spans="123:123">
      <c r="DS3254"/>
    </row>
    <row r="3255" spans="123:123">
      <c r="DS3255"/>
    </row>
    <row r="3256" spans="123:123">
      <c r="DS3256"/>
    </row>
    <row r="3257" spans="123:123">
      <c r="DS3257"/>
    </row>
    <row r="3258" spans="123:123">
      <c r="DS3258"/>
    </row>
    <row r="3259" spans="123:123">
      <c r="DS3259"/>
    </row>
    <row r="3260" spans="123:123">
      <c r="DS3260"/>
    </row>
    <row r="3261" spans="123:123">
      <c r="DS3261"/>
    </row>
    <row r="3262" spans="123:123">
      <c r="DS3262"/>
    </row>
    <row r="3263" spans="123:123">
      <c r="DS3263"/>
    </row>
    <row r="3264" spans="123:123">
      <c r="DS3264"/>
    </row>
    <row r="3265" spans="123:123">
      <c r="DS3265"/>
    </row>
    <row r="3266" spans="123:123">
      <c r="DS3266"/>
    </row>
    <row r="3267" spans="123:123">
      <c r="DS3267"/>
    </row>
    <row r="3268" spans="123:123">
      <c r="DS3268"/>
    </row>
    <row r="3269" spans="123:123">
      <c r="DS3269"/>
    </row>
    <row r="3270" spans="123:123">
      <c r="DS3270"/>
    </row>
    <row r="3271" spans="123:123">
      <c r="DS3271"/>
    </row>
    <row r="3272" spans="123:123">
      <c r="DS3272"/>
    </row>
    <row r="3273" spans="123:123">
      <c r="DS3273"/>
    </row>
    <row r="3274" spans="123:123">
      <c r="DS3274"/>
    </row>
    <row r="3275" spans="123:123">
      <c r="DS3275"/>
    </row>
    <row r="3276" spans="123:123">
      <c r="DS3276"/>
    </row>
    <row r="3277" spans="123:123">
      <c r="DS3277"/>
    </row>
    <row r="3278" spans="123:123">
      <c r="DS3278"/>
    </row>
    <row r="3279" spans="123:123">
      <c r="DS3279"/>
    </row>
    <row r="3280" spans="123:123">
      <c r="DS3280"/>
    </row>
    <row r="3281" spans="123:123">
      <c r="DS3281"/>
    </row>
    <row r="3282" spans="123:123">
      <c r="DS3282"/>
    </row>
    <row r="3283" spans="123:123">
      <c r="DS3283"/>
    </row>
    <row r="3284" spans="123:123">
      <c r="DS3284"/>
    </row>
    <row r="3285" spans="123:123">
      <c r="DS3285"/>
    </row>
    <row r="3286" spans="123:123">
      <c r="DS3286"/>
    </row>
    <row r="3287" spans="123:123">
      <c r="DS3287"/>
    </row>
    <row r="3288" spans="123:123">
      <c r="DS3288"/>
    </row>
    <row r="3289" spans="123:123">
      <c r="DS3289"/>
    </row>
    <row r="3290" spans="123:123">
      <c r="DS3290"/>
    </row>
    <row r="3291" spans="123:123">
      <c r="DS3291"/>
    </row>
    <row r="3292" spans="123:123">
      <c r="DS3292"/>
    </row>
    <row r="3293" spans="123:123">
      <c r="DS3293"/>
    </row>
    <row r="3294" spans="123:123">
      <c r="DS3294"/>
    </row>
    <row r="3295" spans="123:123">
      <c r="DS3295"/>
    </row>
    <row r="3296" spans="123:123">
      <c r="DS3296"/>
    </row>
    <row r="3297" spans="123:123">
      <c r="DS3297"/>
    </row>
    <row r="3298" spans="123:123">
      <c r="DS3298"/>
    </row>
    <row r="3299" spans="123:123">
      <c r="DS3299"/>
    </row>
    <row r="3300" spans="123:123">
      <c r="DS3300"/>
    </row>
    <row r="3301" spans="123:123">
      <c r="DS3301"/>
    </row>
    <row r="3302" spans="123:123">
      <c r="DS3302"/>
    </row>
    <row r="3303" spans="123:123">
      <c r="DS3303"/>
    </row>
    <row r="3304" spans="123:123">
      <c r="DS3304"/>
    </row>
    <row r="3305" spans="123:123">
      <c r="DS3305"/>
    </row>
    <row r="3306" spans="123:123">
      <c r="DS3306"/>
    </row>
    <row r="3307" spans="123:123">
      <c r="DS3307"/>
    </row>
    <row r="3308" spans="123:123">
      <c r="DS3308"/>
    </row>
    <row r="3309" spans="123:123">
      <c r="DS3309"/>
    </row>
    <row r="3310" spans="123:123">
      <c r="DS3310"/>
    </row>
    <row r="3311" spans="123:123">
      <c r="DS3311"/>
    </row>
    <row r="3312" spans="123:123">
      <c r="DS3312"/>
    </row>
    <row r="3313" spans="123:123">
      <c r="DS3313"/>
    </row>
    <row r="3314" spans="123:123">
      <c r="DS3314"/>
    </row>
    <row r="3315" spans="123:123">
      <c r="DS3315"/>
    </row>
    <row r="3316" spans="123:123">
      <c r="DS3316"/>
    </row>
    <row r="3317" spans="123:123">
      <c r="DS3317"/>
    </row>
    <row r="3318" spans="123:123">
      <c r="DS3318"/>
    </row>
    <row r="3319" spans="123:123">
      <c r="DS3319"/>
    </row>
    <row r="3320" spans="123:123">
      <c r="DS3320"/>
    </row>
    <row r="3321" spans="123:123">
      <c r="DS3321"/>
    </row>
    <row r="3322" spans="123:123">
      <c r="DS3322"/>
    </row>
    <row r="3323" spans="123:123">
      <c r="DS3323"/>
    </row>
    <row r="3324" spans="123:123">
      <c r="DS3324"/>
    </row>
    <row r="3325" spans="123:123">
      <c r="DS3325"/>
    </row>
    <row r="3326" spans="123:123">
      <c r="DS3326"/>
    </row>
    <row r="3327" spans="123:123">
      <c r="DS3327"/>
    </row>
    <row r="3328" spans="123:123">
      <c r="DS3328"/>
    </row>
    <row r="3329" spans="123:123">
      <c r="DS3329"/>
    </row>
    <row r="3330" spans="123:123">
      <c r="DS3330"/>
    </row>
    <row r="3331" spans="123:123">
      <c r="DS3331"/>
    </row>
    <row r="3332" spans="123:123">
      <c r="DS3332"/>
    </row>
    <row r="3333" spans="123:123">
      <c r="DS3333"/>
    </row>
    <row r="3334" spans="123:123">
      <c r="DS3334"/>
    </row>
    <row r="3335" spans="123:123">
      <c r="DS3335"/>
    </row>
    <row r="3336" spans="123:123">
      <c r="DS3336"/>
    </row>
    <row r="3337" spans="123:123">
      <c r="DS3337"/>
    </row>
    <row r="3338" spans="123:123">
      <c r="DS3338"/>
    </row>
    <row r="3339" spans="123:123">
      <c r="DS3339"/>
    </row>
    <row r="3340" spans="123:123">
      <c r="DS3340"/>
    </row>
    <row r="3341" spans="123:123">
      <c r="DS3341"/>
    </row>
    <row r="3342" spans="123:123">
      <c r="DS3342"/>
    </row>
    <row r="3343" spans="123:123">
      <c r="DS3343"/>
    </row>
    <row r="3344" spans="123:123">
      <c r="DS3344"/>
    </row>
    <row r="3345" spans="123:123">
      <c r="DS3345"/>
    </row>
    <row r="3346" spans="123:123">
      <c r="DS3346"/>
    </row>
    <row r="3347" spans="123:123">
      <c r="DS3347"/>
    </row>
    <row r="3348" spans="123:123">
      <c r="DS3348"/>
    </row>
    <row r="3349" spans="123:123">
      <c r="DS3349"/>
    </row>
    <row r="3350" spans="123:123">
      <c r="DS3350"/>
    </row>
    <row r="3351" spans="123:123">
      <c r="DS3351"/>
    </row>
    <row r="3352" spans="123:123">
      <c r="DS3352"/>
    </row>
    <row r="3353" spans="123:123">
      <c r="DS3353"/>
    </row>
    <row r="3354" spans="123:123">
      <c r="DS3354"/>
    </row>
    <row r="3355" spans="123:123">
      <c r="DS3355"/>
    </row>
    <row r="3356" spans="123:123">
      <c r="DS3356"/>
    </row>
    <row r="3357" spans="123:123">
      <c r="DS3357"/>
    </row>
    <row r="3358" spans="123:123">
      <c r="DS3358"/>
    </row>
    <row r="3359" spans="123:123">
      <c r="DS3359"/>
    </row>
    <row r="3360" spans="123:123">
      <c r="DS3360"/>
    </row>
    <row r="3361" spans="123:123">
      <c r="DS3361"/>
    </row>
    <row r="3362" spans="123:123">
      <c r="DS3362"/>
    </row>
    <row r="3363" spans="123:123">
      <c r="DS3363"/>
    </row>
    <row r="3364" spans="123:123">
      <c r="DS3364"/>
    </row>
    <row r="3365" spans="123:123">
      <c r="DS3365"/>
    </row>
    <row r="3366" spans="123:123">
      <c r="DS3366"/>
    </row>
    <row r="3367" spans="123:123">
      <c r="DS3367"/>
    </row>
    <row r="3368" spans="123:123">
      <c r="DS3368"/>
    </row>
    <row r="3369" spans="123:123">
      <c r="DS3369"/>
    </row>
    <row r="3370" spans="123:123">
      <c r="DS3370"/>
    </row>
    <row r="3371" spans="123:123">
      <c r="DS3371"/>
    </row>
    <row r="3372" spans="123:123">
      <c r="DS3372"/>
    </row>
    <row r="3373" spans="123:123">
      <c r="DS3373"/>
    </row>
    <row r="3374" spans="123:123">
      <c r="DS3374"/>
    </row>
    <row r="3375" spans="123:123">
      <c r="DS3375"/>
    </row>
    <row r="3376" spans="123:123">
      <c r="DS3376"/>
    </row>
    <row r="3377" spans="123:123">
      <c r="DS3377"/>
    </row>
    <row r="3378" spans="123:123">
      <c r="DS3378"/>
    </row>
    <row r="3379" spans="123:123">
      <c r="DS3379"/>
    </row>
    <row r="3380" spans="123:123">
      <c r="DS3380"/>
    </row>
    <row r="3381" spans="123:123">
      <c r="DS3381"/>
    </row>
    <row r="3382" spans="123:123">
      <c r="DS3382"/>
    </row>
    <row r="3383" spans="123:123">
      <c r="DS3383"/>
    </row>
    <row r="3384" spans="123:123">
      <c r="DS3384"/>
    </row>
    <row r="3385" spans="123:123">
      <c r="DS3385"/>
    </row>
    <row r="3386" spans="123:123">
      <c r="DS3386"/>
    </row>
    <row r="3387" spans="123:123">
      <c r="DS3387"/>
    </row>
    <row r="3388" spans="123:123">
      <c r="DS3388"/>
    </row>
    <row r="3389" spans="123:123">
      <c r="DS3389"/>
    </row>
    <row r="3390" spans="123:123">
      <c r="DS3390"/>
    </row>
    <row r="3391" spans="123:123">
      <c r="DS3391"/>
    </row>
    <row r="3392" spans="123:123">
      <c r="DS3392"/>
    </row>
    <row r="3393" spans="123:123">
      <c r="DS3393"/>
    </row>
    <row r="3394" spans="123:123">
      <c r="DS3394"/>
    </row>
    <row r="3395" spans="123:123">
      <c r="DS3395"/>
    </row>
    <row r="3396" spans="123:123">
      <c r="DS3396"/>
    </row>
    <row r="3397" spans="123:123">
      <c r="DS3397"/>
    </row>
    <row r="3398" spans="123:123">
      <c r="DS3398"/>
    </row>
    <row r="3399" spans="123:123">
      <c r="DS3399"/>
    </row>
    <row r="3400" spans="123:123">
      <c r="DS3400"/>
    </row>
    <row r="3401" spans="123:123">
      <c r="DS3401"/>
    </row>
    <row r="3402" spans="123:123">
      <c r="DS3402"/>
    </row>
    <row r="3403" spans="123:123">
      <c r="DS3403"/>
    </row>
    <row r="3404" spans="123:123">
      <c r="DS3404"/>
    </row>
    <row r="3405" spans="123:123">
      <c r="DS3405"/>
    </row>
    <row r="3406" spans="123:123">
      <c r="DS3406"/>
    </row>
    <row r="3407" spans="123:123">
      <c r="DS3407"/>
    </row>
    <row r="3408" spans="123:123">
      <c r="DS3408"/>
    </row>
    <row r="3409" spans="123:123">
      <c r="DS3409"/>
    </row>
    <row r="3410" spans="123:123">
      <c r="DS3410"/>
    </row>
    <row r="3411" spans="123:123">
      <c r="DS3411"/>
    </row>
    <row r="3412" spans="123:123">
      <c r="DS3412"/>
    </row>
    <row r="3413" spans="123:123">
      <c r="DS3413"/>
    </row>
    <row r="3414" spans="123:123">
      <c r="DS3414"/>
    </row>
    <row r="3415" spans="123:123">
      <c r="DS3415"/>
    </row>
    <row r="3416" spans="123:123">
      <c r="DS3416"/>
    </row>
    <row r="3417" spans="123:123">
      <c r="DS3417"/>
    </row>
    <row r="3418" spans="123:123">
      <c r="DS3418"/>
    </row>
    <row r="3419" spans="123:123">
      <c r="DS3419"/>
    </row>
    <row r="3420" spans="123:123">
      <c r="DS3420"/>
    </row>
    <row r="3421" spans="123:123">
      <c r="DS3421"/>
    </row>
    <row r="3422" spans="123:123">
      <c r="DS3422"/>
    </row>
    <row r="3423" spans="123:123">
      <c r="DS3423"/>
    </row>
    <row r="3424" spans="123:123">
      <c r="DS3424"/>
    </row>
    <row r="3425" spans="123:123">
      <c r="DS3425"/>
    </row>
    <row r="3426" spans="123:123">
      <c r="DS3426"/>
    </row>
    <row r="3427" spans="123:123">
      <c r="DS3427"/>
    </row>
    <row r="3428" spans="123:123">
      <c r="DS3428"/>
    </row>
    <row r="3429" spans="123:123">
      <c r="DS3429"/>
    </row>
    <row r="3430" spans="123:123">
      <c r="DS3430"/>
    </row>
    <row r="3431" spans="123:123">
      <c r="DS3431"/>
    </row>
    <row r="3432" spans="123:123">
      <c r="DS3432"/>
    </row>
    <row r="3433" spans="123:123">
      <c r="DS3433"/>
    </row>
    <row r="3434" spans="123:123">
      <c r="DS3434"/>
    </row>
    <row r="3435" spans="123:123">
      <c r="DS3435"/>
    </row>
    <row r="3436" spans="123:123">
      <c r="DS3436"/>
    </row>
    <row r="3437" spans="123:123">
      <c r="DS3437"/>
    </row>
    <row r="3438" spans="123:123">
      <c r="DS3438"/>
    </row>
    <row r="3439" spans="123:123">
      <c r="DS3439"/>
    </row>
    <row r="3440" spans="123:123">
      <c r="DS3440"/>
    </row>
    <row r="3441" spans="123:123">
      <c r="DS3441"/>
    </row>
    <row r="3442" spans="123:123">
      <c r="DS3442"/>
    </row>
    <row r="3443" spans="123:123">
      <c r="DS3443"/>
    </row>
    <row r="3444" spans="123:123">
      <c r="DS3444"/>
    </row>
    <row r="3445" spans="123:123">
      <c r="DS3445"/>
    </row>
    <row r="3446" spans="123:123">
      <c r="DS3446"/>
    </row>
    <row r="3447" spans="123:123">
      <c r="DS3447"/>
    </row>
    <row r="3448" spans="123:123">
      <c r="DS3448"/>
    </row>
    <row r="3449" spans="123:123">
      <c r="DS3449"/>
    </row>
    <row r="3450" spans="123:123">
      <c r="DS3450"/>
    </row>
    <row r="3451" spans="123:123">
      <c r="DS3451"/>
    </row>
    <row r="3452" spans="123:123">
      <c r="DS3452"/>
    </row>
    <row r="3453" spans="123:123">
      <c r="DS3453"/>
    </row>
    <row r="3454" spans="123:123">
      <c r="DS3454"/>
    </row>
    <row r="3455" spans="123:123">
      <c r="DS3455"/>
    </row>
    <row r="3456" spans="123:123">
      <c r="DS3456"/>
    </row>
    <row r="3457" spans="123:123">
      <c r="DS3457"/>
    </row>
    <row r="3458" spans="123:123">
      <c r="DS3458"/>
    </row>
    <row r="3459" spans="123:123">
      <c r="DS3459"/>
    </row>
    <row r="3460" spans="123:123">
      <c r="DS3460"/>
    </row>
    <row r="3461" spans="123:123">
      <c r="DS3461"/>
    </row>
    <row r="3462" spans="123:123">
      <c r="DS3462"/>
    </row>
    <row r="3463" spans="123:123">
      <c r="DS3463"/>
    </row>
    <row r="3464" spans="123:123">
      <c r="DS3464"/>
    </row>
    <row r="3465" spans="123:123">
      <c r="DS3465"/>
    </row>
    <row r="3466" spans="123:123">
      <c r="DS3466"/>
    </row>
    <row r="3467" spans="123:123">
      <c r="DS3467"/>
    </row>
    <row r="3468" spans="123:123">
      <c r="DS3468"/>
    </row>
    <row r="3469" spans="123:123">
      <c r="DS3469"/>
    </row>
    <row r="3470" spans="123:123">
      <c r="DS3470"/>
    </row>
    <row r="3471" spans="123:123">
      <c r="DS3471"/>
    </row>
    <row r="3472" spans="123:123">
      <c r="DS3472"/>
    </row>
    <row r="3473" spans="123:123">
      <c r="DS3473"/>
    </row>
    <row r="3474" spans="123:123">
      <c r="DS3474"/>
    </row>
    <row r="3475" spans="123:123">
      <c r="DS3475"/>
    </row>
    <row r="3476" spans="123:123">
      <c r="DS3476"/>
    </row>
    <row r="3477" spans="123:123">
      <c r="DS3477"/>
    </row>
    <row r="3478" spans="123:123">
      <c r="DS3478"/>
    </row>
    <row r="3479" spans="123:123">
      <c r="DS3479"/>
    </row>
    <row r="3480" spans="123:123">
      <c r="DS3480"/>
    </row>
    <row r="3481" spans="123:123">
      <c r="DS3481"/>
    </row>
    <row r="3482" spans="123:123">
      <c r="DS3482"/>
    </row>
    <row r="3483" spans="123:123">
      <c r="DS3483"/>
    </row>
    <row r="3484" spans="123:123">
      <c r="DS3484"/>
    </row>
    <row r="3485" spans="123:123">
      <c r="DS3485"/>
    </row>
    <row r="3486" spans="123:123">
      <c r="DS3486"/>
    </row>
    <row r="3487" spans="123:123">
      <c r="DS3487"/>
    </row>
    <row r="3488" spans="123:123">
      <c r="DS3488"/>
    </row>
    <row r="3489" spans="123:123">
      <c r="DS3489"/>
    </row>
    <row r="3490" spans="123:123">
      <c r="DS3490"/>
    </row>
    <row r="3491" spans="123:123">
      <c r="DS3491"/>
    </row>
    <row r="3492" spans="123:123">
      <c r="DS3492"/>
    </row>
    <row r="3493" spans="123:123">
      <c r="DS3493"/>
    </row>
    <row r="3494" spans="123:123">
      <c r="DS3494"/>
    </row>
    <row r="3495" spans="123:123">
      <c r="DS3495"/>
    </row>
    <row r="3496" spans="123:123">
      <c r="DS3496"/>
    </row>
    <row r="3497" spans="123:123">
      <c r="DS3497"/>
    </row>
    <row r="3498" spans="123:123">
      <c r="DS3498"/>
    </row>
    <row r="3499" spans="123:123">
      <c r="DS3499"/>
    </row>
    <row r="3500" spans="123:123">
      <c r="DS3500"/>
    </row>
    <row r="3501" spans="123:123">
      <c r="DS3501"/>
    </row>
    <row r="3502" spans="123:123">
      <c r="DS3502"/>
    </row>
    <row r="3503" spans="123:123">
      <c r="DS3503"/>
    </row>
    <row r="3504" spans="123:123">
      <c r="DS3504"/>
    </row>
    <row r="3505" spans="123:123">
      <c r="DS3505"/>
    </row>
    <row r="3506" spans="123:123">
      <c r="DS3506"/>
    </row>
    <row r="3507" spans="123:123">
      <c r="DS3507"/>
    </row>
    <row r="3508" spans="123:123">
      <c r="DS3508"/>
    </row>
    <row r="3509" spans="123:123">
      <c r="DS3509"/>
    </row>
    <row r="3510" spans="123:123">
      <c r="DS3510"/>
    </row>
    <row r="3511" spans="123:123">
      <c r="DS3511"/>
    </row>
    <row r="3512" spans="123:123">
      <c r="DS3512"/>
    </row>
    <row r="3513" spans="123:123">
      <c r="DS3513"/>
    </row>
    <row r="3514" spans="123:123">
      <c r="DS3514"/>
    </row>
    <row r="3515" spans="123:123">
      <c r="DS3515"/>
    </row>
    <row r="3516" spans="123:123">
      <c r="DS3516"/>
    </row>
    <row r="3517" spans="123:123">
      <c r="DS3517"/>
    </row>
    <row r="3518" spans="123:123">
      <c r="DS3518"/>
    </row>
    <row r="3519" spans="123:123">
      <c r="DS3519"/>
    </row>
    <row r="3520" spans="123:123">
      <c r="DS3520"/>
    </row>
    <row r="3521" spans="123:123">
      <c r="DS3521"/>
    </row>
    <row r="3522" spans="123:123">
      <c r="DS3522"/>
    </row>
    <row r="3523" spans="123:123">
      <c r="DS3523"/>
    </row>
    <row r="3524" spans="123:123">
      <c r="DS3524"/>
    </row>
    <row r="3525" spans="123:123">
      <c r="DS3525"/>
    </row>
    <row r="3526" spans="123:123">
      <c r="DS3526"/>
    </row>
    <row r="3527" spans="123:123">
      <c r="DS3527"/>
    </row>
    <row r="3528" spans="123:123">
      <c r="DS3528"/>
    </row>
    <row r="3529" spans="123:123">
      <c r="DS3529"/>
    </row>
    <row r="3530" spans="123:123">
      <c r="DS3530"/>
    </row>
    <row r="3531" spans="123:123">
      <c r="DS3531"/>
    </row>
    <row r="3532" spans="123:123">
      <c r="DS3532"/>
    </row>
    <row r="3533" spans="123:123">
      <c r="DS3533"/>
    </row>
    <row r="3534" spans="123:123">
      <c r="DS3534"/>
    </row>
    <row r="3535" spans="123:123">
      <c r="DS3535"/>
    </row>
    <row r="3536" spans="123:123">
      <c r="DS3536"/>
    </row>
    <row r="3537" spans="123:123">
      <c r="DS3537"/>
    </row>
    <row r="3538" spans="123:123">
      <c r="DS3538"/>
    </row>
    <row r="3539" spans="123:123">
      <c r="DS3539"/>
    </row>
    <row r="3540" spans="123:123">
      <c r="DS3540"/>
    </row>
    <row r="3541" spans="123:123">
      <c r="DS3541"/>
    </row>
    <row r="3542" spans="123:123">
      <c r="DS3542"/>
    </row>
    <row r="3543" spans="123:123">
      <c r="DS3543"/>
    </row>
    <row r="3544" spans="123:123">
      <c r="DS3544"/>
    </row>
    <row r="3545" spans="123:123">
      <c r="DS3545"/>
    </row>
    <row r="3546" spans="123:123">
      <c r="DS3546"/>
    </row>
    <row r="3547" spans="123:123">
      <c r="DS3547"/>
    </row>
    <row r="3548" spans="123:123">
      <c r="DS3548"/>
    </row>
    <row r="3549" spans="123:123">
      <c r="DS3549"/>
    </row>
    <row r="3550" spans="123:123">
      <c r="DS3550"/>
    </row>
    <row r="3551" spans="123:123">
      <c r="DS3551"/>
    </row>
    <row r="3552" spans="123:123">
      <c r="DS3552"/>
    </row>
    <row r="3553" spans="123:123">
      <c r="DS3553"/>
    </row>
    <row r="3554" spans="123:123">
      <c r="DS3554"/>
    </row>
    <row r="3555" spans="123:123">
      <c r="DS3555"/>
    </row>
    <row r="3556" spans="123:123">
      <c r="DS3556"/>
    </row>
    <row r="3557" spans="123:123">
      <c r="DS3557"/>
    </row>
    <row r="3558" spans="123:123">
      <c r="DS3558"/>
    </row>
    <row r="3559" spans="123:123">
      <c r="DS3559"/>
    </row>
    <row r="3560" spans="123:123">
      <c r="DS3560"/>
    </row>
    <row r="3561" spans="123:123">
      <c r="DS3561"/>
    </row>
    <row r="3562" spans="123:123">
      <c r="DS3562"/>
    </row>
    <row r="3563" spans="123:123">
      <c r="DS3563"/>
    </row>
    <row r="3564" spans="123:123">
      <c r="DS3564"/>
    </row>
    <row r="3565" spans="123:123">
      <c r="DS3565"/>
    </row>
    <row r="3566" spans="123:123">
      <c r="DS3566"/>
    </row>
    <row r="3567" spans="123:123">
      <c r="DS3567"/>
    </row>
    <row r="3568" spans="123:123">
      <c r="DS3568"/>
    </row>
    <row r="3569" spans="123:123">
      <c r="DS3569"/>
    </row>
    <row r="3570" spans="123:123">
      <c r="DS3570"/>
    </row>
    <row r="3571" spans="123:123">
      <c r="DS3571"/>
    </row>
    <row r="3572" spans="123:123">
      <c r="DS3572"/>
    </row>
    <row r="3573" spans="123:123">
      <c r="DS3573"/>
    </row>
    <row r="3574" spans="123:123">
      <c r="DS3574"/>
    </row>
    <row r="3575" spans="123:123">
      <c r="DS3575"/>
    </row>
    <row r="3576" spans="123:123">
      <c r="DS3576"/>
    </row>
    <row r="3577" spans="123:123">
      <c r="DS3577"/>
    </row>
    <row r="3578" spans="123:123">
      <c r="DS3578"/>
    </row>
    <row r="3579" spans="123:123">
      <c r="DS3579"/>
    </row>
    <row r="3580" spans="123:123">
      <c r="DS3580"/>
    </row>
    <row r="3581" spans="123:123">
      <c r="DS3581"/>
    </row>
    <row r="3582" spans="123:123">
      <c r="DS3582"/>
    </row>
    <row r="3583" spans="123:123">
      <c r="DS3583"/>
    </row>
    <row r="3584" spans="123:123">
      <c r="DS3584"/>
    </row>
    <row r="3585" spans="123:123">
      <c r="DS3585"/>
    </row>
    <row r="3586" spans="123:123">
      <c r="DS3586"/>
    </row>
    <row r="3587" spans="123:123">
      <c r="DS3587"/>
    </row>
    <row r="3588" spans="123:123">
      <c r="DS3588"/>
    </row>
    <row r="3589" spans="123:123">
      <c r="DS3589"/>
    </row>
    <row r="3590" spans="123:123">
      <c r="DS3590"/>
    </row>
    <row r="3591" spans="123:123">
      <c r="DS3591"/>
    </row>
    <row r="3592" spans="123:123">
      <c r="DS3592"/>
    </row>
    <row r="3593" spans="123:123">
      <c r="DS3593"/>
    </row>
    <row r="3594" spans="123:123">
      <c r="DS3594"/>
    </row>
    <row r="3595" spans="123:123">
      <c r="DS3595"/>
    </row>
    <row r="3596" spans="123:123">
      <c r="DS3596"/>
    </row>
    <row r="3597" spans="123:123">
      <c r="DS3597"/>
    </row>
    <row r="3598" spans="123:123">
      <c r="DS3598"/>
    </row>
    <row r="3599" spans="123:123">
      <c r="DS3599"/>
    </row>
    <row r="3600" spans="123:123">
      <c r="DS3600"/>
    </row>
    <row r="3601" spans="123:123">
      <c r="DS3601"/>
    </row>
    <row r="3602" spans="123:123">
      <c r="DS3602"/>
    </row>
    <row r="3603" spans="123:123">
      <c r="DS3603"/>
    </row>
    <row r="3604" spans="123:123">
      <c r="DS3604"/>
    </row>
    <row r="3605" spans="123:123">
      <c r="DS3605"/>
    </row>
    <row r="3606" spans="123:123">
      <c r="DS3606"/>
    </row>
    <row r="3607" spans="123:123">
      <c r="DS3607"/>
    </row>
    <row r="3608" spans="123:123">
      <c r="DS3608"/>
    </row>
    <row r="3609" spans="123:123">
      <c r="DS3609"/>
    </row>
    <row r="3610" spans="123:123">
      <c r="DS3610"/>
    </row>
    <row r="3611" spans="123:123">
      <c r="DS3611"/>
    </row>
    <row r="3612" spans="123:123">
      <c r="DS3612"/>
    </row>
    <row r="3613" spans="123:123">
      <c r="DS3613"/>
    </row>
    <row r="3614" spans="123:123">
      <c r="DS3614"/>
    </row>
    <row r="3615" spans="123:123">
      <c r="DS3615"/>
    </row>
    <row r="3616" spans="123:123">
      <c r="DS3616"/>
    </row>
    <row r="3617" spans="123:123">
      <c r="DS3617"/>
    </row>
    <row r="3618" spans="123:123">
      <c r="DS3618"/>
    </row>
    <row r="3619" spans="123:123">
      <c r="DS3619"/>
    </row>
    <row r="3620" spans="123:123">
      <c r="DS3620"/>
    </row>
    <row r="3621" spans="123:123">
      <c r="DS3621"/>
    </row>
    <row r="3622" spans="123:123">
      <c r="DS3622"/>
    </row>
    <row r="3623" spans="123:123">
      <c r="DS3623"/>
    </row>
    <row r="3624" spans="123:123">
      <c r="DS3624"/>
    </row>
    <row r="3625" spans="123:123">
      <c r="DS3625"/>
    </row>
    <row r="3626" spans="123:123">
      <c r="DS3626"/>
    </row>
    <row r="3627" spans="123:123">
      <c r="DS3627"/>
    </row>
    <row r="3628" spans="123:123">
      <c r="DS3628"/>
    </row>
    <row r="3629" spans="123:123">
      <c r="DS3629"/>
    </row>
    <row r="3630" spans="123:123">
      <c r="DS3630"/>
    </row>
    <row r="3631" spans="123:123">
      <c r="DS3631"/>
    </row>
    <row r="3632" spans="123:123">
      <c r="DS3632"/>
    </row>
    <row r="3633" spans="123:123">
      <c r="DS3633"/>
    </row>
    <row r="3634" spans="123:123">
      <c r="DS3634"/>
    </row>
    <row r="3635" spans="123:123">
      <c r="DS3635"/>
    </row>
    <row r="3636" spans="123:123">
      <c r="DS3636"/>
    </row>
    <row r="3637" spans="123:123">
      <c r="DS3637"/>
    </row>
    <row r="3638" spans="123:123">
      <c r="DS3638"/>
    </row>
    <row r="3639" spans="123:123">
      <c r="DS3639"/>
    </row>
    <row r="3640" spans="123:123">
      <c r="DS3640"/>
    </row>
    <row r="3641" spans="123:123">
      <c r="DS3641"/>
    </row>
    <row r="3642" spans="123:123">
      <c r="DS3642"/>
    </row>
    <row r="3643" spans="123:123">
      <c r="DS3643"/>
    </row>
    <row r="3644" spans="123:123">
      <c r="DS3644"/>
    </row>
    <row r="3645" spans="123:123">
      <c r="DS3645"/>
    </row>
    <row r="3646" spans="123:123">
      <c r="DS3646"/>
    </row>
    <row r="3647" spans="123:123">
      <c r="DS3647"/>
    </row>
    <row r="3648" spans="123:123">
      <c r="DS3648"/>
    </row>
    <row r="3649" spans="123:123">
      <c r="DS3649"/>
    </row>
    <row r="3650" spans="123:123">
      <c r="DS3650"/>
    </row>
    <row r="3651" spans="123:123">
      <c r="DS3651"/>
    </row>
    <row r="3652" spans="123:123">
      <c r="DS3652"/>
    </row>
    <row r="3653" spans="123:123">
      <c r="DS3653"/>
    </row>
    <row r="3654" spans="123:123">
      <c r="DS3654"/>
    </row>
    <row r="3655" spans="123:123">
      <c r="DS3655"/>
    </row>
    <row r="3656" spans="123:123">
      <c r="DS3656"/>
    </row>
    <row r="3657" spans="123:123">
      <c r="DS3657"/>
    </row>
    <row r="3658" spans="123:123">
      <c r="DS3658"/>
    </row>
    <row r="3659" spans="123:123">
      <c r="DS3659"/>
    </row>
    <row r="3660" spans="123:123">
      <c r="DS3660"/>
    </row>
    <row r="3661" spans="123:123">
      <c r="DS3661"/>
    </row>
    <row r="3662" spans="123:123">
      <c r="DS3662"/>
    </row>
    <row r="3663" spans="123:123">
      <c r="DS3663"/>
    </row>
    <row r="3664" spans="123:123">
      <c r="DS3664"/>
    </row>
    <row r="3665" spans="123:123">
      <c r="DS3665"/>
    </row>
    <row r="3666" spans="123:123">
      <c r="DS3666"/>
    </row>
    <row r="3667" spans="123:123">
      <c r="DS3667"/>
    </row>
    <row r="3668" spans="123:123">
      <c r="DS3668"/>
    </row>
    <row r="3669" spans="123:123">
      <c r="DS3669"/>
    </row>
    <row r="3670" spans="123:123">
      <c r="DS3670"/>
    </row>
    <row r="3671" spans="123:123">
      <c r="DS3671"/>
    </row>
    <row r="3672" spans="123:123">
      <c r="DS3672"/>
    </row>
    <row r="3673" spans="123:123">
      <c r="DS3673"/>
    </row>
    <row r="3674" spans="123:123">
      <c r="DS3674"/>
    </row>
    <row r="3675" spans="123:123">
      <c r="DS3675"/>
    </row>
    <row r="3676" spans="123:123">
      <c r="DS3676"/>
    </row>
    <row r="3677" spans="123:123">
      <c r="DS3677"/>
    </row>
    <row r="3678" spans="123:123">
      <c r="DS3678"/>
    </row>
    <row r="3679" spans="123:123">
      <c r="DS3679"/>
    </row>
    <row r="3680" spans="123:123">
      <c r="DS3680"/>
    </row>
    <row r="3681" spans="123:123">
      <c r="DS3681"/>
    </row>
    <row r="3682" spans="123:123">
      <c r="DS3682"/>
    </row>
    <row r="3683" spans="123:123">
      <c r="DS3683"/>
    </row>
    <row r="3684" spans="123:123">
      <c r="DS3684"/>
    </row>
    <row r="3685" spans="123:123">
      <c r="DS3685"/>
    </row>
    <row r="3686" spans="123:123">
      <c r="DS3686"/>
    </row>
    <row r="3687" spans="123:123">
      <c r="DS3687"/>
    </row>
    <row r="3688" spans="123:123">
      <c r="DS3688"/>
    </row>
    <row r="3689" spans="123:123">
      <c r="DS3689"/>
    </row>
    <row r="3690" spans="123:123">
      <c r="DS3690"/>
    </row>
    <row r="3691" spans="123:123">
      <c r="DS3691"/>
    </row>
    <row r="3692" spans="123:123">
      <c r="DS3692"/>
    </row>
    <row r="3693" spans="123:123">
      <c r="DS3693"/>
    </row>
    <row r="3694" spans="123:123">
      <c r="DS3694"/>
    </row>
    <row r="3695" spans="123:123">
      <c r="DS3695"/>
    </row>
    <row r="3696" spans="123:123">
      <c r="DS3696"/>
    </row>
    <row r="3697" spans="123:123">
      <c r="DS3697"/>
    </row>
    <row r="3698" spans="123:123">
      <c r="DS3698"/>
    </row>
    <row r="3699" spans="123:123">
      <c r="DS3699"/>
    </row>
    <row r="3700" spans="123:123">
      <c r="DS3700"/>
    </row>
    <row r="3701" spans="123:123">
      <c r="DS3701"/>
    </row>
    <row r="3702" spans="123:123">
      <c r="DS3702"/>
    </row>
    <row r="3703" spans="123:123">
      <c r="DS3703"/>
    </row>
    <row r="3704" spans="123:123">
      <c r="DS3704"/>
    </row>
    <row r="3705" spans="123:123">
      <c r="DS3705"/>
    </row>
    <row r="3706" spans="123:123">
      <c r="DS3706"/>
    </row>
    <row r="3707" spans="123:123">
      <c r="DS3707"/>
    </row>
    <row r="3708" spans="123:123">
      <c r="DS3708"/>
    </row>
    <row r="3709" spans="123:123">
      <c r="DS3709"/>
    </row>
    <row r="3710" spans="123:123">
      <c r="DS3710"/>
    </row>
    <row r="3711" spans="123:123">
      <c r="DS3711"/>
    </row>
    <row r="3712" spans="123:123">
      <c r="DS3712"/>
    </row>
    <row r="3713" spans="123:123">
      <c r="DS3713"/>
    </row>
    <row r="3714" spans="123:123">
      <c r="DS3714"/>
    </row>
    <row r="3715" spans="123:123">
      <c r="DS3715"/>
    </row>
    <row r="3716" spans="123:123">
      <c r="DS3716"/>
    </row>
    <row r="3717" spans="123:123">
      <c r="DS3717"/>
    </row>
    <row r="3718" spans="123:123">
      <c r="DS3718"/>
    </row>
    <row r="3719" spans="123:123">
      <c r="DS3719"/>
    </row>
    <row r="3720" spans="123:123">
      <c r="DS3720"/>
    </row>
    <row r="3721" spans="123:123">
      <c r="DS3721"/>
    </row>
    <row r="3722" spans="123:123">
      <c r="DS3722"/>
    </row>
    <row r="3723" spans="123:123">
      <c r="DS3723"/>
    </row>
    <row r="3724" spans="123:123">
      <c r="DS3724"/>
    </row>
    <row r="3725" spans="123:123">
      <c r="DS3725"/>
    </row>
    <row r="3726" spans="123:123">
      <c r="DS3726"/>
    </row>
    <row r="3727" spans="123:123">
      <c r="DS3727"/>
    </row>
    <row r="3728" spans="123:123">
      <c r="DS3728"/>
    </row>
    <row r="3729" spans="123:123">
      <c r="DS3729"/>
    </row>
    <row r="3730" spans="123:123">
      <c r="DS3730"/>
    </row>
    <row r="3731" spans="123:123">
      <c r="DS3731"/>
    </row>
    <row r="3732" spans="123:123">
      <c r="DS3732"/>
    </row>
    <row r="3733" spans="123:123">
      <c r="DS3733"/>
    </row>
    <row r="3734" spans="123:123">
      <c r="DS3734"/>
    </row>
    <row r="3735" spans="123:123">
      <c r="DS3735"/>
    </row>
    <row r="3736" spans="123:123">
      <c r="DS3736"/>
    </row>
    <row r="3737" spans="123:123">
      <c r="DS3737"/>
    </row>
    <row r="3738" spans="123:123">
      <c r="DS3738"/>
    </row>
    <row r="3739" spans="123:123">
      <c r="DS3739"/>
    </row>
    <row r="3740" spans="123:123">
      <c r="DS3740"/>
    </row>
    <row r="3741" spans="123:123">
      <c r="DS3741"/>
    </row>
    <row r="3742" spans="123:123">
      <c r="DS3742"/>
    </row>
    <row r="3743" spans="123:123">
      <c r="DS3743"/>
    </row>
    <row r="3744" spans="123:123">
      <c r="DS3744"/>
    </row>
    <row r="3745" spans="123:123">
      <c r="DS3745"/>
    </row>
    <row r="3746" spans="123:123">
      <c r="DS3746"/>
    </row>
    <row r="3747" spans="123:123">
      <c r="DS3747"/>
    </row>
    <row r="3748" spans="123:123">
      <c r="DS3748"/>
    </row>
    <row r="3749" spans="123:123">
      <c r="DS3749"/>
    </row>
    <row r="3750" spans="123:123">
      <c r="DS3750"/>
    </row>
    <row r="3751" spans="123:123">
      <c r="DS3751"/>
    </row>
    <row r="3752" spans="123:123">
      <c r="DS3752"/>
    </row>
    <row r="3753" spans="123:123">
      <c r="DS3753"/>
    </row>
    <row r="3754" spans="123:123">
      <c r="DS3754"/>
    </row>
    <row r="3755" spans="123:123">
      <c r="DS3755"/>
    </row>
    <row r="3756" spans="123:123">
      <c r="DS3756"/>
    </row>
    <row r="3757" spans="123:123">
      <c r="DS3757"/>
    </row>
    <row r="3758" spans="123:123">
      <c r="DS3758"/>
    </row>
    <row r="3759" spans="123:123">
      <c r="DS3759"/>
    </row>
    <row r="3760" spans="123:123">
      <c r="DS3760"/>
    </row>
    <row r="3761" spans="123:123">
      <c r="DS3761"/>
    </row>
    <row r="3762" spans="123:123">
      <c r="DS3762"/>
    </row>
    <row r="3763" spans="123:123">
      <c r="DS3763"/>
    </row>
    <row r="3764" spans="123:123">
      <c r="DS3764"/>
    </row>
    <row r="3765" spans="123:123">
      <c r="DS3765"/>
    </row>
    <row r="3766" spans="123:123">
      <c r="DS3766"/>
    </row>
    <row r="3767" spans="123:123">
      <c r="DS3767"/>
    </row>
    <row r="3768" spans="123:123">
      <c r="DS3768"/>
    </row>
    <row r="3769" spans="123:123">
      <c r="DS3769"/>
    </row>
    <row r="3770" spans="123:123">
      <c r="DS3770"/>
    </row>
    <row r="3771" spans="123:123">
      <c r="DS3771"/>
    </row>
    <row r="3772" spans="123:123">
      <c r="DS3772"/>
    </row>
    <row r="3773" spans="123:123">
      <c r="DS3773"/>
    </row>
    <row r="3774" spans="123:123">
      <c r="DS3774"/>
    </row>
    <row r="3775" spans="123:123">
      <c r="DS3775"/>
    </row>
    <row r="3776" spans="123:123">
      <c r="DS3776"/>
    </row>
    <row r="3777" spans="123:123">
      <c r="DS3777"/>
    </row>
    <row r="3778" spans="123:123">
      <c r="DS3778"/>
    </row>
    <row r="3779" spans="123:123">
      <c r="DS3779"/>
    </row>
    <row r="3780" spans="123:123">
      <c r="DS3780"/>
    </row>
    <row r="3781" spans="123:123">
      <c r="DS3781"/>
    </row>
    <row r="3782" spans="123:123">
      <c r="DS3782"/>
    </row>
    <row r="3783" spans="123:123">
      <c r="DS3783"/>
    </row>
    <row r="3784" spans="123:123">
      <c r="DS3784"/>
    </row>
    <row r="3785" spans="123:123">
      <c r="DS3785"/>
    </row>
    <row r="3786" spans="123:123">
      <c r="DS3786"/>
    </row>
    <row r="3787" spans="123:123">
      <c r="DS3787"/>
    </row>
    <row r="3788" spans="123:123">
      <c r="DS3788"/>
    </row>
    <row r="3789" spans="123:123">
      <c r="DS3789"/>
    </row>
    <row r="3790" spans="123:123">
      <c r="DS3790"/>
    </row>
    <row r="3791" spans="123:123">
      <c r="DS3791"/>
    </row>
    <row r="3792" spans="123:123">
      <c r="DS3792"/>
    </row>
    <row r="3793" spans="123:123">
      <c r="DS3793"/>
    </row>
    <row r="3794" spans="123:123">
      <c r="DS3794"/>
    </row>
    <row r="3795" spans="123:123">
      <c r="DS3795"/>
    </row>
    <row r="3796" spans="123:123">
      <c r="DS3796"/>
    </row>
    <row r="3797" spans="123:123">
      <c r="DS3797"/>
    </row>
    <row r="3798" spans="123:123">
      <c r="DS3798"/>
    </row>
    <row r="3799" spans="123:123">
      <c r="DS3799"/>
    </row>
    <row r="3800" spans="123:123">
      <c r="DS3800"/>
    </row>
    <row r="3801" spans="123:123">
      <c r="DS3801"/>
    </row>
    <row r="3802" spans="123:123">
      <c r="DS3802"/>
    </row>
    <row r="3803" spans="123:123">
      <c r="DS3803"/>
    </row>
    <row r="3804" spans="123:123">
      <c r="DS3804"/>
    </row>
    <row r="3805" spans="123:123">
      <c r="DS3805"/>
    </row>
    <row r="3806" spans="123:123">
      <c r="DS3806"/>
    </row>
    <row r="3807" spans="123:123">
      <c r="DS3807"/>
    </row>
    <row r="3808" spans="123:123">
      <c r="DS3808"/>
    </row>
    <row r="3809" spans="123:123">
      <c r="DS3809"/>
    </row>
    <row r="3810" spans="123:123">
      <c r="DS3810"/>
    </row>
    <row r="3811" spans="123:123">
      <c r="DS3811"/>
    </row>
    <row r="3812" spans="123:123">
      <c r="DS3812"/>
    </row>
    <row r="3813" spans="123:123">
      <c r="DS3813"/>
    </row>
    <row r="3814" spans="123:123">
      <c r="DS3814"/>
    </row>
    <row r="3815" spans="123:123">
      <c r="DS3815"/>
    </row>
    <row r="3816" spans="123:123">
      <c r="DS3816"/>
    </row>
    <row r="3817" spans="123:123">
      <c r="DS3817"/>
    </row>
    <row r="3818" spans="123:123">
      <c r="DS3818"/>
    </row>
    <row r="3819" spans="123:123">
      <c r="DS3819"/>
    </row>
    <row r="3820" spans="123:123">
      <c r="DS3820"/>
    </row>
    <row r="3821" spans="123:123">
      <c r="DS3821"/>
    </row>
    <row r="3822" spans="123:123">
      <c r="DS3822"/>
    </row>
    <row r="3823" spans="123:123">
      <c r="DS3823"/>
    </row>
    <row r="3824" spans="123:123">
      <c r="DS3824"/>
    </row>
    <row r="3825" spans="123:123">
      <c r="DS3825"/>
    </row>
    <row r="3826" spans="123:123">
      <c r="DS3826"/>
    </row>
    <row r="3827" spans="123:123">
      <c r="DS3827"/>
    </row>
    <row r="3828" spans="123:123">
      <c r="DS3828"/>
    </row>
    <row r="3829" spans="123:123">
      <c r="DS3829"/>
    </row>
    <row r="3830" spans="123:123">
      <c r="DS3830"/>
    </row>
    <row r="3831" spans="123:123">
      <c r="DS3831"/>
    </row>
    <row r="3832" spans="123:123">
      <c r="DS3832"/>
    </row>
    <row r="3833" spans="123:123">
      <c r="DS3833"/>
    </row>
    <row r="3834" spans="123:123">
      <c r="DS3834"/>
    </row>
    <row r="3835" spans="123:123">
      <c r="DS3835"/>
    </row>
    <row r="3836" spans="123:123">
      <c r="DS3836"/>
    </row>
    <row r="3837" spans="123:123">
      <c r="DS3837"/>
    </row>
    <row r="3838" spans="123:123">
      <c r="DS3838"/>
    </row>
    <row r="3839" spans="123:123">
      <c r="DS3839"/>
    </row>
    <row r="3840" spans="123:123">
      <c r="DS3840"/>
    </row>
    <row r="3841" spans="123:123">
      <c r="DS3841"/>
    </row>
    <row r="3842" spans="123:123">
      <c r="DS3842"/>
    </row>
    <row r="3843" spans="123:123">
      <c r="DS3843"/>
    </row>
    <row r="3844" spans="123:123">
      <c r="DS3844"/>
    </row>
    <row r="3845" spans="123:123">
      <c r="DS3845"/>
    </row>
    <row r="3846" spans="123:123">
      <c r="DS3846"/>
    </row>
    <row r="3847" spans="123:123">
      <c r="DS3847"/>
    </row>
    <row r="3848" spans="123:123">
      <c r="DS3848"/>
    </row>
    <row r="3849" spans="123:123">
      <c r="DS3849"/>
    </row>
    <row r="3850" spans="123:123">
      <c r="DS3850"/>
    </row>
    <row r="3851" spans="123:123">
      <c r="DS3851"/>
    </row>
    <row r="3852" spans="123:123">
      <c r="DS3852"/>
    </row>
    <row r="3853" spans="123:123">
      <c r="DS3853"/>
    </row>
    <row r="3854" spans="123:123">
      <c r="DS3854"/>
    </row>
    <row r="3855" spans="123:123">
      <c r="DS3855"/>
    </row>
    <row r="3856" spans="123:123">
      <c r="DS3856"/>
    </row>
    <row r="3857" spans="123:123">
      <c r="DS3857"/>
    </row>
    <row r="3858" spans="123:123">
      <c r="DS3858"/>
    </row>
    <row r="3859" spans="123:123">
      <c r="DS3859"/>
    </row>
    <row r="3860" spans="123:123">
      <c r="DS3860"/>
    </row>
    <row r="3861" spans="123:123">
      <c r="DS3861"/>
    </row>
    <row r="3862" spans="123:123">
      <c r="DS3862"/>
    </row>
    <row r="3863" spans="123:123">
      <c r="DS3863"/>
    </row>
    <row r="3864" spans="123:123">
      <c r="DS3864"/>
    </row>
    <row r="3865" spans="123:123">
      <c r="DS3865"/>
    </row>
    <row r="3866" spans="123:123">
      <c r="DS3866"/>
    </row>
    <row r="3867" spans="123:123">
      <c r="DS3867"/>
    </row>
    <row r="3868" spans="123:123">
      <c r="DS3868"/>
    </row>
    <row r="3869" spans="123:123">
      <c r="DS3869"/>
    </row>
    <row r="3870" spans="123:123">
      <c r="DS3870"/>
    </row>
    <row r="3871" spans="123:123">
      <c r="DS3871"/>
    </row>
    <row r="3872" spans="123:123">
      <c r="DS3872"/>
    </row>
    <row r="3873" spans="123:123">
      <c r="DS3873"/>
    </row>
    <row r="3874" spans="123:123">
      <c r="DS3874"/>
    </row>
    <row r="3875" spans="123:123">
      <c r="DS3875"/>
    </row>
    <row r="3876" spans="123:123">
      <c r="DS3876"/>
    </row>
    <row r="3877" spans="123:123">
      <c r="DS3877"/>
    </row>
    <row r="3878" spans="123:123">
      <c r="DS3878"/>
    </row>
    <row r="3879" spans="123:123">
      <c r="DS3879"/>
    </row>
    <row r="3880" spans="123:123">
      <c r="DS3880"/>
    </row>
    <row r="3881" spans="123:123">
      <c r="DS3881"/>
    </row>
    <row r="3882" spans="123:123">
      <c r="DS3882"/>
    </row>
    <row r="3883" spans="123:123">
      <c r="DS3883"/>
    </row>
    <row r="3884" spans="123:123">
      <c r="DS3884"/>
    </row>
    <row r="3885" spans="123:123">
      <c r="DS3885"/>
    </row>
    <row r="3886" spans="123:123">
      <c r="DS3886"/>
    </row>
    <row r="3887" spans="123:123">
      <c r="DS3887"/>
    </row>
    <row r="3888" spans="123:123">
      <c r="DS3888"/>
    </row>
    <row r="3889" spans="123:123">
      <c r="DS3889"/>
    </row>
    <row r="3890" spans="123:123">
      <c r="DS3890"/>
    </row>
    <row r="3891" spans="123:123">
      <c r="DS3891"/>
    </row>
    <row r="3892" spans="123:123">
      <c r="DS3892"/>
    </row>
    <row r="3893" spans="123:123">
      <c r="DS3893"/>
    </row>
    <row r="3894" spans="123:123">
      <c r="DS3894"/>
    </row>
    <row r="3895" spans="123:123">
      <c r="DS3895"/>
    </row>
    <row r="3896" spans="123:123">
      <c r="DS3896"/>
    </row>
    <row r="3897" spans="123:123">
      <c r="DS3897"/>
    </row>
    <row r="3898" spans="123:123">
      <c r="DS3898"/>
    </row>
    <row r="3899" spans="123:123">
      <c r="DS3899"/>
    </row>
    <row r="3900" spans="123:123">
      <c r="DS3900"/>
    </row>
    <row r="3901" spans="123:123">
      <c r="DS3901"/>
    </row>
    <row r="3902" spans="123:123">
      <c r="DS3902"/>
    </row>
    <row r="3903" spans="123:123">
      <c r="DS3903"/>
    </row>
    <row r="3904" spans="123:123">
      <c r="DS3904"/>
    </row>
    <row r="3905" spans="123:123">
      <c r="DS3905"/>
    </row>
    <row r="3906" spans="123:123">
      <c r="DS3906"/>
    </row>
    <row r="3907" spans="123:123">
      <c r="DS3907"/>
    </row>
    <row r="3908" spans="123:123">
      <c r="DS3908"/>
    </row>
    <row r="3909" spans="123:123">
      <c r="DS3909"/>
    </row>
    <row r="3910" spans="123:123">
      <c r="DS3910"/>
    </row>
    <row r="3911" spans="123:123">
      <c r="DS3911"/>
    </row>
    <row r="3912" spans="123:123">
      <c r="DS3912"/>
    </row>
    <row r="3913" spans="123:123">
      <c r="DS3913"/>
    </row>
    <row r="3914" spans="123:123">
      <c r="DS3914"/>
    </row>
    <row r="3915" spans="123:123">
      <c r="DS3915"/>
    </row>
    <row r="3916" spans="123:123">
      <c r="DS3916"/>
    </row>
    <row r="3917" spans="123:123">
      <c r="DS3917"/>
    </row>
    <row r="3918" spans="123:123">
      <c r="DS3918"/>
    </row>
    <row r="3919" spans="123:123">
      <c r="DS3919"/>
    </row>
    <row r="3920" spans="123:123">
      <c r="DS3920"/>
    </row>
    <row r="3921" spans="123:123">
      <c r="DS3921"/>
    </row>
    <row r="3922" spans="123:123">
      <c r="DS3922"/>
    </row>
    <row r="3923" spans="123:123">
      <c r="DS3923"/>
    </row>
    <row r="3924" spans="123:123">
      <c r="DS3924"/>
    </row>
    <row r="3925" spans="123:123">
      <c r="DS3925"/>
    </row>
    <row r="3926" spans="123:123">
      <c r="DS3926"/>
    </row>
    <row r="3927" spans="123:123">
      <c r="DS3927"/>
    </row>
    <row r="3928" spans="123:123">
      <c r="DS3928"/>
    </row>
    <row r="3929" spans="123:123">
      <c r="DS3929"/>
    </row>
    <row r="3930" spans="123:123">
      <c r="DS3930"/>
    </row>
    <row r="3931" spans="123:123">
      <c r="DS3931"/>
    </row>
    <row r="3932" spans="123:123">
      <c r="DS3932"/>
    </row>
    <row r="3933" spans="123:123">
      <c r="DS3933"/>
    </row>
    <row r="3934" spans="123:123">
      <c r="DS3934"/>
    </row>
    <row r="3935" spans="123:123">
      <c r="DS3935"/>
    </row>
    <row r="3936" spans="123:123">
      <c r="DS3936"/>
    </row>
    <row r="3937" spans="123:123">
      <c r="DS3937"/>
    </row>
    <row r="3938" spans="123:123">
      <c r="DS3938"/>
    </row>
    <row r="3939" spans="123:123">
      <c r="DS3939"/>
    </row>
    <row r="3940" spans="123:123">
      <c r="DS3940"/>
    </row>
    <row r="3941" spans="123:123">
      <c r="DS3941"/>
    </row>
    <row r="3942" spans="123:123">
      <c r="DS3942"/>
    </row>
    <row r="3943" spans="123:123">
      <c r="DS3943"/>
    </row>
    <row r="3944" spans="123:123">
      <c r="DS3944"/>
    </row>
    <row r="3945" spans="123:123">
      <c r="DS3945"/>
    </row>
    <row r="3946" spans="123:123">
      <c r="DS3946"/>
    </row>
    <row r="3947" spans="123:123">
      <c r="DS3947"/>
    </row>
    <row r="3948" spans="123:123">
      <c r="DS3948"/>
    </row>
    <row r="3949" spans="123:123">
      <c r="DS3949"/>
    </row>
    <row r="3950" spans="123:123">
      <c r="DS3950"/>
    </row>
    <row r="3951" spans="123:123">
      <c r="DS3951"/>
    </row>
    <row r="3952" spans="123:123">
      <c r="DS3952"/>
    </row>
    <row r="3953" spans="123:123">
      <c r="DS3953"/>
    </row>
    <row r="3954" spans="123:123">
      <c r="DS3954"/>
    </row>
    <row r="3955" spans="123:123">
      <c r="DS3955"/>
    </row>
    <row r="3956" spans="123:123">
      <c r="DS3956"/>
    </row>
    <row r="3957" spans="123:123">
      <c r="DS3957"/>
    </row>
    <row r="3958" spans="123:123">
      <c r="DS3958"/>
    </row>
    <row r="3959" spans="123:123">
      <c r="DS3959"/>
    </row>
    <row r="3960" spans="123:123">
      <c r="DS3960"/>
    </row>
    <row r="3961" spans="123:123">
      <c r="DS3961"/>
    </row>
    <row r="3962" spans="123:123">
      <c r="DS3962"/>
    </row>
    <row r="3963" spans="123:123">
      <c r="DS3963"/>
    </row>
    <row r="3964" spans="123:123">
      <c r="DS3964"/>
    </row>
    <row r="3965" spans="123:123">
      <c r="DS3965"/>
    </row>
    <row r="3966" spans="123:123">
      <c r="DS3966"/>
    </row>
    <row r="3967" spans="123:123">
      <c r="DS3967"/>
    </row>
    <row r="3968" spans="123:123">
      <c r="DS3968"/>
    </row>
    <row r="3969" spans="123:123">
      <c r="DS3969"/>
    </row>
    <row r="3970" spans="123:123">
      <c r="DS3970"/>
    </row>
    <row r="3971" spans="123:123">
      <c r="DS3971"/>
    </row>
    <row r="3972" spans="123:123">
      <c r="DS3972"/>
    </row>
    <row r="3973" spans="123:123">
      <c r="DS3973"/>
    </row>
    <row r="3974" spans="123:123">
      <c r="DS3974"/>
    </row>
    <row r="3975" spans="123:123">
      <c r="DS3975"/>
    </row>
    <row r="3976" spans="123:123">
      <c r="DS3976"/>
    </row>
    <row r="3977" spans="123:123">
      <c r="DS3977"/>
    </row>
    <row r="3978" spans="123:123">
      <c r="DS3978"/>
    </row>
    <row r="3979" spans="123:123">
      <c r="DS3979"/>
    </row>
    <row r="3980" spans="123:123">
      <c r="DS3980"/>
    </row>
    <row r="3981" spans="123:123">
      <c r="DS3981"/>
    </row>
    <row r="3982" spans="123:123">
      <c r="DS3982"/>
    </row>
    <row r="3983" spans="123:123">
      <c r="DS3983"/>
    </row>
    <row r="3984" spans="123:123">
      <c r="DS3984"/>
    </row>
    <row r="3985" spans="123:123">
      <c r="DS3985"/>
    </row>
    <row r="3986" spans="123:123">
      <c r="DS3986"/>
    </row>
    <row r="3987" spans="123:123">
      <c r="DS3987"/>
    </row>
    <row r="3988" spans="123:123">
      <c r="DS3988"/>
    </row>
    <row r="3989" spans="123:123">
      <c r="DS3989"/>
    </row>
    <row r="3990" spans="123:123">
      <c r="DS3990"/>
    </row>
    <row r="3991" spans="123:123">
      <c r="DS3991"/>
    </row>
    <row r="3992" spans="123:123">
      <c r="DS3992"/>
    </row>
    <row r="3993" spans="123:123">
      <c r="DS3993"/>
    </row>
    <row r="3994" spans="123:123">
      <c r="DS3994"/>
    </row>
    <row r="3995" spans="123:123">
      <c r="DS3995"/>
    </row>
    <row r="3996" spans="123:123">
      <c r="DS3996"/>
    </row>
    <row r="3997" spans="123:123">
      <c r="DS3997"/>
    </row>
    <row r="3998" spans="123:123">
      <c r="DS3998"/>
    </row>
    <row r="3999" spans="123:123">
      <c r="DS3999"/>
    </row>
    <row r="4000" spans="123:123">
      <c r="DS4000"/>
    </row>
    <row r="4001" spans="123:123">
      <c r="DS4001"/>
    </row>
    <row r="4002" spans="123:123">
      <c r="DS4002"/>
    </row>
    <row r="4003" spans="123:123">
      <c r="DS4003"/>
    </row>
    <row r="4004" spans="123:123">
      <c r="DS4004"/>
    </row>
    <row r="4005" spans="123:123">
      <c r="DS4005"/>
    </row>
    <row r="4006" spans="123:123">
      <c r="DS4006"/>
    </row>
    <row r="4007" spans="123:123">
      <c r="DS4007"/>
    </row>
    <row r="4008" spans="123:123">
      <c r="DS4008"/>
    </row>
    <row r="4009" spans="123:123">
      <c r="DS4009"/>
    </row>
    <row r="4010" spans="123:123">
      <c r="DS4010"/>
    </row>
    <row r="4011" spans="123:123">
      <c r="DS4011"/>
    </row>
    <row r="4012" spans="123:123">
      <c r="DS4012"/>
    </row>
    <row r="4013" spans="123:123">
      <c r="DS4013"/>
    </row>
    <row r="4014" spans="123:123">
      <c r="DS4014"/>
    </row>
    <row r="4015" spans="123:123">
      <c r="DS4015"/>
    </row>
    <row r="4016" spans="123:123">
      <c r="DS4016"/>
    </row>
    <row r="4017" spans="123:123">
      <c r="DS4017"/>
    </row>
    <row r="4018" spans="123:123">
      <c r="DS4018"/>
    </row>
    <row r="4019" spans="123:123">
      <c r="DS4019"/>
    </row>
    <row r="4020" spans="123:123">
      <c r="DS4020"/>
    </row>
    <row r="4021" spans="123:123">
      <c r="DS4021"/>
    </row>
    <row r="4022" spans="123:123">
      <c r="DS4022"/>
    </row>
    <row r="4023" spans="123:123">
      <c r="DS4023"/>
    </row>
    <row r="4024" spans="123:123">
      <c r="DS4024"/>
    </row>
    <row r="4025" spans="123:123">
      <c r="DS4025"/>
    </row>
    <row r="4026" spans="123:123">
      <c r="DS4026"/>
    </row>
    <row r="4027" spans="123:123">
      <c r="DS4027"/>
    </row>
    <row r="4028" spans="123:123">
      <c r="DS4028"/>
    </row>
    <row r="4029" spans="123:123">
      <c r="DS4029"/>
    </row>
    <row r="4030" spans="123:123">
      <c r="DS4030"/>
    </row>
    <row r="4031" spans="123:123">
      <c r="DS4031"/>
    </row>
    <row r="4032" spans="123:123">
      <c r="DS4032"/>
    </row>
    <row r="4033" spans="123:123">
      <c r="DS4033"/>
    </row>
    <row r="4034" spans="123:123">
      <c r="DS4034"/>
    </row>
    <row r="4035" spans="123:123">
      <c r="DS4035"/>
    </row>
    <row r="4036" spans="123:123">
      <c r="DS4036"/>
    </row>
    <row r="4037" spans="123:123">
      <c r="DS4037"/>
    </row>
    <row r="4038" spans="123:123">
      <c r="DS4038"/>
    </row>
    <row r="4039" spans="123:123">
      <c r="DS4039"/>
    </row>
    <row r="4040" spans="123:123">
      <c r="DS4040"/>
    </row>
    <row r="4041" spans="123:123">
      <c r="DS4041"/>
    </row>
    <row r="4042" spans="123:123">
      <c r="DS4042"/>
    </row>
    <row r="4043" spans="123:123">
      <c r="DS4043"/>
    </row>
    <row r="4044" spans="123:123">
      <c r="DS4044"/>
    </row>
    <row r="4045" spans="123:123">
      <c r="DS4045"/>
    </row>
    <row r="4046" spans="123:123">
      <c r="DS4046"/>
    </row>
    <row r="4047" spans="123:123">
      <c r="DS4047"/>
    </row>
    <row r="4048" spans="123:123">
      <c r="DS4048"/>
    </row>
    <row r="4049" spans="123:123">
      <c r="DS4049"/>
    </row>
    <row r="4050" spans="123:123">
      <c r="DS4050"/>
    </row>
    <row r="4051" spans="123:123">
      <c r="DS4051"/>
    </row>
    <row r="4052" spans="123:123">
      <c r="DS4052"/>
    </row>
    <row r="4053" spans="123:123">
      <c r="DS4053"/>
    </row>
    <row r="4054" spans="123:123">
      <c r="DS4054"/>
    </row>
    <row r="4055" spans="123:123">
      <c r="DS4055"/>
    </row>
    <row r="4056" spans="123:123">
      <c r="DS4056"/>
    </row>
    <row r="4057" spans="123:123">
      <c r="DS4057"/>
    </row>
    <row r="4058" spans="123:123">
      <c r="DS4058"/>
    </row>
    <row r="4059" spans="123:123">
      <c r="DS4059"/>
    </row>
    <row r="4060" spans="123:123">
      <c r="DS4060"/>
    </row>
    <row r="4061" spans="123:123">
      <c r="DS4061"/>
    </row>
    <row r="4062" spans="123:123">
      <c r="DS4062"/>
    </row>
    <row r="4063" spans="123:123">
      <c r="DS4063"/>
    </row>
    <row r="4064" spans="123:123">
      <c r="DS4064"/>
    </row>
    <row r="4065" spans="123:123">
      <c r="DS4065"/>
    </row>
    <row r="4066" spans="123:123">
      <c r="DS4066"/>
    </row>
    <row r="4067" spans="123:123">
      <c r="DS4067"/>
    </row>
    <row r="4068" spans="123:123">
      <c r="DS4068"/>
    </row>
    <row r="4069" spans="123:123">
      <c r="DS4069"/>
    </row>
    <row r="4070" spans="123:123">
      <c r="DS4070"/>
    </row>
    <row r="4071" spans="123:123">
      <c r="DS4071"/>
    </row>
    <row r="4072" spans="123:123">
      <c r="DS4072"/>
    </row>
    <row r="4073" spans="123:123">
      <c r="DS4073"/>
    </row>
    <row r="4074" spans="123:123">
      <c r="DS4074"/>
    </row>
    <row r="4075" spans="123:123">
      <c r="DS4075"/>
    </row>
    <row r="4076" spans="123:123">
      <c r="DS4076"/>
    </row>
    <row r="4077" spans="123:123">
      <c r="DS4077"/>
    </row>
    <row r="4078" spans="123:123">
      <c r="DS4078"/>
    </row>
    <row r="4079" spans="123:123">
      <c r="DS4079"/>
    </row>
    <row r="4080" spans="123:123">
      <c r="DS4080"/>
    </row>
    <row r="4081" spans="123:123">
      <c r="DS4081"/>
    </row>
    <row r="4082" spans="123:123">
      <c r="DS4082"/>
    </row>
    <row r="4083" spans="123:123">
      <c r="DS4083"/>
    </row>
    <row r="4084" spans="123:123">
      <c r="DS4084"/>
    </row>
    <row r="4085" spans="123:123">
      <c r="DS4085"/>
    </row>
    <row r="4086" spans="123:123">
      <c r="DS4086"/>
    </row>
    <row r="4087" spans="123:123">
      <c r="DS4087"/>
    </row>
    <row r="4088" spans="123:123">
      <c r="DS4088"/>
    </row>
    <row r="4089" spans="123:123">
      <c r="DS4089"/>
    </row>
    <row r="4090" spans="123:123">
      <c r="DS4090"/>
    </row>
    <row r="4091" spans="123:123">
      <c r="DS4091"/>
    </row>
    <row r="4092" spans="123:123">
      <c r="DS4092"/>
    </row>
    <row r="4093" spans="123:123">
      <c r="DS4093"/>
    </row>
    <row r="4094" spans="123:123">
      <c r="DS4094"/>
    </row>
    <row r="4095" spans="123:123">
      <c r="DS4095"/>
    </row>
    <row r="4096" spans="123:123">
      <c r="DS4096"/>
    </row>
    <row r="4097" spans="123:123">
      <c r="DS4097"/>
    </row>
    <row r="4098" spans="123:123">
      <c r="DS4098"/>
    </row>
    <row r="4099" spans="123:123">
      <c r="DS4099"/>
    </row>
    <row r="4100" spans="123:123">
      <c r="DS4100"/>
    </row>
    <row r="4101" spans="123:123">
      <c r="DS4101"/>
    </row>
    <row r="4102" spans="123:123">
      <c r="DS4102"/>
    </row>
    <row r="4103" spans="123:123">
      <c r="DS4103"/>
    </row>
    <row r="4104" spans="123:123">
      <c r="DS4104"/>
    </row>
    <row r="4105" spans="123:123">
      <c r="DS4105"/>
    </row>
    <row r="4106" spans="123:123">
      <c r="DS4106"/>
    </row>
    <row r="4107" spans="123:123">
      <c r="DS4107"/>
    </row>
    <row r="4108" spans="123:123">
      <c r="DS4108"/>
    </row>
    <row r="4109" spans="123:123">
      <c r="DS4109"/>
    </row>
    <row r="4110" spans="123:123">
      <c r="DS4110"/>
    </row>
    <row r="4111" spans="123:123">
      <c r="DS4111"/>
    </row>
    <row r="4112" spans="123:123">
      <c r="DS4112"/>
    </row>
    <row r="4113" spans="123:123">
      <c r="DS4113"/>
    </row>
    <row r="4114" spans="123:123">
      <c r="DS4114"/>
    </row>
    <row r="4115" spans="123:123">
      <c r="DS4115"/>
    </row>
    <row r="4116" spans="123:123">
      <c r="DS4116"/>
    </row>
    <row r="4117" spans="123:123">
      <c r="DS4117"/>
    </row>
    <row r="4118" spans="123:123">
      <c r="DS4118"/>
    </row>
    <row r="4119" spans="123:123">
      <c r="DS4119"/>
    </row>
    <row r="4120" spans="123:123">
      <c r="DS4120"/>
    </row>
    <row r="4121" spans="123:123">
      <c r="DS4121"/>
    </row>
    <row r="4122" spans="123:123">
      <c r="DS4122"/>
    </row>
    <row r="4123" spans="123:123">
      <c r="DS4123"/>
    </row>
    <row r="4124" spans="123:123">
      <c r="DS4124"/>
    </row>
    <row r="4125" spans="123:123">
      <c r="DS4125"/>
    </row>
    <row r="4126" spans="123:123">
      <c r="DS4126"/>
    </row>
    <row r="4127" spans="123:123">
      <c r="DS4127"/>
    </row>
    <row r="4128" spans="123:123">
      <c r="DS4128"/>
    </row>
    <row r="4129" spans="123:123">
      <c r="DS4129"/>
    </row>
    <row r="4130" spans="123:123">
      <c r="DS4130"/>
    </row>
    <row r="4131" spans="123:123">
      <c r="DS4131"/>
    </row>
    <row r="4132" spans="123:123">
      <c r="DS4132"/>
    </row>
    <row r="4133" spans="123:123">
      <c r="DS4133"/>
    </row>
    <row r="4134" spans="123:123">
      <c r="DS4134"/>
    </row>
    <row r="4135" spans="123:123">
      <c r="DS4135"/>
    </row>
    <row r="4136" spans="123:123">
      <c r="DS4136"/>
    </row>
    <row r="4137" spans="123:123">
      <c r="DS4137"/>
    </row>
    <row r="4138" spans="123:123">
      <c r="DS4138"/>
    </row>
    <row r="4139" spans="123:123">
      <c r="DS4139"/>
    </row>
    <row r="4140" spans="123:123">
      <c r="DS4140"/>
    </row>
    <row r="4141" spans="123:123">
      <c r="DS4141"/>
    </row>
    <row r="4142" spans="123:123">
      <c r="DS4142"/>
    </row>
    <row r="4143" spans="123:123">
      <c r="DS4143"/>
    </row>
    <row r="4144" spans="123:123">
      <c r="DS4144"/>
    </row>
    <row r="4145" spans="123:123">
      <c r="DS4145"/>
    </row>
    <row r="4146" spans="123:123">
      <c r="DS4146"/>
    </row>
    <row r="4147" spans="123:123">
      <c r="DS4147"/>
    </row>
    <row r="4148" spans="123:123">
      <c r="DS4148"/>
    </row>
    <row r="4149" spans="123:123">
      <c r="DS4149"/>
    </row>
    <row r="4150" spans="123:123">
      <c r="DS4150"/>
    </row>
    <row r="4151" spans="123:123">
      <c r="DS4151"/>
    </row>
    <row r="4152" spans="123:123">
      <c r="DS4152"/>
    </row>
    <row r="4153" spans="123:123">
      <c r="DS4153"/>
    </row>
    <row r="4154" spans="123:123">
      <c r="DS4154"/>
    </row>
    <row r="4155" spans="123:123">
      <c r="DS4155"/>
    </row>
    <row r="4156" spans="123:123">
      <c r="DS4156"/>
    </row>
    <row r="4157" spans="123:123">
      <c r="DS4157"/>
    </row>
    <row r="4158" spans="123:123">
      <c r="DS4158"/>
    </row>
    <row r="4159" spans="123:123">
      <c r="DS4159"/>
    </row>
    <row r="4160" spans="123:123">
      <c r="DS4160"/>
    </row>
    <row r="4161" spans="123:123">
      <c r="DS4161"/>
    </row>
    <row r="4162" spans="123:123">
      <c r="DS4162"/>
    </row>
    <row r="4163" spans="123:123">
      <c r="DS4163"/>
    </row>
    <row r="4164" spans="123:123">
      <c r="DS4164"/>
    </row>
    <row r="4165" spans="123:123">
      <c r="DS4165"/>
    </row>
    <row r="4166" spans="123:123">
      <c r="DS4166"/>
    </row>
    <row r="4167" spans="123:123">
      <c r="DS4167"/>
    </row>
    <row r="4168" spans="123:123">
      <c r="DS4168"/>
    </row>
    <row r="4169" spans="123:123">
      <c r="DS4169"/>
    </row>
    <row r="4170" spans="123:123">
      <c r="DS4170"/>
    </row>
    <row r="4171" spans="123:123">
      <c r="DS4171"/>
    </row>
    <row r="4172" spans="123:123">
      <c r="DS4172"/>
    </row>
    <row r="4173" spans="123:123">
      <c r="DS4173"/>
    </row>
    <row r="4174" spans="123:123">
      <c r="DS4174"/>
    </row>
    <row r="4175" spans="123:123">
      <c r="DS4175"/>
    </row>
    <row r="4176" spans="123:123">
      <c r="DS4176"/>
    </row>
    <row r="4177" spans="123:123">
      <c r="DS4177"/>
    </row>
    <row r="4178" spans="123:123">
      <c r="DS4178"/>
    </row>
    <row r="4179" spans="123:123">
      <c r="DS4179"/>
    </row>
    <row r="4180" spans="123:123">
      <c r="DS4180"/>
    </row>
    <row r="4181" spans="123:123">
      <c r="DS4181"/>
    </row>
    <row r="4182" spans="123:123">
      <c r="DS4182"/>
    </row>
    <row r="4183" spans="123:123">
      <c r="DS4183"/>
    </row>
    <row r="4184" spans="123:123">
      <c r="DS4184"/>
    </row>
    <row r="4185" spans="123:123">
      <c r="DS4185"/>
    </row>
    <row r="4186" spans="123:123">
      <c r="DS4186"/>
    </row>
    <row r="4187" spans="123:123">
      <c r="DS4187"/>
    </row>
    <row r="4188" spans="123:123">
      <c r="DS4188"/>
    </row>
    <row r="4189" spans="123:123">
      <c r="DS4189"/>
    </row>
    <row r="4190" spans="123:123">
      <c r="DS4190"/>
    </row>
    <row r="4191" spans="123:123">
      <c r="DS4191"/>
    </row>
    <row r="4192" spans="123:123">
      <c r="DS4192"/>
    </row>
    <row r="4193" spans="123:123">
      <c r="DS4193"/>
    </row>
    <row r="4194" spans="123:123">
      <c r="DS4194"/>
    </row>
    <row r="4195" spans="123:123">
      <c r="DS4195"/>
    </row>
    <row r="4196" spans="123:123">
      <c r="DS4196"/>
    </row>
    <row r="4197" spans="123:123">
      <c r="DS4197"/>
    </row>
    <row r="4198" spans="123:123">
      <c r="DS4198"/>
    </row>
    <row r="4199" spans="123:123">
      <c r="DS4199"/>
    </row>
    <row r="4200" spans="123:123">
      <c r="DS4200"/>
    </row>
    <row r="4201" spans="123:123">
      <c r="DS4201"/>
    </row>
    <row r="4202" spans="123:123">
      <c r="DS4202"/>
    </row>
    <row r="4203" spans="123:123">
      <c r="DS4203"/>
    </row>
    <row r="4204" spans="123:123">
      <c r="DS4204"/>
    </row>
    <row r="4205" spans="123:123">
      <c r="DS4205"/>
    </row>
    <row r="4206" spans="123:123">
      <c r="DS4206"/>
    </row>
    <row r="4207" spans="123:123">
      <c r="DS4207"/>
    </row>
    <row r="4208" spans="123:123">
      <c r="DS4208"/>
    </row>
    <row r="4209" spans="123:123">
      <c r="DS4209"/>
    </row>
    <row r="4210" spans="123:123">
      <c r="DS4210"/>
    </row>
    <row r="4211" spans="123:123">
      <c r="DS4211"/>
    </row>
    <row r="4212" spans="123:123">
      <c r="DS4212"/>
    </row>
    <row r="4213" spans="123:123">
      <c r="DS4213"/>
    </row>
    <row r="4214" spans="123:123">
      <c r="DS4214"/>
    </row>
    <row r="4215" spans="123:123">
      <c r="DS4215"/>
    </row>
    <row r="4216" spans="123:123">
      <c r="DS4216"/>
    </row>
    <row r="4217" spans="123:123">
      <c r="DS4217"/>
    </row>
    <row r="4218" spans="123:123">
      <c r="DS4218"/>
    </row>
    <row r="4219" spans="123:123">
      <c r="DS4219"/>
    </row>
    <row r="4220" spans="123:123">
      <c r="DS4220"/>
    </row>
    <row r="4221" spans="123:123">
      <c r="DS4221"/>
    </row>
    <row r="4222" spans="123:123">
      <c r="DS4222"/>
    </row>
    <row r="4223" spans="123:123">
      <c r="DS4223"/>
    </row>
    <row r="4224" spans="123:123">
      <c r="DS4224"/>
    </row>
    <row r="4225" spans="123:123">
      <c r="DS4225"/>
    </row>
    <row r="4226" spans="123:123">
      <c r="DS4226"/>
    </row>
    <row r="4227" spans="123:123">
      <c r="DS4227"/>
    </row>
    <row r="4228" spans="123:123">
      <c r="DS4228"/>
    </row>
    <row r="4229" spans="123:123">
      <c r="DS4229"/>
    </row>
    <row r="4230" spans="123:123">
      <c r="DS4230"/>
    </row>
    <row r="4231" spans="123:123">
      <c r="DS4231"/>
    </row>
    <row r="4232" spans="123:123">
      <c r="DS4232"/>
    </row>
    <row r="4233" spans="123:123">
      <c r="DS4233"/>
    </row>
    <row r="4234" spans="123:123">
      <c r="DS4234"/>
    </row>
    <row r="4235" spans="123:123">
      <c r="DS4235"/>
    </row>
    <row r="4236" spans="123:123">
      <c r="DS4236"/>
    </row>
    <row r="4237" spans="123:123">
      <c r="DS4237"/>
    </row>
    <row r="4238" spans="123:123">
      <c r="DS4238"/>
    </row>
    <row r="4239" spans="123:123">
      <c r="DS4239"/>
    </row>
    <row r="4240" spans="123:123">
      <c r="DS4240"/>
    </row>
    <row r="4241" spans="123:123">
      <c r="DS4241"/>
    </row>
    <row r="4242" spans="123:123">
      <c r="DS4242"/>
    </row>
    <row r="4243" spans="123:123">
      <c r="DS4243"/>
    </row>
    <row r="4244" spans="123:123">
      <c r="DS4244"/>
    </row>
    <row r="4245" spans="123:123">
      <c r="DS4245"/>
    </row>
    <row r="4246" spans="123:123">
      <c r="DS4246"/>
    </row>
    <row r="4247" spans="123:123">
      <c r="DS4247"/>
    </row>
    <row r="4248" spans="123:123">
      <c r="DS4248"/>
    </row>
    <row r="4249" spans="123:123">
      <c r="DS4249"/>
    </row>
    <row r="4250" spans="123:123">
      <c r="DS4250"/>
    </row>
    <row r="4251" spans="123:123">
      <c r="DS4251"/>
    </row>
    <row r="4252" spans="123:123">
      <c r="DS4252"/>
    </row>
    <row r="4253" spans="123:123">
      <c r="DS4253"/>
    </row>
    <row r="4254" spans="123:123">
      <c r="DS4254"/>
    </row>
    <row r="4255" spans="123:123">
      <c r="DS4255"/>
    </row>
    <row r="4256" spans="123:123">
      <c r="DS4256"/>
    </row>
    <row r="4257" spans="123:123">
      <c r="DS4257"/>
    </row>
    <row r="4258" spans="123:123">
      <c r="DS4258"/>
    </row>
    <row r="4259" spans="123:123">
      <c r="DS4259"/>
    </row>
    <row r="4260" spans="123:123">
      <c r="DS4260"/>
    </row>
    <row r="4261" spans="123:123">
      <c r="DS4261"/>
    </row>
    <row r="4262" spans="123:123">
      <c r="DS4262"/>
    </row>
    <row r="4263" spans="123:123">
      <c r="DS4263"/>
    </row>
    <row r="4264" spans="123:123">
      <c r="DS4264"/>
    </row>
    <row r="4265" spans="123:123">
      <c r="DS4265"/>
    </row>
    <row r="4266" spans="123:123">
      <c r="DS4266"/>
    </row>
    <row r="4267" spans="123:123">
      <c r="DS4267"/>
    </row>
    <row r="4268" spans="123:123">
      <c r="DS4268"/>
    </row>
    <row r="4269" spans="123:123">
      <c r="DS4269"/>
    </row>
    <row r="4270" spans="123:123">
      <c r="DS4270"/>
    </row>
    <row r="4271" spans="123:123">
      <c r="DS4271"/>
    </row>
    <row r="4272" spans="123:123">
      <c r="DS4272"/>
    </row>
    <row r="4273" spans="123:123">
      <c r="DS4273"/>
    </row>
    <row r="4274" spans="123:123">
      <c r="DS4274"/>
    </row>
    <row r="4275" spans="123:123">
      <c r="DS4275"/>
    </row>
    <row r="4276" spans="123:123">
      <c r="DS4276"/>
    </row>
    <row r="4277" spans="123:123">
      <c r="DS4277"/>
    </row>
    <row r="4278" spans="123:123">
      <c r="DS4278"/>
    </row>
    <row r="4279" spans="123:123">
      <c r="DS4279"/>
    </row>
    <row r="4280" spans="123:123">
      <c r="DS4280"/>
    </row>
    <row r="4281" spans="123:123">
      <c r="DS4281"/>
    </row>
    <row r="4282" spans="123:123">
      <c r="DS4282"/>
    </row>
    <row r="4283" spans="123:123">
      <c r="DS4283"/>
    </row>
    <row r="4284" spans="123:123">
      <c r="DS4284"/>
    </row>
    <row r="4285" spans="123:123">
      <c r="DS4285"/>
    </row>
    <row r="4286" spans="123:123">
      <c r="DS4286"/>
    </row>
    <row r="4287" spans="123:123">
      <c r="DS4287"/>
    </row>
    <row r="4288" spans="123:123">
      <c r="DS4288"/>
    </row>
    <row r="4289" spans="123:123">
      <c r="DS4289"/>
    </row>
    <row r="4290" spans="123:123">
      <c r="DS4290"/>
    </row>
    <row r="4291" spans="123:123">
      <c r="DS4291"/>
    </row>
    <row r="4292" spans="123:123">
      <c r="DS4292"/>
    </row>
    <row r="4293" spans="123:123">
      <c r="DS4293"/>
    </row>
    <row r="4294" spans="123:123">
      <c r="DS4294"/>
    </row>
    <row r="4295" spans="123:123">
      <c r="DS4295"/>
    </row>
    <row r="4296" spans="123:123">
      <c r="DS4296"/>
    </row>
    <row r="4297" spans="123:123">
      <c r="DS4297"/>
    </row>
    <row r="4298" spans="123:123">
      <c r="DS4298"/>
    </row>
    <row r="4299" spans="123:123">
      <c r="DS4299"/>
    </row>
    <row r="4300" spans="123:123">
      <c r="DS4300"/>
    </row>
    <row r="4301" spans="123:123">
      <c r="DS4301"/>
    </row>
    <row r="4302" spans="123:123">
      <c r="DS4302"/>
    </row>
    <row r="4303" spans="123:123">
      <c r="DS4303"/>
    </row>
    <row r="4304" spans="123:123">
      <c r="DS4304"/>
    </row>
    <row r="4305" spans="123:123">
      <c r="DS4305"/>
    </row>
    <row r="4306" spans="123:123">
      <c r="DS4306"/>
    </row>
    <row r="4307" spans="123:123">
      <c r="DS4307"/>
    </row>
    <row r="4308" spans="123:123">
      <c r="DS4308"/>
    </row>
    <row r="4309" spans="123:123">
      <c r="DS4309"/>
    </row>
    <row r="4310" spans="123:123">
      <c r="DS4310"/>
    </row>
    <row r="4311" spans="123:123">
      <c r="DS4311"/>
    </row>
    <row r="4312" spans="123:123">
      <c r="DS4312"/>
    </row>
    <row r="4313" spans="123:123">
      <c r="DS4313"/>
    </row>
    <row r="4314" spans="123:123">
      <c r="DS4314"/>
    </row>
  </sheetData>
  <mergeCells count="69">
    <mergeCell ref="CF8:CF49"/>
    <mergeCell ref="R8:R49"/>
    <mergeCell ref="AB8:AB49"/>
    <mergeCell ref="AI8:AI49"/>
    <mergeCell ref="AP8:AP49"/>
    <mergeCell ref="AV8:AV49"/>
    <mergeCell ref="BC8:BC49"/>
    <mergeCell ref="BJ8:BJ49"/>
    <mergeCell ref="BQ8:BQ49"/>
    <mergeCell ref="BX8:BX49"/>
    <mergeCell ref="CJ6:CJ7"/>
    <mergeCell ref="CK6:CK7"/>
    <mergeCell ref="CL6:CL7"/>
    <mergeCell ref="AV6:AV7"/>
    <mergeCell ref="AW6:AW7"/>
    <mergeCell ref="AX6:BA6"/>
    <mergeCell ref="BE6:BH6"/>
    <mergeCell ref="BI6:BI7"/>
    <mergeCell ref="BL6:BO6"/>
    <mergeCell ref="BP6:BP7"/>
    <mergeCell ref="BQ6:BQ7"/>
    <mergeCell ref="BR6:BR7"/>
    <mergeCell ref="BS6:BV6"/>
    <mergeCell ref="BX6:BX7"/>
    <mergeCell ref="BY6:BY7"/>
    <mergeCell ref="BZ6:CD6"/>
    <mergeCell ref="AB6:AB7"/>
    <mergeCell ref="AC6:AC7"/>
    <mergeCell ref="AD6:AG6"/>
    <mergeCell ref="AK6:AN6"/>
    <mergeCell ref="CI6:CI7"/>
    <mergeCell ref="CH6:CH7"/>
    <mergeCell ref="R6:R7"/>
    <mergeCell ref="S6:S7"/>
    <mergeCell ref="T6:Y6"/>
    <mergeCell ref="Z6:Z7"/>
    <mergeCell ref="AA6:AA7"/>
    <mergeCell ref="F6:F7"/>
    <mergeCell ref="BJ6:BJ7"/>
    <mergeCell ref="BK6:BK7"/>
    <mergeCell ref="AQ6:AQ7"/>
    <mergeCell ref="BB6:BB7"/>
    <mergeCell ref="BC6:BC7"/>
    <mergeCell ref="BD6:BD7"/>
    <mergeCell ref="AO6:AO7"/>
    <mergeCell ref="AP6:AP7"/>
    <mergeCell ref="AR6:AT6"/>
    <mergeCell ref="AU6:AU7"/>
    <mergeCell ref="G6:J6"/>
    <mergeCell ref="K6:K7"/>
    <mergeCell ref="L6:O6"/>
    <mergeCell ref="P6:P7"/>
    <mergeCell ref="Q6:Q7"/>
    <mergeCell ref="A1:DT5"/>
    <mergeCell ref="CE6:CE7"/>
    <mergeCell ref="CF6:CF7"/>
    <mergeCell ref="CG6:CG7"/>
    <mergeCell ref="CM6:CM7"/>
    <mergeCell ref="A6:A7"/>
    <mergeCell ref="B6:B7"/>
    <mergeCell ref="C6:C7"/>
    <mergeCell ref="D6:D7"/>
    <mergeCell ref="CN6:CN7"/>
    <mergeCell ref="AH6:AH7"/>
    <mergeCell ref="AI6:AI7"/>
    <mergeCell ref="AJ6:AJ7"/>
    <mergeCell ref="E6:E7"/>
    <mergeCell ref="BW6:BW7"/>
    <mergeCell ref="DT6:DT7"/>
  </mergeCells>
  <conditionalFormatting sqref="H8:I25 H27:I27 H29:I30 H32:I45 M8:N25 M27:N27 M29:N30 M32:N45 V8:W25 V27:W27 V29:W30 V32:W45 AE8:AF25 AE27:AF27 AE29:AF30 AE32:AF45 AL8:AM25 AL27:AM27 AL29:AM30 AL32:AM45 AY8:AY25 AY27 AY29:AY30 AY32:AY45 BF8:BF25 BF27 BF29:BF30 BF32:BF45 BH8:BH25 BH27 BH29:BH30 BH32:BH45">
    <cfRule type="cellIs" dxfId="51" priority="77" operator="lessThan">
      <formula>28</formula>
    </cfRule>
  </conditionalFormatting>
  <conditionalFormatting sqref="H8:I25 M8:N25">
    <cfRule type="cellIs" dxfId="50" priority="49" operator="lessThan">
      <formula>28</formula>
    </cfRule>
  </conditionalFormatting>
  <conditionalFormatting sqref="H26:I26 M26:N26">
    <cfRule type="cellIs" dxfId="49" priority="48" operator="lessThan">
      <formula>28</formula>
    </cfRule>
  </conditionalFormatting>
  <conditionalFormatting sqref="H27:I30 M27:N30">
    <cfRule type="cellIs" dxfId="48" priority="47" operator="lessThan">
      <formula>28</formula>
    </cfRule>
  </conditionalFormatting>
  <conditionalFormatting sqref="H31:I31 M31:N31">
    <cfRule type="cellIs" dxfId="47" priority="46" operator="lessThan">
      <formula>28</formula>
    </cfRule>
  </conditionalFormatting>
  <conditionalFormatting sqref="H32:I34 M32:N34">
    <cfRule type="cellIs" dxfId="46" priority="45" operator="lessThan">
      <formula>28</formula>
    </cfRule>
  </conditionalFormatting>
  <conditionalFormatting sqref="H35:I44 M35:N44">
    <cfRule type="cellIs" dxfId="45" priority="44" operator="lessThan">
      <formula>28</formula>
    </cfRule>
  </conditionalFormatting>
  <conditionalFormatting sqref="H45:I46 M45:N46">
    <cfRule type="cellIs" dxfId="44" priority="43" operator="lessThan">
      <formula>28</formula>
    </cfRule>
  </conditionalFormatting>
  <conditionalFormatting sqref="V31:W31">
    <cfRule type="cellIs" dxfId="43" priority="42" operator="lessThan">
      <formula>28</formula>
    </cfRule>
  </conditionalFormatting>
  <conditionalFormatting sqref="V32:W32 V34:W34 V33">
    <cfRule type="cellIs" dxfId="42" priority="41" operator="lessThan">
      <formula>28</formula>
    </cfRule>
  </conditionalFormatting>
  <conditionalFormatting sqref="V35:W37">
    <cfRule type="cellIs" dxfId="41" priority="40" operator="lessThan">
      <formula>28</formula>
    </cfRule>
  </conditionalFormatting>
  <conditionalFormatting sqref="V39:W44 V38">
    <cfRule type="cellIs" dxfId="40" priority="39" operator="lessThan">
      <formula>28</formula>
    </cfRule>
  </conditionalFormatting>
  <conditionalFormatting sqref="V45:W46">
    <cfRule type="cellIs" dxfId="39" priority="38" operator="lessThan">
      <formula>28</formula>
    </cfRule>
  </conditionalFormatting>
  <conditionalFormatting sqref="W8:W22 W24:W30">
    <cfRule type="cellIs" dxfId="38" priority="37" operator="lessThan">
      <formula>28</formula>
    </cfRule>
  </conditionalFormatting>
  <conditionalFormatting sqref="AE8:AF30">
    <cfRule type="cellIs" dxfId="37" priority="36" operator="lessThan">
      <formula>28</formula>
    </cfRule>
  </conditionalFormatting>
  <conditionalFormatting sqref="AE31:AF31">
    <cfRule type="cellIs" dxfId="36" priority="35" operator="lessThan">
      <formula>28</formula>
    </cfRule>
  </conditionalFormatting>
  <conditionalFormatting sqref="AE32:AF34">
    <cfRule type="cellIs" dxfId="35" priority="34" operator="lessThan">
      <formula>28</formula>
    </cfRule>
  </conditionalFormatting>
  <conditionalFormatting sqref="AE35:AF44">
    <cfRule type="cellIs" dxfId="34" priority="33" operator="lessThan">
      <formula>28</formula>
    </cfRule>
  </conditionalFormatting>
  <conditionalFormatting sqref="AE45:AF46">
    <cfRule type="cellIs" dxfId="33" priority="32" operator="lessThan">
      <formula>28</formula>
    </cfRule>
  </conditionalFormatting>
  <conditionalFormatting sqref="AL8:AM30">
    <cfRule type="cellIs" dxfId="32" priority="31" operator="lessThan">
      <formula>28</formula>
    </cfRule>
  </conditionalFormatting>
  <conditionalFormatting sqref="AL31:AM31">
    <cfRule type="cellIs" dxfId="31" priority="30" operator="lessThan">
      <formula>28</formula>
    </cfRule>
  </conditionalFormatting>
  <conditionalFormatting sqref="AL32:AM34">
    <cfRule type="cellIs" dxfId="30" priority="29" operator="lessThan">
      <formula>28</formula>
    </cfRule>
  </conditionalFormatting>
  <conditionalFormatting sqref="AL35:AM44">
    <cfRule type="cellIs" dxfId="29" priority="28" operator="lessThan">
      <formula>28</formula>
    </cfRule>
  </conditionalFormatting>
  <conditionalFormatting sqref="AL45:AM46">
    <cfRule type="cellIs" dxfId="28" priority="27" operator="lessThan">
      <formula>28</formula>
    </cfRule>
  </conditionalFormatting>
  <conditionalFormatting sqref="AY8:AZ30">
    <cfRule type="cellIs" dxfId="27" priority="26" operator="lessThan">
      <formula>28</formula>
    </cfRule>
  </conditionalFormatting>
  <conditionalFormatting sqref="AY31:AZ31">
    <cfRule type="cellIs" dxfId="26" priority="25" operator="lessThan">
      <formula>28</formula>
    </cfRule>
  </conditionalFormatting>
  <conditionalFormatting sqref="AY32:AZ34">
    <cfRule type="cellIs" dxfId="25" priority="24" operator="lessThan">
      <formula>28</formula>
    </cfRule>
  </conditionalFormatting>
  <conditionalFormatting sqref="AY35:AZ44">
    <cfRule type="cellIs" dxfId="24" priority="23" operator="lessThan">
      <formula>28</formula>
    </cfRule>
  </conditionalFormatting>
  <conditionalFormatting sqref="AY45:AZ46">
    <cfRule type="cellIs" dxfId="23" priority="22" operator="lessThan">
      <formula>28</formula>
    </cfRule>
  </conditionalFormatting>
  <conditionalFormatting sqref="BF8:BH30">
    <cfRule type="cellIs" dxfId="22" priority="21" operator="lessThan">
      <formula>28</formula>
    </cfRule>
  </conditionalFormatting>
  <conditionalFormatting sqref="BF8:BH30">
    <cfRule type="cellIs" dxfId="21" priority="20" operator="lessThan">
      <formula>28</formula>
    </cfRule>
  </conditionalFormatting>
  <conditionalFormatting sqref="BF31:BH31">
    <cfRule type="cellIs" dxfId="20" priority="19" operator="lessThan">
      <formula>28</formula>
    </cfRule>
  </conditionalFormatting>
  <conditionalFormatting sqref="BF32:BH34">
    <cfRule type="cellIs" dxfId="19" priority="18" operator="lessThan">
      <formula>28</formula>
    </cfRule>
  </conditionalFormatting>
  <conditionalFormatting sqref="BF35:BH44">
    <cfRule type="cellIs" dxfId="18" priority="17" operator="lessThan">
      <formula>28</formula>
    </cfRule>
  </conditionalFormatting>
  <conditionalFormatting sqref="BF45:BH46">
    <cfRule type="cellIs" dxfId="17" priority="16" operator="lessThan">
      <formula>28</formula>
    </cfRule>
  </conditionalFormatting>
  <conditionalFormatting sqref="BN8:BN30">
    <cfRule type="cellIs" dxfId="16" priority="15" operator="lessThan">
      <formula>28</formula>
    </cfRule>
  </conditionalFormatting>
  <conditionalFormatting sqref="BN31">
    <cfRule type="cellIs" dxfId="15" priority="14" operator="lessThan">
      <formula>28</formula>
    </cfRule>
  </conditionalFormatting>
  <conditionalFormatting sqref="BN32:BN34">
    <cfRule type="cellIs" dxfId="14" priority="13" operator="lessThan">
      <formula>28</formula>
    </cfRule>
  </conditionalFormatting>
  <conditionalFormatting sqref="BN35:BN44">
    <cfRule type="cellIs" dxfId="13" priority="12" operator="lessThan">
      <formula>28</formula>
    </cfRule>
  </conditionalFormatting>
  <conditionalFormatting sqref="BN45:BN46">
    <cfRule type="cellIs" dxfId="12" priority="11" operator="lessThan">
      <formula>28</formula>
    </cfRule>
  </conditionalFormatting>
  <conditionalFormatting sqref="BU8:BU30">
    <cfRule type="cellIs" dxfId="11" priority="10" operator="lessThan">
      <formula>28</formula>
    </cfRule>
  </conditionalFormatting>
  <conditionalFormatting sqref="BU32:BU34">
    <cfRule type="cellIs" dxfId="10" priority="9" operator="lessThan">
      <formula>28</formula>
    </cfRule>
  </conditionalFormatting>
  <conditionalFormatting sqref="BU31">
    <cfRule type="cellIs" dxfId="9" priority="8" operator="lessThan">
      <formula>28</formula>
    </cfRule>
  </conditionalFormatting>
  <conditionalFormatting sqref="BT35:BU44">
    <cfRule type="cellIs" dxfId="8" priority="7" operator="lessThan">
      <formula>28</formula>
    </cfRule>
  </conditionalFormatting>
  <conditionalFormatting sqref="BT45:BU46">
    <cfRule type="cellIs" dxfId="7" priority="6" operator="lessThan">
      <formula>28</formula>
    </cfRule>
  </conditionalFormatting>
  <conditionalFormatting sqref="CB8:CB30">
    <cfRule type="cellIs" dxfId="6" priority="5" operator="lessThan">
      <formula>28</formula>
    </cfRule>
  </conditionalFormatting>
  <conditionalFormatting sqref="CB31">
    <cfRule type="cellIs" dxfId="5" priority="4" operator="lessThan">
      <formula>28</formula>
    </cfRule>
  </conditionalFormatting>
  <conditionalFormatting sqref="CB32:CB34">
    <cfRule type="cellIs" dxfId="4" priority="3" operator="lessThan">
      <formula>28</formula>
    </cfRule>
  </conditionalFormatting>
  <conditionalFormatting sqref="CB35:CB44">
    <cfRule type="cellIs" dxfId="3" priority="2" operator="lessThan">
      <formula>28</formula>
    </cfRule>
  </conditionalFormatting>
  <conditionalFormatting sqref="CB45:CB46">
    <cfRule type="cellIs" dxfId="2" priority="1" operator="lessThan">
      <formula>28</formula>
    </cfRule>
  </conditionalFormatting>
  <pageMargins left="0" right="0" top="0" bottom="0" header="0" footer="0"/>
  <pageSetup paperSize="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CW52"/>
  <sheetViews>
    <sheetView workbookViewId="0">
      <pane xSplit="2" ySplit="7" topLeftCell="C38" activePane="bottomRight" state="frozen"/>
      <selection pane="topRight" activeCell="C1" sqref="C1"/>
      <selection pane="bottomLeft" activeCell="A8" sqref="A8"/>
      <selection pane="bottomRight" activeCell="B47" sqref="B47:C49"/>
    </sheetView>
  </sheetViews>
  <sheetFormatPr defaultColWidth="5.7109375" defaultRowHeight="15"/>
  <cols>
    <col min="1" max="1" width="3.7109375" bestFit="1" customWidth="1"/>
    <col min="2" max="2" width="6" bestFit="1" customWidth="1"/>
    <col min="3" max="3" width="24.28515625" bestFit="1" customWidth="1"/>
    <col min="4" max="4" width="30.7109375" hidden="1" customWidth="1"/>
    <col min="5" max="5" width="27.7109375" hidden="1" customWidth="1"/>
    <col min="6" max="6" width="14.5703125" style="27" hidden="1" customWidth="1"/>
    <col min="7" max="16" width="3.7109375" customWidth="1"/>
    <col min="17" max="17" width="6" customWidth="1"/>
    <col min="18" max="18" width="5.140625" bestFit="1" customWidth="1"/>
    <col min="19" max="19" width="4.5703125" bestFit="1" customWidth="1"/>
    <col min="20" max="20" width="3.7109375" customWidth="1"/>
    <col min="21" max="21" width="4.85546875" customWidth="1"/>
    <col min="22" max="22" width="5.28515625" customWidth="1"/>
    <col min="23" max="25" width="3.7109375" customWidth="1"/>
    <col min="26" max="26" width="5" customWidth="1"/>
    <col min="27" max="27" width="5.28515625" customWidth="1"/>
    <col min="28" max="28" width="5.140625" bestFit="1" customWidth="1"/>
    <col min="29" max="29" width="4.5703125" bestFit="1" customWidth="1"/>
    <col min="30" max="33" width="3.7109375" customWidth="1"/>
    <col min="34" max="34" width="5.7109375" customWidth="1"/>
    <col min="35" max="35" width="3.7109375" customWidth="1"/>
    <col min="36" max="36" width="4.5703125" bestFit="1" customWidth="1"/>
    <col min="37" max="42" width="3.7109375" customWidth="1"/>
    <col min="43" max="43" width="4.5703125" bestFit="1" customWidth="1"/>
    <col min="44" max="48" width="3.7109375" customWidth="1"/>
    <col min="49" max="49" width="4.5703125" bestFit="1" customWidth="1"/>
    <col min="50" max="55" width="3.7109375" customWidth="1"/>
    <col min="56" max="56" width="4.5703125" bestFit="1" customWidth="1"/>
    <col min="57" max="62" width="3.7109375" customWidth="1"/>
    <col min="63" max="63" width="4.5703125" bestFit="1" customWidth="1"/>
    <col min="64" max="69" width="3.7109375" customWidth="1"/>
    <col min="70" max="70" width="4.5703125" bestFit="1" customWidth="1"/>
    <col min="71" max="76" width="3.7109375" customWidth="1"/>
    <col min="77" max="77" width="4.5703125" bestFit="1" customWidth="1"/>
    <col min="78" max="84" width="3.7109375" customWidth="1"/>
    <col min="85" max="86" width="5.140625" bestFit="1" customWidth="1"/>
    <col min="87" max="87" width="5" bestFit="1" customWidth="1"/>
    <col min="88" max="88" width="6.7109375" bestFit="1" customWidth="1"/>
    <col min="89" max="89" width="18.7109375" bestFit="1" customWidth="1"/>
    <col min="90" max="90" width="6.85546875" customWidth="1"/>
    <col min="91" max="91" width="8.42578125" hidden="1" customWidth="1"/>
    <col min="92" max="92" width="6.5703125" bestFit="1" customWidth="1"/>
    <col min="97" max="98" width="5.7109375" style="27"/>
    <col min="100" max="100" width="8.42578125" bestFit="1" customWidth="1"/>
    <col min="101" max="101" width="7.85546875" customWidth="1"/>
  </cols>
  <sheetData>
    <row r="1" spans="1:101" ht="20.100000000000001" customHeight="1">
      <c r="A1" s="209" t="s">
        <v>110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  <c r="Y1" s="227"/>
      <c r="Z1" s="227"/>
      <c r="AA1" s="227"/>
      <c r="AB1" s="227"/>
      <c r="AC1" s="227"/>
      <c r="AD1" s="227"/>
      <c r="AE1" s="227"/>
      <c r="AF1" s="227"/>
      <c r="AG1" s="227"/>
      <c r="AH1" s="227"/>
      <c r="AI1" s="227"/>
      <c r="AJ1" s="227"/>
      <c r="AK1" s="227"/>
      <c r="AL1" s="227"/>
      <c r="AM1" s="227"/>
      <c r="AN1" s="227"/>
      <c r="AO1" s="227"/>
      <c r="AP1" s="227"/>
      <c r="AQ1" s="227"/>
      <c r="AR1" s="227"/>
      <c r="AS1" s="227"/>
      <c r="AT1" s="227"/>
      <c r="AU1" s="227"/>
      <c r="AV1" s="227"/>
      <c r="AW1" s="227"/>
      <c r="AX1" s="227"/>
      <c r="AY1" s="227"/>
      <c r="AZ1" s="227"/>
      <c r="BA1" s="227"/>
      <c r="BB1" s="227"/>
      <c r="BC1" s="227"/>
      <c r="BD1" s="227"/>
      <c r="BE1" s="227"/>
      <c r="BF1" s="227"/>
      <c r="BG1" s="227"/>
      <c r="BH1" s="227"/>
      <c r="BI1" s="227"/>
      <c r="BJ1" s="227"/>
      <c r="BK1" s="227"/>
      <c r="BL1" s="227"/>
      <c r="BM1" s="227"/>
      <c r="BN1" s="227"/>
      <c r="BO1" s="227"/>
      <c r="BP1" s="227"/>
      <c r="BQ1" s="227"/>
      <c r="BR1" s="227"/>
      <c r="BS1" s="227"/>
      <c r="BT1" s="227"/>
      <c r="BU1" s="227"/>
      <c r="BV1" s="227"/>
      <c r="BW1" s="227"/>
      <c r="BX1" s="227"/>
      <c r="BY1" s="227"/>
      <c r="BZ1" s="227"/>
      <c r="CA1" s="227"/>
      <c r="CB1" s="227"/>
      <c r="CC1" s="227"/>
      <c r="CD1" s="227"/>
      <c r="CE1" s="227"/>
      <c r="CF1" s="227"/>
      <c r="CG1" s="227"/>
      <c r="CH1" s="227"/>
      <c r="CI1" s="227"/>
      <c r="CJ1" s="227"/>
      <c r="CK1" s="227"/>
      <c r="CL1" s="227"/>
      <c r="CM1" s="227"/>
      <c r="CN1" s="227"/>
    </row>
    <row r="2" spans="1:101" ht="20.100000000000001" customHeight="1">
      <c r="A2" s="227"/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7"/>
      <c r="U2" s="227"/>
      <c r="V2" s="227"/>
      <c r="W2" s="227"/>
      <c r="X2" s="227"/>
      <c r="Y2" s="227"/>
      <c r="Z2" s="227"/>
      <c r="AA2" s="227"/>
      <c r="AB2" s="227"/>
      <c r="AC2" s="227"/>
      <c r="AD2" s="227"/>
      <c r="AE2" s="227"/>
      <c r="AF2" s="227"/>
      <c r="AG2" s="227"/>
      <c r="AH2" s="227"/>
      <c r="AI2" s="227"/>
      <c r="AJ2" s="227"/>
      <c r="AK2" s="227"/>
      <c r="AL2" s="227"/>
      <c r="AM2" s="227"/>
      <c r="AN2" s="227"/>
      <c r="AO2" s="227"/>
      <c r="AP2" s="227"/>
      <c r="AQ2" s="227"/>
      <c r="AR2" s="227"/>
      <c r="AS2" s="227"/>
      <c r="AT2" s="227"/>
      <c r="AU2" s="227"/>
      <c r="AV2" s="227"/>
      <c r="AW2" s="227"/>
      <c r="AX2" s="227"/>
      <c r="AY2" s="227"/>
      <c r="AZ2" s="227"/>
      <c r="BA2" s="227"/>
      <c r="BB2" s="227"/>
      <c r="BC2" s="227"/>
      <c r="BD2" s="227"/>
      <c r="BE2" s="227"/>
      <c r="BF2" s="227"/>
      <c r="BG2" s="227"/>
      <c r="BH2" s="227"/>
      <c r="BI2" s="227"/>
      <c r="BJ2" s="227"/>
      <c r="BK2" s="227"/>
      <c r="BL2" s="227"/>
      <c r="BM2" s="227"/>
      <c r="BN2" s="227"/>
      <c r="BO2" s="227"/>
      <c r="BP2" s="227"/>
      <c r="BQ2" s="227"/>
      <c r="BR2" s="227"/>
      <c r="BS2" s="227"/>
      <c r="BT2" s="227"/>
      <c r="BU2" s="227"/>
      <c r="BV2" s="227"/>
      <c r="BW2" s="227"/>
      <c r="BX2" s="227"/>
      <c r="BY2" s="227"/>
      <c r="BZ2" s="227"/>
      <c r="CA2" s="227"/>
      <c r="CB2" s="227"/>
      <c r="CC2" s="227"/>
      <c r="CD2" s="227"/>
      <c r="CE2" s="227"/>
      <c r="CF2" s="227"/>
      <c r="CG2" s="227"/>
      <c r="CH2" s="227"/>
      <c r="CI2" s="227"/>
      <c r="CJ2" s="227"/>
      <c r="CK2" s="227"/>
      <c r="CL2" s="227"/>
      <c r="CM2" s="227"/>
      <c r="CN2" s="227"/>
    </row>
    <row r="3" spans="1:101" ht="20.100000000000001" customHeight="1">
      <c r="A3" s="227"/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7"/>
      <c r="U3" s="227"/>
      <c r="V3" s="227"/>
      <c r="W3" s="227"/>
      <c r="X3" s="227"/>
      <c r="Y3" s="227"/>
      <c r="Z3" s="227"/>
      <c r="AA3" s="227"/>
      <c r="AB3" s="227"/>
      <c r="AC3" s="227"/>
      <c r="AD3" s="227"/>
      <c r="AE3" s="227"/>
      <c r="AF3" s="227"/>
      <c r="AG3" s="227"/>
      <c r="AH3" s="227"/>
      <c r="AI3" s="227"/>
      <c r="AJ3" s="227"/>
      <c r="AK3" s="227"/>
      <c r="AL3" s="227"/>
      <c r="AM3" s="227"/>
      <c r="AN3" s="227"/>
      <c r="AO3" s="227"/>
      <c r="AP3" s="227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7"/>
      <c r="BC3" s="227"/>
      <c r="BD3" s="227"/>
      <c r="BE3" s="227"/>
      <c r="BF3" s="227"/>
      <c r="BG3" s="227"/>
      <c r="BH3" s="227"/>
      <c r="BI3" s="227"/>
      <c r="BJ3" s="227"/>
      <c r="BK3" s="227"/>
      <c r="BL3" s="227"/>
      <c r="BM3" s="227"/>
      <c r="BN3" s="227"/>
      <c r="BO3" s="227"/>
      <c r="BP3" s="227"/>
      <c r="BQ3" s="227"/>
      <c r="BR3" s="227"/>
      <c r="BS3" s="227"/>
      <c r="BT3" s="227"/>
      <c r="BU3" s="227"/>
      <c r="BV3" s="227"/>
      <c r="BW3" s="227"/>
      <c r="BX3" s="227"/>
      <c r="BY3" s="227"/>
      <c r="BZ3" s="227"/>
      <c r="CA3" s="227"/>
      <c r="CB3" s="227"/>
      <c r="CC3" s="227"/>
      <c r="CD3" s="227"/>
      <c r="CE3" s="227"/>
      <c r="CF3" s="227"/>
      <c r="CG3" s="227"/>
      <c r="CH3" s="227"/>
      <c r="CI3" s="227"/>
      <c r="CJ3" s="227"/>
      <c r="CK3" s="227"/>
      <c r="CL3" s="227"/>
      <c r="CM3" s="227"/>
      <c r="CN3" s="227"/>
    </row>
    <row r="4" spans="1:101" ht="20.100000000000001" customHeight="1">
      <c r="A4" s="227"/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227"/>
      <c r="Z4" s="227"/>
      <c r="AA4" s="227"/>
      <c r="AB4" s="227"/>
      <c r="AC4" s="227"/>
      <c r="AD4" s="227"/>
      <c r="AE4" s="227"/>
      <c r="AF4" s="227"/>
      <c r="AG4" s="227"/>
      <c r="AH4" s="227"/>
      <c r="AI4" s="227"/>
      <c r="AJ4" s="227"/>
      <c r="AK4" s="227"/>
      <c r="AL4" s="227"/>
      <c r="AM4" s="227"/>
      <c r="AN4" s="227"/>
      <c r="AO4" s="227"/>
      <c r="AP4" s="227"/>
      <c r="AQ4" s="227"/>
      <c r="AR4" s="227"/>
      <c r="AS4" s="227"/>
      <c r="AT4" s="227"/>
      <c r="AU4" s="227"/>
      <c r="AV4" s="227"/>
      <c r="AW4" s="227"/>
      <c r="AX4" s="227"/>
      <c r="AY4" s="227"/>
      <c r="AZ4" s="227"/>
      <c r="BA4" s="227"/>
      <c r="BB4" s="227"/>
      <c r="BC4" s="227"/>
      <c r="BD4" s="227"/>
      <c r="BE4" s="227"/>
      <c r="BF4" s="227"/>
      <c r="BG4" s="227"/>
      <c r="BH4" s="227"/>
      <c r="BI4" s="227"/>
      <c r="BJ4" s="227"/>
      <c r="BK4" s="227"/>
      <c r="BL4" s="227"/>
      <c r="BM4" s="227"/>
      <c r="BN4" s="227"/>
      <c r="BO4" s="227"/>
      <c r="BP4" s="227"/>
      <c r="BQ4" s="227"/>
      <c r="BR4" s="227"/>
      <c r="BS4" s="227"/>
      <c r="BT4" s="227"/>
      <c r="BU4" s="227"/>
      <c r="BV4" s="227"/>
      <c r="BW4" s="227"/>
      <c r="BX4" s="227"/>
      <c r="BY4" s="227"/>
      <c r="BZ4" s="227"/>
      <c r="CA4" s="227"/>
      <c r="CB4" s="227"/>
      <c r="CC4" s="227"/>
      <c r="CD4" s="227"/>
      <c r="CE4" s="227"/>
      <c r="CF4" s="227"/>
      <c r="CG4" s="227"/>
      <c r="CH4" s="227"/>
      <c r="CI4" s="227"/>
      <c r="CJ4" s="227"/>
      <c r="CK4" s="227"/>
      <c r="CL4" s="227"/>
      <c r="CM4" s="227"/>
      <c r="CN4" s="227"/>
    </row>
    <row r="5" spans="1:101" ht="20.100000000000001" customHeight="1">
      <c r="A5" s="227"/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  <c r="AB5" s="227"/>
      <c r="AC5" s="227"/>
      <c r="AD5" s="227"/>
      <c r="AE5" s="227"/>
      <c r="AF5" s="227"/>
      <c r="AG5" s="227"/>
      <c r="AH5" s="227"/>
      <c r="AI5" s="227"/>
      <c r="AJ5" s="227"/>
      <c r="AK5" s="227"/>
      <c r="AL5" s="227"/>
      <c r="AM5" s="227"/>
      <c r="AN5" s="227"/>
      <c r="AO5" s="227"/>
      <c r="AP5" s="227"/>
      <c r="AQ5" s="227"/>
      <c r="AR5" s="227"/>
      <c r="AS5" s="227"/>
      <c r="AT5" s="227"/>
      <c r="AU5" s="227"/>
      <c r="AV5" s="227"/>
      <c r="AW5" s="227"/>
      <c r="AX5" s="227"/>
      <c r="AY5" s="227"/>
      <c r="AZ5" s="227"/>
      <c r="BA5" s="227"/>
      <c r="BB5" s="227"/>
      <c r="BC5" s="227"/>
      <c r="BD5" s="227"/>
      <c r="BE5" s="227"/>
      <c r="BF5" s="227"/>
      <c r="BG5" s="227"/>
      <c r="BH5" s="227"/>
      <c r="BI5" s="227"/>
      <c r="BJ5" s="227"/>
      <c r="BK5" s="227"/>
      <c r="BL5" s="227"/>
      <c r="BM5" s="227"/>
      <c r="BN5" s="227"/>
      <c r="BO5" s="227"/>
      <c r="BP5" s="227"/>
      <c r="BQ5" s="227"/>
      <c r="BR5" s="227"/>
      <c r="BS5" s="227"/>
      <c r="BT5" s="227"/>
      <c r="BU5" s="227"/>
      <c r="BV5" s="227"/>
      <c r="BW5" s="227"/>
      <c r="BX5" s="227"/>
      <c r="BY5" s="227"/>
      <c r="BZ5" s="227"/>
      <c r="CA5" s="227"/>
      <c r="CB5" s="227"/>
      <c r="CC5" s="227"/>
      <c r="CD5" s="227"/>
      <c r="CE5" s="227"/>
      <c r="CF5" s="227"/>
      <c r="CG5" s="227"/>
      <c r="CH5" s="227"/>
      <c r="CI5" s="227"/>
      <c r="CJ5" s="227"/>
      <c r="CK5" s="227"/>
      <c r="CL5" s="227"/>
      <c r="CM5" s="227"/>
      <c r="CN5" s="227"/>
      <c r="CO5" s="236" t="s">
        <v>100</v>
      </c>
      <c r="CP5" s="237"/>
      <c r="CQ5" s="237"/>
      <c r="CR5" s="237"/>
      <c r="CS5" s="238"/>
    </row>
    <row r="6" spans="1:101" s="20" customFormat="1" ht="23.1" customHeight="1">
      <c r="A6" s="228" t="s">
        <v>11</v>
      </c>
      <c r="B6" s="228" t="s">
        <v>0</v>
      </c>
      <c r="C6" s="228" t="s">
        <v>16</v>
      </c>
      <c r="D6" s="228" t="s">
        <v>21</v>
      </c>
      <c r="E6" s="228" t="s">
        <v>15</v>
      </c>
      <c r="F6" s="230" t="s">
        <v>18</v>
      </c>
      <c r="G6" s="219" t="s">
        <v>20</v>
      </c>
      <c r="H6" s="219"/>
      <c r="I6" s="219"/>
      <c r="J6" s="219"/>
      <c r="K6" s="215" t="s">
        <v>72</v>
      </c>
      <c r="L6" s="219" t="s">
        <v>19</v>
      </c>
      <c r="M6" s="219"/>
      <c r="N6" s="219"/>
      <c r="O6" s="219"/>
      <c r="P6" s="215" t="s">
        <v>72</v>
      </c>
      <c r="Q6" s="217" t="s">
        <v>1</v>
      </c>
      <c r="R6" s="216" t="s">
        <v>22</v>
      </c>
      <c r="S6" s="217" t="s">
        <v>2</v>
      </c>
      <c r="T6" s="219" t="s">
        <v>12</v>
      </c>
      <c r="U6" s="219"/>
      <c r="V6" s="219"/>
      <c r="W6" s="219"/>
      <c r="X6" s="219"/>
      <c r="Y6" s="219"/>
      <c r="Z6" s="215" t="s">
        <v>72</v>
      </c>
      <c r="AA6" s="215" t="s">
        <v>1</v>
      </c>
      <c r="AB6" s="216" t="s">
        <v>22</v>
      </c>
      <c r="AC6" s="217" t="s">
        <v>2</v>
      </c>
      <c r="AD6" s="219" t="s">
        <v>45</v>
      </c>
      <c r="AE6" s="219"/>
      <c r="AF6" s="219"/>
      <c r="AG6" s="219"/>
      <c r="AH6" s="217" t="s">
        <v>1</v>
      </c>
      <c r="AI6" s="216" t="s">
        <v>22</v>
      </c>
      <c r="AJ6" s="217" t="s">
        <v>2</v>
      </c>
      <c r="AK6" s="219" t="s">
        <v>3</v>
      </c>
      <c r="AL6" s="219"/>
      <c r="AM6" s="219"/>
      <c r="AN6" s="219"/>
      <c r="AO6" s="215" t="s">
        <v>72</v>
      </c>
      <c r="AP6" s="216" t="s">
        <v>22</v>
      </c>
      <c r="AQ6" s="217" t="s">
        <v>2</v>
      </c>
      <c r="AR6" s="219" t="s">
        <v>4</v>
      </c>
      <c r="AS6" s="219"/>
      <c r="AT6" s="219"/>
      <c r="AU6" s="218" t="s">
        <v>1</v>
      </c>
      <c r="AV6" s="216" t="s">
        <v>22</v>
      </c>
      <c r="AW6" s="217" t="s">
        <v>2</v>
      </c>
      <c r="AX6" s="219" t="s">
        <v>52</v>
      </c>
      <c r="AY6" s="219"/>
      <c r="AZ6" s="219"/>
      <c r="BA6" s="219"/>
      <c r="BB6" s="243" t="s">
        <v>1</v>
      </c>
      <c r="BC6" s="216" t="s">
        <v>22</v>
      </c>
      <c r="BD6" s="217" t="s">
        <v>2</v>
      </c>
      <c r="BE6" s="219" t="s">
        <v>53</v>
      </c>
      <c r="BF6" s="219"/>
      <c r="BG6" s="219"/>
      <c r="BH6" s="219"/>
      <c r="BI6" s="217" t="s">
        <v>1</v>
      </c>
      <c r="BJ6" s="216" t="s">
        <v>22</v>
      </c>
      <c r="BK6" s="217" t="s">
        <v>2</v>
      </c>
      <c r="BL6" s="243" t="s">
        <v>54</v>
      </c>
      <c r="BM6" s="243"/>
      <c r="BN6" s="243"/>
      <c r="BO6" s="243"/>
      <c r="BP6" s="217" t="s">
        <v>1</v>
      </c>
      <c r="BQ6" s="216" t="s">
        <v>22</v>
      </c>
      <c r="BR6" s="217" t="s">
        <v>2</v>
      </c>
      <c r="BS6" s="222" t="s">
        <v>10</v>
      </c>
      <c r="BT6" s="219"/>
      <c r="BU6" s="219"/>
      <c r="BV6" s="219"/>
      <c r="BW6" s="217" t="s">
        <v>1</v>
      </c>
      <c r="BX6" s="216" t="s">
        <v>22</v>
      </c>
      <c r="BY6" s="217" t="s">
        <v>2</v>
      </c>
      <c r="BZ6" s="219" t="s">
        <v>38</v>
      </c>
      <c r="CA6" s="219"/>
      <c r="CB6" s="219"/>
      <c r="CC6" s="219"/>
      <c r="CD6" s="219"/>
      <c r="CE6" s="217" t="s">
        <v>1</v>
      </c>
      <c r="CF6" s="216" t="s">
        <v>22</v>
      </c>
      <c r="CG6" s="220" t="s">
        <v>71</v>
      </c>
      <c r="CH6" s="217" t="s">
        <v>2</v>
      </c>
      <c r="CI6" s="217" t="s">
        <v>5</v>
      </c>
      <c r="CJ6" s="217" t="s">
        <v>6</v>
      </c>
      <c r="CK6" s="217" t="s">
        <v>46</v>
      </c>
      <c r="CL6" s="216" t="s">
        <v>47</v>
      </c>
      <c r="CM6" s="214" t="s">
        <v>55</v>
      </c>
      <c r="CN6" s="215" t="s">
        <v>48</v>
      </c>
      <c r="CO6" s="239" t="s">
        <v>101</v>
      </c>
      <c r="CP6" s="239" t="s">
        <v>102</v>
      </c>
      <c r="CQ6" s="239" t="s">
        <v>103</v>
      </c>
      <c r="CR6" s="240" t="s">
        <v>104</v>
      </c>
      <c r="CS6" s="241" t="s">
        <v>101</v>
      </c>
      <c r="CT6" s="241" t="s">
        <v>102</v>
      </c>
      <c r="CU6" s="241" t="s">
        <v>103</v>
      </c>
      <c r="CV6" s="249" t="s">
        <v>104</v>
      </c>
      <c r="CW6" s="247" t="s">
        <v>105</v>
      </c>
    </row>
    <row r="7" spans="1:101" s="21" customFormat="1" ht="26.25" customHeight="1">
      <c r="A7" s="228"/>
      <c r="B7" s="228"/>
      <c r="C7" s="228"/>
      <c r="D7" s="228"/>
      <c r="E7" s="228"/>
      <c r="F7" s="230"/>
      <c r="G7" s="82" t="s">
        <v>17</v>
      </c>
      <c r="H7" s="82" t="s">
        <v>7</v>
      </c>
      <c r="I7" s="66" t="s">
        <v>70</v>
      </c>
      <c r="J7" s="82" t="s">
        <v>8</v>
      </c>
      <c r="K7" s="217"/>
      <c r="L7" s="82" t="s">
        <v>17</v>
      </c>
      <c r="M7" s="82" t="s">
        <v>7</v>
      </c>
      <c r="N7" s="66" t="s">
        <v>70</v>
      </c>
      <c r="O7" s="82" t="s">
        <v>8</v>
      </c>
      <c r="P7" s="217"/>
      <c r="Q7" s="217"/>
      <c r="R7" s="218"/>
      <c r="S7" s="217"/>
      <c r="T7" s="82" t="s">
        <v>17</v>
      </c>
      <c r="U7" s="82" t="s">
        <v>13</v>
      </c>
      <c r="V7" s="67" t="s">
        <v>97</v>
      </c>
      <c r="W7" s="82" t="s">
        <v>17</v>
      </c>
      <c r="X7" s="82" t="s">
        <v>14</v>
      </c>
      <c r="Y7" s="67" t="s">
        <v>97</v>
      </c>
      <c r="Z7" s="217"/>
      <c r="AA7" s="217"/>
      <c r="AB7" s="218"/>
      <c r="AC7" s="217"/>
      <c r="AD7" s="82" t="s">
        <v>17</v>
      </c>
      <c r="AE7" s="82" t="s">
        <v>7</v>
      </c>
      <c r="AF7" s="66" t="s">
        <v>70</v>
      </c>
      <c r="AG7" s="82" t="s">
        <v>8</v>
      </c>
      <c r="AH7" s="217"/>
      <c r="AI7" s="218"/>
      <c r="AJ7" s="217"/>
      <c r="AK7" s="82" t="s">
        <v>17</v>
      </c>
      <c r="AL7" s="82" t="s">
        <v>7</v>
      </c>
      <c r="AM7" s="66" t="s">
        <v>70</v>
      </c>
      <c r="AN7" s="82" t="s">
        <v>8</v>
      </c>
      <c r="AO7" s="217"/>
      <c r="AP7" s="218"/>
      <c r="AQ7" s="217"/>
      <c r="AR7" s="82" t="s">
        <v>17</v>
      </c>
      <c r="AS7" s="82" t="s">
        <v>8</v>
      </c>
      <c r="AT7" s="82" t="s">
        <v>9</v>
      </c>
      <c r="AU7" s="218"/>
      <c r="AV7" s="218"/>
      <c r="AW7" s="217"/>
      <c r="AX7" s="82" t="s">
        <v>17</v>
      </c>
      <c r="AY7" s="82" t="s">
        <v>7</v>
      </c>
      <c r="AZ7" s="82" t="s">
        <v>70</v>
      </c>
      <c r="BA7" s="82" t="s">
        <v>8</v>
      </c>
      <c r="BB7" s="243"/>
      <c r="BC7" s="218"/>
      <c r="BD7" s="217"/>
      <c r="BE7" s="82" t="s">
        <v>17</v>
      </c>
      <c r="BF7" s="82" t="s">
        <v>7</v>
      </c>
      <c r="BG7" s="66" t="s">
        <v>70</v>
      </c>
      <c r="BH7" s="82" t="s">
        <v>8</v>
      </c>
      <c r="BI7" s="217"/>
      <c r="BJ7" s="216"/>
      <c r="BK7" s="217"/>
      <c r="BL7" s="82" t="s">
        <v>17</v>
      </c>
      <c r="BM7" s="82" t="s">
        <v>7</v>
      </c>
      <c r="BN7" s="66" t="s">
        <v>70</v>
      </c>
      <c r="BO7" s="82" t="s">
        <v>8</v>
      </c>
      <c r="BP7" s="217"/>
      <c r="BQ7" s="216"/>
      <c r="BR7" s="217"/>
      <c r="BS7" s="82" t="s">
        <v>17</v>
      </c>
      <c r="BT7" s="82" t="s">
        <v>7</v>
      </c>
      <c r="BU7" s="82" t="s">
        <v>70</v>
      </c>
      <c r="BV7" s="82" t="s">
        <v>8</v>
      </c>
      <c r="BW7" s="217"/>
      <c r="BX7" s="216"/>
      <c r="BY7" s="217"/>
      <c r="BZ7" s="82" t="s">
        <v>17</v>
      </c>
      <c r="CA7" s="82" t="s">
        <v>7</v>
      </c>
      <c r="CB7" s="82" t="s">
        <v>70</v>
      </c>
      <c r="CC7" s="82" t="s">
        <v>8</v>
      </c>
      <c r="CD7" s="82" t="s">
        <v>9</v>
      </c>
      <c r="CE7" s="217"/>
      <c r="CF7" s="216"/>
      <c r="CG7" s="221"/>
      <c r="CH7" s="217"/>
      <c r="CI7" s="217"/>
      <c r="CJ7" s="217"/>
      <c r="CK7" s="217"/>
      <c r="CL7" s="216"/>
      <c r="CM7" s="214"/>
      <c r="CN7" s="215"/>
      <c r="CO7" s="239"/>
      <c r="CP7" s="239"/>
      <c r="CQ7" s="239"/>
      <c r="CR7" s="240"/>
      <c r="CS7" s="242"/>
      <c r="CT7" s="242"/>
      <c r="CU7" s="242"/>
      <c r="CV7" s="250"/>
      <c r="CW7" s="248"/>
    </row>
    <row r="8" spans="1:101" ht="24.95" customHeight="1">
      <c r="A8" s="19">
        <v>1</v>
      </c>
      <c r="B8" s="47">
        <v>42</v>
      </c>
      <c r="C8" s="48" t="s">
        <v>111</v>
      </c>
      <c r="D8" s="48" t="s">
        <v>112</v>
      </c>
      <c r="E8" s="48" t="s">
        <v>113</v>
      </c>
      <c r="F8" s="49" t="s">
        <v>114</v>
      </c>
      <c r="G8" s="127">
        <v>13</v>
      </c>
      <c r="H8" s="127">
        <v>15</v>
      </c>
      <c r="I8" s="127">
        <f>G8+H8</f>
        <v>28</v>
      </c>
      <c r="J8" s="127">
        <v>12</v>
      </c>
      <c r="K8" s="128">
        <f>I8+J8</f>
        <v>40</v>
      </c>
      <c r="L8" s="127">
        <v>16</v>
      </c>
      <c r="M8" s="127">
        <v>23</v>
      </c>
      <c r="N8" s="127">
        <f>L8+M8</f>
        <v>39</v>
      </c>
      <c r="O8" s="127">
        <v>15</v>
      </c>
      <c r="P8" s="128">
        <f>N8+O8</f>
        <v>54</v>
      </c>
      <c r="Q8" s="128">
        <f t="shared" ref="Q8:Q49" si="0">K8+P8</f>
        <v>94</v>
      </c>
      <c r="R8" s="244">
        <f>MAX(Q8:Q49)</f>
        <v>125</v>
      </c>
      <c r="S8" s="129">
        <f>IF(I8+N8&lt;56,"F",IF(J8+O8&lt;24,"F",IF(Q8&lt;80,"F",IF(Q8&lt;100,2,IF(Q8&lt;120,3,IF(Q8&lt;140,3.5,IF(Q8&lt;160,4,5)))))))</f>
        <v>2</v>
      </c>
      <c r="T8" s="130">
        <v>18</v>
      </c>
      <c r="U8" s="130">
        <v>26</v>
      </c>
      <c r="V8" s="130">
        <f t="shared" ref="V8:V49" si="1">U8+T8</f>
        <v>44</v>
      </c>
      <c r="W8" s="130">
        <v>15</v>
      </c>
      <c r="X8" s="130">
        <v>34</v>
      </c>
      <c r="Y8" s="128">
        <f>X8+W8</f>
        <v>49</v>
      </c>
      <c r="Z8" s="128">
        <f t="shared" ref="Z8:Z49" si="2">V8+Y8</f>
        <v>93</v>
      </c>
      <c r="AA8" s="128">
        <f>Z8</f>
        <v>93</v>
      </c>
      <c r="AB8" s="244">
        <f>MAX(AA8:AA49)</f>
        <v>116</v>
      </c>
      <c r="AC8" s="129">
        <f>IF(AA8&lt;80,"F",IF(AA8&lt;100,2,IF(AA8&lt;120,3,IF(AA8&lt;140,3.5,IF(AA8&lt;160,4,5)))))</f>
        <v>2</v>
      </c>
      <c r="AD8" s="127">
        <v>17</v>
      </c>
      <c r="AE8" s="127">
        <v>36</v>
      </c>
      <c r="AF8" s="127">
        <f t="shared" ref="AF8:AF49" si="3">AE8+AD8</f>
        <v>53</v>
      </c>
      <c r="AG8" s="127">
        <v>15</v>
      </c>
      <c r="AH8" s="128">
        <f>AF8+AG8</f>
        <v>68</v>
      </c>
      <c r="AI8" s="244">
        <f>MAX(AH8:AH49)</f>
        <v>73</v>
      </c>
      <c r="AJ8" s="129">
        <f>IF(AF8&lt;28,"F",IF(AG8&lt;12,"F",IF(AH8&lt;40,"F",IF(AH8&lt;50,2,IF(AH8&lt;60,3,IF(AH8&lt;70,3.5,IF(AH8&lt;80,4,5)))))))</f>
        <v>3.5</v>
      </c>
      <c r="AK8" s="127">
        <v>18</v>
      </c>
      <c r="AL8" s="127">
        <v>20</v>
      </c>
      <c r="AM8" s="127">
        <f t="shared" ref="AM8:AM49" si="4">AL8+AK8</f>
        <v>38</v>
      </c>
      <c r="AN8" s="127">
        <v>15</v>
      </c>
      <c r="AO8" s="128">
        <f>AM8+AN8</f>
        <v>53</v>
      </c>
      <c r="AP8" s="244">
        <f>MAX(AO8:AO49)</f>
        <v>62</v>
      </c>
      <c r="AQ8" s="129">
        <f>IF(AM8&lt;28,"F",IF(AN8&lt;12,"F",IF(AO8&lt;40,"F",IF(AO8&lt;50,2,IF(AO8&lt;60,3,IF(AO8&lt;70,3.5,IF(AO8&lt;80,4,5)))))))</f>
        <v>3</v>
      </c>
      <c r="AR8" s="128"/>
      <c r="AS8" s="128">
        <v>20</v>
      </c>
      <c r="AT8" s="127">
        <v>24</v>
      </c>
      <c r="AU8" s="128">
        <f>SUM(AR8:AT8)</f>
        <v>44</v>
      </c>
      <c r="AV8" s="244">
        <f>MAX(AU8:AU39)</f>
        <v>46</v>
      </c>
      <c r="AW8" s="129">
        <f t="shared" ref="AW8:AW49" si="5">IF(AS8&lt;10,"F",IF(AT8&lt;10,"F",IF(AU8&lt;20,"F",IF(AU8&lt;25,2,IF(AU8&lt;30,3,IF(AU8&lt;35,3.5,IF(AU8&lt;40,4,5)))))))</f>
        <v>5</v>
      </c>
      <c r="AX8" s="143">
        <v>16</v>
      </c>
      <c r="AY8" s="127">
        <v>29</v>
      </c>
      <c r="AZ8" s="128">
        <f>SUM(AX8:AY8)</f>
        <v>45</v>
      </c>
      <c r="BA8" s="127">
        <v>13</v>
      </c>
      <c r="BB8" s="128">
        <f>SUM(AZ8+BA8)</f>
        <v>58</v>
      </c>
      <c r="BC8" s="244">
        <f>MAX(BB8:BB39)</f>
        <v>72</v>
      </c>
      <c r="BD8" s="129">
        <f>IF(AZ8&lt;28,"F",IF(BA8&lt;12,"F",IF(BB8&lt;40,"F",IF(BB8&lt;50,2,IF(BB8&lt;60,3,IF(BB8&lt;70,3.5,IF(BB8&lt;80,4,5)))))))</f>
        <v>3</v>
      </c>
      <c r="BE8" s="127">
        <v>17</v>
      </c>
      <c r="BF8" s="127">
        <v>28</v>
      </c>
      <c r="BG8" s="128">
        <f>SUM(BE8:BF8)</f>
        <v>45</v>
      </c>
      <c r="BH8" s="127">
        <v>20</v>
      </c>
      <c r="BI8" s="128">
        <f>SUM(BG8:BH8)</f>
        <v>65</v>
      </c>
      <c r="BJ8" s="244">
        <f>MAX(BI8:BI39)</f>
        <v>77</v>
      </c>
      <c r="BK8" s="129">
        <f>IF(BG8&lt;28,"F",IF(BH8&lt;12,"F",IF(BI8&lt;40,"F",IF(BI8&lt;50,2,IF(BI8&lt;60,3,IF(BI8&lt;70,3.5,IF(BI8&lt;80,4,5)))))))</f>
        <v>3.5</v>
      </c>
      <c r="BL8" s="127">
        <v>18</v>
      </c>
      <c r="BM8" s="127">
        <v>32</v>
      </c>
      <c r="BN8" s="128">
        <f>SUM(BL8:BM8)</f>
        <v>50</v>
      </c>
      <c r="BO8" s="127">
        <v>21</v>
      </c>
      <c r="BP8" s="128">
        <f>SUM(BN8:BO8)</f>
        <v>71</v>
      </c>
      <c r="BQ8" s="244">
        <f>MAX(BP8:BP39)</f>
        <v>80</v>
      </c>
      <c r="BR8" s="129">
        <f>IF(BN8&lt;28,"F",IF(BO8&lt;12,"F",IF(BP8&lt;40,"F",IF(BP8&lt;50,2,IF(BP8&lt;60,3,IF(BP8&lt;70,3.5,IF(BP8&lt;80,4,5)))))))</f>
        <v>4</v>
      </c>
      <c r="BS8" s="127">
        <v>19</v>
      </c>
      <c r="BT8" s="127">
        <v>29</v>
      </c>
      <c r="BU8" s="128">
        <f>SUM(BS8:BT8)</f>
        <v>48</v>
      </c>
      <c r="BV8" s="127">
        <v>20</v>
      </c>
      <c r="BW8" s="128">
        <f>BU8+BV8</f>
        <v>68</v>
      </c>
      <c r="BX8" s="244">
        <f>MAX(BW8:BW39)</f>
        <v>68</v>
      </c>
      <c r="BY8" s="129">
        <f>IF(BU8&lt;28,"F",IF(BV8&lt;12,"F",IF(BW8&lt;40,"F",IF(BW8&lt;50,2,IF(BW8&lt;60,3,IF(BW8&lt;70,3.5,IF(BW8&lt;80,4,5)))))))</f>
        <v>3.5</v>
      </c>
      <c r="BZ8" s="127">
        <v>8</v>
      </c>
      <c r="CA8" s="127">
        <v>16</v>
      </c>
      <c r="CB8" s="128">
        <f>SUM(BZ8:CA8)</f>
        <v>24</v>
      </c>
      <c r="CC8" s="127">
        <v>17</v>
      </c>
      <c r="CD8" s="127">
        <v>25</v>
      </c>
      <c r="CE8" s="128">
        <f>CB8+CC8+CD8</f>
        <v>66</v>
      </c>
      <c r="CF8" s="244">
        <f>MAX(CE8:CE39)</f>
        <v>82</v>
      </c>
      <c r="CG8" s="129">
        <f>IF(CB8&lt;20,"0",IF(CC8&lt;10,"0",IF(CD8&lt;10,"0",IF(CE8&lt;40,"0",IF(CE8&lt;50,2,IF(CE8&lt;60,3,IF(CE8&lt;70,3.5,IF(CE8&lt;80,4,5))))))))</f>
        <v>3.5</v>
      </c>
      <c r="CH8" s="129">
        <f>IF(CB8&lt;20,"F",IF(CC8&lt;10,"F",IF(CD8&lt;10,"F",IF(CE8&lt;40,"F",IF(CE8&lt;50,2,IF(CE8&lt;60,3,IF(CE8&lt;70,3.5,IF(CE8&lt;80,4,5))))))))</f>
        <v>3.5</v>
      </c>
      <c r="CI8" s="128">
        <f t="shared" ref="CI8:CI49" si="6">IF(S8="F","F",IF(AC8="F","F",IF(AJ8="F","F",IF(AQ8="F","F",IF(BD8="F","F",IF(BK8="F","F",IF(BR8="F","F",IF(BY8="F","F",IF(CG8="F","F",IF(AW8="F","F", IF(CG8&lt;2,SUM(S8,AC8,AJ8,AQ8,AW8,BD8,BK8,BR8,BY8,CG8),IF(CG8&gt;=2,SUM(S8,AC8,AJ8,AQ8,BD8,BK8,AW8,BR8,BY8,CG8-2)))))))))))))</f>
        <v>31</v>
      </c>
      <c r="CJ8" s="131">
        <f>IF(CI8="F","F",IF(CI8&gt;=45,5,IF(CI8&lt;45,CI8/9)))</f>
        <v>3.4444444444444446</v>
      </c>
      <c r="CK8" s="79" t="str">
        <f>IF(CJ8="F","NEED TO PROGRESS",IF(CJ8&gt;=5,"BEST",IF(CJ8&gt;=4,"BETTER",IF(CJ8&gt;=2,"GOOD"))))</f>
        <v>GOOD</v>
      </c>
      <c r="CL8" s="79">
        <f>Q8+AA8+AH8+AO8+AU8+BB8+BI8+BP8+BW8+CE8</f>
        <v>680</v>
      </c>
      <c r="CM8" s="79"/>
      <c r="CN8" s="79"/>
      <c r="CO8" s="41">
        <f>'1ST_SEMESTER'!CL15</f>
        <v>624</v>
      </c>
      <c r="CP8" s="41">
        <f>'2ND_SEMESTER'!CL18</f>
        <v>628</v>
      </c>
      <c r="CQ8" s="41">
        <f>CL8</f>
        <v>680</v>
      </c>
      <c r="CR8" s="41">
        <f>AVERAGE(CO8:CQ8)</f>
        <v>644</v>
      </c>
      <c r="CS8" s="168">
        <f>'1ST_SEMESTER'!CJ9</f>
        <v>3.6111111111111112</v>
      </c>
      <c r="CT8" s="169">
        <f>'2ND_SEMESTER'!CJ8</f>
        <v>3.9444444444444446</v>
      </c>
      <c r="CU8" s="169">
        <f>CJ8</f>
        <v>3.4444444444444446</v>
      </c>
      <c r="CV8" s="169">
        <f>AVERAGE(CS8:CU8)</f>
        <v>3.6666666666666665</v>
      </c>
      <c r="CW8" s="170"/>
    </row>
    <row r="9" spans="1:101" ht="24.95" customHeight="1">
      <c r="A9" s="46">
        <v>2</v>
      </c>
      <c r="B9" s="47">
        <v>46</v>
      </c>
      <c r="C9" s="50" t="s">
        <v>115</v>
      </c>
      <c r="D9" s="50" t="s">
        <v>116</v>
      </c>
      <c r="E9" s="50" t="s">
        <v>117</v>
      </c>
      <c r="F9" s="51" t="s">
        <v>118</v>
      </c>
      <c r="G9" s="127">
        <v>11</v>
      </c>
      <c r="H9" s="127">
        <v>19</v>
      </c>
      <c r="I9" s="127">
        <f t="shared" ref="I9:I49" si="7">G9+H9</f>
        <v>30</v>
      </c>
      <c r="J9" s="127">
        <v>12</v>
      </c>
      <c r="K9" s="128">
        <f t="shared" ref="K9:K49" si="8">I9+J9</f>
        <v>42</v>
      </c>
      <c r="L9" s="127">
        <v>17</v>
      </c>
      <c r="M9" s="127">
        <v>25</v>
      </c>
      <c r="N9" s="127">
        <f t="shared" ref="N9:N49" si="9">L9+M9</f>
        <v>42</v>
      </c>
      <c r="O9" s="127">
        <v>12</v>
      </c>
      <c r="P9" s="128">
        <f t="shared" ref="P9:P49" si="10">N9+O9</f>
        <v>54</v>
      </c>
      <c r="Q9" s="128">
        <f t="shared" si="0"/>
        <v>96</v>
      </c>
      <c r="R9" s="245"/>
      <c r="S9" s="129">
        <f t="shared" ref="S9:S49" si="11">IF(I9+N9&lt;56,"F",IF(J9+O9&lt;24,"F",IF(Q9&lt;80,"F",IF(Q9&lt;100,2,IF(Q9&lt;120,3,IF(Q9&lt;140,3.5,IF(Q9&lt;160,4,5)))))))</f>
        <v>2</v>
      </c>
      <c r="T9" s="130">
        <v>15</v>
      </c>
      <c r="U9" s="130">
        <v>25</v>
      </c>
      <c r="V9" s="130">
        <f t="shared" si="1"/>
        <v>40</v>
      </c>
      <c r="W9" s="130">
        <v>12</v>
      </c>
      <c r="X9" s="130">
        <v>35</v>
      </c>
      <c r="Y9" s="128">
        <f t="shared" ref="Y9:Y49" si="12">X9+W9</f>
        <v>47</v>
      </c>
      <c r="Z9" s="128">
        <f t="shared" si="2"/>
        <v>87</v>
      </c>
      <c r="AA9" s="128">
        <f t="shared" ref="AA9:AA49" si="13">Z9</f>
        <v>87</v>
      </c>
      <c r="AB9" s="245"/>
      <c r="AC9" s="129">
        <f t="shared" ref="AC9:AC49" si="14">IF(AA9&lt;80,"F",IF(AA9&lt;100,2,IF(AA9&lt;120,3,IF(AA9&lt;140,3.5,IF(AA9&lt;160,4,5)))))</f>
        <v>2</v>
      </c>
      <c r="AD9" s="127">
        <v>10</v>
      </c>
      <c r="AE9" s="127">
        <v>30</v>
      </c>
      <c r="AF9" s="127">
        <f t="shared" si="3"/>
        <v>40</v>
      </c>
      <c r="AG9" s="127">
        <v>13</v>
      </c>
      <c r="AH9" s="128">
        <f t="shared" ref="AH9:AH49" si="15">AF9+AG9</f>
        <v>53</v>
      </c>
      <c r="AI9" s="245"/>
      <c r="AJ9" s="129">
        <f t="shared" ref="AJ9:AJ26" si="16">IF(AF9&lt;28,"F",IF(AG9&lt;12,"F",IF(AH9&lt;40,"F",IF(AH9&lt;50,2,IF(AH9&lt;60,3,IF(AH9&lt;70,3.5,IF(AH9&lt;80,4,5)))))))</f>
        <v>3</v>
      </c>
      <c r="AK9" s="127">
        <v>19</v>
      </c>
      <c r="AL9" s="127">
        <v>27</v>
      </c>
      <c r="AM9" s="127">
        <f t="shared" si="4"/>
        <v>46</v>
      </c>
      <c r="AN9" s="127">
        <v>15</v>
      </c>
      <c r="AO9" s="128">
        <f t="shared" ref="AO9:AO49" si="17">AM9+AN9</f>
        <v>61</v>
      </c>
      <c r="AP9" s="245"/>
      <c r="AQ9" s="129">
        <f t="shared" ref="AQ9:AQ49" si="18">IF(AM9&lt;28,"F",IF(AN9&lt;12,"F",IF(AO9&lt;40,"F",IF(AO9&lt;50,2,IF(AO9&lt;60,3,IF(AO9&lt;70,3.5,IF(AO9&lt;80,4,5)))))))</f>
        <v>3.5</v>
      </c>
      <c r="AR9" s="128"/>
      <c r="AS9" s="128">
        <v>20</v>
      </c>
      <c r="AT9" s="127">
        <v>24</v>
      </c>
      <c r="AU9" s="128">
        <f t="shared" ref="AU9:AU49" si="19">SUM(AR9:AT9)</f>
        <v>44</v>
      </c>
      <c r="AV9" s="245"/>
      <c r="AW9" s="129">
        <f t="shared" si="5"/>
        <v>5</v>
      </c>
      <c r="AX9" s="143">
        <v>13</v>
      </c>
      <c r="AY9" s="127">
        <v>41</v>
      </c>
      <c r="AZ9" s="128">
        <f t="shared" ref="AZ9:AZ49" si="20">SUM(AX9:AY9)</f>
        <v>54</v>
      </c>
      <c r="BA9" s="127">
        <v>12</v>
      </c>
      <c r="BB9" s="128">
        <f t="shared" ref="BB9:BB49" si="21">SUM(AZ9+BA9)</f>
        <v>66</v>
      </c>
      <c r="BC9" s="245"/>
      <c r="BD9" s="129">
        <f t="shared" ref="BD9:BD49" si="22">IF(AZ9&lt;28,"F",IF(BA9&lt;12,"F",IF(BB9&lt;40,"F",IF(BB9&lt;50,2,IF(BB9&lt;60,3,IF(BB9&lt;70,3.5,IF(BB9&lt;80,4,5)))))))</f>
        <v>3.5</v>
      </c>
      <c r="BE9" s="127">
        <v>17</v>
      </c>
      <c r="BF9" s="127">
        <v>30</v>
      </c>
      <c r="BG9" s="128">
        <f t="shared" ref="BG9:BG49" si="23">SUM(BE9:BF9)</f>
        <v>47</v>
      </c>
      <c r="BH9" s="127">
        <v>20</v>
      </c>
      <c r="BI9" s="128">
        <f t="shared" ref="BI9:BI49" si="24">SUM(BG9:BH9)</f>
        <v>67</v>
      </c>
      <c r="BJ9" s="245"/>
      <c r="BK9" s="129">
        <f t="shared" ref="BK9:BK49" si="25">IF(BG9&lt;28,"F",IF(BH9&lt;12,"F",IF(BI9&lt;40,"F",IF(BI9&lt;50,2,IF(BI9&lt;60,3,IF(BI9&lt;70,3.5,IF(BI9&lt;80,4,5)))))))</f>
        <v>3.5</v>
      </c>
      <c r="BL9" s="127">
        <v>17</v>
      </c>
      <c r="BM9" s="127">
        <v>32</v>
      </c>
      <c r="BN9" s="128">
        <f t="shared" ref="BN9:BN49" si="26">SUM(BL9:BM9)</f>
        <v>49</v>
      </c>
      <c r="BO9" s="127">
        <v>18</v>
      </c>
      <c r="BP9" s="128">
        <f t="shared" ref="BP9:BP49" si="27">SUM(BN9:BO9)</f>
        <v>67</v>
      </c>
      <c r="BQ9" s="245"/>
      <c r="BR9" s="129">
        <f t="shared" ref="BR9:BR49" si="28">IF(BN9&lt;28,"F",IF(BO9&lt;12,"F",IF(BP9&lt;40,"F",IF(BP9&lt;50,2,IF(BP9&lt;60,3,IF(BP9&lt;70,3.5,IF(BP9&lt;80,4,5)))))))</f>
        <v>3.5</v>
      </c>
      <c r="BS9" s="127">
        <v>15</v>
      </c>
      <c r="BT9" s="127">
        <v>26</v>
      </c>
      <c r="BU9" s="128">
        <f t="shared" ref="BU9:BU49" si="29">SUM(BS9:BT9)</f>
        <v>41</v>
      </c>
      <c r="BV9" s="127">
        <v>16</v>
      </c>
      <c r="BW9" s="128">
        <f t="shared" ref="BW9:BW49" si="30">BU9+BV9</f>
        <v>57</v>
      </c>
      <c r="BX9" s="245"/>
      <c r="BY9" s="129">
        <f t="shared" ref="BY9:BY49" si="31">IF(BU9&lt;28,"F",IF(BV9&lt;12,"F",IF(BW9&lt;40,"F",IF(BW9&lt;50,2,IF(BW9&lt;60,3,IF(BW9&lt;70,3.5,IF(BW9&lt;80,4,5)))))))</f>
        <v>3</v>
      </c>
      <c r="BZ9" s="127">
        <v>7</v>
      </c>
      <c r="CA9" s="127">
        <v>22</v>
      </c>
      <c r="CB9" s="128">
        <f t="shared" ref="CB9:CB49" si="32">SUM(BZ9:CA9)</f>
        <v>29</v>
      </c>
      <c r="CC9" s="127">
        <v>17</v>
      </c>
      <c r="CD9" s="127">
        <v>25</v>
      </c>
      <c r="CE9" s="128">
        <f t="shared" ref="CE9:CE49" si="33">CB9+CC9+CD9</f>
        <v>71</v>
      </c>
      <c r="CF9" s="245"/>
      <c r="CG9" s="129">
        <f t="shared" ref="CG9:CG49" si="34">IF(CB9&lt;20,"0",IF(CC9&lt;10,"0",IF(CD9&lt;10,"0",IF(CE9&lt;40,"0",IF(CE9&lt;50,2,IF(CE9&lt;60,3,IF(CE9&lt;70,3.5,IF(CE9&lt;80,4,5))))))))</f>
        <v>4</v>
      </c>
      <c r="CH9" s="129">
        <f t="shared" ref="CH9:CH49" si="35">IF(CB9&lt;20,"F",IF(CC9&lt;10,"F",IF(CD9&lt;10,"F",IF(CE9&lt;40,"F",IF(CE9&lt;50,2,IF(CE9&lt;60,3,IF(CE9&lt;70,3.5,IF(CE9&lt;80,4,5))))))))</f>
        <v>4</v>
      </c>
      <c r="CI9" s="128">
        <f t="shared" si="6"/>
        <v>31</v>
      </c>
      <c r="CJ9" s="131">
        <f t="shared" ref="CJ9:CJ49" si="36">IF(CI9="F","F",IF(CI9&gt;=45,5,IF(CI9&lt;45,CI9/9)))</f>
        <v>3.4444444444444446</v>
      </c>
      <c r="CK9" s="126" t="str">
        <f t="shared" ref="CK9:CK49" si="37">IF(CJ9="F","NEED TO PROGRESS",IF(CJ9&gt;=5,"BEST",IF(CJ9&gt;=4,"BETTER",IF(CJ9&gt;=2,"GOOD"))))</f>
        <v>GOOD</v>
      </c>
      <c r="CL9" s="126">
        <f t="shared" ref="CL9:CL49" si="38">Q9+AA9+AH9+AO9+AU9+BB9+BI9+BP9+BW9+CE9</f>
        <v>669</v>
      </c>
      <c r="CM9" s="79"/>
      <c r="CN9" s="79"/>
      <c r="CO9" s="41">
        <f>'1ST_SEMESTER'!CL16</f>
        <v>549</v>
      </c>
      <c r="CP9" s="41">
        <f>'2ND_SEMESTER'!CL19</f>
        <v>604</v>
      </c>
      <c r="CQ9" s="41">
        <f t="shared" ref="CQ9:CQ49" si="39">CL9</f>
        <v>669</v>
      </c>
      <c r="CR9" s="41">
        <f t="shared" ref="CR9:CR49" si="40">AVERAGE(CO9:CQ9)</f>
        <v>607.33333333333337</v>
      </c>
      <c r="CS9" s="168" t="str">
        <f>'1ST_SEMESTER'!CJ10</f>
        <v>F</v>
      </c>
      <c r="CT9" s="169">
        <f>'2ND_SEMESTER'!CJ9</f>
        <v>3.5</v>
      </c>
      <c r="CU9" s="169">
        <f t="shared" ref="CU9:CU49" si="41">CJ9</f>
        <v>3.4444444444444446</v>
      </c>
      <c r="CV9" s="169">
        <f t="shared" ref="CV9:CV49" si="42">AVERAGE(CS9:CU9)</f>
        <v>3.4722222222222223</v>
      </c>
      <c r="CW9" s="170"/>
    </row>
    <row r="10" spans="1:101" ht="24.95" customHeight="1">
      <c r="A10" s="46">
        <v>3</v>
      </c>
      <c r="B10" s="47">
        <v>47</v>
      </c>
      <c r="C10" s="48" t="s">
        <v>119</v>
      </c>
      <c r="D10" s="48" t="s">
        <v>120</v>
      </c>
      <c r="E10" s="48" t="s">
        <v>121</v>
      </c>
      <c r="F10" s="49" t="s">
        <v>122</v>
      </c>
      <c r="G10" s="127">
        <v>11</v>
      </c>
      <c r="H10" s="127">
        <v>22</v>
      </c>
      <c r="I10" s="127">
        <f t="shared" si="7"/>
        <v>33</v>
      </c>
      <c r="J10" s="127">
        <v>13</v>
      </c>
      <c r="K10" s="128">
        <f t="shared" si="8"/>
        <v>46</v>
      </c>
      <c r="L10" s="127">
        <v>16</v>
      </c>
      <c r="M10" s="127">
        <v>26</v>
      </c>
      <c r="N10" s="127">
        <f t="shared" si="9"/>
        <v>42</v>
      </c>
      <c r="O10" s="127">
        <v>12</v>
      </c>
      <c r="P10" s="128">
        <f t="shared" si="10"/>
        <v>54</v>
      </c>
      <c r="Q10" s="128">
        <f t="shared" si="0"/>
        <v>100</v>
      </c>
      <c r="R10" s="245"/>
      <c r="S10" s="129">
        <f t="shared" si="11"/>
        <v>3</v>
      </c>
      <c r="T10" s="130">
        <v>13</v>
      </c>
      <c r="U10" s="130">
        <v>32</v>
      </c>
      <c r="V10" s="130">
        <f t="shared" si="1"/>
        <v>45</v>
      </c>
      <c r="W10" s="130">
        <v>15</v>
      </c>
      <c r="X10" s="130">
        <v>35</v>
      </c>
      <c r="Y10" s="128">
        <f t="shared" si="12"/>
        <v>50</v>
      </c>
      <c r="Z10" s="128">
        <f t="shared" si="2"/>
        <v>95</v>
      </c>
      <c r="AA10" s="128">
        <f t="shared" si="13"/>
        <v>95</v>
      </c>
      <c r="AB10" s="245"/>
      <c r="AC10" s="129">
        <f t="shared" si="14"/>
        <v>2</v>
      </c>
      <c r="AD10" s="127">
        <v>17</v>
      </c>
      <c r="AE10" s="127">
        <v>44</v>
      </c>
      <c r="AF10" s="127">
        <f t="shared" si="3"/>
        <v>61</v>
      </c>
      <c r="AG10" s="127">
        <v>12</v>
      </c>
      <c r="AH10" s="128">
        <f t="shared" si="15"/>
        <v>73</v>
      </c>
      <c r="AI10" s="245"/>
      <c r="AJ10" s="129">
        <f t="shared" si="16"/>
        <v>4</v>
      </c>
      <c r="AK10" s="127">
        <v>18</v>
      </c>
      <c r="AL10" s="127">
        <v>23</v>
      </c>
      <c r="AM10" s="127">
        <f t="shared" si="4"/>
        <v>41</v>
      </c>
      <c r="AN10" s="127">
        <v>19</v>
      </c>
      <c r="AO10" s="128">
        <f t="shared" si="17"/>
        <v>60</v>
      </c>
      <c r="AP10" s="245"/>
      <c r="AQ10" s="129">
        <f t="shared" si="18"/>
        <v>3.5</v>
      </c>
      <c r="AR10" s="128"/>
      <c r="AS10" s="128">
        <v>15</v>
      </c>
      <c r="AT10" s="127">
        <v>24</v>
      </c>
      <c r="AU10" s="128">
        <f t="shared" si="19"/>
        <v>39</v>
      </c>
      <c r="AV10" s="245"/>
      <c r="AW10" s="129">
        <f t="shared" si="5"/>
        <v>4</v>
      </c>
      <c r="AX10" s="143">
        <v>15</v>
      </c>
      <c r="AY10" s="127">
        <v>33</v>
      </c>
      <c r="AZ10" s="128">
        <f t="shared" si="20"/>
        <v>48</v>
      </c>
      <c r="BA10" s="127">
        <v>17</v>
      </c>
      <c r="BB10" s="128">
        <f t="shared" si="21"/>
        <v>65</v>
      </c>
      <c r="BC10" s="245"/>
      <c r="BD10" s="129">
        <f t="shared" si="22"/>
        <v>3.5</v>
      </c>
      <c r="BE10" s="127">
        <v>17</v>
      </c>
      <c r="BF10" s="127">
        <v>29</v>
      </c>
      <c r="BG10" s="128">
        <f t="shared" si="23"/>
        <v>46</v>
      </c>
      <c r="BH10" s="127">
        <v>15</v>
      </c>
      <c r="BI10" s="128">
        <f t="shared" si="24"/>
        <v>61</v>
      </c>
      <c r="BJ10" s="245"/>
      <c r="BK10" s="129">
        <f t="shared" si="25"/>
        <v>3.5</v>
      </c>
      <c r="BL10" s="127">
        <v>14</v>
      </c>
      <c r="BM10" s="127">
        <v>31</v>
      </c>
      <c r="BN10" s="128">
        <f t="shared" si="26"/>
        <v>45</v>
      </c>
      <c r="BO10" s="127">
        <v>22</v>
      </c>
      <c r="BP10" s="128">
        <f t="shared" si="27"/>
        <v>67</v>
      </c>
      <c r="BQ10" s="245"/>
      <c r="BR10" s="129">
        <f t="shared" si="28"/>
        <v>3.5</v>
      </c>
      <c r="BS10" s="127">
        <v>15</v>
      </c>
      <c r="BT10" s="127">
        <v>29</v>
      </c>
      <c r="BU10" s="128">
        <f t="shared" si="29"/>
        <v>44</v>
      </c>
      <c r="BV10" s="127">
        <v>18</v>
      </c>
      <c r="BW10" s="128">
        <f t="shared" si="30"/>
        <v>62</v>
      </c>
      <c r="BX10" s="245"/>
      <c r="BY10" s="129">
        <f t="shared" si="31"/>
        <v>3.5</v>
      </c>
      <c r="BZ10" s="127">
        <v>7</v>
      </c>
      <c r="CA10" s="127">
        <v>22</v>
      </c>
      <c r="CB10" s="128">
        <f t="shared" si="32"/>
        <v>29</v>
      </c>
      <c r="CC10" s="127">
        <v>15</v>
      </c>
      <c r="CD10" s="127">
        <v>25</v>
      </c>
      <c r="CE10" s="128">
        <f t="shared" si="33"/>
        <v>69</v>
      </c>
      <c r="CF10" s="245"/>
      <c r="CG10" s="129">
        <f t="shared" si="34"/>
        <v>3.5</v>
      </c>
      <c r="CH10" s="129">
        <f t="shared" si="35"/>
        <v>3.5</v>
      </c>
      <c r="CI10" s="128">
        <f t="shared" si="6"/>
        <v>32</v>
      </c>
      <c r="CJ10" s="131">
        <f t="shared" si="36"/>
        <v>3.5555555555555554</v>
      </c>
      <c r="CK10" s="126" t="str">
        <f t="shared" si="37"/>
        <v>GOOD</v>
      </c>
      <c r="CL10" s="126">
        <f t="shared" si="38"/>
        <v>691</v>
      </c>
      <c r="CM10" s="79"/>
      <c r="CN10" s="79"/>
      <c r="CO10" s="41">
        <f>'1ST_SEMESTER'!CL17</f>
        <v>542</v>
      </c>
      <c r="CP10" s="41">
        <f>'2ND_SEMESTER'!CL20</f>
        <v>607</v>
      </c>
      <c r="CQ10" s="41">
        <f t="shared" si="39"/>
        <v>691</v>
      </c>
      <c r="CR10" s="41">
        <f t="shared" si="40"/>
        <v>613.33333333333337</v>
      </c>
      <c r="CS10" s="168">
        <f>'1ST_SEMESTER'!CJ11</f>
        <v>3.3888888888888888</v>
      </c>
      <c r="CT10" s="169">
        <f>'2ND_SEMESTER'!CJ10</f>
        <v>3.7222222222222223</v>
      </c>
      <c r="CU10" s="169">
        <f t="shared" si="41"/>
        <v>3.5555555555555554</v>
      </c>
      <c r="CV10" s="169">
        <f t="shared" si="42"/>
        <v>3.5555555555555554</v>
      </c>
      <c r="CW10" s="170"/>
    </row>
    <row r="11" spans="1:101" ht="24.95" customHeight="1">
      <c r="A11" s="46">
        <v>4</v>
      </c>
      <c r="B11" s="47">
        <v>49</v>
      </c>
      <c r="C11" s="50" t="s">
        <v>123</v>
      </c>
      <c r="D11" s="52" t="s">
        <v>124</v>
      </c>
      <c r="E11" s="50" t="s">
        <v>125</v>
      </c>
      <c r="F11" s="53" t="s">
        <v>126</v>
      </c>
      <c r="G11" s="127">
        <v>13</v>
      </c>
      <c r="H11" s="127">
        <v>21</v>
      </c>
      <c r="I11" s="127">
        <f t="shared" si="7"/>
        <v>34</v>
      </c>
      <c r="J11" s="127">
        <v>12</v>
      </c>
      <c r="K11" s="128">
        <f t="shared" si="8"/>
        <v>46</v>
      </c>
      <c r="L11" s="127">
        <v>16</v>
      </c>
      <c r="M11" s="127">
        <v>32</v>
      </c>
      <c r="N11" s="127">
        <f t="shared" si="9"/>
        <v>48</v>
      </c>
      <c r="O11" s="127">
        <v>20</v>
      </c>
      <c r="P11" s="128">
        <f t="shared" si="10"/>
        <v>68</v>
      </c>
      <c r="Q11" s="128">
        <f t="shared" si="0"/>
        <v>114</v>
      </c>
      <c r="R11" s="245"/>
      <c r="S11" s="129">
        <f t="shared" si="11"/>
        <v>3</v>
      </c>
      <c r="T11" s="130">
        <v>13</v>
      </c>
      <c r="U11" s="130">
        <v>40</v>
      </c>
      <c r="V11" s="130">
        <f t="shared" si="1"/>
        <v>53</v>
      </c>
      <c r="W11" s="130">
        <v>12</v>
      </c>
      <c r="X11" s="130">
        <v>39</v>
      </c>
      <c r="Y11" s="128">
        <f t="shared" si="12"/>
        <v>51</v>
      </c>
      <c r="Z11" s="128">
        <f t="shared" si="2"/>
        <v>104</v>
      </c>
      <c r="AA11" s="128">
        <f t="shared" si="13"/>
        <v>104</v>
      </c>
      <c r="AB11" s="245"/>
      <c r="AC11" s="129">
        <f t="shared" si="14"/>
        <v>3</v>
      </c>
      <c r="AD11" s="127">
        <v>10</v>
      </c>
      <c r="AE11" s="127">
        <v>30</v>
      </c>
      <c r="AF11" s="127">
        <f t="shared" si="3"/>
        <v>40</v>
      </c>
      <c r="AG11" s="127">
        <v>12</v>
      </c>
      <c r="AH11" s="128">
        <f t="shared" si="15"/>
        <v>52</v>
      </c>
      <c r="AI11" s="245"/>
      <c r="AJ11" s="129">
        <f t="shared" si="16"/>
        <v>3</v>
      </c>
      <c r="AK11" s="127">
        <v>15</v>
      </c>
      <c r="AL11" s="127">
        <v>27</v>
      </c>
      <c r="AM11" s="127">
        <f t="shared" si="4"/>
        <v>42</v>
      </c>
      <c r="AN11" s="127">
        <v>20</v>
      </c>
      <c r="AO11" s="128">
        <f t="shared" si="17"/>
        <v>62</v>
      </c>
      <c r="AP11" s="245"/>
      <c r="AQ11" s="129">
        <f t="shared" si="18"/>
        <v>3.5</v>
      </c>
      <c r="AR11" s="128"/>
      <c r="AS11" s="128">
        <v>20</v>
      </c>
      <c r="AT11" s="127">
        <v>24</v>
      </c>
      <c r="AU11" s="128">
        <f t="shared" si="19"/>
        <v>44</v>
      </c>
      <c r="AV11" s="245"/>
      <c r="AW11" s="129">
        <f t="shared" si="5"/>
        <v>5</v>
      </c>
      <c r="AX11" s="143">
        <v>18</v>
      </c>
      <c r="AY11" s="127">
        <v>36</v>
      </c>
      <c r="AZ11" s="128">
        <f t="shared" si="20"/>
        <v>54</v>
      </c>
      <c r="BA11" s="127">
        <v>18</v>
      </c>
      <c r="BB11" s="128">
        <f t="shared" si="21"/>
        <v>72</v>
      </c>
      <c r="BC11" s="245"/>
      <c r="BD11" s="129">
        <f t="shared" si="22"/>
        <v>4</v>
      </c>
      <c r="BE11" s="127">
        <v>18</v>
      </c>
      <c r="BF11" s="127">
        <v>39</v>
      </c>
      <c r="BG11" s="128">
        <f t="shared" si="23"/>
        <v>57</v>
      </c>
      <c r="BH11" s="127">
        <v>20</v>
      </c>
      <c r="BI11" s="128">
        <f t="shared" si="24"/>
        <v>77</v>
      </c>
      <c r="BJ11" s="245"/>
      <c r="BK11" s="129">
        <f t="shared" si="25"/>
        <v>4</v>
      </c>
      <c r="BL11" s="127">
        <v>16</v>
      </c>
      <c r="BM11" s="127">
        <v>39</v>
      </c>
      <c r="BN11" s="128">
        <f t="shared" si="26"/>
        <v>55</v>
      </c>
      <c r="BO11" s="127">
        <v>25</v>
      </c>
      <c r="BP11" s="128">
        <f t="shared" si="27"/>
        <v>80</v>
      </c>
      <c r="BQ11" s="245"/>
      <c r="BR11" s="129">
        <f t="shared" si="28"/>
        <v>5</v>
      </c>
      <c r="BS11" s="127">
        <v>18</v>
      </c>
      <c r="BT11" s="127">
        <v>26</v>
      </c>
      <c r="BU11" s="128">
        <f t="shared" si="29"/>
        <v>44</v>
      </c>
      <c r="BV11" s="127">
        <v>20</v>
      </c>
      <c r="BW11" s="128">
        <f t="shared" si="30"/>
        <v>64</v>
      </c>
      <c r="BX11" s="245"/>
      <c r="BY11" s="129">
        <f t="shared" si="31"/>
        <v>3.5</v>
      </c>
      <c r="BZ11" s="127">
        <v>7</v>
      </c>
      <c r="CA11" s="127">
        <v>28</v>
      </c>
      <c r="CB11" s="128">
        <f t="shared" si="32"/>
        <v>35</v>
      </c>
      <c r="CC11" s="127">
        <v>21</v>
      </c>
      <c r="CD11" s="127">
        <v>25</v>
      </c>
      <c r="CE11" s="128">
        <f t="shared" si="33"/>
        <v>81</v>
      </c>
      <c r="CF11" s="245"/>
      <c r="CG11" s="129">
        <f t="shared" si="34"/>
        <v>5</v>
      </c>
      <c r="CH11" s="129">
        <f t="shared" si="35"/>
        <v>5</v>
      </c>
      <c r="CI11" s="128">
        <f t="shared" si="6"/>
        <v>37</v>
      </c>
      <c r="CJ11" s="131">
        <f t="shared" si="36"/>
        <v>4.1111111111111107</v>
      </c>
      <c r="CK11" s="126" t="str">
        <f t="shared" si="37"/>
        <v>BETTER</v>
      </c>
      <c r="CL11" s="126">
        <f t="shared" si="38"/>
        <v>750</v>
      </c>
      <c r="CM11" s="79"/>
      <c r="CN11" s="79"/>
      <c r="CO11" s="41">
        <f>'1ST_SEMESTER'!CL18</f>
        <v>544</v>
      </c>
      <c r="CP11" s="41">
        <f>'2ND_SEMESTER'!CL21</f>
        <v>509</v>
      </c>
      <c r="CQ11" s="41">
        <f t="shared" si="39"/>
        <v>750</v>
      </c>
      <c r="CR11" s="41">
        <f t="shared" si="40"/>
        <v>601</v>
      </c>
      <c r="CS11" s="168" t="str">
        <f>'1ST_SEMESTER'!CJ12</f>
        <v>F</v>
      </c>
      <c r="CT11" s="169">
        <f>'2ND_SEMESTER'!CJ11</f>
        <v>3.6666666666666665</v>
      </c>
      <c r="CU11" s="169">
        <f t="shared" si="41"/>
        <v>4.1111111111111107</v>
      </c>
      <c r="CV11" s="169">
        <f t="shared" si="42"/>
        <v>3.8888888888888884</v>
      </c>
      <c r="CW11" s="170"/>
    </row>
    <row r="12" spans="1:101" ht="24.95" customHeight="1">
      <c r="A12" s="46">
        <v>5</v>
      </c>
      <c r="B12" s="47">
        <v>51</v>
      </c>
      <c r="C12" s="50" t="s">
        <v>127</v>
      </c>
      <c r="D12" s="50" t="s">
        <v>128</v>
      </c>
      <c r="E12" s="50" t="s">
        <v>129</v>
      </c>
      <c r="F12" s="51" t="s">
        <v>130</v>
      </c>
      <c r="G12" s="127">
        <v>13</v>
      </c>
      <c r="H12" s="127">
        <v>21</v>
      </c>
      <c r="I12" s="127">
        <f t="shared" si="7"/>
        <v>34</v>
      </c>
      <c r="J12" s="127">
        <v>12</v>
      </c>
      <c r="K12" s="128">
        <f t="shared" si="8"/>
        <v>46</v>
      </c>
      <c r="L12" s="127">
        <v>16</v>
      </c>
      <c r="M12" s="127">
        <v>34</v>
      </c>
      <c r="N12" s="127">
        <f t="shared" si="9"/>
        <v>50</v>
      </c>
      <c r="O12" s="127">
        <v>23</v>
      </c>
      <c r="P12" s="128">
        <f t="shared" si="10"/>
        <v>73</v>
      </c>
      <c r="Q12" s="128">
        <f t="shared" si="0"/>
        <v>119</v>
      </c>
      <c r="R12" s="245"/>
      <c r="S12" s="129">
        <f t="shared" si="11"/>
        <v>3</v>
      </c>
      <c r="T12" s="130">
        <v>16</v>
      </c>
      <c r="U12" s="130">
        <v>32</v>
      </c>
      <c r="V12" s="130">
        <f t="shared" si="1"/>
        <v>48</v>
      </c>
      <c r="W12" s="130">
        <v>15</v>
      </c>
      <c r="X12" s="130">
        <v>34</v>
      </c>
      <c r="Y12" s="128">
        <f t="shared" si="12"/>
        <v>49</v>
      </c>
      <c r="Z12" s="128">
        <f t="shared" si="2"/>
        <v>97</v>
      </c>
      <c r="AA12" s="128">
        <f t="shared" si="13"/>
        <v>97</v>
      </c>
      <c r="AB12" s="245"/>
      <c r="AC12" s="129">
        <f t="shared" si="14"/>
        <v>2</v>
      </c>
      <c r="AD12" s="127">
        <v>10</v>
      </c>
      <c r="AE12" s="127">
        <v>23</v>
      </c>
      <c r="AF12" s="127">
        <f t="shared" si="3"/>
        <v>33</v>
      </c>
      <c r="AG12" s="127">
        <v>12</v>
      </c>
      <c r="AH12" s="128">
        <f t="shared" si="15"/>
        <v>45</v>
      </c>
      <c r="AI12" s="245"/>
      <c r="AJ12" s="129">
        <f t="shared" si="16"/>
        <v>2</v>
      </c>
      <c r="AK12" s="127">
        <v>15</v>
      </c>
      <c r="AL12" s="127">
        <v>16</v>
      </c>
      <c r="AM12" s="127">
        <f t="shared" si="4"/>
        <v>31</v>
      </c>
      <c r="AN12" s="127">
        <v>21</v>
      </c>
      <c r="AO12" s="128">
        <f t="shared" si="17"/>
        <v>52</v>
      </c>
      <c r="AP12" s="245"/>
      <c r="AQ12" s="129">
        <f t="shared" si="18"/>
        <v>3</v>
      </c>
      <c r="AR12" s="128"/>
      <c r="AS12" s="128">
        <v>17</v>
      </c>
      <c r="AT12" s="127">
        <v>24</v>
      </c>
      <c r="AU12" s="128">
        <f t="shared" si="19"/>
        <v>41</v>
      </c>
      <c r="AV12" s="245"/>
      <c r="AW12" s="129">
        <f t="shared" si="5"/>
        <v>5</v>
      </c>
      <c r="AX12" s="143">
        <v>14</v>
      </c>
      <c r="AY12" s="127">
        <v>28</v>
      </c>
      <c r="AZ12" s="128">
        <f t="shared" si="20"/>
        <v>42</v>
      </c>
      <c r="BA12" s="127">
        <v>21</v>
      </c>
      <c r="BB12" s="128">
        <f t="shared" si="21"/>
        <v>63</v>
      </c>
      <c r="BC12" s="245"/>
      <c r="BD12" s="129">
        <f t="shared" si="22"/>
        <v>3.5</v>
      </c>
      <c r="BE12" s="127">
        <v>16</v>
      </c>
      <c r="BF12" s="127">
        <v>26</v>
      </c>
      <c r="BG12" s="128">
        <f t="shared" si="23"/>
        <v>42</v>
      </c>
      <c r="BH12" s="127">
        <v>20</v>
      </c>
      <c r="BI12" s="128">
        <f t="shared" si="24"/>
        <v>62</v>
      </c>
      <c r="BJ12" s="245"/>
      <c r="BK12" s="129">
        <f t="shared" si="25"/>
        <v>3.5</v>
      </c>
      <c r="BL12" s="127">
        <v>16</v>
      </c>
      <c r="BM12" s="127">
        <v>29</v>
      </c>
      <c r="BN12" s="128">
        <f t="shared" si="26"/>
        <v>45</v>
      </c>
      <c r="BO12" s="127">
        <v>26</v>
      </c>
      <c r="BP12" s="128">
        <f t="shared" si="27"/>
        <v>71</v>
      </c>
      <c r="BQ12" s="245"/>
      <c r="BR12" s="129">
        <f t="shared" si="28"/>
        <v>4</v>
      </c>
      <c r="BS12" s="127">
        <v>16</v>
      </c>
      <c r="BT12" s="127">
        <v>20</v>
      </c>
      <c r="BU12" s="128">
        <f t="shared" si="29"/>
        <v>36</v>
      </c>
      <c r="BV12" s="127">
        <v>16</v>
      </c>
      <c r="BW12" s="128">
        <f t="shared" si="30"/>
        <v>52</v>
      </c>
      <c r="BX12" s="245"/>
      <c r="BY12" s="129">
        <f t="shared" si="31"/>
        <v>3</v>
      </c>
      <c r="BZ12" s="127">
        <v>7</v>
      </c>
      <c r="CA12" s="127">
        <v>18</v>
      </c>
      <c r="CB12" s="128">
        <f t="shared" si="32"/>
        <v>25</v>
      </c>
      <c r="CC12" s="127">
        <v>21</v>
      </c>
      <c r="CD12" s="127">
        <v>25</v>
      </c>
      <c r="CE12" s="128">
        <f t="shared" si="33"/>
        <v>71</v>
      </c>
      <c r="CF12" s="245"/>
      <c r="CG12" s="129">
        <f t="shared" si="34"/>
        <v>4</v>
      </c>
      <c r="CH12" s="129">
        <f t="shared" si="35"/>
        <v>4</v>
      </c>
      <c r="CI12" s="128">
        <f t="shared" si="6"/>
        <v>31</v>
      </c>
      <c r="CJ12" s="131">
        <f t="shared" si="36"/>
        <v>3.4444444444444446</v>
      </c>
      <c r="CK12" s="126" t="str">
        <f t="shared" si="37"/>
        <v>GOOD</v>
      </c>
      <c r="CL12" s="126">
        <f t="shared" si="38"/>
        <v>673</v>
      </c>
      <c r="CM12" s="79"/>
      <c r="CN12" s="79"/>
      <c r="CO12" s="41">
        <f>'1ST_SEMESTER'!CL19</f>
        <v>556</v>
      </c>
      <c r="CP12" s="41">
        <f>'2ND_SEMESTER'!CL22</f>
        <v>638</v>
      </c>
      <c r="CQ12" s="41">
        <f t="shared" si="39"/>
        <v>673</v>
      </c>
      <c r="CR12" s="41">
        <f t="shared" si="40"/>
        <v>622.33333333333337</v>
      </c>
      <c r="CS12" s="168" t="str">
        <f>'1ST_SEMESTER'!CJ13</f>
        <v>F</v>
      </c>
      <c r="CT12" s="169">
        <f>'2ND_SEMESTER'!CJ12</f>
        <v>3.3888888888888888</v>
      </c>
      <c r="CU12" s="169">
        <f t="shared" si="41"/>
        <v>3.4444444444444446</v>
      </c>
      <c r="CV12" s="169">
        <f t="shared" si="42"/>
        <v>3.416666666666667</v>
      </c>
      <c r="CW12" s="170"/>
    </row>
    <row r="13" spans="1:101" ht="24.95" customHeight="1">
      <c r="A13" s="46">
        <v>6</v>
      </c>
      <c r="B13" s="47">
        <v>55</v>
      </c>
      <c r="C13" s="50" t="s">
        <v>131</v>
      </c>
      <c r="D13" s="50" t="s">
        <v>132</v>
      </c>
      <c r="E13" s="50" t="s">
        <v>133</v>
      </c>
      <c r="F13" s="51" t="s">
        <v>134</v>
      </c>
      <c r="G13" s="127">
        <v>13</v>
      </c>
      <c r="H13" s="127">
        <v>22</v>
      </c>
      <c r="I13" s="127">
        <f t="shared" si="7"/>
        <v>35</v>
      </c>
      <c r="J13" s="127">
        <v>13</v>
      </c>
      <c r="K13" s="128">
        <f t="shared" si="8"/>
        <v>48</v>
      </c>
      <c r="L13" s="127">
        <v>18</v>
      </c>
      <c r="M13" s="127">
        <v>31</v>
      </c>
      <c r="N13" s="127">
        <f t="shared" si="9"/>
        <v>49</v>
      </c>
      <c r="O13" s="127">
        <v>18</v>
      </c>
      <c r="P13" s="128">
        <f t="shared" si="10"/>
        <v>67</v>
      </c>
      <c r="Q13" s="128">
        <f t="shared" si="0"/>
        <v>115</v>
      </c>
      <c r="R13" s="245"/>
      <c r="S13" s="129">
        <f t="shared" si="11"/>
        <v>3</v>
      </c>
      <c r="T13" s="130">
        <v>12</v>
      </c>
      <c r="U13" s="130">
        <v>32</v>
      </c>
      <c r="V13" s="130">
        <f t="shared" si="1"/>
        <v>44</v>
      </c>
      <c r="W13" s="130">
        <v>18</v>
      </c>
      <c r="X13" s="130">
        <v>36</v>
      </c>
      <c r="Y13" s="128">
        <f t="shared" si="12"/>
        <v>54</v>
      </c>
      <c r="Z13" s="128">
        <f t="shared" si="2"/>
        <v>98</v>
      </c>
      <c r="AA13" s="128">
        <f t="shared" si="13"/>
        <v>98</v>
      </c>
      <c r="AB13" s="245"/>
      <c r="AC13" s="129">
        <f t="shared" si="14"/>
        <v>2</v>
      </c>
      <c r="AD13" s="127">
        <v>12</v>
      </c>
      <c r="AE13" s="127">
        <v>35</v>
      </c>
      <c r="AF13" s="127">
        <f t="shared" si="3"/>
        <v>47</v>
      </c>
      <c r="AG13" s="127">
        <v>13</v>
      </c>
      <c r="AH13" s="128">
        <f t="shared" si="15"/>
        <v>60</v>
      </c>
      <c r="AI13" s="245"/>
      <c r="AJ13" s="129">
        <f t="shared" si="16"/>
        <v>3.5</v>
      </c>
      <c r="AK13" s="127">
        <v>16</v>
      </c>
      <c r="AL13" s="127">
        <v>27</v>
      </c>
      <c r="AM13" s="127">
        <f t="shared" si="4"/>
        <v>43</v>
      </c>
      <c r="AN13" s="127">
        <v>15</v>
      </c>
      <c r="AO13" s="128">
        <f t="shared" si="17"/>
        <v>58</v>
      </c>
      <c r="AP13" s="245"/>
      <c r="AQ13" s="129">
        <f t="shared" si="18"/>
        <v>3</v>
      </c>
      <c r="AR13" s="128"/>
      <c r="AS13" s="128">
        <v>19</v>
      </c>
      <c r="AT13" s="127">
        <v>24</v>
      </c>
      <c r="AU13" s="128">
        <f t="shared" si="19"/>
        <v>43</v>
      </c>
      <c r="AV13" s="245"/>
      <c r="AW13" s="129">
        <f t="shared" si="5"/>
        <v>5</v>
      </c>
      <c r="AX13" s="143">
        <v>17</v>
      </c>
      <c r="AY13" s="127">
        <v>31</v>
      </c>
      <c r="AZ13" s="128">
        <f t="shared" si="20"/>
        <v>48</v>
      </c>
      <c r="BA13" s="127">
        <v>14</v>
      </c>
      <c r="BB13" s="128">
        <f t="shared" si="21"/>
        <v>62</v>
      </c>
      <c r="BC13" s="245"/>
      <c r="BD13" s="129">
        <f t="shared" si="22"/>
        <v>3.5</v>
      </c>
      <c r="BE13" s="127">
        <v>18</v>
      </c>
      <c r="BF13" s="127">
        <v>36</v>
      </c>
      <c r="BG13" s="128">
        <f t="shared" si="23"/>
        <v>54</v>
      </c>
      <c r="BH13" s="127">
        <v>19</v>
      </c>
      <c r="BI13" s="128">
        <f t="shared" si="24"/>
        <v>73</v>
      </c>
      <c r="BJ13" s="245"/>
      <c r="BK13" s="129">
        <f t="shared" si="25"/>
        <v>4</v>
      </c>
      <c r="BL13" s="127">
        <v>19</v>
      </c>
      <c r="BM13" s="127">
        <v>31</v>
      </c>
      <c r="BN13" s="128">
        <f t="shared" si="26"/>
        <v>50</v>
      </c>
      <c r="BO13" s="127">
        <v>26</v>
      </c>
      <c r="BP13" s="128">
        <f t="shared" si="27"/>
        <v>76</v>
      </c>
      <c r="BQ13" s="245"/>
      <c r="BR13" s="129">
        <f t="shared" si="28"/>
        <v>4</v>
      </c>
      <c r="BS13" s="127">
        <v>16</v>
      </c>
      <c r="BT13" s="127">
        <v>20</v>
      </c>
      <c r="BU13" s="128">
        <f>SUM(BS13:BT13)</f>
        <v>36</v>
      </c>
      <c r="BV13" s="127">
        <v>13</v>
      </c>
      <c r="BW13" s="128">
        <f t="shared" si="30"/>
        <v>49</v>
      </c>
      <c r="BX13" s="245"/>
      <c r="BY13" s="129">
        <f t="shared" si="31"/>
        <v>2</v>
      </c>
      <c r="BZ13" s="127">
        <v>8</v>
      </c>
      <c r="CA13" s="127">
        <v>24</v>
      </c>
      <c r="CB13" s="128">
        <f t="shared" si="32"/>
        <v>32</v>
      </c>
      <c r="CC13" s="127">
        <v>21</v>
      </c>
      <c r="CD13" s="127">
        <v>25</v>
      </c>
      <c r="CE13" s="128">
        <f t="shared" si="33"/>
        <v>78</v>
      </c>
      <c r="CF13" s="245"/>
      <c r="CG13" s="129">
        <f t="shared" si="34"/>
        <v>4</v>
      </c>
      <c r="CH13" s="129">
        <f t="shared" si="35"/>
        <v>4</v>
      </c>
      <c r="CI13" s="128">
        <f t="shared" si="6"/>
        <v>32</v>
      </c>
      <c r="CJ13" s="131">
        <f t="shared" si="36"/>
        <v>3.5555555555555554</v>
      </c>
      <c r="CK13" s="126" t="str">
        <f t="shared" si="37"/>
        <v>GOOD</v>
      </c>
      <c r="CL13" s="126">
        <f t="shared" si="38"/>
        <v>712</v>
      </c>
      <c r="CM13" s="79"/>
      <c r="CN13" s="79"/>
      <c r="CO13" s="41">
        <f>'1ST_SEMESTER'!CL20</f>
        <v>545</v>
      </c>
      <c r="CP13" s="41">
        <f>'2ND_SEMESTER'!CL23</f>
        <v>421</v>
      </c>
      <c r="CQ13" s="41">
        <f t="shared" si="39"/>
        <v>712</v>
      </c>
      <c r="CR13" s="41">
        <f t="shared" si="40"/>
        <v>559.33333333333337</v>
      </c>
      <c r="CS13" s="168" t="str">
        <f>'1ST_SEMESTER'!CJ14</f>
        <v>F</v>
      </c>
      <c r="CT13" s="169">
        <f>'2ND_SEMESTER'!CJ13</f>
        <v>3.2777777777777777</v>
      </c>
      <c r="CU13" s="169">
        <f t="shared" si="41"/>
        <v>3.5555555555555554</v>
      </c>
      <c r="CV13" s="169">
        <f t="shared" si="42"/>
        <v>3.4166666666666665</v>
      </c>
      <c r="CW13" s="170"/>
    </row>
    <row r="14" spans="1:101" ht="24.95" customHeight="1">
      <c r="A14" s="46">
        <v>7</v>
      </c>
      <c r="B14" s="47">
        <v>57</v>
      </c>
      <c r="C14" s="48" t="s">
        <v>135</v>
      </c>
      <c r="D14" s="48" t="s">
        <v>136</v>
      </c>
      <c r="E14" s="48" t="s">
        <v>137</v>
      </c>
      <c r="F14" s="49" t="s">
        <v>138</v>
      </c>
      <c r="G14" s="127">
        <v>14</v>
      </c>
      <c r="H14" s="127">
        <v>20</v>
      </c>
      <c r="I14" s="127">
        <f t="shared" si="7"/>
        <v>34</v>
      </c>
      <c r="J14" s="127">
        <v>15</v>
      </c>
      <c r="K14" s="128">
        <f t="shared" si="8"/>
        <v>49</v>
      </c>
      <c r="L14" s="127">
        <v>19</v>
      </c>
      <c r="M14" s="127">
        <v>17</v>
      </c>
      <c r="N14" s="127">
        <f t="shared" si="9"/>
        <v>36</v>
      </c>
      <c r="O14" s="127">
        <v>22</v>
      </c>
      <c r="P14" s="128">
        <f t="shared" si="10"/>
        <v>58</v>
      </c>
      <c r="Q14" s="128">
        <f t="shared" si="0"/>
        <v>107</v>
      </c>
      <c r="R14" s="245"/>
      <c r="S14" s="129">
        <f t="shared" si="11"/>
        <v>3</v>
      </c>
      <c r="T14" s="130">
        <v>11</v>
      </c>
      <c r="U14" s="130">
        <v>30</v>
      </c>
      <c r="V14" s="130">
        <f t="shared" si="1"/>
        <v>41</v>
      </c>
      <c r="W14" s="130">
        <v>18</v>
      </c>
      <c r="X14" s="130">
        <v>45</v>
      </c>
      <c r="Y14" s="128">
        <f t="shared" si="12"/>
        <v>63</v>
      </c>
      <c r="Z14" s="128">
        <f t="shared" si="2"/>
        <v>104</v>
      </c>
      <c r="AA14" s="128">
        <f t="shared" si="13"/>
        <v>104</v>
      </c>
      <c r="AB14" s="245"/>
      <c r="AC14" s="129">
        <f t="shared" si="14"/>
        <v>3</v>
      </c>
      <c r="AD14" s="127">
        <v>10</v>
      </c>
      <c r="AE14" s="127">
        <v>25</v>
      </c>
      <c r="AF14" s="127">
        <f t="shared" si="3"/>
        <v>35</v>
      </c>
      <c r="AG14" s="127">
        <v>14</v>
      </c>
      <c r="AH14" s="128">
        <f t="shared" si="15"/>
        <v>49</v>
      </c>
      <c r="AI14" s="245"/>
      <c r="AJ14" s="129">
        <f t="shared" si="16"/>
        <v>2</v>
      </c>
      <c r="AK14" s="127">
        <v>15</v>
      </c>
      <c r="AL14" s="127">
        <v>26</v>
      </c>
      <c r="AM14" s="127">
        <f t="shared" si="4"/>
        <v>41</v>
      </c>
      <c r="AN14" s="127">
        <v>15</v>
      </c>
      <c r="AO14" s="128">
        <f t="shared" si="17"/>
        <v>56</v>
      </c>
      <c r="AP14" s="245"/>
      <c r="AQ14" s="129">
        <f t="shared" si="18"/>
        <v>3</v>
      </c>
      <c r="AR14" s="128"/>
      <c r="AS14" s="128">
        <v>22</v>
      </c>
      <c r="AT14" s="127">
        <v>24</v>
      </c>
      <c r="AU14" s="128">
        <f t="shared" si="19"/>
        <v>46</v>
      </c>
      <c r="AV14" s="245"/>
      <c r="AW14" s="129">
        <f t="shared" si="5"/>
        <v>5</v>
      </c>
      <c r="AX14" s="143">
        <v>19</v>
      </c>
      <c r="AY14" s="127">
        <v>34</v>
      </c>
      <c r="AZ14" s="128">
        <f t="shared" si="20"/>
        <v>53</v>
      </c>
      <c r="BA14" s="127">
        <v>15</v>
      </c>
      <c r="BB14" s="128">
        <f t="shared" si="21"/>
        <v>68</v>
      </c>
      <c r="BC14" s="245"/>
      <c r="BD14" s="129">
        <f t="shared" si="22"/>
        <v>3.5</v>
      </c>
      <c r="BE14" s="127">
        <v>16</v>
      </c>
      <c r="BF14" s="127">
        <v>39</v>
      </c>
      <c r="BG14" s="128">
        <f t="shared" si="23"/>
        <v>55</v>
      </c>
      <c r="BH14" s="127">
        <v>17</v>
      </c>
      <c r="BI14" s="128">
        <f t="shared" si="24"/>
        <v>72</v>
      </c>
      <c r="BJ14" s="245"/>
      <c r="BK14" s="129">
        <f t="shared" si="25"/>
        <v>4</v>
      </c>
      <c r="BL14" s="127">
        <v>18</v>
      </c>
      <c r="BM14" s="127">
        <v>33</v>
      </c>
      <c r="BN14" s="128">
        <f t="shared" si="26"/>
        <v>51</v>
      </c>
      <c r="BO14" s="127">
        <v>26</v>
      </c>
      <c r="BP14" s="128">
        <f t="shared" si="27"/>
        <v>77</v>
      </c>
      <c r="BQ14" s="245"/>
      <c r="BR14" s="129">
        <f t="shared" si="28"/>
        <v>4</v>
      </c>
      <c r="BS14" s="127">
        <v>19</v>
      </c>
      <c r="BT14" s="127">
        <v>24</v>
      </c>
      <c r="BU14" s="128">
        <f t="shared" si="29"/>
        <v>43</v>
      </c>
      <c r="BV14" s="127">
        <v>15</v>
      </c>
      <c r="BW14" s="128">
        <f t="shared" si="30"/>
        <v>58</v>
      </c>
      <c r="BX14" s="245"/>
      <c r="BY14" s="129">
        <f t="shared" si="31"/>
        <v>3</v>
      </c>
      <c r="BZ14" s="127">
        <v>7</v>
      </c>
      <c r="CA14" s="127">
        <v>30</v>
      </c>
      <c r="CB14" s="128">
        <f t="shared" si="32"/>
        <v>37</v>
      </c>
      <c r="CC14" s="127">
        <v>20</v>
      </c>
      <c r="CD14" s="127">
        <v>25</v>
      </c>
      <c r="CE14" s="128">
        <f t="shared" si="33"/>
        <v>82</v>
      </c>
      <c r="CF14" s="245"/>
      <c r="CG14" s="129">
        <f t="shared" si="34"/>
        <v>5</v>
      </c>
      <c r="CH14" s="129">
        <f t="shared" si="35"/>
        <v>5</v>
      </c>
      <c r="CI14" s="128">
        <f t="shared" si="6"/>
        <v>33.5</v>
      </c>
      <c r="CJ14" s="131">
        <f t="shared" si="36"/>
        <v>3.7222222222222223</v>
      </c>
      <c r="CK14" s="126" t="str">
        <f t="shared" si="37"/>
        <v>GOOD</v>
      </c>
      <c r="CL14" s="126">
        <f t="shared" si="38"/>
        <v>719</v>
      </c>
      <c r="CM14" s="79"/>
      <c r="CN14" s="79"/>
      <c r="CO14" s="41">
        <f>'1ST_SEMESTER'!CL21</f>
        <v>525</v>
      </c>
      <c r="CP14" s="41">
        <f>'2ND_SEMESTER'!CL24</f>
        <v>590</v>
      </c>
      <c r="CQ14" s="41">
        <f t="shared" si="39"/>
        <v>719</v>
      </c>
      <c r="CR14" s="41">
        <f t="shared" si="40"/>
        <v>611.33333333333337</v>
      </c>
      <c r="CS14" s="168" t="str">
        <f>'1ST_SEMESTER'!CJ15</f>
        <v>F</v>
      </c>
      <c r="CT14" s="169" t="str">
        <f>'2ND_SEMESTER'!CJ14</f>
        <v>F</v>
      </c>
      <c r="CU14" s="169">
        <f t="shared" si="41"/>
        <v>3.7222222222222223</v>
      </c>
      <c r="CV14" s="169">
        <f t="shared" si="42"/>
        <v>3.7222222222222223</v>
      </c>
      <c r="CW14" s="170"/>
    </row>
    <row r="15" spans="1:101" ht="24.95" customHeight="1">
      <c r="A15" s="46">
        <v>8</v>
      </c>
      <c r="B15" s="47">
        <v>58</v>
      </c>
      <c r="C15" s="50" t="s">
        <v>139</v>
      </c>
      <c r="D15" s="50" t="s">
        <v>140</v>
      </c>
      <c r="E15" s="50" t="s">
        <v>141</v>
      </c>
      <c r="F15" s="51" t="s">
        <v>142</v>
      </c>
      <c r="G15" s="127">
        <v>13</v>
      </c>
      <c r="H15" s="127">
        <v>20</v>
      </c>
      <c r="I15" s="127">
        <f t="shared" si="7"/>
        <v>33</v>
      </c>
      <c r="J15" s="127">
        <v>16</v>
      </c>
      <c r="K15" s="128">
        <f t="shared" si="8"/>
        <v>49</v>
      </c>
      <c r="L15" s="127">
        <v>15</v>
      </c>
      <c r="M15" s="127">
        <v>26</v>
      </c>
      <c r="N15" s="127">
        <f t="shared" si="9"/>
        <v>41</v>
      </c>
      <c r="O15" s="127">
        <v>20</v>
      </c>
      <c r="P15" s="128">
        <f t="shared" si="10"/>
        <v>61</v>
      </c>
      <c r="Q15" s="128">
        <f t="shared" si="0"/>
        <v>110</v>
      </c>
      <c r="R15" s="245"/>
      <c r="S15" s="129">
        <f t="shared" si="11"/>
        <v>3</v>
      </c>
      <c r="T15" s="130">
        <v>11</v>
      </c>
      <c r="U15" s="130">
        <v>32</v>
      </c>
      <c r="V15" s="130">
        <f t="shared" si="1"/>
        <v>43</v>
      </c>
      <c r="W15" s="130">
        <v>19</v>
      </c>
      <c r="X15" s="130">
        <v>26</v>
      </c>
      <c r="Y15" s="128">
        <f t="shared" si="12"/>
        <v>45</v>
      </c>
      <c r="Z15" s="128">
        <f t="shared" si="2"/>
        <v>88</v>
      </c>
      <c r="AA15" s="128">
        <f t="shared" si="13"/>
        <v>88</v>
      </c>
      <c r="AB15" s="245"/>
      <c r="AC15" s="129">
        <f t="shared" si="14"/>
        <v>2</v>
      </c>
      <c r="AD15" s="127">
        <v>10</v>
      </c>
      <c r="AE15" s="127">
        <v>19</v>
      </c>
      <c r="AF15" s="127">
        <f t="shared" si="3"/>
        <v>29</v>
      </c>
      <c r="AG15" s="127">
        <v>13</v>
      </c>
      <c r="AH15" s="128">
        <f t="shared" si="15"/>
        <v>42</v>
      </c>
      <c r="AI15" s="245"/>
      <c r="AJ15" s="129">
        <f t="shared" si="16"/>
        <v>2</v>
      </c>
      <c r="AK15" s="127">
        <v>17</v>
      </c>
      <c r="AL15" s="127">
        <v>25</v>
      </c>
      <c r="AM15" s="127">
        <f t="shared" si="4"/>
        <v>42</v>
      </c>
      <c r="AN15" s="127">
        <v>13</v>
      </c>
      <c r="AO15" s="128">
        <f t="shared" si="17"/>
        <v>55</v>
      </c>
      <c r="AP15" s="245"/>
      <c r="AQ15" s="129">
        <f t="shared" si="18"/>
        <v>3</v>
      </c>
      <c r="AR15" s="128"/>
      <c r="AS15" s="128">
        <v>17</v>
      </c>
      <c r="AT15" s="127">
        <v>24</v>
      </c>
      <c r="AU15" s="128">
        <f t="shared" si="19"/>
        <v>41</v>
      </c>
      <c r="AV15" s="245"/>
      <c r="AW15" s="129">
        <f t="shared" si="5"/>
        <v>5</v>
      </c>
      <c r="AX15" s="143">
        <v>12</v>
      </c>
      <c r="AY15" s="127">
        <v>26</v>
      </c>
      <c r="AZ15" s="128">
        <f t="shared" si="20"/>
        <v>38</v>
      </c>
      <c r="BA15" s="127">
        <v>20</v>
      </c>
      <c r="BB15" s="128">
        <f t="shared" si="21"/>
        <v>58</v>
      </c>
      <c r="BC15" s="245"/>
      <c r="BD15" s="129">
        <f t="shared" si="22"/>
        <v>3</v>
      </c>
      <c r="BE15" s="127">
        <v>18</v>
      </c>
      <c r="BF15" s="127">
        <v>29</v>
      </c>
      <c r="BG15" s="128">
        <f t="shared" si="23"/>
        <v>47</v>
      </c>
      <c r="BH15" s="127">
        <v>23</v>
      </c>
      <c r="BI15" s="128">
        <f t="shared" si="24"/>
        <v>70</v>
      </c>
      <c r="BJ15" s="245"/>
      <c r="BK15" s="129">
        <f t="shared" si="25"/>
        <v>4</v>
      </c>
      <c r="BL15" s="127">
        <v>15</v>
      </c>
      <c r="BM15" s="127">
        <v>30</v>
      </c>
      <c r="BN15" s="128">
        <f t="shared" si="26"/>
        <v>45</v>
      </c>
      <c r="BO15" s="127">
        <v>17</v>
      </c>
      <c r="BP15" s="128">
        <f t="shared" si="27"/>
        <v>62</v>
      </c>
      <c r="BQ15" s="245"/>
      <c r="BR15" s="129">
        <f t="shared" si="28"/>
        <v>3.5</v>
      </c>
      <c r="BS15" s="127">
        <v>16</v>
      </c>
      <c r="BT15" s="127">
        <v>12</v>
      </c>
      <c r="BU15" s="128">
        <f t="shared" si="29"/>
        <v>28</v>
      </c>
      <c r="BV15" s="127">
        <v>16</v>
      </c>
      <c r="BW15" s="128">
        <f t="shared" si="30"/>
        <v>44</v>
      </c>
      <c r="BX15" s="245"/>
      <c r="BY15" s="129">
        <f t="shared" si="31"/>
        <v>2</v>
      </c>
      <c r="BZ15" s="127">
        <v>6</v>
      </c>
      <c r="CA15" s="127">
        <v>19</v>
      </c>
      <c r="CB15" s="128">
        <f t="shared" si="32"/>
        <v>25</v>
      </c>
      <c r="CC15" s="127">
        <v>16</v>
      </c>
      <c r="CD15" s="127">
        <v>25</v>
      </c>
      <c r="CE15" s="128">
        <f t="shared" si="33"/>
        <v>66</v>
      </c>
      <c r="CF15" s="245"/>
      <c r="CG15" s="129">
        <f t="shared" si="34"/>
        <v>3.5</v>
      </c>
      <c r="CH15" s="129">
        <f t="shared" si="35"/>
        <v>3.5</v>
      </c>
      <c r="CI15" s="128">
        <f t="shared" si="6"/>
        <v>29</v>
      </c>
      <c r="CJ15" s="131">
        <f t="shared" si="36"/>
        <v>3.2222222222222223</v>
      </c>
      <c r="CK15" s="126" t="str">
        <f t="shared" si="37"/>
        <v>GOOD</v>
      </c>
      <c r="CL15" s="126">
        <f t="shared" si="38"/>
        <v>636</v>
      </c>
      <c r="CM15" s="79"/>
      <c r="CN15" s="79"/>
      <c r="CO15" s="41">
        <f>'1ST_SEMESTER'!CL22</f>
        <v>498</v>
      </c>
      <c r="CP15" s="41">
        <f>'2ND_SEMESTER'!CL25</f>
        <v>638</v>
      </c>
      <c r="CQ15" s="41">
        <f t="shared" si="39"/>
        <v>636</v>
      </c>
      <c r="CR15" s="41">
        <f t="shared" si="40"/>
        <v>590.66666666666663</v>
      </c>
      <c r="CS15" s="168" t="str">
        <f>'1ST_SEMESTER'!CJ16</f>
        <v>F</v>
      </c>
      <c r="CT15" s="169" t="str">
        <f>'2ND_SEMESTER'!CJ15</f>
        <v>F</v>
      </c>
      <c r="CU15" s="169">
        <f t="shared" si="41"/>
        <v>3.2222222222222223</v>
      </c>
      <c r="CV15" s="169">
        <f t="shared" si="42"/>
        <v>3.2222222222222223</v>
      </c>
      <c r="CW15" s="170"/>
    </row>
    <row r="16" spans="1:101" ht="24.95" customHeight="1">
      <c r="A16" s="46">
        <v>9</v>
      </c>
      <c r="B16" s="47">
        <v>59</v>
      </c>
      <c r="C16" s="50" t="s">
        <v>143</v>
      </c>
      <c r="D16" s="50" t="s">
        <v>144</v>
      </c>
      <c r="E16" s="50" t="s">
        <v>145</v>
      </c>
      <c r="F16" s="51" t="s">
        <v>146</v>
      </c>
      <c r="G16" s="127">
        <v>8</v>
      </c>
      <c r="H16" s="127">
        <v>24</v>
      </c>
      <c r="I16" s="127">
        <f t="shared" si="7"/>
        <v>32</v>
      </c>
      <c r="J16" s="127">
        <v>15</v>
      </c>
      <c r="K16" s="128">
        <f t="shared" si="8"/>
        <v>47</v>
      </c>
      <c r="L16" s="127">
        <v>17</v>
      </c>
      <c r="M16" s="127">
        <v>27</v>
      </c>
      <c r="N16" s="127">
        <f t="shared" si="9"/>
        <v>44</v>
      </c>
      <c r="O16" s="127">
        <v>18</v>
      </c>
      <c r="P16" s="128">
        <f t="shared" si="10"/>
        <v>62</v>
      </c>
      <c r="Q16" s="128">
        <f t="shared" si="0"/>
        <v>109</v>
      </c>
      <c r="R16" s="245"/>
      <c r="S16" s="129">
        <f t="shared" si="11"/>
        <v>3</v>
      </c>
      <c r="T16" s="130">
        <v>16</v>
      </c>
      <c r="U16" s="130">
        <v>43</v>
      </c>
      <c r="V16" s="130">
        <f t="shared" si="1"/>
        <v>59</v>
      </c>
      <c r="W16" s="130">
        <v>19</v>
      </c>
      <c r="X16" s="130">
        <v>38</v>
      </c>
      <c r="Y16" s="128">
        <f t="shared" si="12"/>
        <v>57</v>
      </c>
      <c r="Z16" s="128">
        <f t="shared" si="2"/>
        <v>116</v>
      </c>
      <c r="AA16" s="128">
        <f t="shared" si="13"/>
        <v>116</v>
      </c>
      <c r="AB16" s="245"/>
      <c r="AC16" s="129">
        <f t="shared" si="14"/>
        <v>3</v>
      </c>
      <c r="AD16" s="127">
        <v>13</v>
      </c>
      <c r="AE16" s="127">
        <v>22</v>
      </c>
      <c r="AF16" s="127">
        <f t="shared" si="3"/>
        <v>35</v>
      </c>
      <c r="AG16" s="127">
        <v>15</v>
      </c>
      <c r="AH16" s="128">
        <f t="shared" si="15"/>
        <v>50</v>
      </c>
      <c r="AI16" s="245"/>
      <c r="AJ16" s="129">
        <f t="shared" si="16"/>
        <v>3</v>
      </c>
      <c r="AK16" s="127">
        <v>10</v>
      </c>
      <c r="AL16" s="127">
        <v>29</v>
      </c>
      <c r="AM16" s="127">
        <f t="shared" si="4"/>
        <v>39</v>
      </c>
      <c r="AN16" s="127">
        <v>14</v>
      </c>
      <c r="AO16" s="128">
        <f t="shared" si="17"/>
        <v>53</v>
      </c>
      <c r="AP16" s="245"/>
      <c r="AQ16" s="129">
        <f t="shared" si="18"/>
        <v>3</v>
      </c>
      <c r="AR16" s="128"/>
      <c r="AS16" s="128">
        <v>19</v>
      </c>
      <c r="AT16" s="127">
        <v>24</v>
      </c>
      <c r="AU16" s="128">
        <f t="shared" si="19"/>
        <v>43</v>
      </c>
      <c r="AV16" s="245"/>
      <c r="AW16" s="129">
        <f t="shared" si="5"/>
        <v>5</v>
      </c>
      <c r="AX16" s="143">
        <v>15</v>
      </c>
      <c r="AY16" s="127">
        <v>24</v>
      </c>
      <c r="AZ16" s="128">
        <f t="shared" si="20"/>
        <v>39</v>
      </c>
      <c r="BA16" s="127">
        <v>16</v>
      </c>
      <c r="BB16" s="128">
        <f t="shared" si="21"/>
        <v>55</v>
      </c>
      <c r="BC16" s="245"/>
      <c r="BD16" s="129">
        <f t="shared" si="22"/>
        <v>3</v>
      </c>
      <c r="BE16" s="127">
        <v>17</v>
      </c>
      <c r="BF16" s="127">
        <v>36</v>
      </c>
      <c r="BG16" s="128">
        <f t="shared" si="23"/>
        <v>53</v>
      </c>
      <c r="BH16" s="127">
        <v>21</v>
      </c>
      <c r="BI16" s="128">
        <f t="shared" si="24"/>
        <v>74</v>
      </c>
      <c r="BJ16" s="245"/>
      <c r="BK16" s="129">
        <f t="shared" si="25"/>
        <v>4</v>
      </c>
      <c r="BL16" s="127">
        <v>13</v>
      </c>
      <c r="BM16" s="127">
        <v>34</v>
      </c>
      <c r="BN16" s="128">
        <f t="shared" si="26"/>
        <v>47</v>
      </c>
      <c r="BO16" s="127">
        <v>19</v>
      </c>
      <c r="BP16" s="128">
        <f t="shared" si="27"/>
        <v>66</v>
      </c>
      <c r="BQ16" s="245"/>
      <c r="BR16" s="129">
        <f t="shared" si="28"/>
        <v>3.5</v>
      </c>
      <c r="BS16" s="127">
        <v>15</v>
      </c>
      <c r="BT16" s="127">
        <v>25</v>
      </c>
      <c r="BU16" s="128">
        <f t="shared" si="29"/>
        <v>40</v>
      </c>
      <c r="BV16" s="127">
        <v>14</v>
      </c>
      <c r="BW16" s="128">
        <f t="shared" si="30"/>
        <v>54</v>
      </c>
      <c r="BX16" s="245"/>
      <c r="BY16" s="129">
        <f t="shared" si="31"/>
        <v>3</v>
      </c>
      <c r="BZ16" s="127">
        <v>6</v>
      </c>
      <c r="CA16" s="127">
        <v>22</v>
      </c>
      <c r="CB16" s="128">
        <f t="shared" si="32"/>
        <v>28</v>
      </c>
      <c r="CC16" s="127">
        <v>19</v>
      </c>
      <c r="CD16" s="127">
        <v>25</v>
      </c>
      <c r="CE16" s="128">
        <f t="shared" si="33"/>
        <v>72</v>
      </c>
      <c r="CF16" s="245"/>
      <c r="CG16" s="129">
        <f t="shared" si="34"/>
        <v>4</v>
      </c>
      <c r="CH16" s="129">
        <f t="shared" si="35"/>
        <v>4</v>
      </c>
      <c r="CI16" s="128">
        <f t="shared" si="6"/>
        <v>32.5</v>
      </c>
      <c r="CJ16" s="131">
        <f t="shared" si="36"/>
        <v>3.6111111111111112</v>
      </c>
      <c r="CK16" s="126" t="str">
        <f t="shared" si="37"/>
        <v>GOOD</v>
      </c>
      <c r="CL16" s="126">
        <f t="shared" si="38"/>
        <v>692</v>
      </c>
      <c r="CM16" s="79"/>
      <c r="CN16" s="79"/>
      <c r="CO16" s="41">
        <f>'1ST_SEMESTER'!CL23</f>
        <v>551</v>
      </c>
      <c r="CP16" s="41">
        <f>'2ND_SEMESTER'!CL26</f>
        <v>594</v>
      </c>
      <c r="CQ16" s="41">
        <f t="shared" si="39"/>
        <v>692</v>
      </c>
      <c r="CR16" s="41">
        <f t="shared" si="40"/>
        <v>612.33333333333337</v>
      </c>
      <c r="CS16" s="168" t="str">
        <f>'1ST_SEMESTER'!CJ17</f>
        <v>F</v>
      </c>
      <c r="CT16" s="169" t="str">
        <f>'2ND_SEMESTER'!CJ16</f>
        <v>F</v>
      </c>
      <c r="CU16" s="169">
        <f t="shared" si="41"/>
        <v>3.6111111111111112</v>
      </c>
      <c r="CV16" s="169">
        <f t="shared" si="42"/>
        <v>3.6111111111111112</v>
      </c>
      <c r="CW16" s="170"/>
    </row>
    <row r="17" spans="1:101" ht="24.95" customHeight="1">
      <c r="A17" s="46">
        <v>10</v>
      </c>
      <c r="B17" s="47">
        <v>60</v>
      </c>
      <c r="C17" s="50" t="s">
        <v>147</v>
      </c>
      <c r="D17" s="50" t="s">
        <v>148</v>
      </c>
      <c r="E17" s="50" t="s">
        <v>149</v>
      </c>
      <c r="F17" s="51" t="s">
        <v>150</v>
      </c>
      <c r="G17" s="127">
        <v>14</v>
      </c>
      <c r="H17" s="127">
        <v>21</v>
      </c>
      <c r="I17" s="127">
        <f t="shared" si="7"/>
        <v>35</v>
      </c>
      <c r="J17" s="127">
        <v>13</v>
      </c>
      <c r="K17" s="128">
        <f t="shared" si="8"/>
        <v>48</v>
      </c>
      <c r="L17" s="127">
        <v>15</v>
      </c>
      <c r="M17" s="127">
        <v>20</v>
      </c>
      <c r="N17" s="127">
        <f t="shared" si="9"/>
        <v>35</v>
      </c>
      <c r="O17" s="127">
        <v>16</v>
      </c>
      <c r="P17" s="128">
        <f t="shared" si="10"/>
        <v>51</v>
      </c>
      <c r="Q17" s="128">
        <f t="shared" si="0"/>
        <v>99</v>
      </c>
      <c r="R17" s="245"/>
      <c r="S17" s="129">
        <f t="shared" si="11"/>
        <v>2</v>
      </c>
      <c r="T17" s="130">
        <v>12</v>
      </c>
      <c r="U17" s="130">
        <v>37</v>
      </c>
      <c r="V17" s="130">
        <f t="shared" si="1"/>
        <v>49</v>
      </c>
      <c r="W17" s="130">
        <v>16</v>
      </c>
      <c r="X17" s="130">
        <v>33</v>
      </c>
      <c r="Y17" s="128">
        <f t="shared" si="12"/>
        <v>49</v>
      </c>
      <c r="Z17" s="128">
        <f t="shared" si="2"/>
        <v>98</v>
      </c>
      <c r="AA17" s="128">
        <f t="shared" si="13"/>
        <v>98</v>
      </c>
      <c r="AB17" s="245"/>
      <c r="AC17" s="129">
        <f t="shared" si="14"/>
        <v>2</v>
      </c>
      <c r="AD17" s="127">
        <v>10</v>
      </c>
      <c r="AE17" s="127">
        <v>25</v>
      </c>
      <c r="AF17" s="127">
        <f t="shared" si="3"/>
        <v>35</v>
      </c>
      <c r="AG17" s="127">
        <v>13</v>
      </c>
      <c r="AH17" s="128">
        <f t="shared" si="15"/>
        <v>48</v>
      </c>
      <c r="AI17" s="245"/>
      <c r="AJ17" s="129">
        <f t="shared" si="16"/>
        <v>2</v>
      </c>
      <c r="AK17" s="127">
        <v>12</v>
      </c>
      <c r="AL17" s="127">
        <v>21</v>
      </c>
      <c r="AM17" s="127">
        <f t="shared" si="4"/>
        <v>33</v>
      </c>
      <c r="AN17" s="127">
        <v>15</v>
      </c>
      <c r="AO17" s="128">
        <f t="shared" si="17"/>
        <v>48</v>
      </c>
      <c r="AP17" s="245"/>
      <c r="AQ17" s="129">
        <f t="shared" si="18"/>
        <v>2</v>
      </c>
      <c r="AR17" s="128"/>
      <c r="AS17" s="128">
        <v>19</v>
      </c>
      <c r="AT17" s="127">
        <v>24</v>
      </c>
      <c r="AU17" s="128">
        <f t="shared" si="19"/>
        <v>43</v>
      </c>
      <c r="AV17" s="245"/>
      <c r="AW17" s="129">
        <f t="shared" si="5"/>
        <v>5</v>
      </c>
      <c r="AX17" s="143">
        <v>17</v>
      </c>
      <c r="AY17" s="127">
        <v>26</v>
      </c>
      <c r="AZ17" s="128">
        <f t="shared" si="20"/>
        <v>43</v>
      </c>
      <c r="BA17" s="127">
        <v>19</v>
      </c>
      <c r="BB17" s="128">
        <f t="shared" si="21"/>
        <v>62</v>
      </c>
      <c r="BC17" s="245"/>
      <c r="BD17" s="129">
        <f t="shared" si="22"/>
        <v>3.5</v>
      </c>
      <c r="BE17" s="127">
        <v>17</v>
      </c>
      <c r="BF17" s="127">
        <v>36</v>
      </c>
      <c r="BG17" s="128">
        <f t="shared" si="23"/>
        <v>53</v>
      </c>
      <c r="BH17" s="127">
        <v>20</v>
      </c>
      <c r="BI17" s="128">
        <f t="shared" si="24"/>
        <v>73</v>
      </c>
      <c r="BJ17" s="245"/>
      <c r="BK17" s="129">
        <f t="shared" si="25"/>
        <v>4</v>
      </c>
      <c r="BL17" s="127">
        <v>16</v>
      </c>
      <c r="BM17" s="127">
        <v>29</v>
      </c>
      <c r="BN17" s="128">
        <f t="shared" si="26"/>
        <v>45</v>
      </c>
      <c r="BO17" s="127">
        <v>25</v>
      </c>
      <c r="BP17" s="128">
        <f t="shared" si="27"/>
        <v>70</v>
      </c>
      <c r="BQ17" s="245"/>
      <c r="BR17" s="129">
        <f t="shared" si="28"/>
        <v>4</v>
      </c>
      <c r="BS17" s="127">
        <v>19</v>
      </c>
      <c r="BT17" s="127">
        <v>20</v>
      </c>
      <c r="BU17" s="128">
        <f t="shared" si="29"/>
        <v>39</v>
      </c>
      <c r="BV17" s="127">
        <v>13</v>
      </c>
      <c r="BW17" s="128">
        <f t="shared" si="30"/>
        <v>52</v>
      </c>
      <c r="BX17" s="245"/>
      <c r="BY17" s="129">
        <f t="shared" si="31"/>
        <v>3</v>
      </c>
      <c r="BZ17" s="127">
        <v>6</v>
      </c>
      <c r="CA17" s="127">
        <v>21</v>
      </c>
      <c r="CB17" s="128">
        <f t="shared" si="32"/>
        <v>27</v>
      </c>
      <c r="CC17" s="127">
        <v>19</v>
      </c>
      <c r="CD17" s="127">
        <v>25</v>
      </c>
      <c r="CE17" s="128">
        <f t="shared" si="33"/>
        <v>71</v>
      </c>
      <c r="CF17" s="245"/>
      <c r="CG17" s="129">
        <f t="shared" si="34"/>
        <v>4</v>
      </c>
      <c r="CH17" s="129">
        <f t="shared" si="35"/>
        <v>4</v>
      </c>
      <c r="CI17" s="128">
        <f t="shared" si="6"/>
        <v>29.5</v>
      </c>
      <c r="CJ17" s="131">
        <f t="shared" si="36"/>
        <v>3.2777777777777777</v>
      </c>
      <c r="CK17" s="126" t="str">
        <f t="shared" si="37"/>
        <v>GOOD</v>
      </c>
      <c r="CL17" s="126">
        <f t="shared" si="38"/>
        <v>664</v>
      </c>
      <c r="CM17" s="79"/>
      <c r="CN17" s="79"/>
      <c r="CO17" s="41">
        <f>'1ST_SEMESTER'!CL24</f>
        <v>484</v>
      </c>
      <c r="CP17" s="41">
        <f>'2ND_SEMESTER'!CL27</f>
        <v>587</v>
      </c>
      <c r="CQ17" s="41">
        <f t="shared" si="39"/>
        <v>664</v>
      </c>
      <c r="CR17" s="41">
        <f t="shared" si="40"/>
        <v>578.33333333333337</v>
      </c>
      <c r="CS17" s="168" t="str">
        <f>'1ST_SEMESTER'!CJ18</f>
        <v>F</v>
      </c>
      <c r="CT17" s="169" t="str">
        <f>'2ND_SEMESTER'!CJ17</f>
        <v>F</v>
      </c>
      <c r="CU17" s="169">
        <f t="shared" si="41"/>
        <v>3.2777777777777777</v>
      </c>
      <c r="CV17" s="169">
        <f t="shared" si="42"/>
        <v>3.2777777777777777</v>
      </c>
      <c r="CW17" s="170"/>
    </row>
    <row r="18" spans="1:101" ht="24.95" customHeight="1">
      <c r="A18" s="46">
        <v>11</v>
      </c>
      <c r="B18" s="47">
        <v>67</v>
      </c>
      <c r="C18" s="48" t="s">
        <v>151</v>
      </c>
      <c r="D18" s="48" t="s">
        <v>152</v>
      </c>
      <c r="E18" s="48" t="s">
        <v>153</v>
      </c>
      <c r="F18" s="49" t="s">
        <v>154</v>
      </c>
      <c r="G18" s="127">
        <v>13</v>
      </c>
      <c r="H18" s="127">
        <v>15</v>
      </c>
      <c r="I18" s="127">
        <f t="shared" si="7"/>
        <v>28</v>
      </c>
      <c r="J18" s="127">
        <v>15</v>
      </c>
      <c r="K18" s="128">
        <f t="shared" si="8"/>
        <v>43</v>
      </c>
      <c r="L18" s="127">
        <v>15</v>
      </c>
      <c r="M18" s="127">
        <v>25</v>
      </c>
      <c r="N18" s="127">
        <f t="shared" si="9"/>
        <v>40</v>
      </c>
      <c r="O18" s="127">
        <v>14</v>
      </c>
      <c r="P18" s="128">
        <f t="shared" si="10"/>
        <v>54</v>
      </c>
      <c r="Q18" s="128">
        <f t="shared" si="0"/>
        <v>97</v>
      </c>
      <c r="R18" s="245"/>
      <c r="S18" s="129">
        <f t="shared" si="11"/>
        <v>2</v>
      </c>
      <c r="T18" s="130">
        <v>15</v>
      </c>
      <c r="U18" s="130">
        <v>34</v>
      </c>
      <c r="V18" s="130">
        <f t="shared" si="1"/>
        <v>49</v>
      </c>
      <c r="W18" s="130">
        <v>15</v>
      </c>
      <c r="X18" s="130">
        <v>26</v>
      </c>
      <c r="Y18" s="128">
        <f t="shared" si="12"/>
        <v>41</v>
      </c>
      <c r="Z18" s="128">
        <f t="shared" si="2"/>
        <v>90</v>
      </c>
      <c r="AA18" s="128">
        <f t="shared" si="13"/>
        <v>90</v>
      </c>
      <c r="AB18" s="245"/>
      <c r="AC18" s="129">
        <f t="shared" si="14"/>
        <v>2</v>
      </c>
      <c r="AD18" s="127">
        <v>17</v>
      </c>
      <c r="AE18" s="127">
        <v>25</v>
      </c>
      <c r="AF18" s="127">
        <f t="shared" si="3"/>
        <v>42</v>
      </c>
      <c r="AG18" s="127">
        <v>14</v>
      </c>
      <c r="AH18" s="128">
        <f t="shared" si="15"/>
        <v>56</v>
      </c>
      <c r="AI18" s="245"/>
      <c r="AJ18" s="129">
        <f t="shared" si="16"/>
        <v>3</v>
      </c>
      <c r="AK18" s="127">
        <v>14</v>
      </c>
      <c r="AL18" s="127">
        <v>18</v>
      </c>
      <c r="AM18" s="127">
        <f t="shared" si="4"/>
        <v>32</v>
      </c>
      <c r="AN18" s="127">
        <v>19</v>
      </c>
      <c r="AO18" s="128">
        <f t="shared" si="17"/>
        <v>51</v>
      </c>
      <c r="AP18" s="245"/>
      <c r="AQ18" s="129">
        <f t="shared" si="18"/>
        <v>3</v>
      </c>
      <c r="AR18" s="128"/>
      <c r="AS18" s="128">
        <v>20</v>
      </c>
      <c r="AT18" s="127">
        <v>24</v>
      </c>
      <c r="AU18" s="128">
        <f t="shared" si="19"/>
        <v>44</v>
      </c>
      <c r="AV18" s="245"/>
      <c r="AW18" s="129">
        <f t="shared" si="5"/>
        <v>5</v>
      </c>
      <c r="AX18" s="143">
        <v>15</v>
      </c>
      <c r="AY18" s="127">
        <v>29</v>
      </c>
      <c r="AZ18" s="128">
        <f t="shared" si="20"/>
        <v>44</v>
      </c>
      <c r="BA18" s="127">
        <v>13</v>
      </c>
      <c r="BB18" s="128">
        <f t="shared" si="21"/>
        <v>57</v>
      </c>
      <c r="BC18" s="245"/>
      <c r="BD18" s="129">
        <f t="shared" si="22"/>
        <v>3</v>
      </c>
      <c r="BE18" s="127">
        <v>17</v>
      </c>
      <c r="BF18" s="127">
        <v>30</v>
      </c>
      <c r="BG18" s="128">
        <f t="shared" si="23"/>
        <v>47</v>
      </c>
      <c r="BH18" s="127">
        <v>19</v>
      </c>
      <c r="BI18" s="128">
        <f t="shared" si="24"/>
        <v>66</v>
      </c>
      <c r="BJ18" s="245"/>
      <c r="BK18" s="129">
        <f t="shared" si="25"/>
        <v>3.5</v>
      </c>
      <c r="BL18" s="127">
        <v>19</v>
      </c>
      <c r="BM18" s="127">
        <v>21</v>
      </c>
      <c r="BN18" s="128">
        <f t="shared" si="26"/>
        <v>40</v>
      </c>
      <c r="BO18" s="127">
        <v>26</v>
      </c>
      <c r="BP18" s="128">
        <f t="shared" si="27"/>
        <v>66</v>
      </c>
      <c r="BQ18" s="245"/>
      <c r="BR18" s="129">
        <f t="shared" si="28"/>
        <v>3.5</v>
      </c>
      <c r="BS18" s="127">
        <v>19</v>
      </c>
      <c r="BT18" s="127">
        <v>25</v>
      </c>
      <c r="BU18" s="128">
        <f t="shared" si="29"/>
        <v>44</v>
      </c>
      <c r="BV18" s="127">
        <v>17</v>
      </c>
      <c r="BW18" s="128">
        <f t="shared" si="30"/>
        <v>61</v>
      </c>
      <c r="BX18" s="245"/>
      <c r="BY18" s="129">
        <f t="shared" si="31"/>
        <v>3.5</v>
      </c>
      <c r="BZ18" s="127">
        <v>7</v>
      </c>
      <c r="CA18" s="127">
        <v>22</v>
      </c>
      <c r="CB18" s="128">
        <f t="shared" si="32"/>
        <v>29</v>
      </c>
      <c r="CC18" s="127">
        <v>22</v>
      </c>
      <c r="CD18" s="127">
        <v>25</v>
      </c>
      <c r="CE18" s="128">
        <f t="shared" si="33"/>
        <v>76</v>
      </c>
      <c r="CF18" s="245"/>
      <c r="CG18" s="129">
        <f t="shared" si="34"/>
        <v>4</v>
      </c>
      <c r="CH18" s="129">
        <f t="shared" si="35"/>
        <v>4</v>
      </c>
      <c r="CI18" s="128">
        <f t="shared" si="6"/>
        <v>30.5</v>
      </c>
      <c r="CJ18" s="131">
        <f t="shared" si="36"/>
        <v>3.3888888888888888</v>
      </c>
      <c r="CK18" s="126" t="str">
        <f t="shared" si="37"/>
        <v>GOOD</v>
      </c>
      <c r="CL18" s="126">
        <f t="shared" si="38"/>
        <v>664</v>
      </c>
      <c r="CM18" s="79"/>
      <c r="CN18" s="79"/>
      <c r="CO18" s="41">
        <f>'1ST_SEMESTER'!CL25</f>
        <v>508</v>
      </c>
      <c r="CP18" s="41">
        <f>'2ND_SEMESTER'!CL28</f>
        <v>604</v>
      </c>
      <c r="CQ18" s="41">
        <f t="shared" si="39"/>
        <v>664</v>
      </c>
      <c r="CR18" s="41">
        <f t="shared" si="40"/>
        <v>592</v>
      </c>
      <c r="CS18" s="168" t="str">
        <f>'1ST_SEMESTER'!CJ19</f>
        <v>F</v>
      </c>
      <c r="CT18" s="169" t="str">
        <f>'2ND_SEMESTER'!CJ18</f>
        <v>F</v>
      </c>
      <c r="CU18" s="169">
        <f t="shared" si="41"/>
        <v>3.3888888888888888</v>
      </c>
      <c r="CV18" s="169">
        <f t="shared" si="42"/>
        <v>3.3888888888888888</v>
      </c>
      <c r="CW18" s="170"/>
    </row>
    <row r="19" spans="1:101" ht="24.95" customHeight="1">
      <c r="A19" s="46">
        <v>12</v>
      </c>
      <c r="B19" s="47">
        <v>69</v>
      </c>
      <c r="C19" s="50" t="s">
        <v>155</v>
      </c>
      <c r="D19" s="50" t="s">
        <v>156</v>
      </c>
      <c r="E19" s="50" t="s">
        <v>157</v>
      </c>
      <c r="F19" s="51" t="s">
        <v>158</v>
      </c>
      <c r="G19" s="127">
        <v>11</v>
      </c>
      <c r="H19" s="127">
        <v>18</v>
      </c>
      <c r="I19" s="127">
        <f t="shared" si="7"/>
        <v>29</v>
      </c>
      <c r="J19" s="127">
        <v>18</v>
      </c>
      <c r="K19" s="128">
        <f t="shared" si="8"/>
        <v>47</v>
      </c>
      <c r="L19" s="127">
        <v>15</v>
      </c>
      <c r="M19" s="127">
        <v>25</v>
      </c>
      <c r="N19" s="127">
        <f t="shared" si="9"/>
        <v>40</v>
      </c>
      <c r="O19" s="127">
        <v>14</v>
      </c>
      <c r="P19" s="128">
        <f t="shared" si="10"/>
        <v>54</v>
      </c>
      <c r="Q19" s="128">
        <f t="shared" si="0"/>
        <v>101</v>
      </c>
      <c r="R19" s="245"/>
      <c r="S19" s="129">
        <f t="shared" si="11"/>
        <v>3</v>
      </c>
      <c r="T19" s="130">
        <v>16</v>
      </c>
      <c r="U19" s="130">
        <v>38</v>
      </c>
      <c r="V19" s="130">
        <f t="shared" si="1"/>
        <v>54</v>
      </c>
      <c r="W19" s="130">
        <v>19</v>
      </c>
      <c r="X19" s="130">
        <v>32</v>
      </c>
      <c r="Y19" s="128">
        <f t="shared" si="12"/>
        <v>51</v>
      </c>
      <c r="Z19" s="128">
        <f t="shared" si="2"/>
        <v>105</v>
      </c>
      <c r="AA19" s="128">
        <f t="shared" si="13"/>
        <v>105</v>
      </c>
      <c r="AB19" s="245"/>
      <c r="AC19" s="129">
        <f t="shared" si="14"/>
        <v>3</v>
      </c>
      <c r="AD19" s="127">
        <v>17</v>
      </c>
      <c r="AE19" s="127">
        <v>25</v>
      </c>
      <c r="AF19" s="127">
        <f t="shared" si="3"/>
        <v>42</v>
      </c>
      <c r="AG19" s="127">
        <v>12</v>
      </c>
      <c r="AH19" s="128">
        <f t="shared" si="15"/>
        <v>54</v>
      </c>
      <c r="AI19" s="245"/>
      <c r="AJ19" s="129">
        <f t="shared" si="16"/>
        <v>3</v>
      </c>
      <c r="AK19" s="127">
        <v>18</v>
      </c>
      <c r="AL19" s="127">
        <v>20</v>
      </c>
      <c r="AM19" s="127">
        <f t="shared" si="4"/>
        <v>38</v>
      </c>
      <c r="AN19" s="127">
        <v>24</v>
      </c>
      <c r="AO19" s="128">
        <f t="shared" si="17"/>
        <v>62</v>
      </c>
      <c r="AP19" s="245"/>
      <c r="AQ19" s="129">
        <f t="shared" si="18"/>
        <v>3.5</v>
      </c>
      <c r="AR19" s="128"/>
      <c r="AS19" s="128">
        <v>20</v>
      </c>
      <c r="AT19" s="127">
        <v>24</v>
      </c>
      <c r="AU19" s="128">
        <f t="shared" si="19"/>
        <v>44</v>
      </c>
      <c r="AV19" s="245"/>
      <c r="AW19" s="129">
        <f t="shared" si="5"/>
        <v>5</v>
      </c>
      <c r="AX19" s="143">
        <v>15</v>
      </c>
      <c r="AY19" s="127">
        <v>25</v>
      </c>
      <c r="AZ19" s="128">
        <f t="shared" si="20"/>
        <v>40</v>
      </c>
      <c r="BA19" s="127">
        <v>14</v>
      </c>
      <c r="BB19" s="128">
        <f t="shared" si="21"/>
        <v>54</v>
      </c>
      <c r="BC19" s="245"/>
      <c r="BD19" s="129">
        <f t="shared" si="22"/>
        <v>3</v>
      </c>
      <c r="BE19" s="127">
        <v>16</v>
      </c>
      <c r="BF19" s="127">
        <v>26</v>
      </c>
      <c r="BG19" s="128">
        <f t="shared" si="23"/>
        <v>42</v>
      </c>
      <c r="BH19" s="127">
        <v>18</v>
      </c>
      <c r="BI19" s="128">
        <f t="shared" si="24"/>
        <v>60</v>
      </c>
      <c r="BJ19" s="245"/>
      <c r="BK19" s="129">
        <f t="shared" si="25"/>
        <v>3.5</v>
      </c>
      <c r="BL19" s="127">
        <v>19</v>
      </c>
      <c r="BM19" s="127">
        <v>26</v>
      </c>
      <c r="BN19" s="128">
        <f t="shared" si="26"/>
        <v>45</v>
      </c>
      <c r="BO19" s="127">
        <v>27</v>
      </c>
      <c r="BP19" s="128">
        <f t="shared" si="27"/>
        <v>72</v>
      </c>
      <c r="BQ19" s="245"/>
      <c r="BR19" s="129">
        <f t="shared" si="28"/>
        <v>4</v>
      </c>
      <c r="BS19" s="127">
        <v>19</v>
      </c>
      <c r="BT19" s="127">
        <v>25</v>
      </c>
      <c r="BU19" s="128">
        <f t="shared" si="29"/>
        <v>44</v>
      </c>
      <c r="BV19" s="127">
        <v>16</v>
      </c>
      <c r="BW19" s="128">
        <f t="shared" si="30"/>
        <v>60</v>
      </c>
      <c r="BX19" s="245"/>
      <c r="BY19" s="129">
        <f t="shared" si="31"/>
        <v>3.5</v>
      </c>
      <c r="BZ19" s="127">
        <v>7</v>
      </c>
      <c r="CA19" s="127">
        <v>14</v>
      </c>
      <c r="CB19" s="128">
        <f t="shared" si="32"/>
        <v>21</v>
      </c>
      <c r="CC19" s="127">
        <v>18</v>
      </c>
      <c r="CD19" s="127">
        <v>25</v>
      </c>
      <c r="CE19" s="128">
        <f t="shared" si="33"/>
        <v>64</v>
      </c>
      <c r="CF19" s="245"/>
      <c r="CG19" s="129">
        <f t="shared" si="34"/>
        <v>3.5</v>
      </c>
      <c r="CH19" s="129">
        <f t="shared" si="35"/>
        <v>3.5</v>
      </c>
      <c r="CI19" s="128">
        <f t="shared" si="6"/>
        <v>33</v>
      </c>
      <c r="CJ19" s="131">
        <f t="shared" si="36"/>
        <v>3.6666666666666665</v>
      </c>
      <c r="CK19" s="126" t="str">
        <f t="shared" si="37"/>
        <v>GOOD</v>
      </c>
      <c r="CL19" s="126">
        <f t="shared" si="38"/>
        <v>676</v>
      </c>
      <c r="CM19" s="79"/>
      <c r="CN19" s="79"/>
      <c r="CO19" s="41">
        <f>'1ST_SEMESTER'!CL26</f>
        <v>524</v>
      </c>
      <c r="CP19" s="41">
        <f>'2ND_SEMESTER'!CL29</f>
        <v>513</v>
      </c>
      <c r="CQ19" s="41">
        <f t="shared" si="39"/>
        <v>676</v>
      </c>
      <c r="CR19" s="41">
        <f t="shared" si="40"/>
        <v>571</v>
      </c>
      <c r="CS19" s="168" t="str">
        <f>'1ST_SEMESTER'!CJ20</f>
        <v>F</v>
      </c>
      <c r="CT19" s="169" t="str">
        <f>'2ND_SEMESTER'!CJ19</f>
        <v>F</v>
      </c>
      <c r="CU19" s="169">
        <f t="shared" si="41"/>
        <v>3.6666666666666665</v>
      </c>
      <c r="CV19" s="169">
        <f t="shared" si="42"/>
        <v>3.6666666666666665</v>
      </c>
      <c r="CW19" s="170"/>
    </row>
    <row r="20" spans="1:101" ht="24.95" customHeight="1">
      <c r="A20" s="46">
        <v>13</v>
      </c>
      <c r="B20" s="47">
        <v>73</v>
      </c>
      <c r="C20" s="50" t="s">
        <v>159</v>
      </c>
      <c r="D20" s="50" t="s">
        <v>140</v>
      </c>
      <c r="E20" s="50" t="s">
        <v>145</v>
      </c>
      <c r="F20" s="51" t="s">
        <v>160</v>
      </c>
      <c r="G20" s="127">
        <v>8</v>
      </c>
      <c r="H20" s="127">
        <v>9</v>
      </c>
      <c r="I20" s="127">
        <f t="shared" si="7"/>
        <v>17</v>
      </c>
      <c r="J20" s="127">
        <v>12</v>
      </c>
      <c r="K20" s="128">
        <f t="shared" si="8"/>
        <v>29</v>
      </c>
      <c r="L20" s="127">
        <v>15</v>
      </c>
      <c r="M20" s="127">
        <v>28</v>
      </c>
      <c r="N20" s="127">
        <f t="shared" si="9"/>
        <v>43</v>
      </c>
      <c r="O20" s="127">
        <v>14</v>
      </c>
      <c r="P20" s="128">
        <f t="shared" si="10"/>
        <v>57</v>
      </c>
      <c r="Q20" s="128">
        <f t="shared" si="0"/>
        <v>86</v>
      </c>
      <c r="R20" s="245"/>
      <c r="S20" s="129">
        <f t="shared" si="11"/>
        <v>2</v>
      </c>
      <c r="T20" s="130">
        <v>10</v>
      </c>
      <c r="U20" s="130">
        <v>53</v>
      </c>
      <c r="V20" s="130">
        <f t="shared" si="1"/>
        <v>63</v>
      </c>
      <c r="W20" s="130">
        <v>19</v>
      </c>
      <c r="X20" s="130">
        <v>26</v>
      </c>
      <c r="Y20" s="128">
        <f t="shared" si="12"/>
        <v>45</v>
      </c>
      <c r="Z20" s="128">
        <f t="shared" si="2"/>
        <v>108</v>
      </c>
      <c r="AA20" s="128">
        <f t="shared" si="13"/>
        <v>108</v>
      </c>
      <c r="AB20" s="245"/>
      <c r="AC20" s="129">
        <f t="shared" si="14"/>
        <v>3</v>
      </c>
      <c r="AD20" s="127">
        <v>8</v>
      </c>
      <c r="AE20" s="127">
        <v>5</v>
      </c>
      <c r="AF20" s="127">
        <f t="shared" si="3"/>
        <v>13</v>
      </c>
      <c r="AG20" s="127">
        <v>12</v>
      </c>
      <c r="AH20" s="128">
        <f t="shared" si="15"/>
        <v>25</v>
      </c>
      <c r="AI20" s="245"/>
      <c r="AJ20" s="129" t="str">
        <f t="shared" si="16"/>
        <v>F</v>
      </c>
      <c r="AK20" s="127">
        <v>12</v>
      </c>
      <c r="AL20" s="127">
        <v>15</v>
      </c>
      <c r="AM20" s="127">
        <f t="shared" si="4"/>
        <v>27</v>
      </c>
      <c r="AN20" s="127">
        <v>16</v>
      </c>
      <c r="AO20" s="128">
        <f t="shared" si="17"/>
        <v>43</v>
      </c>
      <c r="AP20" s="245"/>
      <c r="AQ20" s="129" t="str">
        <f t="shared" si="18"/>
        <v>F</v>
      </c>
      <c r="AR20" s="128"/>
      <c r="AS20" s="128">
        <v>18</v>
      </c>
      <c r="AT20" s="127">
        <v>24</v>
      </c>
      <c r="AU20" s="128">
        <f t="shared" si="19"/>
        <v>42</v>
      </c>
      <c r="AV20" s="245"/>
      <c r="AW20" s="129">
        <f t="shared" si="5"/>
        <v>5</v>
      </c>
      <c r="AX20" s="143">
        <v>15</v>
      </c>
      <c r="AY20" s="127">
        <v>24</v>
      </c>
      <c r="AZ20" s="128">
        <f t="shared" si="20"/>
        <v>39</v>
      </c>
      <c r="BA20" s="127">
        <v>12</v>
      </c>
      <c r="BB20" s="128">
        <f t="shared" si="21"/>
        <v>51</v>
      </c>
      <c r="BC20" s="245"/>
      <c r="BD20" s="129">
        <f t="shared" si="22"/>
        <v>3</v>
      </c>
      <c r="BE20" s="127">
        <v>16</v>
      </c>
      <c r="BF20" s="127">
        <v>21</v>
      </c>
      <c r="BG20" s="128">
        <f t="shared" si="23"/>
        <v>37</v>
      </c>
      <c r="BH20" s="127">
        <v>18</v>
      </c>
      <c r="BI20" s="128">
        <f t="shared" si="24"/>
        <v>55</v>
      </c>
      <c r="BJ20" s="245"/>
      <c r="BK20" s="129">
        <f t="shared" si="25"/>
        <v>3</v>
      </c>
      <c r="BL20" s="127">
        <v>17</v>
      </c>
      <c r="BM20" s="127">
        <v>30</v>
      </c>
      <c r="BN20" s="128">
        <f t="shared" si="26"/>
        <v>47</v>
      </c>
      <c r="BO20" s="127">
        <v>20</v>
      </c>
      <c r="BP20" s="128">
        <f t="shared" si="27"/>
        <v>67</v>
      </c>
      <c r="BQ20" s="245"/>
      <c r="BR20" s="129">
        <f t="shared" si="28"/>
        <v>3.5</v>
      </c>
      <c r="BS20" s="127">
        <v>12</v>
      </c>
      <c r="BT20" s="127">
        <v>25</v>
      </c>
      <c r="BU20" s="128">
        <f t="shared" si="29"/>
        <v>37</v>
      </c>
      <c r="BV20" s="127">
        <v>20</v>
      </c>
      <c r="BW20" s="128">
        <f t="shared" si="30"/>
        <v>57</v>
      </c>
      <c r="BX20" s="245"/>
      <c r="BY20" s="129">
        <f t="shared" si="31"/>
        <v>3</v>
      </c>
      <c r="BZ20" s="127">
        <v>6</v>
      </c>
      <c r="CA20" s="127">
        <v>14</v>
      </c>
      <c r="CB20" s="128">
        <f t="shared" si="32"/>
        <v>20</v>
      </c>
      <c r="CC20" s="127">
        <v>22</v>
      </c>
      <c r="CD20" s="127">
        <v>25</v>
      </c>
      <c r="CE20" s="128">
        <f t="shared" si="33"/>
        <v>67</v>
      </c>
      <c r="CF20" s="245"/>
      <c r="CG20" s="129">
        <f t="shared" si="34"/>
        <v>3.5</v>
      </c>
      <c r="CH20" s="129">
        <f t="shared" si="35"/>
        <v>3.5</v>
      </c>
      <c r="CI20" s="128" t="str">
        <f t="shared" si="6"/>
        <v>F</v>
      </c>
      <c r="CJ20" s="131" t="str">
        <f t="shared" si="36"/>
        <v>F</v>
      </c>
      <c r="CK20" s="126" t="str">
        <f t="shared" si="37"/>
        <v>NEED TO PROGRESS</v>
      </c>
      <c r="CL20" s="126">
        <f t="shared" si="38"/>
        <v>601</v>
      </c>
      <c r="CM20" s="79"/>
      <c r="CN20" s="79"/>
      <c r="CO20" s="41">
        <f>'1ST_SEMESTER'!CL27</f>
        <v>0</v>
      </c>
      <c r="CP20" s="41">
        <f>'2ND_SEMESTER'!CL30</f>
        <v>553</v>
      </c>
      <c r="CQ20" s="41">
        <f t="shared" si="39"/>
        <v>601</v>
      </c>
      <c r="CR20" s="41">
        <f t="shared" si="40"/>
        <v>384.66666666666669</v>
      </c>
      <c r="CS20" s="168" t="str">
        <f>'1ST_SEMESTER'!CJ21</f>
        <v>F</v>
      </c>
      <c r="CT20" s="169" t="str">
        <f>'2ND_SEMESTER'!CJ20</f>
        <v>F</v>
      </c>
      <c r="CU20" s="169" t="str">
        <f t="shared" si="41"/>
        <v>F</v>
      </c>
      <c r="CV20" s="169" t="e">
        <f t="shared" si="42"/>
        <v>#DIV/0!</v>
      </c>
      <c r="CW20" s="170"/>
    </row>
    <row r="21" spans="1:101" ht="24.95" customHeight="1">
      <c r="A21" s="46">
        <v>14</v>
      </c>
      <c r="B21" s="47">
        <v>76</v>
      </c>
      <c r="C21" s="50" t="s">
        <v>161</v>
      </c>
      <c r="D21" s="52" t="s">
        <v>162</v>
      </c>
      <c r="E21" s="50" t="s">
        <v>163</v>
      </c>
      <c r="F21" s="51" t="s">
        <v>164</v>
      </c>
      <c r="G21" s="127">
        <v>11</v>
      </c>
      <c r="H21" s="127">
        <v>17</v>
      </c>
      <c r="I21" s="127">
        <f t="shared" si="7"/>
        <v>28</v>
      </c>
      <c r="J21" s="127">
        <v>12</v>
      </c>
      <c r="K21" s="128">
        <f t="shared" si="8"/>
        <v>40</v>
      </c>
      <c r="L21" s="127">
        <v>16</v>
      </c>
      <c r="M21" s="127">
        <v>13</v>
      </c>
      <c r="N21" s="127">
        <f t="shared" si="9"/>
        <v>29</v>
      </c>
      <c r="O21" s="127">
        <v>16</v>
      </c>
      <c r="P21" s="128">
        <f t="shared" si="10"/>
        <v>45</v>
      </c>
      <c r="Q21" s="128">
        <f t="shared" si="0"/>
        <v>85</v>
      </c>
      <c r="R21" s="245"/>
      <c r="S21" s="129">
        <f t="shared" si="11"/>
        <v>2</v>
      </c>
      <c r="T21" s="130">
        <v>12</v>
      </c>
      <c r="U21" s="130">
        <v>24</v>
      </c>
      <c r="V21" s="130">
        <f t="shared" si="1"/>
        <v>36</v>
      </c>
      <c r="W21" s="130">
        <v>18</v>
      </c>
      <c r="X21" s="130">
        <v>38</v>
      </c>
      <c r="Y21" s="128">
        <f t="shared" si="12"/>
        <v>56</v>
      </c>
      <c r="Z21" s="128">
        <f t="shared" si="2"/>
        <v>92</v>
      </c>
      <c r="AA21" s="128">
        <f t="shared" si="13"/>
        <v>92</v>
      </c>
      <c r="AB21" s="245"/>
      <c r="AC21" s="129">
        <f t="shared" si="14"/>
        <v>2</v>
      </c>
      <c r="AD21" s="127">
        <v>8</v>
      </c>
      <c r="AE21" s="127">
        <v>0</v>
      </c>
      <c r="AF21" s="127">
        <f t="shared" si="3"/>
        <v>8</v>
      </c>
      <c r="AG21" s="127">
        <v>13</v>
      </c>
      <c r="AH21" s="128">
        <f t="shared" si="15"/>
        <v>21</v>
      </c>
      <c r="AI21" s="245"/>
      <c r="AJ21" s="129" t="str">
        <f t="shared" si="16"/>
        <v>F</v>
      </c>
      <c r="AK21" s="127">
        <v>10</v>
      </c>
      <c r="AL21" s="127">
        <v>13</v>
      </c>
      <c r="AM21" s="127">
        <f t="shared" si="4"/>
        <v>23</v>
      </c>
      <c r="AN21" s="127">
        <v>16</v>
      </c>
      <c r="AO21" s="128">
        <f t="shared" si="17"/>
        <v>39</v>
      </c>
      <c r="AP21" s="245"/>
      <c r="AQ21" s="129" t="str">
        <f t="shared" si="18"/>
        <v>F</v>
      </c>
      <c r="AR21" s="128"/>
      <c r="AS21" s="128">
        <v>17</v>
      </c>
      <c r="AT21" s="127">
        <v>24</v>
      </c>
      <c r="AU21" s="128">
        <f t="shared" si="19"/>
        <v>41</v>
      </c>
      <c r="AV21" s="245"/>
      <c r="AW21" s="129">
        <f t="shared" si="5"/>
        <v>5</v>
      </c>
      <c r="AX21" s="143">
        <v>13</v>
      </c>
      <c r="AY21" s="127">
        <v>23</v>
      </c>
      <c r="AZ21" s="128">
        <f t="shared" si="20"/>
        <v>36</v>
      </c>
      <c r="BA21" s="127">
        <v>15</v>
      </c>
      <c r="BB21" s="128">
        <f t="shared" si="21"/>
        <v>51</v>
      </c>
      <c r="BC21" s="245"/>
      <c r="BD21" s="129">
        <f t="shared" si="22"/>
        <v>3</v>
      </c>
      <c r="BE21" s="127">
        <v>14</v>
      </c>
      <c r="BF21" s="127">
        <v>21</v>
      </c>
      <c r="BG21" s="128">
        <f t="shared" si="23"/>
        <v>35</v>
      </c>
      <c r="BH21" s="127">
        <v>19</v>
      </c>
      <c r="BI21" s="128">
        <f t="shared" si="24"/>
        <v>54</v>
      </c>
      <c r="BJ21" s="245"/>
      <c r="BK21" s="129">
        <f t="shared" si="25"/>
        <v>3</v>
      </c>
      <c r="BL21" s="127">
        <v>10</v>
      </c>
      <c r="BM21" s="127">
        <v>28</v>
      </c>
      <c r="BN21" s="128">
        <f t="shared" si="26"/>
        <v>38</v>
      </c>
      <c r="BO21" s="127">
        <v>25</v>
      </c>
      <c r="BP21" s="128">
        <f t="shared" si="27"/>
        <v>63</v>
      </c>
      <c r="BQ21" s="245"/>
      <c r="BR21" s="129">
        <f t="shared" si="28"/>
        <v>3.5</v>
      </c>
      <c r="BS21" s="127">
        <v>12</v>
      </c>
      <c r="BT21" s="127">
        <v>3</v>
      </c>
      <c r="BU21" s="128">
        <f t="shared" si="29"/>
        <v>15</v>
      </c>
      <c r="BV21" s="127">
        <v>17</v>
      </c>
      <c r="BW21" s="128">
        <f t="shared" si="30"/>
        <v>32</v>
      </c>
      <c r="BX21" s="245"/>
      <c r="BY21" s="129" t="str">
        <f t="shared" si="31"/>
        <v>F</v>
      </c>
      <c r="BZ21" s="127">
        <v>6</v>
      </c>
      <c r="CA21" s="127">
        <v>7</v>
      </c>
      <c r="CB21" s="128">
        <f t="shared" si="32"/>
        <v>13</v>
      </c>
      <c r="CC21" s="127">
        <v>16</v>
      </c>
      <c r="CD21" s="127">
        <v>25</v>
      </c>
      <c r="CE21" s="128">
        <f t="shared" si="33"/>
        <v>54</v>
      </c>
      <c r="CF21" s="245"/>
      <c r="CG21" s="129" t="str">
        <f t="shared" si="34"/>
        <v>0</v>
      </c>
      <c r="CH21" s="129" t="str">
        <f t="shared" si="35"/>
        <v>F</v>
      </c>
      <c r="CI21" s="128" t="str">
        <f t="shared" si="6"/>
        <v>F</v>
      </c>
      <c r="CJ21" s="131" t="str">
        <f t="shared" si="36"/>
        <v>F</v>
      </c>
      <c r="CK21" s="126" t="str">
        <f t="shared" si="37"/>
        <v>NEED TO PROGRESS</v>
      </c>
      <c r="CL21" s="126">
        <f t="shared" si="38"/>
        <v>532</v>
      </c>
      <c r="CM21" s="79"/>
      <c r="CN21" s="79"/>
      <c r="CO21" s="41">
        <f>'1ST_SEMESTER'!CL28</f>
        <v>442</v>
      </c>
      <c r="CP21" s="41">
        <f>'2ND_SEMESTER'!CL31</f>
        <v>528</v>
      </c>
      <c r="CQ21" s="41">
        <f t="shared" si="39"/>
        <v>532</v>
      </c>
      <c r="CR21" s="41">
        <f t="shared" si="40"/>
        <v>500.66666666666669</v>
      </c>
      <c r="CS21" s="168" t="str">
        <f>'1ST_SEMESTER'!CJ22</f>
        <v>F</v>
      </c>
      <c r="CT21" s="169" t="str">
        <f>'2ND_SEMESTER'!CJ21</f>
        <v>F</v>
      </c>
      <c r="CU21" s="169" t="str">
        <f t="shared" si="41"/>
        <v>F</v>
      </c>
      <c r="CV21" s="169" t="e">
        <f t="shared" si="42"/>
        <v>#DIV/0!</v>
      </c>
      <c r="CW21" s="170"/>
    </row>
    <row r="22" spans="1:101" ht="24.95" customHeight="1">
      <c r="A22" s="46">
        <v>15</v>
      </c>
      <c r="B22" s="47">
        <v>77</v>
      </c>
      <c r="C22" s="50" t="s">
        <v>165</v>
      </c>
      <c r="D22" s="50" t="s">
        <v>166</v>
      </c>
      <c r="E22" s="50" t="s">
        <v>167</v>
      </c>
      <c r="F22" s="51" t="s">
        <v>168</v>
      </c>
      <c r="G22" s="127">
        <v>14</v>
      </c>
      <c r="H22" s="127">
        <v>16</v>
      </c>
      <c r="I22" s="127">
        <f t="shared" si="7"/>
        <v>30</v>
      </c>
      <c r="J22" s="127">
        <v>12</v>
      </c>
      <c r="K22" s="128">
        <f t="shared" si="8"/>
        <v>42</v>
      </c>
      <c r="L22" s="127">
        <v>18</v>
      </c>
      <c r="M22" s="127">
        <v>27</v>
      </c>
      <c r="N22" s="127">
        <f t="shared" si="9"/>
        <v>45</v>
      </c>
      <c r="O22" s="127">
        <v>20</v>
      </c>
      <c r="P22" s="128">
        <f t="shared" si="10"/>
        <v>65</v>
      </c>
      <c r="Q22" s="128">
        <f t="shared" si="0"/>
        <v>107</v>
      </c>
      <c r="R22" s="245"/>
      <c r="S22" s="129">
        <f t="shared" si="11"/>
        <v>3</v>
      </c>
      <c r="T22" s="130">
        <v>13</v>
      </c>
      <c r="U22" s="130">
        <v>24</v>
      </c>
      <c r="V22" s="130">
        <f t="shared" si="1"/>
        <v>37</v>
      </c>
      <c r="W22" s="130">
        <v>14</v>
      </c>
      <c r="X22" s="130">
        <v>33</v>
      </c>
      <c r="Y22" s="128">
        <f t="shared" si="12"/>
        <v>47</v>
      </c>
      <c r="Z22" s="128">
        <f t="shared" si="2"/>
        <v>84</v>
      </c>
      <c r="AA22" s="128">
        <f t="shared" si="13"/>
        <v>84</v>
      </c>
      <c r="AB22" s="245"/>
      <c r="AC22" s="129">
        <f t="shared" si="14"/>
        <v>2</v>
      </c>
      <c r="AD22" s="127">
        <v>15</v>
      </c>
      <c r="AE22" s="127">
        <v>13</v>
      </c>
      <c r="AF22" s="127">
        <f t="shared" si="3"/>
        <v>28</v>
      </c>
      <c r="AG22" s="127">
        <v>15</v>
      </c>
      <c r="AH22" s="128">
        <f t="shared" si="15"/>
        <v>43</v>
      </c>
      <c r="AI22" s="245"/>
      <c r="AJ22" s="129">
        <f t="shared" si="16"/>
        <v>2</v>
      </c>
      <c r="AK22" s="127">
        <v>16</v>
      </c>
      <c r="AL22" s="127">
        <v>29</v>
      </c>
      <c r="AM22" s="127">
        <f t="shared" si="4"/>
        <v>45</v>
      </c>
      <c r="AN22" s="127">
        <v>17</v>
      </c>
      <c r="AO22" s="128">
        <f t="shared" si="17"/>
        <v>62</v>
      </c>
      <c r="AP22" s="245"/>
      <c r="AQ22" s="129">
        <f t="shared" si="18"/>
        <v>3.5</v>
      </c>
      <c r="AR22" s="128"/>
      <c r="AS22" s="128">
        <v>20</v>
      </c>
      <c r="AT22" s="127">
        <v>24</v>
      </c>
      <c r="AU22" s="128">
        <f t="shared" si="19"/>
        <v>44</v>
      </c>
      <c r="AV22" s="245"/>
      <c r="AW22" s="129">
        <f t="shared" si="5"/>
        <v>5</v>
      </c>
      <c r="AX22" s="143">
        <v>14</v>
      </c>
      <c r="AY22" s="127">
        <v>37</v>
      </c>
      <c r="AZ22" s="128">
        <f t="shared" si="20"/>
        <v>51</v>
      </c>
      <c r="BA22" s="127">
        <v>18</v>
      </c>
      <c r="BB22" s="128">
        <f t="shared" si="21"/>
        <v>69</v>
      </c>
      <c r="BC22" s="245"/>
      <c r="BD22" s="129">
        <f t="shared" si="22"/>
        <v>3.5</v>
      </c>
      <c r="BE22" s="127">
        <v>17</v>
      </c>
      <c r="BF22" s="127">
        <v>28</v>
      </c>
      <c r="BG22" s="128">
        <f t="shared" si="23"/>
        <v>45</v>
      </c>
      <c r="BH22" s="127">
        <v>20</v>
      </c>
      <c r="BI22" s="128">
        <f t="shared" si="24"/>
        <v>65</v>
      </c>
      <c r="BJ22" s="245"/>
      <c r="BK22" s="129">
        <f t="shared" si="25"/>
        <v>3.5</v>
      </c>
      <c r="BL22" s="127">
        <v>13</v>
      </c>
      <c r="BM22" s="127">
        <v>32</v>
      </c>
      <c r="BN22" s="128">
        <f t="shared" si="26"/>
        <v>45</v>
      </c>
      <c r="BO22" s="127">
        <v>24</v>
      </c>
      <c r="BP22" s="128">
        <f t="shared" si="27"/>
        <v>69</v>
      </c>
      <c r="BQ22" s="245"/>
      <c r="BR22" s="129">
        <f t="shared" si="28"/>
        <v>3.5</v>
      </c>
      <c r="BS22" s="127">
        <v>19</v>
      </c>
      <c r="BT22" s="127">
        <v>20</v>
      </c>
      <c r="BU22" s="128">
        <f t="shared" si="29"/>
        <v>39</v>
      </c>
      <c r="BV22" s="127">
        <v>18</v>
      </c>
      <c r="BW22" s="128">
        <f t="shared" si="30"/>
        <v>57</v>
      </c>
      <c r="BX22" s="245"/>
      <c r="BY22" s="129">
        <f t="shared" si="31"/>
        <v>3</v>
      </c>
      <c r="BZ22" s="127">
        <v>9</v>
      </c>
      <c r="CA22" s="127">
        <v>14</v>
      </c>
      <c r="CB22" s="128">
        <f t="shared" si="32"/>
        <v>23</v>
      </c>
      <c r="CC22" s="127">
        <v>18</v>
      </c>
      <c r="CD22" s="127">
        <v>25</v>
      </c>
      <c r="CE22" s="128">
        <f t="shared" si="33"/>
        <v>66</v>
      </c>
      <c r="CF22" s="245"/>
      <c r="CG22" s="129">
        <f t="shared" si="34"/>
        <v>3.5</v>
      </c>
      <c r="CH22" s="129">
        <f t="shared" si="35"/>
        <v>3.5</v>
      </c>
      <c r="CI22" s="128">
        <f t="shared" si="6"/>
        <v>30.5</v>
      </c>
      <c r="CJ22" s="131">
        <f t="shared" si="36"/>
        <v>3.3888888888888888</v>
      </c>
      <c r="CK22" s="126" t="str">
        <f t="shared" si="37"/>
        <v>GOOD</v>
      </c>
      <c r="CL22" s="126">
        <f t="shared" si="38"/>
        <v>666</v>
      </c>
      <c r="CM22" s="79"/>
      <c r="CN22" s="79"/>
      <c r="CO22" s="41">
        <f>'1ST_SEMESTER'!CL29</f>
        <v>0</v>
      </c>
      <c r="CP22" s="41">
        <f>'2ND_SEMESTER'!CL32</f>
        <v>452</v>
      </c>
      <c r="CQ22" s="41">
        <f t="shared" si="39"/>
        <v>666</v>
      </c>
      <c r="CR22" s="41">
        <f t="shared" si="40"/>
        <v>372.66666666666669</v>
      </c>
      <c r="CS22" s="168" t="str">
        <f>'1ST_SEMESTER'!CJ23</f>
        <v>F</v>
      </c>
      <c r="CT22" s="169" t="str">
        <f>'2ND_SEMESTER'!CJ22</f>
        <v>F</v>
      </c>
      <c r="CU22" s="169">
        <f t="shared" si="41"/>
        <v>3.3888888888888888</v>
      </c>
      <c r="CV22" s="169">
        <f t="shared" si="42"/>
        <v>3.3888888888888888</v>
      </c>
      <c r="CW22" s="170"/>
    </row>
    <row r="23" spans="1:101" ht="24.95" customHeight="1">
      <c r="A23" s="46">
        <v>16</v>
      </c>
      <c r="B23" s="47">
        <v>80</v>
      </c>
      <c r="C23" s="50" t="s">
        <v>169</v>
      </c>
      <c r="D23" s="50" t="s">
        <v>170</v>
      </c>
      <c r="E23" s="50" t="s">
        <v>171</v>
      </c>
      <c r="F23" s="51" t="s">
        <v>172</v>
      </c>
      <c r="G23" s="127">
        <v>8</v>
      </c>
      <c r="H23" s="127">
        <v>2</v>
      </c>
      <c r="I23" s="127">
        <f t="shared" si="7"/>
        <v>10</v>
      </c>
      <c r="J23" s="127">
        <v>12</v>
      </c>
      <c r="K23" s="128">
        <f t="shared" si="8"/>
        <v>22</v>
      </c>
      <c r="L23" s="127">
        <v>16</v>
      </c>
      <c r="M23" s="127">
        <v>20</v>
      </c>
      <c r="N23" s="127">
        <f t="shared" si="9"/>
        <v>36</v>
      </c>
      <c r="O23" s="127">
        <v>18</v>
      </c>
      <c r="P23" s="128">
        <f t="shared" si="10"/>
        <v>54</v>
      </c>
      <c r="Q23" s="128">
        <f t="shared" si="0"/>
        <v>76</v>
      </c>
      <c r="R23" s="245"/>
      <c r="S23" s="129" t="str">
        <f t="shared" si="11"/>
        <v>F</v>
      </c>
      <c r="T23" s="130">
        <v>14</v>
      </c>
      <c r="U23" s="130">
        <v>24</v>
      </c>
      <c r="V23" s="130">
        <f t="shared" si="1"/>
        <v>38</v>
      </c>
      <c r="W23" s="130">
        <v>15</v>
      </c>
      <c r="X23" s="130">
        <v>19</v>
      </c>
      <c r="Y23" s="128">
        <f t="shared" si="12"/>
        <v>34</v>
      </c>
      <c r="Z23" s="128">
        <f t="shared" si="2"/>
        <v>72</v>
      </c>
      <c r="AA23" s="128">
        <f t="shared" si="13"/>
        <v>72</v>
      </c>
      <c r="AB23" s="245"/>
      <c r="AC23" s="129" t="str">
        <f t="shared" si="14"/>
        <v>F</v>
      </c>
      <c r="AD23" s="127">
        <v>10</v>
      </c>
      <c r="AE23" s="127">
        <v>0</v>
      </c>
      <c r="AF23" s="127">
        <f t="shared" si="3"/>
        <v>10</v>
      </c>
      <c r="AG23" s="127">
        <v>15</v>
      </c>
      <c r="AH23" s="128">
        <f t="shared" si="15"/>
        <v>25</v>
      </c>
      <c r="AI23" s="245"/>
      <c r="AJ23" s="129" t="str">
        <f t="shared" si="16"/>
        <v>F</v>
      </c>
      <c r="AK23" s="127">
        <v>8</v>
      </c>
      <c r="AL23" s="127">
        <v>12</v>
      </c>
      <c r="AM23" s="127">
        <f t="shared" si="4"/>
        <v>20</v>
      </c>
      <c r="AN23" s="127">
        <v>16</v>
      </c>
      <c r="AO23" s="128">
        <f t="shared" si="17"/>
        <v>36</v>
      </c>
      <c r="AP23" s="245"/>
      <c r="AQ23" s="129" t="str">
        <f t="shared" si="18"/>
        <v>F</v>
      </c>
      <c r="AR23" s="128"/>
      <c r="AS23" s="128">
        <v>19</v>
      </c>
      <c r="AT23" s="127">
        <v>24</v>
      </c>
      <c r="AU23" s="128">
        <f t="shared" si="19"/>
        <v>43</v>
      </c>
      <c r="AV23" s="245"/>
      <c r="AW23" s="129">
        <f t="shared" si="5"/>
        <v>5</v>
      </c>
      <c r="AX23" s="143">
        <v>13</v>
      </c>
      <c r="AY23" s="127">
        <v>23</v>
      </c>
      <c r="AZ23" s="128">
        <f t="shared" si="20"/>
        <v>36</v>
      </c>
      <c r="BA23" s="127">
        <v>18</v>
      </c>
      <c r="BB23" s="128">
        <f t="shared" si="21"/>
        <v>54</v>
      </c>
      <c r="BC23" s="245"/>
      <c r="BD23" s="129">
        <f t="shared" si="22"/>
        <v>3</v>
      </c>
      <c r="BE23" s="127">
        <v>15</v>
      </c>
      <c r="BF23" s="127">
        <v>16</v>
      </c>
      <c r="BG23" s="128">
        <f t="shared" si="23"/>
        <v>31</v>
      </c>
      <c r="BH23" s="127">
        <v>18</v>
      </c>
      <c r="BI23" s="128">
        <f t="shared" si="24"/>
        <v>49</v>
      </c>
      <c r="BJ23" s="245"/>
      <c r="BK23" s="129">
        <f t="shared" si="25"/>
        <v>2</v>
      </c>
      <c r="BL23" s="127">
        <v>14</v>
      </c>
      <c r="BM23" s="127">
        <v>23</v>
      </c>
      <c r="BN23" s="128">
        <f t="shared" si="26"/>
        <v>37</v>
      </c>
      <c r="BO23" s="127">
        <v>26</v>
      </c>
      <c r="BP23" s="128">
        <f t="shared" si="27"/>
        <v>63</v>
      </c>
      <c r="BQ23" s="245"/>
      <c r="BR23" s="129">
        <f t="shared" si="28"/>
        <v>3.5</v>
      </c>
      <c r="BS23" s="127">
        <v>17</v>
      </c>
      <c r="BT23" s="127">
        <v>1</v>
      </c>
      <c r="BU23" s="128">
        <f t="shared" si="29"/>
        <v>18</v>
      </c>
      <c r="BV23" s="127">
        <v>18</v>
      </c>
      <c r="BW23" s="128">
        <f t="shared" si="30"/>
        <v>36</v>
      </c>
      <c r="BX23" s="245"/>
      <c r="BY23" s="129" t="str">
        <f t="shared" si="31"/>
        <v>F</v>
      </c>
      <c r="BZ23" s="127">
        <v>6</v>
      </c>
      <c r="CA23" s="127">
        <v>4</v>
      </c>
      <c r="CB23" s="128">
        <f t="shared" si="32"/>
        <v>10</v>
      </c>
      <c r="CC23" s="127">
        <v>20</v>
      </c>
      <c r="CD23" s="127">
        <v>25</v>
      </c>
      <c r="CE23" s="128">
        <f t="shared" si="33"/>
        <v>55</v>
      </c>
      <c r="CF23" s="245"/>
      <c r="CG23" s="129" t="str">
        <f t="shared" si="34"/>
        <v>0</v>
      </c>
      <c r="CH23" s="129" t="str">
        <f t="shared" si="35"/>
        <v>F</v>
      </c>
      <c r="CI23" s="128" t="str">
        <f t="shared" si="6"/>
        <v>F</v>
      </c>
      <c r="CJ23" s="131" t="str">
        <f t="shared" si="36"/>
        <v>F</v>
      </c>
      <c r="CK23" s="126" t="str">
        <f t="shared" si="37"/>
        <v>NEED TO PROGRESS</v>
      </c>
      <c r="CL23" s="126">
        <f t="shared" si="38"/>
        <v>509</v>
      </c>
      <c r="CM23" s="79"/>
      <c r="CN23" s="79"/>
      <c r="CO23" s="41">
        <f>'1ST_SEMESTER'!CL30</f>
        <v>464</v>
      </c>
      <c r="CP23" s="41">
        <f>'2ND_SEMESTER'!CL33</f>
        <v>0</v>
      </c>
      <c r="CQ23" s="41">
        <f t="shared" si="39"/>
        <v>509</v>
      </c>
      <c r="CR23" s="41">
        <f t="shared" si="40"/>
        <v>324.33333333333331</v>
      </c>
      <c r="CS23" s="168" t="str">
        <f>'1ST_SEMESTER'!CJ24</f>
        <v>F</v>
      </c>
      <c r="CT23" s="169" t="str">
        <f>'2ND_SEMESTER'!CJ23</f>
        <v>F</v>
      </c>
      <c r="CU23" s="169" t="str">
        <f t="shared" si="41"/>
        <v>F</v>
      </c>
      <c r="CV23" s="169" t="e">
        <f t="shared" si="42"/>
        <v>#DIV/0!</v>
      </c>
      <c r="CW23" s="170"/>
    </row>
    <row r="24" spans="1:101" ht="24.95" customHeight="1">
      <c r="A24" s="46">
        <v>17</v>
      </c>
      <c r="B24" s="47">
        <v>81</v>
      </c>
      <c r="C24" s="50" t="s">
        <v>173</v>
      </c>
      <c r="D24" s="50" t="s">
        <v>174</v>
      </c>
      <c r="E24" s="50" t="s">
        <v>175</v>
      </c>
      <c r="F24" s="51" t="s">
        <v>176</v>
      </c>
      <c r="G24" s="127">
        <v>12</v>
      </c>
      <c r="H24" s="127">
        <v>16</v>
      </c>
      <c r="I24" s="127">
        <f t="shared" si="7"/>
        <v>28</v>
      </c>
      <c r="J24" s="127">
        <v>12</v>
      </c>
      <c r="K24" s="128">
        <f t="shared" si="8"/>
        <v>40</v>
      </c>
      <c r="L24" s="127">
        <v>14</v>
      </c>
      <c r="M24" s="127">
        <v>14</v>
      </c>
      <c r="N24" s="127">
        <f t="shared" si="9"/>
        <v>28</v>
      </c>
      <c r="O24" s="127">
        <v>21</v>
      </c>
      <c r="P24" s="128">
        <f t="shared" si="10"/>
        <v>49</v>
      </c>
      <c r="Q24" s="128">
        <f t="shared" si="0"/>
        <v>89</v>
      </c>
      <c r="R24" s="245"/>
      <c r="S24" s="129">
        <f t="shared" si="11"/>
        <v>2</v>
      </c>
      <c r="T24" s="130">
        <v>13</v>
      </c>
      <c r="U24" s="130">
        <v>26</v>
      </c>
      <c r="V24" s="130">
        <f t="shared" si="1"/>
        <v>39</v>
      </c>
      <c r="W24" s="130">
        <v>16</v>
      </c>
      <c r="X24" s="130">
        <v>30</v>
      </c>
      <c r="Y24" s="128">
        <f t="shared" si="12"/>
        <v>46</v>
      </c>
      <c r="Z24" s="128">
        <f t="shared" si="2"/>
        <v>85</v>
      </c>
      <c r="AA24" s="128">
        <f t="shared" si="13"/>
        <v>85</v>
      </c>
      <c r="AB24" s="245"/>
      <c r="AC24" s="129">
        <f t="shared" si="14"/>
        <v>2</v>
      </c>
      <c r="AD24" s="127">
        <v>13</v>
      </c>
      <c r="AE24" s="127">
        <v>16</v>
      </c>
      <c r="AF24" s="127">
        <f t="shared" si="3"/>
        <v>29</v>
      </c>
      <c r="AG24" s="127">
        <v>12</v>
      </c>
      <c r="AH24" s="128">
        <f t="shared" si="15"/>
        <v>41</v>
      </c>
      <c r="AI24" s="245"/>
      <c r="AJ24" s="129">
        <f t="shared" si="16"/>
        <v>2</v>
      </c>
      <c r="AK24" s="127">
        <v>12</v>
      </c>
      <c r="AL24" s="127">
        <v>20</v>
      </c>
      <c r="AM24" s="127">
        <f t="shared" si="4"/>
        <v>32</v>
      </c>
      <c r="AN24" s="127">
        <v>17</v>
      </c>
      <c r="AO24" s="128">
        <f t="shared" si="17"/>
        <v>49</v>
      </c>
      <c r="AP24" s="245"/>
      <c r="AQ24" s="129">
        <f t="shared" si="18"/>
        <v>2</v>
      </c>
      <c r="AR24" s="128"/>
      <c r="AS24" s="128">
        <v>17</v>
      </c>
      <c r="AT24" s="127">
        <v>24</v>
      </c>
      <c r="AU24" s="128">
        <f t="shared" si="19"/>
        <v>41</v>
      </c>
      <c r="AV24" s="245"/>
      <c r="AW24" s="129">
        <f t="shared" si="5"/>
        <v>5</v>
      </c>
      <c r="AX24" s="143">
        <v>13</v>
      </c>
      <c r="AY24" s="127">
        <v>28</v>
      </c>
      <c r="AZ24" s="128">
        <f t="shared" si="20"/>
        <v>41</v>
      </c>
      <c r="BA24" s="127">
        <v>16</v>
      </c>
      <c r="BB24" s="128">
        <f t="shared" si="21"/>
        <v>57</v>
      </c>
      <c r="BC24" s="245"/>
      <c r="BD24" s="129">
        <f t="shared" si="22"/>
        <v>3</v>
      </c>
      <c r="BE24" s="127">
        <v>16</v>
      </c>
      <c r="BF24" s="127">
        <v>21</v>
      </c>
      <c r="BG24" s="128">
        <f t="shared" si="23"/>
        <v>37</v>
      </c>
      <c r="BH24" s="127">
        <v>18</v>
      </c>
      <c r="BI24" s="128">
        <f t="shared" si="24"/>
        <v>55</v>
      </c>
      <c r="BJ24" s="245"/>
      <c r="BK24" s="129">
        <f t="shared" si="25"/>
        <v>3</v>
      </c>
      <c r="BL24" s="127">
        <v>13</v>
      </c>
      <c r="BM24" s="127">
        <v>23</v>
      </c>
      <c r="BN24" s="128">
        <f t="shared" si="26"/>
        <v>36</v>
      </c>
      <c r="BO24" s="127">
        <v>26</v>
      </c>
      <c r="BP24" s="128">
        <f t="shared" si="27"/>
        <v>62</v>
      </c>
      <c r="BQ24" s="245"/>
      <c r="BR24" s="129">
        <f t="shared" si="28"/>
        <v>3.5</v>
      </c>
      <c r="BS24" s="127">
        <v>16</v>
      </c>
      <c r="BT24" s="127">
        <v>20</v>
      </c>
      <c r="BU24" s="128">
        <f t="shared" si="29"/>
        <v>36</v>
      </c>
      <c r="BV24" s="127">
        <v>18</v>
      </c>
      <c r="BW24" s="128">
        <f t="shared" si="30"/>
        <v>54</v>
      </c>
      <c r="BX24" s="245"/>
      <c r="BY24" s="129">
        <f t="shared" si="31"/>
        <v>3</v>
      </c>
      <c r="BZ24" s="127">
        <v>6</v>
      </c>
      <c r="CA24" s="127">
        <v>7</v>
      </c>
      <c r="CB24" s="128">
        <f t="shared" si="32"/>
        <v>13</v>
      </c>
      <c r="CC24" s="127">
        <v>22</v>
      </c>
      <c r="CD24" s="127">
        <v>25</v>
      </c>
      <c r="CE24" s="128">
        <f t="shared" si="33"/>
        <v>60</v>
      </c>
      <c r="CF24" s="245"/>
      <c r="CG24" s="129" t="str">
        <f t="shared" si="34"/>
        <v>0</v>
      </c>
      <c r="CH24" s="129" t="str">
        <f t="shared" si="35"/>
        <v>F</v>
      </c>
      <c r="CI24" s="128">
        <f t="shared" si="6"/>
        <v>23.5</v>
      </c>
      <c r="CJ24" s="131">
        <f t="shared" si="36"/>
        <v>2.6111111111111112</v>
      </c>
      <c r="CK24" s="126" t="str">
        <f t="shared" si="37"/>
        <v>GOOD</v>
      </c>
      <c r="CL24" s="126">
        <f t="shared" si="38"/>
        <v>593</v>
      </c>
      <c r="CM24" s="79"/>
      <c r="CN24" s="79"/>
      <c r="CO24" s="41">
        <f>'1ST_SEMESTER'!CL31</f>
        <v>396</v>
      </c>
      <c r="CP24" s="41">
        <f>'2ND_SEMESTER'!CL34</f>
        <v>690</v>
      </c>
      <c r="CQ24" s="41">
        <f t="shared" si="39"/>
        <v>593</v>
      </c>
      <c r="CR24" s="41">
        <f t="shared" si="40"/>
        <v>559.66666666666663</v>
      </c>
      <c r="CS24" s="168" t="str">
        <f>'1ST_SEMESTER'!CJ25</f>
        <v>F</v>
      </c>
      <c r="CT24" s="169" t="str">
        <f>'2ND_SEMESTER'!CJ24</f>
        <v>F</v>
      </c>
      <c r="CU24" s="169">
        <f t="shared" si="41"/>
        <v>2.6111111111111112</v>
      </c>
      <c r="CV24" s="169">
        <f t="shared" si="42"/>
        <v>2.6111111111111112</v>
      </c>
      <c r="CW24" s="170"/>
    </row>
    <row r="25" spans="1:101" ht="24.95" customHeight="1">
      <c r="A25" s="46">
        <v>18</v>
      </c>
      <c r="B25" s="47">
        <v>82</v>
      </c>
      <c r="C25" s="54" t="s">
        <v>177</v>
      </c>
      <c r="D25" s="54" t="s">
        <v>178</v>
      </c>
      <c r="E25" s="54" t="s">
        <v>179</v>
      </c>
      <c r="F25" s="51" t="s">
        <v>180</v>
      </c>
      <c r="G25" s="127">
        <v>13</v>
      </c>
      <c r="H25" s="127">
        <v>15</v>
      </c>
      <c r="I25" s="127">
        <f t="shared" si="7"/>
        <v>28</v>
      </c>
      <c r="J25" s="127">
        <v>13</v>
      </c>
      <c r="K25" s="128">
        <f t="shared" si="8"/>
        <v>41</v>
      </c>
      <c r="L25" s="127">
        <v>16</v>
      </c>
      <c r="M25" s="127">
        <v>23</v>
      </c>
      <c r="N25" s="127">
        <f t="shared" si="9"/>
        <v>39</v>
      </c>
      <c r="O25" s="127">
        <v>19</v>
      </c>
      <c r="P25" s="128">
        <f t="shared" si="10"/>
        <v>58</v>
      </c>
      <c r="Q25" s="128">
        <f t="shared" si="0"/>
        <v>99</v>
      </c>
      <c r="R25" s="245"/>
      <c r="S25" s="129">
        <f t="shared" si="11"/>
        <v>2</v>
      </c>
      <c r="T25" s="130">
        <v>13</v>
      </c>
      <c r="U25" s="130">
        <v>34</v>
      </c>
      <c r="V25" s="130">
        <f t="shared" si="1"/>
        <v>47</v>
      </c>
      <c r="W25" s="130">
        <v>17</v>
      </c>
      <c r="X25" s="130">
        <v>30</v>
      </c>
      <c r="Y25" s="128">
        <f t="shared" si="12"/>
        <v>47</v>
      </c>
      <c r="Z25" s="128">
        <f t="shared" si="2"/>
        <v>94</v>
      </c>
      <c r="AA25" s="128">
        <f t="shared" si="13"/>
        <v>94</v>
      </c>
      <c r="AB25" s="245"/>
      <c r="AC25" s="129">
        <f t="shared" si="14"/>
        <v>2</v>
      </c>
      <c r="AD25" s="127">
        <v>12</v>
      </c>
      <c r="AE25" s="127">
        <v>16</v>
      </c>
      <c r="AF25" s="127">
        <f t="shared" si="3"/>
        <v>28</v>
      </c>
      <c r="AG25" s="127">
        <v>16</v>
      </c>
      <c r="AH25" s="128">
        <f t="shared" si="15"/>
        <v>44</v>
      </c>
      <c r="AI25" s="245"/>
      <c r="AJ25" s="129">
        <f t="shared" si="16"/>
        <v>2</v>
      </c>
      <c r="AK25" s="127">
        <v>8</v>
      </c>
      <c r="AL25" s="127">
        <v>20</v>
      </c>
      <c r="AM25" s="127">
        <f t="shared" si="4"/>
        <v>28</v>
      </c>
      <c r="AN25" s="127">
        <v>15</v>
      </c>
      <c r="AO25" s="128">
        <f t="shared" si="17"/>
        <v>43</v>
      </c>
      <c r="AP25" s="245"/>
      <c r="AQ25" s="129">
        <f t="shared" si="18"/>
        <v>2</v>
      </c>
      <c r="AR25" s="128"/>
      <c r="AS25" s="128">
        <v>17</v>
      </c>
      <c r="AT25" s="127">
        <v>24</v>
      </c>
      <c r="AU25" s="128">
        <f t="shared" si="19"/>
        <v>41</v>
      </c>
      <c r="AV25" s="245"/>
      <c r="AW25" s="129">
        <f t="shared" si="5"/>
        <v>5</v>
      </c>
      <c r="AX25" s="143">
        <v>15</v>
      </c>
      <c r="AY25" s="127">
        <v>23</v>
      </c>
      <c r="AZ25" s="128">
        <f t="shared" si="20"/>
        <v>38</v>
      </c>
      <c r="BA25" s="127">
        <v>17</v>
      </c>
      <c r="BB25" s="128">
        <f t="shared" si="21"/>
        <v>55</v>
      </c>
      <c r="BC25" s="245"/>
      <c r="BD25" s="129">
        <f t="shared" si="22"/>
        <v>3</v>
      </c>
      <c r="BE25" s="127">
        <v>19</v>
      </c>
      <c r="BF25" s="127">
        <v>26</v>
      </c>
      <c r="BG25" s="128">
        <f t="shared" si="23"/>
        <v>45</v>
      </c>
      <c r="BH25" s="127">
        <v>21</v>
      </c>
      <c r="BI25" s="128">
        <f t="shared" si="24"/>
        <v>66</v>
      </c>
      <c r="BJ25" s="245"/>
      <c r="BK25" s="129">
        <f t="shared" si="25"/>
        <v>3.5</v>
      </c>
      <c r="BL25" s="127">
        <v>13</v>
      </c>
      <c r="BM25" s="127">
        <v>23</v>
      </c>
      <c r="BN25" s="128">
        <f t="shared" si="26"/>
        <v>36</v>
      </c>
      <c r="BO25" s="127">
        <v>28</v>
      </c>
      <c r="BP25" s="128">
        <f t="shared" si="27"/>
        <v>64</v>
      </c>
      <c r="BQ25" s="245"/>
      <c r="BR25" s="129">
        <f t="shared" si="28"/>
        <v>3.5</v>
      </c>
      <c r="BS25" s="127">
        <v>17</v>
      </c>
      <c r="BT25" s="127">
        <v>21</v>
      </c>
      <c r="BU25" s="128">
        <f t="shared" si="29"/>
        <v>38</v>
      </c>
      <c r="BV25" s="127">
        <v>19</v>
      </c>
      <c r="BW25" s="128">
        <f t="shared" si="30"/>
        <v>57</v>
      </c>
      <c r="BX25" s="245"/>
      <c r="BY25" s="129">
        <f t="shared" si="31"/>
        <v>3</v>
      </c>
      <c r="BZ25" s="127">
        <v>6</v>
      </c>
      <c r="CA25" s="127">
        <v>21</v>
      </c>
      <c r="CB25" s="128">
        <f t="shared" si="32"/>
        <v>27</v>
      </c>
      <c r="CC25" s="127">
        <v>20</v>
      </c>
      <c r="CD25" s="127">
        <v>25</v>
      </c>
      <c r="CE25" s="128">
        <f t="shared" si="33"/>
        <v>72</v>
      </c>
      <c r="CF25" s="245"/>
      <c r="CG25" s="129">
        <f t="shared" si="34"/>
        <v>4</v>
      </c>
      <c r="CH25" s="129">
        <f t="shared" si="35"/>
        <v>4</v>
      </c>
      <c r="CI25" s="128">
        <f t="shared" si="6"/>
        <v>28</v>
      </c>
      <c r="CJ25" s="131">
        <f t="shared" si="36"/>
        <v>3.1111111111111112</v>
      </c>
      <c r="CK25" s="126" t="str">
        <f t="shared" si="37"/>
        <v>GOOD</v>
      </c>
      <c r="CL25" s="126">
        <f t="shared" si="38"/>
        <v>635</v>
      </c>
      <c r="CM25" s="79"/>
      <c r="CN25" s="79"/>
      <c r="CO25" s="41">
        <f>'1ST_SEMESTER'!CL32</f>
        <v>0</v>
      </c>
      <c r="CP25" s="41">
        <f>'2ND_SEMESTER'!CL35</f>
        <v>528</v>
      </c>
      <c r="CQ25" s="41">
        <f t="shared" si="39"/>
        <v>635</v>
      </c>
      <c r="CR25" s="41">
        <f t="shared" si="40"/>
        <v>387.66666666666669</v>
      </c>
      <c r="CS25" s="168" t="str">
        <f>'1ST_SEMESTER'!CJ26</f>
        <v>F</v>
      </c>
      <c r="CT25" s="169" t="str">
        <f>'2ND_SEMESTER'!CJ25</f>
        <v>F</v>
      </c>
      <c r="CU25" s="169">
        <f t="shared" si="41"/>
        <v>3.1111111111111112</v>
      </c>
      <c r="CV25" s="169">
        <f t="shared" si="42"/>
        <v>3.1111111111111112</v>
      </c>
      <c r="CW25" s="170"/>
    </row>
    <row r="26" spans="1:101" s="56" customFormat="1" ht="24.95" customHeight="1">
      <c r="A26" s="55">
        <v>19</v>
      </c>
      <c r="B26" s="47">
        <v>84</v>
      </c>
      <c r="C26" s="50" t="s">
        <v>181</v>
      </c>
      <c r="D26" s="50" t="s">
        <v>182</v>
      </c>
      <c r="E26" s="50" t="s">
        <v>183</v>
      </c>
      <c r="F26" s="51" t="s">
        <v>184</v>
      </c>
      <c r="G26" s="127">
        <v>11</v>
      </c>
      <c r="H26" s="127">
        <v>17</v>
      </c>
      <c r="I26" s="127">
        <f t="shared" si="7"/>
        <v>28</v>
      </c>
      <c r="J26" s="127">
        <v>14</v>
      </c>
      <c r="K26" s="127">
        <f t="shared" si="8"/>
        <v>42</v>
      </c>
      <c r="L26" s="127">
        <v>15</v>
      </c>
      <c r="M26" s="127">
        <v>19</v>
      </c>
      <c r="N26" s="127">
        <f t="shared" si="9"/>
        <v>34</v>
      </c>
      <c r="O26" s="127">
        <v>19</v>
      </c>
      <c r="P26" s="127">
        <f t="shared" si="10"/>
        <v>53</v>
      </c>
      <c r="Q26" s="128">
        <f t="shared" si="0"/>
        <v>95</v>
      </c>
      <c r="R26" s="245"/>
      <c r="S26" s="129">
        <f t="shared" si="11"/>
        <v>2</v>
      </c>
      <c r="T26" s="127">
        <v>12</v>
      </c>
      <c r="U26" s="127">
        <v>32</v>
      </c>
      <c r="V26" s="130">
        <f t="shared" si="1"/>
        <v>44</v>
      </c>
      <c r="W26" s="127">
        <v>13</v>
      </c>
      <c r="X26" s="127">
        <v>26</v>
      </c>
      <c r="Y26" s="128">
        <f t="shared" si="12"/>
        <v>39</v>
      </c>
      <c r="Z26" s="128">
        <f t="shared" si="2"/>
        <v>83</v>
      </c>
      <c r="AA26" s="128">
        <f t="shared" si="13"/>
        <v>83</v>
      </c>
      <c r="AB26" s="245"/>
      <c r="AC26" s="129">
        <f t="shared" si="14"/>
        <v>2</v>
      </c>
      <c r="AD26" s="127">
        <v>10</v>
      </c>
      <c r="AE26" s="127">
        <v>18</v>
      </c>
      <c r="AF26" s="127">
        <f t="shared" si="3"/>
        <v>28</v>
      </c>
      <c r="AG26" s="127">
        <v>14</v>
      </c>
      <c r="AH26" s="128">
        <f t="shared" si="15"/>
        <v>42</v>
      </c>
      <c r="AI26" s="245"/>
      <c r="AJ26" s="137">
        <f t="shared" si="16"/>
        <v>2</v>
      </c>
      <c r="AK26" s="127">
        <v>13</v>
      </c>
      <c r="AL26" s="127">
        <v>17</v>
      </c>
      <c r="AM26" s="127">
        <f t="shared" si="4"/>
        <v>30</v>
      </c>
      <c r="AN26" s="127">
        <v>16</v>
      </c>
      <c r="AO26" s="128">
        <f t="shared" si="17"/>
        <v>46</v>
      </c>
      <c r="AP26" s="245"/>
      <c r="AQ26" s="137">
        <f t="shared" si="18"/>
        <v>2</v>
      </c>
      <c r="AR26" s="127"/>
      <c r="AS26" s="127">
        <v>20</v>
      </c>
      <c r="AT26" s="127">
        <v>24</v>
      </c>
      <c r="AU26" s="128">
        <f t="shared" si="19"/>
        <v>44</v>
      </c>
      <c r="AV26" s="245"/>
      <c r="AW26" s="129">
        <f t="shared" si="5"/>
        <v>5</v>
      </c>
      <c r="AX26" s="143">
        <v>12</v>
      </c>
      <c r="AY26" s="127">
        <v>23</v>
      </c>
      <c r="AZ26" s="128">
        <f t="shared" si="20"/>
        <v>35</v>
      </c>
      <c r="BA26" s="127">
        <v>14</v>
      </c>
      <c r="BB26" s="128">
        <f t="shared" si="21"/>
        <v>49</v>
      </c>
      <c r="BC26" s="245"/>
      <c r="BD26" s="137">
        <f t="shared" si="22"/>
        <v>2</v>
      </c>
      <c r="BE26" s="127">
        <v>13</v>
      </c>
      <c r="BF26" s="127">
        <v>24</v>
      </c>
      <c r="BG26" s="128">
        <f t="shared" si="23"/>
        <v>37</v>
      </c>
      <c r="BH26" s="127">
        <v>19</v>
      </c>
      <c r="BI26" s="128">
        <f t="shared" si="24"/>
        <v>56</v>
      </c>
      <c r="BJ26" s="245"/>
      <c r="BK26" s="129">
        <f t="shared" si="25"/>
        <v>3</v>
      </c>
      <c r="BL26" s="127">
        <v>13</v>
      </c>
      <c r="BM26" s="127">
        <v>37</v>
      </c>
      <c r="BN26" s="128">
        <f t="shared" si="26"/>
        <v>50</v>
      </c>
      <c r="BO26" s="127">
        <v>26</v>
      </c>
      <c r="BP26" s="128">
        <f t="shared" si="27"/>
        <v>76</v>
      </c>
      <c r="BQ26" s="245"/>
      <c r="BR26" s="137">
        <f t="shared" si="28"/>
        <v>4</v>
      </c>
      <c r="BS26" s="127">
        <v>15</v>
      </c>
      <c r="BT26" s="127">
        <v>20</v>
      </c>
      <c r="BU26" s="128">
        <f t="shared" si="29"/>
        <v>35</v>
      </c>
      <c r="BV26" s="127">
        <v>13</v>
      </c>
      <c r="BW26" s="128">
        <f t="shared" si="30"/>
        <v>48</v>
      </c>
      <c r="BX26" s="245"/>
      <c r="BY26" s="137">
        <f t="shared" si="31"/>
        <v>2</v>
      </c>
      <c r="BZ26" s="127">
        <v>6</v>
      </c>
      <c r="CA26" s="127">
        <v>19</v>
      </c>
      <c r="CB26" s="128">
        <f t="shared" si="32"/>
        <v>25</v>
      </c>
      <c r="CC26" s="127">
        <v>18</v>
      </c>
      <c r="CD26" s="127">
        <v>25</v>
      </c>
      <c r="CE26" s="128">
        <f t="shared" si="33"/>
        <v>68</v>
      </c>
      <c r="CF26" s="245"/>
      <c r="CG26" s="129">
        <f t="shared" si="34"/>
        <v>3.5</v>
      </c>
      <c r="CH26" s="129">
        <f t="shared" si="35"/>
        <v>3.5</v>
      </c>
      <c r="CI26" s="128">
        <f t="shared" si="6"/>
        <v>25.5</v>
      </c>
      <c r="CJ26" s="131">
        <f t="shared" si="36"/>
        <v>2.8333333333333335</v>
      </c>
      <c r="CK26" s="126" t="str">
        <f t="shared" si="37"/>
        <v>GOOD</v>
      </c>
      <c r="CL26" s="126">
        <f t="shared" si="38"/>
        <v>607</v>
      </c>
      <c r="CM26" s="97"/>
      <c r="CN26" s="97"/>
      <c r="CO26" s="41">
        <f>'1ST_SEMESTER'!CL33</f>
        <v>351</v>
      </c>
      <c r="CP26" s="41">
        <f>'2ND_SEMESTER'!CL36</f>
        <v>612</v>
      </c>
      <c r="CQ26" s="41">
        <f t="shared" si="39"/>
        <v>607</v>
      </c>
      <c r="CR26" s="41">
        <f t="shared" si="40"/>
        <v>523.33333333333337</v>
      </c>
      <c r="CS26" s="168" t="str">
        <f>'1ST_SEMESTER'!CJ27</f>
        <v>F</v>
      </c>
      <c r="CT26" s="169" t="str">
        <f>'2ND_SEMESTER'!CJ26</f>
        <v>F</v>
      </c>
      <c r="CU26" s="169">
        <f t="shared" si="41"/>
        <v>2.8333333333333335</v>
      </c>
      <c r="CV26" s="169">
        <f t="shared" si="42"/>
        <v>2.8333333333333335</v>
      </c>
      <c r="CW26" s="170"/>
    </row>
    <row r="27" spans="1:101" s="56" customFormat="1" ht="24.95" customHeight="1">
      <c r="A27" s="55">
        <v>20</v>
      </c>
      <c r="B27" s="47">
        <v>85</v>
      </c>
      <c r="C27" s="50" t="s">
        <v>185</v>
      </c>
      <c r="D27" s="50" t="s">
        <v>186</v>
      </c>
      <c r="E27" s="50" t="s">
        <v>187</v>
      </c>
      <c r="F27" s="51" t="s">
        <v>188</v>
      </c>
      <c r="G27" s="127">
        <v>13</v>
      </c>
      <c r="H27" s="127">
        <v>15</v>
      </c>
      <c r="I27" s="127">
        <f t="shared" si="7"/>
        <v>28</v>
      </c>
      <c r="J27" s="127">
        <v>16</v>
      </c>
      <c r="K27" s="127">
        <f t="shared" si="8"/>
        <v>44</v>
      </c>
      <c r="L27" s="127">
        <v>16</v>
      </c>
      <c r="M27" s="127">
        <v>22</v>
      </c>
      <c r="N27" s="127">
        <f t="shared" si="9"/>
        <v>38</v>
      </c>
      <c r="O27" s="127">
        <v>19</v>
      </c>
      <c r="P27" s="127">
        <f t="shared" si="10"/>
        <v>57</v>
      </c>
      <c r="Q27" s="128">
        <f t="shared" si="0"/>
        <v>101</v>
      </c>
      <c r="R27" s="245"/>
      <c r="S27" s="129">
        <f t="shared" si="11"/>
        <v>3</v>
      </c>
      <c r="T27" s="127">
        <v>13</v>
      </c>
      <c r="U27" s="127">
        <v>32</v>
      </c>
      <c r="V27" s="130">
        <f t="shared" si="1"/>
        <v>45</v>
      </c>
      <c r="W27" s="127">
        <v>15</v>
      </c>
      <c r="X27" s="127">
        <v>33</v>
      </c>
      <c r="Y27" s="128">
        <f t="shared" si="12"/>
        <v>48</v>
      </c>
      <c r="Z27" s="128">
        <f t="shared" si="2"/>
        <v>93</v>
      </c>
      <c r="AA27" s="128">
        <f t="shared" si="13"/>
        <v>93</v>
      </c>
      <c r="AB27" s="245"/>
      <c r="AC27" s="129">
        <f t="shared" si="14"/>
        <v>2</v>
      </c>
      <c r="AD27" s="127">
        <v>10</v>
      </c>
      <c r="AE27" s="127">
        <v>12</v>
      </c>
      <c r="AF27" s="127">
        <f t="shared" si="3"/>
        <v>22</v>
      </c>
      <c r="AG27" s="127">
        <v>8</v>
      </c>
      <c r="AH27" s="128">
        <f t="shared" si="15"/>
        <v>30</v>
      </c>
      <c r="AI27" s="245"/>
      <c r="AJ27" s="137" t="str">
        <f>IF(AF27&lt;28,"F",IF(AG27&lt;12,"F",IF(AH27&lt;40,"F",IF(AH27&lt;50,2,IF(AH27&lt;60,3,IF(AH27&lt;70,3.5,IF(AH27&lt;80,4,5)))))))</f>
        <v>F</v>
      </c>
      <c r="AK27" s="127">
        <v>6</v>
      </c>
      <c r="AL27" s="127">
        <v>15</v>
      </c>
      <c r="AM27" s="127">
        <f t="shared" si="4"/>
        <v>21</v>
      </c>
      <c r="AN27" s="127">
        <v>10</v>
      </c>
      <c r="AO27" s="128">
        <f t="shared" si="17"/>
        <v>31</v>
      </c>
      <c r="AP27" s="245"/>
      <c r="AQ27" s="137" t="str">
        <f t="shared" si="18"/>
        <v>F</v>
      </c>
      <c r="AR27" s="127"/>
      <c r="AS27" s="127">
        <v>18</v>
      </c>
      <c r="AT27" s="127">
        <v>24</v>
      </c>
      <c r="AU27" s="128">
        <f t="shared" si="19"/>
        <v>42</v>
      </c>
      <c r="AV27" s="245"/>
      <c r="AW27" s="129">
        <f t="shared" si="5"/>
        <v>5</v>
      </c>
      <c r="AX27" s="143">
        <v>13</v>
      </c>
      <c r="AY27" s="127">
        <v>28</v>
      </c>
      <c r="AZ27" s="128">
        <f t="shared" si="20"/>
        <v>41</v>
      </c>
      <c r="BA27" s="127">
        <v>12</v>
      </c>
      <c r="BB27" s="128">
        <f t="shared" si="21"/>
        <v>53</v>
      </c>
      <c r="BC27" s="245"/>
      <c r="BD27" s="137">
        <f t="shared" si="22"/>
        <v>3</v>
      </c>
      <c r="BE27" s="127">
        <v>15</v>
      </c>
      <c r="BF27" s="127">
        <v>20</v>
      </c>
      <c r="BG27" s="128">
        <f t="shared" si="23"/>
        <v>35</v>
      </c>
      <c r="BH27" s="127">
        <v>19</v>
      </c>
      <c r="BI27" s="128">
        <f t="shared" si="24"/>
        <v>54</v>
      </c>
      <c r="BJ27" s="245"/>
      <c r="BK27" s="129">
        <f t="shared" si="25"/>
        <v>3</v>
      </c>
      <c r="BL27" s="127">
        <v>13</v>
      </c>
      <c r="BM27" s="127">
        <v>21</v>
      </c>
      <c r="BN27" s="128">
        <f t="shared" si="26"/>
        <v>34</v>
      </c>
      <c r="BO27" s="127">
        <v>22</v>
      </c>
      <c r="BP27" s="128">
        <f t="shared" si="27"/>
        <v>56</v>
      </c>
      <c r="BQ27" s="245"/>
      <c r="BR27" s="137">
        <f t="shared" si="28"/>
        <v>3</v>
      </c>
      <c r="BS27" s="127">
        <v>16</v>
      </c>
      <c r="BT27" s="127">
        <v>12</v>
      </c>
      <c r="BU27" s="128">
        <f t="shared" si="29"/>
        <v>28</v>
      </c>
      <c r="BV27" s="127">
        <v>14</v>
      </c>
      <c r="BW27" s="128">
        <f t="shared" si="30"/>
        <v>42</v>
      </c>
      <c r="BX27" s="245"/>
      <c r="BY27" s="137">
        <f t="shared" si="31"/>
        <v>2</v>
      </c>
      <c r="BZ27" s="127">
        <v>6</v>
      </c>
      <c r="CA27" s="127">
        <v>4</v>
      </c>
      <c r="CB27" s="128">
        <f t="shared" si="32"/>
        <v>10</v>
      </c>
      <c r="CC27" s="127">
        <v>18</v>
      </c>
      <c r="CD27" s="127">
        <v>25</v>
      </c>
      <c r="CE27" s="128">
        <f t="shared" si="33"/>
        <v>53</v>
      </c>
      <c r="CF27" s="245"/>
      <c r="CG27" s="129" t="str">
        <f t="shared" si="34"/>
        <v>0</v>
      </c>
      <c r="CH27" s="129" t="str">
        <f t="shared" si="35"/>
        <v>F</v>
      </c>
      <c r="CI27" s="128" t="str">
        <f t="shared" si="6"/>
        <v>F</v>
      </c>
      <c r="CJ27" s="131" t="str">
        <f t="shared" si="36"/>
        <v>F</v>
      </c>
      <c r="CK27" s="126" t="str">
        <f t="shared" si="37"/>
        <v>NEED TO PROGRESS</v>
      </c>
      <c r="CL27" s="126">
        <f t="shared" si="38"/>
        <v>555</v>
      </c>
      <c r="CM27" s="97"/>
      <c r="CN27" s="97"/>
      <c r="CO27" s="41">
        <f>'1ST_SEMESTER'!CL34</f>
        <v>455</v>
      </c>
      <c r="CP27" s="41">
        <f>'2ND_SEMESTER'!CL37</f>
        <v>647</v>
      </c>
      <c r="CQ27" s="41">
        <f t="shared" si="39"/>
        <v>555</v>
      </c>
      <c r="CR27" s="41">
        <f t="shared" si="40"/>
        <v>552.33333333333337</v>
      </c>
      <c r="CS27" s="168" t="str">
        <f>'1ST_SEMESTER'!CJ28</f>
        <v>F</v>
      </c>
      <c r="CT27" s="169">
        <f>'2ND_SEMESTER'!CJ27</f>
        <v>2.5555555555555554</v>
      </c>
      <c r="CU27" s="169" t="str">
        <f t="shared" si="41"/>
        <v>F</v>
      </c>
      <c r="CV27" s="169">
        <f t="shared" si="42"/>
        <v>2.5555555555555554</v>
      </c>
      <c r="CW27" s="170"/>
    </row>
    <row r="28" spans="1:101" s="56" customFormat="1" ht="24.95" customHeight="1">
      <c r="A28" s="55">
        <v>21</v>
      </c>
      <c r="B28" s="47">
        <v>86</v>
      </c>
      <c r="C28" s="50" t="s">
        <v>189</v>
      </c>
      <c r="D28" s="50" t="s">
        <v>190</v>
      </c>
      <c r="E28" s="50" t="s">
        <v>191</v>
      </c>
      <c r="F28" s="51" t="s">
        <v>192</v>
      </c>
      <c r="G28" s="127">
        <v>12</v>
      </c>
      <c r="H28" s="127">
        <v>11</v>
      </c>
      <c r="I28" s="127">
        <f t="shared" si="7"/>
        <v>23</v>
      </c>
      <c r="J28" s="127">
        <v>12</v>
      </c>
      <c r="K28" s="127">
        <f t="shared" si="8"/>
        <v>35</v>
      </c>
      <c r="L28" s="127">
        <v>16</v>
      </c>
      <c r="M28" s="127">
        <v>20</v>
      </c>
      <c r="N28" s="127">
        <f t="shared" si="9"/>
        <v>36</v>
      </c>
      <c r="O28" s="127">
        <v>17</v>
      </c>
      <c r="P28" s="127">
        <f t="shared" si="10"/>
        <v>53</v>
      </c>
      <c r="Q28" s="128">
        <f t="shared" si="0"/>
        <v>88</v>
      </c>
      <c r="R28" s="245"/>
      <c r="S28" s="129">
        <f t="shared" si="11"/>
        <v>2</v>
      </c>
      <c r="T28" s="127">
        <v>11</v>
      </c>
      <c r="U28" s="127">
        <v>35</v>
      </c>
      <c r="V28" s="130">
        <f t="shared" si="1"/>
        <v>46</v>
      </c>
      <c r="W28" s="127">
        <v>15</v>
      </c>
      <c r="X28" s="127">
        <v>26</v>
      </c>
      <c r="Y28" s="128">
        <f t="shared" si="12"/>
        <v>41</v>
      </c>
      <c r="Z28" s="128">
        <f t="shared" si="2"/>
        <v>87</v>
      </c>
      <c r="AA28" s="128">
        <f t="shared" si="13"/>
        <v>87</v>
      </c>
      <c r="AB28" s="245"/>
      <c r="AC28" s="129">
        <f t="shared" si="14"/>
        <v>2</v>
      </c>
      <c r="AD28" s="127">
        <v>10</v>
      </c>
      <c r="AE28" s="127">
        <v>18</v>
      </c>
      <c r="AF28" s="127">
        <f t="shared" si="3"/>
        <v>28</v>
      </c>
      <c r="AG28" s="127">
        <v>12</v>
      </c>
      <c r="AH28" s="128">
        <f t="shared" si="15"/>
        <v>40</v>
      </c>
      <c r="AI28" s="245"/>
      <c r="AJ28" s="137">
        <f t="shared" ref="AJ28:AJ42" si="43">IF(AF28&lt;28,"F",IF(AG28&lt;12,"F",IF(AH28&lt;40,"F",IF(AH28&lt;50,2,IF(AH28&lt;60,3,IF(AH28&lt;70,3.5,IF(AH28&lt;80,4,5)))))))</f>
        <v>2</v>
      </c>
      <c r="AK28" s="127">
        <v>13</v>
      </c>
      <c r="AL28" s="127">
        <v>17</v>
      </c>
      <c r="AM28" s="127">
        <f t="shared" si="4"/>
        <v>30</v>
      </c>
      <c r="AN28" s="127">
        <v>12</v>
      </c>
      <c r="AO28" s="128">
        <f t="shared" si="17"/>
        <v>42</v>
      </c>
      <c r="AP28" s="245"/>
      <c r="AQ28" s="137">
        <f t="shared" si="18"/>
        <v>2</v>
      </c>
      <c r="AR28" s="127"/>
      <c r="AS28" s="127">
        <v>16</v>
      </c>
      <c r="AT28" s="127">
        <v>24</v>
      </c>
      <c r="AU28" s="128">
        <f t="shared" si="19"/>
        <v>40</v>
      </c>
      <c r="AV28" s="245"/>
      <c r="AW28" s="129">
        <f t="shared" si="5"/>
        <v>5</v>
      </c>
      <c r="AX28" s="143">
        <v>16</v>
      </c>
      <c r="AY28" s="127">
        <v>28</v>
      </c>
      <c r="AZ28" s="128">
        <f t="shared" si="20"/>
        <v>44</v>
      </c>
      <c r="BA28" s="127">
        <v>12</v>
      </c>
      <c r="BB28" s="128">
        <f t="shared" si="21"/>
        <v>56</v>
      </c>
      <c r="BC28" s="245"/>
      <c r="BD28" s="137">
        <f t="shared" si="22"/>
        <v>3</v>
      </c>
      <c r="BE28" s="127">
        <v>16</v>
      </c>
      <c r="BF28" s="127">
        <v>20</v>
      </c>
      <c r="BG28" s="128">
        <f t="shared" si="23"/>
        <v>36</v>
      </c>
      <c r="BH28" s="127">
        <v>20</v>
      </c>
      <c r="BI28" s="128">
        <f t="shared" si="24"/>
        <v>56</v>
      </c>
      <c r="BJ28" s="245"/>
      <c r="BK28" s="129">
        <f t="shared" si="25"/>
        <v>3</v>
      </c>
      <c r="BL28" s="127">
        <v>11</v>
      </c>
      <c r="BM28" s="127">
        <v>24</v>
      </c>
      <c r="BN28" s="128">
        <f t="shared" si="26"/>
        <v>35</v>
      </c>
      <c r="BO28" s="127">
        <v>22</v>
      </c>
      <c r="BP28" s="128">
        <f t="shared" si="27"/>
        <v>57</v>
      </c>
      <c r="BQ28" s="245"/>
      <c r="BR28" s="137">
        <f t="shared" si="28"/>
        <v>3</v>
      </c>
      <c r="BS28" s="127">
        <v>12</v>
      </c>
      <c r="BT28" s="127">
        <v>20</v>
      </c>
      <c r="BU28" s="128">
        <f t="shared" si="29"/>
        <v>32</v>
      </c>
      <c r="BV28" s="127">
        <v>14</v>
      </c>
      <c r="BW28" s="128">
        <f t="shared" si="30"/>
        <v>46</v>
      </c>
      <c r="BX28" s="245"/>
      <c r="BY28" s="137">
        <f t="shared" si="31"/>
        <v>2</v>
      </c>
      <c r="BZ28" s="127">
        <v>7</v>
      </c>
      <c r="CA28" s="127">
        <v>14</v>
      </c>
      <c r="CB28" s="128">
        <f t="shared" si="32"/>
        <v>21</v>
      </c>
      <c r="CC28" s="127">
        <v>20</v>
      </c>
      <c r="CD28" s="127">
        <v>25</v>
      </c>
      <c r="CE28" s="128">
        <f t="shared" si="33"/>
        <v>66</v>
      </c>
      <c r="CF28" s="245"/>
      <c r="CG28" s="129">
        <f t="shared" si="34"/>
        <v>3.5</v>
      </c>
      <c r="CH28" s="129">
        <f t="shared" si="35"/>
        <v>3.5</v>
      </c>
      <c r="CI28" s="128">
        <f t="shared" si="6"/>
        <v>25.5</v>
      </c>
      <c r="CJ28" s="131">
        <f t="shared" si="36"/>
        <v>2.8333333333333335</v>
      </c>
      <c r="CK28" s="126" t="str">
        <f t="shared" si="37"/>
        <v>GOOD</v>
      </c>
      <c r="CL28" s="126">
        <f t="shared" si="38"/>
        <v>578</v>
      </c>
      <c r="CM28" s="97"/>
      <c r="CN28" s="97"/>
      <c r="CO28" s="41">
        <f>'1ST_SEMESTER'!CL35</f>
        <v>531</v>
      </c>
      <c r="CP28" s="41">
        <f>'2ND_SEMESTER'!CL38</f>
        <v>0</v>
      </c>
      <c r="CQ28" s="41">
        <f t="shared" si="39"/>
        <v>578</v>
      </c>
      <c r="CR28" s="41">
        <f t="shared" si="40"/>
        <v>369.66666666666669</v>
      </c>
      <c r="CS28" s="168" t="str">
        <f>'1ST_SEMESTER'!CJ29</f>
        <v>F</v>
      </c>
      <c r="CT28" s="169" t="str">
        <f>'2ND_SEMESTER'!CJ28</f>
        <v>F</v>
      </c>
      <c r="CU28" s="169">
        <f t="shared" si="41"/>
        <v>2.8333333333333335</v>
      </c>
      <c r="CV28" s="169">
        <f t="shared" si="42"/>
        <v>2.8333333333333335</v>
      </c>
      <c r="CW28" s="170"/>
    </row>
    <row r="29" spans="1:101" s="56" customFormat="1" ht="24.95" customHeight="1">
      <c r="A29" s="55">
        <v>22</v>
      </c>
      <c r="B29" s="47">
        <v>88</v>
      </c>
      <c r="C29" s="48" t="s">
        <v>193</v>
      </c>
      <c r="D29" s="48" t="s">
        <v>194</v>
      </c>
      <c r="E29" s="48" t="s">
        <v>195</v>
      </c>
      <c r="F29" s="49" t="s">
        <v>196</v>
      </c>
      <c r="G29" s="127">
        <v>11</v>
      </c>
      <c r="H29" s="127">
        <v>12</v>
      </c>
      <c r="I29" s="127">
        <f t="shared" si="7"/>
        <v>23</v>
      </c>
      <c r="J29" s="127">
        <v>16</v>
      </c>
      <c r="K29" s="127">
        <f t="shared" si="8"/>
        <v>39</v>
      </c>
      <c r="L29" s="127">
        <v>11</v>
      </c>
      <c r="M29" s="127">
        <v>22</v>
      </c>
      <c r="N29" s="127">
        <f t="shared" si="9"/>
        <v>33</v>
      </c>
      <c r="O29" s="127">
        <v>22</v>
      </c>
      <c r="P29" s="127">
        <f t="shared" si="10"/>
        <v>55</v>
      </c>
      <c r="Q29" s="128">
        <f t="shared" si="0"/>
        <v>94</v>
      </c>
      <c r="R29" s="245"/>
      <c r="S29" s="129">
        <f t="shared" si="11"/>
        <v>2</v>
      </c>
      <c r="T29" s="127">
        <v>12</v>
      </c>
      <c r="U29" s="127">
        <v>36</v>
      </c>
      <c r="V29" s="130">
        <f t="shared" si="1"/>
        <v>48</v>
      </c>
      <c r="W29" s="127">
        <v>17</v>
      </c>
      <c r="X29" s="127">
        <v>28</v>
      </c>
      <c r="Y29" s="128">
        <f t="shared" si="12"/>
        <v>45</v>
      </c>
      <c r="Z29" s="128">
        <f t="shared" si="2"/>
        <v>93</v>
      </c>
      <c r="AA29" s="128">
        <f t="shared" si="13"/>
        <v>93</v>
      </c>
      <c r="AB29" s="245"/>
      <c r="AC29" s="129">
        <f t="shared" si="14"/>
        <v>2</v>
      </c>
      <c r="AD29" s="127">
        <v>10</v>
      </c>
      <c r="AE29" s="127">
        <v>18</v>
      </c>
      <c r="AF29" s="127">
        <f t="shared" si="3"/>
        <v>28</v>
      </c>
      <c r="AG29" s="127">
        <v>12</v>
      </c>
      <c r="AH29" s="128">
        <f t="shared" si="15"/>
        <v>40</v>
      </c>
      <c r="AI29" s="245"/>
      <c r="AJ29" s="137">
        <f t="shared" si="43"/>
        <v>2</v>
      </c>
      <c r="AK29" s="127">
        <v>11</v>
      </c>
      <c r="AL29" s="127">
        <v>17</v>
      </c>
      <c r="AM29" s="127">
        <f t="shared" si="4"/>
        <v>28</v>
      </c>
      <c r="AN29" s="127">
        <v>16</v>
      </c>
      <c r="AO29" s="128">
        <f t="shared" si="17"/>
        <v>44</v>
      </c>
      <c r="AP29" s="245"/>
      <c r="AQ29" s="137">
        <f t="shared" si="18"/>
        <v>2</v>
      </c>
      <c r="AR29" s="127"/>
      <c r="AS29" s="127">
        <v>16</v>
      </c>
      <c r="AT29" s="127">
        <v>24</v>
      </c>
      <c r="AU29" s="128">
        <f t="shared" si="19"/>
        <v>40</v>
      </c>
      <c r="AV29" s="245"/>
      <c r="AW29" s="129">
        <f t="shared" si="5"/>
        <v>5</v>
      </c>
      <c r="AX29" s="143">
        <v>8</v>
      </c>
      <c r="AY29" s="127">
        <v>28</v>
      </c>
      <c r="AZ29" s="128">
        <f t="shared" si="20"/>
        <v>36</v>
      </c>
      <c r="BA29" s="127">
        <v>14</v>
      </c>
      <c r="BB29" s="128">
        <f t="shared" si="21"/>
        <v>50</v>
      </c>
      <c r="BC29" s="245"/>
      <c r="BD29" s="137">
        <f t="shared" si="22"/>
        <v>3</v>
      </c>
      <c r="BE29" s="127">
        <v>13</v>
      </c>
      <c r="BF29" s="127">
        <v>22</v>
      </c>
      <c r="BG29" s="128">
        <f t="shared" si="23"/>
        <v>35</v>
      </c>
      <c r="BH29" s="127">
        <v>17</v>
      </c>
      <c r="BI29" s="128">
        <f t="shared" si="24"/>
        <v>52</v>
      </c>
      <c r="BJ29" s="245"/>
      <c r="BK29" s="129">
        <f t="shared" si="25"/>
        <v>3</v>
      </c>
      <c r="BL29" s="127">
        <v>11</v>
      </c>
      <c r="BM29" s="127">
        <v>26</v>
      </c>
      <c r="BN29" s="128">
        <f t="shared" si="26"/>
        <v>37</v>
      </c>
      <c r="BO29" s="127">
        <v>23</v>
      </c>
      <c r="BP29" s="128">
        <f t="shared" si="27"/>
        <v>60</v>
      </c>
      <c r="BQ29" s="245"/>
      <c r="BR29" s="137">
        <f t="shared" si="28"/>
        <v>3.5</v>
      </c>
      <c r="BS29" s="127">
        <v>12</v>
      </c>
      <c r="BT29" s="127">
        <v>29</v>
      </c>
      <c r="BU29" s="128">
        <f t="shared" si="29"/>
        <v>41</v>
      </c>
      <c r="BV29" s="127">
        <v>18</v>
      </c>
      <c r="BW29" s="128">
        <f t="shared" si="30"/>
        <v>59</v>
      </c>
      <c r="BX29" s="245"/>
      <c r="BY29" s="137">
        <f t="shared" si="31"/>
        <v>3</v>
      </c>
      <c r="BZ29" s="127">
        <v>3</v>
      </c>
      <c r="CA29" s="127">
        <v>11</v>
      </c>
      <c r="CB29" s="128">
        <f t="shared" si="32"/>
        <v>14</v>
      </c>
      <c r="CC29" s="127">
        <v>20</v>
      </c>
      <c r="CD29" s="127">
        <v>25</v>
      </c>
      <c r="CE29" s="128">
        <f t="shared" si="33"/>
        <v>59</v>
      </c>
      <c r="CF29" s="245"/>
      <c r="CG29" s="129" t="str">
        <f t="shared" si="34"/>
        <v>0</v>
      </c>
      <c r="CH29" s="129" t="str">
        <f t="shared" si="35"/>
        <v>F</v>
      </c>
      <c r="CI29" s="128">
        <f t="shared" si="6"/>
        <v>23.5</v>
      </c>
      <c r="CJ29" s="131">
        <f t="shared" si="36"/>
        <v>2.6111111111111112</v>
      </c>
      <c r="CK29" s="126" t="str">
        <f t="shared" si="37"/>
        <v>GOOD</v>
      </c>
      <c r="CL29" s="126">
        <f t="shared" si="38"/>
        <v>591</v>
      </c>
      <c r="CM29" s="97"/>
      <c r="CN29" s="97"/>
      <c r="CO29" s="41">
        <f>'1ST_SEMESTER'!CL36</f>
        <v>395</v>
      </c>
      <c r="CP29" s="41">
        <f>'2ND_SEMESTER'!CL39</f>
        <v>144</v>
      </c>
      <c r="CQ29" s="41">
        <f t="shared" si="39"/>
        <v>591</v>
      </c>
      <c r="CR29" s="41">
        <f t="shared" si="40"/>
        <v>376.66666666666669</v>
      </c>
      <c r="CS29" s="168" t="str">
        <f>'1ST_SEMESTER'!CJ30</f>
        <v>F</v>
      </c>
      <c r="CT29" s="169" t="str">
        <f>'2ND_SEMESTER'!CJ29</f>
        <v>F</v>
      </c>
      <c r="CU29" s="169">
        <f t="shared" si="41"/>
        <v>2.6111111111111112</v>
      </c>
      <c r="CV29" s="169">
        <f t="shared" si="42"/>
        <v>2.6111111111111112</v>
      </c>
      <c r="CW29" s="170"/>
    </row>
    <row r="30" spans="1:101" s="56" customFormat="1" ht="24.95" customHeight="1">
      <c r="A30" s="55">
        <v>23</v>
      </c>
      <c r="B30" s="47">
        <v>89</v>
      </c>
      <c r="C30" s="48" t="s">
        <v>197</v>
      </c>
      <c r="D30" s="48" t="s">
        <v>198</v>
      </c>
      <c r="E30" s="48" t="s">
        <v>199</v>
      </c>
      <c r="F30" s="49" t="s">
        <v>200</v>
      </c>
      <c r="G30" s="127">
        <v>13</v>
      </c>
      <c r="H30" s="127">
        <v>15</v>
      </c>
      <c r="I30" s="127">
        <f t="shared" si="7"/>
        <v>28</v>
      </c>
      <c r="J30" s="127">
        <v>13</v>
      </c>
      <c r="K30" s="127">
        <f t="shared" si="8"/>
        <v>41</v>
      </c>
      <c r="L30" s="127">
        <v>16</v>
      </c>
      <c r="M30" s="127">
        <v>13</v>
      </c>
      <c r="N30" s="127">
        <f t="shared" si="9"/>
        <v>29</v>
      </c>
      <c r="O30" s="127">
        <v>18</v>
      </c>
      <c r="P30" s="127">
        <f t="shared" si="10"/>
        <v>47</v>
      </c>
      <c r="Q30" s="128">
        <f t="shared" si="0"/>
        <v>88</v>
      </c>
      <c r="R30" s="245"/>
      <c r="S30" s="129">
        <f t="shared" si="11"/>
        <v>2</v>
      </c>
      <c r="T30" s="127">
        <v>13</v>
      </c>
      <c r="U30" s="127">
        <v>8</v>
      </c>
      <c r="V30" s="130">
        <f t="shared" si="1"/>
        <v>21</v>
      </c>
      <c r="W30" s="127">
        <v>16</v>
      </c>
      <c r="X30" s="127">
        <v>19</v>
      </c>
      <c r="Y30" s="128">
        <f t="shared" si="12"/>
        <v>35</v>
      </c>
      <c r="Z30" s="128">
        <f t="shared" si="2"/>
        <v>56</v>
      </c>
      <c r="AA30" s="128">
        <f t="shared" si="13"/>
        <v>56</v>
      </c>
      <c r="AB30" s="245"/>
      <c r="AC30" s="129" t="str">
        <f t="shared" si="14"/>
        <v>F</v>
      </c>
      <c r="AD30" s="127">
        <v>8</v>
      </c>
      <c r="AE30" s="127">
        <v>1</v>
      </c>
      <c r="AF30" s="127">
        <f t="shared" si="3"/>
        <v>9</v>
      </c>
      <c r="AG30" s="127">
        <v>12</v>
      </c>
      <c r="AH30" s="128">
        <f t="shared" si="15"/>
        <v>21</v>
      </c>
      <c r="AI30" s="245"/>
      <c r="AJ30" s="137" t="str">
        <f t="shared" si="43"/>
        <v>F</v>
      </c>
      <c r="AK30" s="127">
        <v>13</v>
      </c>
      <c r="AL30" s="127">
        <v>22</v>
      </c>
      <c r="AM30" s="127">
        <f t="shared" si="4"/>
        <v>35</v>
      </c>
      <c r="AN30" s="127">
        <v>13</v>
      </c>
      <c r="AO30" s="128">
        <f t="shared" si="17"/>
        <v>48</v>
      </c>
      <c r="AP30" s="245"/>
      <c r="AQ30" s="137">
        <f t="shared" si="18"/>
        <v>2</v>
      </c>
      <c r="AR30" s="127"/>
      <c r="AS30" s="127">
        <v>12</v>
      </c>
      <c r="AT30" s="127">
        <v>24</v>
      </c>
      <c r="AU30" s="128">
        <f t="shared" si="19"/>
        <v>36</v>
      </c>
      <c r="AV30" s="245"/>
      <c r="AW30" s="129">
        <f t="shared" si="5"/>
        <v>4</v>
      </c>
      <c r="AX30" s="143">
        <v>9</v>
      </c>
      <c r="AY30" s="127">
        <v>28</v>
      </c>
      <c r="AZ30" s="128">
        <f t="shared" si="20"/>
        <v>37</v>
      </c>
      <c r="BA30" s="127">
        <v>16</v>
      </c>
      <c r="BB30" s="128">
        <f t="shared" si="21"/>
        <v>53</v>
      </c>
      <c r="BC30" s="245"/>
      <c r="BD30" s="137">
        <f t="shared" si="22"/>
        <v>3</v>
      </c>
      <c r="BE30" s="127">
        <v>17</v>
      </c>
      <c r="BF30" s="127">
        <v>24</v>
      </c>
      <c r="BG30" s="128">
        <f t="shared" si="23"/>
        <v>41</v>
      </c>
      <c r="BH30" s="127">
        <v>15</v>
      </c>
      <c r="BI30" s="128">
        <f t="shared" si="24"/>
        <v>56</v>
      </c>
      <c r="BJ30" s="245"/>
      <c r="BK30" s="129">
        <f t="shared" si="25"/>
        <v>3</v>
      </c>
      <c r="BL30" s="127">
        <v>12</v>
      </c>
      <c r="BM30" s="127">
        <v>16</v>
      </c>
      <c r="BN30" s="128">
        <f t="shared" si="26"/>
        <v>28</v>
      </c>
      <c r="BO30" s="127">
        <v>24</v>
      </c>
      <c r="BP30" s="128">
        <f t="shared" si="27"/>
        <v>52</v>
      </c>
      <c r="BQ30" s="245"/>
      <c r="BR30" s="137">
        <f t="shared" si="28"/>
        <v>3</v>
      </c>
      <c r="BS30" s="127">
        <v>16</v>
      </c>
      <c r="BT30" s="127">
        <v>12</v>
      </c>
      <c r="BU30" s="128">
        <f t="shared" si="29"/>
        <v>28</v>
      </c>
      <c r="BV30" s="127">
        <v>14</v>
      </c>
      <c r="BW30" s="128">
        <f t="shared" si="30"/>
        <v>42</v>
      </c>
      <c r="BX30" s="245"/>
      <c r="BY30" s="137">
        <f t="shared" si="31"/>
        <v>2</v>
      </c>
      <c r="BZ30" s="127">
        <v>3</v>
      </c>
      <c r="CA30" s="127">
        <v>17</v>
      </c>
      <c r="CB30" s="128">
        <f t="shared" si="32"/>
        <v>20</v>
      </c>
      <c r="CC30" s="127">
        <v>15</v>
      </c>
      <c r="CD30" s="127">
        <v>25</v>
      </c>
      <c r="CE30" s="128">
        <f t="shared" si="33"/>
        <v>60</v>
      </c>
      <c r="CF30" s="245"/>
      <c r="CG30" s="129">
        <f t="shared" si="34"/>
        <v>3.5</v>
      </c>
      <c r="CH30" s="129">
        <f t="shared" si="35"/>
        <v>3.5</v>
      </c>
      <c r="CI30" s="128" t="str">
        <f t="shared" si="6"/>
        <v>F</v>
      </c>
      <c r="CJ30" s="131" t="str">
        <f t="shared" si="36"/>
        <v>F</v>
      </c>
      <c r="CK30" s="126" t="str">
        <f t="shared" si="37"/>
        <v>NEED TO PROGRESS</v>
      </c>
      <c r="CL30" s="126">
        <f t="shared" si="38"/>
        <v>512</v>
      </c>
      <c r="CM30" s="97"/>
      <c r="CN30" s="97"/>
      <c r="CO30" s="41">
        <f>'1ST_SEMESTER'!CL37</f>
        <v>515</v>
      </c>
      <c r="CP30" s="41">
        <f>'2ND_SEMESTER'!CL40</f>
        <v>704</v>
      </c>
      <c r="CQ30" s="41">
        <f t="shared" si="39"/>
        <v>512</v>
      </c>
      <c r="CR30" s="41">
        <f t="shared" si="40"/>
        <v>577</v>
      </c>
      <c r="CS30" s="168" t="str">
        <f>'1ST_SEMESTER'!CJ31</f>
        <v>F</v>
      </c>
      <c r="CT30" s="169" t="str">
        <f>'2ND_SEMESTER'!CJ30</f>
        <v>F</v>
      </c>
      <c r="CU30" s="169" t="str">
        <f t="shared" si="41"/>
        <v>F</v>
      </c>
      <c r="CV30" s="169" t="e">
        <f t="shared" si="42"/>
        <v>#DIV/0!</v>
      </c>
      <c r="CW30" s="170"/>
    </row>
    <row r="31" spans="1:101" s="56" customFormat="1" ht="24.95" customHeight="1">
      <c r="A31" s="55">
        <v>24</v>
      </c>
      <c r="B31" s="47">
        <v>90</v>
      </c>
      <c r="C31" s="50" t="s">
        <v>261</v>
      </c>
      <c r="D31" s="48"/>
      <c r="E31" s="48"/>
      <c r="F31" s="49"/>
      <c r="G31" s="127">
        <v>14</v>
      </c>
      <c r="H31" s="127">
        <v>16</v>
      </c>
      <c r="I31" s="127">
        <f t="shared" si="7"/>
        <v>30</v>
      </c>
      <c r="J31" s="127">
        <v>17</v>
      </c>
      <c r="K31" s="127">
        <f t="shared" si="8"/>
        <v>47</v>
      </c>
      <c r="L31" s="127">
        <v>16</v>
      </c>
      <c r="M31" s="127">
        <v>16</v>
      </c>
      <c r="N31" s="127">
        <f t="shared" si="9"/>
        <v>32</v>
      </c>
      <c r="O31" s="127">
        <v>17</v>
      </c>
      <c r="P31" s="127">
        <f t="shared" si="10"/>
        <v>49</v>
      </c>
      <c r="Q31" s="128">
        <f t="shared" si="0"/>
        <v>96</v>
      </c>
      <c r="R31" s="245"/>
      <c r="S31" s="129">
        <f t="shared" si="11"/>
        <v>2</v>
      </c>
      <c r="T31" s="127">
        <v>13</v>
      </c>
      <c r="U31" s="127">
        <v>9</v>
      </c>
      <c r="V31" s="130">
        <f t="shared" si="1"/>
        <v>22</v>
      </c>
      <c r="W31" s="138">
        <v>16</v>
      </c>
      <c r="X31" s="127">
        <v>26</v>
      </c>
      <c r="Y31" s="128">
        <f t="shared" si="12"/>
        <v>42</v>
      </c>
      <c r="Z31" s="128">
        <f t="shared" si="2"/>
        <v>64</v>
      </c>
      <c r="AA31" s="128">
        <f t="shared" si="13"/>
        <v>64</v>
      </c>
      <c r="AB31" s="245"/>
      <c r="AC31" s="129" t="str">
        <f t="shared" si="14"/>
        <v>F</v>
      </c>
      <c r="AD31" s="127">
        <v>10</v>
      </c>
      <c r="AE31" s="127">
        <v>1</v>
      </c>
      <c r="AF31" s="127">
        <f t="shared" si="3"/>
        <v>11</v>
      </c>
      <c r="AG31" s="127">
        <v>14</v>
      </c>
      <c r="AH31" s="128">
        <f t="shared" si="15"/>
        <v>25</v>
      </c>
      <c r="AI31" s="245"/>
      <c r="AJ31" s="137" t="str">
        <f t="shared" si="43"/>
        <v>F</v>
      </c>
      <c r="AK31" s="127">
        <v>11</v>
      </c>
      <c r="AL31" s="127">
        <v>22</v>
      </c>
      <c r="AM31" s="127">
        <f t="shared" si="4"/>
        <v>33</v>
      </c>
      <c r="AN31" s="127">
        <v>14</v>
      </c>
      <c r="AO31" s="128">
        <f t="shared" si="17"/>
        <v>47</v>
      </c>
      <c r="AP31" s="245"/>
      <c r="AQ31" s="137">
        <f t="shared" si="18"/>
        <v>2</v>
      </c>
      <c r="AR31" s="127"/>
      <c r="AS31" s="127">
        <v>14</v>
      </c>
      <c r="AT31" s="127">
        <v>24</v>
      </c>
      <c r="AU31" s="128">
        <f t="shared" si="19"/>
        <v>38</v>
      </c>
      <c r="AV31" s="245"/>
      <c r="AW31" s="129">
        <f t="shared" si="5"/>
        <v>4</v>
      </c>
      <c r="AX31" s="143">
        <v>9</v>
      </c>
      <c r="AY31" s="127">
        <v>28</v>
      </c>
      <c r="AZ31" s="128">
        <f t="shared" si="20"/>
        <v>37</v>
      </c>
      <c r="BA31" s="127">
        <v>17</v>
      </c>
      <c r="BB31" s="128">
        <f t="shared" si="21"/>
        <v>54</v>
      </c>
      <c r="BC31" s="245"/>
      <c r="BD31" s="137">
        <f t="shared" si="22"/>
        <v>3</v>
      </c>
      <c r="BE31" s="127">
        <v>12</v>
      </c>
      <c r="BF31" s="127">
        <v>22</v>
      </c>
      <c r="BG31" s="128">
        <f t="shared" si="23"/>
        <v>34</v>
      </c>
      <c r="BH31" s="127">
        <v>18</v>
      </c>
      <c r="BI31" s="128">
        <f t="shared" si="24"/>
        <v>52</v>
      </c>
      <c r="BJ31" s="245"/>
      <c r="BK31" s="129">
        <f t="shared" si="25"/>
        <v>3</v>
      </c>
      <c r="BL31" s="127">
        <v>11</v>
      </c>
      <c r="BM31" s="127">
        <v>21</v>
      </c>
      <c r="BN31" s="128">
        <f t="shared" si="26"/>
        <v>32</v>
      </c>
      <c r="BO31" s="127">
        <v>23</v>
      </c>
      <c r="BP31" s="128">
        <f t="shared" si="27"/>
        <v>55</v>
      </c>
      <c r="BQ31" s="245"/>
      <c r="BR31" s="137">
        <f t="shared" si="28"/>
        <v>3</v>
      </c>
      <c r="BS31" s="127">
        <v>16</v>
      </c>
      <c r="BT31" s="127">
        <v>20</v>
      </c>
      <c r="BU31" s="128">
        <f t="shared" si="29"/>
        <v>36</v>
      </c>
      <c r="BV31" s="127">
        <v>12</v>
      </c>
      <c r="BW31" s="128">
        <f t="shared" si="30"/>
        <v>48</v>
      </c>
      <c r="BX31" s="245"/>
      <c r="BY31" s="137">
        <f t="shared" si="31"/>
        <v>2</v>
      </c>
      <c r="BZ31" s="127">
        <v>6</v>
      </c>
      <c r="CA31" s="127">
        <v>17</v>
      </c>
      <c r="CB31" s="128">
        <f t="shared" si="32"/>
        <v>23</v>
      </c>
      <c r="CC31" s="127">
        <v>21</v>
      </c>
      <c r="CD31" s="127">
        <v>25</v>
      </c>
      <c r="CE31" s="128">
        <f t="shared" si="33"/>
        <v>69</v>
      </c>
      <c r="CF31" s="245"/>
      <c r="CG31" s="129">
        <f t="shared" si="34"/>
        <v>3.5</v>
      </c>
      <c r="CH31" s="129">
        <f t="shared" si="35"/>
        <v>3.5</v>
      </c>
      <c r="CI31" s="128" t="str">
        <f t="shared" si="6"/>
        <v>F</v>
      </c>
      <c r="CJ31" s="131" t="str">
        <f t="shared" si="36"/>
        <v>F</v>
      </c>
      <c r="CK31" s="126" t="str">
        <f t="shared" si="37"/>
        <v>NEED TO PROGRESS</v>
      </c>
      <c r="CL31" s="126">
        <f t="shared" si="38"/>
        <v>548</v>
      </c>
      <c r="CM31" s="97"/>
      <c r="CN31" s="97"/>
      <c r="CO31" s="41">
        <f>'1ST_SEMESTER'!CL38</f>
        <v>596</v>
      </c>
      <c r="CP31" s="41">
        <f>'2ND_SEMESTER'!CL41</f>
        <v>627</v>
      </c>
      <c r="CQ31" s="41">
        <f t="shared" si="39"/>
        <v>548</v>
      </c>
      <c r="CR31" s="41">
        <f t="shared" si="40"/>
        <v>590.33333333333337</v>
      </c>
      <c r="CS31" s="168" t="str">
        <f>'1ST_SEMESTER'!CJ32</f>
        <v>F</v>
      </c>
      <c r="CT31" s="169" t="str">
        <f>'2ND_SEMESTER'!CJ31</f>
        <v>F</v>
      </c>
      <c r="CU31" s="169" t="str">
        <f t="shared" si="41"/>
        <v>F</v>
      </c>
      <c r="CV31" s="169" t="e">
        <f t="shared" si="42"/>
        <v>#DIV/0!</v>
      </c>
      <c r="CW31" s="170"/>
    </row>
    <row r="32" spans="1:101" ht="24.95" customHeight="1">
      <c r="A32" s="46">
        <v>25</v>
      </c>
      <c r="B32" s="47">
        <v>91</v>
      </c>
      <c r="C32" s="50" t="s">
        <v>201</v>
      </c>
      <c r="D32" s="50" t="s">
        <v>202</v>
      </c>
      <c r="E32" s="50" t="s">
        <v>203</v>
      </c>
      <c r="F32" s="51" t="s">
        <v>204</v>
      </c>
      <c r="G32" s="127">
        <v>11</v>
      </c>
      <c r="H32" s="127">
        <v>9</v>
      </c>
      <c r="I32" s="127">
        <f t="shared" si="7"/>
        <v>20</v>
      </c>
      <c r="J32" s="127">
        <v>12</v>
      </c>
      <c r="K32" s="128">
        <f t="shared" si="8"/>
        <v>32</v>
      </c>
      <c r="L32" s="127">
        <v>11</v>
      </c>
      <c r="M32" s="127">
        <v>13</v>
      </c>
      <c r="N32" s="127">
        <f t="shared" si="9"/>
        <v>24</v>
      </c>
      <c r="O32" s="127">
        <v>20</v>
      </c>
      <c r="P32" s="128">
        <f t="shared" si="10"/>
        <v>44</v>
      </c>
      <c r="Q32" s="128">
        <f t="shared" si="0"/>
        <v>76</v>
      </c>
      <c r="R32" s="245"/>
      <c r="S32" s="129" t="str">
        <f t="shared" si="11"/>
        <v>F</v>
      </c>
      <c r="T32" s="130">
        <v>17</v>
      </c>
      <c r="U32" s="130">
        <v>16</v>
      </c>
      <c r="V32" s="130">
        <f t="shared" si="1"/>
        <v>33</v>
      </c>
      <c r="W32" s="130">
        <v>14</v>
      </c>
      <c r="X32" s="130">
        <v>27</v>
      </c>
      <c r="Y32" s="128">
        <f t="shared" si="12"/>
        <v>41</v>
      </c>
      <c r="Z32" s="128">
        <f t="shared" si="2"/>
        <v>74</v>
      </c>
      <c r="AA32" s="128">
        <f t="shared" si="13"/>
        <v>74</v>
      </c>
      <c r="AB32" s="245"/>
      <c r="AC32" s="129" t="str">
        <f t="shared" si="14"/>
        <v>F</v>
      </c>
      <c r="AD32" s="127">
        <v>8</v>
      </c>
      <c r="AE32" s="127">
        <v>5</v>
      </c>
      <c r="AF32" s="127">
        <f t="shared" si="3"/>
        <v>13</v>
      </c>
      <c r="AG32" s="127">
        <v>5</v>
      </c>
      <c r="AH32" s="128">
        <f t="shared" si="15"/>
        <v>18</v>
      </c>
      <c r="AI32" s="245"/>
      <c r="AJ32" s="129" t="str">
        <f t="shared" si="43"/>
        <v>F</v>
      </c>
      <c r="AK32" s="127">
        <v>2</v>
      </c>
      <c r="AL32" s="127">
        <v>12</v>
      </c>
      <c r="AM32" s="127">
        <f t="shared" si="4"/>
        <v>14</v>
      </c>
      <c r="AN32" s="127">
        <v>15</v>
      </c>
      <c r="AO32" s="128">
        <f t="shared" si="17"/>
        <v>29</v>
      </c>
      <c r="AP32" s="245"/>
      <c r="AQ32" s="129" t="str">
        <f t="shared" si="18"/>
        <v>F</v>
      </c>
      <c r="AR32" s="128"/>
      <c r="AS32" s="128">
        <v>14</v>
      </c>
      <c r="AT32" s="127">
        <v>24</v>
      </c>
      <c r="AU32" s="128">
        <f t="shared" si="19"/>
        <v>38</v>
      </c>
      <c r="AV32" s="245"/>
      <c r="AW32" s="129">
        <f t="shared" si="5"/>
        <v>4</v>
      </c>
      <c r="AX32" s="143">
        <v>8</v>
      </c>
      <c r="AY32" s="127">
        <v>23</v>
      </c>
      <c r="AZ32" s="128">
        <f t="shared" si="20"/>
        <v>31</v>
      </c>
      <c r="BA32" s="127">
        <v>16</v>
      </c>
      <c r="BB32" s="128">
        <f t="shared" si="21"/>
        <v>47</v>
      </c>
      <c r="BC32" s="245"/>
      <c r="BD32" s="129">
        <f t="shared" si="22"/>
        <v>2</v>
      </c>
      <c r="BE32" s="127">
        <v>12</v>
      </c>
      <c r="BF32" s="127">
        <v>16</v>
      </c>
      <c r="BG32" s="128">
        <f t="shared" si="23"/>
        <v>28</v>
      </c>
      <c r="BH32" s="127">
        <v>16</v>
      </c>
      <c r="BI32" s="128">
        <f t="shared" si="24"/>
        <v>44</v>
      </c>
      <c r="BJ32" s="245"/>
      <c r="BK32" s="129">
        <f t="shared" si="25"/>
        <v>2</v>
      </c>
      <c r="BL32" s="127">
        <v>14</v>
      </c>
      <c r="BM32" s="127">
        <v>14</v>
      </c>
      <c r="BN32" s="128">
        <f t="shared" si="26"/>
        <v>28</v>
      </c>
      <c r="BO32" s="127">
        <v>20</v>
      </c>
      <c r="BP32" s="128">
        <f t="shared" si="27"/>
        <v>48</v>
      </c>
      <c r="BQ32" s="245"/>
      <c r="BR32" s="129">
        <f t="shared" si="28"/>
        <v>2</v>
      </c>
      <c r="BS32" s="127">
        <v>15</v>
      </c>
      <c r="BT32" s="127">
        <v>13</v>
      </c>
      <c r="BU32" s="128">
        <f t="shared" si="29"/>
        <v>28</v>
      </c>
      <c r="BV32" s="127">
        <v>19</v>
      </c>
      <c r="BW32" s="128">
        <f t="shared" si="30"/>
        <v>47</v>
      </c>
      <c r="BX32" s="245"/>
      <c r="BY32" s="129">
        <f t="shared" si="31"/>
        <v>2</v>
      </c>
      <c r="BZ32" s="127">
        <v>7</v>
      </c>
      <c r="CA32" s="127">
        <v>9</v>
      </c>
      <c r="CB32" s="128">
        <f t="shared" si="32"/>
        <v>16</v>
      </c>
      <c r="CC32" s="127">
        <v>19</v>
      </c>
      <c r="CD32" s="127">
        <v>25</v>
      </c>
      <c r="CE32" s="128">
        <f t="shared" si="33"/>
        <v>60</v>
      </c>
      <c r="CF32" s="245"/>
      <c r="CG32" s="129" t="str">
        <f t="shared" si="34"/>
        <v>0</v>
      </c>
      <c r="CH32" s="129" t="str">
        <f t="shared" si="35"/>
        <v>F</v>
      </c>
      <c r="CI32" s="128" t="str">
        <f t="shared" si="6"/>
        <v>F</v>
      </c>
      <c r="CJ32" s="131" t="str">
        <f t="shared" si="36"/>
        <v>F</v>
      </c>
      <c r="CK32" s="126" t="str">
        <f t="shared" si="37"/>
        <v>NEED TO PROGRESS</v>
      </c>
      <c r="CL32" s="126">
        <f t="shared" si="38"/>
        <v>481</v>
      </c>
      <c r="CM32" s="79"/>
      <c r="CN32" s="79"/>
      <c r="CO32" s="41">
        <f>'1ST_SEMESTER'!CL39</f>
        <v>657</v>
      </c>
      <c r="CP32" s="41">
        <f>'2ND_SEMESTER'!CL42</f>
        <v>630</v>
      </c>
      <c r="CQ32" s="41">
        <f t="shared" si="39"/>
        <v>481</v>
      </c>
      <c r="CR32" s="41">
        <f t="shared" si="40"/>
        <v>589.33333333333337</v>
      </c>
      <c r="CS32" s="168" t="str">
        <f>'1ST_SEMESTER'!CJ33</f>
        <v>F</v>
      </c>
      <c r="CT32" s="169" t="str">
        <f>'2ND_SEMESTER'!CJ32</f>
        <v>F</v>
      </c>
      <c r="CU32" s="169" t="str">
        <f t="shared" si="41"/>
        <v>F</v>
      </c>
      <c r="CV32" s="169" t="e">
        <f t="shared" si="42"/>
        <v>#DIV/0!</v>
      </c>
      <c r="CW32" s="170"/>
    </row>
    <row r="33" spans="1:101" s="56" customFormat="1" ht="24.95" customHeight="1">
      <c r="A33" s="55">
        <v>26</v>
      </c>
      <c r="B33" s="47">
        <v>92</v>
      </c>
      <c r="C33" s="48" t="s">
        <v>205</v>
      </c>
      <c r="D33" s="48" t="s">
        <v>206</v>
      </c>
      <c r="E33" s="48" t="s">
        <v>207</v>
      </c>
      <c r="F33" s="49" t="s">
        <v>208</v>
      </c>
      <c r="G33" s="127">
        <v>0</v>
      </c>
      <c r="H33" s="127">
        <v>0</v>
      </c>
      <c r="I33" s="127">
        <f t="shared" si="7"/>
        <v>0</v>
      </c>
      <c r="J33" s="127">
        <v>0</v>
      </c>
      <c r="K33" s="127">
        <f t="shared" si="8"/>
        <v>0</v>
      </c>
      <c r="L33" s="127"/>
      <c r="M33" s="127"/>
      <c r="N33" s="127">
        <f t="shared" si="9"/>
        <v>0</v>
      </c>
      <c r="O33" s="127">
        <v>0</v>
      </c>
      <c r="P33" s="127">
        <f t="shared" si="10"/>
        <v>0</v>
      </c>
      <c r="Q33" s="127">
        <f t="shared" si="0"/>
        <v>0</v>
      </c>
      <c r="R33" s="245"/>
      <c r="S33" s="137" t="str">
        <f t="shared" si="11"/>
        <v>F</v>
      </c>
      <c r="T33" s="127">
        <v>0</v>
      </c>
      <c r="U33" s="127">
        <v>0</v>
      </c>
      <c r="V33" s="127">
        <f t="shared" si="1"/>
        <v>0</v>
      </c>
      <c r="W33" s="127"/>
      <c r="X33" s="127"/>
      <c r="Y33" s="127">
        <f t="shared" si="12"/>
        <v>0</v>
      </c>
      <c r="Z33" s="127">
        <f t="shared" si="2"/>
        <v>0</v>
      </c>
      <c r="AA33" s="127">
        <f t="shared" si="13"/>
        <v>0</v>
      </c>
      <c r="AB33" s="245"/>
      <c r="AC33" s="137" t="str">
        <f t="shared" si="14"/>
        <v>F</v>
      </c>
      <c r="AD33" s="127">
        <v>0</v>
      </c>
      <c r="AE33" s="127">
        <v>0</v>
      </c>
      <c r="AF33" s="127">
        <f t="shared" si="3"/>
        <v>0</v>
      </c>
      <c r="AG33" s="127">
        <v>0</v>
      </c>
      <c r="AH33" s="127">
        <f t="shared" si="15"/>
        <v>0</v>
      </c>
      <c r="AI33" s="245"/>
      <c r="AJ33" s="137" t="str">
        <f t="shared" si="43"/>
        <v>F</v>
      </c>
      <c r="AK33" s="127">
        <v>0</v>
      </c>
      <c r="AL33" s="127">
        <v>0</v>
      </c>
      <c r="AM33" s="127">
        <f t="shared" si="4"/>
        <v>0</v>
      </c>
      <c r="AN33" s="127">
        <v>0</v>
      </c>
      <c r="AO33" s="127">
        <f t="shared" si="17"/>
        <v>0</v>
      </c>
      <c r="AP33" s="245"/>
      <c r="AQ33" s="137" t="str">
        <f t="shared" si="18"/>
        <v>F</v>
      </c>
      <c r="AR33" s="127"/>
      <c r="AS33" s="127">
        <v>0</v>
      </c>
      <c r="AT33" s="127">
        <v>0</v>
      </c>
      <c r="AU33" s="127">
        <f t="shared" si="19"/>
        <v>0</v>
      </c>
      <c r="AV33" s="245"/>
      <c r="AW33" s="137" t="str">
        <f t="shared" si="5"/>
        <v>F</v>
      </c>
      <c r="AX33" s="164">
        <v>0</v>
      </c>
      <c r="AY33" s="127">
        <v>0</v>
      </c>
      <c r="AZ33" s="127">
        <f t="shared" si="20"/>
        <v>0</v>
      </c>
      <c r="BA33" s="127">
        <v>0</v>
      </c>
      <c r="BB33" s="127">
        <f t="shared" si="21"/>
        <v>0</v>
      </c>
      <c r="BC33" s="245"/>
      <c r="BD33" s="137" t="str">
        <f t="shared" si="22"/>
        <v>F</v>
      </c>
      <c r="BE33" s="127">
        <v>0</v>
      </c>
      <c r="BF33" s="127">
        <v>0</v>
      </c>
      <c r="BG33" s="127">
        <f t="shared" si="23"/>
        <v>0</v>
      </c>
      <c r="BH33" s="127">
        <v>0</v>
      </c>
      <c r="BI33" s="127">
        <f t="shared" si="24"/>
        <v>0</v>
      </c>
      <c r="BJ33" s="245"/>
      <c r="BK33" s="137" t="str">
        <f t="shared" si="25"/>
        <v>F</v>
      </c>
      <c r="BL33" s="127">
        <v>0</v>
      </c>
      <c r="BM33" s="127">
        <v>0</v>
      </c>
      <c r="BN33" s="127">
        <f t="shared" si="26"/>
        <v>0</v>
      </c>
      <c r="BO33" s="127">
        <v>0</v>
      </c>
      <c r="BP33" s="127">
        <f t="shared" si="27"/>
        <v>0</v>
      </c>
      <c r="BQ33" s="245"/>
      <c r="BR33" s="137" t="str">
        <f t="shared" si="28"/>
        <v>F</v>
      </c>
      <c r="BS33" s="127">
        <v>0</v>
      </c>
      <c r="BT33" s="127">
        <v>0</v>
      </c>
      <c r="BU33" s="127">
        <f t="shared" si="29"/>
        <v>0</v>
      </c>
      <c r="BV33" s="127">
        <v>0</v>
      </c>
      <c r="BW33" s="127">
        <f t="shared" si="30"/>
        <v>0</v>
      </c>
      <c r="BX33" s="245"/>
      <c r="BY33" s="137" t="str">
        <f t="shared" si="31"/>
        <v>F</v>
      </c>
      <c r="BZ33" s="127">
        <v>0</v>
      </c>
      <c r="CA33" s="127">
        <v>0</v>
      </c>
      <c r="CB33" s="127">
        <f t="shared" si="32"/>
        <v>0</v>
      </c>
      <c r="CC33" s="127">
        <v>0</v>
      </c>
      <c r="CD33" s="127">
        <v>0</v>
      </c>
      <c r="CE33" s="127">
        <f t="shared" si="33"/>
        <v>0</v>
      </c>
      <c r="CF33" s="245"/>
      <c r="CG33" s="137" t="str">
        <f t="shared" si="34"/>
        <v>0</v>
      </c>
      <c r="CH33" s="137" t="str">
        <f t="shared" si="35"/>
        <v>F</v>
      </c>
      <c r="CI33" s="127" t="str">
        <f t="shared" si="6"/>
        <v>F</v>
      </c>
      <c r="CJ33" s="165" t="str">
        <f t="shared" si="36"/>
        <v>F</v>
      </c>
      <c r="CK33" s="97" t="str">
        <f t="shared" si="37"/>
        <v>NEED TO PROGRESS</v>
      </c>
      <c r="CL33" s="97">
        <f t="shared" si="38"/>
        <v>0</v>
      </c>
      <c r="CM33" s="97"/>
      <c r="CN33" s="97"/>
      <c r="CO33" s="166">
        <f>'1ST_SEMESTER'!CL40</f>
        <v>490</v>
      </c>
      <c r="CP33" s="166">
        <f>'2ND_SEMESTER'!CL43</f>
        <v>801</v>
      </c>
      <c r="CQ33" s="166">
        <f t="shared" si="39"/>
        <v>0</v>
      </c>
      <c r="CR33" s="166">
        <f t="shared" si="40"/>
        <v>430.33333333333331</v>
      </c>
      <c r="CS33" s="168" t="str">
        <f>'1ST_SEMESTER'!CJ34</f>
        <v>F</v>
      </c>
      <c r="CT33" s="169" t="str">
        <f>'2ND_SEMESTER'!CJ33</f>
        <v>F</v>
      </c>
      <c r="CU33" s="169" t="str">
        <f t="shared" si="41"/>
        <v>F</v>
      </c>
      <c r="CV33" s="169" t="e">
        <f t="shared" si="42"/>
        <v>#DIV/0!</v>
      </c>
      <c r="CW33" s="170"/>
    </row>
    <row r="34" spans="1:101" s="56" customFormat="1" ht="24.95" customHeight="1" thickBot="1">
      <c r="A34" s="55">
        <v>27</v>
      </c>
      <c r="B34" s="47">
        <v>100</v>
      </c>
      <c r="C34" s="50" t="s">
        <v>209</v>
      </c>
      <c r="D34" s="50" t="s">
        <v>210</v>
      </c>
      <c r="E34" s="50" t="s">
        <v>211</v>
      </c>
      <c r="F34" s="51" t="s">
        <v>212</v>
      </c>
      <c r="G34" s="127">
        <v>16</v>
      </c>
      <c r="H34" s="127">
        <v>14</v>
      </c>
      <c r="I34" s="127">
        <f t="shared" si="7"/>
        <v>30</v>
      </c>
      <c r="J34" s="127">
        <v>9</v>
      </c>
      <c r="K34" s="139">
        <f t="shared" si="8"/>
        <v>39</v>
      </c>
      <c r="L34" s="127">
        <v>16</v>
      </c>
      <c r="M34" s="127">
        <v>27</v>
      </c>
      <c r="N34" s="127">
        <f t="shared" si="9"/>
        <v>43</v>
      </c>
      <c r="O34" s="127">
        <v>19</v>
      </c>
      <c r="P34" s="139">
        <f t="shared" si="10"/>
        <v>62</v>
      </c>
      <c r="Q34" s="127">
        <f t="shared" si="0"/>
        <v>101</v>
      </c>
      <c r="R34" s="245"/>
      <c r="S34" s="137">
        <f t="shared" si="11"/>
        <v>3</v>
      </c>
      <c r="T34" s="127">
        <v>15</v>
      </c>
      <c r="U34" s="127">
        <v>24</v>
      </c>
      <c r="V34" s="127">
        <f t="shared" si="1"/>
        <v>39</v>
      </c>
      <c r="W34" s="127">
        <v>16</v>
      </c>
      <c r="X34" s="127">
        <v>27</v>
      </c>
      <c r="Y34" s="127">
        <f t="shared" si="12"/>
        <v>43</v>
      </c>
      <c r="Z34" s="127">
        <f t="shared" si="2"/>
        <v>82</v>
      </c>
      <c r="AA34" s="127">
        <f t="shared" si="13"/>
        <v>82</v>
      </c>
      <c r="AB34" s="245"/>
      <c r="AC34" s="137">
        <f t="shared" si="14"/>
        <v>2</v>
      </c>
      <c r="AD34" s="127">
        <v>10</v>
      </c>
      <c r="AE34" s="127">
        <v>19</v>
      </c>
      <c r="AF34" s="127">
        <f t="shared" si="3"/>
        <v>29</v>
      </c>
      <c r="AG34" s="127">
        <v>13</v>
      </c>
      <c r="AH34" s="127">
        <f t="shared" si="15"/>
        <v>42</v>
      </c>
      <c r="AI34" s="245"/>
      <c r="AJ34" s="140">
        <f t="shared" si="43"/>
        <v>2</v>
      </c>
      <c r="AK34" s="127">
        <v>16</v>
      </c>
      <c r="AL34" s="127">
        <v>16</v>
      </c>
      <c r="AM34" s="127">
        <f t="shared" si="4"/>
        <v>32</v>
      </c>
      <c r="AN34" s="127">
        <v>16</v>
      </c>
      <c r="AO34" s="127">
        <f t="shared" si="17"/>
        <v>48</v>
      </c>
      <c r="AP34" s="245"/>
      <c r="AQ34" s="137">
        <f t="shared" si="18"/>
        <v>2</v>
      </c>
      <c r="AR34" s="139"/>
      <c r="AS34" s="139">
        <v>16</v>
      </c>
      <c r="AT34" s="127">
        <v>24</v>
      </c>
      <c r="AU34" s="127">
        <f t="shared" si="19"/>
        <v>40</v>
      </c>
      <c r="AV34" s="245"/>
      <c r="AW34" s="137">
        <f t="shared" si="5"/>
        <v>5</v>
      </c>
      <c r="AX34" s="127">
        <v>16</v>
      </c>
      <c r="AY34" s="127">
        <v>34</v>
      </c>
      <c r="AZ34" s="127">
        <f t="shared" si="20"/>
        <v>50</v>
      </c>
      <c r="BA34" s="127">
        <v>16</v>
      </c>
      <c r="BB34" s="127">
        <f t="shared" si="21"/>
        <v>66</v>
      </c>
      <c r="BC34" s="245"/>
      <c r="BD34" s="140">
        <f t="shared" si="22"/>
        <v>3.5</v>
      </c>
      <c r="BE34" s="127">
        <v>16</v>
      </c>
      <c r="BF34" s="127">
        <v>25</v>
      </c>
      <c r="BG34" s="127">
        <f t="shared" si="23"/>
        <v>41</v>
      </c>
      <c r="BH34" s="127">
        <v>16</v>
      </c>
      <c r="BI34" s="127">
        <f t="shared" si="24"/>
        <v>57</v>
      </c>
      <c r="BJ34" s="245"/>
      <c r="BK34" s="137">
        <f t="shared" si="25"/>
        <v>3</v>
      </c>
      <c r="BL34" s="127">
        <v>12</v>
      </c>
      <c r="BM34" s="127">
        <v>23</v>
      </c>
      <c r="BN34" s="127">
        <f t="shared" si="26"/>
        <v>35</v>
      </c>
      <c r="BO34" s="127">
        <v>16</v>
      </c>
      <c r="BP34" s="127">
        <f t="shared" si="27"/>
        <v>51</v>
      </c>
      <c r="BQ34" s="245"/>
      <c r="BR34" s="140">
        <f t="shared" si="28"/>
        <v>3</v>
      </c>
      <c r="BS34" s="127">
        <v>13</v>
      </c>
      <c r="BT34" s="127">
        <v>29</v>
      </c>
      <c r="BU34" s="127">
        <f t="shared" si="29"/>
        <v>42</v>
      </c>
      <c r="BV34" s="127">
        <v>20</v>
      </c>
      <c r="BW34" s="127">
        <f t="shared" si="30"/>
        <v>62</v>
      </c>
      <c r="BX34" s="245"/>
      <c r="BY34" s="140">
        <f t="shared" si="31"/>
        <v>3.5</v>
      </c>
      <c r="BZ34" s="127">
        <v>7</v>
      </c>
      <c r="CA34" s="127">
        <v>22</v>
      </c>
      <c r="CB34" s="127">
        <f t="shared" si="32"/>
        <v>29</v>
      </c>
      <c r="CC34" s="127">
        <v>20</v>
      </c>
      <c r="CD34" s="127">
        <v>25</v>
      </c>
      <c r="CE34" s="127">
        <f t="shared" si="33"/>
        <v>74</v>
      </c>
      <c r="CF34" s="245"/>
      <c r="CG34" s="137">
        <f t="shared" si="34"/>
        <v>4</v>
      </c>
      <c r="CH34" s="137">
        <f t="shared" si="35"/>
        <v>4</v>
      </c>
      <c r="CI34" s="127">
        <f t="shared" si="6"/>
        <v>29</v>
      </c>
      <c r="CJ34" s="165">
        <f t="shared" si="36"/>
        <v>3.2222222222222223</v>
      </c>
      <c r="CK34" s="97" t="str">
        <f t="shared" si="37"/>
        <v>GOOD</v>
      </c>
      <c r="CL34" s="97">
        <f t="shared" si="38"/>
        <v>623</v>
      </c>
      <c r="CM34" s="117"/>
      <c r="CN34" s="117"/>
      <c r="CO34" s="166">
        <f>'1ST_SEMESTER'!CL41</f>
        <v>629</v>
      </c>
      <c r="CP34" s="166">
        <f>'2ND_SEMESTER'!CL44</f>
        <v>703</v>
      </c>
      <c r="CQ34" s="166">
        <f t="shared" si="39"/>
        <v>623</v>
      </c>
      <c r="CR34" s="166">
        <f t="shared" si="40"/>
        <v>651.66666666666663</v>
      </c>
      <c r="CS34" s="168" t="str">
        <f>'1ST_SEMESTER'!CJ35</f>
        <v>F</v>
      </c>
      <c r="CT34" s="169">
        <f>'2ND_SEMESTER'!CJ34</f>
        <v>3.4444444444444446</v>
      </c>
      <c r="CU34" s="169">
        <f t="shared" si="41"/>
        <v>3.2222222222222223</v>
      </c>
      <c r="CV34" s="169">
        <f t="shared" si="42"/>
        <v>3.3333333333333335</v>
      </c>
      <c r="CW34" s="170"/>
    </row>
    <row r="35" spans="1:101" s="56" customFormat="1" ht="24.95" customHeight="1" thickTop="1">
      <c r="A35" s="55">
        <v>29</v>
      </c>
      <c r="B35" s="47">
        <v>103</v>
      </c>
      <c r="C35" s="50" t="s">
        <v>213</v>
      </c>
      <c r="D35" s="50" t="s">
        <v>214</v>
      </c>
      <c r="E35" s="50" t="s">
        <v>215</v>
      </c>
      <c r="F35" s="53" t="s">
        <v>216</v>
      </c>
      <c r="G35" s="127">
        <v>11</v>
      </c>
      <c r="H35" s="127">
        <v>4</v>
      </c>
      <c r="I35" s="127">
        <f t="shared" si="7"/>
        <v>15</v>
      </c>
      <c r="J35" s="127">
        <v>7</v>
      </c>
      <c r="K35" s="141">
        <f t="shared" si="8"/>
        <v>22</v>
      </c>
      <c r="L35" s="127">
        <v>11</v>
      </c>
      <c r="M35" s="127">
        <v>14</v>
      </c>
      <c r="N35" s="127">
        <f t="shared" si="9"/>
        <v>25</v>
      </c>
      <c r="O35" s="127">
        <v>17</v>
      </c>
      <c r="P35" s="141">
        <f t="shared" si="10"/>
        <v>42</v>
      </c>
      <c r="Q35" s="127">
        <f t="shared" si="0"/>
        <v>64</v>
      </c>
      <c r="R35" s="245"/>
      <c r="S35" s="137" t="str">
        <f t="shared" si="11"/>
        <v>F</v>
      </c>
      <c r="T35" s="127">
        <v>11</v>
      </c>
      <c r="U35" s="127">
        <v>8</v>
      </c>
      <c r="V35" s="127">
        <f t="shared" si="1"/>
        <v>19</v>
      </c>
      <c r="W35" s="127">
        <v>18</v>
      </c>
      <c r="X35" s="127">
        <v>27</v>
      </c>
      <c r="Y35" s="127">
        <f t="shared" si="12"/>
        <v>45</v>
      </c>
      <c r="Z35" s="127">
        <f t="shared" si="2"/>
        <v>64</v>
      </c>
      <c r="AA35" s="127">
        <f t="shared" si="13"/>
        <v>64</v>
      </c>
      <c r="AB35" s="245"/>
      <c r="AC35" s="137" t="str">
        <f t="shared" si="14"/>
        <v>F</v>
      </c>
      <c r="AD35" s="127">
        <v>5</v>
      </c>
      <c r="AE35" s="127">
        <v>21</v>
      </c>
      <c r="AF35" s="127">
        <v>28</v>
      </c>
      <c r="AG35" s="127">
        <v>13</v>
      </c>
      <c r="AH35" s="127">
        <f t="shared" si="15"/>
        <v>41</v>
      </c>
      <c r="AI35" s="245"/>
      <c r="AJ35" s="142">
        <f t="shared" si="43"/>
        <v>2</v>
      </c>
      <c r="AK35" s="127">
        <v>6</v>
      </c>
      <c r="AL35" s="127">
        <v>14</v>
      </c>
      <c r="AM35" s="127">
        <f t="shared" si="4"/>
        <v>20</v>
      </c>
      <c r="AN35" s="127">
        <v>14</v>
      </c>
      <c r="AO35" s="127">
        <f t="shared" si="17"/>
        <v>34</v>
      </c>
      <c r="AP35" s="245"/>
      <c r="AQ35" s="137" t="str">
        <f t="shared" si="18"/>
        <v>F</v>
      </c>
      <c r="AR35" s="141"/>
      <c r="AS35" s="141">
        <v>12</v>
      </c>
      <c r="AT35" s="127">
        <v>24</v>
      </c>
      <c r="AU35" s="127">
        <f t="shared" si="19"/>
        <v>36</v>
      </c>
      <c r="AV35" s="245"/>
      <c r="AW35" s="137">
        <f t="shared" si="5"/>
        <v>4</v>
      </c>
      <c r="AX35" s="167">
        <v>9</v>
      </c>
      <c r="AY35" s="127">
        <v>23</v>
      </c>
      <c r="AZ35" s="127">
        <f t="shared" si="20"/>
        <v>32</v>
      </c>
      <c r="BA35" s="127">
        <v>14</v>
      </c>
      <c r="BB35" s="127">
        <f t="shared" si="21"/>
        <v>46</v>
      </c>
      <c r="BC35" s="245"/>
      <c r="BD35" s="142">
        <f t="shared" si="22"/>
        <v>2</v>
      </c>
      <c r="BE35" s="127">
        <v>15</v>
      </c>
      <c r="BF35" s="127">
        <v>27</v>
      </c>
      <c r="BG35" s="127">
        <f t="shared" si="23"/>
        <v>42</v>
      </c>
      <c r="BH35" s="127">
        <v>18</v>
      </c>
      <c r="BI35" s="127">
        <f t="shared" si="24"/>
        <v>60</v>
      </c>
      <c r="BJ35" s="245"/>
      <c r="BK35" s="137">
        <f t="shared" si="25"/>
        <v>3.5</v>
      </c>
      <c r="BL35" s="127">
        <v>13</v>
      </c>
      <c r="BM35" s="127">
        <v>24</v>
      </c>
      <c r="BN35" s="127">
        <f t="shared" si="26"/>
        <v>37</v>
      </c>
      <c r="BO35" s="127">
        <v>22</v>
      </c>
      <c r="BP35" s="127">
        <f t="shared" si="27"/>
        <v>59</v>
      </c>
      <c r="BQ35" s="245"/>
      <c r="BR35" s="142">
        <f t="shared" si="28"/>
        <v>3</v>
      </c>
      <c r="BS35" s="127">
        <v>12</v>
      </c>
      <c r="BT35" s="127">
        <v>23</v>
      </c>
      <c r="BU35" s="127">
        <f t="shared" si="29"/>
        <v>35</v>
      </c>
      <c r="BV35" s="127">
        <v>20</v>
      </c>
      <c r="BW35" s="127">
        <f t="shared" si="30"/>
        <v>55</v>
      </c>
      <c r="BX35" s="245"/>
      <c r="BY35" s="142">
        <f t="shared" si="31"/>
        <v>3</v>
      </c>
      <c r="BZ35" s="127">
        <v>6</v>
      </c>
      <c r="CA35" s="127">
        <v>14</v>
      </c>
      <c r="CB35" s="127">
        <f t="shared" si="32"/>
        <v>20</v>
      </c>
      <c r="CC35" s="127">
        <v>18</v>
      </c>
      <c r="CD35" s="127">
        <v>0</v>
      </c>
      <c r="CE35" s="127">
        <f t="shared" si="33"/>
        <v>38</v>
      </c>
      <c r="CF35" s="245"/>
      <c r="CG35" s="137" t="str">
        <f t="shared" si="34"/>
        <v>0</v>
      </c>
      <c r="CH35" s="137" t="str">
        <f t="shared" si="35"/>
        <v>F</v>
      </c>
      <c r="CI35" s="127" t="str">
        <f t="shared" si="6"/>
        <v>F</v>
      </c>
      <c r="CJ35" s="165" t="str">
        <f t="shared" si="36"/>
        <v>F</v>
      </c>
      <c r="CK35" s="97" t="str">
        <f t="shared" si="37"/>
        <v>NEED TO PROGRESS</v>
      </c>
      <c r="CL35" s="97">
        <f t="shared" si="38"/>
        <v>497</v>
      </c>
      <c r="CM35" s="122"/>
      <c r="CN35" s="122"/>
      <c r="CO35" s="166">
        <f>'1ST_SEMESTER'!CL42</f>
        <v>587</v>
      </c>
      <c r="CP35" s="166">
        <f>'2ND_SEMESTER'!CL45</f>
        <v>603</v>
      </c>
      <c r="CQ35" s="166">
        <f t="shared" si="39"/>
        <v>497</v>
      </c>
      <c r="CR35" s="166">
        <f t="shared" si="40"/>
        <v>562.33333333333337</v>
      </c>
      <c r="CS35" s="168" t="str">
        <f>'1ST_SEMESTER'!CJ36</f>
        <v>F</v>
      </c>
      <c r="CT35" s="169" t="str">
        <f>'2ND_SEMESTER'!CJ35</f>
        <v>F</v>
      </c>
      <c r="CU35" s="169" t="str">
        <f t="shared" si="41"/>
        <v>F</v>
      </c>
      <c r="CV35" s="169" t="e">
        <f t="shared" si="42"/>
        <v>#DIV/0!</v>
      </c>
      <c r="CW35" s="170"/>
    </row>
    <row r="36" spans="1:101" s="56" customFormat="1" ht="24.95" customHeight="1">
      <c r="A36" s="55">
        <v>30</v>
      </c>
      <c r="B36" s="47">
        <v>111</v>
      </c>
      <c r="C36" s="50" t="s">
        <v>217</v>
      </c>
      <c r="D36" s="50" t="s">
        <v>218</v>
      </c>
      <c r="E36" s="50" t="s">
        <v>219</v>
      </c>
      <c r="F36" s="51" t="s">
        <v>220</v>
      </c>
      <c r="G36" s="127">
        <v>0</v>
      </c>
      <c r="H36" s="127">
        <v>0</v>
      </c>
      <c r="I36" s="127">
        <f t="shared" si="7"/>
        <v>0</v>
      </c>
      <c r="J36" s="127"/>
      <c r="K36" s="127">
        <f t="shared" si="8"/>
        <v>0</v>
      </c>
      <c r="L36" s="127"/>
      <c r="M36" s="127"/>
      <c r="N36" s="127">
        <f t="shared" si="9"/>
        <v>0</v>
      </c>
      <c r="O36" s="127">
        <v>0</v>
      </c>
      <c r="P36" s="127">
        <f t="shared" si="10"/>
        <v>0</v>
      </c>
      <c r="Q36" s="127">
        <f t="shared" si="0"/>
        <v>0</v>
      </c>
      <c r="R36" s="245"/>
      <c r="S36" s="137" t="str">
        <f t="shared" si="11"/>
        <v>F</v>
      </c>
      <c r="T36" s="127">
        <v>0</v>
      </c>
      <c r="U36" s="127">
        <v>0</v>
      </c>
      <c r="V36" s="127">
        <f t="shared" si="1"/>
        <v>0</v>
      </c>
      <c r="W36" s="127"/>
      <c r="X36" s="127"/>
      <c r="Y36" s="127">
        <f t="shared" si="12"/>
        <v>0</v>
      </c>
      <c r="Z36" s="127">
        <f t="shared" si="2"/>
        <v>0</v>
      </c>
      <c r="AA36" s="127">
        <f t="shared" si="13"/>
        <v>0</v>
      </c>
      <c r="AB36" s="245"/>
      <c r="AC36" s="137" t="str">
        <f t="shared" si="14"/>
        <v>F</v>
      </c>
      <c r="AD36" s="127">
        <v>0</v>
      </c>
      <c r="AE36" s="127">
        <v>0</v>
      </c>
      <c r="AF36" s="127">
        <f t="shared" si="3"/>
        <v>0</v>
      </c>
      <c r="AG36" s="127">
        <v>0</v>
      </c>
      <c r="AH36" s="127">
        <f t="shared" si="15"/>
        <v>0</v>
      </c>
      <c r="AI36" s="245"/>
      <c r="AJ36" s="137" t="str">
        <f t="shared" si="43"/>
        <v>F</v>
      </c>
      <c r="AK36" s="127">
        <v>0</v>
      </c>
      <c r="AL36" s="127">
        <v>0</v>
      </c>
      <c r="AM36" s="127">
        <f t="shared" si="4"/>
        <v>0</v>
      </c>
      <c r="AN36" s="127">
        <v>0</v>
      </c>
      <c r="AO36" s="127">
        <f t="shared" si="17"/>
        <v>0</v>
      </c>
      <c r="AP36" s="245"/>
      <c r="AQ36" s="137" t="str">
        <f t="shared" si="18"/>
        <v>F</v>
      </c>
      <c r="AR36" s="127"/>
      <c r="AS36" s="127">
        <v>0</v>
      </c>
      <c r="AT36" s="127"/>
      <c r="AU36" s="127">
        <f t="shared" si="19"/>
        <v>0</v>
      </c>
      <c r="AV36" s="245"/>
      <c r="AW36" s="137" t="str">
        <f t="shared" si="5"/>
        <v>F</v>
      </c>
      <c r="AX36" s="167">
        <v>0</v>
      </c>
      <c r="AY36" s="127">
        <v>0</v>
      </c>
      <c r="AZ36" s="127">
        <f t="shared" si="20"/>
        <v>0</v>
      </c>
      <c r="BA36" s="127">
        <v>0</v>
      </c>
      <c r="BB36" s="127">
        <f t="shared" si="21"/>
        <v>0</v>
      </c>
      <c r="BC36" s="245"/>
      <c r="BD36" s="137" t="str">
        <f t="shared" si="22"/>
        <v>F</v>
      </c>
      <c r="BE36" s="127">
        <v>0</v>
      </c>
      <c r="BF36" s="127">
        <v>0</v>
      </c>
      <c r="BG36" s="127">
        <f t="shared" si="23"/>
        <v>0</v>
      </c>
      <c r="BH36" s="127">
        <v>0</v>
      </c>
      <c r="BI36" s="127">
        <f t="shared" si="24"/>
        <v>0</v>
      </c>
      <c r="BJ36" s="245"/>
      <c r="BK36" s="137" t="str">
        <f t="shared" si="25"/>
        <v>F</v>
      </c>
      <c r="BL36" s="127">
        <v>0</v>
      </c>
      <c r="BM36" s="127">
        <v>0</v>
      </c>
      <c r="BN36" s="127">
        <f t="shared" si="26"/>
        <v>0</v>
      </c>
      <c r="BO36" s="127">
        <v>0</v>
      </c>
      <c r="BP36" s="127">
        <f t="shared" si="27"/>
        <v>0</v>
      </c>
      <c r="BQ36" s="245"/>
      <c r="BR36" s="137" t="str">
        <f t="shared" si="28"/>
        <v>F</v>
      </c>
      <c r="BS36" s="127">
        <v>0</v>
      </c>
      <c r="BT36" s="127">
        <v>0</v>
      </c>
      <c r="BU36" s="127">
        <f t="shared" si="29"/>
        <v>0</v>
      </c>
      <c r="BV36" s="127">
        <v>0</v>
      </c>
      <c r="BW36" s="127">
        <f t="shared" si="30"/>
        <v>0</v>
      </c>
      <c r="BX36" s="245"/>
      <c r="BY36" s="137" t="str">
        <f t="shared" si="31"/>
        <v>F</v>
      </c>
      <c r="BZ36" s="127">
        <v>0</v>
      </c>
      <c r="CA36" s="127">
        <v>0</v>
      </c>
      <c r="CB36" s="127">
        <f t="shared" si="32"/>
        <v>0</v>
      </c>
      <c r="CC36" s="127">
        <v>0</v>
      </c>
      <c r="CD36" s="127"/>
      <c r="CE36" s="127">
        <f t="shared" si="33"/>
        <v>0</v>
      </c>
      <c r="CF36" s="245"/>
      <c r="CG36" s="137" t="str">
        <f t="shared" si="34"/>
        <v>0</v>
      </c>
      <c r="CH36" s="137" t="str">
        <f t="shared" si="35"/>
        <v>F</v>
      </c>
      <c r="CI36" s="127" t="str">
        <f t="shared" si="6"/>
        <v>F</v>
      </c>
      <c r="CJ36" s="165" t="str">
        <f t="shared" si="36"/>
        <v>F</v>
      </c>
      <c r="CK36" s="97" t="str">
        <f t="shared" si="37"/>
        <v>NEED TO PROGRESS</v>
      </c>
      <c r="CL36" s="97">
        <f t="shared" si="38"/>
        <v>0</v>
      </c>
      <c r="CM36" s="97"/>
      <c r="CN36" s="97"/>
      <c r="CO36" s="166">
        <f>'1ST_SEMESTER'!CL43</f>
        <v>567</v>
      </c>
      <c r="CP36" s="166">
        <f>'2ND_SEMESTER'!CL46</f>
        <v>678</v>
      </c>
      <c r="CQ36" s="166">
        <f t="shared" si="39"/>
        <v>0</v>
      </c>
      <c r="CR36" s="166">
        <f t="shared" si="40"/>
        <v>415</v>
      </c>
      <c r="CS36" s="168" t="str">
        <f>'1ST_SEMESTER'!CJ37</f>
        <v>F</v>
      </c>
      <c r="CT36" s="169" t="str">
        <f>'2ND_SEMESTER'!CJ36</f>
        <v>F</v>
      </c>
      <c r="CU36" s="169" t="str">
        <f t="shared" si="41"/>
        <v>F</v>
      </c>
      <c r="CV36" s="169" t="e">
        <f t="shared" si="42"/>
        <v>#DIV/0!</v>
      </c>
      <c r="CW36" s="170"/>
    </row>
    <row r="37" spans="1:101" s="56" customFormat="1" ht="24.95" customHeight="1">
      <c r="A37" s="55">
        <v>31</v>
      </c>
      <c r="B37" s="47">
        <v>120</v>
      </c>
      <c r="C37" s="50" t="s">
        <v>221</v>
      </c>
      <c r="D37" s="50" t="s">
        <v>222</v>
      </c>
      <c r="E37" s="50" t="s">
        <v>223</v>
      </c>
      <c r="F37" s="51" t="s">
        <v>224</v>
      </c>
      <c r="G37" s="127">
        <v>13</v>
      </c>
      <c r="H37" s="127">
        <v>16</v>
      </c>
      <c r="I37" s="127">
        <f t="shared" si="7"/>
        <v>29</v>
      </c>
      <c r="J37" s="127">
        <v>17</v>
      </c>
      <c r="K37" s="127">
        <f t="shared" si="8"/>
        <v>46</v>
      </c>
      <c r="L37" s="127">
        <v>17</v>
      </c>
      <c r="M37" s="127">
        <v>18</v>
      </c>
      <c r="N37" s="127">
        <f t="shared" si="9"/>
        <v>35</v>
      </c>
      <c r="O37" s="127">
        <v>18</v>
      </c>
      <c r="P37" s="127">
        <f t="shared" si="10"/>
        <v>53</v>
      </c>
      <c r="Q37" s="127">
        <f t="shared" si="0"/>
        <v>99</v>
      </c>
      <c r="R37" s="245"/>
      <c r="S37" s="137">
        <f t="shared" si="11"/>
        <v>2</v>
      </c>
      <c r="T37" s="127">
        <v>11</v>
      </c>
      <c r="U37" s="127">
        <v>32</v>
      </c>
      <c r="V37" s="127">
        <f t="shared" si="1"/>
        <v>43</v>
      </c>
      <c r="W37" s="127">
        <v>17</v>
      </c>
      <c r="X37" s="127">
        <v>29</v>
      </c>
      <c r="Y37" s="127">
        <f t="shared" si="12"/>
        <v>46</v>
      </c>
      <c r="Z37" s="127">
        <f t="shared" si="2"/>
        <v>89</v>
      </c>
      <c r="AA37" s="127">
        <f t="shared" si="13"/>
        <v>89</v>
      </c>
      <c r="AB37" s="245"/>
      <c r="AC37" s="137">
        <f t="shared" si="14"/>
        <v>2</v>
      </c>
      <c r="AD37" s="127">
        <v>10</v>
      </c>
      <c r="AE37" s="127">
        <v>18</v>
      </c>
      <c r="AF37" s="127">
        <f t="shared" si="3"/>
        <v>28</v>
      </c>
      <c r="AG37" s="127">
        <v>16</v>
      </c>
      <c r="AH37" s="127">
        <f t="shared" si="15"/>
        <v>44</v>
      </c>
      <c r="AI37" s="245"/>
      <c r="AJ37" s="137">
        <f t="shared" si="43"/>
        <v>2</v>
      </c>
      <c r="AK37" s="127">
        <v>13</v>
      </c>
      <c r="AL37" s="127">
        <v>22</v>
      </c>
      <c r="AM37" s="127">
        <f t="shared" si="4"/>
        <v>35</v>
      </c>
      <c r="AN37" s="127">
        <v>16</v>
      </c>
      <c r="AO37" s="127">
        <f t="shared" si="17"/>
        <v>51</v>
      </c>
      <c r="AP37" s="245"/>
      <c r="AQ37" s="137">
        <f t="shared" si="18"/>
        <v>3</v>
      </c>
      <c r="AR37" s="127"/>
      <c r="AS37" s="127">
        <v>22</v>
      </c>
      <c r="AT37" s="127">
        <v>24</v>
      </c>
      <c r="AU37" s="127">
        <f t="shared" si="19"/>
        <v>46</v>
      </c>
      <c r="AV37" s="245"/>
      <c r="AW37" s="137">
        <f t="shared" si="5"/>
        <v>5</v>
      </c>
      <c r="AX37" s="167">
        <v>14</v>
      </c>
      <c r="AY37" s="127">
        <v>27</v>
      </c>
      <c r="AZ37" s="127">
        <f t="shared" si="20"/>
        <v>41</v>
      </c>
      <c r="BA37" s="127">
        <v>13</v>
      </c>
      <c r="BB37" s="127">
        <f t="shared" si="21"/>
        <v>54</v>
      </c>
      <c r="BC37" s="245"/>
      <c r="BD37" s="137">
        <f t="shared" si="22"/>
        <v>3</v>
      </c>
      <c r="BE37" s="127">
        <v>14</v>
      </c>
      <c r="BF37" s="127">
        <v>29</v>
      </c>
      <c r="BG37" s="127">
        <f t="shared" si="23"/>
        <v>43</v>
      </c>
      <c r="BH37" s="127">
        <v>20</v>
      </c>
      <c r="BI37" s="127">
        <f t="shared" si="24"/>
        <v>63</v>
      </c>
      <c r="BJ37" s="245"/>
      <c r="BK37" s="137">
        <f t="shared" si="25"/>
        <v>3.5</v>
      </c>
      <c r="BL37" s="127">
        <v>11</v>
      </c>
      <c r="BM37" s="127">
        <v>28</v>
      </c>
      <c r="BN37" s="127">
        <f t="shared" si="26"/>
        <v>39</v>
      </c>
      <c r="BO37" s="127">
        <v>20</v>
      </c>
      <c r="BP37" s="127">
        <f t="shared" si="27"/>
        <v>59</v>
      </c>
      <c r="BQ37" s="245"/>
      <c r="BR37" s="137">
        <f t="shared" si="28"/>
        <v>3</v>
      </c>
      <c r="BS37" s="127">
        <v>19</v>
      </c>
      <c r="BT37" s="127">
        <v>21</v>
      </c>
      <c r="BU37" s="127">
        <f t="shared" si="29"/>
        <v>40</v>
      </c>
      <c r="BV37" s="127">
        <v>21</v>
      </c>
      <c r="BW37" s="127">
        <f t="shared" si="30"/>
        <v>61</v>
      </c>
      <c r="BX37" s="245"/>
      <c r="BY37" s="137">
        <f t="shared" si="31"/>
        <v>3.5</v>
      </c>
      <c r="BZ37" s="127">
        <v>6</v>
      </c>
      <c r="CA37" s="127">
        <v>19</v>
      </c>
      <c r="CB37" s="127">
        <f t="shared" si="32"/>
        <v>25</v>
      </c>
      <c r="CC37" s="127">
        <v>18</v>
      </c>
      <c r="CD37" s="127">
        <v>25</v>
      </c>
      <c r="CE37" s="127">
        <f t="shared" si="33"/>
        <v>68</v>
      </c>
      <c r="CF37" s="245"/>
      <c r="CG37" s="137">
        <f t="shared" si="34"/>
        <v>3.5</v>
      </c>
      <c r="CH37" s="137">
        <f t="shared" si="35"/>
        <v>3.5</v>
      </c>
      <c r="CI37" s="127">
        <f t="shared" si="6"/>
        <v>28.5</v>
      </c>
      <c r="CJ37" s="165">
        <f t="shared" si="36"/>
        <v>3.1666666666666665</v>
      </c>
      <c r="CK37" s="97" t="str">
        <f t="shared" si="37"/>
        <v>GOOD</v>
      </c>
      <c r="CL37" s="97">
        <f t="shared" si="38"/>
        <v>634</v>
      </c>
      <c r="CM37" s="97"/>
      <c r="CN37" s="97"/>
      <c r="CO37" s="166">
        <f>'1ST_SEMESTER'!CL44</f>
        <v>760</v>
      </c>
      <c r="CP37" s="166">
        <f>'2ND_SEMESTER'!CL47</f>
        <v>0</v>
      </c>
      <c r="CQ37" s="166">
        <f t="shared" si="39"/>
        <v>634</v>
      </c>
      <c r="CR37" s="166">
        <f t="shared" si="40"/>
        <v>464.66666666666669</v>
      </c>
      <c r="CS37" s="168" t="str">
        <f>'1ST_SEMESTER'!CJ38</f>
        <v>F</v>
      </c>
      <c r="CT37" s="169">
        <f>'2ND_SEMESTER'!CJ37</f>
        <v>3.1666666666666665</v>
      </c>
      <c r="CU37" s="169">
        <f t="shared" si="41"/>
        <v>3.1666666666666665</v>
      </c>
      <c r="CV37" s="169">
        <f t="shared" si="42"/>
        <v>3.1666666666666665</v>
      </c>
      <c r="CW37" s="170"/>
    </row>
    <row r="38" spans="1:101" s="56" customFormat="1" ht="24.95" customHeight="1">
      <c r="A38" s="55">
        <v>32</v>
      </c>
      <c r="B38" s="47">
        <v>121</v>
      </c>
      <c r="C38" s="50" t="s">
        <v>225</v>
      </c>
      <c r="D38" s="50" t="s">
        <v>226</v>
      </c>
      <c r="E38" s="50" t="s">
        <v>227</v>
      </c>
      <c r="F38" s="51" t="s">
        <v>228</v>
      </c>
      <c r="G38" s="127">
        <v>0</v>
      </c>
      <c r="H38" s="127">
        <v>0</v>
      </c>
      <c r="I38" s="127">
        <f t="shared" si="7"/>
        <v>0</v>
      </c>
      <c r="J38" s="127"/>
      <c r="K38" s="127">
        <f t="shared" si="8"/>
        <v>0</v>
      </c>
      <c r="L38" s="127"/>
      <c r="M38" s="127"/>
      <c r="N38" s="127">
        <f t="shared" si="9"/>
        <v>0</v>
      </c>
      <c r="O38" s="127"/>
      <c r="P38" s="127">
        <f t="shared" si="10"/>
        <v>0</v>
      </c>
      <c r="Q38" s="127">
        <f t="shared" si="0"/>
        <v>0</v>
      </c>
      <c r="R38" s="245"/>
      <c r="S38" s="137" t="str">
        <f t="shared" si="11"/>
        <v>F</v>
      </c>
      <c r="T38" s="127">
        <v>0</v>
      </c>
      <c r="U38" s="127">
        <v>0</v>
      </c>
      <c r="V38" s="127">
        <f t="shared" si="1"/>
        <v>0</v>
      </c>
      <c r="W38" s="127"/>
      <c r="X38" s="127"/>
      <c r="Y38" s="127">
        <f t="shared" si="12"/>
        <v>0</v>
      </c>
      <c r="Z38" s="127">
        <f t="shared" si="2"/>
        <v>0</v>
      </c>
      <c r="AA38" s="127">
        <f t="shared" si="13"/>
        <v>0</v>
      </c>
      <c r="AB38" s="245"/>
      <c r="AC38" s="137" t="str">
        <f t="shared" si="14"/>
        <v>F</v>
      </c>
      <c r="AD38" s="127">
        <v>0</v>
      </c>
      <c r="AE38" s="127">
        <v>0</v>
      </c>
      <c r="AF38" s="127">
        <f t="shared" si="3"/>
        <v>0</v>
      </c>
      <c r="AG38" s="127">
        <v>0</v>
      </c>
      <c r="AH38" s="127">
        <f t="shared" si="15"/>
        <v>0</v>
      </c>
      <c r="AI38" s="245"/>
      <c r="AJ38" s="137" t="str">
        <f t="shared" si="43"/>
        <v>F</v>
      </c>
      <c r="AK38" s="127">
        <v>0</v>
      </c>
      <c r="AL38" s="127">
        <v>0</v>
      </c>
      <c r="AM38" s="127">
        <f t="shared" si="4"/>
        <v>0</v>
      </c>
      <c r="AN38" s="127">
        <v>0</v>
      </c>
      <c r="AO38" s="127">
        <f t="shared" si="17"/>
        <v>0</v>
      </c>
      <c r="AP38" s="245"/>
      <c r="AQ38" s="137" t="str">
        <f t="shared" si="18"/>
        <v>F</v>
      </c>
      <c r="AR38" s="127"/>
      <c r="AS38" s="127">
        <v>0</v>
      </c>
      <c r="AT38" s="127"/>
      <c r="AU38" s="127">
        <f t="shared" si="19"/>
        <v>0</v>
      </c>
      <c r="AV38" s="245"/>
      <c r="AW38" s="137" t="str">
        <f t="shared" si="5"/>
        <v>F</v>
      </c>
      <c r="AX38" s="167">
        <v>0</v>
      </c>
      <c r="AY38" s="127">
        <v>0</v>
      </c>
      <c r="AZ38" s="127">
        <f t="shared" si="20"/>
        <v>0</v>
      </c>
      <c r="BA38" s="127">
        <v>0</v>
      </c>
      <c r="BB38" s="127">
        <f t="shared" si="21"/>
        <v>0</v>
      </c>
      <c r="BC38" s="245"/>
      <c r="BD38" s="137" t="str">
        <f t="shared" si="22"/>
        <v>F</v>
      </c>
      <c r="BE38" s="127">
        <v>0</v>
      </c>
      <c r="BF38" s="127">
        <v>0</v>
      </c>
      <c r="BG38" s="127">
        <f t="shared" si="23"/>
        <v>0</v>
      </c>
      <c r="BH38" s="127">
        <v>0</v>
      </c>
      <c r="BI38" s="127">
        <f t="shared" si="24"/>
        <v>0</v>
      </c>
      <c r="BJ38" s="245"/>
      <c r="BK38" s="137" t="str">
        <f t="shared" si="25"/>
        <v>F</v>
      </c>
      <c r="BL38" s="127">
        <v>0</v>
      </c>
      <c r="BM38" s="127">
        <v>0</v>
      </c>
      <c r="BN38" s="127">
        <f t="shared" si="26"/>
        <v>0</v>
      </c>
      <c r="BO38" s="127">
        <v>0</v>
      </c>
      <c r="BP38" s="127">
        <f t="shared" si="27"/>
        <v>0</v>
      </c>
      <c r="BQ38" s="245"/>
      <c r="BR38" s="137" t="str">
        <f t="shared" si="28"/>
        <v>F</v>
      </c>
      <c r="BS38" s="127">
        <v>0</v>
      </c>
      <c r="BT38" s="127">
        <v>0</v>
      </c>
      <c r="BU38" s="127">
        <f t="shared" si="29"/>
        <v>0</v>
      </c>
      <c r="BV38" s="127">
        <v>0</v>
      </c>
      <c r="BW38" s="127">
        <f t="shared" si="30"/>
        <v>0</v>
      </c>
      <c r="BX38" s="245"/>
      <c r="BY38" s="137" t="str">
        <f t="shared" si="31"/>
        <v>F</v>
      </c>
      <c r="BZ38" s="127">
        <v>0</v>
      </c>
      <c r="CA38" s="127">
        <v>0</v>
      </c>
      <c r="CB38" s="127">
        <f t="shared" si="32"/>
        <v>0</v>
      </c>
      <c r="CC38" s="127">
        <v>0</v>
      </c>
      <c r="CD38" s="127">
        <v>0</v>
      </c>
      <c r="CE38" s="127">
        <f t="shared" si="33"/>
        <v>0</v>
      </c>
      <c r="CF38" s="245"/>
      <c r="CG38" s="137" t="str">
        <f t="shared" si="34"/>
        <v>0</v>
      </c>
      <c r="CH38" s="137" t="str">
        <f t="shared" si="35"/>
        <v>F</v>
      </c>
      <c r="CI38" s="127" t="str">
        <f t="shared" si="6"/>
        <v>F</v>
      </c>
      <c r="CJ38" s="165" t="str">
        <f t="shared" si="36"/>
        <v>F</v>
      </c>
      <c r="CK38" s="97" t="str">
        <f t="shared" si="37"/>
        <v>NEED TO PROGRESS</v>
      </c>
      <c r="CL38" s="97">
        <f t="shared" si="38"/>
        <v>0</v>
      </c>
      <c r="CM38" s="97"/>
      <c r="CN38" s="97"/>
      <c r="CO38" s="166">
        <f>'1ST_SEMESTER'!CL45</f>
        <v>687</v>
      </c>
      <c r="CP38" s="166">
        <f>'2ND_SEMESTER'!CL49</f>
        <v>0</v>
      </c>
      <c r="CQ38" s="166">
        <f t="shared" si="39"/>
        <v>0</v>
      </c>
      <c r="CR38" s="166">
        <f t="shared" si="40"/>
        <v>229</v>
      </c>
      <c r="CS38" s="168" t="str">
        <f>'1ST_SEMESTER'!CJ39</f>
        <v>F</v>
      </c>
      <c r="CT38" s="169" t="str">
        <f>'2ND_SEMESTER'!CJ38</f>
        <v>F</v>
      </c>
      <c r="CU38" s="169" t="str">
        <f t="shared" si="41"/>
        <v>F</v>
      </c>
      <c r="CV38" s="169" t="e">
        <f t="shared" si="42"/>
        <v>#DIV/0!</v>
      </c>
      <c r="CW38" s="170"/>
    </row>
    <row r="39" spans="1:101" s="56" customFormat="1" ht="24.95" customHeight="1">
      <c r="A39" s="55">
        <v>33</v>
      </c>
      <c r="B39" s="47">
        <v>123</v>
      </c>
      <c r="C39" s="50" t="s">
        <v>229</v>
      </c>
      <c r="D39" s="50" t="s">
        <v>230</v>
      </c>
      <c r="E39" s="50" t="s">
        <v>231</v>
      </c>
      <c r="F39" s="51" t="s">
        <v>232</v>
      </c>
      <c r="G39" s="127">
        <v>13</v>
      </c>
      <c r="H39" s="127">
        <v>15</v>
      </c>
      <c r="I39" s="127">
        <f t="shared" si="7"/>
        <v>28</v>
      </c>
      <c r="J39" s="127">
        <v>7</v>
      </c>
      <c r="K39" s="127">
        <f t="shared" si="8"/>
        <v>35</v>
      </c>
      <c r="L39" s="127">
        <v>16</v>
      </c>
      <c r="M39" s="127">
        <v>15</v>
      </c>
      <c r="N39" s="127">
        <f t="shared" si="9"/>
        <v>31</v>
      </c>
      <c r="O39" s="127">
        <v>18</v>
      </c>
      <c r="P39" s="127">
        <f t="shared" si="10"/>
        <v>49</v>
      </c>
      <c r="Q39" s="127">
        <f t="shared" si="0"/>
        <v>84</v>
      </c>
      <c r="R39" s="245"/>
      <c r="S39" s="137">
        <f t="shared" si="11"/>
        <v>2</v>
      </c>
      <c r="T39" s="127">
        <v>11</v>
      </c>
      <c r="U39" s="127">
        <v>31</v>
      </c>
      <c r="V39" s="127">
        <f t="shared" si="1"/>
        <v>42</v>
      </c>
      <c r="W39" s="127">
        <v>14</v>
      </c>
      <c r="X39" s="127">
        <v>27</v>
      </c>
      <c r="Y39" s="127">
        <f t="shared" si="12"/>
        <v>41</v>
      </c>
      <c r="Z39" s="127">
        <f t="shared" si="2"/>
        <v>83</v>
      </c>
      <c r="AA39" s="127">
        <f t="shared" si="13"/>
        <v>83</v>
      </c>
      <c r="AB39" s="245"/>
      <c r="AC39" s="137">
        <f t="shared" si="14"/>
        <v>2</v>
      </c>
      <c r="AD39" s="127">
        <v>8</v>
      </c>
      <c r="AE39" s="127">
        <v>0</v>
      </c>
      <c r="AF39" s="127">
        <f t="shared" si="3"/>
        <v>8</v>
      </c>
      <c r="AG39" s="127">
        <v>9</v>
      </c>
      <c r="AH39" s="127">
        <f t="shared" si="15"/>
        <v>17</v>
      </c>
      <c r="AI39" s="245"/>
      <c r="AJ39" s="137" t="str">
        <f t="shared" si="43"/>
        <v>F</v>
      </c>
      <c r="AK39" s="127">
        <v>14</v>
      </c>
      <c r="AL39" s="127">
        <v>16</v>
      </c>
      <c r="AM39" s="127">
        <f t="shared" si="4"/>
        <v>30</v>
      </c>
      <c r="AN39" s="127">
        <v>14</v>
      </c>
      <c r="AO39" s="127">
        <f t="shared" si="17"/>
        <v>44</v>
      </c>
      <c r="AP39" s="245"/>
      <c r="AQ39" s="137">
        <f t="shared" si="18"/>
        <v>2</v>
      </c>
      <c r="AR39" s="127"/>
      <c r="AS39" s="127">
        <v>12</v>
      </c>
      <c r="AT39" s="127">
        <v>24</v>
      </c>
      <c r="AU39" s="127">
        <f t="shared" si="19"/>
        <v>36</v>
      </c>
      <c r="AV39" s="245"/>
      <c r="AW39" s="137">
        <f t="shared" si="5"/>
        <v>4</v>
      </c>
      <c r="AX39" s="167">
        <v>8</v>
      </c>
      <c r="AY39" s="127">
        <v>23</v>
      </c>
      <c r="AZ39" s="127">
        <f t="shared" si="20"/>
        <v>31</v>
      </c>
      <c r="BA39" s="127">
        <v>20</v>
      </c>
      <c r="BB39" s="127">
        <f t="shared" si="21"/>
        <v>51</v>
      </c>
      <c r="BC39" s="245"/>
      <c r="BD39" s="137">
        <f t="shared" si="22"/>
        <v>3</v>
      </c>
      <c r="BE39" s="127">
        <v>14</v>
      </c>
      <c r="BF39" s="127">
        <v>23</v>
      </c>
      <c r="BG39" s="127">
        <f t="shared" si="23"/>
        <v>37</v>
      </c>
      <c r="BH39" s="127">
        <v>13</v>
      </c>
      <c r="BI39" s="127">
        <f t="shared" si="24"/>
        <v>50</v>
      </c>
      <c r="BJ39" s="245"/>
      <c r="BK39" s="137">
        <f t="shared" si="25"/>
        <v>3</v>
      </c>
      <c r="BL39" s="127">
        <v>14</v>
      </c>
      <c r="BM39" s="127">
        <v>14</v>
      </c>
      <c r="BN39" s="127">
        <f t="shared" si="26"/>
        <v>28</v>
      </c>
      <c r="BO39" s="127">
        <v>22</v>
      </c>
      <c r="BP39" s="127">
        <f t="shared" si="27"/>
        <v>50</v>
      </c>
      <c r="BQ39" s="245"/>
      <c r="BR39" s="137">
        <f t="shared" si="28"/>
        <v>3</v>
      </c>
      <c r="BS39" s="127">
        <v>8</v>
      </c>
      <c r="BT39" s="127">
        <v>20</v>
      </c>
      <c r="BU39" s="127">
        <f t="shared" si="29"/>
        <v>28</v>
      </c>
      <c r="BV39" s="127">
        <v>14</v>
      </c>
      <c r="BW39" s="127">
        <f t="shared" si="30"/>
        <v>42</v>
      </c>
      <c r="BX39" s="245"/>
      <c r="BY39" s="137">
        <f t="shared" si="31"/>
        <v>2</v>
      </c>
      <c r="BZ39" s="127">
        <v>6</v>
      </c>
      <c r="CA39" s="127">
        <v>18</v>
      </c>
      <c r="CB39" s="127">
        <f t="shared" si="32"/>
        <v>24</v>
      </c>
      <c r="CC39" s="127">
        <v>21</v>
      </c>
      <c r="CD39" s="127">
        <v>25</v>
      </c>
      <c r="CE39" s="127">
        <f t="shared" si="33"/>
        <v>70</v>
      </c>
      <c r="CF39" s="245"/>
      <c r="CG39" s="137">
        <f t="shared" si="34"/>
        <v>4</v>
      </c>
      <c r="CH39" s="137">
        <f t="shared" si="35"/>
        <v>4</v>
      </c>
      <c r="CI39" s="127" t="str">
        <f t="shared" si="6"/>
        <v>F</v>
      </c>
      <c r="CJ39" s="165" t="str">
        <f t="shared" si="36"/>
        <v>F</v>
      </c>
      <c r="CK39" s="97" t="str">
        <f t="shared" si="37"/>
        <v>NEED TO PROGRESS</v>
      </c>
      <c r="CL39" s="97">
        <f t="shared" si="38"/>
        <v>527</v>
      </c>
      <c r="CM39" s="97"/>
      <c r="CN39" s="97"/>
      <c r="CO39" s="166">
        <f>'1ST_SEMESTER'!CL46</f>
        <v>564</v>
      </c>
      <c r="CP39" s="166">
        <f>'2ND_SEMESTER'!CL50</f>
        <v>0</v>
      </c>
      <c r="CQ39" s="166">
        <f t="shared" si="39"/>
        <v>527</v>
      </c>
      <c r="CR39" s="166">
        <f t="shared" si="40"/>
        <v>363.66666666666669</v>
      </c>
      <c r="CS39" s="168" t="str">
        <f>'1ST_SEMESTER'!CJ40</f>
        <v>F</v>
      </c>
      <c r="CT39" s="169" t="str">
        <f>'2ND_SEMESTER'!CJ39</f>
        <v>F</v>
      </c>
      <c r="CU39" s="169" t="str">
        <f t="shared" si="41"/>
        <v>F</v>
      </c>
      <c r="CV39" s="169" t="e">
        <f t="shared" si="42"/>
        <v>#DIV/0!</v>
      </c>
      <c r="CW39" s="170"/>
    </row>
    <row r="40" spans="1:101" s="56" customFormat="1" ht="24.95" customHeight="1">
      <c r="A40" s="55">
        <v>34</v>
      </c>
      <c r="B40" s="47">
        <v>124</v>
      </c>
      <c r="C40" s="50" t="s">
        <v>233</v>
      </c>
      <c r="D40" s="50" t="s">
        <v>234</v>
      </c>
      <c r="E40" s="50" t="s">
        <v>235</v>
      </c>
      <c r="F40" s="51" t="s">
        <v>236</v>
      </c>
      <c r="G40" s="127">
        <v>11</v>
      </c>
      <c r="H40" s="127">
        <v>9</v>
      </c>
      <c r="I40" s="127">
        <f t="shared" si="7"/>
        <v>20</v>
      </c>
      <c r="J40" s="127">
        <v>7</v>
      </c>
      <c r="K40" s="127">
        <f t="shared" si="8"/>
        <v>27</v>
      </c>
      <c r="L40" s="127">
        <v>15</v>
      </c>
      <c r="M40" s="127">
        <v>25</v>
      </c>
      <c r="N40" s="127">
        <f t="shared" si="9"/>
        <v>40</v>
      </c>
      <c r="O40" s="127">
        <v>22</v>
      </c>
      <c r="P40" s="127">
        <f t="shared" si="10"/>
        <v>62</v>
      </c>
      <c r="Q40" s="127">
        <f t="shared" si="0"/>
        <v>89</v>
      </c>
      <c r="R40" s="245"/>
      <c r="S40" s="137">
        <f t="shared" si="11"/>
        <v>2</v>
      </c>
      <c r="T40" s="127">
        <v>14</v>
      </c>
      <c r="U40" s="127">
        <v>32</v>
      </c>
      <c r="V40" s="127">
        <f t="shared" si="1"/>
        <v>46</v>
      </c>
      <c r="W40" s="127">
        <v>18</v>
      </c>
      <c r="X40" s="127">
        <v>24</v>
      </c>
      <c r="Y40" s="127">
        <f t="shared" si="12"/>
        <v>42</v>
      </c>
      <c r="Z40" s="127">
        <f t="shared" si="2"/>
        <v>88</v>
      </c>
      <c r="AA40" s="127">
        <f t="shared" si="13"/>
        <v>88</v>
      </c>
      <c r="AB40" s="245"/>
      <c r="AC40" s="137">
        <f t="shared" si="14"/>
        <v>2</v>
      </c>
      <c r="AD40" s="127">
        <v>13</v>
      </c>
      <c r="AE40" s="127">
        <v>30</v>
      </c>
      <c r="AF40" s="127">
        <f t="shared" si="3"/>
        <v>43</v>
      </c>
      <c r="AG40" s="127">
        <v>15</v>
      </c>
      <c r="AH40" s="127">
        <f t="shared" si="15"/>
        <v>58</v>
      </c>
      <c r="AI40" s="245"/>
      <c r="AJ40" s="137">
        <f t="shared" si="43"/>
        <v>3</v>
      </c>
      <c r="AK40" s="127">
        <v>11</v>
      </c>
      <c r="AL40" s="127">
        <v>19</v>
      </c>
      <c r="AM40" s="127">
        <f t="shared" si="4"/>
        <v>30</v>
      </c>
      <c r="AN40" s="127">
        <v>13</v>
      </c>
      <c r="AO40" s="127">
        <f t="shared" si="17"/>
        <v>43</v>
      </c>
      <c r="AP40" s="245"/>
      <c r="AQ40" s="137">
        <f t="shared" si="18"/>
        <v>2</v>
      </c>
      <c r="AR40" s="127"/>
      <c r="AS40" s="127">
        <v>20</v>
      </c>
      <c r="AT40" s="127">
        <v>24</v>
      </c>
      <c r="AU40" s="127">
        <f t="shared" si="19"/>
        <v>44</v>
      </c>
      <c r="AV40" s="245"/>
      <c r="AW40" s="137">
        <f t="shared" si="5"/>
        <v>5</v>
      </c>
      <c r="AX40" s="167">
        <v>8</v>
      </c>
      <c r="AY40" s="127">
        <v>25</v>
      </c>
      <c r="AZ40" s="127">
        <f t="shared" si="20"/>
        <v>33</v>
      </c>
      <c r="BA40" s="127">
        <v>16</v>
      </c>
      <c r="BB40" s="127">
        <f t="shared" si="21"/>
        <v>49</v>
      </c>
      <c r="BC40" s="245"/>
      <c r="BD40" s="137">
        <f t="shared" si="22"/>
        <v>2</v>
      </c>
      <c r="BE40" s="127">
        <v>12</v>
      </c>
      <c r="BF40" s="127">
        <v>23</v>
      </c>
      <c r="BG40" s="127">
        <f t="shared" si="23"/>
        <v>35</v>
      </c>
      <c r="BH40" s="127">
        <v>18</v>
      </c>
      <c r="BI40" s="127">
        <f t="shared" si="24"/>
        <v>53</v>
      </c>
      <c r="BJ40" s="245"/>
      <c r="BK40" s="137">
        <f t="shared" si="25"/>
        <v>3</v>
      </c>
      <c r="BL40" s="127">
        <v>11</v>
      </c>
      <c r="BM40" s="127">
        <v>23</v>
      </c>
      <c r="BN40" s="127">
        <f t="shared" si="26"/>
        <v>34</v>
      </c>
      <c r="BO40" s="127">
        <v>22</v>
      </c>
      <c r="BP40" s="127">
        <f t="shared" si="27"/>
        <v>56</v>
      </c>
      <c r="BQ40" s="245"/>
      <c r="BR40" s="137">
        <f t="shared" si="28"/>
        <v>3</v>
      </c>
      <c r="BS40" s="127">
        <v>12</v>
      </c>
      <c r="BT40" s="127">
        <v>16</v>
      </c>
      <c r="BU40" s="127">
        <f t="shared" si="29"/>
        <v>28</v>
      </c>
      <c r="BV40" s="127">
        <v>17</v>
      </c>
      <c r="BW40" s="127">
        <f t="shared" si="30"/>
        <v>45</v>
      </c>
      <c r="BX40" s="245"/>
      <c r="BY40" s="137">
        <f t="shared" si="31"/>
        <v>2</v>
      </c>
      <c r="BZ40" s="127">
        <v>7</v>
      </c>
      <c r="CA40" s="127">
        <v>18</v>
      </c>
      <c r="CB40" s="127">
        <f t="shared" si="32"/>
        <v>25</v>
      </c>
      <c r="CC40" s="127">
        <v>15</v>
      </c>
      <c r="CD40" s="127">
        <v>25</v>
      </c>
      <c r="CE40" s="127">
        <f t="shared" si="33"/>
        <v>65</v>
      </c>
      <c r="CF40" s="245"/>
      <c r="CG40" s="137">
        <f t="shared" si="34"/>
        <v>3.5</v>
      </c>
      <c r="CH40" s="137">
        <f t="shared" si="35"/>
        <v>3.5</v>
      </c>
      <c r="CI40" s="127">
        <f t="shared" si="6"/>
        <v>25.5</v>
      </c>
      <c r="CJ40" s="165">
        <f t="shared" si="36"/>
        <v>2.8333333333333335</v>
      </c>
      <c r="CK40" s="97" t="str">
        <f t="shared" si="37"/>
        <v>GOOD</v>
      </c>
      <c r="CL40" s="97">
        <f t="shared" si="38"/>
        <v>590</v>
      </c>
      <c r="CM40" s="97"/>
      <c r="CN40" s="97"/>
      <c r="CO40" s="166">
        <f>'1ST_SEMESTER'!CL47</f>
        <v>46</v>
      </c>
      <c r="CP40" s="166">
        <f>'2ND_SEMESTER'!CL51</f>
        <v>0</v>
      </c>
      <c r="CQ40" s="166">
        <f t="shared" si="39"/>
        <v>590</v>
      </c>
      <c r="CR40" s="166">
        <f t="shared" si="40"/>
        <v>212</v>
      </c>
      <c r="CS40" s="168">
        <f>'1ST_SEMESTER'!CJ41</f>
        <v>3.1666666666666665</v>
      </c>
      <c r="CT40" s="169">
        <f>'2ND_SEMESTER'!CJ40</f>
        <v>3.6111111111111112</v>
      </c>
      <c r="CU40" s="169">
        <f t="shared" si="41"/>
        <v>2.8333333333333335</v>
      </c>
      <c r="CV40" s="169">
        <f t="shared" si="42"/>
        <v>3.2037037037037037</v>
      </c>
      <c r="CW40" s="170"/>
    </row>
    <row r="41" spans="1:101" ht="24.95" customHeight="1">
      <c r="A41" s="46">
        <v>35</v>
      </c>
      <c r="B41" s="47">
        <v>126</v>
      </c>
      <c r="C41" s="50" t="s">
        <v>237</v>
      </c>
      <c r="D41" s="50" t="s">
        <v>238</v>
      </c>
      <c r="E41" s="50" t="s">
        <v>239</v>
      </c>
      <c r="F41" s="51" t="s">
        <v>240</v>
      </c>
      <c r="G41" s="127">
        <v>13</v>
      </c>
      <c r="H41" s="127">
        <v>16</v>
      </c>
      <c r="I41" s="127">
        <f t="shared" si="7"/>
        <v>29</v>
      </c>
      <c r="J41" s="127">
        <v>12</v>
      </c>
      <c r="K41" s="128">
        <f t="shared" si="8"/>
        <v>41</v>
      </c>
      <c r="L41" s="127">
        <v>16</v>
      </c>
      <c r="M41" s="127">
        <v>26</v>
      </c>
      <c r="N41" s="127">
        <f t="shared" si="9"/>
        <v>42</v>
      </c>
      <c r="O41" s="127">
        <v>15</v>
      </c>
      <c r="P41" s="128">
        <f t="shared" si="10"/>
        <v>57</v>
      </c>
      <c r="Q41" s="128">
        <f t="shared" si="0"/>
        <v>98</v>
      </c>
      <c r="R41" s="245"/>
      <c r="S41" s="129">
        <f t="shared" si="11"/>
        <v>2</v>
      </c>
      <c r="T41" s="130">
        <v>14</v>
      </c>
      <c r="U41" s="130">
        <v>40</v>
      </c>
      <c r="V41" s="130">
        <f t="shared" si="1"/>
        <v>54</v>
      </c>
      <c r="W41" s="130">
        <v>15</v>
      </c>
      <c r="X41" s="130">
        <v>27</v>
      </c>
      <c r="Y41" s="128">
        <f t="shared" si="12"/>
        <v>42</v>
      </c>
      <c r="Z41" s="128">
        <f t="shared" si="2"/>
        <v>96</v>
      </c>
      <c r="AA41" s="128">
        <f t="shared" si="13"/>
        <v>96</v>
      </c>
      <c r="AB41" s="245"/>
      <c r="AC41" s="129">
        <f t="shared" si="14"/>
        <v>2</v>
      </c>
      <c r="AD41" s="127">
        <v>11</v>
      </c>
      <c r="AE41" s="127">
        <v>38</v>
      </c>
      <c r="AF41" s="127">
        <f t="shared" si="3"/>
        <v>49</v>
      </c>
      <c r="AG41" s="127">
        <v>14</v>
      </c>
      <c r="AH41" s="128">
        <f t="shared" si="15"/>
        <v>63</v>
      </c>
      <c r="AI41" s="245"/>
      <c r="AJ41" s="129">
        <f t="shared" si="43"/>
        <v>3.5</v>
      </c>
      <c r="AK41" s="127">
        <v>12</v>
      </c>
      <c r="AL41" s="127">
        <v>18</v>
      </c>
      <c r="AM41" s="127">
        <f t="shared" si="4"/>
        <v>30</v>
      </c>
      <c r="AN41" s="127">
        <v>21</v>
      </c>
      <c r="AO41" s="128">
        <f t="shared" si="17"/>
        <v>51</v>
      </c>
      <c r="AP41" s="245"/>
      <c r="AQ41" s="129">
        <f t="shared" si="18"/>
        <v>3</v>
      </c>
      <c r="AR41" s="128"/>
      <c r="AS41" s="128">
        <v>22</v>
      </c>
      <c r="AT41" s="127">
        <v>24</v>
      </c>
      <c r="AU41" s="128">
        <f t="shared" si="19"/>
        <v>46</v>
      </c>
      <c r="AV41" s="245"/>
      <c r="AW41" s="129">
        <f t="shared" si="5"/>
        <v>5</v>
      </c>
      <c r="AX41" s="144">
        <v>16</v>
      </c>
      <c r="AY41" s="127">
        <v>23</v>
      </c>
      <c r="AZ41" s="128">
        <f t="shared" si="20"/>
        <v>39</v>
      </c>
      <c r="BA41" s="127">
        <v>13</v>
      </c>
      <c r="BB41" s="128">
        <f t="shared" si="21"/>
        <v>52</v>
      </c>
      <c r="BC41" s="245"/>
      <c r="BD41" s="129">
        <f t="shared" si="22"/>
        <v>3</v>
      </c>
      <c r="BE41" s="127">
        <v>17</v>
      </c>
      <c r="BF41" s="127">
        <v>25</v>
      </c>
      <c r="BG41" s="128">
        <f t="shared" si="23"/>
        <v>42</v>
      </c>
      <c r="BH41" s="127">
        <v>17</v>
      </c>
      <c r="BI41" s="128">
        <f t="shared" si="24"/>
        <v>59</v>
      </c>
      <c r="BJ41" s="245"/>
      <c r="BK41" s="129">
        <f t="shared" si="25"/>
        <v>3</v>
      </c>
      <c r="BL41" s="127">
        <v>16</v>
      </c>
      <c r="BM41" s="127">
        <v>29</v>
      </c>
      <c r="BN41" s="128">
        <f t="shared" si="26"/>
        <v>45</v>
      </c>
      <c r="BO41" s="127">
        <v>25</v>
      </c>
      <c r="BP41" s="128">
        <f t="shared" si="27"/>
        <v>70</v>
      </c>
      <c r="BQ41" s="245"/>
      <c r="BR41" s="129">
        <f t="shared" si="28"/>
        <v>4</v>
      </c>
      <c r="BS41" s="127">
        <v>17</v>
      </c>
      <c r="BT41" s="127">
        <v>23</v>
      </c>
      <c r="BU41" s="128">
        <f t="shared" si="29"/>
        <v>40</v>
      </c>
      <c r="BV41" s="127">
        <v>19</v>
      </c>
      <c r="BW41" s="128">
        <f t="shared" si="30"/>
        <v>59</v>
      </c>
      <c r="BX41" s="245"/>
      <c r="BY41" s="129">
        <f t="shared" si="31"/>
        <v>3</v>
      </c>
      <c r="BZ41" s="127">
        <v>7</v>
      </c>
      <c r="CA41" s="127">
        <v>18</v>
      </c>
      <c r="CB41" s="128">
        <f t="shared" si="32"/>
        <v>25</v>
      </c>
      <c r="CC41" s="127">
        <v>14</v>
      </c>
      <c r="CD41" s="127">
        <v>25</v>
      </c>
      <c r="CE41" s="128">
        <f t="shared" si="33"/>
        <v>64</v>
      </c>
      <c r="CF41" s="245"/>
      <c r="CG41" s="129">
        <f t="shared" si="34"/>
        <v>3.5</v>
      </c>
      <c r="CH41" s="129">
        <f t="shared" si="35"/>
        <v>3.5</v>
      </c>
      <c r="CI41" s="128">
        <f t="shared" si="6"/>
        <v>30</v>
      </c>
      <c r="CJ41" s="131">
        <f t="shared" si="36"/>
        <v>3.3333333333333335</v>
      </c>
      <c r="CK41" s="126" t="str">
        <f t="shared" si="37"/>
        <v>GOOD</v>
      </c>
      <c r="CL41" s="126">
        <f t="shared" si="38"/>
        <v>658</v>
      </c>
      <c r="CM41" s="79"/>
      <c r="CN41" s="79"/>
      <c r="CO41" s="41">
        <f>'1ST_SEMESTER'!CL48</f>
        <v>0</v>
      </c>
      <c r="CP41" s="41">
        <f>'2ND_SEMESTER'!CL52</f>
        <v>0</v>
      </c>
      <c r="CQ41" s="41">
        <f t="shared" si="39"/>
        <v>658</v>
      </c>
      <c r="CR41" s="41">
        <f t="shared" si="40"/>
        <v>219.33333333333334</v>
      </c>
      <c r="CS41" s="168" t="str">
        <f>'1ST_SEMESTER'!CJ42</f>
        <v>F</v>
      </c>
      <c r="CT41" s="169">
        <f>'2ND_SEMESTER'!CJ41</f>
        <v>3</v>
      </c>
      <c r="CU41" s="169">
        <f t="shared" si="41"/>
        <v>3.3333333333333335</v>
      </c>
      <c r="CV41" s="169">
        <f t="shared" si="42"/>
        <v>3.166666666666667</v>
      </c>
      <c r="CW41" s="170"/>
    </row>
    <row r="42" spans="1:101" ht="24.95" customHeight="1">
      <c r="A42" s="46">
        <v>36</v>
      </c>
      <c r="B42" s="47">
        <v>127</v>
      </c>
      <c r="C42" s="50" t="s">
        <v>241</v>
      </c>
      <c r="D42" s="50" t="s">
        <v>242</v>
      </c>
      <c r="E42" s="50" t="s">
        <v>243</v>
      </c>
      <c r="F42" s="51" t="s">
        <v>244</v>
      </c>
      <c r="G42" s="127">
        <v>12</v>
      </c>
      <c r="H42" s="127">
        <v>18</v>
      </c>
      <c r="I42" s="127">
        <f t="shared" si="7"/>
        <v>30</v>
      </c>
      <c r="J42" s="127">
        <v>12</v>
      </c>
      <c r="K42" s="128">
        <f t="shared" si="8"/>
        <v>42</v>
      </c>
      <c r="L42" s="127">
        <v>16</v>
      </c>
      <c r="M42" s="127">
        <v>30</v>
      </c>
      <c r="N42" s="127">
        <f t="shared" si="9"/>
        <v>46</v>
      </c>
      <c r="O42" s="127">
        <v>13</v>
      </c>
      <c r="P42" s="128">
        <f t="shared" si="10"/>
        <v>59</v>
      </c>
      <c r="Q42" s="128">
        <f t="shared" si="0"/>
        <v>101</v>
      </c>
      <c r="R42" s="245"/>
      <c r="S42" s="129">
        <f t="shared" si="11"/>
        <v>3</v>
      </c>
      <c r="T42" s="130">
        <v>14</v>
      </c>
      <c r="U42" s="130">
        <v>32</v>
      </c>
      <c r="V42" s="130">
        <f t="shared" si="1"/>
        <v>46</v>
      </c>
      <c r="W42" s="130">
        <v>16</v>
      </c>
      <c r="X42" s="130">
        <v>27</v>
      </c>
      <c r="Y42" s="128">
        <f t="shared" si="12"/>
        <v>43</v>
      </c>
      <c r="Z42" s="128">
        <f t="shared" si="2"/>
        <v>89</v>
      </c>
      <c r="AA42" s="128">
        <f t="shared" si="13"/>
        <v>89</v>
      </c>
      <c r="AB42" s="245"/>
      <c r="AC42" s="129">
        <f t="shared" si="14"/>
        <v>2</v>
      </c>
      <c r="AD42" s="127">
        <v>10</v>
      </c>
      <c r="AE42" s="127">
        <v>16</v>
      </c>
      <c r="AF42" s="127">
        <f t="shared" si="3"/>
        <v>26</v>
      </c>
      <c r="AG42" s="127">
        <v>6</v>
      </c>
      <c r="AH42" s="128">
        <f t="shared" si="15"/>
        <v>32</v>
      </c>
      <c r="AI42" s="245"/>
      <c r="AJ42" s="129" t="str">
        <f t="shared" si="43"/>
        <v>F</v>
      </c>
      <c r="AK42" s="127">
        <v>12</v>
      </c>
      <c r="AL42" s="127">
        <v>23</v>
      </c>
      <c r="AM42" s="127">
        <f t="shared" si="4"/>
        <v>35</v>
      </c>
      <c r="AN42" s="127">
        <v>19</v>
      </c>
      <c r="AO42" s="128">
        <f t="shared" si="17"/>
        <v>54</v>
      </c>
      <c r="AP42" s="245"/>
      <c r="AQ42" s="129">
        <f t="shared" si="18"/>
        <v>3</v>
      </c>
      <c r="AR42" s="128"/>
      <c r="AS42" s="128">
        <v>20</v>
      </c>
      <c r="AT42" s="127">
        <v>24</v>
      </c>
      <c r="AU42" s="128">
        <f t="shared" si="19"/>
        <v>44</v>
      </c>
      <c r="AV42" s="245"/>
      <c r="AW42" s="129">
        <f t="shared" si="5"/>
        <v>5</v>
      </c>
      <c r="AX42" s="144">
        <v>9</v>
      </c>
      <c r="AY42" s="127">
        <v>26</v>
      </c>
      <c r="AZ42" s="128">
        <f t="shared" si="20"/>
        <v>35</v>
      </c>
      <c r="BA42" s="127">
        <v>15</v>
      </c>
      <c r="BB42" s="128">
        <f t="shared" si="21"/>
        <v>50</v>
      </c>
      <c r="BC42" s="245"/>
      <c r="BD42" s="129">
        <f t="shared" si="22"/>
        <v>3</v>
      </c>
      <c r="BE42" s="127">
        <v>15</v>
      </c>
      <c r="BF42" s="127">
        <v>26</v>
      </c>
      <c r="BG42" s="128">
        <f t="shared" si="23"/>
        <v>41</v>
      </c>
      <c r="BH42" s="127">
        <v>18</v>
      </c>
      <c r="BI42" s="128">
        <f t="shared" si="24"/>
        <v>59</v>
      </c>
      <c r="BJ42" s="245"/>
      <c r="BK42" s="129">
        <f t="shared" si="25"/>
        <v>3</v>
      </c>
      <c r="BL42" s="127">
        <v>11</v>
      </c>
      <c r="BM42" s="127">
        <v>23</v>
      </c>
      <c r="BN42" s="128">
        <f t="shared" si="26"/>
        <v>34</v>
      </c>
      <c r="BO42" s="127">
        <v>24</v>
      </c>
      <c r="BP42" s="128">
        <f t="shared" si="27"/>
        <v>58</v>
      </c>
      <c r="BQ42" s="245"/>
      <c r="BR42" s="129">
        <f t="shared" si="28"/>
        <v>3</v>
      </c>
      <c r="BS42" s="127">
        <v>17</v>
      </c>
      <c r="BT42" s="127">
        <v>21</v>
      </c>
      <c r="BU42" s="128">
        <f t="shared" si="29"/>
        <v>38</v>
      </c>
      <c r="BV42" s="127">
        <v>19</v>
      </c>
      <c r="BW42" s="128">
        <f t="shared" si="30"/>
        <v>57</v>
      </c>
      <c r="BX42" s="245"/>
      <c r="BY42" s="129">
        <f t="shared" si="31"/>
        <v>3</v>
      </c>
      <c r="BZ42" s="127">
        <v>6</v>
      </c>
      <c r="CA42" s="127">
        <v>22</v>
      </c>
      <c r="CB42" s="128">
        <f t="shared" si="32"/>
        <v>28</v>
      </c>
      <c r="CC42" s="127">
        <v>14</v>
      </c>
      <c r="CD42" s="127">
        <v>25</v>
      </c>
      <c r="CE42" s="128">
        <f t="shared" si="33"/>
        <v>67</v>
      </c>
      <c r="CF42" s="245"/>
      <c r="CG42" s="129">
        <f t="shared" si="34"/>
        <v>3.5</v>
      </c>
      <c r="CH42" s="129">
        <f t="shared" si="35"/>
        <v>3.5</v>
      </c>
      <c r="CI42" s="128" t="str">
        <f t="shared" si="6"/>
        <v>F</v>
      </c>
      <c r="CJ42" s="131" t="str">
        <f t="shared" si="36"/>
        <v>F</v>
      </c>
      <c r="CK42" s="126" t="str">
        <f t="shared" si="37"/>
        <v>NEED TO PROGRESS</v>
      </c>
      <c r="CL42" s="126">
        <f t="shared" si="38"/>
        <v>611</v>
      </c>
      <c r="CM42" s="79"/>
      <c r="CN42" s="79"/>
      <c r="CO42" s="41">
        <f>'1ST_SEMESTER'!CL50</f>
        <v>0</v>
      </c>
      <c r="CP42" s="41">
        <f>'2ND_SEMESTER'!CL53</f>
        <v>89</v>
      </c>
      <c r="CQ42" s="41">
        <f t="shared" si="39"/>
        <v>611</v>
      </c>
      <c r="CR42" s="41">
        <f t="shared" si="40"/>
        <v>233.33333333333334</v>
      </c>
      <c r="CS42" s="168" t="str">
        <f>'1ST_SEMESTER'!CJ43</f>
        <v>F</v>
      </c>
      <c r="CT42" s="169" t="str">
        <f>'2ND_SEMESTER'!CJ42</f>
        <v>F</v>
      </c>
      <c r="CU42" s="169" t="str">
        <f t="shared" si="41"/>
        <v>F</v>
      </c>
      <c r="CV42" s="169" t="e">
        <f t="shared" si="42"/>
        <v>#DIV/0!</v>
      </c>
      <c r="CW42" s="170"/>
    </row>
    <row r="43" spans="1:101" ht="24.95" customHeight="1">
      <c r="A43" s="46">
        <v>37</v>
      </c>
      <c r="B43" s="47">
        <v>128</v>
      </c>
      <c r="C43" s="50" t="s">
        <v>245</v>
      </c>
      <c r="D43" s="50" t="s">
        <v>246</v>
      </c>
      <c r="E43" s="50" t="s">
        <v>247</v>
      </c>
      <c r="F43" s="51" t="s">
        <v>248</v>
      </c>
      <c r="G43" s="127">
        <v>19</v>
      </c>
      <c r="H43" s="127">
        <v>24</v>
      </c>
      <c r="I43" s="127">
        <f t="shared" si="7"/>
        <v>43</v>
      </c>
      <c r="J43" s="127">
        <v>21</v>
      </c>
      <c r="K43" s="128">
        <f t="shared" si="8"/>
        <v>64</v>
      </c>
      <c r="L43" s="127">
        <v>16</v>
      </c>
      <c r="M43" s="127">
        <v>27</v>
      </c>
      <c r="N43" s="127">
        <f t="shared" si="9"/>
        <v>43</v>
      </c>
      <c r="O43" s="127">
        <v>18</v>
      </c>
      <c r="P43" s="128">
        <f t="shared" si="10"/>
        <v>61</v>
      </c>
      <c r="Q43" s="128">
        <f t="shared" si="0"/>
        <v>125</v>
      </c>
      <c r="R43" s="245"/>
      <c r="S43" s="129">
        <f t="shared" si="11"/>
        <v>3.5</v>
      </c>
      <c r="T43" s="130">
        <v>18</v>
      </c>
      <c r="U43" s="130">
        <v>35</v>
      </c>
      <c r="V43" s="130">
        <f t="shared" si="1"/>
        <v>53</v>
      </c>
      <c r="W43" s="130">
        <v>16</v>
      </c>
      <c r="X43" s="130">
        <v>30</v>
      </c>
      <c r="Y43" s="128">
        <f t="shared" si="12"/>
        <v>46</v>
      </c>
      <c r="Z43" s="128">
        <f t="shared" si="2"/>
        <v>99</v>
      </c>
      <c r="AA43" s="128">
        <f t="shared" si="13"/>
        <v>99</v>
      </c>
      <c r="AB43" s="245"/>
      <c r="AC43" s="129">
        <f t="shared" si="14"/>
        <v>2</v>
      </c>
      <c r="AD43" s="127">
        <v>14</v>
      </c>
      <c r="AE43" s="127">
        <v>47</v>
      </c>
      <c r="AF43" s="127">
        <f t="shared" si="3"/>
        <v>61</v>
      </c>
      <c r="AG43" s="127">
        <v>12</v>
      </c>
      <c r="AH43" s="128">
        <f t="shared" si="15"/>
        <v>73</v>
      </c>
      <c r="AI43" s="245"/>
      <c r="AJ43" s="129">
        <f>IF(AF43&lt;28,"F",IF(AG43&lt;12,"F",IF(AH43&lt;40,"F",IF(AH43&lt;50,2,IF(AH43&lt;60,3,IF(AH43&lt;70,3.5,IF(AH43&lt;80,4,5)))))))</f>
        <v>4</v>
      </c>
      <c r="AK43" s="127">
        <v>12</v>
      </c>
      <c r="AL43" s="127">
        <v>28</v>
      </c>
      <c r="AM43" s="127">
        <f t="shared" si="4"/>
        <v>40</v>
      </c>
      <c r="AN43" s="127">
        <v>21</v>
      </c>
      <c r="AO43" s="128">
        <f t="shared" si="17"/>
        <v>61</v>
      </c>
      <c r="AP43" s="245"/>
      <c r="AQ43" s="129">
        <f t="shared" si="18"/>
        <v>3.5</v>
      </c>
      <c r="AR43" s="128"/>
      <c r="AS43" s="128">
        <v>22</v>
      </c>
      <c r="AT43" s="127">
        <v>24</v>
      </c>
      <c r="AU43" s="128">
        <f t="shared" si="19"/>
        <v>46</v>
      </c>
      <c r="AV43" s="245"/>
      <c r="AW43" s="129">
        <f t="shared" si="5"/>
        <v>5</v>
      </c>
      <c r="AX43" s="144">
        <v>20</v>
      </c>
      <c r="AY43" s="127">
        <v>43</v>
      </c>
      <c r="AZ43" s="128">
        <f t="shared" si="20"/>
        <v>63</v>
      </c>
      <c r="BA43" s="127">
        <v>17</v>
      </c>
      <c r="BB43" s="128">
        <f t="shared" si="21"/>
        <v>80</v>
      </c>
      <c r="BC43" s="245"/>
      <c r="BD43" s="129">
        <f t="shared" si="22"/>
        <v>5</v>
      </c>
      <c r="BE43" s="127">
        <v>19</v>
      </c>
      <c r="BF43" s="127">
        <v>36</v>
      </c>
      <c r="BG43" s="128">
        <f t="shared" si="23"/>
        <v>55</v>
      </c>
      <c r="BH43" s="127">
        <v>20</v>
      </c>
      <c r="BI43" s="128">
        <f t="shared" si="24"/>
        <v>75</v>
      </c>
      <c r="BJ43" s="245"/>
      <c r="BK43" s="129">
        <f t="shared" si="25"/>
        <v>4</v>
      </c>
      <c r="BL43" s="127">
        <v>20</v>
      </c>
      <c r="BM43" s="127">
        <v>41</v>
      </c>
      <c r="BN43" s="128">
        <f t="shared" si="26"/>
        <v>61</v>
      </c>
      <c r="BO43" s="127">
        <v>24</v>
      </c>
      <c r="BP43" s="128">
        <f t="shared" si="27"/>
        <v>85</v>
      </c>
      <c r="BQ43" s="245"/>
      <c r="BR43" s="129">
        <f t="shared" si="28"/>
        <v>5</v>
      </c>
      <c r="BS43" s="127">
        <v>19</v>
      </c>
      <c r="BT43" s="127">
        <v>28</v>
      </c>
      <c r="BU43" s="128">
        <f t="shared" si="29"/>
        <v>47</v>
      </c>
      <c r="BV43" s="127">
        <v>18</v>
      </c>
      <c r="BW43" s="128">
        <f t="shared" si="30"/>
        <v>65</v>
      </c>
      <c r="BX43" s="245"/>
      <c r="BY43" s="129">
        <f t="shared" si="31"/>
        <v>3.5</v>
      </c>
      <c r="BZ43" s="127">
        <v>6</v>
      </c>
      <c r="CA43" s="127">
        <v>22</v>
      </c>
      <c r="CB43" s="128">
        <f t="shared" si="32"/>
        <v>28</v>
      </c>
      <c r="CC43" s="127">
        <v>20</v>
      </c>
      <c r="CD43" s="127">
        <v>25</v>
      </c>
      <c r="CE43" s="128">
        <f t="shared" si="33"/>
        <v>73</v>
      </c>
      <c r="CF43" s="245"/>
      <c r="CG43" s="129">
        <f t="shared" si="34"/>
        <v>4</v>
      </c>
      <c r="CH43" s="129">
        <f t="shared" si="35"/>
        <v>4</v>
      </c>
      <c r="CI43" s="128">
        <f t="shared" si="6"/>
        <v>37.5</v>
      </c>
      <c r="CJ43" s="131">
        <f t="shared" si="36"/>
        <v>4.166666666666667</v>
      </c>
      <c r="CK43" s="126" t="str">
        <f t="shared" si="37"/>
        <v>BETTER</v>
      </c>
      <c r="CL43" s="126">
        <f t="shared" si="38"/>
        <v>782</v>
      </c>
      <c r="CM43" s="79"/>
      <c r="CN43" s="79"/>
      <c r="CO43" s="41">
        <f>'1ST_SEMESTER'!CL51</f>
        <v>0</v>
      </c>
      <c r="CP43" s="41">
        <f>'2ND_SEMESTER'!CL54</f>
        <v>0</v>
      </c>
      <c r="CQ43" s="41">
        <f t="shared" si="39"/>
        <v>782</v>
      </c>
      <c r="CR43" s="41">
        <f t="shared" si="40"/>
        <v>260.66666666666669</v>
      </c>
      <c r="CS43" s="168">
        <f>'1ST_SEMESTER'!CJ44</f>
        <v>4</v>
      </c>
      <c r="CT43" s="169">
        <f>'2ND_SEMESTER'!CJ43</f>
        <v>4.166666666666667</v>
      </c>
      <c r="CU43" s="169">
        <f t="shared" si="41"/>
        <v>4.166666666666667</v>
      </c>
      <c r="CV43" s="169">
        <f t="shared" si="42"/>
        <v>4.1111111111111116</v>
      </c>
      <c r="CW43" s="170"/>
    </row>
    <row r="44" spans="1:101" ht="24.95" customHeight="1">
      <c r="A44" s="46">
        <v>38</v>
      </c>
      <c r="B44" s="47">
        <v>130</v>
      </c>
      <c r="C44" s="50" t="s">
        <v>249</v>
      </c>
      <c r="D44" s="50" t="s">
        <v>250</v>
      </c>
      <c r="E44" s="50" t="s">
        <v>251</v>
      </c>
      <c r="F44" s="51" t="s">
        <v>252</v>
      </c>
      <c r="G44" s="127">
        <v>15</v>
      </c>
      <c r="H44" s="127">
        <v>17</v>
      </c>
      <c r="I44" s="127">
        <f t="shared" si="7"/>
        <v>32</v>
      </c>
      <c r="J44" s="127">
        <v>16</v>
      </c>
      <c r="K44" s="128">
        <f t="shared" si="8"/>
        <v>48</v>
      </c>
      <c r="L44" s="127">
        <v>16</v>
      </c>
      <c r="M44" s="127">
        <v>29</v>
      </c>
      <c r="N44" s="127">
        <f t="shared" si="9"/>
        <v>45</v>
      </c>
      <c r="O44" s="127">
        <v>20</v>
      </c>
      <c r="P44" s="128">
        <f t="shared" si="10"/>
        <v>65</v>
      </c>
      <c r="Q44" s="128">
        <f t="shared" si="0"/>
        <v>113</v>
      </c>
      <c r="R44" s="245"/>
      <c r="S44" s="129">
        <f t="shared" si="11"/>
        <v>3</v>
      </c>
      <c r="T44" s="130">
        <v>17</v>
      </c>
      <c r="U44" s="130">
        <v>36</v>
      </c>
      <c r="V44" s="130">
        <f t="shared" si="1"/>
        <v>53</v>
      </c>
      <c r="W44" s="130">
        <v>17</v>
      </c>
      <c r="X44" s="130">
        <v>32</v>
      </c>
      <c r="Y44" s="128">
        <f t="shared" si="12"/>
        <v>49</v>
      </c>
      <c r="Z44" s="128">
        <f t="shared" si="2"/>
        <v>102</v>
      </c>
      <c r="AA44" s="128">
        <f t="shared" si="13"/>
        <v>102</v>
      </c>
      <c r="AB44" s="245"/>
      <c r="AC44" s="129">
        <f t="shared" si="14"/>
        <v>3</v>
      </c>
      <c r="AD44" s="127">
        <v>13</v>
      </c>
      <c r="AE44" s="127">
        <v>48</v>
      </c>
      <c r="AF44" s="127">
        <f t="shared" si="3"/>
        <v>61</v>
      </c>
      <c r="AG44" s="127">
        <v>12</v>
      </c>
      <c r="AH44" s="128">
        <f t="shared" si="15"/>
        <v>73</v>
      </c>
      <c r="AI44" s="245"/>
      <c r="AJ44" s="129">
        <f t="shared" ref="AJ44:AJ49" si="44">IF(AF44&lt;28,"F",IF(AG44&lt;12,"F",IF(AH44&lt;40,"F",IF(AH44&lt;50,2,IF(AH44&lt;60,3,IF(AH44&lt;70,3.5,IF(AH44&lt;80,4,5)))))))</f>
        <v>4</v>
      </c>
      <c r="AK44" s="127">
        <v>16</v>
      </c>
      <c r="AL44" s="127">
        <v>20</v>
      </c>
      <c r="AM44" s="127">
        <f t="shared" si="4"/>
        <v>36</v>
      </c>
      <c r="AN44" s="127">
        <v>21</v>
      </c>
      <c r="AO44" s="128">
        <f t="shared" si="17"/>
        <v>57</v>
      </c>
      <c r="AP44" s="245"/>
      <c r="AQ44" s="129">
        <f t="shared" si="18"/>
        <v>3</v>
      </c>
      <c r="AR44" s="128"/>
      <c r="AS44" s="128">
        <v>22</v>
      </c>
      <c r="AT44" s="127">
        <v>24</v>
      </c>
      <c r="AU44" s="128">
        <f t="shared" si="19"/>
        <v>46</v>
      </c>
      <c r="AV44" s="245"/>
      <c r="AW44" s="129">
        <f t="shared" si="5"/>
        <v>5</v>
      </c>
      <c r="AX44" s="144">
        <v>18</v>
      </c>
      <c r="AY44" s="127">
        <v>30</v>
      </c>
      <c r="AZ44" s="128">
        <f t="shared" si="20"/>
        <v>48</v>
      </c>
      <c r="BA44" s="127">
        <v>17</v>
      </c>
      <c r="BB44" s="128">
        <f t="shared" si="21"/>
        <v>65</v>
      </c>
      <c r="BC44" s="245"/>
      <c r="BD44" s="129">
        <f t="shared" si="22"/>
        <v>3.5</v>
      </c>
      <c r="BE44" s="127">
        <v>15</v>
      </c>
      <c r="BF44" s="127">
        <v>30</v>
      </c>
      <c r="BG44" s="128">
        <f t="shared" si="23"/>
        <v>45</v>
      </c>
      <c r="BH44" s="127">
        <v>15</v>
      </c>
      <c r="BI44" s="128">
        <f t="shared" si="24"/>
        <v>60</v>
      </c>
      <c r="BJ44" s="245"/>
      <c r="BK44" s="129">
        <f t="shared" si="25"/>
        <v>3.5</v>
      </c>
      <c r="BL44" s="127">
        <v>11</v>
      </c>
      <c r="BM44" s="127">
        <v>20</v>
      </c>
      <c r="BN44" s="128">
        <f t="shared" si="26"/>
        <v>31</v>
      </c>
      <c r="BO44" s="127">
        <v>21</v>
      </c>
      <c r="BP44" s="128">
        <f t="shared" si="27"/>
        <v>52</v>
      </c>
      <c r="BQ44" s="245"/>
      <c r="BR44" s="129">
        <f t="shared" si="28"/>
        <v>3</v>
      </c>
      <c r="BS44" s="127">
        <v>17</v>
      </c>
      <c r="BT44" s="127">
        <v>26</v>
      </c>
      <c r="BU44" s="128">
        <f t="shared" si="29"/>
        <v>43</v>
      </c>
      <c r="BV44" s="127">
        <v>15</v>
      </c>
      <c r="BW44" s="128">
        <f t="shared" si="30"/>
        <v>58</v>
      </c>
      <c r="BX44" s="245"/>
      <c r="BY44" s="129">
        <f t="shared" si="31"/>
        <v>3</v>
      </c>
      <c r="BZ44" s="127">
        <v>7</v>
      </c>
      <c r="CA44" s="127">
        <v>26</v>
      </c>
      <c r="CB44" s="128">
        <f t="shared" si="32"/>
        <v>33</v>
      </c>
      <c r="CC44" s="127">
        <v>21</v>
      </c>
      <c r="CD44" s="127">
        <v>25</v>
      </c>
      <c r="CE44" s="128">
        <f t="shared" si="33"/>
        <v>79</v>
      </c>
      <c r="CF44" s="245"/>
      <c r="CG44" s="129">
        <f t="shared" si="34"/>
        <v>4</v>
      </c>
      <c r="CH44" s="129">
        <f t="shared" si="35"/>
        <v>4</v>
      </c>
      <c r="CI44" s="128">
        <f t="shared" si="6"/>
        <v>33</v>
      </c>
      <c r="CJ44" s="131">
        <f t="shared" si="36"/>
        <v>3.6666666666666665</v>
      </c>
      <c r="CK44" s="126" t="str">
        <f t="shared" si="37"/>
        <v>GOOD</v>
      </c>
      <c r="CL44" s="126">
        <f t="shared" si="38"/>
        <v>705</v>
      </c>
      <c r="CM44" s="79"/>
      <c r="CN44" s="79"/>
      <c r="CO44" s="41">
        <f>'1ST_SEMESTER'!CL52</f>
        <v>0</v>
      </c>
      <c r="CP44" s="41">
        <f>'2ND_SEMESTER'!CL55</f>
        <v>0</v>
      </c>
      <c r="CQ44" s="41">
        <f t="shared" si="39"/>
        <v>705</v>
      </c>
      <c r="CR44" s="41">
        <f t="shared" si="40"/>
        <v>235</v>
      </c>
      <c r="CS44" s="168" t="str">
        <f>'1ST_SEMESTER'!CJ45</f>
        <v>F</v>
      </c>
      <c r="CT44" s="169">
        <f>'2ND_SEMESTER'!CJ44</f>
        <v>3.5555555555555554</v>
      </c>
      <c r="CU44" s="169">
        <f t="shared" si="41"/>
        <v>3.6666666666666665</v>
      </c>
      <c r="CV44" s="169">
        <f t="shared" si="42"/>
        <v>3.6111111111111107</v>
      </c>
      <c r="CW44" s="170"/>
    </row>
    <row r="45" spans="1:101" ht="24.95" customHeight="1" thickBot="1">
      <c r="A45" s="46">
        <v>40</v>
      </c>
      <c r="B45" s="47">
        <v>138</v>
      </c>
      <c r="C45" s="50" t="s">
        <v>253</v>
      </c>
      <c r="D45" s="50" t="s">
        <v>254</v>
      </c>
      <c r="E45" s="50" t="s">
        <v>255</v>
      </c>
      <c r="F45" s="51" t="s">
        <v>256</v>
      </c>
      <c r="G45" s="127">
        <v>13</v>
      </c>
      <c r="H45" s="127">
        <v>15</v>
      </c>
      <c r="I45" s="127">
        <f t="shared" si="7"/>
        <v>28</v>
      </c>
      <c r="J45" s="127">
        <v>17</v>
      </c>
      <c r="K45" s="132">
        <f t="shared" si="8"/>
        <v>45</v>
      </c>
      <c r="L45" s="127">
        <v>11</v>
      </c>
      <c r="M45" s="127">
        <v>35</v>
      </c>
      <c r="N45" s="127">
        <f t="shared" si="9"/>
        <v>46</v>
      </c>
      <c r="O45" s="127">
        <v>22</v>
      </c>
      <c r="P45" s="132">
        <f t="shared" si="10"/>
        <v>68</v>
      </c>
      <c r="Q45" s="128">
        <f t="shared" si="0"/>
        <v>113</v>
      </c>
      <c r="R45" s="245"/>
      <c r="S45" s="129">
        <f t="shared" si="11"/>
        <v>3</v>
      </c>
      <c r="T45" s="130">
        <v>14</v>
      </c>
      <c r="U45" s="130">
        <v>32</v>
      </c>
      <c r="V45" s="130">
        <f t="shared" si="1"/>
        <v>46</v>
      </c>
      <c r="W45" s="130">
        <v>18</v>
      </c>
      <c r="X45" s="130">
        <v>33</v>
      </c>
      <c r="Y45" s="128">
        <f t="shared" si="12"/>
        <v>51</v>
      </c>
      <c r="Z45" s="128">
        <f t="shared" si="2"/>
        <v>97</v>
      </c>
      <c r="AA45" s="128">
        <f t="shared" si="13"/>
        <v>97</v>
      </c>
      <c r="AB45" s="245"/>
      <c r="AC45" s="129">
        <f t="shared" si="14"/>
        <v>2</v>
      </c>
      <c r="AD45" s="127">
        <v>8</v>
      </c>
      <c r="AE45" s="127">
        <v>20</v>
      </c>
      <c r="AF45" s="127">
        <f t="shared" si="3"/>
        <v>28</v>
      </c>
      <c r="AG45" s="127">
        <v>13</v>
      </c>
      <c r="AH45" s="128">
        <f t="shared" si="15"/>
        <v>41</v>
      </c>
      <c r="AI45" s="245"/>
      <c r="AJ45" s="133">
        <f t="shared" si="44"/>
        <v>2</v>
      </c>
      <c r="AK45" s="127">
        <v>12</v>
      </c>
      <c r="AL45" s="127">
        <v>21</v>
      </c>
      <c r="AM45" s="127">
        <f t="shared" si="4"/>
        <v>33</v>
      </c>
      <c r="AN45" s="127">
        <v>18</v>
      </c>
      <c r="AO45" s="128">
        <f t="shared" si="17"/>
        <v>51</v>
      </c>
      <c r="AP45" s="245"/>
      <c r="AQ45" s="129">
        <f t="shared" si="18"/>
        <v>3</v>
      </c>
      <c r="AR45" s="132"/>
      <c r="AS45" s="132">
        <v>20</v>
      </c>
      <c r="AT45" s="127">
        <v>24</v>
      </c>
      <c r="AU45" s="128">
        <f t="shared" si="19"/>
        <v>44</v>
      </c>
      <c r="AV45" s="245"/>
      <c r="AW45" s="129">
        <f t="shared" si="5"/>
        <v>5</v>
      </c>
      <c r="AX45" s="144">
        <v>8</v>
      </c>
      <c r="AY45" s="127">
        <v>23</v>
      </c>
      <c r="AZ45" s="128">
        <f t="shared" si="20"/>
        <v>31</v>
      </c>
      <c r="BA45" s="127">
        <v>15</v>
      </c>
      <c r="BB45" s="128">
        <f t="shared" si="21"/>
        <v>46</v>
      </c>
      <c r="BC45" s="245"/>
      <c r="BD45" s="133">
        <f t="shared" si="22"/>
        <v>2</v>
      </c>
      <c r="BE45" s="127">
        <v>15</v>
      </c>
      <c r="BF45" s="127">
        <v>22</v>
      </c>
      <c r="BG45" s="128">
        <f t="shared" si="23"/>
        <v>37</v>
      </c>
      <c r="BH45" s="127">
        <v>16</v>
      </c>
      <c r="BI45" s="128">
        <f t="shared" si="24"/>
        <v>53</v>
      </c>
      <c r="BJ45" s="245"/>
      <c r="BK45" s="129">
        <f t="shared" si="25"/>
        <v>3</v>
      </c>
      <c r="BL45" s="127">
        <v>13</v>
      </c>
      <c r="BM45" s="127">
        <v>25</v>
      </c>
      <c r="BN45" s="128">
        <f t="shared" si="26"/>
        <v>38</v>
      </c>
      <c r="BO45" s="127">
        <v>26</v>
      </c>
      <c r="BP45" s="128">
        <f t="shared" si="27"/>
        <v>64</v>
      </c>
      <c r="BQ45" s="245"/>
      <c r="BR45" s="133">
        <f t="shared" si="28"/>
        <v>3.5</v>
      </c>
      <c r="BS45" s="127">
        <v>15</v>
      </c>
      <c r="BT45" s="127">
        <v>21</v>
      </c>
      <c r="BU45" s="128">
        <f t="shared" si="29"/>
        <v>36</v>
      </c>
      <c r="BV45" s="127">
        <v>15</v>
      </c>
      <c r="BW45" s="128">
        <f t="shared" si="30"/>
        <v>51</v>
      </c>
      <c r="BX45" s="245"/>
      <c r="BY45" s="133">
        <f t="shared" si="31"/>
        <v>3</v>
      </c>
      <c r="BZ45" s="127">
        <v>2</v>
      </c>
      <c r="CA45" s="127">
        <v>14</v>
      </c>
      <c r="CB45" s="128">
        <f t="shared" si="32"/>
        <v>16</v>
      </c>
      <c r="CC45" s="127">
        <v>20</v>
      </c>
      <c r="CD45" s="127">
        <v>25</v>
      </c>
      <c r="CE45" s="128">
        <f t="shared" si="33"/>
        <v>61</v>
      </c>
      <c r="CF45" s="245"/>
      <c r="CG45" s="129" t="str">
        <f t="shared" si="34"/>
        <v>0</v>
      </c>
      <c r="CH45" s="129" t="str">
        <f t="shared" si="35"/>
        <v>F</v>
      </c>
      <c r="CI45" s="128">
        <f t="shared" si="6"/>
        <v>24.5</v>
      </c>
      <c r="CJ45" s="131">
        <f t="shared" si="36"/>
        <v>2.7222222222222223</v>
      </c>
      <c r="CK45" s="126" t="str">
        <f t="shared" si="37"/>
        <v>GOOD</v>
      </c>
      <c r="CL45" s="126">
        <f t="shared" si="38"/>
        <v>621</v>
      </c>
      <c r="CM45" s="80"/>
      <c r="CN45" s="80"/>
      <c r="CO45" s="41">
        <f>'1ST_SEMESTER'!CL53</f>
        <v>0</v>
      </c>
      <c r="CP45" s="41">
        <f>'2ND_SEMESTER'!CL56</f>
        <v>0</v>
      </c>
      <c r="CQ45" s="41">
        <f t="shared" si="39"/>
        <v>621</v>
      </c>
      <c r="CR45" s="41">
        <f t="shared" si="40"/>
        <v>207</v>
      </c>
      <c r="CS45" s="168" t="str">
        <f>'1ST_SEMESTER'!CJ46</f>
        <v>F</v>
      </c>
      <c r="CT45" s="169" t="str">
        <f>'2ND_SEMESTER'!CJ45</f>
        <v>F</v>
      </c>
      <c r="CU45" s="169">
        <f t="shared" si="41"/>
        <v>2.7222222222222223</v>
      </c>
      <c r="CV45" s="169">
        <f t="shared" si="42"/>
        <v>2.7222222222222223</v>
      </c>
      <c r="CW45" s="170"/>
    </row>
    <row r="46" spans="1:101" ht="24.95" customHeight="1" thickTop="1">
      <c r="A46" s="46">
        <v>41</v>
      </c>
      <c r="B46" s="47">
        <v>146</v>
      </c>
      <c r="C46" s="50" t="s">
        <v>257</v>
      </c>
      <c r="D46" s="50" t="s">
        <v>258</v>
      </c>
      <c r="E46" s="50" t="s">
        <v>259</v>
      </c>
      <c r="F46" s="53" t="s">
        <v>260</v>
      </c>
      <c r="G46" s="134">
        <v>13</v>
      </c>
      <c r="H46" s="134">
        <v>17</v>
      </c>
      <c r="I46" s="127">
        <f t="shared" si="7"/>
        <v>30</v>
      </c>
      <c r="J46" s="134">
        <v>17</v>
      </c>
      <c r="K46" s="134">
        <f t="shared" si="8"/>
        <v>47</v>
      </c>
      <c r="L46" s="134">
        <v>16</v>
      </c>
      <c r="M46" s="134">
        <v>23</v>
      </c>
      <c r="N46" s="127">
        <f t="shared" si="9"/>
        <v>39</v>
      </c>
      <c r="O46" s="134">
        <v>26</v>
      </c>
      <c r="P46" s="134">
        <f t="shared" si="10"/>
        <v>65</v>
      </c>
      <c r="Q46" s="128">
        <f t="shared" si="0"/>
        <v>112</v>
      </c>
      <c r="R46" s="245"/>
      <c r="S46" s="129">
        <f t="shared" si="11"/>
        <v>3</v>
      </c>
      <c r="T46" s="134">
        <v>16</v>
      </c>
      <c r="U46" s="134">
        <v>40</v>
      </c>
      <c r="V46" s="130">
        <f t="shared" si="1"/>
        <v>56</v>
      </c>
      <c r="W46" s="130">
        <v>18</v>
      </c>
      <c r="X46" s="134">
        <v>42</v>
      </c>
      <c r="Y46" s="128">
        <f t="shared" si="12"/>
        <v>60</v>
      </c>
      <c r="Z46" s="128">
        <f t="shared" si="2"/>
        <v>116</v>
      </c>
      <c r="AA46" s="128">
        <f t="shared" si="13"/>
        <v>116</v>
      </c>
      <c r="AB46" s="245"/>
      <c r="AC46" s="129">
        <f t="shared" si="14"/>
        <v>3</v>
      </c>
      <c r="AD46" s="134">
        <v>16</v>
      </c>
      <c r="AE46" s="134">
        <v>17</v>
      </c>
      <c r="AF46" s="134">
        <f t="shared" si="3"/>
        <v>33</v>
      </c>
      <c r="AG46" s="134">
        <v>12</v>
      </c>
      <c r="AH46" s="128">
        <f t="shared" si="15"/>
        <v>45</v>
      </c>
      <c r="AI46" s="245"/>
      <c r="AJ46" s="135">
        <f t="shared" si="44"/>
        <v>2</v>
      </c>
      <c r="AK46" s="134">
        <v>12</v>
      </c>
      <c r="AL46" s="134">
        <v>29</v>
      </c>
      <c r="AM46" s="127">
        <f t="shared" si="4"/>
        <v>41</v>
      </c>
      <c r="AN46" s="134">
        <v>18</v>
      </c>
      <c r="AO46" s="128">
        <f t="shared" si="17"/>
        <v>59</v>
      </c>
      <c r="AP46" s="245"/>
      <c r="AQ46" s="129">
        <f t="shared" si="18"/>
        <v>3</v>
      </c>
      <c r="AR46" s="134"/>
      <c r="AS46" s="134">
        <v>20</v>
      </c>
      <c r="AT46" s="127">
        <v>24</v>
      </c>
      <c r="AU46" s="128">
        <f t="shared" si="19"/>
        <v>44</v>
      </c>
      <c r="AV46" s="245"/>
      <c r="AW46" s="129">
        <f t="shared" si="5"/>
        <v>5</v>
      </c>
      <c r="AX46" s="144">
        <v>15</v>
      </c>
      <c r="AY46" s="134">
        <v>36</v>
      </c>
      <c r="AZ46" s="128">
        <f t="shared" si="20"/>
        <v>51</v>
      </c>
      <c r="BA46" s="134">
        <v>15</v>
      </c>
      <c r="BB46" s="128">
        <f t="shared" si="21"/>
        <v>66</v>
      </c>
      <c r="BC46" s="245"/>
      <c r="BD46" s="135">
        <f t="shared" si="22"/>
        <v>3.5</v>
      </c>
      <c r="BE46" s="134">
        <v>18</v>
      </c>
      <c r="BF46" s="134">
        <v>27</v>
      </c>
      <c r="BG46" s="128">
        <f t="shared" si="23"/>
        <v>45</v>
      </c>
      <c r="BH46" s="134">
        <v>20</v>
      </c>
      <c r="BI46" s="128">
        <f t="shared" si="24"/>
        <v>65</v>
      </c>
      <c r="BJ46" s="245"/>
      <c r="BK46" s="129">
        <f t="shared" si="25"/>
        <v>3.5</v>
      </c>
      <c r="BL46" s="127">
        <v>19</v>
      </c>
      <c r="BM46" s="127">
        <v>36</v>
      </c>
      <c r="BN46" s="128">
        <f t="shared" si="26"/>
        <v>55</v>
      </c>
      <c r="BO46" s="134">
        <v>30</v>
      </c>
      <c r="BP46" s="128">
        <f t="shared" si="27"/>
        <v>85</v>
      </c>
      <c r="BQ46" s="245"/>
      <c r="BR46" s="135">
        <f t="shared" si="28"/>
        <v>5</v>
      </c>
      <c r="BS46" s="134">
        <v>15</v>
      </c>
      <c r="BT46" s="134">
        <v>16</v>
      </c>
      <c r="BU46" s="128">
        <f t="shared" si="29"/>
        <v>31</v>
      </c>
      <c r="BV46" s="134">
        <v>18</v>
      </c>
      <c r="BW46" s="128">
        <f t="shared" si="30"/>
        <v>49</v>
      </c>
      <c r="BX46" s="245"/>
      <c r="BY46" s="135">
        <f t="shared" si="31"/>
        <v>2</v>
      </c>
      <c r="BZ46" s="134">
        <v>3</v>
      </c>
      <c r="CA46" s="134">
        <v>14</v>
      </c>
      <c r="CB46" s="128">
        <f t="shared" si="32"/>
        <v>17</v>
      </c>
      <c r="CC46" s="134">
        <v>21</v>
      </c>
      <c r="CD46" s="127">
        <v>25</v>
      </c>
      <c r="CE46" s="128">
        <f t="shared" si="33"/>
        <v>63</v>
      </c>
      <c r="CF46" s="245"/>
      <c r="CG46" s="129" t="str">
        <f t="shared" si="34"/>
        <v>0</v>
      </c>
      <c r="CH46" s="129" t="str">
        <f t="shared" si="35"/>
        <v>F</v>
      </c>
      <c r="CI46" s="128">
        <f t="shared" si="6"/>
        <v>28</v>
      </c>
      <c r="CJ46" s="131">
        <f t="shared" si="36"/>
        <v>3.1111111111111112</v>
      </c>
      <c r="CK46" s="126" t="str">
        <f t="shared" si="37"/>
        <v>GOOD</v>
      </c>
      <c r="CL46" s="126">
        <f t="shared" si="38"/>
        <v>704</v>
      </c>
      <c r="CM46" s="81"/>
      <c r="CN46" s="81"/>
      <c r="CO46" s="41">
        <f>'1ST_SEMESTER'!CL54</f>
        <v>89</v>
      </c>
      <c r="CP46" s="41">
        <f>'2ND_SEMESTER'!CL57</f>
        <v>0</v>
      </c>
      <c r="CQ46" s="41">
        <f t="shared" si="39"/>
        <v>704</v>
      </c>
      <c r="CR46" s="41">
        <f t="shared" si="40"/>
        <v>264.33333333333331</v>
      </c>
      <c r="CS46" s="168" t="str">
        <f>'1ST_SEMESTER'!CJ47</f>
        <v>F</v>
      </c>
      <c r="CT46" s="169">
        <f>'2ND_SEMESTER'!CJ46</f>
        <v>3.4444444444444446</v>
      </c>
      <c r="CU46" s="169">
        <f t="shared" si="41"/>
        <v>3.1111111111111112</v>
      </c>
      <c r="CV46" s="169">
        <f t="shared" si="42"/>
        <v>3.2777777777777777</v>
      </c>
      <c r="CW46" s="170"/>
    </row>
    <row r="47" spans="1:101" ht="24.95" customHeight="1">
      <c r="A47" s="46">
        <v>42</v>
      </c>
      <c r="B47" s="19">
        <v>159</v>
      </c>
      <c r="C47" s="24" t="s">
        <v>266</v>
      </c>
      <c r="D47" s="25"/>
      <c r="E47" s="25"/>
      <c r="F47" s="26"/>
      <c r="G47" s="128">
        <v>13</v>
      </c>
      <c r="H47" s="128">
        <v>15</v>
      </c>
      <c r="I47" s="127">
        <f t="shared" si="7"/>
        <v>28</v>
      </c>
      <c r="J47" s="128">
        <v>17</v>
      </c>
      <c r="K47" s="128">
        <f t="shared" si="8"/>
        <v>45</v>
      </c>
      <c r="L47" s="128">
        <v>16</v>
      </c>
      <c r="M47" s="128">
        <v>14</v>
      </c>
      <c r="N47" s="127">
        <f t="shared" si="9"/>
        <v>30</v>
      </c>
      <c r="O47" s="128">
        <v>26</v>
      </c>
      <c r="P47" s="128">
        <f t="shared" si="10"/>
        <v>56</v>
      </c>
      <c r="Q47" s="128">
        <f t="shared" si="0"/>
        <v>101</v>
      </c>
      <c r="R47" s="245"/>
      <c r="S47" s="129">
        <f t="shared" si="11"/>
        <v>3</v>
      </c>
      <c r="T47" s="128">
        <v>16</v>
      </c>
      <c r="U47" s="128">
        <v>34</v>
      </c>
      <c r="V47" s="130">
        <f t="shared" si="1"/>
        <v>50</v>
      </c>
      <c r="W47" s="128">
        <v>15</v>
      </c>
      <c r="X47" s="128">
        <v>46</v>
      </c>
      <c r="Y47" s="128">
        <f t="shared" si="12"/>
        <v>61</v>
      </c>
      <c r="Z47" s="128">
        <f t="shared" si="2"/>
        <v>111</v>
      </c>
      <c r="AA47" s="128">
        <f t="shared" si="13"/>
        <v>111</v>
      </c>
      <c r="AB47" s="245"/>
      <c r="AC47" s="129">
        <f t="shared" si="14"/>
        <v>3</v>
      </c>
      <c r="AD47" s="128">
        <v>10</v>
      </c>
      <c r="AE47" s="128">
        <v>18</v>
      </c>
      <c r="AF47" s="128">
        <f t="shared" si="3"/>
        <v>28</v>
      </c>
      <c r="AG47" s="128">
        <v>12</v>
      </c>
      <c r="AH47" s="128">
        <f t="shared" si="15"/>
        <v>40</v>
      </c>
      <c r="AI47" s="245"/>
      <c r="AJ47" s="129">
        <f t="shared" si="44"/>
        <v>2</v>
      </c>
      <c r="AK47" s="128">
        <v>11</v>
      </c>
      <c r="AL47" s="128">
        <v>17</v>
      </c>
      <c r="AM47" s="127">
        <f t="shared" si="4"/>
        <v>28</v>
      </c>
      <c r="AN47" s="128">
        <v>15</v>
      </c>
      <c r="AO47" s="128">
        <f t="shared" si="17"/>
        <v>43</v>
      </c>
      <c r="AP47" s="245"/>
      <c r="AQ47" s="129">
        <f t="shared" si="18"/>
        <v>2</v>
      </c>
      <c r="AR47" s="128"/>
      <c r="AS47" s="128">
        <v>20</v>
      </c>
      <c r="AT47" s="127">
        <v>24</v>
      </c>
      <c r="AU47" s="128">
        <f t="shared" si="19"/>
        <v>44</v>
      </c>
      <c r="AV47" s="245"/>
      <c r="AW47" s="129">
        <f t="shared" si="5"/>
        <v>5</v>
      </c>
      <c r="AX47" s="144">
        <v>13</v>
      </c>
      <c r="AY47" s="128">
        <v>27</v>
      </c>
      <c r="AZ47" s="128">
        <f t="shared" si="20"/>
        <v>40</v>
      </c>
      <c r="BA47" s="128">
        <v>15</v>
      </c>
      <c r="BB47" s="128">
        <f t="shared" si="21"/>
        <v>55</v>
      </c>
      <c r="BC47" s="245"/>
      <c r="BD47" s="129">
        <f t="shared" si="22"/>
        <v>3</v>
      </c>
      <c r="BE47" s="128">
        <v>16</v>
      </c>
      <c r="BF47" s="128">
        <v>23</v>
      </c>
      <c r="BG47" s="128">
        <f t="shared" si="23"/>
        <v>39</v>
      </c>
      <c r="BH47" s="128">
        <v>16</v>
      </c>
      <c r="BI47" s="128">
        <f t="shared" si="24"/>
        <v>55</v>
      </c>
      <c r="BJ47" s="245"/>
      <c r="BK47" s="129">
        <f t="shared" si="25"/>
        <v>3</v>
      </c>
      <c r="BL47" s="128">
        <v>11</v>
      </c>
      <c r="BM47" s="128">
        <v>24</v>
      </c>
      <c r="BN47" s="128">
        <f t="shared" si="26"/>
        <v>35</v>
      </c>
      <c r="BO47" s="128">
        <v>26</v>
      </c>
      <c r="BP47" s="128">
        <f t="shared" si="27"/>
        <v>61</v>
      </c>
      <c r="BQ47" s="245"/>
      <c r="BR47" s="129">
        <f t="shared" si="28"/>
        <v>3.5</v>
      </c>
      <c r="BS47" s="128">
        <v>9</v>
      </c>
      <c r="BT47" s="128">
        <v>29</v>
      </c>
      <c r="BU47" s="128">
        <f t="shared" si="29"/>
        <v>38</v>
      </c>
      <c r="BV47" s="128">
        <v>15</v>
      </c>
      <c r="BW47" s="128">
        <f t="shared" si="30"/>
        <v>53</v>
      </c>
      <c r="BX47" s="245"/>
      <c r="BY47" s="129">
        <f t="shared" si="31"/>
        <v>3</v>
      </c>
      <c r="BZ47" s="128">
        <v>7</v>
      </c>
      <c r="CA47" s="128">
        <v>21</v>
      </c>
      <c r="CB47" s="128">
        <f t="shared" si="32"/>
        <v>28</v>
      </c>
      <c r="CC47" s="128">
        <v>19</v>
      </c>
      <c r="CD47" s="127">
        <v>25</v>
      </c>
      <c r="CE47" s="128">
        <f t="shared" si="33"/>
        <v>72</v>
      </c>
      <c r="CF47" s="245"/>
      <c r="CG47" s="129">
        <f t="shared" si="34"/>
        <v>4</v>
      </c>
      <c r="CH47" s="129">
        <f t="shared" si="35"/>
        <v>4</v>
      </c>
      <c r="CI47" s="128">
        <f t="shared" si="6"/>
        <v>29.5</v>
      </c>
      <c r="CJ47" s="131">
        <f t="shared" si="36"/>
        <v>3.2777777777777777</v>
      </c>
      <c r="CK47" s="126" t="str">
        <f t="shared" si="37"/>
        <v>GOOD</v>
      </c>
      <c r="CL47" s="126">
        <f t="shared" si="38"/>
        <v>635</v>
      </c>
      <c r="CM47" s="79"/>
      <c r="CN47" s="79"/>
      <c r="CO47" s="41">
        <f>'1ST_SEMESTER'!CL55</f>
        <v>0</v>
      </c>
      <c r="CP47" s="41">
        <f>'2ND_SEMESTER'!CL58</f>
        <v>0</v>
      </c>
      <c r="CQ47" s="41">
        <f t="shared" si="39"/>
        <v>635</v>
      </c>
      <c r="CR47" s="41">
        <f t="shared" si="40"/>
        <v>211.66666666666666</v>
      </c>
      <c r="CS47" s="168" t="str">
        <f>'1ST_SEMESTER'!CJ48</f>
        <v>F</v>
      </c>
      <c r="CT47" s="169" t="str">
        <f>'2ND_SEMESTER'!CJ47</f>
        <v>F</v>
      </c>
      <c r="CU47" s="169">
        <f t="shared" si="41"/>
        <v>3.2777777777777777</v>
      </c>
      <c r="CV47" s="169">
        <f t="shared" si="42"/>
        <v>3.2777777777777777</v>
      </c>
      <c r="CW47" s="170"/>
    </row>
    <row r="48" spans="1:101" ht="24.95" customHeight="1">
      <c r="A48" s="125"/>
      <c r="B48" s="125">
        <v>140</v>
      </c>
      <c r="C48" s="24" t="s">
        <v>267</v>
      </c>
      <c r="D48" s="25"/>
      <c r="E48" s="25"/>
      <c r="F48" s="26"/>
      <c r="G48" s="128">
        <v>0</v>
      </c>
      <c r="H48" s="128">
        <v>11</v>
      </c>
      <c r="I48" s="127">
        <f t="shared" si="7"/>
        <v>11</v>
      </c>
      <c r="J48" s="128">
        <v>12</v>
      </c>
      <c r="K48" s="128">
        <f t="shared" si="8"/>
        <v>23</v>
      </c>
      <c r="L48" s="128">
        <v>0</v>
      </c>
      <c r="M48" s="128">
        <v>17</v>
      </c>
      <c r="N48" s="127">
        <f t="shared" si="9"/>
        <v>17</v>
      </c>
      <c r="O48" s="128">
        <v>26</v>
      </c>
      <c r="P48" s="128">
        <f t="shared" si="10"/>
        <v>43</v>
      </c>
      <c r="Q48" s="128">
        <f t="shared" si="0"/>
        <v>66</v>
      </c>
      <c r="R48" s="245"/>
      <c r="S48" s="129" t="str">
        <f t="shared" si="11"/>
        <v>F</v>
      </c>
      <c r="T48" s="128">
        <v>14</v>
      </c>
      <c r="U48" s="128">
        <v>30</v>
      </c>
      <c r="V48" s="130">
        <f t="shared" si="1"/>
        <v>44</v>
      </c>
      <c r="W48" s="128">
        <v>0</v>
      </c>
      <c r="X48" s="128">
        <v>0</v>
      </c>
      <c r="Y48" s="128">
        <f t="shared" si="12"/>
        <v>0</v>
      </c>
      <c r="Z48" s="128">
        <f t="shared" si="2"/>
        <v>44</v>
      </c>
      <c r="AA48" s="128">
        <f t="shared" si="13"/>
        <v>44</v>
      </c>
      <c r="AB48" s="245"/>
      <c r="AC48" s="129" t="str">
        <f t="shared" si="14"/>
        <v>F</v>
      </c>
      <c r="AD48" s="128">
        <v>0</v>
      </c>
      <c r="AE48" s="128">
        <v>5</v>
      </c>
      <c r="AF48" s="128">
        <f t="shared" si="3"/>
        <v>5</v>
      </c>
      <c r="AG48" s="128">
        <v>9</v>
      </c>
      <c r="AH48" s="128">
        <f t="shared" si="15"/>
        <v>14</v>
      </c>
      <c r="AI48" s="245"/>
      <c r="AJ48" s="129" t="str">
        <f t="shared" si="44"/>
        <v>F</v>
      </c>
      <c r="AK48" s="128">
        <v>0</v>
      </c>
      <c r="AL48" s="128">
        <v>15</v>
      </c>
      <c r="AM48" s="127">
        <f t="shared" si="4"/>
        <v>15</v>
      </c>
      <c r="AN48" s="128">
        <v>17</v>
      </c>
      <c r="AO48" s="128">
        <f t="shared" si="17"/>
        <v>32</v>
      </c>
      <c r="AP48" s="245"/>
      <c r="AQ48" s="129" t="str">
        <f t="shared" si="18"/>
        <v>F</v>
      </c>
      <c r="AR48" s="128"/>
      <c r="AS48" s="128">
        <v>15</v>
      </c>
      <c r="AT48" s="127">
        <v>24</v>
      </c>
      <c r="AU48" s="128">
        <f t="shared" si="19"/>
        <v>39</v>
      </c>
      <c r="AV48" s="245"/>
      <c r="AW48" s="129">
        <f t="shared" si="5"/>
        <v>4</v>
      </c>
      <c r="AX48" s="128">
        <v>0</v>
      </c>
      <c r="AY48" s="128">
        <v>6</v>
      </c>
      <c r="AZ48" s="128">
        <f t="shared" si="20"/>
        <v>6</v>
      </c>
      <c r="BA48" s="128">
        <v>14</v>
      </c>
      <c r="BB48" s="128">
        <f t="shared" si="21"/>
        <v>20</v>
      </c>
      <c r="BC48" s="245"/>
      <c r="BD48" s="129" t="str">
        <f t="shared" si="22"/>
        <v>F</v>
      </c>
      <c r="BE48" s="128">
        <v>0</v>
      </c>
      <c r="BF48" s="128">
        <v>21</v>
      </c>
      <c r="BG48" s="128">
        <f t="shared" si="23"/>
        <v>21</v>
      </c>
      <c r="BH48" s="128">
        <v>14</v>
      </c>
      <c r="BI48" s="128">
        <f t="shared" si="24"/>
        <v>35</v>
      </c>
      <c r="BJ48" s="245"/>
      <c r="BK48" s="129" t="str">
        <f t="shared" si="25"/>
        <v>F</v>
      </c>
      <c r="BL48" s="128">
        <v>0</v>
      </c>
      <c r="BM48" s="128">
        <v>28</v>
      </c>
      <c r="BN48" s="128">
        <f t="shared" si="26"/>
        <v>28</v>
      </c>
      <c r="BO48" s="128">
        <v>27</v>
      </c>
      <c r="BP48" s="128">
        <f t="shared" si="27"/>
        <v>55</v>
      </c>
      <c r="BQ48" s="245"/>
      <c r="BR48" s="129">
        <f t="shared" si="28"/>
        <v>3</v>
      </c>
      <c r="BS48" s="128">
        <v>0</v>
      </c>
      <c r="BT48" s="128">
        <v>11</v>
      </c>
      <c r="BU48" s="128">
        <f t="shared" si="29"/>
        <v>11</v>
      </c>
      <c r="BV48" s="128">
        <v>12</v>
      </c>
      <c r="BW48" s="128">
        <f t="shared" si="30"/>
        <v>23</v>
      </c>
      <c r="BX48" s="245"/>
      <c r="BY48" s="129" t="str">
        <f t="shared" si="31"/>
        <v>F</v>
      </c>
      <c r="BZ48" s="128">
        <v>0</v>
      </c>
      <c r="CA48" s="128">
        <v>18</v>
      </c>
      <c r="CB48" s="128">
        <f t="shared" si="32"/>
        <v>18</v>
      </c>
      <c r="CC48" s="128">
        <v>19</v>
      </c>
      <c r="CD48" s="127">
        <v>25</v>
      </c>
      <c r="CE48" s="128">
        <f t="shared" si="33"/>
        <v>62</v>
      </c>
      <c r="CF48" s="245"/>
      <c r="CG48" s="129" t="str">
        <f t="shared" si="34"/>
        <v>0</v>
      </c>
      <c r="CH48" s="129" t="str">
        <f t="shared" si="35"/>
        <v>F</v>
      </c>
      <c r="CI48" s="128" t="str">
        <f t="shared" si="6"/>
        <v>F</v>
      </c>
      <c r="CJ48" s="131" t="str">
        <f t="shared" si="36"/>
        <v>F</v>
      </c>
      <c r="CK48" s="126" t="str">
        <f t="shared" si="37"/>
        <v>NEED TO PROGRESS</v>
      </c>
      <c r="CL48" s="126">
        <f t="shared" si="38"/>
        <v>390</v>
      </c>
      <c r="CM48" s="124"/>
      <c r="CN48" s="124"/>
      <c r="CO48" s="41">
        <f>'1ST_SEMESTER'!CL56</f>
        <v>0</v>
      </c>
      <c r="CP48" s="41">
        <f>'2ND_SEMESTER'!CL59</f>
        <v>0</v>
      </c>
      <c r="CQ48" s="41">
        <f t="shared" si="39"/>
        <v>390</v>
      </c>
      <c r="CR48" s="41">
        <f t="shared" si="40"/>
        <v>130</v>
      </c>
      <c r="CS48" s="168" t="str">
        <f>'1ST_SEMESTER'!CJ50</f>
        <v>F</v>
      </c>
      <c r="CT48" s="169" t="str">
        <f>'2ND_SEMESTER'!CJ49</f>
        <v>F</v>
      </c>
      <c r="CU48" s="169" t="str">
        <f t="shared" si="41"/>
        <v>F</v>
      </c>
      <c r="CV48" s="169" t="e">
        <f t="shared" si="42"/>
        <v>#DIV/0!</v>
      </c>
      <c r="CW48" s="170"/>
    </row>
    <row r="49" spans="1:101" ht="24.95" customHeight="1">
      <c r="A49" s="46">
        <v>43</v>
      </c>
      <c r="B49" s="19">
        <v>155</v>
      </c>
      <c r="C49" s="24" t="s">
        <v>268</v>
      </c>
      <c r="D49" s="25"/>
      <c r="E49" s="25"/>
      <c r="F49" s="26"/>
      <c r="G49" s="128">
        <v>0</v>
      </c>
      <c r="H49" s="128">
        <v>13</v>
      </c>
      <c r="I49" s="127">
        <f t="shared" si="7"/>
        <v>13</v>
      </c>
      <c r="J49" s="128">
        <v>12</v>
      </c>
      <c r="K49" s="128">
        <f t="shared" si="8"/>
        <v>25</v>
      </c>
      <c r="L49" s="128">
        <v>0</v>
      </c>
      <c r="M49" s="128">
        <v>18</v>
      </c>
      <c r="N49" s="127">
        <f t="shared" si="9"/>
        <v>18</v>
      </c>
      <c r="O49" s="128">
        <v>26</v>
      </c>
      <c r="P49" s="128">
        <f t="shared" si="10"/>
        <v>44</v>
      </c>
      <c r="Q49" s="128">
        <f t="shared" si="0"/>
        <v>69</v>
      </c>
      <c r="R49" s="246"/>
      <c r="S49" s="129" t="str">
        <f t="shared" si="11"/>
        <v>F</v>
      </c>
      <c r="T49" s="128">
        <v>14</v>
      </c>
      <c r="U49" s="128">
        <v>30</v>
      </c>
      <c r="V49" s="130">
        <f t="shared" si="1"/>
        <v>44</v>
      </c>
      <c r="W49" s="128">
        <v>0</v>
      </c>
      <c r="X49" s="128">
        <v>0</v>
      </c>
      <c r="Y49" s="128">
        <f t="shared" si="12"/>
        <v>0</v>
      </c>
      <c r="Z49" s="128">
        <f t="shared" si="2"/>
        <v>44</v>
      </c>
      <c r="AA49" s="128">
        <f t="shared" si="13"/>
        <v>44</v>
      </c>
      <c r="AB49" s="246"/>
      <c r="AC49" s="129" t="str">
        <f t="shared" si="14"/>
        <v>F</v>
      </c>
      <c r="AD49" s="128">
        <v>0</v>
      </c>
      <c r="AE49" s="128">
        <v>5</v>
      </c>
      <c r="AF49" s="128">
        <f t="shared" si="3"/>
        <v>5</v>
      </c>
      <c r="AG49" s="128">
        <v>10</v>
      </c>
      <c r="AH49" s="128">
        <f t="shared" si="15"/>
        <v>15</v>
      </c>
      <c r="AI49" s="246"/>
      <c r="AJ49" s="129" t="str">
        <f t="shared" si="44"/>
        <v>F</v>
      </c>
      <c r="AK49" s="128">
        <v>0</v>
      </c>
      <c r="AL49" s="128">
        <v>18</v>
      </c>
      <c r="AM49" s="127">
        <f t="shared" si="4"/>
        <v>18</v>
      </c>
      <c r="AN49" s="128">
        <v>15</v>
      </c>
      <c r="AO49" s="128">
        <f t="shared" si="17"/>
        <v>33</v>
      </c>
      <c r="AP49" s="246"/>
      <c r="AQ49" s="129" t="str">
        <f t="shared" si="18"/>
        <v>F</v>
      </c>
      <c r="AR49" s="128"/>
      <c r="AS49" s="128">
        <v>17</v>
      </c>
      <c r="AT49" s="127">
        <v>24</v>
      </c>
      <c r="AU49" s="128">
        <f t="shared" si="19"/>
        <v>41</v>
      </c>
      <c r="AV49" s="246"/>
      <c r="AW49" s="129">
        <f t="shared" si="5"/>
        <v>5</v>
      </c>
      <c r="AX49" s="128">
        <v>0</v>
      </c>
      <c r="AY49" s="128">
        <v>7</v>
      </c>
      <c r="AZ49" s="128">
        <f t="shared" si="20"/>
        <v>7</v>
      </c>
      <c r="BA49" s="128">
        <v>16</v>
      </c>
      <c r="BB49" s="128">
        <f t="shared" si="21"/>
        <v>23</v>
      </c>
      <c r="BC49" s="246"/>
      <c r="BD49" s="129" t="str">
        <f t="shared" si="22"/>
        <v>F</v>
      </c>
      <c r="BE49" s="128">
        <v>0</v>
      </c>
      <c r="BF49" s="128">
        <v>12</v>
      </c>
      <c r="BG49" s="128">
        <f t="shared" si="23"/>
        <v>12</v>
      </c>
      <c r="BH49" s="128">
        <v>15</v>
      </c>
      <c r="BI49" s="128">
        <f t="shared" si="24"/>
        <v>27</v>
      </c>
      <c r="BJ49" s="246"/>
      <c r="BK49" s="129" t="str">
        <f t="shared" si="25"/>
        <v>F</v>
      </c>
      <c r="BL49" s="128">
        <v>0</v>
      </c>
      <c r="BM49" s="128">
        <v>28</v>
      </c>
      <c r="BN49" s="128">
        <f t="shared" si="26"/>
        <v>28</v>
      </c>
      <c r="BO49" s="128">
        <v>27</v>
      </c>
      <c r="BP49" s="128">
        <f t="shared" si="27"/>
        <v>55</v>
      </c>
      <c r="BQ49" s="246"/>
      <c r="BR49" s="129">
        <f t="shared" si="28"/>
        <v>3</v>
      </c>
      <c r="BS49" s="128">
        <v>0</v>
      </c>
      <c r="BT49" s="128">
        <v>9</v>
      </c>
      <c r="BU49" s="128">
        <f t="shared" si="29"/>
        <v>9</v>
      </c>
      <c r="BV49" s="128">
        <v>12</v>
      </c>
      <c r="BW49" s="128">
        <f t="shared" si="30"/>
        <v>21</v>
      </c>
      <c r="BX49" s="246"/>
      <c r="BY49" s="129" t="str">
        <f t="shared" si="31"/>
        <v>F</v>
      </c>
      <c r="BZ49" s="128">
        <v>0</v>
      </c>
      <c r="CA49" s="128">
        <v>18</v>
      </c>
      <c r="CB49" s="128">
        <f t="shared" si="32"/>
        <v>18</v>
      </c>
      <c r="CC49" s="128">
        <v>19</v>
      </c>
      <c r="CD49" s="127">
        <v>25</v>
      </c>
      <c r="CE49" s="128">
        <f t="shared" si="33"/>
        <v>62</v>
      </c>
      <c r="CF49" s="246"/>
      <c r="CG49" s="129" t="str">
        <f t="shared" si="34"/>
        <v>0</v>
      </c>
      <c r="CH49" s="129" t="str">
        <f t="shared" si="35"/>
        <v>F</v>
      </c>
      <c r="CI49" s="128" t="str">
        <f t="shared" si="6"/>
        <v>F</v>
      </c>
      <c r="CJ49" s="131" t="str">
        <f t="shared" si="36"/>
        <v>F</v>
      </c>
      <c r="CK49" s="126" t="str">
        <f t="shared" si="37"/>
        <v>NEED TO PROGRESS</v>
      </c>
      <c r="CL49" s="126">
        <f t="shared" si="38"/>
        <v>390</v>
      </c>
      <c r="CM49" s="79"/>
      <c r="CN49" s="79"/>
      <c r="CO49" s="41">
        <f>'1ST_SEMESTER'!CL57</f>
        <v>0</v>
      </c>
      <c r="CP49" s="41">
        <f>'2ND_SEMESTER'!CL60</f>
        <v>0</v>
      </c>
      <c r="CQ49" s="41">
        <f t="shared" si="39"/>
        <v>390</v>
      </c>
      <c r="CR49" s="41">
        <f t="shared" si="40"/>
        <v>130</v>
      </c>
      <c r="CS49" s="168">
        <f>'1ST_SEMESTER'!CJ51</f>
        <v>0</v>
      </c>
      <c r="CT49" s="169">
        <f>'2ND_SEMESTER'!CJ50</f>
        <v>0</v>
      </c>
      <c r="CU49" s="169" t="str">
        <f t="shared" si="41"/>
        <v>F</v>
      </c>
      <c r="CV49" s="169">
        <f t="shared" si="42"/>
        <v>0</v>
      </c>
      <c r="CW49" s="170"/>
    </row>
    <row r="52" spans="1:101">
      <c r="A52" s="96">
        <v>0</v>
      </c>
      <c r="B52">
        <v>1</v>
      </c>
      <c r="C52">
        <v>2</v>
      </c>
      <c r="D52">
        <v>3</v>
      </c>
      <c r="E52">
        <v>4</v>
      </c>
      <c r="F52" s="27">
        <v>5</v>
      </c>
      <c r="G52">
        <v>6</v>
      </c>
      <c r="H52">
        <v>7</v>
      </c>
      <c r="I52">
        <v>8</v>
      </c>
      <c r="J52" s="27">
        <v>9</v>
      </c>
      <c r="K52">
        <v>10</v>
      </c>
      <c r="L52">
        <v>11</v>
      </c>
      <c r="M52">
        <v>12</v>
      </c>
      <c r="N52" s="27">
        <v>13</v>
      </c>
      <c r="O52">
        <v>14</v>
      </c>
      <c r="P52">
        <v>15</v>
      </c>
      <c r="Q52">
        <v>16</v>
      </c>
      <c r="R52" s="27">
        <v>17</v>
      </c>
      <c r="S52">
        <v>18</v>
      </c>
      <c r="T52">
        <v>19</v>
      </c>
      <c r="U52">
        <v>20</v>
      </c>
      <c r="V52" s="27">
        <v>21</v>
      </c>
      <c r="W52">
        <v>22</v>
      </c>
      <c r="X52">
        <v>23</v>
      </c>
      <c r="Y52">
        <v>24</v>
      </c>
      <c r="Z52" s="27">
        <v>25</v>
      </c>
      <c r="AA52">
        <v>26</v>
      </c>
      <c r="AB52">
        <v>27</v>
      </c>
      <c r="AC52">
        <v>28</v>
      </c>
      <c r="AD52" s="27">
        <v>29</v>
      </c>
      <c r="AE52">
        <v>30</v>
      </c>
      <c r="AF52">
        <v>31</v>
      </c>
      <c r="AG52">
        <v>32</v>
      </c>
      <c r="AH52" s="27">
        <v>33</v>
      </c>
      <c r="AI52">
        <v>34</v>
      </c>
      <c r="AJ52">
        <v>35</v>
      </c>
      <c r="AK52">
        <v>36</v>
      </c>
      <c r="AL52" s="27">
        <v>37</v>
      </c>
      <c r="AM52">
        <v>38</v>
      </c>
      <c r="AN52">
        <v>39</v>
      </c>
      <c r="AO52">
        <v>40</v>
      </c>
      <c r="AP52" s="27">
        <v>41</v>
      </c>
      <c r="AQ52">
        <v>42</v>
      </c>
      <c r="AR52">
        <v>43</v>
      </c>
      <c r="AS52">
        <v>44</v>
      </c>
      <c r="AT52" s="27">
        <v>45</v>
      </c>
      <c r="AU52">
        <v>46</v>
      </c>
      <c r="AV52">
        <v>47</v>
      </c>
      <c r="AW52">
        <v>48</v>
      </c>
      <c r="AX52" s="27">
        <v>49</v>
      </c>
      <c r="AY52">
        <v>50</v>
      </c>
      <c r="AZ52">
        <v>51</v>
      </c>
      <c r="BA52">
        <v>52</v>
      </c>
      <c r="BB52" s="27">
        <v>53</v>
      </c>
      <c r="BC52">
        <v>54</v>
      </c>
      <c r="BD52">
        <v>55</v>
      </c>
      <c r="BE52">
        <v>56</v>
      </c>
      <c r="BF52" s="27">
        <v>57</v>
      </c>
      <c r="BG52">
        <v>58</v>
      </c>
      <c r="BH52">
        <v>59</v>
      </c>
      <c r="BI52">
        <v>60</v>
      </c>
      <c r="BJ52" s="27">
        <v>61</v>
      </c>
      <c r="BK52">
        <v>62</v>
      </c>
      <c r="BL52">
        <v>63</v>
      </c>
      <c r="BM52">
        <v>64</v>
      </c>
      <c r="BN52" s="27">
        <v>65</v>
      </c>
      <c r="BO52">
        <v>66</v>
      </c>
      <c r="BP52">
        <v>67</v>
      </c>
      <c r="BQ52">
        <v>68</v>
      </c>
      <c r="BR52" s="27">
        <v>69</v>
      </c>
      <c r="BS52">
        <v>70</v>
      </c>
      <c r="BT52">
        <v>71</v>
      </c>
      <c r="BU52">
        <v>72</v>
      </c>
      <c r="BV52" s="27">
        <v>73</v>
      </c>
      <c r="BW52">
        <v>74</v>
      </c>
      <c r="BX52">
        <v>75</v>
      </c>
      <c r="BY52">
        <v>76</v>
      </c>
      <c r="BZ52" s="27">
        <v>77</v>
      </c>
      <c r="CA52">
        <v>78</v>
      </c>
      <c r="CB52">
        <v>79</v>
      </c>
      <c r="CC52">
        <v>80</v>
      </c>
      <c r="CD52" s="27">
        <v>81</v>
      </c>
      <c r="CE52">
        <v>82</v>
      </c>
      <c r="CF52">
        <v>83</v>
      </c>
      <c r="CG52">
        <v>84</v>
      </c>
      <c r="CH52" s="27">
        <v>85</v>
      </c>
      <c r="CI52">
        <v>86</v>
      </c>
      <c r="CJ52">
        <v>87</v>
      </c>
      <c r="CK52">
        <v>88</v>
      </c>
      <c r="CL52">
        <v>89</v>
      </c>
      <c r="CM52">
        <v>60</v>
      </c>
      <c r="CN52">
        <v>91</v>
      </c>
    </row>
  </sheetData>
  <mergeCells count="78">
    <mergeCell ref="CW6:CW7"/>
    <mergeCell ref="CT6:CT7"/>
    <mergeCell ref="CU6:CU7"/>
    <mergeCell ref="CV6:CV7"/>
    <mergeCell ref="CF8:CF49"/>
    <mergeCell ref="CH6:CH7"/>
    <mergeCell ref="CM6:CM7"/>
    <mergeCell ref="CN6:CN7"/>
    <mergeCell ref="CI6:CI7"/>
    <mergeCell ref="CJ6:CJ7"/>
    <mergeCell ref="CK6:CK7"/>
    <mergeCell ref="CG6:CG7"/>
    <mergeCell ref="R8:R49"/>
    <mergeCell ref="AB8:AB49"/>
    <mergeCell ref="AI8:AI49"/>
    <mergeCell ref="AP8:AP49"/>
    <mergeCell ref="AV8:AV49"/>
    <mergeCell ref="BC8:BC49"/>
    <mergeCell ref="BJ8:BJ49"/>
    <mergeCell ref="BQ8:BQ49"/>
    <mergeCell ref="BX8:BX49"/>
    <mergeCell ref="AB6:AB7"/>
    <mergeCell ref="AC6:AC7"/>
    <mergeCell ref="AD6:AG6"/>
    <mergeCell ref="AJ6:AJ7"/>
    <mergeCell ref="AV6:AV7"/>
    <mergeCell ref="AW6:AW7"/>
    <mergeCell ref="AX6:BA6"/>
    <mergeCell ref="BD6:BD7"/>
    <mergeCell ref="BE6:BH6"/>
    <mergeCell ref="BL6:BO6"/>
    <mergeCell ref="BP6:BP7"/>
    <mergeCell ref="BQ6:BQ7"/>
    <mergeCell ref="R6:R7"/>
    <mergeCell ref="S6:S7"/>
    <mergeCell ref="T6:Y6"/>
    <mergeCell ref="Z6:Z7"/>
    <mergeCell ref="AA6:AA7"/>
    <mergeCell ref="G6:J6"/>
    <mergeCell ref="K6:K7"/>
    <mergeCell ref="L6:O6"/>
    <mergeCell ref="P6:P7"/>
    <mergeCell ref="Q6:Q7"/>
    <mergeCell ref="A1:CN5"/>
    <mergeCell ref="A6:A7"/>
    <mergeCell ref="B6:B7"/>
    <mergeCell ref="C6:C7"/>
    <mergeCell ref="D6:D7"/>
    <mergeCell ref="E6:E7"/>
    <mergeCell ref="F6:F7"/>
    <mergeCell ref="AQ6:AQ7"/>
    <mergeCell ref="AH6:AH7"/>
    <mergeCell ref="BB6:BB7"/>
    <mergeCell ref="BC6:BC7"/>
    <mergeCell ref="BI6:BI7"/>
    <mergeCell ref="BJ6:BJ7"/>
    <mergeCell ref="BK6:BK7"/>
    <mergeCell ref="BS6:BV6"/>
    <mergeCell ref="CL6:CL7"/>
    <mergeCell ref="CE6:CE7"/>
    <mergeCell ref="CF6:CF7"/>
    <mergeCell ref="AI6:AI7"/>
    <mergeCell ref="AP6:AP7"/>
    <mergeCell ref="AK6:AN6"/>
    <mergeCell ref="AO6:AO7"/>
    <mergeCell ref="AR6:AT6"/>
    <mergeCell ref="AU6:AU7"/>
    <mergeCell ref="BY6:BY7"/>
    <mergeCell ref="BZ6:CD6"/>
    <mergeCell ref="BR6:BR7"/>
    <mergeCell ref="BW6:BW7"/>
    <mergeCell ref="BX6:BX7"/>
    <mergeCell ref="CO5:CS5"/>
    <mergeCell ref="CO6:CO7"/>
    <mergeCell ref="CP6:CP7"/>
    <mergeCell ref="CQ6:CQ7"/>
    <mergeCell ref="CR6:CR7"/>
    <mergeCell ref="CS6:CS7"/>
  </mergeCells>
  <conditionalFormatting sqref="H8:I25 H27:I27 H29:I30 H32:I45 M8:N25 M27:N27 M29:N30 M32:N45 V8:W25 V27:W27 V29:W30 AE8:AF25 AE27:AF27 AE29:AF30 AE32:AF45 AL8:AM25 AL27:AM27 AL29:AM30 AL32:AM45 AY8:AY25 AY27 AY29:AY30 AY32:AY45 BF8:BF25 BF27 BF29:BF30 BF32:BF45 BH8:BH25 BH27 BH29:BH30 BH32:BH45 W28:W30 W32:W46 AM9:AM49 V9:V49 N9:N49 I9:I49">
    <cfRule type="cellIs" dxfId="1" priority="1" operator="lessThan">
      <formula>28</formula>
    </cfRule>
  </conditionalFormatting>
  <pageMargins left="0.23622047244094491" right="0.23622047244094491" top="0.74803149606299213" bottom="0.74803149606299213" header="0.31496062992125984" footer="0.31496062992125984"/>
  <pageSetup paperSize="9" scale="8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E37"/>
  <sheetViews>
    <sheetView tabSelected="1" zoomScale="115" zoomScaleNormal="115" workbookViewId="0">
      <selection activeCell="D9" sqref="D9"/>
    </sheetView>
  </sheetViews>
  <sheetFormatPr defaultRowHeight="15"/>
  <cols>
    <col min="1" max="1" width="1.140625" customWidth="1"/>
    <col min="2" max="2" width="19.5703125" customWidth="1"/>
    <col min="3" max="3" width="4.85546875" customWidth="1"/>
    <col min="4" max="8" width="5.7109375" customWidth="1"/>
    <col min="9" max="9" width="7.28515625" customWidth="1"/>
    <col min="10" max="24" width="5.7109375" customWidth="1"/>
    <col min="25" max="25" width="7.7109375" customWidth="1"/>
    <col min="26" max="26" width="7.28515625" customWidth="1"/>
    <col min="27" max="28" width="7.140625" customWidth="1"/>
    <col min="29" max="29" width="8.140625" bestFit="1" customWidth="1"/>
    <col min="30" max="30" width="6.140625" customWidth="1"/>
    <col min="31" max="31" width="5.5703125" customWidth="1"/>
  </cols>
  <sheetData>
    <row r="1" spans="2:31" ht="15.75" customHeight="1">
      <c r="B1" s="253" t="s">
        <v>109</v>
      </c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</row>
    <row r="2" spans="2:31" ht="18" customHeight="1">
      <c r="B2" s="255"/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</row>
    <row r="3" spans="2:31" ht="18" customHeight="1">
      <c r="B3" s="255"/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</row>
    <row r="4" spans="2:31" ht="18" customHeight="1">
      <c r="B4" s="257"/>
      <c r="C4" s="258"/>
      <c r="D4" s="258"/>
      <c r="E4" s="258"/>
      <c r="F4" s="258"/>
      <c r="G4" s="258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</row>
    <row r="5" spans="2:31" ht="20.100000000000001" customHeight="1">
      <c r="B5" s="205" t="s">
        <v>78</v>
      </c>
      <c r="C5" s="194" t="s">
        <v>79</v>
      </c>
      <c r="D5" s="189" t="str">
        <f>IFERROR(VLOOKUP(D$8,'1ST_SEMESTER'!B$6:CM$50,2,0),"Please Enter The Right Roll")</f>
        <v xml:space="preserve">Siam Hossain </v>
      </c>
      <c r="E5" s="190"/>
      <c r="F5" s="190"/>
      <c r="G5" s="184"/>
      <c r="H5" s="18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188"/>
      <c r="X5" s="187" t="s">
        <v>107</v>
      </c>
      <c r="Y5" s="188"/>
      <c r="Z5" s="188"/>
      <c r="AA5" s="188"/>
      <c r="AB5" s="188"/>
      <c r="AC5" s="188"/>
      <c r="AD5" s="204" t="s">
        <v>273</v>
      </c>
      <c r="AE5" s="197" t="str">
        <f>IFERROR(VLOOKUP(D$8,'3RD_SEMESTER'!B$1:CS$52,128,0),"")</f>
        <v/>
      </c>
    </row>
    <row r="6" spans="2:31" ht="20.100000000000001" customHeight="1">
      <c r="B6" s="182" t="s">
        <v>80</v>
      </c>
      <c r="C6" s="195" t="s">
        <v>79</v>
      </c>
      <c r="D6" s="191" t="s">
        <v>95</v>
      </c>
      <c r="E6" s="191"/>
      <c r="F6" s="191"/>
      <c r="G6" s="185"/>
      <c r="H6" s="185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5"/>
    </row>
    <row r="7" spans="2:31" ht="20.100000000000001" customHeight="1">
      <c r="B7" s="183" t="s">
        <v>81</v>
      </c>
      <c r="C7" s="195" t="s">
        <v>79</v>
      </c>
      <c r="D7" s="191" t="s">
        <v>96</v>
      </c>
      <c r="E7" s="191"/>
      <c r="F7" s="191"/>
      <c r="G7" s="185"/>
      <c r="H7" s="185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5"/>
    </row>
    <row r="8" spans="2:31" ht="20.100000000000001" customHeight="1">
      <c r="B8" s="183" t="s">
        <v>82</v>
      </c>
      <c r="C8" s="195" t="s">
        <v>79</v>
      </c>
      <c r="D8" s="192">
        <v>86</v>
      </c>
      <c r="E8" s="191"/>
      <c r="F8" s="191"/>
      <c r="G8" s="185"/>
      <c r="H8" s="185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5"/>
    </row>
    <row r="9" spans="2:31" ht="20.100000000000001" customHeight="1">
      <c r="B9" s="183" t="s">
        <v>83</v>
      </c>
      <c r="C9" s="195" t="s">
        <v>79</v>
      </c>
      <c r="D9" s="192" t="str">
        <f>IFERROR(VLOOKUP(D$8,'1ST_SEMESTER'!B$6:CM$50,3,0)," ")</f>
        <v xml:space="preserve">Rubel </v>
      </c>
      <c r="E9" s="191"/>
      <c r="F9" s="191"/>
      <c r="G9" s="185"/>
      <c r="H9" s="185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5"/>
    </row>
    <row r="10" spans="2:31" ht="20.100000000000001" customHeight="1">
      <c r="B10" s="183" t="s">
        <v>84</v>
      </c>
      <c r="C10" s="195" t="s">
        <v>79</v>
      </c>
      <c r="D10" s="192" t="str">
        <f>IFERROR(VLOOKUP(D$8,'1ST_SEMESTER'!B$6:CM$50,4,0)," ")</f>
        <v xml:space="preserve">Rujina </v>
      </c>
      <c r="E10" s="191"/>
      <c r="F10" s="191"/>
      <c r="G10" s="185"/>
      <c r="H10" s="185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5"/>
    </row>
    <row r="11" spans="2:31" ht="20.100000000000001" customHeight="1">
      <c r="B11" s="183" t="s">
        <v>85</v>
      </c>
      <c r="C11" s="196" t="s">
        <v>79</v>
      </c>
      <c r="D11" s="193" t="s">
        <v>98</v>
      </c>
      <c r="E11" s="193"/>
      <c r="F11" s="193"/>
      <c r="G11" s="186"/>
      <c r="H11" s="186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45"/>
    </row>
    <row r="12" spans="2:31" ht="20.100000000000001" customHeight="1">
      <c r="B12" s="259" t="s">
        <v>86</v>
      </c>
      <c r="C12" s="259"/>
      <c r="D12" s="260" t="s">
        <v>25</v>
      </c>
      <c r="E12" s="261" t="s">
        <v>269</v>
      </c>
      <c r="F12" s="261"/>
      <c r="G12" s="261"/>
      <c r="H12" s="261"/>
      <c r="I12" s="261"/>
      <c r="J12" s="261"/>
      <c r="K12" s="260" t="s">
        <v>25</v>
      </c>
      <c r="L12" s="261" t="s">
        <v>270</v>
      </c>
      <c r="M12" s="261"/>
      <c r="N12" s="261"/>
      <c r="O12" s="261"/>
      <c r="P12" s="261"/>
      <c r="Q12" s="261"/>
      <c r="R12" s="260" t="s">
        <v>25</v>
      </c>
      <c r="S12" s="261" t="s">
        <v>271</v>
      </c>
      <c r="T12" s="261"/>
      <c r="U12" s="261"/>
      <c r="V12" s="261"/>
      <c r="W12" s="261"/>
      <c r="X12" s="261"/>
      <c r="Y12" s="261" t="s">
        <v>87</v>
      </c>
      <c r="Z12" s="261"/>
      <c r="AA12" s="261"/>
      <c r="AB12" s="261"/>
      <c r="AC12" s="261"/>
      <c r="AD12" s="261"/>
      <c r="AE12" s="261"/>
    </row>
    <row r="13" spans="2:31" ht="20.100000000000001" customHeight="1">
      <c r="B13" s="259"/>
      <c r="C13" s="259"/>
      <c r="D13" s="260"/>
      <c r="E13" s="261" t="s">
        <v>88</v>
      </c>
      <c r="F13" s="261"/>
      <c r="G13" s="261"/>
      <c r="H13" s="263" t="s">
        <v>1</v>
      </c>
      <c r="I13" s="263" t="s">
        <v>27</v>
      </c>
      <c r="J13" s="172"/>
      <c r="K13" s="260"/>
      <c r="L13" s="261" t="s">
        <v>88</v>
      </c>
      <c r="M13" s="261"/>
      <c r="N13" s="261"/>
      <c r="O13" s="263" t="s">
        <v>1</v>
      </c>
      <c r="P13" s="263" t="s">
        <v>27</v>
      </c>
      <c r="Q13" s="172"/>
      <c r="R13" s="260"/>
      <c r="S13" s="261" t="s">
        <v>88</v>
      </c>
      <c r="T13" s="261"/>
      <c r="U13" s="261"/>
      <c r="V13" s="263" t="s">
        <v>1</v>
      </c>
      <c r="W13" s="263" t="s">
        <v>27</v>
      </c>
      <c r="X13" s="172"/>
      <c r="Y13" s="264" t="s">
        <v>89</v>
      </c>
      <c r="Z13" s="264" t="s">
        <v>90</v>
      </c>
      <c r="AA13" s="264" t="s">
        <v>91</v>
      </c>
      <c r="AB13" s="264" t="s">
        <v>92</v>
      </c>
      <c r="AC13" s="263" t="s">
        <v>1</v>
      </c>
      <c r="AD13" s="263" t="s">
        <v>2</v>
      </c>
      <c r="AE13" s="263" t="s">
        <v>93</v>
      </c>
    </row>
    <row r="14" spans="2:31" ht="20.100000000000001" customHeight="1">
      <c r="B14" s="259"/>
      <c r="C14" s="259"/>
      <c r="D14" s="260"/>
      <c r="E14" s="263" t="s">
        <v>28</v>
      </c>
      <c r="F14" s="262" t="s">
        <v>29</v>
      </c>
      <c r="G14" s="263" t="s">
        <v>30</v>
      </c>
      <c r="H14" s="263"/>
      <c r="I14" s="263"/>
      <c r="J14" s="262" t="s">
        <v>2</v>
      </c>
      <c r="K14" s="260"/>
      <c r="L14" s="263" t="s">
        <v>28</v>
      </c>
      <c r="M14" s="262" t="s">
        <v>29</v>
      </c>
      <c r="N14" s="263" t="s">
        <v>30</v>
      </c>
      <c r="O14" s="263"/>
      <c r="P14" s="263"/>
      <c r="Q14" s="262" t="s">
        <v>2</v>
      </c>
      <c r="R14" s="260"/>
      <c r="S14" s="263" t="s">
        <v>28</v>
      </c>
      <c r="T14" s="262" t="s">
        <v>29</v>
      </c>
      <c r="U14" s="263" t="s">
        <v>30</v>
      </c>
      <c r="V14" s="263"/>
      <c r="W14" s="263"/>
      <c r="X14" s="262" t="s">
        <v>2</v>
      </c>
      <c r="Y14" s="264"/>
      <c r="Z14" s="264"/>
      <c r="AA14" s="264"/>
      <c r="AB14" s="264"/>
      <c r="AC14" s="263"/>
      <c r="AD14" s="263"/>
      <c r="AE14" s="263"/>
    </row>
    <row r="15" spans="2:31" ht="20.100000000000001" customHeight="1">
      <c r="B15" s="259"/>
      <c r="C15" s="259"/>
      <c r="D15" s="260"/>
      <c r="E15" s="263"/>
      <c r="F15" s="262"/>
      <c r="G15" s="263"/>
      <c r="H15" s="263"/>
      <c r="I15" s="263"/>
      <c r="J15" s="262"/>
      <c r="K15" s="260"/>
      <c r="L15" s="263"/>
      <c r="M15" s="262"/>
      <c r="N15" s="263"/>
      <c r="O15" s="263"/>
      <c r="P15" s="263"/>
      <c r="Q15" s="262"/>
      <c r="R15" s="260"/>
      <c r="S15" s="263"/>
      <c r="T15" s="262"/>
      <c r="U15" s="263"/>
      <c r="V15" s="263"/>
      <c r="W15" s="263"/>
      <c r="X15" s="262"/>
      <c r="Y15" s="264"/>
      <c r="Z15" s="264"/>
      <c r="AA15" s="264"/>
      <c r="AB15" s="264"/>
      <c r="AC15" s="263"/>
      <c r="AD15" s="263"/>
      <c r="AE15" s="263"/>
    </row>
    <row r="16" spans="2:31" ht="20.100000000000001" customHeight="1">
      <c r="B16" s="259"/>
      <c r="C16" s="259"/>
      <c r="D16" s="260"/>
      <c r="E16" s="263"/>
      <c r="F16" s="262"/>
      <c r="G16" s="263"/>
      <c r="H16" s="263"/>
      <c r="I16" s="263"/>
      <c r="J16" s="262"/>
      <c r="K16" s="260"/>
      <c r="L16" s="263"/>
      <c r="M16" s="262"/>
      <c r="N16" s="263"/>
      <c r="O16" s="263"/>
      <c r="P16" s="263"/>
      <c r="Q16" s="262"/>
      <c r="R16" s="260"/>
      <c r="S16" s="263"/>
      <c r="T16" s="262"/>
      <c r="U16" s="263"/>
      <c r="V16" s="263"/>
      <c r="W16" s="263"/>
      <c r="X16" s="262"/>
      <c r="Y16" s="264"/>
      <c r="Z16" s="264"/>
      <c r="AA16" s="264"/>
      <c r="AB16" s="264"/>
      <c r="AC16" s="263"/>
      <c r="AD16" s="263"/>
      <c r="AE16" s="263"/>
    </row>
    <row r="17" spans="2:31" ht="20.100000000000001" customHeight="1">
      <c r="B17" s="259"/>
      <c r="C17" s="259"/>
      <c r="D17" s="260"/>
      <c r="E17" s="263"/>
      <c r="F17" s="262"/>
      <c r="G17" s="263"/>
      <c r="H17" s="263"/>
      <c r="I17" s="263"/>
      <c r="J17" s="262"/>
      <c r="K17" s="260"/>
      <c r="L17" s="263"/>
      <c r="M17" s="262"/>
      <c r="N17" s="263"/>
      <c r="O17" s="263"/>
      <c r="P17" s="263"/>
      <c r="Q17" s="262"/>
      <c r="R17" s="260"/>
      <c r="S17" s="263"/>
      <c r="T17" s="262"/>
      <c r="U17" s="263"/>
      <c r="V17" s="263"/>
      <c r="W17" s="263"/>
      <c r="X17" s="262"/>
      <c r="Y17" s="264"/>
      <c r="Z17" s="264"/>
      <c r="AA17" s="264"/>
      <c r="AB17" s="264"/>
      <c r="AC17" s="263"/>
      <c r="AD17" s="263"/>
      <c r="AE17" s="263"/>
    </row>
    <row r="18" spans="2:31" ht="24.95" customHeight="1">
      <c r="B18" s="265" t="s">
        <v>31</v>
      </c>
      <c r="C18" s="265"/>
      <c r="D18" s="173">
        <f>IFERROR(VLOOKUP(D$8,'1ST_SEMESTER'!B$6:CM$50,6,0)," ")</f>
        <v>0</v>
      </c>
      <c r="E18" s="173">
        <f>IFERROR(VLOOKUP(D$8,'1ST_SEMESTER'!B$6:CM$50,7,0)," ")</f>
        <v>0</v>
      </c>
      <c r="F18" s="173">
        <f>IFERROR(VLOOKUP(D$8,'1ST_SEMESTER'!B$6:CO$50,9,0)," ")</f>
        <v>0</v>
      </c>
      <c r="G18" s="266"/>
      <c r="H18" s="267">
        <f>IFERROR(VLOOKUP(D$8,'1ST_SEMESTER'!B$6:CQ$50,16,0)," ")</f>
        <v>0</v>
      </c>
      <c r="I18" s="267">
        <f>'1ST_SEMESTER'!R9</f>
        <v>131</v>
      </c>
      <c r="J18" s="268" t="str">
        <f>IFERROR(VLOOKUP(D$8,'1ST_SEMESTER'!B$6:CS$50,18,0)," ")</f>
        <v>F</v>
      </c>
      <c r="K18" s="174">
        <f>IFERROR(VLOOKUP(D$8,'2ND_SEMESTER'!B$6:DS$49,6,0),"")</f>
        <v>14</v>
      </c>
      <c r="L18" s="174">
        <f>IFERROR(VLOOKUP(D$8,'2ND_SEMESTER'!B$6:DT$49,7,0),"")</f>
        <v>23</v>
      </c>
      <c r="M18" s="174">
        <f>IFERROR(VLOOKUP(D$8,'2ND_SEMESTER'!B$6:DT$49,9,0),"")</f>
        <v>13</v>
      </c>
      <c r="N18" s="266"/>
      <c r="O18" s="267">
        <f>IFERROR(VLOOKUP(D$8,'2ND_SEMESTER'!B$6:DT$49,16,0),"")</f>
        <v>108</v>
      </c>
      <c r="P18" s="267">
        <f>'2ND_SEMESTER'!R8</f>
        <v>143</v>
      </c>
      <c r="Q18" s="268">
        <f>IFERROR(VLOOKUP(D$8,'2ND_SEMESTER'!B$6:DT$49,18,0),"")</f>
        <v>3</v>
      </c>
      <c r="R18" s="174">
        <f>IFERROR(VLOOKUP(D$8,'3RD_SEMESTER'!B$6:CQ$52,6,0),"")</f>
        <v>12</v>
      </c>
      <c r="S18" s="174">
        <f>IFERROR(VLOOKUP(D$8,'3RD_SEMESTER'!B$6:CR$52,7,0),"")</f>
        <v>11</v>
      </c>
      <c r="T18" s="174">
        <f>IFERROR(VLOOKUP(D$8,'3RD_SEMESTER'!B$6:CR$52,9,0),"")</f>
        <v>12</v>
      </c>
      <c r="U18" s="266"/>
      <c r="V18" s="267">
        <f>IFERROR(VLOOKUP(D$8,'3RD_SEMESTER'!B$6:CT$52,16,0),"")</f>
        <v>88</v>
      </c>
      <c r="W18" s="267">
        <f>'3RD_SEMESTER'!R8</f>
        <v>125</v>
      </c>
      <c r="X18" s="268">
        <f>IFERROR(VLOOKUP(D$8,'3RD_SEMESTER'!B$6:CV$52,18,0),"")</f>
        <v>2</v>
      </c>
      <c r="Y18" s="200">
        <f>AVERAGE(D18,K18,R18)</f>
        <v>8.6666666666666661</v>
      </c>
      <c r="Z18" s="200">
        <f>AVERAGE(E18,L18,S18)</f>
        <v>11.333333333333334</v>
      </c>
      <c r="AA18" s="200">
        <f>AVERAGE(F18,M18,T18)</f>
        <v>8.3333333333333339</v>
      </c>
      <c r="AB18" s="269"/>
      <c r="AC18" s="251">
        <f>SUM(Y18:AA19)</f>
        <v>65.333333333333343</v>
      </c>
      <c r="AD18" s="251" t="str">
        <f>IF(AC18&lt;80,"F",IF(AC18&lt;100,2,IF(AC18&lt;120,3,IF(AC18&lt;140,3.5,IF(AC18&lt;160,4,5)))))</f>
        <v>F</v>
      </c>
      <c r="AE18" s="271" t="str">
        <f>IF(AD18="F","F",IF(AD20="F","F",IF(AD22="F","F",IF(AD23="F","F",IF(AD24="F","F",IF(AD25="F","F",IF(AD26="F","F",IF(AD27="F","F",IF(AD28="F","F",IF(SUM(AD18:AD28)&gt;45,5,SUM(AD18:AD30)/9))))))))))</f>
        <v>F</v>
      </c>
    </row>
    <row r="19" spans="2:31" ht="24.95" customHeight="1">
      <c r="B19" s="265" t="s">
        <v>32</v>
      </c>
      <c r="C19" s="265"/>
      <c r="D19" s="173">
        <f>IFERROR(VLOOKUP(D$8,'1ST_SEMESTER'!B$6:CM$50,11,0)," ")</f>
        <v>0</v>
      </c>
      <c r="E19" s="173">
        <f>IFERROR(VLOOKUP(D$8,'1ST_SEMESTER'!B$6:CM$50,12,0)," ")</f>
        <v>0</v>
      </c>
      <c r="F19" s="173">
        <f>IFERROR(VLOOKUP(D$8,'1ST_SEMESTER'!B$6:CO$50,14,0)," ")</f>
        <v>0</v>
      </c>
      <c r="G19" s="266"/>
      <c r="H19" s="267" t="str">
        <f>IFERROR(VLOOKUP(E$8,'1ST_SEMESTER'!C$6:CQ$50,6,0)," ")</f>
        <v xml:space="preserve"> </v>
      </c>
      <c r="I19" s="267"/>
      <c r="J19" s="268" t="str">
        <f>IFERROR(VLOOKUP(G$8,'1ST_SEMESTER'!E$6:CS$50,6,0)," ")</f>
        <v xml:space="preserve"> </v>
      </c>
      <c r="K19" s="174">
        <f>IFERROR(VLOOKUP(D$8,'2ND_SEMESTER'!B$6:DS$49,11,0),"")</f>
        <v>16</v>
      </c>
      <c r="L19" s="174">
        <f>IFERROR(VLOOKUP(D$8,'2ND_SEMESTER'!B$6:DT$49,12,0),"")</f>
        <v>30</v>
      </c>
      <c r="M19" s="174">
        <f>IFERROR(VLOOKUP(D$8,'2ND_SEMESTER'!B$6:DT$49,14,0),"")</f>
        <v>12</v>
      </c>
      <c r="N19" s="266"/>
      <c r="O19" s="267"/>
      <c r="P19" s="267"/>
      <c r="Q19" s="268"/>
      <c r="R19" s="174">
        <f>IFERROR(VLOOKUP(D$8,'3RD_SEMESTER'!B$6:CQ$52,11,0),"")</f>
        <v>16</v>
      </c>
      <c r="S19" s="174">
        <f>IFERROR(VLOOKUP(D$8,'3RD_SEMESTER'!B$6:CR$52,12,0),"")</f>
        <v>20</v>
      </c>
      <c r="T19" s="174">
        <f>IFERROR(VLOOKUP(D$8,'3RD_SEMESTER'!B$6:CR$52,14,0),"")</f>
        <v>17</v>
      </c>
      <c r="U19" s="266"/>
      <c r="V19" s="267"/>
      <c r="W19" s="267"/>
      <c r="X19" s="268"/>
      <c r="Y19" s="200">
        <f t="shared" ref="Y19:Y30" si="0">AVERAGE(D19,K19,R19)</f>
        <v>10.666666666666666</v>
      </c>
      <c r="Z19" s="200">
        <f t="shared" ref="Z19:Z28" si="1">AVERAGE(E19,L19,S19)</f>
        <v>16.666666666666668</v>
      </c>
      <c r="AA19" s="200">
        <f>AVERAGE(F19,M19,T19)</f>
        <v>9.6666666666666661</v>
      </c>
      <c r="AB19" s="269"/>
      <c r="AC19" s="251"/>
      <c r="AD19" s="251"/>
      <c r="AE19" s="271"/>
    </row>
    <row r="20" spans="2:31" ht="24.95" customHeight="1">
      <c r="B20" s="265" t="s">
        <v>33</v>
      </c>
      <c r="C20" s="265"/>
      <c r="D20" s="173">
        <f>IFERROR(VLOOKUP(D$8,'1ST_SEMESTER'!B$6:CM$50,19,0)," ")</f>
        <v>0</v>
      </c>
      <c r="E20" s="173">
        <f>IFERROR(VLOOKUP(D$8,'1ST_SEMESTER'!B$6:CM$50,20,0)," ")</f>
        <v>0</v>
      </c>
      <c r="F20" s="267"/>
      <c r="G20" s="266"/>
      <c r="H20" s="267">
        <f>IFERROR(VLOOKUP(D$8,'1ST_SEMESTER'!B$6:CQ$50,26,0)," ")</f>
        <v>0</v>
      </c>
      <c r="I20" s="267">
        <f>'1ST_SEMESTER'!AB9</f>
        <v>126</v>
      </c>
      <c r="J20" s="268" t="str">
        <f>IFERROR(VLOOKUP(D$8,'1ST_SEMESTER'!B$6:CS$50,28,0)," ")</f>
        <v>F</v>
      </c>
      <c r="K20" s="174">
        <f>IFERROR(VLOOKUP(D$8,'2ND_SEMESTER'!B$6:DS$49,19,0),"")</f>
        <v>14</v>
      </c>
      <c r="L20" s="174">
        <f>IFERROR(VLOOKUP(D$8,'2ND_SEMESTER'!B$6:DT$49,20,0),"")</f>
        <v>49</v>
      </c>
      <c r="M20" s="267"/>
      <c r="N20" s="266"/>
      <c r="O20" s="267">
        <f>IFERROR(VLOOKUP(D$8,'2ND_SEMESTER'!B$6:DT$49,26,0),"")</f>
        <v>108</v>
      </c>
      <c r="P20" s="267">
        <f>'2ND_SEMESTER'!AB8</f>
        <v>129</v>
      </c>
      <c r="Q20" s="268">
        <f>IFERROR(VLOOKUP(D$8,'2ND_SEMESTER'!B$6:DT$49,28,0),"")</f>
        <v>3</v>
      </c>
      <c r="R20" s="174">
        <f>IFERROR(VLOOKUP(D$8,'3RD_SEMESTER'!B$6:CQ$52,19,0),"")</f>
        <v>11</v>
      </c>
      <c r="S20" s="174">
        <f>IFERROR(VLOOKUP(D$8,'3RD_SEMESTER'!B$6:CR$52,20,0),"")</f>
        <v>35</v>
      </c>
      <c r="T20" s="267"/>
      <c r="U20" s="266"/>
      <c r="V20" s="267">
        <f>IFERROR(VLOOKUP(D$8,'3RD_SEMESTER'!B$6:CT$52,26,0),"")</f>
        <v>87</v>
      </c>
      <c r="W20" s="267">
        <f>'3RD_SEMESTER'!AB8</f>
        <v>116</v>
      </c>
      <c r="X20" s="268">
        <f>IFERROR(VLOOKUP(D$8,'3RD_SEMESTER'!B$6:CV$52,28,0),"")</f>
        <v>2</v>
      </c>
      <c r="Y20" s="200">
        <f t="shared" si="0"/>
        <v>8.3333333333333339</v>
      </c>
      <c r="Z20" s="200">
        <f t="shared" si="1"/>
        <v>28</v>
      </c>
      <c r="AA20" s="269"/>
      <c r="AB20" s="269"/>
      <c r="AC20" s="251">
        <f>SUM(Y20:AA21)</f>
        <v>65</v>
      </c>
      <c r="AD20" s="251" t="str">
        <f>IF(AC20&lt;80,"F",IF(AC20&lt;100,2,IF(AC20&lt;120,3,IF(AC20&lt;140,3.5,IF(AC20&lt;160,4,5)))))</f>
        <v>F</v>
      </c>
      <c r="AE20" s="271"/>
    </row>
    <row r="21" spans="2:31" ht="24.95" customHeight="1">
      <c r="B21" s="265" t="s">
        <v>34</v>
      </c>
      <c r="C21" s="265"/>
      <c r="D21" s="173">
        <f>IFERROR(VLOOKUP(D$8,'1ST_SEMESTER'!B$6:CM$50,22,0)," ")</f>
        <v>0</v>
      </c>
      <c r="E21" s="173">
        <f>IFERROR(VLOOKUP(D$8,'1ST_SEMESTER'!B$6:CM$50,23,0)," ")</f>
        <v>0</v>
      </c>
      <c r="F21" s="267"/>
      <c r="G21" s="266"/>
      <c r="H21" s="267" t="str">
        <f>IFERROR(VLOOKUP(E$8,'1ST_SEMESTER'!C$6:CQ$50,6,0)," ")</f>
        <v xml:space="preserve"> </v>
      </c>
      <c r="I21" s="267"/>
      <c r="J21" s="268" t="str">
        <f>IFERROR(VLOOKUP(G$8,'1ST_SEMESTER'!E$6:CS$50,6,0)," ")</f>
        <v xml:space="preserve"> </v>
      </c>
      <c r="K21" s="174">
        <f>IFERROR(VLOOKUP(D$8,'2ND_SEMESTER'!B$6:DS$49,22,0),"")</f>
        <v>11</v>
      </c>
      <c r="L21" s="174">
        <f>IFERROR(VLOOKUP(D$8,'2ND_SEMESTER'!B$6:DT$49,23,0),"")</f>
        <v>34</v>
      </c>
      <c r="M21" s="267"/>
      <c r="N21" s="266"/>
      <c r="O21" s="267" t="str">
        <f>IFERROR(VLOOKUP(E$8,'2ND_SEMESTER'!C$6:DT$49,6,0),"")</f>
        <v/>
      </c>
      <c r="P21" s="267"/>
      <c r="Q21" s="268"/>
      <c r="R21" s="174">
        <f>IFERROR(VLOOKUP(D$8,'3RD_SEMESTER'!B$6:CQ$52,22,0),"")</f>
        <v>15</v>
      </c>
      <c r="S21" s="174">
        <f>IFERROR(VLOOKUP(D$8,'3RD_SEMESTER'!B$6:CR$52,23,0),"")</f>
        <v>26</v>
      </c>
      <c r="T21" s="267"/>
      <c r="U21" s="266"/>
      <c r="V21" s="267"/>
      <c r="W21" s="267"/>
      <c r="X21" s="268"/>
      <c r="Y21" s="200">
        <f t="shared" si="0"/>
        <v>8.6666666666666661</v>
      </c>
      <c r="Z21" s="200">
        <f t="shared" si="1"/>
        <v>20</v>
      </c>
      <c r="AA21" s="269"/>
      <c r="AB21" s="269"/>
      <c r="AC21" s="251"/>
      <c r="AD21" s="251"/>
      <c r="AE21" s="271"/>
    </row>
    <row r="22" spans="2:31" ht="24.95" customHeight="1">
      <c r="B22" s="265" t="s">
        <v>35</v>
      </c>
      <c r="C22" s="265"/>
      <c r="D22" s="207">
        <f>IFERROR(VLOOKUP(D$8,'1ST_SEMESTER'!B$6:CM$50,29,0)," ")</f>
        <v>0</v>
      </c>
      <c r="E22" s="207">
        <f>IFERROR(VLOOKUP(D$8,'1ST_SEMESTER'!B$6:CM$50,24,0)," ")</f>
        <v>0</v>
      </c>
      <c r="F22" s="207">
        <f>IFERROR(VLOOKUP(D$8,'1ST_SEMESTER'!B$6:CO$50,32,0)," ")</f>
        <v>0</v>
      </c>
      <c r="G22" s="266"/>
      <c r="H22" s="173">
        <f>IFERROR(VLOOKUP(D$8,'1ST_SEMESTER'!B$6:CQ$50,33,0)," ")</f>
        <v>0</v>
      </c>
      <c r="I22" s="174">
        <f>'1ST_SEMESTER'!AI9</f>
        <v>67</v>
      </c>
      <c r="J22" s="175" t="str">
        <f>IFERROR(VLOOKUP(D$8,'1ST_SEMESTER'!B$6:CS$50,35,0)," ")</f>
        <v>F</v>
      </c>
      <c r="K22" s="208">
        <f>IFERROR(VLOOKUP(D$8,'2ND_SEMESTER'!B$6:DS$49,29,0),"")</f>
        <v>15</v>
      </c>
      <c r="L22" s="208">
        <f>IFERROR(VLOOKUP(D$8,'2ND_SEMESTER'!B$6:DT$49,30,0),"")</f>
        <v>16</v>
      </c>
      <c r="M22" s="208">
        <f>IFERROR(VLOOKUP(D$8,'2ND_SEMESTER'!B$6:DT$49,32,0),"")</f>
        <v>12</v>
      </c>
      <c r="N22" s="266"/>
      <c r="O22" s="174">
        <f>IFERROR(VLOOKUP(D$8,'2ND_SEMESTER'!B$6:DT$49,33,0),"")</f>
        <v>43</v>
      </c>
      <c r="P22" s="174">
        <f>'2ND_SEMESTER'!AI8</f>
        <v>63</v>
      </c>
      <c r="Q22" s="175">
        <f>IFERROR(VLOOKUP(D$8,'2ND_SEMESTER'!B$6:DT$49,35,0),"")</f>
        <v>2</v>
      </c>
      <c r="R22" s="174">
        <f>IFERROR(VLOOKUP(D$8,'3RD_SEMESTER'!B$6:CQ$52,29,0),"")</f>
        <v>10</v>
      </c>
      <c r="S22" s="208">
        <f>IFERROR(VLOOKUP(D$8,'3RD_SEMESTER'!B$6:CR$52,30,0),"")</f>
        <v>18</v>
      </c>
      <c r="T22" s="208">
        <f>IFERROR(VLOOKUP(D$8,'3RD_SEMESTER'!B$6:CR$52,32,0),"")</f>
        <v>12</v>
      </c>
      <c r="U22" s="266"/>
      <c r="V22" s="174">
        <f>IFERROR(VLOOKUP(D$8,'3RD_SEMESTER'!B$6:CT$52,33,0),"")</f>
        <v>40</v>
      </c>
      <c r="W22" s="174">
        <f>'3RD_SEMESTER'!AI8</f>
        <v>73</v>
      </c>
      <c r="X22" s="175">
        <f>IFERROR(VLOOKUP(D$8,'3RD_SEMESTER'!B$6:CV$52,35,0),"")</f>
        <v>2</v>
      </c>
      <c r="Y22" s="200">
        <f t="shared" si="0"/>
        <v>8.3333333333333339</v>
      </c>
      <c r="Z22" s="200">
        <f t="shared" si="1"/>
        <v>11.333333333333334</v>
      </c>
      <c r="AA22" s="200">
        <f t="shared" ref="AA22:AA28" si="2">AVERAGE(F22,M22,T22)</f>
        <v>8</v>
      </c>
      <c r="AB22" s="269"/>
      <c r="AC22" s="200">
        <f>SUM(Y22:AA22)</f>
        <v>27.666666666666668</v>
      </c>
      <c r="AD22" s="200" t="str">
        <f>IF(AC22&lt;40,"F",IF(AC22&lt;50,2,IF(AC22&lt;60,3,IF(AC22&lt;70,3.5,IF(AC22&lt;80,4,5)))))</f>
        <v>F</v>
      </c>
      <c r="AE22" s="271"/>
    </row>
    <row r="23" spans="2:31" ht="24.95" customHeight="1">
      <c r="B23" s="265" t="s">
        <v>94</v>
      </c>
      <c r="C23" s="265"/>
      <c r="D23" s="207">
        <f>IFERROR(VLOOKUP(D$8,'1ST_SEMESTER'!B$6:CM$50,36,0)," ")</f>
        <v>0</v>
      </c>
      <c r="E23" s="173">
        <f>IFERROR(VLOOKUP(D$8,'1ST_SEMESTER'!B$6:CM$50,37,0)," ")</f>
        <v>0</v>
      </c>
      <c r="F23" s="173">
        <f>IFERROR(VLOOKUP(D$8,'1ST_SEMESTER'!B$6:CO$50,39,0)," ")</f>
        <v>0</v>
      </c>
      <c r="G23" s="266"/>
      <c r="H23" s="173">
        <f>IFERROR(VLOOKUP(D$8,'1ST_SEMESTER'!B$6:CQ$50,40,0)," ")</f>
        <v>0</v>
      </c>
      <c r="I23" s="174">
        <f>'1ST_SEMESTER'!AP9</f>
        <v>71</v>
      </c>
      <c r="J23" s="175" t="str">
        <f>IFERROR(VLOOKUP(D$8,'1ST_SEMESTER'!B$6:CS$50,42,0)," ")</f>
        <v>F</v>
      </c>
      <c r="K23" s="174">
        <f>IFERROR(VLOOKUP(D$8,'2ND_SEMESTER'!B$6:DS$49,36,0),"")</f>
        <v>10</v>
      </c>
      <c r="L23" s="174">
        <f>IFERROR(VLOOKUP(D$8,'2ND_SEMESTER'!B$6:DT$49,37,0),"")</f>
        <v>17</v>
      </c>
      <c r="M23" s="174">
        <f>IFERROR(VLOOKUP(D$8,'2ND_SEMESTER'!B$6:DT$49,39,0),"")</f>
        <v>14</v>
      </c>
      <c r="N23" s="266"/>
      <c r="O23" s="174">
        <f>IFERROR(VLOOKUP(D$8,'2ND_SEMESTER'!B$6:DT$49,40,0),"")</f>
        <v>41</v>
      </c>
      <c r="P23" s="174">
        <f>'2ND_SEMESTER'!AP8</f>
        <v>66</v>
      </c>
      <c r="Q23" s="175" t="str">
        <f>IFERROR(VLOOKUP(D$8,'2ND_SEMESTER'!B$6:DT$49,42,0),"")</f>
        <v>F</v>
      </c>
      <c r="R23" s="174">
        <f>IFERROR(VLOOKUP(D$8,'3RD_SEMESTER'!B$6:CQ$52,36,0),"")</f>
        <v>13</v>
      </c>
      <c r="S23" s="174">
        <f>IFERROR(VLOOKUP(D$8,'3RD_SEMESTER'!B$6:CR$52,37,0),"")</f>
        <v>17</v>
      </c>
      <c r="T23" s="174">
        <f>IFERROR(VLOOKUP(D$8,'3RD_SEMESTER'!B$6:CR$52,39,0),"")</f>
        <v>12</v>
      </c>
      <c r="U23" s="266"/>
      <c r="V23" s="174">
        <f>IFERROR(VLOOKUP(D$8,'3RD_SEMESTER'!B$6:CT$52,40,0),"")</f>
        <v>42</v>
      </c>
      <c r="W23" s="174">
        <f>'3RD_SEMESTER'!AP8</f>
        <v>62</v>
      </c>
      <c r="X23" s="175">
        <f>IFERROR(VLOOKUP(D$8,'3RD_SEMESTER'!B$6:CV$52,42,0),"")</f>
        <v>2</v>
      </c>
      <c r="Y23" s="200">
        <f t="shared" si="0"/>
        <v>7.666666666666667</v>
      </c>
      <c r="Z23" s="200">
        <f t="shared" si="1"/>
        <v>11.333333333333334</v>
      </c>
      <c r="AA23" s="200">
        <f t="shared" si="2"/>
        <v>8.6666666666666661</v>
      </c>
      <c r="AB23" s="269"/>
      <c r="AC23" s="206">
        <f>SUM(Y23:AA23)</f>
        <v>27.666666666666664</v>
      </c>
      <c r="AD23" s="206" t="str">
        <f t="shared" ref="AD23:AD28" si="3">IF(AC23&lt;40,"F",IF(AC23&lt;50,2,IF(AC23&lt;60,3,IF(AC23&lt;70,3.5,IF(AC23&lt;80,4,5)))))</f>
        <v>F</v>
      </c>
      <c r="AE23" s="271"/>
    </row>
    <row r="24" spans="2:31" ht="24.95" customHeight="1">
      <c r="B24" s="265" t="s">
        <v>4</v>
      </c>
      <c r="C24" s="265"/>
      <c r="D24" s="173">
        <f>IFERROR(VLOOKUP(D$8,'1ST_SEMESTER'!B$6:CM$50,43,0)," ")</f>
        <v>0</v>
      </c>
      <c r="E24" s="173"/>
      <c r="F24" s="173">
        <f>IFERROR(VLOOKUP(D$8,'1ST_SEMESTER'!B$6:CO$50,44,0)," ")</f>
        <v>0</v>
      </c>
      <c r="G24" s="173">
        <f>IFERROR(VLOOKUP(D$8,'1ST_SEMESTER'!B$6:CP$50,45,0)," ")</f>
        <v>0</v>
      </c>
      <c r="H24" s="173">
        <f>IFERROR(VLOOKUP(D$8,'1ST_SEMESTER'!B$6:CQ$50,46,0)," ")</f>
        <v>0</v>
      </c>
      <c r="I24" s="174">
        <f>'1ST_SEMESTER'!AV9</f>
        <v>48</v>
      </c>
      <c r="J24" s="175" t="str">
        <f>IFERROR(VLOOKUP(D$8,'1ST_SEMESTER'!B$6:CS$50,48,0)," ")</f>
        <v>F</v>
      </c>
      <c r="K24" s="174">
        <f>IFERROR(VLOOKUP(D$8,'2ND_SEMESTER'!B$6:DS$49,43,0),"")</f>
        <v>0</v>
      </c>
      <c r="L24" s="174"/>
      <c r="M24" s="174">
        <f>IFERROR(VLOOKUP(D$8,'2ND_SEMESTER'!B$6:DT$49,44,0),"")</f>
        <v>19</v>
      </c>
      <c r="N24" s="174">
        <f>IFERROR(VLOOKUP(D$8,'2ND_SEMESTER'!B$6:DT$49,45,0),"")</f>
        <v>23</v>
      </c>
      <c r="O24" s="174">
        <f>IFERROR(VLOOKUP(D$8,'2ND_SEMESTER'!B$6:DT$49,46,0),"")</f>
        <v>42</v>
      </c>
      <c r="P24" s="174">
        <f>'2ND_SEMESTER'!AV8</f>
        <v>46</v>
      </c>
      <c r="Q24" s="175">
        <f>IFERROR(VLOOKUP(D$8,'2ND_SEMESTER'!B$6:DT$49,48,0),"")</f>
        <v>5</v>
      </c>
      <c r="R24" s="174">
        <f>IFERROR(VLOOKUP(D$8,'3RD_SEMESTER'!B$6:CQ$52,43,0),"")</f>
        <v>0</v>
      </c>
      <c r="S24" s="174"/>
      <c r="T24" s="174">
        <f>IFERROR(VLOOKUP(D$8,'3RD_SEMESTER'!B$6:CR$52,44),"")</f>
        <v>16</v>
      </c>
      <c r="U24" s="174">
        <f>IFERROR(VLOOKUP(D$8,'3RD_SEMESTER'!B$6:CS$52,45,0),"")</f>
        <v>24</v>
      </c>
      <c r="V24" s="174">
        <f>IFERROR(VLOOKUP(D$8,'3RD_SEMESTER'!B$6:CT$52,46,0),"")</f>
        <v>40</v>
      </c>
      <c r="W24" s="174">
        <f>'3RD_SEMESTER'!AV8</f>
        <v>46</v>
      </c>
      <c r="X24" s="175">
        <f>IFERROR(VLOOKUP(D$8,'3RD_SEMESTER'!B$6:CV$52,48,0),"")</f>
        <v>5</v>
      </c>
      <c r="Y24" s="200">
        <f t="shared" si="0"/>
        <v>0</v>
      </c>
      <c r="Z24" s="200"/>
      <c r="AA24" s="200">
        <f t="shared" si="2"/>
        <v>11.666666666666666</v>
      </c>
      <c r="AB24" s="200">
        <f>AVERAGE(G24,N24,U24)</f>
        <v>15.666666666666666</v>
      </c>
      <c r="AC24" s="200">
        <f>SUM(AA24:AB24)</f>
        <v>27.333333333333332</v>
      </c>
      <c r="AD24" s="206" t="str">
        <f t="shared" si="3"/>
        <v>F</v>
      </c>
      <c r="AE24" s="271"/>
    </row>
    <row r="25" spans="2:31" ht="24.95" customHeight="1">
      <c r="B25" s="265" t="s">
        <v>23</v>
      </c>
      <c r="C25" s="265"/>
      <c r="D25" s="173">
        <f>IFERROR(VLOOKUP(D$8,'1ST_SEMESTER'!B$6:CM$50,49,0)," ")</f>
        <v>0</v>
      </c>
      <c r="E25" s="173">
        <f>IFERROR(VLOOKUP(D$8,'1ST_SEMESTER'!B$6:CM$50,51,0)," ")</f>
        <v>0</v>
      </c>
      <c r="F25" s="173">
        <f>IFERROR(VLOOKUP(D$8,'1ST_SEMESTER'!B$6:CO$50,52,0)," ")</f>
        <v>0</v>
      </c>
      <c r="G25" s="261"/>
      <c r="H25" s="173">
        <f>IFERROR(VLOOKUP(D$8,'1ST_SEMESTER'!B$6:CQ$50,53,0)," ")</f>
        <v>0</v>
      </c>
      <c r="I25" s="174">
        <f>'1ST_SEMESTER'!BC9</f>
        <v>66</v>
      </c>
      <c r="J25" s="175" t="str">
        <f>IFERROR(VLOOKUP(D$8,'1ST_SEMESTER'!B$6:CS$50,55,0)," ")</f>
        <v>F</v>
      </c>
      <c r="K25" s="174">
        <f>IFERROR(VLOOKUP(D$8,'2ND_SEMESTER'!B$6:DS$49,49,0),"")</f>
        <v>16</v>
      </c>
      <c r="L25" s="174">
        <f>IFERROR(VLOOKUP(D$8,'2ND_SEMESTER'!B$6:DT$49,51,0),"")</f>
        <v>37</v>
      </c>
      <c r="M25" s="174">
        <f>IFERROR(VLOOKUP(D$8,'2ND_SEMESTER'!B$6:DT$49,52,0),"")</f>
        <v>21</v>
      </c>
      <c r="N25" s="261"/>
      <c r="O25" s="174">
        <f>IFERROR(VLOOKUP(D$8,'2ND_SEMESTER'!B$6:DT$49,53,0),"")</f>
        <v>58</v>
      </c>
      <c r="P25" s="174">
        <f>'2ND_SEMESTER'!BC8</f>
        <v>75</v>
      </c>
      <c r="Q25" s="175">
        <f>IFERROR(VLOOKUP(D$8,'2ND_SEMESTER'!B$6:DT$49,55,0),"")</f>
        <v>3</v>
      </c>
      <c r="R25" s="174">
        <f>IFERROR(VLOOKUP(D$8,'3RD_SEMESTER'!B$6:CQ$52,49,0),"")</f>
        <v>16</v>
      </c>
      <c r="S25" s="174">
        <f>IFERROR(VLOOKUP(D$8,'3RD_SEMESTER'!B$6:CR$52,51,0),"")</f>
        <v>44</v>
      </c>
      <c r="T25" s="174">
        <f>IFERROR(VLOOKUP(D$8,'3RD_SEMESTER'!B$6:CR$52,52,0),"")</f>
        <v>12</v>
      </c>
      <c r="U25" s="261"/>
      <c r="V25" s="174">
        <f>IFERROR(VLOOKUP(D$8,'3RD_SEMESTER'!B$6:CT$52,53,0),"")</f>
        <v>56</v>
      </c>
      <c r="W25" s="174">
        <f>'3RD_SEMESTER'!BC8</f>
        <v>72</v>
      </c>
      <c r="X25" s="175">
        <f>IFERROR(VLOOKUP(D$8,'3RD_SEMESTER'!B$6:CV$52,55,0),"")</f>
        <v>3</v>
      </c>
      <c r="Y25" s="200">
        <f t="shared" si="0"/>
        <v>10.666666666666666</v>
      </c>
      <c r="Z25" s="200">
        <f t="shared" si="1"/>
        <v>27</v>
      </c>
      <c r="AA25" s="200">
        <f t="shared" si="2"/>
        <v>11</v>
      </c>
      <c r="AB25" s="269"/>
      <c r="AC25" s="200">
        <f>SUM(Y25:AA25)</f>
        <v>48.666666666666664</v>
      </c>
      <c r="AD25" s="206">
        <f t="shared" si="3"/>
        <v>2</v>
      </c>
      <c r="AE25" s="271"/>
    </row>
    <row r="26" spans="2:31" ht="24.95" customHeight="1">
      <c r="B26" s="270" t="s">
        <v>56</v>
      </c>
      <c r="C26" s="270"/>
      <c r="D26" s="173">
        <f>IFERROR(VLOOKUP(D$8,'1ST_SEMESTER'!B$6:CM$50,56,0)," ")</f>
        <v>0</v>
      </c>
      <c r="E26" s="173">
        <f>IFERROR(VLOOKUP(D$8,'1ST_SEMESTER'!B$6:CM$50,57,0)," ")</f>
        <v>0</v>
      </c>
      <c r="F26" s="173">
        <f>IFERROR(VLOOKUP(D$8,'1ST_SEMESTER'!B$6:CO$50,59,0)," ")</f>
        <v>0</v>
      </c>
      <c r="G26" s="261"/>
      <c r="H26" s="173">
        <f>IFERROR(VLOOKUP(D$8,'1ST_SEMESTER'!B$6:CQ$50,60,0)," ")</f>
        <v>0</v>
      </c>
      <c r="I26" s="174">
        <f>'1ST_SEMESTER'!BJ9</f>
        <v>71</v>
      </c>
      <c r="J26" s="175" t="str">
        <f>IFERROR(VLOOKUP(D$8,'1ST_SEMESTER'!B$6:CS$50,62,0)," ")</f>
        <v>F</v>
      </c>
      <c r="K26" s="174">
        <f>IFERROR(VLOOKUP(D$8,'2ND_SEMESTER'!B$6:DS$49,56,0),"")</f>
        <v>15</v>
      </c>
      <c r="L26" s="174">
        <f>IFERROR(VLOOKUP(D$8,'2ND_SEMESTER'!B$6:DT$49,57,0),"")</f>
        <v>22</v>
      </c>
      <c r="M26" s="174">
        <f>IFERROR(VLOOKUP(D$8,'2ND_SEMESTER'!B$6:DT$49,59,0),"")</f>
        <v>12</v>
      </c>
      <c r="N26" s="261"/>
      <c r="O26" s="174">
        <f>IFERROR(VLOOKUP(D$8,'2ND_SEMESTER'!B$6:DT$49,60,0),"")</f>
        <v>49</v>
      </c>
      <c r="P26" s="174">
        <f>'2ND_SEMESTER'!BJ8</f>
        <v>68</v>
      </c>
      <c r="Q26" s="175">
        <f>IFERROR(VLOOKUP(D$8,'2ND_SEMESTER'!B$6:DT$49,62,0),"")</f>
        <v>2</v>
      </c>
      <c r="R26" s="174">
        <f>IFERROR(VLOOKUP(D$8,'3RD_SEMESTER'!B$6:CQ$52,56,0),"")</f>
        <v>16</v>
      </c>
      <c r="S26" s="174">
        <f>IFERROR(VLOOKUP(D$8,'3RD_SEMESTER'!B$6:CR$52,57,0),"")</f>
        <v>20</v>
      </c>
      <c r="T26" s="174">
        <f>IFERROR(VLOOKUP(D$8,'3RD_SEMESTER'!B$6:CR$52,59,0),"")</f>
        <v>20</v>
      </c>
      <c r="U26" s="261"/>
      <c r="V26" s="174">
        <f>IFERROR(VLOOKUP(D$8,'3RD_SEMESTER'!B$6:CT$52,60,0),"")</f>
        <v>56</v>
      </c>
      <c r="W26" s="174">
        <f>'3RD_SEMESTER'!BJ8</f>
        <v>77</v>
      </c>
      <c r="X26" s="175">
        <f>IFERROR(VLOOKUP(D$8,'3RD_SEMESTER'!B$6:CV$52,62,0),"")</f>
        <v>3</v>
      </c>
      <c r="Y26" s="200">
        <f t="shared" si="0"/>
        <v>10.333333333333334</v>
      </c>
      <c r="Z26" s="200">
        <f t="shared" si="1"/>
        <v>14</v>
      </c>
      <c r="AA26" s="200">
        <f t="shared" si="2"/>
        <v>10.666666666666666</v>
      </c>
      <c r="AB26" s="269"/>
      <c r="AC26" s="206">
        <f t="shared" ref="AC26:AC28" si="4">SUM(Y26:AA26)</f>
        <v>35</v>
      </c>
      <c r="AD26" s="206" t="str">
        <f t="shared" si="3"/>
        <v>F</v>
      </c>
      <c r="AE26" s="271"/>
    </row>
    <row r="27" spans="2:31" ht="24.95" customHeight="1">
      <c r="B27" s="265" t="s">
        <v>57</v>
      </c>
      <c r="C27" s="265"/>
      <c r="D27" s="173">
        <f>IFERROR(VLOOKUP(D$8,'1ST_SEMESTER'!B$6:CM$50,63,0)," ")</f>
        <v>0</v>
      </c>
      <c r="E27" s="173">
        <f>IFERROR(VLOOKUP(D$8,'1ST_SEMESTER'!B$6:CM$50,65,0)," ")</f>
        <v>0</v>
      </c>
      <c r="F27" s="173">
        <f>IFERROR(VLOOKUP(D$8,'1ST_SEMESTER'!B$6:CO$50,66,0)," ")</f>
        <v>0</v>
      </c>
      <c r="G27" s="261"/>
      <c r="H27" s="173">
        <f>IFERROR(VLOOKUP(D$8,'1ST_SEMESTER'!B$6:CQ$50,67,0)," ")</f>
        <v>0</v>
      </c>
      <c r="I27" s="174">
        <f>'1ST_SEMESTER'!BQ9</f>
        <v>73</v>
      </c>
      <c r="J27" s="175" t="str">
        <f>IFERROR(VLOOKUP(D$8,'1ST_SEMESTER'!B$6:CS$50,69,0)," ")</f>
        <v>F</v>
      </c>
      <c r="K27" s="174">
        <f>IFERROR(VLOOKUP(D$8,'2ND_SEMESTER'!B$6:DS$49,63,0),"")</f>
        <v>14</v>
      </c>
      <c r="L27" s="174">
        <f>IFERROR(VLOOKUP(D$8,'2ND_SEMESTER'!B$6:DT$49,65,0),"")</f>
        <v>34</v>
      </c>
      <c r="M27" s="174">
        <f>IFERROR(VLOOKUP(D$8,'2ND_SEMESTER'!B$6:DT$49,66,0),"")</f>
        <v>15</v>
      </c>
      <c r="N27" s="261"/>
      <c r="O27" s="174">
        <f>IFERROR(VLOOKUP(D$8,'2ND_SEMESTER'!B$6:DT$49,67,0),"")</f>
        <v>49</v>
      </c>
      <c r="P27" s="174">
        <f>'2ND_SEMESTER'!BQ8</f>
        <v>74</v>
      </c>
      <c r="Q27" s="175">
        <f>IFERROR(VLOOKUP(D$8,'2ND_SEMESTER'!B$6:DT$49,69,0),"")</f>
        <v>2</v>
      </c>
      <c r="R27" s="174">
        <f>IFERROR(VLOOKUP(D$8,'3RD_SEMESTER'!B$6:CQ$52,63,0),"")</f>
        <v>11</v>
      </c>
      <c r="S27" s="174">
        <f>IFERROR(VLOOKUP(D$8,'3RD_SEMESTER'!B$6:CR$52,65,0),"")</f>
        <v>35</v>
      </c>
      <c r="T27" s="174">
        <f>IFERROR(VLOOKUP(D$8,'3RD_SEMESTER'!B$6:CR$52,66,0),"")</f>
        <v>22</v>
      </c>
      <c r="U27" s="261"/>
      <c r="V27" s="174">
        <f>IFERROR(VLOOKUP(D$8,'3RD_SEMESTER'!B$6:CT$52,67,0),"")</f>
        <v>57</v>
      </c>
      <c r="W27" s="174">
        <f>'3RD_SEMESTER'!BQ8</f>
        <v>80</v>
      </c>
      <c r="X27" s="175">
        <f>IFERROR(VLOOKUP(D$8,'3RD_SEMESTER'!B$6:CV$52,69,0),"")</f>
        <v>3</v>
      </c>
      <c r="Y27" s="200">
        <f t="shared" si="0"/>
        <v>8.3333333333333339</v>
      </c>
      <c r="Z27" s="200">
        <f t="shared" si="1"/>
        <v>23</v>
      </c>
      <c r="AA27" s="200">
        <f t="shared" si="2"/>
        <v>12.333333333333334</v>
      </c>
      <c r="AB27" s="269"/>
      <c r="AC27" s="206">
        <f t="shared" si="4"/>
        <v>43.666666666666671</v>
      </c>
      <c r="AD27" s="206">
        <f t="shared" si="3"/>
        <v>2</v>
      </c>
      <c r="AE27" s="271"/>
    </row>
    <row r="28" spans="2:31" ht="24.95" customHeight="1">
      <c r="B28" s="265" t="s">
        <v>10</v>
      </c>
      <c r="C28" s="265"/>
      <c r="D28" s="173">
        <f>IFERROR(VLOOKUP(D$8,'1ST_SEMESTER'!B$6:CM$50,70,0)," ")</f>
        <v>0</v>
      </c>
      <c r="E28" s="173">
        <f>IFERROR(VLOOKUP(D$8,'1ST_SEMESTER'!B$6:CM$50,71,0)," ")</f>
        <v>0</v>
      </c>
      <c r="F28" s="173">
        <f>IFERROR(VLOOKUP(D$8,'1ST_SEMESTER'!B$6:CO$50,73,0)," ")</f>
        <v>0</v>
      </c>
      <c r="G28" s="261"/>
      <c r="H28" s="173">
        <f>IFERROR(VLOOKUP(D$8,'1ST_SEMESTER'!B$6:CQ$50,74,0)," ")</f>
        <v>0</v>
      </c>
      <c r="I28" s="174">
        <f>'1ST_SEMESTER'!BX9</f>
        <v>70</v>
      </c>
      <c r="J28" s="175" t="str">
        <f>IFERROR(VLOOKUP(D$8,'1ST_SEMESTER'!B$6:CS$50,76,0)," ")</f>
        <v>F</v>
      </c>
      <c r="K28" s="174">
        <f>IFERROR(VLOOKUP(D$8,'2ND_SEMESTER'!B$6:DS$49,70,0),"")</f>
        <v>14</v>
      </c>
      <c r="L28" s="174">
        <f>IFERROR(VLOOKUP(D$8,'2ND_SEMESTER'!B$6:DT$49,71,0),"")</f>
        <v>17</v>
      </c>
      <c r="M28" s="174">
        <f>IFERROR(VLOOKUP(D$8,'2ND_SEMESTER'!B$6:DT$49,73,0),"")</f>
        <v>13</v>
      </c>
      <c r="N28" s="261"/>
      <c r="O28" s="174">
        <f>IFERROR(VLOOKUP(D$8,'2ND_SEMESTER'!B$6:DT$49,74,0),"")</f>
        <v>44</v>
      </c>
      <c r="P28" s="174">
        <f>'2ND_SEMESTER'!BX8</f>
        <v>71</v>
      </c>
      <c r="Q28" s="175">
        <f>IFERROR(VLOOKUP(D$8,'2ND_SEMESTER'!B$6:DT$49,76,0),"")</f>
        <v>2</v>
      </c>
      <c r="R28" s="174">
        <f>IFERROR(VLOOKUP(D$8,'3RD_SEMESTER'!B$6:CQ$52,70,0),"")</f>
        <v>12</v>
      </c>
      <c r="S28" s="174">
        <f>IFERROR(VLOOKUP(D$8,'3RD_SEMESTER'!B$6:CR$52,71,0),"")</f>
        <v>20</v>
      </c>
      <c r="T28" s="174">
        <f>IFERROR(VLOOKUP(D$8,'3RD_SEMESTER'!B$6:CR$52,73,0),"")</f>
        <v>14</v>
      </c>
      <c r="U28" s="261"/>
      <c r="V28" s="174">
        <f>IFERROR(VLOOKUP(D$8,'3RD_SEMESTER'!B$6:CT$52,74,0),"")</f>
        <v>46</v>
      </c>
      <c r="W28" s="174">
        <f>'3RD_SEMESTER'!BX8</f>
        <v>68</v>
      </c>
      <c r="X28" s="175">
        <f>IFERROR(VLOOKUP(D$8,'3RD_SEMESTER'!B$6:CV$52,76,0),"")</f>
        <v>2</v>
      </c>
      <c r="Y28" s="200">
        <f t="shared" si="0"/>
        <v>8.6666666666666661</v>
      </c>
      <c r="Z28" s="200">
        <f t="shared" si="1"/>
        <v>12.333333333333334</v>
      </c>
      <c r="AA28" s="200">
        <f t="shared" si="2"/>
        <v>9</v>
      </c>
      <c r="AB28" s="269"/>
      <c r="AC28" s="206">
        <f t="shared" si="4"/>
        <v>30</v>
      </c>
      <c r="AD28" s="206" t="str">
        <f t="shared" si="3"/>
        <v>F</v>
      </c>
      <c r="AE28" s="271"/>
    </row>
    <row r="29" spans="2:31" ht="24.95" customHeight="1">
      <c r="B29" s="274" t="s">
        <v>37</v>
      </c>
      <c r="C29" s="274"/>
      <c r="D29" s="275"/>
      <c r="E29" s="275"/>
      <c r="F29" s="275"/>
      <c r="G29" s="275"/>
      <c r="H29" s="275"/>
      <c r="I29" s="275"/>
      <c r="J29" s="202" t="s">
        <v>40</v>
      </c>
      <c r="K29" s="275"/>
      <c r="L29" s="275"/>
      <c r="M29" s="275"/>
      <c r="N29" s="275"/>
      <c r="O29" s="275"/>
      <c r="P29" s="275"/>
      <c r="Q29" s="202" t="s">
        <v>40</v>
      </c>
      <c r="R29" s="275"/>
      <c r="S29" s="275"/>
      <c r="T29" s="275"/>
      <c r="U29" s="275"/>
      <c r="V29" s="275"/>
      <c r="W29" s="275"/>
      <c r="X29" s="202" t="s">
        <v>40</v>
      </c>
      <c r="Y29" s="276"/>
      <c r="Z29" s="276"/>
      <c r="AA29" s="276"/>
      <c r="AB29" s="276"/>
      <c r="AC29" s="276"/>
      <c r="AD29" s="203" t="s">
        <v>108</v>
      </c>
      <c r="AE29" s="271"/>
    </row>
    <row r="30" spans="2:31" ht="24.95" customHeight="1">
      <c r="B30" s="265" t="s">
        <v>38</v>
      </c>
      <c r="C30" s="265"/>
      <c r="D30" s="176">
        <f>IFERROR(VLOOKUP(D$8,'1ST_SEMESTER'!B$6:CM$50,77,0)," ")</f>
        <v>0</v>
      </c>
      <c r="E30" s="176">
        <f>IFERROR(VLOOKUP(D$8,'1ST_SEMESTER'!B$6:CM$50,78,0)," ")</f>
        <v>0</v>
      </c>
      <c r="F30" s="176">
        <f>IFERROR(VLOOKUP(D$8,'1ST_SEMESTER'!B$6:CO$50,80,0)," ")</f>
        <v>0</v>
      </c>
      <c r="G30" s="176">
        <f>IFERROR(VLOOKUP(D$8,'1ST_SEMESTER'!B$6:CP$50,81,0)," ")</f>
        <v>0</v>
      </c>
      <c r="H30" s="176">
        <f>IFERROR(VLOOKUP(D$8,'1ST_SEMESTER'!B$6:CQ$50,82,0)," ")</f>
        <v>0</v>
      </c>
      <c r="I30" s="177">
        <f>'1ST_SEMESTER'!CF9</f>
        <v>74</v>
      </c>
      <c r="J30" s="178" t="str">
        <f>IF(H30&lt;40,"F",IF(H30&lt;50,2,IF(H30&lt;60,3-2,IF(H30&lt;70,3.5-2,IF(H30&lt;80,4-2,5-2)))))</f>
        <v>F</v>
      </c>
      <c r="K30" s="177">
        <f>IFERROR(VLOOKUP(D$8,'2ND_SEMESTER'!B$6:DS$49,77,0),"")</f>
        <v>7</v>
      </c>
      <c r="L30" s="177">
        <f>IFERROR(VLOOKUP(D$8,'2ND_SEMESTER'!B$6:DT$49,78,0),"")</f>
        <v>16</v>
      </c>
      <c r="M30" s="177">
        <f>IFERROR(VLOOKUP(D$8,'2ND_SEMESTER'!B$6:DT$49,80,0),"")</f>
        <v>16</v>
      </c>
      <c r="N30" s="177">
        <f>IFERROR(VLOOKUP(D$8,'2ND_SEMESTER'!B$6:DT$49,81,0),"")</f>
        <v>23</v>
      </c>
      <c r="O30" s="177">
        <f>IFERROR(VLOOKUP(D$8,'2ND_SEMESTER'!B$6:DT$49,82,0),"")</f>
        <v>62</v>
      </c>
      <c r="P30" s="177">
        <f>'2ND_SEMESTER'!CF8</f>
        <v>75</v>
      </c>
      <c r="Q30" s="178">
        <f>IF(O30&lt;40,"F",IF(O30&lt;50,2,IF(O30&lt;60,3-2,IF(O30&lt;70,3.5-2,IF(O30&lt;80,4-2,5-2)))))</f>
        <v>1.5</v>
      </c>
      <c r="R30" s="177">
        <f>IFERROR(VLOOKUP(D$8,'3RD_SEMESTER'!B$6:CQ$52,77,0),"")</f>
        <v>7</v>
      </c>
      <c r="S30" s="177">
        <f>IFERROR(VLOOKUP(D$8,'3RD_SEMESTER'!B$6:CR$52,78,0),"")</f>
        <v>14</v>
      </c>
      <c r="T30" s="177">
        <f>IFERROR(VLOOKUP(D$8,'3RD_SEMESTER'!B$6:CR$52,80,0),"")</f>
        <v>20</v>
      </c>
      <c r="U30" s="177">
        <f>IFERROR(VLOOKUP(D$8,'3RD_SEMESTER'!B$6:CS$52,81,0),"")</f>
        <v>25</v>
      </c>
      <c r="V30" s="177">
        <f>IFERROR(VLOOKUP(D$8,'3RD_SEMESTER'!B$6:CT$52,82,0),"")</f>
        <v>66</v>
      </c>
      <c r="W30" s="177">
        <f>'3RD_SEMESTER'!CF8</f>
        <v>82</v>
      </c>
      <c r="X30" s="178">
        <f>IF(V30&lt;40,"F",IF(V30&lt;50,2,IF(V30&lt;60,3-2,IF(V30&lt;70,3.5-2,IF(V30&lt;80,4-2,5-2)))))</f>
        <v>1.5</v>
      </c>
      <c r="Y30" s="201">
        <f t="shared" si="0"/>
        <v>4.666666666666667</v>
      </c>
      <c r="Z30" s="201">
        <f>AVERAGE(E30,L30,S30)</f>
        <v>10</v>
      </c>
      <c r="AA30" s="201">
        <f>AVERAGE(F30,M30,T30)</f>
        <v>12</v>
      </c>
      <c r="AB30" s="201">
        <f>AVERAGE(G30,N30,U30)</f>
        <v>16</v>
      </c>
      <c r="AC30" s="201">
        <f>SUM(Y30:AB30)</f>
        <v>42.666666666666671</v>
      </c>
      <c r="AD30" s="206">
        <f>IF(AC30&lt;40,"F",IF(AC30&lt;50,2-2,IF(AC30&lt;60,3-2,IF(AC30&lt;70,3.5-2,IF(AC30&lt;80,4-2,5-2)))))</f>
        <v>0</v>
      </c>
      <c r="AE30" s="271"/>
    </row>
    <row r="31" spans="2:31" ht="24.95" customHeight="1">
      <c r="B31" s="272" t="s">
        <v>272</v>
      </c>
      <c r="C31" s="272"/>
      <c r="D31" s="179"/>
      <c r="E31" s="179"/>
      <c r="F31" s="179"/>
      <c r="G31" s="179"/>
      <c r="H31" s="180">
        <f>H18+H20+H22+H23+H24+H25+H26+H27+H28+H30</f>
        <v>0</v>
      </c>
      <c r="I31" s="273"/>
      <c r="J31" s="273"/>
      <c r="K31" s="179"/>
      <c r="L31" s="179"/>
      <c r="M31" s="179"/>
      <c r="N31" s="179"/>
      <c r="O31" s="180">
        <f>O18+O20+O22+O23+O24+O25+O26+O27+O28+O30</f>
        <v>604</v>
      </c>
      <c r="P31" s="273"/>
      <c r="Q31" s="273"/>
      <c r="R31" s="179"/>
      <c r="S31" s="181"/>
      <c r="T31" s="179"/>
      <c r="U31" s="181"/>
      <c r="V31" s="180">
        <f>V18+V20+V22+V23+V24+V25+V26+V27+V28+V30</f>
        <v>578</v>
      </c>
      <c r="W31" s="273"/>
      <c r="X31" s="273"/>
      <c r="Y31" s="252"/>
      <c r="Z31" s="252"/>
      <c r="AA31" s="252"/>
      <c r="AB31" s="252"/>
      <c r="AC31" s="180">
        <f>SUM(AC18:AC30)</f>
        <v>413.00000000000006</v>
      </c>
      <c r="AD31" s="252"/>
      <c r="AE31" s="252"/>
    </row>
    <row r="37" spans="2:28">
      <c r="B37" s="57" t="s">
        <v>85</v>
      </c>
      <c r="L37" t="s">
        <v>99</v>
      </c>
      <c r="N37" s="28"/>
      <c r="O37" s="42" t="s">
        <v>264</v>
      </c>
      <c r="AB37" s="42" t="s">
        <v>265</v>
      </c>
    </row>
  </sheetData>
  <mergeCells count="95">
    <mergeCell ref="AD31:AE31"/>
    <mergeCell ref="AE18:AE30"/>
    <mergeCell ref="AD18:AD19"/>
    <mergeCell ref="AA20:AA21"/>
    <mergeCell ref="B31:C31"/>
    <mergeCell ref="I31:J31"/>
    <mergeCell ref="P31:Q31"/>
    <mergeCell ref="W31:X31"/>
    <mergeCell ref="B29:C29"/>
    <mergeCell ref="D29:I29"/>
    <mergeCell ref="K29:P29"/>
    <mergeCell ref="R29:W29"/>
    <mergeCell ref="N18:N23"/>
    <mergeCell ref="AD20:AD21"/>
    <mergeCell ref="B21:C21"/>
    <mergeCell ref="Y29:AC29"/>
    <mergeCell ref="B30:C30"/>
    <mergeCell ref="B23:C23"/>
    <mergeCell ref="B24:C24"/>
    <mergeCell ref="B25:C25"/>
    <mergeCell ref="B26:C26"/>
    <mergeCell ref="B27:C27"/>
    <mergeCell ref="B28:C28"/>
    <mergeCell ref="G25:G28"/>
    <mergeCell ref="N25:N28"/>
    <mergeCell ref="U25:U28"/>
    <mergeCell ref="AB25:AB28"/>
    <mergeCell ref="AB18:AB23"/>
    <mergeCell ref="X18:X19"/>
    <mergeCell ref="X20:X21"/>
    <mergeCell ref="P20:P21"/>
    <mergeCell ref="Q20:Q21"/>
    <mergeCell ref="T20:T21"/>
    <mergeCell ref="W20:W21"/>
    <mergeCell ref="J20:J21"/>
    <mergeCell ref="M20:M21"/>
    <mergeCell ref="O18:O19"/>
    <mergeCell ref="P18:P19"/>
    <mergeCell ref="Q18:Q19"/>
    <mergeCell ref="U18:U23"/>
    <mergeCell ref="V18:V19"/>
    <mergeCell ref="V20:V21"/>
    <mergeCell ref="W18:W19"/>
    <mergeCell ref="O20:O21"/>
    <mergeCell ref="B18:C18"/>
    <mergeCell ref="G18:G23"/>
    <mergeCell ref="H18:H19"/>
    <mergeCell ref="I18:I19"/>
    <mergeCell ref="J18:J19"/>
    <mergeCell ref="B22:C22"/>
    <mergeCell ref="B19:C19"/>
    <mergeCell ref="B20:C20"/>
    <mergeCell ref="F20:F21"/>
    <mergeCell ref="H20:H21"/>
    <mergeCell ref="I20:I21"/>
    <mergeCell ref="M14:M17"/>
    <mergeCell ref="N14:N17"/>
    <mergeCell ref="V13:V17"/>
    <mergeCell ref="W13:W17"/>
    <mergeCell ref="Y13:Y17"/>
    <mergeCell ref="S14:S17"/>
    <mergeCell ref="T14:T17"/>
    <mergeCell ref="U14:U17"/>
    <mergeCell ref="X14:X17"/>
    <mergeCell ref="P13:P17"/>
    <mergeCell ref="S13:U13"/>
    <mergeCell ref="R12:R17"/>
    <mergeCell ref="S12:X12"/>
    <mergeCell ref="E14:E17"/>
    <mergeCell ref="F14:F17"/>
    <mergeCell ref="G14:G17"/>
    <mergeCell ref="J14:J17"/>
    <mergeCell ref="L14:L17"/>
    <mergeCell ref="AC13:AC17"/>
    <mergeCell ref="AD13:AD17"/>
    <mergeCell ref="AE13:AE17"/>
    <mergeCell ref="Z13:Z17"/>
    <mergeCell ref="AA13:AA17"/>
    <mergeCell ref="AB13:AB17"/>
    <mergeCell ref="AC18:AC19"/>
    <mergeCell ref="AC20:AC21"/>
    <mergeCell ref="Y31:AB31"/>
    <mergeCell ref="B1:AE4"/>
    <mergeCell ref="B12:C17"/>
    <mergeCell ref="D12:D17"/>
    <mergeCell ref="E12:J12"/>
    <mergeCell ref="K12:K17"/>
    <mergeCell ref="L12:Q12"/>
    <mergeCell ref="Q14:Q17"/>
    <mergeCell ref="Y12:AE12"/>
    <mergeCell ref="E13:G13"/>
    <mergeCell ref="H13:H17"/>
    <mergeCell ref="I13:I17"/>
    <mergeCell ref="L13:N13"/>
    <mergeCell ref="O13:O17"/>
  </mergeCells>
  <pageMargins left="0" right="0" top="0.11811023622047245" bottom="0.15748031496062992" header="0.19685039370078741" footer="0.11811023622047245"/>
  <pageSetup paperSize="9" scale="73" orientation="landscape" r:id="rId1"/>
  <ignoredErrors>
    <ignoredError sqref="AC24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2:N41"/>
  <sheetViews>
    <sheetView zoomScale="85" zoomScaleNormal="85" workbookViewId="0">
      <selection activeCell="N29" sqref="N29"/>
    </sheetView>
  </sheetViews>
  <sheetFormatPr defaultRowHeight="15"/>
  <cols>
    <col min="1" max="1" width="0.7109375" customWidth="1"/>
    <col min="4" max="4" width="7.5703125" customWidth="1"/>
    <col min="5" max="5" width="7.85546875" customWidth="1"/>
    <col min="6" max="7" width="7.42578125" customWidth="1"/>
    <col min="8" max="8" width="7.7109375" customWidth="1"/>
    <col min="9" max="9" width="8.140625" customWidth="1"/>
    <col min="10" max="10" width="8.28515625" customWidth="1"/>
    <col min="13" max="13" width="7" customWidth="1"/>
  </cols>
  <sheetData>
    <row r="2" spans="1:14" ht="18.95" customHeight="1">
      <c r="B2" s="324" t="s">
        <v>77</v>
      </c>
      <c r="C2" s="325"/>
      <c r="D2" s="325"/>
      <c r="E2" s="325"/>
      <c r="F2" s="325"/>
      <c r="G2" s="325"/>
      <c r="H2" s="325"/>
      <c r="I2" s="325"/>
      <c r="J2" s="325"/>
      <c r="K2" s="325"/>
      <c r="L2" s="326"/>
      <c r="M2" s="327"/>
      <c r="N2" s="7"/>
    </row>
    <row r="3" spans="1:14" ht="20.100000000000001" customHeight="1">
      <c r="B3" s="328"/>
      <c r="C3" s="329"/>
      <c r="D3" s="329"/>
      <c r="E3" s="329"/>
      <c r="F3" s="329"/>
      <c r="G3" s="329"/>
      <c r="H3" s="329"/>
      <c r="I3" s="329"/>
      <c r="J3" s="329"/>
      <c r="K3" s="329"/>
      <c r="L3" s="330"/>
      <c r="M3" s="331"/>
    </row>
    <row r="4" spans="1:14" ht="24.6" customHeight="1">
      <c r="B4" s="328"/>
      <c r="C4" s="329"/>
      <c r="D4" s="329"/>
      <c r="E4" s="329"/>
      <c r="F4" s="329"/>
      <c r="G4" s="329"/>
      <c r="H4" s="329"/>
      <c r="I4" s="329"/>
      <c r="J4" s="329"/>
      <c r="K4" s="329"/>
      <c r="L4" s="330"/>
      <c r="M4" s="331"/>
    </row>
    <row r="5" spans="1:14" ht="30.95" customHeight="1">
      <c r="B5" s="332"/>
      <c r="C5" s="333"/>
      <c r="D5" s="333"/>
      <c r="E5" s="333"/>
      <c r="F5" s="333"/>
      <c r="G5" s="333"/>
      <c r="H5" s="333"/>
      <c r="I5" s="333"/>
      <c r="J5" s="333"/>
      <c r="K5" s="333"/>
      <c r="L5" s="334"/>
      <c r="M5" s="335"/>
    </row>
    <row r="6" spans="1:14" ht="15.75">
      <c r="A6" s="4"/>
      <c r="B6" s="336" t="s">
        <v>58</v>
      </c>
      <c r="C6" s="337"/>
      <c r="D6" s="338" t="str">
        <f>IFERROR(VLOOKUP($K$6,'2ND_SEMESTER'!$B$6:$DT$41,2,0),"PLEASE ENTER ROLL")</f>
        <v>PLEASE ENTER ROLL</v>
      </c>
      <c r="E6" s="339"/>
      <c r="F6" s="339"/>
      <c r="G6" s="340"/>
      <c r="H6" s="342" t="s">
        <v>65</v>
      </c>
      <c r="I6" s="343"/>
      <c r="J6" s="344"/>
      <c r="K6" s="341">
        <v>53</v>
      </c>
      <c r="L6" s="341"/>
      <c r="M6" s="341"/>
      <c r="N6" s="7"/>
    </row>
    <row r="7" spans="1:14" ht="15.75">
      <c r="A7" s="4"/>
      <c r="B7" s="336" t="s">
        <v>59</v>
      </c>
      <c r="C7" s="336"/>
      <c r="D7" s="309" t="str">
        <f>IFERROR(VLOOKUP($K$6,'2ND_SEMESTER'!$B$6:$DT$41,3,0),"")</f>
        <v/>
      </c>
      <c r="E7" s="310"/>
      <c r="F7" s="310"/>
      <c r="G7" s="311"/>
      <c r="H7" s="336"/>
      <c r="I7" s="336"/>
      <c r="J7" s="16" t="s">
        <v>63</v>
      </c>
      <c r="K7" s="348" t="e">
        <f>'2ND_SEMESTER'!#REF!</f>
        <v>#REF!</v>
      </c>
      <c r="L7" s="310"/>
      <c r="M7" s="311"/>
    </row>
    <row r="8" spans="1:14" ht="15.75">
      <c r="A8" s="4"/>
      <c r="B8" s="336" t="s">
        <v>60</v>
      </c>
      <c r="C8" s="336"/>
      <c r="D8" s="349" t="str">
        <f>IFERROR(VLOOKUP($K$6,'2ND_SEMESTER'!$B$6:$DT$41,4,0),"")</f>
        <v/>
      </c>
      <c r="E8" s="349"/>
      <c r="F8" s="349"/>
      <c r="G8" s="349"/>
      <c r="H8" s="345" t="s">
        <v>66</v>
      </c>
      <c r="I8" s="346"/>
      <c r="J8" s="347"/>
      <c r="K8" s="309" t="e">
        <f>'2ND_SEMESTER'!#REF!</f>
        <v>#REF!</v>
      </c>
      <c r="L8" s="310"/>
      <c r="M8" s="311"/>
    </row>
    <row r="9" spans="1:14" ht="15.75">
      <c r="A9" s="4"/>
      <c r="B9" s="336" t="s">
        <v>61</v>
      </c>
      <c r="C9" s="336"/>
      <c r="D9" s="349" t="e">
        <f>'2ND_SEMESTER'!#REF!</f>
        <v>#REF!</v>
      </c>
      <c r="E9" s="349"/>
      <c r="F9" s="349"/>
      <c r="G9" s="349"/>
      <c r="H9" s="352" t="s">
        <v>67</v>
      </c>
      <c r="I9" s="352"/>
      <c r="J9" s="352"/>
      <c r="K9" s="309" t="e">
        <f>'2ND_SEMESTER'!#REF!</f>
        <v>#REF!</v>
      </c>
      <c r="L9" s="310"/>
      <c r="M9" s="311"/>
    </row>
    <row r="10" spans="1:14" ht="15.75">
      <c r="A10" s="4"/>
      <c r="B10" s="322" t="s">
        <v>62</v>
      </c>
      <c r="C10" s="323"/>
      <c r="D10" s="350" t="e">
        <f>'2ND_SEMESTER'!#REF!</f>
        <v>#REF!</v>
      </c>
      <c r="E10" s="350"/>
      <c r="F10" s="351"/>
      <c r="G10" s="351"/>
      <c r="H10" s="17"/>
      <c r="I10" s="307" t="s">
        <v>64</v>
      </c>
      <c r="J10" s="308"/>
      <c r="K10" s="309" t="str">
        <f>IFERROR(VLOOKUP($K$6,'2ND_SEMESTER'!$B$6:$DT$41,123,0),"")</f>
        <v/>
      </c>
      <c r="L10" s="310"/>
      <c r="M10" s="311" t="e">
        <f>VLOOKUP($K$6,'2ND_SEMESTER'!$B$6:$DT$22,10,0)</f>
        <v>#N/A</v>
      </c>
    </row>
    <row r="11" spans="1:14">
      <c r="A11" s="4"/>
      <c r="B11" s="312" t="s">
        <v>24</v>
      </c>
      <c r="C11" s="312"/>
      <c r="D11" s="313"/>
      <c r="E11" s="316" t="s">
        <v>25</v>
      </c>
      <c r="F11" s="320" t="s">
        <v>28</v>
      </c>
      <c r="G11" s="320" t="s">
        <v>29</v>
      </c>
      <c r="H11" s="320" t="s">
        <v>30</v>
      </c>
      <c r="I11" s="318" t="s">
        <v>26</v>
      </c>
      <c r="J11" s="318" t="s">
        <v>27</v>
      </c>
      <c r="K11" s="318" t="s">
        <v>2</v>
      </c>
      <c r="L11" s="321" t="s">
        <v>73</v>
      </c>
      <c r="M11" s="302" t="s">
        <v>6</v>
      </c>
    </row>
    <row r="12" spans="1:14" ht="14.45" customHeight="1">
      <c r="A12" s="4"/>
      <c r="B12" s="312"/>
      <c r="C12" s="312"/>
      <c r="D12" s="313"/>
      <c r="E12" s="316"/>
      <c r="F12" s="320"/>
      <c r="G12" s="320"/>
      <c r="H12" s="320"/>
      <c r="I12" s="318"/>
      <c r="J12" s="318"/>
      <c r="K12" s="318"/>
      <c r="L12" s="318"/>
      <c r="M12" s="302"/>
    </row>
    <row r="13" spans="1:14">
      <c r="A13" s="4"/>
      <c r="B13" s="312"/>
      <c r="C13" s="312"/>
      <c r="D13" s="313"/>
      <c r="E13" s="316"/>
      <c r="F13" s="320"/>
      <c r="G13" s="320"/>
      <c r="H13" s="320"/>
      <c r="I13" s="318"/>
      <c r="J13" s="318"/>
      <c r="K13" s="318"/>
      <c r="L13" s="318"/>
      <c r="M13" s="302"/>
    </row>
    <row r="14" spans="1:14">
      <c r="A14" s="4"/>
      <c r="B14" s="312"/>
      <c r="C14" s="312"/>
      <c r="D14" s="313"/>
      <c r="E14" s="316"/>
      <c r="F14" s="320"/>
      <c r="G14" s="320"/>
      <c r="H14" s="320"/>
      <c r="I14" s="318"/>
      <c r="J14" s="318"/>
      <c r="K14" s="318"/>
      <c r="L14" s="318"/>
      <c r="M14" s="302"/>
    </row>
    <row r="15" spans="1:14">
      <c r="A15" s="4"/>
      <c r="B15" s="312"/>
      <c r="C15" s="312"/>
      <c r="D15" s="313"/>
      <c r="E15" s="316"/>
      <c r="F15" s="320"/>
      <c r="G15" s="320"/>
      <c r="H15" s="320"/>
      <c r="I15" s="318"/>
      <c r="J15" s="318"/>
      <c r="K15" s="318"/>
      <c r="L15" s="318"/>
      <c r="M15" s="302"/>
    </row>
    <row r="16" spans="1:14">
      <c r="A16" s="4"/>
      <c r="B16" s="312"/>
      <c r="C16" s="312"/>
      <c r="D16" s="313"/>
      <c r="E16" s="316"/>
      <c r="F16" s="320"/>
      <c r="G16" s="320"/>
      <c r="H16" s="320"/>
      <c r="I16" s="318"/>
      <c r="J16" s="318"/>
      <c r="K16" s="318"/>
      <c r="L16" s="318"/>
      <c r="M16" s="302"/>
    </row>
    <row r="17" spans="1:13">
      <c r="A17" s="4"/>
      <c r="B17" s="312"/>
      <c r="C17" s="312"/>
      <c r="D17" s="313"/>
      <c r="E17" s="316"/>
      <c r="F17" s="320"/>
      <c r="G17" s="320"/>
      <c r="H17" s="320"/>
      <c r="I17" s="318"/>
      <c r="J17" s="318"/>
      <c r="K17" s="318"/>
      <c r="L17" s="318"/>
      <c r="M17" s="302"/>
    </row>
    <row r="18" spans="1:13">
      <c r="A18" s="4"/>
      <c r="B18" s="314"/>
      <c r="C18" s="314"/>
      <c r="D18" s="315"/>
      <c r="E18" s="317"/>
      <c r="F18" s="320"/>
      <c r="G18" s="320"/>
      <c r="H18" s="320"/>
      <c r="I18" s="319"/>
      <c r="J18" s="319"/>
      <c r="K18" s="319"/>
      <c r="L18" s="319"/>
      <c r="M18" s="303"/>
    </row>
    <row r="19" spans="1:13" ht="24.95" customHeight="1">
      <c r="A19" s="4"/>
      <c r="B19" s="282" t="s">
        <v>31</v>
      </c>
      <c r="C19" s="282"/>
      <c r="D19" s="283"/>
      <c r="E19" s="10" t="str">
        <f>IFERROR(VLOOKUP($K$6,'2ND_SEMESTER'!$B$6:$DT$41,6,0),"")</f>
        <v/>
      </c>
      <c r="F19" s="10" t="str">
        <f>IFERROR(VLOOKUP($K$6,'2ND_SEMESTER'!$B$6:$DT$41,8,0),"")</f>
        <v/>
      </c>
      <c r="G19" s="10" t="str">
        <f>IFERROR(VLOOKUP($K$6,'2ND_SEMESTER'!$B$6:$DT$41,10,0),"")</f>
        <v/>
      </c>
      <c r="H19" s="299"/>
      <c r="I19" s="279" t="str">
        <f>IFERROR(VLOOKUP($K$6,'2ND_SEMESTER'!$B$6:$DT$41,20,0),"")</f>
        <v/>
      </c>
      <c r="J19" s="279" t="e">
        <f>'2ND_SEMESTER'!#REF!</f>
        <v>#REF!</v>
      </c>
      <c r="K19" s="304" t="str">
        <f>IFERROR(VLOOKUP($K$6,'2ND_SEMESTER'!$B$6:$DT$41,22,0),"")</f>
        <v/>
      </c>
      <c r="L19" s="279" t="str">
        <f>IF(K19="F","F",IF(K19&lt;2.5,"D",IF(K19&lt;3,"C",IF(K19&lt;3.5,"B",IF(K19&lt;4,"A-",IF(K19&lt;5,"A","A+"))))))</f>
        <v>A+</v>
      </c>
      <c r="M19" s="306" t="str">
        <f>IFERROR(VLOOKUP($K$6,'2ND_SEMESTER'!$B$6:$DT$41,118,0),"")</f>
        <v/>
      </c>
    </row>
    <row r="20" spans="1:13" ht="24.95" customHeight="1">
      <c r="A20" s="4"/>
      <c r="B20" s="282" t="s">
        <v>32</v>
      </c>
      <c r="C20" s="282"/>
      <c r="D20" s="283"/>
      <c r="E20" s="10" t="str">
        <f>IFERROR(VLOOKUP($K$6,'2ND_SEMESTER'!$B$6:$DT$41,13,0),"")</f>
        <v/>
      </c>
      <c r="F20" s="10" t="str">
        <f>IFERROR(VLOOKUP($K$6,'2ND_SEMESTER'!$B$6:$DT$41,15,0),"")</f>
        <v/>
      </c>
      <c r="G20" s="10" t="str">
        <f>IFERROR(VLOOKUP($K$6,'2ND_SEMESTER'!$B$6:$DT$41,17,0),"")</f>
        <v/>
      </c>
      <c r="H20" s="300"/>
      <c r="I20" s="280"/>
      <c r="J20" s="280"/>
      <c r="K20" s="305"/>
      <c r="L20" s="280"/>
      <c r="M20" s="306" t="e">
        <f>VLOOKUP($K$6,'2ND_SEMESTER'!$B$6:$DT$22,47,0)</f>
        <v>#N/A</v>
      </c>
    </row>
    <row r="21" spans="1:13" ht="24.95" customHeight="1">
      <c r="A21" s="4"/>
      <c r="B21" s="282" t="s">
        <v>33</v>
      </c>
      <c r="C21" s="282"/>
      <c r="D21" s="283"/>
      <c r="E21" s="10" t="str">
        <f>IFERROR(VLOOKUP($K$6,'2ND_SEMESTER'!$B$6:$DT$41,23,0),"")</f>
        <v/>
      </c>
      <c r="F21" s="10" t="str">
        <f>IFERROR(VLOOKUP($K$6,'2ND_SEMESTER'!$B$6:$DT$41,25,0),"")</f>
        <v/>
      </c>
      <c r="G21" s="279"/>
      <c r="H21" s="300"/>
      <c r="I21" s="279" t="str">
        <f>IFERROR(VLOOKUP($K$6,'2ND_SEMESTER'!$B$6:$DT$41,32,0),"")</f>
        <v/>
      </c>
      <c r="J21" s="279" t="e">
        <f>'2ND_SEMESTER'!#REF!</f>
        <v>#REF!</v>
      </c>
      <c r="K21" s="304" t="str">
        <f>IFERROR(VLOOKUP($K$6,'2ND_SEMESTER'!$B$6:$DT$41,34,0),"")</f>
        <v/>
      </c>
      <c r="L21" s="279" t="str">
        <f>IF(K21="F","F",IF(K21&lt;2.5,"D",IF(K21&lt;3,"C",IF(K21&lt;3.5,"B",IF(K21&lt;4,"A-",IF(K21&lt;5,"A","A+"))))))</f>
        <v>A+</v>
      </c>
      <c r="M21" s="306" t="e">
        <f>VLOOKUP($K$6,'2ND_SEMESTER'!$B$6:$DT$22,47,0)</f>
        <v>#N/A</v>
      </c>
    </row>
    <row r="22" spans="1:13" ht="24.95" customHeight="1">
      <c r="A22" s="4"/>
      <c r="B22" s="282" t="s">
        <v>34</v>
      </c>
      <c r="C22" s="282"/>
      <c r="D22" s="283"/>
      <c r="E22" s="10" t="str">
        <f>IFERROR(VLOOKUP($K$6,'2ND_SEMESTER'!$B$6:$DT$41,27,0),"")</f>
        <v/>
      </c>
      <c r="F22" s="10" t="str">
        <f>IFERROR(VLOOKUP($K$6,'2ND_SEMESTER'!$B$6:$DT$41,29,0),"")</f>
        <v/>
      </c>
      <c r="G22" s="280"/>
      <c r="H22" s="300"/>
      <c r="I22" s="280"/>
      <c r="J22" s="280"/>
      <c r="K22" s="305"/>
      <c r="L22" s="280"/>
      <c r="M22" s="306" t="e">
        <f>VLOOKUP($K$6,'2ND_SEMESTER'!$B$6:$DT$22,47,0)</f>
        <v>#N/A</v>
      </c>
    </row>
    <row r="23" spans="1:13" ht="24.95" customHeight="1">
      <c r="A23" s="4"/>
      <c r="B23" s="282" t="s">
        <v>35</v>
      </c>
      <c r="C23" s="282"/>
      <c r="D23" s="283"/>
      <c r="E23" s="10" t="str">
        <f>IFERROR(VLOOKUP($K$6,'2ND_SEMESTER'!$B$6:$DT$41,35,0),"")</f>
        <v/>
      </c>
      <c r="F23" s="10" t="str">
        <f>IFERROR(VLOOKUP($K$6,'2ND_SEMESTER'!$B$6:$DT$41,37,0),"")</f>
        <v/>
      </c>
      <c r="G23" s="10" t="str">
        <f>IFERROR(VLOOKUP($K$6,'2ND_SEMESTER'!$B$6:$DT$41,39,0),"")</f>
        <v/>
      </c>
      <c r="H23" s="300"/>
      <c r="I23" s="10" t="str">
        <f>IFERROR(VLOOKUP($K$6,'2ND_SEMESTER'!$B$6:$DT$41,42,0),"")</f>
        <v/>
      </c>
      <c r="J23" s="10" t="e">
        <f>'2ND_SEMESTER'!#REF!</f>
        <v>#REF!</v>
      </c>
      <c r="K23" s="15" t="str">
        <f>IFERROR(VLOOKUP($K$6,'2ND_SEMESTER'!$B$6:$DT$41,44,0),"")</f>
        <v/>
      </c>
      <c r="L23" s="13" t="str">
        <f t="shared" ref="L23:L29" si="0">IF(K23="F","F",IF(K23&lt;2.5,"D",IF(K23&lt;3,"C",IF(K23&lt;3.5,"B",IF(K23&lt;4,"A-",IF(K23&lt;5,"A","A+"))))))</f>
        <v>A+</v>
      </c>
      <c r="M23" s="306" t="e">
        <f>VLOOKUP($K$6,'2ND_SEMESTER'!$B$6:$DT$22,47,0)</f>
        <v>#N/A</v>
      </c>
    </row>
    <row r="24" spans="1:13" ht="24.95" customHeight="1">
      <c r="A24" s="4"/>
      <c r="B24" s="282" t="s">
        <v>36</v>
      </c>
      <c r="C24" s="282"/>
      <c r="D24" s="283"/>
      <c r="E24" s="10" t="str">
        <f>IFERROR(VLOOKUP($K$6,'2ND_SEMESTER'!$B$6:$DT$41,45,0),"")</f>
        <v/>
      </c>
      <c r="F24" s="10" t="str">
        <f>IFERROR(VLOOKUP($K$6,'2ND_SEMESTER'!$B$6:$DT$41,47,0),"")</f>
        <v/>
      </c>
      <c r="G24" s="10" t="str">
        <f>IFERROR(VLOOKUP($K$6,'2ND_SEMESTER'!$B$6:$DT$41,49,0),"")</f>
        <v/>
      </c>
      <c r="H24" s="301"/>
      <c r="I24" s="10" t="str">
        <f>IFERROR(VLOOKUP($K$6,'2ND_SEMESTER'!$B$6:$DT$41,52,0),"")</f>
        <v/>
      </c>
      <c r="J24" s="10" t="e">
        <f>'2ND_SEMESTER'!#REF!</f>
        <v>#REF!</v>
      </c>
      <c r="K24" s="15" t="str">
        <f>IFERROR(VLOOKUP($K$6,'2ND_SEMESTER'!$B$6:$DT$248,54,0),"")</f>
        <v/>
      </c>
      <c r="L24" s="13" t="str">
        <f t="shared" si="0"/>
        <v>A+</v>
      </c>
      <c r="M24" s="306" t="e">
        <f>VLOOKUP($K$6,'2ND_SEMESTER'!$B$6:$DT$22,47,0)</f>
        <v>#N/A</v>
      </c>
    </row>
    <row r="25" spans="1:13" ht="24.95" customHeight="1">
      <c r="A25" s="4"/>
      <c r="B25" s="282" t="s">
        <v>4</v>
      </c>
      <c r="C25" s="282"/>
      <c r="D25" s="283"/>
      <c r="E25" s="277"/>
      <c r="F25" s="278"/>
      <c r="G25" s="10" t="str">
        <f>IFERROR(VLOOKUP($K$6,'2ND_SEMESTER'!$B$6:$DT$41,56,0),"")</f>
        <v/>
      </c>
      <c r="H25" s="10" t="str">
        <f>IFERROR(VLOOKUP($K$6,'2ND_SEMESTER'!$B$6:$DT$41,58,0),"")</f>
        <v/>
      </c>
      <c r="I25" s="10" t="str">
        <f>IFERROR(VLOOKUP($K$6,'2ND_SEMESTER'!$B$6:$DT$41,61,0),"")</f>
        <v/>
      </c>
      <c r="J25" s="10" t="e">
        <f>'2ND_SEMESTER'!#REF!</f>
        <v>#REF!</v>
      </c>
      <c r="K25" s="15" t="str">
        <f>IFERROR(VLOOKUP($K$6,'2ND_SEMESTER'!$B$6:$DT$41,63,0),"")</f>
        <v/>
      </c>
      <c r="L25" s="13" t="str">
        <f t="shared" si="0"/>
        <v>A+</v>
      </c>
      <c r="M25" s="306" t="e">
        <f>VLOOKUP($K$6,'2ND_SEMESTER'!$B$6:$DT$22,47,0)</f>
        <v>#N/A</v>
      </c>
    </row>
    <row r="26" spans="1:13" ht="24.95" customHeight="1">
      <c r="A26" s="4"/>
      <c r="B26" s="282" t="s">
        <v>23</v>
      </c>
      <c r="C26" s="282"/>
      <c r="D26" s="283"/>
      <c r="E26" s="10" t="str">
        <f>IFERROR(VLOOKUP($K$6,'2ND_SEMESTER'!$B$6:$DT$41,64,0),"")</f>
        <v/>
      </c>
      <c r="F26" s="10" t="str">
        <f>IFERROR(VLOOKUP($K$6,'2ND_SEMESTER'!$B$6:$DT$41,66,0),"")</f>
        <v/>
      </c>
      <c r="G26" s="10" t="str">
        <f>IFERROR(VLOOKUP($K$6,'2ND_SEMESTER'!$B$6:$DT$41,68,0),"")</f>
        <v/>
      </c>
      <c r="H26" s="299"/>
      <c r="I26" s="10" t="str">
        <f>IFERROR(VLOOKUP($K$6,'2ND_SEMESTER'!$B$6:$DT$41,71,0),"")</f>
        <v/>
      </c>
      <c r="J26" s="10" t="e">
        <f>'2ND_SEMESTER'!#REF!</f>
        <v>#REF!</v>
      </c>
      <c r="K26" s="15" t="str">
        <f>IFERROR(VLOOKUP($K$6,'2ND_SEMESTER'!$B$6:$DT$41,73,0),"")</f>
        <v/>
      </c>
      <c r="L26" s="13" t="str">
        <f t="shared" si="0"/>
        <v>A+</v>
      </c>
      <c r="M26" s="306" t="e">
        <f>VLOOKUP($K$6,'2ND_SEMESTER'!$B$6:$DT$22,47,0)</f>
        <v>#N/A</v>
      </c>
    </row>
    <row r="27" spans="1:13" ht="24.95" customHeight="1">
      <c r="A27" s="4"/>
      <c r="B27" s="282" t="s">
        <v>56</v>
      </c>
      <c r="C27" s="282"/>
      <c r="D27" s="283"/>
      <c r="E27" s="10" t="str">
        <f>IFERROR(VLOOKUP($K$6,'2ND_SEMESTER'!$B$6:$DT$41,74,0),"")</f>
        <v/>
      </c>
      <c r="F27" s="10" t="str">
        <f>IFERROR(VLOOKUP($K$6,'2ND_SEMESTER'!$B$6:$DT$41,76,0),"")</f>
        <v/>
      </c>
      <c r="G27" s="10" t="str">
        <f>IFERROR(VLOOKUP($K$6,'2ND_SEMESTER'!$B$6:$DT$41,78,0),"")</f>
        <v/>
      </c>
      <c r="H27" s="300"/>
      <c r="I27" s="10" t="str">
        <f>IFERROR(VLOOKUP($K$6,'2ND_SEMESTER'!$B$6:$DT$41,81,0),"")</f>
        <v/>
      </c>
      <c r="J27" s="10" t="e">
        <f>'2ND_SEMESTER'!#REF!</f>
        <v>#REF!</v>
      </c>
      <c r="K27" s="15" t="str">
        <f>IFERROR(VLOOKUP($K$6,'2ND_SEMESTER'!$B$6:$DT$41,83,0),"")</f>
        <v/>
      </c>
      <c r="L27" s="13" t="str">
        <f t="shared" si="0"/>
        <v>A+</v>
      </c>
      <c r="M27" s="306" t="e">
        <f>VLOOKUP($K$6,'2ND_SEMESTER'!$B$6:$DT$22,47,0)</f>
        <v>#N/A</v>
      </c>
    </row>
    <row r="28" spans="1:13" ht="24.95" customHeight="1">
      <c r="A28" s="4"/>
      <c r="B28" s="282" t="s">
        <v>57</v>
      </c>
      <c r="C28" s="282"/>
      <c r="D28" s="283"/>
      <c r="E28" s="10" t="str">
        <f>IFERROR(VLOOKUP($K$6,'2ND_SEMESTER'!$B$6:$DT$41,84,0),"")</f>
        <v/>
      </c>
      <c r="F28" s="10" t="str">
        <f>IFERROR(VLOOKUP($K$6,'2ND_SEMESTER'!$B$6:$DT$41,86,0),"")</f>
        <v/>
      </c>
      <c r="G28" s="10" t="str">
        <f>IFERROR(VLOOKUP($K$6,'2ND_SEMESTER'!$B$6:$DT$41,88,0),"")</f>
        <v/>
      </c>
      <c r="H28" s="300"/>
      <c r="I28" s="10" t="str">
        <f>IFERROR(VLOOKUP($K$6,'2ND_SEMESTER'!$B$6:$DT$41,91,0),"")</f>
        <v/>
      </c>
      <c r="J28" s="10" t="e">
        <f>'2ND_SEMESTER'!#REF!</f>
        <v>#REF!</v>
      </c>
      <c r="K28" s="15" t="str">
        <f>IFERROR(VLOOKUP($K$6,'2ND_SEMESTER'!$B$6:$DT$41,93,0),"")</f>
        <v/>
      </c>
      <c r="L28" s="13" t="str">
        <f t="shared" si="0"/>
        <v>A+</v>
      </c>
      <c r="M28" s="306" t="e">
        <f>VLOOKUP($K$6,'2ND_SEMESTER'!$B$6:$DT$22,47,0)</f>
        <v>#N/A</v>
      </c>
    </row>
    <row r="29" spans="1:13" ht="24.95" customHeight="1">
      <c r="A29" s="4"/>
      <c r="B29" s="282" t="s">
        <v>10</v>
      </c>
      <c r="C29" s="282"/>
      <c r="D29" s="283"/>
      <c r="E29" s="10" t="str">
        <f>IFERROR(VLOOKUP($K$6,'2ND_SEMESTER'!$B$6:$DT$41,94,0),"")</f>
        <v/>
      </c>
      <c r="F29" s="10" t="str">
        <f>IFERROR(VLOOKUP($K$6,'2ND_SEMESTER'!$B$6:$DT$41,96,0),"")</f>
        <v/>
      </c>
      <c r="G29" s="10" t="str">
        <f>IFERROR(VLOOKUP($K$6,'2ND_SEMESTER'!$B$6:$DT$41,98,0),"")</f>
        <v/>
      </c>
      <c r="H29" s="301"/>
      <c r="I29" s="10" t="str">
        <f>IFERROR(VLOOKUP($K$6,'2ND_SEMESTER'!$B$6:$DT$41,101,0),"")</f>
        <v/>
      </c>
      <c r="J29" s="10" t="e">
        <f>'2ND_SEMESTER'!#REF!</f>
        <v>#REF!</v>
      </c>
      <c r="K29" s="15" t="str">
        <f>IFERROR(VLOOKUP($K$6,'2ND_SEMESTER'!$B$6:$DT$41,103,0),"")</f>
        <v/>
      </c>
      <c r="L29" s="13" t="str">
        <f t="shared" si="0"/>
        <v>A+</v>
      </c>
      <c r="M29" s="306" t="e">
        <f>VLOOKUP($K$6,'2ND_SEMESTER'!$B$6:$DT$22,47,0)</f>
        <v>#N/A</v>
      </c>
    </row>
    <row r="30" spans="1:13" ht="24.95" customHeight="1">
      <c r="A30" s="4"/>
      <c r="B30" s="293" t="s">
        <v>37</v>
      </c>
      <c r="C30" s="293"/>
      <c r="D30" s="293"/>
      <c r="E30" s="293"/>
      <c r="F30" s="293"/>
      <c r="G30" s="293"/>
      <c r="H30" s="293"/>
      <c r="I30" s="293"/>
      <c r="J30" s="294"/>
      <c r="K30" s="18" t="s">
        <v>40</v>
      </c>
      <c r="L30" s="14"/>
      <c r="M30" s="306" t="e">
        <f>VLOOKUP($K$6,'2ND_SEMESTER'!$B$6:$DT$22,47,0)</f>
        <v>#N/A</v>
      </c>
    </row>
    <row r="31" spans="1:13" ht="24.95" customHeight="1">
      <c r="A31" s="4"/>
      <c r="B31" s="282" t="s">
        <v>38</v>
      </c>
      <c r="C31" s="282"/>
      <c r="D31" s="283"/>
      <c r="E31" s="10" t="str">
        <f>IFERROR(VLOOKUP($K$6,'2ND_SEMESTER'!$B$6:$DT$41,104,0),"")</f>
        <v/>
      </c>
      <c r="F31" s="10" t="str">
        <f>IFERROR(VLOOKUP($K$6,'2ND_SEMESTER'!$B$6:$DT$41,106,0),"")</f>
        <v/>
      </c>
      <c r="G31" s="10" t="str">
        <f>IFERROR(VLOOKUP($K$6,'2ND_SEMESTER'!$B$6:$DT$41,108,0),"")</f>
        <v/>
      </c>
      <c r="H31" s="10" t="str">
        <f>IFERROR(VLOOKUP($K$6,'2ND_SEMESTER'!$B$6:$DT$41,110,0),"")</f>
        <v/>
      </c>
      <c r="I31" s="10" t="str">
        <f>IFERROR(VLOOKUP($K$6,'2ND_SEMESTER'!$B$6:$DT$41,113,0),"")</f>
        <v/>
      </c>
      <c r="J31" s="10" t="e">
        <f>'2ND_SEMESTER'!#REF!</f>
        <v>#REF!</v>
      </c>
      <c r="K31" s="10" t="str">
        <f>IFERROR(VLOOKUP($K$6,'2ND_SEMESTER'!$B$6:$DT$41,116,0),"")</f>
        <v/>
      </c>
      <c r="L31" s="13" t="str">
        <f>IF(K31="F","F",IF(K31&lt;2.5,"D",IF(K31&lt;3,"C",IF(K31&lt;3.5,"B",IF(K31&lt;4,"A-",IF(K31&lt;5,"A","A+"))))))</f>
        <v>A+</v>
      </c>
      <c r="M31" s="306" t="e">
        <f>VLOOKUP($K$6,'2ND_SEMESTER'!$B$6:$DT$22,47,0)</f>
        <v>#N/A</v>
      </c>
    </row>
    <row r="32" spans="1:13" ht="24.95" customHeight="1">
      <c r="A32" s="4"/>
      <c r="B32" s="284" t="s">
        <v>39</v>
      </c>
      <c r="C32" s="284"/>
      <c r="D32" s="285"/>
      <c r="E32" s="286"/>
      <c r="F32" s="287"/>
      <c r="G32" s="287"/>
      <c r="H32" s="288"/>
      <c r="I32" s="10">
        <f>SUM(I19:I31)</f>
        <v>0</v>
      </c>
      <c r="J32" s="286"/>
      <c r="K32" s="288"/>
      <c r="L32" s="11"/>
      <c r="M32" s="306" t="e">
        <f>VLOOKUP($K$6,'2ND_SEMESTER'!$B$6:$DT$22,47,0)</f>
        <v>#N/A</v>
      </c>
    </row>
    <row r="33" spans="1:13">
      <c r="A33" s="4"/>
      <c r="B33" s="9"/>
      <c r="C33" s="2"/>
      <c r="D33" s="2"/>
      <c r="E33" s="2"/>
      <c r="F33" s="2"/>
      <c r="G33" s="2"/>
      <c r="H33" s="2"/>
      <c r="I33" s="2"/>
      <c r="J33" s="2"/>
      <c r="K33" s="2"/>
      <c r="L33" s="2"/>
      <c r="M33" s="5"/>
    </row>
    <row r="34" spans="1:13" ht="19.5" customHeight="1">
      <c r="A34" s="4"/>
      <c r="B34" s="289" t="s">
        <v>41</v>
      </c>
      <c r="C34" s="289"/>
      <c r="D34" s="289"/>
      <c r="E34" s="289"/>
      <c r="F34" s="295" t="str">
        <f>IFERROR(VLOOKUP($K$6,'2ND_SEMESTER'!$B$6:$DT$41,119,0),"")</f>
        <v/>
      </c>
      <c r="G34" s="296" t="e">
        <f>VLOOKUP($K$6,'2ND_SEMESTER'!$B$6:$DT$22,90,0)</f>
        <v>#N/A</v>
      </c>
      <c r="H34" s="296" t="e">
        <f>VLOOKUP($K$6,'2ND_SEMESTER'!$B$6:$DT$22,90,0)</f>
        <v>#N/A</v>
      </c>
      <c r="I34" s="297" t="e">
        <f>VLOOKUP($K$6,'2ND_SEMESTER'!$B$6:$DT$22,90,0)</f>
        <v>#N/A</v>
      </c>
      <c r="J34" s="1"/>
      <c r="K34" s="1"/>
      <c r="L34" s="1"/>
      <c r="M34" s="6"/>
    </row>
    <row r="35" spans="1:13">
      <c r="A35" s="4"/>
      <c r="B35" s="8"/>
      <c r="C35" s="298"/>
      <c r="D35" s="298"/>
      <c r="E35" s="298"/>
      <c r="F35" s="298"/>
      <c r="G35" s="298"/>
      <c r="H35" s="1"/>
      <c r="I35" s="1"/>
      <c r="J35" s="1"/>
      <c r="K35" s="1"/>
      <c r="L35" s="1"/>
      <c r="M35" s="6"/>
    </row>
    <row r="36" spans="1:13" ht="21" customHeight="1">
      <c r="A36" s="4"/>
      <c r="B36" s="290" t="s">
        <v>42</v>
      </c>
      <c r="C36" s="290"/>
      <c r="D36" s="290"/>
      <c r="E36" s="290"/>
      <c r="F36" s="291" t="str">
        <f>IFERROR(VLOOKUP($K$6,'2ND_SEMESTER'!$B$6:$DT$41,122,0),"")</f>
        <v/>
      </c>
      <c r="G36" s="292" t="e">
        <f>VLOOKUP($K$6,'2ND_SEMESTER'!$B$6:$DT$22,101,0)</f>
        <v>#N/A</v>
      </c>
      <c r="H36" s="1"/>
      <c r="I36" s="1"/>
      <c r="J36" s="1"/>
      <c r="K36" s="1"/>
      <c r="L36" s="1"/>
      <c r="M36" s="6"/>
    </row>
    <row r="37" spans="1:13">
      <c r="A37" s="4"/>
      <c r="B37" s="8"/>
      <c r="C37" s="1"/>
      <c r="D37" s="1"/>
      <c r="E37" s="1"/>
      <c r="F37" s="1"/>
      <c r="G37" s="1"/>
      <c r="H37" s="1"/>
      <c r="I37" s="1"/>
      <c r="J37" s="1"/>
      <c r="K37" s="1"/>
      <c r="L37" s="1"/>
      <c r="M37" s="6"/>
    </row>
    <row r="38" spans="1:13">
      <c r="A38" s="4"/>
      <c r="B38" s="8"/>
      <c r="C38" s="1"/>
      <c r="D38" s="1"/>
      <c r="E38" s="1"/>
      <c r="F38" s="1"/>
      <c r="G38" s="1"/>
      <c r="H38" s="1"/>
      <c r="I38" s="1"/>
      <c r="J38" s="281" t="s">
        <v>43</v>
      </c>
      <c r="K38" s="281"/>
      <c r="L38" s="12"/>
      <c r="M38" s="6"/>
    </row>
    <row r="39" spans="1:13">
      <c r="B39" s="3"/>
      <c r="C39" s="1"/>
      <c r="D39" s="1"/>
      <c r="E39" s="1"/>
      <c r="F39" s="1"/>
      <c r="G39" s="1"/>
      <c r="H39" s="1"/>
      <c r="I39" s="1"/>
      <c r="J39" s="281"/>
      <c r="K39" s="281"/>
      <c r="L39" s="12"/>
      <c r="M39" s="6"/>
    </row>
    <row r="40" spans="1:13">
      <c r="B40" s="3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>
      <c r="B41" s="3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</sheetData>
  <mergeCells count="66">
    <mergeCell ref="D10:G10"/>
    <mergeCell ref="B9:C9"/>
    <mergeCell ref="D9:G9"/>
    <mergeCell ref="H9:J9"/>
    <mergeCell ref="K9:M9"/>
    <mergeCell ref="H8:J8"/>
    <mergeCell ref="B7:C7"/>
    <mergeCell ref="D7:G7"/>
    <mergeCell ref="H7:I7"/>
    <mergeCell ref="K7:M7"/>
    <mergeCell ref="B8:C8"/>
    <mergeCell ref="D8:G8"/>
    <mergeCell ref="K8:M8"/>
    <mergeCell ref="B2:M5"/>
    <mergeCell ref="B6:C6"/>
    <mergeCell ref="D6:G6"/>
    <mergeCell ref="K6:M6"/>
    <mergeCell ref="H6:J6"/>
    <mergeCell ref="I21:I22"/>
    <mergeCell ref="H19:H24"/>
    <mergeCell ref="I10:J10"/>
    <mergeCell ref="K10:M10"/>
    <mergeCell ref="B11:D18"/>
    <mergeCell ref="E11:E18"/>
    <mergeCell ref="I11:I18"/>
    <mergeCell ref="J11:J18"/>
    <mergeCell ref="K11:K18"/>
    <mergeCell ref="F11:F18"/>
    <mergeCell ref="G11:G18"/>
    <mergeCell ref="H11:H18"/>
    <mergeCell ref="L11:L18"/>
    <mergeCell ref="L19:L20"/>
    <mergeCell ref="L21:L22"/>
    <mergeCell ref="B10:C10"/>
    <mergeCell ref="J32:K32"/>
    <mergeCell ref="H26:H29"/>
    <mergeCell ref="B25:D25"/>
    <mergeCell ref="M11:M18"/>
    <mergeCell ref="B19:D19"/>
    <mergeCell ref="J19:J20"/>
    <mergeCell ref="K19:K20"/>
    <mergeCell ref="M19:M32"/>
    <mergeCell ref="B20:D20"/>
    <mergeCell ref="B21:D21"/>
    <mergeCell ref="J21:J22"/>
    <mergeCell ref="K21:K22"/>
    <mergeCell ref="B22:D22"/>
    <mergeCell ref="B23:D23"/>
    <mergeCell ref="B24:D24"/>
    <mergeCell ref="I19:I20"/>
    <mergeCell ref="E25:F25"/>
    <mergeCell ref="G21:G22"/>
    <mergeCell ref="J38:K39"/>
    <mergeCell ref="B26:D26"/>
    <mergeCell ref="B32:D32"/>
    <mergeCell ref="E32:H32"/>
    <mergeCell ref="B34:E34"/>
    <mergeCell ref="B36:E36"/>
    <mergeCell ref="F36:G36"/>
    <mergeCell ref="B27:D27"/>
    <mergeCell ref="B28:D28"/>
    <mergeCell ref="B29:D29"/>
    <mergeCell ref="B30:J30"/>
    <mergeCell ref="B31:D31"/>
    <mergeCell ref="F34:I34"/>
    <mergeCell ref="C35:G35"/>
  </mergeCells>
  <conditionalFormatting sqref="D6:G6">
    <cfRule type="containsText" dxfId="0" priority="1" operator="containsText" text="PLEASE ENTER ROLL">
      <formula>NOT(ISERROR(SEARCH("PLEASE ENTER ROLL",D6)))</formula>
    </cfRule>
  </conditionalFormatting>
  <pageMargins left="0.45" right="0.2" top="0.25" bottom="0.25" header="0.25" footer="0.25"/>
  <pageSetup paperSize="9" orientation="portrait" r:id="rId1"/>
  <ignoredErrors>
    <ignoredError sqref="J19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1ST_SEMESTER</vt:lpstr>
      <vt:lpstr>2ND_SEMESTER</vt:lpstr>
      <vt:lpstr>3RD_SEMESTER</vt:lpstr>
      <vt:lpstr>ANNUAL_CARD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2025-12-24T09:10:16Z</cp:lastPrinted>
  <dcterms:created xsi:type="dcterms:W3CDTF">2020-11-16T04:30:11Z</dcterms:created>
  <dcterms:modified xsi:type="dcterms:W3CDTF">2025-12-24T09:10:19Z</dcterms:modified>
</cp:coreProperties>
</file>