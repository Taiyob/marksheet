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120" yWindow="-120" windowWidth="29040" windowHeight="15720" activeTab="1"/>
  </bookViews>
  <sheets>
    <sheet name="TABULATION SCI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32" i="4"/>
  <c r="BN32" s="1"/>
  <c r="BO32" s="1"/>
  <c r="BM38"/>
  <c r="BN38" s="1"/>
  <c r="BO38" s="1"/>
  <c r="BM39"/>
  <c r="BN39" s="1"/>
  <c r="BO39" s="1"/>
  <c r="BM41"/>
  <c r="BN41" s="1"/>
  <c r="BO41" s="1"/>
  <c r="BM46"/>
  <c r="BN46" s="1"/>
  <c r="BO46" s="1"/>
  <c r="BM47"/>
  <c r="BN47" s="1"/>
  <c r="BO47" s="1"/>
  <c r="BM48"/>
  <c r="BN48" s="1"/>
  <c r="BO48" s="1"/>
  <c r="BM49"/>
  <c r="BN49" s="1"/>
  <c r="BO49" s="1"/>
  <c r="BM52"/>
  <c r="BN52" s="1"/>
  <c r="BO52" s="1"/>
  <c r="BM53"/>
  <c r="BN53" s="1"/>
  <c r="BO53" s="1"/>
  <c r="BL30"/>
  <c r="BL31"/>
  <c r="BL34"/>
  <c r="BL35"/>
  <c r="BL36"/>
  <c r="BL38"/>
  <c r="BL39"/>
  <c r="BL40"/>
  <c r="BL41"/>
  <c r="BL42"/>
  <c r="BL44"/>
  <c r="BL46"/>
  <c r="BL47"/>
  <c r="BL49"/>
  <c r="BL51"/>
  <c r="BL53"/>
  <c r="BK30"/>
  <c r="BM30" s="1"/>
  <c r="BN30" s="1"/>
  <c r="BO30" s="1"/>
  <c r="BK31"/>
  <c r="BM31" s="1"/>
  <c r="BN31" s="1"/>
  <c r="BO31" s="1"/>
  <c r="BK32"/>
  <c r="BK33"/>
  <c r="BK34"/>
  <c r="BM34" s="1"/>
  <c r="BN34" s="1"/>
  <c r="BO34" s="1"/>
  <c r="BK35"/>
  <c r="BM35" s="1"/>
  <c r="BN35" s="1"/>
  <c r="BO35" s="1"/>
  <c r="BK36"/>
  <c r="BK39"/>
  <c r="BK43"/>
  <c r="BK45"/>
  <c r="BK46"/>
  <c r="BK47"/>
  <c r="BK48"/>
  <c r="BK49"/>
  <c r="BK50"/>
  <c r="BM50" s="1"/>
  <c r="BN50" s="1"/>
  <c r="BO50" s="1"/>
  <c r="BK51"/>
  <c r="BK53"/>
  <c r="BI30"/>
  <c r="BP30" s="1"/>
  <c r="BI31"/>
  <c r="BP31" s="1"/>
  <c r="BI32"/>
  <c r="BP32" s="1"/>
  <c r="BI33"/>
  <c r="BI34"/>
  <c r="BP34" s="1"/>
  <c r="BI35"/>
  <c r="BP35" s="1"/>
  <c r="BI36"/>
  <c r="BI37"/>
  <c r="BP37" s="1"/>
  <c r="BI38"/>
  <c r="BI39"/>
  <c r="BP39" s="1"/>
  <c r="BI40"/>
  <c r="BI41"/>
  <c r="BP41" s="1"/>
  <c r="BI42"/>
  <c r="BI43"/>
  <c r="BP43" s="1"/>
  <c r="BI44"/>
  <c r="BP44" s="1"/>
  <c r="BI45"/>
  <c r="BI46"/>
  <c r="BP46" s="1"/>
  <c r="BI47"/>
  <c r="BP47" s="1"/>
  <c r="BI48"/>
  <c r="BP48" s="1"/>
  <c r="BI49"/>
  <c r="BP49" s="1"/>
  <c r="BI50"/>
  <c r="BP50" s="1"/>
  <c r="BI51"/>
  <c r="BI52"/>
  <c r="BP52" s="1"/>
  <c r="BI53"/>
  <c r="BP53" s="1"/>
  <c r="BI9"/>
  <c r="BI10"/>
  <c r="BI11"/>
  <c r="BI12"/>
  <c r="BI13"/>
  <c r="BI14"/>
  <c r="BI15"/>
  <c r="BI16"/>
  <c r="BI17"/>
  <c r="BI18"/>
  <c r="BI19"/>
  <c r="BI20"/>
  <c r="BI21"/>
  <c r="BI22"/>
  <c r="BI23"/>
  <c r="BI24"/>
  <c r="BI25"/>
  <c r="BI26"/>
  <c r="BI27"/>
  <c r="BI28"/>
  <c r="BI29"/>
  <c r="BE48"/>
  <c r="BE49"/>
  <c r="BE50"/>
  <c r="BE51"/>
  <c r="BE52"/>
  <c r="BE53"/>
  <c r="AW48"/>
  <c r="AW49"/>
  <c r="AW50"/>
  <c r="AW51"/>
  <c r="AY51" s="1"/>
  <c r="AQ51"/>
  <c r="AS51" s="1"/>
  <c r="AQ50"/>
  <c r="AS50" s="1"/>
  <c r="AQ49"/>
  <c r="AS49"/>
  <c r="AQ48"/>
  <c r="AS48"/>
  <c r="AQ43"/>
  <c r="AS43" s="1"/>
  <c r="AQ42"/>
  <c r="AS42" s="1"/>
  <c r="BM42" s="1"/>
  <c r="BN42" s="1"/>
  <c r="BO42" s="1"/>
  <c r="AQ41"/>
  <c r="AS41" s="1"/>
  <c r="AQ40"/>
  <c r="AS40" s="1"/>
  <c r="AQ39"/>
  <c r="AS39"/>
  <c r="AQ38"/>
  <c r="AS38"/>
  <c r="AQ37"/>
  <c r="AS37" s="1"/>
  <c r="AQ36"/>
  <c r="AS36" s="1"/>
  <c r="AQ35"/>
  <c r="AS35" s="1"/>
  <c r="AQ34"/>
  <c r="AS34" s="1"/>
  <c r="AQ33"/>
  <c r="AS33" s="1"/>
  <c r="AQ32"/>
  <c r="AS32"/>
  <c r="AQ31"/>
  <c r="AS31" s="1"/>
  <c r="AQ30"/>
  <c r="AS30" s="1"/>
  <c r="BC48"/>
  <c r="BC49"/>
  <c r="BC50"/>
  <c r="BC51"/>
  <c r="BC52"/>
  <c r="BC53"/>
  <c r="AY48"/>
  <c r="AY49"/>
  <c r="AY50"/>
  <c r="BE34"/>
  <c r="BE39"/>
  <c r="BE40"/>
  <c r="BC30"/>
  <c r="BE30" s="1"/>
  <c r="BC31"/>
  <c r="BE31" s="1"/>
  <c r="BC32"/>
  <c r="BE32" s="1"/>
  <c r="BC33"/>
  <c r="BE33" s="1"/>
  <c r="BC34"/>
  <c r="BC35"/>
  <c r="BE35" s="1"/>
  <c r="BC36"/>
  <c r="BE36" s="1"/>
  <c r="BC37"/>
  <c r="BE37" s="1"/>
  <c r="BC38"/>
  <c r="BE38" s="1"/>
  <c r="BC39"/>
  <c r="BC40"/>
  <c r="BC41"/>
  <c r="BE41" s="1"/>
  <c r="BC42"/>
  <c r="BE42" s="1"/>
  <c r="BC43"/>
  <c r="BE43" s="1"/>
  <c r="AW30"/>
  <c r="AW31"/>
  <c r="AW32"/>
  <c r="AW33"/>
  <c r="AW34"/>
  <c r="AY34" s="1"/>
  <c r="AW35"/>
  <c r="AW36"/>
  <c r="AY36" s="1"/>
  <c r="AW37"/>
  <c r="AW38"/>
  <c r="AW39"/>
  <c r="AW40"/>
  <c r="AW41"/>
  <c r="AW42"/>
  <c r="AW43"/>
  <c r="AY30"/>
  <c r="AY31"/>
  <c r="AY32"/>
  <c r="AY33"/>
  <c r="AY35"/>
  <c r="AY37"/>
  <c r="AY38"/>
  <c r="AY39"/>
  <c r="AY40"/>
  <c r="AY41"/>
  <c r="AY42"/>
  <c r="AY43"/>
  <c r="AK43"/>
  <c r="AM43"/>
  <c r="AK42"/>
  <c r="AM42" s="1"/>
  <c r="AK41"/>
  <c r="AM41" s="1"/>
  <c r="AK40"/>
  <c r="AM40" s="1"/>
  <c r="AK39"/>
  <c r="AM39"/>
  <c r="AK38"/>
  <c r="AM38"/>
  <c r="AK37"/>
  <c r="AM37"/>
  <c r="AK36"/>
  <c r="AM36" s="1"/>
  <c r="AK35"/>
  <c r="AM35" s="1"/>
  <c r="AK34"/>
  <c r="AM34" s="1"/>
  <c r="AK33"/>
  <c r="AM33" s="1"/>
  <c r="AK32"/>
  <c r="AM32" s="1"/>
  <c r="AK31"/>
  <c r="AM31" s="1"/>
  <c r="AK30"/>
  <c r="AM30" s="1"/>
  <c r="AK51"/>
  <c r="AM51" s="1"/>
  <c r="AK50"/>
  <c r="AM50" s="1"/>
  <c r="AK49"/>
  <c r="AM49"/>
  <c r="AK48"/>
  <c r="AM48" s="1"/>
  <c r="AF43"/>
  <c r="AH43" s="1"/>
  <c r="AF42"/>
  <c r="AH42" s="1"/>
  <c r="AF41"/>
  <c r="AH41" s="1"/>
  <c r="AF40"/>
  <c r="AH40"/>
  <c r="AF39"/>
  <c r="AH39" s="1"/>
  <c r="AF38"/>
  <c r="AH38"/>
  <c r="AF37"/>
  <c r="AH37"/>
  <c r="AF36"/>
  <c r="AH36" s="1"/>
  <c r="AF35"/>
  <c r="AH35"/>
  <c r="AF34"/>
  <c r="AH34" s="1"/>
  <c r="AF33"/>
  <c r="AH33" s="1"/>
  <c r="AF32"/>
  <c r="AH32" s="1"/>
  <c r="AF31"/>
  <c r="AH31" s="1"/>
  <c r="AF30"/>
  <c r="AH30" s="1"/>
  <c r="AF51"/>
  <c r="AH51" s="1"/>
  <c r="AF50"/>
  <c r="AH50" s="1"/>
  <c r="AF49"/>
  <c r="AH49"/>
  <c r="AF48"/>
  <c r="AH48" s="1"/>
  <c r="AC31"/>
  <c r="AC32"/>
  <c r="AC35"/>
  <c r="AC38"/>
  <c r="AC39"/>
  <c r="AC40"/>
  <c r="AC41"/>
  <c r="AC42"/>
  <c r="AC43"/>
  <c r="AC44"/>
  <c r="AC45"/>
  <c r="AC46"/>
  <c r="AC49"/>
  <c r="AC53"/>
  <c r="AA30"/>
  <c r="AC30" s="1"/>
  <c r="AA31"/>
  <c r="AA32"/>
  <c r="AA33"/>
  <c r="AC33" s="1"/>
  <c r="AA34"/>
  <c r="AC34" s="1"/>
  <c r="AA35"/>
  <c r="AA36"/>
  <c r="AC36" s="1"/>
  <c r="AA37"/>
  <c r="AC37" s="1"/>
  <c r="AA38"/>
  <c r="AA39"/>
  <c r="AA40"/>
  <c r="AA41"/>
  <c r="AA42"/>
  <c r="AA43"/>
  <c r="AA44"/>
  <c r="AA45"/>
  <c r="AA46"/>
  <c r="AA47"/>
  <c r="AC47" s="1"/>
  <c r="AA48"/>
  <c r="AC48" s="1"/>
  <c r="AA49"/>
  <c r="AA50"/>
  <c r="AC50" s="1"/>
  <c r="AA51"/>
  <c r="AC51" s="1"/>
  <c r="AA52"/>
  <c r="AC52" s="1"/>
  <c r="AA53"/>
  <c r="X30"/>
  <c r="X33"/>
  <c r="X38"/>
  <c r="X39"/>
  <c r="X40"/>
  <c r="X42"/>
  <c r="X43"/>
  <c r="X44"/>
  <c r="X45"/>
  <c r="X46"/>
  <c r="X47"/>
  <c r="X48"/>
  <c r="X49"/>
  <c r="X52"/>
  <c r="X53"/>
  <c r="V30"/>
  <c r="V31"/>
  <c r="X31" s="1"/>
  <c r="V32"/>
  <c r="X32" s="1"/>
  <c r="V33"/>
  <c r="V34"/>
  <c r="X34" s="1"/>
  <c r="V35"/>
  <c r="X35" s="1"/>
  <c r="V36"/>
  <c r="X36" s="1"/>
  <c r="V37"/>
  <c r="X37" s="1"/>
  <c r="V38"/>
  <c r="V39"/>
  <c r="V40"/>
  <c r="V41"/>
  <c r="X41" s="1"/>
  <c r="V42"/>
  <c r="V43"/>
  <c r="V44"/>
  <c r="V45"/>
  <c r="V46"/>
  <c r="V47"/>
  <c r="V48"/>
  <c r="V49"/>
  <c r="V50"/>
  <c r="X50" s="1"/>
  <c r="V51"/>
  <c r="X51" s="1"/>
  <c r="V52"/>
  <c r="V53"/>
  <c r="S31"/>
  <c r="Q29"/>
  <c r="Q30"/>
  <c r="S30" s="1"/>
  <c r="Q31"/>
  <c r="Q32"/>
  <c r="S32" s="1"/>
  <c r="Q33"/>
  <c r="S33" s="1"/>
  <c r="Q34"/>
  <c r="S34" s="1"/>
  <c r="Q35"/>
  <c r="S35" s="1"/>
  <c r="Q36"/>
  <c r="S36" s="1"/>
  <c r="Q37"/>
  <c r="S37" s="1"/>
  <c r="Q38"/>
  <c r="S38" s="1"/>
  <c r="Q39"/>
  <c r="S39" s="1"/>
  <c r="Q40"/>
  <c r="S40" s="1"/>
  <c r="Q41"/>
  <c r="S41" s="1"/>
  <c r="Q42"/>
  <c r="S42" s="1"/>
  <c r="Q43"/>
  <c r="S43" s="1"/>
  <c r="Q44"/>
  <c r="S44" s="1"/>
  <c r="Q45"/>
  <c r="S45" s="1"/>
  <c r="BM45" s="1"/>
  <c r="BN45" s="1"/>
  <c r="BO45" s="1"/>
  <c r="Q46"/>
  <c r="S46" s="1"/>
  <c r="Q47"/>
  <c r="S47" s="1"/>
  <c r="Q48"/>
  <c r="S48" s="1"/>
  <c r="Q49"/>
  <c r="S49" s="1"/>
  <c r="Q50"/>
  <c r="S50" s="1"/>
  <c r="Q51"/>
  <c r="S51" s="1"/>
  <c r="Q52"/>
  <c r="S52" s="1"/>
  <c r="Q53"/>
  <c r="S53" s="1"/>
  <c r="N39"/>
  <c r="N41"/>
  <c r="N46"/>
  <c r="N49"/>
  <c r="L29"/>
  <c r="N29" s="1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H25"/>
  <c r="H26"/>
  <c r="H27"/>
  <c r="H28"/>
  <c r="H29"/>
  <c r="H30"/>
  <c r="L30" s="1"/>
  <c r="N30" s="1"/>
  <c r="H31"/>
  <c r="L31" s="1"/>
  <c r="N31" s="1"/>
  <c r="H32"/>
  <c r="H33"/>
  <c r="H34"/>
  <c r="H35"/>
  <c r="H36"/>
  <c r="H37"/>
  <c r="H38"/>
  <c r="H39"/>
  <c r="H40"/>
  <c r="H41"/>
  <c r="H42"/>
  <c r="L42" s="1"/>
  <c r="N42" s="1"/>
  <c r="H43"/>
  <c r="H44"/>
  <c r="H45"/>
  <c r="H46"/>
  <c r="H47"/>
  <c r="H48"/>
  <c r="H49"/>
  <c r="H50"/>
  <c r="H51"/>
  <c r="H52"/>
  <c r="H53"/>
  <c r="D34" i="2"/>
  <c r="BI8" i="4"/>
  <c r="BK8" s="1"/>
  <c r="BC45"/>
  <c r="BE45" s="1"/>
  <c r="BC8"/>
  <c r="BE8" s="1"/>
  <c r="AW45"/>
  <c r="AY45" s="1"/>
  <c r="AW8"/>
  <c r="AY8" s="1"/>
  <c r="AQ45"/>
  <c r="AS45" s="1"/>
  <c r="AQ8"/>
  <c r="AK45"/>
  <c r="AM45" s="1"/>
  <c r="AK8"/>
  <c r="AM8" s="1"/>
  <c r="AF45"/>
  <c r="AH45" s="1"/>
  <c r="AF8"/>
  <c r="AH8" s="1"/>
  <c r="AA8"/>
  <c r="AC8" s="1"/>
  <c r="V8"/>
  <c r="Q8"/>
  <c r="S8" s="1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8"/>
  <c r="H24"/>
  <c r="H9"/>
  <c r="H10"/>
  <c r="H11"/>
  <c r="H12"/>
  <c r="H13"/>
  <c r="H14"/>
  <c r="H15"/>
  <c r="H16"/>
  <c r="H17"/>
  <c r="H18"/>
  <c r="H19"/>
  <c r="H20"/>
  <c r="H21"/>
  <c r="H22"/>
  <c r="H23"/>
  <c r="H8"/>
  <c r="BM51" l="1"/>
  <c r="BN51" s="1"/>
  <c r="BO51" s="1"/>
  <c r="BP51"/>
  <c r="BM43"/>
  <c r="BN43" s="1"/>
  <c r="BO43" s="1"/>
  <c r="BP42"/>
  <c r="BP40"/>
  <c r="BP38"/>
  <c r="BP33"/>
  <c r="BP45"/>
  <c r="BL50"/>
  <c r="BK44"/>
  <c r="BM44" s="1"/>
  <c r="BN44" s="1"/>
  <c r="BO44" s="1"/>
  <c r="BK42"/>
  <c r="BL32"/>
  <c r="BK52"/>
  <c r="BL52"/>
  <c r="BL48"/>
  <c r="BL45"/>
  <c r="BL43"/>
  <c r="BK41"/>
  <c r="BK40"/>
  <c r="BK38"/>
  <c r="BK37"/>
  <c r="BM37" s="1"/>
  <c r="BN37" s="1"/>
  <c r="BO37" s="1"/>
  <c r="BL37"/>
  <c r="BL33"/>
  <c r="L52"/>
  <c r="N52" s="1"/>
  <c r="L53"/>
  <c r="N53" s="1"/>
  <c r="L34"/>
  <c r="N34" s="1"/>
  <c r="L40"/>
  <c r="N40" s="1"/>
  <c r="BM40" s="1"/>
  <c r="BN40" s="1"/>
  <c r="BO40" s="1"/>
  <c r="L44"/>
  <c r="N44" s="1"/>
  <c r="L46"/>
  <c r="L45"/>
  <c r="N45" s="1"/>
  <c r="L41"/>
  <c r="L35"/>
  <c r="N35" s="1"/>
  <c r="L33"/>
  <c r="N33" s="1"/>
  <c r="BM33" s="1"/>
  <c r="BN33" s="1"/>
  <c r="BO33" s="1"/>
  <c r="L51"/>
  <c r="N51" s="1"/>
  <c r="L50"/>
  <c r="N50" s="1"/>
  <c r="L49"/>
  <c r="L48"/>
  <c r="N48" s="1"/>
  <c r="L47"/>
  <c r="N47" s="1"/>
  <c r="L43"/>
  <c r="N43" s="1"/>
  <c r="L39"/>
  <c r="L38"/>
  <c r="N38" s="1"/>
  <c r="L37"/>
  <c r="N37" s="1"/>
  <c r="L36"/>
  <c r="N36" s="1"/>
  <c r="BM36" s="1"/>
  <c r="BN36" s="1"/>
  <c r="BO36" s="1"/>
  <c r="L32"/>
  <c r="N32" s="1"/>
  <c r="BL8"/>
  <c r="AS8"/>
  <c r="X8"/>
  <c r="AF46"/>
  <c r="AH46" s="1"/>
  <c r="AK46"/>
  <c r="AM46" s="1"/>
  <c r="AQ46"/>
  <c r="AS46" s="1"/>
  <c r="AW46"/>
  <c r="AY46" s="1"/>
  <c r="BC46"/>
  <c r="BE46" s="1"/>
  <c r="BP36" l="1"/>
  <c r="L8"/>
  <c r="E30" i="2"/>
  <c r="E28"/>
  <c r="E27"/>
  <c r="E26"/>
  <c r="E25"/>
  <c r="E23"/>
  <c r="E22"/>
  <c r="E21"/>
  <c r="E20"/>
  <c r="E19"/>
  <c r="E18"/>
  <c r="D30"/>
  <c r="D28"/>
  <c r="D27"/>
  <c r="D26"/>
  <c r="D25"/>
  <c r="D24"/>
  <c r="D23"/>
  <c r="D22"/>
  <c r="D19"/>
  <c r="D18"/>
  <c r="C7"/>
  <c r="C6"/>
  <c r="C5"/>
  <c r="F30"/>
  <c r="F28"/>
  <c r="F27"/>
  <c r="F26"/>
  <c r="F24"/>
  <c r="E34"/>
  <c r="K31"/>
  <c r="K30"/>
  <c r="K29"/>
  <c r="K28"/>
  <c r="K27"/>
  <c r="K26"/>
  <c r="K25"/>
  <c r="K24"/>
  <c r="K23"/>
  <c r="K22"/>
  <c r="K21"/>
  <c r="K20"/>
  <c r="K19"/>
  <c r="I21"/>
  <c r="I19"/>
  <c r="G21"/>
  <c r="G19"/>
  <c r="AW53" i="4"/>
  <c r="AY53" s="1"/>
  <c r="AQ53"/>
  <c r="AS53" s="1"/>
  <c r="AK53"/>
  <c r="AM53" s="1"/>
  <c r="AF53"/>
  <c r="AH53" s="1"/>
  <c r="AW52"/>
  <c r="AY52" s="1"/>
  <c r="AQ52"/>
  <c r="AS52" s="1"/>
  <c r="AK52"/>
  <c r="AM52" s="1"/>
  <c r="AF52"/>
  <c r="AH52" s="1"/>
  <c r="BC47"/>
  <c r="BE47" s="1"/>
  <c r="AW47"/>
  <c r="AQ47"/>
  <c r="AS47" s="1"/>
  <c r="AK47"/>
  <c r="AM47" s="1"/>
  <c r="AF47"/>
  <c r="AH47" s="1"/>
  <c r="BC44"/>
  <c r="BE44" s="1"/>
  <c r="AW44"/>
  <c r="AY44" s="1"/>
  <c r="AQ44"/>
  <c r="AS44" s="1"/>
  <c r="AK44"/>
  <c r="AM44" s="1"/>
  <c r="AF44"/>
  <c r="AH44" s="1"/>
  <c r="BL29"/>
  <c r="BC29"/>
  <c r="BE29" s="1"/>
  <c r="AW29"/>
  <c r="AY29" s="1"/>
  <c r="AQ29"/>
  <c r="AS29" s="1"/>
  <c r="AK29"/>
  <c r="AM29" s="1"/>
  <c r="AF29"/>
  <c r="AH29" s="1"/>
  <c r="AA29"/>
  <c r="AC29" s="1"/>
  <c r="V29"/>
  <c r="X29" s="1"/>
  <c r="S29"/>
  <c r="BK28"/>
  <c r="BC28"/>
  <c r="BE28" s="1"/>
  <c r="AW28"/>
  <c r="AY28" s="1"/>
  <c r="AQ28"/>
  <c r="AS28" s="1"/>
  <c r="AK28"/>
  <c r="AM28" s="1"/>
  <c r="AF28"/>
  <c r="AH28" s="1"/>
  <c r="AA28"/>
  <c r="AC28" s="1"/>
  <c r="V28"/>
  <c r="X28" s="1"/>
  <c r="Q28"/>
  <c r="S28" s="1"/>
  <c r="BL27"/>
  <c r="BC27"/>
  <c r="BE27" s="1"/>
  <c r="AW27"/>
  <c r="AY27" s="1"/>
  <c r="AQ27"/>
  <c r="AS27" s="1"/>
  <c r="AK27"/>
  <c r="AM27" s="1"/>
  <c r="AF27"/>
  <c r="AH27" s="1"/>
  <c r="AA27"/>
  <c r="AC27" s="1"/>
  <c r="V27"/>
  <c r="X27" s="1"/>
  <c r="Q27"/>
  <c r="S27" s="1"/>
  <c r="BK26"/>
  <c r="BC26"/>
  <c r="BE26" s="1"/>
  <c r="AW26"/>
  <c r="AY26" s="1"/>
  <c r="AQ26"/>
  <c r="AS26" s="1"/>
  <c r="AK26"/>
  <c r="AM26" s="1"/>
  <c r="AF26"/>
  <c r="AH26" s="1"/>
  <c r="AA26"/>
  <c r="AC26" s="1"/>
  <c r="V26"/>
  <c r="X26" s="1"/>
  <c r="Q26"/>
  <c r="S26" s="1"/>
  <c r="BK25"/>
  <c r="BC25"/>
  <c r="BE25" s="1"/>
  <c r="AW25"/>
  <c r="AY25" s="1"/>
  <c r="AQ25"/>
  <c r="AS25" s="1"/>
  <c r="AK25"/>
  <c r="AM25" s="1"/>
  <c r="AF25"/>
  <c r="AH25" s="1"/>
  <c r="AA25"/>
  <c r="AC25" s="1"/>
  <c r="V25"/>
  <c r="X25" s="1"/>
  <c r="Q25"/>
  <c r="S25" s="1"/>
  <c r="BK24"/>
  <c r="BC24"/>
  <c r="BE24" s="1"/>
  <c r="AW24"/>
  <c r="AY24" s="1"/>
  <c r="AQ24"/>
  <c r="AS24" s="1"/>
  <c r="AK24"/>
  <c r="AM24" s="1"/>
  <c r="AF24"/>
  <c r="AH24" s="1"/>
  <c r="AA24"/>
  <c r="AC24" s="1"/>
  <c r="V24"/>
  <c r="X24" s="1"/>
  <c r="Q24"/>
  <c r="S24" s="1"/>
  <c r="BK23"/>
  <c r="BC23"/>
  <c r="BE23" s="1"/>
  <c r="AW23"/>
  <c r="AY23" s="1"/>
  <c r="AQ23"/>
  <c r="AS23" s="1"/>
  <c r="AK23"/>
  <c r="AM23" s="1"/>
  <c r="AF23"/>
  <c r="AH23" s="1"/>
  <c r="AA23"/>
  <c r="AC23" s="1"/>
  <c r="V23"/>
  <c r="X23" s="1"/>
  <c r="Q23"/>
  <c r="S23" s="1"/>
  <c r="BK10"/>
  <c r="BL11"/>
  <c r="BK12"/>
  <c r="BK13"/>
  <c r="BK14"/>
  <c r="BK16"/>
  <c r="BK17"/>
  <c r="BK18"/>
  <c r="BK19"/>
  <c r="BK20"/>
  <c r="BK21"/>
  <c r="BK22"/>
  <c r="BC9"/>
  <c r="BC10"/>
  <c r="BE10" s="1"/>
  <c r="BC11"/>
  <c r="BE11" s="1"/>
  <c r="BC12"/>
  <c r="BE12" s="1"/>
  <c r="BC13"/>
  <c r="BE13" s="1"/>
  <c r="BC14"/>
  <c r="BE14" s="1"/>
  <c r="BC15"/>
  <c r="BE15" s="1"/>
  <c r="BC16"/>
  <c r="BE16" s="1"/>
  <c r="BC17"/>
  <c r="BE17" s="1"/>
  <c r="BC18"/>
  <c r="BE18" s="1"/>
  <c r="BC19"/>
  <c r="BE19" s="1"/>
  <c r="BC20"/>
  <c r="BE20" s="1"/>
  <c r="BC21"/>
  <c r="BE21" s="1"/>
  <c r="BC22"/>
  <c r="BE22" s="1"/>
  <c r="AW9"/>
  <c r="AW10"/>
  <c r="AY10" s="1"/>
  <c r="AW11"/>
  <c r="AY11" s="1"/>
  <c r="AW12"/>
  <c r="AY12" s="1"/>
  <c r="AW13"/>
  <c r="AY13" s="1"/>
  <c r="AW14"/>
  <c r="AY14" s="1"/>
  <c r="AW15"/>
  <c r="AY15" s="1"/>
  <c r="AW16"/>
  <c r="AY16" s="1"/>
  <c r="AW17"/>
  <c r="AY17" s="1"/>
  <c r="AW18"/>
  <c r="AY18" s="1"/>
  <c r="AW19"/>
  <c r="AY19" s="1"/>
  <c r="AW20"/>
  <c r="AY20" s="1"/>
  <c r="AW21"/>
  <c r="AY21" s="1"/>
  <c r="AW22"/>
  <c r="AY22" s="1"/>
  <c r="AQ9"/>
  <c r="AQ10"/>
  <c r="AS10" s="1"/>
  <c r="AQ11"/>
  <c r="AS11" s="1"/>
  <c r="AQ12"/>
  <c r="AS12" s="1"/>
  <c r="AQ13"/>
  <c r="AS13" s="1"/>
  <c r="AQ14"/>
  <c r="AS14" s="1"/>
  <c r="AQ15"/>
  <c r="AS15" s="1"/>
  <c r="AQ16"/>
  <c r="AS16" s="1"/>
  <c r="AQ17"/>
  <c r="AS17" s="1"/>
  <c r="AQ18"/>
  <c r="AS18" s="1"/>
  <c r="AQ19"/>
  <c r="AS19" s="1"/>
  <c r="AQ20"/>
  <c r="AS20" s="1"/>
  <c r="AQ21"/>
  <c r="AS21" s="1"/>
  <c r="AQ22"/>
  <c r="AS22" s="1"/>
  <c r="AK9"/>
  <c r="AK10"/>
  <c r="AM10" s="1"/>
  <c r="AK11"/>
  <c r="AM11" s="1"/>
  <c r="AK12"/>
  <c r="AM12" s="1"/>
  <c r="AK13"/>
  <c r="AM13" s="1"/>
  <c r="AK14"/>
  <c r="AM14" s="1"/>
  <c r="AK15"/>
  <c r="AM15" s="1"/>
  <c r="AK16"/>
  <c r="AM16" s="1"/>
  <c r="AK17"/>
  <c r="AM17" s="1"/>
  <c r="AK18"/>
  <c r="AM18" s="1"/>
  <c r="AK19"/>
  <c r="AM19" s="1"/>
  <c r="AK20"/>
  <c r="AM20" s="1"/>
  <c r="AK21"/>
  <c r="AM21" s="1"/>
  <c r="AK22"/>
  <c r="AM22" s="1"/>
  <c r="AF9"/>
  <c r="AH9" s="1"/>
  <c r="AF10"/>
  <c r="AH10" s="1"/>
  <c r="AF11"/>
  <c r="AH11" s="1"/>
  <c r="AF12"/>
  <c r="AH12" s="1"/>
  <c r="AF13"/>
  <c r="AH13" s="1"/>
  <c r="AF14"/>
  <c r="AH14" s="1"/>
  <c r="AF15"/>
  <c r="AH15" s="1"/>
  <c r="AF16"/>
  <c r="AH16" s="1"/>
  <c r="AF17"/>
  <c r="AH17" s="1"/>
  <c r="AF18"/>
  <c r="AH18" s="1"/>
  <c r="AF19"/>
  <c r="AH19" s="1"/>
  <c r="AF20"/>
  <c r="AH20" s="1"/>
  <c r="AF21"/>
  <c r="AH21" s="1"/>
  <c r="AF22"/>
  <c r="AH22" s="1"/>
  <c r="AA9"/>
  <c r="AC9" s="1"/>
  <c r="AA10"/>
  <c r="AC10" s="1"/>
  <c r="AA11"/>
  <c r="AC11" s="1"/>
  <c r="AA12"/>
  <c r="AC12" s="1"/>
  <c r="AA13"/>
  <c r="AC13" s="1"/>
  <c r="AA14"/>
  <c r="AC14" s="1"/>
  <c r="AA15"/>
  <c r="AC15" s="1"/>
  <c r="AA16"/>
  <c r="AC16" s="1"/>
  <c r="AA17"/>
  <c r="AC17" s="1"/>
  <c r="AA18"/>
  <c r="AC18" s="1"/>
  <c r="AA19"/>
  <c r="AC19" s="1"/>
  <c r="AA20"/>
  <c r="AC20" s="1"/>
  <c r="AA21"/>
  <c r="AC21" s="1"/>
  <c r="AA22"/>
  <c r="V9"/>
  <c r="V10"/>
  <c r="X10" s="1"/>
  <c r="V11"/>
  <c r="X11" s="1"/>
  <c r="V12"/>
  <c r="X12" s="1"/>
  <c r="V13"/>
  <c r="X13" s="1"/>
  <c r="V14"/>
  <c r="X14" s="1"/>
  <c r="V15"/>
  <c r="X15" s="1"/>
  <c r="V16"/>
  <c r="X16" s="1"/>
  <c r="V17"/>
  <c r="X17" s="1"/>
  <c r="V18"/>
  <c r="X18" s="1"/>
  <c r="V19"/>
  <c r="X19" s="1"/>
  <c r="V20"/>
  <c r="X20" s="1"/>
  <c r="V21"/>
  <c r="X21" s="1"/>
  <c r="V22"/>
  <c r="X22" s="1"/>
  <c r="Q9"/>
  <c r="Q10"/>
  <c r="S10" s="1"/>
  <c r="Q11"/>
  <c r="S11" s="1"/>
  <c r="Q12"/>
  <c r="S12" s="1"/>
  <c r="Q13"/>
  <c r="S13" s="1"/>
  <c r="Q14"/>
  <c r="S14" s="1"/>
  <c r="Q15"/>
  <c r="S15" s="1"/>
  <c r="Q16"/>
  <c r="S16" s="1"/>
  <c r="Q17"/>
  <c r="S17" s="1"/>
  <c r="Q18"/>
  <c r="S18" s="1"/>
  <c r="Q19"/>
  <c r="S19" s="1"/>
  <c r="Q20"/>
  <c r="S20" s="1"/>
  <c r="Q21"/>
  <c r="S21" s="1"/>
  <c r="Q22"/>
  <c r="S22" s="1"/>
  <c r="I22" i="2" l="1"/>
  <c r="AC22" i="4"/>
  <c r="AB8"/>
  <c r="H23" i="2" s="1"/>
  <c r="BK9" i="4"/>
  <c r="BJ8"/>
  <c r="H30" i="2" s="1"/>
  <c r="AM9" i="4"/>
  <c r="AL8"/>
  <c r="H25" i="2" s="1"/>
  <c r="BE9" i="4"/>
  <c r="BD8"/>
  <c r="H28" i="2" s="1"/>
  <c r="AY9" i="4"/>
  <c r="AX8"/>
  <c r="H27" i="2" s="1"/>
  <c r="I24"/>
  <c r="J24" s="1"/>
  <c r="N8" i="4"/>
  <c r="BM8" s="1"/>
  <c r="BN8" s="1"/>
  <c r="BO8" s="1"/>
  <c r="BP8"/>
  <c r="AS9"/>
  <c r="AR8"/>
  <c r="H26" i="2" s="1"/>
  <c r="R8" i="4"/>
  <c r="H20" i="2" s="1"/>
  <c r="S9" i="4"/>
  <c r="W8"/>
  <c r="H22" i="2" s="1"/>
  <c r="X9" i="4"/>
  <c r="G30" i="2"/>
  <c r="BK27" i="4"/>
  <c r="I28" i="2"/>
  <c r="J28" s="1"/>
  <c r="I25"/>
  <c r="J25" s="1"/>
  <c r="I26"/>
  <c r="J26" s="1"/>
  <c r="I20"/>
  <c r="BK29" i="4"/>
  <c r="I23" i="2"/>
  <c r="I27"/>
  <c r="BK11" i="4"/>
  <c r="BL26"/>
  <c r="BL14"/>
  <c r="BL21"/>
  <c r="BL20"/>
  <c r="BL19"/>
  <c r="BL18"/>
  <c r="BL17"/>
  <c r="BL28"/>
  <c r="BL16"/>
  <c r="BL15"/>
  <c r="BL9"/>
  <c r="BL25"/>
  <c r="BL13"/>
  <c r="AG9"/>
  <c r="H24" i="2" s="1"/>
  <c r="BL24" i="4"/>
  <c r="BL12"/>
  <c r="BL23"/>
  <c r="BL22"/>
  <c r="BL10"/>
  <c r="BK15"/>
  <c r="G20" i="2"/>
  <c r="G22"/>
  <c r="G23"/>
  <c r="G24"/>
  <c r="L23" i="4"/>
  <c r="BP23" s="1"/>
  <c r="G25" i="2"/>
  <c r="G26"/>
  <c r="G27"/>
  <c r="L26" i="4"/>
  <c r="BP26" s="1"/>
  <c r="G28" i="2"/>
  <c r="BP29" i="4"/>
  <c r="L24"/>
  <c r="BP24" s="1"/>
  <c r="L27"/>
  <c r="BP27" s="1"/>
  <c r="AY47"/>
  <c r="L28"/>
  <c r="BP28" s="1"/>
  <c r="L25"/>
  <c r="BP25" s="1"/>
  <c r="L20"/>
  <c r="BP20" s="1"/>
  <c r="L15"/>
  <c r="L11"/>
  <c r="BP11" s="1"/>
  <c r="L18"/>
  <c r="BP18" s="1"/>
  <c r="L14"/>
  <c r="BP14" s="1"/>
  <c r="L13"/>
  <c r="BP13" s="1"/>
  <c r="L21"/>
  <c r="BP21" s="1"/>
  <c r="L17"/>
  <c r="BP17" s="1"/>
  <c r="L9"/>
  <c r="BP9" s="1"/>
  <c r="L19"/>
  <c r="BP19" s="1"/>
  <c r="L10"/>
  <c r="BP10" s="1"/>
  <c r="L12"/>
  <c r="BP12" s="1"/>
  <c r="L16"/>
  <c r="BP16" s="1"/>
  <c r="L22"/>
  <c r="BP22" s="1"/>
  <c r="J22" i="2" l="1"/>
  <c r="M8" i="4"/>
  <c r="H18" i="2" s="1"/>
  <c r="J20"/>
  <c r="J27"/>
  <c r="J23"/>
  <c r="I30"/>
  <c r="J30" s="1"/>
  <c r="G18"/>
  <c r="BP15" i="4"/>
  <c r="BM29"/>
  <c r="BN29" s="1"/>
  <c r="N28"/>
  <c r="BM28" s="1"/>
  <c r="BN28" s="1"/>
  <c r="N27"/>
  <c r="BM27" s="1"/>
  <c r="BN27" s="1"/>
  <c r="N26"/>
  <c r="BM26" s="1"/>
  <c r="BN26" s="1"/>
  <c r="N25"/>
  <c r="BM25" s="1"/>
  <c r="BN25" s="1"/>
  <c r="N24"/>
  <c r="BM24" s="1"/>
  <c r="BN24" s="1"/>
  <c r="N21"/>
  <c r="N20"/>
  <c r="N19"/>
  <c r="N18"/>
  <c r="N17"/>
  <c r="N16"/>
  <c r="N14"/>
  <c r="N12"/>
  <c r="N11"/>
  <c r="N10"/>
  <c r="N9"/>
  <c r="N23"/>
  <c r="BM23" s="1"/>
  <c r="BN23" s="1"/>
  <c r="N22"/>
  <c r="BM22" s="1"/>
  <c r="BN22" s="1"/>
  <c r="N13"/>
  <c r="N15"/>
  <c r="I18" i="2" l="1"/>
  <c r="J18" s="1"/>
  <c r="BO29" i="4"/>
  <c r="BO28"/>
  <c r="BO27"/>
  <c r="BO26"/>
  <c r="BO25"/>
  <c r="BO24"/>
  <c r="BO23"/>
  <c r="BO22"/>
  <c r="BM9"/>
  <c r="BN9" s="1"/>
  <c r="BM19"/>
  <c r="BN19" s="1"/>
  <c r="BM16"/>
  <c r="BN16" s="1"/>
  <c r="BM21"/>
  <c r="BN21" s="1"/>
  <c r="BO19" l="1"/>
  <c r="BO9"/>
  <c r="BO21"/>
  <c r="BO16"/>
  <c r="BM15"/>
  <c r="BN15" s="1"/>
  <c r="BM10"/>
  <c r="BM13"/>
  <c r="BN13" s="1"/>
  <c r="BM20"/>
  <c r="BN20" s="1"/>
  <c r="BM14"/>
  <c r="BN14" s="1"/>
  <c r="BM17"/>
  <c r="BN17" s="1"/>
  <c r="BM11"/>
  <c r="BN11" s="1"/>
  <c r="BM18"/>
  <c r="BN18" s="1"/>
  <c r="BO18" l="1"/>
  <c r="BO11"/>
  <c r="BO14"/>
  <c r="BO17"/>
  <c r="BO20"/>
  <c r="BO15"/>
  <c r="BO13"/>
  <c r="BM12"/>
  <c r="BN12" s="1"/>
  <c r="BN10"/>
  <c r="K18" i="2" l="1"/>
  <c r="BO10" i="4"/>
  <c r="D33" i="2" s="1"/>
  <c r="BO12" i="4"/>
  <c r="G31" i="2" l="1"/>
</calcChain>
</file>

<file path=xl/sharedStrings.xml><?xml version="1.0" encoding="utf-8"?>
<sst xmlns="http://schemas.openxmlformats.org/spreadsheetml/2006/main" count="316" uniqueCount="259">
  <si>
    <t>ROLL</t>
  </si>
  <si>
    <t>TOTAL</t>
  </si>
  <si>
    <t>GP</t>
  </si>
  <si>
    <t>MATH</t>
  </si>
  <si>
    <t>RELIGION</t>
  </si>
  <si>
    <t>ICT</t>
  </si>
  <si>
    <t>T-GP</t>
  </si>
  <si>
    <t>GPA</t>
  </si>
  <si>
    <t>CR</t>
  </si>
  <si>
    <t>OB</t>
  </si>
  <si>
    <t>PR</t>
  </si>
  <si>
    <t>ENGLISH</t>
  </si>
  <si>
    <t>1st</t>
  </si>
  <si>
    <t>2nd</t>
  </si>
  <si>
    <t>Mother's Name</t>
  </si>
  <si>
    <t>Student's Name</t>
  </si>
  <si>
    <t>Mobile No.</t>
  </si>
  <si>
    <t>HIGHST
MARKS</t>
  </si>
  <si>
    <t>NAME OF SUBJECT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</si>
  <si>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</si>
  <si>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</si>
  <si>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</si>
  <si>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</si>
  <si>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</si>
  <si>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</si>
  <si>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</si>
  <si>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</si>
  <si>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</si>
  <si>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</si>
  <si>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</si>
  <si>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</si>
  <si>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</si>
  <si>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</si>
  <si>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</si>
  <si>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</si>
  <si>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</si>
  <si>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</si>
  <si>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</si>
  <si>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PHYSICS</t>
  </si>
  <si>
    <t>CHEMISTRY</t>
  </si>
  <si>
    <t>BEHABIOUR</t>
  </si>
  <si>
    <t>GRAND TOTAL 
MARKS</t>
  </si>
  <si>
    <t>WORKING 
DAYS</t>
  </si>
  <si>
    <t>RANK OF STUDENT</t>
  </si>
  <si>
    <t>BGS</t>
  </si>
  <si>
    <t>BIOLOGY / H-MATH</t>
  </si>
  <si>
    <t>BIOLOGY / H-MATH / AG</t>
  </si>
  <si>
    <t>Fahther`s Name</t>
  </si>
  <si>
    <t>H
MARK</t>
  </si>
  <si>
    <t>H
MARKS</t>
  </si>
  <si>
    <t>TOTAL
100</t>
  </si>
  <si>
    <t>TOTAL
200</t>
  </si>
  <si>
    <t>BANGLA-1</t>
  </si>
  <si>
    <t>BANGLA-2</t>
  </si>
  <si>
    <t>GP1</t>
  </si>
  <si>
    <t>GRADE</t>
  </si>
  <si>
    <t xml:space="preserve">TEN </t>
  </si>
  <si>
    <t>TOTAL STUDENT       :</t>
  </si>
  <si>
    <t>WORKING DAYS        :</t>
  </si>
  <si>
    <t>Class Teacher</t>
  </si>
  <si>
    <r>
      <t>STUDENTS BEHAVIOURS AND SKILL</t>
    </r>
    <r>
      <rPr>
        <sz val="14"/>
        <color theme="1"/>
        <rFont val="Cambria"/>
        <family val="1"/>
        <scheme val="major"/>
      </rPr>
      <t>:</t>
    </r>
  </si>
  <si>
    <r>
      <t xml:space="preserve">POSITION OF THE EXAMINEE           </t>
    </r>
    <r>
      <rPr>
        <sz val="14"/>
        <color theme="1"/>
        <rFont val="Cambria"/>
        <family val="1"/>
        <scheme val="major"/>
      </rPr>
      <t>:</t>
    </r>
  </si>
  <si>
    <t>SECTION                        :</t>
  </si>
  <si>
    <t>CLASS                            :</t>
  </si>
  <si>
    <t>ROLL NO.                        :</t>
  </si>
  <si>
    <t>Principal</t>
  </si>
  <si>
    <t>BIOLOGY</t>
  </si>
  <si>
    <t>H-MATH/ AGGRICULTURE</t>
  </si>
  <si>
    <t>N/A</t>
  </si>
  <si>
    <t>Co-Ordinator</t>
  </si>
  <si>
    <t>MD. MUSFIQUR RAHMAN</t>
  </si>
  <si>
    <t>01676-255489</t>
  </si>
  <si>
    <r>
      <t xml:space="preserve">       </t>
    </r>
    <r>
      <rPr>
        <b/>
        <sz val="16"/>
        <rFont val="Times New Roman"/>
        <family val="1"/>
      </rPr>
      <t>AMIN CADET RESIDENTIAL ACADEMY</t>
    </r>
    <r>
      <rPr>
        <b/>
        <sz val="18"/>
        <rFont val="Times New Roman"/>
        <family val="1"/>
      </rPr>
      <t xml:space="preserve">
</t>
    </r>
    <r>
      <rPr>
        <b/>
        <sz val="8"/>
        <rFont val="Times New Roman"/>
        <family val="1"/>
      </rPr>
      <t>Amin Model Town, Savar Cantonment, Ashulia, Dhaka-1344.</t>
    </r>
    <r>
      <rPr>
        <b/>
        <sz val="12"/>
        <rFont val="Times New Roman"/>
        <family val="1"/>
      </rPr>
      <t xml:space="preserve">
</t>
    </r>
    <r>
      <rPr>
        <b/>
        <sz val="14"/>
        <rFont val="Times New Roman"/>
        <family val="1"/>
      </rPr>
      <t>Test Examination</t>
    </r>
    <r>
      <rPr>
        <b/>
        <sz val="12"/>
        <rFont val="Times New Roman"/>
        <family val="1"/>
      </rPr>
      <t xml:space="preserve">
Progressive Report - 2025</t>
    </r>
  </si>
  <si>
    <t>S.M. Arafat Ahmed</t>
  </si>
  <si>
    <t>S.M. Shabbir Ahmed</t>
  </si>
  <si>
    <t>Kakon</t>
  </si>
  <si>
    <t xml:space="preserve">A.S.M Riyad </t>
  </si>
  <si>
    <t xml:space="preserve">Md. Shahbul Haque </t>
  </si>
  <si>
    <t xml:space="preserve">Al Asmanul Husna </t>
  </si>
  <si>
    <t xml:space="preserve">Tahmid Bin Showayeb </t>
  </si>
  <si>
    <t xml:space="preserve">Md. Showayeb </t>
  </si>
  <si>
    <t xml:space="preserve">Farida Yasmin </t>
  </si>
  <si>
    <t xml:space="preserve">Mummed Rafi </t>
  </si>
  <si>
    <t>Topajjal Hossen Raton</t>
  </si>
  <si>
    <t xml:space="preserve">Moyna Akter </t>
  </si>
  <si>
    <t xml:space="preserve">Nadia Alam Nilima </t>
  </si>
  <si>
    <t xml:space="preserve">Mohammad Nur Alam </t>
  </si>
  <si>
    <t xml:space="preserve">Minoara Alam </t>
  </si>
  <si>
    <t xml:space="preserve">Mahmudujjaman Labib </t>
  </si>
  <si>
    <t xml:space="preserve">Kamrozzaman </t>
  </si>
  <si>
    <t>Sila</t>
  </si>
  <si>
    <t xml:space="preserve">Nasif Rahman </t>
  </si>
  <si>
    <t xml:space="preserve">A.K.M. Shahidur Rahman </t>
  </si>
  <si>
    <t xml:space="preserve">Maksuda Akter </t>
  </si>
  <si>
    <t xml:space="preserve">Md. Tanvir Mahamud </t>
  </si>
  <si>
    <t xml:space="preserve">Md. Humayun Kobir </t>
  </si>
  <si>
    <t>Lilay</t>
  </si>
  <si>
    <t>Md. Taufiq Islam</t>
  </si>
  <si>
    <t>Md. Jekrul Islam</t>
  </si>
  <si>
    <t xml:space="preserve">Most. Fenshe Begum </t>
  </si>
  <si>
    <t>Mithila Yesmin</t>
  </si>
  <si>
    <t>Md Shahidul Islam</t>
  </si>
  <si>
    <t>Nazma Yesmin</t>
  </si>
  <si>
    <t>Sadia Islam Towa</t>
  </si>
  <si>
    <t xml:space="preserve">Md. Safiqul Islam </t>
  </si>
  <si>
    <t xml:space="preserve">Hasina Akter </t>
  </si>
  <si>
    <t xml:space="preserve">Atikur Rahman Atik </t>
  </si>
  <si>
    <t xml:space="preserve">Kamrul Islam </t>
  </si>
  <si>
    <t>Aysha Begum</t>
  </si>
  <si>
    <t xml:space="preserve">Md. Abdur Rahman </t>
  </si>
  <si>
    <t xml:space="preserve">Md. Mokbul Hasan </t>
  </si>
  <si>
    <t xml:space="preserve">Mst. Afroza Parvin </t>
  </si>
  <si>
    <t xml:space="preserve">Sadia Afrin </t>
  </si>
  <si>
    <t xml:space="preserve">Md. Abdullah </t>
  </si>
  <si>
    <t xml:space="preserve">Rubia Akter </t>
  </si>
  <si>
    <t xml:space="preserve">Shikto Sarker </t>
  </si>
  <si>
    <t xml:space="preserve">Nanda Sarker </t>
  </si>
  <si>
    <t xml:space="preserve">Shuma Sarker </t>
  </si>
  <si>
    <t>Md. Abdullah Al Araf</t>
  </si>
  <si>
    <t>Md. Alamgir Hossain Howlader</t>
  </si>
  <si>
    <t>Mst Shanaz Begum</t>
  </si>
  <si>
    <t>Srizan Mahmud Shovon</t>
  </si>
  <si>
    <t>Md Shahadat Hossain</t>
  </si>
  <si>
    <t>Fazila Khatun</t>
  </si>
  <si>
    <t>Mehedi Hasan Siam</t>
  </si>
  <si>
    <t>Md. Monsur Alam</t>
  </si>
  <si>
    <t>Nahida Akter</t>
  </si>
  <si>
    <t xml:space="preserve">Amir Hasan Abir </t>
  </si>
  <si>
    <t xml:space="preserve">Md. Faruk Sarker </t>
  </si>
  <si>
    <t xml:space="preserve">Mst. Afifa Akter </t>
  </si>
  <si>
    <t xml:space="preserve">Md. Mehedi Hasan Riad </t>
  </si>
  <si>
    <t xml:space="preserve">Md. Korban Ali </t>
  </si>
  <si>
    <t xml:space="preserve">Mst. Rehena Begum </t>
  </si>
  <si>
    <t>Md. Himel Mia</t>
  </si>
  <si>
    <t xml:space="preserve">Hiron Mia </t>
  </si>
  <si>
    <t xml:space="preserve">Fahima Akter </t>
  </si>
  <si>
    <t xml:space="preserve">Jannatul Ferdous </t>
  </si>
  <si>
    <t>Md. Shariful Islam</t>
  </si>
  <si>
    <t xml:space="preserve">Argina Khatun </t>
  </si>
  <si>
    <t>01329-743049 01727-001153</t>
  </si>
  <si>
    <t>01915-686736      01956-805507</t>
  </si>
  <si>
    <t>01912-049061</t>
  </si>
  <si>
    <t>01991-320759</t>
  </si>
  <si>
    <t>01779-913642</t>
  </si>
  <si>
    <t>01712-697977                     01762-505670</t>
  </si>
  <si>
    <t>01631-243518</t>
  </si>
  <si>
    <t>01735-900839                 01915-927643</t>
  </si>
  <si>
    <t>01829-871907</t>
  </si>
  <si>
    <t>01932-998456    01995-110591</t>
  </si>
  <si>
    <t>01911-892274      01952-661314</t>
  </si>
  <si>
    <t>01721-361720     01942-554754</t>
  </si>
  <si>
    <t>01852-061971</t>
  </si>
  <si>
    <t>01710-670870</t>
  </si>
  <si>
    <t>01719-592848                                    01737-248529</t>
  </si>
  <si>
    <t>01727-647096</t>
  </si>
  <si>
    <t>01999-581228</t>
  </si>
  <si>
    <t>01890-354780</t>
  </si>
  <si>
    <t>01883-500477</t>
  </si>
  <si>
    <t>01712-040633</t>
  </si>
  <si>
    <t>01725-691223                     01904-477779</t>
  </si>
  <si>
    <t>01705-760356     01928-486730</t>
  </si>
  <si>
    <t xml:space="preserve">Sumaya Gias Prova </t>
  </si>
  <si>
    <t>Md. Gias Uddin Howladar</t>
  </si>
  <si>
    <t xml:space="preserve">Mst Silpe </t>
  </si>
  <si>
    <t>01712-064633                 01743-052711</t>
  </si>
  <si>
    <t>Mst. Marjia</t>
  </si>
  <si>
    <t>Mohammad Younus Bepary</t>
  </si>
  <si>
    <t xml:space="preserve">Mst. Sharmila </t>
  </si>
  <si>
    <t>01923-151914          01608-226256</t>
  </si>
  <si>
    <t xml:space="preserve">Momo Binte Monir </t>
  </si>
  <si>
    <t xml:space="preserve">Monirul Islam </t>
  </si>
  <si>
    <t xml:space="preserve">Lipi Jamader </t>
  </si>
  <si>
    <t>01862-918915      01727-197692</t>
  </si>
  <si>
    <t xml:space="preserve">Hasina Akter Nirala </t>
  </si>
  <si>
    <t>Md. Abul Hasnat</t>
  </si>
  <si>
    <t xml:space="preserve">Mst. Kahinur </t>
  </si>
  <si>
    <t>01850-170463       01923-317063</t>
  </si>
  <si>
    <t>Md. Hamim Islam</t>
  </si>
  <si>
    <t>Md. Sohel Rana</t>
  </si>
  <si>
    <t>Mst Kadiza Aktar</t>
  </si>
  <si>
    <t>01731-293328
01770-333268</t>
  </si>
  <si>
    <t>Md. Al Arafat Apon</t>
  </si>
  <si>
    <t>Md. Khalequzzaman</t>
  </si>
  <si>
    <t>Mst. Alpona Aktar</t>
  </si>
  <si>
    <t>01713-794014   01758-520147</t>
  </si>
  <si>
    <t>Hojaifa Ibne Hanun</t>
  </si>
  <si>
    <t xml:space="preserve">Md. Harun Or Rashid </t>
  </si>
  <si>
    <t xml:space="preserve">Mst. Sobaraton Nessa </t>
  </si>
  <si>
    <t>01816-883062</t>
  </si>
  <si>
    <t>Md. Omor Faruk</t>
  </si>
  <si>
    <t>A.K.M Milon Hossain</t>
  </si>
  <si>
    <t>Mst. Fazila Khatun</t>
  </si>
  <si>
    <t>01728-657499</t>
  </si>
  <si>
    <t>Sabbir Mahmud</t>
  </si>
  <si>
    <t xml:space="preserve">Md. Sumon </t>
  </si>
  <si>
    <t xml:space="preserve">Soniya Akter </t>
  </si>
  <si>
    <t>01729-820132                     01736-806152</t>
  </si>
  <si>
    <t xml:space="preserve">Ananya Rahman Protikkha </t>
  </si>
  <si>
    <t xml:space="preserve">Md. Mizanur Rahman </t>
  </si>
  <si>
    <t xml:space="preserve">Rekha Khan </t>
  </si>
  <si>
    <t>01742-434649      01742-434648</t>
  </si>
  <si>
    <t xml:space="preserve">Abu Saleh Md Jubayer </t>
  </si>
  <si>
    <t>A.F.M Sayadullah</t>
  </si>
  <si>
    <t xml:space="preserve">Kohinoor Begum </t>
  </si>
  <si>
    <t xml:space="preserve">01742-892981                  </t>
  </si>
  <si>
    <t>Sayada Riham</t>
  </si>
  <si>
    <t>Abdul Hasan</t>
  </si>
  <si>
    <t>Mousumi Begum</t>
  </si>
  <si>
    <t>01939-331341</t>
  </si>
  <si>
    <t xml:space="preserve">F.A Alif </t>
  </si>
  <si>
    <t xml:space="preserve">Md. Rabiul Awal </t>
  </si>
  <si>
    <t xml:space="preserve">Mst. Shamoli Akter </t>
  </si>
  <si>
    <t>01717-487598</t>
  </si>
  <si>
    <t>Protik Chandro Shil Akash</t>
  </si>
  <si>
    <t>Anando Shil</t>
  </si>
  <si>
    <t>Runa Rani Shil</t>
  </si>
  <si>
    <t>01723-582880   01677-809763</t>
  </si>
  <si>
    <t xml:space="preserve">Sumaya </t>
  </si>
  <si>
    <t>A. Baten</t>
  </si>
  <si>
    <t>Mst. Nurzahan Begum</t>
  </si>
  <si>
    <t>01620-993579</t>
  </si>
  <si>
    <t>Saiyod Fahim Munaim</t>
  </si>
  <si>
    <t>Omor Faruk</t>
  </si>
  <si>
    <t>Kulsuma Begum</t>
  </si>
  <si>
    <t>01720-165569   01308-639123</t>
  </si>
  <si>
    <t>Sabbir Hasan Ontor</t>
  </si>
  <si>
    <t>Md. Ramzan</t>
  </si>
  <si>
    <t xml:space="preserve">Mst. Moslema Akter </t>
  </si>
  <si>
    <t>01760-300419</t>
  </si>
  <si>
    <t xml:space="preserve">Syed Tanvir Islam </t>
  </si>
  <si>
    <t xml:space="preserve">Syed Majharul Islam </t>
  </si>
  <si>
    <t xml:space="preserve">Shamima Akter </t>
  </si>
  <si>
    <t>01606-084387    01710-236228</t>
  </si>
  <si>
    <t xml:space="preserve">Md. Farhan Sarker </t>
  </si>
  <si>
    <t xml:space="preserve">Md. Abdul Kader Sarker </t>
  </si>
  <si>
    <t xml:space="preserve">Mrs. Afroja Nasrin </t>
  </si>
  <si>
    <t xml:space="preserve">01718-229939         </t>
  </si>
  <si>
    <t xml:space="preserve">Ratan Al Mubin </t>
  </si>
  <si>
    <t xml:space="preserve">Md. Arif Hossain </t>
  </si>
  <si>
    <t xml:space="preserve">Mst. Moriom Begum </t>
  </si>
  <si>
    <t xml:space="preserve">01757-259827                       </t>
  </si>
  <si>
    <t xml:space="preserve">Jannatul Ferdous Ema </t>
  </si>
  <si>
    <t xml:space="preserve">Dikder Delowar Hossain </t>
  </si>
  <si>
    <t xml:space="preserve">Mrs. Sharifa Yesmin </t>
  </si>
  <si>
    <t>01966-322337                   01712-967371</t>
  </si>
  <si>
    <t xml:space="preserve">H.M Jesan </t>
  </si>
  <si>
    <t xml:space="preserve">Md Jewel Howlader </t>
  </si>
  <si>
    <t>Mst. Kanis Fathama Juthy</t>
  </si>
  <si>
    <t>01303-205901</t>
  </si>
  <si>
    <t>Md. Fardin</t>
  </si>
  <si>
    <r>
      <rPr>
        <b/>
        <sz val="20"/>
        <color theme="1"/>
        <rFont val="Calibri"/>
        <family val="2"/>
        <scheme val="minor"/>
      </rPr>
      <t>AMIN CADET RESIDENTIAL ACADEMY</t>
    </r>
    <r>
      <rPr>
        <sz val="28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Amin Model Town, Savar Cantonment, Ashulia, Dhaka - 1344.</t>
    </r>
    <r>
      <rPr>
        <sz val="15"/>
        <color theme="1"/>
        <rFont val="Calibri"/>
        <family val="2"/>
        <scheme val="minor"/>
      </rPr>
      <t xml:space="preserve">
</t>
    </r>
    <r>
      <rPr>
        <sz val="14"/>
        <color theme="1"/>
        <rFont val="Calibri"/>
        <family val="2"/>
        <scheme val="minor"/>
      </rPr>
      <t>TEST EXAMINATION</t>
    </r>
    <r>
      <rPr>
        <sz val="14"/>
        <color rgb="FFFF0000"/>
        <rFont val="Calibri"/>
        <family val="2"/>
        <scheme val="minor"/>
      </rPr>
      <t xml:space="preserve"> </t>
    </r>
    <r>
      <rPr>
        <sz val="14"/>
        <rFont val="Calibri"/>
        <family val="2"/>
        <scheme val="minor"/>
      </rPr>
      <t>TABULATION SHEET-2025</t>
    </r>
    <r>
      <rPr>
        <sz val="15"/>
        <color rgb="FFFF0000"/>
        <rFont val="Calibri"/>
        <family val="2"/>
        <scheme val="minor"/>
      </rPr>
      <t xml:space="preserve">
</t>
    </r>
    <r>
      <rPr>
        <sz val="15"/>
        <rFont val="Calibri"/>
        <family val="2"/>
        <scheme val="minor"/>
      </rPr>
      <t>CLASS-10 (SCIENCE)</t>
    </r>
  </si>
  <si>
    <t>SCIENCE (A &amp; B)</t>
  </si>
  <si>
    <t>F3</t>
  </si>
  <si>
    <t>F</t>
  </si>
  <si>
    <t>F5</t>
  </si>
  <si>
    <t>F6</t>
  </si>
  <si>
    <t>F2</t>
  </si>
  <si>
    <t>F8</t>
  </si>
  <si>
    <t>F1</t>
  </si>
</sst>
</file>

<file path=xl/styles.xml><?xml version="1.0" encoding="utf-8"?>
<styleSheet xmlns="http://schemas.openxmlformats.org/spreadsheetml/2006/main"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9"/>
      <color theme="1"/>
      <name val="Cambria"/>
      <family val="1"/>
      <scheme val="major"/>
    </font>
    <font>
      <sz val="10"/>
      <color theme="1"/>
      <name val="Algerian"/>
      <family val="5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8"/>
      <color theme="1"/>
      <name val="Cambria"/>
      <family val="1"/>
      <scheme val="major"/>
    </font>
    <font>
      <sz val="10"/>
      <color theme="1"/>
      <name val="Lucida Handwriting"/>
      <family val="4"/>
    </font>
    <font>
      <sz val="11"/>
      <color theme="1"/>
      <name val="Times New Roman"/>
      <family val="1"/>
    </font>
    <font>
      <b/>
      <sz val="12"/>
      <name val="Times New Roman"/>
      <family val="1"/>
    </font>
    <font>
      <sz val="14"/>
      <color theme="1"/>
      <name val="Cambria"/>
      <family val="1"/>
      <scheme val="major"/>
    </font>
    <font>
      <b/>
      <sz val="18"/>
      <name val="Times New Roman"/>
      <family val="1"/>
    </font>
    <font>
      <b/>
      <sz val="8"/>
      <name val="Times New Roman"/>
      <family val="1"/>
    </font>
    <font>
      <b/>
      <sz val="14"/>
      <name val="Times New Roman"/>
      <family val="1"/>
    </font>
    <font>
      <sz val="14"/>
      <name val="Algerian"/>
      <family val="5"/>
    </font>
    <font>
      <b/>
      <sz val="11"/>
      <color theme="1"/>
      <name val="Tempus Sans ITC"/>
      <family val="5"/>
    </font>
    <font>
      <sz val="10"/>
      <name val="Times New Roman"/>
      <family val="1"/>
    </font>
    <font>
      <sz val="10"/>
      <color theme="1"/>
      <name val="Cambria"/>
      <family val="1"/>
      <scheme val="major"/>
    </font>
    <font>
      <b/>
      <sz val="8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5"/>
      <color rgb="FFFF0000"/>
      <name val="Calibri"/>
      <family val="2"/>
      <scheme val="minor"/>
    </font>
    <font>
      <sz val="15"/>
      <name val="Calibri"/>
      <family val="2"/>
      <scheme val="minor"/>
    </font>
    <font>
      <b/>
      <sz val="16"/>
      <name val="Times New Roman"/>
      <family val="1"/>
    </font>
    <font>
      <sz val="12"/>
      <name val="Times New Roman"/>
      <family val="1"/>
    </font>
    <font>
      <sz val="13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6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/>
    <xf numFmtId="0" fontId="14" fillId="0" borderId="1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2" fontId="2" fillId="0" borderId="0" xfId="1" applyNumberFormat="1" applyFont="1" applyFill="1" applyBorder="1" applyAlignment="1">
      <alignment horizontal="center" vertical="center"/>
    </xf>
    <xf numFmtId="0" fontId="12" fillId="0" borderId="0" xfId="0" applyFont="1"/>
    <xf numFmtId="0" fontId="3" fillId="0" borderId="3" xfId="0" applyFont="1" applyBorder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26" fillId="2" borderId="0" xfId="0" applyFont="1" applyFill="1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2" fontId="2" fillId="0" borderId="0" xfId="1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10" xfId="0" applyFill="1" applyBorder="1"/>
    <xf numFmtId="0" fontId="0" fillId="2" borderId="9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0" xfId="0" applyFill="1" applyBorder="1" applyAlignment="1">
      <alignment horizontal="center" vertical="center"/>
    </xf>
    <xf numFmtId="0" fontId="0" fillId="2" borderId="0" xfId="0" applyFill="1"/>
    <xf numFmtId="0" fontId="18" fillId="2" borderId="0" xfId="0" applyFont="1" applyFill="1"/>
    <xf numFmtId="0" fontId="0" fillId="2" borderId="14" xfId="0" applyFill="1" applyBorder="1"/>
    <xf numFmtId="0" fontId="18" fillId="2" borderId="15" xfId="0" applyFont="1" applyFill="1" applyBorder="1"/>
    <xf numFmtId="0" fontId="0" fillId="2" borderId="15" xfId="0" applyFill="1" applyBorder="1"/>
    <xf numFmtId="0" fontId="10" fillId="2" borderId="15" xfId="0" applyFont="1" applyFill="1" applyBorder="1" applyAlignment="1">
      <alignment horizontal="center" vertical="center"/>
    </xf>
    <xf numFmtId="0" fontId="0" fillId="2" borderId="12" xfId="0" applyFill="1" applyBorder="1"/>
    <xf numFmtId="0" fontId="27" fillId="0" borderId="1" xfId="0" applyFont="1" applyBorder="1" applyAlignment="1">
      <alignment horizont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27" fillId="0" borderId="1" xfId="1" applyNumberFormat="1" applyFont="1" applyFill="1" applyBorder="1" applyAlignment="1">
      <alignment horizontal="center" vertical="center" wrapText="1"/>
    </xf>
    <xf numFmtId="0" fontId="28" fillId="0" borderId="0" xfId="0" applyFont="1"/>
    <xf numFmtId="0" fontId="2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7" fillId="0" borderId="1" xfId="0" applyFont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center" vertical="center" wrapText="1"/>
    </xf>
    <xf numFmtId="0" fontId="38" fillId="2" borderId="1" xfId="0" applyFont="1" applyFill="1" applyBorder="1" applyAlignment="1">
      <alignment horizontal="left" vertical="center" wrapText="1"/>
    </xf>
    <xf numFmtId="0" fontId="27" fillId="0" borderId="3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 wrapText="1"/>
    </xf>
    <xf numFmtId="2" fontId="27" fillId="2" borderId="1" xfId="1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37" fillId="2" borderId="2" xfId="0" applyFont="1" applyFill="1" applyBorder="1" applyAlignment="1">
      <alignment horizontal="center" vertical="center"/>
    </xf>
    <xf numFmtId="0" fontId="38" fillId="2" borderId="2" xfId="0" applyFont="1" applyFill="1" applyBorder="1" applyAlignment="1">
      <alignment horizontal="left" vertical="center" wrapText="1"/>
    </xf>
    <xf numFmtId="0" fontId="37" fillId="2" borderId="2" xfId="0" applyFont="1" applyFill="1" applyBorder="1" applyAlignment="1">
      <alignment horizontal="center" vertical="center" wrapText="1"/>
    </xf>
    <xf numFmtId="0" fontId="27" fillId="2" borderId="2" xfId="0" applyFont="1" applyFill="1" applyBorder="1" applyAlignment="1">
      <alignment horizontal="center" vertical="center" wrapText="1"/>
    </xf>
    <xf numFmtId="0" fontId="27" fillId="2" borderId="4" xfId="0" applyFont="1" applyFill="1" applyBorder="1" applyAlignment="1">
      <alignment horizontal="center" vertical="center" wrapText="1"/>
    </xf>
    <xf numFmtId="2" fontId="27" fillId="2" borderId="2" xfId="1" applyNumberFormat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37" fillId="2" borderId="16" xfId="0" applyFont="1" applyFill="1" applyBorder="1" applyAlignment="1">
      <alignment horizontal="center" vertical="center"/>
    </xf>
    <xf numFmtId="0" fontId="38" fillId="2" borderId="16" xfId="0" applyFont="1" applyFill="1" applyBorder="1" applyAlignment="1">
      <alignment horizontal="left" vertical="center"/>
    </xf>
    <xf numFmtId="0" fontId="37" fillId="2" borderId="16" xfId="0" applyFont="1" applyFill="1" applyBorder="1" applyAlignment="1">
      <alignment horizontal="center" vertical="center" wrapText="1"/>
    </xf>
    <xf numFmtId="0" fontId="27" fillId="2" borderId="16" xfId="0" applyFont="1" applyFill="1" applyBorder="1" applyAlignment="1">
      <alignment horizontal="center" vertical="center" wrapText="1"/>
    </xf>
    <xf numFmtId="2" fontId="27" fillId="2" borderId="16" xfId="1" applyNumberFormat="1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 wrapText="1"/>
    </xf>
    <xf numFmtId="0" fontId="0" fillId="2" borderId="17" xfId="0" applyFill="1" applyBorder="1"/>
    <xf numFmtId="0" fontId="28" fillId="0" borderId="2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3" xfId="0" applyFont="1" applyBorder="1" applyAlignment="1">
      <alignment horizontal="center" vertical="center" wrapText="1"/>
    </xf>
    <xf numFmtId="0" fontId="28" fillId="0" borderId="3" xfId="0" applyFont="1" applyBorder="1" applyAlignment="1">
      <alignment horizontal="center" vertical="center" wrapText="1"/>
    </xf>
    <xf numFmtId="0" fontId="28" fillId="0" borderId="5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28" fillId="0" borderId="7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6" fillId="2" borderId="15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9" fillId="2" borderId="0" xfId="0" applyFont="1" applyFill="1" applyAlignment="1">
      <alignment horizontal="left"/>
    </xf>
    <xf numFmtId="0" fontId="8" fillId="2" borderId="5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25" fillId="2" borderId="0" xfId="0" applyFont="1" applyFill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 textRotation="90"/>
    </xf>
    <xf numFmtId="0" fontId="9" fillId="2" borderId="3" xfId="0" applyFont="1" applyFill="1" applyBorder="1" applyAlignment="1">
      <alignment horizontal="center" vertical="center" textRotation="90"/>
    </xf>
    <xf numFmtId="2" fontId="13" fillId="2" borderId="1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2" fontId="17" fillId="2" borderId="15" xfId="0" applyNumberFormat="1" applyFont="1" applyFill="1" applyBorder="1" applyAlignment="1">
      <alignment horizontal="left" vertical="center"/>
    </xf>
    <xf numFmtId="0" fontId="17" fillId="2" borderId="15" xfId="0" applyFont="1" applyFill="1" applyBorder="1" applyAlignment="1">
      <alignment horizontal="left" vertical="center"/>
    </xf>
    <xf numFmtId="0" fontId="17" fillId="2" borderId="12" xfId="0" applyFont="1" applyFill="1" applyBorder="1" applyAlignment="1">
      <alignment horizontal="left" vertical="center"/>
    </xf>
    <xf numFmtId="0" fontId="24" fillId="2" borderId="13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4" fillId="2" borderId="11" xfId="0" applyFont="1" applyFill="1" applyBorder="1" applyAlignment="1">
      <alignment horizontal="center" vertical="center"/>
    </xf>
    <xf numFmtId="0" fontId="24" fillId="2" borderId="14" xfId="0" applyFont="1" applyFill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right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left" vertical="center"/>
    </xf>
    <xf numFmtId="0" fontId="17" fillId="2" borderId="1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right" vertical="center"/>
    </xf>
    <xf numFmtId="0" fontId="19" fillId="2" borderId="8" xfId="0" applyFont="1" applyFill="1" applyBorder="1" applyAlignment="1">
      <alignment horizontal="center" vertical="center" wrapText="1"/>
    </xf>
    <xf numFmtId="0" fontId="19" fillId="2" borderId="10" xfId="0" applyFont="1" applyFill="1" applyBorder="1" applyAlignment="1">
      <alignment horizontal="center" vertical="center" wrapText="1"/>
    </xf>
    <xf numFmtId="0" fontId="19" fillId="2" borderId="9" xfId="0" applyFont="1" applyFill="1" applyBorder="1" applyAlignment="1">
      <alignment horizontal="center" vertical="center" wrapText="1"/>
    </xf>
    <xf numFmtId="0" fontId="19" fillId="2" borderId="13" xfId="0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 vertical="center" wrapText="1"/>
    </xf>
    <xf numFmtId="0" fontId="19" fillId="2" borderId="11" xfId="0" applyFont="1" applyFill="1" applyBorder="1" applyAlignment="1">
      <alignment horizontal="center" vertical="center" wrapText="1"/>
    </xf>
    <xf numFmtId="0" fontId="19" fillId="2" borderId="14" xfId="0" applyFont="1" applyFill="1" applyBorder="1" applyAlignment="1">
      <alignment horizontal="center" vertical="center" wrapText="1"/>
    </xf>
    <xf numFmtId="0" fontId="19" fillId="2" borderId="15" xfId="0" applyFont="1" applyFill="1" applyBorder="1" applyAlignment="1">
      <alignment horizontal="center" vertical="center" wrapText="1"/>
    </xf>
    <xf numFmtId="0" fontId="19" fillId="2" borderId="12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11" fillId="2" borderId="10" xfId="0" applyFont="1" applyFill="1" applyBorder="1" applyAlignment="1">
      <alignment horizontal="right" vertic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FF99FF"/>
      <color rgb="FF9ABB59"/>
      <color rgb="FF87FD6B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161924</xdr:colOff>
      <xdr:row>0</xdr:row>
      <xdr:rowOff>95250</xdr:rowOff>
    </xdr:from>
    <xdr:to>
      <xdr:col>27</xdr:col>
      <xdr:colOff>370936</xdr:colOff>
      <xdr:row>4</xdr:row>
      <xdr:rowOff>209550</xdr:rowOff>
    </xdr:to>
    <xdr:pic>
      <xdr:nvPicPr>
        <xdr:cNvPr id="4" name="Picture 3" descr="ACA-LOGO.png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181974" y="95250"/>
          <a:ext cx="1037687" cy="11049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132521</xdr:colOff>
      <xdr:row>0</xdr:row>
      <xdr:rowOff>173933</xdr:rowOff>
    </xdr:from>
    <xdr:to>
      <xdr:col>2</xdr:col>
      <xdr:colOff>411431</xdr:colOff>
      <xdr:row>3</xdr:row>
      <xdr:rowOff>298174</xdr:rowOff>
    </xdr:to>
    <xdr:pic>
      <xdr:nvPicPr>
        <xdr:cNvPr id="5" name="Picture 4" descr="ACA-LOGO.png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745434" y="173933"/>
          <a:ext cx="891823" cy="106845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496957</xdr:colOff>
      <xdr:row>34</xdr:row>
      <xdr:rowOff>132521</xdr:rowOff>
    </xdr:from>
    <xdr:to>
      <xdr:col>10</xdr:col>
      <xdr:colOff>164588</xdr:colOff>
      <xdr:row>36</xdr:row>
      <xdr:rowOff>47510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5864648" y="10220178"/>
          <a:ext cx="337402" cy="901739"/>
        </a:xfrm>
        <a:prstGeom prst="rect">
          <a:avLst/>
        </a:prstGeom>
      </xdr:spPr>
    </xdr:pic>
    <xdr:clientData/>
  </xdr:twoCellAnchor>
  <xdr:twoCellAnchor editAs="oneCell">
    <xdr:from>
      <xdr:col>5</xdr:col>
      <xdr:colOff>16565</xdr:colOff>
      <xdr:row>34</xdr:row>
      <xdr:rowOff>182217</xdr:rowOff>
    </xdr:from>
    <xdr:to>
      <xdr:col>6</xdr:col>
      <xdr:colOff>331305</xdr:colOff>
      <xdr:row>36</xdr:row>
      <xdr:rowOff>26860</xdr:rowOff>
    </xdr:to>
    <xdr:pic>
      <xdr:nvPicPr>
        <xdr:cNvPr id="4" name="Picture 3" descr="v¦v¦.jpg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21935" y="10552043"/>
          <a:ext cx="952500" cy="2670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R4075"/>
  <sheetViews>
    <sheetView workbookViewId="0">
      <pane xSplit="1" ySplit="7" topLeftCell="BN8" activePane="bottomRight" state="frozen"/>
      <selection pane="topRight" activeCell="B1" sqref="B1"/>
      <selection pane="bottomLeft" activeCell="A8" sqref="A8"/>
      <selection pane="bottomRight" sqref="A1:BR5"/>
    </sheetView>
  </sheetViews>
  <sheetFormatPr defaultRowHeight="15"/>
  <cols>
    <col min="1" max="1" width="5.5703125" bestFit="1" customWidth="1"/>
    <col min="2" max="2" width="27.7109375" bestFit="1" customWidth="1"/>
    <col min="3" max="3" width="32.7109375" hidden="1" customWidth="1"/>
    <col min="4" max="4" width="26.7109375" hidden="1" customWidth="1"/>
    <col min="5" max="5" width="18.140625" hidden="1" customWidth="1"/>
    <col min="6" max="6" width="3.28515625" bestFit="1" customWidth="1"/>
    <col min="7" max="7" width="4" bestFit="1" customWidth="1"/>
    <col min="8" max="8" width="5.28515625" customWidth="1"/>
    <col min="9" max="9" width="3.28515625" bestFit="1" customWidth="1"/>
    <col min="10" max="10" width="3.42578125" bestFit="1" customWidth="1"/>
    <col min="11" max="13" width="5.7109375" customWidth="1"/>
    <col min="14" max="14" width="3.28515625" bestFit="1" customWidth="1"/>
    <col min="15" max="15" width="3.7109375" bestFit="1" customWidth="1"/>
    <col min="16" max="16" width="4.42578125" bestFit="1" customWidth="1"/>
    <col min="17" max="18" width="5.7109375" customWidth="1"/>
    <col min="19" max="20" width="3.28515625" bestFit="1" customWidth="1"/>
    <col min="21" max="21" width="4" bestFit="1" customWidth="1"/>
    <col min="22" max="24" width="5.7109375" customWidth="1"/>
    <col min="25" max="25" width="3.28515625" bestFit="1" customWidth="1"/>
    <col min="26" max="26" width="3.42578125" bestFit="1" customWidth="1"/>
    <col min="27" max="28" width="5.7109375" customWidth="1"/>
    <col min="29" max="29" width="3.28515625" bestFit="1" customWidth="1"/>
    <col min="30" max="31" width="3.42578125" bestFit="1" customWidth="1"/>
    <col min="32" max="33" width="5.7109375" customWidth="1"/>
    <col min="34" max="35" width="3.28515625" bestFit="1" customWidth="1"/>
    <col min="36" max="36" width="3.42578125" bestFit="1" customWidth="1"/>
    <col min="37" max="39" width="5.7109375" customWidth="1"/>
    <col min="40" max="40" width="4" bestFit="1" customWidth="1"/>
    <col min="41" max="42" width="3.42578125" bestFit="1" customWidth="1"/>
    <col min="43" max="44" width="5.7109375" customWidth="1"/>
    <col min="45" max="46" width="3.28515625" bestFit="1" customWidth="1"/>
    <col min="47" max="47" width="4" bestFit="1" customWidth="1"/>
    <col min="48" max="48" width="3.42578125" bestFit="1" customWidth="1"/>
    <col min="49" max="50" width="5.7109375" customWidth="1"/>
    <col min="51" max="52" width="3.28515625" bestFit="1" customWidth="1"/>
    <col min="53" max="54" width="3.42578125" bestFit="1" customWidth="1"/>
    <col min="55" max="56" width="5.7109375" customWidth="1"/>
    <col min="57" max="58" width="3.28515625" bestFit="1" customWidth="1"/>
    <col min="59" max="60" width="3.42578125" bestFit="1" customWidth="1"/>
    <col min="61" max="62" width="5.7109375" customWidth="1"/>
    <col min="63" max="63" width="4.42578125" bestFit="1" customWidth="1"/>
    <col min="64" max="64" width="3.28515625" bestFit="1" customWidth="1"/>
    <col min="65" max="65" width="5" bestFit="1" customWidth="1"/>
    <col min="66" max="66" width="4.42578125" bestFit="1" customWidth="1"/>
    <col min="67" max="67" width="11.42578125" bestFit="1" customWidth="1"/>
    <col min="68" max="68" width="7.140625" customWidth="1"/>
    <col min="69" max="69" width="9.5703125" style="11" customWidth="1"/>
    <col min="70" max="70" width="9.140625" bestFit="1" customWidth="1"/>
  </cols>
  <sheetData>
    <row r="1" spans="1:70" ht="20.100000000000001" customHeight="1">
      <c r="A1" s="85" t="s">
        <v>250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5"/>
      <c r="BP1" s="85"/>
      <c r="BQ1" s="85"/>
      <c r="BR1" s="85"/>
    </row>
    <row r="2" spans="1:70" ht="20.100000000000001" customHeight="1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</row>
    <row r="3" spans="1:70" ht="20.100000000000001" customHeight="1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</row>
    <row r="4" spans="1:70" ht="20.100000000000001" customHeight="1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</row>
    <row r="5" spans="1:70" ht="20.100000000000001" customHeight="1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</row>
    <row r="6" spans="1:70" s="41" customFormat="1" ht="24.75" customHeight="1">
      <c r="A6" s="75" t="s">
        <v>0</v>
      </c>
      <c r="B6" s="75" t="s">
        <v>15</v>
      </c>
      <c r="C6" s="75" t="s">
        <v>47</v>
      </c>
      <c r="D6" s="75" t="s">
        <v>14</v>
      </c>
      <c r="E6" s="75" t="s">
        <v>16</v>
      </c>
      <c r="F6" s="81" t="s">
        <v>52</v>
      </c>
      <c r="G6" s="83"/>
      <c r="H6" s="75" t="s">
        <v>50</v>
      </c>
      <c r="I6" s="81" t="s">
        <v>53</v>
      </c>
      <c r="J6" s="83"/>
      <c r="K6" s="75" t="s">
        <v>50</v>
      </c>
      <c r="L6" s="75" t="s">
        <v>1</v>
      </c>
      <c r="M6" s="75" t="s">
        <v>48</v>
      </c>
      <c r="N6" s="75" t="s">
        <v>2</v>
      </c>
      <c r="O6" s="81" t="s">
        <v>11</v>
      </c>
      <c r="P6" s="83"/>
      <c r="Q6" s="75" t="s">
        <v>51</v>
      </c>
      <c r="R6" s="75" t="s">
        <v>49</v>
      </c>
      <c r="S6" s="75" t="s">
        <v>2</v>
      </c>
      <c r="T6" s="81" t="s">
        <v>3</v>
      </c>
      <c r="U6" s="83"/>
      <c r="V6" s="75" t="s">
        <v>1</v>
      </c>
      <c r="W6" s="75" t="s">
        <v>48</v>
      </c>
      <c r="X6" s="75" t="s">
        <v>2</v>
      </c>
      <c r="Y6" s="81" t="s">
        <v>4</v>
      </c>
      <c r="Z6" s="83"/>
      <c r="AA6" s="75" t="s">
        <v>1</v>
      </c>
      <c r="AB6" s="75" t="s">
        <v>48</v>
      </c>
      <c r="AC6" s="75" t="s">
        <v>2</v>
      </c>
      <c r="AD6" s="81" t="s">
        <v>5</v>
      </c>
      <c r="AE6" s="83"/>
      <c r="AF6" s="75" t="s">
        <v>1</v>
      </c>
      <c r="AG6" s="75" t="s">
        <v>49</v>
      </c>
      <c r="AH6" s="75" t="s">
        <v>2</v>
      </c>
      <c r="AI6" s="81" t="s">
        <v>44</v>
      </c>
      <c r="AJ6" s="83"/>
      <c r="AK6" s="75" t="s">
        <v>1</v>
      </c>
      <c r="AL6" s="75" t="s">
        <v>17</v>
      </c>
      <c r="AM6" s="75" t="s">
        <v>2</v>
      </c>
      <c r="AN6" s="81" t="s">
        <v>38</v>
      </c>
      <c r="AO6" s="82"/>
      <c r="AP6" s="83"/>
      <c r="AQ6" s="75" t="s">
        <v>1</v>
      </c>
      <c r="AR6" s="75" t="s">
        <v>17</v>
      </c>
      <c r="AS6" s="75" t="s">
        <v>2</v>
      </c>
      <c r="AT6" s="81" t="s">
        <v>39</v>
      </c>
      <c r="AU6" s="82"/>
      <c r="AV6" s="83"/>
      <c r="AW6" s="75" t="s">
        <v>1</v>
      </c>
      <c r="AX6" s="75" t="s">
        <v>17</v>
      </c>
      <c r="AY6" s="75" t="s">
        <v>2</v>
      </c>
      <c r="AZ6" s="81" t="s">
        <v>66</v>
      </c>
      <c r="BA6" s="82"/>
      <c r="BB6" s="83"/>
      <c r="BC6" s="75" t="s">
        <v>1</v>
      </c>
      <c r="BD6" s="75" t="s">
        <v>17</v>
      </c>
      <c r="BE6" s="75" t="s">
        <v>2</v>
      </c>
      <c r="BF6" s="81" t="s">
        <v>67</v>
      </c>
      <c r="BG6" s="82"/>
      <c r="BH6" s="83"/>
      <c r="BI6" s="75" t="s">
        <v>1</v>
      </c>
      <c r="BJ6" s="75" t="s">
        <v>17</v>
      </c>
      <c r="BK6" s="75" t="s">
        <v>54</v>
      </c>
      <c r="BL6" s="75" t="s">
        <v>2</v>
      </c>
      <c r="BM6" s="75" t="s">
        <v>6</v>
      </c>
      <c r="BN6" s="75" t="s">
        <v>7</v>
      </c>
      <c r="BO6" s="75" t="s">
        <v>40</v>
      </c>
      <c r="BP6" s="75" t="s">
        <v>41</v>
      </c>
      <c r="BQ6" s="75" t="s">
        <v>43</v>
      </c>
      <c r="BR6" s="75" t="s">
        <v>42</v>
      </c>
    </row>
    <row r="7" spans="1:70" s="41" customFormat="1" ht="27" customHeight="1">
      <c r="A7" s="80"/>
      <c r="B7" s="80"/>
      <c r="C7" s="80"/>
      <c r="D7" s="80"/>
      <c r="E7" s="80"/>
      <c r="F7" s="42" t="s">
        <v>8</v>
      </c>
      <c r="G7" s="42" t="s">
        <v>9</v>
      </c>
      <c r="H7" s="80"/>
      <c r="I7" s="42" t="s">
        <v>8</v>
      </c>
      <c r="J7" s="42" t="s">
        <v>9</v>
      </c>
      <c r="K7" s="80"/>
      <c r="L7" s="80"/>
      <c r="M7" s="80"/>
      <c r="N7" s="80"/>
      <c r="O7" s="42" t="s">
        <v>12</v>
      </c>
      <c r="P7" s="42" t="s">
        <v>13</v>
      </c>
      <c r="Q7" s="80"/>
      <c r="R7" s="80"/>
      <c r="S7" s="80"/>
      <c r="T7" s="42" t="s">
        <v>8</v>
      </c>
      <c r="U7" s="42" t="s">
        <v>9</v>
      </c>
      <c r="V7" s="80"/>
      <c r="W7" s="80"/>
      <c r="X7" s="80"/>
      <c r="Y7" s="42" t="s">
        <v>8</v>
      </c>
      <c r="Z7" s="42" t="s">
        <v>9</v>
      </c>
      <c r="AA7" s="80"/>
      <c r="AB7" s="80"/>
      <c r="AC7" s="80"/>
      <c r="AD7" s="42" t="s">
        <v>9</v>
      </c>
      <c r="AE7" s="42" t="s">
        <v>10</v>
      </c>
      <c r="AF7" s="80"/>
      <c r="AG7" s="80"/>
      <c r="AH7" s="80"/>
      <c r="AI7" s="42" t="s">
        <v>8</v>
      </c>
      <c r="AJ7" s="42" t="s">
        <v>9</v>
      </c>
      <c r="AK7" s="80"/>
      <c r="AL7" s="80"/>
      <c r="AM7" s="80"/>
      <c r="AN7" s="42" t="s">
        <v>8</v>
      </c>
      <c r="AO7" s="42" t="s">
        <v>9</v>
      </c>
      <c r="AP7" s="42" t="s">
        <v>10</v>
      </c>
      <c r="AQ7" s="80"/>
      <c r="AR7" s="80"/>
      <c r="AS7" s="80"/>
      <c r="AT7" s="42" t="s">
        <v>8</v>
      </c>
      <c r="AU7" s="42" t="s">
        <v>9</v>
      </c>
      <c r="AV7" s="42" t="s">
        <v>10</v>
      </c>
      <c r="AW7" s="80"/>
      <c r="AX7" s="80"/>
      <c r="AY7" s="80"/>
      <c r="AZ7" s="42" t="s">
        <v>8</v>
      </c>
      <c r="BA7" s="42" t="s">
        <v>9</v>
      </c>
      <c r="BB7" s="42" t="s">
        <v>10</v>
      </c>
      <c r="BC7" s="80"/>
      <c r="BD7" s="80"/>
      <c r="BE7" s="80"/>
      <c r="BF7" s="42" t="s">
        <v>8</v>
      </c>
      <c r="BG7" s="42" t="s">
        <v>9</v>
      </c>
      <c r="BH7" s="42" t="s">
        <v>10</v>
      </c>
      <c r="BI7" s="80"/>
      <c r="BJ7" s="80"/>
      <c r="BK7" s="80"/>
      <c r="BL7" s="80"/>
      <c r="BM7" s="80"/>
      <c r="BN7" s="80"/>
      <c r="BO7" s="80"/>
      <c r="BP7" s="80"/>
      <c r="BQ7" s="80"/>
      <c r="BR7" s="76"/>
    </row>
    <row r="8" spans="1:70" s="3" customFormat="1" ht="17.100000000000001" customHeight="1">
      <c r="A8" s="43">
        <v>1</v>
      </c>
      <c r="B8" s="44" t="s">
        <v>73</v>
      </c>
      <c r="C8" s="44" t="s">
        <v>74</v>
      </c>
      <c r="D8" s="44" t="s">
        <v>75</v>
      </c>
      <c r="E8" s="45" t="s">
        <v>139</v>
      </c>
      <c r="F8" s="51">
        <v>35</v>
      </c>
      <c r="G8" s="51">
        <v>20</v>
      </c>
      <c r="H8" s="50">
        <f>F8+G8</f>
        <v>55</v>
      </c>
      <c r="I8" s="51">
        <v>46</v>
      </c>
      <c r="J8" s="51">
        <v>18</v>
      </c>
      <c r="K8" s="50">
        <f>I8+J8</f>
        <v>64</v>
      </c>
      <c r="L8" s="51">
        <f t="shared" ref="L8:L22" si="0">H8+K8</f>
        <v>119</v>
      </c>
      <c r="M8" s="77">
        <f>MAX(L8:L53)</f>
        <v>124</v>
      </c>
      <c r="N8" s="51">
        <f t="shared" ref="N8:N22" si="1">IF(G8+J8&lt;20,"F",IF(F8+I8&lt;46,"F",IF(L8&lt;66,"F",IF(L8&lt;80,1,IF(L8&lt;100,2,IF(L8&lt;120,3,IF(L8&lt;140,3.5,IF(L8&lt;160,4,5))))))))</f>
        <v>3</v>
      </c>
      <c r="O8" s="51">
        <v>74</v>
      </c>
      <c r="P8" s="51">
        <v>56</v>
      </c>
      <c r="Q8" s="51">
        <f t="shared" ref="Q8:Q22" si="2">O8+P8</f>
        <v>130</v>
      </c>
      <c r="R8" s="77">
        <f>MAX(Q8:Q53)</f>
        <v>139</v>
      </c>
      <c r="S8" s="51">
        <f t="shared" ref="S8:S22" si="3">IF(Q8&lt;66,"F",IF(Q8&lt;80,1,IF(Q8&lt;100,2,IF(Q8&lt;120,3,IF(Q8&lt;140,3.5,IF(Q8&lt;160,4,5))))))</f>
        <v>3.5</v>
      </c>
      <c r="T8" s="51">
        <v>38</v>
      </c>
      <c r="U8" s="51">
        <v>16</v>
      </c>
      <c r="V8" s="51">
        <f t="shared" ref="V8:V22" si="4">T8+U8</f>
        <v>54</v>
      </c>
      <c r="W8" s="77">
        <f>MAX(V8:V53)</f>
        <v>81</v>
      </c>
      <c r="X8" s="51">
        <f t="shared" ref="X8:X22" si="5">IF(T8&lt;23,"F",IF(U8&lt;10,"F",IF(V8&lt;33,"F",IF(V8&lt;40,1,IF(V8&lt;50,2,IF(V8&lt;60,3,IF(V8&lt;70,3.5,IF(V8&lt;80,4,5))))))))</f>
        <v>3</v>
      </c>
      <c r="Y8" s="51">
        <v>67</v>
      </c>
      <c r="Z8" s="51">
        <v>24</v>
      </c>
      <c r="AA8" s="51">
        <f t="shared" ref="AA8:AA22" si="6">Y8+Z8</f>
        <v>91</v>
      </c>
      <c r="AB8" s="77">
        <f>MAX(AA8:AA53)</f>
        <v>91</v>
      </c>
      <c r="AC8" s="51">
        <f t="shared" ref="AC8:AC22" si="7">IF(Y8&lt;23,"F",IF(Z8&lt;10,"F",IF(AA8&lt;33,"F",IF(AA8&lt;40,1,IF(AA8&lt;50,2,IF(AA8&lt;60,3,IF(AA8&lt;70,3.5,IF(AA8&lt;80,4,5))))))))</f>
        <v>5</v>
      </c>
      <c r="AD8" s="51">
        <v>21</v>
      </c>
      <c r="AE8" s="51">
        <v>25</v>
      </c>
      <c r="AF8" s="51">
        <f t="shared" ref="AF8:AF22" si="8">AD8+AE8</f>
        <v>46</v>
      </c>
      <c r="AG8" s="50"/>
      <c r="AH8" s="51">
        <f t="shared" ref="AH8:AH22" si="9">IF(AD8&lt;8,"F",IF(AE8&lt;9,"F",IF(AF8&lt;17,"F",IF(AF8&lt;25,2,IF(AF8&lt;30,3,IF(AF8&lt;35,3.5,IF(AF8&lt;40,4,5)))))))</f>
        <v>5</v>
      </c>
      <c r="AI8" s="51">
        <v>59</v>
      </c>
      <c r="AJ8" s="51">
        <v>24</v>
      </c>
      <c r="AK8" s="51">
        <f t="shared" ref="AK8:AK22" si="10">AI8+AJ8</f>
        <v>83</v>
      </c>
      <c r="AL8" s="77">
        <f>MAX(AK8:AK53)</f>
        <v>87</v>
      </c>
      <c r="AM8" s="51">
        <f t="shared" ref="AM8:AM22" si="11">IF(AI8&lt;23,"F",IF(AJ8&lt;10,"F",IF(AK8&lt;33,"F",IF(AK8&lt;40,1,IF(AK8&lt;50,2,IF(AK8&lt;60,3,IF(AK8&lt;70,3.5,IF(AK8&lt;80,4,5))))))))</f>
        <v>5</v>
      </c>
      <c r="AN8" s="51">
        <v>31</v>
      </c>
      <c r="AO8" s="51">
        <v>18</v>
      </c>
      <c r="AP8" s="51">
        <v>24</v>
      </c>
      <c r="AQ8" s="51">
        <f t="shared" ref="AQ8:AQ22" si="12">AN8+AO8+AP8</f>
        <v>73</v>
      </c>
      <c r="AR8" s="77">
        <f>MAX(AQ8:AQ53)</f>
        <v>75</v>
      </c>
      <c r="AS8" s="51">
        <f t="shared" ref="AS8:AS22" si="13">IF(AN8&lt;17,"F",IF(AO8&lt;8,"F",IF(AP8&lt;8,"F",IF(AQ8&lt;33,"F",IF(AQ8&lt;40,1,IF(AQ8&lt;50,2,IF(AQ8&lt;60,3,IF(AQ8&lt;70,3.5,IF(AQ8&lt;80,4,5)))))))))</f>
        <v>4</v>
      </c>
      <c r="AT8" s="51">
        <v>40</v>
      </c>
      <c r="AU8" s="51">
        <v>15</v>
      </c>
      <c r="AV8" s="51">
        <v>24</v>
      </c>
      <c r="AW8" s="51">
        <f t="shared" ref="AW8:AW22" si="14">AT8+AU8+AV8</f>
        <v>79</v>
      </c>
      <c r="AX8" s="77">
        <f>MAX(AW8:AW53)</f>
        <v>81</v>
      </c>
      <c r="AY8" s="51">
        <f t="shared" ref="AY8:AY22" si="15">IF(AT8&lt;17,"F",IF(AU8&lt;8,"F",IF(AV8&lt;8,"F",IF(AW8&lt;33,"F",IF(AW8&lt;40,1,IF(AW8&lt;50,2,IF(AW8&lt;60,3,IF(AW8&lt;70,3.5,IF(AW8&lt;80,4,5)))))))))</f>
        <v>4</v>
      </c>
      <c r="AZ8" s="51">
        <v>43</v>
      </c>
      <c r="BA8" s="51">
        <v>20</v>
      </c>
      <c r="BB8" s="51">
        <v>25</v>
      </c>
      <c r="BC8" s="51">
        <f t="shared" ref="BC8:BC22" si="16">AZ8+BA8+BB8</f>
        <v>88</v>
      </c>
      <c r="BD8" s="77">
        <f>MAX(BC8:BC53)</f>
        <v>88</v>
      </c>
      <c r="BE8" s="51">
        <f t="shared" ref="BE8:BE22" si="17">IF(AZ8&lt;17,"F",IF(BA8&lt;8,"F",IF(BB8&lt;8,"F",IF(BC8&lt;33,"F",IF(BC8&lt;40,1,IF(BC8&lt;50,2,IF(BC8&lt;60,3,IF(BC8&lt;70,3.5,IF(BC8&lt;80,4,5)))))))))</f>
        <v>5</v>
      </c>
      <c r="BF8" s="51">
        <v>34</v>
      </c>
      <c r="BG8" s="56">
        <v>14</v>
      </c>
      <c r="BH8" s="51">
        <v>24</v>
      </c>
      <c r="BI8" s="51">
        <f t="shared" ref="BI8:BI53" si="18">BF8+BG8+BH8</f>
        <v>72</v>
      </c>
      <c r="BJ8" s="77">
        <f>MAX(BI8:BI53)</f>
        <v>82</v>
      </c>
      <c r="BK8" s="51">
        <f t="shared" ref="BK8" si="19">IF(BF8&lt;17,"0",IF(BG8&lt;8,"0",IF(BH8&lt;8,"0",IF(BI8&lt;33,"0",IF(BI8&lt;40,1,IF(BI8&lt;50,2,IF(BI8&lt;60,3,IF(BI8&lt;70,3.5,IF(BI8&lt;80,4,5)))))))))</f>
        <v>4</v>
      </c>
      <c r="BL8" s="51">
        <f>IF(BF8&lt;17,"F",IF(BG8&lt;8,"F",IF(BH8&lt;8,"F",IF(BI8&lt;33,"F",IF(BI8&lt;40,1,IF(BI8&lt;50,2,IF(BI8&lt;60,3,IF(BI8&lt;70,3.5,IF(BI8&lt;80,4,5)))))))))</f>
        <v>4</v>
      </c>
      <c r="BM8" s="51">
        <f t="shared" ref="BM8:BM9" si="20">IF(N8="F","F",IF(S8="F","F",IF(X8="F","F",IF(AC8="F","F",IF(AM8="F","F",IF(AS8="F","F",IF(AY8="F","F",IF(BE8="F","F",IF(BK8="F","F",IF(AH8="F","F", IF(BK8&lt;2,SUM(N8,S8,X8,AC8,AH8,AM8,AS8,AY8,BE8,BK8),IF(BK8&gt;=2,SUM(N8,S8,X8,AC8,AM8,AS8,AH8,AY8,BE8,BK8-2)))))))))))))</f>
        <v>39.5</v>
      </c>
      <c r="BN8" s="40">
        <f t="shared" ref="BN8:BN22" si="21">IF(BM8="F","F",IF(BM8&gt;=45,5,IF(BM8&lt;45,BM8/9)))</f>
        <v>4.3888888888888893</v>
      </c>
      <c r="BO8" s="51" t="str">
        <f t="shared" ref="BO8" si="22">IF(BN8="F","NEED TO PROGRESS",IF(BN8&gt;=5,"BEST",IF(BN8&gt;=4,"BETTER",IF(BN8&gt;=2,"GOOD"))))</f>
        <v>BETTER</v>
      </c>
      <c r="BP8" s="51">
        <f t="shared" ref="BP8" si="23">L8+V8+AA8+AF8+AK8+AQ8+AW8+BC8+BI8+Q8</f>
        <v>835</v>
      </c>
      <c r="BQ8" s="37">
        <v>2</v>
      </c>
      <c r="BR8" s="12"/>
    </row>
    <row r="9" spans="1:70" ht="17.100000000000001" customHeight="1">
      <c r="A9" s="43">
        <v>2</v>
      </c>
      <c r="B9" s="44" t="s">
        <v>76</v>
      </c>
      <c r="C9" s="44" t="s">
        <v>77</v>
      </c>
      <c r="D9" s="44" t="s">
        <v>78</v>
      </c>
      <c r="E9" s="45" t="s">
        <v>140</v>
      </c>
      <c r="F9" s="51">
        <v>40</v>
      </c>
      <c r="G9" s="51">
        <v>18</v>
      </c>
      <c r="H9" s="50">
        <f t="shared" ref="H9:H23" si="24">F9+G9</f>
        <v>58</v>
      </c>
      <c r="I9" s="51">
        <v>43</v>
      </c>
      <c r="J9" s="51">
        <v>15</v>
      </c>
      <c r="K9" s="50">
        <f t="shared" ref="K9:K53" si="25">I9+J9</f>
        <v>58</v>
      </c>
      <c r="L9" s="51">
        <f t="shared" si="0"/>
        <v>116</v>
      </c>
      <c r="M9" s="78"/>
      <c r="N9" s="51">
        <f t="shared" si="1"/>
        <v>3</v>
      </c>
      <c r="O9" s="51">
        <v>43</v>
      </c>
      <c r="P9" s="51">
        <v>36</v>
      </c>
      <c r="Q9" s="51">
        <f t="shared" si="2"/>
        <v>79</v>
      </c>
      <c r="R9" s="78"/>
      <c r="S9" s="51">
        <f>IF(Q9&lt;66,"F",IF(Q9&lt;80,1,IF(Q9&lt;100,2,IF(Q9&lt;120,3,IF(Q9&lt;140,3.5,IF(Q9&lt;160,4,5))))))</f>
        <v>1</v>
      </c>
      <c r="T9" s="51">
        <v>35</v>
      </c>
      <c r="U9" s="51">
        <v>19</v>
      </c>
      <c r="V9" s="51">
        <f t="shared" si="4"/>
        <v>54</v>
      </c>
      <c r="W9" s="78"/>
      <c r="X9" s="51">
        <f t="shared" si="5"/>
        <v>3</v>
      </c>
      <c r="Y9" s="51">
        <v>64</v>
      </c>
      <c r="Z9" s="51">
        <v>21</v>
      </c>
      <c r="AA9" s="51">
        <f t="shared" si="6"/>
        <v>85</v>
      </c>
      <c r="AB9" s="78"/>
      <c r="AC9" s="51">
        <f t="shared" si="7"/>
        <v>5</v>
      </c>
      <c r="AD9" s="51">
        <v>16</v>
      </c>
      <c r="AE9" s="51">
        <v>21</v>
      </c>
      <c r="AF9" s="51">
        <f t="shared" si="8"/>
        <v>37</v>
      </c>
      <c r="AG9" s="84">
        <f>MAX(AF9:AF53)</f>
        <v>48</v>
      </c>
      <c r="AH9" s="51">
        <f t="shared" si="9"/>
        <v>4</v>
      </c>
      <c r="AI9" s="51">
        <v>54</v>
      </c>
      <c r="AJ9" s="51">
        <v>21</v>
      </c>
      <c r="AK9" s="51">
        <f t="shared" si="10"/>
        <v>75</v>
      </c>
      <c r="AL9" s="78"/>
      <c r="AM9" s="51">
        <f t="shared" si="11"/>
        <v>4</v>
      </c>
      <c r="AN9" s="51">
        <v>23</v>
      </c>
      <c r="AO9" s="51">
        <v>16</v>
      </c>
      <c r="AP9" s="52">
        <v>24</v>
      </c>
      <c r="AQ9" s="51">
        <f t="shared" si="12"/>
        <v>63</v>
      </c>
      <c r="AR9" s="78"/>
      <c r="AS9" s="51">
        <f t="shared" si="13"/>
        <v>3.5</v>
      </c>
      <c r="AT9" s="51">
        <v>35</v>
      </c>
      <c r="AU9" s="51">
        <v>13</v>
      </c>
      <c r="AV9" s="54">
        <v>24</v>
      </c>
      <c r="AW9" s="51">
        <f t="shared" si="14"/>
        <v>72</v>
      </c>
      <c r="AX9" s="78"/>
      <c r="AY9" s="51">
        <f t="shared" si="15"/>
        <v>4</v>
      </c>
      <c r="AZ9" s="51">
        <v>34</v>
      </c>
      <c r="BA9" s="51">
        <v>14</v>
      </c>
      <c r="BB9" s="51">
        <v>24</v>
      </c>
      <c r="BC9" s="51">
        <f t="shared" si="16"/>
        <v>72</v>
      </c>
      <c r="BD9" s="78"/>
      <c r="BE9" s="51">
        <f t="shared" si="17"/>
        <v>4</v>
      </c>
      <c r="BF9" s="51">
        <v>32</v>
      </c>
      <c r="BG9" s="56">
        <v>10</v>
      </c>
      <c r="BH9" s="56">
        <v>24</v>
      </c>
      <c r="BI9" s="54">
        <f t="shared" si="18"/>
        <v>66</v>
      </c>
      <c r="BJ9" s="78"/>
      <c r="BK9" s="51">
        <f t="shared" ref="BK9:BK22" si="26">IF(BF9&lt;17,"0",IF(BG9&lt;8,"0",IF(BH9&lt;8,"0",IF(BI9&lt;33,"0",IF(BI9&lt;40,1,IF(BI9&lt;50,2,IF(BI9&lt;60,3,IF(BI9&lt;70,3.5,IF(BI9&lt;80,4,5)))))))))</f>
        <v>3.5</v>
      </c>
      <c r="BL9" s="51">
        <f>IF(BF9&lt;17,"F",IF(BG9&lt;8,"F",IF(BH9&lt;8,"F",IF(BI9&lt;33,"F",IF(BI9&lt;40,1,IF(BI9&lt;50,2,IF(BI9&lt;60,3,IF(BI9&lt;70,3.5,IF(BI9&lt;80,4,5)))))))))</f>
        <v>3.5</v>
      </c>
      <c r="BM9" s="51">
        <f t="shared" si="20"/>
        <v>33</v>
      </c>
      <c r="BN9" s="40">
        <f t="shared" si="21"/>
        <v>3.6666666666666665</v>
      </c>
      <c r="BO9" s="51" t="str">
        <f t="shared" ref="BO9:BO53" si="27">IF(BN9="F","NEED TO PROGRESS",IF(BN9&gt;=5,"BEST",IF(BN9&gt;=4,"BETTER",IF(BN9&gt;=2,"GOOD"))))</f>
        <v>GOOD</v>
      </c>
      <c r="BP9" s="51">
        <f>L9+V9+AA9+AF9+AK9+AQ9+AW9+BC9+BI9+Q9</f>
        <v>719</v>
      </c>
      <c r="BQ9" s="37">
        <v>12</v>
      </c>
      <c r="BR9" s="4"/>
    </row>
    <row r="10" spans="1:70" ht="17.100000000000001" customHeight="1">
      <c r="A10" s="43">
        <v>3</v>
      </c>
      <c r="B10" s="44" t="s">
        <v>79</v>
      </c>
      <c r="C10" s="44" t="s">
        <v>80</v>
      </c>
      <c r="D10" s="44" t="s">
        <v>81</v>
      </c>
      <c r="E10" s="45" t="s">
        <v>141</v>
      </c>
      <c r="F10" s="51">
        <v>31</v>
      </c>
      <c r="G10" s="51">
        <v>22</v>
      </c>
      <c r="H10" s="50">
        <f t="shared" si="24"/>
        <v>53</v>
      </c>
      <c r="I10" s="51">
        <v>43</v>
      </c>
      <c r="J10" s="51">
        <v>18</v>
      </c>
      <c r="K10" s="50">
        <f t="shared" si="25"/>
        <v>61</v>
      </c>
      <c r="L10" s="51">
        <f t="shared" si="0"/>
        <v>114</v>
      </c>
      <c r="M10" s="78"/>
      <c r="N10" s="51">
        <f t="shared" si="1"/>
        <v>3</v>
      </c>
      <c r="O10" s="51">
        <v>61</v>
      </c>
      <c r="P10" s="51">
        <v>43</v>
      </c>
      <c r="Q10" s="51">
        <f t="shared" si="2"/>
        <v>104</v>
      </c>
      <c r="R10" s="78"/>
      <c r="S10" s="51">
        <f t="shared" si="3"/>
        <v>3</v>
      </c>
      <c r="T10" s="51">
        <v>44</v>
      </c>
      <c r="U10" s="51">
        <v>21</v>
      </c>
      <c r="V10" s="51">
        <f t="shared" si="4"/>
        <v>65</v>
      </c>
      <c r="W10" s="78"/>
      <c r="X10" s="51">
        <f t="shared" si="5"/>
        <v>3.5</v>
      </c>
      <c r="Y10" s="51">
        <v>59</v>
      </c>
      <c r="Z10" s="51">
        <v>24</v>
      </c>
      <c r="AA10" s="51">
        <f t="shared" si="6"/>
        <v>83</v>
      </c>
      <c r="AB10" s="78"/>
      <c r="AC10" s="51">
        <f t="shared" si="7"/>
        <v>5</v>
      </c>
      <c r="AD10" s="51">
        <v>20</v>
      </c>
      <c r="AE10" s="51">
        <v>20</v>
      </c>
      <c r="AF10" s="51">
        <f t="shared" si="8"/>
        <v>40</v>
      </c>
      <c r="AG10" s="84"/>
      <c r="AH10" s="51">
        <f t="shared" si="9"/>
        <v>5</v>
      </c>
      <c r="AI10" s="51">
        <v>53</v>
      </c>
      <c r="AJ10" s="51">
        <v>21</v>
      </c>
      <c r="AK10" s="51">
        <f t="shared" si="10"/>
        <v>74</v>
      </c>
      <c r="AL10" s="78"/>
      <c r="AM10" s="51">
        <f t="shared" si="11"/>
        <v>4</v>
      </c>
      <c r="AN10" s="51">
        <v>28</v>
      </c>
      <c r="AO10" s="51">
        <v>23</v>
      </c>
      <c r="AP10" s="52">
        <v>24</v>
      </c>
      <c r="AQ10" s="51">
        <f t="shared" si="12"/>
        <v>75</v>
      </c>
      <c r="AR10" s="78"/>
      <c r="AS10" s="51">
        <f t="shared" si="13"/>
        <v>4</v>
      </c>
      <c r="AT10" s="51">
        <v>31</v>
      </c>
      <c r="AU10" s="51">
        <v>16</v>
      </c>
      <c r="AV10" s="54">
        <v>24</v>
      </c>
      <c r="AW10" s="51">
        <f t="shared" si="14"/>
        <v>71</v>
      </c>
      <c r="AX10" s="78"/>
      <c r="AY10" s="51">
        <f t="shared" si="15"/>
        <v>4</v>
      </c>
      <c r="AZ10" s="51">
        <v>42</v>
      </c>
      <c r="BA10" s="51">
        <v>17</v>
      </c>
      <c r="BB10" s="51">
        <v>25</v>
      </c>
      <c r="BC10" s="51">
        <f t="shared" si="16"/>
        <v>84</v>
      </c>
      <c r="BD10" s="78"/>
      <c r="BE10" s="51">
        <f t="shared" si="17"/>
        <v>5</v>
      </c>
      <c r="BF10" s="51">
        <v>39</v>
      </c>
      <c r="BG10" s="56">
        <v>19</v>
      </c>
      <c r="BH10" s="56">
        <v>24</v>
      </c>
      <c r="BI10" s="54">
        <f t="shared" si="18"/>
        <v>82</v>
      </c>
      <c r="BJ10" s="78"/>
      <c r="BK10" s="51">
        <f t="shared" si="26"/>
        <v>5</v>
      </c>
      <c r="BL10" s="51">
        <f t="shared" ref="BL10:BL53" si="28">IF(BF10&lt;17,"F",IF(BG10&lt;8,"F",IF(BH10&lt;8,"F",IF(BI10&lt;33,"F",IF(BI10&lt;40,1,IF(BI10&lt;50,2,IF(BI10&lt;60,3,IF(BI10&lt;70,3.5,IF(BI10&lt;80,4,5)))))))))</f>
        <v>5</v>
      </c>
      <c r="BM10" s="51">
        <f t="shared" ref="BM10:BM53" si="29">IF(N10="F","F",IF(S10="F","F",IF(X10="F","F",IF(AC10="F","F",IF(AM10="F","F",IF(AS10="F","F",IF(AY10="F","F",IF(BE10="F","F",IF(BK10="F","F",IF(AH10="F","F", IF(BK10&lt;2,SUM(N10,S10,X10,AC10,AH10,AM10,AS10,AY10,BE10,BK10),IF(BK10&gt;=2,SUM(N10,S10,X10,AC10,AM10,AS10,AH10,AY10,BE10,BK10-2)))))))))))))</f>
        <v>39.5</v>
      </c>
      <c r="BN10" s="40">
        <f t="shared" si="21"/>
        <v>4.3888888888888893</v>
      </c>
      <c r="BO10" s="51" t="str">
        <f t="shared" si="27"/>
        <v>BETTER</v>
      </c>
      <c r="BP10" s="51">
        <f t="shared" ref="BP10:BP53" si="30">L10+V10+AA10+AF10+AK10+AQ10+AW10+BC10+BI10+Q10</f>
        <v>792</v>
      </c>
      <c r="BQ10" s="37">
        <v>4</v>
      </c>
      <c r="BR10" s="4"/>
    </row>
    <row r="11" spans="1:70" ht="17.100000000000001" customHeight="1">
      <c r="A11" s="43">
        <v>4</v>
      </c>
      <c r="B11" s="44" t="s">
        <v>82</v>
      </c>
      <c r="C11" s="44" t="s">
        <v>83</v>
      </c>
      <c r="D11" s="44" t="s">
        <v>84</v>
      </c>
      <c r="E11" s="45" t="s">
        <v>142</v>
      </c>
      <c r="F11" s="51">
        <v>37</v>
      </c>
      <c r="G11" s="51">
        <v>15</v>
      </c>
      <c r="H11" s="50">
        <f t="shared" si="24"/>
        <v>52</v>
      </c>
      <c r="I11" s="51">
        <v>44</v>
      </c>
      <c r="J11" s="51">
        <v>13</v>
      </c>
      <c r="K11" s="50">
        <f t="shared" si="25"/>
        <v>57</v>
      </c>
      <c r="L11" s="51">
        <f t="shared" si="0"/>
        <v>109</v>
      </c>
      <c r="M11" s="78"/>
      <c r="N11" s="51">
        <f t="shared" si="1"/>
        <v>3</v>
      </c>
      <c r="O11" s="51">
        <v>65</v>
      </c>
      <c r="P11" s="51">
        <v>35</v>
      </c>
      <c r="Q11" s="51">
        <f t="shared" si="2"/>
        <v>100</v>
      </c>
      <c r="R11" s="78"/>
      <c r="S11" s="51">
        <f t="shared" si="3"/>
        <v>3</v>
      </c>
      <c r="T11" s="51">
        <v>54</v>
      </c>
      <c r="U11" s="51">
        <v>17</v>
      </c>
      <c r="V11" s="51">
        <f t="shared" si="4"/>
        <v>71</v>
      </c>
      <c r="W11" s="78"/>
      <c r="X11" s="51">
        <f t="shared" si="5"/>
        <v>4</v>
      </c>
      <c r="Y11" s="51">
        <v>45</v>
      </c>
      <c r="Z11" s="51">
        <v>18</v>
      </c>
      <c r="AA11" s="51">
        <f t="shared" si="6"/>
        <v>63</v>
      </c>
      <c r="AB11" s="78"/>
      <c r="AC11" s="51">
        <f t="shared" si="7"/>
        <v>3.5</v>
      </c>
      <c r="AD11" s="51">
        <v>22</v>
      </c>
      <c r="AE11" s="51">
        <v>22</v>
      </c>
      <c r="AF11" s="51">
        <f t="shared" si="8"/>
        <v>44</v>
      </c>
      <c r="AG11" s="84"/>
      <c r="AH11" s="51">
        <f t="shared" si="9"/>
        <v>5</v>
      </c>
      <c r="AI11" s="51">
        <v>44</v>
      </c>
      <c r="AJ11" s="51">
        <v>17</v>
      </c>
      <c r="AK11" s="51">
        <f t="shared" si="10"/>
        <v>61</v>
      </c>
      <c r="AL11" s="78"/>
      <c r="AM11" s="51">
        <f t="shared" si="11"/>
        <v>3.5</v>
      </c>
      <c r="AN11" s="51">
        <v>32</v>
      </c>
      <c r="AO11" s="51">
        <v>11</v>
      </c>
      <c r="AP11" s="52">
        <v>24</v>
      </c>
      <c r="AQ11" s="51">
        <f t="shared" si="12"/>
        <v>67</v>
      </c>
      <c r="AR11" s="78"/>
      <c r="AS11" s="51">
        <f t="shared" si="13"/>
        <v>3.5</v>
      </c>
      <c r="AT11" s="51">
        <v>37</v>
      </c>
      <c r="AU11" s="51">
        <v>13</v>
      </c>
      <c r="AV11" s="54">
        <v>24</v>
      </c>
      <c r="AW11" s="51">
        <f t="shared" si="14"/>
        <v>74</v>
      </c>
      <c r="AX11" s="78"/>
      <c r="AY11" s="51">
        <f t="shared" si="15"/>
        <v>4</v>
      </c>
      <c r="AZ11" s="51">
        <v>44</v>
      </c>
      <c r="BA11" s="51">
        <v>15</v>
      </c>
      <c r="BB11" s="51">
        <v>24</v>
      </c>
      <c r="BC11" s="51">
        <f t="shared" si="16"/>
        <v>83</v>
      </c>
      <c r="BD11" s="78"/>
      <c r="BE11" s="51">
        <f t="shared" si="17"/>
        <v>5</v>
      </c>
      <c r="BF11" s="51">
        <v>32</v>
      </c>
      <c r="BG11" s="56">
        <v>15</v>
      </c>
      <c r="BH11" s="56">
        <v>24</v>
      </c>
      <c r="BI11" s="54">
        <f t="shared" si="18"/>
        <v>71</v>
      </c>
      <c r="BJ11" s="78"/>
      <c r="BK11" s="51">
        <f t="shared" si="26"/>
        <v>4</v>
      </c>
      <c r="BL11" s="51">
        <f t="shared" si="28"/>
        <v>4</v>
      </c>
      <c r="BM11" s="51">
        <f t="shared" si="29"/>
        <v>36.5</v>
      </c>
      <c r="BN11" s="40">
        <f t="shared" si="21"/>
        <v>4.0555555555555554</v>
      </c>
      <c r="BO11" s="51" t="str">
        <f t="shared" si="27"/>
        <v>BETTER</v>
      </c>
      <c r="BP11" s="51">
        <f t="shared" si="30"/>
        <v>743</v>
      </c>
      <c r="BQ11" s="37">
        <v>8</v>
      </c>
      <c r="BR11" s="4"/>
    </row>
    <row r="12" spans="1:70" ht="17.100000000000001" customHeight="1">
      <c r="A12" s="43">
        <v>5</v>
      </c>
      <c r="B12" s="44" t="s">
        <v>85</v>
      </c>
      <c r="C12" s="44" t="s">
        <v>86</v>
      </c>
      <c r="D12" s="44" t="s">
        <v>87</v>
      </c>
      <c r="E12" s="45" t="s">
        <v>143</v>
      </c>
      <c r="F12" s="51">
        <v>33</v>
      </c>
      <c r="G12" s="51">
        <v>19</v>
      </c>
      <c r="H12" s="50">
        <f t="shared" si="24"/>
        <v>52</v>
      </c>
      <c r="I12" s="51">
        <v>42</v>
      </c>
      <c r="J12" s="51">
        <v>14</v>
      </c>
      <c r="K12" s="50">
        <f t="shared" si="25"/>
        <v>56</v>
      </c>
      <c r="L12" s="51">
        <f t="shared" si="0"/>
        <v>108</v>
      </c>
      <c r="M12" s="78"/>
      <c r="N12" s="51">
        <f t="shared" si="1"/>
        <v>3</v>
      </c>
      <c r="O12" s="51">
        <v>66</v>
      </c>
      <c r="P12" s="51">
        <v>44</v>
      </c>
      <c r="Q12" s="51">
        <f t="shared" si="2"/>
        <v>110</v>
      </c>
      <c r="R12" s="78"/>
      <c r="S12" s="51">
        <f t="shared" si="3"/>
        <v>3</v>
      </c>
      <c r="T12" s="51">
        <v>56</v>
      </c>
      <c r="U12" s="51">
        <v>25</v>
      </c>
      <c r="V12" s="51">
        <f t="shared" si="4"/>
        <v>81</v>
      </c>
      <c r="W12" s="78"/>
      <c r="X12" s="51">
        <f t="shared" si="5"/>
        <v>5</v>
      </c>
      <c r="Y12" s="51">
        <v>58</v>
      </c>
      <c r="Z12" s="51">
        <v>21</v>
      </c>
      <c r="AA12" s="51">
        <f t="shared" si="6"/>
        <v>79</v>
      </c>
      <c r="AB12" s="78"/>
      <c r="AC12" s="51">
        <f t="shared" si="7"/>
        <v>4</v>
      </c>
      <c r="AD12" s="51">
        <v>19</v>
      </c>
      <c r="AE12" s="51">
        <v>20</v>
      </c>
      <c r="AF12" s="51">
        <f t="shared" si="8"/>
        <v>39</v>
      </c>
      <c r="AG12" s="84"/>
      <c r="AH12" s="51">
        <f t="shared" si="9"/>
        <v>4</v>
      </c>
      <c r="AI12" s="51">
        <v>55</v>
      </c>
      <c r="AJ12" s="51">
        <v>20</v>
      </c>
      <c r="AK12" s="51">
        <f t="shared" si="10"/>
        <v>75</v>
      </c>
      <c r="AL12" s="78"/>
      <c r="AM12" s="51">
        <f t="shared" si="11"/>
        <v>4</v>
      </c>
      <c r="AN12" s="51">
        <v>29</v>
      </c>
      <c r="AO12" s="51">
        <v>16</v>
      </c>
      <c r="AP12" s="52">
        <v>24</v>
      </c>
      <c r="AQ12" s="51">
        <f t="shared" si="12"/>
        <v>69</v>
      </c>
      <c r="AR12" s="78"/>
      <c r="AS12" s="51">
        <f t="shared" si="13"/>
        <v>3.5</v>
      </c>
      <c r="AT12" s="51">
        <v>35</v>
      </c>
      <c r="AU12" s="51">
        <v>14</v>
      </c>
      <c r="AV12" s="54">
        <v>24</v>
      </c>
      <c r="AW12" s="51">
        <f t="shared" si="14"/>
        <v>73</v>
      </c>
      <c r="AX12" s="78"/>
      <c r="AY12" s="51">
        <f t="shared" si="15"/>
        <v>4</v>
      </c>
      <c r="AZ12" s="51">
        <v>39</v>
      </c>
      <c r="BA12" s="51">
        <v>16</v>
      </c>
      <c r="BB12" s="51">
        <v>23</v>
      </c>
      <c r="BC12" s="51">
        <f t="shared" si="16"/>
        <v>78</v>
      </c>
      <c r="BD12" s="78"/>
      <c r="BE12" s="51">
        <f t="shared" si="17"/>
        <v>4</v>
      </c>
      <c r="BF12" s="51">
        <v>36</v>
      </c>
      <c r="BG12" s="56">
        <v>13</v>
      </c>
      <c r="BH12" s="56">
        <v>24</v>
      </c>
      <c r="BI12" s="54">
        <f t="shared" si="18"/>
        <v>73</v>
      </c>
      <c r="BJ12" s="78"/>
      <c r="BK12" s="51">
        <f t="shared" si="26"/>
        <v>4</v>
      </c>
      <c r="BL12" s="51">
        <f t="shared" si="28"/>
        <v>4</v>
      </c>
      <c r="BM12" s="51">
        <f t="shared" si="29"/>
        <v>36.5</v>
      </c>
      <c r="BN12" s="40">
        <f t="shared" si="21"/>
        <v>4.0555555555555554</v>
      </c>
      <c r="BO12" s="51" t="str">
        <f t="shared" si="27"/>
        <v>BETTER</v>
      </c>
      <c r="BP12" s="51">
        <f t="shared" si="30"/>
        <v>785</v>
      </c>
      <c r="BQ12" s="37">
        <v>7</v>
      </c>
      <c r="BR12" s="4"/>
    </row>
    <row r="13" spans="1:70" ht="17.100000000000001" customHeight="1">
      <c r="A13" s="43">
        <v>6</v>
      </c>
      <c r="B13" s="44" t="s">
        <v>88</v>
      </c>
      <c r="C13" s="44" t="s">
        <v>89</v>
      </c>
      <c r="D13" s="44" t="s">
        <v>90</v>
      </c>
      <c r="E13" s="45" t="s">
        <v>144</v>
      </c>
      <c r="F13" s="51">
        <v>42</v>
      </c>
      <c r="G13" s="51">
        <v>22</v>
      </c>
      <c r="H13" s="50">
        <f t="shared" si="24"/>
        <v>64</v>
      </c>
      <c r="I13" s="51">
        <v>45</v>
      </c>
      <c r="J13" s="51">
        <v>15</v>
      </c>
      <c r="K13" s="50">
        <f t="shared" si="25"/>
        <v>60</v>
      </c>
      <c r="L13" s="51">
        <f t="shared" si="0"/>
        <v>124</v>
      </c>
      <c r="M13" s="78"/>
      <c r="N13" s="51">
        <f t="shared" si="1"/>
        <v>3.5</v>
      </c>
      <c r="O13" s="51">
        <v>62</v>
      </c>
      <c r="P13" s="51">
        <v>47</v>
      </c>
      <c r="Q13" s="51">
        <f t="shared" si="2"/>
        <v>109</v>
      </c>
      <c r="R13" s="78"/>
      <c r="S13" s="51">
        <f t="shared" si="3"/>
        <v>3</v>
      </c>
      <c r="T13" s="51">
        <v>37</v>
      </c>
      <c r="U13" s="51">
        <v>20</v>
      </c>
      <c r="V13" s="51">
        <f t="shared" si="4"/>
        <v>57</v>
      </c>
      <c r="W13" s="78"/>
      <c r="X13" s="51">
        <f t="shared" si="5"/>
        <v>3</v>
      </c>
      <c r="Y13" s="51">
        <v>65</v>
      </c>
      <c r="Z13" s="51">
        <v>23</v>
      </c>
      <c r="AA13" s="51">
        <f t="shared" si="6"/>
        <v>88</v>
      </c>
      <c r="AB13" s="78"/>
      <c r="AC13" s="51">
        <f t="shared" si="7"/>
        <v>5</v>
      </c>
      <c r="AD13" s="51">
        <v>17</v>
      </c>
      <c r="AE13" s="51">
        <v>20</v>
      </c>
      <c r="AF13" s="51">
        <f t="shared" si="8"/>
        <v>37</v>
      </c>
      <c r="AG13" s="84"/>
      <c r="AH13" s="51">
        <f t="shared" si="9"/>
        <v>4</v>
      </c>
      <c r="AI13" s="51">
        <v>56</v>
      </c>
      <c r="AJ13" s="51">
        <v>25</v>
      </c>
      <c r="AK13" s="51">
        <f t="shared" si="10"/>
        <v>81</v>
      </c>
      <c r="AL13" s="78"/>
      <c r="AM13" s="51">
        <f t="shared" si="11"/>
        <v>5</v>
      </c>
      <c r="AN13" s="51">
        <v>31</v>
      </c>
      <c r="AO13" s="51">
        <v>16</v>
      </c>
      <c r="AP13" s="52">
        <v>24</v>
      </c>
      <c r="AQ13" s="51">
        <f t="shared" si="12"/>
        <v>71</v>
      </c>
      <c r="AR13" s="78"/>
      <c r="AS13" s="51">
        <f t="shared" si="13"/>
        <v>4</v>
      </c>
      <c r="AT13" s="51">
        <v>30</v>
      </c>
      <c r="AU13" s="51">
        <v>11</v>
      </c>
      <c r="AV13" s="54">
        <v>24</v>
      </c>
      <c r="AW13" s="51">
        <f t="shared" si="14"/>
        <v>65</v>
      </c>
      <c r="AX13" s="78"/>
      <c r="AY13" s="51">
        <f t="shared" si="15"/>
        <v>3.5</v>
      </c>
      <c r="AZ13" s="51">
        <v>41</v>
      </c>
      <c r="BA13" s="51">
        <v>15</v>
      </c>
      <c r="BB13" s="51">
        <v>24</v>
      </c>
      <c r="BC13" s="51">
        <f t="shared" si="16"/>
        <v>80</v>
      </c>
      <c r="BD13" s="78"/>
      <c r="BE13" s="51">
        <f t="shared" si="17"/>
        <v>5</v>
      </c>
      <c r="BF13" s="51">
        <v>26</v>
      </c>
      <c r="BG13" s="56">
        <v>12</v>
      </c>
      <c r="BH13" s="56">
        <v>24</v>
      </c>
      <c r="BI13" s="54">
        <f t="shared" si="18"/>
        <v>62</v>
      </c>
      <c r="BJ13" s="78"/>
      <c r="BK13" s="51">
        <f t="shared" si="26"/>
        <v>3.5</v>
      </c>
      <c r="BL13" s="51">
        <f t="shared" si="28"/>
        <v>3.5</v>
      </c>
      <c r="BM13" s="51">
        <f t="shared" si="29"/>
        <v>37.5</v>
      </c>
      <c r="BN13" s="40">
        <f t="shared" si="21"/>
        <v>4.166666666666667</v>
      </c>
      <c r="BO13" s="51" t="str">
        <f t="shared" si="27"/>
        <v>BETTER</v>
      </c>
      <c r="BP13" s="51">
        <f t="shared" si="30"/>
        <v>774</v>
      </c>
      <c r="BQ13" s="37">
        <v>5</v>
      </c>
      <c r="BR13" s="4"/>
    </row>
    <row r="14" spans="1:70" ht="17.100000000000001" customHeight="1">
      <c r="A14" s="43">
        <v>7</v>
      </c>
      <c r="B14" s="44" t="s">
        <v>91</v>
      </c>
      <c r="C14" s="44" t="s">
        <v>92</v>
      </c>
      <c r="D14" s="44" t="s">
        <v>93</v>
      </c>
      <c r="E14" s="45" t="s">
        <v>145</v>
      </c>
      <c r="F14" s="51">
        <v>41</v>
      </c>
      <c r="G14" s="51">
        <v>20</v>
      </c>
      <c r="H14" s="50">
        <f t="shared" si="24"/>
        <v>61</v>
      </c>
      <c r="I14" s="51">
        <v>42</v>
      </c>
      <c r="J14" s="51">
        <v>15</v>
      </c>
      <c r="K14" s="50">
        <f t="shared" si="25"/>
        <v>57</v>
      </c>
      <c r="L14" s="51">
        <f t="shared" si="0"/>
        <v>118</v>
      </c>
      <c r="M14" s="78"/>
      <c r="N14" s="51">
        <f t="shared" si="1"/>
        <v>3</v>
      </c>
      <c r="O14" s="51">
        <v>76</v>
      </c>
      <c r="P14" s="51">
        <v>63</v>
      </c>
      <c r="Q14" s="51">
        <f t="shared" si="2"/>
        <v>139</v>
      </c>
      <c r="R14" s="78"/>
      <c r="S14" s="51">
        <f t="shared" si="3"/>
        <v>3.5</v>
      </c>
      <c r="T14" s="51">
        <v>54</v>
      </c>
      <c r="U14" s="51">
        <v>21</v>
      </c>
      <c r="V14" s="51">
        <f t="shared" si="4"/>
        <v>75</v>
      </c>
      <c r="W14" s="78"/>
      <c r="X14" s="51">
        <f t="shared" si="5"/>
        <v>4</v>
      </c>
      <c r="Y14" s="51">
        <v>59</v>
      </c>
      <c r="Z14" s="51">
        <v>21</v>
      </c>
      <c r="AA14" s="51">
        <f t="shared" si="6"/>
        <v>80</v>
      </c>
      <c r="AB14" s="78"/>
      <c r="AC14" s="51">
        <f t="shared" si="7"/>
        <v>5</v>
      </c>
      <c r="AD14" s="51">
        <v>18</v>
      </c>
      <c r="AE14" s="51">
        <v>20</v>
      </c>
      <c r="AF14" s="51">
        <f t="shared" si="8"/>
        <v>38</v>
      </c>
      <c r="AG14" s="84"/>
      <c r="AH14" s="51">
        <f t="shared" si="9"/>
        <v>4</v>
      </c>
      <c r="AI14" s="51">
        <v>58</v>
      </c>
      <c r="AJ14" s="51">
        <v>23</v>
      </c>
      <c r="AK14" s="51">
        <f t="shared" si="10"/>
        <v>81</v>
      </c>
      <c r="AL14" s="78"/>
      <c r="AM14" s="51">
        <f t="shared" si="11"/>
        <v>5</v>
      </c>
      <c r="AN14" s="51">
        <v>32</v>
      </c>
      <c r="AO14" s="51">
        <v>10</v>
      </c>
      <c r="AP14" s="52">
        <v>24</v>
      </c>
      <c r="AQ14" s="51">
        <f t="shared" si="12"/>
        <v>66</v>
      </c>
      <c r="AR14" s="78"/>
      <c r="AS14" s="51">
        <f t="shared" si="13"/>
        <v>3.5</v>
      </c>
      <c r="AT14" s="51">
        <v>40</v>
      </c>
      <c r="AU14" s="51">
        <v>16</v>
      </c>
      <c r="AV14" s="54">
        <v>24</v>
      </c>
      <c r="AW14" s="51">
        <f t="shared" si="14"/>
        <v>80</v>
      </c>
      <c r="AX14" s="78"/>
      <c r="AY14" s="51">
        <f t="shared" si="15"/>
        <v>5</v>
      </c>
      <c r="AZ14" s="51">
        <v>43</v>
      </c>
      <c r="BA14" s="51">
        <v>14</v>
      </c>
      <c r="BB14" s="51">
        <v>23</v>
      </c>
      <c r="BC14" s="51">
        <f t="shared" si="16"/>
        <v>80</v>
      </c>
      <c r="BD14" s="78"/>
      <c r="BE14" s="51">
        <f t="shared" si="17"/>
        <v>5</v>
      </c>
      <c r="BF14" s="51">
        <v>33</v>
      </c>
      <c r="BG14" s="56">
        <v>17</v>
      </c>
      <c r="BH14" s="56">
        <v>24</v>
      </c>
      <c r="BI14" s="54">
        <f t="shared" si="18"/>
        <v>74</v>
      </c>
      <c r="BJ14" s="78"/>
      <c r="BK14" s="51">
        <f t="shared" si="26"/>
        <v>4</v>
      </c>
      <c r="BL14" s="51">
        <f t="shared" si="28"/>
        <v>4</v>
      </c>
      <c r="BM14" s="51">
        <f t="shared" si="29"/>
        <v>40</v>
      </c>
      <c r="BN14" s="40">
        <f t="shared" si="21"/>
        <v>4.4444444444444446</v>
      </c>
      <c r="BO14" s="51" t="str">
        <f t="shared" si="27"/>
        <v>BETTER</v>
      </c>
      <c r="BP14" s="51">
        <f t="shared" si="30"/>
        <v>831</v>
      </c>
      <c r="BQ14" s="37">
        <v>1</v>
      </c>
      <c r="BR14" s="4"/>
    </row>
    <row r="15" spans="1:70" ht="17.100000000000001" customHeight="1">
      <c r="A15" s="43">
        <v>9</v>
      </c>
      <c r="B15" s="44" t="s">
        <v>94</v>
      </c>
      <c r="C15" s="44" t="s">
        <v>95</v>
      </c>
      <c r="D15" s="44" t="s">
        <v>96</v>
      </c>
      <c r="E15" s="45" t="s">
        <v>146</v>
      </c>
      <c r="F15" s="51">
        <v>37</v>
      </c>
      <c r="G15" s="51">
        <v>19</v>
      </c>
      <c r="H15" s="50">
        <f t="shared" si="24"/>
        <v>56</v>
      </c>
      <c r="I15" s="51">
        <v>43</v>
      </c>
      <c r="J15" s="51">
        <v>16</v>
      </c>
      <c r="K15" s="50">
        <f t="shared" si="25"/>
        <v>59</v>
      </c>
      <c r="L15" s="51">
        <f t="shared" si="0"/>
        <v>115</v>
      </c>
      <c r="M15" s="78"/>
      <c r="N15" s="51">
        <f t="shared" si="1"/>
        <v>3</v>
      </c>
      <c r="O15" s="51">
        <v>72</v>
      </c>
      <c r="P15" s="51">
        <v>47</v>
      </c>
      <c r="Q15" s="51">
        <f t="shared" si="2"/>
        <v>119</v>
      </c>
      <c r="R15" s="78"/>
      <c r="S15" s="51">
        <f t="shared" si="3"/>
        <v>3</v>
      </c>
      <c r="T15" s="51">
        <v>45</v>
      </c>
      <c r="U15" s="51">
        <v>22</v>
      </c>
      <c r="V15" s="51">
        <f t="shared" si="4"/>
        <v>67</v>
      </c>
      <c r="W15" s="78"/>
      <c r="X15" s="51">
        <f t="shared" si="5"/>
        <v>3.5</v>
      </c>
      <c r="Y15" s="51">
        <v>62</v>
      </c>
      <c r="Z15" s="51">
        <v>22</v>
      </c>
      <c r="AA15" s="51">
        <f t="shared" si="6"/>
        <v>84</v>
      </c>
      <c r="AB15" s="78"/>
      <c r="AC15" s="51">
        <f t="shared" si="7"/>
        <v>5</v>
      </c>
      <c r="AD15" s="51">
        <v>21</v>
      </c>
      <c r="AE15" s="51">
        <v>22</v>
      </c>
      <c r="AF15" s="51">
        <f t="shared" si="8"/>
        <v>43</v>
      </c>
      <c r="AG15" s="84"/>
      <c r="AH15" s="51">
        <f t="shared" si="9"/>
        <v>5</v>
      </c>
      <c r="AI15" s="51">
        <v>50</v>
      </c>
      <c r="AJ15" s="51">
        <v>25</v>
      </c>
      <c r="AK15" s="51">
        <f t="shared" si="10"/>
        <v>75</v>
      </c>
      <c r="AL15" s="78"/>
      <c r="AM15" s="51">
        <f t="shared" si="11"/>
        <v>4</v>
      </c>
      <c r="AN15" s="51">
        <v>27</v>
      </c>
      <c r="AO15" s="51">
        <v>16</v>
      </c>
      <c r="AP15" s="52">
        <v>24</v>
      </c>
      <c r="AQ15" s="51">
        <f t="shared" si="12"/>
        <v>67</v>
      </c>
      <c r="AR15" s="78"/>
      <c r="AS15" s="51">
        <f t="shared" si="13"/>
        <v>3.5</v>
      </c>
      <c r="AT15" s="51">
        <v>34</v>
      </c>
      <c r="AU15" s="51">
        <v>15</v>
      </c>
      <c r="AV15" s="54">
        <v>24</v>
      </c>
      <c r="AW15" s="51">
        <f t="shared" si="14"/>
        <v>73</v>
      </c>
      <c r="AX15" s="78"/>
      <c r="AY15" s="51">
        <f t="shared" si="15"/>
        <v>4</v>
      </c>
      <c r="AZ15" s="51">
        <v>40</v>
      </c>
      <c r="BA15" s="51">
        <v>14</v>
      </c>
      <c r="BB15" s="51">
        <v>23</v>
      </c>
      <c r="BC15" s="51">
        <f t="shared" si="16"/>
        <v>77</v>
      </c>
      <c r="BD15" s="78"/>
      <c r="BE15" s="51">
        <f t="shared" si="17"/>
        <v>4</v>
      </c>
      <c r="BF15" s="51">
        <v>31</v>
      </c>
      <c r="BG15" s="56">
        <v>12</v>
      </c>
      <c r="BH15" s="56">
        <v>24</v>
      </c>
      <c r="BI15" s="54">
        <f t="shared" si="18"/>
        <v>67</v>
      </c>
      <c r="BJ15" s="78"/>
      <c r="BK15" s="51">
        <f t="shared" si="26"/>
        <v>3.5</v>
      </c>
      <c r="BL15" s="51">
        <f t="shared" si="28"/>
        <v>3.5</v>
      </c>
      <c r="BM15" s="51">
        <f t="shared" si="29"/>
        <v>36.5</v>
      </c>
      <c r="BN15" s="40">
        <f t="shared" si="21"/>
        <v>4.0555555555555554</v>
      </c>
      <c r="BO15" s="51" t="str">
        <f t="shared" si="27"/>
        <v>BETTER</v>
      </c>
      <c r="BP15" s="51">
        <f t="shared" si="30"/>
        <v>787</v>
      </c>
      <c r="BQ15" s="37">
        <v>6</v>
      </c>
      <c r="BR15" s="4"/>
    </row>
    <row r="16" spans="1:70" ht="17.100000000000001" customHeight="1">
      <c r="A16" s="43">
        <v>11</v>
      </c>
      <c r="B16" s="44" t="s">
        <v>97</v>
      </c>
      <c r="C16" s="44" t="s">
        <v>98</v>
      </c>
      <c r="D16" s="44" t="s">
        <v>99</v>
      </c>
      <c r="E16" s="45" t="s">
        <v>147</v>
      </c>
      <c r="F16" s="51">
        <v>43</v>
      </c>
      <c r="G16" s="51">
        <v>13</v>
      </c>
      <c r="H16" s="50">
        <f t="shared" si="24"/>
        <v>56</v>
      </c>
      <c r="I16" s="51">
        <v>43</v>
      </c>
      <c r="J16" s="51">
        <v>11</v>
      </c>
      <c r="K16" s="50">
        <f t="shared" si="25"/>
        <v>54</v>
      </c>
      <c r="L16" s="51">
        <f t="shared" si="0"/>
        <v>110</v>
      </c>
      <c r="M16" s="78"/>
      <c r="N16" s="51">
        <f t="shared" si="1"/>
        <v>3</v>
      </c>
      <c r="O16" s="51">
        <v>65</v>
      </c>
      <c r="P16" s="51">
        <v>41</v>
      </c>
      <c r="Q16" s="51">
        <f t="shared" si="2"/>
        <v>106</v>
      </c>
      <c r="R16" s="78"/>
      <c r="S16" s="51">
        <f t="shared" si="3"/>
        <v>3</v>
      </c>
      <c r="T16" s="51">
        <v>42</v>
      </c>
      <c r="U16" s="51">
        <v>20</v>
      </c>
      <c r="V16" s="51">
        <f t="shared" si="4"/>
        <v>62</v>
      </c>
      <c r="W16" s="78"/>
      <c r="X16" s="51">
        <f t="shared" si="5"/>
        <v>3.5</v>
      </c>
      <c r="Y16" s="51">
        <v>60</v>
      </c>
      <c r="Z16" s="51">
        <v>15</v>
      </c>
      <c r="AA16" s="51">
        <f t="shared" si="6"/>
        <v>75</v>
      </c>
      <c r="AB16" s="78"/>
      <c r="AC16" s="51">
        <f t="shared" si="7"/>
        <v>4</v>
      </c>
      <c r="AD16" s="51">
        <v>19</v>
      </c>
      <c r="AE16" s="51">
        <v>22</v>
      </c>
      <c r="AF16" s="51">
        <f t="shared" si="8"/>
        <v>41</v>
      </c>
      <c r="AG16" s="84"/>
      <c r="AH16" s="51">
        <f t="shared" si="9"/>
        <v>5</v>
      </c>
      <c r="AI16" s="51">
        <v>49</v>
      </c>
      <c r="AJ16" s="51">
        <v>22</v>
      </c>
      <c r="AK16" s="51">
        <f t="shared" si="10"/>
        <v>71</v>
      </c>
      <c r="AL16" s="78"/>
      <c r="AM16" s="51">
        <f t="shared" si="11"/>
        <v>4</v>
      </c>
      <c r="AN16" s="51">
        <v>30</v>
      </c>
      <c r="AO16" s="51">
        <v>16</v>
      </c>
      <c r="AP16" s="52">
        <v>24</v>
      </c>
      <c r="AQ16" s="51">
        <f t="shared" si="12"/>
        <v>70</v>
      </c>
      <c r="AR16" s="78"/>
      <c r="AS16" s="51">
        <f t="shared" si="13"/>
        <v>4</v>
      </c>
      <c r="AT16" s="51">
        <v>34</v>
      </c>
      <c r="AU16" s="51">
        <v>8</v>
      </c>
      <c r="AV16" s="54">
        <v>24</v>
      </c>
      <c r="AW16" s="51">
        <f t="shared" si="14"/>
        <v>66</v>
      </c>
      <c r="AX16" s="78"/>
      <c r="AY16" s="51">
        <f t="shared" si="15"/>
        <v>3.5</v>
      </c>
      <c r="AZ16" s="51">
        <v>38</v>
      </c>
      <c r="BA16" s="51">
        <v>15</v>
      </c>
      <c r="BB16" s="51">
        <v>22</v>
      </c>
      <c r="BC16" s="51">
        <f t="shared" si="16"/>
        <v>75</v>
      </c>
      <c r="BD16" s="78"/>
      <c r="BE16" s="51">
        <f t="shared" si="17"/>
        <v>4</v>
      </c>
      <c r="BF16" s="51">
        <v>26</v>
      </c>
      <c r="BG16" s="56">
        <v>12</v>
      </c>
      <c r="BH16" s="56">
        <v>24</v>
      </c>
      <c r="BI16" s="54">
        <f t="shared" si="18"/>
        <v>62</v>
      </c>
      <c r="BJ16" s="78"/>
      <c r="BK16" s="51">
        <f t="shared" si="26"/>
        <v>3.5</v>
      </c>
      <c r="BL16" s="51">
        <f t="shared" si="28"/>
        <v>3.5</v>
      </c>
      <c r="BM16" s="51">
        <f t="shared" si="29"/>
        <v>35.5</v>
      </c>
      <c r="BN16" s="40">
        <f t="shared" si="21"/>
        <v>3.9444444444444446</v>
      </c>
      <c r="BO16" s="51" t="str">
        <f t="shared" si="27"/>
        <v>GOOD</v>
      </c>
      <c r="BP16" s="51">
        <f t="shared" si="30"/>
        <v>738</v>
      </c>
      <c r="BQ16" s="37">
        <v>9</v>
      </c>
      <c r="BR16" s="4"/>
    </row>
    <row r="17" spans="1:70" ht="17.100000000000001" customHeight="1">
      <c r="A17" s="43">
        <v>12</v>
      </c>
      <c r="B17" s="44" t="s">
        <v>100</v>
      </c>
      <c r="C17" s="44" t="s">
        <v>101</v>
      </c>
      <c r="D17" s="44" t="s">
        <v>102</v>
      </c>
      <c r="E17" s="45" t="s">
        <v>148</v>
      </c>
      <c r="F17" s="51">
        <v>35</v>
      </c>
      <c r="G17" s="51">
        <v>21</v>
      </c>
      <c r="H17" s="50">
        <f t="shared" si="24"/>
        <v>56</v>
      </c>
      <c r="I17" s="51">
        <v>41</v>
      </c>
      <c r="J17" s="51">
        <v>13</v>
      </c>
      <c r="K17" s="50">
        <f t="shared" si="25"/>
        <v>54</v>
      </c>
      <c r="L17" s="51">
        <f t="shared" si="0"/>
        <v>110</v>
      </c>
      <c r="M17" s="78"/>
      <c r="N17" s="51">
        <f t="shared" si="1"/>
        <v>3</v>
      </c>
      <c r="O17" s="51">
        <v>55</v>
      </c>
      <c r="P17" s="51">
        <v>25</v>
      </c>
      <c r="Q17" s="51">
        <f t="shared" si="2"/>
        <v>80</v>
      </c>
      <c r="R17" s="78"/>
      <c r="S17" s="51">
        <f t="shared" si="3"/>
        <v>2</v>
      </c>
      <c r="T17" s="51">
        <v>37</v>
      </c>
      <c r="U17" s="51">
        <v>16</v>
      </c>
      <c r="V17" s="51">
        <f t="shared" si="4"/>
        <v>53</v>
      </c>
      <c r="W17" s="78"/>
      <c r="X17" s="51">
        <f t="shared" si="5"/>
        <v>3</v>
      </c>
      <c r="Y17" s="51">
        <v>54</v>
      </c>
      <c r="Z17" s="51">
        <v>23</v>
      </c>
      <c r="AA17" s="51">
        <f t="shared" si="6"/>
        <v>77</v>
      </c>
      <c r="AB17" s="78"/>
      <c r="AC17" s="51">
        <f t="shared" si="7"/>
        <v>4</v>
      </c>
      <c r="AD17" s="51">
        <v>18</v>
      </c>
      <c r="AE17" s="51">
        <v>22</v>
      </c>
      <c r="AF17" s="51">
        <f t="shared" si="8"/>
        <v>40</v>
      </c>
      <c r="AG17" s="84"/>
      <c r="AH17" s="51">
        <f t="shared" si="9"/>
        <v>5</v>
      </c>
      <c r="AI17" s="51">
        <v>47</v>
      </c>
      <c r="AJ17" s="51">
        <v>25</v>
      </c>
      <c r="AK17" s="51">
        <f t="shared" si="10"/>
        <v>72</v>
      </c>
      <c r="AL17" s="78"/>
      <c r="AM17" s="51">
        <f t="shared" si="11"/>
        <v>4</v>
      </c>
      <c r="AN17" s="51">
        <v>25</v>
      </c>
      <c r="AO17" s="51">
        <v>8</v>
      </c>
      <c r="AP17" s="52">
        <v>24</v>
      </c>
      <c r="AQ17" s="51">
        <f t="shared" si="12"/>
        <v>57</v>
      </c>
      <c r="AR17" s="78"/>
      <c r="AS17" s="51">
        <f t="shared" si="13"/>
        <v>3</v>
      </c>
      <c r="AT17" s="51">
        <v>28</v>
      </c>
      <c r="AU17" s="51">
        <v>13</v>
      </c>
      <c r="AV17" s="54">
        <v>24</v>
      </c>
      <c r="AW17" s="51">
        <f t="shared" si="14"/>
        <v>65</v>
      </c>
      <c r="AX17" s="78"/>
      <c r="AY17" s="51">
        <f t="shared" si="15"/>
        <v>3.5</v>
      </c>
      <c r="AZ17" s="51">
        <v>35</v>
      </c>
      <c r="BA17" s="51">
        <v>13</v>
      </c>
      <c r="BB17" s="51">
        <v>24</v>
      </c>
      <c r="BC17" s="51">
        <f t="shared" si="16"/>
        <v>72</v>
      </c>
      <c r="BD17" s="78"/>
      <c r="BE17" s="51">
        <f t="shared" si="17"/>
        <v>4</v>
      </c>
      <c r="BF17" s="51">
        <v>32</v>
      </c>
      <c r="BG17" s="56">
        <v>10</v>
      </c>
      <c r="BH17" s="56">
        <v>24</v>
      </c>
      <c r="BI17" s="54">
        <f t="shared" si="18"/>
        <v>66</v>
      </c>
      <c r="BJ17" s="78"/>
      <c r="BK17" s="51">
        <f t="shared" si="26"/>
        <v>3.5</v>
      </c>
      <c r="BL17" s="51">
        <f t="shared" si="28"/>
        <v>3.5</v>
      </c>
      <c r="BM17" s="51">
        <f t="shared" si="29"/>
        <v>33</v>
      </c>
      <c r="BN17" s="40">
        <f t="shared" si="21"/>
        <v>3.6666666666666665</v>
      </c>
      <c r="BO17" s="51" t="str">
        <f t="shared" si="27"/>
        <v>GOOD</v>
      </c>
      <c r="BP17" s="51">
        <f t="shared" si="30"/>
        <v>692</v>
      </c>
      <c r="BQ17" s="37">
        <v>13</v>
      </c>
      <c r="BR17" s="4"/>
    </row>
    <row r="18" spans="1:70" ht="17.100000000000001" customHeight="1">
      <c r="A18" s="43">
        <v>13</v>
      </c>
      <c r="B18" s="44" t="s">
        <v>103</v>
      </c>
      <c r="C18" s="44" t="s">
        <v>104</v>
      </c>
      <c r="D18" s="44" t="s">
        <v>105</v>
      </c>
      <c r="E18" s="45" t="s">
        <v>149</v>
      </c>
      <c r="F18" s="51">
        <v>37</v>
      </c>
      <c r="G18" s="51">
        <v>15</v>
      </c>
      <c r="H18" s="50">
        <f t="shared" si="24"/>
        <v>52</v>
      </c>
      <c r="I18" s="51">
        <v>41</v>
      </c>
      <c r="J18" s="51">
        <v>15</v>
      </c>
      <c r="K18" s="50">
        <f t="shared" si="25"/>
        <v>56</v>
      </c>
      <c r="L18" s="51">
        <f t="shared" si="0"/>
        <v>108</v>
      </c>
      <c r="M18" s="78"/>
      <c r="N18" s="51">
        <f t="shared" si="1"/>
        <v>3</v>
      </c>
      <c r="O18" s="51">
        <v>51</v>
      </c>
      <c r="P18" s="51">
        <v>36</v>
      </c>
      <c r="Q18" s="51">
        <f t="shared" si="2"/>
        <v>87</v>
      </c>
      <c r="R18" s="78"/>
      <c r="S18" s="51">
        <f t="shared" si="3"/>
        <v>2</v>
      </c>
      <c r="T18" s="51">
        <v>40</v>
      </c>
      <c r="U18" s="51">
        <v>22</v>
      </c>
      <c r="V18" s="51">
        <f t="shared" si="4"/>
        <v>62</v>
      </c>
      <c r="W18" s="78"/>
      <c r="X18" s="51">
        <f t="shared" si="5"/>
        <v>3.5</v>
      </c>
      <c r="Y18" s="51">
        <v>58</v>
      </c>
      <c r="Z18" s="51">
        <v>19</v>
      </c>
      <c r="AA18" s="51">
        <f t="shared" si="6"/>
        <v>77</v>
      </c>
      <c r="AB18" s="78"/>
      <c r="AC18" s="51">
        <f t="shared" si="7"/>
        <v>4</v>
      </c>
      <c r="AD18" s="51">
        <v>15</v>
      </c>
      <c r="AE18" s="51">
        <v>20</v>
      </c>
      <c r="AF18" s="51">
        <f t="shared" si="8"/>
        <v>35</v>
      </c>
      <c r="AG18" s="84"/>
      <c r="AH18" s="51">
        <f t="shared" si="9"/>
        <v>4</v>
      </c>
      <c r="AI18" s="51">
        <v>51</v>
      </c>
      <c r="AJ18" s="51">
        <v>16</v>
      </c>
      <c r="AK18" s="51">
        <f t="shared" si="10"/>
        <v>67</v>
      </c>
      <c r="AL18" s="78"/>
      <c r="AM18" s="51">
        <f t="shared" si="11"/>
        <v>3.5</v>
      </c>
      <c r="AN18" s="51">
        <v>35</v>
      </c>
      <c r="AO18" s="51">
        <v>12</v>
      </c>
      <c r="AP18" s="52">
        <v>24</v>
      </c>
      <c r="AQ18" s="51">
        <f t="shared" si="12"/>
        <v>71</v>
      </c>
      <c r="AR18" s="78"/>
      <c r="AS18" s="51">
        <f t="shared" si="13"/>
        <v>4</v>
      </c>
      <c r="AT18" s="51">
        <v>32</v>
      </c>
      <c r="AU18" s="51">
        <v>11</v>
      </c>
      <c r="AV18" s="54">
        <v>24</v>
      </c>
      <c r="AW18" s="51">
        <f t="shared" si="14"/>
        <v>67</v>
      </c>
      <c r="AX18" s="78"/>
      <c r="AY18" s="51">
        <f t="shared" si="15"/>
        <v>3.5</v>
      </c>
      <c r="AZ18" s="51">
        <v>43</v>
      </c>
      <c r="BA18" s="51">
        <v>16</v>
      </c>
      <c r="BB18" s="51">
        <v>24</v>
      </c>
      <c r="BC18" s="51">
        <f t="shared" si="16"/>
        <v>83</v>
      </c>
      <c r="BD18" s="78"/>
      <c r="BE18" s="51">
        <f t="shared" si="17"/>
        <v>5</v>
      </c>
      <c r="BF18" s="51">
        <v>37</v>
      </c>
      <c r="BG18" s="56">
        <v>13</v>
      </c>
      <c r="BH18" s="56">
        <v>24</v>
      </c>
      <c r="BI18" s="54">
        <f t="shared" si="18"/>
        <v>74</v>
      </c>
      <c r="BJ18" s="78"/>
      <c r="BK18" s="51">
        <f t="shared" si="26"/>
        <v>4</v>
      </c>
      <c r="BL18" s="51">
        <f t="shared" si="28"/>
        <v>4</v>
      </c>
      <c r="BM18" s="51">
        <f t="shared" si="29"/>
        <v>34.5</v>
      </c>
      <c r="BN18" s="40">
        <f t="shared" si="21"/>
        <v>3.8333333333333335</v>
      </c>
      <c r="BO18" s="51" t="str">
        <f t="shared" si="27"/>
        <v>GOOD</v>
      </c>
      <c r="BP18" s="51">
        <f t="shared" si="30"/>
        <v>731</v>
      </c>
      <c r="BQ18" s="37">
        <v>10</v>
      </c>
      <c r="BR18" s="4"/>
    </row>
    <row r="19" spans="1:70" ht="17.100000000000001" customHeight="1">
      <c r="A19" s="43">
        <v>15</v>
      </c>
      <c r="B19" s="44" t="s">
        <v>106</v>
      </c>
      <c r="C19" s="44" t="s">
        <v>107</v>
      </c>
      <c r="D19" s="44" t="s">
        <v>108</v>
      </c>
      <c r="E19" s="45" t="s">
        <v>150</v>
      </c>
      <c r="F19" s="51">
        <v>41</v>
      </c>
      <c r="G19" s="51">
        <v>15</v>
      </c>
      <c r="H19" s="50">
        <f t="shared" si="24"/>
        <v>56</v>
      </c>
      <c r="I19" s="51">
        <v>43</v>
      </c>
      <c r="J19" s="51">
        <v>15</v>
      </c>
      <c r="K19" s="50">
        <f t="shared" si="25"/>
        <v>58</v>
      </c>
      <c r="L19" s="51">
        <f t="shared" si="0"/>
        <v>114</v>
      </c>
      <c r="M19" s="78"/>
      <c r="N19" s="51">
        <f t="shared" si="1"/>
        <v>3</v>
      </c>
      <c r="O19" s="51">
        <v>52</v>
      </c>
      <c r="P19" s="51">
        <v>35</v>
      </c>
      <c r="Q19" s="51">
        <f t="shared" si="2"/>
        <v>87</v>
      </c>
      <c r="R19" s="78"/>
      <c r="S19" s="51">
        <f t="shared" si="3"/>
        <v>2</v>
      </c>
      <c r="T19" s="51">
        <v>24</v>
      </c>
      <c r="U19" s="51">
        <v>19</v>
      </c>
      <c r="V19" s="51">
        <f t="shared" si="4"/>
        <v>43</v>
      </c>
      <c r="W19" s="78"/>
      <c r="X19" s="51">
        <f t="shared" si="5"/>
        <v>2</v>
      </c>
      <c r="Y19" s="51">
        <v>63</v>
      </c>
      <c r="Z19" s="51">
        <v>19</v>
      </c>
      <c r="AA19" s="51">
        <f t="shared" si="6"/>
        <v>82</v>
      </c>
      <c r="AB19" s="78"/>
      <c r="AC19" s="51">
        <f t="shared" si="7"/>
        <v>5</v>
      </c>
      <c r="AD19" s="51">
        <v>20</v>
      </c>
      <c r="AE19" s="51">
        <v>20</v>
      </c>
      <c r="AF19" s="51">
        <f t="shared" si="8"/>
        <v>40</v>
      </c>
      <c r="AG19" s="84"/>
      <c r="AH19" s="51">
        <f t="shared" si="9"/>
        <v>5</v>
      </c>
      <c r="AI19" s="51">
        <v>48</v>
      </c>
      <c r="AJ19" s="51">
        <v>23</v>
      </c>
      <c r="AK19" s="51">
        <f t="shared" si="10"/>
        <v>71</v>
      </c>
      <c r="AL19" s="78"/>
      <c r="AM19" s="51">
        <f t="shared" si="11"/>
        <v>4</v>
      </c>
      <c r="AN19" s="51">
        <v>21</v>
      </c>
      <c r="AO19" s="51">
        <v>9</v>
      </c>
      <c r="AP19" s="52">
        <v>24</v>
      </c>
      <c r="AQ19" s="51">
        <f t="shared" si="12"/>
        <v>54</v>
      </c>
      <c r="AR19" s="78"/>
      <c r="AS19" s="51">
        <f t="shared" si="13"/>
        <v>3</v>
      </c>
      <c r="AT19" s="51">
        <v>27</v>
      </c>
      <c r="AU19" s="51">
        <v>10</v>
      </c>
      <c r="AV19" s="54">
        <v>24</v>
      </c>
      <c r="AW19" s="51">
        <f t="shared" si="14"/>
        <v>61</v>
      </c>
      <c r="AX19" s="78"/>
      <c r="AY19" s="51">
        <f t="shared" si="15"/>
        <v>3.5</v>
      </c>
      <c r="AZ19" s="51">
        <v>37</v>
      </c>
      <c r="BA19" s="51">
        <v>16</v>
      </c>
      <c r="BB19" s="51">
        <v>23</v>
      </c>
      <c r="BC19" s="51">
        <f t="shared" si="16"/>
        <v>76</v>
      </c>
      <c r="BD19" s="78"/>
      <c r="BE19" s="51">
        <f t="shared" si="17"/>
        <v>4</v>
      </c>
      <c r="BF19" s="51">
        <v>20</v>
      </c>
      <c r="BG19" s="56">
        <v>10</v>
      </c>
      <c r="BH19" s="56">
        <v>24</v>
      </c>
      <c r="BI19" s="54">
        <f t="shared" si="18"/>
        <v>54</v>
      </c>
      <c r="BJ19" s="78"/>
      <c r="BK19" s="51">
        <f t="shared" si="26"/>
        <v>3</v>
      </c>
      <c r="BL19" s="51">
        <f t="shared" si="28"/>
        <v>3</v>
      </c>
      <c r="BM19" s="51">
        <f t="shared" si="29"/>
        <v>32.5</v>
      </c>
      <c r="BN19" s="40">
        <f t="shared" si="21"/>
        <v>3.6111111111111112</v>
      </c>
      <c r="BO19" s="51" t="str">
        <f t="shared" si="27"/>
        <v>GOOD</v>
      </c>
      <c r="BP19" s="51">
        <f t="shared" si="30"/>
        <v>682</v>
      </c>
      <c r="BQ19" s="37">
        <v>14</v>
      </c>
      <c r="BR19" s="4"/>
    </row>
    <row r="20" spans="1:70" ht="17.100000000000001" customHeight="1">
      <c r="A20" s="43">
        <v>16</v>
      </c>
      <c r="B20" s="44" t="s">
        <v>109</v>
      </c>
      <c r="C20" s="44" t="s">
        <v>110</v>
      </c>
      <c r="D20" s="44" t="s">
        <v>111</v>
      </c>
      <c r="E20" s="45" t="s">
        <v>151</v>
      </c>
      <c r="F20" s="51">
        <v>38</v>
      </c>
      <c r="G20" s="51">
        <v>17</v>
      </c>
      <c r="H20" s="50">
        <f t="shared" si="24"/>
        <v>55</v>
      </c>
      <c r="I20" s="51">
        <v>39</v>
      </c>
      <c r="J20" s="51">
        <v>16</v>
      </c>
      <c r="K20" s="50">
        <f t="shared" si="25"/>
        <v>55</v>
      </c>
      <c r="L20" s="51">
        <f t="shared" si="0"/>
        <v>110</v>
      </c>
      <c r="M20" s="78"/>
      <c r="N20" s="51">
        <f t="shared" si="1"/>
        <v>3</v>
      </c>
      <c r="O20" s="51">
        <v>63</v>
      </c>
      <c r="P20" s="51">
        <v>40</v>
      </c>
      <c r="Q20" s="51">
        <f t="shared" si="2"/>
        <v>103</v>
      </c>
      <c r="R20" s="78"/>
      <c r="S20" s="51">
        <f t="shared" si="3"/>
        <v>3</v>
      </c>
      <c r="T20" s="51">
        <v>33</v>
      </c>
      <c r="U20" s="51">
        <v>16</v>
      </c>
      <c r="V20" s="51">
        <f t="shared" si="4"/>
        <v>49</v>
      </c>
      <c r="W20" s="78"/>
      <c r="X20" s="51">
        <f t="shared" si="5"/>
        <v>2</v>
      </c>
      <c r="Y20" s="51">
        <v>59</v>
      </c>
      <c r="Z20" s="51">
        <v>22</v>
      </c>
      <c r="AA20" s="51">
        <f t="shared" si="6"/>
        <v>81</v>
      </c>
      <c r="AB20" s="78"/>
      <c r="AC20" s="51">
        <f t="shared" si="7"/>
        <v>5</v>
      </c>
      <c r="AD20" s="51">
        <v>20</v>
      </c>
      <c r="AE20" s="51">
        <v>20</v>
      </c>
      <c r="AF20" s="51">
        <f t="shared" si="8"/>
        <v>40</v>
      </c>
      <c r="AG20" s="84"/>
      <c r="AH20" s="51">
        <f t="shared" si="9"/>
        <v>5</v>
      </c>
      <c r="AI20" s="51">
        <v>53</v>
      </c>
      <c r="AJ20" s="51">
        <v>23</v>
      </c>
      <c r="AK20" s="51">
        <f t="shared" si="10"/>
        <v>76</v>
      </c>
      <c r="AL20" s="78"/>
      <c r="AM20" s="51">
        <f t="shared" si="11"/>
        <v>4</v>
      </c>
      <c r="AN20" s="51">
        <v>25</v>
      </c>
      <c r="AO20" s="51">
        <v>12</v>
      </c>
      <c r="AP20" s="52">
        <v>24</v>
      </c>
      <c r="AQ20" s="51">
        <f t="shared" si="12"/>
        <v>61</v>
      </c>
      <c r="AR20" s="78"/>
      <c r="AS20" s="51">
        <f t="shared" si="13"/>
        <v>3.5</v>
      </c>
      <c r="AT20" s="51">
        <v>29</v>
      </c>
      <c r="AU20" s="51">
        <v>16</v>
      </c>
      <c r="AV20" s="54">
        <v>24</v>
      </c>
      <c r="AW20" s="51">
        <f t="shared" si="14"/>
        <v>69</v>
      </c>
      <c r="AX20" s="78"/>
      <c r="AY20" s="51">
        <f t="shared" si="15"/>
        <v>3.5</v>
      </c>
      <c r="AZ20" s="51">
        <v>37</v>
      </c>
      <c r="BA20" s="51">
        <v>16</v>
      </c>
      <c r="BB20" s="51">
        <v>23</v>
      </c>
      <c r="BC20" s="51">
        <f t="shared" si="16"/>
        <v>76</v>
      </c>
      <c r="BD20" s="78"/>
      <c r="BE20" s="51">
        <f t="shared" si="17"/>
        <v>4</v>
      </c>
      <c r="BF20" s="51">
        <v>24</v>
      </c>
      <c r="BG20" s="56">
        <v>14</v>
      </c>
      <c r="BH20" s="56">
        <v>24</v>
      </c>
      <c r="BI20" s="54">
        <f t="shared" si="18"/>
        <v>62</v>
      </c>
      <c r="BJ20" s="78"/>
      <c r="BK20" s="51">
        <f t="shared" si="26"/>
        <v>3.5</v>
      </c>
      <c r="BL20" s="51">
        <f t="shared" si="28"/>
        <v>3.5</v>
      </c>
      <c r="BM20" s="51">
        <f t="shared" si="29"/>
        <v>34.5</v>
      </c>
      <c r="BN20" s="40">
        <f t="shared" si="21"/>
        <v>3.8333333333333335</v>
      </c>
      <c r="BO20" s="51" t="str">
        <f t="shared" si="27"/>
        <v>GOOD</v>
      </c>
      <c r="BP20" s="51">
        <f t="shared" si="30"/>
        <v>727</v>
      </c>
      <c r="BQ20" s="37">
        <v>11</v>
      </c>
      <c r="BR20" s="4"/>
    </row>
    <row r="21" spans="1:70" ht="17.100000000000001" customHeight="1">
      <c r="A21" s="43">
        <v>17</v>
      </c>
      <c r="B21" s="44" t="s">
        <v>112</v>
      </c>
      <c r="C21" s="44" t="s">
        <v>113</v>
      </c>
      <c r="D21" s="44" t="s">
        <v>114</v>
      </c>
      <c r="E21" s="45" t="s">
        <v>152</v>
      </c>
      <c r="F21" s="51">
        <v>26</v>
      </c>
      <c r="G21" s="51">
        <v>17</v>
      </c>
      <c r="H21" s="50">
        <f t="shared" si="24"/>
        <v>43</v>
      </c>
      <c r="I21" s="51">
        <v>43</v>
      </c>
      <c r="J21" s="51">
        <v>14</v>
      </c>
      <c r="K21" s="50">
        <f t="shared" si="25"/>
        <v>57</v>
      </c>
      <c r="L21" s="51">
        <f t="shared" si="0"/>
        <v>100</v>
      </c>
      <c r="M21" s="78"/>
      <c r="N21" s="51">
        <f t="shared" si="1"/>
        <v>3</v>
      </c>
      <c r="O21" s="51">
        <v>48</v>
      </c>
      <c r="P21" s="51">
        <v>26</v>
      </c>
      <c r="Q21" s="51">
        <f t="shared" si="2"/>
        <v>74</v>
      </c>
      <c r="R21" s="78"/>
      <c r="S21" s="51">
        <f t="shared" si="3"/>
        <v>1</v>
      </c>
      <c r="T21" s="51">
        <v>31</v>
      </c>
      <c r="U21" s="51">
        <v>14</v>
      </c>
      <c r="V21" s="51">
        <f t="shared" si="4"/>
        <v>45</v>
      </c>
      <c r="W21" s="78"/>
      <c r="X21" s="51">
        <f t="shared" si="5"/>
        <v>2</v>
      </c>
      <c r="Y21" s="51">
        <v>60</v>
      </c>
      <c r="Z21" s="51">
        <v>19</v>
      </c>
      <c r="AA21" s="51">
        <f t="shared" si="6"/>
        <v>79</v>
      </c>
      <c r="AB21" s="78"/>
      <c r="AC21" s="51">
        <f t="shared" si="7"/>
        <v>4</v>
      </c>
      <c r="AD21" s="51">
        <v>18</v>
      </c>
      <c r="AE21" s="51">
        <v>20</v>
      </c>
      <c r="AF21" s="51">
        <f t="shared" si="8"/>
        <v>38</v>
      </c>
      <c r="AG21" s="84"/>
      <c r="AH21" s="51">
        <f t="shared" si="9"/>
        <v>4</v>
      </c>
      <c r="AI21" s="51">
        <v>41</v>
      </c>
      <c r="AJ21" s="51">
        <v>21</v>
      </c>
      <c r="AK21" s="51">
        <f t="shared" si="10"/>
        <v>62</v>
      </c>
      <c r="AL21" s="78"/>
      <c r="AM21" s="51">
        <f t="shared" si="11"/>
        <v>3.5</v>
      </c>
      <c r="AN21" s="51">
        <v>32</v>
      </c>
      <c r="AO21" s="51">
        <v>10</v>
      </c>
      <c r="AP21" s="52">
        <v>24</v>
      </c>
      <c r="AQ21" s="51">
        <f t="shared" si="12"/>
        <v>66</v>
      </c>
      <c r="AR21" s="78"/>
      <c r="AS21" s="51">
        <f t="shared" si="13"/>
        <v>3.5</v>
      </c>
      <c r="AT21" s="51">
        <v>17</v>
      </c>
      <c r="AU21" s="51">
        <v>11</v>
      </c>
      <c r="AV21" s="54">
        <v>24</v>
      </c>
      <c r="AW21" s="51">
        <f t="shared" si="14"/>
        <v>52</v>
      </c>
      <c r="AX21" s="78"/>
      <c r="AY21" s="51">
        <f t="shared" si="15"/>
        <v>3</v>
      </c>
      <c r="AZ21" s="51">
        <v>31</v>
      </c>
      <c r="BA21" s="51">
        <v>16</v>
      </c>
      <c r="BB21" s="51">
        <v>24</v>
      </c>
      <c r="BC21" s="51">
        <f t="shared" si="16"/>
        <v>71</v>
      </c>
      <c r="BD21" s="78"/>
      <c r="BE21" s="51">
        <f t="shared" si="17"/>
        <v>4</v>
      </c>
      <c r="BF21" s="51">
        <v>34</v>
      </c>
      <c r="BG21" s="56">
        <v>15</v>
      </c>
      <c r="BH21" s="56">
        <v>24</v>
      </c>
      <c r="BI21" s="54">
        <f t="shared" si="18"/>
        <v>73</v>
      </c>
      <c r="BJ21" s="78"/>
      <c r="BK21" s="51">
        <f t="shared" si="26"/>
        <v>4</v>
      </c>
      <c r="BL21" s="51">
        <f t="shared" si="28"/>
        <v>4</v>
      </c>
      <c r="BM21" s="51">
        <f t="shared" si="29"/>
        <v>30</v>
      </c>
      <c r="BN21" s="40">
        <f t="shared" si="21"/>
        <v>3.3333333333333335</v>
      </c>
      <c r="BO21" s="51" t="str">
        <f t="shared" si="27"/>
        <v>GOOD</v>
      </c>
      <c r="BP21" s="51">
        <f t="shared" si="30"/>
        <v>660</v>
      </c>
      <c r="BQ21" s="37">
        <v>19</v>
      </c>
      <c r="BR21" s="4"/>
    </row>
    <row r="22" spans="1:70" ht="17.100000000000001" customHeight="1">
      <c r="A22" s="43">
        <v>18</v>
      </c>
      <c r="B22" s="44" t="s">
        <v>115</v>
      </c>
      <c r="C22" s="44" t="s">
        <v>116</v>
      </c>
      <c r="D22" s="44" t="s">
        <v>117</v>
      </c>
      <c r="E22" s="45" t="s">
        <v>153</v>
      </c>
      <c r="F22" s="51">
        <v>37</v>
      </c>
      <c r="G22" s="51">
        <v>15</v>
      </c>
      <c r="H22" s="50">
        <f t="shared" si="24"/>
        <v>52</v>
      </c>
      <c r="I22" s="51">
        <v>40</v>
      </c>
      <c r="J22" s="51">
        <v>14</v>
      </c>
      <c r="K22" s="50">
        <f t="shared" si="25"/>
        <v>54</v>
      </c>
      <c r="L22" s="51">
        <f t="shared" si="0"/>
        <v>106</v>
      </c>
      <c r="M22" s="78"/>
      <c r="N22" s="51">
        <f t="shared" si="1"/>
        <v>3</v>
      </c>
      <c r="O22" s="51">
        <v>42</v>
      </c>
      <c r="P22" s="51">
        <v>33</v>
      </c>
      <c r="Q22" s="51">
        <f t="shared" si="2"/>
        <v>75</v>
      </c>
      <c r="R22" s="78"/>
      <c r="S22" s="51">
        <f t="shared" si="3"/>
        <v>1</v>
      </c>
      <c r="T22" s="51">
        <v>33</v>
      </c>
      <c r="U22" s="51">
        <v>15</v>
      </c>
      <c r="V22" s="51">
        <f t="shared" si="4"/>
        <v>48</v>
      </c>
      <c r="W22" s="78"/>
      <c r="X22" s="51">
        <f t="shared" si="5"/>
        <v>2</v>
      </c>
      <c r="Y22" s="51">
        <v>56</v>
      </c>
      <c r="Z22" s="51">
        <v>27</v>
      </c>
      <c r="AA22" s="51">
        <f t="shared" si="6"/>
        <v>83</v>
      </c>
      <c r="AB22" s="78"/>
      <c r="AC22" s="51">
        <f t="shared" si="7"/>
        <v>5</v>
      </c>
      <c r="AD22" s="51">
        <v>22</v>
      </c>
      <c r="AE22" s="51">
        <v>20</v>
      </c>
      <c r="AF22" s="51">
        <f t="shared" si="8"/>
        <v>42</v>
      </c>
      <c r="AG22" s="84"/>
      <c r="AH22" s="51">
        <f t="shared" si="9"/>
        <v>5</v>
      </c>
      <c r="AI22" s="51">
        <v>36</v>
      </c>
      <c r="AJ22" s="51">
        <v>22</v>
      </c>
      <c r="AK22" s="51">
        <f t="shared" si="10"/>
        <v>58</v>
      </c>
      <c r="AL22" s="78"/>
      <c r="AM22" s="51">
        <f t="shared" si="11"/>
        <v>3</v>
      </c>
      <c r="AN22" s="51">
        <v>21</v>
      </c>
      <c r="AO22" s="51">
        <v>12</v>
      </c>
      <c r="AP22" s="52">
        <v>24</v>
      </c>
      <c r="AQ22" s="51">
        <f t="shared" si="12"/>
        <v>57</v>
      </c>
      <c r="AR22" s="78"/>
      <c r="AS22" s="51">
        <f t="shared" si="13"/>
        <v>3</v>
      </c>
      <c r="AT22" s="51">
        <v>25</v>
      </c>
      <c r="AU22" s="51">
        <v>13</v>
      </c>
      <c r="AV22" s="54">
        <v>24</v>
      </c>
      <c r="AW22" s="51">
        <f t="shared" si="14"/>
        <v>62</v>
      </c>
      <c r="AX22" s="78"/>
      <c r="AY22" s="51">
        <f t="shared" si="15"/>
        <v>3.5</v>
      </c>
      <c r="AZ22" s="51">
        <v>36</v>
      </c>
      <c r="BA22" s="51">
        <v>18</v>
      </c>
      <c r="BB22" s="51">
        <v>23</v>
      </c>
      <c r="BC22" s="51">
        <f t="shared" si="16"/>
        <v>77</v>
      </c>
      <c r="BD22" s="78"/>
      <c r="BE22" s="51">
        <f t="shared" si="17"/>
        <v>4</v>
      </c>
      <c r="BF22" s="51">
        <v>20</v>
      </c>
      <c r="BG22" s="56">
        <v>13</v>
      </c>
      <c r="BH22" s="56">
        <v>24</v>
      </c>
      <c r="BI22" s="54">
        <f t="shared" si="18"/>
        <v>57</v>
      </c>
      <c r="BJ22" s="78"/>
      <c r="BK22" s="51">
        <f t="shared" si="26"/>
        <v>3</v>
      </c>
      <c r="BL22" s="51">
        <f t="shared" si="28"/>
        <v>3</v>
      </c>
      <c r="BM22" s="51">
        <f t="shared" si="29"/>
        <v>30.5</v>
      </c>
      <c r="BN22" s="40">
        <f t="shared" si="21"/>
        <v>3.3888888888888888</v>
      </c>
      <c r="BO22" s="51" t="str">
        <f t="shared" si="27"/>
        <v>GOOD</v>
      </c>
      <c r="BP22" s="51">
        <f t="shared" si="30"/>
        <v>665</v>
      </c>
      <c r="BQ22" s="37">
        <v>18</v>
      </c>
      <c r="BR22" s="4"/>
    </row>
    <row r="23" spans="1:70" ht="17.100000000000001" customHeight="1">
      <c r="A23" s="43">
        <v>19</v>
      </c>
      <c r="B23" s="44" t="s">
        <v>118</v>
      </c>
      <c r="C23" s="44" t="s">
        <v>119</v>
      </c>
      <c r="D23" s="44" t="s">
        <v>120</v>
      </c>
      <c r="E23" s="45" t="s">
        <v>154</v>
      </c>
      <c r="F23" s="51">
        <v>29</v>
      </c>
      <c r="G23" s="51">
        <v>23</v>
      </c>
      <c r="H23" s="50">
        <f t="shared" si="24"/>
        <v>52</v>
      </c>
      <c r="I23" s="51">
        <v>36</v>
      </c>
      <c r="J23" s="51">
        <v>10</v>
      </c>
      <c r="K23" s="50">
        <f t="shared" si="25"/>
        <v>46</v>
      </c>
      <c r="L23" s="51">
        <f t="shared" ref="L23:L53" si="31">H23+K23</f>
        <v>98</v>
      </c>
      <c r="M23" s="78"/>
      <c r="N23" s="51">
        <f t="shared" ref="N23:N53" si="32">IF(G23+J23&lt;20,"F",IF(F23+I23&lt;46,"F",IF(L23&lt;66,"F",IF(L23&lt;80,1,IF(L23&lt;100,2,IF(L23&lt;120,3,IF(L23&lt;140,3.5,IF(L23&lt;160,4,5))))))))</f>
        <v>2</v>
      </c>
      <c r="O23" s="51">
        <v>33</v>
      </c>
      <c r="P23" s="51">
        <v>33</v>
      </c>
      <c r="Q23" s="51">
        <f t="shared" ref="Q23:Q53" si="33">O23+P23</f>
        <v>66</v>
      </c>
      <c r="R23" s="78"/>
      <c r="S23" s="51">
        <f t="shared" ref="S23:S53" si="34">IF(Q23&lt;66,"F",IF(Q23&lt;80,1,IF(Q23&lt;100,2,IF(Q23&lt;120,3,IF(Q23&lt;140,3.5,IF(Q23&lt;160,4,5))))))</f>
        <v>1</v>
      </c>
      <c r="T23" s="51">
        <v>35</v>
      </c>
      <c r="U23" s="51">
        <v>16</v>
      </c>
      <c r="V23" s="51">
        <f t="shared" ref="V23:V53" si="35">T23+U23</f>
        <v>51</v>
      </c>
      <c r="W23" s="78"/>
      <c r="X23" s="51">
        <f t="shared" ref="X23:X53" si="36">IF(T23&lt;23,"F",IF(U23&lt;10,"F",IF(V23&lt;33,"F",IF(V23&lt;40,1,IF(V23&lt;50,2,IF(V23&lt;60,3,IF(V23&lt;70,3.5,IF(V23&lt;80,4,5))))))))</f>
        <v>3</v>
      </c>
      <c r="Y23" s="51">
        <v>54</v>
      </c>
      <c r="Z23" s="51">
        <v>24</v>
      </c>
      <c r="AA23" s="51">
        <f t="shared" ref="AA23:AA53" si="37">Y23+Z23</f>
        <v>78</v>
      </c>
      <c r="AB23" s="78"/>
      <c r="AC23" s="51">
        <f t="shared" ref="AC23:AC53" si="38">IF(Y23&lt;23,"F",IF(Z23&lt;10,"F",IF(AA23&lt;33,"F",IF(AA23&lt;40,1,IF(AA23&lt;50,2,IF(AA23&lt;60,3,IF(AA23&lt;70,3.5,IF(AA23&lt;80,4,5))))))))</f>
        <v>4</v>
      </c>
      <c r="AD23" s="51">
        <v>19</v>
      </c>
      <c r="AE23" s="51">
        <v>20</v>
      </c>
      <c r="AF23" s="51">
        <f t="shared" ref="AF23:AF53" si="39">AD23+AE23</f>
        <v>39</v>
      </c>
      <c r="AG23" s="84"/>
      <c r="AH23" s="51">
        <f t="shared" ref="AH23:AH53" si="40">IF(AD23&lt;8,"F",IF(AE23&lt;9,"F",IF(AF23&lt;17,"F",IF(AF23&lt;25,2,IF(AF23&lt;30,3,IF(AF23&lt;35,3.5,IF(AF23&lt;40,4,5)))))))</f>
        <v>4</v>
      </c>
      <c r="AI23" s="51">
        <v>42</v>
      </c>
      <c r="AJ23" s="51">
        <v>25</v>
      </c>
      <c r="AK23" s="51">
        <f t="shared" ref="AK23:AK53" si="41">AI23+AJ23</f>
        <v>67</v>
      </c>
      <c r="AL23" s="78"/>
      <c r="AM23" s="51">
        <f t="shared" ref="AM23:AM53" si="42">IF(AI23&lt;23,"F",IF(AJ23&lt;10,"F",IF(AK23&lt;33,"F",IF(AK23&lt;40,1,IF(AK23&lt;50,2,IF(AK23&lt;60,3,IF(AK23&lt;70,3.5,IF(AK23&lt;80,4,5))))))))</f>
        <v>3.5</v>
      </c>
      <c r="AN23" s="51">
        <v>23</v>
      </c>
      <c r="AO23" s="51">
        <v>14</v>
      </c>
      <c r="AP23" s="52">
        <v>24</v>
      </c>
      <c r="AQ23" s="51">
        <f t="shared" ref="AQ23:AQ53" si="43">AN23+AO23+AP23</f>
        <v>61</v>
      </c>
      <c r="AR23" s="78"/>
      <c r="AS23" s="51">
        <f t="shared" ref="AS23:AS53" si="44">IF(AN23&lt;17,"F",IF(AO23&lt;8,"F",IF(AP23&lt;8,"F",IF(AQ23&lt;33,"F",IF(AQ23&lt;40,1,IF(AQ23&lt;50,2,IF(AQ23&lt;60,3,IF(AQ23&lt;70,3.5,IF(AQ23&lt;80,4,5)))))))))</f>
        <v>3.5</v>
      </c>
      <c r="AT23" s="51">
        <v>32</v>
      </c>
      <c r="AU23" s="51">
        <v>10</v>
      </c>
      <c r="AV23" s="54">
        <v>24</v>
      </c>
      <c r="AW23" s="51">
        <f t="shared" ref="AW23:AW53" si="45">AT23+AU23+AV23</f>
        <v>66</v>
      </c>
      <c r="AX23" s="78"/>
      <c r="AY23" s="51">
        <f t="shared" ref="AY23:AY53" si="46">IF(AT23&lt;17,"F",IF(AU23&lt;8,"F",IF(AV23&lt;8,"F",IF(AW23&lt;33,"F",IF(AW23&lt;40,1,IF(AW23&lt;50,2,IF(AW23&lt;60,3,IF(AW23&lt;70,3.5,IF(AW23&lt;80,4,5)))))))))</f>
        <v>3.5</v>
      </c>
      <c r="AZ23" s="51">
        <v>30</v>
      </c>
      <c r="BA23" s="51">
        <v>10</v>
      </c>
      <c r="BB23" s="51">
        <v>23</v>
      </c>
      <c r="BC23" s="51">
        <f t="shared" ref="BC23:BC53" si="47">AZ23+BA23+BB23</f>
        <v>63</v>
      </c>
      <c r="BD23" s="78"/>
      <c r="BE23" s="51">
        <f t="shared" ref="BE23:BE53" si="48">IF(AZ23&lt;17,"F",IF(BA23&lt;8,"F",IF(BB23&lt;8,"F",IF(BC23&lt;33,"F",IF(BC23&lt;40,1,IF(BC23&lt;50,2,IF(BC23&lt;60,3,IF(BC23&lt;70,3.5,IF(BC23&lt;80,4,5)))))))))</f>
        <v>3.5</v>
      </c>
      <c r="BF23" s="51">
        <v>28</v>
      </c>
      <c r="BG23" s="56">
        <v>13</v>
      </c>
      <c r="BH23" s="56">
        <v>24</v>
      </c>
      <c r="BI23" s="54">
        <f t="shared" si="18"/>
        <v>65</v>
      </c>
      <c r="BJ23" s="78"/>
      <c r="BK23" s="51">
        <f t="shared" ref="BK23:BK53" si="49">IF(BF23&lt;17,"0",IF(BG23&lt;8,"0",IF(BH23&lt;8,"0",IF(BI23&lt;33,"0",IF(BI23&lt;40,1,IF(BI23&lt;50,2,IF(BI23&lt;60,3,IF(BI23&lt;70,3.5,IF(BI23&lt;80,4,5)))))))))</f>
        <v>3.5</v>
      </c>
      <c r="BL23" s="51">
        <f t="shared" si="28"/>
        <v>3.5</v>
      </c>
      <c r="BM23" s="51">
        <f t="shared" si="29"/>
        <v>29.5</v>
      </c>
      <c r="BN23" s="40">
        <f t="shared" ref="BN23:BN53" si="50">IF(BM23="F","F",IF(BM23&gt;=45,5,IF(BM23&lt;45,BM23/9)))</f>
        <v>3.2777777777777777</v>
      </c>
      <c r="BO23" s="51" t="str">
        <f t="shared" si="27"/>
        <v>GOOD</v>
      </c>
      <c r="BP23" s="51">
        <f t="shared" si="30"/>
        <v>654</v>
      </c>
      <c r="BQ23" s="37">
        <v>21</v>
      </c>
      <c r="BR23" s="4"/>
    </row>
    <row r="24" spans="1:70" ht="17.100000000000001" customHeight="1">
      <c r="A24" s="43">
        <v>32</v>
      </c>
      <c r="B24" s="44" t="s">
        <v>121</v>
      </c>
      <c r="C24" s="44" t="s">
        <v>122</v>
      </c>
      <c r="D24" s="44" t="s">
        <v>123</v>
      </c>
      <c r="E24" s="45" t="s">
        <v>155</v>
      </c>
      <c r="F24" s="51">
        <v>35</v>
      </c>
      <c r="G24" s="51">
        <v>21</v>
      </c>
      <c r="H24" s="50">
        <f>F24+G24</f>
        <v>56</v>
      </c>
      <c r="I24" s="51">
        <v>44</v>
      </c>
      <c r="J24" s="51">
        <v>13</v>
      </c>
      <c r="K24" s="50">
        <f t="shared" si="25"/>
        <v>57</v>
      </c>
      <c r="L24" s="51">
        <f t="shared" si="31"/>
        <v>113</v>
      </c>
      <c r="M24" s="78"/>
      <c r="N24" s="51">
        <f t="shared" si="32"/>
        <v>3</v>
      </c>
      <c r="O24" s="51">
        <v>56</v>
      </c>
      <c r="P24" s="51">
        <v>47</v>
      </c>
      <c r="Q24" s="51">
        <f t="shared" si="33"/>
        <v>103</v>
      </c>
      <c r="R24" s="78"/>
      <c r="S24" s="51">
        <f t="shared" si="34"/>
        <v>3</v>
      </c>
      <c r="T24" s="51">
        <v>29</v>
      </c>
      <c r="U24" s="51">
        <v>15</v>
      </c>
      <c r="V24" s="51">
        <f t="shared" si="35"/>
        <v>44</v>
      </c>
      <c r="W24" s="78"/>
      <c r="X24" s="51">
        <f t="shared" si="36"/>
        <v>2</v>
      </c>
      <c r="Y24" s="51">
        <v>44</v>
      </c>
      <c r="Z24" s="51">
        <v>16</v>
      </c>
      <c r="AA24" s="51">
        <f t="shared" si="37"/>
        <v>60</v>
      </c>
      <c r="AB24" s="78"/>
      <c r="AC24" s="51">
        <f t="shared" si="38"/>
        <v>3.5</v>
      </c>
      <c r="AD24" s="51">
        <v>21</v>
      </c>
      <c r="AE24" s="51">
        <v>20</v>
      </c>
      <c r="AF24" s="51">
        <f t="shared" si="39"/>
        <v>41</v>
      </c>
      <c r="AG24" s="84"/>
      <c r="AH24" s="51">
        <f t="shared" si="40"/>
        <v>5</v>
      </c>
      <c r="AI24" s="51">
        <v>46</v>
      </c>
      <c r="AJ24" s="51">
        <v>21</v>
      </c>
      <c r="AK24" s="51">
        <f t="shared" si="41"/>
        <v>67</v>
      </c>
      <c r="AL24" s="78"/>
      <c r="AM24" s="51">
        <f t="shared" si="42"/>
        <v>3.5</v>
      </c>
      <c r="AN24" s="51">
        <v>22</v>
      </c>
      <c r="AO24" s="51">
        <v>9</v>
      </c>
      <c r="AP24" s="52">
        <v>24</v>
      </c>
      <c r="AQ24" s="51">
        <f t="shared" si="43"/>
        <v>55</v>
      </c>
      <c r="AR24" s="78"/>
      <c r="AS24" s="51">
        <f t="shared" si="44"/>
        <v>3</v>
      </c>
      <c r="AT24" s="51">
        <v>17</v>
      </c>
      <c r="AU24" s="51">
        <v>10</v>
      </c>
      <c r="AV24" s="54">
        <v>24</v>
      </c>
      <c r="AW24" s="51">
        <f t="shared" si="45"/>
        <v>51</v>
      </c>
      <c r="AX24" s="78"/>
      <c r="AY24" s="51">
        <f t="shared" si="46"/>
        <v>3</v>
      </c>
      <c r="AZ24" s="51">
        <v>37</v>
      </c>
      <c r="BA24" s="51">
        <v>16</v>
      </c>
      <c r="BB24" s="51">
        <v>23</v>
      </c>
      <c r="BC24" s="51">
        <f t="shared" si="47"/>
        <v>76</v>
      </c>
      <c r="BD24" s="78"/>
      <c r="BE24" s="51">
        <f t="shared" si="48"/>
        <v>4</v>
      </c>
      <c r="BF24" s="51">
        <v>20</v>
      </c>
      <c r="BG24" s="56">
        <v>8</v>
      </c>
      <c r="BH24" s="56">
        <v>24</v>
      </c>
      <c r="BI24" s="54">
        <f t="shared" si="18"/>
        <v>52</v>
      </c>
      <c r="BJ24" s="78"/>
      <c r="BK24" s="51">
        <f t="shared" si="49"/>
        <v>3</v>
      </c>
      <c r="BL24" s="51">
        <f t="shared" si="28"/>
        <v>3</v>
      </c>
      <c r="BM24" s="51">
        <f t="shared" si="29"/>
        <v>31</v>
      </c>
      <c r="BN24" s="40">
        <f t="shared" si="50"/>
        <v>3.4444444444444446</v>
      </c>
      <c r="BO24" s="51" t="str">
        <f t="shared" si="27"/>
        <v>GOOD</v>
      </c>
      <c r="BP24" s="51">
        <f t="shared" si="30"/>
        <v>662</v>
      </c>
      <c r="BQ24" s="37">
        <v>16</v>
      </c>
      <c r="BR24" s="4"/>
    </row>
    <row r="25" spans="1:70" s="30" customFormat="1" ht="17.100000000000001" customHeight="1">
      <c r="A25" s="46">
        <v>45</v>
      </c>
      <c r="B25" s="47" t="s">
        <v>124</v>
      </c>
      <c r="C25" s="47" t="s">
        <v>125</v>
      </c>
      <c r="D25" s="47" t="s">
        <v>126</v>
      </c>
      <c r="E25" s="48" t="s">
        <v>156</v>
      </c>
      <c r="F25" s="57">
        <v>38</v>
      </c>
      <c r="G25" s="57">
        <v>18</v>
      </c>
      <c r="H25" s="58">
        <f t="shared" ref="H25:H53" si="51">F25+G25</f>
        <v>56</v>
      </c>
      <c r="I25" s="57">
        <v>42</v>
      </c>
      <c r="J25" s="57">
        <v>11</v>
      </c>
      <c r="K25" s="58">
        <f t="shared" si="25"/>
        <v>53</v>
      </c>
      <c r="L25" s="57">
        <f t="shared" si="31"/>
        <v>109</v>
      </c>
      <c r="M25" s="78"/>
      <c r="N25" s="57">
        <f t="shared" si="32"/>
        <v>3</v>
      </c>
      <c r="O25" s="57">
        <v>40</v>
      </c>
      <c r="P25" s="57">
        <v>40</v>
      </c>
      <c r="Q25" s="57">
        <f t="shared" si="33"/>
        <v>80</v>
      </c>
      <c r="R25" s="78"/>
      <c r="S25" s="57">
        <f t="shared" si="34"/>
        <v>2</v>
      </c>
      <c r="T25" s="57">
        <v>31</v>
      </c>
      <c r="U25" s="57">
        <v>10</v>
      </c>
      <c r="V25" s="57">
        <f t="shared" si="35"/>
        <v>41</v>
      </c>
      <c r="W25" s="78"/>
      <c r="X25" s="57">
        <f t="shared" si="36"/>
        <v>2</v>
      </c>
      <c r="Y25" s="57">
        <v>55</v>
      </c>
      <c r="Z25" s="57">
        <v>15</v>
      </c>
      <c r="AA25" s="57">
        <f t="shared" si="37"/>
        <v>70</v>
      </c>
      <c r="AB25" s="78"/>
      <c r="AC25" s="57">
        <f t="shared" si="38"/>
        <v>4</v>
      </c>
      <c r="AD25" s="57">
        <v>20</v>
      </c>
      <c r="AE25" s="57">
        <v>20</v>
      </c>
      <c r="AF25" s="57">
        <f t="shared" si="39"/>
        <v>40</v>
      </c>
      <c r="AG25" s="84"/>
      <c r="AH25" s="57">
        <f t="shared" si="40"/>
        <v>5</v>
      </c>
      <c r="AI25" s="57">
        <v>29</v>
      </c>
      <c r="AJ25" s="57">
        <v>19</v>
      </c>
      <c r="AK25" s="57">
        <f t="shared" si="41"/>
        <v>48</v>
      </c>
      <c r="AL25" s="78"/>
      <c r="AM25" s="57">
        <f t="shared" si="42"/>
        <v>2</v>
      </c>
      <c r="AN25" s="57">
        <v>22</v>
      </c>
      <c r="AO25" s="57">
        <v>8</v>
      </c>
      <c r="AP25" s="57">
        <v>24</v>
      </c>
      <c r="AQ25" s="57">
        <f t="shared" si="43"/>
        <v>54</v>
      </c>
      <c r="AR25" s="78"/>
      <c r="AS25" s="57">
        <f t="shared" si="44"/>
        <v>3</v>
      </c>
      <c r="AT25" s="57">
        <v>18</v>
      </c>
      <c r="AU25" s="57">
        <v>10</v>
      </c>
      <c r="AV25" s="57">
        <v>24</v>
      </c>
      <c r="AW25" s="57">
        <f t="shared" si="45"/>
        <v>52</v>
      </c>
      <c r="AX25" s="78"/>
      <c r="AY25" s="57">
        <f t="shared" si="46"/>
        <v>3</v>
      </c>
      <c r="AZ25" s="57">
        <v>26</v>
      </c>
      <c r="BA25" s="57">
        <v>10</v>
      </c>
      <c r="BB25" s="57">
        <v>24</v>
      </c>
      <c r="BC25" s="57">
        <f t="shared" si="47"/>
        <v>60</v>
      </c>
      <c r="BD25" s="78"/>
      <c r="BE25" s="57">
        <f t="shared" si="48"/>
        <v>3.5</v>
      </c>
      <c r="BF25" s="57">
        <v>34</v>
      </c>
      <c r="BG25" s="57">
        <v>15</v>
      </c>
      <c r="BH25" s="57">
        <v>24</v>
      </c>
      <c r="BI25" s="57">
        <f t="shared" si="18"/>
        <v>73</v>
      </c>
      <c r="BJ25" s="78"/>
      <c r="BK25" s="57">
        <f t="shared" si="49"/>
        <v>4</v>
      </c>
      <c r="BL25" s="57">
        <f t="shared" si="28"/>
        <v>4</v>
      </c>
      <c r="BM25" s="57">
        <f t="shared" si="29"/>
        <v>29.5</v>
      </c>
      <c r="BN25" s="59">
        <f t="shared" si="50"/>
        <v>3.2777777777777777</v>
      </c>
      <c r="BO25" s="57" t="str">
        <f t="shared" si="27"/>
        <v>GOOD</v>
      </c>
      <c r="BP25" s="57">
        <f t="shared" si="30"/>
        <v>627</v>
      </c>
      <c r="BQ25" s="37">
        <v>22</v>
      </c>
      <c r="BR25" s="60"/>
    </row>
    <row r="26" spans="1:70" s="30" customFormat="1" ht="17.100000000000001" customHeight="1">
      <c r="A26" s="46">
        <v>48</v>
      </c>
      <c r="B26" s="47" t="s">
        <v>127</v>
      </c>
      <c r="C26" s="47" t="s">
        <v>128</v>
      </c>
      <c r="D26" s="47" t="s">
        <v>129</v>
      </c>
      <c r="E26" s="48" t="s">
        <v>157</v>
      </c>
      <c r="F26" s="57">
        <v>21</v>
      </c>
      <c r="G26" s="57">
        <v>18</v>
      </c>
      <c r="H26" s="58">
        <f t="shared" si="51"/>
        <v>39</v>
      </c>
      <c r="I26" s="57">
        <v>39</v>
      </c>
      <c r="J26" s="57">
        <v>12</v>
      </c>
      <c r="K26" s="58">
        <f t="shared" si="25"/>
        <v>51</v>
      </c>
      <c r="L26" s="57">
        <f t="shared" si="31"/>
        <v>90</v>
      </c>
      <c r="M26" s="78"/>
      <c r="N26" s="57">
        <f t="shared" si="32"/>
        <v>2</v>
      </c>
      <c r="O26" s="57">
        <v>35</v>
      </c>
      <c r="P26" s="57">
        <v>33</v>
      </c>
      <c r="Q26" s="57">
        <f t="shared" si="33"/>
        <v>68</v>
      </c>
      <c r="R26" s="78"/>
      <c r="S26" s="57">
        <f t="shared" si="34"/>
        <v>1</v>
      </c>
      <c r="T26" s="57">
        <v>11</v>
      </c>
      <c r="U26" s="57">
        <v>11</v>
      </c>
      <c r="V26" s="57">
        <f t="shared" si="35"/>
        <v>22</v>
      </c>
      <c r="W26" s="78"/>
      <c r="X26" s="57" t="str">
        <f t="shared" si="36"/>
        <v>F</v>
      </c>
      <c r="Y26" s="57">
        <v>51</v>
      </c>
      <c r="Z26" s="57">
        <v>17</v>
      </c>
      <c r="AA26" s="57">
        <f t="shared" si="37"/>
        <v>68</v>
      </c>
      <c r="AB26" s="78"/>
      <c r="AC26" s="57">
        <f t="shared" si="38"/>
        <v>3.5</v>
      </c>
      <c r="AD26" s="57">
        <v>22</v>
      </c>
      <c r="AE26" s="57">
        <v>22</v>
      </c>
      <c r="AF26" s="57">
        <f t="shared" si="39"/>
        <v>44</v>
      </c>
      <c r="AG26" s="84"/>
      <c r="AH26" s="57">
        <f t="shared" si="40"/>
        <v>5</v>
      </c>
      <c r="AI26" s="57">
        <v>32</v>
      </c>
      <c r="AJ26" s="57">
        <v>18</v>
      </c>
      <c r="AK26" s="57">
        <f t="shared" si="41"/>
        <v>50</v>
      </c>
      <c r="AL26" s="78"/>
      <c r="AM26" s="57">
        <f t="shared" si="42"/>
        <v>3</v>
      </c>
      <c r="AN26" s="57">
        <v>17</v>
      </c>
      <c r="AO26" s="57">
        <v>11</v>
      </c>
      <c r="AP26" s="57">
        <v>24</v>
      </c>
      <c r="AQ26" s="57">
        <f t="shared" si="43"/>
        <v>52</v>
      </c>
      <c r="AR26" s="78"/>
      <c r="AS26" s="57">
        <f t="shared" si="44"/>
        <v>3</v>
      </c>
      <c r="AT26" s="57">
        <v>18</v>
      </c>
      <c r="AU26" s="57">
        <v>9</v>
      </c>
      <c r="AV26" s="57">
        <v>24</v>
      </c>
      <c r="AW26" s="57">
        <f t="shared" si="45"/>
        <v>51</v>
      </c>
      <c r="AX26" s="78"/>
      <c r="AY26" s="57">
        <f t="shared" si="46"/>
        <v>3</v>
      </c>
      <c r="AZ26" s="57">
        <v>35</v>
      </c>
      <c r="BA26" s="57">
        <v>15</v>
      </c>
      <c r="BB26" s="57">
        <v>24</v>
      </c>
      <c r="BC26" s="57">
        <f t="shared" si="47"/>
        <v>74</v>
      </c>
      <c r="BD26" s="78"/>
      <c r="BE26" s="57">
        <f t="shared" si="48"/>
        <v>4</v>
      </c>
      <c r="BF26" s="57">
        <v>0</v>
      </c>
      <c r="BG26" s="57">
        <v>8</v>
      </c>
      <c r="BH26" s="57">
        <v>24</v>
      </c>
      <c r="BI26" s="57">
        <f t="shared" si="18"/>
        <v>32</v>
      </c>
      <c r="BJ26" s="78"/>
      <c r="BK26" s="57" t="str">
        <f t="shared" si="49"/>
        <v>0</v>
      </c>
      <c r="BL26" s="57" t="str">
        <f t="shared" si="28"/>
        <v>F</v>
      </c>
      <c r="BM26" s="57" t="str">
        <f t="shared" si="29"/>
        <v>F</v>
      </c>
      <c r="BN26" s="59" t="str">
        <f t="shared" si="50"/>
        <v>F</v>
      </c>
      <c r="BO26" s="57" t="str">
        <f t="shared" si="27"/>
        <v>NEED TO PROGRESS</v>
      </c>
      <c r="BP26" s="57">
        <f t="shared" si="30"/>
        <v>551</v>
      </c>
      <c r="BQ26" s="37" t="s">
        <v>258</v>
      </c>
      <c r="BR26" s="60"/>
    </row>
    <row r="27" spans="1:70" s="30" customFormat="1" ht="17.100000000000001" customHeight="1">
      <c r="A27" s="46">
        <v>53</v>
      </c>
      <c r="B27" s="47" t="s">
        <v>130</v>
      </c>
      <c r="C27" s="47" t="s">
        <v>131</v>
      </c>
      <c r="D27" s="47" t="s">
        <v>132</v>
      </c>
      <c r="E27" s="48" t="s">
        <v>158</v>
      </c>
      <c r="F27" s="57">
        <v>26</v>
      </c>
      <c r="G27" s="57">
        <v>13</v>
      </c>
      <c r="H27" s="58">
        <f t="shared" si="51"/>
        <v>39</v>
      </c>
      <c r="I27" s="57">
        <v>42</v>
      </c>
      <c r="J27" s="57">
        <v>10</v>
      </c>
      <c r="K27" s="58">
        <f t="shared" si="25"/>
        <v>52</v>
      </c>
      <c r="L27" s="57">
        <f t="shared" si="31"/>
        <v>91</v>
      </c>
      <c r="M27" s="78"/>
      <c r="N27" s="57">
        <f t="shared" si="32"/>
        <v>2</v>
      </c>
      <c r="O27" s="57">
        <v>36</v>
      </c>
      <c r="P27" s="57">
        <v>33</v>
      </c>
      <c r="Q27" s="57">
        <f t="shared" si="33"/>
        <v>69</v>
      </c>
      <c r="R27" s="78"/>
      <c r="S27" s="57">
        <f t="shared" si="34"/>
        <v>1</v>
      </c>
      <c r="T27" s="57">
        <v>23</v>
      </c>
      <c r="U27" s="57">
        <v>14</v>
      </c>
      <c r="V27" s="57">
        <f t="shared" si="35"/>
        <v>37</v>
      </c>
      <c r="W27" s="78"/>
      <c r="X27" s="57">
        <f t="shared" si="36"/>
        <v>1</v>
      </c>
      <c r="Y27" s="57">
        <v>34</v>
      </c>
      <c r="Z27" s="57">
        <v>14</v>
      </c>
      <c r="AA27" s="57">
        <f t="shared" si="37"/>
        <v>48</v>
      </c>
      <c r="AB27" s="78"/>
      <c r="AC27" s="57">
        <f t="shared" si="38"/>
        <v>2</v>
      </c>
      <c r="AD27" s="57">
        <v>18</v>
      </c>
      <c r="AE27" s="57">
        <v>20</v>
      </c>
      <c r="AF27" s="57">
        <f t="shared" si="39"/>
        <v>38</v>
      </c>
      <c r="AG27" s="84"/>
      <c r="AH27" s="57">
        <f t="shared" si="40"/>
        <v>4</v>
      </c>
      <c r="AI27" s="57">
        <v>36</v>
      </c>
      <c r="AJ27" s="57">
        <v>20</v>
      </c>
      <c r="AK27" s="57">
        <f t="shared" si="41"/>
        <v>56</v>
      </c>
      <c r="AL27" s="78"/>
      <c r="AM27" s="57">
        <f t="shared" si="42"/>
        <v>3</v>
      </c>
      <c r="AN27" s="57">
        <v>18</v>
      </c>
      <c r="AO27" s="57">
        <v>9</v>
      </c>
      <c r="AP27" s="57">
        <v>24</v>
      </c>
      <c r="AQ27" s="57">
        <f t="shared" si="43"/>
        <v>51</v>
      </c>
      <c r="AR27" s="78"/>
      <c r="AS27" s="57">
        <f t="shared" si="44"/>
        <v>3</v>
      </c>
      <c r="AT27" s="57">
        <v>20</v>
      </c>
      <c r="AU27" s="57">
        <v>9</v>
      </c>
      <c r="AV27" s="57">
        <v>24</v>
      </c>
      <c r="AW27" s="57">
        <f t="shared" si="45"/>
        <v>53</v>
      </c>
      <c r="AX27" s="78"/>
      <c r="AY27" s="57">
        <f t="shared" si="46"/>
        <v>3</v>
      </c>
      <c r="AZ27" s="57">
        <v>34</v>
      </c>
      <c r="BA27" s="57">
        <v>16</v>
      </c>
      <c r="BB27" s="57">
        <v>24</v>
      </c>
      <c r="BC27" s="57">
        <f t="shared" si="47"/>
        <v>74</v>
      </c>
      <c r="BD27" s="78"/>
      <c r="BE27" s="57">
        <f t="shared" si="48"/>
        <v>4</v>
      </c>
      <c r="BF27" s="57">
        <v>7</v>
      </c>
      <c r="BG27" s="57">
        <v>9</v>
      </c>
      <c r="BH27" s="57">
        <v>24</v>
      </c>
      <c r="BI27" s="57">
        <f t="shared" si="18"/>
        <v>40</v>
      </c>
      <c r="BJ27" s="78"/>
      <c r="BK27" s="57" t="str">
        <f t="shared" si="49"/>
        <v>0</v>
      </c>
      <c r="BL27" s="57" t="str">
        <f t="shared" si="28"/>
        <v>F</v>
      </c>
      <c r="BM27" s="57">
        <f t="shared" si="29"/>
        <v>21</v>
      </c>
      <c r="BN27" s="59">
        <f t="shared" si="50"/>
        <v>2.3333333333333335</v>
      </c>
      <c r="BO27" s="57" t="str">
        <f t="shared" si="27"/>
        <v>GOOD</v>
      </c>
      <c r="BP27" s="57">
        <f t="shared" si="30"/>
        <v>557</v>
      </c>
      <c r="BQ27" s="37">
        <v>34</v>
      </c>
      <c r="BR27" s="60"/>
    </row>
    <row r="28" spans="1:70" s="30" customFormat="1" ht="17.100000000000001" customHeight="1">
      <c r="A28" s="46">
        <v>68</v>
      </c>
      <c r="B28" s="47" t="s">
        <v>133</v>
      </c>
      <c r="C28" s="47" t="s">
        <v>134</v>
      </c>
      <c r="D28" s="47" t="s">
        <v>135</v>
      </c>
      <c r="E28" s="48" t="s">
        <v>159</v>
      </c>
      <c r="F28" s="57">
        <v>23</v>
      </c>
      <c r="G28" s="57">
        <v>16</v>
      </c>
      <c r="H28" s="58">
        <f t="shared" si="51"/>
        <v>39</v>
      </c>
      <c r="I28" s="57">
        <v>38</v>
      </c>
      <c r="J28" s="57">
        <v>11</v>
      </c>
      <c r="K28" s="58">
        <f t="shared" si="25"/>
        <v>49</v>
      </c>
      <c r="L28" s="57">
        <f t="shared" si="31"/>
        <v>88</v>
      </c>
      <c r="M28" s="78"/>
      <c r="N28" s="57">
        <f t="shared" si="32"/>
        <v>2</v>
      </c>
      <c r="O28" s="57">
        <v>61</v>
      </c>
      <c r="P28" s="57">
        <v>33</v>
      </c>
      <c r="Q28" s="57">
        <f t="shared" si="33"/>
        <v>94</v>
      </c>
      <c r="R28" s="78"/>
      <c r="S28" s="57">
        <f t="shared" si="34"/>
        <v>2</v>
      </c>
      <c r="T28" s="57">
        <v>8</v>
      </c>
      <c r="U28" s="57">
        <v>13</v>
      </c>
      <c r="V28" s="57">
        <f t="shared" si="35"/>
        <v>21</v>
      </c>
      <c r="W28" s="78"/>
      <c r="X28" s="57" t="str">
        <f t="shared" si="36"/>
        <v>F</v>
      </c>
      <c r="Y28" s="57">
        <v>49</v>
      </c>
      <c r="Z28" s="57">
        <v>14</v>
      </c>
      <c r="AA28" s="57">
        <f t="shared" si="37"/>
        <v>63</v>
      </c>
      <c r="AB28" s="78"/>
      <c r="AC28" s="57">
        <f t="shared" si="38"/>
        <v>3.5</v>
      </c>
      <c r="AD28" s="57">
        <v>19</v>
      </c>
      <c r="AE28" s="57">
        <v>20</v>
      </c>
      <c r="AF28" s="57">
        <f t="shared" si="39"/>
        <v>39</v>
      </c>
      <c r="AG28" s="84"/>
      <c r="AH28" s="57">
        <f t="shared" si="40"/>
        <v>4</v>
      </c>
      <c r="AI28" s="57">
        <v>28</v>
      </c>
      <c r="AJ28" s="57">
        <v>18</v>
      </c>
      <c r="AK28" s="57">
        <f t="shared" si="41"/>
        <v>46</v>
      </c>
      <c r="AL28" s="78"/>
      <c r="AM28" s="57">
        <f t="shared" si="42"/>
        <v>2</v>
      </c>
      <c r="AN28" s="57">
        <v>22</v>
      </c>
      <c r="AO28" s="57">
        <v>11</v>
      </c>
      <c r="AP28" s="57">
        <v>24</v>
      </c>
      <c r="AQ28" s="57">
        <f t="shared" si="43"/>
        <v>57</v>
      </c>
      <c r="AR28" s="78"/>
      <c r="AS28" s="57">
        <f t="shared" si="44"/>
        <v>3</v>
      </c>
      <c r="AT28" s="57">
        <v>17</v>
      </c>
      <c r="AU28" s="57">
        <v>10</v>
      </c>
      <c r="AV28" s="57">
        <v>24</v>
      </c>
      <c r="AW28" s="57">
        <f t="shared" si="45"/>
        <v>51</v>
      </c>
      <c r="AX28" s="78"/>
      <c r="AY28" s="57">
        <f t="shared" si="46"/>
        <v>3</v>
      </c>
      <c r="AZ28" s="57">
        <v>36</v>
      </c>
      <c r="BA28" s="57">
        <v>13</v>
      </c>
      <c r="BB28" s="57">
        <v>22</v>
      </c>
      <c r="BC28" s="57">
        <f t="shared" si="47"/>
        <v>71</v>
      </c>
      <c r="BD28" s="78"/>
      <c r="BE28" s="57">
        <f t="shared" si="48"/>
        <v>4</v>
      </c>
      <c r="BF28" s="57">
        <v>3</v>
      </c>
      <c r="BG28" s="57">
        <v>12</v>
      </c>
      <c r="BH28" s="57">
        <v>24</v>
      </c>
      <c r="BI28" s="57">
        <f t="shared" si="18"/>
        <v>39</v>
      </c>
      <c r="BJ28" s="78"/>
      <c r="BK28" s="57" t="str">
        <f t="shared" si="49"/>
        <v>0</v>
      </c>
      <c r="BL28" s="57" t="str">
        <f t="shared" si="28"/>
        <v>F</v>
      </c>
      <c r="BM28" s="57" t="str">
        <f t="shared" si="29"/>
        <v>F</v>
      </c>
      <c r="BN28" s="59" t="str">
        <f t="shared" si="50"/>
        <v>F</v>
      </c>
      <c r="BO28" s="57" t="str">
        <f t="shared" si="27"/>
        <v>NEED TO PROGRESS</v>
      </c>
      <c r="BP28" s="57">
        <f t="shared" si="30"/>
        <v>569</v>
      </c>
      <c r="BQ28" s="37" t="s">
        <v>258</v>
      </c>
      <c r="BR28" s="60"/>
    </row>
    <row r="29" spans="1:70" s="30" customFormat="1" ht="17.100000000000001" customHeight="1" thickBot="1">
      <c r="A29" s="61">
        <v>82</v>
      </c>
      <c r="B29" s="62" t="s">
        <v>136</v>
      </c>
      <c r="C29" s="62" t="s">
        <v>137</v>
      </c>
      <c r="D29" s="62" t="s">
        <v>138</v>
      </c>
      <c r="E29" s="63" t="s">
        <v>160</v>
      </c>
      <c r="F29" s="64">
        <v>40</v>
      </c>
      <c r="G29" s="64">
        <v>22</v>
      </c>
      <c r="H29" s="65">
        <f t="shared" si="51"/>
        <v>62</v>
      </c>
      <c r="I29" s="64">
        <v>46</v>
      </c>
      <c r="J29" s="64">
        <v>15</v>
      </c>
      <c r="K29" s="65">
        <f t="shared" si="25"/>
        <v>61</v>
      </c>
      <c r="L29" s="64">
        <f t="shared" si="31"/>
        <v>123</v>
      </c>
      <c r="M29" s="78"/>
      <c r="N29" s="64">
        <f t="shared" si="32"/>
        <v>3.5</v>
      </c>
      <c r="O29" s="64">
        <v>71</v>
      </c>
      <c r="P29" s="64">
        <v>35</v>
      </c>
      <c r="Q29" s="64">
        <f t="shared" si="33"/>
        <v>106</v>
      </c>
      <c r="R29" s="78"/>
      <c r="S29" s="64">
        <f t="shared" si="34"/>
        <v>3</v>
      </c>
      <c r="T29" s="64">
        <v>46</v>
      </c>
      <c r="U29" s="64">
        <v>22</v>
      </c>
      <c r="V29" s="64">
        <f t="shared" si="35"/>
        <v>68</v>
      </c>
      <c r="W29" s="78"/>
      <c r="X29" s="64">
        <f t="shared" si="36"/>
        <v>3.5</v>
      </c>
      <c r="Y29" s="64">
        <v>66</v>
      </c>
      <c r="Z29" s="64">
        <v>25</v>
      </c>
      <c r="AA29" s="64">
        <f t="shared" si="37"/>
        <v>91</v>
      </c>
      <c r="AB29" s="78"/>
      <c r="AC29" s="64">
        <f t="shared" si="38"/>
        <v>5</v>
      </c>
      <c r="AD29" s="64">
        <v>15</v>
      </c>
      <c r="AE29" s="64">
        <v>20</v>
      </c>
      <c r="AF29" s="64">
        <f t="shared" si="39"/>
        <v>35</v>
      </c>
      <c r="AG29" s="84"/>
      <c r="AH29" s="64">
        <f t="shared" si="40"/>
        <v>4</v>
      </c>
      <c r="AI29" s="64">
        <v>59</v>
      </c>
      <c r="AJ29" s="64">
        <v>28</v>
      </c>
      <c r="AK29" s="64">
        <f t="shared" si="41"/>
        <v>87</v>
      </c>
      <c r="AL29" s="78"/>
      <c r="AM29" s="64">
        <f t="shared" si="42"/>
        <v>5</v>
      </c>
      <c r="AN29" s="64">
        <v>34</v>
      </c>
      <c r="AO29" s="64">
        <v>10</v>
      </c>
      <c r="AP29" s="64">
        <v>24</v>
      </c>
      <c r="AQ29" s="64">
        <f t="shared" si="43"/>
        <v>68</v>
      </c>
      <c r="AR29" s="78"/>
      <c r="AS29" s="64">
        <f t="shared" si="44"/>
        <v>3.5</v>
      </c>
      <c r="AT29" s="64">
        <v>44</v>
      </c>
      <c r="AU29" s="64">
        <v>13</v>
      </c>
      <c r="AV29" s="64">
        <v>24</v>
      </c>
      <c r="AW29" s="64">
        <f t="shared" si="45"/>
        <v>81</v>
      </c>
      <c r="AX29" s="78"/>
      <c r="AY29" s="64">
        <f t="shared" si="46"/>
        <v>5</v>
      </c>
      <c r="AZ29" s="64">
        <v>42</v>
      </c>
      <c r="BA29" s="64">
        <v>17</v>
      </c>
      <c r="BB29" s="64">
        <v>23</v>
      </c>
      <c r="BC29" s="64">
        <f t="shared" si="47"/>
        <v>82</v>
      </c>
      <c r="BD29" s="78"/>
      <c r="BE29" s="64">
        <f t="shared" si="48"/>
        <v>5</v>
      </c>
      <c r="BF29" s="64">
        <v>35</v>
      </c>
      <c r="BG29" s="64">
        <v>15</v>
      </c>
      <c r="BH29" s="57">
        <v>24</v>
      </c>
      <c r="BI29" s="64">
        <f t="shared" si="18"/>
        <v>74</v>
      </c>
      <c r="BJ29" s="78"/>
      <c r="BK29" s="64">
        <f t="shared" si="49"/>
        <v>4</v>
      </c>
      <c r="BL29" s="64">
        <f t="shared" si="28"/>
        <v>4</v>
      </c>
      <c r="BM29" s="64">
        <f t="shared" si="29"/>
        <v>39.5</v>
      </c>
      <c r="BN29" s="66">
        <f t="shared" si="50"/>
        <v>4.3888888888888893</v>
      </c>
      <c r="BO29" s="64" t="str">
        <f t="shared" si="27"/>
        <v>BETTER</v>
      </c>
      <c r="BP29" s="64">
        <f t="shared" si="30"/>
        <v>815</v>
      </c>
      <c r="BQ29" s="37">
        <v>3</v>
      </c>
      <c r="BR29" s="67"/>
    </row>
    <row r="30" spans="1:70" s="74" customFormat="1" ht="17.100000000000001" customHeight="1" thickTop="1">
      <c r="A30" s="68">
        <v>22</v>
      </c>
      <c r="B30" s="69" t="s">
        <v>161</v>
      </c>
      <c r="C30" s="69" t="s">
        <v>162</v>
      </c>
      <c r="D30" s="69" t="s">
        <v>163</v>
      </c>
      <c r="E30" s="70" t="s">
        <v>164</v>
      </c>
      <c r="F30" s="71">
        <v>36</v>
      </c>
      <c r="G30" s="71">
        <v>17</v>
      </c>
      <c r="H30" s="71">
        <f t="shared" si="51"/>
        <v>53</v>
      </c>
      <c r="I30" s="71">
        <v>38</v>
      </c>
      <c r="J30" s="71">
        <v>12</v>
      </c>
      <c r="K30" s="71">
        <f t="shared" si="25"/>
        <v>50</v>
      </c>
      <c r="L30" s="71">
        <f t="shared" si="31"/>
        <v>103</v>
      </c>
      <c r="M30" s="78"/>
      <c r="N30" s="71">
        <f t="shared" si="32"/>
        <v>3</v>
      </c>
      <c r="O30" s="71">
        <v>70</v>
      </c>
      <c r="P30" s="71">
        <v>41</v>
      </c>
      <c r="Q30" s="71">
        <f t="shared" si="33"/>
        <v>111</v>
      </c>
      <c r="R30" s="78"/>
      <c r="S30" s="71">
        <f t="shared" si="34"/>
        <v>3</v>
      </c>
      <c r="T30" s="71">
        <v>24</v>
      </c>
      <c r="U30" s="71">
        <v>16</v>
      </c>
      <c r="V30" s="71">
        <f t="shared" si="35"/>
        <v>40</v>
      </c>
      <c r="W30" s="78"/>
      <c r="X30" s="71">
        <f t="shared" si="36"/>
        <v>2</v>
      </c>
      <c r="Y30" s="71">
        <v>50</v>
      </c>
      <c r="Z30" s="71">
        <v>21</v>
      </c>
      <c r="AA30" s="71">
        <f t="shared" si="37"/>
        <v>71</v>
      </c>
      <c r="AB30" s="78"/>
      <c r="AC30" s="71">
        <f t="shared" si="38"/>
        <v>4</v>
      </c>
      <c r="AD30" s="71">
        <v>14</v>
      </c>
      <c r="AE30" s="71">
        <v>20</v>
      </c>
      <c r="AF30" s="71">
        <f t="shared" si="39"/>
        <v>34</v>
      </c>
      <c r="AG30" s="84"/>
      <c r="AH30" s="71">
        <f t="shared" si="40"/>
        <v>3.5</v>
      </c>
      <c r="AI30" s="71">
        <v>37</v>
      </c>
      <c r="AJ30" s="71">
        <v>21</v>
      </c>
      <c r="AK30" s="71">
        <f t="shared" si="41"/>
        <v>58</v>
      </c>
      <c r="AL30" s="78"/>
      <c r="AM30" s="71">
        <f t="shared" si="42"/>
        <v>3</v>
      </c>
      <c r="AN30" s="71">
        <v>26</v>
      </c>
      <c r="AO30" s="71">
        <v>8</v>
      </c>
      <c r="AP30" s="71">
        <v>24</v>
      </c>
      <c r="AQ30" s="71">
        <f t="shared" si="43"/>
        <v>58</v>
      </c>
      <c r="AR30" s="78"/>
      <c r="AS30" s="71">
        <f t="shared" si="44"/>
        <v>3</v>
      </c>
      <c r="AT30" s="71">
        <v>25</v>
      </c>
      <c r="AU30" s="71">
        <v>15</v>
      </c>
      <c r="AV30" s="71">
        <v>24</v>
      </c>
      <c r="AW30" s="71">
        <f t="shared" si="45"/>
        <v>64</v>
      </c>
      <c r="AX30" s="78"/>
      <c r="AY30" s="71">
        <f t="shared" si="46"/>
        <v>3.5</v>
      </c>
      <c r="AZ30" s="71">
        <v>28</v>
      </c>
      <c r="BA30" s="71">
        <v>16</v>
      </c>
      <c r="BB30" s="71">
        <v>23</v>
      </c>
      <c r="BC30" s="71">
        <f t="shared" si="47"/>
        <v>67</v>
      </c>
      <c r="BD30" s="78"/>
      <c r="BE30" s="71">
        <f t="shared" si="48"/>
        <v>3.5</v>
      </c>
      <c r="BF30" s="71">
        <v>37</v>
      </c>
      <c r="BG30" s="71">
        <v>15</v>
      </c>
      <c r="BH30" s="71">
        <v>24</v>
      </c>
      <c r="BI30" s="71">
        <f t="shared" si="18"/>
        <v>76</v>
      </c>
      <c r="BJ30" s="78"/>
      <c r="BK30" s="71">
        <f t="shared" si="49"/>
        <v>4</v>
      </c>
      <c r="BL30" s="71">
        <f t="shared" si="28"/>
        <v>4</v>
      </c>
      <c r="BM30" s="71">
        <f t="shared" si="29"/>
        <v>30.5</v>
      </c>
      <c r="BN30" s="72">
        <f t="shared" si="50"/>
        <v>3.3888888888888888</v>
      </c>
      <c r="BO30" s="71" t="str">
        <f t="shared" si="27"/>
        <v>GOOD</v>
      </c>
      <c r="BP30" s="71">
        <f t="shared" si="30"/>
        <v>682</v>
      </c>
      <c r="BQ30" s="37">
        <v>17</v>
      </c>
      <c r="BR30" s="73"/>
    </row>
    <row r="31" spans="1:70" s="30" customFormat="1" ht="17.100000000000001" customHeight="1">
      <c r="A31" s="46">
        <v>24</v>
      </c>
      <c r="B31" s="47" t="s">
        <v>165</v>
      </c>
      <c r="C31" s="47" t="s">
        <v>166</v>
      </c>
      <c r="D31" s="47" t="s">
        <v>167</v>
      </c>
      <c r="E31" s="48" t="s">
        <v>168</v>
      </c>
      <c r="F31" s="57">
        <v>36</v>
      </c>
      <c r="G31" s="57">
        <v>19</v>
      </c>
      <c r="H31" s="58">
        <f t="shared" si="51"/>
        <v>55</v>
      </c>
      <c r="I31" s="57">
        <v>36</v>
      </c>
      <c r="J31" s="57">
        <v>8</v>
      </c>
      <c r="K31" s="58">
        <f t="shared" si="25"/>
        <v>44</v>
      </c>
      <c r="L31" s="57">
        <f t="shared" si="31"/>
        <v>99</v>
      </c>
      <c r="M31" s="78"/>
      <c r="N31" s="57">
        <f t="shared" si="32"/>
        <v>2</v>
      </c>
      <c r="O31" s="57">
        <v>56</v>
      </c>
      <c r="P31" s="57">
        <v>27</v>
      </c>
      <c r="Q31" s="57">
        <f t="shared" si="33"/>
        <v>83</v>
      </c>
      <c r="R31" s="78"/>
      <c r="S31" s="57">
        <f t="shared" si="34"/>
        <v>2</v>
      </c>
      <c r="T31" s="57">
        <v>29</v>
      </c>
      <c r="U31" s="57">
        <v>10</v>
      </c>
      <c r="V31" s="57">
        <f t="shared" si="35"/>
        <v>39</v>
      </c>
      <c r="W31" s="78"/>
      <c r="X31" s="57">
        <f t="shared" si="36"/>
        <v>1</v>
      </c>
      <c r="Y31" s="57">
        <v>53</v>
      </c>
      <c r="Z31" s="57">
        <v>19</v>
      </c>
      <c r="AA31" s="57">
        <f t="shared" si="37"/>
        <v>72</v>
      </c>
      <c r="AB31" s="78"/>
      <c r="AC31" s="57">
        <f t="shared" si="38"/>
        <v>4</v>
      </c>
      <c r="AD31" s="57">
        <v>16</v>
      </c>
      <c r="AE31" s="57">
        <v>20</v>
      </c>
      <c r="AF31" s="57">
        <f t="shared" si="39"/>
        <v>36</v>
      </c>
      <c r="AG31" s="84"/>
      <c r="AH31" s="57">
        <f t="shared" si="40"/>
        <v>4</v>
      </c>
      <c r="AI31" s="57">
        <v>44</v>
      </c>
      <c r="AJ31" s="57">
        <v>20</v>
      </c>
      <c r="AK31" s="57">
        <f t="shared" si="41"/>
        <v>64</v>
      </c>
      <c r="AL31" s="78"/>
      <c r="AM31" s="57">
        <f t="shared" si="42"/>
        <v>3.5</v>
      </c>
      <c r="AN31" s="57">
        <v>28</v>
      </c>
      <c r="AO31" s="57">
        <v>13</v>
      </c>
      <c r="AP31" s="57">
        <v>24</v>
      </c>
      <c r="AQ31" s="57">
        <f t="shared" si="43"/>
        <v>65</v>
      </c>
      <c r="AR31" s="78"/>
      <c r="AS31" s="57">
        <f t="shared" si="44"/>
        <v>3.5</v>
      </c>
      <c r="AT31" s="57">
        <v>23</v>
      </c>
      <c r="AU31" s="57">
        <v>12</v>
      </c>
      <c r="AV31" s="57">
        <v>24</v>
      </c>
      <c r="AW31" s="57">
        <f t="shared" si="45"/>
        <v>59</v>
      </c>
      <c r="AX31" s="78"/>
      <c r="AY31" s="57">
        <f t="shared" si="46"/>
        <v>3</v>
      </c>
      <c r="AZ31" s="57">
        <v>24</v>
      </c>
      <c r="BA31" s="57">
        <v>15</v>
      </c>
      <c r="BB31" s="57">
        <v>23</v>
      </c>
      <c r="BC31" s="57">
        <f t="shared" si="47"/>
        <v>62</v>
      </c>
      <c r="BD31" s="78"/>
      <c r="BE31" s="57">
        <f t="shared" si="48"/>
        <v>3.5</v>
      </c>
      <c r="BF31" s="57">
        <v>24</v>
      </c>
      <c r="BG31" s="57">
        <v>13</v>
      </c>
      <c r="BH31" s="57">
        <v>24</v>
      </c>
      <c r="BI31" s="57">
        <f t="shared" si="18"/>
        <v>61</v>
      </c>
      <c r="BJ31" s="78"/>
      <c r="BK31" s="57">
        <f t="shared" si="49"/>
        <v>3.5</v>
      </c>
      <c r="BL31" s="57">
        <f t="shared" si="28"/>
        <v>3.5</v>
      </c>
      <c r="BM31" s="57">
        <f t="shared" si="29"/>
        <v>28</v>
      </c>
      <c r="BN31" s="59">
        <f t="shared" si="50"/>
        <v>3.1111111111111112</v>
      </c>
      <c r="BO31" s="57" t="str">
        <f t="shared" si="27"/>
        <v>GOOD</v>
      </c>
      <c r="BP31" s="57">
        <f t="shared" si="30"/>
        <v>640</v>
      </c>
      <c r="BQ31" s="37">
        <v>25</v>
      </c>
      <c r="BR31" s="60"/>
    </row>
    <row r="32" spans="1:70" s="30" customFormat="1" ht="17.100000000000001" customHeight="1">
      <c r="A32" s="46">
        <v>25</v>
      </c>
      <c r="B32" s="47" t="s">
        <v>169</v>
      </c>
      <c r="C32" s="47" t="s">
        <v>170</v>
      </c>
      <c r="D32" s="47" t="s">
        <v>171</v>
      </c>
      <c r="E32" s="48" t="s">
        <v>172</v>
      </c>
      <c r="F32" s="57">
        <v>34</v>
      </c>
      <c r="G32" s="57">
        <v>18</v>
      </c>
      <c r="H32" s="58">
        <f t="shared" si="51"/>
        <v>52</v>
      </c>
      <c r="I32" s="57">
        <v>36</v>
      </c>
      <c r="J32" s="57">
        <v>20</v>
      </c>
      <c r="K32" s="58">
        <f t="shared" si="25"/>
        <v>56</v>
      </c>
      <c r="L32" s="57">
        <f t="shared" si="31"/>
        <v>108</v>
      </c>
      <c r="M32" s="78"/>
      <c r="N32" s="57">
        <f t="shared" si="32"/>
        <v>3</v>
      </c>
      <c r="O32" s="57">
        <v>36</v>
      </c>
      <c r="P32" s="57">
        <v>30</v>
      </c>
      <c r="Q32" s="57">
        <f t="shared" si="33"/>
        <v>66</v>
      </c>
      <c r="R32" s="78"/>
      <c r="S32" s="57">
        <f t="shared" si="34"/>
        <v>1</v>
      </c>
      <c r="T32" s="57">
        <v>28</v>
      </c>
      <c r="U32" s="57">
        <v>10</v>
      </c>
      <c r="V32" s="57">
        <f t="shared" si="35"/>
        <v>38</v>
      </c>
      <c r="W32" s="78"/>
      <c r="X32" s="57">
        <f t="shared" si="36"/>
        <v>1</v>
      </c>
      <c r="Y32" s="57">
        <v>36</v>
      </c>
      <c r="Z32" s="57">
        <v>23</v>
      </c>
      <c r="AA32" s="57">
        <f t="shared" si="37"/>
        <v>59</v>
      </c>
      <c r="AB32" s="78"/>
      <c r="AC32" s="57">
        <f t="shared" si="38"/>
        <v>3</v>
      </c>
      <c r="AD32" s="57">
        <v>13</v>
      </c>
      <c r="AE32" s="57">
        <v>20</v>
      </c>
      <c r="AF32" s="57">
        <f t="shared" si="39"/>
        <v>33</v>
      </c>
      <c r="AG32" s="84"/>
      <c r="AH32" s="57">
        <f t="shared" si="40"/>
        <v>3.5</v>
      </c>
      <c r="AI32" s="57">
        <v>45</v>
      </c>
      <c r="AJ32" s="57">
        <v>12</v>
      </c>
      <c r="AK32" s="57">
        <f t="shared" si="41"/>
        <v>57</v>
      </c>
      <c r="AL32" s="78"/>
      <c r="AM32" s="57">
        <f t="shared" si="42"/>
        <v>3</v>
      </c>
      <c r="AN32" s="57">
        <v>17</v>
      </c>
      <c r="AO32" s="57">
        <v>8</v>
      </c>
      <c r="AP32" s="57">
        <v>24</v>
      </c>
      <c r="AQ32" s="57">
        <f t="shared" si="43"/>
        <v>49</v>
      </c>
      <c r="AR32" s="78"/>
      <c r="AS32" s="57">
        <f t="shared" si="44"/>
        <v>2</v>
      </c>
      <c r="AT32" s="57">
        <v>18</v>
      </c>
      <c r="AU32" s="57">
        <v>14</v>
      </c>
      <c r="AV32" s="57">
        <v>24</v>
      </c>
      <c r="AW32" s="57">
        <f t="shared" si="45"/>
        <v>56</v>
      </c>
      <c r="AX32" s="78"/>
      <c r="AY32" s="57">
        <f t="shared" si="46"/>
        <v>3</v>
      </c>
      <c r="AZ32" s="57">
        <v>29</v>
      </c>
      <c r="BA32" s="57">
        <v>12</v>
      </c>
      <c r="BB32" s="57">
        <v>23</v>
      </c>
      <c r="BC32" s="57">
        <f t="shared" si="47"/>
        <v>64</v>
      </c>
      <c r="BD32" s="78"/>
      <c r="BE32" s="57">
        <f t="shared" si="48"/>
        <v>3.5</v>
      </c>
      <c r="BF32" s="57">
        <v>22</v>
      </c>
      <c r="BG32" s="57">
        <v>11</v>
      </c>
      <c r="BH32" s="57">
        <v>24</v>
      </c>
      <c r="BI32" s="57">
        <f t="shared" si="18"/>
        <v>57</v>
      </c>
      <c r="BJ32" s="78"/>
      <c r="BK32" s="57">
        <f t="shared" si="49"/>
        <v>3</v>
      </c>
      <c r="BL32" s="57">
        <f t="shared" si="28"/>
        <v>3</v>
      </c>
      <c r="BM32" s="57">
        <f t="shared" si="29"/>
        <v>24</v>
      </c>
      <c r="BN32" s="59">
        <f t="shared" si="50"/>
        <v>2.6666666666666665</v>
      </c>
      <c r="BO32" s="57" t="str">
        <f t="shared" si="27"/>
        <v>GOOD</v>
      </c>
      <c r="BP32" s="57">
        <f t="shared" si="30"/>
        <v>587</v>
      </c>
      <c r="BQ32" s="37">
        <v>31</v>
      </c>
      <c r="BR32" s="60"/>
    </row>
    <row r="33" spans="1:70" ht="17.100000000000001" customHeight="1">
      <c r="A33" s="43">
        <v>26</v>
      </c>
      <c r="B33" s="44" t="s">
        <v>173</v>
      </c>
      <c r="C33" s="44" t="s">
        <v>174</v>
      </c>
      <c r="D33" s="44" t="s">
        <v>175</v>
      </c>
      <c r="E33" s="45" t="s">
        <v>176</v>
      </c>
      <c r="F33" s="51">
        <v>30</v>
      </c>
      <c r="G33" s="51">
        <v>10</v>
      </c>
      <c r="H33" s="50">
        <f t="shared" si="51"/>
        <v>40</v>
      </c>
      <c r="I33" s="51">
        <v>49</v>
      </c>
      <c r="J33" s="51">
        <v>10</v>
      </c>
      <c r="K33" s="50">
        <f t="shared" si="25"/>
        <v>59</v>
      </c>
      <c r="L33" s="51">
        <f t="shared" si="31"/>
        <v>99</v>
      </c>
      <c r="M33" s="78"/>
      <c r="N33" s="51">
        <f t="shared" si="32"/>
        <v>2</v>
      </c>
      <c r="O33" s="51">
        <v>47</v>
      </c>
      <c r="P33" s="51">
        <v>25</v>
      </c>
      <c r="Q33" s="51">
        <f t="shared" si="33"/>
        <v>72</v>
      </c>
      <c r="R33" s="78"/>
      <c r="S33" s="51">
        <f t="shared" si="34"/>
        <v>1</v>
      </c>
      <c r="T33" s="51">
        <v>32</v>
      </c>
      <c r="U33" s="51">
        <v>10</v>
      </c>
      <c r="V33" s="51">
        <f t="shared" si="35"/>
        <v>42</v>
      </c>
      <c r="W33" s="78"/>
      <c r="X33" s="51">
        <f t="shared" si="36"/>
        <v>2</v>
      </c>
      <c r="Y33" s="51">
        <v>47</v>
      </c>
      <c r="Z33" s="51">
        <v>20</v>
      </c>
      <c r="AA33" s="51">
        <f t="shared" si="37"/>
        <v>67</v>
      </c>
      <c r="AB33" s="78"/>
      <c r="AC33" s="51">
        <f t="shared" si="38"/>
        <v>3.5</v>
      </c>
      <c r="AD33" s="51">
        <v>16</v>
      </c>
      <c r="AE33" s="51">
        <v>20</v>
      </c>
      <c r="AF33" s="51">
        <f t="shared" si="39"/>
        <v>36</v>
      </c>
      <c r="AG33" s="84"/>
      <c r="AH33" s="51">
        <f t="shared" si="40"/>
        <v>4</v>
      </c>
      <c r="AI33" s="51">
        <v>40</v>
      </c>
      <c r="AJ33" s="51">
        <v>20</v>
      </c>
      <c r="AK33" s="51">
        <f t="shared" si="41"/>
        <v>60</v>
      </c>
      <c r="AL33" s="78"/>
      <c r="AM33" s="51">
        <f t="shared" si="42"/>
        <v>3.5</v>
      </c>
      <c r="AN33" s="51">
        <v>27</v>
      </c>
      <c r="AO33" s="51">
        <v>10</v>
      </c>
      <c r="AP33" s="52">
        <v>24</v>
      </c>
      <c r="AQ33" s="51">
        <f t="shared" si="43"/>
        <v>61</v>
      </c>
      <c r="AR33" s="78"/>
      <c r="AS33" s="51">
        <f t="shared" si="44"/>
        <v>3.5</v>
      </c>
      <c r="AT33" s="51">
        <v>18</v>
      </c>
      <c r="AU33" s="51">
        <v>8</v>
      </c>
      <c r="AV33" s="51">
        <v>24</v>
      </c>
      <c r="AW33" s="51">
        <f t="shared" si="45"/>
        <v>50</v>
      </c>
      <c r="AX33" s="78"/>
      <c r="AY33" s="51">
        <f t="shared" si="46"/>
        <v>3</v>
      </c>
      <c r="AZ33" s="51">
        <v>32</v>
      </c>
      <c r="BA33" s="51">
        <v>11</v>
      </c>
      <c r="BB33" s="51">
        <v>23</v>
      </c>
      <c r="BC33" s="51">
        <f t="shared" si="47"/>
        <v>66</v>
      </c>
      <c r="BD33" s="78"/>
      <c r="BE33" s="51">
        <f t="shared" si="48"/>
        <v>3.5</v>
      </c>
      <c r="BF33" s="51">
        <v>27</v>
      </c>
      <c r="BG33" s="51">
        <v>17</v>
      </c>
      <c r="BH33" s="55">
        <v>24</v>
      </c>
      <c r="BI33" s="54">
        <f t="shared" si="18"/>
        <v>68</v>
      </c>
      <c r="BJ33" s="78"/>
      <c r="BK33" s="54">
        <f t="shared" si="49"/>
        <v>3.5</v>
      </c>
      <c r="BL33" s="54">
        <f t="shared" si="28"/>
        <v>3.5</v>
      </c>
      <c r="BM33" s="54">
        <f t="shared" si="29"/>
        <v>27.5</v>
      </c>
      <c r="BN33" s="40">
        <f t="shared" si="50"/>
        <v>3.0555555555555554</v>
      </c>
      <c r="BO33" s="54" t="str">
        <f t="shared" si="27"/>
        <v>GOOD</v>
      </c>
      <c r="BP33" s="54">
        <f t="shared" si="30"/>
        <v>621</v>
      </c>
      <c r="BQ33" s="37">
        <v>26</v>
      </c>
      <c r="BR33" s="4"/>
    </row>
    <row r="34" spans="1:70" ht="17.100000000000001" customHeight="1">
      <c r="A34" s="43">
        <v>29</v>
      </c>
      <c r="B34" s="44" t="s">
        <v>177</v>
      </c>
      <c r="C34" s="44" t="s">
        <v>178</v>
      </c>
      <c r="D34" s="44" t="s">
        <v>179</v>
      </c>
      <c r="E34" s="45" t="s">
        <v>180</v>
      </c>
      <c r="F34" s="51">
        <v>40</v>
      </c>
      <c r="G34" s="51">
        <v>16</v>
      </c>
      <c r="H34" s="50">
        <f t="shared" si="51"/>
        <v>56</v>
      </c>
      <c r="I34" s="51">
        <v>43</v>
      </c>
      <c r="J34" s="51">
        <v>11</v>
      </c>
      <c r="K34" s="50">
        <f t="shared" si="25"/>
        <v>54</v>
      </c>
      <c r="L34" s="51">
        <f t="shared" si="31"/>
        <v>110</v>
      </c>
      <c r="M34" s="78"/>
      <c r="N34" s="51">
        <f t="shared" si="32"/>
        <v>3</v>
      </c>
      <c r="O34" s="51">
        <v>64</v>
      </c>
      <c r="P34" s="51">
        <v>28</v>
      </c>
      <c r="Q34" s="51">
        <f t="shared" si="33"/>
        <v>92</v>
      </c>
      <c r="R34" s="78"/>
      <c r="S34" s="51">
        <f t="shared" si="34"/>
        <v>2</v>
      </c>
      <c r="T34" s="53">
        <v>38</v>
      </c>
      <c r="U34" s="51">
        <v>12</v>
      </c>
      <c r="V34" s="51">
        <f t="shared" si="35"/>
        <v>50</v>
      </c>
      <c r="W34" s="78"/>
      <c r="X34" s="51">
        <f t="shared" si="36"/>
        <v>3</v>
      </c>
      <c r="Y34" s="51">
        <v>52</v>
      </c>
      <c r="Z34" s="51">
        <v>23</v>
      </c>
      <c r="AA34" s="51">
        <f t="shared" si="37"/>
        <v>75</v>
      </c>
      <c r="AB34" s="78"/>
      <c r="AC34" s="51">
        <f t="shared" si="38"/>
        <v>4</v>
      </c>
      <c r="AD34" s="51">
        <v>23</v>
      </c>
      <c r="AE34" s="51">
        <v>25</v>
      </c>
      <c r="AF34" s="51">
        <f t="shared" si="39"/>
        <v>48</v>
      </c>
      <c r="AG34" s="84"/>
      <c r="AH34" s="51">
        <f t="shared" si="40"/>
        <v>5</v>
      </c>
      <c r="AI34" s="51">
        <v>49</v>
      </c>
      <c r="AJ34" s="51">
        <v>19</v>
      </c>
      <c r="AK34" s="51">
        <f t="shared" si="41"/>
        <v>68</v>
      </c>
      <c r="AL34" s="78"/>
      <c r="AM34" s="51">
        <f t="shared" si="42"/>
        <v>3.5</v>
      </c>
      <c r="AN34" s="51">
        <v>22</v>
      </c>
      <c r="AO34" s="51">
        <v>11</v>
      </c>
      <c r="AP34" s="52">
        <v>24</v>
      </c>
      <c r="AQ34" s="51">
        <f t="shared" si="43"/>
        <v>57</v>
      </c>
      <c r="AR34" s="78"/>
      <c r="AS34" s="51">
        <f t="shared" si="44"/>
        <v>3</v>
      </c>
      <c r="AT34" s="51">
        <v>19</v>
      </c>
      <c r="AU34" s="51">
        <v>9</v>
      </c>
      <c r="AV34" s="51">
        <v>24</v>
      </c>
      <c r="AW34" s="51">
        <f t="shared" si="45"/>
        <v>52</v>
      </c>
      <c r="AX34" s="78"/>
      <c r="AY34" s="51">
        <f t="shared" si="46"/>
        <v>3</v>
      </c>
      <c r="AZ34" s="51">
        <v>34</v>
      </c>
      <c r="BA34" s="51">
        <v>13</v>
      </c>
      <c r="BB34" s="51">
        <v>23</v>
      </c>
      <c r="BC34" s="51">
        <f t="shared" si="47"/>
        <v>70</v>
      </c>
      <c r="BD34" s="78"/>
      <c r="BE34" s="51">
        <f t="shared" si="48"/>
        <v>4</v>
      </c>
      <c r="BF34" s="51">
        <v>32</v>
      </c>
      <c r="BG34" s="51">
        <v>8</v>
      </c>
      <c r="BH34" s="55">
        <v>24</v>
      </c>
      <c r="BI34" s="54">
        <f t="shared" si="18"/>
        <v>64</v>
      </c>
      <c r="BJ34" s="78"/>
      <c r="BK34" s="54">
        <f t="shared" si="49"/>
        <v>3.5</v>
      </c>
      <c r="BL34" s="54">
        <f t="shared" si="28"/>
        <v>3.5</v>
      </c>
      <c r="BM34" s="54">
        <f t="shared" si="29"/>
        <v>32</v>
      </c>
      <c r="BN34" s="40">
        <f t="shared" si="50"/>
        <v>3.5555555555555554</v>
      </c>
      <c r="BO34" s="54" t="str">
        <f t="shared" si="27"/>
        <v>GOOD</v>
      </c>
      <c r="BP34" s="54">
        <f t="shared" si="30"/>
        <v>686</v>
      </c>
      <c r="BQ34" s="37">
        <v>15</v>
      </c>
      <c r="BR34" s="4"/>
    </row>
    <row r="35" spans="1:70" ht="17.100000000000001" customHeight="1">
      <c r="A35" s="43">
        <v>31</v>
      </c>
      <c r="B35" s="44" t="s">
        <v>181</v>
      </c>
      <c r="C35" s="44" t="s">
        <v>182</v>
      </c>
      <c r="D35" s="44" t="s">
        <v>183</v>
      </c>
      <c r="E35" s="45" t="s">
        <v>184</v>
      </c>
      <c r="F35" s="51">
        <v>40</v>
      </c>
      <c r="G35" s="51">
        <v>14</v>
      </c>
      <c r="H35" s="50">
        <f t="shared" si="51"/>
        <v>54</v>
      </c>
      <c r="I35" s="51">
        <v>31</v>
      </c>
      <c r="J35" s="51">
        <v>15</v>
      </c>
      <c r="K35" s="50">
        <f t="shared" si="25"/>
        <v>46</v>
      </c>
      <c r="L35" s="51">
        <f t="shared" si="31"/>
        <v>100</v>
      </c>
      <c r="M35" s="78"/>
      <c r="N35" s="51">
        <f t="shared" si="32"/>
        <v>3</v>
      </c>
      <c r="O35" s="51">
        <v>52</v>
      </c>
      <c r="P35" s="51">
        <v>33</v>
      </c>
      <c r="Q35" s="51">
        <f t="shared" si="33"/>
        <v>85</v>
      </c>
      <c r="R35" s="78"/>
      <c r="S35" s="51">
        <f t="shared" si="34"/>
        <v>2</v>
      </c>
      <c r="T35" s="51">
        <v>23</v>
      </c>
      <c r="U35" s="51">
        <v>12</v>
      </c>
      <c r="V35" s="51">
        <f t="shared" si="35"/>
        <v>35</v>
      </c>
      <c r="W35" s="78"/>
      <c r="X35" s="51">
        <f t="shared" si="36"/>
        <v>1</v>
      </c>
      <c r="Y35" s="51">
        <v>57</v>
      </c>
      <c r="Z35" s="51">
        <v>21</v>
      </c>
      <c r="AA35" s="51">
        <f t="shared" si="37"/>
        <v>78</v>
      </c>
      <c r="AB35" s="78"/>
      <c r="AC35" s="51">
        <f t="shared" si="38"/>
        <v>4</v>
      </c>
      <c r="AD35" s="51">
        <v>23</v>
      </c>
      <c r="AE35" s="51">
        <v>25</v>
      </c>
      <c r="AF35" s="51">
        <f t="shared" si="39"/>
        <v>48</v>
      </c>
      <c r="AG35" s="84"/>
      <c r="AH35" s="51">
        <f t="shared" si="40"/>
        <v>5</v>
      </c>
      <c r="AI35" s="51">
        <v>43</v>
      </c>
      <c r="AJ35" s="51">
        <v>12</v>
      </c>
      <c r="AK35" s="51">
        <f t="shared" si="41"/>
        <v>55</v>
      </c>
      <c r="AL35" s="78"/>
      <c r="AM35" s="51">
        <f t="shared" si="42"/>
        <v>3</v>
      </c>
      <c r="AN35" s="51">
        <v>21</v>
      </c>
      <c r="AO35" s="51">
        <v>8</v>
      </c>
      <c r="AP35" s="52">
        <v>24</v>
      </c>
      <c r="AQ35" s="51">
        <f t="shared" si="43"/>
        <v>53</v>
      </c>
      <c r="AR35" s="78"/>
      <c r="AS35" s="51">
        <f t="shared" si="44"/>
        <v>3</v>
      </c>
      <c r="AT35" s="51">
        <v>18</v>
      </c>
      <c r="AU35" s="51">
        <v>9</v>
      </c>
      <c r="AV35" s="51">
        <v>24</v>
      </c>
      <c r="AW35" s="51">
        <f t="shared" si="45"/>
        <v>51</v>
      </c>
      <c r="AX35" s="78"/>
      <c r="AY35" s="51">
        <f t="shared" si="46"/>
        <v>3</v>
      </c>
      <c r="AZ35" s="51">
        <v>28</v>
      </c>
      <c r="BA35" s="51">
        <v>10</v>
      </c>
      <c r="BB35" s="51">
        <v>23</v>
      </c>
      <c r="BC35" s="51">
        <f t="shared" si="47"/>
        <v>61</v>
      </c>
      <c r="BD35" s="78"/>
      <c r="BE35" s="51">
        <f t="shared" si="48"/>
        <v>3.5</v>
      </c>
      <c r="BF35" s="51">
        <v>17</v>
      </c>
      <c r="BG35" s="51">
        <v>11</v>
      </c>
      <c r="BH35" s="55">
        <v>24</v>
      </c>
      <c r="BI35" s="54">
        <f t="shared" si="18"/>
        <v>52</v>
      </c>
      <c r="BJ35" s="78"/>
      <c r="BK35" s="54">
        <f t="shared" si="49"/>
        <v>3</v>
      </c>
      <c r="BL35" s="54">
        <f t="shared" si="28"/>
        <v>3</v>
      </c>
      <c r="BM35" s="54">
        <f t="shared" si="29"/>
        <v>28.5</v>
      </c>
      <c r="BN35" s="40">
        <f t="shared" si="50"/>
        <v>3.1666666666666665</v>
      </c>
      <c r="BO35" s="54" t="str">
        <f t="shared" si="27"/>
        <v>GOOD</v>
      </c>
      <c r="BP35" s="54">
        <f t="shared" si="30"/>
        <v>618</v>
      </c>
      <c r="BQ35" s="37">
        <v>24</v>
      </c>
      <c r="BR35" s="4"/>
    </row>
    <row r="36" spans="1:70" ht="17.100000000000001" customHeight="1">
      <c r="A36" s="43">
        <v>33</v>
      </c>
      <c r="B36" s="44" t="s">
        <v>185</v>
      </c>
      <c r="C36" s="44" t="s">
        <v>186</v>
      </c>
      <c r="D36" s="44" t="s">
        <v>187</v>
      </c>
      <c r="E36" s="45" t="s">
        <v>188</v>
      </c>
      <c r="F36" s="51">
        <v>24</v>
      </c>
      <c r="G36" s="51">
        <v>14</v>
      </c>
      <c r="H36" s="50">
        <f t="shared" si="51"/>
        <v>38</v>
      </c>
      <c r="I36" s="51">
        <v>22</v>
      </c>
      <c r="J36" s="51">
        <v>13</v>
      </c>
      <c r="K36" s="50">
        <f t="shared" si="25"/>
        <v>35</v>
      </c>
      <c r="L36" s="51">
        <f t="shared" si="31"/>
        <v>73</v>
      </c>
      <c r="M36" s="78"/>
      <c r="N36" s="51">
        <f t="shared" si="32"/>
        <v>1</v>
      </c>
      <c r="O36" s="51">
        <v>58</v>
      </c>
      <c r="P36" s="51">
        <v>34</v>
      </c>
      <c r="Q36" s="51">
        <f t="shared" si="33"/>
        <v>92</v>
      </c>
      <c r="R36" s="78"/>
      <c r="S36" s="51">
        <f t="shared" si="34"/>
        <v>2</v>
      </c>
      <c r="T36" s="51">
        <v>25</v>
      </c>
      <c r="U36" s="51">
        <v>14</v>
      </c>
      <c r="V36" s="51">
        <f t="shared" si="35"/>
        <v>39</v>
      </c>
      <c r="W36" s="78"/>
      <c r="X36" s="51">
        <f t="shared" si="36"/>
        <v>1</v>
      </c>
      <c r="Y36" s="51">
        <v>32</v>
      </c>
      <c r="Z36" s="51">
        <v>16</v>
      </c>
      <c r="AA36" s="51">
        <f t="shared" si="37"/>
        <v>48</v>
      </c>
      <c r="AB36" s="78"/>
      <c r="AC36" s="51">
        <f t="shared" si="38"/>
        <v>2</v>
      </c>
      <c r="AD36" s="51">
        <v>15</v>
      </c>
      <c r="AE36" s="51">
        <v>20</v>
      </c>
      <c r="AF36" s="51">
        <f t="shared" si="39"/>
        <v>35</v>
      </c>
      <c r="AG36" s="84"/>
      <c r="AH36" s="51">
        <f t="shared" si="40"/>
        <v>4</v>
      </c>
      <c r="AI36" s="51">
        <v>24</v>
      </c>
      <c r="AJ36" s="51">
        <v>20</v>
      </c>
      <c r="AK36" s="51">
        <f t="shared" si="41"/>
        <v>44</v>
      </c>
      <c r="AL36" s="78"/>
      <c r="AM36" s="51">
        <f t="shared" si="42"/>
        <v>2</v>
      </c>
      <c r="AN36" s="51">
        <v>17</v>
      </c>
      <c r="AO36" s="51">
        <v>12</v>
      </c>
      <c r="AP36" s="52">
        <v>24</v>
      </c>
      <c r="AQ36" s="51">
        <f t="shared" si="43"/>
        <v>53</v>
      </c>
      <c r="AR36" s="78"/>
      <c r="AS36" s="51">
        <f t="shared" si="44"/>
        <v>3</v>
      </c>
      <c r="AT36" s="51">
        <v>17</v>
      </c>
      <c r="AU36" s="51">
        <v>10</v>
      </c>
      <c r="AV36" s="51">
        <v>24</v>
      </c>
      <c r="AW36" s="51">
        <f t="shared" si="45"/>
        <v>51</v>
      </c>
      <c r="AX36" s="78"/>
      <c r="AY36" s="51">
        <f t="shared" si="46"/>
        <v>3</v>
      </c>
      <c r="AZ36" s="51">
        <v>28</v>
      </c>
      <c r="BA36" s="51">
        <v>11</v>
      </c>
      <c r="BB36" s="51">
        <v>23</v>
      </c>
      <c r="BC36" s="51">
        <f t="shared" si="47"/>
        <v>62</v>
      </c>
      <c r="BD36" s="78"/>
      <c r="BE36" s="51">
        <f t="shared" si="48"/>
        <v>3.5</v>
      </c>
      <c r="BF36" s="51">
        <v>6</v>
      </c>
      <c r="BG36" s="51">
        <v>8</v>
      </c>
      <c r="BH36" s="55">
        <v>24</v>
      </c>
      <c r="BI36" s="54">
        <f t="shared" si="18"/>
        <v>38</v>
      </c>
      <c r="BJ36" s="78"/>
      <c r="BK36" s="54" t="str">
        <f t="shared" si="49"/>
        <v>0</v>
      </c>
      <c r="BL36" s="54" t="str">
        <f t="shared" si="28"/>
        <v>F</v>
      </c>
      <c r="BM36" s="54">
        <f t="shared" si="29"/>
        <v>19.5</v>
      </c>
      <c r="BN36" s="40">
        <f t="shared" si="50"/>
        <v>2.1666666666666665</v>
      </c>
      <c r="BO36" s="54" t="str">
        <f t="shared" si="27"/>
        <v>GOOD</v>
      </c>
      <c r="BP36" s="54">
        <f t="shared" si="30"/>
        <v>535</v>
      </c>
      <c r="BQ36" s="37">
        <v>35</v>
      </c>
      <c r="BR36" s="4"/>
    </row>
    <row r="37" spans="1:70" ht="17.100000000000001" customHeight="1">
      <c r="A37" s="43">
        <v>35</v>
      </c>
      <c r="B37" s="44" t="s">
        <v>189</v>
      </c>
      <c r="C37" s="44" t="s">
        <v>190</v>
      </c>
      <c r="D37" s="44" t="s">
        <v>191</v>
      </c>
      <c r="E37" s="45" t="s">
        <v>192</v>
      </c>
      <c r="F37" s="51">
        <v>16</v>
      </c>
      <c r="G37" s="51">
        <v>15</v>
      </c>
      <c r="H37" s="50">
        <f t="shared" si="51"/>
        <v>31</v>
      </c>
      <c r="I37" s="51">
        <v>34</v>
      </c>
      <c r="J37" s="51">
        <v>14</v>
      </c>
      <c r="K37" s="50">
        <f t="shared" si="25"/>
        <v>48</v>
      </c>
      <c r="L37" s="51">
        <f t="shared" si="31"/>
        <v>79</v>
      </c>
      <c r="M37" s="78"/>
      <c r="N37" s="51">
        <f t="shared" si="32"/>
        <v>1</v>
      </c>
      <c r="O37" s="51">
        <v>46</v>
      </c>
      <c r="P37" s="51">
        <v>20</v>
      </c>
      <c r="Q37" s="51">
        <f t="shared" si="33"/>
        <v>66</v>
      </c>
      <c r="R37" s="78"/>
      <c r="S37" s="51">
        <f t="shared" si="34"/>
        <v>1</v>
      </c>
      <c r="T37" s="51">
        <v>25</v>
      </c>
      <c r="U37" s="51">
        <v>12</v>
      </c>
      <c r="V37" s="51">
        <f t="shared" si="35"/>
        <v>37</v>
      </c>
      <c r="W37" s="78"/>
      <c r="X37" s="51">
        <f t="shared" si="36"/>
        <v>1</v>
      </c>
      <c r="Y37" s="51">
        <v>25</v>
      </c>
      <c r="Z37" s="51">
        <v>18</v>
      </c>
      <c r="AA37" s="51">
        <f t="shared" si="37"/>
        <v>43</v>
      </c>
      <c r="AB37" s="78"/>
      <c r="AC37" s="51">
        <f t="shared" si="38"/>
        <v>2</v>
      </c>
      <c r="AD37" s="51">
        <v>21</v>
      </c>
      <c r="AE37" s="51">
        <v>20</v>
      </c>
      <c r="AF37" s="51">
        <f t="shared" si="39"/>
        <v>41</v>
      </c>
      <c r="AG37" s="84"/>
      <c r="AH37" s="51">
        <f t="shared" si="40"/>
        <v>5</v>
      </c>
      <c r="AI37" s="51">
        <v>38</v>
      </c>
      <c r="AJ37" s="51">
        <v>22</v>
      </c>
      <c r="AK37" s="51">
        <f t="shared" si="41"/>
        <v>60</v>
      </c>
      <c r="AL37" s="78"/>
      <c r="AM37" s="51">
        <f t="shared" si="42"/>
        <v>3.5</v>
      </c>
      <c r="AN37" s="51">
        <v>25</v>
      </c>
      <c r="AO37" s="51">
        <v>15</v>
      </c>
      <c r="AP37" s="52">
        <v>24</v>
      </c>
      <c r="AQ37" s="51">
        <f t="shared" si="43"/>
        <v>64</v>
      </c>
      <c r="AR37" s="78"/>
      <c r="AS37" s="51">
        <f t="shared" si="44"/>
        <v>3.5</v>
      </c>
      <c r="AT37" s="51">
        <v>25</v>
      </c>
      <c r="AU37" s="51">
        <v>8</v>
      </c>
      <c r="AV37" s="51">
        <v>24</v>
      </c>
      <c r="AW37" s="51">
        <f t="shared" si="45"/>
        <v>57</v>
      </c>
      <c r="AX37" s="78"/>
      <c r="AY37" s="51">
        <f t="shared" si="46"/>
        <v>3</v>
      </c>
      <c r="AZ37" s="51">
        <v>33</v>
      </c>
      <c r="BA37" s="51">
        <v>10</v>
      </c>
      <c r="BB37" s="51">
        <v>23</v>
      </c>
      <c r="BC37" s="51">
        <f t="shared" si="47"/>
        <v>66</v>
      </c>
      <c r="BD37" s="78"/>
      <c r="BE37" s="51">
        <f t="shared" si="48"/>
        <v>3.5</v>
      </c>
      <c r="BF37" s="51">
        <v>35</v>
      </c>
      <c r="BG37" s="51">
        <v>18</v>
      </c>
      <c r="BH37" s="55">
        <v>24</v>
      </c>
      <c r="BI37" s="54">
        <f t="shared" si="18"/>
        <v>77</v>
      </c>
      <c r="BJ37" s="78"/>
      <c r="BK37" s="54">
        <f t="shared" si="49"/>
        <v>4</v>
      </c>
      <c r="BL37" s="54">
        <f t="shared" si="28"/>
        <v>4</v>
      </c>
      <c r="BM37" s="54">
        <f t="shared" si="29"/>
        <v>25.5</v>
      </c>
      <c r="BN37" s="40">
        <f t="shared" si="50"/>
        <v>2.8333333333333335</v>
      </c>
      <c r="BO37" s="54" t="str">
        <f t="shared" si="27"/>
        <v>GOOD</v>
      </c>
      <c r="BP37" s="54">
        <f t="shared" si="30"/>
        <v>590</v>
      </c>
      <c r="BQ37" s="37">
        <v>29</v>
      </c>
      <c r="BR37" s="4"/>
    </row>
    <row r="38" spans="1:70" ht="17.100000000000001" customHeight="1">
      <c r="A38" s="43">
        <v>37</v>
      </c>
      <c r="B38" s="44" t="s">
        <v>193</v>
      </c>
      <c r="C38" s="44" t="s">
        <v>194</v>
      </c>
      <c r="D38" s="44" t="s">
        <v>195</v>
      </c>
      <c r="E38" s="45" t="s">
        <v>196</v>
      </c>
      <c r="F38" s="51">
        <v>30</v>
      </c>
      <c r="G38" s="51">
        <v>13</v>
      </c>
      <c r="H38" s="50">
        <f t="shared" si="51"/>
        <v>43</v>
      </c>
      <c r="I38" s="51">
        <v>34</v>
      </c>
      <c r="J38" s="51">
        <v>9</v>
      </c>
      <c r="K38" s="50">
        <f t="shared" si="25"/>
        <v>43</v>
      </c>
      <c r="L38" s="51">
        <f t="shared" si="31"/>
        <v>86</v>
      </c>
      <c r="M38" s="78"/>
      <c r="N38" s="51">
        <f t="shared" si="32"/>
        <v>2</v>
      </c>
      <c r="O38" s="51">
        <v>49</v>
      </c>
      <c r="P38" s="51">
        <v>20</v>
      </c>
      <c r="Q38" s="51">
        <f t="shared" si="33"/>
        <v>69</v>
      </c>
      <c r="R38" s="78"/>
      <c r="S38" s="51">
        <f t="shared" si="34"/>
        <v>1</v>
      </c>
      <c r="T38" s="51">
        <v>23</v>
      </c>
      <c r="U38" s="51">
        <v>15</v>
      </c>
      <c r="V38" s="51">
        <f t="shared" si="35"/>
        <v>38</v>
      </c>
      <c r="W38" s="78"/>
      <c r="X38" s="51">
        <f t="shared" si="36"/>
        <v>1</v>
      </c>
      <c r="Y38" s="51">
        <v>42</v>
      </c>
      <c r="Z38" s="51">
        <v>15</v>
      </c>
      <c r="AA38" s="51">
        <f t="shared" si="37"/>
        <v>57</v>
      </c>
      <c r="AB38" s="78"/>
      <c r="AC38" s="51">
        <f t="shared" si="38"/>
        <v>3</v>
      </c>
      <c r="AD38" s="51">
        <v>18</v>
      </c>
      <c r="AE38" s="51">
        <v>20</v>
      </c>
      <c r="AF38" s="51">
        <f t="shared" si="39"/>
        <v>38</v>
      </c>
      <c r="AG38" s="84"/>
      <c r="AH38" s="51">
        <f t="shared" si="40"/>
        <v>4</v>
      </c>
      <c r="AI38" s="51">
        <v>39</v>
      </c>
      <c r="AJ38" s="51">
        <v>23</v>
      </c>
      <c r="AK38" s="51">
        <f t="shared" si="41"/>
        <v>62</v>
      </c>
      <c r="AL38" s="78"/>
      <c r="AM38" s="51">
        <f t="shared" si="42"/>
        <v>3.5</v>
      </c>
      <c r="AN38" s="51">
        <v>26</v>
      </c>
      <c r="AO38" s="51">
        <v>8</v>
      </c>
      <c r="AP38" s="52">
        <v>24</v>
      </c>
      <c r="AQ38" s="51">
        <f t="shared" si="43"/>
        <v>58</v>
      </c>
      <c r="AR38" s="78"/>
      <c r="AS38" s="51">
        <f t="shared" si="44"/>
        <v>3</v>
      </c>
      <c r="AT38" s="51">
        <v>17</v>
      </c>
      <c r="AU38" s="51">
        <v>10</v>
      </c>
      <c r="AV38" s="51">
        <v>24</v>
      </c>
      <c r="AW38" s="51">
        <f t="shared" si="45"/>
        <v>51</v>
      </c>
      <c r="AX38" s="78"/>
      <c r="AY38" s="51">
        <f t="shared" si="46"/>
        <v>3</v>
      </c>
      <c r="AZ38" s="51">
        <v>24</v>
      </c>
      <c r="BA38" s="51">
        <v>13</v>
      </c>
      <c r="BB38" s="51">
        <v>23</v>
      </c>
      <c r="BC38" s="51">
        <f t="shared" si="47"/>
        <v>60</v>
      </c>
      <c r="BD38" s="78"/>
      <c r="BE38" s="51">
        <f t="shared" si="48"/>
        <v>3.5</v>
      </c>
      <c r="BF38" s="51">
        <v>30</v>
      </c>
      <c r="BG38" s="51">
        <v>17</v>
      </c>
      <c r="BH38" s="55">
        <v>24</v>
      </c>
      <c r="BI38" s="54">
        <f t="shared" si="18"/>
        <v>71</v>
      </c>
      <c r="BJ38" s="78"/>
      <c r="BK38" s="54">
        <f t="shared" si="49"/>
        <v>4</v>
      </c>
      <c r="BL38" s="54">
        <f t="shared" si="28"/>
        <v>4</v>
      </c>
      <c r="BM38" s="54">
        <f t="shared" si="29"/>
        <v>26</v>
      </c>
      <c r="BN38" s="40">
        <f t="shared" si="50"/>
        <v>2.8888888888888888</v>
      </c>
      <c r="BO38" s="54" t="str">
        <f t="shared" si="27"/>
        <v>GOOD</v>
      </c>
      <c r="BP38" s="54">
        <f t="shared" si="30"/>
        <v>590</v>
      </c>
      <c r="BQ38" s="37">
        <v>28</v>
      </c>
      <c r="BR38" s="4"/>
    </row>
    <row r="39" spans="1:70" ht="17.100000000000001" customHeight="1">
      <c r="A39" s="43">
        <v>39</v>
      </c>
      <c r="B39" s="44" t="s">
        <v>197</v>
      </c>
      <c r="C39" s="44" t="s">
        <v>198</v>
      </c>
      <c r="D39" s="44" t="s">
        <v>199</v>
      </c>
      <c r="E39" s="45" t="s">
        <v>200</v>
      </c>
      <c r="F39" s="51">
        <v>5</v>
      </c>
      <c r="G39" s="51">
        <v>14</v>
      </c>
      <c r="H39" s="50">
        <f t="shared" si="51"/>
        <v>19</v>
      </c>
      <c r="I39" s="51">
        <v>26</v>
      </c>
      <c r="J39" s="51">
        <v>10</v>
      </c>
      <c r="K39" s="50">
        <f t="shared" si="25"/>
        <v>36</v>
      </c>
      <c r="L39" s="51">
        <f t="shared" si="31"/>
        <v>55</v>
      </c>
      <c r="M39" s="78"/>
      <c r="N39" s="51" t="str">
        <f t="shared" si="32"/>
        <v>F</v>
      </c>
      <c r="O39" s="51">
        <v>27</v>
      </c>
      <c r="P39" s="51">
        <v>5</v>
      </c>
      <c r="Q39" s="51">
        <f t="shared" si="33"/>
        <v>32</v>
      </c>
      <c r="R39" s="78"/>
      <c r="S39" s="51" t="str">
        <f t="shared" si="34"/>
        <v>F</v>
      </c>
      <c r="T39" s="51">
        <v>6</v>
      </c>
      <c r="U39" s="51">
        <v>8</v>
      </c>
      <c r="V39" s="51">
        <f t="shared" si="35"/>
        <v>14</v>
      </c>
      <c r="W39" s="78"/>
      <c r="X39" s="51" t="str">
        <f t="shared" si="36"/>
        <v>F</v>
      </c>
      <c r="Y39" s="51">
        <v>9</v>
      </c>
      <c r="Z39" s="51">
        <v>16</v>
      </c>
      <c r="AA39" s="51">
        <f t="shared" si="37"/>
        <v>25</v>
      </c>
      <c r="AB39" s="78"/>
      <c r="AC39" s="51" t="str">
        <f t="shared" si="38"/>
        <v>F</v>
      </c>
      <c r="AD39" s="51">
        <v>15</v>
      </c>
      <c r="AE39" s="51">
        <v>20</v>
      </c>
      <c r="AF39" s="51">
        <f t="shared" si="39"/>
        <v>35</v>
      </c>
      <c r="AG39" s="84"/>
      <c r="AH39" s="51">
        <f t="shared" si="40"/>
        <v>4</v>
      </c>
      <c r="AI39" s="51">
        <v>11</v>
      </c>
      <c r="AJ39" s="51">
        <v>10</v>
      </c>
      <c r="AK39" s="51">
        <f t="shared" si="41"/>
        <v>21</v>
      </c>
      <c r="AL39" s="78"/>
      <c r="AM39" s="51" t="str">
        <f t="shared" si="42"/>
        <v>F</v>
      </c>
      <c r="AN39" s="51">
        <v>9</v>
      </c>
      <c r="AO39" s="51">
        <v>11</v>
      </c>
      <c r="AP39" s="52">
        <v>24</v>
      </c>
      <c r="AQ39" s="51">
        <f t="shared" si="43"/>
        <v>44</v>
      </c>
      <c r="AR39" s="78"/>
      <c r="AS39" s="51" t="str">
        <f t="shared" si="44"/>
        <v>F</v>
      </c>
      <c r="AT39" s="51">
        <v>0</v>
      </c>
      <c r="AU39" s="51">
        <v>5</v>
      </c>
      <c r="AV39" s="51">
        <v>24</v>
      </c>
      <c r="AW39" s="51">
        <f t="shared" si="45"/>
        <v>29</v>
      </c>
      <c r="AX39" s="78"/>
      <c r="AY39" s="51" t="str">
        <f t="shared" si="46"/>
        <v>F</v>
      </c>
      <c r="AZ39" s="51">
        <v>0</v>
      </c>
      <c r="BA39" s="51">
        <v>10</v>
      </c>
      <c r="BB39" s="51">
        <v>23</v>
      </c>
      <c r="BC39" s="51">
        <f t="shared" si="47"/>
        <v>33</v>
      </c>
      <c r="BD39" s="78"/>
      <c r="BE39" s="51" t="str">
        <f t="shared" si="48"/>
        <v>F</v>
      </c>
      <c r="BF39" s="51">
        <v>6</v>
      </c>
      <c r="BG39" s="51">
        <v>14</v>
      </c>
      <c r="BH39" s="55">
        <v>23</v>
      </c>
      <c r="BI39" s="54">
        <f t="shared" si="18"/>
        <v>43</v>
      </c>
      <c r="BJ39" s="78"/>
      <c r="BK39" s="54" t="str">
        <f t="shared" si="49"/>
        <v>0</v>
      </c>
      <c r="BL39" s="54" t="str">
        <f t="shared" si="28"/>
        <v>F</v>
      </c>
      <c r="BM39" s="54" t="str">
        <f t="shared" si="29"/>
        <v>F</v>
      </c>
      <c r="BN39" s="40" t="str">
        <f t="shared" si="50"/>
        <v>F</v>
      </c>
      <c r="BO39" s="54" t="str">
        <f t="shared" si="27"/>
        <v>NEED TO PROGRESS</v>
      </c>
      <c r="BP39" s="54">
        <f t="shared" si="30"/>
        <v>331</v>
      </c>
      <c r="BQ39" s="37" t="s">
        <v>257</v>
      </c>
      <c r="BR39" s="4"/>
    </row>
    <row r="40" spans="1:70" ht="17.100000000000001" customHeight="1">
      <c r="A40" s="43">
        <v>47</v>
      </c>
      <c r="B40" s="44" t="s">
        <v>201</v>
      </c>
      <c r="C40" s="44" t="s">
        <v>202</v>
      </c>
      <c r="D40" s="44" t="s">
        <v>203</v>
      </c>
      <c r="E40" s="45" t="s">
        <v>204</v>
      </c>
      <c r="F40" s="51">
        <v>21</v>
      </c>
      <c r="G40" s="51">
        <v>13</v>
      </c>
      <c r="H40" s="50">
        <f t="shared" si="51"/>
        <v>34</v>
      </c>
      <c r="I40" s="51">
        <v>25</v>
      </c>
      <c r="J40" s="51">
        <v>11</v>
      </c>
      <c r="K40" s="50">
        <f t="shared" si="25"/>
        <v>36</v>
      </c>
      <c r="L40" s="51">
        <f t="shared" si="31"/>
        <v>70</v>
      </c>
      <c r="M40" s="78"/>
      <c r="N40" s="51">
        <f t="shared" si="32"/>
        <v>1</v>
      </c>
      <c r="O40" s="51">
        <v>59</v>
      </c>
      <c r="P40" s="51">
        <v>18</v>
      </c>
      <c r="Q40" s="51">
        <f t="shared" si="33"/>
        <v>77</v>
      </c>
      <c r="R40" s="78"/>
      <c r="S40" s="51">
        <f t="shared" si="34"/>
        <v>1</v>
      </c>
      <c r="T40" s="51">
        <v>24</v>
      </c>
      <c r="U40" s="51">
        <v>10</v>
      </c>
      <c r="V40" s="51">
        <f t="shared" si="35"/>
        <v>34</v>
      </c>
      <c r="W40" s="78"/>
      <c r="X40" s="51">
        <f t="shared" si="36"/>
        <v>1</v>
      </c>
      <c r="Y40" s="51">
        <v>31</v>
      </c>
      <c r="Z40" s="51">
        <v>16</v>
      </c>
      <c r="AA40" s="51">
        <f t="shared" si="37"/>
        <v>47</v>
      </c>
      <c r="AB40" s="78"/>
      <c r="AC40" s="51">
        <f t="shared" si="38"/>
        <v>2</v>
      </c>
      <c r="AD40" s="51">
        <v>20</v>
      </c>
      <c r="AE40" s="51">
        <v>20</v>
      </c>
      <c r="AF40" s="51">
        <f t="shared" si="39"/>
        <v>40</v>
      </c>
      <c r="AG40" s="84"/>
      <c r="AH40" s="51">
        <f t="shared" si="40"/>
        <v>5</v>
      </c>
      <c r="AI40" s="51">
        <v>34</v>
      </c>
      <c r="AJ40" s="51">
        <v>24</v>
      </c>
      <c r="AK40" s="51">
        <f t="shared" si="41"/>
        <v>58</v>
      </c>
      <c r="AL40" s="78"/>
      <c r="AM40" s="51">
        <f t="shared" si="42"/>
        <v>3</v>
      </c>
      <c r="AN40" s="51">
        <v>23</v>
      </c>
      <c r="AO40" s="51">
        <v>11</v>
      </c>
      <c r="AP40" s="52">
        <v>24</v>
      </c>
      <c r="AQ40" s="51">
        <f t="shared" si="43"/>
        <v>58</v>
      </c>
      <c r="AR40" s="78"/>
      <c r="AS40" s="51">
        <f t="shared" si="44"/>
        <v>3</v>
      </c>
      <c r="AT40" s="51">
        <v>17</v>
      </c>
      <c r="AU40" s="51">
        <v>8</v>
      </c>
      <c r="AV40" s="51">
        <v>24</v>
      </c>
      <c r="AW40" s="51">
        <f t="shared" si="45"/>
        <v>49</v>
      </c>
      <c r="AX40" s="78"/>
      <c r="AY40" s="51">
        <f t="shared" si="46"/>
        <v>2</v>
      </c>
      <c r="AZ40" s="51">
        <v>33</v>
      </c>
      <c r="BA40" s="51">
        <v>12</v>
      </c>
      <c r="BB40" s="51">
        <v>23</v>
      </c>
      <c r="BC40" s="51">
        <f t="shared" si="47"/>
        <v>68</v>
      </c>
      <c r="BD40" s="78"/>
      <c r="BE40" s="51">
        <f t="shared" si="48"/>
        <v>3.5</v>
      </c>
      <c r="BF40" s="51">
        <v>29</v>
      </c>
      <c r="BG40" s="51">
        <v>16</v>
      </c>
      <c r="BH40" s="55">
        <v>24</v>
      </c>
      <c r="BI40" s="54">
        <f t="shared" si="18"/>
        <v>69</v>
      </c>
      <c r="BJ40" s="78"/>
      <c r="BK40" s="54">
        <f t="shared" si="49"/>
        <v>3.5</v>
      </c>
      <c r="BL40" s="54">
        <f t="shared" si="28"/>
        <v>3.5</v>
      </c>
      <c r="BM40" s="54">
        <f t="shared" si="29"/>
        <v>23</v>
      </c>
      <c r="BN40" s="40">
        <f t="shared" si="50"/>
        <v>2.5555555555555554</v>
      </c>
      <c r="BO40" s="54" t="str">
        <f t="shared" si="27"/>
        <v>GOOD</v>
      </c>
      <c r="BP40" s="54">
        <f t="shared" si="30"/>
        <v>570</v>
      </c>
      <c r="BQ40" s="37">
        <v>33</v>
      </c>
      <c r="BR40" s="4"/>
    </row>
    <row r="41" spans="1:70" ht="17.100000000000001" customHeight="1">
      <c r="A41" s="43">
        <v>49</v>
      </c>
      <c r="B41" s="44" t="s">
        <v>205</v>
      </c>
      <c r="C41" s="44" t="s">
        <v>206</v>
      </c>
      <c r="D41" s="44" t="s">
        <v>207</v>
      </c>
      <c r="E41" s="45" t="s">
        <v>208</v>
      </c>
      <c r="F41" s="51">
        <v>17</v>
      </c>
      <c r="G41" s="51">
        <v>10</v>
      </c>
      <c r="H41" s="50">
        <f t="shared" si="51"/>
        <v>27</v>
      </c>
      <c r="I41" s="51">
        <v>27</v>
      </c>
      <c r="J41" s="51">
        <v>10</v>
      </c>
      <c r="K41" s="50">
        <f t="shared" si="25"/>
        <v>37</v>
      </c>
      <c r="L41" s="51">
        <f t="shared" si="31"/>
        <v>64</v>
      </c>
      <c r="M41" s="78"/>
      <c r="N41" s="51" t="str">
        <f t="shared" si="32"/>
        <v>F</v>
      </c>
      <c r="O41" s="51">
        <v>37</v>
      </c>
      <c r="P41" s="51">
        <v>23</v>
      </c>
      <c r="Q41" s="51">
        <f t="shared" si="33"/>
        <v>60</v>
      </c>
      <c r="R41" s="78"/>
      <c r="S41" s="51" t="str">
        <f t="shared" si="34"/>
        <v>F</v>
      </c>
      <c r="T41" s="51">
        <v>25</v>
      </c>
      <c r="U41" s="51">
        <v>10</v>
      </c>
      <c r="V41" s="51">
        <f t="shared" si="35"/>
        <v>35</v>
      </c>
      <c r="W41" s="78"/>
      <c r="X41" s="51">
        <f t="shared" si="36"/>
        <v>1</v>
      </c>
      <c r="Y41" s="51">
        <v>33</v>
      </c>
      <c r="Z41" s="51">
        <v>17</v>
      </c>
      <c r="AA41" s="51">
        <f t="shared" si="37"/>
        <v>50</v>
      </c>
      <c r="AB41" s="78"/>
      <c r="AC41" s="51">
        <f t="shared" si="38"/>
        <v>3</v>
      </c>
      <c r="AD41" s="51">
        <v>12</v>
      </c>
      <c r="AE41" s="51">
        <v>20</v>
      </c>
      <c r="AF41" s="51">
        <f t="shared" si="39"/>
        <v>32</v>
      </c>
      <c r="AG41" s="84"/>
      <c r="AH41" s="51">
        <f t="shared" si="40"/>
        <v>3.5</v>
      </c>
      <c r="AI41" s="51">
        <v>44</v>
      </c>
      <c r="AJ41" s="51">
        <v>12</v>
      </c>
      <c r="AK41" s="51">
        <f t="shared" si="41"/>
        <v>56</v>
      </c>
      <c r="AL41" s="78"/>
      <c r="AM41" s="51">
        <f t="shared" si="42"/>
        <v>3</v>
      </c>
      <c r="AN41" s="51">
        <v>17</v>
      </c>
      <c r="AO41" s="51">
        <v>8</v>
      </c>
      <c r="AP41" s="52">
        <v>24</v>
      </c>
      <c r="AQ41" s="51">
        <f t="shared" si="43"/>
        <v>49</v>
      </c>
      <c r="AR41" s="78"/>
      <c r="AS41" s="51">
        <f t="shared" si="44"/>
        <v>2</v>
      </c>
      <c r="AT41" s="51">
        <v>16</v>
      </c>
      <c r="AU41" s="51">
        <v>10</v>
      </c>
      <c r="AV41" s="51">
        <v>24</v>
      </c>
      <c r="AW41" s="51">
        <f t="shared" si="45"/>
        <v>50</v>
      </c>
      <c r="AX41" s="78"/>
      <c r="AY41" s="51" t="str">
        <f t="shared" si="46"/>
        <v>F</v>
      </c>
      <c r="AZ41" s="51">
        <v>29</v>
      </c>
      <c r="BA41" s="51">
        <v>12</v>
      </c>
      <c r="BB41" s="51">
        <v>23</v>
      </c>
      <c r="BC41" s="51">
        <f t="shared" si="47"/>
        <v>64</v>
      </c>
      <c r="BD41" s="78"/>
      <c r="BE41" s="51">
        <f t="shared" si="48"/>
        <v>3.5</v>
      </c>
      <c r="BF41" s="51">
        <v>27</v>
      </c>
      <c r="BG41" s="51">
        <v>15</v>
      </c>
      <c r="BH41" s="55">
        <v>24</v>
      </c>
      <c r="BI41" s="54">
        <f t="shared" si="18"/>
        <v>66</v>
      </c>
      <c r="BJ41" s="78"/>
      <c r="BK41" s="54">
        <f t="shared" si="49"/>
        <v>3.5</v>
      </c>
      <c r="BL41" s="54">
        <f t="shared" si="28"/>
        <v>3.5</v>
      </c>
      <c r="BM41" s="54" t="str">
        <f t="shared" si="29"/>
        <v>F</v>
      </c>
      <c r="BN41" s="40" t="str">
        <f t="shared" si="50"/>
        <v>F</v>
      </c>
      <c r="BO41" s="54" t="str">
        <f t="shared" si="27"/>
        <v>NEED TO PROGRESS</v>
      </c>
      <c r="BP41" s="54">
        <f t="shared" si="30"/>
        <v>526</v>
      </c>
      <c r="BQ41" s="37" t="s">
        <v>252</v>
      </c>
      <c r="BR41" s="4"/>
    </row>
    <row r="42" spans="1:70" ht="17.100000000000001" customHeight="1">
      <c r="A42" s="43">
        <v>52</v>
      </c>
      <c r="B42" s="44" t="s">
        <v>209</v>
      </c>
      <c r="C42" s="44" t="s">
        <v>210</v>
      </c>
      <c r="D42" s="44" t="s">
        <v>211</v>
      </c>
      <c r="E42" s="45" t="s">
        <v>212</v>
      </c>
      <c r="F42" s="51">
        <v>21</v>
      </c>
      <c r="G42" s="51">
        <v>14</v>
      </c>
      <c r="H42" s="50">
        <f t="shared" si="51"/>
        <v>35</v>
      </c>
      <c r="I42" s="51">
        <v>41</v>
      </c>
      <c r="J42" s="51">
        <v>11</v>
      </c>
      <c r="K42" s="50">
        <f t="shared" si="25"/>
        <v>52</v>
      </c>
      <c r="L42" s="51">
        <f t="shared" si="31"/>
        <v>87</v>
      </c>
      <c r="M42" s="78"/>
      <c r="N42" s="51">
        <f t="shared" si="32"/>
        <v>2</v>
      </c>
      <c r="O42" s="51">
        <v>59</v>
      </c>
      <c r="P42" s="51">
        <v>16</v>
      </c>
      <c r="Q42" s="51">
        <f t="shared" si="33"/>
        <v>75</v>
      </c>
      <c r="R42" s="78"/>
      <c r="S42" s="51">
        <f t="shared" si="34"/>
        <v>1</v>
      </c>
      <c r="T42" s="51">
        <v>31</v>
      </c>
      <c r="U42" s="51">
        <v>22</v>
      </c>
      <c r="V42" s="51">
        <f t="shared" si="35"/>
        <v>53</v>
      </c>
      <c r="W42" s="78"/>
      <c r="X42" s="51">
        <f t="shared" si="36"/>
        <v>3</v>
      </c>
      <c r="Y42" s="51">
        <v>28</v>
      </c>
      <c r="Z42" s="51">
        <v>14</v>
      </c>
      <c r="AA42" s="51">
        <f t="shared" si="37"/>
        <v>42</v>
      </c>
      <c r="AB42" s="78"/>
      <c r="AC42" s="51">
        <f t="shared" si="38"/>
        <v>2</v>
      </c>
      <c r="AD42" s="51">
        <v>18</v>
      </c>
      <c r="AE42" s="51">
        <v>20</v>
      </c>
      <c r="AF42" s="51">
        <f t="shared" si="39"/>
        <v>38</v>
      </c>
      <c r="AG42" s="84"/>
      <c r="AH42" s="51">
        <f t="shared" si="40"/>
        <v>4</v>
      </c>
      <c r="AI42" s="51">
        <v>38</v>
      </c>
      <c r="AJ42" s="51">
        <v>23</v>
      </c>
      <c r="AK42" s="51">
        <f t="shared" si="41"/>
        <v>61</v>
      </c>
      <c r="AL42" s="78"/>
      <c r="AM42" s="51">
        <f t="shared" si="42"/>
        <v>3.5</v>
      </c>
      <c r="AN42" s="51">
        <v>17</v>
      </c>
      <c r="AO42" s="51">
        <v>15</v>
      </c>
      <c r="AP42" s="52">
        <v>24</v>
      </c>
      <c r="AQ42" s="51">
        <f t="shared" si="43"/>
        <v>56</v>
      </c>
      <c r="AR42" s="78"/>
      <c r="AS42" s="51">
        <f t="shared" si="44"/>
        <v>3</v>
      </c>
      <c r="AT42" s="51">
        <v>17</v>
      </c>
      <c r="AU42" s="51">
        <v>8</v>
      </c>
      <c r="AV42" s="51">
        <v>24</v>
      </c>
      <c r="AW42" s="51">
        <f t="shared" si="45"/>
        <v>49</v>
      </c>
      <c r="AX42" s="78"/>
      <c r="AY42" s="51">
        <f t="shared" si="46"/>
        <v>2</v>
      </c>
      <c r="AZ42" s="51">
        <v>26</v>
      </c>
      <c r="BA42" s="51">
        <v>13</v>
      </c>
      <c r="BB42" s="51">
        <v>23</v>
      </c>
      <c r="BC42" s="51">
        <f t="shared" si="47"/>
        <v>62</v>
      </c>
      <c r="BD42" s="78"/>
      <c r="BE42" s="51">
        <f t="shared" si="48"/>
        <v>3.5</v>
      </c>
      <c r="BF42" s="51">
        <v>17</v>
      </c>
      <c r="BG42" s="51">
        <v>13</v>
      </c>
      <c r="BH42" s="55">
        <v>24</v>
      </c>
      <c r="BI42" s="54">
        <f t="shared" si="18"/>
        <v>54</v>
      </c>
      <c r="BJ42" s="78"/>
      <c r="BK42" s="54">
        <f t="shared" si="49"/>
        <v>3</v>
      </c>
      <c r="BL42" s="54">
        <f t="shared" si="28"/>
        <v>3</v>
      </c>
      <c r="BM42" s="54">
        <f t="shared" si="29"/>
        <v>25</v>
      </c>
      <c r="BN42" s="40">
        <f t="shared" si="50"/>
        <v>2.7777777777777777</v>
      </c>
      <c r="BO42" s="54" t="str">
        <f t="shared" si="27"/>
        <v>GOOD</v>
      </c>
      <c r="BP42" s="54">
        <f t="shared" si="30"/>
        <v>577</v>
      </c>
      <c r="BQ42" s="37">
        <v>30</v>
      </c>
      <c r="BR42" s="4"/>
    </row>
    <row r="43" spans="1:70" ht="17.100000000000001" customHeight="1">
      <c r="A43" s="43">
        <v>54</v>
      </c>
      <c r="B43" s="44" t="s">
        <v>213</v>
      </c>
      <c r="C43" s="44" t="s">
        <v>214</v>
      </c>
      <c r="D43" s="44" t="s">
        <v>215</v>
      </c>
      <c r="E43" s="45" t="s">
        <v>216</v>
      </c>
      <c r="F43" s="51">
        <v>20</v>
      </c>
      <c r="G43" s="51">
        <v>15</v>
      </c>
      <c r="H43" s="50">
        <f t="shared" si="51"/>
        <v>35</v>
      </c>
      <c r="I43" s="51">
        <v>31</v>
      </c>
      <c r="J43" s="51">
        <v>6</v>
      </c>
      <c r="K43" s="50">
        <f t="shared" si="25"/>
        <v>37</v>
      </c>
      <c r="L43" s="51">
        <f t="shared" si="31"/>
        <v>72</v>
      </c>
      <c r="M43" s="78"/>
      <c r="N43" s="51">
        <f t="shared" si="32"/>
        <v>1</v>
      </c>
      <c r="O43" s="51">
        <v>60</v>
      </c>
      <c r="P43" s="51">
        <v>33</v>
      </c>
      <c r="Q43" s="51">
        <f t="shared" si="33"/>
        <v>93</v>
      </c>
      <c r="R43" s="78"/>
      <c r="S43" s="51">
        <f t="shared" si="34"/>
        <v>2</v>
      </c>
      <c r="T43" s="51">
        <v>25</v>
      </c>
      <c r="U43" s="51">
        <v>11</v>
      </c>
      <c r="V43" s="51">
        <f t="shared" si="35"/>
        <v>36</v>
      </c>
      <c r="W43" s="78"/>
      <c r="X43" s="51">
        <f t="shared" si="36"/>
        <v>1</v>
      </c>
      <c r="Y43" s="51">
        <v>42</v>
      </c>
      <c r="Z43" s="51">
        <v>22</v>
      </c>
      <c r="AA43" s="51">
        <f t="shared" si="37"/>
        <v>64</v>
      </c>
      <c r="AB43" s="78"/>
      <c r="AC43" s="51">
        <f t="shared" si="38"/>
        <v>3.5</v>
      </c>
      <c r="AD43" s="51">
        <v>21</v>
      </c>
      <c r="AE43" s="51">
        <v>20</v>
      </c>
      <c r="AF43" s="51">
        <f t="shared" si="39"/>
        <v>41</v>
      </c>
      <c r="AG43" s="84"/>
      <c r="AH43" s="51">
        <f t="shared" si="40"/>
        <v>5</v>
      </c>
      <c r="AI43" s="51">
        <v>25</v>
      </c>
      <c r="AJ43" s="51">
        <v>13</v>
      </c>
      <c r="AK43" s="51">
        <f t="shared" si="41"/>
        <v>38</v>
      </c>
      <c r="AL43" s="78"/>
      <c r="AM43" s="51">
        <f t="shared" si="42"/>
        <v>1</v>
      </c>
      <c r="AN43" s="51">
        <v>18</v>
      </c>
      <c r="AO43" s="51">
        <v>12</v>
      </c>
      <c r="AP43" s="52">
        <v>24</v>
      </c>
      <c r="AQ43" s="51">
        <f t="shared" si="43"/>
        <v>54</v>
      </c>
      <c r="AR43" s="78"/>
      <c r="AS43" s="51">
        <f t="shared" si="44"/>
        <v>3</v>
      </c>
      <c r="AT43" s="51">
        <v>17</v>
      </c>
      <c r="AU43" s="51">
        <v>9</v>
      </c>
      <c r="AV43" s="51">
        <v>24</v>
      </c>
      <c r="AW43" s="51">
        <f t="shared" si="45"/>
        <v>50</v>
      </c>
      <c r="AX43" s="78"/>
      <c r="AY43" s="51">
        <f t="shared" si="46"/>
        <v>3</v>
      </c>
      <c r="AZ43" s="51">
        <v>25</v>
      </c>
      <c r="BA43" s="51">
        <v>11</v>
      </c>
      <c r="BB43" s="51">
        <v>23</v>
      </c>
      <c r="BC43" s="51">
        <f t="shared" si="47"/>
        <v>59</v>
      </c>
      <c r="BD43" s="78"/>
      <c r="BE43" s="51">
        <f t="shared" si="48"/>
        <v>3</v>
      </c>
      <c r="BF43" s="51">
        <v>18</v>
      </c>
      <c r="BG43" s="51">
        <v>17</v>
      </c>
      <c r="BH43" s="55">
        <v>24</v>
      </c>
      <c r="BI43" s="54">
        <f t="shared" si="18"/>
        <v>59</v>
      </c>
      <c r="BJ43" s="78"/>
      <c r="BK43" s="54">
        <f t="shared" si="49"/>
        <v>3</v>
      </c>
      <c r="BL43" s="54">
        <f t="shared" si="28"/>
        <v>3</v>
      </c>
      <c r="BM43" s="54">
        <f t="shared" si="29"/>
        <v>23.5</v>
      </c>
      <c r="BN43" s="40">
        <f t="shared" si="50"/>
        <v>2.6111111111111112</v>
      </c>
      <c r="BO43" s="54" t="str">
        <f t="shared" si="27"/>
        <v>GOOD</v>
      </c>
      <c r="BP43" s="54">
        <f t="shared" si="30"/>
        <v>566</v>
      </c>
      <c r="BQ43" s="37">
        <v>32</v>
      </c>
      <c r="BR43" s="4"/>
    </row>
    <row r="44" spans="1:70" ht="17.100000000000001" customHeight="1">
      <c r="A44" s="43">
        <v>55</v>
      </c>
      <c r="B44" s="44" t="s">
        <v>217</v>
      </c>
      <c r="C44" s="44" t="s">
        <v>218</v>
      </c>
      <c r="D44" s="44" t="s">
        <v>219</v>
      </c>
      <c r="E44" s="45" t="s">
        <v>220</v>
      </c>
      <c r="F44" s="51">
        <v>39</v>
      </c>
      <c r="G44" s="51">
        <v>14</v>
      </c>
      <c r="H44" s="50">
        <f t="shared" si="51"/>
        <v>53</v>
      </c>
      <c r="I44" s="51">
        <v>41</v>
      </c>
      <c r="J44" s="51">
        <v>9</v>
      </c>
      <c r="K44" s="50">
        <f t="shared" si="25"/>
        <v>50</v>
      </c>
      <c r="L44" s="51">
        <f t="shared" si="31"/>
        <v>103</v>
      </c>
      <c r="M44" s="78"/>
      <c r="N44" s="51">
        <f t="shared" si="32"/>
        <v>3</v>
      </c>
      <c r="O44" s="51">
        <v>54</v>
      </c>
      <c r="P44" s="51">
        <v>24</v>
      </c>
      <c r="Q44" s="51">
        <f t="shared" si="33"/>
        <v>78</v>
      </c>
      <c r="R44" s="78"/>
      <c r="S44" s="51">
        <f t="shared" si="34"/>
        <v>1</v>
      </c>
      <c r="T44" s="51">
        <v>29</v>
      </c>
      <c r="U44" s="51">
        <v>17</v>
      </c>
      <c r="V44" s="51">
        <f t="shared" si="35"/>
        <v>46</v>
      </c>
      <c r="W44" s="78"/>
      <c r="X44" s="51">
        <f t="shared" si="36"/>
        <v>2</v>
      </c>
      <c r="Y44" s="51">
        <v>42</v>
      </c>
      <c r="Z44" s="51">
        <v>21</v>
      </c>
      <c r="AA44" s="51">
        <f t="shared" si="37"/>
        <v>63</v>
      </c>
      <c r="AB44" s="78"/>
      <c r="AC44" s="51">
        <f t="shared" si="38"/>
        <v>3.5</v>
      </c>
      <c r="AD44" s="51">
        <v>11</v>
      </c>
      <c r="AE44" s="51">
        <v>20</v>
      </c>
      <c r="AF44" s="51">
        <f t="shared" si="39"/>
        <v>31</v>
      </c>
      <c r="AG44" s="84"/>
      <c r="AH44" s="51">
        <f t="shared" si="40"/>
        <v>3.5</v>
      </c>
      <c r="AI44" s="51">
        <v>46</v>
      </c>
      <c r="AJ44" s="51">
        <v>17</v>
      </c>
      <c r="AK44" s="51">
        <f t="shared" si="41"/>
        <v>63</v>
      </c>
      <c r="AL44" s="78"/>
      <c r="AM44" s="51">
        <f t="shared" si="42"/>
        <v>3.5</v>
      </c>
      <c r="AN44" s="51">
        <v>34</v>
      </c>
      <c r="AO44" s="51">
        <v>8</v>
      </c>
      <c r="AP44" s="52">
        <v>24</v>
      </c>
      <c r="AQ44" s="51">
        <f t="shared" si="43"/>
        <v>66</v>
      </c>
      <c r="AR44" s="78"/>
      <c r="AS44" s="51">
        <f t="shared" si="44"/>
        <v>3.5</v>
      </c>
      <c r="AT44" s="51">
        <v>24</v>
      </c>
      <c r="AU44" s="51">
        <v>12</v>
      </c>
      <c r="AV44" s="51">
        <v>24</v>
      </c>
      <c r="AW44" s="51">
        <f t="shared" si="45"/>
        <v>60</v>
      </c>
      <c r="AX44" s="78"/>
      <c r="AY44" s="51">
        <f t="shared" si="46"/>
        <v>3.5</v>
      </c>
      <c r="AZ44" s="51">
        <v>24</v>
      </c>
      <c r="BA44" s="51">
        <v>17</v>
      </c>
      <c r="BB44" s="51">
        <v>23</v>
      </c>
      <c r="BC44" s="51">
        <f t="shared" si="47"/>
        <v>64</v>
      </c>
      <c r="BD44" s="78"/>
      <c r="BE44" s="51">
        <f t="shared" si="48"/>
        <v>3.5</v>
      </c>
      <c r="BF44" s="51">
        <v>38</v>
      </c>
      <c r="BG44" s="51">
        <v>15</v>
      </c>
      <c r="BH44" s="55">
        <v>24</v>
      </c>
      <c r="BI44" s="54">
        <f t="shared" si="18"/>
        <v>77</v>
      </c>
      <c r="BJ44" s="78"/>
      <c r="BK44" s="54">
        <f t="shared" si="49"/>
        <v>4</v>
      </c>
      <c r="BL44" s="54">
        <f t="shared" si="28"/>
        <v>4</v>
      </c>
      <c r="BM44" s="54">
        <f t="shared" si="29"/>
        <v>29</v>
      </c>
      <c r="BN44" s="40">
        <f t="shared" si="50"/>
        <v>3.2222222222222223</v>
      </c>
      <c r="BO44" s="54" t="str">
        <f t="shared" si="27"/>
        <v>GOOD</v>
      </c>
      <c r="BP44" s="54">
        <f t="shared" si="30"/>
        <v>651</v>
      </c>
      <c r="BQ44" s="37">
        <v>23</v>
      </c>
      <c r="BR44" s="4"/>
    </row>
    <row r="45" spans="1:70" ht="17.100000000000001" customHeight="1">
      <c r="A45" s="43">
        <v>59</v>
      </c>
      <c r="B45" s="44" t="s">
        <v>221</v>
      </c>
      <c r="C45" s="44" t="s">
        <v>222</v>
      </c>
      <c r="D45" s="44" t="s">
        <v>223</v>
      </c>
      <c r="E45" s="45" t="s">
        <v>224</v>
      </c>
      <c r="F45" s="51">
        <v>21</v>
      </c>
      <c r="G45" s="51">
        <v>18</v>
      </c>
      <c r="H45" s="50">
        <f t="shared" si="51"/>
        <v>39</v>
      </c>
      <c r="I45" s="51">
        <v>30</v>
      </c>
      <c r="J45" s="51">
        <v>11</v>
      </c>
      <c r="K45" s="50">
        <f t="shared" si="25"/>
        <v>41</v>
      </c>
      <c r="L45" s="51">
        <f t="shared" si="31"/>
        <v>80</v>
      </c>
      <c r="M45" s="78"/>
      <c r="N45" s="51">
        <f t="shared" si="32"/>
        <v>2</v>
      </c>
      <c r="O45" s="51">
        <v>43</v>
      </c>
      <c r="P45" s="51">
        <v>23</v>
      </c>
      <c r="Q45" s="51">
        <f t="shared" si="33"/>
        <v>66</v>
      </c>
      <c r="R45" s="78"/>
      <c r="S45" s="51">
        <f t="shared" si="34"/>
        <v>1</v>
      </c>
      <c r="T45" s="51">
        <v>23</v>
      </c>
      <c r="U45" s="51">
        <v>10</v>
      </c>
      <c r="V45" s="51">
        <f t="shared" si="35"/>
        <v>33</v>
      </c>
      <c r="W45" s="78"/>
      <c r="X45" s="51">
        <f t="shared" si="36"/>
        <v>1</v>
      </c>
      <c r="Y45" s="51">
        <v>28</v>
      </c>
      <c r="Z45" s="51">
        <v>20</v>
      </c>
      <c r="AA45" s="51">
        <f t="shared" si="37"/>
        <v>48</v>
      </c>
      <c r="AB45" s="78"/>
      <c r="AC45" s="51">
        <f t="shared" si="38"/>
        <v>2</v>
      </c>
      <c r="AD45" s="51">
        <v>21</v>
      </c>
      <c r="AE45" s="51">
        <v>20</v>
      </c>
      <c r="AF45" s="51">
        <f t="shared" si="39"/>
        <v>41</v>
      </c>
      <c r="AG45" s="84"/>
      <c r="AH45" s="51">
        <f t="shared" si="40"/>
        <v>5</v>
      </c>
      <c r="AI45" s="51">
        <v>24</v>
      </c>
      <c r="AJ45" s="51">
        <v>19</v>
      </c>
      <c r="AK45" s="51">
        <f t="shared" si="41"/>
        <v>43</v>
      </c>
      <c r="AL45" s="78"/>
      <c r="AM45" s="51">
        <f t="shared" si="42"/>
        <v>2</v>
      </c>
      <c r="AN45" s="51">
        <v>6</v>
      </c>
      <c r="AO45" s="51">
        <v>6</v>
      </c>
      <c r="AP45" s="52">
        <v>24</v>
      </c>
      <c r="AQ45" s="51">
        <f t="shared" si="43"/>
        <v>36</v>
      </c>
      <c r="AR45" s="78"/>
      <c r="AS45" s="51" t="str">
        <f t="shared" si="44"/>
        <v>F</v>
      </c>
      <c r="AT45" s="51">
        <v>7</v>
      </c>
      <c r="AU45" s="51">
        <v>8</v>
      </c>
      <c r="AV45" s="51">
        <v>21</v>
      </c>
      <c r="AW45" s="51">
        <f t="shared" si="45"/>
        <v>36</v>
      </c>
      <c r="AX45" s="78"/>
      <c r="AY45" s="51" t="str">
        <f t="shared" si="46"/>
        <v>F</v>
      </c>
      <c r="AZ45" s="51">
        <v>20</v>
      </c>
      <c r="BA45" s="51">
        <v>10</v>
      </c>
      <c r="BB45" s="51">
        <v>23</v>
      </c>
      <c r="BC45" s="51">
        <f t="shared" si="47"/>
        <v>53</v>
      </c>
      <c r="BD45" s="78"/>
      <c r="BE45" s="51">
        <f t="shared" si="48"/>
        <v>3</v>
      </c>
      <c r="BF45" s="51">
        <v>18</v>
      </c>
      <c r="BG45" s="51">
        <v>12</v>
      </c>
      <c r="BH45" s="55">
        <v>24</v>
      </c>
      <c r="BI45" s="54">
        <f t="shared" si="18"/>
        <v>54</v>
      </c>
      <c r="BJ45" s="78"/>
      <c r="BK45" s="54">
        <f t="shared" si="49"/>
        <v>3</v>
      </c>
      <c r="BL45" s="54">
        <f t="shared" si="28"/>
        <v>3</v>
      </c>
      <c r="BM45" s="54" t="str">
        <f t="shared" si="29"/>
        <v>F</v>
      </c>
      <c r="BN45" s="40" t="str">
        <f t="shared" si="50"/>
        <v>F</v>
      </c>
      <c r="BO45" s="54" t="str">
        <f t="shared" si="27"/>
        <v>NEED TO PROGRESS</v>
      </c>
      <c r="BP45" s="54">
        <f t="shared" si="30"/>
        <v>490</v>
      </c>
      <c r="BQ45" s="37" t="s">
        <v>256</v>
      </c>
      <c r="BR45" s="4"/>
    </row>
    <row r="46" spans="1:70" ht="17.100000000000001" customHeight="1">
      <c r="A46" s="43">
        <v>63</v>
      </c>
      <c r="B46" s="44" t="s">
        <v>225</v>
      </c>
      <c r="C46" s="44" t="s">
        <v>226</v>
      </c>
      <c r="D46" s="44" t="s">
        <v>227</v>
      </c>
      <c r="E46" s="45" t="s">
        <v>228</v>
      </c>
      <c r="F46" s="51">
        <v>17</v>
      </c>
      <c r="G46" s="51">
        <v>17</v>
      </c>
      <c r="H46" s="50">
        <f t="shared" si="51"/>
        <v>34</v>
      </c>
      <c r="I46" s="51">
        <v>21</v>
      </c>
      <c r="J46" s="51">
        <v>12</v>
      </c>
      <c r="K46" s="50">
        <f t="shared" si="25"/>
        <v>33</v>
      </c>
      <c r="L46" s="51">
        <f t="shared" si="31"/>
        <v>67</v>
      </c>
      <c r="M46" s="78"/>
      <c r="N46" s="51" t="str">
        <f t="shared" si="32"/>
        <v>F</v>
      </c>
      <c r="O46" s="51">
        <v>35</v>
      </c>
      <c r="P46" s="51">
        <v>25</v>
      </c>
      <c r="Q46" s="51">
        <f t="shared" si="33"/>
        <v>60</v>
      </c>
      <c r="R46" s="78"/>
      <c r="S46" s="51" t="str">
        <f t="shared" si="34"/>
        <v>F</v>
      </c>
      <c r="T46" s="51">
        <v>17</v>
      </c>
      <c r="U46" s="51">
        <v>14</v>
      </c>
      <c r="V46" s="51">
        <f t="shared" si="35"/>
        <v>31</v>
      </c>
      <c r="W46" s="78"/>
      <c r="X46" s="51" t="str">
        <f t="shared" si="36"/>
        <v>F</v>
      </c>
      <c r="Y46" s="51">
        <v>25</v>
      </c>
      <c r="Z46" s="51">
        <v>19</v>
      </c>
      <c r="AA46" s="51">
        <f t="shared" si="37"/>
        <v>44</v>
      </c>
      <c r="AB46" s="78"/>
      <c r="AC46" s="51">
        <f t="shared" si="38"/>
        <v>2</v>
      </c>
      <c r="AD46" s="51">
        <v>23</v>
      </c>
      <c r="AE46" s="51">
        <v>20</v>
      </c>
      <c r="AF46" s="51">
        <f t="shared" si="39"/>
        <v>43</v>
      </c>
      <c r="AG46" s="84"/>
      <c r="AH46" s="51">
        <f t="shared" si="40"/>
        <v>5</v>
      </c>
      <c r="AI46" s="51">
        <v>23</v>
      </c>
      <c r="AJ46" s="51">
        <v>18</v>
      </c>
      <c r="AK46" s="51">
        <f t="shared" si="41"/>
        <v>41</v>
      </c>
      <c r="AL46" s="78"/>
      <c r="AM46" s="51">
        <f t="shared" si="42"/>
        <v>2</v>
      </c>
      <c r="AN46" s="51">
        <v>10</v>
      </c>
      <c r="AO46" s="51">
        <v>9</v>
      </c>
      <c r="AP46" s="52">
        <v>24</v>
      </c>
      <c r="AQ46" s="51">
        <f t="shared" si="43"/>
        <v>43</v>
      </c>
      <c r="AR46" s="78"/>
      <c r="AS46" s="51" t="str">
        <f t="shared" si="44"/>
        <v>F</v>
      </c>
      <c r="AT46" s="51">
        <v>2</v>
      </c>
      <c r="AU46" s="51">
        <v>4</v>
      </c>
      <c r="AV46" s="51">
        <v>24</v>
      </c>
      <c r="AW46" s="51">
        <f t="shared" si="45"/>
        <v>30</v>
      </c>
      <c r="AX46" s="78"/>
      <c r="AY46" s="51" t="str">
        <f t="shared" si="46"/>
        <v>F</v>
      </c>
      <c r="AZ46" s="51">
        <v>0</v>
      </c>
      <c r="BA46" s="51">
        <v>10</v>
      </c>
      <c r="BB46" s="51">
        <v>23</v>
      </c>
      <c r="BC46" s="51">
        <f t="shared" si="47"/>
        <v>33</v>
      </c>
      <c r="BD46" s="78"/>
      <c r="BE46" s="51" t="str">
        <f t="shared" si="48"/>
        <v>F</v>
      </c>
      <c r="BF46" s="51">
        <v>2</v>
      </c>
      <c r="BG46" s="51">
        <v>8</v>
      </c>
      <c r="BH46" s="55">
        <v>24</v>
      </c>
      <c r="BI46" s="54">
        <f t="shared" si="18"/>
        <v>34</v>
      </c>
      <c r="BJ46" s="78"/>
      <c r="BK46" s="54" t="str">
        <f t="shared" si="49"/>
        <v>0</v>
      </c>
      <c r="BL46" s="54" t="str">
        <f t="shared" si="28"/>
        <v>F</v>
      </c>
      <c r="BM46" s="54" t="str">
        <f t="shared" si="29"/>
        <v>F</v>
      </c>
      <c r="BN46" s="40" t="str">
        <f t="shared" si="50"/>
        <v>F</v>
      </c>
      <c r="BO46" s="54" t="str">
        <f t="shared" si="27"/>
        <v>NEED TO PROGRESS</v>
      </c>
      <c r="BP46" s="54">
        <f t="shared" si="30"/>
        <v>426</v>
      </c>
      <c r="BQ46" s="37" t="s">
        <v>255</v>
      </c>
      <c r="BR46" s="4"/>
    </row>
    <row r="47" spans="1:70" ht="17.100000000000001" customHeight="1">
      <c r="A47" s="43">
        <v>71</v>
      </c>
      <c r="B47" s="44" t="s">
        <v>229</v>
      </c>
      <c r="C47" s="44" t="s">
        <v>230</v>
      </c>
      <c r="D47" s="44" t="s">
        <v>231</v>
      </c>
      <c r="E47" s="45" t="s">
        <v>232</v>
      </c>
      <c r="F47" s="51">
        <v>25</v>
      </c>
      <c r="G47" s="51">
        <v>15</v>
      </c>
      <c r="H47" s="50">
        <f t="shared" si="51"/>
        <v>40</v>
      </c>
      <c r="I47" s="51">
        <v>27</v>
      </c>
      <c r="J47" s="51">
        <v>8</v>
      </c>
      <c r="K47" s="50">
        <f t="shared" si="25"/>
        <v>35</v>
      </c>
      <c r="L47" s="51">
        <f t="shared" si="31"/>
        <v>75</v>
      </c>
      <c r="M47" s="78"/>
      <c r="N47" s="51">
        <f t="shared" si="32"/>
        <v>1</v>
      </c>
      <c r="O47" s="51">
        <v>50</v>
      </c>
      <c r="P47" s="51">
        <v>20</v>
      </c>
      <c r="Q47" s="51">
        <f t="shared" si="33"/>
        <v>70</v>
      </c>
      <c r="R47" s="78"/>
      <c r="S47" s="51">
        <f t="shared" si="34"/>
        <v>1</v>
      </c>
      <c r="T47" s="51">
        <v>16</v>
      </c>
      <c r="U47" s="51">
        <v>14</v>
      </c>
      <c r="V47" s="51">
        <f t="shared" si="35"/>
        <v>30</v>
      </c>
      <c r="W47" s="78"/>
      <c r="X47" s="51" t="str">
        <f t="shared" si="36"/>
        <v>F</v>
      </c>
      <c r="Y47" s="51">
        <v>25</v>
      </c>
      <c r="Z47" s="51">
        <v>18</v>
      </c>
      <c r="AA47" s="51">
        <f t="shared" si="37"/>
        <v>43</v>
      </c>
      <c r="AB47" s="78"/>
      <c r="AC47" s="51">
        <f t="shared" si="38"/>
        <v>2</v>
      </c>
      <c r="AD47" s="51">
        <v>17</v>
      </c>
      <c r="AE47" s="51">
        <v>20</v>
      </c>
      <c r="AF47" s="51">
        <f t="shared" si="39"/>
        <v>37</v>
      </c>
      <c r="AG47" s="84"/>
      <c r="AH47" s="51">
        <f t="shared" si="40"/>
        <v>4</v>
      </c>
      <c r="AI47" s="51">
        <v>29</v>
      </c>
      <c r="AJ47" s="51">
        <v>19</v>
      </c>
      <c r="AK47" s="51">
        <f t="shared" si="41"/>
        <v>48</v>
      </c>
      <c r="AL47" s="78"/>
      <c r="AM47" s="51">
        <f t="shared" si="42"/>
        <v>2</v>
      </c>
      <c r="AN47" s="51">
        <v>7</v>
      </c>
      <c r="AO47" s="51">
        <v>12</v>
      </c>
      <c r="AP47" s="52">
        <v>24</v>
      </c>
      <c r="AQ47" s="51">
        <f t="shared" si="43"/>
        <v>43</v>
      </c>
      <c r="AR47" s="78"/>
      <c r="AS47" s="51" t="str">
        <f t="shared" si="44"/>
        <v>F</v>
      </c>
      <c r="AT47" s="51">
        <v>5</v>
      </c>
      <c r="AU47" s="51">
        <v>11</v>
      </c>
      <c r="AV47" s="51">
        <v>24</v>
      </c>
      <c r="AW47" s="51">
        <f t="shared" si="45"/>
        <v>40</v>
      </c>
      <c r="AX47" s="78"/>
      <c r="AY47" s="51" t="str">
        <f t="shared" si="46"/>
        <v>F</v>
      </c>
      <c r="AZ47" s="51">
        <v>20</v>
      </c>
      <c r="BA47" s="51">
        <v>10</v>
      </c>
      <c r="BB47" s="51">
        <v>23</v>
      </c>
      <c r="BC47" s="51">
        <f t="shared" si="47"/>
        <v>53</v>
      </c>
      <c r="BD47" s="78"/>
      <c r="BE47" s="51">
        <f t="shared" si="48"/>
        <v>3</v>
      </c>
      <c r="BF47" s="51">
        <v>2</v>
      </c>
      <c r="BG47" s="51">
        <v>8</v>
      </c>
      <c r="BH47" s="55">
        <v>24</v>
      </c>
      <c r="BI47" s="54">
        <f t="shared" si="18"/>
        <v>34</v>
      </c>
      <c r="BJ47" s="78"/>
      <c r="BK47" s="54" t="str">
        <f t="shared" si="49"/>
        <v>0</v>
      </c>
      <c r="BL47" s="54" t="str">
        <f t="shared" si="28"/>
        <v>F</v>
      </c>
      <c r="BM47" s="54" t="str">
        <f t="shared" si="29"/>
        <v>F</v>
      </c>
      <c r="BN47" s="40" t="str">
        <f t="shared" si="50"/>
        <v>F</v>
      </c>
      <c r="BO47" s="54" t="str">
        <f t="shared" si="27"/>
        <v>NEED TO PROGRESS</v>
      </c>
      <c r="BP47" s="54">
        <f t="shared" si="30"/>
        <v>473</v>
      </c>
      <c r="BQ47" s="37" t="s">
        <v>252</v>
      </c>
      <c r="BR47" s="4"/>
    </row>
    <row r="48" spans="1:70" ht="17.100000000000001" customHeight="1">
      <c r="A48" s="43">
        <v>77</v>
      </c>
      <c r="B48" s="44" t="s">
        <v>233</v>
      </c>
      <c r="C48" s="44" t="s">
        <v>234</v>
      </c>
      <c r="D48" s="44" t="s">
        <v>235</v>
      </c>
      <c r="E48" s="45" t="s">
        <v>236</v>
      </c>
      <c r="F48" s="51">
        <v>26</v>
      </c>
      <c r="G48" s="51">
        <v>11</v>
      </c>
      <c r="H48" s="50">
        <f t="shared" si="51"/>
        <v>37</v>
      </c>
      <c r="I48" s="51">
        <v>23</v>
      </c>
      <c r="J48" s="51">
        <v>10</v>
      </c>
      <c r="K48" s="50">
        <f t="shared" si="25"/>
        <v>33</v>
      </c>
      <c r="L48" s="51">
        <f t="shared" si="31"/>
        <v>70</v>
      </c>
      <c r="M48" s="78"/>
      <c r="N48" s="51">
        <f t="shared" si="32"/>
        <v>1</v>
      </c>
      <c r="O48" s="51">
        <v>35</v>
      </c>
      <c r="P48" s="51">
        <v>16</v>
      </c>
      <c r="Q48" s="51">
        <f t="shared" si="33"/>
        <v>51</v>
      </c>
      <c r="R48" s="78"/>
      <c r="S48" s="51" t="str">
        <f t="shared" si="34"/>
        <v>F</v>
      </c>
      <c r="T48" s="51">
        <v>18</v>
      </c>
      <c r="U48" s="51">
        <v>8</v>
      </c>
      <c r="V48" s="51">
        <f t="shared" si="35"/>
        <v>26</v>
      </c>
      <c r="W48" s="78"/>
      <c r="X48" s="51" t="str">
        <f t="shared" si="36"/>
        <v>F</v>
      </c>
      <c r="Y48" s="51">
        <v>28</v>
      </c>
      <c r="Z48" s="51">
        <v>17</v>
      </c>
      <c r="AA48" s="51">
        <f t="shared" si="37"/>
        <v>45</v>
      </c>
      <c r="AB48" s="78"/>
      <c r="AC48" s="51">
        <f t="shared" si="38"/>
        <v>2</v>
      </c>
      <c r="AD48" s="51">
        <v>18</v>
      </c>
      <c r="AE48" s="51">
        <v>20</v>
      </c>
      <c r="AF48" s="51">
        <f t="shared" si="39"/>
        <v>38</v>
      </c>
      <c r="AG48" s="84"/>
      <c r="AH48" s="51">
        <f t="shared" si="40"/>
        <v>4</v>
      </c>
      <c r="AI48" s="51">
        <v>23</v>
      </c>
      <c r="AJ48" s="51">
        <v>21</v>
      </c>
      <c r="AK48" s="51">
        <f t="shared" si="41"/>
        <v>44</v>
      </c>
      <c r="AL48" s="78"/>
      <c r="AM48" s="51">
        <f t="shared" si="42"/>
        <v>2</v>
      </c>
      <c r="AN48" s="51">
        <v>0</v>
      </c>
      <c r="AO48" s="51">
        <v>10</v>
      </c>
      <c r="AP48" s="52">
        <v>24</v>
      </c>
      <c r="AQ48" s="51">
        <f t="shared" si="43"/>
        <v>34</v>
      </c>
      <c r="AR48" s="78"/>
      <c r="AS48" s="51" t="str">
        <f t="shared" si="44"/>
        <v>F</v>
      </c>
      <c r="AT48" s="51">
        <v>0</v>
      </c>
      <c r="AU48" s="51">
        <v>9</v>
      </c>
      <c r="AV48" s="53">
        <v>24</v>
      </c>
      <c r="AW48" s="53">
        <f t="shared" si="45"/>
        <v>33</v>
      </c>
      <c r="AX48" s="78"/>
      <c r="AY48" s="51" t="str">
        <f t="shared" si="46"/>
        <v>F</v>
      </c>
      <c r="AZ48" s="51">
        <v>4</v>
      </c>
      <c r="BA48" s="51">
        <v>10</v>
      </c>
      <c r="BB48" s="51">
        <v>23</v>
      </c>
      <c r="BC48" s="51">
        <f t="shared" si="47"/>
        <v>37</v>
      </c>
      <c r="BD48" s="78"/>
      <c r="BE48" s="54" t="str">
        <f t="shared" si="48"/>
        <v>F</v>
      </c>
      <c r="BF48" s="51">
        <v>20</v>
      </c>
      <c r="BG48" s="51">
        <v>15</v>
      </c>
      <c r="BH48" s="55">
        <v>24</v>
      </c>
      <c r="BI48" s="54">
        <f t="shared" si="18"/>
        <v>59</v>
      </c>
      <c r="BJ48" s="78"/>
      <c r="BK48" s="54">
        <f t="shared" si="49"/>
        <v>3</v>
      </c>
      <c r="BL48" s="54">
        <f t="shared" si="28"/>
        <v>3</v>
      </c>
      <c r="BM48" s="54" t="str">
        <f t="shared" si="29"/>
        <v>F</v>
      </c>
      <c r="BN48" s="40" t="str">
        <f t="shared" si="50"/>
        <v>F</v>
      </c>
      <c r="BO48" s="54" t="str">
        <f t="shared" si="27"/>
        <v>NEED TO PROGRESS</v>
      </c>
      <c r="BP48" s="54">
        <f t="shared" si="30"/>
        <v>437</v>
      </c>
      <c r="BQ48" s="37" t="s">
        <v>254</v>
      </c>
      <c r="BR48" s="4"/>
    </row>
    <row r="49" spans="1:70" ht="17.100000000000001" customHeight="1">
      <c r="A49" s="46">
        <v>79</v>
      </c>
      <c r="B49" s="47" t="s">
        <v>237</v>
      </c>
      <c r="C49" s="47" t="s">
        <v>238</v>
      </c>
      <c r="D49" s="47" t="s">
        <v>239</v>
      </c>
      <c r="E49" s="48" t="s">
        <v>240</v>
      </c>
      <c r="F49" s="51">
        <v>7</v>
      </c>
      <c r="G49" s="51">
        <v>16</v>
      </c>
      <c r="H49" s="50">
        <f t="shared" si="51"/>
        <v>23</v>
      </c>
      <c r="I49" s="51">
        <v>28</v>
      </c>
      <c r="J49" s="51">
        <v>7</v>
      </c>
      <c r="K49" s="50">
        <f t="shared" si="25"/>
        <v>35</v>
      </c>
      <c r="L49" s="51">
        <f t="shared" si="31"/>
        <v>58</v>
      </c>
      <c r="M49" s="78"/>
      <c r="N49" s="51" t="str">
        <f t="shared" si="32"/>
        <v>F</v>
      </c>
      <c r="O49" s="51">
        <v>25</v>
      </c>
      <c r="P49" s="51">
        <v>19</v>
      </c>
      <c r="Q49" s="51">
        <f t="shared" si="33"/>
        <v>44</v>
      </c>
      <c r="R49" s="78"/>
      <c r="S49" s="51" t="str">
        <f t="shared" si="34"/>
        <v>F</v>
      </c>
      <c r="T49" s="51">
        <v>0</v>
      </c>
      <c r="U49" s="51">
        <v>8</v>
      </c>
      <c r="V49" s="51">
        <f t="shared" si="35"/>
        <v>8</v>
      </c>
      <c r="W49" s="78"/>
      <c r="X49" s="51" t="str">
        <f t="shared" si="36"/>
        <v>F</v>
      </c>
      <c r="Y49" s="51">
        <v>13</v>
      </c>
      <c r="Z49" s="51">
        <v>17</v>
      </c>
      <c r="AA49" s="51">
        <f t="shared" si="37"/>
        <v>30</v>
      </c>
      <c r="AB49" s="78"/>
      <c r="AC49" s="51" t="str">
        <f t="shared" si="38"/>
        <v>F</v>
      </c>
      <c r="AD49" s="51">
        <v>0</v>
      </c>
      <c r="AE49" s="51">
        <v>20</v>
      </c>
      <c r="AF49" s="51">
        <f t="shared" si="39"/>
        <v>20</v>
      </c>
      <c r="AG49" s="84"/>
      <c r="AH49" s="51" t="str">
        <f t="shared" si="40"/>
        <v>F</v>
      </c>
      <c r="AI49" s="51">
        <v>23</v>
      </c>
      <c r="AJ49" s="51">
        <v>20</v>
      </c>
      <c r="AK49" s="51">
        <f t="shared" si="41"/>
        <v>43</v>
      </c>
      <c r="AL49" s="78"/>
      <c r="AM49" s="51">
        <f t="shared" si="42"/>
        <v>2</v>
      </c>
      <c r="AN49" s="51">
        <v>0</v>
      </c>
      <c r="AO49" s="51">
        <v>11</v>
      </c>
      <c r="AP49" s="52">
        <v>24</v>
      </c>
      <c r="AQ49" s="51">
        <f t="shared" si="43"/>
        <v>35</v>
      </c>
      <c r="AR49" s="78"/>
      <c r="AS49" s="51" t="str">
        <f t="shared" si="44"/>
        <v>F</v>
      </c>
      <c r="AT49" s="51">
        <v>0</v>
      </c>
      <c r="AU49" s="51">
        <v>0</v>
      </c>
      <c r="AV49" s="53">
        <v>24</v>
      </c>
      <c r="AW49" s="53">
        <f t="shared" si="45"/>
        <v>24</v>
      </c>
      <c r="AX49" s="78"/>
      <c r="AY49" s="51" t="str">
        <f t="shared" si="46"/>
        <v>F</v>
      </c>
      <c r="AZ49" s="51">
        <v>1</v>
      </c>
      <c r="BA49" s="51">
        <v>10</v>
      </c>
      <c r="BB49" s="51">
        <v>23</v>
      </c>
      <c r="BC49" s="51">
        <f t="shared" si="47"/>
        <v>34</v>
      </c>
      <c r="BD49" s="78"/>
      <c r="BE49" s="54" t="str">
        <f t="shared" si="48"/>
        <v>F</v>
      </c>
      <c r="BF49" s="51">
        <v>0</v>
      </c>
      <c r="BG49" s="51">
        <v>0</v>
      </c>
      <c r="BH49" s="55">
        <v>24</v>
      </c>
      <c r="BI49" s="54">
        <f t="shared" si="18"/>
        <v>24</v>
      </c>
      <c r="BJ49" s="78"/>
      <c r="BK49" s="54" t="str">
        <f t="shared" si="49"/>
        <v>0</v>
      </c>
      <c r="BL49" s="54" t="str">
        <f t="shared" si="28"/>
        <v>F</v>
      </c>
      <c r="BM49" s="54" t="str">
        <f t="shared" si="29"/>
        <v>F</v>
      </c>
      <c r="BN49" s="40" t="str">
        <f t="shared" si="50"/>
        <v>F</v>
      </c>
      <c r="BO49" s="54" t="str">
        <f t="shared" si="27"/>
        <v>NEED TO PROGRESS</v>
      </c>
      <c r="BP49" s="54">
        <f t="shared" si="30"/>
        <v>320</v>
      </c>
      <c r="BQ49" s="37" t="s">
        <v>253</v>
      </c>
      <c r="BR49" s="4"/>
    </row>
    <row r="50" spans="1:70" ht="17.100000000000001" customHeight="1">
      <c r="A50" s="48">
        <v>81</v>
      </c>
      <c r="B50" s="49" t="s">
        <v>241</v>
      </c>
      <c r="C50" s="49" t="s">
        <v>242</v>
      </c>
      <c r="D50" s="49" t="s">
        <v>243</v>
      </c>
      <c r="E50" s="48" t="s">
        <v>244</v>
      </c>
      <c r="F50" s="51">
        <v>34</v>
      </c>
      <c r="G50" s="51">
        <v>18</v>
      </c>
      <c r="H50" s="50">
        <f t="shared" si="51"/>
        <v>52</v>
      </c>
      <c r="I50" s="51">
        <v>36</v>
      </c>
      <c r="J50" s="51">
        <v>11</v>
      </c>
      <c r="K50" s="50">
        <f t="shared" si="25"/>
        <v>47</v>
      </c>
      <c r="L50" s="51">
        <f t="shared" si="31"/>
        <v>99</v>
      </c>
      <c r="M50" s="78"/>
      <c r="N50" s="51">
        <f t="shared" si="32"/>
        <v>2</v>
      </c>
      <c r="O50" s="51">
        <v>55</v>
      </c>
      <c r="P50" s="51">
        <v>35</v>
      </c>
      <c r="Q50" s="51">
        <f t="shared" si="33"/>
        <v>90</v>
      </c>
      <c r="R50" s="78"/>
      <c r="S50" s="51">
        <f t="shared" si="34"/>
        <v>2</v>
      </c>
      <c r="T50" s="51">
        <v>27</v>
      </c>
      <c r="U50" s="51">
        <v>10</v>
      </c>
      <c r="V50" s="51">
        <f t="shared" si="35"/>
        <v>37</v>
      </c>
      <c r="W50" s="78"/>
      <c r="X50" s="51">
        <f t="shared" si="36"/>
        <v>1</v>
      </c>
      <c r="Y50" s="51">
        <v>50</v>
      </c>
      <c r="Z50" s="51">
        <v>22</v>
      </c>
      <c r="AA50" s="51">
        <f t="shared" si="37"/>
        <v>72</v>
      </c>
      <c r="AB50" s="78"/>
      <c r="AC50" s="51">
        <f t="shared" si="38"/>
        <v>4</v>
      </c>
      <c r="AD50" s="51">
        <v>15</v>
      </c>
      <c r="AE50" s="51">
        <v>20</v>
      </c>
      <c r="AF50" s="51">
        <f t="shared" si="39"/>
        <v>35</v>
      </c>
      <c r="AG50" s="84"/>
      <c r="AH50" s="51">
        <f t="shared" si="40"/>
        <v>4</v>
      </c>
      <c r="AI50" s="51">
        <v>47</v>
      </c>
      <c r="AJ50" s="51">
        <v>24</v>
      </c>
      <c r="AK50" s="51">
        <f t="shared" si="41"/>
        <v>71</v>
      </c>
      <c r="AL50" s="78"/>
      <c r="AM50" s="51">
        <f t="shared" si="42"/>
        <v>4</v>
      </c>
      <c r="AN50" s="51">
        <v>33</v>
      </c>
      <c r="AO50" s="51">
        <v>10</v>
      </c>
      <c r="AP50" s="52">
        <v>24</v>
      </c>
      <c r="AQ50" s="51">
        <f t="shared" si="43"/>
        <v>67</v>
      </c>
      <c r="AR50" s="78"/>
      <c r="AS50" s="51">
        <f t="shared" si="44"/>
        <v>3.5</v>
      </c>
      <c r="AT50" s="51">
        <v>20</v>
      </c>
      <c r="AU50" s="51">
        <v>13</v>
      </c>
      <c r="AV50" s="53">
        <v>24</v>
      </c>
      <c r="AW50" s="53">
        <f t="shared" si="45"/>
        <v>57</v>
      </c>
      <c r="AX50" s="78"/>
      <c r="AY50" s="51">
        <f t="shared" si="46"/>
        <v>3</v>
      </c>
      <c r="AZ50" s="51">
        <v>32</v>
      </c>
      <c r="BA50" s="51">
        <v>17</v>
      </c>
      <c r="BB50" s="51">
        <v>23</v>
      </c>
      <c r="BC50" s="51">
        <f t="shared" si="47"/>
        <v>72</v>
      </c>
      <c r="BD50" s="78"/>
      <c r="BE50" s="54">
        <f t="shared" si="48"/>
        <v>4</v>
      </c>
      <c r="BF50" s="51">
        <v>37</v>
      </c>
      <c r="BG50" s="51">
        <v>15</v>
      </c>
      <c r="BH50" s="55">
        <v>24</v>
      </c>
      <c r="BI50" s="54">
        <f t="shared" si="18"/>
        <v>76</v>
      </c>
      <c r="BJ50" s="78"/>
      <c r="BK50" s="54">
        <f t="shared" si="49"/>
        <v>4</v>
      </c>
      <c r="BL50" s="54">
        <f t="shared" si="28"/>
        <v>4</v>
      </c>
      <c r="BM50" s="54">
        <f t="shared" si="29"/>
        <v>29.5</v>
      </c>
      <c r="BN50" s="40">
        <f t="shared" si="50"/>
        <v>3.2777777777777777</v>
      </c>
      <c r="BO50" s="54" t="str">
        <f t="shared" si="27"/>
        <v>GOOD</v>
      </c>
      <c r="BP50" s="54">
        <f t="shared" si="30"/>
        <v>676</v>
      </c>
      <c r="BQ50" s="37">
        <v>20</v>
      </c>
      <c r="BR50" s="4"/>
    </row>
    <row r="51" spans="1:70" ht="17.100000000000001" customHeight="1">
      <c r="A51" s="48">
        <v>85</v>
      </c>
      <c r="B51" s="47" t="s">
        <v>245</v>
      </c>
      <c r="C51" s="49" t="s">
        <v>246</v>
      </c>
      <c r="D51" s="47" t="s">
        <v>247</v>
      </c>
      <c r="E51" s="48" t="s">
        <v>248</v>
      </c>
      <c r="F51" s="51">
        <v>26</v>
      </c>
      <c r="G51" s="51">
        <v>15</v>
      </c>
      <c r="H51" s="50">
        <f t="shared" si="51"/>
        <v>41</v>
      </c>
      <c r="I51" s="51">
        <v>43</v>
      </c>
      <c r="J51" s="51">
        <v>14</v>
      </c>
      <c r="K51" s="50">
        <f t="shared" si="25"/>
        <v>57</v>
      </c>
      <c r="L51" s="51">
        <f t="shared" si="31"/>
        <v>98</v>
      </c>
      <c r="M51" s="78"/>
      <c r="N51" s="51">
        <f t="shared" si="32"/>
        <v>2</v>
      </c>
      <c r="O51" s="51">
        <v>55</v>
      </c>
      <c r="P51" s="51">
        <v>36</v>
      </c>
      <c r="Q51" s="51">
        <f t="shared" si="33"/>
        <v>91</v>
      </c>
      <c r="R51" s="78"/>
      <c r="S51" s="51">
        <f t="shared" si="34"/>
        <v>2</v>
      </c>
      <c r="T51" s="51">
        <v>26</v>
      </c>
      <c r="U51" s="51">
        <v>15</v>
      </c>
      <c r="V51" s="51">
        <f t="shared" si="35"/>
        <v>41</v>
      </c>
      <c r="W51" s="78"/>
      <c r="X51" s="51">
        <f t="shared" si="36"/>
        <v>2</v>
      </c>
      <c r="Y51" s="51">
        <v>48</v>
      </c>
      <c r="Z51" s="51">
        <v>15</v>
      </c>
      <c r="AA51" s="51">
        <f t="shared" si="37"/>
        <v>63</v>
      </c>
      <c r="AB51" s="78"/>
      <c r="AC51" s="51">
        <f t="shared" si="38"/>
        <v>3.5</v>
      </c>
      <c r="AD51" s="51">
        <v>21</v>
      </c>
      <c r="AE51" s="51">
        <v>21</v>
      </c>
      <c r="AF51" s="51">
        <f t="shared" si="39"/>
        <v>42</v>
      </c>
      <c r="AG51" s="84"/>
      <c r="AH51" s="51">
        <f t="shared" si="40"/>
        <v>5</v>
      </c>
      <c r="AI51" s="51">
        <v>43</v>
      </c>
      <c r="AJ51" s="51">
        <v>16</v>
      </c>
      <c r="AK51" s="51">
        <f t="shared" si="41"/>
        <v>59</v>
      </c>
      <c r="AL51" s="78"/>
      <c r="AM51" s="51">
        <f t="shared" si="42"/>
        <v>3</v>
      </c>
      <c r="AN51" s="51">
        <v>17</v>
      </c>
      <c r="AO51" s="51">
        <v>13</v>
      </c>
      <c r="AP51" s="52">
        <v>24</v>
      </c>
      <c r="AQ51" s="51">
        <f t="shared" si="43"/>
        <v>54</v>
      </c>
      <c r="AR51" s="78"/>
      <c r="AS51" s="51">
        <f t="shared" si="44"/>
        <v>3</v>
      </c>
      <c r="AT51" s="51">
        <v>17</v>
      </c>
      <c r="AU51" s="51">
        <v>10</v>
      </c>
      <c r="AV51" s="53">
        <v>24</v>
      </c>
      <c r="AW51" s="53">
        <f t="shared" si="45"/>
        <v>51</v>
      </c>
      <c r="AX51" s="78"/>
      <c r="AY51" s="51">
        <f t="shared" si="46"/>
        <v>3</v>
      </c>
      <c r="AZ51" s="51">
        <v>25</v>
      </c>
      <c r="BA51" s="51">
        <v>12</v>
      </c>
      <c r="BB51" s="51">
        <v>23</v>
      </c>
      <c r="BC51" s="51">
        <f t="shared" si="47"/>
        <v>60</v>
      </c>
      <c r="BD51" s="78"/>
      <c r="BE51" s="54">
        <f t="shared" si="48"/>
        <v>3.5</v>
      </c>
      <c r="BF51" s="51">
        <v>17</v>
      </c>
      <c r="BG51" s="51">
        <v>8</v>
      </c>
      <c r="BH51" s="55">
        <v>24</v>
      </c>
      <c r="BI51" s="54">
        <f t="shared" si="18"/>
        <v>49</v>
      </c>
      <c r="BJ51" s="78"/>
      <c r="BK51" s="54">
        <f t="shared" si="49"/>
        <v>2</v>
      </c>
      <c r="BL51" s="54">
        <f t="shared" si="28"/>
        <v>2</v>
      </c>
      <c r="BM51" s="54">
        <f t="shared" si="29"/>
        <v>27</v>
      </c>
      <c r="BN51" s="40">
        <f t="shared" si="50"/>
        <v>3</v>
      </c>
      <c r="BO51" s="54" t="str">
        <f t="shared" si="27"/>
        <v>GOOD</v>
      </c>
      <c r="BP51" s="54">
        <f t="shared" si="30"/>
        <v>608</v>
      </c>
      <c r="BQ51" s="37">
        <v>27</v>
      </c>
      <c r="BR51" s="4"/>
    </row>
    <row r="52" spans="1:70" ht="17.100000000000001" customHeight="1">
      <c r="A52" s="48">
        <v>87</v>
      </c>
      <c r="B52" s="47" t="s">
        <v>222</v>
      </c>
      <c r="C52" s="49"/>
      <c r="D52" s="47"/>
      <c r="E52" s="48"/>
      <c r="F52" s="51">
        <v>24</v>
      </c>
      <c r="G52" s="51">
        <v>12</v>
      </c>
      <c r="H52" s="50">
        <f t="shared" si="51"/>
        <v>36</v>
      </c>
      <c r="I52" s="51">
        <v>30</v>
      </c>
      <c r="J52" s="51">
        <v>10</v>
      </c>
      <c r="K52" s="50">
        <f t="shared" si="25"/>
        <v>40</v>
      </c>
      <c r="L52" s="51">
        <f t="shared" si="31"/>
        <v>76</v>
      </c>
      <c r="M52" s="78"/>
      <c r="N52" s="51">
        <f t="shared" si="32"/>
        <v>1</v>
      </c>
      <c r="O52" s="51">
        <v>33</v>
      </c>
      <c r="P52" s="51">
        <v>27</v>
      </c>
      <c r="Q52" s="51">
        <f t="shared" si="33"/>
        <v>60</v>
      </c>
      <c r="R52" s="78"/>
      <c r="S52" s="51" t="str">
        <f t="shared" si="34"/>
        <v>F</v>
      </c>
      <c r="T52" s="51">
        <v>11</v>
      </c>
      <c r="U52" s="51">
        <v>8</v>
      </c>
      <c r="V52" s="51">
        <f t="shared" si="35"/>
        <v>19</v>
      </c>
      <c r="W52" s="78"/>
      <c r="X52" s="51" t="str">
        <f t="shared" si="36"/>
        <v>F</v>
      </c>
      <c r="Y52" s="51">
        <v>33</v>
      </c>
      <c r="Z52" s="51">
        <v>17</v>
      </c>
      <c r="AA52" s="51">
        <f t="shared" si="37"/>
        <v>50</v>
      </c>
      <c r="AB52" s="78"/>
      <c r="AC52" s="51">
        <f t="shared" si="38"/>
        <v>3</v>
      </c>
      <c r="AD52" s="51">
        <v>17</v>
      </c>
      <c r="AE52" s="51">
        <v>20</v>
      </c>
      <c r="AF52" s="51">
        <f t="shared" si="39"/>
        <v>37</v>
      </c>
      <c r="AG52" s="84"/>
      <c r="AH52" s="51">
        <f t="shared" si="40"/>
        <v>4</v>
      </c>
      <c r="AI52" s="51">
        <v>27</v>
      </c>
      <c r="AJ52" s="51">
        <v>12</v>
      </c>
      <c r="AK52" s="51">
        <f t="shared" si="41"/>
        <v>39</v>
      </c>
      <c r="AL52" s="78"/>
      <c r="AM52" s="51">
        <f t="shared" si="42"/>
        <v>1</v>
      </c>
      <c r="AN52" s="51">
        <v>20</v>
      </c>
      <c r="AO52" s="51">
        <v>10</v>
      </c>
      <c r="AP52" s="52">
        <v>24</v>
      </c>
      <c r="AQ52" s="51">
        <f t="shared" si="43"/>
        <v>54</v>
      </c>
      <c r="AR52" s="78"/>
      <c r="AS52" s="51">
        <f t="shared" si="44"/>
        <v>3</v>
      </c>
      <c r="AT52" s="51">
        <v>2</v>
      </c>
      <c r="AU52" s="51">
        <v>10</v>
      </c>
      <c r="AV52" s="53">
        <v>24</v>
      </c>
      <c r="AW52" s="51">
        <f t="shared" si="45"/>
        <v>36</v>
      </c>
      <c r="AX52" s="78"/>
      <c r="AY52" s="51" t="str">
        <f t="shared" si="46"/>
        <v>F</v>
      </c>
      <c r="AZ52" s="51">
        <v>26</v>
      </c>
      <c r="BA52" s="51">
        <v>11</v>
      </c>
      <c r="BB52" s="51">
        <v>23</v>
      </c>
      <c r="BC52" s="51">
        <f t="shared" si="47"/>
        <v>60</v>
      </c>
      <c r="BD52" s="78"/>
      <c r="BE52" s="54">
        <f t="shared" si="48"/>
        <v>3.5</v>
      </c>
      <c r="BF52" s="51">
        <v>27</v>
      </c>
      <c r="BG52" s="51">
        <v>16</v>
      </c>
      <c r="BH52" s="55">
        <v>24</v>
      </c>
      <c r="BI52" s="54">
        <f t="shared" si="18"/>
        <v>67</v>
      </c>
      <c r="BJ52" s="78"/>
      <c r="BK52" s="54">
        <f t="shared" si="49"/>
        <v>3.5</v>
      </c>
      <c r="BL52" s="54">
        <f t="shared" si="28"/>
        <v>3.5</v>
      </c>
      <c r="BM52" s="54" t="str">
        <f t="shared" si="29"/>
        <v>F</v>
      </c>
      <c r="BN52" s="40" t="str">
        <f t="shared" si="50"/>
        <v>F</v>
      </c>
      <c r="BO52" s="54" t="str">
        <f t="shared" si="27"/>
        <v>NEED TO PROGRESS</v>
      </c>
      <c r="BP52" s="54">
        <f t="shared" si="30"/>
        <v>498</v>
      </c>
      <c r="BQ52" s="37" t="s">
        <v>252</v>
      </c>
      <c r="BR52" s="4"/>
    </row>
    <row r="53" spans="1:70" ht="17.100000000000001" customHeight="1">
      <c r="A53" s="48">
        <v>88</v>
      </c>
      <c r="B53" s="47" t="s">
        <v>249</v>
      </c>
      <c r="C53" s="49"/>
      <c r="D53" s="47"/>
      <c r="E53" s="48"/>
      <c r="F53" s="51">
        <v>32</v>
      </c>
      <c r="G53" s="51">
        <v>18</v>
      </c>
      <c r="H53" s="50">
        <f t="shared" si="51"/>
        <v>50</v>
      </c>
      <c r="I53" s="51">
        <v>37</v>
      </c>
      <c r="J53" s="51">
        <v>13</v>
      </c>
      <c r="K53" s="50">
        <f t="shared" si="25"/>
        <v>50</v>
      </c>
      <c r="L53" s="51">
        <f t="shared" si="31"/>
        <v>100</v>
      </c>
      <c r="M53" s="79"/>
      <c r="N53" s="51">
        <f t="shared" si="32"/>
        <v>3</v>
      </c>
      <c r="O53" s="51">
        <v>47</v>
      </c>
      <c r="P53" s="51">
        <v>28</v>
      </c>
      <c r="Q53" s="51">
        <f t="shared" si="33"/>
        <v>75</v>
      </c>
      <c r="R53" s="79"/>
      <c r="S53" s="51">
        <f t="shared" si="34"/>
        <v>1</v>
      </c>
      <c r="T53" s="51">
        <v>15</v>
      </c>
      <c r="U53" s="51">
        <v>9</v>
      </c>
      <c r="V53" s="51">
        <f t="shared" si="35"/>
        <v>24</v>
      </c>
      <c r="W53" s="79"/>
      <c r="X53" s="51" t="str">
        <f t="shared" si="36"/>
        <v>F</v>
      </c>
      <c r="Y53" s="51">
        <v>33</v>
      </c>
      <c r="Z53" s="51">
        <v>16</v>
      </c>
      <c r="AA53" s="51">
        <f t="shared" si="37"/>
        <v>49</v>
      </c>
      <c r="AB53" s="79"/>
      <c r="AC53" s="51">
        <f t="shared" si="38"/>
        <v>2</v>
      </c>
      <c r="AD53" s="51">
        <v>14</v>
      </c>
      <c r="AE53" s="51">
        <v>20</v>
      </c>
      <c r="AF53" s="51">
        <f t="shared" si="39"/>
        <v>34</v>
      </c>
      <c r="AG53" s="84"/>
      <c r="AH53" s="51">
        <f t="shared" si="40"/>
        <v>3.5</v>
      </c>
      <c r="AI53" s="51">
        <v>36</v>
      </c>
      <c r="AJ53" s="51">
        <v>17</v>
      </c>
      <c r="AK53" s="51">
        <f t="shared" si="41"/>
        <v>53</v>
      </c>
      <c r="AL53" s="79"/>
      <c r="AM53" s="51">
        <f t="shared" si="42"/>
        <v>3</v>
      </c>
      <c r="AN53" s="51">
        <v>6</v>
      </c>
      <c r="AO53" s="51">
        <v>11</v>
      </c>
      <c r="AP53" s="52">
        <v>24</v>
      </c>
      <c r="AQ53" s="51">
        <f t="shared" si="43"/>
        <v>41</v>
      </c>
      <c r="AR53" s="79"/>
      <c r="AS53" s="51" t="str">
        <f t="shared" si="44"/>
        <v>F</v>
      </c>
      <c r="AT53" s="51">
        <v>7</v>
      </c>
      <c r="AU53" s="51">
        <v>12</v>
      </c>
      <c r="AV53" s="51">
        <v>22</v>
      </c>
      <c r="AW53" s="51">
        <f t="shared" si="45"/>
        <v>41</v>
      </c>
      <c r="AX53" s="79"/>
      <c r="AY53" s="51" t="str">
        <f t="shared" si="46"/>
        <v>F</v>
      </c>
      <c r="AZ53" s="51">
        <v>20</v>
      </c>
      <c r="BA53" s="51">
        <v>13</v>
      </c>
      <c r="BB53" s="51">
        <v>23</v>
      </c>
      <c r="BC53" s="51">
        <f t="shared" si="47"/>
        <v>56</v>
      </c>
      <c r="BD53" s="79"/>
      <c r="BE53" s="54">
        <f t="shared" si="48"/>
        <v>3</v>
      </c>
      <c r="BF53" s="51">
        <v>9</v>
      </c>
      <c r="BG53" s="51">
        <v>8</v>
      </c>
      <c r="BH53" s="55">
        <v>24</v>
      </c>
      <c r="BI53" s="54">
        <f t="shared" si="18"/>
        <v>41</v>
      </c>
      <c r="BJ53" s="79"/>
      <c r="BK53" s="54" t="str">
        <f t="shared" si="49"/>
        <v>0</v>
      </c>
      <c r="BL53" s="54" t="str">
        <f t="shared" si="28"/>
        <v>F</v>
      </c>
      <c r="BM53" s="54" t="str">
        <f t="shared" si="29"/>
        <v>F</v>
      </c>
      <c r="BN53" s="40" t="str">
        <f t="shared" si="50"/>
        <v>F</v>
      </c>
      <c r="BO53" s="54" t="str">
        <f t="shared" si="27"/>
        <v>NEED TO PROGRESS</v>
      </c>
      <c r="BP53" s="54">
        <f t="shared" si="30"/>
        <v>514</v>
      </c>
      <c r="BQ53" s="37" t="s">
        <v>252</v>
      </c>
      <c r="BR53" s="4"/>
    </row>
    <row r="54" spans="1:70">
      <c r="A54" s="13"/>
      <c r="B54" s="14"/>
      <c r="C54" s="14"/>
      <c r="D54" s="14"/>
      <c r="E54" s="13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6"/>
      <c r="BO54" s="17"/>
      <c r="BP54" s="17"/>
      <c r="BQ54" s="18"/>
      <c r="BR54" s="17"/>
    </row>
    <row r="55" spans="1:70">
      <c r="A55" s="13"/>
      <c r="B55" s="14"/>
      <c r="C55" s="14"/>
      <c r="D55" s="14"/>
      <c r="E55" s="13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6"/>
      <c r="BO55" s="17"/>
      <c r="BP55" s="17"/>
      <c r="BQ55" s="18"/>
      <c r="BR55" s="17"/>
    </row>
    <row r="56" spans="1:70">
      <c r="A56" s="38">
        <v>0</v>
      </c>
      <c r="B56" s="39">
        <v>1</v>
      </c>
      <c r="C56" s="39">
        <v>2</v>
      </c>
      <c r="D56" s="38">
        <v>3</v>
      </c>
      <c r="E56" s="39">
        <v>4</v>
      </c>
      <c r="F56" s="39">
        <v>5</v>
      </c>
      <c r="G56" s="38">
        <v>6</v>
      </c>
      <c r="H56" s="39">
        <v>7</v>
      </c>
      <c r="I56" s="39">
        <v>8</v>
      </c>
      <c r="J56" s="38">
        <v>9</v>
      </c>
      <c r="K56" s="39">
        <v>10</v>
      </c>
      <c r="L56" s="39">
        <v>11</v>
      </c>
      <c r="M56" s="38">
        <v>12</v>
      </c>
      <c r="N56" s="39">
        <v>13</v>
      </c>
      <c r="O56" s="39">
        <v>14</v>
      </c>
      <c r="P56" s="38">
        <v>15</v>
      </c>
      <c r="Q56" s="39">
        <v>16</v>
      </c>
      <c r="R56" s="39">
        <v>17</v>
      </c>
      <c r="S56" s="38">
        <v>18</v>
      </c>
      <c r="T56" s="39">
        <v>19</v>
      </c>
      <c r="U56" s="39">
        <v>20</v>
      </c>
      <c r="V56" s="38">
        <v>21</v>
      </c>
      <c r="W56" s="39">
        <v>22</v>
      </c>
      <c r="X56" s="39">
        <v>23</v>
      </c>
      <c r="Y56" s="38">
        <v>24</v>
      </c>
      <c r="Z56" s="39">
        <v>25</v>
      </c>
      <c r="AA56" s="39">
        <v>26</v>
      </c>
      <c r="AB56" s="38">
        <v>27</v>
      </c>
      <c r="AC56" s="39">
        <v>28</v>
      </c>
      <c r="AD56" s="39">
        <v>29</v>
      </c>
      <c r="AE56" s="38">
        <v>30</v>
      </c>
      <c r="AF56" s="39">
        <v>31</v>
      </c>
      <c r="AG56" s="39">
        <v>32</v>
      </c>
      <c r="AH56" s="38">
        <v>33</v>
      </c>
      <c r="AI56" s="39">
        <v>34</v>
      </c>
      <c r="AJ56" s="39">
        <v>35</v>
      </c>
      <c r="AK56" s="38">
        <v>36</v>
      </c>
      <c r="AL56" s="39">
        <v>37</v>
      </c>
      <c r="AM56" s="39">
        <v>38</v>
      </c>
      <c r="AN56" s="38">
        <v>39</v>
      </c>
      <c r="AO56" s="39">
        <v>40</v>
      </c>
      <c r="AP56" s="39">
        <v>41</v>
      </c>
      <c r="AQ56" s="38">
        <v>42</v>
      </c>
      <c r="AR56" s="39">
        <v>43</v>
      </c>
      <c r="AS56" s="39">
        <v>44</v>
      </c>
      <c r="AT56" s="38">
        <v>45</v>
      </c>
      <c r="AU56" s="39">
        <v>46</v>
      </c>
      <c r="AV56" s="39">
        <v>47</v>
      </c>
      <c r="AW56" s="38">
        <v>48</v>
      </c>
      <c r="AX56" s="39">
        <v>49</v>
      </c>
      <c r="AY56" s="39">
        <v>50</v>
      </c>
      <c r="AZ56" s="38">
        <v>51</v>
      </c>
      <c r="BA56" s="39">
        <v>52</v>
      </c>
      <c r="BB56" s="39">
        <v>53</v>
      </c>
      <c r="BC56" s="38">
        <v>54</v>
      </c>
      <c r="BD56" s="39">
        <v>55</v>
      </c>
      <c r="BE56" s="39">
        <v>56</v>
      </c>
      <c r="BF56" s="38">
        <v>57</v>
      </c>
      <c r="BG56" s="39">
        <v>58</v>
      </c>
      <c r="BH56" s="39">
        <v>59</v>
      </c>
      <c r="BI56" s="38">
        <v>60</v>
      </c>
      <c r="BJ56" s="39">
        <v>61</v>
      </c>
      <c r="BK56" s="39">
        <v>62</v>
      </c>
      <c r="BL56" s="38">
        <v>63</v>
      </c>
      <c r="BM56" s="39">
        <v>64</v>
      </c>
      <c r="BN56" s="39">
        <v>65</v>
      </c>
      <c r="BO56" s="38">
        <v>66</v>
      </c>
      <c r="BP56" s="39">
        <v>67</v>
      </c>
      <c r="BQ56" s="39">
        <v>68</v>
      </c>
      <c r="BR56" s="38">
        <v>69</v>
      </c>
    </row>
    <row r="57" spans="1:70">
      <c r="A57" s="1"/>
      <c r="B57" s="7"/>
      <c r="C57" s="8"/>
      <c r="D57" s="8"/>
      <c r="E57" s="9"/>
      <c r="F57" s="1"/>
      <c r="G57" s="1"/>
      <c r="H57" s="1"/>
      <c r="I57" s="1"/>
      <c r="J57" s="1"/>
      <c r="K57" s="1"/>
      <c r="L57" s="1"/>
      <c r="N57" s="1"/>
      <c r="O57" s="1"/>
      <c r="P57" s="1"/>
      <c r="Q57" s="1"/>
      <c r="S57" s="1"/>
      <c r="T57" s="1"/>
      <c r="U57" s="1"/>
      <c r="V57" s="1"/>
      <c r="X57" s="1"/>
      <c r="Y57" s="1"/>
      <c r="Z57" s="1"/>
      <c r="AA57" s="1"/>
      <c r="AC57" s="1"/>
      <c r="AD57" s="1"/>
      <c r="AE57" s="1"/>
      <c r="AF57" s="1"/>
      <c r="AH57" s="1"/>
      <c r="AI57" s="1"/>
      <c r="AJ57" s="1"/>
      <c r="AK57" s="1"/>
      <c r="AM57" s="1"/>
      <c r="AN57" s="1"/>
      <c r="AO57" s="1"/>
      <c r="AP57" s="1"/>
      <c r="AQ57" s="1"/>
      <c r="AS57" s="1"/>
      <c r="AT57" s="1"/>
      <c r="AU57" s="1"/>
      <c r="AV57" s="1"/>
      <c r="AW57" s="1"/>
      <c r="AY57" s="1"/>
      <c r="AZ57" s="1"/>
      <c r="BA57" s="1"/>
      <c r="BB57" s="1"/>
      <c r="BC57" s="1"/>
      <c r="BE57" s="1"/>
      <c r="BF57" s="1"/>
      <c r="BG57" s="1"/>
      <c r="BH57" s="1"/>
      <c r="BI57" s="1"/>
      <c r="BK57" s="1"/>
      <c r="BL57" s="1"/>
      <c r="BM57" s="1"/>
      <c r="BN57" s="10"/>
      <c r="BO57" s="5"/>
      <c r="BP57" s="5"/>
      <c r="BQ57" s="6"/>
      <c r="BR57" s="5"/>
    </row>
    <row r="58" spans="1:70">
      <c r="BQ58"/>
    </row>
    <row r="59" spans="1:70">
      <c r="BQ59"/>
    </row>
    <row r="60" spans="1:70">
      <c r="BQ60"/>
    </row>
    <row r="61" spans="1:70">
      <c r="BQ61"/>
    </row>
    <row r="62" spans="1:70">
      <c r="BQ62"/>
    </row>
    <row r="63" spans="1:70">
      <c r="BQ63"/>
    </row>
    <row r="64" spans="1:70">
      <c r="BQ64"/>
    </row>
    <row r="65" spans="69:69">
      <c r="BQ65"/>
    </row>
    <row r="66" spans="69:69">
      <c r="BQ66"/>
    </row>
    <row r="67" spans="69:69">
      <c r="BQ67"/>
    </row>
    <row r="68" spans="69:69">
      <c r="BQ68"/>
    </row>
    <row r="69" spans="69:69">
      <c r="BQ69"/>
    </row>
    <row r="70" spans="69:69">
      <c r="BQ70"/>
    </row>
    <row r="71" spans="69:69">
      <c r="BQ71"/>
    </row>
    <row r="72" spans="69:69">
      <c r="BQ72"/>
    </row>
    <row r="73" spans="69:69">
      <c r="BQ73"/>
    </row>
    <row r="74" spans="69:69">
      <c r="BQ74"/>
    </row>
    <row r="75" spans="69:69">
      <c r="BQ75"/>
    </row>
    <row r="76" spans="69:69">
      <c r="BQ76"/>
    </row>
    <row r="77" spans="69:69">
      <c r="BQ77"/>
    </row>
    <row r="78" spans="69:69">
      <c r="BQ78"/>
    </row>
    <row r="79" spans="69:69">
      <c r="BQ79"/>
    </row>
    <row r="80" spans="69:69">
      <c r="BQ80"/>
    </row>
    <row r="81" spans="69:69">
      <c r="BQ81"/>
    </row>
    <row r="82" spans="69:69">
      <c r="BQ82"/>
    </row>
    <row r="83" spans="69:69">
      <c r="BQ83"/>
    </row>
    <row r="84" spans="69:69">
      <c r="BQ84"/>
    </row>
    <row r="85" spans="69:69">
      <c r="BQ85"/>
    </row>
    <row r="86" spans="69:69">
      <c r="BQ86"/>
    </row>
    <row r="87" spans="69:69">
      <c r="BQ87"/>
    </row>
    <row r="88" spans="69:69">
      <c r="BQ88"/>
    </row>
    <row r="89" spans="69:69">
      <c r="BQ89"/>
    </row>
    <row r="90" spans="69:69">
      <c r="BQ90"/>
    </row>
    <row r="91" spans="69:69">
      <c r="BQ91"/>
    </row>
    <row r="92" spans="69:69">
      <c r="BQ92"/>
    </row>
    <row r="93" spans="69:69">
      <c r="BQ93"/>
    </row>
    <row r="94" spans="69:69">
      <c r="BQ94"/>
    </row>
    <row r="95" spans="69:69">
      <c r="BQ95"/>
    </row>
    <row r="96" spans="69:69">
      <c r="BQ96"/>
    </row>
    <row r="97" spans="69:69">
      <c r="BQ97"/>
    </row>
    <row r="98" spans="69:69">
      <c r="BQ98"/>
    </row>
    <row r="99" spans="69:69">
      <c r="BQ99"/>
    </row>
    <row r="100" spans="69:69">
      <c r="BQ100"/>
    </row>
    <row r="101" spans="69:69">
      <c r="BQ101"/>
    </row>
    <row r="102" spans="69:69">
      <c r="BQ102"/>
    </row>
    <row r="103" spans="69:69">
      <c r="BQ103"/>
    </row>
    <row r="104" spans="69:69">
      <c r="BQ104"/>
    </row>
    <row r="105" spans="69:69">
      <c r="BQ105"/>
    </row>
    <row r="106" spans="69:69">
      <c r="BQ106"/>
    </row>
    <row r="107" spans="69:69">
      <c r="BQ107"/>
    </row>
    <row r="108" spans="69:69">
      <c r="BQ108"/>
    </row>
    <row r="109" spans="69:69">
      <c r="BQ109"/>
    </row>
    <row r="110" spans="69:69">
      <c r="BQ110"/>
    </row>
    <row r="111" spans="69:69">
      <c r="BQ111"/>
    </row>
    <row r="112" spans="69:69">
      <c r="BQ112"/>
    </row>
    <row r="113" spans="69:69">
      <c r="BQ113"/>
    </row>
    <row r="114" spans="69:69">
      <c r="BQ114"/>
    </row>
    <row r="115" spans="69:69">
      <c r="BQ115"/>
    </row>
    <row r="116" spans="69:69">
      <c r="BQ116"/>
    </row>
    <row r="117" spans="69:69">
      <c r="BQ117"/>
    </row>
    <row r="118" spans="69:69">
      <c r="BQ118"/>
    </row>
    <row r="119" spans="69:69">
      <c r="BQ119"/>
    </row>
    <row r="120" spans="69:69">
      <c r="BQ120"/>
    </row>
    <row r="121" spans="69:69">
      <c r="BQ121"/>
    </row>
    <row r="122" spans="69:69">
      <c r="BQ122"/>
    </row>
    <row r="123" spans="69:69">
      <c r="BQ123"/>
    </row>
    <row r="124" spans="69:69">
      <c r="BQ124"/>
    </row>
    <row r="125" spans="69:69">
      <c r="BQ125"/>
    </row>
    <row r="126" spans="69:69">
      <c r="BQ126"/>
    </row>
    <row r="127" spans="69:69">
      <c r="BQ127"/>
    </row>
    <row r="128" spans="69:69">
      <c r="BQ128"/>
    </row>
    <row r="129" spans="69:69">
      <c r="BQ129"/>
    </row>
    <row r="130" spans="69:69">
      <c r="BQ130"/>
    </row>
    <row r="131" spans="69:69">
      <c r="BQ131"/>
    </row>
    <row r="132" spans="69:69">
      <c r="BQ132"/>
    </row>
    <row r="133" spans="69:69">
      <c r="BQ133"/>
    </row>
    <row r="134" spans="69:69">
      <c r="BQ134"/>
    </row>
    <row r="135" spans="69:69">
      <c r="BQ135"/>
    </row>
    <row r="136" spans="69:69">
      <c r="BQ136"/>
    </row>
    <row r="137" spans="69:69">
      <c r="BQ137"/>
    </row>
    <row r="138" spans="69:69">
      <c r="BQ138"/>
    </row>
    <row r="139" spans="69:69">
      <c r="BQ139"/>
    </row>
    <row r="140" spans="69:69">
      <c r="BQ140"/>
    </row>
    <row r="141" spans="69:69">
      <c r="BQ141"/>
    </row>
    <row r="142" spans="69:69">
      <c r="BQ142"/>
    </row>
    <row r="143" spans="69:69">
      <c r="BQ143"/>
    </row>
    <row r="144" spans="69:69">
      <c r="BQ144"/>
    </row>
    <row r="145" spans="69:69">
      <c r="BQ145"/>
    </row>
    <row r="146" spans="69:69">
      <c r="BQ146"/>
    </row>
    <row r="147" spans="69:69">
      <c r="BQ147"/>
    </row>
    <row r="148" spans="69:69">
      <c r="BQ148"/>
    </row>
    <row r="149" spans="69:69">
      <c r="BQ149"/>
    </row>
    <row r="150" spans="69:69">
      <c r="BQ150"/>
    </row>
    <row r="151" spans="69:69">
      <c r="BQ151"/>
    </row>
    <row r="152" spans="69:69">
      <c r="BQ152"/>
    </row>
    <row r="153" spans="69:69">
      <c r="BQ153"/>
    </row>
    <row r="154" spans="69:69">
      <c r="BQ154"/>
    </row>
    <row r="155" spans="69:69">
      <c r="BQ155"/>
    </row>
    <row r="156" spans="69:69">
      <c r="BQ156"/>
    </row>
    <row r="157" spans="69:69">
      <c r="BQ157"/>
    </row>
    <row r="158" spans="69:69">
      <c r="BQ158"/>
    </row>
    <row r="159" spans="69:69">
      <c r="BQ159"/>
    </row>
    <row r="160" spans="69:69">
      <c r="BQ160"/>
    </row>
    <row r="161" spans="69:69">
      <c r="BQ161"/>
    </row>
    <row r="162" spans="69:69">
      <c r="BQ162"/>
    </row>
    <row r="163" spans="69:69">
      <c r="BQ163"/>
    </row>
    <row r="164" spans="69:69">
      <c r="BQ164"/>
    </row>
    <row r="165" spans="69:69">
      <c r="BQ165"/>
    </row>
    <row r="166" spans="69:69">
      <c r="BQ166"/>
    </row>
    <row r="167" spans="69:69">
      <c r="BQ167"/>
    </row>
    <row r="168" spans="69:69">
      <c r="BQ168"/>
    </row>
    <row r="169" spans="69:69">
      <c r="BQ169"/>
    </row>
    <row r="170" spans="69:69">
      <c r="BQ170"/>
    </row>
    <row r="171" spans="69:69">
      <c r="BQ171"/>
    </row>
    <row r="172" spans="69:69">
      <c r="BQ172"/>
    </row>
    <row r="173" spans="69:69">
      <c r="BQ173"/>
    </row>
    <row r="174" spans="69:69">
      <c r="BQ174"/>
    </row>
    <row r="175" spans="69:69">
      <c r="BQ175"/>
    </row>
    <row r="176" spans="69:69">
      <c r="BQ176"/>
    </row>
    <row r="177" spans="69:69">
      <c r="BQ177"/>
    </row>
    <row r="178" spans="69:69">
      <c r="BQ178"/>
    </row>
    <row r="179" spans="69:69">
      <c r="BQ179"/>
    </row>
    <row r="180" spans="69:69">
      <c r="BQ180"/>
    </row>
    <row r="181" spans="69:69">
      <c r="BQ181"/>
    </row>
    <row r="182" spans="69:69">
      <c r="BQ182"/>
    </row>
    <row r="183" spans="69:69">
      <c r="BQ183"/>
    </row>
    <row r="184" spans="69:69">
      <c r="BQ184"/>
    </row>
    <row r="185" spans="69:69">
      <c r="BQ185"/>
    </row>
    <row r="186" spans="69:69">
      <c r="BQ186"/>
    </row>
    <row r="187" spans="69:69">
      <c r="BQ187"/>
    </row>
    <row r="188" spans="69:69">
      <c r="BQ188"/>
    </row>
    <row r="189" spans="69:69">
      <c r="BQ189"/>
    </row>
    <row r="190" spans="69:69">
      <c r="BQ190"/>
    </row>
    <row r="191" spans="69:69">
      <c r="BQ191"/>
    </row>
    <row r="192" spans="69:69">
      <c r="BQ192"/>
    </row>
    <row r="193" spans="69:69">
      <c r="BQ193"/>
    </row>
    <row r="194" spans="69:69">
      <c r="BQ194"/>
    </row>
    <row r="195" spans="69:69">
      <c r="BQ195"/>
    </row>
    <row r="196" spans="69:69">
      <c r="BQ196"/>
    </row>
    <row r="197" spans="69:69">
      <c r="BQ197"/>
    </row>
    <row r="198" spans="69:69">
      <c r="BQ198"/>
    </row>
    <row r="199" spans="69:69">
      <c r="BQ199"/>
    </row>
    <row r="200" spans="69:69">
      <c r="BQ200"/>
    </row>
    <row r="201" spans="69:69">
      <c r="BQ201"/>
    </row>
    <row r="202" spans="69:69">
      <c r="BQ202"/>
    </row>
    <row r="203" spans="69:69">
      <c r="BQ203"/>
    </row>
    <row r="204" spans="69:69">
      <c r="BQ204"/>
    </row>
    <row r="205" spans="69:69">
      <c r="BQ205"/>
    </row>
    <row r="206" spans="69:69">
      <c r="BQ206"/>
    </row>
    <row r="207" spans="69:69">
      <c r="BQ207"/>
    </row>
    <row r="208" spans="69:69">
      <c r="BQ208"/>
    </row>
    <row r="209" spans="69:69">
      <c r="BQ209"/>
    </row>
    <row r="210" spans="69:69">
      <c r="BQ210"/>
    </row>
    <row r="211" spans="69:69">
      <c r="BQ211"/>
    </row>
    <row r="212" spans="69:69">
      <c r="BQ212"/>
    </row>
    <row r="213" spans="69:69">
      <c r="BQ213"/>
    </row>
    <row r="214" spans="69:69">
      <c r="BQ214"/>
    </row>
    <row r="215" spans="69:69">
      <c r="BQ215"/>
    </row>
    <row r="216" spans="69:69">
      <c r="BQ216"/>
    </row>
    <row r="217" spans="69:69">
      <c r="BQ217"/>
    </row>
    <row r="218" spans="69:69">
      <c r="BQ218"/>
    </row>
    <row r="219" spans="69:69">
      <c r="BQ219"/>
    </row>
    <row r="220" spans="69:69">
      <c r="BQ220"/>
    </row>
    <row r="221" spans="69:69">
      <c r="BQ221"/>
    </row>
    <row r="222" spans="69:69">
      <c r="BQ222"/>
    </row>
    <row r="223" spans="69:69">
      <c r="BQ223"/>
    </row>
    <row r="224" spans="69:69">
      <c r="BQ224"/>
    </row>
    <row r="225" spans="69:69">
      <c r="BQ225"/>
    </row>
    <row r="226" spans="69:69">
      <c r="BQ226"/>
    </row>
    <row r="227" spans="69:69">
      <c r="BQ227"/>
    </row>
    <row r="228" spans="69:69">
      <c r="BQ228"/>
    </row>
    <row r="229" spans="69:69">
      <c r="BQ229"/>
    </row>
    <row r="230" spans="69:69">
      <c r="BQ230"/>
    </row>
    <row r="231" spans="69:69">
      <c r="BQ231"/>
    </row>
    <row r="232" spans="69:69">
      <c r="BQ232"/>
    </row>
    <row r="233" spans="69:69">
      <c r="BQ233"/>
    </row>
    <row r="234" spans="69:69">
      <c r="BQ234"/>
    </row>
    <row r="235" spans="69:69">
      <c r="BQ235"/>
    </row>
    <row r="236" spans="69:69">
      <c r="BQ236"/>
    </row>
    <row r="237" spans="69:69">
      <c r="BQ237"/>
    </row>
    <row r="238" spans="69:69">
      <c r="BQ238"/>
    </row>
    <row r="239" spans="69:69">
      <c r="BQ239"/>
    </row>
    <row r="240" spans="69:69">
      <c r="BQ240"/>
    </row>
    <row r="241" spans="69:69">
      <c r="BQ241"/>
    </row>
    <row r="242" spans="69:69">
      <c r="BQ242"/>
    </row>
    <row r="243" spans="69:69">
      <c r="BQ243"/>
    </row>
    <row r="244" spans="69:69">
      <c r="BQ244"/>
    </row>
    <row r="245" spans="69:69">
      <c r="BQ245"/>
    </row>
    <row r="246" spans="69:69">
      <c r="BQ246"/>
    </row>
    <row r="247" spans="69:69">
      <c r="BQ247"/>
    </row>
    <row r="248" spans="69:69">
      <c r="BQ248"/>
    </row>
    <row r="249" spans="69:69">
      <c r="BQ249"/>
    </row>
    <row r="250" spans="69:69">
      <c r="BQ250"/>
    </row>
    <row r="251" spans="69:69">
      <c r="BQ251"/>
    </row>
    <row r="252" spans="69:69">
      <c r="BQ252"/>
    </row>
    <row r="253" spans="69:69">
      <c r="BQ253"/>
    </row>
    <row r="254" spans="69:69">
      <c r="BQ254"/>
    </row>
    <row r="255" spans="69:69">
      <c r="BQ255"/>
    </row>
    <row r="256" spans="69:69">
      <c r="BQ256"/>
    </row>
    <row r="257" spans="69:69">
      <c r="BQ257"/>
    </row>
    <row r="258" spans="69:69">
      <c r="BQ258"/>
    </row>
    <row r="259" spans="69:69">
      <c r="BQ259"/>
    </row>
    <row r="260" spans="69:69">
      <c r="BQ260"/>
    </row>
    <row r="261" spans="69:69">
      <c r="BQ261"/>
    </row>
    <row r="262" spans="69:69">
      <c r="BQ262"/>
    </row>
    <row r="263" spans="69:69">
      <c r="BQ263"/>
    </row>
    <row r="264" spans="69:69">
      <c r="BQ264"/>
    </row>
    <row r="265" spans="69:69">
      <c r="BQ265"/>
    </row>
    <row r="266" spans="69:69">
      <c r="BQ266"/>
    </row>
    <row r="267" spans="69:69">
      <c r="BQ267"/>
    </row>
    <row r="268" spans="69:69">
      <c r="BQ268"/>
    </row>
    <row r="269" spans="69:69">
      <c r="BQ269"/>
    </row>
    <row r="270" spans="69:69">
      <c r="BQ270"/>
    </row>
    <row r="271" spans="69:69">
      <c r="BQ271"/>
    </row>
    <row r="272" spans="69:69">
      <c r="BQ272"/>
    </row>
    <row r="273" spans="69:69">
      <c r="BQ273"/>
    </row>
    <row r="274" spans="69:69">
      <c r="BQ274"/>
    </row>
    <row r="275" spans="69:69">
      <c r="BQ275"/>
    </row>
    <row r="276" spans="69:69">
      <c r="BQ276"/>
    </row>
    <row r="277" spans="69:69">
      <c r="BQ277"/>
    </row>
    <row r="278" spans="69:69">
      <c r="BQ278"/>
    </row>
    <row r="279" spans="69:69">
      <c r="BQ279"/>
    </row>
    <row r="280" spans="69:69">
      <c r="BQ280"/>
    </row>
    <row r="281" spans="69:69">
      <c r="BQ281"/>
    </row>
    <row r="282" spans="69:69">
      <c r="BQ282"/>
    </row>
    <row r="283" spans="69:69">
      <c r="BQ283"/>
    </row>
    <row r="284" spans="69:69">
      <c r="BQ284"/>
    </row>
    <row r="285" spans="69:69">
      <c r="BQ285"/>
    </row>
    <row r="286" spans="69:69">
      <c r="BQ286"/>
    </row>
    <row r="287" spans="69:69">
      <c r="BQ287"/>
    </row>
    <row r="288" spans="69:69">
      <c r="BQ288"/>
    </row>
    <row r="289" spans="69:69">
      <c r="BQ289"/>
    </row>
    <row r="290" spans="69:69">
      <c r="BQ290"/>
    </row>
    <row r="291" spans="69:69">
      <c r="BQ291"/>
    </row>
    <row r="292" spans="69:69">
      <c r="BQ292"/>
    </row>
    <row r="293" spans="69:69">
      <c r="BQ293"/>
    </row>
    <row r="294" spans="69:69">
      <c r="BQ294"/>
    </row>
    <row r="295" spans="69:69">
      <c r="BQ295"/>
    </row>
    <row r="296" spans="69:69">
      <c r="BQ296"/>
    </row>
    <row r="297" spans="69:69">
      <c r="BQ297"/>
    </row>
    <row r="298" spans="69:69">
      <c r="BQ298"/>
    </row>
    <row r="299" spans="69:69">
      <c r="BQ299"/>
    </row>
    <row r="300" spans="69:69">
      <c r="BQ300"/>
    </row>
    <row r="301" spans="69:69">
      <c r="BQ301"/>
    </row>
    <row r="302" spans="69:69">
      <c r="BQ302"/>
    </row>
    <row r="303" spans="69:69">
      <c r="BQ303"/>
    </row>
    <row r="304" spans="69:69">
      <c r="BQ304"/>
    </row>
    <row r="305" spans="69:69">
      <c r="BQ305"/>
    </row>
    <row r="306" spans="69:69">
      <c r="BQ306"/>
    </row>
    <row r="307" spans="69:69">
      <c r="BQ307"/>
    </row>
    <row r="308" spans="69:69">
      <c r="BQ308"/>
    </row>
    <row r="309" spans="69:69">
      <c r="BQ309"/>
    </row>
    <row r="310" spans="69:69">
      <c r="BQ310"/>
    </row>
    <row r="311" spans="69:69">
      <c r="BQ311"/>
    </row>
    <row r="312" spans="69:69">
      <c r="BQ312"/>
    </row>
    <row r="313" spans="69:69">
      <c r="BQ313"/>
    </row>
    <row r="314" spans="69:69">
      <c r="BQ314"/>
    </row>
    <row r="315" spans="69:69">
      <c r="BQ315"/>
    </row>
    <row r="316" spans="69:69">
      <c r="BQ316"/>
    </row>
    <row r="317" spans="69:69">
      <c r="BQ317"/>
    </row>
    <row r="318" spans="69:69">
      <c r="BQ318"/>
    </row>
    <row r="319" spans="69:69">
      <c r="BQ319"/>
    </row>
    <row r="320" spans="69:69">
      <c r="BQ320"/>
    </row>
    <row r="321" spans="69:69">
      <c r="BQ321"/>
    </row>
    <row r="322" spans="69:69">
      <c r="BQ322"/>
    </row>
    <row r="323" spans="69:69">
      <c r="BQ323"/>
    </row>
    <row r="324" spans="69:69">
      <c r="BQ324"/>
    </row>
    <row r="325" spans="69:69">
      <c r="BQ325"/>
    </row>
    <row r="326" spans="69:69">
      <c r="BQ326"/>
    </row>
    <row r="327" spans="69:69">
      <c r="BQ327"/>
    </row>
    <row r="328" spans="69:69">
      <c r="BQ328"/>
    </row>
    <row r="329" spans="69:69">
      <c r="BQ329"/>
    </row>
    <row r="330" spans="69:69">
      <c r="BQ330"/>
    </row>
    <row r="331" spans="69:69">
      <c r="BQ331"/>
    </row>
    <row r="332" spans="69:69">
      <c r="BQ332"/>
    </row>
    <row r="333" spans="69:69">
      <c r="BQ333"/>
    </row>
    <row r="334" spans="69:69">
      <c r="BQ334"/>
    </row>
    <row r="335" spans="69:69">
      <c r="BQ335"/>
    </row>
    <row r="336" spans="69:69">
      <c r="BQ336"/>
    </row>
    <row r="337" spans="69:69">
      <c r="BQ337"/>
    </row>
    <row r="338" spans="69:69">
      <c r="BQ338"/>
    </row>
    <row r="339" spans="69:69">
      <c r="BQ339"/>
    </row>
    <row r="340" spans="69:69">
      <c r="BQ340"/>
    </row>
    <row r="341" spans="69:69">
      <c r="BQ341"/>
    </row>
    <row r="342" spans="69:69">
      <c r="BQ342"/>
    </row>
    <row r="343" spans="69:69">
      <c r="BQ343"/>
    </row>
    <row r="344" spans="69:69">
      <c r="BQ344"/>
    </row>
    <row r="345" spans="69:69">
      <c r="BQ345"/>
    </row>
    <row r="346" spans="69:69">
      <c r="BQ346"/>
    </row>
    <row r="347" spans="69:69">
      <c r="BQ347"/>
    </row>
    <row r="348" spans="69:69">
      <c r="BQ348"/>
    </row>
    <row r="349" spans="69:69">
      <c r="BQ349"/>
    </row>
    <row r="350" spans="69:69">
      <c r="BQ350"/>
    </row>
    <row r="351" spans="69:69">
      <c r="BQ351"/>
    </row>
    <row r="352" spans="69:69">
      <c r="BQ352"/>
    </row>
    <row r="353" spans="69:69">
      <c r="BQ353"/>
    </row>
    <row r="354" spans="69:69">
      <c r="BQ354"/>
    </row>
    <row r="355" spans="69:69">
      <c r="BQ355"/>
    </row>
    <row r="356" spans="69:69">
      <c r="BQ356"/>
    </row>
    <row r="357" spans="69:69">
      <c r="BQ357"/>
    </row>
    <row r="358" spans="69:69">
      <c r="BQ358"/>
    </row>
    <row r="359" spans="69:69">
      <c r="BQ359"/>
    </row>
    <row r="360" spans="69:69">
      <c r="BQ360"/>
    </row>
    <row r="361" spans="69:69">
      <c r="BQ361"/>
    </row>
    <row r="362" spans="69:69">
      <c r="BQ362"/>
    </row>
    <row r="363" spans="69:69">
      <c r="BQ363"/>
    </row>
    <row r="364" spans="69:69">
      <c r="BQ364"/>
    </row>
    <row r="365" spans="69:69">
      <c r="BQ365"/>
    </row>
    <row r="366" spans="69:69">
      <c r="BQ366"/>
    </row>
    <row r="367" spans="69:69">
      <c r="BQ367"/>
    </row>
    <row r="368" spans="69:69">
      <c r="BQ368"/>
    </row>
    <row r="369" spans="69:69">
      <c r="BQ369"/>
    </row>
    <row r="370" spans="69:69">
      <c r="BQ370"/>
    </row>
    <row r="371" spans="69:69">
      <c r="BQ371"/>
    </row>
    <row r="372" spans="69:69">
      <c r="BQ372"/>
    </row>
    <row r="373" spans="69:69">
      <c r="BQ373"/>
    </row>
    <row r="374" spans="69:69">
      <c r="BQ374"/>
    </row>
    <row r="375" spans="69:69">
      <c r="BQ375"/>
    </row>
    <row r="376" spans="69:69">
      <c r="BQ376"/>
    </row>
    <row r="377" spans="69:69">
      <c r="BQ377"/>
    </row>
    <row r="378" spans="69:69">
      <c r="BQ378"/>
    </row>
    <row r="379" spans="69:69">
      <c r="BQ379"/>
    </row>
    <row r="380" spans="69:69">
      <c r="BQ380"/>
    </row>
    <row r="381" spans="69:69">
      <c r="BQ381"/>
    </row>
    <row r="382" spans="69:69">
      <c r="BQ382"/>
    </row>
    <row r="383" spans="69:69">
      <c r="BQ383"/>
    </row>
    <row r="384" spans="69:69">
      <c r="BQ384"/>
    </row>
    <row r="385" spans="69:69">
      <c r="BQ385"/>
    </row>
    <row r="386" spans="69:69">
      <c r="BQ386"/>
    </row>
    <row r="387" spans="69:69">
      <c r="BQ387"/>
    </row>
    <row r="388" spans="69:69">
      <c r="BQ388"/>
    </row>
    <row r="389" spans="69:69">
      <c r="BQ389"/>
    </row>
    <row r="390" spans="69:69">
      <c r="BQ390"/>
    </row>
    <row r="391" spans="69:69">
      <c r="BQ391"/>
    </row>
    <row r="392" spans="69:69">
      <c r="BQ392"/>
    </row>
    <row r="393" spans="69:69">
      <c r="BQ393"/>
    </row>
    <row r="394" spans="69:69">
      <c r="BQ394"/>
    </row>
    <row r="395" spans="69:69">
      <c r="BQ395"/>
    </row>
    <row r="396" spans="69:69">
      <c r="BQ396"/>
    </row>
    <row r="397" spans="69:69">
      <c r="BQ397"/>
    </row>
    <row r="398" spans="69:69">
      <c r="BQ398"/>
    </row>
    <row r="399" spans="69:69">
      <c r="BQ399"/>
    </row>
    <row r="400" spans="69:69">
      <c r="BQ400"/>
    </row>
    <row r="401" spans="69:69">
      <c r="BQ401"/>
    </row>
    <row r="402" spans="69:69">
      <c r="BQ402"/>
    </row>
    <row r="403" spans="69:69">
      <c r="BQ403"/>
    </row>
    <row r="404" spans="69:69">
      <c r="BQ404"/>
    </row>
    <row r="405" spans="69:69">
      <c r="BQ405"/>
    </row>
    <row r="406" spans="69:69">
      <c r="BQ406"/>
    </row>
    <row r="407" spans="69:69">
      <c r="BQ407"/>
    </row>
    <row r="408" spans="69:69">
      <c r="BQ408"/>
    </row>
    <row r="409" spans="69:69">
      <c r="BQ409"/>
    </row>
    <row r="410" spans="69:69">
      <c r="BQ410"/>
    </row>
    <row r="411" spans="69:69">
      <c r="BQ411"/>
    </row>
    <row r="412" spans="69:69">
      <c r="BQ412"/>
    </row>
    <row r="413" spans="69:69">
      <c r="BQ413"/>
    </row>
    <row r="414" spans="69:69">
      <c r="BQ414"/>
    </row>
    <row r="415" spans="69:69">
      <c r="BQ415"/>
    </row>
    <row r="416" spans="69:69">
      <c r="BQ416"/>
    </row>
    <row r="417" spans="69:69">
      <c r="BQ417"/>
    </row>
    <row r="418" spans="69:69">
      <c r="BQ418"/>
    </row>
    <row r="419" spans="69:69">
      <c r="BQ419"/>
    </row>
    <row r="420" spans="69:69">
      <c r="BQ420"/>
    </row>
    <row r="421" spans="69:69">
      <c r="BQ421"/>
    </row>
    <row r="422" spans="69:69">
      <c r="BQ422"/>
    </row>
    <row r="423" spans="69:69">
      <c r="BQ423"/>
    </row>
    <row r="424" spans="69:69">
      <c r="BQ424"/>
    </row>
    <row r="425" spans="69:69">
      <c r="BQ425"/>
    </row>
    <row r="426" spans="69:69">
      <c r="BQ426"/>
    </row>
    <row r="427" spans="69:69">
      <c r="BQ427"/>
    </row>
    <row r="428" spans="69:69">
      <c r="BQ428"/>
    </row>
    <row r="429" spans="69:69">
      <c r="BQ429"/>
    </row>
    <row r="430" spans="69:69">
      <c r="BQ430"/>
    </row>
    <row r="431" spans="69:69">
      <c r="BQ431"/>
    </row>
    <row r="432" spans="69:69">
      <c r="BQ432"/>
    </row>
    <row r="433" spans="69:69">
      <c r="BQ433"/>
    </row>
    <row r="434" spans="69:69">
      <c r="BQ434"/>
    </row>
    <row r="435" spans="69:69">
      <c r="BQ435"/>
    </row>
    <row r="436" spans="69:69">
      <c r="BQ436"/>
    </row>
    <row r="437" spans="69:69">
      <c r="BQ437"/>
    </row>
    <row r="438" spans="69:69">
      <c r="BQ438"/>
    </row>
    <row r="439" spans="69:69">
      <c r="BQ439"/>
    </row>
    <row r="440" spans="69:69">
      <c r="BQ440"/>
    </row>
    <row r="441" spans="69:69">
      <c r="BQ441"/>
    </row>
    <row r="442" spans="69:69">
      <c r="BQ442"/>
    </row>
    <row r="443" spans="69:69">
      <c r="BQ443"/>
    </row>
    <row r="444" spans="69:69">
      <c r="BQ444"/>
    </row>
    <row r="445" spans="69:69">
      <c r="BQ445"/>
    </row>
    <row r="446" spans="69:69">
      <c r="BQ446"/>
    </row>
    <row r="447" spans="69:69">
      <c r="BQ447"/>
    </row>
    <row r="448" spans="69:69">
      <c r="BQ448"/>
    </row>
    <row r="449" spans="69:69">
      <c r="BQ449"/>
    </row>
    <row r="450" spans="69:69">
      <c r="BQ450"/>
    </row>
    <row r="451" spans="69:69">
      <c r="BQ451"/>
    </row>
    <row r="452" spans="69:69">
      <c r="BQ452"/>
    </row>
    <row r="453" spans="69:69">
      <c r="BQ453"/>
    </row>
    <row r="454" spans="69:69">
      <c r="BQ454"/>
    </row>
    <row r="455" spans="69:69">
      <c r="BQ455"/>
    </row>
    <row r="456" spans="69:69">
      <c r="BQ456"/>
    </row>
    <row r="457" spans="69:69">
      <c r="BQ457"/>
    </row>
    <row r="458" spans="69:69">
      <c r="BQ458"/>
    </row>
    <row r="459" spans="69:69">
      <c r="BQ459"/>
    </row>
    <row r="460" spans="69:69">
      <c r="BQ460"/>
    </row>
    <row r="461" spans="69:69">
      <c r="BQ461"/>
    </row>
    <row r="462" spans="69:69">
      <c r="BQ462"/>
    </row>
    <row r="463" spans="69:69">
      <c r="BQ463"/>
    </row>
    <row r="464" spans="69:69">
      <c r="BQ464"/>
    </row>
    <row r="465" spans="69:69">
      <c r="BQ465"/>
    </row>
    <row r="466" spans="69:69">
      <c r="BQ466"/>
    </row>
    <row r="467" spans="69:69">
      <c r="BQ467"/>
    </row>
    <row r="468" spans="69:69">
      <c r="BQ468"/>
    </row>
    <row r="469" spans="69:69">
      <c r="BQ469"/>
    </row>
    <row r="470" spans="69:69">
      <c r="BQ470"/>
    </row>
    <row r="471" spans="69:69">
      <c r="BQ471"/>
    </row>
    <row r="472" spans="69:69">
      <c r="BQ472"/>
    </row>
    <row r="473" spans="69:69">
      <c r="BQ473"/>
    </row>
    <row r="474" spans="69:69">
      <c r="BQ474"/>
    </row>
    <row r="475" spans="69:69">
      <c r="BQ475"/>
    </row>
    <row r="476" spans="69:69">
      <c r="BQ476"/>
    </row>
    <row r="477" spans="69:69">
      <c r="BQ477"/>
    </row>
    <row r="478" spans="69:69">
      <c r="BQ478"/>
    </row>
    <row r="479" spans="69:69">
      <c r="BQ479"/>
    </row>
    <row r="480" spans="69:69">
      <c r="BQ480"/>
    </row>
    <row r="481" spans="69:69">
      <c r="BQ481"/>
    </row>
    <row r="482" spans="69:69">
      <c r="BQ482"/>
    </row>
    <row r="483" spans="69:69">
      <c r="BQ483"/>
    </row>
    <row r="484" spans="69:69">
      <c r="BQ484"/>
    </row>
    <row r="485" spans="69:69">
      <c r="BQ485"/>
    </row>
    <row r="486" spans="69:69">
      <c r="BQ486"/>
    </row>
    <row r="487" spans="69:69">
      <c r="BQ487"/>
    </row>
    <row r="488" spans="69:69">
      <c r="BQ488"/>
    </row>
    <row r="489" spans="69:69">
      <c r="BQ489"/>
    </row>
    <row r="490" spans="69:69">
      <c r="BQ490"/>
    </row>
    <row r="491" spans="69:69">
      <c r="BQ491"/>
    </row>
    <row r="492" spans="69:69">
      <c r="BQ492"/>
    </row>
    <row r="493" spans="69:69">
      <c r="BQ493"/>
    </row>
    <row r="494" spans="69:69">
      <c r="BQ494"/>
    </row>
    <row r="495" spans="69:69">
      <c r="BQ495"/>
    </row>
    <row r="496" spans="69:69">
      <c r="BQ496"/>
    </row>
    <row r="497" spans="69:69">
      <c r="BQ497"/>
    </row>
    <row r="498" spans="69:69">
      <c r="BQ498"/>
    </row>
    <row r="499" spans="69:69">
      <c r="BQ499"/>
    </row>
    <row r="500" spans="69:69">
      <c r="BQ500"/>
    </row>
    <row r="501" spans="69:69">
      <c r="BQ501"/>
    </row>
    <row r="502" spans="69:69">
      <c r="BQ502"/>
    </row>
    <row r="503" spans="69:69">
      <c r="BQ503"/>
    </row>
    <row r="504" spans="69:69">
      <c r="BQ504"/>
    </row>
    <row r="505" spans="69:69">
      <c r="BQ505"/>
    </row>
    <row r="506" spans="69:69">
      <c r="BQ506"/>
    </row>
    <row r="507" spans="69:69">
      <c r="BQ507"/>
    </row>
    <row r="508" spans="69:69">
      <c r="BQ508"/>
    </row>
    <row r="509" spans="69:69">
      <c r="BQ509"/>
    </row>
    <row r="510" spans="69:69">
      <c r="BQ510"/>
    </row>
    <row r="511" spans="69:69">
      <c r="BQ511"/>
    </row>
    <row r="512" spans="69:69">
      <c r="BQ512"/>
    </row>
    <row r="513" spans="69:69">
      <c r="BQ513"/>
    </row>
    <row r="514" spans="69:69">
      <c r="BQ514"/>
    </row>
    <row r="515" spans="69:69">
      <c r="BQ515"/>
    </row>
    <row r="516" spans="69:69">
      <c r="BQ516"/>
    </row>
    <row r="517" spans="69:69">
      <c r="BQ517"/>
    </row>
    <row r="518" spans="69:69">
      <c r="BQ518"/>
    </row>
    <row r="519" spans="69:69">
      <c r="BQ519"/>
    </row>
    <row r="520" spans="69:69">
      <c r="BQ520"/>
    </row>
    <row r="521" spans="69:69">
      <c r="BQ521"/>
    </row>
    <row r="522" spans="69:69">
      <c r="BQ522"/>
    </row>
    <row r="523" spans="69:69">
      <c r="BQ523"/>
    </row>
    <row r="524" spans="69:69">
      <c r="BQ524"/>
    </row>
    <row r="525" spans="69:69">
      <c r="BQ525"/>
    </row>
    <row r="526" spans="69:69">
      <c r="BQ526"/>
    </row>
    <row r="527" spans="69:69">
      <c r="BQ527"/>
    </row>
    <row r="528" spans="69:69">
      <c r="BQ528"/>
    </row>
    <row r="529" spans="69:69">
      <c r="BQ529"/>
    </row>
    <row r="530" spans="69:69">
      <c r="BQ530"/>
    </row>
    <row r="531" spans="69:69">
      <c r="BQ531"/>
    </row>
    <row r="532" spans="69:69">
      <c r="BQ532"/>
    </row>
    <row r="533" spans="69:69">
      <c r="BQ533"/>
    </row>
    <row r="534" spans="69:69">
      <c r="BQ534"/>
    </row>
    <row r="535" spans="69:69">
      <c r="BQ535"/>
    </row>
    <row r="536" spans="69:69">
      <c r="BQ536"/>
    </row>
    <row r="537" spans="69:69">
      <c r="BQ537"/>
    </row>
    <row r="538" spans="69:69">
      <c r="BQ538"/>
    </row>
    <row r="539" spans="69:69">
      <c r="BQ539"/>
    </row>
    <row r="540" spans="69:69">
      <c r="BQ540"/>
    </row>
    <row r="541" spans="69:69">
      <c r="BQ541"/>
    </row>
    <row r="542" spans="69:69">
      <c r="BQ542"/>
    </row>
    <row r="543" spans="69:69">
      <c r="BQ543"/>
    </row>
    <row r="544" spans="69:69">
      <c r="BQ544"/>
    </row>
    <row r="545" spans="69:69">
      <c r="BQ545"/>
    </row>
    <row r="546" spans="69:69">
      <c r="BQ546"/>
    </row>
    <row r="547" spans="69:69">
      <c r="BQ547"/>
    </row>
    <row r="548" spans="69:69">
      <c r="BQ548"/>
    </row>
    <row r="549" spans="69:69">
      <c r="BQ549"/>
    </row>
    <row r="550" spans="69:69">
      <c r="BQ550"/>
    </row>
    <row r="551" spans="69:69">
      <c r="BQ551"/>
    </row>
    <row r="552" spans="69:69">
      <c r="BQ552"/>
    </row>
    <row r="553" spans="69:69">
      <c r="BQ553"/>
    </row>
    <row r="554" spans="69:69">
      <c r="BQ554"/>
    </row>
    <row r="555" spans="69:69">
      <c r="BQ555"/>
    </row>
    <row r="556" spans="69:69">
      <c r="BQ556"/>
    </row>
    <row r="557" spans="69:69">
      <c r="BQ557"/>
    </row>
    <row r="558" spans="69:69">
      <c r="BQ558"/>
    </row>
    <row r="559" spans="69:69">
      <c r="BQ559"/>
    </row>
    <row r="560" spans="69:69">
      <c r="BQ560"/>
    </row>
    <row r="561" spans="69:69">
      <c r="BQ561"/>
    </row>
    <row r="562" spans="69:69">
      <c r="BQ562"/>
    </row>
    <row r="563" spans="69:69">
      <c r="BQ563"/>
    </row>
    <row r="564" spans="69:69">
      <c r="BQ564"/>
    </row>
    <row r="565" spans="69:69">
      <c r="BQ565"/>
    </row>
    <row r="566" spans="69:69">
      <c r="BQ566"/>
    </row>
    <row r="567" spans="69:69">
      <c r="BQ567"/>
    </row>
    <row r="568" spans="69:69">
      <c r="BQ568"/>
    </row>
    <row r="569" spans="69:69">
      <c r="BQ569"/>
    </row>
    <row r="570" spans="69:69">
      <c r="BQ570"/>
    </row>
    <row r="571" spans="69:69">
      <c r="BQ571"/>
    </row>
    <row r="572" spans="69:69">
      <c r="BQ572"/>
    </row>
    <row r="573" spans="69:69">
      <c r="BQ573"/>
    </row>
    <row r="574" spans="69:69">
      <c r="BQ574"/>
    </row>
    <row r="575" spans="69:69">
      <c r="BQ575"/>
    </row>
    <row r="576" spans="69:69">
      <c r="BQ576"/>
    </row>
    <row r="577" spans="69:69">
      <c r="BQ577"/>
    </row>
    <row r="578" spans="69:69">
      <c r="BQ578"/>
    </row>
    <row r="579" spans="69:69">
      <c r="BQ579"/>
    </row>
    <row r="580" spans="69:69">
      <c r="BQ580"/>
    </row>
    <row r="581" spans="69:69">
      <c r="BQ581"/>
    </row>
    <row r="582" spans="69:69">
      <c r="BQ582"/>
    </row>
    <row r="583" spans="69:69">
      <c r="BQ583"/>
    </row>
    <row r="584" spans="69:69">
      <c r="BQ584"/>
    </row>
    <row r="585" spans="69:69">
      <c r="BQ585"/>
    </row>
    <row r="586" spans="69:69">
      <c r="BQ586"/>
    </row>
    <row r="587" spans="69:69">
      <c r="BQ587"/>
    </row>
    <row r="588" spans="69:69">
      <c r="BQ588"/>
    </row>
    <row r="589" spans="69:69">
      <c r="BQ589"/>
    </row>
    <row r="590" spans="69:69">
      <c r="BQ590"/>
    </row>
    <row r="591" spans="69:69">
      <c r="BQ591"/>
    </row>
    <row r="592" spans="69:69">
      <c r="BQ592"/>
    </row>
    <row r="593" spans="69:69">
      <c r="BQ593"/>
    </row>
    <row r="594" spans="69:69">
      <c r="BQ594"/>
    </row>
    <row r="595" spans="69:69">
      <c r="BQ595"/>
    </row>
    <row r="596" spans="69:69">
      <c r="BQ596"/>
    </row>
    <row r="597" spans="69:69">
      <c r="BQ597"/>
    </row>
    <row r="598" spans="69:69">
      <c r="BQ598"/>
    </row>
    <row r="599" spans="69:69">
      <c r="BQ599"/>
    </row>
    <row r="600" spans="69:69">
      <c r="BQ600"/>
    </row>
    <row r="601" spans="69:69">
      <c r="BQ601"/>
    </row>
    <row r="602" spans="69:69">
      <c r="BQ602"/>
    </row>
    <row r="603" spans="69:69">
      <c r="BQ603"/>
    </row>
    <row r="604" spans="69:69">
      <c r="BQ604"/>
    </row>
    <row r="605" spans="69:69">
      <c r="BQ605"/>
    </row>
    <row r="606" spans="69:69">
      <c r="BQ606"/>
    </row>
    <row r="607" spans="69:69">
      <c r="BQ607"/>
    </row>
    <row r="608" spans="69:69">
      <c r="BQ608"/>
    </row>
    <row r="609" spans="69:69">
      <c r="BQ609"/>
    </row>
    <row r="610" spans="69:69">
      <c r="BQ610"/>
    </row>
    <row r="611" spans="69:69">
      <c r="BQ611"/>
    </row>
    <row r="612" spans="69:69">
      <c r="BQ612"/>
    </row>
    <row r="613" spans="69:69">
      <c r="BQ613"/>
    </row>
    <row r="614" spans="69:69">
      <c r="BQ614"/>
    </row>
    <row r="615" spans="69:69">
      <c r="BQ615"/>
    </row>
    <row r="616" spans="69:69">
      <c r="BQ616"/>
    </row>
    <row r="617" spans="69:69">
      <c r="BQ617"/>
    </row>
    <row r="618" spans="69:69">
      <c r="BQ618"/>
    </row>
    <row r="619" spans="69:69">
      <c r="BQ619"/>
    </row>
    <row r="620" spans="69:69">
      <c r="BQ620"/>
    </row>
    <row r="621" spans="69:69">
      <c r="BQ621"/>
    </row>
    <row r="622" spans="69:69">
      <c r="BQ622"/>
    </row>
    <row r="623" spans="69:69">
      <c r="BQ623"/>
    </row>
    <row r="624" spans="69:69">
      <c r="BQ624"/>
    </row>
    <row r="625" spans="69:69">
      <c r="BQ625"/>
    </row>
    <row r="626" spans="69:69">
      <c r="BQ626"/>
    </row>
    <row r="627" spans="69:69">
      <c r="BQ627"/>
    </row>
    <row r="628" spans="69:69">
      <c r="BQ628"/>
    </row>
    <row r="629" spans="69:69">
      <c r="BQ629"/>
    </row>
    <row r="630" spans="69:69">
      <c r="BQ630"/>
    </row>
    <row r="631" spans="69:69">
      <c r="BQ631"/>
    </row>
    <row r="632" spans="69:69">
      <c r="BQ632"/>
    </row>
    <row r="633" spans="69:69">
      <c r="BQ633"/>
    </row>
    <row r="634" spans="69:69">
      <c r="BQ634"/>
    </row>
    <row r="635" spans="69:69">
      <c r="BQ635"/>
    </row>
    <row r="636" spans="69:69">
      <c r="BQ636"/>
    </row>
    <row r="637" spans="69:69">
      <c r="BQ637"/>
    </row>
    <row r="638" spans="69:69">
      <c r="BQ638"/>
    </row>
    <row r="639" spans="69:69">
      <c r="BQ639"/>
    </row>
    <row r="640" spans="69:69">
      <c r="BQ640"/>
    </row>
    <row r="641" spans="69:69">
      <c r="BQ641"/>
    </row>
    <row r="642" spans="69:69">
      <c r="BQ642"/>
    </row>
    <row r="643" spans="69:69">
      <c r="BQ643"/>
    </row>
    <row r="644" spans="69:69">
      <c r="BQ644"/>
    </row>
    <row r="645" spans="69:69">
      <c r="BQ645"/>
    </row>
    <row r="646" spans="69:69">
      <c r="BQ646"/>
    </row>
    <row r="647" spans="69:69">
      <c r="BQ647"/>
    </row>
    <row r="648" spans="69:69">
      <c r="BQ648"/>
    </row>
    <row r="649" spans="69:69">
      <c r="BQ649"/>
    </row>
    <row r="650" spans="69:69">
      <c r="BQ650"/>
    </row>
    <row r="651" spans="69:69">
      <c r="BQ651"/>
    </row>
    <row r="652" spans="69:69">
      <c r="BQ652"/>
    </row>
    <row r="653" spans="69:69">
      <c r="BQ653"/>
    </row>
    <row r="654" spans="69:69">
      <c r="BQ654"/>
    </row>
    <row r="655" spans="69:69">
      <c r="BQ655"/>
    </row>
    <row r="656" spans="69:69">
      <c r="BQ656"/>
    </row>
    <row r="657" spans="69:69">
      <c r="BQ657"/>
    </row>
    <row r="658" spans="69:69">
      <c r="BQ658"/>
    </row>
    <row r="659" spans="69:69">
      <c r="BQ659"/>
    </row>
    <row r="660" spans="69:69">
      <c r="BQ660"/>
    </row>
    <row r="661" spans="69:69">
      <c r="BQ661"/>
    </row>
    <row r="662" spans="69:69">
      <c r="BQ662"/>
    </row>
    <row r="663" spans="69:69">
      <c r="BQ663"/>
    </row>
    <row r="664" spans="69:69">
      <c r="BQ664"/>
    </row>
    <row r="665" spans="69:69">
      <c r="BQ665"/>
    </row>
    <row r="666" spans="69:69">
      <c r="BQ666"/>
    </row>
    <row r="667" spans="69:69">
      <c r="BQ667"/>
    </row>
    <row r="668" spans="69:69">
      <c r="BQ668"/>
    </row>
    <row r="669" spans="69:69">
      <c r="BQ669"/>
    </row>
    <row r="670" spans="69:69">
      <c r="BQ670"/>
    </row>
    <row r="671" spans="69:69">
      <c r="BQ671"/>
    </row>
    <row r="672" spans="69:69">
      <c r="BQ672"/>
    </row>
    <row r="673" spans="69:69">
      <c r="BQ673"/>
    </row>
    <row r="674" spans="69:69">
      <c r="BQ674"/>
    </row>
    <row r="675" spans="69:69">
      <c r="BQ675"/>
    </row>
    <row r="676" spans="69:69">
      <c r="BQ676"/>
    </row>
    <row r="677" spans="69:69">
      <c r="BQ677"/>
    </row>
    <row r="678" spans="69:69">
      <c r="BQ678"/>
    </row>
    <row r="679" spans="69:69">
      <c r="BQ679"/>
    </row>
    <row r="680" spans="69:69">
      <c r="BQ680"/>
    </row>
    <row r="681" spans="69:69">
      <c r="BQ681"/>
    </row>
    <row r="682" spans="69:69">
      <c r="BQ682"/>
    </row>
    <row r="683" spans="69:69">
      <c r="BQ683"/>
    </row>
    <row r="684" spans="69:69">
      <c r="BQ684"/>
    </row>
    <row r="685" spans="69:69">
      <c r="BQ685"/>
    </row>
    <row r="686" spans="69:69">
      <c r="BQ686"/>
    </row>
    <row r="687" spans="69:69">
      <c r="BQ687"/>
    </row>
    <row r="688" spans="69:69">
      <c r="BQ688"/>
    </row>
    <row r="689" spans="69:69">
      <c r="BQ689"/>
    </row>
    <row r="690" spans="69:69">
      <c r="BQ690"/>
    </row>
    <row r="691" spans="69:69">
      <c r="BQ691"/>
    </row>
    <row r="692" spans="69:69">
      <c r="BQ692"/>
    </row>
    <row r="693" spans="69:69">
      <c r="BQ693"/>
    </row>
    <row r="694" spans="69:69">
      <c r="BQ694"/>
    </row>
    <row r="695" spans="69:69">
      <c r="BQ695"/>
    </row>
    <row r="696" spans="69:69">
      <c r="BQ696"/>
    </row>
    <row r="697" spans="69:69">
      <c r="BQ697"/>
    </row>
    <row r="698" spans="69:69">
      <c r="BQ698"/>
    </row>
    <row r="699" spans="69:69">
      <c r="BQ699"/>
    </row>
    <row r="700" spans="69:69">
      <c r="BQ700"/>
    </row>
    <row r="701" spans="69:69">
      <c r="BQ701"/>
    </row>
    <row r="702" spans="69:69">
      <c r="BQ702"/>
    </row>
    <row r="703" spans="69:69">
      <c r="BQ703"/>
    </row>
    <row r="704" spans="69:69">
      <c r="BQ704"/>
    </row>
    <row r="705" spans="69:69">
      <c r="BQ705"/>
    </row>
    <row r="706" spans="69:69">
      <c r="BQ706"/>
    </row>
    <row r="707" spans="69:69">
      <c r="BQ707"/>
    </row>
    <row r="708" spans="69:69">
      <c r="BQ708"/>
    </row>
    <row r="709" spans="69:69">
      <c r="BQ709"/>
    </row>
    <row r="710" spans="69:69">
      <c r="BQ710"/>
    </row>
    <row r="711" spans="69:69">
      <c r="BQ711"/>
    </row>
    <row r="712" spans="69:69">
      <c r="BQ712"/>
    </row>
    <row r="713" spans="69:69">
      <c r="BQ713"/>
    </row>
    <row r="714" spans="69:69">
      <c r="BQ714"/>
    </row>
    <row r="715" spans="69:69">
      <c r="BQ715"/>
    </row>
    <row r="716" spans="69:69">
      <c r="BQ716"/>
    </row>
    <row r="717" spans="69:69">
      <c r="BQ717"/>
    </row>
    <row r="718" spans="69:69">
      <c r="BQ718"/>
    </row>
    <row r="719" spans="69:69">
      <c r="BQ719"/>
    </row>
    <row r="720" spans="69:69">
      <c r="BQ720"/>
    </row>
    <row r="721" spans="69:69">
      <c r="BQ721"/>
    </row>
    <row r="722" spans="69:69">
      <c r="BQ722"/>
    </row>
    <row r="723" spans="69:69">
      <c r="BQ723"/>
    </row>
    <row r="724" spans="69:69">
      <c r="BQ724"/>
    </row>
    <row r="725" spans="69:69">
      <c r="BQ725"/>
    </row>
    <row r="726" spans="69:69">
      <c r="BQ726"/>
    </row>
    <row r="727" spans="69:69">
      <c r="BQ727"/>
    </row>
    <row r="728" spans="69:69">
      <c r="BQ728"/>
    </row>
    <row r="729" spans="69:69">
      <c r="BQ729"/>
    </row>
    <row r="730" spans="69:69">
      <c r="BQ730"/>
    </row>
    <row r="731" spans="69:69">
      <c r="BQ731"/>
    </row>
    <row r="732" spans="69:69">
      <c r="BQ732"/>
    </row>
    <row r="733" spans="69:69">
      <c r="BQ733"/>
    </row>
    <row r="734" spans="69:69">
      <c r="BQ734"/>
    </row>
    <row r="735" spans="69:69">
      <c r="BQ735"/>
    </row>
    <row r="736" spans="69:69">
      <c r="BQ736"/>
    </row>
    <row r="737" spans="69:69">
      <c r="BQ737"/>
    </row>
    <row r="738" spans="69:69">
      <c r="BQ738"/>
    </row>
    <row r="739" spans="69:69">
      <c r="BQ739"/>
    </row>
    <row r="740" spans="69:69">
      <c r="BQ740"/>
    </row>
    <row r="741" spans="69:69">
      <c r="BQ741"/>
    </row>
    <row r="742" spans="69:69">
      <c r="BQ742"/>
    </row>
    <row r="743" spans="69:69">
      <c r="BQ743"/>
    </row>
    <row r="744" spans="69:69">
      <c r="BQ744"/>
    </row>
    <row r="745" spans="69:69">
      <c r="BQ745"/>
    </row>
    <row r="746" spans="69:69">
      <c r="BQ746"/>
    </row>
    <row r="747" spans="69:69">
      <c r="BQ747"/>
    </row>
    <row r="748" spans="69:69">
      <c r="BQ748"/>
    </row>
    <row r="749" spans="69:69">
      <c r="BQ749"/>
    </row>
    <row r="750" spans="69:69">
      <c r="BQ750"/>
    </row>
    <row r="751" spans="69:69">
      <c r="BQ751"/>
    </row>
    <row r="752" spans="69:69">
      <c r="BQ752"/>
    </row>
    <row r="753" spans="69:69">
      <c r="BQ753"/>
    </row>
    <row r="754" spans="69:69">
      <c r="BQ754"/>
    </row>
    <row r="755" spans="69:69">
      <c r="BQ755"/>
    </row>
    <row r="756" spans="69:69">
      <c r="BQ756"/>
    </row>
    <row r="757" spans="69:69">
      <c r="BQ757"/>
    </row>
    <row r="758" spans="69:69">
      <c r="BQ758"/>
    </row>
    <row r="759" spans="69:69">
      <c r="BQ759"/>
    </row>
    <row r="760" spans="69:69">
      <c r="BQ760"/>
    </row>
    <row r="761" spans="69:69">
      <c r="BQ761"/>
    </row>
    <row r="762" spans="69:69">
      <c r="BQ762"/>
    </row>
    <row r="763" spans="69:69">
      <c r="BQ763"/>
    </row>
    <row r="764" spans="69:69">
      <c r="BQ764"/>
    </row>
    <row r="765" spans="69:69">
      <c r="BQ765"/>
    </row>
    <row r="766" spans="69:69">
      <c r="BQ766"/>
    </row>
    <row r="767" spans="69:69">
      <c r="BQ767"/>
    </row>
    <row r="768" spans="69:69">
      <c r="BQ768"/>
    </row>
    <row r="769" spans="69:69">
      <c r="BQ769"/>
    </row>
    <row r="770" spans="69:69">
      <c r="BQ770"/>
    </row>
    <row r="771" spans="69:69">
      <c r="BQ771"/>
    </row>
    <row r="772" spans="69:69">
      <c r="BQ772"/>
    </row>
    <row r="773" spans="69:69">
      <c r="BQ773"/>
    </row>
    <row r="774" spans="69:69">
      <c r="BQ774"/>
    </row>
    <row r="775" spans="69:69">
      <c r="BQ775"/>
    </row>
    <row r="776" spans="69:69">
      <c r="BQ776"/>
    </row>
    <row r="777" spans="69:69">
      <c r="BQ777"/>
    </row>
    <row r="778" spans="69:69">
      <c r="BQ778"/>
    </row>
    <row r="779" spans="69:69">
      <c r="BQ779"/>
    </row>
    <row r="780" spans="69:69">
      <c r="BQ780"/>
    </row>
    <row r="781" spans="69:69">
      <c r="BQ781"/>
    </row>
    <row r="782" spans="69:69">
      <c r="BQ782"/>
    </row>
    <row r="783" spans="69:69">
      <c r="BQ783"/>
    </row>
    <row r="784" spans="69:69">
      <c r="BQ784"/>
    </row>
    <row r="785" spans="69:69">
      <c r="BQ785"/>
    </row>
    <row r="786" spans="69:69">
      <c r="BQ786"/>
    </row>
    <row r="787" spans="69:69">
      <c r="BQ787"/>
    </row>
    <row r="788" spans="69:69">
      <c r="BQ788"/>
    </row>
    <row r="789" spans="69:69">
      <c r="BQ789"/>
    </row>
    <row r="790" spans="69:69">
      <c r="BQ790"/>
    </row>
    <row r="791" spans="69:69">
      <c r="BQ791"/>
    </row>
    <row r="792" spans="69:69">
      <c r="BQ792"/>
    </row>
    <row r="793" spans="69:69">
      <c r="BQ793"/>
    </row>
    <row r="794" spans="69:69">
      <c r="BQ794"/>
    </row>
    <row r="795" spans="69:69">
      <c r="BQ795"/>
    </row>
    <row r="796" spans="69:69">
      <c r="BQ796"/>
    </row>
    <row r="797" spans="69:69">
      <c r="BQ797"/>
    </row>
    <row r="798" spans="69:69">
      <c r="BQ798"/>
    </row>
    <row r="799" spans="69:69">
      <c r="BQ799"/>
    </row>
    <row r="800" spans="69:69">
      <c r="BQ800"/>
    </row>
    <row r="801" spans="69:69">
      <c r="BQ801"/>
    </row>
    <row r="802" spans="69:69">
      <c r="BQ802"/>
    </row>
    <row r="803" spans="69:69">
      <c r="BQ803"/>
    </row>
    <row r="804" spans="69:69">
      <c r="BQ804"/>
    </row>
    <row r="805" spans="69:69">
      <c r="BQ805"/>
    </row>
    <row r="806" spans="69:69">
      <c r="BQ806"/>
    </row>
    <row r="807" spans="69:69">
      <c r="BQ807"/>
    </row>
    <row r="808" spans="69:69">
      <c r="BQ808"/>
    </row>
    <row r="809" spans="69:69">
      <c r="BQ809"/>
    </row>
    <row r="810" spans="69:69">
      <c r="BQ810"/>
    </row>
    <row r="811" spans="69:69">
      <c r="BQ811"/>
    </row>
    <row r="812" spans="69:69">
      <c r="BQ812"/>
    </row>
    <row r="813" spans="69:69">
      <c r="BQ813"/>
    </row>
    <row r="814" spans="69:69">
      <c r="BQ814"/>
    </row>
    <row r="815" spans="69:69">
      <c r="BQ815"/>
    </row>
    <row r="816" spans="69:69">
      <c r="BQ816"/>
    </row>
    <row r="817" spans="69:69">
      <c r="BQ817"/>
    </row>
    <row r="818" spans="69:69">
      <c r="BQ818"/>
    </row>
    <row r="819" spans="69:69">
      <c r="BQ819"/>
    </row>
    <row r="820" spans="69:69">
      <c r="BQ820"/>
    </row>
    <row r="821" spans="69:69">
      <c r="BQ821"/>
    </row>
    <row r="822" spans="69:69">
      <c r="BQ822"/>
    </row>
    <row r="823" spans="69:69">
      <c r="BQ823"/>
    </row>
    <row r="824" spans="69:69">
      <c r="BQ824"/>
    </row>
    <row r="825" spans="69:69">
      <c r="BQ825"/>
    </row>
    <row r="826" spans="69:69">
      <c r="BQ826"/>
    </row>
    <row r="827" spans="69:69">
      <c r="BQ827"/>
    </row>
    <row r="828" spans="69:69">
      <c r="BQ828"/>
    </row>
    <row r="829" spans="69:69">
      <c r="BQ829"/>
    </row>
    <row r="830" spans="69:69">
      <c r="BQ830"/>
    </row>
    <row r="831" spans="69:69">
      <c r="BQ831"/>
    </row>
    <row r="832" spans="69:69">
      <c r="BQ832"/>
    </row>
    <row r="833" spans="69:69">
      <c r="BQ833"/>
    </row>
    <row r="834" spans="69:69">
      <c r="BQ834"/>
    </row>
    <row r="835" spans="69:69">
      <c r="BQ835"/>
    </row>
    <row r="836" spans="69:69">
      <c r="BQ836"/>
    </row>
    <row r="837" spans="69:69">
      <c r="BQ837"/>
    </row>
    <row r="838" spans="69:69">
      <c r="BQ838"/>
    </row>
    <row r="839" spans="69:69">
      <c r="BQ839"/>
    </row>
    <row r="840" spans="69:69">
      <c r="BQ840"/>
    </row>
    <row r="841" spans="69:69">
      <c r="BQ841"/>
    </row>
    <row r="842" spans="69:69">
      <c r="BQ842"/>
    </row>
    <row r="843" spans="69:69">
      <c r="BQ843"/>
    </row>
    <row r="844" spans="69:69">
      <c r="BQ844"/>
    </row>
    <row r="845" spans="69:69">
      <c r="BQ845"/>
    </row>
    <row r="846" spans="69:69">
      <c r="BQ846"/>
    </row>
    <row r="847" spans="69:69">
      <c r="BQ847"/>
    </row>
    <row r="848" spans="69:69">
      <c r="BQ848"/>
    </row>
    <row r="849" spans="69:69">
      <c r="BQ849"/>
    </row>
    <row r="850" spans="69:69">
      <c r="BQ850"/>
    </row>
    <row r="851" spans="69:69">
      <c r="BQ851"/>
    </row>
    <row r="852" spans="69:69">
      <c r="BQ852"/>
    </row>
    <row r="853" spans="69:69">
      <c r="BQ853"/>
    </row>
    <row r="854" spans="69:69">
      <c r="BQ854"/>
    </row>
    <row r="855" spans="69:69">
      <c r="BQ855"/>
    </row>
    <row r="856" spans="69:69">
      <c r="BQ856"/>
    </row>
    <row r="857" spans="69:69">
      <c r="BQ857"/>
    </row>
    <row r="858" spans="69:69">
      <c r="BQ858"/>
    </row>
    <row r="859" spans="69:69">
      <c r="BQ859"/>
    </row>
    <row r="860" spans="69:69">
      <c r="BQ860"/>
    </row>
    <row r="861" spans="69:69">
      <c r="BQ861"/>
    </row>
    <row r="862" spans="69:69">
      <c r="BQ862"/>
    </row>
    <row r="863" spans="69:69">
      <c r="BQ863"/>
    </row>
    <row r="864" spans="69:69">
      <c r="BQ864"/>
    </row>
    <row r="865" spans="69:69">
      <c r="BQ865"/>
    </row>
    <row r="866" spans="69:69">
      <c r="BQ866"/>
    </row>
    <row r="867" spans="69:69">
      <c r="BQ867"/>
    </row>
    <row r="868" spans="69:69">
      <c r="BQ868"/>
    </row>
    <row r="869" spans="69:69">
      <c r="BQ869"/>
    </row>
    <row r="870" spans="69:69">
      <c r="BQ870"/>
    </row>
    <row r="871" spans="69:69">
      <c r="BQ871"/>
    </row>
    <row r="872" spans="69:69">
      <c r="BQ872"/>
    </row>
    <row r="873" spans="69:69">
      <c r="BQ873"/>
    </row>
    <row r="874" spans="69:69">
      <c r="BQ874"/>
    </row>
    <row r="875" spans="69:69">
      <c r="BQ875"/>
    </row>
    <row r="876" spans="69:69">
      <c r="BQ876"/>
    </row>
    <row r="877" spans="69:69">
      <c r="BQ877"/>
    </row>
    <row r="878" spans="69:69">
      <c r="BQ878"/>
    </row>
    <row r="879" spans="69:69">
      <c r="BQ879"/>
    </row>
    <row r="880" spans="69:69">
      <c r="BQ880"/>
    </row>
    <row r="881" spans="69:69">
      <c r="BQ881"/>
    </row>
    <row r="882" spans="69:69">
      <c r="BQ882"/>
    </row>
    <row r="883" spans="69:69">
      <c r="BQ883"/>
    </row>
    <row r="884" spans="69:69">
      <c r="BQ884"/>
    </row>
    <row r="885" spans="69:69">
      <c r="BQ885"/>
    </row>
    <row r="886" spans="69:69">
      <c r="BQ886"/>
    </row>
    <row r="887" spans="69:69">
      <c r="BQ887"/>
    </row>
    <row r="888" spans="69:69">
      <c r="BQ888"/>
    </row>
    <row r="889" spans="69:69">
      <c r="BQ889"/>
    </row>
    <row r="890" spans="69:69">
      <c r="BQ890"/>
    </row>
    <row r="891" spans="69:69">
      <c r="BQ891"/>
    </row>
    <row r="892" spans="69:69">
      <c r="BQ892"/>
    </row>
    <row r="893" spans="69:69">
      <c r="BQ893"/>
    </row>
    <row r="894" spans="69:69">
      <c r="BQ894"/>
    </row>
    <row r="895" spans="69:69">
      <c r="BQ895"/>
    </row>
    <row r="896" spans="69:69">
      <c r="BQ896"/>
    </row>
    <row r="897" spans="69:69">
      <c r="BQ897"/>
    </row>
    <row r="898" spans="69:69">
      <c r="BQ898"/>
    </row>
    <row r="899" spans="69:69">
      <c r="BQ899"/>
    </row>
    <row r="900" spans="69:69">
      <c r="BQ900"/>
    </row>
    <row r="901" spans="69:69">
      <c r="BQ901"/>
    </row>
    <row r="902" spans="69:69">
      <c r="BQ902"/>
    </row>
    <row r="903" spans="69:69">
      <c r="BQ903"/>
    </row>
    <row r="904" spans="69:69">
      <c r="BQ904"/>
    </row>
    <row r="905" spans="69:69">
      <c r="BQ905"/>
    </row>
    <row r="906" spans="69:69">
      <c r="BQ906"/>
    </row>
    <row r="907" spans="69:69">
      <c r="BQ907"/>
    </row>
    <row r="908" spans="69:69">
      <c r="BQ908"/>
    </row>
    <row r="909" spans="69:69">
      <c r="BQ909"/>
    </row>
    <row r="910" spans="69:69">
      <c r="BQ910"/>
    </row>
    <row r="911" spans="69:69">
      <c r="BQ911"/>
    </row>
    <row r="912" spans="69:69">
      <c r="BQ912"/>
    </row>
    <row r="913" spans="69:69">
      <c r="BQ913"/>
    </row>
    <row r="914" spans="69:69">
      <c r="BQ914"/>
    </row>
    <row r="915" spans="69:69">
      <c r="BQ915"/>
    </row>
    <row r="916" spans="69:69">
      <c r="BQ916"/>
    </row>
    <row r="917" spans="69:69">
      <c r="BQ917"/>
    </row>
    <row r="918" spans="69:69">
      <c r="BQ918"/>
    </row>
    <row r="919" spans="69:69">
      <c r="BQ919"/>
    </row>
    <row r="920" spans="69:69">
      <c r="BQ920"/>
    </row>
    <row r="921" spans="69:69">
      <c r="BQ921"/>
    </row>
    <row r="922" spans="69:69">
      <c r="BQ922"/>
    </row>
    <row r="923" spans="69:69">
      <c r="BQ923"/>
    </row>
    <row r="924" spans="69:69">
      <c r="BQ924"/>
    </row>
    <row r="925" spans="69:69">
      <c r="BQ925"/>
    </row>
    <row r="926" spans="69:69">
      <c r="BQ926"/>
    </row>
    <row r="927" spans="69:69">
      <c r="BQ927"/>
    </row>
    <row r="928" spans="69:69">
      <c r="BQ928"/>
    </row>
    <row r="929" spans="69:69">
      <c r="BQ929"/>
    </row>
    <row r="930" spans="69:69">
      <c r="BQ930"/>
    </row>
    <row r="931" spans="69:69">
      <c r="BQ931"/>
    </row>
    <row r="932" spans="69:69">
      <c r="BQ932"/>
    </row>
    <row r="933" spans="69:69">
      <c r="BQ933"/>
    </row>
    <row r="934" spans="69:69">
      <c r="BQ934"/>
    </row>
    <row r="935" spans="69:69">
      <c r="BQ935"/>
    </row>
    <row r="936" spans="69:69">
      <c r="BQ936"/>
    </row>
    <row r="937" spans="69:69">
      <c r="BQ937"/>
    </row>
    <row r="938" spans="69:69">
      <c r="BQ938"/>
    </row>
    <row r="939" spans="69:69">
      <c r="BQ939"/>
    </row>
    <row r="940" spans="69:69">
      <c r="BQ940"/>
    </row>
    <row r="941" spans="69:69">
      <c r="BQ941"/>
    </row>
    <row r="942" spans="69:69">
      <c r="BQ942"/>
    </row>
    <row r="943" spans="69:69">
      <c r="BQ943"/>
    </row>
    <row r="944" spans="69:69">
      <c r="BQ944"/>
    </row>
    <row r="945" spans="69:69">
      <c r="BQ945"/>
    </row>
    <row r="946" spans="69:69">
      <c r="BQ946"/>
    </row>
    <row r="947" spans="69:69">
      <c r="BQ947"/>
    </row>
    <row r="948" spans="69:69">
      <c r="BQ948"/>
    </row>
    <row r="949" spans="69:69">
      <c r="BQ949"/>
    </row>
    <row r="950" spans="69:69">
      <c r="BQ950"/>
    </row>
    <row r="951" spans="69:69">
      <c r="BQ951"/>
    </row>
    <row r="952" spans="69:69">
      <c r="BQ952"/>
    </row>
    <row r="953" spans="69:69">
      <c r="BQ953"/>
    </row>
    <row r="954" spans="69:69">
      <c r="BQ954"/>
    </row>
    <row r="955" spans="69:69">
      <c r="BQ955"/>
    </row>
    <row r="956" spans="69:69">
      <c r="BQ956"/>
    </row>
    <row r="957" spans="69:69">
      <c r="BQ957"/>
    </row>
    <row r="958" spans="69:69">
      <c r="BQ958"/>
    </row>
    <row r="959" spans="69:69">
      <c r="BQ959"/>
    </row>
    <row r="960" spans="69:69">
      <c r="BQ960"/>
    </row>
    <row r="961" spans="69:69">
      <c r="BQ961"/>
    </row>
    <row r="962" spans="69:69">
      <c r="BQ962"/>
    </row>
    <row r="963" spans="69:69">
      <c r="BQ963"/>
    </row>
    <row r="964" spans="69:69">
      <c r="BQ964"/>
    </row>
    <row r="965" spans="69:69">
      <c r="BQ965"/>
    </row>
    <row r="966" spans="69:69">
      <c r="BQ966"/>
    </row>
    <row r="967" spans="69:69">
      <c r="BQ967"/>
    </row>
    <row r="968" spans="69:69">
      <c r="BQ968"/>
    </row>
    <row r="969" spans="69:69">
      <c r="BQ969"/>
    </row>
    <row r="970" spans="69:69">
      <c r="BQ970"/>
    </row>
    <row r="971" spans="69:69">
      <c r="BQ971"/>
    </row>
    <row r="972" spans="69:69">
      <c r="BQ972"/>
    </row>
    <row r="973" spans="69:69">
      <c r="BQ973"/>
    </row>
    <row r="974" spans="69:69">
      <c r="BQ974"/>
    </row>
    <row r="975" spans="69:69">
      <c r="BQ975"/>
    </row>
    <row r="976" spans="69:69">
      <c r="BQ976"/>
    </row>
    <row r="977" spans="69:69">
      <c r="BQ977"/>
    </row>
    <row r="978" spans="69:69">
      <c r="BQ978"/>
    </row>
    <row r="979" spans="69:69">
      <c r="BQ979"/>
    </row>
    <row r="980" spans="69:69">
      <c r="BQ980"/>
    </row>
    <row r="981" spans="69:69">
      <c r="BQ981"/>
    </row>
    <row r="982" spans="69:69">
      <c r="BQ982"/>
    </row>
    <row r="983" spans="69:69">
      <c r="BQ983"/>
    </row>
    <row r="984" spans="69:69">
      <c r="BQ984"/>
    </row>
    <row r="985" spans="69:69">
      <c r="BQ985"/>
    </row>
    <row r="986" spans="69:69">
      <c r="BQ986"/>
    </row>
    <row r="987" spans="69:69">
      <c r="BQ987"/>
    </row>
    <row r="988" spans="69:69">
      <c r="BQ988"/>
    </row>
    <row r="989" spans="69:69">
      <c r="BQ989"/>
    </row>
    <row r="990" spans="69:69">
      <c r="BQ990"/>
    </row>
    <row r="991" spans="69:69">
      <c r="BQ991"/>
    </row>
    <row r="992" spans="69:69">
      <c r="BQ992"/>
    </row>
    <row r="993" spans="69:69">
      <c r="BQ993"/>
    </row>
    <row r="994" spans="69:69">
      <c r="BQ994"/>
    </row>
    <row r="995" spans="69:69">
      <c r="BQ995"/>
    </row>
    <row r="996" spans="69:69">
      <c r="BQ996"/>
    </row>
    <row r="997" spans="69:69">
      <c r="BQ997"/>
    </row>
    <row r="998" spans="69:69">
      <c r="BQ998"/>
    </row>
    <row r="999" spans="69:69">
      <c r="BQ999"/>
    </row>
    <row r="1000" spans="69:69">
      <c r="BQ1000"/>
    </row>
    <row r="1001" spans="69:69">
      <c r="BQ1001"/>
    </row>
    <row r="1002" spans="69:69">
      <c r="BQ1002"/>
    </row>
    <row r="1003" spans="69:69">
      <c r="BQ1003"/>
    </row>
    <row r="1004" spans="69:69">
      <c r="BQ1004"/>
    </row>
    <row r="1005" spans="69:69">
      <c r="BQ1005"/>
    </row>
    <row r="1006" spans="69:69">
      <c r="BQ1006"/>
    </row>
    <row r="1007" spans="69:69">
      <c r="BQ1007"/>
    </row>
    <row r="1008" spans="69:69">
      <c r="BQ1008"/>
    </row>
    <row r="1009" spans="69:69">
      <c r="BQ1009"/>
    </row>
    <row r="1010" spans="69:69">
      <c r="BQ1010"/>
    </row>
    <row r="1011" spans="69:69">
      <c r="BQ1011"/>
    </row>
    <row r="1012" spans="69:69">
      <c r="BQ1012"/>
    </row>
    <row r="1013" spans="69:69">
      <c r="BQ1013"/>
    </row>
    <row r="1014" spans="69:69">
      <c r="BQ1014"/>
    </row>
    <row r="1015" spans="69:69">
      <c r="BQ1015"/>
    </row>
    <row r="1016" spans="69:69">
      <c r="BQ1016"/>
    </row>
    <row r="1017" spans="69:69">
      <c r="BQ1017"/>
    </row>
    <row r="1018" spans="69:69">
      <c r="BQ1018"/>
    </row>
    <row r="1019" spans="69:69">
      <c r="BQ1019"/>
    </row>
    <row r="1020" spans="69:69">
      <c r="BQ1020"/>
    </row>
    <row r="1021" spans="69:69">
      <c r="BQ1021"/>
    </row>
    <row r="1022" spans="69:69">
      <c r="BQ1022"/>
    </row>
    <row r="1023" spans="69:69">
      <c r="BQ1023"/>
    </row>
    <row r="1024" spans="69:69">
      <c r="BQ1024"/>
    </row>
    <row r="1025" spans="69:69">
      <c r="BQ1025"/>
    </row>
    <row r="1026" spans="69:69">
      <c r="BQ1026"/>
    </row>
    <row r="1027" spans="69:69">
      <c r="BQ1027"/>
    </row>
    <row r="1028" spans="69:69">
      <c r="BQ1028"/>
    </row>
    <row r="1029" spans="69:69">
      <c r="BQ1029"/>
    </row>
    <row r="1030" spans="69:69">
      <c r="BQ1030"/>
    </row>
    <row r="1031" spans="69:69">
      <c r="BQ1031"/>
    </row>
    <row r="1032" spans="69:69">
      <c r="BQ1032"/>
    </row>
    <row r="1033" spans="69:69">
      <c r="BQ1033"/>
    </row>
    <row r="1034" spans="69:69">
      <c r="BQ1034"/>
    </row>
    <row r="1035" spans="69:69">
      <c r="BQ1035"/>
    </row>
    <row r="1036" spans="69:69">
      <c r="BQ1036"/>
    </row>
    <row r="1037" spans="69:69">
      <c r="BQ1037"/>
    </row>
    <row r="1038" spans="69:69">
      <c r="BQ1038"/>
    </row>
    <row r="1039" spans="69:69">
      <c r="BQ1039"/>
    </row>
    <row r="1040" spans="69:69">
      <c r="BQ1040"/>
    </row>
    <row r="1041" spans="69:69">
      <c r="BQ1041"/>
    </row>
    <row r="1042" spans="69:69">
      <c r="BQ1042"/>
    </row>
    <row r="1043" spans="69:69">
      <c r="BQ1043"/>
    </row>
    <row r="1044" spans="69:69">
      <c r="BQ1044"/>
    </row>
    <row r="1045" spans="69:69">
      <c r="BQ1045"/>
    </row>
    <row r="1046" spans="69:69">
      <c r="BQ1046"/>
    </row>
    <row r="1047" spans="69:69">
      <c r="BQ1047"/>
    </row>
    <row r="1048" spans="69:69">
      <c r="BQ1048"/>
    </row>
    <row r="1049" spans="69:69">
      <c r="BQ1049"/>
    </row>
    <row r="1050" spans="69:69">
      <c r="BQ1050"/>
    </row>
    <row r="1051" spans="69:69">
      <c r="BQ1051"/>
    </row>
    <row r="1052" spans="69:69">
      <c r="BQ1052"/>
    </row>
    <row r="1053" spans="69:69">
      <c r="BQ1053"/>
    </row>
    <row r="1054" spans="69:69">
      <c r="BQ1054"/>
    </row>
    <row r="1055" spans="69:69">
      <c r="BQ1055"/>
    </row>
    <row r="1056" spans="69:69">
      <c r="BQ1056"/>
    </row>
    <row r="1057" spans="69:69">
      <c r="BQ1057"/>
    </row>
    <row r="1058" spans="69:69">
      <c r="BQ1058"/>
    </row>
    <row r="1059" spans="69:69">
      <c r="BQ1059"/>
    </row>
    <row r="1060" spans="69:69">
      <c r="BQ1060"/>
    </row>
    <row r="1061" spans="69:69">
      <c r="BQ1061"/>
    </row>
    <row r="1062" spans="69:69">
      <c r="BQ1062"/>
    </row>
    <row r="1063" spans="69:69">
      <c r="BQ1063"/>
    </row>
    <row r="1064" spans="69:69">
      <c r="BQ1064"/>
    </row>
    <row r="1065" spans="69:69">
      <c r="BQ1065"/>
    </row>
    <row r="1066" spans="69:69">
      <c r="BQ1066"/>
    </row>
    <row r="1067" spans="69:69">
      <c r="BQ1067"/>
    </row>
    <row r="1068" spans="69:69">
      <c r="BQ1068"/>
    </row>
    <row r="1069" spans="69:69">
      <c r="BQ1069"/>
    </row>
    <row r="1070" spans="69:69">
      <c r="BQ1070"/>
    </row>
    <row r="1071" spans="69:69">
      <c r="BQ1071"/>
    </row>
    <row r="1072" spans="69:69">
      <c r="BQ1072"/>
    </row>
    <row r="1073" spans="69:69">
      <c r="BQ1073"/>
    </row>
    <row r="1074" spans="69:69">
      <c r="BQ1074"/>
    </row>
    <row r="1075" spans="69:69">
      <c r="BQ1075"/>
    </row>
    <row r="1076" spans="69:69">
      <c r="BQ1076"/>
    </row>
    <row r="1077" spans="69:69">
      <c r="BQ1077"/>
    </row>
    <row r="1078" spans="69:69">
      <c r="BQ1078"/>
    </row>
    <row r="1079" spans="69:69">
      <c r="BQ1079"/>
    </row>
    <row r="1080" spans="69:69">
      <c r="BQ1080"/>
    </row>
    <row r="1081" spans="69:69">
      <c r="BQ1081"/>
    </row>
    <row r="1082" spans="69:69">
      <c r="BQ1082"/>
    </row>
    <row r="1083" spans="69:69">
      <c r="BQ1083"/>
    </row>
    <row r="1084" spans="69:69">
      <c r="BQ1084"/>
    </row>
    <row r="1085" spans="69:69">
      <c r="BQ1085"/>
    </row>
    <row r="1086" spans="69:69">
      <c r="BQ1086"/>
    </row>
    <row r="1087" spans="69:69">
      <c r="BQ1087"/>
    </row>
    <row r="1088" spans="69:69">
      <c r="BQ1088"/>
    </row>
    <row r="1089" spans="69:69">
      <c r="BQ1089"/>
    </row>
    <row r="1090" spans="69:69">
      <c r="BQ1090"/>
    </row>
    <row r="1091" spans="69:69">
      <c r="BQ1091"/>
    </row>
    <row r="1092" spans="69:69">
      <c r="BQ1092"/>
    </row>
    <row r="1093" spans="69:69">
      <c r="BQ1093"/>
    </row>
    <row r="1094" spans="69:69">
      <c r="BQ1094"/>
    </row>
    <row r="1095" spans="69:69">
      <c r="BQ1095"/>
    </row>
    <row r="1096" spans="69:69">
      <c r="BQ1096"/>
    </row>
    <row r="1097" spans="69:69">
      <c r="BQ1097"/>
    </row>
    <row r="1098" spans="69:69">
      <c r="BQ1098"/>
    </row>
    <row r="1099" spans="69:69">
      <c r="BQ1099"/>
    </row>
    <row r="1100" spans="69:69">
      <c r="BQ1100"/>
    </row>
    <row r="1101" spans="69:69">
      <c r="BQ1101"/>
    </row>
    <row r="1102" spans="69:69">
      <c r="BQ1102"/>
    </row>
    <row r="1103" spans="69:69">
      <c r="BQ1103"/>
    </row>
    <row r="1104" spans="69:69">
      <c r="BQ1104"/>
    </row>
    <row r="1105" spans="69:69">
      <c r="BQ1105"/>
    </row>
    <row r="1106" spans="69:69">
      <c r="BQ1106"/>
    </row>
    <row r="1107" spans="69:69">
      <c r="BQ1107"/>
    </row>
    <row r="1108" spans="69:69">
      <c r="BQ1108"/>
    </row>
    <row r="1109" spans="69:69">
      <c r="BQ1109"/>
    </row>
    <row r="1110" spans="69:69">
      <c r="BQ1110"/>
    </row>
    <row r="1111" spans="69:69">
      <c r="BQ1111"/>
    </row>
    <row r="1112" spans="69:69">
      <c r="BQ1112"/>
    </row>
    <row r="1113" spans="69:69">
      <c r="BQ1113"/>
    </row>
    <row r="1114" spans="69:69">
      <c r="BQ1114"/>
    </row>
    <row r="1115" spans="69:69">
      <c r="BQ1115"/>
    </row>
    <row r="1116" spans="69:69">
      <c r="BQ1116"/>
    </row>
    <row r="1117" spans="69:69">
      <c r="BQ1117"/>
    </row>
    <row r="1118" spans="69:69">
      <c r="BQ1118"/>
    </row>
    <row r="1119" spans="69:69">
      <c r="BQ1119"/>
    </row>
    <row r="1120" spans="69:69">
      <c r="BQ1120"/>
    </row>
    <row r="1121" spans="69:69">
      <c r="BQ1121"/>
    </row>
    <row r="1122" spans="69:69">
      <c r="BQ1122"/>
    </row>
    <row r="1123" spans="69:69">
      <c r="BQ1123"/>
    </row>
    <row r="1124" spans="69:69">
      <c r="BQ1124"/>
    </row>
    <row r="1125" spans="69:69">
      <c r="BQ1125"/>
    </row>
    <row r="1126" spans="69:69">
      <c r="BQ1126"/>
    </row>
    <row r="1127" spans="69:69">
      <c r="BQ1127"/>
    </row>
    <row r="1128" spans="69:69">
      <c r="BQ1128"/>
    </row>
    <row r="1129" spans="69:69">
      <c r="BQ1129"/>
    </row>
    <row r="1130" spans="69:69">
      <c r="BQ1130"/>
    </row>
    <row r="1131" spans="69:69">
      <c r="BQ1131"/>
    </row>
    <row r="1132" spans="69:69">
      <c r="BQ1132"/>
    </row>
    <row r="1133" spans="69:69">
      <c r="BQ1133"/>
    </row>
    <row r="1134" spans="69:69">
      <c r="BQ1134"/>
    </row>
    <row r="1135" spans="69:69">
      <c r="BQ1135"/>
    </row>
    <row r="1136" spans="69:69">
      <c r="BQ1136"/>
    </row>
    <row r="1137" spans="69:69">
      <c r="BQ1137"/>
    </row>
    <row r="1138" spans="69:69">
      <c r="BQ1138"/>
    </row>
    <row r="1139" spans="69:69">
      <c r="BQ1139"/>
    </row>
    <row r="1140" spans="69:69">
      <c r="BQ1140"/>
    </row>
    <row r="1141" spans="69:69">
      <c r="BQ1141"/>
    </row>
    <row r="1142" spans="69:69">
      <c r="BQ1142"/>
    </row>
    <row r="1143" spans="69:69">
      <c r="BQ1143"/>
    </row>
    <row r="1144" spans="69:69">
      <c r="BQ1144"/>
    </row>
    <row r="1145" spans="69:69">
      <c r="BQ1145"/>
    </row>
    <row r="1146" spans="69:69">
      <c r="BQ1146"/>
    </row>
    <row r="1147" spans="69:69">
      <c r="BQ1147"/>
    </row>
    <row r="1148" spans="69:69">
      <c r="BQ1148"/>
    </row>
    <row r="1149" spans="69:69">
      <c r="BQ1149"/>
    </row>
    <row r="1150" spans="69:69">
      <c r="BQ1150"/>
    </row>
    <row r="1151" spans="69:69">
      <c r="BQ1151"/>
    </row>
    <row r="1152" spans="69:69">
      <c r="BQ1152"/>
    </row>
    <row r="1153" spans="69:69">
      <c r="BQ1153"/>
    </row>
    <row r="1154" spans="69:69">
      <c r="BQ1154"/>
    </row>
    <row r="1155" spans="69:69">
      <c r="BQ1155"/>
    </row>
    <row r="1156" spans="69:69">
      <c r="BQ1156"/>
    </row>
    <row r="1157" spans="69:69">
      <c r="BQ1157"/>
    </row>
    <row r="1158" spans="69:69">
      <c r="BQ1158"/>
    </row>
    <row r="1159" spans="69:69">
      <c r="BQ1159"/>
    </row>
    <row r="1160" spans="69:69">
      <c r="BQ1160"/>
    </row>
    <row r="1161" spans="69:69">
      <c r="BQ1161"/>
    </row>
    <row r="1162" spans="69:69">
      <c r="BQ1162"/>
    </row>
    <row r="1163" spans="69:69">
      <c r="BQ1163"/>
    </row>
    <row r="1164" spans="69:69">
      <c r="BQ1164"/>
    </row>
    <row r="1165" spans="69:69">
      <c r="BQ1165"/>
    </row>
    <row r="1166" spans="69:69">
      <c r="BQ1166"/>
    </row>
    <row r="1167" spans="69:69">
      <c r="BQ1167"/>
    </row>
    <row r="1168" spans="69:69">
      <c r="BQ1168"/>
    </row>
    <row r="1169" spans="69:69">
      <c r="BQ1169"/>
    </row>
    <row r="1170" spans="69:69">
      <c r="BQ1170"/>
    </row>
    <row r="1171" spans="69:69">
      <c r="BQ1171"/>
    </row>
    <row r="1172" spans="69:69">
      <c r="BQ1172"/>
    </row>
    <row r="1173" spans="69:69">
      <c r="BQ1173"/>
    </row>
    <row r="1174" spans="69:69">
      <c r="BQ1174"/>
    </row>
    <row r="1175" spans="69:69">
      <c r="BQ1175"/>
    </row>
    <row r="1176" spans="69:69">
      <c r="BQ1176"/>
    </row>
    <row r="1177" spans="69:69">
      <c r="BQ1177"/>
    </row>
    <row r="1178" spans="69:69">
      <c r="BQ1178"/>
    </row>
    <row r="1179" spans="69:69">
      <c r="BQ1179"/>
    </row>
    <row r="1180" spans="69:69">
      <c r="BQ1180"/>
    </row>
    <row r="1181" spans="69:69">
      <c r="BQ1181"/>
    </row>
    <row r="1182" spans="69:69">
      <c r="BQ1182"/>
    </row>
    <row r="1183" spans="69:69">
      <c r="BQ1183"/>
    </row>
    <row r="1184" spans="69:69">
      <c r="BQ1184"/>
    </row>
    <row r="1185" spans="69:69">
      <c r="BQ1185"/>
    </row>
    <row r="1186" spans="69:69">
      <c r="BQ1186"/>
    </row>
    <row r="1187" spans="69:69">
      <c r="BQ1187"/>
    </row>
    <row r="1188" spans="69:69">
      <c r="BQ1188"/>
    </row>
    <row r="1189" spans="69:69">
      <c r="BQ1189"/>
    </row>
    <row r="1190" spans="69:69">
      <c r="BQ1190"/>
    </row>
    <row r="1191" spans="69:69">
      <c r="BQ1191"/>
    </row>
    <row r="1192" spans="69:69">
      <c r="BQ1192"/>
    </row>
    <row r="1193" spans="69:69">
      <c r="BQ1193"/>
    </row>
    <row r="1194" spans="69:69">
      <c r="BQ1194"/>
    </row>
    <row r="1195" spans="69:69">
      <c r="BQ1195"/>
    </row>
    <row r="1196" spans="69:69">
      <c r="BQ1196"/>
    </row>
    <row r="1197" spans="69:69">
      <c r="BQ1197"/>
    </row>
    <row r="1198" spans="69:69">
      <c r="BQ1198"/>
    </row>
    <row r="1199" spans="69:69">
      <c r="BQ1199"/>
    </row>
    <row r="1200" spans="69:69">
      <c r="BQ1200"/>
    </row>
    <row r="1201" spans="69:69">
      <c r="BQ1201"/>
    </row>
    <row r="1202" spans="69:69">
      <c r="BQ1202"/>
    </row>
    <row r="1203" spans="69:69">
      <c r="BQ1203"/>
    </row>
    <row r="1204" spans="69:69">
      <c r="BQ1204"/>
    </row>
    <row r="1205" spans="69:69">
      <c r="BQ1205"/>
    </row>
    <row r="1206" spans="69:69">
      <c r="BQ1206"/>
    </row>
    <row r="1207" spans="69:69">
      <c r="BQ1207"/>
    </row>
    <row r="1208" spans="69:69">
      <c r="BQ1208"/>
    </row>
    <row r="1209" spans="69:69">
      <c r="BQ1209"/>
    </row>
    <row r="1210" spans="69:69">
      <c r="BQ1210"/>
    </row>
    <row r="1211" spans="69:69">
      <c r="BQ1211"/>
    </row>
    <row r="1212" spans="69:69">
      <c r="BQ1212"/>
    </row>
    <row r="1213" spans="69:69">
      <c r="BQ1213"/>
    </row>
    <row r="1214" spans="69:69">
      <c r="BQ1214"/>
    </row>
    <row r="1215" spans="69:69">
      <c r="BQ1215"/>
    </row>
    <row r="1216" spans="69:69">
      <c r="BQ1216"/>
    </row>
    <row r="1217" spans="69:69">
      <c r="BQ1217"/>
    </row>
    <row r="1218" spans="69:69">
      <c r="BQ1218"/>
    </row>
    <row r="1219" spans="69:69">
      <c r="BQ1219"/>
    </row>
    <row r="1220" spans="69:69">
      <c r="BQ1220"/>
    </row>
    <row r="1221" spans="69:69">
      <c r="BQ1221"/>
    </row>
    <row r="1222" spans="69:69">
      <c r="BQ1222"/>
    </row>
    <row r="1223" spans="69:69">
      <c r="BQ1223"/>
    </row>
    <row r="1224" spans="69:69">
      <c r="BQ1224"/>
    </row>
    <row r="1225" spans="69:69">
      <c r="BQ1225"/>
    </row>
    <row r="1226" spans="69:69">
      <c r="BQ1226"/>
    </row>
    <row r="1227" spans="69:69">
      <c r="BQ1227"/>
    </row>
    <row r="1228" spans="69:69">
      <c r="BQ1228"/>
    </row>
    <row r="1229" spans="69:69">
      <c r="BQ1229"/>
    </row>
    <row r="1230" spans="69:69">
      <c r="BQ1230"/>
    </row>
    <row r="1231" spans="69:69">
      <c r="BQ1231"/>
    </row>
    <row r="1232" spans="69:69">
      <c r="BQ1232"/>
    </row>
    <row r="1233" spans="69:69">
      <c r="BQ1233"/>
    </row>
    <row r="1234" spans="69:69">
      <c r="BQ1234"/>
    </row>
    <row r="1235" spans="69:69">
      <c r="BQ1235"/>
    </row>
    <row r="1236" spans="69:69">
      <c r="BQ1236"/>
    </row>
    <row r="1237" spans="69:69">
      <c r="BQ1237"/>
    </row>
    <row r="1238" spans="69:69">
      <c r="BQ1238"/>
    </row>
    <row r="1239" spans="69:69">
      <c r="BQ1239"/>
    </row>
    <row r="1240" spans="69:69">
      <c r="BQ1240"/>
    </row>
    <row r="1241" spans="69:69">
      <c r="BQ1241"/>
    </row>
    <row r="1242" spans="69:69">
      <c r="BQ1242"/>
    </row>
    <row r="1243" spans="69:69">
      <c r="BQ1243"/>
    </row>
    <row r="1244" spans="69:69">
      <c r="BQ1244"/>
    </row>
    <row r="1245" spans="69:69">
      <c r="BQ1245"/>
    </row>
    <row r="1246" spans="69:69">
      <c r="BQ1246"/>
    </row>
    <row r="1247" spans="69:69">
      <c r="BQ1247"/>
    </row>
    <row r="1248" spans="69:69">
      <c r="BQ1248"/>
    </row>
    <row r="1249" spans="69:69">
      <c r="BQ1249"/>
    </row>
    <row r="1250" spans="69:69">
      <c r="BQ1250"/>
    </row>
    <row r="1251" spans="69:69">
      <c r="BQ1251"/>
    </row>
    <row r="1252" spans="69:69">
      <c r="BQ1252"/>
    </row>
    <row r="1253" spans="69:69">
      <c r="BQ1253"/>
    </row>
    <row r="1254" spans="69:69">
      <c r="BQ1254"/>
    </row>
    <row r="1255" spans="69:69">
      <c r="BQ1255"/>
    </row>
    <row r="1256" spans="69:69">
      <c r="BQ1256"/>
    </row>
    <row r="1257" spans="69:69">
      <c r="BQ1257"/>
    </row>
    <row r="1258" spans="69:69">
      <c r="BQ1258"/>
    </row>
    <row r="1259" spans="69:69">
      <c r="BQ1259"/>
    </row>
    <row r="1260" spans="69:69">
      <c r="BQ1260"/>
    </row>
    <row r="1261" spans="69:69">
      <c r="BQ1261"/>
    </row>
    <row r="1262" spans="69:69">
      <c r="BQ1262"/>
    </row>
    <row r="1263" spans="69:69">
      <c r="BQ1263"/>
    </row>
    <row r="1264" spans="69:69">
      <c r="BQ1264"/>
    </row>
    <row r="1265" spans="69:69">
      <c r="BQ1265"/>
    </row>
    <row r="1266" spans="69:69">
      <c r="BQ1266"/>
    </row>
    <row r="1267" spans="69:69">
      <c r="BQ1267"/>
    </row>
    <row r="1268" spans="69:69">
      <c r="BQ1268"/>
    </row>
    <row r="1269" spans="69:69">
      <c r="BQ1269"/>
    </row>
    <row r="1270" spans="69:69">
      <c r="BQ1270"/>
    </row>
    <row r="1271" spans="69:69">
      <c r="BQ1271"/>
    </row>
    <row r="1272" spans="69:69">
      <c r="BQ1272"/>
    </row>
    <row r="1273" spans="69:69">
      <c r="BQ1273"/>
    </row>
    <row r="1274" spans="69:69">
      <c r="BQ1274"/>
    </row>
    <row r="1275" spans="69:69">
      <c r="BQ1275"/>
    </row>
    <row r="1276" spans="69:69">
      <c r="BQ1276"/>
    </row>
    <row r="1277" spans="69:69">
      <c r="BQ1277"/>
    </row>
    <row r="1278" spans="69:69">
      <c r="BQ1278"/>
    </row>
    <row r="1279" spans="69:69">
      <c r="BQ1279"/>
    </row>
    <row r="1280" spans="69:69">
      <c r="BQ1280"/>
    </row>
    <row r="1281" spans="69:69">
      <c r="BQ1281"/>
    </row>
    <row r="1282" spans="69:69">
      <c r="BQ1282"/>
    </row>
    <row r="1283" spans="69:69">
      <c r="BQ1283"/>
    </row>
    <row r="1284" spans="69:69">
      <c r="BQ1284"/>
    </row>
    <row r="1285" spans="69:69">
      <c r="BQ1285"/>
    </row>
    <row r="1286" spans="69:69">
      <c r="BQ1286"/>
    </row>
    <row r="1287" spans="69:69">
      <c r="BQ1287"/>
    </row>
    <row r="1288" spans="69:69">
      <c r="BQ1288"/>
    </row>
    <row r="1289" spans="69:69">
      <c r="BQ1289"/>
    </row>
    <row r="1290" spans="69:69">
      <c r="BQ1290"/>
    </row>
    <row r="1291" spans="69:69">
      <c r="BQ1291"/>
    </row>
    <row r="1292" spans="69:69">
      <c r="BQ1292"/>
    </row>
    <row r="1293" spans="69:69">
      <c r="BQ1293"/>
    </row>
    <row r="1294" spans="69:69">
      <c r="BQ1294"/>
    </row>
    <row r="1295" spans="69:69">
      <c r="BQ1295"/>
    </row>
    <row r="1296" spans="69:69">
      <c r="BQ1296"/>
    </row>
    <row r="1297" spans="69:69">
      <c r="BQ1297"/>
    </row>
    <row r="1298" spans="69:69">
      <c r="BQ1298"/>
    </row>
    <row r="1299" spans="69:69">
      <c r="BQ1299"/>
    </row>
    <row r="1300" spans="69:69">
      <c r="BQ1300"/>
    </row>
    <row r="1301" spans="69:69">
      <c r="BQ1301"/>
    </row>
    <row r="1302" spans="69:69">
      <c r="BQ1302"/>
    </row>
    <row r="1303" spans="69:69">
      <c r="BQ1303"/>
    </row>
    <row r="1304" spans="69:69">
      <c r="BQ1304"/>
    </row>
    <row r="1305" spans="69:69">
      <c r="BQ1305"/>
    </row>
    <row r="1306" spans="69:69">
      <c r="BQ1306"/>
    </row>
    <row r="1307" spans="69:69">
      <c r="BQ1307"/>
    </row>
    <row r="1308" spans="69:69">
      <c r="BQ1308"/>
    </row>
    <row r="1309" spans="69:69">
      <c r="BQ1309"/>
    </row>
    <row r="1310" spans="69:69">
      <c r="BQ1310"/>
    </row>
    <row r="1311" spans="69:69">
      <c r="BQ1311"/>
    </row>
    <row r="1312" spans="69:69">
      <c r="BQ1312"/>
    </row>
    <row r="1313" spans="69:69">
      <c r="BQ1313"/>
    </row>
    <row r="1314" spans="69:69">
      <c r="BQ1314"/>
    </row>
    <row r="1315" spans="69:69">
      <c r="BQ1315"/>
    </row>
    <row r="1316" spans="69:69">
      <c r="BQ1316"/>
    </row>
    <row r="1317" spans="69:69">
      <c r="BQ1317"/>
    </row>
    <row r="1318" spans="69:69">
      <c r="BQ1318"/>
    </row>
    <row r="1319" spans="69:69">
      <c r="BQ1319"/>
    </row>
    <row r="1320" spans="69:69">
      <c r="BQ1320"/>
    </row>
    <row r="1321" spans="69:69">
      <c r="BQ1321"/>
    </row>
    <row r="1322" spans="69:69">
      <c r="BQ1322"/>
    </row>
    <row r="1323" spans="69:69">
      <c r="BQ1323"/>
    </row>
    <row r="1324" spans="69:69">
      <c r="BQ1324"/>
    </row>
    <row r="1325" spans="69:69">
      <c r="BQ1325"/>
    </row>
    <row r="1326" spans="69:69">
      <c r="BQ1326"/>
    </row>
    <row r="1327" spans="69:69">
      <c r="BQ1327"/>
    </row>
    <row r="1328" spans="69:69">
      <c r="BQ1328"/>
    </row>
    <row r="1329" spans="69:69">
      <c r="BQ1329"/>
    </row>
    <row r="1330" spans="69:69">
      <c r="BQ1330"/>
    </row>
    <row r="1331" spans="69:69">
      <c r="BQ1331"/>
    </row>
    <row r="1332" spans="69:69">
      <c r="BQ1332"/>
    </row>
    <row r="1333" spans="69:69">
      <c r="BQ1333"/>
    </row>
    <row r="1334" spans="69:69">
      <c r="BQ1334"/>
    </row>
    <row r="1335" spans="69:69">
      <c r="BQ1335"/>
    </row>
    <row r="1336" spans="69:69">
      <c r="BQ1336"/>
    </row>
    <row r="1337" spans="69:69">
      <c r="BQ1337"/>
    </row>
    <row r="1338" spans="69:69">
      <c r="BQ1338"/>
    </row>
    <row r="1339" spans="69:69">
      <c r="BQ1339"/>
    </row>
    <row r="1340" spans="69:69">
      <c r="BQ1340"/>
    </row>
    <row r="1341" spans="69:69">
      <c r="BQ1341"/>
    </row>
    <row r="1342" spans="69:69">
      <c r="BQ1342"/>
    </row>
    <row r="1343" spans="69:69">
      <c r="BQ1343"/>
    </row>
    <row r="1344" spans="69:69">
      <c r="BQ1344"/>
    </row>
    <row r="1345" spans="69:69">
      <c r="BQ1345"/>
    </row>
    <row r="1346" spans="69:69">
      <c r="BQ1346"/>
    </row>
    <row r="1347" spans="69:69">
      <c r="BQ1347"/>
    </row>
    <row r="1348" spans="69:69">
      <c r="BQ1348"/>
    </row>
    <row r="1349" spans="69:69">
      <c r="BQ1349"/>
    </row>
    <row r="1350" spans="69:69">
      <c r="BQ1350"/>
    </row>
    <row r="1351" spans="69:69">
      <c r="BQ1351"/>
    </row>
    <row r="1352" spans="69:69">
      <c r="BQ1352"/>
    </row>
    <row r="1353" spans="69:69">
      <c r="BQ1353"/>
    </row>
    <row r="1354" spans="69:69">
      <c r="BQ1354"/>
    </row>
    <row r="1355" spans="69:69">
      <c r="BQ1355"/>
    </row>
    <row r="1356" spans="69:69">
      <c r="BQ1356"/>
    </row>
    <row r="1357" spans="69:69">
      <c r="BQ1357"/>
    </row>
    <row r="1358" spans="69:69">
      <c r="BQ1358"/>
    </row>
    <row r="1359" spans="69:69">
      <c r="BQ1359"/>
    </row>
    <row r="1360" spans="69:69">
      <c r="BQ1360"/>
    </row>
    <row r="1361" spans="69:69">
      <c r="BQ1361"/>
    </row>
    <row r="1362" spans="69:69">
      <c r="BQ1362"/>
    </row>
    <row r="1363" spans="69:69">
      <c r="BQ1363"/>
    </row>
    <row r="1364" spans="69:69">
      <c r="BQ1364"/>
    </row>
    <row r="1365" spans="69:69">
      <c r="BQ1365"/>
    </row>
    <row r="1366" spans="69:69">
      <c r="BQ1366"/>
    </row>
    <row r="1367" spans="69:69">
      <c r="BQ1367"/>
    </row>
    <row r="1368" spans="69:69">
      <c r="BQ1368"/>
    </row>
    <row r="1369" spans="69:69">
      <c r="BQ1369"/>
    </row>
    <row r="1370" spans="69:69">
      <c r="BQ1370"/>
    </row>
    <row r="1371" spans="69:69">
      <c r="BQ1371"/>
    </row>
    <row r="1372" spans="69:69">
      <c r="BQ1372"/>
    </row>
    <row r="1373" spans="69:69">
      <c r="BQ1373"/>
    </row>
    <row r="1374" spans="69:69">
      <c r="BQ1374"/>
    </row>
    <row r="1375" spans="69:69">
      <c r="BQ1375"/>
    </row>
    <row r="1376" spans="69:69">
      <c r="BQ1376"/>
    </row>
    <row r="1377" spans="69:69">
      <c r="BQ1377"/>
    </row>
    <row r="1378" spans="69:69">
      <c r="BQ1378"/>
    </row>
    <row r="1379" spans="69:69">
      <c r="BQ1379"/>
    </row>
    <row r="1380" spans="69:69">
      <c r="BQ1380"/>
    </row>
    <row r="1381" spans="69:69">
      <c r="BQ1381"/>
    </row>
    <row r="1382" spans="69:69">
      <c r="BQ1382"/>
    </row>
    <row r="1383" spans="69:69">
      <c r="BQ1383"/>
    </row>
    <row r="1384" spans="69:69">
      <c r="BQ1384"/>
    </row>
    <row r="1385" spans="69:69">
      <c r="BQ1385"/>
    </row>
    <row r="1386" spans="69:69">
      <c r="BQ1386"/>
    </row>
    <row r="1387" spans="69:69">
      <c r="BQ1387"/>
    </row>
    <row r="1388" spans="69:69">
      <c r="BQ1388"/>
    </row>
    <row r="1389" spans="69:69">
      <c r="BQ1389"/>
    </row>
    <row r="1390" spans="69:69">
      <c r="BQ1390"/>
    </row>
    <row r="1391" spans="69:69">
      <c r="BQ1391"/>
    </row>
    <row r="1392" spans="69:69">
      <c r="BQ1392"/>
    </row>
    <row r="1393" spans="69:69">
      <c r="BQ1393"/>
    </row>
    <row r="1394" spans="69:69">
      <c r="BQ1394"/>
    </row>
    <row r="1395" spans="69:69">
      <c r="BQ1395"/>
    </row>
    <row r="1396" spans="69:69">
      <c r="BQ1396"/>
    </row>
    <row r="1397" spans="69:69">
      <c r="BQ1397"/>
    </row>
    <row r="1398" spans="69:69">
      <c r="BQ1398"/>
    </row>
    <row r="1399" spans="69:69">
      <c r="BQ1399"/>
    </row>
    <row r="1400" spans="69:69">
      <c r="BQ1400"/>
    </row>
    <row r="1401" spans="69:69">
      <c r="BQ1401"/>
    </row>
    <row r="1402" spans="69:69">
      <c r="BQ1402"/>
    </row>
    <row r="1403" spans="69:69">
      <c r="BQ1403"/>
    </row>
    <row r="1404" spans="69:69">
      <c r="BQ1404"/>
    </row>
    <row r="1405" spans="69:69">
      <c r="BQ1405"/>
    </row>
    <row r="1406" spans="69:69">
      <c r="BQ1406"/>
    </row>
    <row r="1407" spans="69:69">
      <c r="BQ1407"/>
    </row>
    <row r="1408" spans="69:69">
      <c r="BQ1408"/>
    </row>
    <row r="1409" spans="69:69">
      <c r="BQ1409"/>
    </row>
    <row r="1410" spans="69:69">
      <c r="BQ1410"/>
    </row>
    <row r="1411" spans="69:69">
      <c r="BQ1411"/>
    </row>
    <row r="1412" spans="69:69">
      <c r="BQ1412"/>
    </row>
    <row r="1413" spans="69:69">
      <c r="BQ1413"/>
    </row>
    <row r="1414" spans="69:69">
      <c r="BQ1414"/>
    </row>
    <row r="1415" spans="69:69">
      <c r="BQ1415"/>
    </row>
    <row r="1416" spans="69:69">
      <c r="BQ1416"/>
    </row>
    <row r="1417" spans="69:69">
      <c r="BQ1417"/>
    </row>
    <row r="1418" spans="69:69">
      <c r="BQ1418"/>
    </row>
    <row r="1419" spans="69:69">
      <c r="BQ1419"/>
    </row>
    <row r="1420" spans="69:69">
      <c r="BQ1420"/>
    </row>
    <row r="1421" spans="69:69">
      <c r="BQ1421"/>
    </row>
    <row r="1422" spans="69:69">
      <c r="BQ1422"/>
    </row>
    <row r="1423" spans="69:69">
      <c r="BQ1423"/>
    </row>
    <row r="1424" spans="69:69">
      <c r="BQ1424"/>
    </row>
    <row r="1425" spans="69:69">
      <c r="BQ1425"/>
    </row>
    <row r="1426" spans="69:69">
      <c r="BQ1426"/>
    </row>
    <row r="1427" spans="69:69">
      <c r="BQ1427"/>
    </row>
    <row r="1428" spans="69:69">
      <c r="BQ1428"/>
    </row>
    <row r="1429" spans="69:69">
      <c r="BQ1429"/>
    </row>
    <row r="1430" spans="69:69">
      <c r="BQ1430"/>
    </row>
    <row r="1431" spans="69:69">
      <c r="BQ1431"/>
    </row>
    <row r="1432" spans="69:69">
      <c r="BQ1432"/>
    </row>
    <row r="1433" spans="69:69">
      <c r="BQ1433"/>
    </row>
    <row r="1434" spans="69:69">
      <c r="BQ1434"/>
    </row>
    <row r="1435" spans="69:69">
      <c r="BQ1435"/>
    </row>
    <row r="1436" spans="69:69">
      <c r="BQ1436"/>
    </row>
    <row r="1437" spans="69:69">
      <c r="BQ1437"/>
    </row>
    <row r="1438" spans="69:69">
      <c r="BQ1438"/>
    </row>
    <row r="1439" spans="69:69">
      <c r="BQ1439"/>
    </row>
    <row r="1440" spans="69:69">
      <c r="BQ1440"/>
    </row>
    <row r="1441" spans="69:69">
      <c r="BQ1441"/>
    </row>
    <row r="1442" spans="69:69">
      <c r="BQ1442"/>
    </row>
    <row r="1443" spans="69:69">
      <c r="BQ1443"/>
    </row>
    <row r="1444" spans="69:69">
      <c r="BQ1444"/>
    </row>
    <row r="1445" spans="69:69">
      <c r="BQ1445"/>
    </row>
    <row r="1446" spans="69:69">
      <c r="BQ1446"/>
    </row>
    <row r="1447" spans="69:69">
      <c r="BQ1447"/>
    </row>
    <row r="1448" spans="69:69">
      <c r="BQ1448"/>
    </row>
    <row r="1449" spans="69:69">
      <c r="BQ1449"/>
    </row>
    <row r="1450" spans="69:69">
      <c r="BQ1450"/>
    </row>
    <row r="1451" spans="69:69">
      <c r="BQ1451"/>
    </row>
    <row r="1452" spans="69:69">
      <c r="BQ1452"/>
    </row>
    <row r="1453" spans="69:69">
      <c r="BQ1453"/>
    </row>
    <row r="1454" spans="69:69">
      <c r="BQ1454"/>
    </row>
    <row r="1455" spans="69:69">
      <c r="BQ1455"/>
    </row>
    <row r="1456" spans="69:69">
      <c r="BQ1456"/>
    </row>
    <row r="1457" spans="69:69">
      <c r="BQ1457"/>
    </row>
    <row r="1458" spans="69:69">
      <c r="BQ1458"/>
    </row>
    <row r="1459" spans="69:69">
      <c r="BQ1459"/>
    </row>
    <row r="1460" spans="69:69">
      <c r="BQ1460"/>
    </row>
    <row r="1461" spans="69:69">
      <c r="BQ1461"/>
    </row>
    <row r="1462" spans="69:69">
      <c r="BQ1462"/>
    </row>
    <row r="1463" spans="69:69">
      <c r="BQ1463"/>
    </row>
    <row r="1464" spans="69:69">
      <c r="BQ1464"/>
    </row>
    <row r="1465" spans="69:69">
      <c r="BQ1465"/>
    </row>
    <row r="1466" spans="69:69">
      <c r="BQ1466"/>
    </row>
    <row r="1467" spans="69:69">
      <c r="BQ1467"/>
    </row>
    <row r="1468" spans="69:69">
      <c r="BQ1468"/>
    </row>
    <row r="1469" spans="69:69">
      <c r="BQ1469"/>
    </row>
    <row r="1470" spans="69:69">
      <c r="BQ1470"/>
    </row>
    <row r="1471" spans="69:69">
      <c r="BQ1471"/>
    </row>
    <row r="1472" spans="69:69">
      <c r="BQ1472"/>
    </row>
    <row r="1473" spans="69:69">
      <c r="BQ1473"/>
    </row>
    <row r="1474" spans="69:69">
      <c r="BQ1474"/>
    </row>
    <row r="1475" spans="69:69">
      <c r="BQ1475"/>
    </row>
    <row r="1476" spans="69:69">
      <c r="BQ1476"/>
    </row>
    <row r="1477" spans="69:69">
      <c r="BQ1477"/>
    </row>
    <row r="1478" spans="69:69">
      <c r="BQ1478"/>
    </row>
    <row r="1479" spans="69:69">
      <c r="BQ1479"/>
    </row>
    <row r="1480" spans="69:69">
      <c r="BQ1480"/>
    </row>
    <row r="1481" spans="69:69">
      <c r="BQ1481"/>
    </row>
    <row r="1482" spans="69:69">
      <c r="BQ1482"/>
    </row>
    <row r="1483" spans="69:69">
      <c r="BQ1483"/>
    </row>
    <row r="1484" spans="69:69">
      <c r="BQ1484"/>
    </row>
    <row r="1485" spans="69:69">
      <c r="BQ1485"/>
    </row>
    <row r="1486" spans="69:69">
      <c r="BQ1486"/>
    </row>
    <row r="1487" spans="69:69">
      <c r="BQ1487"/>
    </row>
    <row r="1488" spans="69:69">
      <c r="BQ1488"/>
    </row>
    <row r="1489" spans="69:69">
      <c r="BQ1489"/>
    </row>
    <row r="1490" spans="69:69">
      <c r="BQ1490"/>
    </row>
    <row r="1491" spans="69:69">
      <c r="BQ1491"/>
    </row>
    <row r="1492" spans="69:69">
      <c r="BQ1492"/>
    </row>
    <row r="1493" spans="69:69">
      <c r="BQ1493"/>
    </row>
    <row r="1494" spans="69:69">
      <c r="BQ1494"/>
    </row>
    <row r="1495" spans="69:69">
      <c r="BQ1495"/>
    </row>
    <row r="1496" spans="69:69">
      <c r="BQ1496"/>
    </row>
    <row r="1497" spans="69:69">
      <c r="BQ1497"/>
    </row>
    <row r="1498" spans="69:69">
      <c r="BQ1498"/>
    </row>
    <row r="1499" spans="69:69">
      <c r="BQ1499"/>
    </row>
    <row r="1500" spans="69:69">
      <c r="BQ1500"/>
    </row>
    <row r="1501" spans="69:69">
      <c r="BQ1501"/>
    </row>
    <row r="1502" spans="69:69">
      <c r="BQ1502"/>
    </row>
    <row r="1503" spans="69:69">
      <c r="BQ1503"/>
    </row>
    <row r="1504" spans="69:69">
      <c r="BQ1504"/>
    </row>
    <row r="1505" spans="69:69">
      <c r="BQ1505"/>
    </row>
    <row r="1506" spans="69:69">
      <c r="BQ1506"/>
    </row>
    <row r="1507" spans="69:69">
      <c r="BQ1507"/>
    </row>
    <row r="1508" spans="69:69">
      <c r="BQ1508"/>
    </row>
    <row r="1509" spans="69:69">
      <c r="BQ1509"/>
    </row>
    <row r="1510" spans="69:69">
      <c r="BQ1510"/>
    </row>
    <row r="1511" spans="69:69">
      <c r="BQ1511"/>
    </row>
    <row r="1512" spans="69:69">
      <c r="BQ1512"/>
    </row>
    <row r="1513" spans="69:69">
      <c r="BQ1513"/>
    </row>
    <row r="1514" spans="69:69">
      <c r="BQ1514"/>
    </row>
    <row r="1515" spans="69:69">
      <c r="BQ1515"/>
    </row>
    <row r="1516" spans="69:69">
      <c r="BQ1516"/>
    </row>
    <row r="1517" spans="69:69">
      <c r="BQ1517"/>
    </row>
    <row r="1518" spans="69:69">
      <c r="BQ1518"/>
    </row>
    <row r="1519" spans="69:69">
      <c r="BQ1519"/>
    </row>
    <row r="1520" spans="69:69">
      <c r="BQ1520"/>
    </row>
    <row r="1521" spans="69:69">
      <c r="BQ1521"/>
    </row>
    <row r="1522" spans="69:69">
      <c r="BQ1522"/>
    </row>
    <row r="1523" spans="69:69">
      <c r="BQ1523"/>
    </row>
    <row r="1524" spans="69:69">
      <c r="BQ1524"/>
    </row>
    <row r="1525" spans="69:69">
      <c r="BQ1525"/>
    </row>
    <row r="1526" spans="69:69">
      <c r="BQ1526"/>
    </row>
    <row r="1527" spans="69:69">
      <c r="BQ1527"/>
    </row>
    <row r="1528" spans="69:69">
      <c r="BQ1528"/>
    </row>
    <row r="1529" spans="69:69">
      <c r="BQ1529"/>
    </row>
    <row r="1530" spans="69:69">
      <c r="BQ1530"/>
    </row>
    <row r="1531" spans="69:69">
      <c r="BQ1531"/>
    </row>
    <row r="1532" spans="69:69">
      <c r="BQ1532"/>
    </row>
    <row r="1533" spans="69:69">
      <c r="BQ1533"/>
    </row>
    <row r="1534" spans="69:69">
      <c r="BQ1534"/>
    </row>
    <row r="1535" spans="69:69">
      <c r="BQ1535"/>
    </row>
    <row r="1536" spans="69:69">
      <c r="BQ1536"/>
    </row>
    <row r="1537" spans="69:69">
      <c r="BQ1537"/>
    </row>
    <row r="1538" spans="69:69">
      <c r="BQ1538"/>
    </row>
    <row r="1539" spans="69:69">
      <c r="BQ1539"/>
    </row>
    <row r="1540" spans="69:69">
      <c r="BQ1540"/>
    </row>
    <row r="1541" spans="69:69">
      <c r="BQ1541"/>
    </row>
    <row r="1542" spans="69:69">
      <c r="BQ1542"/>
    </row>
    <row r="1543" spans="69:69">
      <c r="BQ1543"/>
    </row>
    <row r="1544" spans="69:69">
      <c r="BQ1544"/>
    </row>
    <row r="1545" spans="69:69">
      <c r="BQ1545"/>
    </row>
    <row r="1546" spans="69:69">
      <c r="BQ1546"/>
    </row>
    <row r="1547" spans="69:69">
      <c r="BQ1547"/>
    </row>
    <row r="1548" spans="69:69">
      <c r="BQ1548"/>
    </row>
    <row r="1549" spans="69:69">
      <c r="BQ1549"/>
    </row>
    <row r="1550" spans="69:69">
      <c r="BQ1550"/>
    </row>
    <row r="1551" spans="69:69">
      <c r="BQ1551"/>
    </row>
    <row r="1552" spans="69:69">
      <c r="BQ1552"/>
    </row>
    <row r="1553" spans="69:69">
      <c r="BQ1553"/>
    </row>
    <row r="1554" spans="69:69">
      <c r="BQ1554"/>
    </row>
    <row r="1555" spans="69:69">
      <c r="BQ1555"/>
    </row>
    <row r="1556" spans="69:69">
      <c r="BQ1556"/>
    </row>
    <row r="1557" spans="69:69">
      <c r="BQ1557"/>
    </row>
    <row r="1558" spans="69:69">
      <c r="BQ1558"/>
    </row>
    <row r="1559" spans="69:69">
      <c r="BQ1559"/>
    </row>
    <row r="1560" spans="69:69">
      <c r="BQ1560"/>
    </row>
    <row r="1561" spans="69:69">
      <c r="BQ1561"/>
    </row>
    <row r="1562" spans="69:69">
      <c r="BQ1562"/>
    </row>
    <row r="1563" spans="69:69">
      <c r="BQ1563"/>
    </row>
    <row r="1564" spans="69:69">
      <c r="BQ1564"/>
    </row>
    <row r="1565" spans="69:69">
      <c r="BQ1565"/>
    </row>
    <row r="1566" spans="69:69">
      <c r="BQ1566"/>
    </row>
    <row r="1567" spans="69:69">
      <c r="BQ1567"/>
    </row>
    <row r="1568" spans="69:69">
      <c r="BQ1568"/>
    </row>
    <row r="1569" spans="69:69">
      <c r="BQ1569"/>
    </row>
    <row r="1570" spans="69:69">
      <c r="BQ1570"/>
    </row>
    <row r="1571" spans="69:69">
      <c r="BQ1571"/>
    </row>
    <row r="1572" spans="69:69">
      <c r="BQ1572"/>
    </row>
    <row r="1573" spans="69:69">
      <c r="BQ1573"/>
    </row>
    <row r="1574" spans="69:69">
      <c r="BQ1574"/>
    </row>
    <row r="1575" spans="69:69">
      <c r="BQ1575"/>
    </row>
    <row r="1576" spans="69:69">
      <c r="BQ1576"/>
    </row>
    <row r="1577" spans="69:69">
      <c r="BQ1577"/>
    </row>
    <row r="1578" spans="69:69">
      <c r="BQ1578"/>
    </row>
    <row r="1579" spans="69:69">
      <c r="BQ1579"/>
    </row>
    <row r="1580" spans="69:69">
      <c r="BQ1580"/>
    </row>
    <row r="1581" spans="69:69">
      <c r="BQ1581"/>
    </row>
    <row r="1582" spans="69:69">
      <c r="BQ1582"/>
    </row>
    <row r="1583" spans="69:69">
      <c r="BQ1583"/>
    </row>
    <row r="1584" spans="69:69">
      <c r="BQ1584"/>
    </row>
    <row r="1585" spans="69:69">
      <c r="BQ1585"/>
    </row>
    <row r="1586" spans="69:69">
      <c r="BQ1586"/>
    </row>
    <row r="1587" spans="69:69">
      <c r="BQ1587"/>
    </row>
    <row r="1588" spans="69:69">
      <c r="BQ1588"/>
    </row>
    <row r="1589" spans="69:69">
      <c r="BQ1589"/>
    </row>
    <row r="1590" spans="69:69">
      <c r="BQ1590"/>
    </row>
    <row r="1591" spans="69:69">
      <c r="BQ1591"/>
    </row>
    <row r="1592" spans="69:69">
      <c r="BQ1592"/>
    </row>
    <row r="1593" spans="69:69">
      <c r="BQ1593"/>
    </row>
    <row r="1594" spans="69:69">
      <c r="BQ1594"/>
    </row>
    <row r="1595" spans="69:69">
      <c r="BQ1595"/>
    </row>
    <row r="1596" spans="69:69">
      <c r="BQ1596"/>
    </row>
    <row r="1597" spans="69:69">
      <c r="BQ1597"/>
    </row>
    <row r="1598" spans="69:69">
      <c r="BQ1598"/>
    </row>
    <row r="1599" spans="69:69">
      <c r="BQ1599"/>
    </row>
    <row r="1600" spans="69:69">
      <c r="BQ1600"/>
    </row>
    <row r="1601" spans="69:69">
      <c r="BQ1601"/>
    </row>
    <row r="1602" spans="69:69">
      <c r="BQ1602"/>
    </row>
    <row r="1603" spans="69:69">
      <c r="BQ1603"/>
    </row>
    <row r="1604" spans="69:69">
      <c r="BQ1604"/>
    </row>
    <row r="1605" spans="69:69">
      <c r="BQ1605"/>
    </row>
    <row r="1606" spans="69:69">
      <c r="BQ1606"/>
    </row>
    <row r="1607" spans="69:69">
      <c r="BQ1607"/>
    </row>
    <row r="1608" spans="69:69">
      <c r="BQ1608"/>
    </row>
    <row r="1609" spans="69:69">
      <c r="BQ1609"/>
    </row>
    <row r="1610" spans="69:69">
      <c r="BQ1610"/>
    </row>
    <row r="1611" spans="69:69">
      <c r="BQ1611"/>
    </row>
    <row r="1612" spans="69:69">
      <c r="BQ1612"/>
    </row>
    <row r="1613" spans="69:69">
      <c r="BQ1613"/>
    </row>
    <row r="1614" spans="69:69">
      <c r="BQ1614"/>
    </row>
    <row r="1615" spans="69:69">
      <c r="BQ1615"/>
    </row>
    <row r="1616" spans="69:69">
      <c r="BQ1616"/>
    </row>
    <row r="1617" spans="69:69">
      <c r="BQ1617"/>
    </row>
    <row r="1618" spans="69:69">
      <c r="BQ1618"/>
    </row>
    <row r="1619" spans="69:69">
      <c r="BQ1619"/>
    </row>
    <row r="1620" spans="69:69">
      <c r="BQ1620"/>
    </row>
    <row r="1621" spans="69:69">
      <c r="BQ1621"/>
    </row>
    <row r="1622" spans="69:69">
      <c r="BQ1622"/>
    </row>
    <row r="1623" spans="69:69">
      <c r="BQ1623"/>
    </row>
    <row r="1624" spans="69:69">
      <c r="BQ1624"/>
    </row>
    <row r="1625" spans="69:69">
      <c r="BQ1625"/>
    </row>
    <row r="1626" spans="69:69">
      <c r="BQ1626"/>
    </row>
    <row r="1627" spans="69:69">
      <c r="BQ1627"/>
    </row>
    <row r="1628" spans="69:69">
      <c r="BQ1628"/>
    </row>
    <row r="1629" spans="69:69">
      <c r="BQ1629"/>
    </row>
    <row r="1630" spans="69:69">
      <c r="BQ1630"/>
    </row>
    <row r="1631" spans="69:69">
      <c r="BQ1631"/>
    </row>
    <row r="1632" spans="69:69">
      <c r="BQ1632"/>
    </row>
    <row r="1633" spans="69:69">
      <c r="BQ1633"/>
    </row>
    <row r="1634" spans="69:69">
      <c r="BQ1634"/>
    </row>
    <row r="1635" spans="69:69">
      <c r="BQ1635"/>
    </row>
    <row r="1636" spans="69:69">
      <c r="BQ1636"/>
    </row>
    <row r="1637" spans="69:69">
      <c r="BQ1637"/>
    </row>
    <row r="1638" spans="69:69">
      <c r="BQ1638"/>
    </row>
    <row r="1639" spans="69:69">
      <c r="BQ1639"/>
    </row>
    <row r="1640" spans="69:69">
      <c r="BQ1640"/>
    </row>
    <row r="1641" spans="69:69">
      <c r="BQ1641"/>
    </row>
    <row r="1642" spans="69:69">
      <c r="BQ1642"/>
    </row>
    <row r="1643" spans="69:69">
      <c r="BQ1643"/>
    </row>
    <row r="1644" spans="69:69">
      <c r="BQ1644"/>
    </row>
    <row r="1645" spans="69:69">
      <c r="BQ1645"/>
    </row>
    <row r="1646" spans="69:69">
      <c r="BQ1646"/>
    </row>
    <row r="1647" spans="69:69">
      <c r="BQ1647"/>
    </row>
    <row r="1648" spans="69:69">
      <c r="BQ1648"/>
    </row>
    <row r="1649" spans="69:69">
      <c r="BQ1649"/>
    </row>
    <row r="1650" spans="69:69">
      <c r="BQ1650"/>
    </row>
    <row r="1651" spans="69:69">
      <c r="BQ1651"/>
    </row>
    <row r="1652" spans="69:69">
      <c r="BQ1652"/>
    </row>
    <row r="1653" spans="69:69">
      <c r="BQ1653"/>
    </row>
    <row r="1654" spans="69:69">
      <c r="BQ1654"/>
    </row>
    <row r="1655" spans="69:69">
      <c r="BQ1655"/>
    </row>
    <row r="1656" spans="69:69">
      <c r="BQ1656"/>
    </row>
    <row r="1657" spans="69:69">
      <c r="BQ1657"/>
    </row>
    <row r="1658" spans="69:69">
      <c r="BQ1658"/>
    </row>
    <row r="1659" spans="69:69">
      <c r="BQ1659"/>
    </row>
    <row r="1660" spans="69:69">
      <c r="BQ1660"/>
    </row>
    <row r="1661" spans="69:69">
      <c r="BQ1661"/>
    </row>
    <row r="1662" spans="69:69">
      <c r="BQ1662"/>
    </row>
    <row r="1663" spans="69:69">
      <c r="BQ1663"/>
    </row>
    <row r="1664" spans="69:69">
      <c r="BQ1664"/>
    </row>
    <row r="1665" spans="69:69">
      <c r="BQ1665"/>
    </row>
    <row r="1666" spans="69:69">
      <c r="BQ1666"/>
    </row>
    <row r="1667" spans="69:69">
      <c r="BQ1667"/>
    </row>
    <row r="1668" spans="69:69">
      <c r="BQ1668"/>
    </row>
    <row r="1669" spans="69:69">
      <c r="BQ1669"/>
    </row>
    <row r="1670" spans="69:69">
      <c r="BQ1670"/>
    </row>
    <row r="1671" spans="69:69">
      <c r="BQ1671"/>
    </row>
    <row r="1672" spans="69:69">
      <c r="BQ1672"/>
    </row>
    <row r="1673" spans="69:69">
      <c r="BQ1673"/>
    </row>
    <row r="1674" spans="69:69">
      <c r="BQ1674"/>
    </row>
    <row r="1675" spans="69:69">
      <c r="BQ1675"/>
    </row>
    <row r="1676" spans="69:69">
      <c r="BQ1676"/>
    </row>
    <row r="1677" spans="69:69">
      <c r="BQ1677"/>
    </row>
    <row r="1678" spans="69:69">
      <c r="BQ1678"/>
    </row>
    <row r="1679" spans="69:69">
      <c r="BQ1679"/>
    </row>
    <row r="1680" spans="69:69">
      <c r="BQ1680"/>
    </row>
    <row r="1681" spans="69:69">
      <c r="BQ1681"/>
    </row>
    <row r="1682" spans="69:69">
      <c r="BQ1682"/>
    </row>
    <row r="1683" spans="69:69">
      <c r="BQ1683"/>
    </row>
    <row r="1684" spans="69:69">
      <c r="BQ1684"/>
    </row>
    <row r="1685" spans="69:69">
      <c r="BQ1685"/>
    </row>
    <row r="1686" spans="69:69">
      <c r="BQ1686"/>
    </row>
    <row r="1687" spans="69:69">
      <c r="BQ1687"/>
    </row>
    <row r="1688" spans="69:69">
      <c r="BQ1688"/>
    </row>
    <row r="1689" spans="69:69">
      <c r="BQ1689"/>
    </row>
    <row r="1690" spans="69:69">
      <c r="BQ1690"/>
    </row>
    <row r="1691" spans="69:69">
      <c r="BQ1691"/>
    </row>
    <row r="1692" spans="69:69">
      <c r="BQ1692"/>
    </row>
    <row r="1693" spans="69:69">
      <c r="BQ1693"/>
    </row>
    <row r="1694" spans="69:69">
      <c r="BQ1694"/>
    </row>
    <row r="1695" spans="69:69">
      <c r="BQ1695"/>
    </row>
    <row r="1696" spans="69:69">
      <c r="BQ1696"/>
    </row>
    <row r="1697" spans="69:69">
      <c r="BQ1697"/>
    </row>
    <row r="1698" spans="69:69">
      <c r="BQ1698"/>
    </row>
    <row r="1699" spans="69:69">
      <c r="BQ1699"/>
    </row>
    <row r="1700" spans="69:69">
      <c r="BQ1700"/>
    </row>
    <row r="1701" spans="69:69">
      <c r="BQ1701"/>
    </row>
    <row r="1702" spans="69:69">
      <c r="BQ1702"/>
    </row>
    <row r="1703" spans="69:69">
      <c r="BQ1703"/>
    </row>
    <row r="1704" spans="69:69">
      <c r="BQ1704"/>
    </row>
    <row r="1705" spans="69:69">
      <c r="BQ1705"/>
    </row>
    <row r="1706" spans="69:69">
      <c r="BQ1706"/>
    </row>
    <row r="1707" spans="69:69">
      <c r="BQ1707"/>
    </row>
    <row r="1708" spans="69:69">
      <c r="BQ1708"/>
    </row>
    <row r="1709" spans="69:69">
      <c r="BQ1709"/>
    </row>
    <row r="1710" spans="69:69">
      <c r="BQ1710"/>
    </row>
    <row r="1711" spans="69:69">
      <c r="BQ1711"/>
    </row>
    <row r="1712" spans="69:69">
      <c r="BQ1712"/>
    </row>
    <row r="1713" spans="69:69">
      <c r="BQ1713"/>
    </row>
    <row r="1714" spans="69:69">
      <c r="BQ1714"/>
    </row>
    <row r="1715" spans="69:69">
      <c r="BQ1715"/>
    </row>
    <row r="1716" spans="69:69">
      <c r="BQ1716"/>
    </row>
    <row r="1717" spans="69:69">
      <c r="BQ1717"/>
    </row>
    <row r="1718" spans="69:69">
      <c r="BQ1718"/>
    </row>
    <row r="1719" spans="69:69">
      <c r="BQ1719"/>
    </row>
    <row r="1720" spans="69:69">
      <c r="BQ1720"/>
    </row>
    <row r="1721" spans="69:69">
      <c r="BQ1721"/>
    </row>
    <row r="1722" spans="69:69">
      <c r="BQ1722"/>
    </row>
    <row r="1723" spans="69:69">
      <c r="BQ1723"/>
    </row>
    <row r="1724" spans="69:69">
      <c r="BQ1724"/>
    </row>
    <row r="1725" spans="69:69">
      <c r="BQ1725"/>
    </row>
    <row r="1726" spans="69:69">
      <c r="BQ1726"/>
    </row>
    <row r="1727" spans="69:69">
      <c r="BQ1727"/>
    </row>
    <row r="1728" spans="69:69">
      <c r="BQ1728"/>
    </row>
    <row r="1729" spans="69:69">
      <c r="BQ1729"/>
    </row>
    <row r="1730" spans="69:69">
      <c r="BQ1730"/>
    </row>
    <row r="1731" spans="69:69">
      <c r="BQ1731"/>
    </row>
    <row r="1732" spans="69:69">
      <c r="BQ1732"/>
    </row>
    <row r="1733" spans="69:69">
      <c r="BQ1733"/>
    </row>
    <row r="1734" spans="69:69">
      <c r="BQ1734"/>
    </row>
    <row r="1735" spans="69:69">
      <c r="BQ1735"/>
    </row>
    <row r="1736" spans="69:69">
      <c r="BQ1736"/>
    </row>
    <row r="1737" spans="69:69">
      <c r="BQ1737"/>
    </row>
    <row r="1738" spans="69:69">
      <c r="BQ1738"/>
    </row>
    <row r="1739" spans="69:69">
      <c r="BQ1739"/>
    </row>
    <row r="1740" spans="69:69">
      <c r="BQ1740"/>
    </row>
    <row r="1741" spans="69:69">
      <c r="BQ1741"/>
    </row>
    <row r="1742" spans="69:69">
      <c r="BQ1742"/>
    </row>
    <row r="1743" spans="69:69">
      <c r="BQ1743"/>
    </row>
    <row r="1744" spans="69:69">
      <c r="BQ1744"/>
    </row>
    <row r="1745" spans="69:69">
      <c r="BQ1745"/>
    </row>
    <row r="1746" spans="69:69">
      <c r="BQ1746"/>
    </row>
    <row r="1747" spans="69:69">
      <c r="BQ1747"/>
    </row>
    <row r="1748" spans="69:69">
      <c r="BQ1748"/>
    </row>
    <row r="1749" spans="69:69">
      <c r="BQ1749"/>
    </row>
    <row r="1750" spans="69:69">
      <c r="BQ1750"/>
    </row>
    <row r="1751" spans="69:69">
      <c r="BQ1751"/>
    </row>
    <row r="1752" spans="69:69">
      <c r="BQ1752"/>
    </row>
    <row r="1753" spans="69:69">
      <c r="BQ1753"/>
    </row>
    <row r="1754" spans="69:69">
      <c r="BQ1754"/>
    </row>
    <row r="1755" spans="69:69">
      <c r="BQ1755"/>
    </row>
    <row r="1756" spans="69:69">
      <c r="BQ1756"/>
    </row>
    <row r="1757" spans="69:69">
      <c r="BQ1757"/>
    </row>
    <row r="1758" spans="69:69">
      <c r="BQ1758"/>
    </row>
    <row r="1759" spans="69:69">
      <c r="BQ1759"/>
    </row>
    <row r="1760" spans="69:69">
      <c r="BQ1760"/>
    </row>
    <row r="1761" spans="69:69">
      <c r="BQ1761"/>
    </row>
    <row r="1762" spans="69:69">
      <c r="BQ1762"/>
    </row>
    <row r="1763" spans="69:69">
      <c r="BQ1763"/>
    </row>
    <row r="1764" spans="69:69">
      <c r="BQ1764"/>
    </row>
    <row r="1765" spans="69:69">
      <c r="BQ1765"/>
    </row>
    <row r="1766" spans="69:69">
      <c r="BQ1766"/>
    </row>
    <row r="1767" spans="69:69">
      <c r="BQ1767"/>
    </row>
    <row r="1768" spans="69:69">
      <c r="BQ1768"/>
    </row>
    <row r="1769" spans="69:69">
      <c r="BQ1769"/>
    </row>
    <row r="1770" spans="69:69">
      <c r="BQ1770"/>
    </row>
    <row r="1771" spans="69:69">
      <c r="BQ1771"/>
    </row>
    <row r="1772" spans="69:69">
      <c r="BQ1772"/>
    </row>
    <row r="1773" spans="69:69">
      <c r="BQ1773"/>
    </row>
    <row r="1774" spans="69:69">
      <c r="BQ1774"/>
    </row>
    <row r="1775" spans="69:69">
      <c r="BQ1775"/>
    </row>
    <row r="1776" spans="69:69">
      <c r="BQ1776"/>
    </row>
    <row r="1777" spans="69:69">
      <c r="BQ1777"/>
    </row>
    <row r="1778" spans="69:69">
      <c r="BQ1778"/>
    </row>
    <row r="1779" spans="69:69">
      <c r="BQ1779"/>
    </row>
    <row r="1780" spans="69:69">
      <c r="BQ1780"/>
    </row>
    <row r="1781" spans="69:69">
      <c r="BQ1781"/>
    </row>
    <row r="1782" spans="69:69">
      <c r="BQ1782"/>
    </row>
    <row r="1783" spans="69:69">
      <c r="BQ1783"/>
    </row>
    <row r="1784" spans="69:69">
      <c r="BQ1784"/>
    </row>
    <row r="1785" spans="69:69">
      <c r="BQ1785"/>
    </row>
    <row r="1786" spans="69:69">
      <c r="BQ1786"/>
    </row>
    <row r="1787" spans="69:69">
      <c r="BQ1787"/>
    </row>
    <row r="1788" spans="69:69">
      <c r="BQ1788"/>
    </row>
    <row r="1789" spans="69:69">
      <c r="BQ1789"/>
    </row>
    <row r="1790" spans="69:69">
      <c r="BQ1790"/>
    </row>
    <row r="1791" spans="69:69">
      <c r="BQ1791"/>
    </row>
    <row r="1792" spans="69:69">
      <c r="BQ1792"/>
    </row>
    <row r="1793" spans="69:69">
      <c r="BQ1793"/>
    </row>
    <row r="1794" spans="69:69">
      <c r="BQ1794"/>
    </row>
    <row r="1795" spans="69:69">
      <c r="BQ1795"/>
    </row>
    <row r="1796" spans="69:69">
      <c r="BQ1796"/>
    </row>
    <row r="1797" spans="69:69">
      <c r="BQ1797"/>
    </row>
    <row r="1798" spans="69:69">
      <c r="BQ1798"/>
    </row>
    <row r="1799" spans="69:69">
      <c r="BQ1799"/>
    </row>
    <row r="1800" spans="69:69">
      <c r="BQ1800"/>
    </row>
    <row r="1801" spans="69:69">
      <c r="BQ1801"/>
    </row>
    <row r="1802" spans="69:69">
      <c r="BQ1802"/>
    </row>
    <row r="1803" spans="69:69">
      <c r="BQ1803"/>
    </row>
    <row r="1804" spans="69:69">
      <c r="BQ1804"/>
    </row>
    <row r="1805" spans="69:69">
      <c r="BQ1805"/>
    </row>
    <row r="1806" spans="69:69">
      <c r="BQ1806"/>
    </row>
    <row r="1807" spans="69:69">
      <c r="BQ1807"/>
    </row>
    <row r="1808" spans="69:69">
      <c r="BQ1808"/>
    </row>
    <row r="1809" spans="69:69">
      <c r="BQ1809"/>
    </row>
    <row r="1810" spans="69:69">
      <c r="BQ1810"/>
    </row>
    <row r="1811" spans="69:69">
      <c r="BQ1811"/>
    </row>
    <row r="1812" spans="69:69">
      <c r="BQ1812"/>
    </row>
    <row r="1813" spans="69:69">
      <c r="BQ1813"/>
    </row>
    <row r="1814" spans="69:69">
      <c r="BQ1814"/>
    </row>
    <row r="1815" spans="69:69">
      <c r="BQ1815"/>
    </row>
    <row r="1816" spans="69:69">
      <c r="BQ1816"/>
    </row>
    <row r="1817" spans="69:69">
      <c r="BQ1817"/>
    </row>
    <row r="1818" spans="69:69">
      <c r="BQ1818"/>
    </row>
    <row r="1819" spans="69:69">
      <c r="BQ1819"/>
    </row>
    <row r="1820" spans="69:69">
      <c r="BQ1820"/>
    </row>
    <row r="1821" spans="69:69">
      <c r="BQ1821"/>
    </row>
    <row r="1822" spans="69:69">
      <c r="BQ1822"/>
    </row>
    <row r="1823" spans="69:69">
      <c r="BQ1823"/>
    </row>
    <row r="1824" spans="69:69">
      <c r="BQ1824"/>
    </row>
    <row r="1825" spans="69:69">
      <c r="BQ1825"/>
    </row>
    <row r="1826" spans="69:69">
      <c r="BQ1826"/>
    </row>
    <row r="1827" spans="69:69">
      <c r="BQ1827"/>
    </row>
    <row r="1828" spans="69:69">
      <c r="BQ1828"/>
    </row>
    <row r="1829" spans="69:69">
      <c r="BQ1829"/>
    </row>
    <row r="1830" spans="69:69">
      <c r="BQ1830"/>
    </row>
    <row r="1831" spans="69:69">
      <c r="BQ1831"/>
    </row>
    <row r="1832" spans="69:69">
      <c r="BQ1832"/>
    </row>
    <row r="1833" spans="69:69">
      <c r="BQ1833"/>
    </row>
    <row r="1834" spans="69:69">
      <c r="BQ1834"/>
    </row>
    <row r="1835" spans="69:69">
      <c r="BQ1835"/>
    </row>
    <row r="1836" spans="69:69">
      <c r="BQ1836"/>
    </row>
    <row r="1837" spans="69:69">
      <c r="BQ1837"/>
    </row>
    <row r="1838" spans="69:69">
      <c r="BQ1838"/>
    </row>
    <row r="1839" spans="69:69">
      <c r="BQ1839"/>
    </row>
    <row r="1840" spans="69:69">
      <c r="BQ1840"/>
    </row>
    <row r="1841" spans="69:69">
      <c r="BQ1841"/>
    </row>
    <row r="1842" spans="69:69">
      <c r="BQ1842"/>
    </row>
    <row r="1843" spans="69:69">
      <c r="BQ1843"/>
    </row>
    <row r="1844" spans="69:69">
      <c r="BQ1844"/>
    </row>
    <row r="1845" spans="69:69">
      <c r="BQ1845"/>
    </row>
    <row r="1846" spans="69:69">
      <c r="BQ1846"/>
    </row>
    <row r="1847" spans="69:69">
      <c r="BQ1847"/>
    </row>
    <row r="1848" spans="69:69">
      <c r="BQ1848"/>
    </row>
    <row r="1849" spans="69:69">
      <c r="BQ1849"/>
    </row>
    <row r="1850" spans="69:69">
      <c r="BQ1850"/>
    </row>
    <row r="1851" spans="69:69">
      <c r="BQ1851"/>
    </row>
    <row r="1852" spans="69:69">
      <c r="BQ1852"/>
    </row>
    <row r="1853" spans="69:69">
      <c r="BQ1853"/>
    </row>
    <row r="1854" spans="69:69">
      <c r="BQ1854"/>
    </row>
    <row r="1855" spans="69:69">
      <c r="BQ1855"/>
    </row>
    <row r="1856" spans="69:69">
      <c r="BQ1856"/>
    </row>
    <row r="1857" spans="69:69">
      <c r="BQ1857"/>
    </row>
    <row r="1858" spans="69:69">
      <c r="BQ1858"/>
    </row>
    <row r="1859" spans="69:69">
      <c r="BQ1859"/>
    </row>
    <row r="1860" spans="69:69">
      <c r="BQ1860"/>
    </row>
    <row r="1861" spans="69:69">
      <c r="BQ1861"/>
    </row>
    <row r="1862" spans="69:69">
      <c r="BQ1862"/>
    </row>
    <row r="1863" spans="69:69">
      <c r="BQ1863"/>
    </row>
    <row r="1864" spans="69:69">
      <c r="BQ1864"/>
    </row>
    <row r="1865" spans="69:69">
      <c r="BQ1865"/>
    </row>
    <row r="1866" spans="69:69">
      <c r="BQ1866"/>
    </row>
    <row r="1867" spans="69:69">
      <c r="BQ1867"/>
    </row>
    <row r="1868" spans="69:69">
      <c r="BQ1868"/>
    </row>
    <row r="1869" spans="69:69">
      <c r="BQ1869"/>
    </row>
    <row r="1870" spans="69:69">
      <c r="BQ1870"/>
    </row>
    <row r="1871" spans="69:69">
      <c r="BQ1871"/>
    </row>
    <row r="1872" spans="69:69">
      <c r="BQ1872"/>
    </row>
    <row r="1873" spans="69:69">
      <c r="BQ1873"/>
    </row>
    <row r="1874" spans="69:69">
      <c r="BQ1874"/>
    </row>
    <row r="1875" spans="69:69">
      <c r="BQ1875"/>
    </row>
    <row r="1876" spans="69:69">
      <c r="BQ1876"/>
    </row>
    <row r="1877" spans="69:69">
      <c r="BQ1877"/>
    </row>
    <row r="1878" spans="69:69">
      <c r="BQ1878"/>
    </row>
    <row r="1879" spans="69:69">
      <c r="BQ1879"/>
    </row>
    <row r="1880" spans="69:69">
      <c r="BQ1880"/>
    </row>
    <row r="1881" spans="69:69">
      <c r="BQ1881"/>
    </row>
    <row r="1882" spans="69:69">
      <c r="BQ1882"/>
    </row>
    <row r="1883" spans="69:69">
      <c r="BQ1883"/>
    </row>
    <row r="1884" spans="69:69">
      <c r="BQ1884"/>
    </row>
    <row r="1885" spans="69:69">
      <c r="BQ1885"/>
    </row>
    <row r="1886" spans="69:69">
      <c r="BQ1886"/>
    </row>
    <row r="1887" spans="69:69">
      <c r="BQ1887"/>
    </row>
    <row r="1888" spans="69:69">
      <c r="BQ1888"/>
    </row>
    <row r="1889" spans="69:69">
      <c r="BQ1889"/>
    </row>
    <row r="1890" spans="69:69">
      <c r="BQ1890"/>
    </row>
    <row r="1891" spans="69:69">
      <c r="BQ1891"/>
    </row>
    <row r="1892" spans="69:69">
      <c r="BQ1892"/>
    </row>
    <row r="1893" spans="69:69">
      <c r="BQ1893"/>
    </row>
    <row r="1894" spans="69:69">
      <c r="BQ1894"/>
    </row>
    <row r="1895" spans="69:69">
      <c r="BQ1895"/>
    </row>
    <row r="1896" spans="69:69">
      <c r="BQ1896"/>
    </row>
    <row r="1897" spans="69:69">
      <c r="BQ1897"/>
    </row>
    <row r="1898" spans="69:69">
      <c r="BQ1898"/>
    </row>
    <row r="1899" spans="69:69">
      <c r="BQ1899"/>
    </row>
    <row r="1900" spans="69:69">
      <c r="BQ1900"/>
    </row>
    <row r="1901" spans="69:69">
      <c r="BQ1901"/>
    </row>
    <row r="1902" spans="69:69">
      <c r="BQ1902"/>
    </row>
    <row r="1903" spans="69:69">
      <c r="BQ1903"/>
    </row>
    <row r="1904" spans="69:69">
      <c r="BQ1904"/>
    </row>
    <row r="1905" spans="69:69">
      <c r="BQ1905"/>
    </row>
    <row r="1906" spans="69:69">
      <c r="BQ1906"/>
    </row>
    <row r="1907" spans="69:69">
      <c r="BQ1907"/>
    </row>
    <row r="1908" spans="69:69">
      <c r="BQ1908"/>
    </row>
    <row r="1909" spans="69:69">
      <c r="BQ1909"/>
    </row>
    <row r="1910" spans="69:69">
      <c r="BQ1910"/>
    </row>
    <row r="1911" spans="69:69">
      <c r="BQ1911"/>
    </row>
    <row r="1912" spans="69:69">
      <c r="BQ1912"/>
    </row>
    <row r="1913" spans="69:69">
      <c r="BQ1913"/>
    </row>
    <row r="1914" spans="69:69">
      <c r="BQ1914"/>
    </row>
    <row r="1915" spans="69:69">
      <c r="BQ1915"/>
    </row>
    <row r="1916" spans="69:69">
      <c r="BQ1916"/>
    </row>
    <row r="1917" spans="69:69">
      <c r="BQ1917"/>
    </row>
    <row r="1918" spans="69:69">
      <c r="BQ1918"/>
    </row>
    <row r="1919" spans="69:69">
      <c r="BQ1919"/>
    </row>
    <row r="1920" spans="69:69">
      <c r="BQ1920"/>
    </row>
    <row r="1921" spans="69:69">
      <c r="BQ1921"/>
    </row>
    <row r="1922" spans="69:69">
      <c r="BQ1922"/>
    </row>
    <row r="1923" spans="69:69">
      <c r="BQ1923"/>
    </row>
    <row r="1924" spans="69:69">
      <c r="BQ1924"/>
    </row>
    <row r="1925" spans="69:69">
      <c r="BQ1925"/>
    </row>
    <row r="1926" spans="69:69">
      <c r="BQ1926"/>
    </row>
    <row r="1927" spans="69:69">
      <c r="BQ1927"/>
    </row>
    <row r="1928" spans="69:69">
      <c r="BQ1928"/>
    </row>
    <row r="1929" spans="69:69">
      <c r="BQ1929"/>
    </row>
    <row r="1930" spans="69:69">
      <c r="BQ1930"/>
    </row>
    <row r="1931" spans="69:69">
      <c r="BQ1931"/>
    </row>
    <row r="1932" spans="69:69">
      <c r="BQ1932"/>
    </row>
    <row r="1933" spans="69:69">
      <c r="BQ1933"/>
    </row>
    <row r="1934" spans="69:69">
      <c r="BQ1934"/>
    </row>
    <row r="1935" spans="69:69">
      <c r="BQ1935"/>
    </row>
    <row r="1936" spans="69:69">
      <c r="BQ1936"/>
    </row>
    <row r="1937" spans="69:69">
      <c r="BQ1937"/>
    </row>
    <row r="1938" spans="69:69">
      <c r="BQ1938"/>
    </row>
    <row r="1939" spans="69:69">
      <c r="BQ1939"/>
    </row>
    <row r="1940" spans="69:69">
      <c r="BQ1940"/>
    </row>
    <row r="1941" spans="69:69">
      <c r="BQ1941"/>
    </row>
    <row r="1942" spans="69:69">
      <c r="BQ1942"/>
    </row>
    <row r="1943" spans="69:69">
      <c r="BQ1943"/>
    </row>
    <row r="1944" spans="69:69">
      <c r="BQ1944"/>
    </row>
    <row r="1945" spans="69:69">
      <c r="BQ1945"/>
    </row>
    <row r="1946" spans="69:69">
      <c r="BQ1946"/>
    </row>
    <row r="1947" spans="69:69">
      <c r="BQ1947"/>
    </row>
    <row r="1948" spans="69:69">
      <c r="BQ1948"/>
    </row>
    <row r="1949" spans="69:69">
      <c r="BQ1949"/>
    </row>
    <row r="1950" spans="69:69">
      <c r="BQ1950"/>
    </row>
    <row r="1951" spans="69:69">
      <c r="BQ1951"/>
    </row>
    <row r="1952" spans="69:69">
      <c r="BQ1952"/>
    </row>
    <row r="1953" spans="69:69">
      <c r="BQ1953"/>
    </row>
    <row r="1954" spans="69:69">
      <c r="BQ1954"/>
    </row>
    <row r="1955" spans="69:69">
      <c r="BQ1955"/>
    </row>
    <row r="1956" spans="69:69">
      <c r="BQ1956"/>
    </row>
    <row r="1957" spans="69:69">
      <c r="BQ1957"/>
    </row>
    <row r="1958" spans="69:69">
      <c r="BQ1958"/>
    </row>
    <row r="1959" spans="69:69">
      <c r="BQ1959"/>
    </row>
    <row r="1960" spans="69:69">
      <c r="BQ1960"/>
    </row>
    <row r="1961" spans="69:69">
      <c r="BQ1961"/>
    </row>
    <row r="1962" spans="69:69">
      <c r="BQ1962"/>
    </row>
    <row r="1963" spans="69:69">
      <c r="BQ1963"/>
    </row>
    <row r="1964" spans="69:69">
      <c r="BQ1964"/>
    </row>
    <row r="1965" spans="69:69">
      <c r="BQ1965"/>
    </row>
    <row r="1966" spans="69:69">
      <c r="BQ1966"/>
    </row>
    <row r="1967" spans="69:69">
      <c r="BQ1967"/>
    </row>
    <row r="1968" spans="69:69">
      <c r="BQ1968"/>
    </row>
    <row r="1969" spans="69:69">
      <c r="BQ1969"/>
    </row>
    <row r="1970" spans="69:69">
      <c r="BQ1970"/>
    </row>
    <row r="1971" spans="69:69">
      <c r="BQ1971"/>
    </row>
    <row r="1972" spans="69:69">
      <c r="BQ1972"/>
    </row>
    <row r="1973" spans="69:69">
      <c r="BQ1973"/>
    </row>
    <row r="1974" spans="69:69">
      <c r="BQ1974"/>
    </row>
    <row r="1975" spans="69:69">
      <c r="BQ1975"/>
    </row>
    <row r="1976" spans="69:69">
      <c r="BQ1976"/>
    </row>
    <row r="1977" spans="69:69">
      <c r="BQ1977"/>
    </row>
    <row r="1978" spans="69:69">
      <c r="BQ1978"/>
    </row>
    <row r="1979" spans="69:69">
      <c r="BQ1979"/>
    </row>
    <row r="1980" spans="69:69">
      <c r="BQ1980"/>
    </row>
    <row r="1981" spans="69:69">
      <c r="BQ1981"/>
    </row>
    <row r="1982" spans="69:69">
      <c r="BQ1982"/>
    </row>
    <row r="1983" spans="69:69">
      <c r="BQ1983"/>
    </row>
    <row r="1984" spans="69:69">
      <c r="BQ1984"/>
    </row>
    <row r="1985" spans="69:69">
      <c r="BQ1985"/>
    </row>
    <row r="1986" spans="69:69">
      <c r="BQ1986"/>
    </row>
    <row r="1987" spans="69:69">
      <c r="BQ1987"/>
    </row>
    <row r="1988" spans="69:69">
      <c r="BQ1988"/>
    </row>
    <row r="1989" spans="69:69">
      <c r="BQ1989"/>
    </row>
    <row r="1990" spans="69:69">
      <c r="BQ1990"/>
    </row>
    <row r="1991" spans="69:69">
      <c r="BQ1991"/>
    </row>
    <row r="1992" spans="69:69">
      <c r="BQ1992"/>
    </row>
    <row r="1993" spans="69:69">
      <c r="BQ1993"/>
    </row>
    <row r="1994" spans="69:69">
      <c r="BQ1994"/>
    </row>
    <row r="1995" spans="69:69">
      <c r="BQ1995"/>
    </row>
    <row r="1996" spans="69:69">
      <c r="BQ1996"/>
    </row>
    <row r="1997" spans="69:69">
      <c r="BQ1997"/>
    </row>
    <row r="1998" spans="69:69">
      <c r="BQ1998"/>
    </row>
    <row r="1999" spans="69:69">
      <c r="BQ1999"/>
    </row>
    <row r="2000" spans="69:69">
      <c r="BQ2000"/>
    </row>
    <row r="2001" spans="69:69">
      <c r="BQ2001"/>
    </row>
    <row r="2002" spans="69:69">
      <c r="BQ2002"/>
    </row>
    <row r="2003" spans="69:69">
      <c r="BQ2003"/>
    </row>
    <row r="2004" spans="69:69">
      <c r="BQ2004"/>
    </row>
    <row r="2005" spans="69:69">
      <c r="BQ2005"/>
    </row>
    <row r="2006" spans="69:69">
      <c r="BQ2006"/>
    </row>
    <row r="2007" spans="69:69">
      <c r="BQ2007"/>
    </row>
    <row r="2008" spans="69:69">
      <c r="BQ2008"/>
    </row>
    <row r="2009" spans="69:69">
      <c r="BQ2009"/>
    </row>
    <row r="2010" spans="69:69">
      <c r="BQ2010"/>
    </row>
    <row r="2011" spans="69:69">
      <c r="BQ2011"/>
    </row>
    <row r="2012" spans="69:69">
      <c r="BQ2012"/>
    </row>
    <row r="2013" spans="69:69">
      <c r="BQ2013"/>
    </row>
    <row r="2014" spans="69:69">
      <c r="BQ2014"/>
    </row>
    <row r="2015" spans="69:69">
      <c r="BQ2015"/>
    </row>
    <row r="2016" spans="69:69">
      <c r="BQ2016"/>
    </row>
    <row r="2017" spans="69:69">
      <c r="BQ2017"/>
    </row>
    <row r="2018" spans="69:69">
      <c r="BQ2018"/>
    </row>
    <row r="2019" spans="69:69">
      <c r="BQ2019"/>
    </row>
    <row r="2020" spans="69:69">
      <c r="BQ2020"/>
    </row>
    <row r="2021" spans="69:69">
      <c r="BQ2021"/>
    </row>
    <row r="2022" spans="69:69">
      <c r="BQ2022"/>
    </row>
    <row r="2023" spans="69:69">
      <c r="BQ2023"/>
    </row>
    <row r="2024" spans="69:69">
      <c r="BQ2024"/>
    </row>
    <row r="2025" spans="69:69">
      <c r="BQ2025"/>
    </row>
    <row r="2026" spans="69:69">
      <c r="BQ2026"/>
    </row>
    <row r="2027" spans="69:69">
      <c r="BQ2027"/>
    </row>
    <row r="2028" spans="69:69">
      <c r="BQ2028"/>
    </row>
    <row r="2029" spans="69:69">
      <c r="BQ2029"/>
    </row>
    <row r="2030" spans="69:69">
      <c r="BQ2030"/>
    </row>
    <row r="2031" spans="69:69">
      <c r="BQ2031"/>
    </row>
    <row r="2032" spans="69:69">
      <c r="BQ2032"/>
    </row>
    <row r="2033" spans="69:69">
      <c r="BQ2033"/>
    </row>
    <row r="2034" spans="69:69">
      <c r="BQ2034"/>
    </row>
    <row r="2035" spans="69:69">
      <c r="BQ2035"/>
    </row>
    <row r="2036" spans="69:69">
      <c r="BQ2036"/>
    </row>
    <row r="2037" spans="69:69">
      <c r="BQ2037"/>
    </row>
    <row r="2038" spans="69:69">
      <c r="BQ2038"/>
    </row>
    <row r="2039" spans="69:69">
      <c r="BQ2039"/>
    </row>
    <row r="2040" spans="69:69">
      <c r="BQ2040"/>
    </row>
    <row r="2041" spans="69:69">
      <c r="BQ2041"/>
    </row>
    <row r="2042" spans="69:69">
      <c r="BQ2042"/>
    </row>
    <row r="2043" spans="69:69">
      <c r="BQ2043"/>
    </row>
    <row r="2044" spans="69:69">
      <c r="BQ2044"/>
    </row>
    <row r="2045" spans="69:69">
      <c r="BQ2045"/>
    </row>
    <row r="2046" spans="69:69">
      <c r="BQ2046"/>
    </row>
    <row r="2047" spans="69:69">
      <c r="BQ2047"/>
    </row>
    <row r="2048" spans="69:69">
      <c r="BQ2048"/>
    </row>
    <row r="2049" spans="69:69">
      <c r="BQ2049"/>
    </row>
    <row r="2050" spans="69:69">
      <c r="BQ2050"/>
    </row>
    <row r="2051" spans="69:69">
      <c r="BQ2051"/>
    </row>
    <row r="2052" spans="69:69">
      <c r="BQ2052"/>
    </row>
    <row r="2053" spans="69:69">
      <c r="BQ2053"/>
    </row>
    <row r="2054" spans="69:69">
      <c r="BQ2054"/>
    </row>
    <row r="2055" spans="69:69">
      <c r="BQ2055"/>
    </row>
    <row r="2056" spans="69:69">
      <c r="BQ2056"/>
    </row>
    <row r="2057" spans="69:69">
      <c r="BQ2057"/>
    </row>
    <row r="2058" spans="69:69">
      <c r="BQ2058"/>
    </row>
    <row r="2059" spans="69:69">
      <c r="BQ2059"/>
    </row>
    <row r="2060" spans="69:69">
      <c r="BQ2060"/>
    </row>
    <row r="2061" spans="69:69">
      <c r="BQ2061"/>
    </row>
    <row r="2062" spans="69:69">
      <c r="BQ2062"/>
    </row>
    <row r="2063" spans="69:69">
      <c r="BQ2063"/>
    </row>
    <row r="2064" spans="69:69">
      <c r="BQ2064"/>
    </row>
    <row r="2065" spans="69:69">
      <c r="BQ2065"/>
    </row>
    <row r="2066" spans="69:69">
      <c r="BQ2066"/>
    </row>
    <row r="2067" spans="69:69">
      <c r="BQ2067"/>
    </row>
    <row r="2068" spans="69:69">
      <c r="BQ2068"/>
    </row>
    <row r="2069" spans="69:69">
      <c r="BQ2069"/>
    </row>
    <row r="2070" spans="69:69">
      <c r="BQ2070"/>
    </row>
    <row r="2071" spans="69:69">
      <c r="BQ2071"/>
    </row>
    <row r="2072" spans="69:69">
      <c r="BQ2072"/>
    </row>
    <row r="2073" spans="69:69">
      <c r="BQ2073"/>
    </row>
    <row r="2074" spans="69:69">
      <c r="BQ2074"/>
    </row>
    <row r="2075" spans="69:69">
      <c r="BQ2075"/>
    </row>
    <row r="2076" spans="69:69">
      <c r="BQ2076"/>
    </row>
    <row r="2077" spans="69:69">
      <c r="BQ2077"/>
    </row>
    <row r="2078" spans="69:69">
      <c r="BQ2078"/>
    </row>
    <row r="2079" spans="69:69">
      <c r="BQ2079"/>
    </row>
    <row r="2080" spans="69:69">
      <c r="BQ2080"/>
    </row>
    <row r="2081" spans="69:69">
      <c r="BQ2081"/>
    </row>
    <row r="2082" spans="69:69">
      <c r="BQ2082"/>
    </row>
    <row r="2083" spans="69:69">
      <c r="BQ2083"/>
    </row>
    <row r="2084" spans="69:69">
      <c r="BQ2084"/>
    </row>
    <row r="2085" spans="69:69">
      <c r="BQ2085"/>
    </row>
    <row r="2086" spans="69:69">
      <c r="BQ2086"/>
    </row>
    <row r="2087" spans="69:69">
      <c r="BQ2087"/>
    </row>
    <row r="2088" spans="69:69">
      <c r="BQ2088"/>
    </row>
    <row r="2089" spans="69:69">
      <c r="BQ2089"/>
    </row>
    <row r="2090" spans="69:69">
      <c r="BQ2090"/>
    </row>
    <row r="2091" spans="69:69">
      <c r="BQ2091"/>
    </row>
    <row r="2092" spans="69:69">
      <c r="BQ2092"/>
    </row>
    <row r="2093" spans="69:69">
      <c r="BQ2093"/>
    </row>
    <row r="2094" spans="69:69">
      <c r="BQ2094"/>
    </row>
    <row r="2095" spans="69:69">
      <c r="BQ2095"/>
    </row>
    <row r="2096" spans="69:69">
      <c r="BQ2096"/>
    </row>
    <row r="2097" spans="69:69">
      <c r="BQ2097"/>
    </row>
    <row r="2098" spans="69:69">
      <c r="BQ2098"/>
    </row>
    <row r="2099" spans="69:69">
      <c r="BQ2099"/>
    </row>
    <row r="2100" spans="69:69">
      <c r="BQ2100"/>
    </row>
    <row r="2101" spans="69:69">
      <c r="BQ2101"/>
    </row>
    <row r="2102" spans="69:69">
      <c r="BQ2102"/>
    </row>
    <row r="2103" spans="69:69">
      <c r="BQ2103"/>
    </row>
    <row r="2104" spans="69:69">
      <c r="BQ2104"/>
    </row>
    <row r="2105" spans="69:69">
      <c r="BQ2105"/>
    </row>
    <row r="2106" spans="69:69">
      <c r="BQ2106"/>
    </row>
    <row r="2107" spans="69:69">
      <c r="BQ2107"/>
    </row>
    <row r="2108" spans="69:69">
      <c r="BQ2108"/>
    </row>
    <row r="2109" spans="69:69">
      <c r="BQ2109"/>
    </row>
    <row r="2110" spans="69:69">
      <c r="BQ2110"/>
    </row>
    <row r="2111" spans="69:69">
      <c r="BQ2111"/>
    </row>
    <row r="2112" spans="69:69">
      <c r="BQ2112"/>
    </row>
    <row r="2113" spans="69:69">
      <c r="BQ2113"/>
    </row>
    <row r="2114" spans="69:69">
      <c r="BQ2114"/>
    </row>
    <row r="2115" spans="69:69">
      <c r="BQ2115"/>
    </row>
    <row r="2116" spans="69:69">
      <c r="BQ2116"/>
    </row>
    <row r="2117" spans="69:69">
      <c r="BQ2117"/>
    </row>
    <row r="2118" spans="69:69">
      <c r="BQ2118"/>
    </row>
    <row r="2119" spans="69:69">
      <c r="BQ2119"/>
    </row>
    <row r="2120" spans="69:69">
      <c r="BQ2120"/>
    </row>
    <row r="2121" spans="69:69">
      <c r="BQ2121"/>
    </row>
    <row r="2122" spans="69:69">
      <c r="BQ2122"/>
    </row>
    <row r="2123" spans="69:69">
      <c r="BQ2123"/>
    </row>
    <row r="2124" spans="69:69">
      <c r="BQ2124"/>
    </row>
    <row r="2125" spans="69:69">
      <c r="BQ2125"/>
    </row>
    <row r="2126" spans="69:69">
      <c r="BQ2126"/>
    </row>
    <row r="2127" spans="69:69">
      <c r="BQ2127"/>
    </row>
    <row r="2128" spans="69:69">
      <c r="BQ2128"/>
    </row>
    <row r="2129" spans="69:69">
      <c r="BQ2129"/>
    </row>
    <row r="2130" spans="69:69">
      <c r="BQ2130"/>
    </row>
    <row r="2131" spans="69:69">
      <c r="BQ2131"/>
    </row>
    <row r="2132" spans="69:69">
      <c r="BQ2132"/>
    </row>
    <row r="2133" spans="69:69">
      <c r="BQ2133"/>
    </row>
    <row r="2134" spans="69:69">
      <c r="BQ2134"/>
    </row>
    <row r="2135" spans="69:69">
      <c r="BQ2135"/>
    </row>
    <row r="2136" spans="69:69">
      <c r="BQ2136"/>
    </row>
    <row r="2137" spans="69:69">
      <c r="BQ2137"/>
    </row>
    <row r="2138" spans="69:69">
      <c r="BQ2138"/>
    </row>
    <row r="2139" spans="69:69">
      <c r="BQ2139"/>
    </row>
    <row r="2140" spans="69:69">
      <c r="BQ2140"/>
    </row>
    <row r="2141" spans="69:69">
      <c r="BQ2141"/>
    </row>
    <row r="2142" spans="69:69">
      <c r="BQ2142"/>
    </row>
    <row r="2143" spans="69:69">
      <c r="BQ2143"/>
    </row>
    <row r="2144" spans="69:69">
      <c r="BQ2144"/>
    </row>
    <row r="2145" spans="69:69">
      <c r="BQ2145"/>
    </row>
    <row r="2146" spans="69:69">
      <c r="BQ2146"/>
    </row>
    <row r="2147" spans="69:69">
      <c r="BQ2147"/>
    </row>
    <row r="2148" spans="69:69">
      <c r="BQ2148"/>
    </row>
    <row r="2149" spans="69:69">
      <c r="BQ2149"/>
    </row>
    <row r="2150" spans="69:69">
      <c r="BQ2150"/>
    </row>
    <row r="2151" spans="69:69">
      <c r="BQ2151"/>
    </row>
    <row r="2152" spans="69:69">
      <c r="BQ2152"/>
    </row>
    <row r="2153" spans="69:69">
      <c r="BQ2153"/>
    </row>
    <row r="2154" spans="69:69">
      <c r="BQ2154"/>
    </row>
    <row r="2155" spans="69:69">
      <c r="BQ2155"/>
    </row>
    <row r="2156" spans="69:69">
      <c r="BQ2156"/>
    </row>
    <row r="2157" spans="69:69">
      <c r="BQ2157"/>
    </row>
    <row r="2158" spans="69:69">
      <c r="BQ2158"/>
    </row>
    <row r="2159" spans="69:69">
      <c r="BQ2159"/>
    </row>
    <row r="2160" spans="69:69">
      <c r="BQ2160"/>
    </row>
    <row r="2161" spans="69:69">
      <c r="BQ2161"/>
    </row>
    <row r="2162" spans="69:69">
      <c r="BQ2162"/>
    </row>
    <row r="2163" spans="69:69">
      <c r="BQ2163"/>
    </row>
    <row r="2164" spans="69:69">
      <c r="BQ2164"/>
    </row>
    <row r="2165" spans="69:69">
      <c r="BQ2165"/>
    </row>
    <row r="2166" spans="69:69">
      <c r="BQ2166"/>
    </row>
    <row r="2167" spans="69:69">
      <c r="BQ2167"/>
    </row>
    <row r="2168" spans="69:69">
      <c r="BQ2168"/>
    </row>
    <row r="2169" spans="69:69">
      <c r="BQ2169"/>
    </row>
    <row r="2170" spans="69:69">
      <c r="BQ2170"/>
    </row>
    <row r="2171" spans="69:69">
      <c r="BQ2171"/>
    </row>
    <row r="2172" spans="69:69">
      <c r="BQ2172"/>
    </row>
    <row r="2173" spans="69:69">
      <c r="BQ2173"/>
    </row>
    <row r="2174" spans="69:69">
      <c r="BQ2174"/>
    </row>
    <row r="2175" spans="69:69">
      <c r="BQ2175"/>
    </row>
    <row r="2176" spans="69:69">
      <c r="BQ2176"/>
    </row>
    <row r="2177" spans="69:69">
      <c r="BQ2177"/>
    </row>
    <row r="2178" spans="69:69">
      <c r="BQ2178"/>
    </row>
    <row r="2179" spans="69:69">
      <c r="BQ2179"/>
    </row>
    <row r="2180" spans="69:69">
      <c r="BQ2180"/>
    </row>
    <row r="2181" spans="69:69">
      <c r="BQ2181"/>
    </row>
    <row r="2182" spans="69:69">
      <c r="BQ2182"/>
    </row>
    <row r="2183" spans="69:69">
      <c r="BQ2183"/>
    </row>
    <row r="2184" spans="69:69">
      <c r="BQ2184"/>
    </row>
    <row r="2185" spans="69:69">
      <c r="BQ2185"/>
    </row>
    <row r="2186" spans="69:69">
      <c r="BQ2186"/>
    </row>
    <row r="2187" spans="69:69">
      <c r="BQ2187"/>
    </row>
    <row r="2188" spans="69:69">
      <c r="BQ2188"/>
    </row>
    <row r="2189" spans="69:69">
      <c r="BQ2189"/>
    </row>
    <row r="2190" spans="69:69">
      <c r="BQ2190"/>
    </row>
    <row r="2191" spans="69:69">
      <c r="BQ2191"/>
    </row>
    <row r="2192" spans="69:69">
      <c r="BQ2192"/>
    </row>
    <row r="2193" spans="69:69">
      <c r="BQ2193"/>
    </row>
    <row r="2194" spans="69:69">
      <c r="BQ2194"/>
    </row>
    <row r="2195" spans="69:69">
      <c r="BQ2195"/>
    </row>
    <row r="2196" spans="69:69">
      <c r="BQ2196"/>
    </row>
    <row r="2197" spans="69:69">
      <c r="BQ2197"/>
    </row>
    <row r="2198" spans="69:69">
      <c r="BQ2198"/>
    </row>
    <row r="2199" spans="69:69">
      <c r="BQ2199"/>
    </row>
    <row r="2200" spans="69:69">
      <c r="BQ2200"/>
    </row>
    <row r="2201" spans="69:69">
      <c r="BQ2201"/>
    </row>
    <row r="2202" spans="69:69">
      <c r="BQ2202"/>
    </row>
    <row r="2203" spans="69:69">
      <c r="BQ2203"/>
    </row>
    <row r="2204" spans="69:69">
      <c r="BQ2204"/>
    </row>
    <row r="2205" spans="69:69">
      <c r="BQ2205"/>
    </row>
    <row r="2206" spans="69:69">
      <c r="BQ2206"/>
    </row>
    <row r="2207" spans="69:69">
      <c r="BQ2207"/>
    </row>
    <row r="2208" spans="69:69">
      <c r="BQ2208"/>
    </row>
    <row r="2209" spans="69:69">
      <c r="BQ2209"/>
    </row>
    <row r="2210" spans="69:69">
      <c r="BQ2210"/>
    </row>
    <row r="2211" spans="69:69">
      <c r="BQ2211"/>
    </row>
    <row r="2212" spans="69:69">
      <c r="BQ2212"/>
    </row>
    <row r="2213" spans="69:69">
      <c r="BQ2213"/>
    </row>
    <row r="2214" spans="69:69">
      <c r="BQ2214"/>
    </row>
    <row r="2215" spans="69:69">
      <c r="BQ2215"/>
    </row>
    <row r="2216" spans="69:69">
      <c r="BQ2216"/>
    </row>
    <row r="2217" spans="69:69">
      <c r="BQ2217"/>
    </row>
    <row r="2218" spans="69:69">
      <c r="BQ2218"/>
    </row>
    <row r="2219" spans="69:69">
      <c r="BQ2219"/>
    </row>
    <row r="2220" spans="69:69">
      <c r="BQ2220"/>
    </row>
    <row r="2221" spans="69:69">
      <c r="BQ2221"/>
    </row>
    <row r="2222" spans="69:69">
      <c r="BQ2222"/>
    </row>
    <row r="2223" spans="69:69">
      <c r="BQ2223"/>
    </row>
    <row r="2224" spans="69:69">
      <c r="BQ2224"/>
    </row>
    <row r="2225" spans="69:69">
      <c r="BQ2225"/>
    </row>
    <row r="2226" spans="69:69">
      <c r="BQ2226"/>
    </row>
    <row r="2227" spans="69:69">
      <c r="BQ2227"/>
    </row>
    <row r="2228" spans="69:69">
      <c r="BQ2228"/>
    </row>
    <row r="2229" spans="69:69">
      <c r="BQ2229"/>
    </row>
    <row r="2230" spans="69:69">
      <c r="BQ2230"/>
    </row>
    <row r="2231" spans="69:69">
      <c r="BQ2231"/>
    </row>
    <row r="2232" spans="69:69">
      <c r="BQ2232"/>
    </row>
    <row r="2233" spans="69:69">
      <c r="BQ2233"/>
    </row>
    <row r="2234" spans="69:69">
      <c r="BQ2234"/>
    </row>
    <row r="2235" spans="69:69">
      <c r="BQ2235"/>
    </row>
    <row r="2236" spans="69:69">
      <c r="BQ2236"/>
    </row>
    <row r="2237" spans="69:69">
      <c r="BQ2237"/>
    </row>
    <row r="2238" spans="69:69">
      <c r="BQ2238"/>
    </row>
    <row r="2239" spans="69:69">
      <c r="BQ2239"/>
    </row>
    <row r="2240" spans="69:69">
      <c r="BQ2240"/>
    </row>
    <row r="2241" spans="69:69">
      <c r="BQ2241"/>
    </row>
    <row r="2242" spans="69:69">
      <c r="BQ2242"/>
    </row>
    <row r="2243" spans="69:69">
      <c r="BQ2243"/>
    </row>
    <row r="2244" spans="69:69">
      <c r="BQ2244"/>
    </row>
    <row r="2245" spans="69:69">
      <c r="BQ2245"/>
    </row>
    <row r="2246" spans="69:69">
      <c r="BQ2246"/>
    </row>
    <row r="2247" spans="69:69">
      <c r="BQ2247"/>
    </row>
    <row r="2248" spans="69:69">
      <c r="BQ2248"/>
    </row>
    <row r="2249" spans="69:69">
      <c r="BQ2249"/>
    </row>
    <row r="2250" spans="69:69">
      <c r="BQ2250"/>
    </row>
    <row r="2251" spans="69:69">
      <c r="BQ2251"/>
    </row>
    <row r="2252" spans="69:69">
      <c r="BQ2252"/>
    </row>
    <row r="2253" spans="69:69">
      <c r="BQ2253"/>
    </row>
    <row r="2254" spans="69:69">
      <c r="BQ2254"/>
    </row>
    <row r="2255" spans="69:69">
      <c r="BQ2255"/>
    </row>
    <row r="2256" spans="69:69">
      <c r="BQ2256"/>
    </row>
    <row r="2257" spans="69:69">
      <c r="BQ2257"/>
    </row>
    <row r="2258" spans="69:69">
      <c r="BQ2258"/>
    </row>
    <row r="2259" spans="69:69">
      <c r="BQ2259"/>
    </row>
    <row r="2260" spans="69:69">
      <c r="BQ2260"/>
    </row>
    <row r="2261" spans="69:69">
      <c r="BQ2261"/>
    </row>
    <row r="2262" spans="69:69">
      <c r="BQ2262"/>
    </row>
    <row r="2263" spans="69:69">
      <c r="BQ2263"/>
    </row>
    <row r="2264" spans="69:69">
      <c r="BQ2264"/>
    </row>
    <row r="2265" spans="69:69">
      <c r="BQ2265"/>
    </row>
    <row r="2266" spans="69:69">
      <c r="BQ2266"/>
    </row>
    <row r="2267" spans="69:69">
      <c r="BQ2267"/>
    </row>
    <row r="2268" spans="69:69">
      <c r="BQ2268"/>
    </row>
    <row r="2269" spans="69:69">
      <c r="BQ2269"/>
    </row>
    <row r="2270" spans="69:69">
      <c r="BQ2270"/>
    </row>
    <row r="2271" spans="69:69">
      <c r="BQ2271"/>
    </row>
    <row r="2272" spans="69:69">
      <c r="BQ2272"/>
    </row>
    <row r="2273" spans="69:69">
      <c r="BQ2273"/>
    </row>
    <row r="2274" spans="69:69">
      <c r="BQ2274"/>
    </row>
    <row r="2275" spans="69:69">
      <c r="BQ2275"/>
    </row>
    <row r="2276" spans="69:69">
      <c r="BQ2276"/>
    </row>
    <row r="2277" spans="69:69">
      <c r="BQ2277"/>
    </row>
    <row r="2278" spans="69:69">
      <c r="BQ2278"/>
    </row>
    <row r="2279" spans="69:69">
      <c r="BQ2279"/>
    </row>
    <row r="2280" spans="69:69">
      <c r="BQ2280"/>
    </row>
    <row r="2281" spans="69:69">
      <c r="BQ2281"/>
    </row>
    <row r="2282" spans="69:69">
      <c r="BQ2282"/>
    </row>
    <row r="2283" spans="69:69">
      <c r="BQ2283"/>
    </row>
    <row r="2284" spans="69:69">
      <c r="BQ2284"/>
    </row>
    <row r="2285" spans="69:69">
      <c r="BQ2285"/>
    </row>
    <row r="2286" spans="69:69">
      <c r="BQ2286"/>
    </row>
    <row r="2287" spans="69:69">
      <c r="BQ2287"/>
    </row>
    <row r="2288" spans="69:69">
      <c r="BQ2288"/>
    </row>
    <row r="2289" spans="69:69">
      <c r="BQ2289"/>
    </row>
    <row r="2290" spans="69:69">
      <c r="BQ2290"/>
    </row>
    <row r="2291" spans="69:69">
      <c r="BQ2291"/>
    </row>
    <row r="2292" spans="69:69">
      <c r="BQ2292"/>
    </row>
    <row r="2293" spans="69:69">
      <c r="BQ2293"/>
    </row>
    <row r="2294" spans="69:69">
      <c r="BQ2294"/>
    </row>
    <row r="2295" spans="69:69">
      <c r="BQ2295"/>
    </row>
    <row r="2296" spans="69:69">
      <c r="BQ2296"/>
    </row>
    <row r="2297" spans="69:69">
      <c r="BQ2297"/>
    </row>
    <row r="2298" spans="69:69">
      <c r="BQ2298"/>
    </row>
    <row r="2299" spans="69:69">
      <c r="BQ2299"/>
    </row>
    <row r="2300" spans="69:69">
      <c r="BQ2300"/>
    </row>
    <row r="2301" spans="69:69">
      <c r="BQ2301"/>
    </row>
    <row r="2302" spans="69:69">
      <c r="BQ2302"/>
    </row>
    <row r="2303" spans="69:69">
      <c r="BQ2303"/>
    </row>
    <row r="2304" spans="69:69">
      <c r="BQ2304"/>
    </row>
    <row r="2305" spans="69:69">
      <c r="BQ2305"/>
    </row>
    <row r="2306" spans="69:69">
      <c r="BQ2306"/>
    </row>
    <row r="2307" spans="69:69">
      <c r="BQ2307"/>
    </row>
    <row r="2308" spans="69:69">
      <c r="BQ2308"/>
    </row>
    <row r="2309" spans="69:69">
      <c r="BQ2309"/>
    </row>
    <row r="2310" spans="69:69">
      <c r="BQ2310"/>
    </row>
    <row r="2311" spans="69:69">
      <c r="BQ2311"/>
    </row>
    <row r="2312" spans="69:69">
      <c r="BQ2312"/>
    </row>
    <row r="2313" spans="69:69">
      <c r="BQ2313"/>
    </row>
    <row r="2314" spans="69:69">
      <c r="BQ2314"/>
    </row>
    <row r="2315" spans="69:69">
      <c r="BQ2315"/>
    </row>
    <row r="2316" spans="69:69">
      <c r="BQ2316"/>
    </row>
    <row r="2317" spans="69:69">
      <c r="BQ2317"/>
    </row>
    <row r="2318" spans="69:69">
      <c r="BQ2318"/>
    </row>
    <row r="2319" spans="69:69">
      <c r="BQ2319"/>
    </row>
    <row r="2320" spans="69:69">
      <c r="BQ2320"/>
    </row>
    <row r="2321" spans="69:69">
      <c r="BQ2321"/>
    </row>
    <row r="2322" spans="69:69">
      <c r="BQ2322"/>
    </row>
    <row r="2323" spans="69:69">
      <c r="BQ2323"/>
    </row>
    <row r="2324" spans="69:69">
      <c r="BQ2324"/>
    </row>
    <row r="2325" spans="69:69">
      <c r="BQ2325"/>
    </row>
    <row r="2326" spans="69:69">
      <c r="BQ2326"/>
    </row>
    <row r="2327" spans="69:69">
      <c r="BQ2327"/>
    </row>
    <row r="2328" spans="69:69">
      <c r="BQ2328"/>
    </row>
    <row r="2329" spans="69:69">
      <c r="BQ2329"/>
    </row>
    <row r="2330" spans="69:69">
      <c r="BQ2330"/>
    </row>
    <row r="2331" spans="69:69">
      <c r="BQ2331"/>
    </row>
    <row r="2332" spans="69:69">
      <c r="BQ2332"/>
    </row>
    <row r="2333" spans="69:69">
      <c r="BQ2333"/>
    </row>
    <row r="2334" spans="69:69">
      <c r="BQ2334"/>
    </row>
    <row r="2335" spans="69:69">
      <c r="BQ2335"/>
    </row>
    <row r="2336" spans="69:69">
      <c r="BQ2336"/>
    </row>
    <row r="2337" spans="69:69">
      <c r="BQ2337"/>
    </row>
    <row r="2338" spans="69:69">
      <c r="BQ2338"/>
    </row>
    <row r="2339" spans="69:69">
      <c r="BQ2339"/>
    </row>
    <row r="2340" spans="69:69">
      <c r="BQ2340"/>
    </row>
    <row r="2341" spans="69:69">
      <c r="BQ2341"/>
    </row>
    <row r="2342" spans="69:69">
      <c r="BQ2342"/>
    </row>
    <row r="2343" spans="69:69">
      <c r="BQ2343"/>
    </row>
    <row r="2344" spans="69:69">
      <c r="BQ2344"/>
    </row>
    <row r="2345" spans="69:69">
      <c r="BQ2345"/>
    </row>
    <row r="2346" spans="69:69">
      <c r="BQ2346"/>
    </row>
    <row r="2347" spans="69:69">
      <c r="BQ2347"/>
    </row>
    <row r="2348" spans="69:69">
      <c r="BQ2348"/>
    </row>
    <row r="2349" spans="69:69">
      <c r="BQ2349"/>
    </row>
    <row r="2350" spans="69:69">
      <c r="BQ2350"/>
    </row>
    <row r="2351" spans="69:69">
      <c r="BQ2351"/>
    </row>
    <row r="2352" spans="69:69">
      <c r="BQ2352"/>
    </row>
    <row r="2353" spans="69:69">
      <c r="BQ2353"/>
    </row>
    <row r="2354" spans="69:69">
      <c r="BQ2354"/>
    </row>
    <row r="2355" spans="69:69">
      <c r="BQ2355"/>
    </row>
    <row r="2356" spans="69:69">
      <c r="BQ2356"/>
    </row>
    <row r="2357" spans="69:69">
      <c r="BQ2357"/>
    </row>
    <row r="2358" spans="69:69">
      <c r="BQ2358"/>
    </row>
    <row r="2359" spans="69:69">
      <c r="BQ2359"/>
    </row>
    <row r="2360" spans="69:69">
      <c r="BQ2360"/>
    </row>
    <row r="2361" spans="69:69">
      <c r="BQ2361"/>
    </row>
    <row r="2362" spans="69:69">
      <c r="BQ2362"/>
    </row>
    <row r="2363" spans="69:69">
      <c r="BQ2363"/>
    </row>
    <row r="2364" spans="69:69">
      <c r="BQ2364"/>
    </row>
    <row r="2365" spans="69:69">
      <c r="BQ2365"/>
    </row>
    <row r="2366" spans="69:69">
      <c r="BQ2366"/>
    </row>
    <row r="2367" spans="69:69">
      <c r="BQ2367"/>
    </row>
    <row r="2368" spans="69:69">
      <c r="BQ2368"/>
    </row>
    <row r="2369" spans="69:69">
      <c r="BQ2369"/>
    </row>
    <row r="2370" spans="69:69">
      <c r="BQ2370"/>
    </row>
    <row r="2371" spans="69:69">
      <c r="BQ2371"/>
    </row>
    <row r="2372" spans="69:69">
      <c r="BQ2372"/>
    </row>
    <row r="2373" spans="69:69">
      <c r="BQ2373"/>
    </row>
    <row r="2374" spans="69:69">
      <c r="BQ2374"/>
    </row>
    <row r="2375" spans="69:69">
      <c r="BQ2375"/>
    </row>
    <row r="2376" spans="69:69">
      <c r="BQ2376"/>
    </row>
    <row r="2377" spans="69:69">
      <c r="BQ2377"/>
    </row>
    <row r="2378" spans="69:69">
      <c r="BQ2378"/>
    </row>
    <row r="2379" spans="69:69">
      <c r="BQ2379"/>
    </row>
    <row r="2380" spans="69:69">
      <c r="BQ2380"/>
    </row>
    <row r="2381" spans="69:69">
      <c r="BQ2381"/>
    </row>
    <row r="2382" spans="69:69">
      <c r="BQ2382"/>
    </row>
    <row r="2383" spans="69:69">
      <c r="BQ2383"/>
    </row>
    <row r="2384" spans="69:69">
      <c r="BQ2384"/>
    </row>
    <row r="2385" spans="69:69">
      <c r="BQ2385"/>
    </row>
    <row r="2386" spans="69:69">
      <c r="BQ2386"/>
    </row>
    <row r="2387" spans="69:69">
      <c r="BQ2387"/>
    </row>
    <row r="2388" spans="69:69">
      <c r="BQ2388"/>
    </row>
    <row r="2389" spans="69:69">
      <c r="BQ2389"/>
    </row>
    <row r="2390" spans="69:69">
      <c r="BQ2390"/>
    </row>
    <row r="2391" spans="69:69">
      <c r="BQ2391"/>
    </row>
    <row r="2392" spans="69:69">
      <c r="BQ2392"/>
    </row>
    <row r="2393" spans="69:69">
      <c r="BQ2393"/>
    </row>
    <row r="2394" spans="69:69">
      <c r="BQ2394"/>
    </row>
    <row r="2395" spans="69:69">
      <c r="BQ2395"/>
    </row>
    <row r="2396" spans="69:69">
      <c r="BQ2396"/>
    </row>
    <row r="2397" spans="69:69">
      <c r="BQ2397"/>
    </row>
    <row r="2398" spans="69:69">
      <c r="BQ2398"/>
    </row>
    <row r="2399" spans="69:69">
      <c r="BQ2399"/>
    </row>
    <row r="2400" spans="69:69">
      <c r="BQ2400"/>
    </row>
    <row r="2401" spans="69:69">
      <c r="BQ2401"/>
    </row>
    <row r="2402" spans="69:69">
      <c r="BQ2402"/>
    </row>
    <row r="2403" spans="69:69">
      <c r="BQ2403"/>
    </row>
    <row r="2404" spans="69:69">
      <c r="BQ2404"/>
    </row>
    <row r="2405" spans="69:69">
      <c r="BQ2405"/>
    </row>
    <row r="2406" spans="69:69">
      <c r="BQ2406"/>
    </row>
    <row r="2407" spans="69:69">
      <c r="BQ2407"/>
    </row>
    <row r="2408" spans="69:69">
      <c r="BQ2408"/>
    </row>
    <row r="2409" spans="69:69">
      <c r="BQ2409"/>
    </row>
    <row r="2410" spans="69:69">
      <c r="BQ2410"/>
    </row>
    <row r="2411" spans="69:69">
      <c r="BQ2411"/>
    </row>
    <row r="2412" spans="69:69">
      <c r="BQ2412"/>
    </row>
    <row r="2413" spans="69:69">
      <c r="BQ2413"/>
    </row>
    <row r="2414" spans="69:69">
      <c r="BQ2414"/>
    </row>
    <row r="2415" spans="69:69">
      <c r="BQ2415"/>
    </row>
    <row r="2416" spans="69:69">
      <c r="BQ2416"/>
    </row>
    <row r="2417" spans="69:69">
      <c r="BQ2417"/>
    </row>
    <row r="2418" spans="69:69">
      <c r="BQ2418"/>
    </row>
    <row r="2419" spans="69:69">
      <c r="BQ2419"/>
    </row>
    <row r="2420" spans="69:69">
      <c r="BQ2420"/>
    </row>
    <row r="2421" spans="69:69">
      <c r="BQ2421"/>
    </row>
    <row r="2422" spans="69:69">
      <c r="BQ2422"/>
    </row>
    <row r="2423" spans="69:69">
      <c r="BQ2423"/>
    </row>
    <row r="2424" spans="69:69">
      <c r="BQ2424"/>
    </row>
    <row r="2425" spans="69:69">
      <c r="BQ2425"/>
    </row>
    <row r="2426" spans="69:69">
      <c r="BQ2426"/>
    </row>
    <row r="2427" spans="69:69">
      <c r="BQ2427"/>
    </row>
    <row r="2428" spans="69:69">
      <c r="BQ2428"/>
    </row>
    <row r="2429" spans="69:69">
      <c r="BQ2429"/>
    </row>
    <row r="2430" spans="69:69">
      <c r="BQ2430"/>
    </row>
    <row r="2431" spans="69:69">
      <c r="BQ2431"/>
    </row>
    <row r="2432" spans="69:69">
      <c r="BQ2432"/>
    </row>
    <row r="2433" spans="69:69">
      <c r="BQ2433"/>
    </row>
    <row r="2434" spans="69:69">
      <c r="BQ2434"/>
    </row>
    <row r="2435" spans="69:69">
      <c r="BQ2435"/>
    </row>
    <row r="2436" spans="69:69">
      <c r="BQ2436"/>
    </row>
    <row r="2437" spans="69:69">
      <c r="BQ2437"/>
    </row>
    <row r="2438" spans="69:69">
      <c r="BQ2438"/>
    </row>
    <row r="2439" spans="69:69">
      <c r="BQ2439"/>
    </row>
    <row r="2440" spans="69:69">
      <c r="BQ2440"/>
    </row>
    <row r="2441" spans="69:69">
      <c r="BQ2441"/>
    </row>
    <row r="2442" spans="69:69">
      <c r="BQ2442"/>
    </row>
    <row r="2443" spans="69:69">
      <c r="BQ2443"/>
    </row>
    <row r="2444" spans="69:69">
      <c r="BQ2444"/>
    </row>
    <row r="2445" spans="69:69">
      <c r="BQ2445"/>
    </row>
    <row r="2446" spans="69:69">
      <c r="BQ2446"/>
    </row>
    <row r="2447" spans="69:69">
      <c r="BQ2447"/>
    </row>
    <row r="2448" spans="69:69">
      <c r="BQ2448"/>
    </row>
    <row r="2449" spans="69:69">
      <c r="BQ2449"/>
    </row>
    <row r="2450" spans="69:69">
      <c r="BQ2450"/>
    </row>
    <row r="2451" spans="69:69">
      <c r="BQ2451"/>
    </row>
    <row r="2452" spans="69:69">
      <c r="BQ2452"/>
    </row>
    <row r="2453" spans="69:69">
      <c r="BQ2453"/>
    </row>
    <row r="2454" spans="69:69">
      <c r="BQ2454"/>
    </row>
    <row r="2455" spans="69:69">
      <c r="BQ2455"/>
    </row>
    <row r="2456" spans="69:69">
      <c r="BQ2456"/>
    </row>
    <row r="2457" spans="69:69">
      <c r="BQ2457"/>
    </row>
    <row r="2458" spans="69:69">
      <c r="BQ2458"/>
    </row>
    <row r="2459" spans="69:69">
      <c r="BQ2459"/>
    </row>
    <row r="2460" spans="69:69">
      <c r="BQ2460"/>
    </row>
    <row r="2461" spans="69:69">
      <c r="BQ2461"/>
    </row>
    <row r="2462" spans="69:69">
      <c r="BQ2462"/>
    </row>
    <row r="2463" spans="69:69">
      <c r="BQ2463"/>
    </row>
    <row r="2464" spans="69:69">
      <c r="BQ2464"/>
    </row>
    <row r="2465" spans="69:69">
      <c r="BQ2465"/>
    </row>
    <row r="2466" spans="69:69">
      <c r="BQ2466"/>
    </row>
    <row r="2467" spans="69:69">
      <c r="BQ2467"/>
    </row>
    <row r="2468" spans="69:69">
      <c r="BQ2468"/>
    </row>
    <row r="2469" spans="69:69">
      <c r="BQ2469"/>
    </row>
    <row r="2470" spans="69:69">
      <c r="BQ2470"/>
    </row>
    <row r="2471" spans="69:69">
      <c r="BQ2471"/>
    </row>
    <row r="2472" spans="69:69">
      <c r="BQ2472"/>
    </row>
    <row r="2473" spans="69:69">
      <c r="BQ2473"/>
    </row>
    <row r="2474" spans="69:69">
      <c r="BQ2474"/>
    </row>
    <row r="2475" spans="69:69">
      <c r="BQ2475"/>
    </row>
    <row r="2476" spans="69:69">
      <c r="BQ2476"/>
    </row>
    <row r="2477" spans="69:69">
      <c r="BQ2477"/>
    </row>
    <row r="2478" spans="69:69">
      <c r="BQ2478"/>
    </row>
    <row r="2479" spans="69:69">
      <c r="BQ2479"/>
    </row>
    <row r="2480" spans="69:69">
      <c r="BQ2480"/>
    </row>
    <row r="2481" spans="69:69">
      <c r="BQ2481"/>
    </row>
    <row r="2482" spans="69:69">
      <c r="BQ2482"/>
    </row>
    <row r="2483" spans="69:69">
      <c r="BQ2483"/>
    </row>
    <row r="2484" spans="69:69">
      <c r="BQ2484"/>
    </row>
    <row r="2485" spans="69:69">
      <c r="BQ2485"/>
    </row>
    <row r="2486" spans="69:69">
      <c r="BQ2486"/>
    </row>
    <row r="2487" spans="69:69">
      <c r="BQ2487"/>
    </row>
    <row r="2488" spans="69:69">
      <c r="BQ2488"/>
    </row>
    <row r="2489" spans="69:69">
      <c r="BQ2489"/>
    </row>
    <row r="2490" spans="69:69">
      <c r="BQ2490"/>
    </row>
    <row r="2491" spans="69:69">
      <c r="BQ2491"/>
    </row>
    <row r="2492" spans="69:69">
      <c r="BQ2492"/>
    </row>
    <row r="2493" spans="69:69">
      <c r="BQ2493"/>
    </row>
    <row r="2494" spans="69:69">
      <c r="BQ2494"/>
    </row>
    <row r="2495" spans="69:69">
      <c r="BQ2495"/>
    </row>
    <row r="2496" spans="69:69">
      <c r="BQ2496"/>
    </row>
    <row r="2497" spans="69:69">
      <c r="BQ2497"/>
    </row>
    <row r="2498" spans="69:69">
      <c r="BQ2498"/>
    </row>
    <row r="2499" spans="69:69">
      <c r="BQ2499"/>
    </row>
    <row r="2500" spans="69:69">
      <c r="BQ2500"/>
    </row>
    <row r="2501" spans="69:69">
      <c r="BQ2501"/>
    </row>
    <row r="2502" spans="69:69">
      <c r="BQ2502"/>
    </row>
    <row r="2503" spans="69:69">
      <c r="BQ2503"/>
    </row>
    <row r="2504" spans="69:69">
      <c r="BQ2504"/>
    </row>
    <row r="2505" spans="69:69">
      <c r="BQ2505"/>
    </row>
    <row r="2506" spans="69:69">
      <c r="BQ2506"/>
    </row>
    <row r="2507" spans="69:69">
      <c r="BQ2507"/>
    </row>
    <row r="2508" spans="69:69">
      <c r="BQ2508"/>
    </row>
    <row r="2509" spans="69:69">
      <c r="BQ2509"/>
    </row>
    <row r="2510" spans="69:69">
      <c r="BQ2510"/>
    </row>
    <row r="2511" spans="69:69">
      <c r="BQ2511"/>
    </row>
    <row r="2512" spans="69:69">
      <c r="BQ2512"/>
    </row>
    <row r="2513" spans="69:69">
      <c r="BQ2513"/>
    </row>
    <row r="2514" spans="69:69">
      <c r="BQ2514"/>
    </row>
    <row r="2515" spans="69:69">
      <c r="BQ2515"/>
    </row>
    <row r="2516" spans="69:69">
      <c r="BQ2516"/>
    </row>
    <row r="2517" spans="69:69">
      <c r="BQ2517"/>
    </row>
    <row r="2518" spans="69:69">
      <c r="BQ2518"/>
    </row>
    <row r="2519" spans="69:69">
      <c r="BQ2519"/>
    </row>
    <row r="2520" spans="69:69">
      <c r="BQ2520"/>
    </row>
    <row r="2521" spans="69:69">
      <c r="BQ2521"/>
    </row>
    <row r="2522" spans="69:69">
      <c r="BQ2522"/>
    </row>
    <row r="2523" spans="69:69">
      <c r="BQ2523"/>
    </row>
    <row r="2524" spans="69:69">
      <c r="BQ2524"/>
    </row>
    <row r="2525" spans="69:69">
      <c r="BQ2525"/>
    </row>
    <row r="2526" spans="69:69">
      <c r="BQ2526"/>
    </row>
    <row r="2527" spans="69:69">
      <c r="BQ2527"/>
    </row>
    <row r="2528" spans="69:69">
      <c r="BQ2528"/>
    </row>
    <row r="2529" spans="69:69">
      <c r="BQ2529"/>
    </row>
    <row r="2530" spans="69:69">
      <c r="BQ2530"/>
    </row>
    <row r="2531" spans="69:69">
      <c r="BQ2531"/>
    </row>
    <row r="2532" spans="69:69">
      <c r="BQ2532"/>
    </row>
    <row r="2533" spans="69:69">
      <c r="BQ2533"/>
    </row>
    <row r="2534" spans="69:69">
      <c r="BQ2534"/>
    </row>
    <row r="2535" spans="69:69">
      <c r="BQ2535"/>
    </row>
    <row r="2536" spans="69:69">
      <c r="BQ2536"/>
    </row>
    <row r="2537" spans="69:69">
      <c r="BQ2537"/>
    </row>
    <row r="2538" spans="69:69">
      <c r="BQ2538"/>
    </row>
    <row r="2539" spans="69:69">
      <c r="BQ2539"/>
    </row>
    <row r="2540" spans="69:69">
      <c r="BQ2540"/>
    </row>
    <row r="2541" spans="69:69">
      <c r="BQ2541"/>
    </row>
    <row r="2542" spans="69:69">
      <c r="BQ2542"/>
    </row>
    <row r="2543" spans="69:69">
      <c r="BQ2543"/>
    </row>
    <row r="2544" spans="69:69">
      <c r="BQ2544"/>
    </row>
    <row r="2545" spans="69:69">
      <c r="BQ2545"/>
    </row>
    <row r="2546" spans="69:69">
      <c r="BQ2546"/>
    </row>
    <row r="2547" spans="69:69">
      <c r="BQ2547"/>
    </row>
    <row r="2548" spans="69:69">
      <c r="BQ2548"/>
    </row>
    <row r="2549" spans="69:69">
      <c r="BQ2549"/>
    </row>
    <row r="2550" spans="69:69">
      <c r="BQ2550"/>
    </row>
    <row r="2551" spans="69:69">
      <c r="BQ2551"/>
    </row>
    <row r="2552" spans="69:69">
      <c r="BQ2552"/>
    </row>
    <row r="2553" spans="69:69">
      <c r="BQ2553"/>
    </row>
    <row r="2554" spans="69:69">
      <c r="BQ2554"/>
    </row>
    <row r="2555" spans="69:69">
      <c r="BQ2555"/>
    </row>
    <row r="2556" spans="69:69">
      <c r="BQ2556"/>
    </row>
    <row r="2557" spans="69:69">
      <c r="BQ2557"/>
    </row>
    <row r="2558" spans="69:69">
      <c r="BQ2558"/>
    </row>
    <row r="2559" spans="69:69">
      <c r="BQ2559"/>
    </row>
    <row r="2560" spans="69:69">
      <c r="BQ2560"/>
    </row>
    <row r="2561" spans="69:69">
      <c r="BQ2561"/>
    </row>
    <row r="2562" spans="69:69">
      <c r="BQ2562"/>
    </row>
    <row r="2563" spans="69:69">
      <c r="BQ2563"/>
    </row>
    <row r="2564" spans="69:69">
      <c r="BQ2564"/>
    </row>
    <row r="2565" spans="69:69">
      <c r="BQ2565"/>
    </row>
    <row r="2566" spans="69:69">
      <c r="BQ2566"/>
    </row>
    <row r="2567" spans="69:69">
      <c r="BQ2567"/>
    </row>
    <row r="2568" spans="69:69">
      <c r="BQ2568"/>
    </row>
    <row r="2569" spans="69:69">
      <c r="BQ2569"/>
    </row>
    <row r="2570" spans="69:69">
      <c r="BQ2570"/>
    </row>
    <row r="2571" spans="69:69">
      <c r="BQ2571"/>
    </row>
    <row r="2572" spans="69:69">
      <c r="BQ2572"/>
    </row>
    <row r="2573" spans="69:69">
      <c r="BQ2573"/>
    </row>
    <row r="2574" spans="69:69">
      <c r="BQ2574"/>
    </row>
    <row r="2575" spans="69:69">
      <c r="BQ2575"/>
    </row>
    <row r="2576" spans="69:69">
      <c r="BQ2576"/>
    </row>
    <row r="2577" spans="69:69">
      <c r="BQ2577"/>
    </row>
    <row r="2578" spans="69:69">
      <c r="BQ2578"/>
    </row>
    <row r="2579" spans="69:69">
      <c r="BQ2579"/>
    </row>
    <row r="2580" spans="69:69">
      <c r="BQ2580"/>
    </row>
    <row r="2581" spans="69:69">
      <c r="BQ2581"/>
    </row>
    <row r="2582" spans="69:69">
      <c r="BQ2582"/>
    </row>
    <row r="2583" spans="69:69">
      <c r="BQ2583"/>
    </row>
    <row r="2584" spans="69:69">
      <c r="BQ2584"/>
    </row>
    <row r="2585" spans="69:69">
      <c r="BQ2585"/>
    </row>
    <row r="2586" spans="69:69">
      <c r="BQ2586"/>
    </row>
    <row r="2587" spans="69:69">
      <c r="BQ2587"/>
    </row>
    <row r="2588" spans="69:69">
      <c r="BQ2588"/>
    </row>
    <row r="2589" spans="69:69">
      <c r="BQ2589"/>
    </row>
    <row r="2590" spans="69:69">
      <c r="BQ2590"/>
    </row>
    <row r="2591" spans="69:69">
      <c r="BQ2591"/>
    </row>
    <row r="2592" spans="69:69">
      <c r="BQ2592"/>
    </row>
    <row r="2593" spans="69:69">
      <c r="BQ2593"/>
    </row>
    <row r="2594" spans="69:69">
      <c r="BQ2594"/>
    </row>
    <row r="2595" spans="69:69">
      <c r="BQ2595"/>
    </row>
    <row r="2596" spans="69:69">
      <c r="BQ2596"/>
    </row>
    <row r="2597" spans="69:69">
      <c r="BQ2597"/>
    </row>
    <row r="2598" spans="69:69">
      <c r="BQ2598"/>
    </row>
    <row r="2599" spans="69:69">
      <c r="BQ2599"/>
    </row>
    <row r="2600" spans="69:69">
      <c r="BQ2600"/>
    </row>
    <row r="2601" spans="69:69">
      <c r="BQ2601"/>
    </row>
    <row r="2602" spans="69:69">
      <c r="BQ2602"/>
    </row>
    <row r="2603" spans="69:69">
      <c r="BQ2603"/>
    </row>
    <row r="2604" spans="69:69">
      <c r="BQ2604"/>
    </row>
    <row r="2605" spans="69:69">
      <c r="BQ2605"/>
    </row>
    <row r="2606" spans="69:69">
      <c r="BQ2606"/>
    </row>
    <row r="2607" spans="69:69">
      <c r="BQ2607"/>
    </row>
    <row r="2608" spans="69:69">
      <c r="BQ2608"/>
    </row>
    <row r="2609" spans="69:69">
      <c r="BQ2609"/>
    </row>
    <row r="2610" spans="69:69">
      <c r="BQ2610"/>
    </row>
    <row r="2611" spans="69:69">
      <c r="BQ2611"/>
    </row>
    <row r="2612" spans="69:69">
      <c r="BQ2612"/>
    </row>
    <row r="2613" spans="69:69">
      <c r="BQ2613"/>
    </row>
    <row r="2614" spans="69:69">
      <c r="BQ2614"/>
    </row>
    <row r="2615" spans="69:69">
      <c r="BQ2615"/>
    </row>
    <row r="2616" spans="69:69">
      <c r="BQ2616"/>
    </row>
    <row r="2617" spans="69:69">
      <c r="BQ2617"/>
    </row>
    <row r="2618" spans="69:69">
      <c r="BQ2618"/>
    </row>
    <row r="2619" spans="69:69">
      <c r="BQ2619"/>
    </row>
    <row r="2620" spans="69:69">
      <c r="BQ2620"/>
    </row>
    <row r="2621" spans="69:69">
      <c r="BQ2621"/>
    </row>
    <row r="2622" spans="69:69">
      <c r="BQ2622"/>
    </row>
    <row r="2623" spans="69:69">
      <c r="BQ2623"/>
    </row>
    <row r="2624" spans="69:69">
      <c r="BQ2624"/>
    </row>
    <row r="2625" spans="69:69">
      <c r="BQ2625"/>
    </row>
    <row r="2626" spans="69:69">
      <c r="BQ2626"/>
    </row>
    <row r="2627" spans="69:69">
      <c r="BQ2627"/>
    </row>
    <row r="2628" spans="69:69">
      <c r="BQ2628"/>
    </row>
    <row r="2629" spans="69:69">
      <c r="BQ2629"/>
    </row>
    <row r="2630" spans="69:69">
      <c r="BQ2630"/>
    </row>
    <row r="2631" spans="69:69">
      <c r="BQ2631"/>
    </row>
    <row r="2632" spans="69:69">
      <c r="BQ2632"/>
    </row>
    <row r="2633" spans="69:69">
      <c r="BQ2633"/>
    </row>
    <row r="2634" spans="69:69">
      <c r="BQ2634"/>
    </row>
    <row r="2635" spans="69:69">
      <c r="BQ2635"/>
    </row>
    <row r="2636" spans="69:69">
      <c r="BQ2636"/>
    </row>
    <row r="2637" spans="69:69">
      <c r="BQ2637"/>
    </row>
    <row r="2638" spans="69:69">
      <c r="BQ2638"/>
    </row>
    <row r="2639" spans="69:69">
      <c r="BQ2639"/>
    </row>
    <row r="2640" spans="69:69">
      <c r="BQ2640"/>
    </row>
    <row r="2641" spans="69:69">
      <c r="BQ2641"/>
    </row>
    <row r="2642" spans="69:69">
      <c r="BQ2642"/>
    </row>
    <row r="2643" spans="69:69">
      <c r="BQ2643"/>
    </row>
    <row r="2644" spans="69:69">
      <c r="BQ2644"/>
    </row>
    <row r="2645" spans="69:69">
      <c r="BQ2645"/>
    </row>
    <row r="2646" spans="69:69">
      <c r="BQ2646"/>
    </row>
    <row r="2647" spans="69:69">
      <c r="BQ2647"/>
    </row>
    <row r="2648" spans="69:69">
      <c r="BQ2648"/>
    </row>
    <row r="2649" spans="69:69">
      <c r="BQ2649"/>
    </row>
    <row r="2650" spans="69:69">
      <c r="BQ2650"/>
    </row>
    <row r="2651" spans="69:69">
      <c r="BQ2651"/>
    </row>
    <row r="2652" spans="69:69">
      <c r="BQ2652"/>
    </row>
    <row r="2653" spans="69:69">
      <c r="BQ2653"/>
    </row>
    <row r="2654" spans="69:69">
      <c r="BQ2654"/>
    </row>
    <row r="2655" spans="69:69">
      <c r="BQ2655"/>
    </row>
    <row r="2656" spans="69:69">
      <c r="BQ2656"/>
    </row>
    <row r="2657" spans="69:69">
      <c r="BQ2657"/>
    </row>
    <row r="2658" spans="69:69">
      <c r="BQ2658"/>
    </row>
    <row r="2659" spans="69:69">
      <c r="BQ2659"/>
    </row>
    <row r="2660" spans="69:69">
      <c r="BQ2660"/>
    </row>
    <row r="2661" spans="69:69">
      <c r="BQ2661"/>
    </row>
    <row r="2662" spans="69:69">
      <c r="BQ2662"/>
    </row>
    <row r="2663" spans="69:69">
      <c r="BQ2663"/>
    </row>
    <row r="2664" spans="69:69">
      <c r="BQ2664"/>
    </row>
    <row r="2665" spans="69:69">
      <c r="BQ2665"/>
    </row>
    <row r="2666" spans="69:69">
      <c r="BQ2666"/>
    </row>
    <row r="2667" spans="69:69">
      <c r="BQ2667"/>
    </row>
    <row r="2668" spans="69:69">
      <c r="BQ2668"/>
    </row>
    <row r="2669" spans="69:69">
      <c r="BQ2669"/>
    </row>
    <row r="2670" spans="69:69">
      <c r="BQ2670"/>
    </row>
    <row r="2671" spans="69:69">
      <c r="BQ2671"/>
    </row>
    <row r="2672" spans="69:69">
      <c r="BQ2672"/>
    </row>
    <row r="2673" spans="69:69">
      <c r="BQ2673"/>
    </row>
    <row r="2674" spans="69:69">
      <c r="BQ2674"/>
    </row>
    <row r="2675" spans="69:69">
      <c r="BQ2675"/>
    </row>
    <row r="2676" spans="69:69">
      <c r="BQ2676"/>
    </row>
    <row r="2677" spans="69:69">
      <c r="BQ2677"/>
    </row>
    <row r="2678" spans="69:69">
      <c r="BQ2678"/>
    </row>
    <row r="2679" spans="69:69">
      <c r="BQ2679"/>
    </row>
    <row r="2680" spans="69:69">
      <c r="BQ2680"/>
    </row>
    <row r="2681" spans="69:69">
      <c r="BQ2681"/>
    </row>
    <row r="2682" spans="69:69">
      <c r="BQ2682"/>
    </row>
    <row r="2683" spans="69:69">
      <c r="BQ2683"/>
    </row>
    <row r="2684" spans="69:69">
      <c r="BQ2684"/>
    </row>
    <row r="2685" spans="69:69">
      <c r="BQ2685"/>
    </row>
    <row r="2686" spans="69:69">
      <c r="BQ2686"/>
    </row>
    <row r="2687" spans="69:69">
      <c r="BQ2687"/>
    </row>
    <row r="2688" spans="69:69">
      <c r="BQ2688"/>
    </row>
    <row r="2689" spans="69:69">
      <c r="BQ2689"/>
    </row>
    <row r="2690" spans="69:69">
      <c r="BQ2690"/>
    </row>
    <row r="2691" spans="69:69">
      <c r="BQ2691"/>
    </row>
    <row r="2692" spans="69:69">
      <c r="BQ2692"/>
    </row>
    <row r="2693" spans="69:69">
      <c r="BQ2693"/>
    </row>
    <row r="2694" spans="69:69">
      <c r="BQ2694"/>
    </row>
    <row r="2695" spans="69:69">
      <c r="BQ2695"/>
    </row>
    <row r="2696" spans="69:69">
      <c r="BQ2696"/>
    </row>
    <row r="2697" spans="69:69">
      <c r="BQ2697"/>
    </row>
    <row r="2698" spans="69:69">
      <c r="BQ2698"/>
    </row>
    <row r="2699" spans="69:69">
      <c r="BQ2699"/>
    </row>
    <row r="2700" spans="69:69">
      <c r="BQ2700"/>
    </row>
    <row r="2701" spans="69:69">
      <c r="BQ2701"/>
    </row>
    <row r="2702" spans="69:69">
      <c r="BQ2702"/>
    </row>
    <row r="2703" spans="69:69">
      <c r="BQ2703"/>
    </row>
    <row r="2704" spans="69:69">
      <c r="BQ2704"/>
    </row>
    <row r="2705" spans="69:69">
      <c r="BQ2705"/>
    </row>
    <row r="2706" spans="69:69">
      <c r="BQ2706"/>
    </row>
    <row r="2707" spans="69:69">
      <c r="BQ2707"/>
    </row>
    <row r="2708" spans="69:69">
      <c r="BQ2708"/>
    </row>
    <row r="2709" spans="69:69">
      <c r="BQ2709"/>
    </row>
    <row r="2710" spans="69:69">
      <c r="BQ2710"/>
    </row>
    <row r="2711" spans="69:69">
      <c r="BQ2711"/>
    </row>
    <row r="2712" spans="69:69">
      <c r="BQ2712"/>
    </row>
    <row r="2713" spans="69:69">
      <c r="BQ2713"/>
    </row>
    <row r="2714" spans="69:69">
      <c r="BQ2714"/>
    </row>
    <row r="2715" spans="69:69">
      <c r="BQ2715"/>
    </row>
    <row r="2716" spans="69:69">
      <c r="BQ2716"/>
    </row>
    <row r="2717" spans="69:69">
      <c r="BQ2717"/>
    </row>
    <row r="2718" spans="69:69">
      <c r="BQ2718"/>
    </row>
    <row r="2719" spans="69:69">
      <c r="BQ2719"/>
    </row>
    <row r="2720" spans="69:69">
      <c r="BQ2720"/>
    </row>
    <row r="2721" spans="69:69">
      <c r="BQ2721"/>
    </row>
    <row r="2722" spans="69:69">
      <c r="BQ2722"/>
    </row>
    <row r="2723" spans="69:69">
      <c r="BQ2723"/>
    </row>
    <row r="2724" spans="69:69">
      <c r="BQ2724"/>
    </row>
    <row r="2725" spans="69:69">
      <c r="BQ2725"/>
    </row>
    <row r="2726" spans="69:69">
      <c r="BQ2726"/>
    </row>
    <row r="2727" spans="69:69">
      <c r="BQ2727"/>
    </row>
    <row r="2728" spans="69:69">
      <c r="BQ2728"/>
    </row>
    <row r="2729" spans="69:69">
      <c r="BQ2729"/>
    </row>
    <row r="2730" spans="69:69">
      <c r="BQ2730"/>
    </row>
    <row r="2731" spans="69:69">
      <c r="BQ2731"/>
    </row>
    <row r="2732" spans="69:69">
      <c r="BQ2732"/>
    </row>
    <row r="2733" spans="69:69">
      <c r="BQ2733"/>
    </row>
    <row r="2734" spans="69:69">
      <c r="BQ2734"/>
    </row>
    <row r="2735" spans="69:69">
      <c r="BQ2735"/>
    </row>
    <row r="2736" spans="69:69">
      <c r="BQ2736"/>
    </row>
    <row r="2737" spans="69:69">
      <c r="BQ2737"/>
    </row>
    <row r="2738" spans="69:69">
      <c r="BQ2738"/>
    </row>
    <row r="2739" spans="69:69">
      <c r="BQ2739"/>
    </row>
    <row r="2740" spans="69:69">
      <c r="BQ2740"/>
    </row>
    <row r="2741" spans="69:69">
      <c r="BQ2741"/>
    </row>
    <row r="2742" spans="69:69">
      <c r="BQ2742"/>
    </row>
    <row r="2743" spans="69:69">
      <c r="BQ2743"/>
    </row>
    <row r="2744" spans="69:69">
      <c r="BQ2744"/>
    </row>
    <row r="2745" spans="69:69">
      <c r="BQ2745"/>
    </row>
    <row r="2746" spans="69:69">
      <c r="BQ2746"/>
    </row>
    <row r="2747" spans="69:69">
      <c r="BQ2747"/>
    </row>
    <row r="2748" spans="69:69">
      <c r="BQ2748"/>
    </row>
    <row r="2749" spans="69:69">
      <c r="BQ2749"/>
    </row>
    <row r="2750" spans="69:69">
      <c r="BQ2750"/>
    </row>
    <row r="2751" spans="69:69">
      <c r="BQ2751"/>
    </row>
    <row r="2752" spans="69:69">
      <c r="BQ2752"/>
    </row>
    <row r="2753" spans="69:69">
      <c r="BQ2753"/>
    </row>
    <row r="2754" spans="69:69">
      <c r="BQ2754"/>
    </row>
    <row r="2755" spans="69:69">
      <c r="BQ2755"/>
    </row>
    <row r="2756" spans="69:69">
      <c r="BQ2756"/>
    </row>
    <row r="2757" spans="69:69">
      <c r="BQ2757"/>
    </row>
    <row r="2758" spans="69:69">
      <c r="BQ2758"/>
    </row>
    <row r="2759" spans="69:69">
      <c r="BQ2759"/>
    </row>
    <row r="2760" spans="69:69">
      <c r="BQ2760"/>
    </row>
    <row r="2761" spans="69:69">
      <c r="BQ2761"/>
    </row>
    <row r="2762" spans="69:69">
      <c r="BQ2762"/>
    </row>
    <row r="2763" spans="69:69">
      <c r="BQ2763"/>
    </row>
    <row r="2764" spans="69:69">
      <c r="BQ2764"/>
    </row>
    <row r="2765" spans="69:69">
      <c r="BQ2765"/>
    </row>
    <row r="2766" spans="69:69">
      <c r="BQ2766"/>
    </row>
    <row r="2767" spans="69:69">
      <c r="BQ2767"/>
    </row>
    <row r="2768" spans="69:69">
      <c r="BQ2768"/>
    </row>
    <row r="2769" spans="69:69">
      <c r="BQ2769"/>
    </row>
    <row r="2770" spans="69:69">
      <c r="BQ2770"/>
    </row>
    <row r="2771" spans="69:69">
      <c r="BQ2771"/>
    </row>
    <row r="2772" spans="69:69">
      <c r="BQ2772"/>
    </row>
    <row r="2773" spans="69:69">
      <c r="BQ2773"/>
    </row>
    <row r="2774" spans="69:69">
      <c r="BQ2774"/>
    </row>
    <row r="2775" spans="69:69">
      <c r="BQ2775"/>
    </row>
    <row r="2776" spans="69:69">
      <c r="BQ2776"/>
    </row>
    <row r="2777" spans="69:69">
      <c r="BQ2777"/>
    </row>
    <row r="2778" spans="69:69">
      <c r="BQ2778"/>
    </row>
    <row r="2779" spans="69:69">
      <c r="BQ2779"/>
    </row>
    <row r="2780" spans="69:69">
      <c r="BQ2780"/>
    </row>
    <row r="2781" spans="69:69">
      <c r="BQ2781"/>
    </row>
    <row r="2782" spans="69:69">
      <c r="BQ2782"/>
    </row>
    <row r="2783" spans="69:69">
      <c r="BQ2783"/>
    </row>
    <row r="2784" spans="69:69">
      <c r="BQ2784"/>
    </row>
    <row r="2785" spans="69:69">
      <c r="BQ2785"/>
    </row>
    <row r="2786" spans="69:69">
      <c r="BQ2786"/>
    </row>
    <row r="2787" spans="69:69">
      <c r="BQ2787"/>
    </row>
    <row r="2788" spans="69:69">
      <c r="BQ2788"/>
    </row>
    <row r="2789" spans="69:69">
      <c r="BQ2789"/>
    </row>
    <row r="2790" spans="69:69">
      <c r="BQ2790"/>
    </row>
    <row r="2791" spans="69:69">
      <c r="BQ2791"/>
    </row>
    <row r="2792" spans="69:69">
      <c r="BQ2792"/>
    </row>
    <row r="2793" spans="69:69">
      <c r="BQ2793"/>
    </row>
    <row r="2794" spans="69:69">
      <c r="BQ2794"/>
    </row>
    <row r="2795" spans="69:69">
      <c r="BQ2795"/>
    </row>
    <row r="2796" spans="69:69">
      <c r="BQ2796"/>
    </row>
    <row r="2797" spans="69:69">
      <c r="BQ2797"/>
    </row>
    <row r="2798" spans="69:69">
      <c r="BQ2798"/>
    </row>
    <row r="2799" spans="69:69">
      <c r="BQ2799"/>
    </row>
    <row r="2800" spans="69:69">
      <c r="BQ2800"/>
    </row>
    <row r="2801" spans="69:69">
      <c r="BQ2801"/>
    </row>
    <row r="2802" spans="69:69">
      <c r="BQ2802"/>
    </row>
    <row r="2803" spans="69:69">
      <c r="BQ2803"/>
    </row>
    <row r="2804" spans="69:69">
      <c r="BQ2804"/>
    </row>
    <row r="2805" spans="69:69">
      <c r="BQ2805"/>
    </row>
    <row r="2806" spans="69:69">
      <c r="BQ2806"/>
    </row>
    <row r="2807" spans="69:69">
      <c r="BQ2807"/>
    </row>
    <row r="2808" spans="69:69">
      <c r="BQ2808"/>
    </row>
    <row r="2809" spans="69:69">
      <c r="BQ2809"/>
    </row>
    <row r="2810" spans="69:69">
      <c r="BQ2810"/>
    </row>
    <row r="2811" spans="69:69">
      <c r="BQ2811"/>
    </row>
    <row r="2812" spans="69:69">
      <c r="BQ2812"/>
    </row>
    <row r="2813" spans="69:69">
      <c r="BQ2813"/>
    </row>
    <row r="2814" spans="69:69">
      <c r="BQ2814"/>
    </row>
    <row r="2815" spans="69:69">
      <c r="BQ2815"/>
    </row>
    <row r="2816" spans="69:69">
      <c r="BQ2816"/>
    </row>
    <row r="2817" spans="69:69">
      <c r="BQ2817"/>
    </row>
    <row r="2818" spans="69:69">
      <c r="BQ2818"/>
    </row>
    <row r="2819" spans="69:69">
      <c r="BQ2819"/>
    </row>
    <row r="2820" spans="69:69">
      <c r="BQ2820"/>
    </row>
    <row r="2821" spans="69:69">
      <c r="BQ2821"/>
    </row>
    <row r="2822" spans="69:69">
      <c r="BQ2822"/>
    </row>
    <row r="2823" spans="69:69">
      <c r="BQ2823"/>
    </row>
    <row r="2824" spans="69:69">
      <c r="BQ2824"/>
    </row>
    <row r="2825" spans="69:69">
      <c r="BQ2825"/>
    </row>
    <row r="2826" spans="69:69">
      <c r="BQ2826"/>
    </row>
    <row r="2827" spans="69:69">
      <c r="BQ2827"/>
    </row>
    <row r="2828" spans="69:69">
      <c r="BQ2828"/>
    </row>
    <row r="2829" spans="69:69">
      <c r="BQ2829"/>
    </row>
    <row r="2830" spans="69:69">
      <c r="BQ2830"/>
    </row>
    <row r="2831" spans="69:69">
      <c r="BQ2831"/>
    </row>
    <row r="2832" spans="69:69">
      <c r="BQ2832"/>
    </row>
    <row r="2833" spans="69:69">
      <c r="BQ2833"/>
    </row>
    <row r="2834" spans="69:69">
      <c r="BQ2834"/>
    </row>
    <row r="2835" spans="69:69">
      <c r="BQ2835"/>
    </row>
    <row r="2836" spans="69:69">
      <c r="BQ2836"/>
    </row>
    <row r="2837" spans="69:69">
      <c r="BQ2837"/>
    </row>
    <row r="2838" spans="69:69">
      <c r="BQ2838"/>
    </row>
    <row r="2839" spans="69:69">
      <c r="BQ2839"/>
    </row>
    <row r="2840" spans="69:69">
      <c r="BQ2840"/>
    </row>
    <row r="2841" spans="69:69">
      <c r="BQ2841"/>
    </row>
    <row r="2842" spans="69:69">
      <c r="BQ2842"/>
    </row>
    <row r="2843" spans="69:69">
      <c r="BQ2843"/>
    </row>
    <row r="2844" spans="69:69">
      <c r="BQ2844"/>
    </row>
    <row r="2845" spans="69:69">
      <c r="BQ2845"/>
    </row>
    <row r="2846" spans="69:69">
      <c r="BQ2846"/>
    </row>
    <row r="2847" spans="69:69">
      <c r="BQ2847"/>
    </row>
    <row r="2848" spans="69:69">
      <c r="BQ2848"/>
    </row>
    <row r="2849" spans="69:69">
      <c r="BQ2849"/>
    </row>
    <row r="2850" spans="69:69">
      <c r="BQ2850"/>
    </row>
    <row r="2851" spans="69:69">
      <c r="BQ2851"/>
    </row>
    <row r="2852" spans="69:69">
      <c r="BQ2852"/>
    </row>
    <row r="2853" spans="69:69">
      <c r="BQ2853"/>
    </row>
    <row r="2854" spans="69:69">
      <c r="BQ2854"/>
    </row>
    <row r="2855" spans="69:69">
      <c r="BQ2855"/>
    </row>
    <row r="2856" spans="69:69">
      <c r="BQ2856"/>
    </row>
    <row r="2857" spans="69:69">
      <c r="BQ2857"/>
    </row>
    <row r="2858" spans="69:69">
      <c r="BQ2858"/>
    </row>
    <row r="2859" spans="69:69">
      <c r="BQ2859"/>
    </row>
    <row r="2860" spans="69:69">
      <c r="BQ2860"/>
    </row>
    <row r="2861" spans="69:69">
      <c r="BQ2861"/>
    </row>
    <row r="2862" spans="69:69">
      <c r="BQ2862"/>
    </row>
    <row r="2863" spans="69:69">
      <c r="BQ2863"/>
    </row>
    <row r="2864" spans="69:69">
      <c r="BQ2864"/>
    </row>
    <row r="2865" spans="69:69">
      <c r="BQ2865"/>
    </row>
    <row r="2866" spans="69:69">
      <c r="BQ2866"/>
    </row>
    <row r="2867" spans="69:69">
      <c r="BQ2867"/>
    </row>
    <row r="2868" spans="69:69">
      <c r="BQ2868"/>
    </row>
    <row r="2869" spans="69:69">
      <c r="BQ2869"/>
    </row>
    <row r="2870" spans="69:69">
      <c r="BQ2870"/>
    </row>
    <row r="2871" spans="69:69">
      <c r="BQ2871"/>
    </row>
    <row r="2872" spans="69:69">
      <c r="BQ2872"/>
    </row>
    <row r="2873" spans="69:69">
      <c r="BQ2873"/>
    </row>
    <row r="2874" spans="69:69">
      <c r="BQ2874"/>
    </row>
    <row r="2875" spans="69:69">
      <c r="BQ2875"/>
    </row>
    <row r="2876" spans="69:69">
      <c r="BQ2876"/>
    </row>
    <row r="2877" spans="69:69">
      <c r="BQ2877"/>
    </row>
    <row r="2878" spans="69:69">
      <c r="BQ2878"/>
    </row>
    <row r="2879" spans="69:69">
      <c r="BQ2879"/>
    </row>
    <row r="2880" spans="69:69">
      <c r="BQ2880"/>
    </row>
    <row r="2881" spans="69:69">
      <c r="BQ2881"/>
    </row>
    <row r="2882" spans="69:69">
      <c r="BQ2882"/>
    </row>
    <row r="2883" spans="69:69">
      <c r="BQ2883"/>
    </row>
    <row r="2884" spans="69:69">
      <c r="BQ2884"/>
    </row>
    <row r="2885" spans="69:69">
      <c r="BQ2885"/>
    </row>
    <row r="2886" spans="69:69">
      <c r="BQ2886"/>
    </row>
    <row r="2887" spans="69:69">
      <c r="BQ2887"/>
    </row>
    <row r="2888" spans="69:69">
      <c r="BQ2888"/>
    </row>
    <row r="2889" spans="69:69">
      <c r="BQ2889"/>
    </row>
    <row r="2890" spans="69:69">
      <c r="BQ2890"/>
    </row>
    <row r="2891" spans="69:69">
      <c r="BQ2891"/>
    </row>
    <row r="2892" spans="69:69">
      <c r="BQ2892"/>
    </row>
    <row r="2893" spans="69:69">
      <c r="BQ2893"/>
    </row>
    <row r="2894" spans="69:69">
      <c r="BQ2894"/>
    </row>
    <row r="2895" spans="69:69">
      <c r="BQ2895"/>
    </row>
    <row r="2896" spans="69:69">
      <c r="BQ2896"/>
    </row>
    <row r="2897" spans="69:69">
      <c r="BQ2897"/>
    </row>
    <row r="2898" spans="69:69">
      <c r="BQ2898"/>
    </row>
    <row r="2899" spans="69:69">
      <c r="BQ2899"/>
    </row>
    <row r="2900" spans="69:69">
      <c r="BQ2900"/>
    </row>
    <row r="2901" spans="69:69">
      <c r="BQ2901"/>
    </row>
    <row r="2902" spans="69:69">
      <c r="BQ2902"/>
    </row>
    <row r="2903" spans="69:69">
      <c r="BQ2903"/>
    </row>
    <row r="2904" spans="69:69">
      <c r="BQ2904"/>
    </row>
    <row r="2905" spans="69:69">
      <c r="BQ2905"/>
    </row>
    <row r="2906" spans="69:69">
      <c r="BQ2906"/>
    </row>
    <row r="2907" spans="69:69">
      <c r="BQ2907"/>
    </row>
    <row r="2908" spans="69:69">
      <c r="BQ2908"/>
    </row>
    <row r="2909" spans="69:69">
      <c r="BQ2909"/>
    </row>
    <row r="2910" spans="69:69">
      <c r="BQ2910"/>
    </row>
    <row r="2911" spans="69:69">
      <c r="BQ2911"/>
    </row>
    <row r="2912" spans="69:69">
      <c r="BQ2912"/>
    </row>
    <row r="2913" spans="69:69">
      <c r="BQ2913"/>
    </row>
    <row r="2914" spans="69:69">
      <c r="BQ2914"/>
    </row>
    <row r="2915" spans="69:69">
      <c r="BQ2915"/>
    </row>
    <row r="2916" spans="69:69">
      <c r="BQ2916"/>
    </row>
    <row r="2917" spans="69:69">
      <c r="BQ2917"/>
    </row>
    <row r="2918" spans="69:69">
      <c r="BQ2918"/>
    </row>
    <row r="2919" spans="69:69">
      <c r="BQ2919"/>
    </row>
    <row r="2920" spans="69:69">
      <c r="BQ2920"/>
    </row>
    <row r="2921" spans="69:69">
      <c r="BQ2921"/>
    </row>
    <row r="2922" spans="69:69">
      <c r="BQ2922"/>
    </row>
    <row r="2923" spans="69:69">
      <c r="BQ2923"/>
    </row>
    <row r="2924" spans="69:69">
      <c r="BQ2924"/>
    </row>
    <row r="2925" spans="69:69">
      <c r="BQ2925"/>
    </row>
    <row r="2926" spans="69:69">
      <c r="BQ2926"/>
    </row>
    <row r="2927" spans="69:69">
      <c r="BQ2927"/>
    </row>
    <row r="2928" spans="69:69">
      <c r="BQ2928"/>
    </row>
    <row r="2929" spans="69:69">
      <c r="BQ2929"/>
    </row>
    <row r="2930" spans="69:69">
      <c r="BQ2930"/>
    </row>
    <row r="2931" spans="69:69">
      <c r="BQ2931"/>
    </row>
    <row r="2932" spans="69:69">
      <c r="BQ2932"/>
    </row>
    <row r="2933" spans="69:69">
      <c r="BQ2933"/>
    </row>
    <row r="2934" spans="69:69">
      <c r="BQ2934"/>
    </row>
    <row r="2935" spans="69:69">
      <c r="BQ2935"/>
    </row>
    <row r="2936" spans="69:69">
      <c r="BQ2936"/>
    </row>
    <row r="2937" spans="69:69">
      <c r="BQ2937"/>
    </row>
    <row r="2938" spans="69:69">
      <c r="BQ2938"/>
    </row>
    <row r="2939" spans="69:69">
      <c r="BQ2939"/>
    </row>
    <row r="2940" spans="69:69">
      <c r="BQ2940"/>
    </row>
    <row r="2941" spans="69:69">
      <c r="BQ2941"/>
    </row>
    <row r="2942" spans="69:69">
      <c r="BQ2942"/>
    </row>
    <row r="2943" spans="69:69">
      <c r="BQ2943"/>
    </row>
    <row r="2944" spans="69:69">
      <c r="BQ2944"/>
    </row>
    <row r="2945" spans="69:69">
      <c r="BQ2945"/>
    </row>
    <row r="2946" spans="69:69">
      <c r="BQ2946"/>
    </row>
    <row r="2947" spans="69:69">
      <c r="BQ2947"/>
    </row>
    <row r="2948" spans="69:69">
      <c r="BQ2948"/>
    </row>
    <row r="2949" spans="69:69">
      <c r="BQ2949"/>
    </row>
    <row r="2950" spans="69:69">
      <c r="BQ2950"/>
    </row>
    <row r="2951" spans="69:69">
      <c r="BQ2951"/>
    </row>
    <row r="2952" spans="69:69">
      <c r="BQ2952"/>
    </row>
    <row r="2953" spans="69:69">
      <c r="BQ2953"/>
    </row>
    <row r="2954" spans="69:69">
      <c r="BQ2954"/>
    </row>
    <row r="2955" spans="69:69">
      <c r="BQ2955"/>
    </row>
    <row r="2956" spans="69:69">
      <c r="BQ2956"/>
    </row>
    <row r="2957" spans="69:69">
      <c r="BQ2957"/>
    </row>
    <row r="2958" spans="69:69">
      <c r="BQ2958"/>
    </row>
    <row r="2959" spans="69:69">
      <c r="BQ2959"/>
    </row>
    <row r="2960" spans="69:69">
      <c r="BQ2960"/>
    </row>
    <row r="2961" spans="69:69">
      <c r="BQ2961"/>
    </row>
    <row r="2962" spans="69:69">
      <c r="BQ2962"/>
    </row>
    <row r="2963" spans="69:69">
      <c r="BQ2963"/>
    </row>
    <row r="2964" spans="69:69">
      <c r="BQ2964"/>
    </row>
    <row r="2965" spans="69:69">
      <c r="BQ2965"/>
    </row>
    <row r="2966" spans="69:69">
      <c r="BQ2966"/>
    </row>
    <row r="2967" spans="69:69">
      <c r="BQ2967"/>
    </row>
    <row r="2968" spans="69:69">
      <c r="BQ2968"/>
    </row>
    <row r="2969" spans="69:69">
      <c r="BQ2969"/>
    </row>
    <row r="2970" spans="69:69">
      <c r="BQ2970"/>
    </row>
    <row r="2971" spans="69:69">
      <c r="BQ2971"/>
    </row>
    <row r="2972" spans="69:69">
      <c r="BQ2972"/>
    </row>
    <row r="2973" spans="69:69">
      <c r="BQ2973"/>
    </row>
    <row r="2974" spans="69:69">
      <c r="BQ2974"/>
    </row>
    <row r="2975" spans="69:69">
      <c r="BQ2975"/>
    </row>
    <row r="2976" spans="69:69">
      <c r="BQ2976"/>
    </row>
    <row r="2977" spans="69:69">
      <c r="BQ2977"/>
    </row>
    <row r="2978" spans="69:69">
      <c r="BQ2978"/>
    </row>
    <row r="2979" spans="69:69">
      <c r="BQ2979"/>
    </row>
    <row r="2980" spans="69:69">
      <c r="BQ2980"/>
    </row>
    <row r="2981" spans="69:69">
      <c r="BQ2981"/>
    </row>
    <row r="2982" spans="69:69">
      <c r="BQ2982"/>
    </row>
    <row r="2983" spans="69:69">
      <c r="BQ2983"/>
    </row>
    <row r="2984" spans="69:69">
      <c r="BQ2984"/>
    </row>
    <row r="2985" spans="69:69">
      <c r="BQ2985"/>
    </row>
    <row r="2986" spans="69:69">
      <c r="BQ2986"/>
    </row>
    <row r="2987" spans="69:69">
      <c r="BQ2987"/>
    </row>
    <row r="2988" spans="69:69">
      <c r="BQ2988"/>
    </row>
    <row r="2989" spans="69:69">
      <c r="BQ2989"/>
    </row>
    <row r="2990" spans="69:69">
      <c r="BQ2990"/>
    </row>
    <row r="2991" spans="69:69">
      <c r="BQ2991"/>
    </row>
    <row r="2992" spans="69:69">
      <c r="BQ2992"/>
    </row>
    <row r="2993" spans="69:69">
      <c r="BQ2993"/>
    </row>
    <row r="2994" spans="69:69">
      <c r="BQ2994"/>
    </row>
    <row r="2995" spans="69:69">
      <c r="BQ2995"/>
    </row>
    <row r="2996" spans="69:69">
      <c r="BQ2996"/>
    </row>
    <row r="2997" spans="69:69">
      <c r="BQ2997"/>
    </row>
    <row r="2998" spans="69:69">
      <c r="BQ2998"/>
    </row>
    <row r="2999" spans="69:69">
      <c r="BQ2999"/>
    </row>
    <row r="3000" spans="69:69">
      <c r="BQ3000"/>
    </row>
    <row r="3001" spans="69:69">
      <c r="BQ3001"/>
    </row>
    <row r="3002" spans="69:69">
      <c r="BQ3002"/>
    </row>
    <row r="3003" spans="69:69">
      <c r="BQ3003"/>
    </row>
    <row r="3004" spans="69:69">
      <c r="BQ3004"/>
    </row>
    <row r="3005" spans="69:69">
      <c r="BQ3005"/>
    </row>
    <row r="3006" spans="69:69">
      <c r="BQ3006"/>
    </row>
    <row r="3007" spans="69:69">
      <c r="BQ3007"/>
    </row>
    <row r="3008" spans="69:69">
      <c r="BQ3008"/>
    </row>
    <row r="3009" spans="69:69">
      <c r="BQ3009"/>
    </row>
    <row r="3010" spans="69:69">
      <c r="BQ3010"/>
    </row>
    <row r="3011" spans="69:69">
      <c r="BQ3011"/>
    </row>
    <row r="3012" spans="69:69">
      <c r="BQ3012"/>
    </row>
    <row r="3013" spans="69:69">
      <c r="BQ3013"/>
    </row>
    <row r="3014" spans="69:69">
      <c r="BQ3014"/>
    </row>
    <row r="3015" spans="69:69">
      <c r="BQ3015"/>
    </row>
    <row r="3016" spans="69:69">
      <c r="BQ3016"/>
    </row>
    <row r="3017" spans="69:69">
      <c r="BQ3017"/>
    </row>
    <row r="3018" spans="69:69">
      <c r="BQ3018"/>
    </row>
    <row r="3019" spans="69:69">
      <c r="BQ3019"/>
    </row>
    <row r="3020" spans="69:69">
      <c r="BQ3020"/>
    </row>
    <row r="3021" spans="69:69">
      <c r="BQ3021"/>
    </row>
    <row r="3022" spans="69:69">
      <c r="BQ3022"/>
    </row>
    <row r="3023" spans="69:69">
      <c r="BQ3023"/>
    </row>
    <row r="3024" spans="69:69">
      <c r="BQ3024"/>
    </row>
    <row r="3025" spans="69:69">
      <c r="BQ3025"/>
    </row>
    <row r="3026" spans="69:69">
      <c r="BQ3026"/>
    </row>
    <row r="3027" spans="69:69">
      <c r="BQ3027"/>
    </row>
    <row r="3028" spans="69:69">
      <c r="BQ3028"/>
    </row>
    <row r="3029" spans="69:69">
      <c r="BQ3029"/>
    </row>
    <row r="3030" spans="69:69">
      <c r="BQ3030"/>
    </row>
    <row r="3031" spans="69:69">
      <c r="BQ3031"/>
    </row>
    <row r="3032" spans="69:69">
      <c r="BQ3032"/>
    </row>
    <row r="3033" spans="69:69">
      <c r="BQ3033"/>
    </row>
    <row r="3034" spans="69:69">
      <c r="BQ3034"/>
    </row>
    <row r="3035" spans="69:69">
      <c r="BQ3035"/>
    </row>
    <row r="3036" spans="69:69">
      <c r="BQ3036"/>
    </row>
    <row r="3037" spans="69:69">
      <c r="BQ3037"/>
    </row>
    <row r="3038" spans="69:69">
      <c r="BQ3038"/>
    </row>
    <row r="3039" spans="69:69">
      <c r="BQ3039"/>
    </row>
    <row r="3040" spans="69:69">
      <c r="BQ3040"/>
    </row>
    <row r="3041" spans="69:69">
      <c r="BQ3041"/>
    </row>
    <row r="3042" spans="69:69">
      <c r="BQ3042"/>
    </row>
    <row r="3043" spans="69:69">
      <c r="BQ3043"/>
    </row>
    <row r="3044" spans="69:69">
      <c r="BQ3044"/>
    </row>
    <row r="3045" spans="69:69">
      <c r="BQ3045"/>
    </row>
    <row r="3046" spans="69:69">
      <c r="BQ3046"/>
    </row>
    <row r="3047" spans="69:69">
      <c r="BQ3047"/>
    </row>
    <row r="3048" spans="69:69">
      <c r="BQ3048"/>
    </row>
    <row r="3049" spans="69:69">
      <c r="BQ3049"/>
    </row>
    <row r="3050" spans="69:69">
      <c r="BQ3050"/>
    </row>
    <row r="3051" spans="69:69">
      <c r="BQ3051"/>
    </row>
    <row r="3052" spans="69:69">
      <c r="BQ3052"/>
    </row>
    <row r="3053" spans="69:69">
      <c r="BQ3053"/>
    </row>
    <row r="3054" spans="69:69">
      <c r="BQ3054"/>
    </row>
    <row r="3055" spans="69:69">
      <c r="BQ3055"/>
    </row>
    <row r="3056" spans="69:69">
      <c r="BQ3056"/>
    </row>
    <row r="3057" spans="69:69">
      <c r="BQ3057"/>
    </row>
    <row r="3058" spans="69:69">
      <c r="BQ3058"/>
    </row>
    <row r="3059" spans="69:69">
      <c r="BQ3059"/>
    </row>
    <row r="3060" spans="69:69">
      <c r="BQ3060"/>
    </row>
    <row r="3061" spans="69:69">
      <c r="BQ3061"/>
    </row>
    <row r="3062" spans="69:69">
      <c r="BQ3062"/>
    </row>
    <row r="3063" spans="69:69">
      <c r="BQ3063"/>
    </row>
    <row r="3064" spans="69:69">
      <c r="BQ3064"/>
    </row>
    <row r="3065" spans="69:69">
      <c r="BQ3065"/>
    </row>
    <row r="3066" spans="69:69">
      <c r="BQ3066"/>
    </row>
    <row r="3067" spans="69:69">
      <c r="BQ3067"/>
    </row>
    <row r="3068" spans="69:69">
      <c r="BQ3068"/>
    </row>
    <row r="3069" spans="69:69">
      <c r="BQ3069"/>
    </row>
    <row r="3070" spans="69:69">
      <c r="BQ3070"/>
    </row>
    <row r="3071" spans="69:69">
      <c r="BQ3071"/>
    </row>
    <row r="3072" spans="69:69">
      <c r="BQ3072"/>
    </row>
    <row r="3073" spans="69:69">
      <c r="BQ3073"/>
    </row>
    <row r="3074" spans="69:69">
      <c r="BQ3074"/>
    </row>
    <row r="3075" spans="69:69">
      <c r="BQ3075"/>
    </row>
    <row r="3076" spans="69:69">
      <c r="BQ3076"/>
    </row>
    <row r="3077" spans="69:69">
      <c r="BQ3077"/>
    </row>
    <row r="3078" spans="69:69">
      <c r="BQ3078"/>
    </row>
    <row r="3079" spans="69:69">
      <c r="BQ3079"/>
    </row>
    <row r="3080" spans="69:69">
      <c r="BQ3080"/>
    </row>
    <row r="3081" spans="69:69">
      <c r="BQ3081"/>
    </row>
    <row r="3082" spans="69:69">
      <c r="BQ3082"/>
    </row>
    <row r="3083" spans="69:69">
      <c r="BQ3083"/>
    </row>
    <row r="3084" spans="69:69">
      <c r="BQ3084"/>
    </row>
    <row r="3085" spans="69:69">
      <c r="BQ3085"/>
    </row>
    <row r="3086" spans="69:69">
      <c r="BQ3086"/>
    </row>
    <row r="3087" spans="69:69">
      <c r="BQ3087"/>
    </row>
    <row r="3088" spans="69:69">
      <c r="BQ3088"/>
    </row>
    <row r="3089" spans="69:69">
      <c r="BQ3089"/>
    </row>
    <row r="3090" spans="69:69">
      <c r="BQ3090"/>
    </row>
    <row r="3091" spans="69:69">
      <c r="BQ3091"/>
    </row>
    <row r="3092" spans="69:69">
      <c r="BQ3092"/>
    </row>
    <row r="3093" spans="69:69">
      <c r="BQ3093"/>
    </row>
    <row r="3094" spans="69:69">
      <c r="BQ3094"/>
    </row>
    <row r="3095" spans="69:69">
      <c r="BQ3095"/>
    </row>
    <row r="3096" spans="69:69">
      <c r="BQ3096"/>
    </row>
    <row r="3097" spans="69:69">
      <c r="BQ3097"/>
    </row>
    <row r="3098" spans="69:69">
      <c r="BQ3098"/>
    </row>
    <row r="3099" spans="69:69">
      <c r="BQ3099"/>
    </row>
    <row r="3100" spans="69:69">
      <c r="BQ3100"/>
    </row>
    <row r="3101" spans="69:69">
      <c r="BQ3101"/>
    </row>
    <row r="3102" spans="69:69">
      <c r="BQ3102"/>
    </row>
    <row r="3103" spans="69:69">
      <c r="BQ3103"/>
    </row>
    <row r="3104" spans="69:69">
      <c r="BQ3104"/>
    </row>
    <row r="3105" spans="69:69">
      <c r="BQ3105"/>
    </row>
    <row r="3106" spans="69:69">
      <c r="BQ3106"/>
    </row>
    <row r="3107" spans="69:69">
      <c r="BQ3107"/>
    </row>
    <row r="3108" spans="69:69">
      <c r="BQ3108"/>
    </row>
    <row r="3109" spans="69:69">
      <c r="BQ3109"/>
    </row>
    <row r="3110" spans="69:69">
      <c r="BQ3110"/>
    </row>
    <row r="3111" spans="69:69">
      <c r="BQ3111"/>
    </row>
    <row r="3112" spans="69:69">
      <c r="BQ3112"/>
    </row>
    <row r="3113" spans="69:69">
      <c r="BQ3113"/>
    </row>
    <row r="3114" spans="69:69">
      <c r="BQ3114"/>
    </row>
    <row r="3115" spans="69:69">
      <c r="BQ3115"/>
    </row>
    <row r="3116" spans="69:69">
      <c r="BQ3116"/>
    </row>
    <row r="3117" spans="69:69">
      <c r="BQ3117"/>
    </row>
    <row r="3118" spans="69:69">
      <c r="BQ3118"/>
    </row>
    <row r="3119" spans="69:69">
      <c r="BQ3119"/>
    </row>
    <row r="3120" spans="69:69">
      <c r="BQ3120"/>
    </row>
    <row r="3121" spans="69:69">
      <c r="BQ3121"/>
    </row>
    <row r="3122" spans="69:69">
      <c r="BQ3122"/>
    </row>
    <row r="3123" spans="69:69">
      <c r="BQ3123"/>
    </row>
    <row r="3124" spans="69:69">
      <c r="BQ3124"/>
    </row>
    <row r="3125" spans="69:69">
      <c r="BQ3125"/>
    </row>
    <row r="3126" spans="69:69">
      <c r="BQ3126"/>
    </row>
    <row r="3127" spans="69:69">
      <c r="BQ3127"/>
    </row>
    <row r="3128" spans="69:69">
      <c r="BQ3128"/>
    </row>
    <row r="3129" spans="69:69">
      <c r="BQ3129"/>
    </row>
    <row r="3130" spans="69:69">
      <c r="BQ3130"/>
    </row>
    <row r="3131" spans="69:69">
      <c r="BQ3131"/>
    </row>
    <row r="3132" spans="69:69">
      <c r="BQ3132"/>
    </row>
    <row r="3133" spans="69:69">
      <c r="BQ3133"/>
    </row>
    <row r="3134" spans="69:69">
      <c r="BQ3134"/>
    </row>
    <row r="3135" spans="69:69">
      <c r="BQ3135"/>
    </row>
    <row r="3136" spans="69:69">
      <c r="BQ3136"/>
    </row>
    <row r="3137" spans="69:69">
      <c r="BQ3137"/>
    </row>
    <row r="3138" spans="69:69">
      <c r="BQ3138"/>
    </row>
    <row r="3139" spans="69:69">
      <c r="BQ3139"/>
    </row>
    <row r="3140" spans="69:69">
      <c r="BQ3140"/>
    </row>
    <row r="3141" spans="69:69">
      <c r="BQ3141"/>
    </row>
    <row r="3142" spans="69:69">
      <c r="BQ3142"/>
    </row>
    <row r="3143" spans="69:69">
      <c r="BQ3143"/>
    </row>
    <row r="3144" spans="69:69">
      <c r="BQ3144"/>
    </row>
    <row r="3145" spans="69:69">
      <c r="BQ3145"/>
    </row>
    <row r="3146" spans="69:69">
      <c r="BQ3146"/>
    </row>
    <row r="3147" spans="69:69">
      <c r="BQ3147"/>
    </row>
    <row r="3148" spans="69:69">
      <c r="BQ3148"/>
    </row>
    <row r="3149" spans="69:69">
      <c r="BQ3149"/>
    </row>
    <row r="3150" spans="69:69">
      <c r="BQ3150"/>
    </row>
    <row r="3151" spans="69:69">
      <c r="BQ3151"/>
    </row>
    <row r="3152" spans="69:69">
      <c r="BQ3152"/>
    </row>
    <row r="3153" spans="69:69">
      <c r="BQ3153"/>
    </row>
    <row r="3154" spans="69:69">
      <c r="BQ3154"/>
    </row>
    <row r="3155" spans="69:69">
      <c r="BQ3155"/>
    </row>
    <row r="3156" spans="69:69">
      <c r="BQ3156"/>
    </row>
    <row r="3157" spans="69:69">
      <c r="BQ3157"/>
    </row>
    <row r="3158" spans="69:69">
      <c r="BQ3158"/>
    </row>
    <row r="3159" spans="69:69">
      <c r="BQ3159"/>
    </row>
    <row r="3160" spans="69:69">
      <c r="BQ3160"/>
    </row>
    <row r="3161" spans="69:69">
      <c r="BQ3161"/>
    </row>
    <row r="3162" spans="69:69">
      <c r="BQ3162"/>
    </row>
    <row r="3163" spans="69:69">
      <c r="BQ3163"/>
    </row>
    <row r="3164" spans="69:69">
      <c r="BQ3164"/>
    </row>
    <row r="3165" spans="69:69">
      <c r="BQ3165"/>
    </row>
    <row r="3166" spans="69:69">
      <c r="BQ3166"/>
    </row>
    <row r="3167" spans="69:69">
      <c r="BQ3167"/>
    </row>
    <row r="3168" spans="69:69">
      <c r="BQ3168"/>
    </row>
    <row r="3169" spans="69:69">
      <c r="BQ3169"/>
    </row>
    <row r="3170" spans="69:69">
      <c r="BQ3170"/>
    </row>
    <row r="3171" spans="69:69">
      <c r="BQ3171"/>
    </row>
    <row r="3172" spans="69:69">
      <c r="BQ3172"/>
    </row>
    <row r="3173" spans="69:69">
      <c r="BQ3173"/>
    </row>
    <row r="3174" spans="69:69">
      <c r="BQ3174"/>
    </row>
    <row r="3175" spans="69:69">
      <c r="BQ3175"/>
    </row>
    <row r="3176" spans="69:69">
      <c r="BQ3176"/>
    </row>
    <row r="3177" spans="69:69">
      <c r="BQ3177"/>
    </row>
    <row r="3178" spans="69:69">
      <c r="BQ3178"/>
    </row>
    <row r="3179" spans="69:69">
      <c r="BQ3179"/>
    </row>
    <row r="3180" spans="69:69">
      <c r="BQ3180"/>
    </row>
    <row r="3181" spans="69:69">
      <c r="BQ3181"/>
    </row>
    <row r="3182" spans="69:69">
      <c r="BQ3182"/>
    </row>
    <row r="3183" spans="69:69">
      <c r="BQ3183"/>
    </row>
    <row r="3184" spans="69:69">
      <c r="BQ3184"/>
    </row>
    <row r="3185" spans="69:69">
      <c r="BQ3185"/>
    </row>
    <row r="3186" spans="69:69">
      <c r="BQ3186"/>
    </row>
    <row r="3187" spans="69:69">
      <c r="BQ3187"/>
    </row>
    <row r="3188" spans="69:69">
      <c r="BQ3188"/>
    </row>
    <row r="3189" spans="69:69">
      <c r="BQ3189"/>
    </row>
    <row r="3190" spans="69:69">
      <c r="BQ3190"/>
    </row>
    <row r="3191" spans="69:69">
      <c r="BQ3191"/>
    </row>
    <row r="3192" spans="69:69">
      <c r="BQ3192"/>
    </row>
    <row r="3193" spans="69:69">
      <c r="BQ3193"/>
    </row>
    <row r="3194" spans="69:69">
      <c r="BQ3194"/>
    </row>
    <row r="3195" spans="69:69">
      <c r="BQ3195"/>
    </row>
    <row r="3196" spans="69:69">
      <c r="BQ3196"/>
    </row>
    <row r="3197" spans="69:69">
      <c r="BQ3197"/>
    </row>
    <row r="3198" spans="69:69">
      <c r="BQ3198"/>
    </row>
    <row r="3199" spans="69:69">
      <c r="BQ3199"/>
    </row>
    <row r="3200" spans="69:69">
      <c r="BQ3200"/>
    </row>
    <row r="3201" spans="69:69">
      <c r="BQ3201"/>
    </row>
    <row r="3202" spans="69:69">
      <c r="BQ3202"/>
    </row>
    <row r="3203" spans="69:69">
      <c r="BQ3203"/>
    </row>
    <row r="3204" spans="69:69">
      <c r="BQ3204"/>
    </row>
    <row r="3205" spans="69:69">
      <c r="BQ3205"/>
    </row>
    <row r="3206" spans="69:69">
      <c r="BQ3206"/>
    </row>
    <row r="3207" spans="69:69">
      <c r="BQ3207"/>
    </row>
    <row r="3208" spans="69:69">
      <c r="BQ3208"/>
    </row>
    <row r="3209" spans="69:69">
      <c r="BQ3209"/>
    </row>
    <row r="3210" spans="69:69">
      <c r="BQ3210"/>
    </row>
    <row r="3211" spans="69:69">
      <c r="BQ3211"/>
    </row>
    <row r="3212" spans="69:69">
      <c r="BQ3212"/>
    </row>
    <row r="3213" spans="69:69">
      <c r="BQ3213"/>
    </row>
    <row r="3214" spans="69:69">
      <c r="BQ3214"/>
    </row>
    <row r="3215" spans="69:69">
      <c r="BQ3215"/>
    </row>
    <row r="3216" spans="69:69">
      <c r="BQ3216"/>
    </row>
    <row r="3217" spans="69:69">
      <c r="BQ3217"/>
    </row>
    <row r="3218" spans="69:69">
      <c r="BQ3218"/>
    </row>
    <row r="3219" spans="69:69">
      <c r="BQ3219"/>
    </row>
    <row r="3220" spans="69:69">
      <c r="BQ3220"/>
    </row>
    <row r="3221" spans="69:69">
      <c r="BQ3221"/>
    </row>
    <row r="3222" spans="69:69">
      <c r="BQ3222"/>
    </row>
    <row r="3223" spans="69:69">
      <c r="BQ3223"/>
    </row>
    <row r="3224" spans="69:69">
      <c r="BQ3224"/>
    </row>
    <row r="3225" spans="69:69">
      <c r="BQ3225"/>
    </row>
    <row r="3226" spans="69:69">
      <c r="BQ3226"/>
    </row>
    <row r="3227" spans="69:69">
      <c r="BQ3227"/>
    </row>
    <row r="3228" spans="69:69">
      <c r="BQ3228"/>
    </row>
    <row r="3229" spans="69:69">
      <c r="BQ3229"/>
    </row>
    <row r="3230" spans="69:69">
      <c r="BQ3230"/>
    </row>
    <row r="3231" spans="69:69">
      <c r="BQ3231"/>
    </row>
    <row r="3232" spans="69:69">
      <c r="BQ3232"/>
    </row>
    <row r="3233" spans="69:69">
      <c r="BQ3233"/>
    </row>
    <row r="3234" spans="69:69">
      <c r="BQ3234"/>
    </row>
    <row r="3235" spans="69:69">
      <c r="BQ3235"/>
    </row>
    <row r="3236" spans="69:69">
      <c r="BQ3236"/>
    </row>
    <row r="3237" spans="69:69">
      <c r="BQ3237"/>
    </row>
    <row r="3238" spans="69:69">
      <c r="BQ3238"/>
    </row>
    <row r="3239" spans="69:69">
      <c r="BQ3239"/>
    </row>
    <row r="3240" spans="69:69">
      <c r="BQ3240"/>
    </row>
    <row r="3241" spans="69:69">
      <c r="BQ3241"/>
    </row>
    <row r="3242" spans="69:69">
      <c r="BQ3242"/>
    </row>
    <row r="3243" spans="69:69">
      <c r="BQ3243"/>
    </row>
    <row r="3244" spans="69:69">
      <c r="BQ3244"/>
    </row>
    <row r="3245" spans="69:69">
      <c r="BQ3245"/>
    </row>
    <row r="3246" spans="69:69">
      <c r="BQ3246"/>
    </row>
    <row r="3247" spans="69:69">
      <c r="BQ3247"/>
    </row>
    <row r="3248" spans="69:69">
      <c r="BQ3248"/>
    </row>
    <row r="3249" spans="69:69">
      <c r="BQ3249"/>
    </row>
    <row r="3250" spans="69:69">
      <c r="BQ3250"/>
    </row>
    <row r="3251" spans="69:69">
      <c r="BQ3251"/>
    </row>
    <row r="3252" spans="69:69">
      <c r="BQ3252"/>
    </row>
    <row r="3253" spans="69:69">
      <c r="BQ3253"/>
    </row>
    <row r="3254" spans="69:69">
      <c r="BQ3254"/>
    </row>
    <row r="3255" spans="69:69">
      <c r="BQ3255"/>
    </row>
    <row r="3256" spans="69:69">
      <c r="BQ3256"/>
    </row>
    <row r="3257" spans="69:69">
      <c r="BQ3257"/>
    </row>
    <row r="3258" spans="69:69">
      <c r="BQ3258"/>
    </row>
    <row r="3259" spans="69:69">
      <c r="BQ3259"/>
    </row>
    <row r="3260" spans="69:69">
      <c r="BQ3260"/>
    </row>
    <row r="3261" spans="69:69">
      <c r="BQ3261"/>
    </row>
    <row r="3262" spans="69:69">
      <c r="BQ3262"/>
    </row>
    <row r="3263" spans="69:69">
      <c r="BQ3263"/>
    </row>
    <row r="3264" spans="69:69">
      <c r="BQ3264"/>
    </row>
    <row r="3265" spans="69:69">
      <c r="BQ3265"/>
    </row>
    <row r="3266" spans="69:69">
      <c r="BQ3266"/>
    </row>
    <row r="3267" spans="69:69">
      <c r="BQ3267"/>
    </row>
    <row r="3268" spans="69:69">
      <c r="BQ3268"/>
    </row>
    <row r="3269" spans="69:69">
      <c r="BQ3269"/>
    </row>
    <row r="3270" spans="69:69">
      <c r="BQ3270"/>
    </row>
    <row r="3271" spans="69:69">
      <c r="BQ3271"/>
    </row>
    <row r="3272" spans="69:69">
      <c r="BQ3272"/>
    </row>
    <row r="3273" spans="69:69">
      <c r="BQ3273"/>
    </row>
    <row r="3274" spans="69:69">
      <c r="BQ3274"/>
    </row>
    <row r="3275" spans="69:69">
      <c r="BQ3275"/>
    </row>
    <row r="3276" spans="69:69">
      <c r="BQ3276"/>
    </row>
    <row r="3277" spans="69:69">
      <c r="BQ3277"/>
    </row>
    <row r="3278" spans="69:69">
      <c r="BQ3278"/>
    </row>
    <row r="3279" spans="69:69">
      <c r="BQ3279"/>
    </row>
    <row r="3280" spans="69:69">
      <c r="BQ3280"/>
    </row>
    <row r="3281" spans="69:69">
      <c r="BQ3281"/>
    </row>
    <row r="3282" spans="69:69">
      <c r="BQ3282"/>
    </row>
    <row r="3283" spans="69:69">
      <c r="BQ3283"/>
    </row>
    <row r="3284" spans="69:69">
      <c r="BQ3284"/>
    </row>
    <row r="3285" spans="69:69">
      <c r="BQ3285"/>
    </row>
    <row r="3286" spans="69:69">
      <c r="BQ3286"/>
    </row>
    <row r="3287" spans="69:69">
      <c r="BQ3287"/>
    </row>
    <row r="3288" spans="69:69">
      <c r="BQ3288"/>
    </row>
    <row r="3289" spans="69:69">
      <c r="BQ3289"/>
    </row>
    <row r="3290" spans="69:69">
      <c r="BQ3290"/>
    </row>
    <row r="3291" spans="69:69">
      <c r="BQ3291"/>
    </row>
    <row r="3292" spans="69:69">
      <c r="BQ3292"/>
    </row>
    <row r="3293" spans="69:69">
      <c r="BQ3293"/>
    </row>
    <row r="3294" spans="69:69">
      <c r="BQ3294"/>
    </row>
    <row r="3295" spans="69:69">
      <c r="BQ3295"/>
    </row>
    <row r="3296" spans="69:69">
      <c r="BQ3296"/>
    </row>
    <row r="3297" spans="69:69">
      <c r="BQ3297"/>
    </row>
    <row r="3298" spans="69:69">
      <c r="BQ3298"/>
    </row>
    <row r="3299" spans="69:69">
      <c r="BQ3299"/>
    </row>
    <row r="3300" spans="69:69">
      <c r="BQ3300"/>
    </row>
    <row r="3301" spans="69:69">
      <c r="BQ3301"/>
    </row>
    <row r="3302" spans="69:69">
      <c r="BQ3302"/>
    </row>
    <row r="3303" spans="69:69">
      <c r="BQ3303"/>
    </row>
    <row r="3304" spans="69:69">
      <c r="BQ3304"/>
    </row>
    <row r="3305" spans="69:69">
      <c r="BQ3305"/>
    </row>
    <row r="3306" spans="69:69">
      <c r="BQ3306"/>
    </row>
    <row r="3307" spans="69:69">
      <c r="BQ3307"/>
    </row>
    <row r="3308" spans="69:69">
      <c r="BQ3308"/>
    </row>
    <row r="3309" spans="69:69">
      <c r="BQ3309"/>
    </row>
    <row r="3310" spans="69:69">
      <c r="BQ3310"/>
    </row>
    <row r="3311" spans="69:69">
      <c r="BQ3311"/>
    </row>
    <row r="3312" spans="69:69">
      <c r="BQ3312"/>
    </row>
    <row r="3313" spans="69:69">
      <c r="BQ3313"/>
    </row>
    <row r="3314" spans="69:69">
      <c r="BQ3314"/>
    </row>
    <row r="3315" spans="69:69">
      <c r="BQ3315"/>
    </row>
    <row r="3316" spans="69:69">
      <c r="BQ3316"/>
    </row>
    <row r="3317" spans="69:69">
      <c r="BQ3317"/>
    </row>
    <row r="3318" spans="69:69">
      <c r="BQ3318"/>
    </row>
    <row r="3319" spans="69:69">
      <c r="BQ3319"/>
    </row>
    <row r="3320" spans="69:69">
      <c r="BQ3320"/>
    </row>
    <row r="3321" spans="69:69">
      <c r="BQ3321"/>
    </row>
    <row r="3322" spans="69:69">
      <c r="BQ3322"/>
    </row>
    <row r="3323" spans="69:69">
      <c r="BQ3323"/>
    </row>
    <row r="3324" spans="69:69">
      <c r="BQ3324"/>
    </row>
    <row r="3325" spans="69:69">
      <c r="BQ3325"/>
    </row>
    <row r="3326" spans="69:69">
      <c r="BQ3326"/>
    </row>
    <row r="3327" spans="69:69">
      <c r="BQ3327"/>
    </row>
    <row r="3328" spans="69:69">
      <c r="BQ3328"/>
    </row>
    <row r="3329" spans="69:69">
      <c r="BQ3329"/>
    </row>
    <row r="3330" spans="69:69">
      <c r="BQ3330"/>
    </row>
    <row r="3331" spans="69:69">
      <c r="BQ3331"/>
    </row>
    <row r="3332" spans="69:69">
      <c r="BQ3332"/>
    </row>
    <row r="3333" spans="69:69">
      <c r="BQ3333"/>
    </row>
    <row r="3334" spans="69:69">
      <c r="BQ3334"/>
    </row>
    <row r="3335" spans="69:69">
      <c r="BQ3335"/>
    </row>
    <row r="3336" spans="69:69">
      <c r="BQ3336"/>
    </row>
    <row r="3337" spans="69:69">
      <c r="BQ3337"/>
    </row>
    <row r="3338" spans="69:69">
      <c r="BQ3338"/>
    </row>
    <row r="3339" spans="69:69">
      <c r="BQ3339"/>
    </row>
    <row r="3340" spans="69:69">
      <c r="BQ3340"/>
    </row>
    <row r="3341" spans="69:69">
      <c r="BQ3341"/>
    </row>
    <row r="3342" spans="69:69">
      <c r="BQ3342"/>
    </row>
    <row r="3343" spans="69:69">
      <c r="BQ3343"/>
    </row>
    <row r="3344" spans="69:69">
      <c r="BQ3344"/>
    </row>
    <row r="3345" spans="69:69">
      <c r="BQ3345"/>
    </row>
    <row r="3346" spans="69:69">
      <c r="BQ3346"/>
    </row>
    <row r="3347" spans="69:69">
      <c r="BQ3347"/>
    </row>
    <row r="3348" spans="69:69">
      <c r="BQ3348"/>
    </row>
    <row r="3349" spans="69:69">
      <c r="BQ3349"/>
    </row>
    <row r="3350" spans="69:69">
      <c r="BQ3350"/>
    </row>
    <row r="3351" spans="69:69">
      <c r="BQ3351"/>
    </row>
    <row r="3352" spans="69:69">
      <c r="BQ3352"/>
    </row>
    <row r="3353" spans="69:69">
      <c r="BQ3353"/>
    </row>
    <row r="3354" spans="69:69">
      <c r="BQ3354"/>
    </row>
    <row r="3355" spans="69:69">
      <c r="BQ3355"/>
    </row>
    <row r="3356" spans="69:69">
      <c r="BQ3356"/>
    </row>
    <row r="3357" spans="69:69">
      <c r="BQ3357"/>
    </row>
    <row r="3358" spans="69:69">
      <c r="BQ3358"/>
    </row>
    <row r="3359" spans="69:69">
      <c r="BQ3359"/>
    </row>
    <row r="3360" spans="69:69">
      <c r="BQ3360"/>
    </row>
    <row r="3361" spans="69:69">
      <c r="BQ3361"/>
    </row>
    <row r="3362" spans="69:69">
      <c r="BQ3362"/>
    </row>
    <row r="3363" spans="69:69">
      <c r="BQ3363"/>
    </row>
    <row r="3364" spans="69:69">
      <c r="BQ3364"/>
    </row>
    <row r="3365" spans="69:69">
      <c r="BQ3365"/>
    </row>
    <row r="3366" spans="69:69">
      <c r="BQ3366"/>
    </row>
    <row r="3367" spans="69:69">
      <c r="BQ3367"/>
    </row>
    <row r="3368" spans="69:69">
      <c r="BQ3368"/>
    </row>
    <row r="3369" spans="69:69">
      <c r="BQ3369"/>
    </row>
    <row r="3370" spans="69:69">
      <c r="BQ3370"/>
    </row>
    <row r="3371" spans="69:69">
      <c r="BQ3371"/>
    </row>
    <row r="3372" spans="69:69">
      <c r="BQ3372"/>
    </row>
    <row r="3373" spans="69:69">
      <c r="BQ3373"/>
    </row>
    <row r="3374" spans="69:69">
      <c r="BQ3374"/>
    </row>
    <row r="3375" spans="69:69">
      <c r="BQ3375"/>
    </row>
    <row r="3376" spans="69:69">
      <c r="BQ3376"/>
    </row>
    <row r="3377" spans="69:69">
      <c r="BQ3377"/>
    </row>
    <row r="3378" spans="69:69">
      <c r="BQ3378"/>
    </row>
    <row r="3379" spans="69:69">
      <c r="BQ3379"/>
    </row>
    <row r="3380" spans="69:69">
      <c r="BQ3380"/>
    </row>
    <row r="3381" spans="69:69">
      <c r="BQ3381"/>
    </row>
    <row r="3382" spans="69:69">
      <c r="BQ3382"/>
    </row>
    <row r="3383" spans="69:69">
      <c r="BQ3383"/>
    </row>
    <row r="3384" spans="69:69">
      <c r="BQ3384"/>
    </row>
    <row r="3385" spans="69:69">
      <c r="BQ3385"/>
    </row>
    <row r="3386" spans="69:69">
      <c r="BQ3386"/>
    </row>
    <row r="3387" spans="69:69">
      <c r="BQ3387"/>
    </row>
    <row r="3388" spans="69:69">
      <c r="BQ3388"/>
    </row>
    <row r="3389" spans="69:69">
      <c r="BQ3389"/>
    </row>
    <row r="3390" spans="69:69">
      <c r="BQ3390"/>
    </row>
    <row r="3391" spans="69:69">
      <c r="BQ3391"/>
    </row>
    <row r="3392" spans="69:69">
      <c r="BQ3392"/>
    </row>
    <row r="3393" spans="69:69">
      <c r="BQ3393"/>
    </row>
    <row r="3394" spans="69:69">
      <c r="BQ3394"/>
    </row>
    <row r="3395" spans="69:69">
      <c r="BQ3395"/>
    </row>
    <row r="3396" spans="69:69">
      <c r="BQ3396"/>
    </row>
    <row r="3397" spans="69:69">
      <c r="BQ3397"/>
    </row>
    <row r="3398" spans="69:69">
      <c r="BQ3398"/>
    </row>
    <row r="3399" spans="69:69">
      <c r="BQ3399"/>
    </row>
    <row r="3400" spans="69:69">
      <c r="BQ3400"/>
    </row>
    <row r="3401" spans="69:69">
      <c r="BQ3401"/>
    </row>
    <row r="3402" spans="69:69">
      <c r="BQ3402"/>
    </row>
    <row r="3403" spans="69:69">
      <c r="BQ3403"/>
    </row>
    <row r="3404" spans="69:69">
      <c r="BQ3404"/>
    </row>
    <row r="3405" spans="69:69">
      <c r="BQ3405"/>
    </row>
    <row r="3406" spans="69:69">
      <c r="BQ3406"/>
    </row>
    <row r="3407" spans="69:69">
      <c r="BQ3407"/>
    </row>
    <row r="3408" spans="69:69">
      <c r="BQ3408"/>
    </row>
    <row r="3409" spans="69:69">
      <c r="BQ3409"/>
    </row>
    <row r="3410" spans="69:69">
      <c r="BQ3410"/>
    </row>
    <row r="3411" spans="69:69">
      <c r="BQ3411"/>
    </row>
    <row r="3412" spans="69:69">
      <c r="BQ3412"/>
    </row>
    <row r="3413" spans="69:69">
      <c r="BQ3413"/>
    </row>
    <row r="3414" spans="69:69">
      <c r="BQ3414"/>
    </row>
    <row r="3415" spans="69:69">
      <c r="BQ3415"/>
    </row>
    <row r="3416" spans="69:69">
      <c r="BQ3416"/>
    </row>
    <row r="3417" spans="69:69">
      <c r="BQ3417"/>
    </row>
    <row r="3418" spans="69:69">
      <c r="BQ3418"/>
    </row>
    <row r="3419" spans="69:69">
      <c r="BQ3419"/>
    </row>
    <row r="3420" spans="69:69">
      <c r="BQ3420"/>
    </row>
    <row r="3421" spans="69:69">
      <c r="BQ3421"/>
    </row>
    <row r="3422" spans="69:69">
      <c r="BQ3422"/>
    </row>
    <row r="3423" spans="69:69">
      <c r="BQ3423"/>
    </row>
    <row r="3424" spans="69:69">
      <c r="BQ3424"/>
    </row>
    <row r="3425" spans="69:69">
      <c r="BQ3425"/>
    </row>
    <row r="3426" spans="69:69">
      <c r="BQ3426"/>
    </row>
    <row r="3427" spans="69:69">
      <c r="BQ3427"/>
    </row>
    <row r="3428" spans="69:69">
      <c r="BQ3428"/>
    </row>
    <row r="3429" spans="69:69">
      <c r="BQ3429"/>
    </row>
    <row r="3430" spans="69:69">
      <c r="BQ3430"/>
    </row>
    <row r="3431" spans="69:69">
      <c r="BQ3431"/>
    </row>
    <row r="3432" spans="69:69">
      <c r="BQ3432"/>
    </row>
    <row r="3433" spans="69:69">
      <c r="BQ3433"/>
    </row>
    <row r="3434" spans="69:69">
      <c r="BQ3434"/>
    </row>
    <row r="3435" spans="69:69">
      <c r="BQ3435"/>
    </row>
    <row r="3436" spans="69:69">
      <c r="BQ3436"/>
    </row>
    <row r="3437" spans="69:69">
      <c r="BQ3437"/>
    </row>
    <row r="3438" spans="69:69">
      <c r="BQ3438"/>
    </row>
    <row r="3439" spans="69:69">
      <c r="BQ3439"/>
    </row>
    <row r="3440" spans="69:69">
      <c r="BQ3440"/>
    </row>
    <row r="3441" spans="69:69">
      <c r="BQ3441"/>
    </row>
    <row r="3442" spans="69:69">
      <c r="BQ3442"/>
    </row>
    <row r="3443" spans="69:69">
      <c r="BQ3443"/>
    </row>
    <row r="3444" spans="69:69">
      <c r="BQ3444"/>
    </row>
    <row r="3445" spans="69:69">
      <c r="BQ3445"/>
    </row>
    <row r="3446" spans="69:69">
      <c r="BQ3446"/>
    </row>
    <row r="3447" spans="69:69">
      <c r="BQ3447"/>
    </row>
    <row r="3448" spans="69:69">
      <c r="BQ3448"/>
    </row>
    <row r="3449" spans="69:69">
      <c r="BQ3449"/>
    </row>
    <row r="3450" spans="69:69">
      <c r="BQ3450"/>
    </row>
    <row r="3451" spans="69:69">
      <c r="BQ3451"/>
    </row>
    <row r="3452" spans="69:69">
      <c r="BQ3452"/>
    </row>
    <row r="3453" spans="69:69">
      <c r="BQ3453"/>
    </row>
    <row r="3454" spans="69:69">
      <c r="BQ3454"/>
    </row>
    <row r="3455" spans="69:69">
      <c r="BQ3455"/>
    </row>
    <row r="3456" spans="69:69">
      <c r="BQ3456"/>
    </row>
    <row r="3457" spans="69:69">
      <c r="BQ3457"/>
    </row>
    <row r="3458" spans="69:69">
      <c r="BQ3458"/>
    </row>
    <row r="3459" spans="69:69">
      <c r="BQ3459"/>
    </row>
    <row r="3460" spans="69:69">
      <c r="BQ3460"/>
    </row>
    <row r="3461" spans="69:69">
      <c r="BQ3461"/>
    </row>
    <row r="3462" spans="69:69">
      <c r="BQ3462"/>
    </row>
    <row r="3463" spans="69:69">
      <c r="BQ3463"/>
    </row>
    <row r="3464" spans="69:69">
      <c r="BQ3464"/>
    </row>
    <row r="3465" spans="69:69">
      <c r="BQ3465"/>
    </row>
    <row r="3466" spans="69:69">
      <c r="BQ3466"/>
    </row>
    <row r="3467" spans="69:69">
      <c r="BQ3467"/>
    </row>
    <row r="3468" spans="69:69">
      <c r="BQ3468"/>
    </row>
    <row r="3469" spans="69:69">
      <c r="BQ3469"/>
    </row>
    <row r="3470" spans="69:69">
      <c r="BQ3470"/>
    </row>
    <row r="3471" spans="69:69">
      <c r="BQ3471"/>
    </row>
    <row r="3472" spans="69:69">
      <c r="BQ3472"/>
    </row>
    <row r="3473" spans="69:69">
      <c r="BQ3473"/>
    </row>
    <row r="3474" spans="69:69">
      <c r="BQ3474"/>
    </row>
    <row r="3475" spans="69:69">
      <c r="BQ3475"/>
    </row>
    <row r="3476" spans="69:69">
      <c r="BQ3476"/>
    </row>
    <row r="3477" spans="69:69">
      <c r="BQ3477"/>
    </row>
    <row r="3478" spans="69:69">
      <c r="BQ3478"/>
    </row>
    <row r="3479" spans="69:69">
      <c r="BQ3479"/>
    </row>
    <row r="3480" spans="69:69">
      <c r="BQ3480"/>
    </row>
    <row r="3481" spans="69:69">
      <c r="BQ3481"/>
    </row>
    <row r="3482" spans="69:69">
      <c r="BQ3482"/>
    </row>
    <row r="3483" spans="69:69">
      <c r="BQ3483"/>
    </row>
    <row r="3484" spans="69:69">
      <c r="BQ3484"/>
    </row>
    <row r="3485" spans="69:69">
      <c r="BQ3485"/>
    </row>
    <row r="3486" spans="69:69">
      <c r="BQ3486"/>
    </row>
    <row r="3487" spans="69:69">
      <c r="BQ3487"/>
    </row>
    <row r="3488" spans="69:69">
      <c r="BQ3488"/>
    </row>
    <row r="3489" spans="69:69">
      <c r="BQ3489"/>
    </row>
    <row r="3490" spans="69:69">
      <c r="BQ3490"/>
    </row>
    <row r="3491" spans="69:69">
      <c r="BQ3491"/>
    </row>
    <row r="3492" spans="69:69">
      <c r="BQ3492"/>
    </row>
    <row r="3493" spans="69:69">
      <c r="BQ3493"/>
    </row>
    <row r="3494" spans="69:69">
      <c r="BQ3494"/>
    </row>
    <row r="3495" spans="69:69">
      <c r="BQ3495"/>
    </row>
    <row r="3496" spans="69:69">
      <c r="BQ3496"/>
    </row>
    <row r="3497" spans="69:69">
      <c r="BQ3497"/>
    </row>
    <row r="3498" spans="69:69">
      <c r="BQ3498"/>
    </row>
    <row r="3499" spans="69:69">
      <c r="BQ3499"/>
    </row>
    <row r="3500" spans="69:69">
      <c r="BQ3500"/>
    </row>
    <row r="3501" spans="69:69">
      <c r="BQ3501"/>
    </row>
    <row r="3502" spans="69:69">
      <c r="BQ3502"/>
    </row>
    <row r="3503" spans="69:69">
      <c r="BQ3503"/>
    </row>
    <row r="3504" spans="69:69">
      <c r="BQ3504"/>
    </row>
    <row r="3505" spans="69:69">
      <c r="BQ3505"/>
    </row>
    <row r="3506" spans="69:69">
      <c r="BQ3506"/>
    </row>
    <row r="3507" spans="69:69">
      <c r="BQ3507"/>
    </row>
    <row r="3508" spans="69:69">
      <c r="BQ3508"/>
    </row>
    <row r="3509" spans="69:69">
      <c r="BQ3509"/>
    </row>
    <row r="3510" spans="69:69">
      <c r="BQ3510"/>
    </row>
    <row r="3511" spans="69:69">
      <c r="BQ3511"/>
    </row>
    <row r="3512" spans="69:69">
      <c r="BQ3512"/>
    </row>
    <row r="3513" spans="69:69">
      <c r="BQ3513"/>
    </row>
    <row r="3514" spans="69:69">
      <c r="BQ3514"/>
    </row>
    <row r="3515" spans="69:69">
      <c r="BQ3515"/>
    </row>
    <row r="3516" spans="69:69">
      <c r="BQ3516"/>
    </row>
    <row r="3517" spans="69:69">
      <c r="BQ3517"/>
    </row>
    <row r="3518" spans="69:69">
      <c r="BQ3518"/>
    </row>
    <row r="3519" spans="69:69">
      <c r="BQ3519"/>
    </row>
    <row r="3520" spans="69:69">
      <c r="BQ3520"/>
    </row>
    <row r="3521" spans="69:69">
      <c r="BQ3521"/>
    </row>
    <row r="3522" spans="69:69">
      <c r="BQ3522"/>
    </row>
    <row r="3523" spans="69:69">
      <c r="BQ3523"/>
    </row>
    <row r="3524" spans="69:69">
      <c r="BQ3524"/>
    </row>
    <row r="3525" spans="69:69">
      <c r="BQ3525"/>
    </row>
    <row r="3526" spans="69:69">
      <c r="BQ3526"/>
    </row>
    <row r="3527" spans="69:69">
      <c r="BQ3527"/>
    </row>
    <row r="3528" spans="69:69">
      <c r="BQ3528"/>
    </row>
    <row r="3529" spans="69:69">
      <c r="BQ3529"/>
    </row>
    <row r="3530" spans="69:69">
      <c r="BQ3530"/>
    </row>
    <row r="3531" spans="69:69">
      <c r="BQ3531"/>
    </row>
    <row r="3532" spans="69:69">
      <c r="BQ3532"/>
    </row>
    <row r="3533" spans="69:69">
      <c r="BQ3533"/>
    </row>
    <row r="3534" spans="69:69">
      <c r="BQ3534"/>
    </row>
    <row r="3535" spans="69:69">
      <c r="BQ3535"/>
    </row>
    <row r="3536" spans="69:69">
      <c r="BQ3536"/>
    </row>
    <row r="3537" spans="69:69">
      <c r="BQ3537"/>
    </row>
    <row r="3538" spans="69:69">
      <c r="BQ3538"/>
    </row>
    <row r="3539" spans="69:69">
      <c r="BQ3539"/>
    </row>
    <row r="3540" spans="69:69">
      <c r="BQ3540"/>
    </row>
    <row r="3541" spans="69:69">
      <c r="BQ3541"/>
    </row>
    <row r="3542" spans="69:69">
      <c r="BQ3542"/>
    </row>
    <row r="3543" spans="69:69">
      <c r="BQ3543"/>
    </row>
    <row r="3544" spans="69:69">
      <c r="BQ3544"/>
    </row>
    <row r="3545" spans="69:69">
      <c r="BQ3545"/>
    </row>
    <row r="3546" spans="69:69">
      <c r="BQ3546"/>
    </row>
    <row r="3547" spans="69:69">
      <c r="BQ3547"/>
    </row>
    <row r="3548" spans="69:69">
      <c r="BQ3548"/>
    </row>
    <row r="3549" spans="69:69">
      <c r="BQ3549"/>
    </row>
    <row r="3550" spans="69:69">
      <c r="BQ3550"/>
    </row>
    <row r="3551" spans="69:69">
      <c r="BQ3551"/>
    </row>
    <row r="3552" spans="69:69">
      <c r="BQ3552"/>
    </row>
    <row r="3553" spans="69:69">
      <c r="BQ3553"/>
    </row>
    <row r="3554" spans="69:69">
      <c r="BQ3554"/>
    </row>
    <row r="3555" spans="69:69">
      <c r="BQ3555"/>
    </row>
    <row r="3556" spans="69:69">
      <c r="BQ3556"/>
    </row>
    <row r="3557" spans="69:69">
      <c r="BQ3557"/>
    </row>
    <row r="3558" spans="69:69">
      <c r="BQ3558"/>
    </row>
    <row r="3559" spans="69:69">
      <c r="BQ3559"/>
    </row>
    <row r="3560" spans="69:69">
      <c r="BQ3560"/>
    </row>
    <row r="3561" spans="69:69">
      <c r="BQ3561"/>
    </row>
    <row r="3562" spans="69:69">
      <c r="BQ3562"/>
    </row>
    <row r="3563" spans="69:69">
      <c r="BQ3563"/>
    </row>
    <row r="3564" spans="69:69">
      <c r="BQ3564"/>
    </row>
    <row r="3565" spans="69:69">
      <c r="BQ3565"/>
    </row>
    <row r="3566" spans="69:69">
      <c r="BQ3566"/>
    </row>
    <row r="3567" spans="69:69">
      <c r="BQ3567"/>
    </row>
    <row r="3568" spans="69:69">
      <c r="BQ3568"/>
    </row>
    <row r="3569" spans="69:69">
      <c r="BQ3569"/>
    </row>
    <row r="3570" spans="69:69">
      <c r="BQ3570"/>
    </row>
    <row r="3571" spans="69:69">
      <c r="BQ3571"/>
    </row>
    <row r="3572" spans="69:69">
      <c r="BQ3572"/>
    </row>
    <row r="3573" spans="69:69">
      <c r="BQ3573"/>
    </row>
    <row r="3574" spans="69:69">
      <c r="BQ3574"/>
    </row>
    <row r="3575" spans="69:69">
      <c r="BQ3575"/>
    </row>
    <row r="3576" spans="69:69">
      <c r="BQ3576"/>
    </row>
    <row r="3577" spans="69:69">
      <c r="BQ3577"/>
    </row>
    <row r="3578" spans="69:69">
      <c r="BQ3578"/>
    </row>
    <row r="3579" spans="69:69">
      <c r="BQ3579"/>
    </row>
    <row r="3580" spans="69:69">
      <c r="BQ3580"/>
    </row>
    <row r="3581" spans="69:69">
      <c r="BQ3581"/>
    </row>
    <row r="3582" spans="69:69">
      <c r="BQ3582"/>
    </row>
    <row r="3583" spans="69:69">
      <c r="BQ3583"/>
    </row>
    <row r="3584" spans="69:69">
      <c r="BQ3584"/>
    </row>
    <row r="3585" spans="69:69">
      <c r="BQ3585"/>
    </row>
    <row r="3586" spans="69:69">
      <c r="BQ3586"/>
    </row>
    <row r="3587" spans="69:69">
      <c r="BQ3587"/>
    </row>
    <row r="3588" spans="69:69">
      <c r="BQ3588"/>
    </row>
    <row r="3589" spans="69:69">
      <c r="BQ3589"/>
    </row>
    <row r="3590" spans="69:69">
      <c r="BQ3590"/>
    </row>
    <row r="3591" spans="69:69">
      <c r="BQ3591"/>
    </row>
    <row r="3592" spans="69:69">
      <c r="BQ3592"/>
    </row>
    <row r="3593" spans="69:69">
      <c r="BQ3593"/>
    </row>
    <row r="3594" spans="69:69">
      <c r="BQ3594"/>
    </row>
    <row r="3595" spans="69:69">
      <c r="BQ3595"/>
    </row>
    <row r="3596" spans="69:69">
      <c r="BQ3596"/>
    </row>
    <row r="3597" spans="69:69">
      <c r="BQ3597"/>
    </row>
    <row r="3598" spans="69:69">
      <c r="BQ3598"/>
    </row>
    <row r="3599" spans="69:69">
      <c r="BQ3599"/>
    </row>
    <row r="3600" spans="69:69">
      <c r="BQ3600"/>
    </row>
    <row r="3601" spans="69:69">
      <c r="BQ3601"/>
    </row>
    <row r="3602" spans="69:69">
      <c r="BQ3602"/>
    </row>
    <row r="3603" spans="69:69">
      <c r="BQ3603"/>
    </row>
    <row r="3604" spans="69:69">
      <c r="BQ3604"/>
    </row>
    <row r="3605" spans="69:69">
      <c r="BQ3605"/>
    </row>
    <row r="3606" spans="69:69">
      <c r="BQ3606"/>
    </row>
    <row r="3607" spans="69:69">
      <c r="BQ3607"/>
    </row>
    <row r="3608" spans="69:69">
      <c r="BQ3608"/>
    </row>
    <row r="3609" spans="69:69">
      <c r="BQ3609"/>
    </row>
    <row r="3610" spans="69:69">
      <c r="BQ3610"/>
    </row>
    <row r="3611" spans="69:69">
      <c r="BQ3611"/>
    </row>
    <row r="3612" spans="69:69">
      <c r="BQ3612"/>
    </row>
    <row r="3613" spans="69:69">
      <c r="BQ3613"/>
    </row>
    <row r="3614" spans="69:69">
      <c r="BQ3614"/>
    </row>
    <row r="3615" spans="69:69">
      <c r="BQ3615"/>
    </row>
    <row r="3616" spans="69:69">
      <c r="BQ3616"/>
    </row>
    <row r="3617" spans="69:69">
      <c r="BQ3617"/>
    </row>
    <row r="3618" spans="69:69">
      <c r="BQ3618"/>
    </row>
    <row r="3619" spans="69:69">
      <c r="BQ3619"/>
    </row>
    <row r="3620" spans="69:69">
      <c r="BQ3620"/>
    </row>
    <row r="3621" spans="69:69">
      <c r="BQ3621"/>
    </row>
    <row r="3622" spans="69:69">
      <c r="BQ3622"/>
    </row>
    <row r="3623" spans="69:69">
      <c r="BQ3623"/>
    </row>
    <row r="3624" spans="69:69">
      <c r="BQ3624"/>
    </row>
    <row r="3625" spans="69:69">
      <c r="BQ3625"/>
    </row>
    <row r="3626" spans="69:69">
      <c r="BQ3626"/>
    </row>
    <row r="3627" spans="69:69">
      <c r="BQ3627"/>
    </row>
    <row r="3628" spans="69:69">
      <c r="BQ3628"/>
    </row>
    <row r="3629" spans="69:69">
      <c r="BQ3629"/>
    </row>
    <row r="3630" spans="69:69">
      <c r="BQ3630"/>
    </row>
    <row r="3631" spans="69:69">
      <c r="BQ3631"/>
    </row>
    <row r="3632" spans="69:69">
      <c r="BQ3632"/>
    </row>
    <row r="3633" spans="69:69">
      <c r="BQ3633"/>
    </row>
    <row r="3634" spans="69:69">
      <c r="BQ3634"/>
    </row>
    <row r="3635" spans="69:69">
      <c r="BQ3635"/>
    </row>
    <row r="3636" spans="69:69">
      <c r="BQ3636"/>
    </row>
    <row r="3637" spans="69:69">
      <c r="BQ3637"/>
    </row>
    <row r="3638" spans="69:69">
      <c r="BQ3638"/>
    </row>
    <row r="3639" spans="69:69">
      <c r="BQ3639"/>
    </row>
    <row r="3640" spans="69:69">
      <c r="BQ3640"/>
    </row>
    <row r="3641" spans="69:69">
      <c r="BQ3641"/>
    </row>
    <row r="3642" spans="69:69">
      <c r="BQ3642"/>
    </row>
    <row r="3643" spans="69:69">
      <c r="BQ3643"/>
    </row>
    <row r="3644" spans="69:69">
      <c r="BQ3644"/>
    </row>
    <row r="3645" spans="69:69">
      <c r="BQ3645"/>
    </row>
    <row r="3646" spans="69:69">
      <c r="BQ3646"/>
    </row>
    <row r="3647" spans="69:69">
      <c r="BQ3647"/>
    </row>
    <row r="3648" spans="69:69">
      <c r="BQ3648"/>
    </row>
    <row r="3649" spans="69:69">
      <c r="BQ3649"/>
    </row>
    <row r="3650" spans="69:69">
      <c r="BQ3650"/>
    </row>
    <row r="3651" spans="69:69">
      <c r="BQ3651"/>
    </row>
    <row r="3652" spans="69:69">
      <c r="BQ3652"/>
    </row>
    <row r="3653" spans="69:69">
      <c r="BQ3653"/>
    </row>
    <row r="3654" spans="69:69">
      <c r="BQ3654"/>
    </row>
    <row r="3655" spans="69:69">
      <c r="BQ3655"/>
    </row>
    <row r="3656" spans="69:69">
      <c r="BQ3656"/>
    </row>
    <row r="3657" spans="69:69">
      <c r="BQ3657"/>
    </row>
    <row r="3658" spans="69:69">
      <c r="BQ3658"/>
    </row>
    <row r="3659" spans="69:69">
      <c r="BQ3659"/>
    </row>
    <row r="3660" spans="69:69">
      <c r="BQ3660"/>
    </row>
    <row r="3661" spans="69:69">
      <c r="BQ3661"/>
    </row>
    <row r="3662" spans="69:69">
      <c r="BQ3662"/>
    </row>
    <row r="3663" spans="69:69">
      <c r="BQ3663"/>
    </row>
    <row r="3664" spans="69:69">
      <c r="BQ3664"/>
    </row>
    <row r="3665" spans="69:69">
      <c r="BQ3665"/>
    </row>
    <row r="3666" spans="69:69">
      <c r="BQ3666"/>
    </row>
    <row r="3667" spans="69:69">
      <c r="BQ3667"/>
    </row>
    <row r="3668" spans="69:69">
      <c r="BQ3668"/>
    </row>
    <row r="3669" spans="69:69">
      <c r="BQ3669"/>
    </row>
    <row r="3670" spans="69:69">
      <c r="BQ3670"/>
    </row>
    <row r="3671" spans="69:69">
      <c r="BQ3671"/>
    </row>
    <row r="3672" spans="69:69">
      <c r="BQ3672"/>
    </row>
    <row r="3673" spans="69:69">
      <c r="BQ3673"/>
    </row>
    <row r="3674" spans="69:69">
      <c r="BQ3674"/>
    </row>
    <row r="3675" spans="69:69">
      <c r="BQ3675"/>
    </row>
    <row r="3676" spans="69:69">
      <c r="BQ3676"/>
    </row>
    <row r="3677" spans="69:69">
      <c r="BQ3677"/>
    </row>
    <row r="3678" spans="69:69">
      <c r="BQ3678"/>
    </row>
    <row r="3679" spans="69:69">
      <c r="BQ3679"/>
    </row>
    <row r="3680" spans="69:69">
      <c r="BQ3680"/>
    </row>
    <row r="3681" spans="69:69">
      <c r="BQ3681"/>
    </row>
    <row r="3682" spans="69:69">
      <c r="BQ3682"/>
    </row>
    <row r="3683" spans="69:69">
      <c r="BQ3683"/>
    </row>
    <row r="3684" spans="69:69">
      <c r="BQ3684"/>
    </row>
    <row r="3685" spans="69:69">
      <c r="BQ3685"/>
    </row>
    <row r="3686" spans="69:69">
      <c r="BQ3686"/>
    </row>
    <row r="3687" spans="69:69">
      <c r="BQ3687"/>
    </row>
    <row r="3688" spans="69:69">
      <c r="BQ3688"/>
    </row>
    <row r="3689" spans="69:69">
      <c r="BQ3689"/>
    </row>
    <row r="3690" spans="69:69">
      <c r="BQ3690"/>
    </row>
    <row r="3691" spans="69:69">
      <c r="BQ3691"/>
    </row>
    <row r="3692" spans="69:69">
      <c r="BQ3692"/>
    </row>
    <row r="3693" spans="69:69">
      <c r="BQ3693"/>
    </row>
    <row r="3694" spans="69:69">
      <c r="BQ3694"/>
    </row>
    <row r="3695" spans="69:69">
      <c r="BQ3695"/>
    </row>
    <row r="3696" spans="69:69">
      <c r="BQ3696"/>
    </row>
    <row r="3697" spans="69:69">
      <c r="BQ3697"/>
    </row>
    <row r="3698" spans="69:69">
      <c r="BQ3698"/>
    </row>
    <row r="3699" spans="69:69">
      <c r="BQ3699"/>
    </row>
    <row r="3700" spans="69:69">
      <c r="BQ3700"/>
    </row>
    <row r="3701" spans="69:69">
      <c r="BQ3701"/>
    </row>
    <row r="3702" spans="69:69">
      <c r="BQ3702"/>
    </row>
    <row r="3703" spans="69:69">
      <c r="BQ3703"/>
    </row>
    <row r="3704" spans="69:69">
      <c r="BQ3704"/>
    </row>
    <row r="3705" spans="69:69">
      <c r="BQ3705"/>
    </row>
    <row r="3706" spans="69:69">
      <c r="BQ3706"/>
    </row>
    <row r="3707" spans="69:69">
      <c r="BQ3707"/>
    </row>
    <row r="3708" spans="69:69">
      <c r="BQ3708"/>
    </row>
    <row r="3709" spans="69:69">
      <c r="BQ3709"/>
    </row>
    <row r="3710" spans="69:69">
      <c r="BQ3710"/>
    </row>
    <row r="3711" spans="69:69">
      <c r="BQ3711"/>
    </row>
    <row r="3712" spans="69:69">
      <c r="BQ3712"/>
    </row>
    <row r="3713" spans="69:69">
      <c r="BQ3713"/>
    </row>
    <row r="3714" spans="69:69">
      <c r="BQ3714"/>
    </row>
    <row r="3715" spans="69:69">
      <c r="BQ3715"/>
    </row>
    <row r="3716" spans="69:69">
      <c r="BQ3716"/>
    </row>
    <row r="3717" spans="69:69">
      <c r="BQ3717"/>
    </row>
    <row r="3718" spans="69:69">
      <c r="BQ3718"/>
    </row>
    <row r="3719" spans="69:69">
      <c r="BQ3719"/>
    </row>
    <row r="3720" spans="69:69">
      <c r="BQ3720"/>
    </row>
    <row r="3721" spans="69:69">
      <c r="BQ3721"/>
    </row>
    <row r="3722" spans="69:69">
      <c r="BQ3722"/>
    </row>
    <row r="3723" spans="69:69">
      <c r="BQ3723"/>
    </row>
    <row r="3724" spans="69:69">
      <c r="BQ3724"/>
    </row>
    <row r="3725" spans="69:69">
      <c r="BQ3725"/>
    </row>
    <row r="3726" spans="69:69">
      <c r="BQ3726"/>
    </row>
    <row r="3727" spans="69:69">
      <c r="BQ3727"/>
    </row>
    <row r="3728" spans="69:69">
      <c r="BQ3728"/>
    </row>
    <row r="3729" spans="69:69">
      <c r="BQ3729"/>
    </row>
    <row r="3730" spans="69:69">
      <c r="BQ3730"/>
    </row>
    <row r="3731" spans="69:69">
      <c r="BQ3731"/>
    </row>
    <row r="3732" spans="69:69">
      <c r="BQ3732"/>
    </row>
    <row r="3733" spans="69:69">
      <c r="BQ3733"/>
    </row>
    <row r="3734" spans="69:69">
      <c r="BQ3734"/>
    </row>
    <row r="3735" spans="69:69">
      <c r="BQ3735"/>
    </row>
    <row r="3736" spans="69:69">
      <c r="BQ3736"/>
    </row>
    <row r="3737" spans="69:69">
      <c r="BQ3737"/>
    </row>
    <row r="3738" spans="69:69">
      <c r="BQ3738"/>
    </row>
    <row r="3739" spans="69:69">
      <c r="BQ3739"/>
    </row>
    <row r="3740" spans="69:69">
      <c r="BQ3740"/>
    </row>
    <row r="3741" spans="69:69">
      <c r="BQ3741"/>
    </row>
    <row r="3742" spans="69:69">
      <c r="BQ3742"/>
    </row>
    <row r="3743" spans="69:69">
      <c r="BQ3743"/>
    </row>
    <row r="3744" spans="69:69">
      <c r="BQ3744"/>
    </row>
    <row r="3745" spans="69:69">
      <c r="BQ3745"/>
    </row>
    <row r="3746" spans="69:69">
      <c r="BQ3746"/>
    </row>
    <row r="3747" spans="69:69">
      <c r="BQ3747"/>
    </row>
    <row r="3748" spans="69:69">
      <c r="BQ3748"/>
    </row>
    <row r="3749" spans="69:69">
      <c r="BQ3749"/>
    </row>
    <row r="3750" spans="69:69">
      <c r="BQ3750"/>
    </row>
    <row r="3751" spans="69:69">
      <c r="BQ3751"/>
    </row>
    <row r="3752" spans="69:69">
      <c r="BQ3752"/>
    </row>
    <row r="3753" spans="69:69">
      <c r="BQ3753"/>
    </row>
    <row r="3754" spans="69:69">
      <c r="BQ3754"/>
    </row>
    <row r="3755" spans="69:69">
      <c r="BQ3755"/>
    </row>
    <row r="3756" spans="69:69">
      <c r="BQ3756"/>
    </row>
    <row r="3757" spans="69:69">
      <c r="BQ3757"/>
    </row>
    <row r="3758" spans="69:69">
      <c r="BQ3758"/>
    </row>
    <row r="3759" spans="69:69">
      <c r="BQ3759"/>
    </row>
    <row r="3760" spans="69:69">
      <c r="BQ3760"/>
    </row>
    <row r="3761" spans="69:69">
      <c r="BQ3761"/>
    </row>
    <row r="3762" spans="69:69">
      <c r="BQ3762"/>
    </row>
    <row r="3763" spans="69:69">
      <c r="BQ3763"/>
    </row>
    <row r="3764" spans="69:69">
      <c r="BQ3764"/>
    </row>
    <row r="3765" spans="69:69">
      <c r="BQ3765"/>
    </row>
    <row r="3766" spans="69:69">
      <c r="BQ3766"/>
    </row>
    <row r="3767" spans="69:69">
      <c r="BQ3767"/>
    </row>
    <row r="3768" spans="69:69">
      <c r="BQ3768"/>
    </row>
    <row r="3769" spans="69:69">
      <c r="BQ3769"/>
    </row>
    <row r="3770" spans="69:69">
      <c r="BQ3770"/>
    </row>
    <row r="3771" spans="69:69">
      <c r="BQ3771"/>
    </row>
    <row r="3772" spans="69:69">
      <c r="BQ3772"/>
    </row>
    <row r="3773" spans="69:69">
      <c r="BQ3773"/>
    </row>
    <row r="3774" spans="69:69">
      <c r="BQ3774"/>
    </row>
    <row r="3775" spans="69:69">
      <c r="BQ3775"/>
    </row>
    <row r="3776" spans="69:69">
      <c r="BQ3776"/>
    </row>
    <row r="3777" spans="69:69">
      <c r="BQ3777"/>
    </row>
    <row r="3778" spans="69:69">
      <c r="BQ3778"/>
    </row>
    <row r="3779" spans="69:69">
      <c r="BQ3779"/>
    </row>
    <row r="3780" spans="69:69">
      <c r="BQ3780"/>
    </row>
    <row r="3781" spans="69:69">
      <c r="BQ3781"/>
    </row>
    <row r="3782" spans="69:69">
      <c r="BQ3782"/>
    </row>
    <row r="3783" spans="69:69">
      <c r="BQ3783"/>
    </row>
    <row r="3784" spans="69:69">
      <c r="BQ3784"/>
    </row>
    <row r="3785" spans="69:69">
      <c r="BQ3785"/>
    </row>
    <row r="3786" spans="69:69">
      <c r="BQ3786"/>
    </row>
    <row r="3787" spans="69:69">
      <c r="BQ3787"/>
    </row>
    <row r="3788" spans="69:69">
      <c r="BQ3788"/>
    </row>
    <row r="3789" spans="69:69">
      <c r="BQ3789"/>
    </row>
    <row r="3790" spans="69:69">
      <c r="BQ3790"/>
    </row>
    <row r="3791" spans="69:69">
      <c r="BQ3791"/>
    </row>
    <row r="3792" spans="69:69">
      <c r="BQ3792"/>
    </row>
    <row r="3793" spans="69:69">
      <c r="BQ3793"/>
    </row>
    <row r="3794" spans="69:69">
      <c r="BQ3794"/>
    </row>
    <row r="3795" spans="69:69">
      <c r="BQ3795"/>
    </row>
    <row r="3796" spans="69:69">
      <c r="BQ3796"/>
    </row>
    <row r="3797" spans="69:69">
      <c r="BQ3797"/>
    </row>
    <row r="3798" spans="69:69">
      <c r="BQ3798"/>
    </row>
    <row r="3799" spans="69:69">
      <c r="BQ3799"/>
    </row>
    <row r="3800" spans="69:69">
      <c r="BQ3800"/>
    </row>
    <row r="3801" spans="69:69">
      <c r="BQ3801"/>
    </row>
    <row r="3802" spans="69:69">
      <c r="BQ3802"/>
    </row>
    <row r="3803" spans="69:69">
      <c r="BQ3803"/>
    </row>
    <row r="3804" spans="69:69">
      <c r="BQ3804"/>
    </row>
    <row r="3805" spans="69:69">
      <c r="BQ3805"/>
    </row>
    <row r="3806" spans="69:69">
      <c r="BQ3806"/>
    </row>
    <row r="3807" spans="69:69">
      <c r="BQ3807"/>
    </row>
    <row r="3808" spans="69:69">
      <c r="BQ3808"/>
    </row>
    <row r="3809" spans="69:69">
      <c r="BQ3809"/>
    </row>
    <row r="3810" spans="69:69">
      <c r="BQ3810"/>
    </row>
    <row r="3811" spans="69:69">
      <c r="BQ3811"/>
    </row>
    <row r="3812" spans="69:69">
      <c r="BQ3812"/>
    </row>
    <row r="3813" spans="69:69">
      <c r="BQ3813"/>
    </row>
    <row r="3814" spans="69:69">
      <c r="BQ3814"/>
    </row>
    <row r="3815" spans="69:69">
      <c r="BQ3815"/>
    </row>
    <row r="3816" spans="69:69">
      <c r="BQ3816"/>
    </row>
    <row r="3817" spans="69:69">
      <c r="BQ3817"/>
    </row>
    <row r="3818" spans="69:69">
      <c r="BQ3818"/>
    </row>
    <row r="3819" spans="69:69">
      <c r="BQ3819"/>
    </row>
    <row r="3820" spans="69:69">
      <c r="BQ3820"/>
    </row>
    <row r="3821" spans="69:69">
      <c r="BQ3821"/>
    </row>
    <row r="3822" spans="69:69">
      <c r="BQ3822"/>
    </row>
    <row r="3823" spans="69:69">
      <c r="BQ3823"/>
    </row>
    <row r="3824" spans="69:69">
      <c r="BQ3824"/>
    </row>
    <row r="3825" spans="69:69">
      <c r="BQ3825"/>
    </row>
    <row r="3826" spans="69:69">
      <c r="BQ3826"/>
    </row>
    <row r="3827" spans="69:69">
      <c r="BQ3827"/>
    </row>
    <row r="3828" spans="69:69">
      <c r="BQ3828"/>
    </row>
    <row r="3829" spans="69:69">
      <c r="BQ3829"/>
    </row>
    <row r="3830" spans="69:69">
      <c r="BQ3830"/>
    </row>
    <row r="3831" spans="69:69">
      <c r="BQ3831"/>
    </row>
    <row r="3832" spans="69:69">
      <c r="BQ3832"/>
    </row>
    <row r="3833" spans="69:69">
      <c r="BQ3833"/>
    </row>
    <row r="3834" spans="69:69">
      <c r="BQ3834"/>
    </row>
    <row r="3835" spans="69:69">
      <c r="BQ3835"/>
    </row>
    <row r="3836" spans="69:69">
      <c r="BQ3836"/>
    </row>
    <row r="3837" spans="69:69">
      <c r="BQ3837"/>
    </row>
    <row r="3838" spans="69:69">
      <c r="BQ3838"/>
    </row>
    <row r="3839" spans="69:69">
      <c r="BQ3839"/>
    </row>
    <row r="3840" spans="69:69">
      <c r="BQ3840"/>
    </row>
    <row r="3841" spans="69:69">
      <c r="BQ3841"/>
    </row>
    <row r="3842" spans="69:69">
      <c r="BQ3842"/>
    </row>
    <row r="3843" spans="69:69">
      <c r="BQ3843"/>
    </row>
    <row r="3844" spans="69:69">
      <c r="BQ3844"/>
    </row>
    <row r="3845" spans="69:69">
      <c r="BQ3845"/>
    </row>
    <row r="3846" spans="69:69">
      <c r="BQ3846"/>
    </row>
    <row r="3847" spans="69:69">
      <c r="BQ3847"/>
    </row>
    <row r="3848" spans="69:69">
      <c r="BQ3848"/>
    </row>
    <row r="3849" spans="69:69">
      <c r="BQ3849"/>
    </row>
    <row r="3850" spans="69:69">
      <c r="BQ3850"/>
    </row>
    <row r="3851" spans="69:69">
      <c r="BQ3851"/>
    </row>
    <row r="3852" spans="69:69">
      <c r="BQ3852"/>
    </row>
    <row r="3853" spans="69:69">
      <c r="BQ3853"/>
    </row>
    <row r="3854" spans="69:69">
      <c r="BQ3854"/>
    </row>
    <row r="3855" spans="69:69">
      <c r="BQ3855"/>
    </row>
    <row r="3856" spans="69:69">
      <c r="BQ3856"/>
    </row>
    <row r="3857" spans="69:69">
      <c r="BQ3857"/>
    </row>
    <row r="3858" spans="69:69">
      <c r="BQ3858"/>
    </row>
    <row r="3859" spans="69:69">
      <c r="BQ3859"/>
    </row>
    <row r="3860" spans="69:69">
      <c r="BQ3860"/>
    </row>
    <row r="3861" spans="69:69">
      <c r="BQ3861"/>
    </row>
    <row r="3862" spans="69:69">
      <c r="BQ3862"/>
    </row>
    <row r="3863" spans="69:69">
      <c r="BQ3863"/>
    </row>
    <row r="3864" spans="69:69">
      <c r="BQ3864"/>
    </row>
    <row r="3865" spans="69:69">
      <c r="BQ3865"/>
    </row>
    <row r="3866" spans="69:69">
      <c r="BQ3866"/>
    </row>
    <row r="3867" spans="69:69">
      <c r="BQ3867"/>
    </row>
    <row r="3868" spans="69:69">
      <c r="BQ3868"/>
    </row>
    <row r="3869" spans="69:69">
      <c r="BQ3869"/>
    </row>
    <row r="3870" spans="69:69">
      <c r="BQ3870"/>
    </row>
    <row r="3871" spans="69:69">
      <c r="BQ3871"/>
    </row>
    <row r="3872" spans="69:69">
      <c r="BQ3872"/>
    </row>
    <row r="3873" spans="69:69">
      <c r="BQ3873"/>
    </row>
    <row r="3874" spans="69:69">
      <c r="BQ3874"/>
    </row>
    <row r="3875" spans="69:69">
      <c r="BQ3875"/>
    </row>
    <row r="3876" spans="69:69">
      <c r="BQ3876"/>
    </row>
    <row r="3877" spans="69:69">
      <c r="BQ3877"/>
    </row>
    <row r="3878" spans="69:69">
      <c r="BQ3878"/>
    </row>
    <row r="3879" spans="69:69">
      <c r="BQ3879"/>
    </row>
    <row r="3880" spans="69:69">
      <c r="BQ3880"/>
    </row>
    <row r="3881" spans="69:69">
      <c r="BQ3881"/>
    </row>
    <row r="3882" spans="69:69">
      <c r="BQ3882"/>
    </row>
    <row r="3883" spans="69:69">
      <c r="BQ3883"/>
    </row>
    <row r="3884" spans="69:69">
      <c r="BQ3884"/>
    </row>
    <row r="3885" spans="69:69">
      <c r="BQ3885"/>
    </row>
    <row r="3886" spans="69:69">
      <c r="BQ3886"/>
    </row>
    <row r="3887" spans="69:69">
      <c r="BQ3887"/>
    </row>
    <row r="3888" spans="69:69">
      <c r="BQ3888"/>
    </row>
    <row r="3889" spans="69:69">
      <c r="BQ3889"/>
    </row>
    <row r="3890" spans="69:69">
      <c r="BQ3890"/>
    </row>
    <row r="3891" spans="69:69">
      <c r="BQ3891"/>
    </row>
    <row r="3892" spans="69:69">
      <c r="BQ3892"/>
    </row>
    <row r="3893" spans="69:69">
      <c r="BQ3893"/>
    </row>
    <row r="3894" spans="69:69">
      <c r="BQ3894"/>
    </row>
    <row r="3895" spans="69:69">
      <c r="BQ3895"/>
    </row>
    <row r="3896" spans="69:69">
      <c r="BQ3896"/>
    </row>
    <row r="3897" spans="69:69">
      <c r="BQ3897"/>
    </row>
    <row r="3898" spans="69:69">
      <c r="BQ3898"/>
    </row>
    <row r="3899" spans="69:69">
      <c r="BQ3899"/>
    </row>
    <row r="3900" spans="69:69">
      <c r="BQ3900"/>
    </row>
    <row r="3901" spans="69:69">
      <c r="BQ3901"/>
    </row>
    <row r="3902" spans="69:69">
      <c r="BQ3902"/>
    </row>
    <row r="3903" spans="69:69">
      <c r="BQ3903"/>
    </row>
    <row r="3904" spans="69:69">
      <c r="BQ3904"/>
    </row>
    <row r="3905" spans="69:69">
      <c r="BQ3905"/>
    </row>
    <row r="3906" spans="69:69">
      <c r="BQ3906"/>
    </row>
    <row r="3907" spans="69:69">
      <c r="BQ3907"/>
    </row>
    <row r="3908" spans="69:69">
      <c r="BQ3908"/>
    </row>
    <row r="3909" spans="69:69">
      <c r="BQ3909"/>
    </row>
    <row r="3910" spans="69:69">
      <c r="BQ3910"/>
    </row>
    <row r="3911" spans="69:69">
      <c r="BQ3911"/>
    </row>
    <row r="3912" spans="69:69">
      <c r="BQ3912"/>
    </row>
    <row r="3913" spans="69:69">
      <c r="BQ3913"/>
    </row>
    <row r="3914" spans="69:69">
      <c r="BQ3914"/>
    </row>
    <row r="3915" spans="69:69">
      <c r="BQ3915"/>
    </row>
    <row r="3916" spans="69:69">
      <c r="BQ3916"/>
    </row>
    <row r="3917" spans="69:69">
      <c r="BQ3917"/>
    </row>
    <row r="3918" spans="69:69">
      <c r="BQ3918"/>
    </row>
    <row r="3919" spans="69:69">
      <c r="BQ3919"/>
    </row>
    <row r="3920" spans="69:69">
      <c r="BQ3920"/>
    </row>
    <row r="3921" spans="69:69">
      <c r="BQ3921"/>
    </row>
    <row r="3922" spans="69:69">
      <c r="BQ3922"/>
    </row>
    <row r="3923" spans="69:69">
      <c r="BQ3923"/>
    </row>
    <row r="3924" spans="69:69">
      <c r="BQ3924"/>
    </row>
    <row r="3925" spans="69:69">
      <c r="BQ3925"/>
    </row>
    <row r="3926" spans="69:69">
      <c r="BQ3926"/>
    </row>
    <row r="3927" spans="69:69">
      <c r="BQ3927"/>
    </row>
    <row r="3928" spans="69:69">
      <c r="BQ3928"/>
    </row>
    <row r="3929" spans="69:69">
      <c r="BQ3929"/>
    </row>
    <row r="3930" spans="69:69">
      <c r="BQ3930"/>
    </row>
    <row r="3931" spans="69:69">
      <c r="BQ3931"/>
    </row>
    <row r="3932" spans="69:69">
      <c r="BQ3932"/>
    </row>
    <row r="3933" spans="69:69">
      <c r="BQ3933"/>
    </row>
    <row r="3934" spans="69:69">
      <c r="BQ3934"/>
    </row>
    <row r="3935" spans="69:69">
      <c r="BQ3935"/>
    </row>
    <row r="3936" spans="69:69">
      <c r="BQ3936"/>
    </row>
    <row r="3937" spans="69:69">
      <c r="BQ3937"/>
    </row>
    <row r="3938" spans="69:69">
      <c r="BQ3938"/>
    </row>
    <row r="3939" spans="69:69">
      <c r="BQ3939"/>
    </row>
    <row r="3940" spans="69:69">
      <c r="BQ3940"/>
    </row>
    <row r="3941" spans="69:69">
      <c r="BQ3941"/>
    </row>
    <row r="3942" spans="69:69">
      <c r="BQ3942"/>
    </row>
    <row r="3943" spans="69:69">
      <c r="BQ3943"/>
    </row>
    <row r="3944" spans="69:69">
      <c r="BQ3944"/>
    </row>
    <row r="3945" spans="69:69">
      <c r="BQ3945"/>
    </row>
    <row r="3946" spans="69:69">
      <c r="BQ3946"/>
    </row>
    <row r="3947" spans="69:69">
      <c r="BQ3947"/>
    </row>
    <row r="3948" spans="69:69">
      <c r="BQ3948"/>
    </row>
    <row r="3949" spans="69:69">
      <c r="BQ3949"/>
    </row>
    <row r="3950" spans="69:69">
      <c r="BQ3950"/>
    </row>
    <row r="3951" spans="69:69">
      <c r="BQ3951"/>
    </row>
    <row r="3952" spans="69:69">
      <c r="BQ3952"/>
    </row>
    <row r="3953" spans="69:69">
      <c r="BQ3953"/>
    </row>
    <row r="3954" spans="69:69">
      <c r="BQ3954"/>
    </row>
    <row r="3955" spans="69:69">
      <c r="BQ3955"/>
    </row>
    <row r="3956" spans="69:69">
      <c r="BQ3956"/>
    </row>
    <row r="3957" spans="69:69">
      <c r="BQ3957"/>
    </row>
    <row r="3958" spans="69:69">
      <c r="BQ3958"/>
    </row>
    <row r="3959" spans="69:69">
      <c r="BQ3959"/>
    </row>
    <row r="3960" spans="69:69">
      <c r="BQ3960"/>
    </row>
    <row r="3961" spans="69:69">
      <c r="BQ3961"/>
    </row>
    <row r="3962" spans="69:69">
      <c r="BQ3962"/>
    </row>
    <row r="3963" spans="69:69">
      <c r="BQ3963"/>
    </row>
    <row r="3964" spans="69:69">
      <c r="BQ3964"/>
    </row>
    <row r="3965" spans="69:69">
      <c r="BQ3965"/>
    </row>
    <row r="3966" spans="69:69">
      <c r="BQ3966"/>
    </row>
    <row r="3967" spans="69:69">
      <c r="BQ3967"/>
    </row>
    <row r="3968" spans="69:69">
      <c r="BQ3968"/>
    </row>
    <row r="3969" spans="69:69">
      <c r="BQ3969"/>
    </row>
    <row r="3970" spans="69:69">
      <c r="BQ3970"/>
    </row>
    <row r="3971" spans="69:69">
      <c r="BQ3971"/>
    </row>
    <row r="3972" spans="69:69">
      <c r="BQ3972"/>
    </row>
    <row r="3973" spans="69:69">
      <c r="BQ3973"/>
    </row>
    <row r="3974" spans="69:69">
      <c r="BQ3974"/>
    </row>
    <row r="3975" spans="69:69">
      <c r="BQ3975"/>
    </row>
    <row r="3976" spans="69:69">
      <c r="BQ3976"/>
    </row>
    <row r="3977" spans="69:69">
      <c r="BQ3977"/>
    </row>
    <row r="3978" spans="69:69">
      <c r="BQ3978"/>
    </row>
    <row r="3979" spans="69:69">
      <c r="BQ3979"/>
    </row>
    <row r="3980" spans="69:69">
      <c r="BQ3980"/>
    </row>
    <row r="3981" spans="69:69">
      <c r="BQ3981"/>
    </row>
    <row r="3982" spans="69:69">
      <c r="BQ3982"/>
    </row>
    <row r="3983" spans="69:69">
      <c r="BQ3983"/>
    </row>
    <row r="3984" spans="69:69">
      <c r="BQ3984"/>
    </row>
    <row r="3985" spans="69:69">
      <c r="BQ3985"/>
    </row>
    <row r="3986" spans="69:69">
      <c r="BQ3986"/>
    </row>
    <row r="3987" spans="69:69">
      <c r="BQ3987"/>
    </row>
    <row r="3988" spans="69:69">
      <c r="BQ3988"/>
    </row>
    <row r="3989" spans="69:69">
      <c r="BQ3989"/>
    </row>
    <row r="3990" spans="69:69">
      <c r="BQ3990"/>
    </row>
    <row r="3991" spans="69:69">
      <c r="BQ3991"/>
    </row>
    <row r="3992" spans="69:69">
      <c r="BQ3992"/>
    </row>
    <row r="3993" spans="69:69">
      <c r="BQ3993"/>
    </row>
    <row r="3994" spans="69:69">
      <c r="BQ3994"/>
    </row>
    <row r="3995" spans="69:69">
      <c r="BQ3995"/>
    </row>
    <row r="3996" spans="69:69">
      <c r="BQ3996"/>
    </row>
    <row r="3997" spans="69:69">
      <c r="BQ3997"/>
    </row>
    <row r="3998" spans="69:69">
      <c r="BQ3998"/>
    </row>
    <row r="3999" spans="69:69">
      <c r="BQ3999"/>
    </row>
    <row r="4000" spans="69:69">
      <c r="BQ4000"/>
    </row>
    <row r="4001" spans="69:69">
      <c r="BQ4001"/>
    </row>
    <row r="4002" spans="69:69">
      <c r="BQ4002"/>
    </row>
    <row r="4003" spans="69:69">
      <c r="BQ4003"/>
    </row>
    <row r="4004" spans="69:69">
      <c r="BQ4004"/>
    </row>
    <row r="4005" spans="69:69">
      <c r="BQ4005"/>
    </row>
    <row r="4006" spans="69:69">
      <c r="BQ4006"/>
    </row>
    <row r="4007" spans="69:69">
      <c r="BQ4007"/>
    </row>
    <row r="4008" spans="69:69">
      <c r="BQ4008"/>
    </row>
    <row r="4009" spans="69:69">
      <c r="BQ4009"/>
    </row>
    <row r="4010" spans="69:69">
      <c r="BQ4010"/>
    </row>
    <row r="4011" spans="69:69">
      <c r="BQ4011"/>
    </row>
    <row r="4012" spans="69:69">
      <c r="BQ4012"/>
    </row>
    <row r="4013" spans="69:69">
      <c r="BQ4013"/>
    </row>
    <row r="4014" spans="69:69">
      <c r="BQ4014"/>
    </row>
    <row r="4015" spans="69:69">
      <c r="BQ4015"/>
    </row>
    <row r="4016" spans="69:69">
      <c r="BQ4016"/>
    </row>
    <row r="4017" spans="69:69">
      <c r="BQ4017"/>
    </row>
    <row r="4018" spans="69:69">
      <c r="BQ4018"/>
    </row>
    <row r="4019" spans="69:69">
      <c r="BQ4019"/>
    </row>
    <row r="4020" spans="69:69">
      <c r="BQ4020"/>
    </row>
    <row r="4021" spans="69:69">
      <c r="BQ4021"/>
    </row>
    <row r="4022" spans="69:69">
      <c r="BQ4022"/>
    </row>
    <row r="4023" spans="69:69">
      <c r="BQ4023"/>
    </row>
    <row r="4024" spans="69:69">
      <c r="BQ4024"/>
    </row>
    <row r="4025" spans="69:69">
      <c r="BQ4025"/>
    </row>
    <row r="4026" spans="69:69">
      <c r="BQ4026"/>
    </row>
    <row r="4027" spans="69:69">
      <c r="BQ4027"/>
    </row>
    <row r="4028" spans="69:69">
      <c r="BQ4028"/>
    </row>
    <row r="4029" spans="69:69">
      <c r="BQ4029"/>
    </row>
    <row r="4030" spans="69:69">
      <c r="BQ4030"/>
    </row>
    <row r="4031" spans="69:69">
      <c r="BQ4031"/>
    </row>
    <row r="4032" spans="69:69">
      <c r="BQ4032"/>
    </row>
    <row r="4033" spans="69:69">
      <c r="BQ4033"/>
    </row>
    <row r="4034" spans="69:69">
      <c r="BQ4034"/>
    </row>
    <row r="4035" spans="69:69">
      <c r="BQ4035"/>
    </row>
    <row r="4036" spans="69:69">
      <c r="BQ4036"/>
    </row>
    <row r="4037" spans="69:69">
      <c r="BQ4037"/>
    </row>
    <row r="4038" spans="69:69">
      <c r="BQ4038"/>
    </row>
    <row r="4039" spans="69:69">
      <c r="BQ4039"/>
    </row>
    <row r="4040" spans="69:69">
      <c r="BQ4040"/>
    </row>
    <row r="4041" spans="69:69">
      <c r="BQ4041"/>
    </row>
    <row r="4042" spans="69:69">
      <c r="BQ4042"/>
    </row>
    <row r="4043" spans="69:69">
      <c r="BQ4043"/>
    </row>
    <row r="4044" spans="69:69">
      <c r="BQ4044"/>
    </row>
    <row r="4045" spans="69:69">
      <c r="BQ4045"/>
    </row>
    <row r="4046" spans="69:69">
      <c r="BQ4046"/>
    </row>
    <row r="4047" spans="69:69">
      <c r="BQ4047"/>
    </row>
    <row r="4048" spans="69:69">
      <c r="BQ4048"/>
    </row>
    <row r="4049" spans="69:69">
      <c r="BQ4049"/>
    </row>
    <row r="4050" spans="69:69">
      <c r="BQ4050"/>
    </row>
    <row r="4051" spans="69:69">
      <c r="BQ4051"/>
    </row>
    <row r="4052" spans="69:69">
      <c r="BQ4052"/>
    </row>
    <row r="4053" spans="69:69">
      <c r="BQ4053"/>
    </row>
    <row r="4054" spans="69:69">
      <c r="BQ4054"/>
    </row>
    <row r="4055" spans="69:69">
      <c r="BQ4055"/>
    </row>
    <row r="4056" spans="69:69">
      <c r="BQ4056"/>
    </row>
    <row r="4057" spans="69:69">
      <c r="BQ4057"/>
    </row>
    <row r="4058" spans="69:69">
      <c r="BQ4058"/>
    </row>
    <row r="4059" spans="69:69">
      <c r="BQ4059"/>
    </row>
    <row r="4060" spans="69:69">
      <c r="BQ4060"/>
    </row>
    <row r="4061" spans="69:69">
      <c r="BQ4061"/>
    </row>
    <row r="4062" spans="69:69">
      <c r="BQ4062"/>
    </row>
    <row r="4063" spans="69:69">
      <c r="BQ4063"/>
    </row>
    <row r="4064" spans="69:69">
      <c r="BQ4064"/>
    </row>
    <row r="4065" spans="69:69">
      <c r="BQ4065"/>
    </row>
    <row r="4066" spans="69:69">
      <c r="BQ4066"/>
    </row>
    <row r="4067" spans="69:69">
      <c r="BQ4067"/>
    </row>
    <row r="4068" spans="69:69">
      <c r="BQ4068"/>
    </row>
    <row r="4069" spans="69:69">
      <c r="BQ4069"/>
    </row>
    <row r="4070" spans="69:69">
      <c r="BQ4070"/>
    </row>
    <row r="4071" spans="69:69">
      <c r="BQ4071"/>
    </row>
    <row r="4072" spans="69:69">
      <c r="BQ4072"/>
    </row>
    <row r="4073" spans="69:69">
      <c r="BQ4073"/>
    </row>
    <row r="4074" spans="69:69">
      <c r="BQ4074"/>
    </row>
    <row r="4075" spans="69:69">
      <c r="BQ4075"/>
    </row>
  </sheetData>
  <mergeCells count="66">
    <mergeCell ref="BI6:BI7"/>
    <mergeCell ref="BP6:BP7"/>
    <mergeCell ref="BQ6:BQ7"/>
    <mergeCell ref="BC6:BC7"/>
    <mergeCell ref="BD6:BD7"/>
    <mergeCell ref="BO6:BO7"/>
    <mergeCell ref="BN6:BN7"/>
    <mergeCell ref="BM6:BM7"/>
    <mergeCell ref="BK6:BK7"/>
    <mergeCell ref="BF6:BH6"/>
    <mergeCell ref="AX6:AX7"/>
    <mergeCell ref="AY6:AY7"/>
    <mergeCell ref="AZ6:BB6"/>
    <mergeCell ref="BE6:BE7"/>
    <mergeCell ref="W6:W7"/>
    <mergeCell ref="AA6:AA7"/>
    <mergeCell ref="X6:X7"/>
    <mergeCell ref="AH6:AH7"/>
    <mergeCell ref="Y6:Z6"/>
    <mergeCell ref="AD6:AE6"/>
    <mergeCell ref="AF6:AF7"/>
    <mergeCell ref="AG6:AG7"/>
    <mergeCell ref="M8:M53"/>
    <mergeCell ref="R8:R53"/>
    <mergeCell ref="W8:W53"/>
    <mergeCell ref="S6:S7"/>
    <mergeCell ref="Q6:Q7"/>
    <mergeCell ref="T6:U6"/>
    <mergeCell ref="V6:V7"/>
    <mergeCell ref="L6:L7"/>
    <mergeCell ref="M6:M7"/>
    <mergeCell ref="N6:N7"/>
    <mergeCell ref="O6:P6"/>
    <mergeCell ref="R6:R7"/>
    <mergeCell ref="A1:BR5"/>
    <mergeCell ref="A6:A7"/>
    <mergeCell ref="AK6:AK7"/>
    <mergeCell ref="AQ6:AQ7"/>
    <mergeCell ref="AR6:AR7"/>
    <mergeCell ref="AS6:AS7"/>
    <mergeCell ref="AT6:AV6"/>
    <mergeCell ref="B6:B7"/>
    <mergeCell ref="C6:C7"/>
    <mergeCell ref="D6:D7"/>
    <mergeCell ref="E6:E7"/>
    <mergeCell ref="F6:G6"/>
    <mergeCell ref="H6:H7"/>
    <mergeCell ref="I6:J6"/>
    <mergeCell ref="AB6:AB7"/>
    <mergeCell ref="K6:K7"/>
    <mergeCell ref="BR6:BR7"/>
    <mergeCell ref="BJ8:BJ53"/>
    <mergeCell ref="AB8:AB53"/>
    <mergeCell ref="AL8:AL53"/>
    <mergeCell ref="AR8:AR53"/>
    <mergeCell ref="AX8:AX53"/>
    <mergeCell ref="BD8:BD53"/>
    <mergeCell ref="AC6:AC7"/>
    <mergeCell ref="AN6:AP6"/>
    <mergeCell ref="AG9:AG53"/>
    <mergeCell ref="AI6:AJ6"/>
    <mergeCell ref="BL6:BL7"/>
    <mergeCell ref="BJ6:BJ7"/>
    <mergeCell ref="AW6:AW7"/>
    <mergeCell ref="AL6:AL7"/>
    <mergeCell ref="AM6:AM7"/>
  </mergeCells>
  <phoneticPr fontId="5" type="noConversion"/>
  <conditionalFormatting sqref="AP54:AP55 F57 I57 T57 Y57 AI57 AN57:AP57 F7:F55 I7:I55 T7:T55 Y7:Y55 AI7:AI55 AN9:AO55">
    <cfRule type="cellIs" dxfId="0" priority="35" operator="lessThan">
      <formula>28</formula>
    </cfRule>
  </conditionalFormatting>
  <pageMargins left="0" right="0" top="0" bottom="0" header="0" footer="0"/>
  <pageSetup paperSize="5" scale="8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N38"/>
  <sheetViews>
    <sheetView tabSelected="1" topLeftCell="A16" zoomScale="115" zoomScaleNormal="115" workbookViewId="0">
      <selection activeCell="I6" sqref="I6:K6"/>
    </sheetView>
  </sheetViews>
  <sheetFormatPr defaultRowHeight="15"/>
  <cols>
    <col min="3" max="3" width="10.7109375" customWidth="1"/>
    <col min="4" max="4" width="9.28515625" customWidth="1"/>
    <col min="5" max="5" width="9.7109375" customWidth="1"/>
    <col min="6" max="6" width="9.5703125" customWidth="1"/>
    <col min="7" max="9" width="9.28515625" customWidth="1"/>
    <col min="10" max="10" width="9.140625" customWidth="1"/>
    <col min="11" max="11" width="9.85546875" customWidth="1"/>
  </cols>
  <sheetData>
    <row r="1" spans="1:14" ht="24.95" customHeight="1">
      <c r="A1" s="132" t="s">
        <v>72</v>
      </c>
      <c r="B1" s="133"/>
      <c r="C1" s="133"/>
      <c r="D1" s="133"/>
      <c r="E1" s="133"/>
      <c r="F1" s="133"/>
      <c r="G1" s="133"/>
      <c r="H1" s="133"/>
      <c r="I1" s="133"/>
      <c r="J1" s="133"/>
      <c r="K1" s="134"/>
    </row>
    <row r="2" spans="1:14" ht="24.95" customHeight="1">
      <c r="A2" s="135"/>
      <c r="B2" s="136"/>
      <c r="C2" s="136"/>
      <c r="D2" s="136"/>
      <c r="E2" s="136"/>
      <c r="F2" s="136"/>
      <c r="G2" s="136"/>
      <c r="H2" s="136"/>
      <c r="I2" s="136"/>
      <c r="J2" s="136"/>
      <c r="K2" s="137"/>
    </row>
    <row r="3" spans="1:14" ht="24.95" customHeight="1">
      <c r="A3" s="135"/>
      <c r="B3" s="136"/>
      <c r="C3" s="136"/>
      <c r="D3" s="136"/>
      <c r="E3" s="136"/>
      <c r="F3" s="136"/>
      <c r="G3" s="136"/>
      <c r="H3" s="136"/>
      <c r="I3" s="136"/>
      <c r="J3" s="136"/>
      <c r="K3" s="137"/>
      <c r="N3" s="2"/>
    </row>
    <row r="4" spans="1:14" ht="24.95" customHeight="1">
      <c r="A4" s="138"/>
      <c r="B4" s="139"/>
      <c r="C4" s="139"/>
      <c r="D4" s="139"/>
      <c r="E4" s="139"/>
      <c r="F4" s="139"/>
      <c r="G4" s="139"/>
      <c r="H4" s="139"/>
      <c r="I4" s="139"/>
      <c r="J4" s="139"/>
      <c r="K4" s="140"/>
    </row>
    <row r="5" spans="1:14" s="2" customFormat="1" ht="24.95" customHeight="1">
      <c r="A5" s="141" t="s">
        <v>33</v>
      </c>
      <c r="B5" s="142"/>
      <c r="C5" s="143" t="str">
        <f>VLOOKUP($I$5,'TABULATION SCI'!$A$6:$BR$57,2,0)</f>
        <v xml:space="preserve">Nasif Rahman </v>
      </c>
      <c r="D5" s="143"/>
      <c r="E5" s="143"/>
      <c r="F5" s="145" t="s">
        <v>64</v>
      </c>
      <c r="G5" s="145"/>
      <c r="H5" s="145"/>
      <c r="I5" s="143">
        <v>7</v>
      </c>
      <c r="J5" s="143"/>
      <c r="K5" s="144"/>
    </row>
    <row r="6" spans="1:14" s="2" customFormat="1" ht="24.95" customHeight="1">
      <c r="A6" s="126" t="s">
        <v>34</v>
      </c>
      <c r="B6" s="127"/>
      <c r="C6" s="128" t="str">
        <f>VLOOKUP($I$5,'TABULATION SCI'!$A$6:$BR$57,3,0)</f>
        <v xml:space="preserve">A.K.M. Shahidur Rahman </v>
      </c>
      <c r="D6" s="128"/>
      <c r="E6" s="128"/>
      <c r="F6" s="131" t="s">
        <v>63</v>
      </c>
      <c r="G6" s="131"/>
      <c r="H6" s="131"/>
      <c r="I6" s="128" t="s">
        <v>56</v>
      </c>
      <c r="J6" s="128"/>
      <c r="K6" s="129"/>
    </row>
    <row r="7" spans="1:14" s="2" customFormat="1" ht="24.95" customHeight="1">
      <c r="A7" s="126" t="s">
        <v>35</v>
      </c>
      <c r="B7" s="127"/>
      <c r="C7" s="128" t="str">
        <f>VLOOKUP($I$5,'TABULATION SCI'!$A$6:$BR$57,4,0)</f>
        <v xml:space="preserve">Maksuda Akter </v>
      </c>
      <c r="D7" s="128"/>
      <c r="E7" s="128"/>
      <c r="F7" s="131" t="s">
        <v>62</v>
      </c>
      <c r="G7" s="131"/>
      <c r="H7" s="131"/>
      <c r="I7" s="128" t="s">
        <v>251</v>
      </c>
      <c r="J7" s="128"/>
      <c r="K7" s="129"/>
    </row>
    <row r="8" spans="1:14" s="2" customFormat="1" ht="24.95" customHeight="1">
      <c r="A8" s="126" t="s">
        <v>36</v>
      </c>
      <c r="B8" s="127"/>
      <c r="C8" s="128" t="s">
        <v>70</v>
      </c>
      <c r="D8" s="128"/>
      <c r="E8" s="128"/>
      <c r="F8" s="130" t="s">
        <v>57</v>
      </c>
      <c r="G8" s="130"/>
      <c r="H8" s="130"/>
      <c r="I8" s="128">
        <v>46</v>
      </c>
      <c r="J8" s="128"/>
      <c r="K8" s="129"/>
    </row>
    <row r="9" spans="1:14" s="2" customFormat="1" ht="24" customHeight="1">
      <c r="A9" s="114" t="s">
        <v>37</v>
      </c>
      <c r="B9" s="115"/>
      <c r="C9" s="116" t="s">
        <v>71</v>
      </c>
      <c r="D9" s="116"/>
      <c r="E9" s="116"/>
      <c r="F9" s="125" t="s">
        <v>58</v>
      </c>
      <c r="G9" s="125"/>
      <c r="H9" s="125"/>
      <c r="I9" s="117" t="s">
        <v>68</v>
      </c>
      <c r="J9" s="117"/>
      <c r="K9" s="118"/>
    </row>
    <row r="10" spans="1:14" ht="15" customHeight="1">
      <c r="A10" s="119" t="s">
        <v>18</v>
      </c>
      <c r="B10" s="120"/>
      <c r="C10" s="121"/>
      <c r="D10" s="110" t="s">
        <v>22</v>
      </c>
      <c r="E10" s="110" t="s">
        <v>21</v>
      </c>
      <c r="F10" s="110" t="s">
        <v>23</v>
      </c>
      <c r="G10" s="110" t="s">
        <v>19</v>
      </c>
      <c r="H10" s="110" t="s">
        <v>20</v>
      </c>
      <c r="I10" s="110" t="s">
        <v>2</v>
      </c>
      <c r="J10" s="110" t="s">
        <v>55</v>
      </c>
      <c r="K10" s="110" t="s">
        <v>7</v>
      </c>
    </row>
    <row r="11" spans="1:14" ht="15" customHeight="1">
      <c r="A11" s="119"/>
      <c r="B11" s="120"/>
      <c r="C11" s="121"/>
      <c r="D11" s="110"/>
      <c r="E11" s="110"/>
      <c r="F11" s="110"/>
      <c r="G11" s="110"/>
      <c r="H11" s="110"/>
      <c r="I11" s="110"/>
      <c r="J11" s="110"/>
      <c r="K11" s="110"/>
    </row>
    <row r="12" spans="1:14" ht="15" customHeight="1">
      <c r="A12" s="119"/>
      <c r="B12" s="120"/>
      <c r="C12" s="121"/>
      <c r="D12" s="110"/>
      <c r="E12" s="110"/>
      <c r="F12" s="110"/>
      <c r="G12" s="110"/>
      <c r="H12" s="110"/>
      <c r="I12" s="110"/>
      <c r="J12" s="110"/>
      <c r="K12" s="110"/>
    </row>
    <row r="13" spans="1:14" ht="15" customHeight="1">
      <c r="A13" s="119"/>
      <c r="B13" s="120"/>
      <c r="C13" s="121"/>
      <c r="D13" s="110"/>
      <c r="E13" s="110"/>
      <c r="F13" s="110"/>
      <c r="G13" s="110"/>
      <c r="H13" s="110"/>
      <c r="I13" s="110"/>
      <c r="J13" s="110"/>
      <c r="K13" s="110"/>
    </row>
    <row r="14" spans="1:14" ht="15" customHeight="1">
      <c r="A14" s="119"/>
      <c r="B14" s="120"/>
      <c r="C14" s="121"/>
      <c r="D14" s="110"/>
      <c r="E14" s="110"/>
      <c r="F14" s="110"/>
      <c r="G14" s="110"/>
      <c r="H14" s="110"/>
      <c r="I14" s="110"/>
      <c r="J14" s="110"/>
      <c r="K14" s="110"/>
    </row>
    <row r="15" spans="1:14" ht="15" customHeight="1">
      <c r="A15" s="119"/>
      <c r="B15" s="120"/>
      <c r="C15" s="121"/>
      <c r="D15" s="110"/>
      <c r="E15" s="110"/>
      <c r="F15" s="110"/>
      <c r="G15" s="110"/>
      <c r="H15" s="110"/>
      <c r="I15" s="110"/>
      <c r="J15" s="110"/>
      <c r="K15" s="110"/>
    </row>
    <row r="16" spans="1:14" ht="15" customHeight="1">
      <c r="A16" s="119"/>
      <c r="B16" s="120"/>
      <c r="C16" s="121"/>
      <c r="D16" s="110"/>
      <c r="E16" s="110"/>
      <c r="F16" s="110"/>
      <c r="G16" s="110"/>
      <c r="H16" s="110"/>
      <c r="I16" s="110"/>
      <c r="J16" s="110"/>
      <c r="K16" s="110"/>
    </row>
    <row r="17" spans="1:14" ht="15" customHeight="1">
      <c r="A17" s="122"/>
      <c r="B17" s="123"/>
      <c r="C17" s="124"/>
      <c r="D17" s="111"/>
      <c r="E17" s="111"/>
      <c r="F17" s="111"/>
      <c r="G17" s="111"/>
      <c r="H17" s="111"/>
      <c r="I17" s="111"/>
      <c r="J17" s="111"/>
      <c r="K17" s="111"/>
    </row>
    <row r="18" spans="1:14" ht="30" customHeight="1">
      <c r="A18" s="94" t="s">
        <v>24</v>
      </c>
      <c r="B18" s="94"/>
      <c r="C18" s="94"/>
      <c r="D18" s="19">
        <f>IFERROR(VLOOKUP($I$5,'TABULATION SCI'!$A$6:$BR$57,7,0),"")</f>
        <v>20</v>
      </c>
      <c r="E18" s="19">
        <f>IFERROR(VLOOKUP($I$5,'TABULATION SCI'!$A$6:$BR$57,6,0),"")</f>
        <v>41</v>
      </c>
      <c r="F18" s="88"/>
      <c r="G18" s="86">
        <f>IFERROR(VLOOKUP($I$5,'TABULATION SCI'!$A$6:$BR$57,12,0),"")</f>
        <v>118</v>
      </c>
      <c r="H18" s="86">
        <f>'TABULATION SCI'!M8</f>
        <v>124</v>
      </c>
      <c r="I18" s="86">
        <f>IFERROR(VLOOKUP($I$5,'TABULATION SCI'!$A$6:$BR$57,14,0),"")</f>
        <v>3</v>
      </c>
      <c r="J18" s="86" t="str">
        <f>IF(I18="F","F",IF(I18&lt;1,"F",IF(I18&lt;2,"D",IF(I18&lt;3,"C",IF(I18&lt;3.5,"B",IF(I18&lt;4,"A-",IF(I18&lt;5,"A","A+")))))))</f>
        <v>B</v>
      </c>
      <c r="K18" s="112">
        <f>IFERROR(VLOOKUP($I$5,'TABULATION SCI'!$A$6:$BR$57,66,0),"")</f>
        <v>4.4444444444444446</v>
      </c>
    </row>
    <row r="19" spans="1:14" ht="30" customHeight="1">
      <c r="A19" s="94" t="s">
        <v>25</v>
      </c>
      <c r="B19" s="94"/>
      <c r="C19" s="94"/>
      <c r="D19" s="19">
        <f>IFERROR(VLOOKUP($I$5,'TABULATION SCI'!$A$6:$BR$57,10,0),"")</f>
        <v>15</v>
      </c>
      <c r="E19" s="19">
        <f>IFERROR(VLOOKUP($I$5,'TABULATION SCI'!$A$6:$BR$57,9,0),"")</f>
        <v>42</v>
      </c>
      <c r="F19" s="89"/>
      <c r="G19" s="87">
        <f>IFERROR(VLOOKUP($I$5,'TABULATION SCI'!$A$6:$BR$53,7,0),"")</f>
        <v>20</v>
      </c>
      <c r="H19" s="87"/>
      <c r="I19" s="87">
        <f>IFERROR(VLOOKUP($I$5,'TABULATION SCI'!$A$6:$BR$53,7,0),"")</f>
        <v>20</v>
      </c>
      <c r="J19" s="87"/>
      <c r="K19" s="112">
        <f>IFERROR(VLOOKUP($I$5,'TABULATION SCI'!$A$6:$BR$53,7,0),"")</f>
        <v>20</v>
      </c>
    </row>
    <row r="20" spans="1:14" ht="30" customHeight="1">
      <c r="A20" s="94" t="s">
        <v>26</v>
      </c>
      <c r="B20" s="94"/>
      <c r="C20" s="94"/>
      <c r="D20" s="113"/>
      <c r="E20" s="19">
        <f>IFERROR(VLOOKUP($I$5,'TABULATION SCI'!$A$6:$BR$57,15,0),"")</f>
        <v>76</v>
      </c>
      <c r="F20" s="89"/>
      <c r="G20" s="86">
        <f>IFERROR(VLOOKUP($I$5,'TABULATION SCI'!$A$6:$BR$57,17,0),"")</f>
        <v>139</v>
      </c>
      <c r="H20" s="86">
        <f>'TABULATION SCI'!R8</f>
        <v>139</v>
      </c>
      <c r="I20" s="86">
        <f>IFERROR(VLOOKUP($I$5,'TABULATION SCI'!$A$6:$BR$57,19,0),"")</f>
        <v>3.5</v>
      </c>
      <c r="J20" s="86" t="str">
        <f>IF(I20="F","F",IF(I20&lt;1,"F",IF(I20&lt;2,"D",IF(I20&lt;3,"C",IF(I20&lt;3.5,"B",IF(I20&lt;4,"A-",IF(I20&lt;5,"A","A+")))))))</f>
        <v>A-</v>
      </c>
      <c r="K20" s="112">
        <f>IFERROR(VLOOKUP($I$5,'TABULATION SCI'!$A$6:$BR$53,7,0),"")</f>
        <v>20</v>
      </c>
      <c r="N20" s="2"/>
    </row>
    <row r="21" spans="1:14" ht="30" customHeight="1">
      <c r="A21" s="94" t="s">
        <v>27</v>
      </c>
      <c r="B21" s="94"/>
      <c r="C21" s="94"/>
      <c r="D21" s="87"/>
      <c r="E21" s="21">
        <f>IFERROR(VLOOKUP($I$5,'TABULATION SCI'!$A$6:$BR$57,16,0),"")</f>
        <v>63</v>
      </c>
      <c r="F21" s="89"/>
      <c r="G21" s="87">
        <f>IFERROR(VLOOKUP($I$5,'TABULATION SCI'!$A$6:$BR$53,7,0),"")</f>
        <v>20</v>
      </c>
      <c r="H21" s="87"/>
      <c r="I21" s="87">
        <f>IFERROR(VLOOKUP($I$5,'TABULATION SCI'!$A$6:$BR$53,7,0),"")</f>
        <v>20</v>
      </c>
      <c r="J21" s="87"/>
      <c r="K21" s="112">
        <f>IFERROR(VLOOKUP($I$5,'TABULATION SCI'!$A$6:$BR$53,7,0),"")</f>
        <v>20</v>
      </c>
    </row>
    <row r="22" spans="1:14" ht="30" customHeight="1">
      <c r="A22" s="94" t="s">
        <v>28</v>
      </c>
      <c r="B22" s="94"/>
      <c r="C22" s="94"/>
      <c r="D22" s="19">
        <f>IFERROR(VLOOKUP($I$5,'TABULATION SCI'!$A$6:$BR$57,21,0),"")</f>
        <v>21</v>
      </c>
      <c r="E22" s="19">
        <f>IFERROR(VLOOKUP($I$5,'TABULATION SCI'!$A$6:$BR$57,20,0),"")</f>
        <v>54</v>
      </c>
      <c r="F22" s="89"/>
      <c r="G22" s="19">
        <f>IFERROR(VLOOKUP($I$5,'TABULATION SCI'!$A$6:$BR$57,22,0),"")</f>
        <v>75</v>
      </c>
      <c r="H22" s="19">
        <f>'TABULATION SCI'!W8</f>
        <v>81</v>
      </c>
      <c r="I22" s="19">
        <f>IFERROR(VLOOKUP($I$5,'TABULATION SCI'!$A$6:$BR$57,24,0),"")</f>
        <v>4</v>
      </c>
      <c r="J22" s="19" t="str">
        <f t="shared" ref="J22:J28" si="0">IF(I22="F","F",IF(I22&lt;1,"F",IF(I22&lt;2,"D",IF(I22&lt;3,"C",IF(I22&lt;3.5,"B",IF(I22&lt;4,"A-",IF(I22&lt;5,"A","A+")))))))</f>
        <v>A</v>
      </c>
      <c r="K22" s="112">
        <f>IFERROR(VLOOKUP($I$5,'TABULATION SCI'!$A$6:$BR$53,7,0),"")</f>
        <v>20</v>
      </c>
    </row>
    <row r="23" spans="1:14" ht="30" customHeight="1">
      <c r="A23" s="94" t="s">
        <v>29</v>
      </c>
      <c r="B23" s="94"/>
      <c r="C23" s="94"/>
      <c r="D23" s="19">
        <f>IFERROR(VLOOKUP($I$5,'TABULATION SCI'!$A$6:$BR$57,26,0),"")</f>
        <v>21</v>
      </c>
      <c r="E23" s="19">
        <f>IFERROR(VLOOKUP($I$5,'TABULATION SCI'!$A$6:$BR$57,25,0),"")</f>
        <v>59</v>
      </c>
      <c r="F23" s="90"/>
      <c r="G23" s="19">
        <f>IFERROR(VLOOKUP($I$5,'TABULATION SCI'!$A$6:$BR$57,27,0),"")</f>
        <v>80</v>
      </c>
      <c r="H23" s="19">
        <f>'TABULATION SCI'!AB8</f>
        <v>91</v>
      </c>
      <c r="I23" s="19">
        <f>IFERROR(VLOOKUP($I$5,'TABULATION SCI'!$A$6:$BR$57,29,0),"")</f>
        <v>5</v>
      </c>
      <c r="J23" s="19" t="str">
        <f t="shared" si="0"/>
        <v>A+</v>
      </c>
      <c r="K23" s="112">
        <f>IFERROR(VLOOKUP($I$5,'TABULATION SCI'!$A$6:$BR$53,7,0),"")</f>
        <v>20</v>
      </c>
    </row>
    <row r="24" spans="1:14" ht="30" customHeight="1">
      <c r="A24" s="94" t="s">
        <v>5</v>
      </c>
      <c r="B24" s="94"/>
      <c r="C24" s="94"/>
      <c r="D24" s="19">
        <f>IFERROR(VLOOKUP($I$5,'TABULATION SCI'!$A$6:$BR$57,30,0),"")</f>
        <v>18</v>
      </c>
      <c r="E24" s="19"/>
      <c r="F24" s="19">
        <f>IFERROR(VLOOKUP($I$5,'TABULATION SCI'!$A$6:$BR$53,31,0),"")</f>
        <v>20</v>
      </c>
      <c r="G24" s="19">
        <f>IFERROR(VLOOKUP($I$5,'TABULATION SCI'!$A$6:$BR$57,32,0),"")</f>
        <v>38</v>
      </c>
      <c r="H24" s="19">
        <f>'TABULATION SCI'!AG9</f>
        <v>48</v>
      </c>
      <c r="I24" s="19">
        <f>IFERROR(VLOOKUP($I$5,'TABULATION SCI'!$A$6:$BR$57,34,0),"")</f>
        <v>4</v>
      </c>
      <c r="J24" s="19" t="str">
        <f t="shared" si="0"/>
        <v>A</v>
      </c>
      <c r="K24" s="112">
        <f>IFERROR(VLOOKUP($I$5,'TABULATION SCI'!$A$6:$BR$53,7,0),"")</f>
        <v>20</v>
      </c>
    </row>
    <row r="25" spans="1:14" ht="30" customHeight="1">
      <c r="A25" s="94" t="s">
        <v>44</v>
      </c>
      <c r="B25" s="94"/>
      <c r="C25" s="94"/>
      <c r="D25" s="19">
        <f>IFERROR(VLOOKUP($I$5,'TABULATION SCI'!$A$6:$BR$57,36,0),"")</f>
        <v>23</v>
      </c>
      <c r="E25" s="19">
        <f>IFERROR(VLOOKUP($I$5,'TABULATION SCI'!$A$6:$BR$57,35,0),"")</f>
        <v>58</v>
      </c>
      <c r="F25" s="22"/>
      <c r="G25" s="19">
        <f>IFERROR(VLOOKUP($I$5,'TABULATION SCI'!$A$6:$BR$57,37,0),"")</f>
        <v>81</v>
      </c>
      <c r="H25" s="19">
        <f>'TABULATION SCI'!AL8</f>
        <v>87</v>
      </c>
      <c r="I25" s="19">
        <f>IFERROR(VLOOKUP($I$5,'TABULATION SCI'!$A$6:$BR$57,39,0),"")</f>
        <v>5</v>
      </c>
      <c r="J25" s="19" t="str">
        <f t="shared" si="0"/>
        <v>A+</v>
      </c>
      <c r="K25" s="112">
        <f>IFERROR(VLOOKUP($I$5,'TABULATION SCI'!$A$6:$BR$53,7,0),"")</f>
        <v>20</v>
      </c>
    </row>
    <row r="26" spans="1:14" ht="30" customHeight="1">
      <c r="A26" s="94" t="s">
        <v>38</v>
      </c>
      <c r="B26" s="94"/>
      <c r="C26" s="94"/>
      <c r="D26" s="19">
        <f>IFERROR(VLOOKUP($I$5,'TABULATION SCI'!$A$6:$BR$57,41,0),"")</f>
        <v>10</v>
      </c>
      <c r="E26" s="19">
        <f>IFERROR(VLOOKUP($I$5,'TABULATION SCI'!$A$6:$BR$57,40,0),"")</f>
        <v>32</v>
      </c>
      <c r="F26" s="19">
        <f>IFERROR(VLOOKUP($I$5,'TABULATION SCI'!$A$6:$BR$53,42,0),"")</f>
        <v>24</v>
      </c>
      <c r="G26" s="19">
        <f>IFERROR(VLOOKUP($I$5,'TABULATION SCI'!$A$6:$BR$57,43,0),"")</f>
        <v>66</v>
      </c>
      <c r="H26" s="19">
        <f>'TABULATION SCI'!AR8</f>
        <v>75</v>
      </c>
      <c r="I26" s="19">
        <f>IFERROR(VLOOKUP($I$5,'TABULATION SCI'!$A$6:$BR$57,45,0),"")</f>
        <v>3.5</v>
      </c>
      <c r="J26" s="19" t="str">
        <f t="shared" si="0"/>
        <v>A-</v>
      </c>
      <c r="K26" s="112">
        <f>IFERROR(VLOOKUP($I$5,'TABULATION SCI'!$A$6:$BR$53,7,0),"")</f>
        <v>20</v>
      </c>
    </row>
    <row r="27" spans="1:14" ht="30" customHeight="1">
      <c r="A27" s="94" t="s">
        <v>39</v>
      </c>
      <c r="B27" s="94"/>
      <c r="C27" s="94"/>
      <c r="D27" s="19">
        <f>IFERROR(VLOOKUP($I$5,'TABULATION SCI'!$A$6:$BR$57,47,0),"")</f>
        <v>16</v>
      </c>
      <c r="E27" s="19">
        <f>IFERROR(VLOOKUP($I$5,'TABULATION SCI'!$A$6:$BR$57,46,0),"")</f>
        <v>40</v>
      </c>
      <c r="F27" s="19">
        <f>IFERROR(VLOOKUP($I$5,'TABULATION SCI'!$A$6:$BR$53,48,0),"")</f>
        <v>24</v>
      </c>
      <c r="G27" s="19">
        <f>IFERROR(VLOOKUP($I$5,'TABULATION SCI'!$A$6:$BR$57,49,0),"")</f>
        <v>80</v>
      </c>
      <c r="H27" s="19">
        <f>'TABULATION SCI'!AX8</f>
        <v>81</v>
      </c>
      <c r="I27" s="19">
        <f>IFERROR(VLOOKUP($I$5,'TABULATION SCI'!$A$6:$BR$57,51,0),"")</f>
        <v>5</v>
      </c>
      <c r="J27" s="19" t="str">
        <f t="shared" si="0"/>
        <v>A+</v>
      </c>
      <c r="K27" s="112">
        <f>IFERROR(VLOOKUP($I$5,'TABULATION SCI'!$A$6:$BR$53,7,0),"")</f>
        <v>20</v>
      </c>
    </row>
    <row r="28" spans="1:14" ht="30" customHeight="1">
      <c r="A28" s="94" t="s">
        <v>45</v>
      </c>
      <c r="B28" s="94"/>
      <c r="C28" s="94"/>
      <c r="D28" s="19">
        <f>IFERROR(VLOOKUP($I$5,'TABULATION SCI'!$A$6:$BR$57,53,0),"")</f>
        <v>14</v>
      </c>
      <c r="E28" s="19">
        <f>IFERROR(VLOOKUP($I$5,'TABULATION SCI'!$A$6:$BR$57,52,0),"")</f>
        <v>43</v>
      </c>
      <c r="F28" s="19">
        <f>IFERROR(VLOOKUP($I$5,'TABULATION SCI'!$A$6:$BR$53,54,0),"")</f>
        <v>23</v>
      </c>
      <c r="G28" s="19">
        <f>IFERROR(VLOOKUP($I$5,'TABULATION SCI'!$A$6:$BR$57,55,0),"")</f>
        <v>80</v>
      </c>
      <c r="H28" s="19">
        <f>'TABULATION SCI'!BD8</f>
        <v>88</v>
      </c>
      <c r="I28" s="19">
        <f>IFERROR(VLOOKUP($I$5,'TABULATION SCI'!$A$6:$BR$57,57,0),"")</f>
        <v>5</v>
      </c>
      <c r="J28" s="19" t="str">
        <f t="shared" si="0"/>
        <v>A+</v>
      </c>
      <c r="K28" s="112">
        <f>IFERROR(VLOOKUP($I$5,'TABULATION SCI'!$A$6:$BR$53,7,0),"")</f>
        <v>20</v>
      </c>
    </row>
    <row r="29" spans="1:14" ht="30" customHeight="1">
      <c r="A29" s="103" t="s">
        <v>30</v>
      </c>
      <c r="B29" s="104"/>
      <c r="C29" s="104"/>
      <c r="D29" s="104"/>
      <c r="E29" s="104"/>
      <c r="F29" s="104"/>
      <c r="G29" s="104"/>
      <c r="H29" s="105"/>
      <c r="I29" s="92" t="s">
        <v>32</v>
      </c>
      <c r="J29" s="93"/>
      <c r="K29" s="112">
        <f>IFERROR(VLOOKUP($I$5,'TABULATION SCI'!$A$6:$BR$53,7,0),"")</f>
        <v>20</v>
      </c>
    </row>
    <row r="30" spans="1:14" ht="30" customHeight="1">
      <c r="A30" s="94" t="s">
        <v>46</v>
      </c>
      <c r="B30" s="94"/>
      <c r="C30" s="94"/>
      <c r="D30" s="19">
        <f>IFERROR(VLOOKUP($I$5,'TABULATION SCI'!$A$6:$BR$57,59,0),"")</f>
        <v>17</v>
      </c>
      <c r="E30" s="19">
        <f>IFERROR(VLOOKUP($I$5,'TABULATION SCI'!$A$6:$BR$57,58,0),"")</f>
        <v>33</v>
      </c>
      <c r="F30" s="19">
        <f>IFERROR(VLOOKUP($I$5,'TABULATION SCI'!$A$6:$BR$53,60,0),"")</f>
        <v>24</v>
      </c>
      <c r="G30" s="19">
        <f>IFERROR(VLOOKUP($I$5,'TABULATION SCI'!$A$6:$BR$57,61,0),"")</f>
        <v>74</v>
      </c>
      <c r="H30" s="20">
        <f>'TABULATION SCI'!BJ8</f>
        <v>82</v>
      </c>
      <c r="I30" s="20">
        <f>IFERROR(VLOOKUP($I$5,'TABULATION SCI'!$A$6:$BR$57,64,0),"")</f>
        <v>4</v>
      </c>
      <c r="J30" s="20" t="str">
        <f>IF(I30="F","F",IF(I30&lt;1,"F",IF(I30&lt;2,"D",IF(I30&lt;3,"C",IF(I30&lt;3.5,"B",IF(I30&lt;4,"A-",IF(I30&lt;5,"A","A+")))))))</f>
        <v>A</v>
      </c>
      <c r="K30" s="112">
        <f>IFERROR(VLOOKUP($I$5,'TABULATION SCI'!$A$6:$BR$53,7,0),"")</f>
        <v>20</v>
      </c>
    </row>
    <row r="31" spans="1:14" ht="30" customHeight="1">
      <c r="A31" s="95" t="s">
        <v>31</v>
      </c>
      <c r="B31" s="96"/>
      <c r="C31" s="97"/>
      <c r="D31" s="23"/>
      <c r="E31" s="23"/>
      <c r="F31" s="23"/>
      <c r="G31" s="19">
        <f>G18+G20+G22+G23+G24+G25+G26+G27+G28+G30</f>
        <v>831</v>
      </c>
      <c r="H31" s="107"/>
      <c r="I31" s="108"/>
      <c r="J31" s="109"/>
      <c r="K31" s="112">
        <f>IFERROR(VLOOKUP($I$5,'TABULATION SCI'!$A$6:$BR$53,7,0),"")</f>
        <v>20</v>
      </c>
    </row>
    <row r="32" spans="1:14" ht="17.25" customHeight="1">
      <c r="A32" s="24"/>
      <c r="B32" s="25"/>
      <c r="C32" s="25"/>
      <c r="D32" s="25"/>
      <c r="E32" s="25"/>
      <c r="F32" s="25"/>
      <c r="G32" s="25"/>
      <c r="H32" s="25"/>
      <c r="I32" s="29"/>
      <c r="J32" s="29"/>
      <c r="K32" s="26"/>
    </row>
    <row r="33" spans="1:11" ht="16.5" customHeight="1">
      <c r="A33" s="98" t="s">
        <v>60</v>
      </c>
      <c r="B33" s="99"/>
      <c r="C33" s="99"/>
      <c r="D33" s="106" t="str">
        <f>IFERROR(VLOOKUP($I$5,'TABULATION SCI'!$A$6:$BR$57,67,0),"")</f>
        <v>BETTER</v>
      </c>
      <c r="E33" s="106"/>
      <c r="F33" s="106"/>
      <c r="G33" s="106"/>
      <c r="H33" s="30"/>
      <c r="I33" s="30"/>
      <c r="J33" s="30"/>
      <c r="K33" s="27"/>
    </row>
    <row r="34" spans="1:11" ht="21" customHeight="1">
      <c r="A34" s="100" t="s">
        <v>61</v>
      </c>
      <c r="B34" s="101"/>
      <c r="C34" s="101"/>
      <c r="D34" s="102">
        <f>IFERROR(VLOOKUP($I$5,'TABULATION SCI'!$A$6:$BR$57,69,0),"")</f>
        <v>1</v>
      </c>
      <c r="E34" s="102">
        <f>IFERROR(VLOOKUP($I$5,'TABULATION SCI'!$A$6:$BR$53,7,0),"")</f>
        <v>20</v>
      </c>
      <c r="F34" s="30"/>
      <c r="G34" s="30"/>
      <c r="H34" s="30"/>
      <c r="I34" s="30"/>
      <c r="J34" s="30"/>
      <c r="K34" s="27"/>
    </row>
    <row r="35" spans="1:11" ht="18" customHeight="1">
      <c r="A35" s="28"/>
      <c r="B35" s="30"/>
      <c r="C35" s="30"/>
      <c r="D35" s="30"/>
      <c r="E35" s="30"/>
      <c r="F35" s="30"/>
      <c r="G35" s="30"/>
      <c r="H35" s="30"/>
      <c r="I35" s="30"/>
      <c r="J35" s="30"/>
      <c r="K35" s="27"/>
    </row>
    <row r="36" spans="1:11">
      <c r="A36" s="28"/>
      <c r="B36" s="30"/>
      <c r="C36" s="30"/>
      <c r="D36" s="30"/>
      <c r="E36" s="30"/>
      <c r="F36" s="30"/>
      <c r="G36" s="30"/>
      <c r="H36" s="30"/>
      <c r="I36" s="30"/>
      <c r="J36" s="30"/>
      <c r="K36" s="27"/>
    </row>
    <row r="37" spans="1:11">
      <c r="A37" s="28"/>
      <c r="B37" s="31" t="s">
        <v>59</v>
      </c>
      <c r="C37" s="30"/>
      <c r="D37" s="30"/>
      <c r="E37" s="31"/>
      <c r="F37" s="31" t="s">
        <v>69</v>
      </c>
      <c r="G37" s="30"/>
      <c r="H37" s="30"/>
      <c r="I37" s="31"/>
      <c r="J37" s="31" t="s">
        <v>65</v>
      </c>
      <c r="K37" s="27"/>
    </row>
    <row r="38" spans="1:11">
      <c r="A38" s="32"/>
      <c r="B38" s="33"/>
      <c r="C38" s="34"/>
      <c r="D38" s="34"/>
      <c r="E38" s="34"/>
      <c r="F38" s="34"/>
      <c r="G38" s="34"/>
      <c r="H38" s="91"/>
      <c r="I38" s="91"/>
      <c r="J38" s="35"/>
      <c r="K38" s="36"/>
    </row>
  </sheetData>
  <mergeCells count="62">
    <mergeCell ref="A6:B6"/>
    <mergeCell ref="C6:E6"/>
    <mergeCell ref="I6:K6"/>
    <mergeCell ref="A1:K4"/>
    <mergeCell ref="A5:B5"/>
    <mergeCell ref="C5:E5"/>
    <mergeCell ref="I5:K5"/>
    <mergeCell ref="F5:H5"/>
    <mergeCell ref="F6:H6"/>
    <mergeCell ref="A7:B7"/>
    <mergeCell ref="C7:E7"/>
    <mergeCell ref="I7:K7"/>
    <mergeCell ref="A8:B8"/>
    <mergeCell ref="C8:E8"/>
    <mergeCell ref="F8:H8"/>
    <mergeCell ref="I8:K8"/>
    <mergeCell ref="F7:H7"/>
    <mergeCell ref="A9:B9"/>
    <mergeCell ref="C9:E9"/>
    <mergeCell ref="I9:K9"/>
    <mergeCell ref="A10:C17"/>
    <mergeCell ref="D10:D17"/>
    <mergeCell ref="G10:G17"/>
    <mergeCell ref="H10:H17"/>
    <mergeCell ref="I10:I17"/>
    <mergeCell ref="E10:E17"/>
    <mergeCell ref="F10:F17"/>
    <mergeCell ref="F9:H9"/>
    <mergeCell ref="A24:C24"/>
    <mergeCell ref="K10:K17"/>
    <mergeCell ref="A18:C18"/>
    <mergeCell ref="H18:H19"/>
    <mergeCell ref="I18:I19"/>
    <mergeCell ref="K18:K31"/>
    <mergeCell ref="A19:C19"/>
    <mergeCell ref="A20:C20"/>
    <mergeCell ref="H20:H21"/>
    <mergeCell ref="I20:I21"/>
    <mergeCell ref="A21:C21"/>
    <mergeCell ref="A22:C22"/>
    <mergeCell ref="A23:C23"/>
    <mergeCell ref="D20:D21"/>
    <mergeCell ref="J10:J17"/>
    <mergeCell ref="J18:J19"/>
    <mergeCell ref="A25:C25"/>
    <mergeCell ref="A31:C31"/>
    <mergeCell ref="A33:C33"/>
    <mergeCell ref="A34:C34"/>
    <mergeCell ref="D34:E34"/>
    <mergeCell ref="A26:C26"/>
    <mergeCell ref="A27:C27"/>
    <mergeCell ref="A28:C28"/>
    <mergeCell ref="A29:H29"/>
    <mergeCell ref="A30:C30"/>
    <mergeCell ref="D33:G33"/>
    <mergeCell ref="H31:J31"/>
    <mergeCell ref="J20:J21"/>
    <mergeCell ref="G18:G19"/>
    <mergeCell ref="G20:G21"/>
    <mergeCell ref="F18:F23"/>
    <mergeCell ref="H38:I38"/>
    <mergeCell ref="I29:J29"/>
  </mergeCells>
  <phoneticPr fontId="5" type="noConversion"/>
  <pageMargins left="0.19685039370078741" right="0.19685039370078741" top="0.19685039370078741" bottom="0.19685039370078741" header="0.19685039370078741" footer="0.19685039370078741"/>
  <pageSetup paperSize="9" scale="95" fitToHeight="0" orientation="portrait" r:id="rId1"/>
  <ignoredErrors>
    <ignoredError sqref="G31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TABULATION SCI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2025-12-28T05:36:18Z</cp:lastPrinted>
  <dcterms:created xsi:type="dcterms:W3CDTF">2020-11-16T04:30:11Z</dcterms:created>
  <dcterms:modified xsi:type="dcterms:W3CDTF">2025-12-28T05:36:21Z</dcterms:modified>
</cp:coreProperties>
</file>