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L11" i="4"/>
  <c r="BL12"/>
  <c r="BL13"/>
  <c r="BO13" s="1"/>
  <c r="BL14"/>
  <c r="BL15"/>
  <c r="BO15" s="1"/>
  <c r="BL16"/>
  <c r="BO16" s="1"/>
  <c r="BL17"/>
  <c r="BO17" s="1"/>
  <c r="BL18"/>
  <c r="BO18" s="1"/>
  <c r="BL19"/>
  <c r="BO19" s="1"/>
  <c r="BL20"/>
  <c r="BL21"/>
  <c r="BO21" s="1"/>
  <c r="BL22"/>
  <c r="BL23"/>
  <c r="BL24"/>
  <c r="BL25"/>
  <c r="BO25" s="1"/>
  <c r="BL26"/>
  <c r="BQ26" s="1"/>
  <c r="BL27"/>
  <c r="BO27" s="1"/>
  <c r="BL28"/>
  <c r="BO28" s="1"/>
  <c r="BL29"/>
  <c r="BO29" s="1"/>
  <c r="BL30"/>
  <c r="BO30" s="1"/>
  <c r="BL31"/>
  <c r="BO31" s="1"/>
  <c r="BL32"/>
  <c r="BL33"/>
  <c r="BO33" s="1"/>
  <c r="BL34"/>
  <c r="BL35"/>
  <c r="BL36"/>
  <c r="BL37"/>
  <c r="BO37" s="1"/>
  <c r="BL38"/>
  <c r="BL39"/>
  <c r="BO39" s="1"/>
  <c r="BL40"/>
  <c r="BO40" s="1"/>
  <c r="BL41"/>
  <c r="BO41" s="1"/>
  <c r="BL42"/>
  <c r="BO42" s="1"/>
  <c r="BL43"/>
  <c r="BO43" s="1"/>
  <c r="BL44"/>
  <c r="BL45"/>
  <c r="BO45" s="1"/>
  <c r="BL46"/>
  <c r="BL47"/>
  <c r="BL48"/>
  <c r="BL49"/>
  <c r="BO49" s="1"/>
  <c r="BE11"/>
  <c r="BG11" s="1"/>
  <c r="BI11" s="1"/>
  <c r="BE12"/>
  <c r="BE13"/>
  <c r="BG13" s="1"/>
  <c r="BI13" s="1"/>
  <c r="BE14"/>
  <c r="BG14" s="1"/>
  <c r="BI14" s="1"/>
  <c r="BE15"/>
  <c r="BG15" s="1"/>
  <c r="BI15" s="1"/>
  <c r="BE16"/>
  <c r="BE17"/>
  <c r="BG17" s="1"/>
  <c r="BI17" s="1"/>
  <c r="BE18"/>
  <c r="BG18" s="1"/>
  <c r="BI18" s="1"/>
  <c r="BE19"/>
  <c r="BG19" s="1"/>
  <c r="BI19" s="1"/>
  <c r="BE20"/>
  <c r="BE21"/>
  <c r="BG21" s="1"/>
  <c r="BI21" s="1"/>
  <c r="BE22"/>
  <c r="BG22" s="1"/>
  <c r="BI22" s="1"/>
  <c r="BE23"/>
  <c r="BG23" s="1"/>
  <c r="BI23" s="1"/>
  <c r="BE24"/>
  <c r="BE25"/>
  <c r="BG25" s="1"/>
  <c r="BI25" s="1"/>
  <c r="BE26"/>
  <c r="BG26" s="1"/>
  <c r="BI26" s="1"/>
  <c r="BE27"/>
  <c r="BG27" s="1"/>
  <c r="BI27" s="1"/>
  <c r="BE28"/>
  <c r="BE29"/>
  <c r="BG29" s="1"/>
  <c r="BI29" s="1"/>
  <c r="BE30"/>
  <c r="BG30" s="1"/>
  <c r="BI30" s="1"/>
  <c r="BE31"/>
  <c r="BG31" s="1"/>
  <c r="BI31" s="1"/>
  <c r="BE32"/>
  <c r="BE33"/>
  <c r="BG33" s="1"/>
  <c r="BI33" s="1"/>
  <c r="BE34"/>
  <c r="BG34" s="1"/>
  <c r="BI34" s="1"/>
  <c r="BE35"/>
  <c r="BG35" s="1"/>
  <c r="BI35" s="1"/>
  <c r="BE36"/>
  <c r="BE37"/>
  <c r="BG37" s="1"/>
  <c r="BI37" s="1"/>
  <c r="BE38"/>
  <c r="BG38" s="1"/>
  <c r="BI38" s="1"/>
  <c r="BE39"/>
  <c r="BG39" s="1"/>
  <c r="BI39" s="1"/>
  <c r="BE40"/>
  <c r="BG40" s="1"/>
  <c r="BI40" s="1"/>
  <c r="BE41"/>
  <c r="BG41" s="1"/>
  <c r="BI41" s="1"/>
  <c r="BE42"/>
  <c r="BG42" s="1"/>
  <c r="BI42" s="1"/>
  <c r="BE43"/>
  <c r="BG43" s="1"/>
  <c r="BI43" s="1"/>
  <c r="BE44"/>
  <c r="BE45"/>
  <c r="BG45" s="1"/>
  <c r="BI45" s="1"/>
  <c r="BE46"/>
  <c r="BG46" s="1"/>
  <c r="BI46" s="1"/>
  <c r="BE47"/>
  <c r="BG47" s="1"/>
  <c r="BI47" s="1"/>
  <c r="BE48"/>
  <c r="BE49"/>
  <c r="BG49" s="1"/>
  <c r="BI49" s="1"/>
  <c r="AX11"/>
  <c r="AZ11" s="1"/>
  <c r="BB11" s="1"/>
  <c r="AX12"/>
  <c r="AZ12" s="1"/>
  <c r="BB12" s="1"/>
  <c r="AX13"/>
  <c r="AX14"/>
  <c r="AZ14" s="1"/>
  <c r="BB14" s="1"/>
  <c r="AX15"/>
  <c r="AZ15" s="1"/>
  <c r="BB15" s="1"/>
  <c r="AX16"/>
  <c r="AZ16" s="1"/>
  <c r="BB16" s="1"/>
  <c r="AX17"/>
  <c r="AX18"/>
  <c r="AZ18" s="1"/>
  <c r="BB18" s="1"/>
  <c r="AX19"/>
  <c r="AZ19" s="1"/>
  <c r="BB19" s="1"/>
  <c r="AX20"/>
  <c r="AZ20" s="1"/>
  <c r="BB20" s="1"/>
  <c r="AX21"/>
  <c r="AX22"/>
  <c r="AZ22" s="1"/>
  <c r="BB22" s="1"/>
  <c r="AX23"/>
  <c r="AZ23" s="1"/>
  <c r="BB23" s="1"/>
  <c r="AX24"/>
  <c r="AZ24" s="1"/>
  <c r="BB24" s="1"/>
  <c r="AX25"/>
  <c r="AZ25" s="1"/>
  <c r="BB25" s="1"/>
  <c r="AX26"/>
  <c r="AZ26" s="1"/>
  <c r="BB26" s="1"/>
  <c r="AX27"/>
  <c r="AZ27" s="1"/>
  <c r="BB27" s="1"/>
  <c r="AX28"/>
  <c r="AZ28" s="1"/>
  <c r="BB28" s="1"/>
  <c r="AX29"/>
  <c r="AX30"/>
  <c r="AZ30" s="1"/>
  <c r="BB30" s="1"/>
  <c r="AX31"/>
  <c r="AZ31" s="1"/>
  <c r="BB31" s="1"/>
  <c r="AX32"/>
  <c r="AZ32" s="1"/>
  <c r="BB32" s="1"/>
  <c r="AX33"/>
  <c r="AX34"/>
  <c r="AZ34" s="1"/>
  <c r="BB34" s="1"/>
  <c r="AX35"/>
  <c r="AZ35" s="1"/>
  <c r="BB35" s="1"/>
  <c r="AX36"/>
  <c r="AZ36" s="1"/>
  <c r="BB36" s="1"/>
  <c r="AX37"/>
  <c r="AX38"/>
  <c r="AZ38" s="1"/>
  <c r="BB38" s="1"/>
  <c r="AX39"/>
  <c r="AZ39" s="1"/>
  <c r="BB39" s="1"/>
  <c r="AX40"/>
  <c r="AZ40" s="1"/>
  <c r="BB40" s="1"/>
  <c r="AX41"/>
  <c r="AZ41" s="1"/>
  <c r="BB41" s="1"/>
  <c r="AX42"/>
  <c r="AZ42" s="1"/>
  <c r="BB42" s="1"/>
  <c r="AX43"/>
  <c r="AZ43" s="1"/>
  <c r="BB43" s="1"/>
  <c r="AX44"/>
  <c r="AZ44" s="1"/>
  <c r="BB44" s="1"/>
  <c r="AX45"/>
  <c r="AX46"/>
  <c r="AZ46" s="1"/>
  <c r="BB46" s="1"/>
  <c r="AX47"/>
  <c r="AZ47" s="1"/>
  <c r="BB47" s="1"/>
  <c r="AX48"/>
  <c r="AZ48" s="1"/>
  <c r="BB48" s="1"/>
  <c r="AX49"/>
  <c r="AZ49" s="1"/>
  <c r="BB49" s="1"/>
  <c r="AX10"/>
  <c r="AS11"/>
  <c r="AU11" s="1"/>
  <c r="AS12"/>
  <c r="AU12" s="1"/>
  <c r="AS13"/>
  <c r="AU13" s="1"/>
  <c r="AS14"/>
  <c r="AU14" s="1"/>
  <c r="AS15"/>
  <c r="AU15" s="1"/>
  <c r="AS16"/>
  <c r="AU16" s="1"/>
  <c r="AS17"/>
  <c r="AU17" s="1"/>
  <c r="AS18"/>
  <c r="AU18" s="1"/>
  <c r="AS19"/>
  <c r="AU19" s="1"/>
  <c r="AS20"/>
  <c r="AU20" s="1"/>
  <c r="AS21"/>
  <c r="AU21" s="1"/>
  <c r="AS22"/>
  <c r="AU22" s="1"/>
  <c r="AS23"/>
  <c r="AU23" s="1"/>
  <c r="AS24"/>
  <c r="AU24" s="1"/>
  <c r="AS25"/>
  <c r="AU25" s="1"/>
  <c r="AS26"/>
  <c r="AU26" s="1"/>
  <c r="AS27"/>
  <c r="AU27" s="1"/>
  <c r="AS28"/>
  <c r="AU28" s="1"/>
  <c r="AS29"/>
  <c r="AU29" s="1"/>
  <c r="AS30"/>
  <c r="AU30" s="1"/>
  <c r="AS31"/>
  <c r="AU31" s="1"/>
  <c r="AS32"/>
  <c r="AU32" s="1"/>
  <c r="AS33"/>
  <c r="AU33" s="1"/>
  <c r="AS34"/>
  <c r="AU34" s="1"/>
  <c r="AS35"/>
  <c r="AU35" s="1"/>
  <c r="AS36"/>
  <c r="AU36" s="1"/>
  <c r="AS37"/>
  <c r="AU37" s="1"/>
  <c r="AS38"/>
  <c r="AU38" s="1"/>
  <c r="AS39"/>
  <c r="AU39" s="1"/>
  <c r="AS40"/>
  <c r="AU40" s="1"/>
  <c r="AS41"/>
  <c r="AU41" s="1"/>
  <c r="AS42"/>
  <c r="AU42" s="1"/>
  <c r="AS43"/>
  <c r="AU43" s="1"/>
  <c r="AS44"/>
  <c r="AU44" s="1"/>
  <c r="AS45"/>
  <c r="AU45" s="1"/>
  <c r="AS46"/>
  <c r="AU46" s="1"/>
  <c r="AS47"/>
  <c r="AU47" s="1"/>
  <c r="AS48"/>
  <c r="AU48" s="1"/>
  <c r="AS49"/>
  <c r="AU49" s="1"/>
  <c r="AK11"/>
  <c r="AM11" s="1"/>
  <c r="AO11" s="1"/>
  <c r="AK12"/>
  <c r="AM12" s="1"/>
  <c r="AO12" s="1"/>
  <c r="AK13"/>
  <c r="AM13" s="1"/>
  <c r="AO13" s="1"/>
  <c r="AK14"/>
  <c r="AK15"/>
  <c r="AM15" s="1"/>
  <c r="AO15" s="1"/>
  <c r="AK16"/>
  <c r="AM16" s="1"/>
  <c r="AO16" s="1"/>
  <c r="AK17"/>
  <c r="AK18"/>
  <c r="AK19"/>
  <c r="AM19" s="1"/>
  <c r="AO19" s="1"/>
  <c r="AK20"/>
  <c r="AM20" s="1"/>
  <c r="AO20" s="1"/>
  <c r="AK21"/>
  <c r="AK22"/>
  <c r="AK23"/>
  <c r="AM23" s="1"/>
  <c r="AO23" s="1"/>
  <c r="AK24"/>
  <c r="AM24" s="1"/>
  <c r="AO24" s="1"/>
  <c r="AK25"/>
  <c r="AK26"/>
  <c r="AK27"/>
  <c r="AM27" s="1"/>
  <c r="AO27" s="1"/>
  <c r="AK28"/>
  <c r="AM28" s="1"/>
  <c r="AO28" s="1"/>
  <c r="AK29"/>
  <c r="AM29" s="1"/>
  <c r="AO29" s="1"/>
  <c r="AK30"/>
  <c r="AM30" s="1"/>
  <c r="AO30" s="1"/>
  <c r="AK31"/>
  <c r="AM31" s="1"/>
  <c r="AO31" s="1"/>
  <c r="AK32"/>
  <c r="AM32" s="1"/>
  <c r="AO32" s="1"/>
  <c r="AK33"/>
  <c r="AM33" s="1"/>
  <c r="AO33" s="1"/>
  <c r="AK34"/>
  <c r="AK35"/>
  <c r="AM35" s="1"/>
  <c r="AO35" s="1"/>
  <c r="AK36"/>
  <c r="AM36" s="1"/>
  <c r="AO36" s="1"/>
  <c r="AK37"/>
  <c r="AM37" s="1"/>
  <c r="AO37" s="1"/>
  <c r="AK38"/>
  <c r="AK39"/>
  <c r="AM39" s="1"/>
  <c r="AO39" s="1"/>
  <c r="AK40"/>
  <c r="AM40" s="1"/>
  <c r="AO40" s="1"/>
  <c r="AK41"/>
  <c r="AM41" s="1"/>
  <c r="AO41" s="1"/>
  <c r="AK42"/>
  <c r="AK43"/>
  <c r="AM43" s="1"/>
  <c r="AO43" s="1"/>
  <c r="AK44"/>
  <c r="AM44" s="1"/>
  <c r="AO44" s="1"/>
  <c r="AK45"/>
  <c r="AK46"/>
  <c r="AK47"/>
  <c r="AM47" s="1"/>
  <c r="AO47" s="1"/>
  <c r="AK48"/>
  <c r="AM48" s="1"/>
  <c r="AO48" s="1"/>
  <c r="AK49"/>
  <c r="AD11"/>
  <c r="AF11" s="1"/>
  <c r="AH11" s="1"/>
  <c r="AD12"/>
  <c r="AF12" s="1"/>
  <c r="AH12" s="1"/>
  <c r="AD13"/>
  <c r="AF13" s="1"/>
  <c r="AH13" s="1"/>
  <c r="AD14"/>
  <c r="AF14" s="1"/>
  <c r="AH14" s="1"/>
  <c r="AD15"/>
  <c r="AF15" s="1"/>
  <c r="AH15" s="1"/>
  <c r="AD16"/>
  <c r="AF16" s="1"/>
  <c r="AH16" s="1"/>
  <c r="AD17"/>
  <c r="AF17" s="1"/>
  <c r="AH17" s="1"/>
  <c r="AD18"/>
  <c r="AF18" s="1"/>
  <c r="AH18" s="1"/>
  <c r="AD19"/>
  <c r="AF19" s="1"/>
  <c r="AH19" s="1"/>
  <c r="AD20"/>
  <c r="AF20" s="1"/>
  <c r="AH20" s="1"/>
  <c r="AD21"/>
  <c r="AF21" s="1"/>
  <c r="AH21" s="1"/>
  <c r="AD22"/>
  <c r="AF22" s="1"/>
  <c r="AH22" s="1"/>
  <c r="AD23"/>
  <c r="AF23" s="1"/>
  <c r="AH23" s="1"/>
  <c r="AD24"/>
  <c r="AF24" s="1"/>
  <c r="AH24" s="1"/>
  <c r="AD25"/>
  <c r="AF25" s="1"/>
  <c r="AH25" s="1"/>
  <c r="AD26"/>
  <c r="AF26" s="1"/>
  <c r="AH26" s="1"/>
  <c r="AD27"/>
  <c r="AF27" s="1"/>
  <c r="AH27" s="1"/>
  <c r="AD28"/>
  <c r="AD29"/>
  <c r="AF29" s="1"/>
  <c r="AD30"/>
  <c r="AF30" s="1"/>
  <c r="AH30" s="1"/>
  <c r="AD31"/>
  <c r="AF31" s="1"/>
  <c r="AH31" s="1"/>
  <c r="AD32"/>
  <c r="AD33"/>
  <c r="AF33" s="1"/>
  <c r="AH33" s="1"/>
  <c r="AD34"/>
  <c r="AF34" s="1"/>
  <c r="AH34" s="1"/>
  <c r="AD35"/>
  <c r="AF35" s="1"/>
  <c r="AH35" s="1"/>
  <c r="AD36"/>
  <c r="AF36" s="1"/>
  <c r="AH36" s="1"/>
  <c r="AD37"/>
  <c r="AF37" s="1"/>
  <c r="AH37" s="1"/>
  <c r="AD38"/>
  <c r="AF38" s="1"/>
  <c r="AH38" s="1"/>
  <c r="AD39"/>
  <c r="AF39" s="1"/>
  <c r="AH39" s="1"/>
  <c r="AD40"/>
  <c r="AF40" s="1"/>
  <c r="AH40" s="1"/>
  <c r="AD41"/>
  <c r="AF41" s="1"/>
  <c r="AH41" s="1"/>
  <c r="AD42"/>
  <c r="AF42" s="1"/>
  <c r="AH42" s="1"/>
  <c r="AD43"/>
  <c r="AF43" s="1"/>
  <c r="AH43" s="1"/>
  <c r="AD44"/>
  <c r="AD45"/>
  <c r="AF45" s="1"/>
  <c r="AH45" s="1"/>
  <c r="AD46"/>
  <c r="AF46" s="1"/>
  <c r="AH46" s="1"/>
  <c r="AD47"/>
  <c r="AF47" s="1"/>
  <c r="AH47" s="1"/>
  <c r="AD48"/>
  <c r="AD49"/>
  <c r="AF49" s="1"/>
  <c r="AH49" s="1"/>
  <c r="U11"/>
  <c r="X11"/>
  <c r="U12"/>
  <c r="X12"/>
  <c r="U13"/>
  <c r="X13"/>
  <c r="U14"/>
  <c r="X14"/>
  <c r="U15"/>
  <c r="Y15" s="1"/>
  <c r="X15"/>
  <c r="U16"/>
  <c r="X16"/>
  <c r="U17"/>
  <c r="X17"/>
  <c r="U18"/>
  <c r="X18"/>
  <c r="U19"/>
  <c r="X19"/>
  <c r="U20"/>
  <c r="X20"/>
  <c r="U21"/>
  <c r="Y21" s="1"/>
  <c r="X21"/>
  <c r="U22"/>
  <c r="X22"/>
  <c r="U23"/>
  <c r="X23"/>
  <c r="U24"/>
  <c r="X24"/>
  <c r="U25"/>
  <c r="X25"/>
  <c r="U26"/>
  <c r="X26"/>
  <c r="U27"/>
  <c r="Y27" s="1"/>
  <c r="X27"/>
  <c r="U28"/>
  <c r="X28"/>
  <c r="U29"/>
  <c r="X29"/>
  <c r="U30"/>
  <c r="X30"/>
  <c r="U31"/>
  <c r="X31"/>
  <c r="U32"/>
  <c r="X32"/>
  <c r="U33"/>
  <c r="Y33" s="1"/>
  <c r="X33"/>
  <c r="U34"/>
  <c r="X34"/>
  <c r="U35"/>
  <c r="X35"/>
  <c r="U36"/>
  <c r="X36"/>
  <c r="U37"/>
  <c r="X37"/>
  <c r="U38"/>
  <c r="X38"/>
  <c r="U39"/>
  <c r="Y39" s="1"/>
  <c r="X39"/>
  <c r="U40"/>
  <c r="X40"/>
  <c r="U41"/>
  <c r="X41"/>
  <c r="U42"/>
  <c r="X42"/>
  <c r="U43"/>
  <c r="X43"/>
  <c r="U44"/>
  <c r="X44"/>
  <c r="U45"/>
  <c r="Y45" s="1"/>
  <c r="X45"/>
  <c r="U46"/>
  <c r="X46"/>
  <c r="U47"/>
  <c r="X47"/>
  <c r="U48"/>
  <c r="X48"/>
  <c r="U49"/>
  <c r="X49"/>
  <c r="N10"/>
  <c r="O10" s="1"/>
  <c r="I10"/>
  <c r="K10" s="1"/>
  <c r="I27"/>
  <c r="K27" s="1"/>
  <c r="N27"/>
  <c r="O27" s="1"/>
  <c r="I28"/>
  <c r="K28" s="1"/>
  <c r="N28"/>
  <c r="O28" s="1"/>
  <c r="I29"/>
  <c r="N29"/>
  <c r="O29" s="1"/>
  <c r="I30"/>
  <c r="K30" s="1"/>
  <c r="N30"/>
  <c r="O30" s="1"/>
  <c r="I31"/>
  <c r="K31" s="1"/>
  <c r="N31"/>
  <c r="O31" s="1"/>
  <c r="I32"/>
  <c r="K32" s="1"/>
  <c r="N32"/>
  <c r="O32" s="1"/>
  <c r="I33"/>
  <c r="N33"/>
  <c r="O33" s="1"/>
  <c r="I34"/>
  <c r="K34" s="1"/>
  <c r="N34"/>
  <c r="O34" s="1"/>
  <c r="I35"/>
  <c r="K35" s="1"/>
  <c r="N35"/>
  <c r="O35" s="1"/>
  <c r="I36"/>
  <c r="K36" s="1"/>
  <c r="N36"/>
  <c r="O36" s="1"/>
  <c r="I37"/>
  <c r="K37" s="1"/>
  <c r="N37"/>
  <c r="O37" s="1"/>
  <c r="I38"/>
  <c r="K38" s="1"/>
  <c r="N38"/>
  <c r="O38" s="1"/>
  <c r="I39"/>
  <c r="K39" s="1"/>
  <c r="N39"/>
  <c r="O39" s="1"/>
  <c r="I40"/>
  <c r="K40" s="1"/>
  <c r="N40"/>
  <c r="O40" s="1"/>
  <c r="I41"/>
  <c r="N41"/>
  <c r="O41" s="1"/>
  <c r="I42"/>
  <c r="K42" s="1"/>
  <c r="N42"/>
  <c r="O42" s="1"/>
  <c r="I43"/>
  <c r="K43" s="1"/>
  <c r="N43"/>
  <c r="O43" s="1"/>
  <c r="I44"/>
  <c r="K44" s="1"/>
  <c r="N44"/>
  <c r="O44" s="1"/>
  <c r="I45"/>
  <c r="K45" s="1"/>
  <c r="N45"/>
  <c r="O45" s="1"/>
  <c r="I46"/>
  <c r="K46" s="1"/>
  <c r="N46"/>
  <c r="O46" s="1"/>
  <c r="I47"/>
  <c r="K47" s="1"/>
  <c r="N47"/>
  <c r="O47" s="1"/>
  <c r="I48"/>
  <c r="K48" s="1"/>
  <c r="N48"/>
  <c r="O48" s="1"/>
  <c r="I49"/>
  <c r="N49"/>
  <c r="O49" s="1"/>
  <c r="K8" i="2"/>
  <c r="Y47" i="4" l="1"/>
  <c r="Y41"/>
  <c r="Y35"/>
  <c r="Y29"/>
  <c r="AA29" s="1"/>
  <c r="Y23"/>
  <c r="Y17"/>
  <c r="Y11"/>
  <c r="Y49"/>
  <c r="AA49" s="1"/>
  <c r="Y43"/>
  <c r="Y37"/>
  <c r="AA37" s="1"/>
  <c r="Y31"/>
  <c r="Y25"/>
  <c r="Y19"/>
  <c r="Y13"/>
  <c r="AA13" s="1"/>
  <c r="Y46"/>
  <c r="AA46" s="1"/>
  <c r="Y40"/>
  <c r="Y34"/>
  <c r="Y28"/>
  <c r="Y22"/>
  <c r="AA22" s="1"/>
  <c r="Y16"/>
  <c r="AA16" s="1"/>
  <c r="Y48"/>
  <c r="Y42"/>
  <c r="Y36"/>
  <c r="Y30"/>
  <c r="AA30" s="1"/>
  <c r="Y24"/>
  <c r="Y18"/>
  <c r="Y12"/>
  <c r="Y44"/>
  <c r="Y38"/>
  <c r="AA38" s="1"/>
  <c r="Y32"/>
  <c r="AA32" s="1"/>
  <c r="Y26"/>
  <c r="Y20"/>
  <c r="Y14"/>
  <c r="BO20"/>
  <c r="BQ20" s="1"/>
  <c r="BQ18"/>
  <c r="BQ45"/>
  <c r="BO11"/>
  <c r="BQ11" s="1"/>
  <c r="BO47"/>
  <c r="BQ47" s="1"/>
  <c r="BQ42"/>
  <c r="BO44"/>
  <c r="BQ44" s="1"/>
  <c r="BQ39"/>
  <c r="BO38"/>
  <c r="BQ38" s="1"/>
  <c r="BQ33"/>
  <c r="BO35"/>
  <c r="BQ35" s="1"/>
  <c r="BQ30"/>
  <c r="BO32"/>
  <c r="BQ32" s="1"/>
  <c r="BQ27"/>
  <c r="BO26"/>
  <c r="BQ21"/>
  <c r="BO23"/>
  <c r="BQ23" s="1"/>
  <c r="BQ15"/>
  <c r="BO14"/>
  <c r="BQ14" s="1"/>
  <c r="BO48"/>
  <c r="BQ48" s="1"/>
  <c r="BO36"/>
  <c r="BQ36" s="1"/>
  <c r="BO24"/>
  <c r="BQ24" s="1"/>
  <c r="BO12"/>
  <c r="BQ12" s="1"/>
  <c r="BQ43"/>
  <c r="BQ31"/>
  <c r="BQ19"/>
  <c r="BO46"/>
  <c r="BQ46" s="1"/>
  <c r="BO34"/>
  <c r="BQ34" s="1"/>
  <c r="BO22"/>
  <c r="BQ22" s="1"/>
  <c r="BQ41"/>
  <c r="BQ29"/>
  <c r="BQ17"/>
  <c r="BQ40"/>
  <c r="BQ28"/>
  <c r="BQ16"/>
  <c r="BQ49"/>
  <c r="BQ37"/>
  <c r="BQ25"/>
  <c r="BQ13"/>
  <c r="AH29"/>
  <c r="AA24"/>
  <c r="AA20"/>
  <c r="AA25"/>
  <c r="AA21"/>
  <c r="AA19"/>
  <c r="AA15"/>
  <c r="AA17"/>
  <c r="BG16"/>
  <c r="BI16" s="1"/>
  <c r="AA45"/>
  <c r="AA44"/>
  <c r="AM25"/>
  <c r="AO25" s="1"/>
  <c r="BG44"/>
  <c r="BI44" s="1"/>
  <c r="BG12"/>
  <c r="BI12" s="1"/>
  <c r="BG48"/>
  <c r="BI48" s="1"/>
  <c r="BG36"/>
  <c r="BI36" s="1"/>
  <c r="BG32"/>
  <c r="BI32" s="1"/>
  <c r="BG28"/>
  <c r="BI28" s="1"/>
  <c r="BG24"/>
  <c r="BI24" s="1"/>
  <c r="BG20"/>
  <c r="BI20" s="1"/>
  <c r="AF28"/>
  <c r="AH28" s="1"/>
  <c r="AF48"/>
  <c r="AH48" s="1"/>
  <c r="AF44"/>
  <c r="AH44" s="1"/>
  <c r="AF32"/>
  <c r="AH32" s="1"/>
  <c r="AA35"/>
  <c r="AA28"/>
  <c r="AA11"/>
  <c r="AA48"/>
  <c r="AA47"/>
  <c r="AA43"/>
  <c r="AA41"/>
  <c r="AA40"/>
  <c r="AA39"/>
  <c r="AA36"/>
  <c r="AA33"/>
  <c r="AA31"/>
  <c r="AA27"/>
  <c r="AA23"/>
  <c r="AA12"/>
  <c r="AM49"/>
  <c r="AO49" s="1"/>
  <c r="AM46"/>
  <c r="AO46" s="1"/>
  <c r="AM42"/>
  <c r="AO42" s="1"/>
  <c r="AM21"/>
  <c r="AO21" s="1"/>
  <c r="AM14"/>
  <c r="AO14" s="1"/>
  <c r="AM45"/>
  <c r="AO45" s="1"/>
  <c r="AM38"/>
  <c r="AO38" s="1"/>
  <c r="AM34"/>
  <c r="AO34" s="1"/>
  <c r="AM26"/>
  <c r="AO26" s="1"/>
  <c r="AM22"/>
  <c r="AO22" s="1"/>
  <c r="AM18"/>
  <c r="AO18" s="1"/>
  <c r="AM17"/>
  <c r="AO17" s="1"/>
  <c r="AA42"/>
  <c r="AA34"/>
  <c r="AA26"/>
  <c r="AA18"/>
  <c r="AA14"/>
  <c r="AZ37"/>
  <c r="BB37" s="1"/>
  <c r="AZ29"/>
  <c r="BB29" s="1"/>
  <c r="AZ33"/>
  <c r="BB33" s="1"/>
  <c r="AZ17"/>
  <c r="BB17" s="1"/>
  <c r="AZ45"/>
  <c r="BB45" s="1"/>
  <c r="AZ21"/>
  <c r="BB21" s="1"/>
  <c r="AZ13"/>
  <c r="BB13" s="1"/>
  <c r="P30"/>
  <c r="P42"/>
  <c r="R42" s="1"/>
  <c r="P40"/>
  <c r="P35"/>
  <c r="P48"/>
  <c r="P47"/>
  <c r="P46"/>
  <c r="R46" s="1"/>
  <c r="P45"/>
  <c r="P43"/>
  <c r="P39"/>
  <c r="P38"/>
  <c r="P37"/>
  <c r="P34"/>
  <c r="P32"/>
  <c r="P31"/>
  <c r="P27"/>
  <c r="P10"/>
  <c r="R10" s="1"/>
  <c r="K41"/>
  <c r="P41" s="1"/>
  <c r="K33"/>
  <c r="P33" s="1"/>
  <c r="K49"/>
  <c r="P49" s="1"/>
  <c r="R49" s="1"/>
  <c r="K29"/>
  <c r="P29" s="1"/>
  <c r="R29" s="1"/>
  <c r="P44"/>
  <c r="R44" s="1"/>
  <c r="P36"/>
  <c r="P28"/>
  <c r="K9" i="2"/>
  <c r="BR46" i="4" l="1"/>
  <c r="BS46" s="1"/>
  <c r="BT46" s="1"/>
  <c r="BR44"/>
  <c r="BS44" s="1"/>
  <c r="BU44" s="1"/>
  <c r="BV44"/>
  <c r="BV29"/>
  <c r="BV45"/>
  <c r="R45"/>
  <c r="BR45" s="1"/>
  <c r="BS45" s="1"/>
  <c r="BU45" s="1"/>
  <c r="R27"/>
  <c r="BR27" s="1"/>
  <c r="BS27" s="1"/>
  <c r="BU27" s="1"/>
  <c r="BV27"/>
  <c r="R31"/>
  <c r="BR31" s="1"/>
  <c r="BS31" s="1"/>
  <c r="BU31" s="1"/>
  <c r="BV31"/>
  <c r="BV28"/>
  <c r="R28"/>
  <c r="BR28" s="1"/>
  <c r="BS28" s="1"/>
  <c r="R32"/>
  <c r="BR32" s="1"/>
  <c r="BS32" s="1"/>
  <c r="BU32" s="1"/>
  <c r="BV32"/>
  <c r="BV48"/>
  <c r="R48"/>
  <c r="BR48" s="1"/>
  <c r="BS48" s="1"/>
  <c r="BT48" s="1"/>
  <c r="BR29"/>
  <c r="BS29" s="1"/>
  <c r="BU29" s="1"/>
  <c r="BV47"/>
  <c r="R47"/>
  <c r="BR47" s="1"/>
  <c r="BS47" s="1"/>
  <c r="BT47" s="1"/>
  <c r="R36"/>
  <c r="BR36" s="1"/>
  <c r="BS36" s="1"/>
  <c r="BT36" s="1"/>
  <c r="BV36"/>
  <c r="BV46"/>
  <c r="R41"/>
  <c r="BR41" s="1"/>
  <c r="BS41" s="1"/>
  <c r="BV41"/>
  <c r="R34"/>
  <c r="BR34" s="1"/>
  <c r="BS34" s="1"/>
  <c r="BT34" s="1"/>
  <c r="BV34"/>
  <c r="R35"/>
  <c r="BR35" s="1"/>
  <c r="BS35" s="1"/>
  <c r="BU35" s="1"/>
  <c r="BV35"/>
  <c r="R40"/>
  <c r="BR40" s="1"/>
  <c r="BS40" s="1"/>
  <c r="BV40"/>
  <c r="R37"/>
  <c r="BR37" s="1"/>
  <c r="BS37" s="1"/>
  <c r="BU37" s="1"/>
  <c r="BV37"/>
  <c r="R38"/>
  <c r="BR38" s="1"/>
  <c r="BS38" s="1"/>
  <c r="BU38" s="1"/>
  <c r="BV38"/>
  <c r="R39"/>
  <c r="BR39" s="1"/>
  <c r="BS39" s="1"/>
  <c r="BV39"/>
  <c r="R33"/>
  <c r="BR33" s="1"/>
  <c r="BS33" s="1"/>
  <c r="BU33" s="1"/>
  <c r="BV33"/>
  <c r="BV49"/>
  <c r="R30"/>
  <c r="BR30" s="1"/>
  <c r="BS30" s="1"/>
  <c r="BU30" s="1"/>
  <c r="BV30"/>
  <c r="BV43"/>
  <c r="R43"/>
  <c r="BR43" s="1"/>
  <c r="BS43" s="1"/>
  <c r="BU43" s="1"/>
  <c r="BR49"/>
  <c r="BS49" s="1"/>
  <c r="BV42"/>
  <c r="BR42"/>
  <c r="BS42" s="1"/>
  <c r="BU42" s="1"/>
  <c r="BT44" l="1"/>
  <c r="BT45"/>
  <c r="BT33"/>
  <c r="BU47"/>
  <c r="BT37"/>
  <c r="BT31"/>
  <c r="BT27"/>
  <c r="BT29"/>
  <c r="BU41"/>
  <c r="BT41"/>
  <c r="BU28"/>
  <c r="BT28"/>
  <c r="BU40"/>
  <c r="BT40"/>
  <c r="BT30"/>
  <c r="BU36"/>
  <c r="BT32"/>
  <c r="BT38"/>
  <c r="BU48"/>
  <c r="BT35"/>
  <c r="BU46"/>
  <c r="BU34"/>
  <c r="BT42"/>
  <c r="BT43"/>
  <c r="BT49"/>
  <c r="BU49"/>
  <c r="BU39"/>
  <c r="BT39"/>
  <c r="I12" l="1"/>
  <c r="I13"/>
  <c r="I14"/>
  <c r="I15"/>
  <c r="I16"/>
  <c r="I17"/>
  <c r="I18"/>
  <c r="I19"/>
  <c r="I20"/>
  <c r="I21"/>
  <c r="I22"/>
  <c r="I23"/>
  <c r="I24"/>
  <c r="I25"/>
  <c r="I26"/>
  <c r="N12"/>
  <c r="O12" s="1"/>
  <c r="N13"/>
  <c r="O13" s="1"/>
  <c r="N14"/>
  <c r="O14" s="1"/>
  <c r="N15"/>
  <c r="O15" s="1"/>
  <c r="N16"/>
  <c r="O16" s="1"/>
  <c r="N17"/>
  <c r="O17" s="1"/>
  <c r="N18"/>
  <c r="O18" s="1"/>
  <c r="N19"/>
  <c r="O19" s="1"/>
  <c r="N20"/>
  <c r="O20" s="1"/>
  <c r="N21"/>
  <c r="O21" s="1"/>
  <c r="N22"/>
  <c r="O22" s="1"/>
  <c r="N23"/>
  <c r="O23" s="1"/>
  <c r="N24"/>
  <c r="O24" s="1"/>
  <c r="N25"/>
  <c r="O25" s="1"/>
  <c r="N26"/>
  <c r="O26" s="1"/>
  <c r="U10"/>
  <c r="N11"/>
  <c r="O11" s="1"/>
  <c r="I11"/>
  <c r="K16" l="1"/>
  <c r="P16" s="1"/>
  <c r="K26"/>
  <c r="P26" s="1"/>
  <c r="K25"/>
  <c r="P25" s="1"/>
  <c r="K24"/>
  <c r="P24" s="1"/>
  <c r="K23"/>
  <c r="P23" s="1"/>
  <c r="K22"/>
  <c r="P22" s="1"/>
  <c r="K21"/>
  <c r="P21" s="1"/>
  <c r="K20"/>
  <c r="P20" s="1"/>
  <c r="K19"/>
  <c r="P19" s="1"/>
  <c r="K18"/>
  <c r="P18" s="1"/>
  <c r="K17"/>
  <c r="P17" s="1"/>
  <c r="K15"/>
  <c r="P15" s="1"/>
  <c r="K14"/>
  <c r="P14" s="1"/>
  <c r="K13"/>
  <c r="P13" s="1"/>
  <c r="K12"/>
  <c r="P12" s="1"/>
  <c r="K11"/>
  <c r="D5" i="2"/>
  <c r="G23"/>
  <c r="G18"/>
  <c r="G17"/>
  <c r="F24"/>
  <c r="F19"/>
  <c r="F18"/>
  <c r="F17"/>
  <c r="E23"/>
  <c r="E24"/>
  <c r="E20"/>
  <c r="E19"/>
  <c r="E18"/>
  <c r="BL10" i="4"/>
  <c r="E27" i="2" s="1"/>
  <c r="AD10" i="4"/>
  <c r="F21" i="2" s="1"/>
  <c r="BE10" i="4"/>
  <c r="F25" i="2" s="1"/>
  <c r="AK10" i="4"/>
  <c r="F22" i="2" s="1"/>
  <c r="AZ10" i="4"/>
  <c r="BB10" s="1"/>
  <c r="AS10"/>
  <c r="AU10" s="1"/>
  <c r="X10"/>
  <c r="Y10" s="1"/>
  <c r="F20" i="2" l="1"/>
  <c r="E21"/>
  <c r="E22"/>
  <c r="E25"/>
  <c r="F27"/>
  <c r="BO10" i="4"/>
  <c r="G27" i="2" s="1"/>
  <c r="R17" i="4"/>
  <c r="BR17" s="1"/>
  <c r="BS17" s="1"/>
  <c r="BV17"/>
  <c r="R22"/>
  <c r="BR22" s="1"/>
  <c r="BS22" s="1"/>
  <c r="BV22"/>
  <c r="R23"/>
  <c r="BR23" s="1"/>
  <c r="BS23" s="1"/>
  <c r="BV23"/>
  <c r="R24"/>
  <c r="BR24" s="1"/>
  <c r="BS24" s="1"/>
  <c r="BV24"/>
  <c r="R12"/>
  <c r="BR12" s="1"/>
  <c r="BS12" s="1"/>
  <c r="BU12" s="1"/>
  <c r="BV12"/>
  <c r="R25"/>
  <c r="BR25" s="1"/>
  <c r="BS25" s="1"/>
  <c r="BV25"/>
  <c r="R18"/>
  <c r="BR18" s="1"/>
  <c r="BS18" s="1"/>
  <c r="BV18"/>
  <c r="R26"/>
  <c r="BR26" s="1"/>
  <c r="BS26" s="1"/>
  <c r="BV26"/>
  <c r="BV14"/>
  <c r="R14"/>
  <c r="BR14" s="1"/>
  <c r="BS14" s="1"/>
  <c r="BV16"/>
  <c r="R16"/>
  <c r="BR16" s="1"/>
  <c r="BS16" s="1"/>
  <c r="R20"/>
  <c r="BR20" s="1"/>
  <c r="BS20" s="1"/>
  <c r="BV20"/>
  <c r="R21"/>
  <c r="BR21" s="1"/>
  <c r="BS21" s="1"/>
  <c r="BV21"/>
  <c r="R13"/>
  <c r="BR13" s="1"/>
  <c r="BS13" s="1"/>
  <c r="BV13"/>
  <c r="R15"/>
  <c r="BR15" s="1"/>
  <c r="BS15" s="1"/>
  <c r="BV15"/>
  <c r="R19"/>
  <c r="BR19" s="1"/>
  <c r="BS19" s="1"/>
  <c r="BV19"/>
  <c r="AM10"/>
  <c r="BG10"/>
  <c r="K23" i="2"/>
  <c r="BQ10" i="4" l="1"/>
  <c r="BI10"/>
  <c r="K25" i="2" s="1"/>
  <c r="AO10" i="4"/>
  <c r="K22" i="2" s="1"/>
  <c r="BT12" i="4"/>
  <c r="BU16"/>
  <c r="BT16"/>
  <c r="BU18"/>
  <c r="BT18"/>
  <c r="BT23"/>
  <c r="BU23"/>
  <c r="BU15"/>
  <c r="BT15"/>
  <c r="BU19"/>
  <c r="BT19"/>
  <c r="BU22"/>
  <c r="BT22"/>
  <c r="BU20"/>
  <c r="BT20"/>
  <c r="BT24"/>
  <c r="BU24"/>
  <c r="BU17"/>
  <c r="BT17"/>
  <c r="BT13"/>
  <c r="BU13"/>
  <c r="BU14"/>
  <c r="BT14"/>
  <c r="BU25"/>
  <c r="BT25"/>
  <c r="BT21"/>
  <c r="BU21"/>
  <c r="BU26"/>
  <c r="BT26"/>
  <c r="BP10"/>
  <c r="J27" i="2" s="1"/>
  <c r="H27" l="1"/>
  <c r="I27"/>
  <c r="AF10" i="4"/>
  <c r="AA10"/>
  <c r="AH10" l="1"/>
  <c r="BR10" s="1"/>
  <c r="BV10"/>
  <c r="K24" i="2"/>
  <c r="K19"/>
  <c r="K21"/>
  <c r="BH10" i="4"/>
  <c r="AT10"/>
  <c r="AN10"/>
  <c r="P11"/>
  <c r="I25" i="2" l="1"/>
  <c r="G25"/>
  <c r="I23"/>
  <c r="H23"/>
  <c r="I22"/>
  <c r="G22"/>
  <c r="R11" i="4"/>
  <c r="BR11" s="1"/>
  <c r="BS11" s="1"/>
  <c r="BV11"/>
  <c r="Z10"/>
  <c r="I19" i="2" s="1"/>
  <c r="I17"/>
  <c r="BA10" i="4"/>
  <c r="AG10"/>
  <c r="Q10"/>
  <c r="L20" i="2"/>
  <c r="L18"/>
  <c r="E17"/>
  <c r="I24" l="1"/>
  <c r="G24"/>
  <c r="I21"/>
  <c r="I28" s="1"/>
  <c r="G21"/>
  <c r="BT11" i="4"/>
  <c r="BU11"/>
  <c r="BS10"/>
  <c r="K27" i="2" s="1"/>
  <c r="K17"/>
  <c r="F32" l="1"/>
  <c r="BT10" i="4"/>
  <c r="BU10"/>
  <c r="F30" i="2" s="1"/>
  <c r="D7"/>
  <c r="D6"/>
  <c r="M17" l="1"/>
  <c r="K7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<sst xmlns="http://schemas.openxmlformats.org/spreadsheetml/2006/main" count="298" uniqueCount="231">
  <si>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</si>
  <si>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</si>
  <si>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</si>
  <si>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</si>
  <si>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</si>
  <si>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</si>
  <si>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</si>
  <si>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</si>
  <si>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</si>
  <si>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</si>
  <si>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</si>
  <si>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</si>
  <si>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</si>
  <si>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</si>
  <si>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</si>
  <si>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</si>
  <si>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</si>
  <si>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</si>
  <si>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</si>
  <si>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</si>
  <si>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</si>
  <si>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</si>
  <si>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</si>
  <si>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</si>
  <si>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</si>
  <si>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</si>
  <si>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</si>
  <si>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</si>
  <si>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</si>
  <si>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</si>
  <si>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</si>
  <si>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</si>
  <si>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</si>
  <si>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</si>
  <si>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</si>
  <si>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</si>
  <si>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</si>
  <si>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</si>
  <si>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</si>
  <si>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</si>
  <si>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</si>
  <si>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</si>
  <si>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</si>
  <si>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</si>
  <si>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</si>
  <si>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</si>
  <si>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</si>
  <si>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</si>
  <si>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</si>
  <si>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</si>
  <si>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</si>
  <si>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</si>
  <si>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</si>
  <si>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</si>
  <si>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</si>
  <si>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</si>
  <si>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</si>
  <si>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</si>
  <si>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</si>
  <si>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</si>
  <si>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</si>
  <si>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</si>
  <si>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</si>
  <si>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</si>
  <si>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</si>
  <si>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</si>
  <si>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EIGHT</t>
  </si>
  <si>
    <t>SCIENCE</t>
  </si>
  <si>
    <t>AGICULTURE</t>
  </si>
  <si>
    <t>MAFIQUL ISLAM</t>
  </si>
  <si>
    <t>01629-427344</t>
  </si>
  <si>
    <t>PALASH</t>
  </si>
  <si>
    <t>Samir Kumar Saha</t>
  </si>
  <si>
    <t>Shilpi Rani Saha</t>
  </si>
  <si>
    <t xml:space="preserve">Mahua Khan </t>
  </si>
  <si>
    <t xml:space="preserve">Md. Mizanur Rahman </t>
  </si>
  <si>
    <t>Samiya Binte Kalim</t>
  </si>
  <si>
    <t>Kalim Rahman</t>
  </si>
  <si>
    <t xml:space="preserve">Hasina Akter </t>
  </si>
  <si>
    <t xml:space="preserve">Halima Tuj Sadia </t>
  </si>
  <si>
    <t xml:space="preserve">Md. Monayem </t>
  </si>
  <si>
    <t xml:space="preserve">Mst. Salma Aktar </t>
  </si>
  <si>
    <t>Md. Abrar Shahriar</t>
  </si>
  <si>
    <t>Md. Amirul Islam</t>
  </si>
  <si>
    <t>Mst. Lubna Rahman</t>
  </si>
  <si>
    <t>Sreshthangshu Saha Swapno</t>
  </si>
  <si>
    <t>Nusrat Jahan Dola</t>
  </si>
  <si>
    <t>Md. Nuruzzaman</t>
  </si>
  <si>
    <t>Kazi Shakila Bithi Nishita</t>
  </si>
  <si>
    <t>Mainul Hasan Sifat</t>
  </si>
  <si>
    <t xml:space="preserve">Mahi Uddin </t>
  </si>
  <si>
    <t>Salma Akter</t>
  </si>
  <si>
    <t>Mahmud Hasan Samir</t>
  </si>
  <si>
    <t>Abdullah Al Abid</t>
  </si>
  <si>
    <t>Md. Al Amin Sheikh</t>
  </si>
  <si>
    <t>Mst. Jesmin Sultana</t>
  </si>
  <si>
    <t xml:space="preserve">Md. Nishad Mandal Zisan </t>
  </si>
  <si>
    <t xml:space="preserve">Md. Zahid Mondal </t>
  </si>
  <si>
    <t>Nipa Akther</t>
  </si>
  <si>
    <t>Md Soab Miah</t>
  </si>
  <si>
    <t>Mst. Nargis Akther</t>
  </si>
  <si>
    <t xml:space="preserve">Mst. Nurjahan Julashfi </t>
  </si>
  <si>
    <t>Md. Zahangir Alam</t>
  </si>
  <si>
    <t>Ayesha Khatun</t>
  </si>
  <si>
    <t xml:space="preserve">Asma Akter </t>
  </si>
  <si>
    <t>Abdullah Zubayer</t>
  </si>
  <si>
    <t xml:space="preserve">Md. Helal Uddin </t>
  </si>
  <si>
    <t>Shahrin Naher</t>
  </si>
  <si>
    <t xml:space="preserve">Mst. Masrufa Mehedi Rim </t>
  </si>
  <si>
    <t xml:space="preserve">Md. Mehedi Hasan </t>
  </si>
  <si>
    <t xml:space="preserve">Mst. Riya Akter </t>
  </si>
  <si>
    <t xml:space="preserve">Kazi Bijoy </t>
  </si>
  <si>
    <t>Jashim Uddin</t>
  </si>
  <si>
    <t>Akhlima Akter</t>
  </si>
  <si>
    <t>Israt Jahan Tarifa</t>
  </si>
  <si>
    <t xml:space="preserve">Md Milon Madbar </t>
  </si>
  <si>
    <t xml:space="preserve">Mst. Ruma Akter </t>
  </si>
  <si>
    <t xml:space="preserve">Ananna Sabrin </t>
  </si>
  <si>
    <t xml:space="preserve">Md Abdur Rouf </t>
  </si>
  <si>
    <t xml:space="preserve">Mst Rima Parvin </t>
  </si>
  <si>
    <t xml:space="preserve">Tausheya Islam </t>
  </si>
  <si>
    <t xml:space="preserve">Shafiqul Islam </t>
  </si>
  <si>
    <t xml:space="preserve">Shapna </t>
  </si>
  <si>
    <t xml:space="preserve">Md. Riyad Hossen </t>
  </si>
  <si>
    <t xml:space="preserve">Md. Abu Taher </t>
  </si>
  <si>
    <t xml:space="preserve">Mst. Rikta Begum </t>
  </si>
  <si>
    <t xml:space="preserve">Mohammad Alif Talukder </t>
  </si>
  <si>
    <t xml:space="preserve">Md. Hameyat Uddin Talukder </t>
  </si>
  <si>
    <t xml:space="preserve">Sultana Nasira </t>
  </si>
  <si>
    <t xml:space="preserve">Md. Arif Hossain Ratul </t>
  </si>
  <si>
    <t xml:space="preserve">Md. Hafijur Rahman </t>
  </si>
  <si>
    <t xml:space="preserve">Md. Alvi Ahammed </t>
  </si>
  <si>
    <t xml:space="preserve">Md. Shamim Kabir </t>
  </si>
  <si>
    <t xml:space="preserve">Mst. Salma </t>
  </si>
  <si>
    <t>01777-244922        01859-502050</t>
  </si>
  <si>
    <t>01718-523362       01863-657887</t>
  </si>
  <si>
    <t>01732-151226   01923-736374</t>
  </si>
  <si>
    <t>01740-858388   01552-336105</t>
  </si>
  <si>
    <t>01645-138713</t>
  </si>
  <si>
    <t>01614-320318   01615-320318</t>
  </si>
  <si>
    <t>01302-101328</t>
  </si>
  <si>
    <t>01872-029372</t>
  </si>
  <si>
    <t>01707-748652</t>
  </si>
  <si>
    <t>01912-923539                          01916-502887</t>
  </si>
  <si>
    <t>01718-082284</t>
  </si>
  <si>
    <t>01752-051307               01761-183601</t>
  </si>
  <si>
    <t>01928-150100                            01643-247888</t>
  </si>
  <si>
    <t>01722-079230                    01771-678845</t>
  </si>
  <si>
    <t>01716-294941                   01790-423094</t>
  </si>
  <si>
    <t>01716-435331</t>
  </si>
  <si>
    <t>01711-346161     01911-699588</t>
  </si>
  <si>
    <t>OB+SQ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</si>
  <si>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EIGHT (PALASH)</t>
    </r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</si>
  <si>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</si>
  <si>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Maksutha Begum</t>
  </si>
  <si>
    <t xml:space="preserve">Prottasha Mollik Othoi </t>
  </si>
  <si>
    <t xml:space="preserve">Md. Zahid Hasan </t>
  </si>
  <si>
    <t xml:space="preserve">Mst. Ruma Aktar </t>
  </si>
  <si>
    <t>Md. Riyadul Islam</t>
  </si>
  <si>
    <t>Mohammad Ali</t>
  </si>
  <si>
    <t>Rehana Parvin</t>
  </si>
  <si>
    <t xml:space="preserve">Sumaiya Akter Mim </t>
  </si>
  <si>
    <t xml:space="preserve">Md. Monir Hossan </t>
  </si>
  <si>
    <t>Jesmin</t>
  </si>
  <si>
    <t>Habiba Hasan</t>
  </si>
  <si>
    <t>Md. Hasan</t>
  </si>
  <si>
    <t>Khadiza Akter</t>
  </si>
  <si>
    <t>Md. Shakib Sheikh</t>
  </si>
  <si>
    <t>Md. Sokir Sheikh</t>
  </si>
  <si>
    <t>Mst. Rashida Khatun</t>
  </si>
  <si>
    <t xml:space="preserve">Al Mubin </t>
  </si>
  <si>
    <t xml:space="preserve">Md. Rakibul Islam </t>
  </si>
  <si>
    <t xml:space="preserve">Mst. Fatema Aktar </t>
  </si>
  <si>
    <t>Md. Abdullah Al Mustaqim (Shin)</t>
  </si>
  <si>
    <t>Abdur Rouf Sagar</t>
  </si>
  <si>
    <t>Mst. Mousumi Akter</t>
  </si>
  <si>
    <t xml:space="preserve">Monira Akter </t>
  </si>
  <si>
    <t>Monir Hossain</t>
  </si>
  <si>
    <t xml:space="preserve">Lipi Begum </t>
  </si>
  <si>
    <t>Abdur Rahman</t>
  </si>
  <si>
    <t>Md. Saidul Islam</t>
  </si>
  <si>
    <t>Rabeya Khatun</t>
  </si>
  <si>
    <t>Afra Hossain Joeeta</t>
  </si>
  <si>
    <t>Muzzafor Hossain Joy</t>
  </si>
  <si>
    <t>Kakoly Akter</t>
  </si>
  <si>
    <t>Md. Modasser Hossain Mugdho</t>
  </si>
  <si>
    <t xml:space="preserve">Mahin </t>
  </si>
  <si>
    <t xml:space="preserve">Maruf Mia </t>
  </si>
  <si>
    <t xml:space="preserve">Raihana Akter </t>
  </si>
  <si>
    <t xml:space="preserve">Suayib Chowdhuri Jisan </t>
  </si>
  <si>
    <t xml:space="preserve">Md. Shihab Chowdhuri </t>
  </si>
  <si>
    <t xml:space="preserve">Anamika Choudhury </t>
  </si>
  <si>
    <t xml:space="preserve">Ummul Wara </t>
  </si>
  <si>
    <t xml:space="preserve">Md. Jahidul Islam </t>
  </si>
  <si>
    <t xml:space="preserve">Nisat Jaman Birste </t>
  </si>
  <si>
    <t xml:space="preserve">Md. Raiyan Talukder Rumel </t>
  </si>
  <si>
    <t xml:space="preserve">Md. Ratan Talukder </t>
  </si>
  <si>
    <t xml:space="preserve">Nargis Akter </t>
  </si>
  <si>
    <t xml:space="preserve">Md. Tanvir Udoy </t>
  </si>
  <si>
    <t xml:space="preserve">Zahid </t>
  </si>
  <si>
    <t xml:space="preserve">Fatema Akter Kanchan </t>
  </si>
  <si>
    <t xml:space="preserve">Rubaiya Islam Rojoni </t>
  </si>
  <si>
    <t xml:space="preserve">Md. Rajjab Ali </t>
  </si>
  <si>
    <t xml:space="preserve">Sonia Akter </t>
  </si>
  <si>
    <t xml:space="preserve">Zobayer Ahammed Jim </t>
  </si>
  <si>
    <t xml:space="preserve">Ummy Habiba </t>
  </si>
  <si>
    <t xml:space="preserve">Md. Mahmudul Mursalin Nirjhor </t>
  </si>
  <si>
    <t xml:space="preserve">Md. Rafiqul Islam </t>
  </si>
  <si>
    <t xml:space="preserve">Mahmuda Akter </t>
  </si>
  <si>
    <t>01963-270281       01934-591956</t>
  </si>
  <si>
    <t>01703-795660   01748-206732</t>
  </si>
  <si>
    <t>01939-751503     01611-911445</t>
  </si>
  <si>
    <t>01713-298055   01716-080949</t>
  </si>
  <si>
    <t>01889-732938</t>
  </si>
  <si>
    <t>01754-343921   01779-735842</t>
  </si>
  <si>
    <t>01751-354834                         01731-539373</t>
  </si>
  <si>
    <t>01717-948278   01970-948278</t>
  </si>
  <si>
    <t>01611-013113                    01925-928781</t>
  </si>
  <si>
    <t>01870-945531 01612-357356</t>
  </si>
  <si>
    <t>01711379499 01918221404</t>
  </si>
  <si>
    <t>01776-495689  01712-236174</t>
  </si>
  <si>
    <t>01729-725129                              01602-292624</t>
  </si>
  <si>
    <t>01305-551891        01701-422099</t>
  </si>
  <si>
    <t>01854-723808                       01321-291610</t>
  </si>
  <si>
    <t>01757-438214      01725-412697</t>
  </si>
  <si>
    <t>01829-161690</t>
  </si>
  <si>
    <t>01930-060855 01987-939234</t>
  </si>
  <si>
    <t>01684-860951                    01711-623209</t>
  </si>
  <si>
    <t>01736-732882                       01723-208719</t>
  </si>
  <si>
    <t>01842-062014</t>
  </si>
  <si>
    <t>Ab</t>
  </si>
</sst>
</file>

<file path=xl/styles.xml><?xml version="1.0" encoding="utf-8"?>
<styleSheet xmlns="http://schemas.openxmlformats.org/spreadsheetml/2006/main">
  <numFmts count="1">
    <numFmt numFmtId="164" formatCode="00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name val="Arial"/>
    </font>
    <font>
      <sz val="13"/>
      <name val="Arial"/>
      <family val="2"/>
    </font>
    <font>
      <sz val="13"/>
      <color theme="1"/>
      <name val="Arial"/>
      <family val="2"/>
    </font>
    <font>
      <b/>
      <sz val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1" fillId="0" borderId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2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4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4" fillId="0" borderId="0" xfId="0" applyFont="1"/>
    <xf numFmtId="0" fontId="33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/>
    </xf>
    <xf numFmtId="0" fontId="13" fillId="2" borderId="0" xfId="0" applyFont="1" applyFill="1" applyAlignment="1">
      <alignment horizontal="left" vertical="center"/>
    </xf>
    <xf numFmtId="1" fontId="13" fillId="2" borderId="0" xfId="0" applyNumberFormat="1" applyFont="1" applyFill="1" applyAlignment="1">
      <alignment horizontal="left"/>
    </xf>
    <xf numFmtId="0" fontId="35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7" fillId="0" borderId="0" xfId="0" applyFont="1"/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 wrapText="1"/>
    </xf>
    <xf numFmtId="0" fontId="39" fillId="0" borderId="1" xfId="0" applyFont="1" applyBorder="1" applyAlignment="1">
      <alignment horizontal="left" vertical="center"/>
    </xf>
    <xf numFmtId="0" fontId="40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/>
    </xf>
    <xf numFmtId="164" fontId="42" fillId="0" borderId="7" xfId="2" applyNumberFormat="1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164" fontId="42" fillId="0" borderId="1" xfId="2" applyNumberFormat="1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2" fontId="43" fillId="0" borderId="1" xfId="1" applyNumberFormat="1" applyFont="1" applyFill="1" applyBorder="1" applyAlignment="1">
      <alignment horizontal="center" vertical="center"/>
    </xf>
    <xf numFmtId="2" fontId="43" fillId="0" borderId="2" xfId="1" applyNumberFormat="1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1" fontId="43" fillId="2" borderId="1" xfId="0" applyNumberFormat="1" applyFont="1" applyFill="1" applyBorder="1" applyAlignment="1">
      <alignment horizontal="center" vertical="center"/>
    </xf>
    <xf numFmtId="164" fontId="44" fillId="0" borderId="1" xfId="2" applyNumberFormat="1" applyFont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left" vertical="center"/>
    </xf>
    <xf numFmtId="0" fontId="29" fillId="3" borderId="1" xfId="0" applyFont="1" applyFill="1" applyBorder="1" applyAlignment="1">
      <alignment horizontal="center" vertical="center" wrapText="1"/>
    </xf>
    <xf numFmtId="164" fontId="44" fillId="3" borderId="7" xfId="2" applyNumberFormat="1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" fontId="43" fillId="3" borderId="1" xfId="0" applyNumberFormat="1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horizontal="center" vertical="center"/>
    </xf>
    <xf numFmtId="2" fontId="43" fillId="3" borderId="1" xfId="1" applyNumberFormat="1" applyFont="1" applyFill="1" applyBorder="1" applyAlignment="1">
      <alignment horizontal="center" vertical="center"/>
    </xf>
    <xf numFmtId="2" fontId="43" fillId="3" borderId="2" xfId="1" applyNumberFormat="1" applyFont="1" applyFill="1" applyBorder="1" applyAlignment="1">
      <alignment horizontal="center" vertical="center"/>
    </xf>
    <xf numFmtId="0" fontId="36" fillId="3" borderId="12" xfId="0" applyFont="1" applyFill="1" applyBorder="1" applyAlignment="1">
      <alignment horizontal="center" vertical="center"/>
    </xf>
    <xf numFmtId="1" fontId="36" fillId="3" borderId="1" xfId="0" applyNumberFormat="1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10" fillId="3" borderId="0" xfId="0" applyFont="1" applyFill="1"/>
    <xf numFmtId="0" fontId="39" fillId="3" borderId="1" xfId="0" applyFont="1" applyFill="1" applyBorder="1" applyAlignment="1">
      <alignment horizontal="left" vertical="center"/>
    </xf>
    <xf numFmtId="0" fontId="39" fillId="3" borderId="1" xfId="0" applyFont="1" applyFill="1" applyBorder="1" applyAlignment="1">
      <alignment horizontal="center" vertical="center" wrapText="1"/>
    </xf>
    <xf numFmtId="164" fontId="42" fillId="3" borderId="7" xfId="2" applyNumberFormat="1" applyFont="1" applyFill="1" applyBorder="1" applyAlignment="1">
      <alignment horizontal="center" vertical="center"/>
    </xf>
    <xf numFmtId="164" fontId="42" fillId="3" borderId="1" xfId="2" applyNumberFormat="1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7" fillId="0" borderId="3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1" fontId="43" fillId="0" borderId="2" xfId="0" applyNumberFormat="1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12" fillId="2" borderId="0" xfId="0" applyFont="1" applyFill="1" applyAlignment="1">
      <alignment horizontal="left"/>
    </xf>
    <xf numFmtId="0" fontId="27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left"/>
    </xf>
    <xf numFmtId="0" fontId="1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1" fillId="2" borderId="1" xfId="0" applyFont="1" applyFill="1" applyBorder="1" applyAlignment="1">
      <alignment horizontal="center" vertical="center" textRotation="90"/>
    </xf>
    <xf numFmtId="1" fontId="11" fillId="2" borderId="1" xfId="0" applyNumberFormat="1" applyFont="1" applyFill="1" applyBorder="1" applyAlignment="1">
      <alignment horizontal="center" vertical="center" textRotation="90"/>
    </xf>
    <xf numFmtId="2" fontId="20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" fontId="43" fillId="0" borderId="2" xfId="0" applyNumberFormat="1" applyFont="1" applyBorder="1" applyAlignment="1">
      <alignment vertical="center"/>
    </xf>
    <xf numFmtId="0" fontId="43" fillId="0" borderId="4" xfId="0" applyFont="1" applyBorder="1" applyAlignment="1">
      <alignment vertical="center"/>
    </xf>
    <xf numFmtId="0" fontId="43" fillId="0" borderId="3" xfId="0" applyFont="1" applyBorder="1" applyAlignment="1">
      <alignment vertical="center"/>
    </xf>
    <xf numFmtId="1" fontId="43" fillId="0" borderId="4" xfId="0" applyNumberFormat="1" applyFont="1" applyBorder="1" applyAlignment="1">
      <alignment vertical="center"/>
    </xf>
    <xf numFmtId="1" fontId="43" fillId="0" borderId="3" xfId="0" applyNumberFormat="1" applyFont="1" applyBorder="1" applyAlignment="1">
      <alignment vertical="center"/>
    </xf>
    <xf numFmtId="0" fontId="43" fillId="0" borderId="2" xfId="0" applyFont="1" applyBorder="1" applyAlignment="1">
      <alignment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283750</xdr:colOff>
      <xdr:row>0</xdr:row>
      <xdr:rowOff>8505</xdr:rowOff>
    </xdr:from>
    <xdr:to>
      <xdr:col>22</xdr:col>
      <xdr:colOff>124943</xdr:colOff>
      <xdr:row>5</xdr:row>
      <xdr:rowOff>65705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380750" y="8505"/>
          <a:ext cx="98419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47625</xdr:colOff>
      <xdr:row>34</xdr:row>
      <xdr:rowOff>123825</xdr:rowOff>
    </xdr:from>
    <xdr:to>
      <xdr:col>7</xdr:col>
      <xdr:colOff>425823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75917B9D-66F7-448C-BB93-D3B86C6C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48025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X4322"/>
  <sheetViews>
    <sheetView tabSelected="1" topLeftCell="A2" zoomScale="55" zoomScaleNormal="55" workbookViewId="0">
      <selection activeCell="O7" sqref="O1:O1048576"/>
    </sheetView>
  </sheetViews>
  <sheetFormatPr defaultColWidth="5.7109375" defaultRowHeight="15"/>
  <cols>
    <col min="3" max="3" width="33.5703125" style="10" bestFit="1" customWidth="1"/>
    <col min="4" max="4" width="30.5703125" style="10" bestFit="1" customWidth="1"/>
    <col min="5" max="5" width="26" style="10" bestFit="1" customWidth="1"/>
    <col min="6" max="6" width="20.85546875" style="10" customWidth="1"/>
    <col min="7" max="7" width="7.28515625" customWidth="1"/>
    <col min="71" max="71" width="7.5703125" customWidth="1"/>
    <col min="72" max="72" width="6.5703125" bestFit="1" customWidth="1"/>
    <col min="73" max="73" width="27.85546875" bestFit="1" customWidth="1"/>
    <col min="74" max="74" width="12.5703125" bestFit="1" customWidth="1"/>
    <col min="75" max="75" width="8.28515625" style="12" bestFit="1" customWidth="1"/>
    <col min="76" max="76" width="9.28515625" bestFit="1" customWidth="1"/>
  </cols>
  <sheetData>
    <row r="1" spans="1:76" hidden="1"/>
    <row r="2" spans="1:76" ht="14.45" customHeight="1">
      <c r="A2" s="97" t="s">
        <v>152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</row>
    <row r="3" spans="1:76" ht="20.45" customHeight="1">
      <c r="A3" s="97"/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</row>
    <row r="4" spans="1:76" ht="24.6" customHeight="1">
      <c r="A4" s="97"/>
      <c r="B4" s="9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6"/>
    </row>
    <row r="5" spans="1:76" ht="24.6" customHeight="1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7"/>
      <c r="AK5" s="97"/>
      <c r="AL5" s="97"/>
      <c r="AM5" s="97"/>
      <c r="AN5" s="97"/>
      <c r="AO5" s="97"/>
      <c r="AP5" s="97"/>
      <c r="AQ5" s="97"/>
      <c r="AR5" s="97"/>
      <c r="AS5" s="97"/>
      <c r="AT5" s="97"/>
      <c r="AU5" s="97"/>
      <c r="AV5" s="97"/>
      <c r="AW5" s="97"/>
      <c r="AX5" s="97"/>
      <c r="AY5" s="97"/>
      <c r="AZ5" s="97"/>
      <c r="BA5" s="97"/>
      <c r="BB5" s="97"/>
      <c r="BC5" s="97"/>
      <c r="BD5" s="97"/>
      <c r="BE5" s="97"/>
      <c r="BF5" s="97"/>
      <c r="BG5" s="97"/>
      <c r="BH5" s="97"/>
      <c r="BI5" s="97"/>
      <c r="BJ5" s="97"/>
      <c r="BK5" s="97"/>
      <c r="BL5" s="97"/>
      <c r="BM5" s="97"/>
      <c r="BN5" s="97"/>
      <c r="BO5" s="97"/>
      <c r="BP5" s="97"/>
      <c r="BQ5" s="97"/>
      <c r="BR5" s="97"/>
      <c r="BS5" s="97"/>
      <c r="BT5" s="97"/>
      <c r="BU5" s="97"/>
      <c r="BV5" s="97"/>
      <c r="BW5" s="96"/>
    </row>
    <row r="6" spans="1:76" ht="15" customHeight="1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7"/>
      <c r="AK6" s="97"/>
      <c r="AL6" s="97"/>
      <c r="AM6" s="97"/>
      <c r="AN6" s="97"/>
      <c r="AO6" s="97"/>
      <c r="AP6" s="97"/>
      <c r="AQ6" s="97"/>
      <c r="AR6" s="97"/>
      <c r="AS6" s="97"/>
      <c r="AT6" s="97"/>
      <c r="AU6" s="97"/>
      <c r="AV6" s="97"/>
      <c r="AW6" s="97"/>
      <c r="AX6" s="97"/>
      <c r="AY6" s="97"/>
      <c r="AZ6" s="97"/>
      <c r="BA6" s="97"/>
      <c r="BB6" s="97"/>
      <c r="BC6" s="97"/>
      <c r="BD6" s="97"/>
      <c r="BE6" s="97"/>
      <c r="BF6" s="97"/>
      <c r="BG6" s="97"/>
      <c r="BH6" s="97"/>
      <c r="BI6" s="97"/>
      <c r="BJ6" s="97"/>
      <c r="BK6" s="97"/>
      <c r="BL6" s="97"/>
      <c r="BM6" s="97"/>
      <c r="BN6" s="97"/>
      <c r="BO6" s="97"/>
      <c r="BP6" s="97"/>
      <c r="BQ6" s="97"/>
      <c r="BR6" s="97"/>
      <c r="BS6" s="97"/>
      <c r="BT6" s="97"/>
      <c r="BU6" s="97"/>
      <c r="BV6" s="97"/>
      <c r="BW6" s="96"/>
    </row>
    <row r="7" spans="1:76" s="5" customFormat="1" ht="24">
      <c r="B7" s="6"/>
      <c r="C7" s="8" t="s">
        <v>38</v>
      </c>
      <c r="D7" s="8" t="s">
        <v>69</v>
      </c>
      <c r="E7" s="8" t="s">
        <v>47</v>
      </c>
      <c r="F7" s="15" t="s">
        <v>70</v>
      </c>
      <c r="G7" s="6" t="s">
        <v>46</v>
      </c>
      <c r="H7" s="6" t="s">
        <v>66</v>
      </c>
      <c r="I7" s="16" t="s">
        <v>45</v>
      </c>
      <c r="J7" s="17" t="s">
        <v>71</v>
      </c>
      <c r="K7" s="98" t="s">
        <v>40</v>
      </c>
      <c r="L7" s="98"/>
      <c r="M7" s="6">
        <v>39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13"/>
    </row>
    <row r="8" spans="1:76" s="48" customFormat="1" ht="23.1" customHeight="1">
      <c r="A8" s="87" t="s">
        <v>10</v>
      </c>
      <c r="B8" s="87" t="s">
        <v>0</v>
      </c>
      <c r="C8" s="88" t="s">
        <v>15</v>
      </c>
      <c r="D8" s="88" t="s">
        <v>50</v>
      </c>
      <c r="E8" s="88" t="s">
        <v>14</v>
      </c>
      <c r="F8" s="88" t="s">
        <v>17</v>
      </c>
      <c r="G8" s="88" t="s">
        <v>19</v>
      </c>
      <c r="H8" s="88"/>
      <c r="I8" s="88"/>
      <c r="J8" s="88"/>
      <c r="K8" s="89" t="s">
        <v>52</v>
      </c>
      <c r="L8" s="88" t="s">
        <v>18</v>
      </c>
      <c r="M8" s="88"/>
      <c r="N8" s="88"/>
      <c r="O8" s="89" t="s">
        <v>52</v>
      </c>
      <c r="P8" s="88" t="s">
        <v>1</v>
      </c>
      <c r="Q8" s="88" t="s">
        <v>51</v>
      </c>
      <c r="R8" s="88" t="s">
        <v>2</v>
      </c>
      <c r="S8" s="88" t="s">
        <v>11</v>
      </c>
      <c r="T8" s="88"/>
      <c r="U8" s="88"/>
      <c r="V8" s="88"/>
      <c r="W8" s="88"/>
      <c r="X8" s="88"/>
      <c r="Y8" s="89" t="s">
        <v>1</v>
      </c>
      <c r="Z8" s="88" t="s">
        <v>51</v>
      </c>
      <c r="AA8" s="88" t="s">
        <v>2</v>
      </c>
      <c r="AB8" s="88" t="s">
        <v>41</v>
      </c>
      <c r="AC8" s="88"/>
      <c r="AD8" s="88"/>
      <c r="AE8" s="88"/>
      <c r="AF8" s="88" t="s">
        <v>1</v>
      </c>
      <c r="AG8" s="88" t="s">
        <v>51</v>
      </c>
      <c r="AH8" s="88" t="s">
        <v>2</v>
      </c>
      <c r="AI8" s="88" t="s">
        <v>3</v>
      </c>
      <c r="AJ8" s="88"/>
      <c r="AK8" s="88"/>
      <c r="AL8" s="88"/>
      <c r="AM8" s="88" t="s">
        <v>1</v>
      </c>
      <c r="AN8" s="88" t="s">
        <v>51</v>
      </c>
      <c r="AO8" s="88" t="s">
        <v>2</v>
      </c>
      <c r="AP8" s="88" t="s">
        <v>4</v>
      </c>
      <c r="AQ8" s="88"/>
      <c r="AR8" s="88"/>
      <c r="AS8" s="88" t="s">
        <v>1</v>
      </c>
      <c r="AT8" s="88" t="s">
        <v>51</v>
      </c>
      <c r="AU8" s="88" t="s">
        <v>2</v>
      </c>
      <c r="AV8" s="88" t="s">
        <v>67</v>
      </c>
      <c r="AW8" s="88"/>
      <c r="AX8" s="88"/>
      <c r="AY8" s="88"/>
      <c r="AZ8" s="88" t="s">
        <v>1</v>
      </c>
      <c r="BA8" s="88" t="s">
        <v>51</v>
      </c>
      <c r="BB8" s="88" t="s">
        <v>2</v>
      </c>
      <c r="BC8" s="88" t="s">
        <v>49</v>
      </c>
      <c r="BD8" s="88"/>
      <c r="BE8" s="88"/>
      <c r="BF8" s="88"/>
      <c r="BG8" s="88" t="s">
        <v>1</v>
      </c>
      <c r="BH8" s="88" t="s">
        <v>51</v>
      </c>
      <c r="BI8" s="88" t="s">
        <v>2</v>
      </c>
      <c r="BJ8" s="88" t="s">
        <v>68</v>
      </c>
      <c r="BK8" s="88"/>
      <c r="BL8" s="88"/>
      <c r="BM8" s="88"/>
      <c r="BN8" s="88"/>
      <c r="BO8" s="88" t="s">
        <v>1</v>
      </c>
      <c r="BP8" s="88" t="s">
        <v>51</v>
      </c>
      <c r="BQ8" s="88" t="s">
        <v>2</v>
      </c>
      <c r="BR8" s="88" t="s">
        <v>5</v>
      </c>
      <c r="BS8" s="88" t="s">
        <v>6</v>
      </c>
      <c r="BT8" s="89" t="s">
        <v>54</v>
      </c>
      <c r="BU8" s="89" t="s">
        <v>42</v>
      </c>
      <c r="BV8" s="91" t="s">
        <v>43</v>
      </c>
      <c r="BW8" s="91" t="s">
        <v>48</v>
      </c>
      <c r="BX8" s="91" t="s">
        <v>44</v>
      </c>
    </row>
    <row r="9" spans="1:76" s="48" customFormat="1" ht="24">
      <c r="A9" s="87"/>
      <c r="B9" s="87"/>
      <c r="C9" s="88"/>
      <c r="D9" s="88"/>
      <c r="E9" s="88"/>
      <c r="F9" s="88"/>
      <c r="G9" s="49" t="s">
        <v>16</v>
      </c>
      <c r="H9" s="50" t="s">
        <v>7</v>
      </c>
      <c r="I9" s="50" t="s">
        <v>53</v>
      </c>
      <c r="J9" s="50" t="s">
        <v>8</v>
      </c>
      <c r="K9" s="90"/>
      <c r="L9" s="49" t="s">
        <v>16</v>
      </c>
      <c r="M9" s="50" t="s">
        <v>7</v>
      </c>
      <c r="N9" s="50" t="s">
        <v>53</v>
      </c>
      <c r="O9" s="90"/>
      <c r="P9" s="88"/>
      <c r="Q9" s="88"/>
      <c r="R9" s="88"/>
      <c r="S9" s="49" t="s">
        <v>16</v>
      </c>
      <c r="T9" s="50" t="s">
        <v>12</v>
      </c>
      <c r="U9" s="50" t="s">
        <v>60</v>
      </c>
      <c r="V9" s="50" t="s">
        <v>16</v>
      </c>
      <c r="W9" s="50" t="s">
        <v>13</v>
      </c>
      <c r="X9" s="50" t="s">
        <v>60</v>
      </c>
      <c r="Y9" s="90"/>
      <c r="Z9" s="88"/>
      <c r="AA9" s="88"/>
      <c r="AB9" s="49" t="s">
        <v>16</v>
      </c>
      <c r="AC9" s="50" t="s">
        <v>7</v>
      </c>
      <c r="AD9" s="50" t="s">
        <v>53</v>
      </c>
      <c r="AE9" s="50" t="s">
        <v>8</v>
      </c>
      <c r="AF9" s="88"/>
      <c r="AG9" s="88"/>
      <c r="AH9" s="88"/>
      <c r="AI9" s="49" t="s">
        <v>16</v>
      </c>
      <c r="AJ9" s="50" t="s">
        <v>7</v>
      </c>
      <c r="AK9" s="50" t="s">
        <v>53</v>
      </c>
      <c r="AL9" s="50" t="s">
        <v>8</v>
      </c>
      <c r="AM9" s="88"/>
      <c r="AN9" s="88"/>
      <c r="AO9" s="88"/>
      <c r="AP9" s="49" t="s">
        <v>16</v>
      </c>
      <c r="AQ9" s="50" t="s">
        <v>151</v>
      </c>
      <c r="AR9" s="50" t="s">
        <v>9</v>
      </c>
      <c r="AS9" s="88"/>
      <c r="AT9" s="88"/>
      <c r="AU9" s="88"/>
      <c r="AV9" s="49" t="s">
        <v>16</v>
      </c>
      <c r="AW9" s="50" t="s">
        <v>7</v>
      </c>
      <c r="AX9" s="50" t="s">
        <v>53</v>
      </c>
      <c r="AY9" s="50" t="s">
        <v>8</v>
      </c>
      <c r="AZ9" s="88"/>
      <c r="BA9" s="88"/>
      <c r="BB9" s="88"/>
      <c r="BC9" s="49" t="s">
        <v>16</v>
      </c>
      <c r="BD9" s="50" t="s">
        <v>7</v>
      </c>
      <c r="BE9" s="50" t="s">
        <v>53</v>
      </c>
      <c r="BF9" s="50" t="s">
        <v>8</v>
      </c>
      <c r="BG9" s="88"/>
      <c r="BH9" s="88"/>
      <c r="BI9" s="88"/>
      <c r="BJ9" s="49" t="s">
        <v>16</v>
      </c>
      <c r="BK9" s="50" t="s">
        <v>7</v>
      </c>
      <c r="BL9" s="50" t="s">
        <v>53</v>
      </c>
      <c r="BM9" s="50" t="s">
        <v>8</v>
      </c>
      <c r="BN9" s="50" t="s">
        <v>9</v>
      </c>
      <c r="BO9" s="88"/>
      <c r="BP9" s="88"/>
      <c r="BQ9" s="88"/>
      <c r="BR9" s="88"/>
      <c r="BS9" s="88"/>
      <c r="BT9" s="90"/>
      <c r="BU9" s="90"/>
      <c r="BV9" s="92"/>
      <c r="BW9" s="92"/>
      <c r="BX9" s="92"/>
    </row>
    <row r="10" spans="1:76" s="9" customFormat="1" ht="27.95" customHeight="1">
      <c r="A10" s="44">
        <v>1</v>
      </c>
      <c r="B10" s="51">
        <v>1</v>
      </c>
      <c r="C10" s="52" t="s">
        <v>74</v>
      </c>
      <c r="D10" s="52" t="s">
        <v>75</v>
      </c>
      <c r="E10" s="52" t="s">
        <v>154</v>
      </c>
      <c r="F10" s="56">
        <v>1605562549</v>
      </c>
      <c r="G10" s="59">
        <v>20</v>
      </c>
      <c r="H10" s="60">
        <v>45</v>
      </c>
      <c r="I10" s="61">
        <f>H10+G10</f>
        <v>65</v>
      </c>
      <c r="J10" s="60">
        <v>30</v>
      </c>
      <c r="K10" s="61">
        <f>I10+J10</f>
        <v>95</v>
      </c>
      <c r="L10" s="62">
        <v>10</v>
      </c>
      <c r="M10" s="60">
        <v>38</v>
      </c>
      <c r="N10" s="61">
        <f>M10+L10</f>
        <v>48</v>
      </c>
      <c r="O10" s="61">
        <f>N10</f>
        <v>48</v>
      </c>
      <c r="P10" s="61">
        <f>K10+O10</f>
        <v>143</v>
      </c>
      <c r="Q10" s="136">
        <f>MAX(P10:P49)</f>
        <v>143</v>
      </c>
      <c r="R10" s="60">
        <f>IF(P10&lt;48,"F",IF(P10&lt;60,2,IF(P10&lt;75,3,IF(P10&lt;90,3.5,IF(P10&lt;120,4,5)))))</f>
        <v>5</v>
      </c>
      <c r="S10" s="62">
        <v>19</v>
      </c>
      <c r="T10" s="60">
        <v>78</v>
      </c>
      <c r="U10" s="61">
        <f>T10+S10</f>
        <v>97</v>
      </c>
      <c r="V10" s="62">
        <v>7</v>
      </c>
      <c r="W10" s="60">
        <v>37</v>
      </c>
      <c r="X10" s="61">
        <f>W10+V10</f>
        <v>44</v>
      </c>
      <c r="Y10" s="61">
        <f>U10+X10</f>
        <v>141</v>
      </c>
      <c r="Z10" s="136">
        <f>MAX(Y10:Y49)</f>
        <v>141</v>
      </c>
      <c r="AA10" s="60">
        <f>IF(Y10&lt;60,"F",IF(Y10&lt;60,2,IF(Y10&lt;75,3,IF(Y10&lt;90,3.5,IF(Y10&lt;120,4,5)))))</f>
        <v>5</v>
      </c>
      <c r="AB10" s="62">
        <v>20</v>
      </c>
      <c r="AC10" s="60">
        <v>44</v>
      </c>
      <c r="AD10" s="61">
        <f>AC10+AB10</f>
        <v>64</v>
      </c>
      <c r="AE10" s="60">
        <v>28</v>
      </c>
      <c r="AF10" s="61">
        <f>AD10+AE10</f>
        <v>92</v>
      </c>
      <c r="AG10" s="136">
        <f>MAX(AF10:AF49)</f>
        <v>95</v>
      </c>
      <c r="AH10" s="60">
        <f>IF(AF10&lt;40,"F",IF(AF10&lt;50,2,IF(AF10&lt;60,3,IF(AF10&lt;70,3.5,IF(AF10&lt;80,4,5)))))</f>
        <v>5</v>
      </c>
      <c r="AI10" s="62">
        <v>20</v>
      </c>
      <c r="AJ10" s="60">
        <v>50</v>
      </c>
      <c r="AK10" s="61">
        <f>AJ10+AI10</f>
        <v>70</v>
      </c>
      <c r="AL10" s="60">
        <v>28</v>
      </c>
      <c r="AM10" s="61">
        <f>+AK10+AL10</f>
        <v>98</v>
      </c>
      <c r="AN10" s="136">
        <f>MAX(AM10:AM49)</f>
        <v>100</v>
      </c>
      <c r="AO10" s="60">
        <f>IF(AM10&lt;40,"F",IF(AM10&lt;50,2,IF(AM10&lt;60,3,IF(AM10&lt;70,3.5,IF(AM10&lt;80,4,5)))))</f>
        <v>5</v>
      </c>
      <c r="AP10" s="63"/>
      <c r="AQ10" s="60">
        <v>22</v>
      </c>
      <c r="AR10" s="60">
        <v>24</v>
      </c>
      <c r="AS10" s="60">
        <f>AP10+AQ10+AR10</f>
        <v>46</v>
      </c>
      <c r="AT10" s="141">
        <f>MAX(AS10:AS49)</f>
        <v>46</v>
      </c>
      <c r="AU10" s="60">
        <f>IF(AS10&lt;20,"F",IF(AS10&lt;25,2,IF(AS10&lt;30,3,IF(AS10&lt;35,3.5,IF(AS10&lt;40,4,5)))))</f>
        <v>5</v>
      </c>
      <c r="AV10" s="62">
        <v>20</v>
      </c>
      <c r="AW10" s="60">
        <v>49</v>
      </c>
      <c r="AX10" s="61">
        <f>AW10+AV10</f>
        <v>69</v>
      </c>
      <c r="AY10" s="60">
        <v>30</v>
      </c>
      <c r="AZ10" s="61">
        <f>AX10+AY10</f>
        <v>99</v>
      </c>
      <c r="BA10" s="136">
        <f>MAX(AZ10:AZ49)</f>
        <v>99</v>
      </c>
      <c r="BB10" s="60">
        <f>IF(AZ10&lt;40,"F",IF(AZ10&lt;50,2,IF(AZ10&lt;60,3,IF(AZ10&lt;70,3.5,IF(AZ10&lt;80,4,5)))))</f>
        <v>5</v>
      </c>
      <c r="BC10" s="62">
        <v>19</v>
      </c>
      <c r="BD10" s="60">
        <v>48</v>
      </c>
      <c r="BE10" s="61">
        <f>BD10+BC10</f>
        <v>67</v>
      </c>
      <c r="BF10" s="60">
        <v>26</v>
      </c>
      <c r="BG10" s="61">
        <f>BE10+BF10</f>
        <v>93</v>
      </c>
      <c r="BH10" s="136">
        <f>MAX(BG10:BG49)</f>
        <v>98</v>
      </c>
      <c r="BI10" s="60">
        <f>IF(BG10&lt;40,"F",IF(BG10&lt;50,2,IF(BG10&lt;60,3,IF(BG10&lt;70,3.5,IF(BG10&lt;80,4,5)))))</f>
        <v>5</v>
      </c>
      <c r="BJ10" s="62">
        <v>10</v>
      </c>
      <c r="BK10" s="60">
        <v>32</v>
      </c>
      <c r="BL10" s="61">
        <f>BK10+BJ10</f>
        <v>42</v>
      </c>
      <c r="BM10" s="60"/>
      <c r="BN10" s="60">
        <v>25</v>
      </c>
      <c r="BO10" s="61">
        <f>BL10</f>
        <v>42</v>
      </c>
      <c r="BP10" s="93" t="e">
        <f>MAX(BO10:BO49)</f>
        <v>#VALUE!</v>
      </c>
      <c r="BQ10" s="60">
        <f>IF(BL10&lt;20,"F",IF(BO10&lt;20,"F",IF(BO10&lt;25,2,IF(BO10&lt;30,3,IF(BO10&lt;35,3.5,IF(BO10&lt;40,4,5))))))</f>
        <v>5</v>
      </c>
      <c r="BR10" s="60">
        <f>IF(R10="F","F",IF(AA10="F","F",IF(AH10="F","F",IF(AO10="F","F",IF(BB10="F","F",IF(BI10="F","F",IF(AU10="F","F",SUM(R10,AA10,AH10,AO10,AU10,BB10,BI10))))))))</f>
        <v>35</v>
      </c>
      <c r="BS10" s="64">
        <f>IF(BR10="F","F",IF(BR10&gt;=45,5,IF(BR10&lt;45,BR10/7)))</f>
        <v>5</v>
      </c>
      <c r="BT10" s="65" t="str">
        <f>IF(BS10="F","F",IF(BS10&lt;2.5,"D",IF(BS10&lt;3,"C",IF(BS10&lt;3.5,"B",IF(BS10&lt;4,"A-",IF(BS10&lt;5,"A","A+"))))))</f>
        <v>A+</v>
      </c>
      <c r="BU10" s="47" t="str">
        <f t="shared" ref="BU10:BU36" si="0">IF(BS10="F","NEED TO PROGRESS",IF(BS10&gt;=5,"BEST",IF(BS10&gt;=4,"BETTER",IF(BS10&gt;=2,"GOOD"))))</f>
        <v>BEST</v>
      </c>
      <c r="BV10" s="46">
        <f>P10+Y10+AF10+AM10+AS10+AZ10+BG10</f>
        <v>712</v>
      </c>
      <c r="BW10" s="45"/>
      <c r="BX10" s="45"/>
    </row>
    <row r="11" spans="1:76" s="9" customFormat="1" ht="27.95" customHeight="1">
      <c r="A11" s="44">
        <v>2</v>
      </c>
      <c r="B11" s="51">
        <v>2</v>
      </c>
      <c r="C11" s="52" t="s">
        <v>155</v>
      </c>
      <c r="D11" s="52" t="s">
        <v>156</v>
      </c>
      <c r="E11" s="52" t="s">
        <v>157</v>
      </c>
      <c r="F11" s="56" t="s">
        <v>209</v>
      </c>
      <c r="G11" s="59">
        <v>20</v>
      </c>
      <c r="H11" s="60">
        <v>43</v>
      </c>
      <c r="I11" s="61">
        <f>H11+G11</f>
        <v>63</v>
      </c>
      <c r="J11" s="60">
        <v>29</v>
      </c>
      <c r="K11" s="61">
        <f>I11+J11</f>
        <v>92</v>
      </c>
      <c r="L11" s="62">
        <v>10</v>
      </c>
      <c r="M11" s="60">
        <v>37</v>
      </c>
      <c r="N11" s="61">
        <f>M11+L11</f>
        <v>47</v>
      </c>
      <c r="O11" s="61">
        <f t="shared" ref="O11:O49" si="1">N11</f>
        <v>47</v>
      </c>
      <c r="P11" s="61">
        <f>K11+O11</f>
        <v>139</v>
      </c>
      <c r="Q11" s="139"/>
      <c r="R11" s="60">
        <f t="shared" ref="R11:R49" si="2">IF(P11&lt;48,"F",IF(P11&lt;60,2,IF(P11&lt;75,3,IF(P11&lt;90,3.5,IF(P11&lt;120,4,5)))))</f>
        <v>5</v>
      </c>
      <c r="S11" s="62">
        <v>20</v>
      </c>
      <c r="T11" s="60">
        <v>78</v>
      </c>
      <c r="U11" s="61">
        <f t="shared" ref="U11:U49" si="3">T11+S11</f>
        <v>98</v>
      </c>
      <c r="V11" s="62">
        <v>7</v>
      </c>
      <c r="W11" s="60">
        <v>35</v>
      </c>
      <c r="X11" s="61">
        <f t="shared" ref="X11:X49" si="4">W11+V11</f>
        <v>42</v>
      </c>
      <c r="Y11" s="61">
        <f t="shared" ref="Y11:Y49" si="5">U11+X11</f>
        <v>140</v>
      </c>
      <c r="Z11" s="139"/>
      <c r="AA11" s="60">
        <f t="shared" ref="AA11:AA49" si="6">IF(Y11&lt;60,"F",IF(Y11&lt;60,2,IF(Y11&lt;75,3,IF(Y11&lt;90,3.5,IF(Y11&lt;120,4,5)))))</f>
        <v>5</v>
      </c>
      <c r="AB11" s="62">
        <v>19</v>
      </c>
      <c r="AC11" s="60">
        <v>46</v>
      </c>
      <c r="AD11" s="61">
        <f t="shared" ref="AD11:AD49" si="7">AC11+AB11</f>
        <v>65</v>
      </c>
      <c r="AE11" s="60">
        <v>29</v>
      </c>
      <c r="AF11" s="61">
        <f t="shared" ref="AF11:AF49" si="8">AD11+AE11</f>
        <v>94</v>
      </c>
      <c r="AG11" s="139"/>
      <c r="AH11" s="60">
        <f t="shared" ref="AH11:AH49" si="9">IF(AF11&lt;40,"F",IF(AF11&lt;50,2,IF(AF11&lt;60,3,IF(AF11&lt;70,3.5,IF(AF11&lt;80,4,5)))))</f>
        <v>5</v>
      </c>
      <c r="AI11" s="62">
        <v>20</v>
      </c>
      <c r="AJ11" s="60">
        <v>50</v>
      </c>
      <c r="AK11" s="61">
        <f t="shared" ref="AK11:AK49" si="10">AJ11+AI11</f>
        <v>70</v>
      </c>
      <c r="AL11" s="60">
        <v>30</v>
      </c>
      <c r="AM11" s="61">
        <f t="shared" ref="AM11:AM49" si="11">+AK11+AL11</f>
        <v>100</v>
      </c>
      <c r="AN11" s="139"/>
      <c r="AO11" s="60">
        <f t="shared" ref="AO11:AO49" si="12">IF(AM11&lt;40,"F",IF(AM11&lt;50,2,IF(AM11&lt;60,3,IF(AM11&lt;70,3.5,IF(AM11&lt;80,4,5)))))</f>
        <v>5</v>
      </c>
      <c r="AP11" s="63"/>
      <c r="AQ11" s="60">
        <v>22</v>
      </c>
      <c r="AR11" s="60">
        <v>24</v>
      </c>
      <c r="AS11" s="60">
        <f t="shared" ref="AS11:AS49" si="13">AP11+AQ11+AR11</f>
        <v>46</v>
      </c>
      <c r="AT11" s="137"/>
      <c r="AU11" s="60">
        <f t="shared" ref="AU11:AU49" si="14">IF(AS11&lt;20,"F",IF(AS11&lt;25,2,IF(AS11&lt;30,3,IF(AS11&lt;35,3.5,IF(AS11&lt;40,4,5)))))</f>
        <v>5</v>
      </c>
      <c r="AV11" s="62">
        <v>20</v>
      </c>
      <c r="AW11" s="60">
        <v>49</v>
      </c>
      <c r="AX11" s="61">
        <f t="shared" ref="AX11:AX49" si="15">AW11+AV11</f>
        <v>69</v>
      </c>
      <c r="AY11" s="60">
        <v>30</v>
      </c>
      <c r="AZ11" s="61">
        <f t="shared" ref="AZ11:AZ49" si="16">AX11+AY11</f>
        <v>99</v>
      </c>
      <c r="BA11" s="139"/>
      <c r="BB11" s="60">
        <f t="shared" ref="BB11:BB49" si="17">IF(AZ11&lt;40,"F",IF(AZ11&lt;50,2,IF(AZ11&lt;60,3,IF(AZ11&lt;70,3.5,IF(AZ11&lt;80,4,5)))))</f>
        <v>5</v>
      </c>
      <c r="BC11" s="62">
        <v>20</v>
      </c>
      <c r="BD11" s="60">
        <v>48</v>
      </c>
      <c r="BE11" s="61">
        <f t="shared" ref="BE11:BE49" si="18">BD11+BC11</f>
        <v>68</v>
      </c>
      <c r="BF11" s="60">
        <v>30</v>
      </c>
      <c r="BG11" s="61">
        <f t="shared" ref="BG11:BG49" si="19">BE11+BF11</f>
        <v>98</v>
      </c>
      <c r="BH11" s="137"/>
      <c r="BI11" s="60">
        <f t="shared" ref="BI11:BI49" si="20">IF(BG11&lt;40,"F",IF(BG11&lt;50,2,IF(BG11&lt;60,3,IF(BG11&lt;70,3.5,IF(BG11&lt;80,4,5)))))</f>
        <v>5</v>
      </c>
      <c r="BJ11" s="62">
        <v>10</v>
      </c>
      <c r="BK11" s="60">
        <v>32</v>
      </c>
      <c r="BL11" s="61">
        <f t="shared" ref="BL11:BL49" si="21">BK11+BJ11</f>
        <v>42</v>
      </c>
      <c r="BM11" s="60"/>
      <c r="BN11" s="60">
        <v>25</v>
      </c>
      <c r="BO11" s="61">
        <f t="shared" ref="BO11:BO49" si="22">BL11</f>
        <v>42</v>
      </c>
      <c r="BP11" s="94"/>
      <c r="BQ11" s="60">
        <f t="shared" ref="BQ11:BQ49" si="23">IF(BL11&lt;20,"F",IF(BO11&lt;20,"F",IF(BO11&lt;25,2,IF(BO11&lt;30,3,IF(BO11&lt;35,3.5,IF(BO11&lt;40,4,5))))))</f>
        <v>5</v>
      </c>
      <c r="BR11" s="60">
        <f>IF(R11="F","F",IF(AA11="F","F",IF(AH11="F","F",IF(AO11="F","F",IF(BB11="F","F",IF(BI11="F","F",IF(AU11="F","F",SUM(R11,AA11,AH11,AO11,AU11,BB11,BI11))))))))</f>
        <v>35</v>
      </c>
      <c r="BS11" s="64">
        <f t="shared" ref="BS11:BS36" si="24">IF(BR11="F","F",IF(BR11&gt;=45,5,IF(BR11&lt;45,BR11/7)))</f>
        <v>5</v>
      </c>
      <c r="BT11" s="65" t="str">
        <f t="shared" ref="BT11:BT36" si="25">IF(BS11="F","F",IF(BS11&lt;2.5,"D",IF(BS11&lt;3,"C",IF(BS11&lt;3.5,"B",IF(BS11&lt;4,"A-",IF(BS11&lt;5,"A","A+"))))))</f>
        <v>A+</v>
      </c>
      <c r="BU11" s="47" t="str">
        <f t="shared" si="0"/>
        <v>BEST</v>
      </c>
      <c r="BV11" s="46">
        <f>P11+Y11+AF11+AM11+AS11+AZ11+BG11</f>
        <v>716</v>
      </c>
      <c r="BW11" s="45"/>
      <c r="BX11" s="45"/>
    </row>
    <row r="12" spans="1:76" s="9" customFormat="1" ht="27.95" customHeight="1">
      <c r="A12" s="44">
        <v>3</v>
      </c>
      <c r="B12" s="51">
        <v>3</v>
      </c>
      <c r="C12" s="52" t="s">
        <v>76</v>
      </c>
      <c r="D12" s="52" t="s">
        <v>77</v>
      </c>
      <c r="E12" s="52" t="s">
        <v>78</v>
      </c>
      <c r="F12" s="56" t="s">
        <v>134</v>
      </c>
      <c r="G12" s="59">
        <v>20</v>
      </c>
      <c r="H12" s="60">
        <v>43</v>
      </c>
      <c r="I12" s="61">
        <f t="shared" ref="I12:I26" si="26">H12+G12</f>
        <v>63</v>
      </c>
      <c r="J12" s="60">
        <v>29</v>
      </c>
      <c r="K12" s="61">
        <f t="shared" ref="K12:K26" si="27">I12+J12</f>
        <v>92</v>
      </c>
      <c r="L12" s="62">
        <v>10</v>
      </c>
      <c r="M12" s="60">
        <v>38</v>
      </c>
      <c r="N12" s="61">
        <f t="shared" ref="N12:N26" si="28">M12+L12</f>
        <v>48</v>
      </c>
      <c r="O12" s="61">
        <f t="shared" si="1"/>
        <v>48</v>
      </c>
      <c r="P12" s="61">
        <f>K12+O12</f>
        <v>140</v>
      </c>
      <c r="Q12" s="139"/>
      <c r="R12" s="60">
        <f t="shared" si="2"/>
        <v>5</v>
      </c>
      <c r="S12" s="62">
        <v>20</v>
      </c>
      <c r="T12" s="60">
        <v>73</v>
      </c>
      <c r="U12" s="61">
        <f t="shared" si="3"/>
        <v>93</v>
      </c>
      <c r="V12" s="62">
        <v>6</v>
      </c>
      <c r="W12" s="60">
        <v>35</v>
      </c>
      <c r="X12" s="61">
        <f t="shared" si="4"/>
        <v>41</v>
      </c>
      <c r="Y12" s="61">
        <f t="shared" si="5"/>
        <v>134</v>
      </c>
      <c r="Z12" s="139"/>
      <c r="AA12" s="60">
        <f t="shared" si="6"/>
        <v>5</v>
      </c>
      <c r="AB12" s="62">
        <v>19</v>
      </c>
      <c r="AC12" s="60">
        <v>45</v>
      </c>
      <c r="AD12" s="61">
        <f t="shared" si="7"/>
        <v>64</v>
      </c>
      <c r="AE12" s="60">
        <v>26</v>
      </c>
      <c r="AF12" s="61">
        <f t="shared" si="8"/>
        <v>90</v>
      </c>
      <c r="AG12" s="139"/>
      <c r="AH12" s="60">
        <f t="shared" si="9"/>
        <v>5</v>
      </c>
      <c r="AI12" s="62">
        <v>20</v>
      </c>
      <c r="AJ12" s="60">
        <v>48</v>
      </c>
      <c r="AK12" s="61">
        <f t="shared" si="10"/>
        <v>68</v>
      </c>
      <c r="AL12" s="60">
        <v>30</v>
      </c>
      <c r="AM12" s="61">
        <f t="shared" si="11"/>
        <v>98</v>
      </c>
      <c r="AN12" s="139"/>
      <c r="AO12" s="60">
        <f t="shared" si="12"/>
        <v>5</v>
      </c>
      <c r="AP12" s="63"/>
      <c r="AQ12" s="60">
        <v>22</v>
      </c>
      <c r="AR12" s="60">
        <v>24</v>
      </c>
      <c r="AS12" s="60">
        <f t="shared" si="13"/>
        <v>46</v>
      </c>
      <c r="AT12" s="137"/>
      <c r="AU12" s="60">
        <f t="shared" si="14"/>
        <v>5</v>
      </c>
      <c r="AV12" s="62">
        <v>20</v>
      </c>
      <c r="AW12" s="60">
        <v>49</v>
      </c>
      <c r="AX12" s="61">
        <f t="shared" si="15"/>
        <v>69</v>
      </c>
      <c r="AY12" s="60">
        <v>28</v>
      </c>
      <c r="AZ12" s="61">
        <f t="shared" si="16"/>
        <v>97</v>
      </c>
      <c r="BA12" s="139"/>
      <c r="BB12" s="60">
        <f t="shared" si="17"/>
        <v>5</v>
      </c>
      <c r="BC12" s="62">
        <v>19</v>
      </c>
      <c r="BD12" s="60">
        <v>46</v>
      </c>
      <c r="BE12" s="61">
        <f t="shared" si="18"/>
        <v>65</v>
      </c>
      <c r="BF12" s="60">
        <v>28</v>
      </c>
      <c r="BG12" s="61">
        <f t="shared" si="19"/>
        <v>93</v>
      </c>
      <c r="BH12" s="137"/>
      <c r="BI12" s="60">
        <f t="shared" si="20"/>
        <v>5</v>
      </c>
      <c r="BJ12" s="62">
        <v>10</v>
      </c>
      <c r="BK12" s="60">
        <v>32</v>
      </c>
      <c r="BL12" s="61">
        <f t="shared" si="21"/>
        <v>42</v>
      </c>
      <c r="BM12" s="60"/>
      <c r="BN12" s="60">
        <v>25</v>
      </c>
      <c r="BO12" s="61">
        <f t="shared" si="22"/>
        <v>42</v>
      </c>
      <c r="BP12" s="94"/>
      <c r="BQ12" s="60">
        <f t="shared" si="23"/>
        <v>5</v>
      </c>
      <c r="BR12" s="60">
        <f>IF(R12="F","F",IF(AA12="F","F",IF(AH12="F","F",IF(AO12="F","F",IF(BB12="F","F",IF(BI12="F","F",IF(AU12="F","F",SUM(R12,AA12,AH12,AO12,AU12,BB12,BI12))))))))</f>
        <v>35</v>
      </c>
      <c r="BS12" s="64">
        <f t="shared" si="24"/>
        <v>5</v>
      </c>
      <c r="BT12" s="65" t="str">
        <f t="shared" si="25"/>
        <v>A+</v>
      </c>
      <c r="BU12" s="47" t="str">
        <f t="shared" si="0"/>
        <v>BEST</v>
      </c>
      <c r="BV12" s="46">
        <f>P12+Y12+AF12+AM12+AS12+AZ12+BG12</f>
        <v>698</v>
      </c>
      <c r="BW12" s="45"/>
      <c r="BX12" s="45"/>
    </row>
    <row r="13" spans="1:76" s="9" customFormat="1" ht="27.95" customHeight="1">
      <c r="A13" s="44">
        <v>4</v>
      </c>
      <c r="B13" s="51">
        <v>4</v>
      </c>
      <c r="C13" s="53" t="s">
        <v>158</v>
      </c>
      <c r="D13" s="53" t="s">
        <v>159</v>
      </c>
      <c r="E13" s="53" t="s">
        <v>160</v>
      </c>
      <c r="F13" s="56" t="s">
        <v>210</v>
      </c>
      <c r="G13" s="59">
        <v>20</v>
      </c>
      <c r="H13" s="60">
        <v>30</v>
      </c>
      <c r="I13" s="61">
        <f t="shared" si="26"/>
        <v>50</v>
      </c>
      <c r="J13" s="60">
        <v>27</v>
      </c>
      <c r="K13" s="61">
        <f t="shared" si="27"/>
        <v>77</v>
      </c>
      <c r="L13" s="62">
        <v>9</v>
      </c>
      <c r="M13" s="60">
        <v>29</v>
      </c>
      <c r="N13" s="61">
        <f t="shared" si="28"/>
        <v>38</v>
      </c>
      <c r="O13" s="61">
        <f t="shared" si="1"/>
        <v>38</v>
      </c>
      <c r="P13" s="61">
        <f>K13+O13</f>
        <v>115</v>
      </c>
      <c r="Q13" s="139"/>
      <c r="R13" s="60">
        <f t="shared" si="2"/>
        <v>4</v>
      </c>
      <c r="S13" s="62">
        <v>17</v>
      </c>
      <c r="T13" s="60">
        <v>71</v>
      </c>
      <c r="U13" s="61">
        <f t="shared" si="3"/>
        <v>88</v>
      </c>
      <c r="V13" s="62">
        <v>6</v>
      </c>
      <c r="W13" s="60">
        <v>36</v>
      </c>
      <c r="X13" s="61">
        <f t="shared" si="4"/>
        <v>42</v>
      </c>
      <c r="Y13" s="61">
        <f t="shared" si="5"/>
        <v>130</v>
      </c>
      <c r="Z13" s="139"/>
      <c r="AA13" s="60">
        <f t="shared" si="6"/>
        <v>5</v>
      </c>
      <c r="AB13" s="62">
        <v>19</v>
      </c>
      <c r="AC13" s="60">
        <v>40</v>
      </c>
      <c r="AD13" s="61">
        <f t="shared" si="7"/>
        <v>59</v>
      </c>
      <c r="AE13" s="60">
        <v>24</v>
      </c>
      <c r="AF13" s="61">
        <f t="shared" si="8"/>
        <v>83</v>
      </c>
      <c r="AG13" s="139"/>
      <c r="AH13" s="60">
        <f t="shared" si="9"/>
        <v>5</v>
      </c>
      <c r="AI13" s="62">
        <v>19</v>
      </c>
      <c r="AJ13" s="60">
        <v>46</v>
      </c>
      <c r="AK13" s="61">
        <f t="shared" si="10"/>
        <v>65</v>
      </c>
      <c r="AL13" s="60">
        <v>26</v>
      </c>
      <c r="AM13" s="61">
        <f t="shared" si="11"/>
        <v>91</v>
      </c>
      <c r="AN13" s="139"/>
      <c r="AO13" s="60">
        <f t="shared" si="12"/>
        <v>5</v>
      </c>
      <c r="AP13" s="63"/>
      <c r="AQ13" s="60">
        <v>22</v>
      </c>
      <c r="AR13" s="60">
        <v>24</v>
      </c>
      <c r="AS13" s="60">
        <f t="shared" si="13"/>
        <v>46</v>
      </c>
      <c r="AT13" s="137"/>
      <c r="AU13" s="60">
        <f t="shared" si="14"/>
        <v>5</v>
      </c>
      <c r="AV13" s="62">
        <v>20</v>
      </c>
      <c r="AW13" s="60">
        <v>49</v>
      </c>
      <c r="AX13" s="61">
        <f t="shared" si="15"/>
        <v>69</v>
      </c>
      <c r="AY13" s="60">
        <v>24</v>
      </c>
      <c r="AZ13" s="61">
        <f t="shared" si="16"/>
        <v>93</v>
      </c>
      <c r="BA13" s="139"/>
      <c r="BB13" s="60">
        <f t="shared" si="17"/>
        <v>5</v>
      </c>
      <c r="BC13" s="62">
        <v>18</v>
      </c>
      <c r="BD13" s="60">
        <v>46</v>
      </c>
      <c r="BE13" s="61">
        <f t="shared" si="18"/>
        <v>64</v>
      </c>
      <c r="BF13" s="60">
        <v>21</v>
      </c>
      <c r="BG13" s="61">
        <f t="shared" si="19"/>
        <v>85</v>
      </c>
      <c r="BH13" s="137"/>
      <c r="BI13" s="60">
        <f t="shared" si="20"/>
        <v>5</v>
      </c>
      <c r="BJ13" s="62">
        <v>10</v>
      </c>
      <c r="BK13" s="60">
        <v>32</v>
      </c>
      <c r="BL13" s="61">
        <f t="shared" si="21"/>
        <v>42</v>
      </c>
      <c r="BM13" s="60"/>
      <c r="BN13" s="60">
        <v>25</v>
      </c>
      <c r="BO13" s="61">
        <f t="shared" si="22"/>
        <v>42</v>
      </c>
      <c r="BP13" s="94"/>
      <c r="BQ13" s="60">
        <f t="shared" si="23"/>
        <v>5</v>
      </c>
      <c r="BR13" s="60">
        <f>IF(R13="F","F",IF(AA13="F","F",IF(AH13="F","F",IF(AO13="F","F",IF(BB13="F","F",IF(BI13="F","F",IF(AU13="F","F",SUM(R13,AA13,AH13,AO13,AU13,BB13,BI13))))))))</f>
        <v>34</v>
      </c>
      <c r="BS13" s="64">
        <f t="shared" si="24"/>
        <v>4.8571428571428568</v>
      </c>
      <c r="BT13" s="65" t="str">
        <f t="shared" si="25"/>
        <v>A</v>
      </c>
      <c r="BU13" s="47" t="str">
        <f t="shared" si="0"/>
        <v>BETTER</v>
      </c>
      <c r="BV13" s="46">
        <f>P13+Y13+AF13+AM13+AS13+AZ13+BG13</f>
        <v>643</v>
      </c>
      <c r="BW13" s="45"/>
      <c r="BX13" s="45"/>
    </row>
    <row r="14" spans="1:76" s="9" customFormat="1" ht="27.95" customHeight="1">
      <c r="A14" s="44">
        <v>5</v>
      </c>
      <c r="B14" s="51">
        <v>5</v>
      </c>
      <c r="C14" s="52" t="s">
        <v>79</v>
      </c>
      <c r="D14" s="52" t="s">
        <v>80</v>
      </c>
      <c r="E14" s="52" t="s">
        <v>81</v>
      </c>
      <c r="F14" s="56" t="s">
        <v>135</v>
      </c>
      <c r="G14" s="59">
        <v>19</v>
      </c>
      <c r="H14" s="60">
        <v>37</v>
      </c>
      <c r="I14" s="61">
        <f t="shared" si="26"/>
        <v>56</v>
      </c>
      <c r="J14" s="60">
        <v>30</v>
      </c>
      <c r="K14" s="61">
        <f t="shared" si="27"/>
        <v>86</v>
      </c>
      <c r="L14" s="62">
        <v>9</v>
      </c>
      <c r="M14" s="60">
        <v>34</v>
      </c>
      <c r="N14" s="61">
        <f t="shared" si="28"/>
        <v>43</v>
      </c>
      <c r="O14" s="61">
        <f t="shared" si="1"/>
        <v>43</v>
      </c>
      <c r="P14" s="61">
        <f>K14+O14</f>
        <v>129</v>
      </c>
      <c r="Q14" s="139"/>
      <c r="R14" s="60">
        <f t="shared" si="2"/>
        <v>5</v>
      </c>
      <c r="S14" s="62">
        <v>17</v>
      </c>
      <c r="T14" s="60">
        <v>65</v>
      </c>
      <c r="U14" s="61">
        <f t="shared" si="3"/>
        <v>82</v>
      </c>
      <c r="V14" s="62">
        <v>6</v>
      </c>
      <c r="W14" s="60">
        <v>33</v>
      </c>
      <c r="X14" s="61">
        <f t="shared" si="4"/>
        <v>39</v>
      </c>
      <c r="Y14" s="61">
        <f t="shared" si="5"/>
        <v>121</v>
      </c>
      <c r="Z14" s="139"/>
      <c r="AA14" s="60">
        <f t="shared" si="6"/>
        <v>5</v>
      </c>
      <c r="AB14" s="62">
        <v>20</v>
      </c>
      <c r="AC14" s="60">
        <v>39</v>
      </c>
      <c r="AD14" s="61">
        <f t="shared" si="7"/>
        <v>59</v>
      </c>
      <c r="AE14" s="60">
        <v>24</v>
      </c>
      <c r="AF14" s="61">
        <f t="shared" si="8"/>
        <v>83</v>
      </c>
      <c r="AG14" s="139"/>
      <c r="AH14" s="60">
        <f t="shared" si="9"/>
        <v>5</v>
      </c>
      <c r="AI14" s="62">
        <v>20</v>
      </c>
      <c r="AJ14" s="60">
        <v>46</v>
      </c>
      <c r="AK14" s="61">
        <f t="shared" si="10"/>
        <v>66</v>
      </c>
      <c r="AL14" s="60">
        <v>28</v>
      </c>
      <c r="AM14" s="61">
        <f t="shared" si="11"/>
        <v>94</v>
      </c>
      <c r="AN14" s="139"/>
      <c r="AO14" s="60">
        <f t="shared" si="12"/>
        <v>5</v>
      </c>
      <c r="AP14" s="63"/>
      <c r="AQ14" s="60">
        <v>22</v>
      </c>
      <c r="AR14" s="60">
        <v>24</v>
      </c>
      <c r="AS14" s="60">
        <f t="shared" si="13"/>
        <v>46</v>
      </c>
      <c r="AT14" s="137"/>
      <c r="AU14" s="60">
        <f t="shared" si="14"/>
        <v>5</v>
      </c>
      <c r="AV14" s="62">
        <v>20</v>
      </c>
      <c r="AW14" s="60">
        <v>48</v>
      </c>
      <c r="AX14" s="61">
        <f t="shared" si="15"/>
        <v>68</v>
      </c>
      <c r="AY14" s="60">
        <v>25</v>
      </c>
      <c r="AZ14" s="61">
        <f t="shared" si="16"/>
        <v>93</v>
      </c>
      <c r="BA14" s="139"/>
      <c r="BB14" s="60">
        <f t="shared" si="17"/>
        <v>5</v>
      </c>
      <c r="BC14" s="62">
        <v>18</v>
      </c>
      <c r="BD14" s="60">
        <v>37</v>
      </c>
      <c r="BE14" s="61">
        <f t="shared" si="18"/>
        <v>55</v>
      </c>
      <c r="BF14" s="60">
        <v>26</v>
      </c>
      <c r="BG14" s="61">
        <f t="shared" si="19"/>
        <v>81</v>
      </c>
      <c r="BH14" s="137"/>
      <c r="BI14" s="60">
        <f t="shared" si="20"/>
        <v>5</v>
      </c>
      <c r="BJ14" s="62">
        <v>10</v>
      </c>
      <c r="BK14" s="60">
        <v>32</v>
      </c>
      <c r="BL14" s="61">
        <f t="shared" si="21"/>
        <v>42</v>
      </c>
      <c r="BM14" s="60"/>
      <c r="BN14" s="60">
        <v>25</v>
      </c>
      <c r="BO14" s="61">
        <f t="shared" si="22"/>
        <v>42</v>
      </c>
      <c r="BP14" s="94"/>
      <c r="BQ14" s="60">
        <f t="shared" si="23"/>
        <v>5</v>
      </c>
      <c r="BR14" s="60">
        <f>IF(R14="F","F",IF(AA14="F","F",IF(AH14="F","F",IF(AO14="F","F",IF(BB14="F","F",IF(BI14="F","F",IF(AU14="F","F",SUM(R14,AA14,AH14,AO14,AU14,BB14,BI14))))))))</f>
        <v>35</v>
      </c>
      <c r="BS14" s="64">
        <f t="shared" si="24"/>
        <v>5</v>
      </c>
      <c r="BT14" s="65" t="str">
        <f t="shared" si="25"/>
        <v>A+</v>
      </c>
      <c r="BU14" s="47" t="str">
        <f t="shared" si="0"/>
        <v>BEST</v>
      </c>
      <c r="BV14" s="46">
        <f>P14+Y14+AF14+AM14+AS14+AZ14+BG14</f>
        <v>647</v>
      </c>
      <c r="BW14" s="45"/>
      <c r="BX14" s="45"/>
    </row>
    <row r="15" spans="1:76" s="9" customFormat="1" ht="27.95" customHeight="1">
      <c r="A15" s="44">
        <v>6</v>
      </c>
      <c r="B15" s="51">
        <v>7</v>
      </c>
      <c r="C15" s="54" t="s">
        <v>82</v>
      </c>
      <c r="D15" s="54" t="s">
        <v>83</v>
      </c>
      <c r="E15" s="54" t="s">
        <v>84</v>
      </c>
      <c r="F15" s="57" t="s">
        <v>136</v>
      </c>
      <c r="G15" s="59">
        <v>20</v>
      </c>
      <c r="H15" s="60">
        <v>39</v>
      </c>
      <c r="I15" s="61">
        <f t="shared" si="26"/>
        <v>59</v>
      </c>
      <c r="J15" s="60">
        <v>29</v>
      </c>
      <c r="K15" s="61">
        <f t="shared" si="27"/>
        <v>88</v>
      </c>
      <c r="L15" s="62">
        <v>10</v>
      </c>
      <c r="M15" s="60">
        <v>36</v>
      </c>
      <c r="N15" s="61">
        <f t="shared" si="28"/>
        <v>46</v>
      </c>
      <c r="O15" s="61">
        <f t="shared" si="1"/>
        <v>46</v>
      </c>
      <c r="P15" s="61">
        <f>K15+O15</f>
        <v>134</v>
      </c>
      <c r="Q15" s="139"/>
      <c r="R15" s="60">
        <f t="shared" si="2"/>
        <v>5</v>
      </c>
      <c r="S15" s="62">
        <v>19</v>
      </c>
      <c r="T15" s="60">
        <v>68</v>
      </c>
      <c r="U15" s="61">
        <f t="shared" si="3"/>
        <v>87</v>
      </c>
      <c r="V15" s="62">
        <v>7</v>
      </c>
      <c r="W15" s="60">
        <v>36</v>
      </c>
      <c r="X15" s="61">
        <f t="shared" si="4"/>
        <v>43</v>
      </c>
      <c r="Y15" s="61">
        <f t="shared" si="5"/>
        <v>130</v>
      </c>
      <c r="Z15" s="139"/>
      <c r="AA15" s="60">
        <f t="shared" si="6"/>
        <v>5</v>
      </c>
      <c r="AB15" s="62">
        <v>20</v>
      </c>
      <c r="AC15" s="60">
        <v>48</v>
      </c>
      <c r="AD15" s="61">
        <f t="shared" si="7"/>
        <v>68</v>
      </c>
      <c r="AE15" s="60">
        <v>27</v>
      </c>
      <c r="AF15" s="61">
        <f t="shared" si="8"/>
        <v>95</v>
      </c>
      <c r="AG15" s="139"/>
      <c r="AH15" s="60">
        <f t="shared" si="9"/>
        <v>5</v>
      </c>
      <c r="AI15" s="62">
        <v>18</v>
      </c>
      <c r="AJ15" s="60">
        <v>45</v>
      </c>
      <c r="AK15" s="61">
        <f t="shared" si="10"/>
        <v>63</v>
      </c>
      <c r="AL15" s="60">
        <v>27</v>
      </c>
      <c r="AM15" s="61">
        <f t="shared" si="11"/>
        <v>90</v>
      </c>
      <c r="AN15" s="139"/>
      <c r="AO15" s="60">
        <f t="shared" si="12"/>
        <v>5</v>
      </c>
      <c r="AP15" s="63"/>
      <c r="AQ15" s="60">
        <v>22</v>
      </c>
      <c r="AR15" s="60">
        <v>24</v>
      </c>
      <c r="AS15" s="60">
        <f t="shared" si="13"/>
        <v>46</v>
      </c>
      <c r="AT15" s="137"/>
      <c r="AU15" s="60">
        <f t="shared" si="14"/>
        <v>5</v>
      </c>
      <c r="AV15" s="62">
        <v>20</v>
      </c>
      <c r="AW15" s="60">
        <v>49</v>
      </c>
      <c r="AX15" s="61">
        <f t="shared" si="15"/>
        <v>69</v>
      </c>
      <c r="AY15" s="60">
        <v>25</v>
      </c>
      <c r="AZ15" s="61">
        <f t="shared" si="16"/>
        <v>94</v>
      </c>
      <c r="BA15" s="139"/>
      <c r="BB15" s="60">
        <f t="shared" si="17"/>
        <v>5</v>
      </c>
      <c r="BC15" s="62">
        <v>17</v>
      </c>
      <c r="BD15" s="60">
        <v>40</v>
      </c>
      <c r="BE15" s="61">
        <f t="shared" si="18"/>
        <v>57</v>
      </c>
      <c r="BF15" s="60">
        <v>24</v>
      </c>
      <c r="BG15" s="61">
        <f t="shared" si="19"/>
        <v>81</v>
      </c>
      <c r="BH15" s="137"/>
      <c r="BI15" s="60">
        <f t="shared" si="20"/>
        <v>5</v>
      </c>
      <c r="BJ15" s="62">
        <v>9</v>
      </c>
      <c r="BK15" s="60">
        <v>32</v>
      </c>
      <c r="BL15" s="61">
        <f t="shared" si="21"/>
        <v>41</v>
      </c>
      <c r="BM15" s="60"/>
      <c r="BN15" s="60">
        <v>25</v>
      </c>
      <c r="BO15" s="61">
        <f t="shared" si="22"/>
        <v>41</v>
      </c>
      <c r="BP15" s="94"/>
      <c r="BQ15" s="60">
        <f t="shared" si="23"/>
        <v>5</v>
      </c>
      <c r="BR15" s="60">
        <f>IF(R15="F","F",IF(AA15="F","F",IF(AH15="F","F",IF(AO15="F","F",IF(BB15="F","F",IF(BI15="F","F",IF(AU15="F","F",SUM(R15,AA15,AH15,AO15,AU15,BB15,BI15))))))))</f>
        <v>35</v>
      </c>
      <c r="BS15" s="64">
        <f t="shared" si="24"/>
        <v>5</v>
      </c>
      <c r="BT15" s="65" t="str">
        <f t="shared" si="25"/>
        <v>A+</v>
      </c>
      <c r="BU15" s="47" t="str">
        <f t="shared" si="0"/>
        <v>BEST</v>
      </c>
      <c r="BV15" s="46">
        <f>P15+Y15+AF15+AM15+AS15+AZ15+BG15</f>
        <v>670</v>
      </c>
      <c r="BW15" s="45"/>
      <c r="BX15" s="45"/>
    </row>
    <row r="16" spans="1:76" s="9" customFormat="1" ht="27.95" customHeight="1">
      <c r="A16" s="44">
        <v>7</v>
      </c>
      <c r="B16" s="51">
        <v>8</v>
      </c>
      <c r="C16" s="52" t="s">
        <v>161</v>
      </c>
      <c r="D16" s="52" t="s">
        <v>162</v>
      </c>
      <c r="E16" s="52" t="s">
        <v>163</v>
      </c>
      <c r="F16" s="56" t="s">
        <v>211</v>
      </c>
      <c r="G16" s="59">
        <v>19</v>
      </c>
      <c r="H16" s="60">
        <v>42</v>
      </c>
      <c r="I16" s="61">
        <f t="shared" si="26"/>
        <v>61</v>
      </c>
      <c r="J16" s="60">
        <v>29</v>
      </c>
      <c r="K16" s="61">
        <f t="shared" si="27"/>
        <v>90</v>
      </c>
      <c r="L16" s="62">
        <v>9</v>
      </c>
      <c r="M16" s="60">
        <v>35</v>
      </c>
      <c r="N16" s="61">
        <f t="shared" si="28"/>
        <v>44</v>
      </c>
      <c r="O16" s="61">
        <f t="shared" si="1"/>
        <v>44</v>
      </c>
      <c r="P16" s="61">
        <f>K16+O16</f>
        <v>134</v>
      </c>
      <c r="Q16" s="139"/>
      <c r="R16" s="60">
        <f t="shared" si="2"/>
        <v>5</v>
      </c>
      <c r="S16" s="62">
        <v>17</v>
      </c>
      <c r="T16" s="60">
        <v>61</v>
      </c>
      <c r="U16" s="61">
        <f t="shared" si="3"/>
        <v>78</v>
      </c>
      <c r="V16" s="62">
        <v>7</v>
      </c>
      <c r="W16" s="60">
        <v>35</v>
      </c>
      <c r="X16" s="61">
        <f t="shared" si="4"/>
        <v>42</v>
      </c>
      <c r="Y16" s="61">
        <f t="shared" si="5"/>
        <v>120</v>
      </c>
      <c r="Z16" s="139"/>
      <c r="AA16" s="60">
        <f t="shared" si="6"/>
        <v>5</v>
      </c>
      <c r="AB16" s="62">
        <v>20</v>
      </c>
      <c r="AC16" s="60">
        <v>38</v>
      </c>
      <c r="AD16" s="61">
        <f t="shared" si="7"/>
        <v>58</v>
      </c>
      <c r="AE16" s="60">
        <v>25</v>
      </c>
      <c r="AF16" s="61">
        <f t="shared" si="8"/>
        <v>83</v>
      </c>
      <c r="AG16" s="139"/>
      <c r="AH16" s="60">
        <f t="shared" si="9"/>
        <v>5</v>
      </c>
      <c r="AI16" s="62">
        <v>20</v>
      </c>
      <c r="AJ16" s="60">
        <v>48</v>
      </c>
      <c r="AK16" s="61">
        <f t="shared" si="10"/>
        <v>68</v>
      </c>
      <c r="AL16" s="60">
        <v>29</v>
      </c>
      <c r="AM16" s="61">
        <f t="shared" si="11"/>
        <v>97</v>
      </c>
      <c r="AN16" s="139"/>
      <c r="AO16" s="60">
        <f t="shared" si="12"/>
        <v>5</v>
      </c>
      <c r="AP16" s="63"/>
      <c r="AQ16" s="60">
        <v>22</v>
      </c>
      <c r="AR16" s="60">
        <v>24</v>
      </c>
      <c r="AS16" s="60">
        <f t="shared" si="13"/>
        <v>46</v>
      </c>
      <c r="AT16" s="137"/>
      <c r="AU16" s="60">
        <f t="shared" si="14"/>
        <v>5</v>
      </c>
      <c r="AV16" s="62">
        <v>20</v>
      </c>
      <c r="AW16" s="60">
        <v>49</v>
      </c>
      <c r="AX16" s="61">
        <f t="shared" si="15"/>
        <v>69</v>
      </c>
      <c r="AY16" s="60">
        <v>27</v>
      </c>
      <c r="AZ16" s="61">
        <f t="shared" si="16"/>
        <v>96</v>
      </c>
      <c r="BA16" s="139"/>
      <c r="BB16" s="60">
        <f t="shared" si="17"/>
        <v>5</v>
      </c>
      <c r="BC16" s="62">
        <v>20</v>
      </c>
      <c r="BD16" s="60">
        <v>40</v>
      </c>
      <c r="BE16" s="61">
        <f t="shared" si="18"/>
        <v>60</v>
      </c>
      <c r="BF16" s="60">
        <v>24</v>
      </c>
      <c r="BG16" s="61">
        <f t="shared" si="19"/>
        <v>84</v>
      </c>
      <c r="BH16" s="137"/>
      <c r="BI16" s="60">
        <f t="shared" si="20"/>
        <v>5</v>
      </c>
      <c r="BJ16" s="62">
        <v>10</v>
      </c>
      <c r="BK16" s="60">
        <v>32</v>
      </c>
      <c r="BL16" s="61">
        <f t="shared" si="21"/>
        <v>42</v>
      </c>
      <c r="BM16" s="60"/>
      <c r="BN16" s="60">
        <v>25</v>
      </c>
      <c r="BO16" s="61">
        <f t="shared" si="22"/>
        <v>42</v>
      </c>
      <c r="BP16" s="94"/>
      <c r="BQ16" s="60">
        <f t="shared" si="23"/>
        <v>5</v>
      </c>
      <c r="BR16" s="60">
        <f>IF(R16="F","F",IF(AA16="F","F",IF(AH16="F","F",IF(AO16="F","F",IF(BB16="F","F",IF(BI16="F","F",IF(AU16="F","F",SUM(R16,AA16,AH16,AO16,AU16,BB16,BI16))))))))</f>
        <v>35</v>
      </c>
      <c r="BS16" s="64">
        <f t="shared" si="24"/>
        <v>5</v>
      </c>
      <c r="BT16" s="65" t="str">
        <f t="shared" si="25"/>
        <v>A+</v>
      </c>
      <c r="BU16" s="47" t="str">
        <f t="shared" si="0"/>
        <v>BEST</v>
      </c>
      <c r="BV16" s="46">
        <f>P16+Y16+AF16+AM16+AS16+AZ16+BG16</f>
        <v>660</v>
      </c>
      <c r="BW16" s="45"/>
      <c r="BX16" s="45"/>
    </row>
    <row r="17" spans="1:76" s="9" customFormat="1" ht="27.95" customHeight="1">
      <c r="A17" s="44">
        <v>8</v>
      </c>
      <c r="B17" s="51">
        <v>9</v>
      </c>
      <c r="C17" s="54" t="s">
        <v>85</v>
      </c>
      <c r="D17" s="54" t="s">
        <v>72</v>
      </c>
      <c r="E17" s="54" t="s">
        <v>73</v>
      </c>
      <c r="F17" s="57" t="s">
        <v>137</v>
      </c>
      <c r="G17" s="59">
        <v>18</v>
      </c>
      <c r="H17" s="60">
        <v>31</v>
      </c>
      <c r="I17" s="61">
        <f t="shared" si="26"/>
        <v>49</v>
      </c>
      <c r="J17" s="60">
        <v>29</v>
      </c>
      <c r="K17" s="61">
        <f t="shared" si="27"/>
        <v>78</v>
      </c>
      <c r="L17" s="62">
        <v>10</v>
      </c>
      <c r="M17" s="60">
        <v>34</v>
      </c>
      <c r="N17" s="61">
        <f t="shared" si="28"/>
        <v>44</v>
      </c>
      <c r="O17" s="61">
        <f t="shared" si="1"/>
        <v>44</v>
      </c>
      <c r="P17" s="61">
        <f>K17+O17</f>
        <v>122</v>
      </c>
      <c r="Q17" s="139"/>
      <c r="R17" s="60">
        <f t="shared" si="2"/>
        <v>5</v>
      </c>
      <c r="S17" s="62">
        <v>18</v>
      </c>
      <c r="T17" s="60">
        <v>64</v>
      </c>
      <c r="U17" s="61">
        <f t="shared" si="3"/>
        <v>82</v>
      </c>
      <c r="V17" s="62">
        <v>6</v>
      </c>
      <c r="W17" s="60">
        <v>37</v>
      </c>
      <c r="X17" s="61">
        <f t="shared" si="4"/>
        <v>43</v>
      </c>
      <c r="Y17" s="61">
        <f t="shared" si="5"/>
        <v>125</v>
      </c>
      <c r="Z17" s="139"/>
      <c r="AA17" s="60">
        <f t="shared" si="6"/>
        <v>5</v>
      </c>
      <c r="AB17" s="62">
        <v>19</v>
      </c>
      <c r="AC17" s="60">
        <v>36</v>
      </c>
      <c r="AD17" s="61">
        <f t="shared" si="7"/>
        <v>55</v>
      </c>
      <c r="AE17" s="60">
        <v>27</v>
      </c>
      <c r="AF17" s="61">
        <f t="shared" si="8"/>
        <v>82</v>
      </c>
      <c r="AG17" s="139"/>
      <c r="AH17" s="60">
        <f t="shared" si="9"/>
        <v>5</v>
      </c>
      <c r="AI17" s="62">
        <v>20</v>
      </c>
      <c r="AJ17" s="60">
        <v>50</v>
      </c>
      <c r="AK17" s="61">
        <f t="shared" si="10"/>
        <v>70</v>
      </c>
      <c r="AL17" s="60">
        <v>28</v>
      </c>
      <c r="AM17" s="61">
        <f t="shared" si="11"/>
        <v>98</v>
      </c>
      <c r="AN17" s="139"/>
      <c r="AO17" s="60">
        <f t="shared" si="12"/>
        <v>5</v>
      </c>
      <c r="AP17" s="63"/>
      <c r="AQ17" s="60">
        <v>22</v>
      </c>
      <c r="AR17" s="60">
        <v>24</v>
      </c>
      <c r="AS17" s="60">
        <f t="shared" si="13"/>
        <v>46</v>
      </c>
      <c r="AT17" s="137"/>
      <c r="AU17" s="60">
        <f t="shared" si="14"/>
        <v>5</v>
      </c>
      <c r="AV17" s="62">
        <v>20</v>
      </c>
      <c r="AW17" s="60">
        <v>49</v>
      </c>
      <c r="AX17" s="61">
        <f t="shared" si="15"/>
        <v>69</v>
      </c>
      <c r="AY17" s="60">
        <v>28</v>
      </c>
      <c r="AZ17" s="61">
        <f t="shared" si="16"/>
        <v>97</v>
      </c>
      <c r="BA17" s="139"/>
      <c r="BB17" s="60">
        <f t="shared" si="17"/>
        <v>5</v>
      </c>
      <c r="BC17" s="62">
        <v>17</v>
      </c>
      <c r="BD17" s="60">
        <v>39</v>
      </c>
      <c r="BE17" s="61">
        <f t="shared" si="18"/>
        <v>56</v>
      </c>
      <c r="BF17" s="60">
        <v>22</v>
      </c>
      <c r="BG17" s="61">
        <f t="shared" si="19"/>
        <v>78</v>
      </c>
      <c r="BH17" s="137"/>
      <c r="BI17" s="60">
        <f t="shared" si="20"/>
        <v>4</v>
      </c>
      <c r="BJ17" s="62">
        <v>9</v>
      </c>
      <c r="BK17" s="60">
        <v>32</v>
      </c>
      <c r="BL17" s="61">
        <f t="shared" si="21"/>
        <v>41</v>
      </c>
      <c r="BM17" s="60"/>
      <c r="BN17" s="60">
        <v>25</v>
      </c>
      <c r="BO17" s="61">
        <f t="shared" si="22"/>
        <v>41</v>
      </c>
      <c r="BP17" s="94"/>
      <c r="BQ17" s="60">
        <f t="shared" si="23"/>
        <v>5</v>
      </c>
      <c r="BR17" s="60">
        <f>IF(R17="F","F",IF(AA17="F","F",IF(AH17="F","F",IF(AO17="F","F",IF(BB17="F","F",IF(BI17="F","F",IF(AU17="F","F",SUM(R17,AA17,AH17,AO17,AU17,BB17,BI17))))))))</f>
        <v>34</v>
      </c>
      <c r="BS17" s="64">
        <f t="shared" si="24"/>
        <v>4.8571428571428568</v>
      </c>
      <c r="BT17" s="65" t="str">
        <f t="shared" si="25"/>
        <v>A</v>
      </c>
      <c r="BU17" s="47" t="str">
        <f t="shared" si="0"/>
        <v>BETTER</v>
      </c>
      <c r="BV17" s="46">
        <f>P17+Y17+AF17+AM17+AS17+AZ17+BG17</f>
        <v>648</v>
      </c>
      <c r="BW17" s="45"/>
      <c r="BX17" s="45"/>
    </row>
    <row r="18" spans="1:76" s="9" customFormat="1" ht="27.95" customHeight="1">
      <c r="A18" s="44">
        <v>9</v>
      </c>
      <c r="B18" s="51">
        <v>10</v>
      </c>
      <c r="C18" s="52" t="s">
        <v>164</v>
      </c>
      <c r="D18" s="52" t="s">
        <v>165</v>
      </c>
      <c r="E18" s="52" t="s">
        <v>166</v>
      </c>
      <c r="F18" s="56" t="s">
        <v>212</v>
      </c>
      <c r="G18" s="59">
        <v>17</v>
      </c>
      <c r="H18" s="60">
        <v>28</v>
      </c>
      <c r="I18" s="61">
        <f t="shared" si="26"/>
        <v>45</v>
      </c>
      <c r="J18" s="60">
        <v>27</v>
      </c>
      <c r="K18" s="61">
        <f t="shared" si="27"/>
        <v>72</v>
      </c>
      <c r="L18" s="62">
        <v>10</v>
      </c>
      <c r="M18" s="60">
        <v>34</v>
      </c>
      <c r="N18" s="61">
        <f t="shared" si="28"/>
        <v>44</v>
      </c>
      <c r="O18" s="61">
        <f t="shared" si="1"/>
        <v>44</v>
      </c>
      <c r="P18" s="61">
        <f>K18+O18</f>
        <v>116</v>
      </c>
      <c r="Q18" s="139"/>
      <c r="R18" s="60">
        <f t="shared" si="2"/>
        <v>4</v>
      </c>
      <c r="S18" s="62">
        <v>19</v>
      </c>
      <c r="T18" s="60">
        <v>72</v>
      </c>
      <c r="U18" s="61">
        <f t="shared" si="3"/>
        <v>91</v>
      </c>
      <c r="V18" s="62">
        <v>6</v>
      </c>
      <c r="W18" s="60">
        <v>37</v>
      </c>
      <c r="X18" s="61">
        <f t="shared" si="4"/>
        <v>43</v>
      </c>
      <c r="Y18" s="61">
        <f t="shared" si="5"/>
        <v>134</v>
      </c>
      <c r="Z18" s="139"/>
      <c r="AA18" s="60">
        <f t="shared" si="6"/>
        <v>5</v>
      </c>
      <c r="AB18" s="62">
        <v>19</v>
      </c>
      <c r="AC18" s="60">
        <v>29</v>
      </c>
      <c r="AD18" s="61">
        <f t="shared" si="7"/>
        <v>48</v>
      </c>
      <c r="AE18" s="60">
        <v>19</v>
      </c>
      <c r="AF18" s="61">
        <f t="shared" si="8"/>
        <v>67</v>
      </c>
      <c r="AG18" s="139"/>
      <c r="AH18" s="60">
        <f t="shared" si="9"/>
        <v>3.5</v>
      </c>
      <c r="AI18" s="62">
        <v>20</v>
      </c>
      <c r="AJ18" s="60">
        <v>41</v>
      </c>
      <c r="AK18" s="61">
        <f t="shared" si="10"/>
        <v>61</v>
      </c>
      <c r="AL18" s="60">
        <v>21</v>
      </c>
      <c r="AM18" s="61">
        <f t="shared" si="11"/>
        <v>82</v>
      </c>
      <c r="AN18" s="139"/>
      <c r="AO18" s="60">
        <f t="shared" si="12"/>
        <v>5</v>
      </c>
      <c r="AP18" s="63"/>
      <c r="AQ18" s="60">
        <v>22</v>
      </c>
      <c r="AR18" s="60">
        <v>24</v>
      </c>
      <c r="AS18" s="60">
        <f t="shared" si="13"/>
        <v>46</v>
      </c>
      <c r="AT18" s="137"/>
      <c r="AU18" s="60">
        <f t="shared" si="14"/>
        <v>5</v>
      </c>
      <c r="AV18" s="62">
        <v>20</v>
      </c>
      <c r="AW18" s="60">
        <v>47</v>
      </c>
      <c r="AX18" s="61">
        <f t="shared" si="15"/>
        <v>67</v>
      </c>
      <c r="AY18" s="60">
        <v>23</v>
      </c>
      <c r="AZ18" s="61">
        <f t="shared" si="16"/>
        <v>90</v>
      </c>
      <c r="BA18" s="139"/>
      <c r="BB18" s="60">
        <f t="shared" si="17"/>
        <v>5</v>
      </c>
      <c r="BC18" s="62">
        <v>19</v>
      </c>
      <c r="BD18" s="60">
        <v>39</v>
      </c>
      <c r="BE18" s="61">
        <f t="shared" si="18"/>
        <v>58</v>
      </c>
      <c r="BF18" s="60">
        <v>19</v>
      </c>
      <c r="BG18" s="61">
        <f t="shared" si="19"/>
        <v>77</v>
      </c>
      <c r="BH18" s="137"/>
      <c r="BI18" s="60">
        <f t="shared" si="20"/>
        <v>4</v>
      </c>
      <c r="BJ18" s="62">
        <v>10</v>
      </c>
      <c r="BK18" s="60">
        <v>32</v>
      </c>
      <c r="BL18" s="61">
        <f t="shared" si="21"/>
        <v>42</v>
      </c>
      <c r="BM18" s="60"/>
      <c r="BN18" s="60">
        <v>25</v>
      </c>
      <c r="BO18" s="61">
        <f t="shared" si="22"/>
        <v>42</v>
      </c>
      <c r="BP18" s="94"/>
      <c r="BQ18" s="60">
        <f t="shared" si="23"/>
        <v>5</v>
      </c>
      <c r="BR18" s="60">
        <f>IF(R18="F","F",IF(AA18="F","F",IF(AH18="F","F",IF(AO18="F","F",IF(BB18="F","F",IF(BI18="F","F",IF(AU18="F","F",SUM(R18,AA18,AH18,AO18,AU18,BB18,BI18))))))))</f>
        <v>31.5</v>
      </c>
      <c r="BS18" s="64">
        <f t="shared" si="24"/>
        <v>4.5</v>
      </c>
      <c r="BT18" s="65" t="str">
        <f t="shared" si="25"/>
        <v>A</v>
      </c>
      <c r="BU18" s="47" t="str">
        <f t="shared" si="0"/>
        <v>BETTER</v>
      </c>
      <c r="BV18" s="46">
        <f>P18+Y18+AF18+AM18+AS18+AZ18+BG18</f>
        <v>612</v>
      </c>
      <c r="BW18" s="45"/>
      <c r="BX18" s="45"/>
    </row>
    <row r="19" spans="1:76" s="9" customFormat="1" ht="27.95" customHeight="1">
      <c r="A19" s="44">
        <v>10</v>
      </c>
      <c r="B19" s="51">
        <v>11</v>
      </c>
      <c r="C19" s="52" t="s">
        <v>86</v>
      </c>
      <c r="D19" s="52" t="s">
        <v>87</v>
      </c>
      <c r="E19" s="52" t="s">
        <v>88</v>
      </c>
      <c r="F19" s="56" t="s">
        <v>213</v>
      </c>
      <c r="G19" s="59">
        <v>18</v>
      </c>
      <c r="H19" s="60">
        <v>35</v>
      </c>
      <c r="I19" s="61">
        <f t="shared" si="26"/>
        <v>53</v>
      </c>
      <c r="J19" s="60">
        <v>28</v>
      </c>
      <c r="K19" s="61">
        <f t="shared" si="27"/>
        <v>81</v>
      </c>
      <c r="L19" s="62">
        <v>10</v>
      </c>
      <c r="M19" s="60">
        <v>32</v>
      </c>
      <c r="N19" s="61">
        <f t="shared" si="28"/>
        <v>42</v>
      </c>
      <c r="O19" s="61">
        <f t="shared" si="1"/>
        <v>42</v>
      </c>
      <c r="P19" s="61">
        <f>K19+O19</f>
        <v>123</v>
      </c>
      <c r="Q19" s="139"/>
      <c r="R19" s="60">
        <f t="shared" si="2"/>
        <v>5</v>
      </c>
      <c r="S19" s="62">
        <v>16</v>
      </c>
      <c r="T19" s="60">
        <v>56</v>
      </c>
      <c r="U19" s="61">
        <f t="shared" si="3"/>
        <v>72</v>
      </c>
      <c r="V19" s="62">
        <v>6</v>
      </c>
      <c r="W19" s="60">
        <v>30</v>
      </c>
      <c r="X19" s="61">
        <f t="shared" si="4"/>
        <v>36</v>
      </c>
      <c r="Y19" s="61">
        <f t="shared" si="5"/>
        <v>108</v>
      </c>
      <c r="Z19" s="139"/>
      <c r="AA19" s="60">
        <f t="shared" si="6"/>
        <v>4</v>
      </c>
      <c r="AB19" s="62">
        <v>12</v>
      </c>
      <c r="AC19" s="60">
        <v>31</v>
      </c>
      <c r="AD19" s="61">
        <f t="shared" si="7"/>
        <v>43</v>
      </c>
      <c r="AE19" s="60">
        <v>22</v>
      </c>
      <c r="AF19" s="61">
        <f t="shared" si="8"/>
        <v>65</v>
      </c>
      <c r="AG19" s="139"/>
      <c r="AH19" s="60">
        <f t="shared" si="9"/>
        <v>3.5</v>
      </c>
      <c r="AI19" s="62">
        <v>20</v>
      </c>
      <c r="AJ19" s="60">
        <v>42</v>
      </c>
      <c r="AK19" s="61">
        <f t="shared" si="10"/>
        <v>62</v>
      </c>
      <c r="AL19" s="60">
        <v>25</v>
      </c>
      <c r="AM19" s="61">
        <f t="shared" si="11"/>
        <v>87</v>
      </c>
      <c r="AN19" s="139"/>
      <c r="AO19" s="60">
        <f t="shared" si="12"/>
        <v>5</v>
      </c>
      <c r="AP19" s="63"/>
      <c r="AQ19" s="60">
        <v>22</v>
      </c>
      <c r="AR19" s="60">
        <v>24</v>
      </c>
      <c r="AS19" s="60">
        <f t="shared" si="13"/>
        <v>46</v>
      </c>
      <c r="AT19" s="137"/>
      <c r="AU19" s="60">
        <f t="shared" si="14"/>
        <v>5</v>
      </c>
      <c r="AV19" s="62">
        <v>20</v>
      </c>
      <c r="AW19" s="60">
        <v>39</v>
      </c>
      <c r="AX19" s="61">
        <f t="shared" si="15"/>
        <v>59</v>
      </c>
      <c r="AY19" s="60">
        <v>21</v>
      </c>
      <c r="AZ19" s="61">
        <f t="shared" si="16"/>
        <v>80</v>
      </c>
      <c r="BA19" s="139"/>
      <c r="BB19" s="60">
        <f t="shared" si="17"/>
        <v>5</v>
      </c>
      <c r="BC19" s="62">
        <v>14</v>
      </c>
      <c r="BD19" s="60">
        <v>37</v>
      </c>
      <c r="BE19" s="61">
        <f t="shared" si="18"/>
        <v>51</v>
      </c>
      <c r="BF19" s="60">
        <v>28</v>
      </c>
      <c r="BG19" s="61">
        <f t="shared" si="19"/>
        <v>79</v>
      </c>
      <c r="BH19" s="137"/>
      <c r="BI19" s="60">
        <f t="shared" si="20"/>
        <v>4</v>
      </c>
      <c r="BJ19" s="62">
        <v>9</v>
      </c>
      <c r="BK19" s="60">
        <v>32</v>
      </c>
      <c r="BL19" s="61">
        <f t="shared" si="21"/>
        <v>41</v>
      </c>
      <c r="BM19" s="60"/>
      <c r="BN19" s="60">
        <v>25</v>
      </c>
      <c r="BO19" s="61">
        <f t="shared" si="22"/>
        <v>41</v>
      </c>
      <c r="BP19" s="94"/>
      <c r="BQ19" s="60">
        <f t="shared" si="23"/>
        <v>5</v>
      </c>
      <c r="BR19" s="60">
        <f>IF(R19="F","F",IF(AA19="F","F",IF(AH19="F","F",IF(AO19="F","F",IF(BB19="F","F",IF(BI19="F","F",IF(AU19="F","F",SUM(R19,AA19,AH19,AO19,AU19,BB19,BI19))))))))</f>
        <v>31.5</v>
      </c>
      <c r="BS19" s="64">
        <f t="shared" si="24"/>
        <v>4.5</v>
      </c>
      <c r="BT19" s="65" t="str">
        <f t="shared" si="25"/>
        <v>A</v>
      </c>
      <c r="BU19" s="47" t="str">
        <f t="shared" si="0"/>
        <v>BETTER</v>
      </c>
      <c r="BV19" s="46">
        <f>P19+Y19+AF19+AM19+AS19+AZ19+BG19</f>
        <v>588</v>
      </c>
      <c r="BW19" s="45"/>
      <c r="BX19" s="45"/>
    </row>
    <row r="20" spans="1:76" s="9" customFormat="1" ht="27.95" customHeight="1">
      <c r="A20" s="44">
        <v>11</v>
      </c>
      <c r="B20" s="51">
        <v>12</v>
      </c>
      <c r="C20" s="52" t="s">
        <v>167</v>
      </c>
      <c r="D20" s="52" t="s">
        <v>168</v>
      </c>
      <c r="E20" s="52" t="s">
        <v>169</v>
      </c>
      <c r="F20" s="56" t="s">
        <v>214</v>
      </c>
      <c r="G20" s="59">
        <v>15</v>
      </c>
      <c r="H20" s="60">
        <v>34</v>
      </c>
      <c r="I20" s="61">
        <f t="shared" si="26"/>
        <v>49</v>
      </c>
      <c r="J20" s="60">
        <v>20</v>
      </c>
      <c r="K20" s="61">
        <f t="shared" si="27"/>
        <v>69</v>
      </c>
      <c r="L20" s="62">
        <v>6</v>
      </c>
      <c r="M20" s="60">
        <v>26</v>
      </c>
      <c r="N20" s="61">
        <f t="shared" si="28"/>
        <v>32</v>
      </c>
      <c r="O20" s="61">
        <f t="shared" si="1"/>
        <v>32</v>
      </c>
      <c r="P20" s="61">
        <f>K20+O20</f>
        <v>101</v>
      </c>
      <c r="Q20" s="139"/>
      <c r="R20" s="60">
        <f t="shared" si="2"/>
        <v>4</v>
      </c>
      <c r="S20" s="62">
        <v>17</v>
      </c>
      <c r="T20" s="60">
        <v>58</v>
      </c>
      <c r="U20" s="61">
        <f t="shared" si="3"/>
        <v>75</v>
      </c>
      <c r="V20" s="62">
        <v>6</v>
      </c>
      <c r="W20" s="60">
        <v>32</v>
      </c>
      <c r="X20" s="61">
        <f t="shared" si="4"/>
        <v>38</v>
      </c>
      <c r="Y20" s="61">
        <f t="shared" si="5"/>
        <v>113</v>
      </c>
      <c r="Z20" s="139"/>
      <c r="AA20" s="60">
        <f t="shared" si="6"/>
        <v>4</v>
      </c>
      <c r="AB20" s="62">
        <v>19</v>
      </c>
      <c r="AC20" s="60">
        <v>21</v>
      </c>
      <c r="AD20" s="61">
        <f t="shared" si="7"/>
        <v>40</v>
      </c>
      <c r="AE20" s="60">
        <v>20</v>
      </c>
      <c r="AF20" s="61">
        <f t="shared" si="8"/>
        <v>60</v>
      </c>
      <c r="AG20" s="139"/>
      <c r="AH20" s="60">
        <f t="shared" si="9"/>
        <v>3.5</v>
      </c>
      <c r="AI20" s="62">
        <v>19</v>
      </c>
      <c r="AJ20" s="60">
        <v>47</v>
      </c>
      <c r="AK20" s="61">
        <f t="shared" si="10"/>
        <v>66</v>
      </c>
      <c r="AL20" s="60">
        <v>20</v>
      </c>
      <c r="AM20" s="61">
        <f t="shared" si="11"/>
        <v>86</v>
      </c>
      <c r="AN20" s="139"/>
      <c r="AO20" s="60">
        <f t="shared" si="12"/>
        <v>5</v>
      </c>
      <c r="AP20" s="63"/>
      <c r="AQ20" s="60">
        <v>22</v>
      </c>
      <c r="AR20" s="60">
        <v>24</v>
      </c>
      <c r="AS20" s="60">
        <f t="shared" si="13"/>
        <v>46</v>
      </c>
      <c r="AT20" s="137"/>
      <c r="AU20" s="60">
        <f t="shared" si="14"/>
        <v>5</v>
      </c>
      <c r="AV20" s="62">
        <v>19</v>
      </c>
      <c r="AW20" s="60">
        <v>48</v>
      </c>
      <c r="AX20" s="61">
        <f t="shared" si="15"/>
        <v>67</v>
      </c>
      <c r="AY20" s="60">
        <v>25</v>
      </c>
      <c r="AZ20" s="61">
        <f t="shared" si="16"/>
        <v>92</v>
      </c>
      <c r="BA20" s="139"/>
      <c r="BB20" s="60">
        <f t="shared" si="17"/>
        <v>5</v>
      </c>
      <c r="BC20" s="62">
        <v>16</v>
      </c>
      <c r="BD20" s="60">
        <v>38</v>
      </c>
      <c r="BE20" s="61">
        <f t="shared" si="18"/>
        <v>54</v>
      </c>
      <c r="BF20" s="60">
        <v>17</v>
      </c>
      <c r="BG20" s="61">
        <f t="shared" si="19"/>
        <v>71</v>
      </c>
      <c r="BH20" s="137"/>
      <c r="BI20" s="60">
        <f t="shared" si="20"/>
        <v>4</v>
      </c>
      <c r="BJ20" s="62">
        <v>9</v>
      </c>
      <c r="BK20" s="60">
        <v>32</v>
      </c>
      <c r="BL20" s="61">
        <f t="shared" si="21"/>
        <v>41</v>
      </c>
      <c r="BM20" s="60"/>
      <c r="BN20" s="60">
        <v>25</v>
      </c>
      <c r="BO20" s="61">
        <f t="shared" si="22"/>
        <v>41</v>
      </c>
      <c r="BP20" s="94"/>
      <c r="BQ20" s="60">
        <f t="shared" si="23"/>
        <v>5</v>
      </c>
      <c r="BR20" s="60">
        <f>IF(R20="F","F",IF(AA20="F","F",IF(AH20="F","F",IF(AO20="F","F",IF(BB20="F","F",IF(BI20="F","F",IF(AU20="F","F",SUM(R20,AA20,AH20,AO20,AU20,BB20,BI20))))))))</f>
        <v>30.5</v>
      </c>
      <c r="BS20" s="64">
        <f t="shared" si="24"/>
        <v>4.3571428571428568</v>
      </c>
      <c r="BT20" s="65" t="str">
        <f t="shared" si="25"/>
        <v>A</v>
      </c>
      <c r="BU20" s="47" t="str">
        <f t="shared" si="0"/>
        <v>BETTER</v>
      </c>
      <c r="BV20" s="46">
        <f>P20+Y20+AF20+AM20+AS20+AZ20+BG20</f>
        <v>569</v>
      </c>
      <c r="BW20" s="45"/>
      <c r="BX20" s="45"/>
    </row>
    <row r="21" spans="1:76" s="9" customFormat="1" ht="27.95" customHeight="1">
      <c r="A21" s="44">
        <v>12</v>
      </c>
      <c r="B21" s="51">
        <v>14</v>
      </c>
      <c r="C21" s="52" t="s">
        <v>170</v>
      </c>
      <c r="D21" s="52" t="s">
        <v>171</v>
      </c>
      <c r="E21" s="52" t="s">
        <v>172</v>
      </c>
      <c r="F21" s="56" t="s">
        <v>215</v>
      </c>
      <c r="G21" s="59">
        <v>17</v>
      </c>
      <c r="H21" s="60">
        <v>36</v>
      </c>
      <c r="I21" s="61">
        <f t="shared" si="26"/>
        <v>53</v>
      </c>
      <c r="J21" s="60">
        <v>28</v>
      </c>
      <c r="K21" s="61">
        <f t="shared" si="27"/>
        <v>81</v>
      </c>
      <c r="L21" s="62">
        <v>7</v>
      </c>
      <c r="M21" s="60">
        <v>30</v>
      </c>
      <c r="N21" s="61">
        <f t="shared" si="28"/>
        <v>37</v>
      </c>
      <c r="O21" s="61">
        <f t="shared" si="1"/>
        <v>37</v>
      </c>
      <c r="P21" s="61">
        <f>K21+O21</f>
        <v>118</v>
      </c>
      <c r="Q21" s="139"/>
      <c r="R21" s="60">
        <f t="shared" si="2"/>
        <v>4</v>
      </c>
      <c r="S21" s="62">
        <v>18</v>
      </c>
      <c r="T21" s="60">
        <v>67</v>
      </c>
      <c r="U21" s="61">
        <f t="shared" si="3"/>
        <v>85</v>
      </c>
      <c r="V21" s="62">
        <v>6</v>
      </c>
      <c r="W21" s="60">
        <v>36</v>
      </c>
      <c r="X21" s="61">
        <f t="shared" si="4"/>
        <v>42</v>
      </c>
      <c r="Y21" s="61">
        <f t="shared" si="5"/>
        <v>127</v>
      </c>
      <c r="Z21" s="139"/>
      <c r="AA21" s="60">
        <f t="shared" si="6"/>
        <v>5</v>
      </c>
      <c r="AB21" s="62">
        <v>20</v>
      </c>
      <c r="AC21" s="60">
        <v>39</v>
      </c>
      <c r="AD21" s="61">
        <f t="shared" si="7"/>
        <v>59</v>
      </c>
      <c r="AE21" s="60">
        <v>21</v>
      </c>
      <c r="AF21" s="61">
        <f t="shared" si="8"/>
        <v>80</v>
      </c>
      <c r="AG21" s="139"/>
      <c r="AH21" s="60">
        <f t="shared" si="9"/>
        <v>5</v>
      </c>
      <c r="AI21" s="62">
        <v>20</v>
      </c>
      <c r="AJ21" s="60">
        <v>44</v>
      </c>
      <c r="AK21" s="61">
        <f t="shared" si="10"/>
        <v>64</v>
      </c>
      <c r="AL21" s="60">
        <v>26</v>
      </c>
      <c r="AM21" s="61">
        <f t="shared" si="11"/>
        <v>90</v>
      </c>
      <c r="AN21" s="139"/>
      <c r="AO21" s="60">
        <f t="shared" si="12"/>
        <v>5</v>
      </c>
      <c r="AP21" s="63"/>
      <c r="AQ21" s="60">
        <v>22</v>
      </c>
      <c r="AR21" s="60">
        <v>24</v>
      </c>
      <c r="AS21" s="60">
        <f t="shared" si="13"/>
        <v>46</v>
      </c>
      <c r="AT21" s="137"/>
      <c r="AU21" s="60">
        <f t="shared" si="14"/>
        <v>5</v>
      </c>
      <c r="AV21" s="62">
        <v>20</v>
      </c>
      <c r="AW21" s="60">
        <v>49</v>
      </c>
      <c r="AX21" s="61">
        <f t="shared" si="15"/>
        <v>69</v>
      </c>
      <c r="AY21" s="60">
        <v>25</v>
      </c>
      <c r="AZ21" s="61">
        <f t="shared" si="16"/>
        <v>94</v>
      </c>
      <c r="BA21" s="139"/>
      <c r="BB21" s="60">
        <f t="shared" si="17"/>
        <v>5</v>
      </c>
      <c r="BC21" s="62">
        <v>16</v>
      </c>
      <c r="BD21" s="60">
        <v>39</v>
      </c>
      <c r="BE21" s="61">
        <f t="shared" si="18"/>
        <v>55</v>
      </c>
      <c r="BF21" s="60">
        <v>19</v>
      </c>
      <c r="BG21" s="61">
        <f t="shared" si="19"/>
        <v>74</v>
      </c>
      <c r="BH21" s="137"/>
      <c r="BI21" s="60">
        <f t="shared" si="20"/>
        <v>4</v>
      </c>
      <c r="BJ21" s="62">
        <v>9</v>
      </c>
      <c r="BK21" s="60">
        <v>32</v>
      </c>
      <c r="BL21" s="61">
        <f t="shared" si="21"/>
        <v>41</v>
      </c>
      <c r="BM21" s="60"/>
      <c r="BN21" s="60">
        <v>25</v>
      </c>
      <c r="BO21" s="61">
        <f t="shared" si="22"/>
        <v>41</v>
      </c>
      <c r="BP21" s="94"/>
      <c r="BQ21" s="60">
        <f t="shared" si="23"/>
        <v>5</v>
      </c>
      <c r="BR21" s="60">
        <f>IF(R21="F","F",IF(AA21="F","F",IF(AH21="F","F",IF(AO21="F","F",IF(BB21="F","F",IF(BI21="F","F",IF(AU21="F","F",SUM(R21,AA21,AH21,AO21,AU21,BB21,BI21))))))))</f>
        <v>33</v>
      </c>
      <c r="BS21" s="64">
        <f t="shared" si="24"/>
        <v>4.7142857142857144</v>
      </c>
      <c r="BT21" s="65" t="str">
        <f t="shared" si="25"/>
        <v>A</v>
      </c>
      <c r="BU21" s="47" t="str">
        <f t="shared" si="0"/>
        <v>BETTER</v>
      </c>
      <c r="BV21" s="46">
        <f>P21+Y21+AF21+AM21+AS21+AZ21+BG21</f>
        <v>629</v>
      </c>
      <c r="BW21" s="45"/>
      <c r="BX21" s="45"/>
    </row>
    <row r="22" spans="1:76" s="9" customFormat="1" ht="27.95" customHeight="1">
      <c r="A22" s="44">
        <v>13</v>
      </c>
      <c r="B22" s="51">
        <v>16</v>
      </c>
      <c r="C22" s="54" t="s">
        <v>173</v>
      </c>
      <c r="D22" s="54" t="s">
        <v>174</v>
      </c>
      <c r="E22" s="54" t="s">
        <v>175</v>
      </c>
      <c r="F22" s="57" t="s">
        <v>216</v>
      </c>
      <c r="G22" s="59">
        <v>13</v>
      </c>
      <c r="H22" s="60">
        <v>23</v>
      </c>
      <c r="I22" s="61">
        <f t="shared" si="26"/>
        <v>36</v>
      </c>
      <c r="J22" s="60">
        <v>18</v>
      </c>
      <c r="K22" s="61">
        <f t="shared" si="27"/>
        <v>54</v>
      </c>
      <c r="L22" s="62">
        <v>7</v>
      </c>
      <c r="M22" s="60">
        <v>22</v>
      </c>
      <c r="N22" s="61">
        <f t="shared" si="28"/>
        <v>29</v>
      </c>
      <c r="O22" s="61">
        <f t="shared" si="1"/>
        <v>29</v>
      </c>
      <c r="P22" s="61">
        <f>K22+O22</f>
        <v>83</v>
      </c>
      <c r="Q22" s="139"/>
      <c r="R22" s="60">
        <f t="shared" si="2"/>
        <v>3.5</v>
      </c>
      <c r="S22" s="62">
        <v>16</v>
      </c>
      <c r="T22" s="60">
        <v>60</v>
      </c>
      <c r="U22" s="61">
        <f t="shared" si="3"/>
        <v>76</v>
      </c>
      <c r="V22" s="62">
        <v>4</v>
      </c>
      <c r="W22" s="60">
        <v>28</v>
      </c>
      <c r="X22" s="61">
        <f t="shared" si="4"/>
        <v>32</v>
      </c>
      <c r="Y22" s="61">
        <f t="shared" si="5"/>
        <v>108</v>
      </c>
      <c r="Z22" s="139"/>
      <c r="AA22" s="60">
        <f t="shared" si="6"/>
        <v>4</v>
      </c>
      <c r="AB22" s="62">
        <v>6</v>
      </c>
      <c r="AC22" s="60">
        <v>11</v>
      </c>
      <c r="AD22" s="61">
        <f t="shared" si="7"/>
        <v>17</v>
      </c>
      <c r="AE22" s="60">
        <v>17</v>
      </c>
      <c r="AF22" s="61">
        <f t="shared" si="8"/>
        <v>34</v>
      </c>
      <c r="AG22" s="139"/>
      <c r="AH22" s="60" t="str">
        <f t="shared" si="9"/>
        <v>F</v>
      </c>
      <c r="AI22" s="62">
        <v>16</v>
      </c>
      <c r="AJ22" s="60">
        <v>37</v>
      </c>
      <c r="AK22" s="61">
        <f t="shared" si="10"/>
        <v>53</v>
      </c>
      <c r="AL22" s="60">
        <v>26</v>
      </c>
      <c r="AM22" s="61">
        <f t="shared" si="11"/>
        <v>79</v>
      </c>
      <c r="AN22" s="139"/>
      <c r="AO22" s="60">
        <f t="shared" si="12"/>
        <v>4</v>
      </c>
      <c r="AP22" s="63"/>
      <c r="AQ22" s="60">
        <v>22</v>
      </c>
      <c r="AR22" s="60">
        <v>24</v>
      </c>
      <c r="AS22" s="60">
        <f t="shared" si="13"/>
        <v>46</v>
      </c>
      <c r="AT22" s="137"/>
      <c r="AU22" s="60">
        <f t="shared" si="14"/>
        <v>5</v>
      </c>
      <c r="AV22" s="62">
        <v>19</v>
      </c>
      <c r="AW22" s="60">
        <v>39</v>
      </c>
      <c r="AX22" s="61">
        <f t="shared" si="15"/>
        <v>58</v>
      </c>
      <c r="AY22" s="60">
        <v>16</v>
      </c>
      <c r="AZ22" s="61">
        <f t="shared" si="16"/>
        <v>74</v>
      </c>
      <c r="BA22" s="139"/>
      <c r="BB22" s="60">
        <f t="shared" si="17"/>
        <v>4</v>
      </c>
      <c r="BC22" s="62">
        <v>11</v>
      </c>
      <c r="BD22" s="60">
        <v>29</v>
      </c>
      <c r="BE22" s="61">
        <f t="shared" si="18"/>
        <v>40</v>
      </c>
      <c r="BF22" s="60">
        <v>20</v>
      </c>
      <c r="BG22" s="61">
        <f t="shared" si="19"/>
        <v>60</v>
      </c>
      <c r="BH22" s="137"/>
      <c r="BI22" s="60">
        <f t="shared" si="20"/>
        <v>3.5</v>
      </c>
      <c r="BJ22" s="62">
        <v>9</v>
      </c>
      <c r="BK22" s="60">
        <v>32</v>
      </c>
      <c r="BL22" s="61">
        <f t="shared" si="21"/>
        <v>41</v>
      </c>
      <c r="BM22" s="60"/>
      <c r="BN22" s="60">
        <v>25</v>
      </c>
      <c r="BO22" s="61">
        <f t="shared" si="22"/>
        <v>41</v>
      </c>
      <c r="BP22" s="94"/>
      <c r="BQ22" s="60">
        <f t="shared" si="23"/>
        <v>5</v>
      </c>
      <c r="BR22" s="60" t="str">
        <f>IF(R22="F","F",IF(AA22="F","F",IF(AH22="F","F",IF(AO22="F","F",IF(BB22="F","F",IF(BI22="F","F",IF(AU22="F","F",SUM(R22,AA22,AH22,AO22,AU22,BB22,BI22))))))))</f>
        <v>F</v>
      </c>
      <c r="BS22" s="64" t="str">
        <f t="shared" si="24"/>
        <v>F</v>
      </c>
      <c r="BT22" s="65" t="str">
        <f t="shared" si="25"/>
        <v>F</v>
      </c>
      <c r="BU22" s="47" t="str">
        <f t="shared" si="0"/>
        <v>NEED TO PROGRESS</v>
      </c>
      <c r="BV22" s="46">
        <f>P22+Y22+AF22+AM22+AS22+AZ22+BG22</f>
        <v>484</v>
      </c>
      <c r="BW22" s="45"/>
      <c r="BX22" s="45"/>
    </row>
    <row r="23" spans="1:76" s="9" customFormat="1" ht="27.95" customHeight="1">
      <c r="A23" s="44">
        <v>14</v>
      </c>
      <c r="B23" s="51">
        <v>18</v>
      </c>
      <c r="C23" s="54" t="s">
        <v>89</v>
      </c>
      <c r="D23" s="54" t="s">
        <v>90</v>
      </c>
      <c r="E23" s="54" t="s">
        <v>91</v>
      </c>
      <c r="F23" s="57" t="s">
        <v>138</v>
      </c>
      <c r="G23" s="59">
        <v>20</v>
      </c>
      <c r="H23" s="60">
        <v>38</v>
      </c>
      <c r="I23" s="61">
        <f t="shared" si="26"/>
        <v>58</v>
      </c>
      <c r="J23" s="60">
        <v>29</v>
      </c>
      <c r="K23" s="61">
        <f t="shared" si="27"/>
        <v>87</v>
      </c>
      <c r="L23" s="62">
        <v>10</v>
      </c>
      <c r="M23" s="60">
        <v>31</v>
      </c>
      <c r="N23" s="61">
        <f t="shared" si="28"/>
        <v>41</v>
      </c>
      <c r="O23" s="61">
        <f t="shared" si="1"/>
        <v>41</v>
      </c>
      <c r="P23" s="61">
        <f>K23+O23</f>
        <v>128</v>
      </c>
      <c r="Q23" s="139"/>
      <c r="R23" s="60">
        <f t="shared" si="2"/>
        <v>5</v>
      </c>
      <c r="S23" s="62">
        <v>19</v>
      </c>
      <c r="T23" s="60">
        <v>70</v>
      </c>
      <c r="U23" s="61">
        <f t="shared" si="3"/>
        <v>89</v>
      </c>
      <c r="V23" s="62">
        <v>6</v>
      </c>
      <c r="W23" s="60">
        <v>37</v>
      </c>
      <c r="X23" s="61">
        <f t="shared" si="4"/>
        <v>43</v>
      </c>
      <c r="Y23" s="61">
        <f t="shared" si="5"/>
        <v>132</v>
      </c>
      <c r="Z23" s="139"/>
      <c r="AA23" s="60">
        <f t="shared" si="6"/>
        <v>5</v>
      </c>
      <c r="AB23" s="62">
        <v>20</v>
      </c>
      <c r="AC23" s="60">
        <v>40</v>
      </c>
      <c r="AD23" s="61">
        <f t="shared" si="7"/>
        <v>60</v>
      </c>
      <c r="AE23" s="60">
        <v>21</v>
      </c>
      <c r="AF23" s="61">
        <f t="shared" si="8"/>
        <v>81</v>
      </c>
      <c r="AG23" s="139"/>
      <c r="AH23" s="60">
        <f t="shared" si="9"/>
        <v>5</v>
      </c>
      <c r="AI23" s="62">
        <v>20</v>
      </c>
      <c r="AJ23" s="60">
        <v>45</v>
      </c>
      <c r="AK23" s="61">
        <f t="shared" si="10"/>
        <v>65</v>
      </c>
      <c r="AL23" s="60">
        <v>27</v>
      </c>
      <c r="AM23" s="61">
        <f t="shared" si="11"/>
        <v>92</v>
      </c>
      <c r="AN23" s="139"/>
      <c r="AO23" s="60">
        <f t="shared" si="12"/>
        <v>5</v>
      </c>
      <c r="AP23" s="63"/>
      <c r="AQ23" s="60">
        <v>22</v>
      </c>
      <c r="AR23" s="60">
        <v>24</v>
      </c>
      <c r="AS23" s="60">
        <f t="shared" si="13"/>
        <v>46</v>
      </c>
      <c r="AT23" s="137"/>
      <c r="AU23" s="60">
        <f t="shared" si="14"/>
        <v>5</v>
      </c>
      <c r="AV23" s="62">
        <v>20</v>
      </c>
      <c r="AW23" s="60">
        <v>49</v>
      </c>
      <c r="AX23" s="61">
        <f t="shared" si="15"/>
        <v>69</v>
      </c>
      <c r="AY23" s="60">
        <v>27</v>
      </c>
      <c r="AZ23" s="61">
        <f t="shared" si="16"/>
        <v>96</v>
      </c>
      <c r="BA23" s="139"/>
      <c r="BB23" s="60">
        <f t="shared" si="17"/>
        <v>5</v>
      </c>
      <c r="BC23" s="62">
        <v>17</v>
      </c>
      <c r="BD23" s="60">
        <v>42</v>
      </c>
      <c r="BE23" s="61">
        <f t="shared" si="18"/>
        <v>59</v>
      </c>
      <c r="BF23" s="60">
        <v>20</v>
      </c>
      <c r="BG23" s="61">
        <f t="shared" si="19"/>
        <v>79</v>
      </c>
      <c r="BH23" s="137"/>
      <c r="BI23" s="60">
        <f t="shared" si="20"/>
        <v>4</v>
      </c>
      <c r="BJ23" s="62">
        <v>9</v>
      </c>
      <c r="BK23" s="60">
        <v>32</v>
      </c>
      <c r="BL23" s="61">
        <f t="shared" si="21"/>
        <v>41</v>
      </c>
      <c r="BM23" s="60"/>
      <c r="BN23" s="60">
        <v>25</v>
      </c>
      <c r="BO23" s="61">
        <f t="shared" si="22"/>
        <v>41</v>
      </c>
      <c r="BP23" s="94"/>
      <c r="BQ23" s="60">
        <f t="shared" si="23"/>
        <v>5</v>
      </c>
      <c r="BR23" s="60">
        <f>IF(R23="F","F",IF(AA23="F","F",IF(AH23="F","F",IF(AO23="F","F",IF(BB23="F","F",IF(BI23="F","F",IF(AU23="F","F",SUM(R23,AA23,AH23,AO23,AU23,BB23,BI23))))))))</f>
        <v>34</v>
      </c>
      <c r="BS23" s="64">
        <f t="shared" si="24"/>
        <v>4.8571428571428568</v>
      </c>
      <c r="BT23" s="65" t="str">
        <f t="shared" si="25"/>
        <v>A</v>
      </c>
      <c r="BU23" s="47" t="str">
        <f t="shared" si="0"/>
        <v>BETTER</v>
      </c>
      <c r="BV23" s="46">
        <f>P23+Y23+AF23+AM23+AS23+AZ23+BG23</f>
        <v>654</v>
      </c>
      <c r="BW23" s="45"/>
      <c r="BX23" s="45"/>
    </row>
    <row r="24" spans="1:76" s="18" customFormat="1" ht="27.95" customHeight="1">
      <c r="A24" s="44">
        <v>15</v>
      </c>
      <c r="B24" s="51">
        <v>19</v>
      </c>
      <c r="C24" s="54" t="s">
        <v>92</v>
      </c>
      <c r="D24" s="54" t="s">
        <v>90</v>
      </c>
      <c r="E24" s="54" t="s">
        <v>91</v>
      </c>
      <c r="F24" s="57" t="s">
        <v>138</v>
      </c>
      <c r="G24" s="59">
        <v>20</v>
      </c>
      <c r="H24" s="66">
        <v>36</v>
      </c>
      <c r="I24" s="67">
        <f t="shared" si="26"/>
        <v>56</v>
      </c>
      <c r="J24" s="66">
        <v>29</v>
      </c>
      <c r="K24" s="67">
        <f t="shared" si="27"/>
        <v>85</v>
      </c>
      <c r="L24" s="62">
        <v>10</v>
      </c>
      <c r="M24" s="66">
        <v>30</v>
      </c>
      <c r="N24" s="67">
        <f t="shared" si="28"/>
        <v>40</v>
      </c>
      <c r="O24" s="61">
        <f t="shared" si="1"/>
        <v>40</v>
      </c>
      <c r="P24" s="67">
        <f>K24+O24</f>
        <v>125</v>
      </c>
      <c r="Q24" s="139"/>
      <c r="R24" s="60">
        <f t="shared" si="2"/>
        <v>5</v>
      </c>
      <c r="S24" s="62">
        <v>18</v>
      </c>
      <c r="T24" s="60">
        <v>70</v>
      </c>
      <c r="U24" s="61">
        <f t="shared" si="3"/>
        <v>88</v>
      </c>
      <c r="V24" s="62">
        <v>7</v>
      </c>
      <c r="W24" s="60">
        <v>36</v>
      </c>
      <c r="X24" s="61">
        <f t="shared" si="4"/>
        <v>43</v>
      </c>
      <c r="Y24" s="61">
        <f t="shared" si="5"/>
        <v>131</v>
      </c>
      <c r="Z24" s="139"/>
      <c r="AA24" s="60">
        <f t="shared" si="6"/>
        <v>5</v>
      </c>
      <c r="AB24" s="62">
        <v>20</v>
      </c>
      <c r="AC24" s="60">
        <v>45</v>
      </c>
      <c r="AD24" s="61">
        <f t="shared" si="7"/>
        <v>65</v>
      </c>
      <c r="AE24" s="60">
        <v>22</v>
      </c>
      <c r="AF24" s="61">
        <f t="shared" si="8"/>
        <v>87</v>
      </c>
      <c r="AG24" s="139"/>
      <c r="AH24" s="60">
        <f t="shared" si="9"/>
        <v>5</v>
      </c>
      <c r="AI24" s="62">
        <v>20</v>
      </c>
      <c r="AJ24" s="60">
        <v>47</v>
      </c>
      <c r="AK24" s="61">
        <f t="shared" si="10"/>
        <v>67</v>
      </c>
      <c r="AL24" s="60">
        <v>27</v>
      </c>
      <c r="AM24" s="61">
        <f t="shared" si="11"/>
        <v>94</v>
      </c>
      <c r="AN24" s="139"/>
      <c r="AO24" s="60">
        <f t="shared" si="12"/>
        <v>5</v>
      </c>
      <c r="AP24" s="63"/>
      <c r="AQ24" s="60">
        <v>22</v>
      </c>
      <c r="AR24" s="60">
        <v>24</v>
      </c>
      <c r="AS24" s="60">
        <f t="shared" si="13"/>
        <v>46</v>
      </c>
      <c r="AT24" s="137"/>
      <c r="AU24" s="60">
        <f t="shared" si="14"/>
        <v>5</v>
      </c>
      <c r="AV24" s="62">
        <v>20</v>
      </c>
      <c r="AW24" s="60">
        <v>49</v>
      </c>
      <c r="AX24" s="61">
        <f t="shared" si="15"/>
        <v>69</v>
      </c>
      <c r="AY24" s="60">
        <v>16</v>
      </c>
      <c r="AZ24" s="61">
        <f t="shared" si="16"/>
        <v>85</v>
      </c>
      <c r="BA24" s="139"/>
      <c r="BB24" s="60">
        <f t="shared" si="17"/>
        <v>5</v>
      </c>
      <c r="BC24" s="62">
        <v>19</v>
      </c>
      <c r="BD24" s="60">
        <v>41</v>
      </c>
      <c r="BE24" s="61">
        <f t="shared" si="18"/>
        <v>60</v>
      </c>
      <c r="BF24" s="60">
        <v>22</v>
      </c>
      <c r="BG24" s="61">
        <f t="shared" si="19"/>
        <v>82</v>
      </c>
      <c r="BH24" s="137"/>
      <c r="BI24" s="60">
        <f t="shared" si="20"/>
        <v>5</v>
      </c>
      <c r="BJ24" s="62">
        <v>9</v>
      </c>
      <c r="BK24" s="60">
        <v>32</v>
      </c>
      <c r="BL24" s="61">
        <f t="shared" si="21"/>
        <v>41</v>
      </c>
      <c r="BM24" s="60"/>
      <c r="BN24" s="60">
        <v>25</v>
      </c>
      <c r="BO24" s="61">
        <f t="shared" si="22"/>
        <v>41</v>
      </c>
      <c r="BP24" s="94"/>
      <c r="BQ24" s="60">
        <f t="shared" si="23"/>
        <v>5</v>
      </c>
      <c r="BR24" s="60">
        <f>IF(R24="F","F",IF(AA24="F","F",IF(AH24="F","F",IF(AO24="F","F",IF(BB24="F","F",IF(BI24="F","F",IF(AU24="F","F",SUM(R24,AA24,AH24,AO24,AU24,BB24,BI24))))))))</f>
        <v>35</v>
      </c>
      <c r="BS24" s="64">
        <f t="shared" si="24"/>
        <v>5</v>
      </c>
      <c r="BT24" s="65" t="str">
        <f t="shared" si="25"/>
        <v>A+</v>
      </c>
      <c r="BU24" s="47" t="str">
        <f t="shared" si="0"/>
        <v>BEST</v>
      </c>
      <c r="BV24" s="46">
        <f>P24+Y24+AF24+AM24+AS24+AZ24+BG24</f>
        <v>650</v>
      </c>
      <c r="BW24" s="45"/>
      <c r="BX24" s="45"/>
    </row>
    <row r="25" spans="1:76" s="18" customFormat="1" ht="27.95" customHeight="1">
      <c r="A25" s="44">
        <v>16</v>
      </c>
      <c r="B25" s="51">
        <v>20</v>
      </c>
      <c r="C25" s="52" t="s">
        <v>176</v>
      </c>
      <c r="D25" s="52" t="s">
        <v>177</v>
      </c>
      <c r="E25" s="52" t="s">
        <v>178</v>
      </c>
      <c r="F25" s="56" t="s">
        <v>217</v>
      </c>
      <c r="G25" s="59">
        <v>16</v>
      </c>
      <c r="H25" s="66">
        <v>23</v>
      </c>
      <c r="I25" s="67">
        <f t="shared" si="26"/>
        <v>39</v>
      </c>
      <c r="J25" s="66">
        <v>28</v>
      </c>
      <c r="K25" s="67">
        <f t="shared" si="27"/>
        <v>67</v>
      </c>
      <c r="L25" s="62">
        <v>7</v>
      </c>
      <c r="M25" s="66">
        <v>29</v>
      </c>
      <c r="N25" s="67">
        <f t="shared" si="28"/>
        <v>36</v>
      </c>
      <c r="O25" s="61">
        <f t="shared" si="1"/>
        <v>36</v>
      </c>
      <c r="P25" s="67">
        <f>K25+O25</f>
        <v>103</v>
      </c>
      <c r="Q25" s="139"/>
      <c r="R25" s="60">
        <f t="shared" si="2"/>
        <v>4</v>
      </c>
      <c r="S25" s="62">
        <v>16</v>
      </c>
      <c r="T25" s="60">
        <v>59</v>
      </c>
      <c r="U25" s="61">
        <f t="shared" si="3"/>
        <v>75</v>
      </c>
      <c r="V25" s="62">
        <v>6</v>
      </c>
      <c r="W25" s="60">
        <v>29</v>
      </c>
      <c r="X25" s="61">
        <f t="shared" si="4"/>
        <v>35</v>
      </c>
      <c r="Y25" s="61">
        <f t="shared" si="5"/>
        <v>110</v>
      </c>
      <c r="Z25" s="139"/>
      <c r="AA25" s="60">
        <f t="shared" si="6"/>
        <v>4</v>
      </c>
      <c r="AB25" s="62">
        <v>12</v>
      </c>
      <c r="AC25" s="60">
        <v>9</v>
      </c>
      <c r="AD25" s="61">
        <f t="shared" si="7"/>
        <v>21</v>
      </c>
      <c r="AE25" s="60">
        <v>21</v>
      </c>
      <c r="AF25" s="61">
        <f t="shared" si="8"/>
        <v>42</v>
      </c>
      <c r="AG25" s="139"/>
      <c r="AH25" s="60">
        <f t="shared" si="9"/>
        <v>2</v>
      </c>
      <c r="AI25" s="62">
        <v>20</v>
      </c>
      <c r="AJ25" s="60">
        <v>43</v>
      </c>
      <c r="AK25" s="61">
        <f t="shared" si="10"/>
        <v>63</v>
      </c>
      <c r="AL25" s="60">
        <v>24</v>
      </c>
      <c r="AM25" s="61">
        <f t="shared" si="11"/>
        <v>87</v>
      </c>
      <c r="AN25" s="139"/>
      <c r="AO25" s="60">
        <f t="shared" si="12"/>
        <v>5</v>
      </c>
      <c r="AP25" s="63"/>
      <c r="AQ25" s="60">
        <v>22</v>
      </c>
      <c r="AR25" s="60">
        <v>24</v>
      </c>
      <c r="AS25" s="60">
        <f t="shared" si="13"/>
        <v>46</v>
      </c>
      <c r="AT25" s="137"/>
      <c r="AU25" s="60">
        <f t="shared" si="14"/>
        <v>5</v>
      </c>
      <c r="AV25" s="62">
        <v>20</v>
      </c>
      <c r="AW25" s="60">
        <v>41</v>
      </c>
      <c r="AX25" s="61">
        <f t="shared" si="15"/>
        <v>61</v>
      </c>
      <c r="AY25" s="60">
        <v>24</v>
      </c>
      <c r="AZ25" s="61">
        <f t="shared" si="16"/>
        <v>85</v>
      </c>
      <c r="BA25" s="139"/>
      <c r="BB25" s="60">
        <f t="shared" si="17"/>
        <v>5</v>
      </c>
      <c r="BC25" s="62">
        <v>16</v>
      </c>
      <c r="BD25" s="60">
        <v>28</v>
      </c>
      <c r="BE25" s="61">
        <f t="shared" si="18"/>
        <v>44</v>
      </c>
      <c r="BF25" s="60">
        <v>18</v>
      </c>
      <c r="BG25" s="61">
        <f t="shared" si="19"/>
        <v>62</v>
      </c>
      <c r="BH25" s="137"/>
      <c r="BI25" s="60">
        <f t="shared" si="20"/>
        <v>3.5</v>
      </c>
      <c r="BJ25" s="62">
        <v>9</v>
      </c>
      <c r="BK25" s="60">
        <v>32</v>
      </c>
      <c r="BL25" s="61">
        <f t="shared" si="21"/>
        <v>41</v>
      </c>
      <c r="BM25" s="60"/>
      <c r="BN25" s="60">
        <v>25</v>
      </c>
      <c r="BO25" s="61">
        <f t="shared" si="22"/>
        <v>41</v>
      </c>
      <c r="BP25" s="94"/>
      <c r="BQ25" s="60">
        <f t="shared" si="23"/>
        <v>5</v>
      </c>
      <c r="BR25" s="60">
        <f>IF(R25="F","F",IF(AA25="F","F",IF(AH25="F","F",IF(AO25="F","F",IF(BB25="F","F",IF(BI25="F","F",IF(AU25="F","F",SUM(R25,AA25,AH25,AO25,AU25,BB25,BI25))))))))</f>
        <v>28.5</v>
      </c>
      <c r="BS25" s="64">
        <f t="shared" si="24"/>
        <v>4.0714285714285712</v>
      </c>
      <c r="BT25" s="65" t="str">
        <f t="shared" si="25"/>
        <v>A</v>
      </c>
      <c r="BU25" s="47" t="str">
        <f t="shared" si="0"/>
        <v>BETTER</v>
      </c>
      <c r="BV25" s="46">
        <f>P25+Y25+AF25+AM25+AS25+AZ25+BG25</f>
        <v>535</v>
      </c>
      <c r="BW25" s="45"/>
      <c r="BX25" s="45"/>
    </row>
    <row r="26" spans="1:76" s="18" customFormat="1" ht="27.95" customHeight="1">
      <c r="A26" s="44">
        <v>17</v>
      </c>
      <c r="B26" s="51">
        <v>21</v>
      </c>
      <c r="C26" s="54" t="s">
        <v>93</v>
      </c>
      <c r="D26" s="54" t="s">
        <v>94</v>
      </c>
      <c r="E26" s="54" t="s">
        <v>95</v>
      </c>
      <c r="F26" s="57" t="s">
        <v>139</v>
      </c>
      <c r="G26" s="59">
        <v>19</v>
      </c>
      <c r="H26" s="66">
        <v>34</v>
      </c>
      <c r="I26" s="67">
        <f t="shared" si="26"/>
        <v>53</v>
      </c>
      <c r="J26" s="66">
        <v>29</v>
      </c>
      <c r="K26" s="67">
        <f t="shared" si="27"/>
        <v>82</v>
      </c>
      <c r="L26" s="62">
        <v>10</v>
      </c>
      <c r="M26" s="66">
        <v>32</v>
      </c>
      <c r="N26" s="67">
        <f t="shared" si="28"/>
        <v>42</v>
      </c>
      <c r="O26" s="61">
        <f t="shared" si="1"/>
        <v>42</v>
      </c>
      <c r="P26" s="67">
        <f>K26+O26</f>
        <v>124</v>
      </c>
      <c r="Q26" s="139"/>
      <c r="R26" s="60">
        <f t="shared" si="2"/>
        <v>5</v>
      </c>
      <c r="S26" s="62">
        <v>19</v>
      </c>
      <c r="T26" s="60">
        <v>66</v>
      </c>
      <c r="U26" s="61">
        <f t="shared" si="3"/>
        <v>85</v>
      </c>
      <c r="V26" s="62">
        <v>6</v>
      </c>
      <c r="W26" s="60">
        <v>36</v>
      </c>
      <c r="X26" s="61">
        <f t="shared" si="4"/>
        <v>42</v>
      </c>
      <c r="Y26" s="61">
        <f t="shared" si="5"/>
        <v>127</v>
      </c>
      <c r="Z26" s="139"/>
      <c r="AA26" s="60">
        <f t="shared" si="6"/>
        <v>5</v>
      </c>
      <c r="AB26" s="62">
        <v>20</v>
      </c>
      <c r="AC26" s="60">
        <v>38</v>
      </c>
      <c r="AD26" s="61">
        <f t="shared" si="7"/>
        <v>58</v>
      </c>
      <c r="AE26" s="60">
        <v>25</v>
      </c>
      <c r="AF26" s="61">
        <f t="shared" si="8"/>
        <v>83</v>
      </c>
      <c r="AG26" s="139"/>
      <c r="AH26" s="60">
        <f t="shared" si="9"/>
        <v>5</v>
      </c>
      <c r="AI26" s="62">
        <v>20</v>
      </c>
      <c r="AJ26" s="60">
        <v>40</v>
      </c>
      <c r="AK26" s="61">
        <f t="shared" si="10"/>
        <v>60</v>
      </c>
      <c r="AL26" s="60">
        <v>21</v>
      </c>
      <c r="AM26" s="61">
        <f t="shared" si="11"/>
        <v>81</v>
      </c>
      <c r="AN26" s="139"/>
      <c r="AO26" s="60">
        <f t="shared" si="12"/>
        <v>5</v>
      </c>
      <c r="AP26" s="63"/>
      <c r="AQ26" s="60">
        <v>22</v>
      </c>
      <c r="AR26" s="60">
        <v>24</v>
      </c>
      <c r="AS26" s="60">
        <f t="shared" si="13"/>
        <v>46</v>
      </c>
      <c r="AT26" s="137"/>
      <c r="AU26" s="60">
        <f t="shared" si="14"/>
        <v>5</v>
      </c>
      <c r="AV26" s="62">
        <v>20</v>
      </c>
      <c r="AW26" s="60">
        <v>47</v>
      </c>
      <c r="AX26" s="61">
        <f t="shared" si="15"/>
        <v>67</v>
      </c>
      <c r="AY26" s="60">
        <v>24</v>
      </c>
      <c r="AZ26" s="61">
        <f t="shared" si="16"/>
        <v>91</v>
      </c>
      <c r="BA26" s="139"/>
      <c r="BB26" s="60">
        <f t="shared" si="17"/>
        <v>5</v>
      </c>
      <c r="BC26" s="62">
        <v>17</v>
      </c>
      <c r="BD26" s="60">
        <v>35</v>
      </c>
      <c r="BE26" s="61">
        <f t="shared" si="18"/>
        <v>52</v>
      </c>
      <c r="BF26" s="60">
        <v>22</v>
      </c>
      <c r="BG26" s="61">
        <f t="shared" si="19"/>
        <v>74</v>
      </c>
      <c r="BH26" s="137"/>
      <c r="BI26" s="60">
        <f t="shared" si="20"/>
        <v>4</v>
      </c>
      <c r="BJ26" s="68" t="s">
        <v>230</v>
      </c>
      <c r="BK26" s="60">
        <v>32</v>
      </c>
      <c r="BL26" s="61" t="e">
        <f t="shared" si="21"/>
        <v>#VALUE!</v>
      </c>
      <c r="BM26" s="60"/>
      <c r="BN26" s="60">
        <v>25</v>
      </c>
      <c r="BO26" s="61" t="e">
        <f t="shared" si="22"/>
        <v>#VALUE!</v>
      </c>
      <c r="BP26" s="94"/>
      <c r="BQ26" s="60" t="e">
        <f t="shared" si="23"/>
        <v>#VALUE!</v>
      </c>
      <c r="BR26" s="60">
        <f>IF(R26="F","F",IF(AA26="F","F",IF(AH26="F","F",IF(AO26="F","F",IF(BB26="F","F",IF(BI26="F","F",IF(AU26="F","F",SUM(R26,AA26,AH26,AO26,AU26,BB26,BI26))))))))</f>
        <v>34</v>
      </c>
      <c r="BS26" s="64">
        <f t="shared" si="24"/>
        <v>4.8571428571428568</v>
      </c>
      <c r="BT26" s="65" t="str">
        <f t="shared" si="25"/>
        <v>A</v>
      </c>
      <c r="BU26" s="47" t="str">
        <f t="shared" si="0"/>
        <v>BETTER</v>
      </c>
      <c r="BV26" s="46">
        <f>P26+Y26+AF26+AM26+AS26+AZ26+BG26</f>
        <v>626</v>
      </c>
      <c r="BW26" s="45"/>
      <c r="BX26" s="45"/>
    </row>
    <row r="27" spans="1:76" s="18" customFormat="1" ht="27.95" customHeight="1">
      <c r="A27" s="44">
        <v>18</v>
      </c>
      <c r="B27" s="51">
        <v>22</v>
      </c>
      <c r="C27" s="54" t="s">
        <v>179</v>
      </c>
      <c r="D27" s="54" t="s">
        <v>180</v>
      </c>
      <c r="E27" s="54" t="s">
        <v>181</v>
      </c>
      <c r="F27" s="57" t="s">
        <v>218</v>
      </c>
      <c r="G27" s="59">
        <v>14</v>
      </c>
      <c r="H27" s="66">
        <v>21</v>
      </c>
      <c r="I27" s="67">
        <f t="shared" ref="I27:I49" si="29">H27+G27</f>
        <v>35</v>
      </c>
      <c r="J27" s="66">
        <v>19</v>
      </c>
      <c r="K27" s="67">
        <f t="shared" ref="K27:K49" si="30">I27+J27</f>
        <v>54</v>
      </c>
      <c r="L27" s="62">
        <v>9</v>
      </c>
      <c r="M27" s="66">
        <v>24</v>
      </c>
      <c r="N27" s="67">
        <f t="shared" ref="N27:N49" si="31">M27+L27</f>
        <v>33</v>
      </c>
      <c r="O27" s="61">
        <f t="shared" si="1"/>
        <v>33</v>
      </c>
      <c r="P27" s="67">
        <f>K27+O27</f>
        <v>87</v>
      </c>
      <c r="Q27" s="139"/>
      <c r="R27" s="60">
        <f t="shared" si="2"/>
        <v>3.5</v>
      </c>
      <c r="S27" s="62">
        <v>15</v>
      </c>
      <c r="T27" s="60">
        <v>54</v>
      </c>
      <c r="U27" s="61">
        <f t="shared" si="3"/>
        <v>69</v>
      </c>
      <c r="V27" s="62">
        <v>4</v>
      </c>
      <c r="W27" s="60">
        <v>28</v>
      </c>
      <c r="X27" s="61">
        <f t="shared" si="4"/>
        <v>32</v>
      </c>
      <c r="Y27" s="61">
        <f t="shared" si="5"/>
        <v>101</v>
      </c>
      <c r="Z27" s="139"/>
      <c r="AA27" s="60">
        <f t="shared" si="6"/>
        <v>4</v>
      </c>
      <c r="AB27" s="62">
        <v>20</v>
      </c>
      <c r="AC27" s="60">
        <v>26</v>
      </c>
      <c r="AD27" s="61">
        <f t="shared" si="7"/>
        <v>46</v>
      </c>
      <c r="AE27" s="60">
        <v>15</v>
      </c>
      <c r="AF27" s="61">
        <f t="shared" si="8"/>
        <v>61</v>
      </c>
      <c r="AG27" s="139"/>
      <c r="AH27" s="60">
        <f t="shared" si="9"/>
        <v>3.5</v>
      </c>
      <c r="AI27" s="62">
        <v>19</v>
      </c>
      <c r="AJ27" s="60">
        <v>41</v>
      </c>
      <c r="AK27" s="61">
        <f t="shared" si="10"/>
        <v>60</v>
      </c>
      <c r="AL27" s="60">
        <v>19</v>
      </c>
      <c r="AM27" s="61">
        <f t="shared" si="11"/>
        <v>79</v>
      </c>
      <c r="AN27" s="139"/>
      <c r="AO27" s="60">
        <f t="shared" si="12"/>
        <v>4</v>
      </c>
      <c r="AP27" s="63"/>
      <c r="AQ27" s="60">
        <v>22</v>
      </c>
      <c r="AR27" s="60">
        <v>24</v>
      </c>
      <c r="AS27" s="60">
        <f t="shared" si="13"/>
        <v>46</v>
      </c>
      <c r="AT27" s="137"/>
      <c r="AU27" s="60">
        <f t="shared" si="14"/>
        <v>5</v>
      </c>
      <c r="AV27" s="62">
        <v>19</v>
      </c>
      <c r="AW27" s="60">
        <v>22</v>
      </c>
      <c r="AX27" s="61">
        <f t="shared" si="15"/>
        <v>41</v>
      </c>
      <c r="AY27" s="60">
        <v>23</v>
      </c>
      <c r="AZ27" s="61">
        <f t="shared" si="16"/>
        <v>64</v>
      </c>
      <c r="BA27" s="139"/>
      <c r="BB27" s="60">
        <f t="shared" si="17"/>
        <v>3.5</v>
      </c>
      <c r="BC27" s="62">
        <v>13</v>
      </c>
      <c r="BD27" s="60">
        <v>26</v>
      </c>
      <c r="BE27" s="61">
        <f t="shared" si="18"/>
        <v>39</v>
      </c>
      <c r="BF27" s="60">
        <v>13</v>
      </c>
      <c r="BG27" s="61">
        <f t="shared" si="19"/>
        <v>52</v>
      </c>
      <c r="BH27" s="137"/>
      <c r="BI27" s="60">
        <f t="shared" si="20"/>
        <v>3</v>
      </c>
      <c r="BJ27" s="62">
        <v>9</v>
      </c>
      <c r="BK27" s="60">
        <v>32</v>
      </c>
      <c r="BL27" s="61">
        <f t="shared" si="21"/>
        <v>41</v>
      </c>
      <c r="BM27" s="60"/>
      <c r="BN27" s="60">
        <v>25</v>
      </c>
      <c r="BO27" s="61">
        <f t="shared" si="22"/>
        <v>41</v>
      </c>
      <c r="BP27" s="94"/>
      <c r="BQ27" s="60">
        <f t="shared" si="23"/>
        <v>5</v>
      </c>
      <c r="BR27" s="60">
        <f>IF(R27="F","F",IF(AA27="F","F",IF(AH27="F","F",IF(AO27="F","F",IF(BB27="F","F",IF(BI27="F","F",IF(AU27="F","F",SUM(R27,AA27,AH27,AO27,AU27,BB27,BI27))))))))</f>
        <v>26.5</v>
      </c>
      <c r="BS27" s="64">
        <f t="shared" si="24"/>
        <v>3.7857142857142856</v>
      </c>
      <c r="BT27" s="65" t="str">
        <f t="shared" si="25"/>
        <v>A-</v>
      </c>
      <c r="BU27" s="47" t="str">
        <f t="shared" si="0"/>
        <v>GOOD</v>
      </c>
      <c r="BV27" s="46">
        <f>P27+Y27+AF27+AM27+AS27+AZ27+BG27</f>
        <v>490</v>
      </c>
      <c r="BW27" s="45"/>
      <c r="BX27" s="45"/>
    </row>
    <row r="28" spans="1:76" s="18" customFormat="1" ht="27.95" customHeight="1">
      <c r="A28" s="44">
        <v>19</v>
      </c>
      <c r="B28" s="51">
        <v>23</v>
      </c>
      <c r="C28" s="52" t="s">
        <v>96</v>
      </c>
      <c r="D28" s="52" t="s">
        <v>97</v>
      </c>
      <c r="E28" s="52" t="s">
        <v>98</v>
      </c>
      <c r="F28" s="56" t="s">
        <v>140</v>
      </c>
      <c r="G28" s="59">
        <v>20</v>
      </c>
      <c r="H28" s="66">
        <v>30</v>
      </c>
      <c r="I28" s="67">
        <f t="shared" si="29"/>
        <v>50</v>
      </c>
      <c r="J28" s="66">
        <v>21</v>
      </c>
      <c r="K28" s="67">
        <f t="shared" si="30"/>
        <v>71</v>
      </c>
      <c r="L28" s="62">
        <v>9</v>
      </c>
      <c r="M28" s="66">
        <v>26</v>
      </c>
      <c r="N28" s="67">
        <f t="shared" si="31"/>
        <v>35</v>
      </c>
      <c r="O28" s="61">
        <f t="shared" si="1"/>
        <v>35</v>
      </c>
      <c r="P28" s="67">
        <f>K28+O28</f>
        <v>106</v>
      </c>
      <c r="Q28" s="139"/>
      <c r="R28" s="60">
        <f t="shared" si="2"/>
        <v>4</v>
      </c>
      <c r="S28" s="62">
        <v>16</v>
      </c>
      <c r="T28" s="60">
        <v>59</v>
      </c>
      <c r="U28" s="61">
        <f t="shared" si="3"/>
        <v>75</v>
      </c>
      <c r="V28" s="62">
        <v>6</v>
      </c>
      <c r="W28" s="60">
        <v>34</v>
      </c>
      <c r="X28" s="61">
        <f t="shared" si="4"/>
        <v>40</v>
      </c>
      <c r="Y28" s="61">
        <f t="shared" si="5"/>
        <v>115</v>
      </c>
      <c r="Z28" s="139"/>
      <c r="AA28" s="60">
        <f t="shared" si="6"/>
        <v>4</v>
      </c>
      <c r="AB28" s="62">
        <v>19</v>
      </c>
      <c r="AC28" s="60">
        <v>31</v>
      </c>
      <c r="AD28" s="61">
        <f t="shared" si="7"/>
        <v>50</v>
      </c>
      <c r="AE28" s="60">
        <v>25</v>
      </c>
      <c r="AF28" s="61">
        <f t="shared" si="8"/>
        <v>75</v>
      </c>
      <c r="AG28" s="139"/>
      <c r="AH28" s="60">
        <f t="shared" si="9"/>
        <v>4</v>
      </c>
      <c r="AI28" s="62">
        <v>20</v>
      </c>
      <c r="AJ28" s="60">
        <v>45</v>
      </c>
      <c r="AK28" s="61">
        <f t="shared" si="10"/>
        <v>65</v>
      </c>
      <c r="AL28" s="60">
        <v>23</v>
      </c>
      <c r="AM28" s="61">
        <f t="shared" si="11"/>
        <v>88</v>
      </c>
      <c r="AN28" s="139"/>
      <c r="AO28" s="60">
        <f t="shared" si="12"/>
        <v>5</v>
      </c>
      <c r="AP28" s="63"/>
      <c r="AQ28" s="60">
        <v>22</v>
      </c>
      <c r="AR28" s="60">
        <v>24</v>
      </c>
      <c r="AS28" s="60">
        <f t="shared" si="13"/>
        <v>46</v>
      </c>
      <c r="AT28" s="137"/>
      <c r="AU28" s="60">
        <f t="shared" si="14"/>
        <v>5</v>
      </c>
      <c r="AV28" s="62">
        <v>20</v>
      </c>
      <c r="AW28" s="60">
        <v>49</v>
      </c>
      <c r="AX28" s="61">
        <f t="shared" si="15"/>
        <v>69</v>
      </c>
      <c r="AY28" s="60">
        <v>24</v>
      </c>
      <c r="AZ28" s="61">
        <f t="shared" si="16"/>
        <v>93</v>
      </c>
      <c r="BA28" s="139"/>
      <c r="BB28" s="60">
        <f t="shared" si="17"/>
        <v>5</v>
      </c>
      <c r="BC28" s="62">
        <v>17</v>
      </c>
      <c r="BD28" s="60">
        <v>38</v>
      </c>
      <c r="BE28" s="61">
        <f t="shared" si="18"/>
        <v>55</v>
      </c>
      <c r="BF28" s="60">
        <v>20</v>
      </c>
      <c r="BG28" s="61">
        <f t="shared" si="19"/>
        <v>75</v>
      </c>
      <c r="BH28" s="137"/>
      <c r="BI28" s="60">
        <f t="shared" si="20"/>
        <v>4</v>
      </c>
      <c r="BJ28" s="62">
        <v>9</v>
      </c>
      <c r="BK28" s="60">
        <v>32</v>
      </c>
      <c r="BL28" s="61">
        <f t="shared" si="21"/>
        <v>41</v>
      </c>
      <c r="BM28" s="60"/>
      <c r="BN28" s="60">
        <v>25</v>
      </c>
      <c r="BO28" s="61">
        <f t="shared" si="22"/>
        <v>41</v>
      </c>
      <c r="BP28" s="94"/>
      <c r="BQ28" s="60">
        <f t="shared" si="23"/>
        <v>5</v>
      </c>
      <c r="BR28" s="60">
        <f>IF(R28="F","F",IF(AA28="F","F",IF(AH28="F","F",IF(AO28="F","F",IF(BB28="F","F",IF(BI28="F","F",IF(AU28="F","F",SUM(R28,AA28,AH28,AO28,AU28,BB28,BI28))))))))</f>
        <v>31</v>
      </c>
      <c r="BS28" s="64">
        <f t="shared" si="24"/>
        <v>4.4285714285714288</v>
      </c>
      <c r="BT28" s="65" t="str">
        <f t="shared" si="25"/>
        <v>A</v>
      </c>
      <c r="BU28" s="47" t="str">
        <f t="shared" si="0"/>
        <v>BETTER</v>
      </c>
      <c r="BV28" s="46">
        <f>P28+Y28+AF28+AM28+AS28+AZ28+BG28</f>
        <v>598</v>
      </c>
      <c r="BW28" s="45"/>
      <c r="BX28" s="45"/>
    </row>
    <row r="29" spans="1:76" s="18" customFormat="1" ht="27.95" customHeight="1">
      <c r="A29" s="44">
        <v>20</v>
      </c>
      <c r="B29" s="51">
        <v>24</v>
      </c>
      <c r="C29" s="52" t="s">
        <v>182</v>
      </c>
      <c r="D29" s="52" t="s">
        <v>183</v>
      </c>
      <c r="E29" s="52" t="s">
        <v>184</v>
      </c>
      <c r="F29" s="56" t="s">
        <v>219</v>
      </c>
      <c r="G29" s="59">
        <v>17</v>
      </c>
      <c r="H29" s="66">
        <v>26</v>
      </c>
      <c r="I29" s="67">
        <f t="shared" si="29"/>
        <v>43</v>
      </c>
      <c r="J29" s="66">
        <v>22</v>
      </c>
      <c r="K29" s="67">
        <f t="shared" si="30"/>
        <v>65</v>
      </c>
      <c r="L29" s="62">
        <v>8</v>
      </c>
      <c r="M29" s="66">
        <v>27</v>
      </c>
      <c r="N29" s="67">
        <f t="shared" si="31"/>
        <v>35</v>
      </c>
      <c r="O29" s="61">
        <f t="shared" si="1"/>
        <v>35</v>
      </c>
      <c r="P29" s="67">
        <f>K29+O29</f>
        <v>100</v>
      </c>
      <c r="Q29" s="139"/>
      <c r="R29" s="60">
        <f t="shared" si="2"/>
        <v>4</v>
      </c>
      <c r="S29" s="62">
        <v>18</v>
      </c>
      <c r="T29" s="60">
        <v>65</v>
      </c>
      <c r="U29" s="61">
        <f t="shared" si="3"/>
        <v>83</v>
      </c>
      <c r="V29" s="62">
        <v>5</v>
      </c>
      <c r="W29" s="60">
        <v>32</v>
      </c>
      <c r="X29" s="61">
        <f t="shared" si="4"/>
        <v>37</v>
      </c>
      <c r="Y29" s="61">
        <f t="shared" si="5"/>
        <v>120</v>
      </c>
      <c r="Z29" s="139"/>
      <c r="AA29" s="60">
        <f t="shared" si="6"/>
        <v>5</v>
      </c>
      <c r="AB29" s="62">
        <v>17</v>
      </c>
      <c r="AC29" s="60">
        <v>23</v>
      </c>
      <c r="AD29" s="61">
        <f t="shared" si="7"/>
        <v>40</v>
      </c>
      <c r="AE29" s="60">
        <v>21</v>
      </c>
      <c r="AF29" s="61">
        <f t="shared" si="8"/>
        <v>61</v>
      </c>
      <c r="AG29" s="139"/>
      <c r="AH29" s="60">
        <f t="shared" si="9"/>
        <v>3.5</v>
      </c>
      <c r="AI29" s="62">
        <v>19</v>
      </c>
      <c r="AJ29" s="60">
        <v>37</v>
      </c>
      <c r="AK29" s="61">
        <f t="shared" si="10"/>
        <v>56</v>
      </c>
      <c r="AL29" s="60">
        <v>20</v>
      </c>
      <c r="AM29" s="61">
        <f t="shared" si="11"/>
        <v>76</v>
      </c>
      <c r="AN29" s="139"/>
      <c r="AO29" s="60">
        <f t="shared" si="12"/>
        <v>4</v>
      </c>
      <c r="AP29" s="63"/>
      <c r="AQ29" s="60">
        <v>22</v>
      </c>
      <c r="AR29" s="60">
        <v>24</v>
      </c>
      <c r="AS29" s="60">
        <f t="shared" si="13"/>
        <v>46</v>
      </c>
      <c r="AT29" s="137"/>
      <c r="AU29" s="60">
        <f t="shared" si="14"/>
        <v>5</v>
      </c>
      <c r="AV29" s="62">
        <v>19</v>
      </c>
      <c r="AW29" s="60">
        <v>42</v>
      </c>
      <c r="AX29" s="61">
        <f t="shared" si="15"/>
        <v>61</v>
      </c>
      <c r="AY29" s="60">
        <v>24</v>
      </c>
      <c r="AZ29" s="61">
        <f t="shared" si="16"/>
        <v>85</v>
      </c>
      <c r="BA29" s="139"/>
      <c r="BB29" s="60">
        <f t="shared" si="17"/>
        <v>5</v>
      </c>
      <c r="BC29" s="62">
        <v>15</v>
      </c>
      <c r="BD29" s="60">
        <v>31</v>
      </c>
      <c r="BE29" s="61">
        <f t="shared" si="18"/>
        <v>46</v>
      </c>
      <c r="BF29" s="60">
        <v>19</v>
      </c>
      <c r="BG29" s="61">
        <f t="shared" si="19"/>
        <v>65</v>
      </c>
      <c r="BH29" s="137"/>
      <c r="BI29" s="60">
        <f t="shared" si="20"/>
        <v>3.5</v>
      </c>
      <c r="BJ29" s="62">
        <v>10</v>
      </c>
      <c r="BK29" s="60">
        <v>32</v>
      </c>
      <c r="BL29" s="61">
        <f t="shared" si="21"/>
        <v>42</v>
      </c>
      <c r="BM29" s="60"/>
      <c r="BN29" s="60">
        <v>25</v>
      </c>
      <c r="BO29" s="61">
        <f t="shared" si="22"/>
        <v>42</v>
      </c>
      <c r="BP29" s="94"/>
      <c r="BQ29" s="60">
        <f t="shared" si="23"/>
        <v>5</v>
      </c>
      <c r="BR29" s="60">
        <f>IF(R29="F","F",IF(AA29="F","F",IF(AH29="F","F",IF(AO29="F","F",IF(BB29="F","F",IF(BI29="F","F",IF(AU29="F","F",SUM(R29,AA29,AH29,AO29,AU29,BB29,BI29))))))))</f>
        <v>30</v>
      </c>
      <c r="BS29" s="64">
        <f t="shared" si="24"/>
        <v>4.2857142857142856</v>
      </c>
      <c r="BT29" s="65" t="str">
        <f t="shared" si="25"/>
        <v>A</v>
      </c>
      <c r="BU29" s="47" t="str">
        <f t="shared" si="0"/>
        <v>BETTER</v>
      </c>
      <c r="BV29" s="46">
        <f>P29+Y29+AF29+AM29+AS29+AZ29+BG29</f>
        <v>553</v>
      </c>
      <c r="BW29" s="45"/>
      <c r="BX29" s="45"/>
    </row>
    <row r="30" spans="1:76" s="18" customFormat="1" ht="27.95" customHeight="1">
      <c r="A30" s="44">
        <v>21</v>
      </c>
      <c r="B30" s="51">
        <v>25</v>
      </c>
      <c r="C30" s="53" t="s">
        <v>185</v>
      </c>
      <c r="D30" s="52" t="s">
        <v>99</v>
      </c>
      <c r="E30" s="52" t="s">
        <v>100</v>
      </c>
      <c r="F30" s="56" t="s">
        <v>141</v>
      </c>
      <c r="G30" s="59">
        <v>13</v>
      </c>
      <c r="H30" s="66">
        <v>26</v>
      </c>
      <c r="I30" s="67">
        <f t="shared" si="29"/>
        <v>39</v>
      </c>
      <c r="J30" s="66">
        <v>16</v>
      </c>
      <c r="K30" s="67">
        <f t="shared" si="30"/>
        <v>55</v>
      </c>
      <c r="L30" s="62">
        <v>8</v>
      </c>
      <c r="M30" s="66">
        <v>23</v>
      </c>
      <c r="N30" s="67">
        <f t="shared" si="31"/>
        <v>31</v>
      </c>
      <c r="O30" s="61">
        <f t="shared" si="1"/>
        <v>31</v>
      </c>
      <c r="P30" s="67">
        <f>K30+O30</f>
        <v>86</v>
      </c>
      <c r="Q30" s="139"/>
      <c r="R30" s="60">
        <f t="shared" si="2"/>
        <v>3.5</v>
      </c>
      <c r="S30" s="62">
        <v>15</v>
      </c>
      <c r="T30" s="60">
        <v>47</v>
      </c>
      <c r="U30" s="61">
        <f t="shared" si="3"/>
        <v>62</v>
      </c>
      <c r="V30" s="62">
        <v>3</v>
      </c>
      <c r="W30" s="60">
        <v>21</v>
      </c>
      <c r="X30" s="61">
        <f t="shared" si="4"/>
        <v>24</v>
      </c>
      <c r="Y30" s="61">
        <f t="shared" si="5"/>
        <v>86</v>
      </c>
      <c r="Z30" s="139"/>
      <c r="AA30" s="60">
        <f t="shared" si="6"/>
        <v>3.5</v>
      </c>
      <c r="AB30" s="62">
        <v>12</v>
      </c>
      <c r="AC30" s="60">
        <v>16</v>
      </c>
      <c r="AD30" s="61">
        <f t="shared" si="7"/>
        <v>28</v>
      </c>
      <c r="AE30" s="60">
        <v>17</v>
      </c>
      <c r="AF30" s="61">
        <f t="shared" si="8"/>
        <v>45</v>
      </c>
      <c r="AG30" s="139"/>
      <c r="AH30" s="60">
        <f t="shared" si="9"/>
        <v>2</v>
      </c>
      <c r="AI30" s="62">
        <v>14</v>
      </c>
      <c r="AJ30" s="60">
        <v>41</v>
      </c>
      <c r="AK30" s="61">
        <f t="shared" si="10"/>
        <v>55</v>
      </c>
      <c r="AL30" s="60">
        <v>19</v>
      </c>
      <c r="AM30" s="61">
        <f t="shared" si="11"/>
        <v>74</v>
      </c>
      <c r="AN30" s="139"/>
      <c r="AO30" s="60">
        <f t="shared" si="12"/>
        <v>4</v>
      </c>
      <c r="AP30" s="63"/>
      <c r="AQ30" s="60">
        <v>22</v>
      </c>
      <c r="AR30" s="60">
        <v>24</v>
      </c>
      <c r="AS30" s="60">
        <f t="shared" si="13"/>
        <v>46</v>
      </c>
      <c r="AT30" s="137"/>
      <c r="AU30" s="60">
        <f t="shared" si="14"/>
        <v>5</v>
      </c>
      <c r="AV30" s="62">
        <v>19</v>
      </c>
      <c r="AW30" s="60">
        <v>36</v>
      </c>
      <c r="AX30" s="61">
        <f t="shared" si="15"/>
        <v>55</v>
      </c>
      <c r="AY30" s="60">
        <v>19</v>
      </c>
      <c r="AZ30" s="61">
        <f t="shared" si="16"/>
        <v>74</v>
      </c>
      <c r="BA30" s="139"/>
      <c r="BB30" s="60">
        <f t="shared" si="17"/>
        <v>4</v>
      </c>
      <c r="BC30" s="62">
        <v>11</v>
      </c>
      <c r="BD30" s="60">
        <v>29</v>
      </c>
      <c r="BE30" s="61">
        <f t="shared" si="18"/>
        <v>40</v>
      </c>
      <c r="BF30" s="60">
        <v>17</v>
      </c>
      <c r="BG30" s="61">
        <f t="shared" si="19"/>
        <v>57</v>
      </c>
      <c r="BH30" s="137"/>
      <c r="BI30" s="60">
        <f t="shared" si="20"/>
        <v>3</v>
      </c>
      <c r="BJ30" s="62">
        <v>9</v>
      </c>
      <c r="BK30" s="60">
        <v>32</v>
      </c>
      <c r="BL30" s="61">
        <f t="shared" si="21"/>
        <v>41</v>
      </c>
      <c r="BM30" s="60"/>
      <c r="BN30" s="60">
        <v>25</v>
      </c>
      <c r="BO30" s="61">
        <f t="shared" si="22"/>
        <v>41</v>
      </c>
      <c r="BP30" s="94"/>
      <c r="BQ30" s="60">
        <f t="shared" si="23"/>
        <v>5</v>
      </c>
      <c r="BR30" s="60">
        <f>IF(R30="F","F",IF(AA30="F","F",IF(AH30="F","F",IF(AO30="F","F",IF(BB30="F","F",IF(BI30="F","F",IF(AU30="F","F",SUM(R30,AA30,AH30,AO30,AU30,BB30,BI30))))))))</f>
        <v>25</v>
      </c>
      <c r="BS30" s="64">
        <f t="shared" si="24"/>
        <v>3.5714285714285716</v>
      </c>
      <c r="BT30" s="65" t="str">
        <f t="shared" si="25"/>
        <v>A-</v>
      </c>
      <c r="BU30" s="47" t="str">
        <f t="shared" si="0"/>
        <v>GOOD</v>
      </c>
      <c r="BV30" s="46">
        <f>P30+Y30+AF30+AM30+AS30+AZ30+BG30</f>
        <v>468</v>
      </c>
      <c r="BW30" s="45"/>
      <c r="BX30" s="45"/>
    </row>
    <row r="31" spans="1:76" s="18" customFormat="1" ht="27.95" customHeight="1">
      <c r="A31" s="44">
        <v>22</v>
      </c>
      <c r="B31" s="51">
        <v>28</v>
      </c>
      <c r="C31" s="52" t="s">
        <v>186</v>
      </c>
      <c r="D31" s="52" t="s">
        <v>187</v>
      </c>
      <c r="E31" s="52" t="s">
        <v>188</v>
      </c>
      <c r="F31" s="56" t="s">
        <v>220</v>
      </c>
      <c r="G31" s="59">
        <v>15</v>
      </c>
      <c r="H31" s="66">
        <v>29</v>
      </c>
      <c r="I31" s="67">
        <f t="shared" si="29"/>
        <v>44</v>
      </c>
      <c r="J31" s="66">
        <v>26</v>
      </c>
      <c r="K31" s="67">
        <f t="shared" si="30"/>
        <v>70</v>
      </c>
      <c r="L31" s="62">
        <v>8</v>
      </c>
      <c r="M31" s="66">
        <v>29</v>
      </c>
      <c r="N31" s="67">
        <f t="shared" si="31"/>
        <v>37</v>
      </c>
      <c r="O31" s="61">
        <f t="shared" si="1"/>
        <v>37</v>
      </c>
      <c r="P31" s="67">
        <f>K31+O31</f>
        <v>107</v>
      </c>
      <c r="Q31" s="139"/>
      <c r="R31" s="60">
        <f t="shared" si="2"/>
        <v>4</v>
      </c>
      <c r="S31" s="62">
        <v>15</v>
      </c>
      <c r="T31" s="60">
        <v>58</v>
      </c>
      <c r="U31" s="61">
        <f t="shared" si="3"/>
        <v>73</v>
      </c>
      <c r="V31" s="62">
        <v>4</v>
      </c>
      <c r="W31" s="60">
        <v>28</v>
      </c>
      <c r="X31" s="61">
        <f t="shared" si="4"/>
        <v>32</v>
      </c>
      <c r="Y31" s="61">
        <f t="shared" si="5"/>
        <v>105</v>
      </c>
      <c r="Z31" s="139"/>
      <c r="AA31" s="60">
        <f t="shared" si="6"/>
        <v>4</v>
      </c>
      <c r="AB31" s="62">
        <v>18</v>
      </c>
      <c r="AC31" s="60">
        <v>28</v>
      </c>
      <c r="AD31" s="61">
        <f t="shared" si="7"/>
        <v>46</v>
      </c>
      <c r="AE31" s="60">
        <v>20</v>
      </c>
      <c r="AF31" s="61">
        <f t="shared" si="8"/>
        <v>66</v>
      </c>
      <c r="AG31" s="139"/>
      <c r="AH31" s="60">
        <f t="shared" si="9"/>
        <v>3.5</v>
      </c>
      <c r="AI31" s="62">
        <v>19</v>
      </c>
      <c r="AJ31" s="60">
        <v>45</v>
      </c>
      <c r="AK31" s="61">
        <f t="shared" si="10"/>
        <v>64</v>
      </c>
      <c r="AL31" s="60">
        <v>27</v>
      </c>
      <c r="AM31" s="61">
        <f t="shared" si="11"/>
        <v>91</v>
      </c>
      <c r="AN31" s="139"/>
      <c r="AO31" s="60">
        <f t="shared" si="12"/>
        <v>5</v>
      </c>
      <c r="AP31" s="63"/>
      <c r="AQ31" s="60">
        <v>22</v>
      </c>
      <c r="AR31" s="60">
        <v>24</v>
      </c>
      <c r="AS31" s="60">
        <f t="shared" si="13"/>
        <v>46</v>
      </c>
      <c r="AT31" s="137"/>
      <c r="AU31" s="60">
        <f t="shared" si="14"/>
        <v>5</v>
      </c>
      <c r="AV31" s="62">
        <v>20</v>
      </c>
      <c r="AW31" s="60">
        <v>49</v>
      </c>
      <c r="AX31" s="61">
        <f t="shared" si="15"/>
        <v>69</v>
      </c>
      <c r="AY31" s="60">
        <v>26</v>
      </c>
      <c r="AZ31" s="61">
        <f t="shared" si="16"/>
        <v>95</v>
      </c>
      <c r="BA31" s="139"/>
      <c r="BB31" s="60">
        <f t="shared" si="17"/>
        <v>5</v>
      </c>
      <c r="BC31" s="62">
        <v>10</v>
      </c>
      <c r="BD31" s="60">
        <v>38</v>
      </c>
      <c r="BE31" s="61">
        <f t="shared" si="18"/>
        <v>48</v>
      </c>
      <c r="BF31" s="60">
        <v>20</v>
      </c>
      <c r="BG31" s="61">
        <f t="shared" si="19"/>
        <v>68</v>
      </c>
      <c r="BH31" s="137"/>
      <c r="BI31" s="60">
        <f t="shared" si="20"/>
        <v>3.5</v>
      </c>
      <c r="BJ31" s="62">
        <v>9</v>
      </c>
      <c r="BK31" s="60">
        <v>32</v>
      </c>
      <c r="BL31" s="61">
        <f t="shared" si="21"/>
        <v>41</v>
      </c>
      <c r="BM31" s="60"/>
      <c r="BN31" s="60">
        <v>25</v>
      </c>
      <c r="BO31" s="61">
        <f t="shared" si="22"/>
        <v>41</v>
      </c>
      <c r="BP31" s="94"/>
      <c r="BQ31" s="60">
        <f t="shared" si="23"/>
        <v>5</v>
      </c>
      <c r="BR31" s="60">
        <f>IF(R31="F","F",IF(AA31="F","F",IF(AH31="F","F",IF(AO31="F","F",IF(BB31="F","F",IF(BI31="F","F",IF(AU31="F","F",SUM(R31,AA31,AH31,AO31,AU31,BB31,BI31))))))))</f>
        <v>30</v>
      </c>
      <c r="BS31" s="64">
        <f t="shared" si="24"/>
        <v>4.2857142857142856</v>
      </c>
      <c r="BT31" s="65" t="str">
        <f t="shared" si="25"/>
        <v>A</v>
      </c>
      <c r="BU31" s="47" t="str">
        <f t="shared" si="0"/>
        <v>BETTER</v>
      </c>
      <c r="BV31" s="46">
        <f>P31+Y31+AF31+AM31+AS31+AZ31+BG31</f>
        <v>578</v>
      </c>
      <c r="BW31" s="45"/>
      <c r="BX31" s="45"/>
    </row>
    <row r="32" spans="1:76" s="18" customFormat="1" ht="27.95" customHeight="1">
      <c r="A32" s="44">
        <v>23</v>
      </c>
      <c r="B32" s="51">
        <v>29</v>
      </c>
      <c r="C32" s="52" t="s">
        <v>101</v>
      </c>
      <c r="D32" s="52" t="s">
        <v>102</v>
      </c>
      <c r="E32" s="52" t="s">
        <v>103</v>
      </c>
      <c r="F32" s="56" t="s">
        <v>142</v>
      </c>
      <c r="G32" s="59">
        <v>17</v>
      </c>
      <c r="H32" s="66">
        <v>21</v>
      </c>
      <c r="I32" s="67">
        <f t="shared" si="29"/>
        <v>38</v>
      </c>
      <c r="J32" s="66">
        <v>21</v>
      </c>
      <c r="K32" s="67">
        <f t="shared" si="30"/>
        <v>59</v>
      </c>
      <c r="L32" s="62">
        <v>9</v>
      </c>
      <c r="M32" s="66">
        <v>22</v>
      </c>
      <c r="N32" s="67">
        <f t="shared" si="31"/>
        <v>31</v>
      </c>
      <c r="O32" s="61">
        <f t="shared" si="1"/>
        <v>31</v>
      </c>
      <c r="P32" s="67">
        <f>K32+O32</f>
        <v>90</v>
      </c>
      <c r="Q32" s="139"/>
      <c r="R32" s="60">
        <f t="shared" si="2"/>
        <v>4</v>
      </c>
      <c r="S32" s="62">
        <v>18</v>
      </c>
      <c r="T32" s="60">
        <v>54</v>
      </c>
      <c r="U32" s="61">
        <f t="shared" si="3"/>
        <v>72</v>
      </c>
      <c r="V32" s="62">
        <v>4</v>
      </c>
      <c r="W32" s="60">
        <v>30</v>
      </c>
      <c r="X32" s="61">
        <f t="shared" si="4"/>
        <v>34</v>
      </c>
      <c r="Y32" s="61">
        <f t="shared" si="5"/>
        <v>106</v>
      </c>
      <c r="Z32" s="139"/>
      <c r="AA32" s="60">
        <f t="shared" si="6"/>
        <v>4</v>
      </c>
      <c r="AB32" s="62">
        <v>10</v>
      </c>
      <c r="AC32" s="60">
        <v>29</v>
      </c>
      <c r="AD32" s="61">
        <f t="shared" si="7"/>
        <v>39</v>
      </c>
      <c r="AE32" s="60">
        <v>19</v>
      </c>
      <c r="AF32" s="61">
        <f t="shared" si="8"/>
        <v>58</v>
      </c>
      <c r="AG32" s="139"/>
      <c r="AH32" s="60">
        <f t="shared" si="9"/>
        <v>3</v>
      </c>
      <c r="AI32" s="62">
        <v>17</v>
      </c>
      <c r="AJ32" s="60">
        <v>40</v>
      </c>
      <c r="AK32" s="61">
        <f t="shared" si="10"/>
        <v>57</v>
      </c>
      <c r="AL32" s="60">
        <v>26</v>
      </c>
      <c r="AM32" s="61">
        <f t="shared" si="11"/>
        <v>83</v>
      </c>
      <c r="AN32" s="139"/>
      <c r="AO32" s="60">
        <f t="shared" si="12"/>
        <v>5</v>
      </c>
      <c r="AP32" s="63"/>
      <c r="AQ32" s="60">
        <v>22</v>
      </c>
      <c r="AR32" s="60">
        <v>24</v>
      </c>
      <c r="AS32" s="60">
        <f t="shared" si="13"/>
        <v>46</v>
      </c>
      <c r="AT32" s="137"/>
      <c r="AU32" s="60">
        <f t="shared" si="14"/>
        <v>5</v>
      </c>
      <c r="AV32" s="62">
        <v>19</v>
      </c>
      <c r="AW32" s="60">
        <v>31</v>
      </c>
      <c r="AX32" s="61">
        <f t="shared" si="15"/>
        <v>50</v>
      </c>
      <c r="AY32" s="60">
        <v>22</v>
      </c>
      <c r="AZ32" s="61">
        <f t="shared" si="16"/>
        <v>72</v>
      </c>
      <c r="BA32" s="139"/>
      <c r="BB32" s="60">
        <f t="shared" si="17"/>
        <v>4</v>
      </c>
      <c r="BC32" s="62">
        <v>10</v>
      </c>
      <c r="BD32" s="60">
        <v>27</v>
      </c>
      <c r="BE32" s="61">
        <f t="shared" si="18"/>
        <v>37</v>
      </c>
      <c r="BF32" s="60">
        <v>20</v>
      </c>
      <c r="BG32" s="61">
        <f t="shared" si="19"/>
        <v>57</v>
      </c>
      <c r="BH32" s="137"/>
      <c r="BI32" s="60">
        <f t="shared" si="20"/>
        <v>3</v>
      </c>
      <c r="BJ32" s="62">
        <v>9</v>
      </c>
      <c r="BK32" s="60">
        <v>32</v>
      </c>
      <c r="BL32" s="61">
        <f t="shared" si="21"/>
        <v>41</v>
      </c>
      <c r="BM32" s="60"/>
      <c r="BN32" s="60">
        <v>25</v>
      </c>
      <c r="BO32" s="61">
        <f t="shared" si="22"/>
        <v>41</v>
      </c>
      <c r="BP32" s="94"/>
      <c r="BQ32" s="60">
        <f t="shared" si="23"/>
        <v>5</v>
      </c>
      <c r="BR32" s="60">
        <f>IF(R32="F","F",IF(AA32="F","F",IF(AH32="F","F",IF(AO32="F","F",IF(BB32="F","F",IF(BI32="F","F",IF(AU32="F","F",SUM(R32,AA32,AH32,AO32,AU32,BB32,BI32))))))))</f>
        <v>28</v>
      </c>
      <c r="BS32" s="64">
        <f t="shared" si="24"/>
        <v>4</v>
      </c>
      <c r="BT32" s="65" t="str">
        <f t="shared" si="25"/>
        <v>A</v>
      </c>
      <c r="BU32" s="47" t="str">
        <f t="shared" si="0"/>
        <v>BETTER</v>
      </c>
      <c r="BV32" s="46">
        <f>P32+Y32+AF32+AM32+AS32+AZ32+BG32</f>
        <v>512</v>
      </c>
      <c r="BW32" s="45"/>
      <c r="BX32" s="45"/>
    </row>
    <row r="33" spans="1:76" s="18" customFormat="1" ht="27.95" customHeight="1">
      <c r="A33" s="44">
        <v>24</v>
      </c>
      <c r="B33" s="51">
        <v>63</v>
      </c>
      <c r="C33" s="52" t="s">
        <v>105</v>
      </c>
      <c r="D33" s="52" t="s">
        <v>106</v>
      </c>
      <c r="E33" s="52" t="s">
        <v>107</v>
      </c>
      <c r="F33" s="56" t="s">
        <v>143</v>
      </c>
      <c r="G33" s="59">
        <v>16</v>
      </c>
      <c r="H33" s="66">
        <v>32</v>
      </c>
      <c r="I33" s="67">
        <f t="shared" si="29"/>
        <v>48</v>
      </c>
      <c r="J33" s="66">
        <v>24</v>
      </c>
      <c r="K33" s="67">
        <f t="shared" si="30"/>
        <v>72</v>
      </c>
      <c r="L33" s="62">
        <v>9</v>
      </c>
      <c r="M33" s="66">
        <v>31</v>
      </c>
      <c r="N33" s="67">
        <f t="shared" si="31"/>
        <v>40</v>
      </c>
      <c r="O33" s="61">
        <f t="shared" si="1"/>
        <v>40</v>
      </c>
      <c r="P33" s="67">
        <f>K33+O33</f>
        <v>112</v>
      </c>
      <c r="Q33" s="139"/>
      <c r="R33" s="60">
        <f t="shared" si="2"/>
        <v>4</v>
      </c>
      <c r="S33" s="62">
        <v>15</v>
      </c>
      <c r="T33" s="60">
        <v>60</v>
      </c>
      <c r="U33" s="61">
        <f t="shared" si="3"/>
        <v>75</v>
      </c>
      <c r="V33" s="62">
        <v>7</v>
      </c>
      <c r="W33" s="60">
        <v>36</v>
      </c>
      <c r="X33" s="61">
        <f t="shared" si="4"/>
        <v>43</v>
      </c>
      <c r="Y33" s="61">
        <f t="shared" si="5"/>
        <v>118</v>
      </c>
      <c r="Z33" s="139"/>
      <c r="AA33" s="60">
        <f t="shared" si="6"/>
        <v>4</v>
      </c>
      <c r="AB33" s="62">
        <v>19</v>
      </c>
      <c r="AC33" s="60">
        <v>41</v>
      </c>
      <c r="AD33" s="61">
        <f t="shared" si="7"/>
        <v>60</v>
      </c>
      <c r="AE33" s="60">
        <v>25</v>
      </c>
      <c r="AF33" s="61">
        <f t="shared" si="8"/>
        <v>85</v>
      </c>
      <c r="AG33" s="139"/>
      <c r="AH33" s="60">
        <f t="shared" si="9"/>
        <v>5</v>
      </c>
      <c r="AI33" s="62">
        <v>19</v>
      </c>
      <c r="AJ33" s="60">
        <v>43</v>
      </c>
      <c r="AK33" s="61">
        <f t="shared" si="10"/>
        <v>62</v>
      </c>
      <c r="AL33" s="60">
        <v>27</v>
      </c>
      <c r="AM33" s="61">
        <f t="shared" si="11"/>
        <v>89</v>
      </c>
      <c r="AN33" s="139"/>
      <c r="AO33" s="60">
        <f t="shared" si="12"/>
        <v>5</v>
      </c>
      <c r="AP33" s="63"/>
      <c r="AQ33" s="60">
        <v>22</v>
      </c>
      <c r="AR33" s="60">
        <v>24</v>
      </c>
      <c r="AS33" s="60">
        <f t="shared" si="13"/>
        <v>46</v>
      </c>
      <c r="AT33" s="137"/>
      <c r="AU33" s="60">
        <f t="shared" si="14"/>
        <v>5</v>
      </c>
      <c r="AV33" s="62">
        <v>20</v>
      </c>
      <c r="AW33" s="60">
        <v>48</v>
      </c>
      <c r="AX33" s="61">
        <f t="shared" si="15"/>
        <v>68</v>
      </c>
      <c r="AY33" s="60">
        <v>26</v>
      </c>
      <c r="AZ33" s="61">
        <f t="shared" si="16"/>
        <v>94</v>
      </c>
      <c r="BA33" s="139"/>
      <c r="BB33" s="60">
        <f t="shared" si="17"/>
        <v>5</v>
      </c>
      <c r="BC33" s="62">
        <v>15</v>
      </c>
      <c r="BD33" s="60">
        <v>39</v>
      </c>
      <c r="BE33" s="61">
        <f t="shared" si="18"/>
        <v>54</v>
      </c>
      <c r="BF33" s="60">
        <v>22</v>
      </c>
      <c r="BG33" s="61">
        <f t="shared" si="19"/>
        <v>76</v>
      </c>
      <c r="BH33" s="137"/>
      <c r="BI33" s="60">
        <f t="shared" si="20"/>
        <v>4</v>
      </c>
      <c r="BJ33" s="62">
        <v>9</v>
      </c>
      <c r="BK33" s="60">
        <v>32</v>
      </c>
      <c r="BL33" s="61">
        <f t="shared" si="21"/>
        <v>41</v>
      </c>
      <c r="BM33" s="60"/>
      <c r="BN33" s="60">
        <v>25</v>
      </c>
      <c r="BO33" s="61">
        <f t="shared" si="22"/>
        <v>41</v>
      </c>
      <c r="BP33" s="94"/>
      <c r="BQ33" s="60">
        <f t="shared" si="23"/>
        <v>5</v>
      </c>
      <c r="BR33" s="60">
        <f>IF(R33="F","F",IF(AA33="F","F",IF(AH33="F","F",IF(AO33="F","F",IF(BB33="F","F",IF(BI33="F","F",IF(AU33="F","F",SUM(R33,AA33,AH33,AO33,AU33,BB33,BI33))))))))</f>
        <v>32</v>
      </c>
      <c r="BS33" s="64">
        <f t="shared" si="24"/>
        <v>4.5714285714285712</v>
      </c>
      <c r="BT33" s="65" t="str">
        <f t="shared" si="25"/>
        <v>A</v>
      </c>
      <c r="BU33" s="47" t="str">
        <f t="shared" si="0"/>
        <v>BETTER</v>
      </c>
      <c r="BV33" s="46">
        <f>P33+Y33+AF33+AM33+AS33+AZ33+BG33</f>
        <v>620</v>
      </c>
      <c r="BW33" s="45"/>
      <c r="BX33" s="45"/>
    </row>
    <row r="34" spans="1:76" s="18" customFormat="1" ht="27.95" customHeight="1">
      <c r="A34" s="44">
        <v>25</v>
      </c>
      <c r="B34" s="51">
        <v>65</v>
      </c>
      <c r="C34" s="53" t="s">
        <v>108</v>
      </c>
      <c r="D34" s="52" t="s">
        <v>109</v>
      </c>
      <c r="E34" s="52" t="s">
        <v>110</v>
      </c>
      <c r="F34" s="56" t="s">
        <v>144</v>
      </c>
      <c r="G34" s="59">
        <v>15</v>
      </c>
      <c r="H34" s="66">
        <v>23</v>
      </c>
      <c r="I34" s="67">
        <f t="shared" si="29"/>
        <v>38</v>
      </c>
      <c r="J34" s="66">
        <v>26</v>
      </c>
      <c r="K34" s="67">
        <f t="shared" si="30"/>
        <v>64</v>
      </c>
      <c r="L34" s="62">
        <v>7</v>
      </c>
      <c r="M34" s="66">
        <v>32</v>
      </c>
      <c r="N34" s="67">
        <f t="shared" si="31"/>
        <v>39</v>
      </c>
      <c r="O34" s="61">
        <f t="shared" si="1"/>
        <v>39</v>
      </c>
      <c r="P34" s="67">
        <f>K34+O34</f>
        <v>103</v>
      </c>
      <c r="Q34" s="139"/>
      <c r="R34" s="60">
        <f t="shared" si="2"/>
        <v>4</v>
      </c>
      <c r="S34" s="62">
        <v>15</v>
      </c>
      <c r="T34" s="60">
        <v>61</v>
      </c>
      <c r="U34" s="61">
        <f t="shared" si="3"/>
        <v>76</v>
      </c>
      <c r="V34" s="62">
        <v>5</v>
      </c>
      <c r="W34" s="60">
        <v>34</v>
      </c>
      <c r="X34" s="61">
        <f t="shared" si="4"/>
        <v>39</v>
      </c>
      <c r="Y34" s="61">
        <f t="shared" si="5"/>
        <v>115</v>
      </c>
      <c r="Z34" s="139"/>
      <c r="AA34" s="60">
        <f t="shared" si="6"/>
        <v>4</v>
      </c>
      <c r="AB34" s="62">
        <v>10</v>
      </c>
      <c r="AC34" s="60">
        <v>25</v>
      </c>
      <c r="AD34" s="61">
        <f t="shared" si="7"/>
        <v>35</v>
      </c>
      <c r="AE34" s="60">
        <v>20</v>
      </c>
      <c r="AF34" s="61">
        <f t="shared" si="8"/>
        <v>55</v>
      </c>
      <c r="AG34" s="139"/>
      <c r="AH34" s="60">
        <f t="shared" si="9"/>
        <v>3</v>
      </c>
      <c r="AI34" s="62">
        <v>17</v>
      </c>
      <c r="AJ34" s="60">
        <v>40</v>
      </c>
      <c r="AK34" s="61">
        <f t="shared" si="10"/>
        <v>57</v>
      </c>
      <c r="AL34" s="60">
        <v>27</v>
      </c>
      <c r="AM34" s="61">
        <f t="shared" si="11"/>
        <v>84</v>
      </c>
      <c r="AN34" s="139"/>
      <c r="AO34" s="60">
        <f t="shared" si="12"/>
        <v>5</v>
      </c>
      <c r="AP34" s="63"/>
      <c r="AQ34" s="60">
        <v>22</v>
      </c>
      <c r="AR34" s="60">
        <v>24</v>
      </c>
      <c r="AS34" s="60">
        <f t="shared" si="13"/>
        <v>46</v>
      </c>
      <c r="AT34" s="137"/>
      <c r="AU34" s="60">
        <f t="shared" si="14"/>
        <v>5</v>
      </c>
      <c r="AV34" s="62">
        <v>19</v>
      </c>
      <c r="AW34" s="60">
        <v>40</v>
      </c>
      <c r="AX34" s="61">
        <f t="shared" si="15"/>
        <v>59</v>
      </c>
      <c r="AY34" s="60">
        <v>21</v>
      </c>
      <c r="AZ34" s="61">
        <f t="shared" si="16"/>
        <v>80</v>
      </c>
      <c r="BA34" s="139"/>
      <c r="BB34" s="60">
        <f t="shared" si="17"/>
        <v>5</v>
      </c>
      <c r="BC34" s="62">
        <v>12</v>
      </c>
      <c r="BD34" s="60">
        <v>29</v>
      </c>
      <c r="BE34" s="61">
        <f t="shared" si="18"/>
        <v>41</v>
      </c>
      <c r="BF34" s="60">
        <v>23</v>
      </c>
      <c r="BG34" s="61">
        <f t="shared" si="19"/>
        <v>64</v>
      </c>
      <c r="BH34" s="137"/>
      <c r="BI34" s="60">
        <f t="shared" si="20"/>
        <v>3.5</v>
      </c>
      <c r="BJ34" s="62">
        <v>10</v>
      </c>
      <c r="BK34" s="60">
        <v>32</v>
      </c>
      <c r="BL34" s="61">
        <f t="shared" si="21"/>
        <v>42</v>
      </c>
      <c r="BM34" s="60"/>
      <c r="BN34" s="60">
        <v>25</v>
      </c>
      <c r="BO34" s="61">
        <f t="shared" si="22"/>
        <v>42</v>
      </c>
      <c r="BP34" s="94"/>
      <c r="BQ34" s="60">
        <f t="shared" si="23"/>
        <v>5</v>
      </c>
      <c r="BR34" s="60">
        <f>IF(R34="F","F",IF(AA34="F","F",IF(AH34="F","F",IF(AO34="F","F",IF(BB34="F","F",IF(BI34="F","F",IF(AU34="F","F",SUM(R34,AA34,AH34,AO34,AU34,BB34,BI34))))))))</f>
        <v>29.5</v>
      </c>
      <c r="BS34" s="64">
        <f t="shared" si="24"/>
        <v>4.2142857142857144</v>
      </c>
      <c r="BT34" s="65" t="str">
        <f t="shared" si="25"/>
        <v>A</v>
      </c>
      <c r="BU34" s="47" t="str">
        <f t="shared" si="0"/>
        <v>BETTER</v>
      </c>
      <c r="BV34" s="46">
        <f>P34+Y34+AF34+AM34+AS34+AZ34+BG34</f>
        <v>547</v>
      </c>
      <c r="BW34" s="45"/>
      <c r="BX34" s="45"/>
    </row>
    <row r="35" spans="1:76" s="18" customFormat="1" ht="27.95" customHeight="1">
      <c r="A35" s="44">
        <v>26</v>
      </c>
      <c r="B35" s="51">
        <v>66</v>
      </c>
      <c r="C35" s="52" t="s">
        <v>189</v>
      </c>
      <c r="D35" s="52" t="s">
        <v>190</v>
      </c>
      <c r="E35" s="52" t="s">
        <v>191</v>
      </c>
      <c r="F35" s="56" t="s">
        <v>221</v>
      </c>
      <c r="G35" s="59">
        <v>16</v>
      </c>
      <c r="H35" s="66">
        <v>29</v>
      </c>
      <c r="I35" s="67">
        <f t="shared" si="29"/>
        <v>45</v>
      </c>
      <c r="J35" s="66">
        <v>29</v>
      </c>
      <c r="K35" s="67">
        <f t="shared" si="30"/>
        <v>74</v>
      </c>
      <c r="L35" s="62">
        <v>7</v>
      </c>
      <c r="M35" s="66">
        <v>28</v>
      </c>
      <c r="N35" s="67">
        <f t="shared" si="31"/>
        <v>35</v>
      </c>
      <c r="O35" s="61">
        <f t="shared" si="1"/>
        <v>35</v>
      </c>
      <c r="P35" s="67">
        <f>K35+O35</f>
        <v>109</v>
      </c>
      <c r="Q35" s="139"/>
      <c r="R35" s="60">
        <f t="shared" si="2"/>
        <v>4</v>
      </c>
      <c r="S35" s="62">
        <v>17</v>
      </c>
      <c r="T35" s="60">
        <v>58</v>
      </c>
      <c r="U35" s="61">
        <f t="shared" si="3"/>
        <v>75</v>
      </c>
      <c r="V35" s="62">
        <v>6</v>
      </c>
      <c r="W35" s="60">
        <v>34</v>
      </c>
      <c r="X35" s="61">
        <f t="shared" si="4"/>
        <v>40</v>
      </c>
      <c r="Y35" s="61">
        <f t="shared" si="5"/>
        <v>115</v>
      </c>
      <c r="Z35" s="139"/>
      <c r="AA35" s="60">
        <f t="shared" si="6"/>
        <v>4</v>
      </c>
      <c r="AB35" s="62">
        <v>19</v>
      </c>
      <c r="AC35" s="60">
        <v>26</v>
      </c>
      <c r="AD35" s="61">
        <f t="shared" si="7"/>
        <v>45</v>
      </c>
      <c r="AE35" s="60">
        <v>22</v>
      </c>
      <c r="AF35" s="61">
        <f t="shared" si="8"/>
        <v>67</v>
      </c>
      <c r="AG35" s="139"/>
      <c r="AH35" s="60">
        <f t="shared" si="9"/>
        <v>3.5</v>
      </c>
      <c r="AI35" s="62">
        <v>17</v>
      </c>
      <c r="AJ35" s="60">
        <v>41</v>
      </c>
      <c r="AK35" s="61">
        <f t="shared" si="10"/>
        <v>58</v>
      </c>
      <c r="AL35" s="60">
        <v>28</v>
      </c>
      <c r="AM35" s="61">
        <f t="shared" si="11"/>
        <v>86</v>
      </c>
      <c r="AN35" s="139"/>
      <c r="AO35" s="60">
        <f t="shared" si="12"/>
        <v>5</v>
      </c>
      <c r="AP35" s="63"/>
      <c r="AQ35" s="60">
        <v>22</v>
      </c>
      <c r="AR35" s="60">
        <v>24</v>
      </c>
      <c r="AS35" s="60">
        <f t="shared" si="13"/>
        <v>46</v>
      </c>
      <c r="AT35" s="137"/>
      <c r="AU35" s="60">
        <f t="shared" si="14"/>
        <v>5</v>
      </c>
      <c r="AV35" s="62">
        <v>20</v>
      </c>
      <c r="AW35" s="60">
        <v>41</v>
      </c>
      <c r="AX35" s="61">
        <f t="shared" si="15"/>
        <v>61</v>
      </c>
      <c r="AY35" s="60">
        <v>27</v>
      </c>
      <c r="AZ35" s="61">
        <f t="shared" si="16"/>
        <v>88</v>
      </c>
      <c r="BA35" s="139"/>
      <c r="BB35" s="60">
        <f t="shared" si="17"/>
        <v>5</v>
      </c>
      <c r="BC35" s="62">
        <v>14</v>
      </c>
      <c r="BD35" s="60">
        <v>33</v>
      </c>
      <c r="BE35" s="61">
        <f t="shared" si="18"/>
        <v>47</v>
      </c>
      <c r="BF35" s="60">
        <v>20</v>
      </c>
      <c r="BG35" s="61">
        <f t="shared" si="19"/>
        <v>67</v>
      </c>
      <c r="BH35" s="137"/>
      <c r="BI35" s="60">
        <f t="shared" si="20"/>
        <v>3.5</v>
      </c>
      <c r="BJ35" s="62">
        <v>9</v>
      </c>
      <c r="BK35" s="60">
        <v>32</v>
      </c>
      <c r="BL35" s="61">
        <f t="shared" si="21"/>
        <v>41</v>
      </c>
      <c r="BM35" s="60"/>
      <c r="BN35" s="60">
        <v>25</v>
      </c>
      <c r="BO35" s="61">
        <f t="shared" si="22"/>
        <v>41</v>
      </c>
      <c r="BP35" s="94"/>
      <c r="BQ35" s="60">
        <f t="shared" si="23"/>
        <v>5</v>
      </c>
      <c r="BR35" s="60">
        <f>IF(R35="F","F",IF(AA35="F","F",IF(AH35="F","F",IF(AO35="F","F",IF(BB35="F","F",IF(BI35="F","F",IF(AU35="F","F",SUM(R35,AA35,AH35,AO35,AU35,BB35,BI35))))))))</f>
        <v>30</v>
      </c>
      <c r="BS35" s="64">
        <f t="shared" si="24"/>
        <v>4.2857142857142856</v>
      </c>
      <c r="BT35" s="65" t="str">
        <f t="shared" si="25"/>
        <v>A</v>
      </c>
      <c r="BU35" s="47" t="str">
        <f t="shared" si="0"/>
        <v>BETTER</v>
      </c>
      <c r="BV35" s="46">
        <f>P35+Y35+AF35+AM35+AS35+AZ35+BG35</f>
        <v>578</v>
      </c>
      <c r="BW35" s="45"/>
      <c r="BX35" s="45"/>
    </row>
    <row r="36" spans="1:76" s="18" customFormat="1" ht="27.95" customHeight="1">
      <c r="A36" s="44">
        <v>27</v>
      </c>
      <c r="B36" s="51">
        <v>72</v>
      </c>
      <c r="C36" s="52" t="s">
        <v>192</v>
      </c>
      <c r="D36" s="52" t="s">
        <v>193</v>
      </c>
      <c r="E36" s="52" t="s">
        <v>194</v>
      </c>
      <c r="F36" s="56" t="s">
        <v>222</v>
      </c>
      <c r="G36" s="59">
        <v>16</v>
      </c>
      <c r="H36" s="66">
        <v>20</v>
      </c>
      <c r="I36" s="67">
        <f t="shared" si="29"/>
        <v>36</v>
      </c>
      <c r="J36" s="66">
        <v>22</v>
      </c>
      <c r="K36" s="67">
        <f t="shared" si="30"/>
        <v>58</v>
      </c>
      <c r="L36" s="62">
        <v>9</v>
      </c>
      <c r="M36" s="66">
        <v>30</v>
      </c>
      <c r="N36" s="67">
        <f t="shared" si="31"/>
        <v>39</v>
      </c>
      <c r="O36" s="61">
        <f t="shared" si="1"/>
        <v>39</v>
      </c>
      <c r="P36" s="67">
        <f>K36+O36</f>
        <v>97</v>
      </c>
      <c r="Q36" s="139"/>
      <c r="R36" s="60">
        <f t="shared" si="2"/>
        <v>4</v>
      </c>
      <c r="S36" s="62">
        <v>18</v>
      </c>
      <c r="T36" s="60">
        <v>65</v>
      </c>
      <c r="U36" s="61">
        <f t="shared" si="3"/>
        <v>83</v>
      </c>
      <c r="V36" s="62">
        <v>6</v>
      </c>
      <c r="W36" s="60">
        <v>34</v>
      </c>
      <c r="X36" s="61">
        <f t="shared" si="4"/>
        <v>40</v>
      </c>
      <c r="Y36" s="61">
        <f t="shared" si="5"/>
        <v>123</v>
      </c>
      <c r="Z36" s="139"/>
      <c r="AA36" s="60">
        <f t="shared" si="6"/>
        <v>5</v>
      </c>
      <c r="AB36" s="62">
        <v>19</v>
      </c>
      <c r="AC36" s="60">
        <v>37</v>
      </c>
      <c r="AD36" s="61">
        <f t="shared" si="7"/>
        <v>56</v>
      </c>
      <c r="AE36" s="60">
        <v>24</v>
      </c>
      <c r="AF36" s="61">
        <f t="shared" si="8"/>
        <v>80</v>
      </c>
      <c r="AG36" s="139"/>
      <c r="AH36" s="60">
        <f t="shared" si="9"/>
        <v>5</v>
      </c>
      <c r="AI36" s="62">
        <v>19</v>
      </c>
      <c r="AJ36" s="60">
        <v>39</v>
      </c>
      <c r="AK36" s="61">
        <f t="shared" si="10"/>
        <v>58</v>
      </c>
      <c r="AL36" s="60">
        <v>28</v>
      </c>
      <c r="AM36" s="61">
        <f t="shared" si="11"/>
        <v>86</v>
      </c>
      <c r="AN36" s="139"/>
      <c r="AO36" s="60">
        <f t="shared" si="12"/>
        <v>5</v>
      </c>
      <c r="AP36" s="63"/>
      <c r="AQ36" s="60">
        <v>22</v>
      </c>
      <c r="AR36" s="60">
        <v>24</v>
      </c>
      <c r="AS36" s="60">
        <f t="shared" si="13"/>
        <v>46</v>
      </c>
      <c r="AT36" s="137"/>
      <c r="AU36" s="60">
        <f t="shared" si="14"/>
        <v>5</v>
      </c>
      <c r="AV36" s="62">
        <v>17</v>
      </c>
      <c r="AW36" s="60">
        <v>39</v>
      </c>
      <c r="AX36" s="61">
        <f t="shared" si="15"/>
        <v>56</v>
      </c>
      <c r="AY36" s="60">
        <v>26</v>
      </c>
      <c r="AZ36" s="61">
        <f t="shared" si="16"/>
        <v>82</v>
      </c>
      <c r="BA36" s="139"/>
      <c r="BB36" s="60">
        <f t="shared" si="17"/>
        <v>5</v>
      </c>
      <c r="BC36" s="62">
        <v>14</v>
      </c>
      <c r="BD36" s="60">
        <v>32</v>
      </c>
      <c r="BE36" s="61">
        <f t="shared" si="18"/>
        <v>46</v>
      </c>
      <c r="BF36" s="60">
        <v>26</v>
      </c>
      <c r="BG36" s="61">
        <f t="shared" si="19"/>
        <v>72</v>
      </c>
      <c r="BH36" s="137"/>
      <c r="BI36" s="60">
        <f t="shared" si="20"/>
        <v>4</v>
      </c>
      <c r="BJ36" s="62">
        <v>10</v>
      </c>
      <c r="BK36" s="60">
        <v>32</v>
      </c>
      <c r="BL36" s="61">
        <f t="shared" si="21"/>
        <v>42</v>
      </c>
      <c r="BM36" s="60"/>
      <c r="BN36" s="60">
        <v>25</v>
      </c>
      <c r="BO36" s="61">
        <f t="shared" si="22"/>
        <v>42</v>
      </c>
      <c r="BP36" s="94"/>
      <c r="BQ36" s="60">
        <f t="shared" si="23"/>
        <v>5</v>
      </c>
      <c r="BR36" s="60">
        <f>IF(R36="F","F",IF(AA36="F","F",IF(AH36="F","F",IF(AO36="F","F",IF(BB36="F","F",IF(BI36="F","F",IF(AU36="F","F",SUM(R36,AA36,AH36,AO36,AU36,BB36,BI36))))))))</f>
        <v>33</v>
      </c>
      <c r="BS36" s="64">
        <f t="shared" si="24"/>
        <v>4.7142857142857144</v>
      </c>
      <c r="BT36" s="65" t="str">
        <f t="shared" si="25"/>
        <v>A</v>
      </c>
      <c r="BU36" s="47" t="str">
        <f t="shared" si="0"/>
        <v>BETTER</v>
      </c>
      <c r="BV36" s="46">
        <f>P36+Y36+AF36+AM36+AS36+AZ36+BG36</f>
        <v>586</v>
      </c>
      <c r="BW36" s="45"/>
      <c r="BX36" s="45"/>
    </row>
    <row r="37" spans="1:76" s="18" customFormat="1" ht="27.95" customHeight="1">
      <c r="A37" s="44">
        <v>28</v>
      </c>
      <c r="B37" s="51">
        <v>73</v>
      </c>
      <c r="C37" s="52" t="s">
        <v>111</v>
      </c>
      <c r="D37" s="52" t="s">
        <v>112</v>
      </c>
      <c r="E37" s="52" t="s">
        <v>113</v>
      </c>
      <c r="F37" s="56" t="s">
        <v>223</v>
      </c>
      <c r="G37" s="59">
        <v>16</v>
      </c>
      <c r="H37" s="66">
        <v>29</v>
      </c>
      <c r="I37" s="67">
        <f t="shared" si="29"/>
        <v>45</v>
      </c>
      <c r="J37" s="66">
        <v>29</v>
      </c>
      <c r="K37" s="67">
        <f t="shared" si="30"/>
        <v>74</v>
      </c>
      <c r="L37" s="62">
        <v>9</v>
      </c>
      <c r="M37" s="66">
        <v>26</v>
      </c>
      <c r="N37" s="67">
        <f t="shared" si="31"/>
        <v>35</v>
      </c>
      <c r="O37" s="61">
        <f t="shared" si="1"/>
        <v>35</v>
      </c>
      <c r="P37" s="67">
        <f>K37+O37</f>
        <v>109</v>
      </c>
      <c r="Q37" s="139"/>
      <c r="R37" s="60">
        <f t="shared" si="2"/>
        <v>4</v>
      </c>
      <c r="S37" s="62">
        <v>17</v>
      </c>
      <c r="T37" s="60">
        <v>57</v>
      </c>
      <c r="U37" s="61">
        <f t="shared" si="3"/>
        <v>74</v>
      </c>
      <c r="V37" s="62">
        <v>6</v>
      </c>
      <c r="W37" s="60">
        <v>34</v>
      </c>
      <c r="X37" s="61">
        <f t="shared" si="4"/>
        <v>40</v>
      </c>
      <c r="Y37" s="61">
        <f t="shared" si="5"/>
        <v>114</v>
      </c>
      <c r="Z37" s="139"/>
      <c r="AA37" s="60">
        <f t="shared" si="6"/>
        <v>4</v>
      </c>
      <c r="AB37" s="62">
        <v>19</v>
      </c>
      <c r="AC37" s="60">
        <v>29</v>
      </c>
      <c r="AD37" s="61">
        <f t="shared" si="7"/>
        <v>48</v>
      </c>
      <c r="AE37" s="60">
        <v>24</v>
      </c>
      <c r="AF37" s="61">
        <f t="shared" si="8"/>
        <v>72</v>
      </c>
      <c r="AG37" s="139"/>
      <c r="AH37" s="60">
        <f t="shared" si="9"/>
        <v>4</v>
      </c>
      <c r="AI37" s="62">
        <v>19</v>
      </c>
      <c r="AJ37" s="60">
        <v>39</v>
      </c>
      <c r="AK37" s="61">
        <f t="shared" si="10"/>
        <v>58</v>
      </c>
      <c r="AL37" s="60">
        <v>27</v>
      </c>
      <c r="AM37" s="61">
        <f t="shared" si="11"/>
        <v>85</v>
      </c>
      <c r="AN37" s="139"/>
      <c r="AO37" s="60">
        <f t="shared" si="12"/>
        <v>5</v>
      </c>
      <c r="AP37" s="63"/>
      <c r="AQ37" s="60">
        <v>22</v>
      </c>
      <c r="AR37" s="60">
        <v>24</v>
      </c>
      <c r="AS37" s="60">
        <f t="shared" si="13"/>
        <v>46</v>
      </c>
      <c r="AT37" s="137"/>
      <c r="AU37" s="60">
        <f t="shared" si="14"/>
        <v>5</v>
      </c>
      <c r="AV37" s="62">
        <v>19</v>
      </c>
      <c r="AW37" s="60">
        <v>39</v>
      </c>
      <c r="AX37" s="61">
        <f t="shared" si="15"/>
        <v>58</v>
      </c>
      <c r="AY37" s="60">
        <v>27</v>
      </c>
      <c r="AZ37" s="61">
        <f t="shared" si="16"/>
        <v>85</v>
      </c>
      <c r="BA37" s="139"/>
      <c r="BB37" s="60">
        <f t="shared" si="17"/>
        <v>5</v>
      </c>
      <c r="BC37" s="62">
        <v>13</v>
      </c>
      <c r="BD37" s="60">
        <v>34</v>
      </c>
      <c r="BE37" s="61">
        <f t="shared" si="18"/>
        <v>47</v>
      </c>
      <c r="BF37" s="60">
        <v>19</v>
      </c>
      <c r="BG37" s="61">
        <f t="shared" si="19"/>
        <v>66</v>
      </c>
      <c r="BH37" s="137"/>
      <c r="BI37" s="60">
        <f t="shared" si="20"/>
        <v>3.5</v>
      </c>
      <c r="BJ37" s="62">
        <v>10</v>
      </c>
      <c r="BK37" s="60">
        <v>32</v>
      </c>
      <c r="BL37" s="61">
        <f t="shared" si="21"/>
        <v>42</v>
      </c>
      <c r="BM37" s="60"/>
      <c r="BN37" s="60">
        <v>25</v>
      </c>
      <c r="BO37" s="61">
        <f t="shared" si="22"/>
        <v>42</v>
      </c>
      <c r="BP37" s="94"/>
      <c r="BQ37" s="60">
        <f t="shared" si="23"/>
        <v>5</v>
      </c>
      <c r="BR37" s="60">
        <f>IF(R37="F","F",IF(AA37="F","F",IF(AH37="F","F",IF(AO37="F","F",IF(BB37="F","F",IF(BI37="F","F",IF(AU37="F","F",SUM(R37,AA37,AH37,AO37,AU37,BB37,BI37))))))))</f>
        <v>30.5</v>
      </c>
      <c r="BS37" s="64">
        <f t="shared" ref="BS37:BS49" si="32">IF(BR37="F","F",IF(BR37&gt;=45,5,IF(BR37&lt;45,BR37/7)))</f>
        <v>4.3571428571428568</v>
      </c>
      <c r="BT37" s="65" t="str">
        <f t="shared" ref="BT37:BT49" si="33">IF(BS37="F","F",IF(BS37&lt;2.5,"D",IF(BS37&lt;3,"C",IF(BS37&lt;3.5,"B",IF(BS37&lt;4,"A-",IF(BS37&lt;5,"A","A+"))))))</f>
        <v>A</v>
      </c>
      <c r="BU37" s="47" t="str">
        <f t="shared" ref="BU37:BU49" si="34">IF(BS37="F","NEED TO PROGRESS",IF(BS37&gt;=5,"BEST",IF(BS37&gt;=4,"BETTER",IF(BS37&gt;=2,"GOOD"))))</f>
        <v>BETTER</v>
      </c>
      <c r="BV37" s="46">
        <f>P37+Y37+AF37+AM37+AS37+AZ37+BG37</f>
        <v>577</v>
      </c>
      <c r="BW37" s="45"/>
      <c r="BX37" s="45"/>
    </row>
    <row r="38" spans="1:76" s="18" customFormat="1" ht="27.95" customHeight="1">
      <c r="A38" s="44">
        <v>29</v>
      </c>
      <c r="B38" s="51">
        <v>74</v>
      </c>
      <c r="C38" s="52" t="s">
        <v>195</v>
      </c>
      <c r="D38" s="52" t="s">
        <v>196</v>
      </c>
      <c r="E38" s="52" t="s">
        <v>197</v>
      </c>
      <c r="F38" s="56" t="s">
        <v>224</v>
      </c>
      <c r="G38" s="59">
        <v>17</v>
      </c>
      <c r="H38" s="66">
        <v>37</v>
      </c>
      <c r="I38" s="67">
        <f t="shared" si="29"/>
        <v>54</v>
      </c>
      <c r="J38" s="66">
        <v>25</v>
      </c>
      <c r="K38" s="67">
        <f t="shared" si="30"/>
        <v>79</v>
      </c>
      <c r="L38" s="62">
        <v>9</v>
      </c>
      <c r="M38" s="66">
        <v>31</v>
      </c>
      <c r="N38" s="67">
        <f t="shared" si="31"/>
        <v>40</v>
      </c>
      <c r="O38" s="61">
        <f t="shared" si="1"/>
        <v>40</v>
      </c>
      <c r="P38" s="67">
        <f>K38+O38</f>
        <v>119</v>
      </c>
      <c r="Q38" s="139"/>
      <c r="R38" s="60">
        <f t="shared" si="2"/>
        <v>4</v>
      </c>
      <c r="S38" s="62">
        <v>13</v>
      </c>
      <c r="T38" s="60">
        <v>63</v>
      </c>
      <c r="U38" s="61">
        <f t="shared" si="3"/>
        <v>76</v>
      </c>
      <c r="V38" s="62">
        <v>5</v>
      </c>
      <c r="W38" s="60">
        <v>31</v>
      </c>
      <c r="X38" s="61">
        <f t="shared" si="4"/>
        <v>36</v>
      </c>
      <c r="Y38" s="61">
        <f t="shared" si="5"/>
        <v>112</v>
      </c>
      <c r="Z38" s="139"/>
      <c r="AA38" s="60">
        <f t="shared" si="6"/>
        <v>4</v>
      </c>
      <c r="AB38" s="62">
        <v>18</v>
      </c>
      <c r="AC38" s="60">
        <v>24</v>
      </c>
      <c r="AD38" s="61">
        <f t="shared" si="7"/>
        <v>42</v>
      </c>
      <c r="AE38" s="60">
        <v>20</v>
      </c>
      <c r="AF38" s="61">
        <f t="shared" si="8"/>
        <v>62</v>
      </c>
      <c r="AG38" s="139"/>
      <c r="AH38" s="60">
        <f t="shared" si="9"/>
        <v>3.5</v>
      </c>
      <c r="AI38" s="62">
        <v>20</v>
      </c>
      <c r="AJ38" s="60">
        <v>42</v>
      </c>
      <c r="AK38" s="61">
        <f t="shared" si="10"/>
        <v>62</v>
      </c>
      <c r="AL38" s="60">
        <v>24</v>
      </c>
      <c r="AM38" s="61">
        <f t="shared" si="11"/>
        <v>86</v>
      </c>
      <c r="AN38" s="139"/>
      <c r="AO38" s="60">
        <f t="shared" si="12"/>
        <v>5</v>
      </c>
      <c r="AP38" s="63"/>
      <c r="AQ38" s="60">
        <v>22</v>
      </c>
      <c r="AR38" s="60">
        <v>24</v>
      </c>
      <c r="AS38" s="60">
        <f t="shared" si="13"/>
        <v>46</v>
      </c>
      <c r="AT38" s="137"/>
      <c r="AU38" s="60">
        <f t="shared" si="14"/>
        <v>5</v>
      </c>
      <c r="AV38" s="62">
        <v>20</v>
      </c>
      <c r="AW38" s="60">
        <v>48</v>
      </c>
      <c r="AX38" s="61">
        <f t="shared" si="15"/>
        <v>68</v>
      </c>
      <c r="AY38" s="60">
        <v>23</v>
      </c>
      <c r="AZ38" s="61">
        <f t="shared" si="16"/>
        <v>91</v>
      </c>
      <c r="BA38" s="139"/>
      <c r="BB38" s="60">
        <f t="shared" si="17"/>
        <v>5</v>
      </c>
      <c r="BC38" s="62">
        <v>16</v>
      </c>
      <c r="BD38" s="60">
        <v>40</v>
      </c>
      <c r="BE38" s="61">
        <f t="shared" si="18"/>
        <v>56</v>
      </c>
      <c r="BF38" s="60">
        <v>25</v>
      </c>
      <c r="BG38" s="61">
        <f t="shared" si="19"/>
        <v>81</v>
      </c>
      <c r="BH38" s="137"/>
      <c r="BI38" s="60">
        <f t="shared" si="20"/>
        <v>5</v>
      </c>
      <c r="BJ38" s="62">
        <v>9</v>
      </c>
      <c r="BK38" s="60">
        <v>32</v>
      </c>
      <c r="BL38" s="61">
        <f t="shared" si="21"/>
        <v>41</v>
      </c>
      <c r="BM38" s="60"/>
      <c r="BN38" s="60">
        <v>25</v>
      </c>
      <c r="BO38" s="61">
        <f t="shared" si="22"/>
        <v>41</v>
      </c>
      <c r="BP38" s="94"/>
      <c r="BQ38" s="60">
        <f t="shared" si="23"/>
        <v>5</v>
      </c>
      <c r="BR38" s="60">
        <f>IF(R38="F","F",IF(AA38="F","F",IF(AH38="F","F",IF(AO38="F","F",IF(BB38="F","F",IF(BI38="F","F",IF(AU38="F","F",SUM(R38,AA38,AH38,AO38,AU38,BB38,BI38))))))))</f>
        <v>31.5</v>
      </c>
      <c r="BS38" s="64">
        <f t="shared" si="32"/>
        <v>4.5</v>
      </c>
      <c r="BT38" s="65" t="str">
        <f t="shared" si="33"/>
        <v>A</v>
      </c>
      <c r="BU38" s="47" t="str">
        <f t="shared" si="34"/>
        <v>BETTER</v>
      </c>
      <c r="BV38" s="46">
        <f>P38+Y38+AF38+AM38+AS38+AZ38+BG38</f>
        <v>597</v>
      </c>
      <c r="BW38" s="45"/>
      <c r="BX38" s="45"/>
    </row>
    <row r="39" spans="1:76" s="18" customFormat="1" ht="27.95" customHeight="1">
      <c r="A39" s="44">
        <v>30</v>
      </c>
      <c r="B39" s="51">
        <v>75</v>
      </c>
      <c r="C39" s="52" t="s">
        <v>114</v>
      </c>
      <c r="D39" s="52" t="s">
        <v>115</v>
      </c>
      <c r="E39" s="52" t="s">
        <v>116</v>
      </c>
      <c r="F39" s="56" t="s">
        <v>225</v>
      </c>
      <c r="G39" s="59">
        <v>16</v>
      </c>
      <c r="H39" s="66">
        <v>30</v>
      </c>
      <c r="I39" s="67">
        <f t="shared" si="29"/>
        <v>46</v>
      </c>
      <c r="J39" s="66">
        <v>28</v>
      </c>
      <c r="K39" s="67">
        <f t="shared" si="30"/>
        <v>74</v>
      </c>
      <c r="L39" s="62">
        <v>9</v>
      </c>
      <c r="M39" s="66">
        <v>30</v>
      </c>
      <c r="N39" s="67">
        <f t="shared" si="31"/>
        <v>39</v>
      </c>
      <c r="O39" s="61">
        <f t="shared" si="1"/>
        <v>39</v>
      </c>
      <c r="P39" s="67">
        <f>K39+O39</f>
        <v>113</v>
      </c>
      <c r="Q39" s="139"/>
      <c r="R39" s="60">
        <f t="shared" si="2"/>
        <v>4</v>
      </c>
      <c r="S39" s="62">
        <v>16</v>
      </c>
      <c r="T39" s="60">
        <v>64</v>
      </c>
      <c r="U39" s="61">
        <f t="shared" si="3"/>
        <v>80</v>
      </c>
      <c r="V39" s="62">
        <v>6</v>
      </c>
      <c r="W39" s="60">
        <v>33</v>
      </c>
      <c r="X39" s="61">
        <f t="shared" si="4"/>
        <v>39</v>
      </c>
      <c r="Y39" s="61">
        <f t="shared" si="5"/>
        <v>119</v>
      </c>
      <c r="Z39" s="139"/>
      <c r="AA39" s="60">
        <f t="shared" si="6"/>
        <v>4</v>
      </c>
      <c r="AB39" s="62">
        <v>19</v>
      </c>
      <c r="AC39" s="60">
        <v>23</v>
      </c>
      <c r="AD39" s="61">
        <f t="shared" si="7"/>
        <v>42</v>
      </c>
      <c r="AE39" s="60">
        <v>21</v>
      </c>
      <c r="AF39" s="61">
        <f t="shared" si="8"/>
        <v>63</v>
      </c>
      <c r="AG39" s="139"/>
      <c r="AH39" s="60">
        <f t="shared" si="9"/>
        <v>3.5</v>
      </c>
      <c r="AI39" s="62">
        <v>19</v>
      </c>
      <c r="AJ39" s="60">
        <v>41</v>
      </c>
      <c r="AK39" s="61">
        <f t="shared" si="10"/>
        <v>60</v>
      </c>
      <c r="AL39" s="60">
        <v>26</v>
      </c>
      <c r="AM39" s="61">
        <f t="shared" si="11"/>
        <v>86</v>
      </c>
      <c r="AN39" s="139"/>
      <c r="AO39" s="60">
        <f t="shared" si="12"/>
        <v>5</v>
      </c>
      <c r="AP39" s="63"/>
      <c r="AQ39" s="60">
        <v>22</v>
      </c>
      <c r="AR39" s="60">
        <v>24</v>
      </c>
      <c r="AS39" s="60">
        <f t="shared" si="13"/>
        <v>46</v>
      </c>
      <c r="AT39" s="137"/>
      <c r="AU39" s="60">
        <f t="shared" si="14"/>
        <v>5</v>
      </c>
      <c r="AV39" s="62">
        <v>19</v>
      </c>
      <c r="AW39" s="60">
        <v>46</v>
      </c>
      <c r="AX39" s="61">
        <f t="shared" si="15"/>
        <v>65</v>
      </c>
      <c r="AY39" s="60">
        <v>23</v>
      </c>
      <c r="AZ39" s="61">
        <f t="shared" si="16"/>
        <v>88</v>
      </c>
      <c r="BA39" s="139"/>
      <c r="BB39" s="60">
        <f t="shared" si="17"/>
        <v>5</v>
      </c>
      <c r="BC39" s="62">
        <v>19</v>
      </c>
      <c r="BD39" s="60">
        <v>39</v>
      </c>
      <c r="BE39" s="61">
        <f t="shared" si="18"/>
        <v>58</v>
      </c>
      <c r="BF39" s="60">
        <v>23</v>
      </c>
      <c r="BG39" s="61">
        <f t="shared" si="19"/>
        <v>81</v>
      </c>
      <c r="BH39" s="137"/>
      <c r="BI39" s="60">
        <f t="shared" si="20"/>
        <v>5</v>
      </c>
      <c r="BJ39" s="62">
        <v>10</v>
      </c>
      <c r="BK39" s="60">
        <v>32</v>
      </c>
      <c r="BL39" s="61">
        <f t="shared" si="21"/>
        <v>42</v>
      </c>
      <c r="BM39" s="60"/>
      <c r="BN39" s="60">
        <v>25</v>
      </c>
      <c r="BO39" s="61">
        <f t="shared" si="22"/>
        <v>42</v>
      </c>
      <c r="BP39" s="94"/>
      <c r="BQ39" s="60">
        <f t="shared" si="23"/>
        <v>5</v>
      </c>
      <c r="BR39" s="60">
        <f>IF(R39="F","F",IF(AA39="F","F",IF(AH39="F","F",IF(AO39="F","F",IF(BB39="F","F",IF(BI39="F","F",IF(AU39="F","F",SUM(R39,AA39,AH39,AO39,AU39,BB39,BI39))))))))</f>
        <v>31.5</v>
      </c>
      <c r="BS39" s="64">
        <f t="shared" si="32"/>
        <v>4.5</v>
      </c>
      <c r="BT39" s="65" t="str">
        <f t="shared" si="33"/>
        <v>A</v>
      </c>
      <c r="BU39" s="47" t="str">
        <f t="shared" si="34"/>
        <v>BETTER</v>
      </c>
      <c r="BV39" s="46">
        <f>P39+Y39+AF39+AM39+AS39+AZ39+BG39</f>
        <v>596</v>
      </c>
      <c r="BW39" s="45"/>
      <c r="BX39" s="45"/>
    </row>
    <row r="40" spans="1:76" s="18" customFormat="1" ht="27.95" customHeight="1">
      <c r="A40" s="44">
        <v>31</v>
      </c>
      <c r="B40" s="51">
        <v>81</v>
      </c>
      <c r="C40" s="52" t="s">
        <v>117</v>
      </c>
      <c r="D40" s="52" t="s">
        <v>118</v>
      </c>
      <c r="E40" s="52" t="s">
        <v>119</v>
      </c>
      <c r="F40" s="56" t="s">
        <v>145</v>
      </c>
      <c r="G40" s="59">
        <v>17</v>
      </c>
      <c r="H40" s="66">
        <v>29</v>
      </c>
      <c r="I40" s="67">
        <f t="shared" si="29"/>
        <v>46</v>
      </c>
      <c r="J40" s="66">
        <v>25</v>
      </c>
      <c r="K40" s="67">
        <f t="shared" si="30"/>
        <v>71</v>
      </c>
      <c r="L40" s="62">
        <v>7</v>
      </c>
      <c r="M40" s="66">
        <v>32</v>
      </c>
      <c r="N40" s="67">
        <f t="shared" si="31"/>
        <v>39</v>
      </c>
      <c r="O40" s="61">
        <f t="shared" si="1"/>
        <v>39</v>
      </c>
      <c r="P40" s="67">
        <f>K40+O40</f>
        <v>110</v>
      </c>
      <c r="Q40" s="139"/>
      <c r="R40" s="60">
        <f t="shared" si="2"/>
        <v>4</v>
      </c>
      <c r="S40" s="62">
        <v>20</v>
      </c>
      <c r="T40" s="60">
        <v>74</v>
      </c>
      <c r="U40" s="61">
        <f t="shared" si="3"/>
        <v>94</v>
      </c>
      <c r="V40" s="62">
        <v>6</v>
      </c>
      <c r="W40" s="60">
        <v>35</v>
      </c>
      <c r="X40" s="61">
        <f t="shared" si="4"/>
        <v>41</v>
      </c>
      <c r="Y40" s="61">
        <f t="shared" si="5"/>
        <v>135</v>
      </c>
      <c r="Z40" s="139"/>
      <c r="AA40" s="60">
        <f t="shared" si="6"/>
        <v>5</v>
      </c>
      <c r="AB40" s="62">
        <v>19</v>
      </c>
      <c r="AC40" s="60">
        <v>31</v>
      </c>
      <c r="AD40" s="61">
        <f t="shared" si="7"/>
        <v>50</v>
      </c>
      <c r="AE40" s="60">
        <v>22</v>
      </c>
      <c r="AF40" s="61">
        <f t="shared" si="8"/>
        <v>72</v>
      </c>
      <c r="AG40" s="139"/>
      <c r="AH40" s="60">
        <f t="shared" si="9"/>
        <v>4</v>
      </c>
      <c r="AI40" s="62">
        <v>19</v>
      </c>
      <c r="AJ40" s="60">
        <v>43</v>
      </c>
      <c r="AK40" s="61">
        <f t="shared" si="10"/>
        <v>62</v>
      </c>
      <c r="AL40" s="60">
        <v>24</v>
      </c>
      <c r="AM40" s="61">
        <f t="shared" si="11"/>
        <v>86</v>
      </c>
      <c r="AN40" s="139"/>
      <c r="AO40" s="60">
        <f t="shared" si="12"/>
        <v>5</v>
      </c>
      <c r="AP40" s="63"/>
      <c r="AQ40" s="60">
        <v>22</v>
      </c>
      <c r="AR40" s="60">
        <v>24</v>
      </c>
      <c r="AS40" s="60">
        <f t="shared" si="13"/>
        <v>46</v>
      </c>
      <c r="AT40" s="137"/>
      <c r="AU40" s="60">
        <f t="shared" si="14"/>
        <v>5</v>
      </c>
      <c r="AV40" s="62">
        <v>19</v>
      </c>
      <c r="AW40" s="60">
        <v>42</v>
      </c>
      <c r="AX40" s="61">
        <f t="shared" si="15"/>
        <v>61</v>
      </c>
      <c r="AY40" s="60">
        <v>24</v>
      </c>
      <c r="AZ40" s="61">
        <f t="shared" si="16"/>
        <v>85</v>
      </c>
      <c r="BA40" s="139"/>
      <c r="BB40" s="60">
        <f t="shared" si="17"/>
        <v>5</v>
      </c>
      <c r="BC40" s="62">
        <v>16</v>
      </c>
      <c r="BD40" s="60">
        <v>34</v>
      </c>
      <c r="BE40" s="61">
        <f t="shared" si="18"/>
        <v>50</v>
      </c>
      <c r="BF40" s="60">
        <v>24</v>
      </c>
      <c r="BG40" s="61">
        <f t="shared" si="19"/>
        <v>74</v>
      </c>
      <c r="BH40" s="137"/>
      <c r="BI40" s="60">
        <f t="shared" si="20"/>
        <v>4</v>
      </c>
      <c r="BJ40" s="62">
        <v>9</v>
      </c>
      <c r="BK40" s="60">
        <v>32</v>
      </c>
      <c r="BL40" s="61">
        <f t="shared" si="21"/>
        <v>41</v>
      </c>
      <c r="BM40" s="60"/>
      <c r="BN40" s="60">
        <v>25</v>
      </c>
      <c r="BO40" s="61">
        <f t="shared" si="22"/>
        <v>41</v>
      </c>
      <c r="BP40" s="94"/>
      <c r="BQ40" s="60">
        <f t="shared" si="23"/>
        <v>5</v>
      </c>
      <c r="BR40" s="60">
        <f>IF(R40="F","F",IF(AA40="F","F",IF(AH40="F","F",IF(AO40="F","F",IF(BB40="F","F",IF(BI40="F","F",IF(AU40="F","F",SUM(R40,AA40,AH40,AO40,AU40,BB40,BI40))))))))</f>
        <v>32</v>
      </c>
      <c r="BS40" s="64">
        <f t="shared" si="32"/>
        <v>4.5714285714285712</v>
      </c>
      <c r="BT40" s="65" t="str">
        <f t="shared" si="33"/>
        <v>A</v>
      </c>
      <c r="BU40" s="47" t="str">
        <f t="shared" si="34"/>
        <v>BETTER</v>
      </c>
      <c r="BV40" s="46">
        <f>P40+Y40+AF40+AM40+AS40+AZ40+BG40</f>
        <v>608</v>
      </c>
      <c r="BW40" s="45"/>
      <c r="BX40" s="45"/>
    </row>
    <row r="41" spans="1:76" s="82" customFormat="1" ht="27.95" customHeight="1">
      <c r="A41" s="69">
        <v>32</v>
      </c>
      <c r="B41" s="70">
        <v>86</v>
      </c>
      <c r="C41" s="71" t="s">
        <v>198</v>
      </c>
      <c r="D41" s="71" t="s">
        <v>199</v>
      </c>
      <c r="E41" s="71" t="s">
        <v>200</v>
      </c>
      <c r="F41" s="72" t="s">
        <v>226</v>
      </c>
      <c r="G41" s="73">
        <v>0</v>
      </c>
      <c r="H41" s="74">
        <v>0</v>
      </c>
      <c r="I41" s="75">
        <f t="shared" si="29"/>
        <v>0</v>
      </c>
      <c r="J41" s="74">
        <v>0</v>
      </c>
      <c r="K41" s="75">
        <f t="shared" si="30"/>
        <v>0</v>
      </c>
      <c r="L41" s="73">
        <v>0</v>
      </c>
      <c r="M41" s="74">
        <v>0</v>
      </c>
      <c r="N41" s="75">
        <f t="shared" si="31"/>
        <v>0</v>
      </c>
      <c r="O41" s="75">
        <f t="shared" si="1"/>
        <v>0</v>
      </c>
      <c r="P41" s="75">
        <f>K41+O41</f>
        <v>0</v>
      </c>
      <c r="Q41" s="139"/>
      <c r="R41" s="74" t="str">
        <f t="shared" si="2"/>
        <v>F</v>
      </c>
      <c r="S41" s="73">
        <v>0</v>
      </c>
      <c r="T41" s="74"/>
      <c r="U41" s="75">
        <f t="shared" si="3"/>
        <v>0</v>
      </c>
      <c r="V41" s="73">
        <v>0</v>
      </c>
      <c r="W41" s="74"/>
      <c r="X41" s="75">
        <f t="shared" si="4"/>
        <v>0</v>
      </c>
      <c r="Y41" s="61">
        <f t="shared" si="5"/>
        <v>0</v>
      </c>
      <c r="Z41" s="139"/>
      <c r="AA41" s="74" t="str">
        <f t="shared" si="6"/>
        <v>F</v>
      </c>
      <c r="AB41" s="73">
        <v>0</v>
      </c>
      <c r="AC41" s="74">
        <v>0</v>
      </c>
      <c r="AD41" s="75">
        <f t="shared" si="7"/>
        <v>0</v>
      </c>
      <c r="AE41" s="74">
        <v>0</v>
      </c>
      <c r="AF41" s="75">
        <f t="shared" si="8"/>
        <v>0</v>
      </c>
      <c r="AG41" s="139"/>
      <c r="AH41" s="74" t="str">
        <f t="shared" si="9"/>
        <v>F</v>
      </c>
      <c r="AI41" s="73">
        <v>0</v>
      </c>
      <c r="AJ41" s="74">
        <v>0</v>
      </c>
      <c r="AK41" s="75">
        <f t="shared" si="10"/>
        <v>0</v>
      </c>
      <c r="AL41" s="74">
        <v>0</v>
      </c>
      <c r="AM41" s="75">
        <f t="shared" si="11"/>
        <v>0</v>
      </c>
      <c r="AN41" s="139"/>
      <c r="AO41" s="74" t="str">
        <f t="shared" si="12"/>
        <v>F</v>
      </c>
      <c r="AP41" s="76"/>
      <c r="AQ41" s="60">
        <v>0</v>
      </c>
      <c r="AR41" s="60">
        <v>0</v>
      </c>
      <c r="AS41" s="74">
        <f t="shared" si="13"/>
        <v>0</v>
      </c>
      <c r="AT41" s="137"/>
      <c r="AU41" s="74" t="str">
        <f t="shared" si="14"/>
        <v>F</v>
      </c>
      <c r="AV41" s="73">
        <v>0</v>
      </c>
      <c r="AW41" s="74">
        <v>0</v>
      </c>
      <c r="AX41" s="75">
        <f t="shared" si="15"/>
        <v>0</v>
      </c>
      <c r="AY41" s="74">
        <v>0</v>
      </c>
      <c r="AZ41" s="75">
        <f t="shared" si="16"/>
        <v>0</v>
      </c>
      <c r="BA41" s="139"/>
      <c r="BB41" s="74" t="str">
        <f t="shared" si="17"/>
        <v>F</v>
      </c>
      <c r="BC41" s="73">
        <v>0</v>
      </c>
      <c r="BD41" s="74">
        <v>0</v>
      </c>
      <c r="BE41" s="75">
        <f t="shared" si="18"/>
        <v>0</v>
      </c>
      <c r="BF41" s="74">
        <v>0</v>
      </c>
      <c r="BG41" s="75">
        <f t="shared" si="19"/>
        <v>0</v>
      </c>
      <c r="BH41" s="137"/>
      <c r="BI41" s="74" t="str">
        <f t="shared" si="20"/>
        <v>F</v>
      </c>
      <c r="BJ41" s="73">
        <v>0</v>
      </c>
      <c r="BK41" s="60">
        <v>32</v>
      </c>
      <c r="BL41" s="75">
        <f t="shared" si="21"/>
        <v>32</v>
      </c>
      <c r="BM41" s="74"/>
      <c r="BN41" s="60">
        <v>25</v>
      </c>
      <c r="BO41" s="75">
        <f t="shared" si="22"/>
        <v>32</v>
      </c>
      <c r="BP41" s="94"/>
      <c r="BQ41" s="74">
        <f t="shared" si="23"/>
        <v>3.5</v>
      </c>
      <c r="BR41" s="74" t="str">
        <f>IF(R41="F","F",IF(AA41="F","F",IF(AH41="F","F",IF(AO41="F","F",IF(BB41="F","F",IF(BI41="F","F",IF(AU41="F","F",SUM(R41,AA41,AH41,AO41,AU41,BB41,BI41))))))))</f>
        <v>F</v>
      </c>
      <c r="BS41" s="77" t="str">
        <f t="shared" si="32"/>
        <v>F</v>
      </c>
      <c r="BT41" s="78" t="str">
        <f t="shared" si="33"/>
        <v>F</v>
      </c>
      <c r="BU41" s="79" t="str">
        <f t="shared" si="34"/>
        <v>NEED TO PROGRESS</v>
      </c>
      <c r="BV41" s="80">
        <f>P41+Y41+AF41+AM41+AS41+AZ41+BG41</f>
        <v>0</v>
      </c>
      <c r="BW41" s="81"/>
      <c r="BX41" s="81"/>
    </row>
    <row r="42" spans="1:76" s="82" customFormat="1" ht="27.95" customHeight="1">
      <c r="A42" s="69">
        <v>33</v>
      </c>
      <c r="B42" s="70">
        <v>89</v>
      </c>
      <c r="C42" s="83" t="s">
        <v>120</v>
      </c>
      <c r="D42" s="83" t="s">
        <v>121</v>
      </c>
      <c r="E42" s="83" t="s">
        <v>122</v>
      </c>
      <c r="F42" s="84" t="s">
        <v>146</v>
      </c>
      <c r="G42" s="85">
        <v>17</v>
      </c>
      <c r="H42" s="74">
        <v>0</v>
      </c>
      <c r="I42" s="75">
        <f t="shared" si="29"/>
        <v>17</v>
      </c>
      <c r="J42" s="74">
        <v>0</v>
      </c>
      <c r="K42" s="75">
        <f t="shared" si="30"/>
        <v>17</v>
      </c>
      <c r="L42" s="86">
        <v>10</v>
      </c>
      <c r="M42" s="74">
        <v>0</v>
      </c>
      <c r="N42" s="75">
        <f t="shared" si="31"/>
        <v>10</v>
      </c>
      <c r="O42" s="75">
        <f t="shared" si="1"/>
        <v>10</v>
      </c>
      <c r="P42" s="75">
        <f>K42+O42</f>
        <v>27</v>
      </c>
      <c r="Q42" s="139"/>
      <c r="R42" s="74" t="str">
        <f t="shared" si="2"/>
        <v>F</v>
      </c>
      <c r="S42" s="86">
        <v>19</v>
      </c>
      <c r="T42" s="74"/>
      <c r="U42" s="75">
        <f t="shared" si="3"/>
        <v>19</v>
      </c>
      <c r="V42" s="86">
        <v>6</v>
      </c>
      <c r="W42" s="74"/>
      <c r="X42" s="75">
        <f t="shared" si="4"/>
        <v>6</v>
      </c>
      <c r="Y42" s="61">
        <f t="shared" si="5"/>
        <v>25</v>
      </c>
      <c r="Z42" s="139"/>
      <c r="AA42" s="74" t="str">
        <f t="shared" si="6"/>
        <v>F</v>
      </c>
      <c r="AB42" s="86">
        <v>12</v>
      </c>
      <c r="AC42" s="74">
        <v>0</v>
      </c>
      <c r="AD42" s="75">
        <f t="shared" si="7"/>
        <v>12</v>
      </c>
      <c r="AE42" s="74">
        <v>0</v>
      </c>
      <c r="AF42" s="75">
        <f t="shared" si="8"/>
        <v>12</v>
      </c>
      <c r="AG42" s="139"/>
      <c r="AH42" s="74" t="str">
        <f t="shared" si="9"/>
        <v>F</v>
      </c>
      <c r="AI42" s="86">
        <v>20</v>
      </c>
      <c r="AJ42" s="74">
        <v>0</v>
      </c>
      <c r="AK42" s="75">
        <f t="shared" si="10"/>
        <v>20</v>
      </c>
      <c r="AL42" s="74">
        <v>0</v>
      </c>
      <c r="AM42" s="75">
        <f t="shared" si="11"/>
        <v>20</v>
      </c>
      <c r="AN42" s="139"/>
      <c r="AO42" s="74" t="str">
        <f t="shared" si="12"/>
        <v>F</v>
      </c>
      <c r="AP42" s="76"/>
      <c r="AQ42" s="60">
        <v>0</v>
      </c>
      <c r="AR42" s="60">
        <v>0</v>
      </c>
      <c r="AS42" s="74">
        <f t="shared" si="13"/>
        <v>0</v>
      </c>
      <c r="AT42" s="137"/>
      <c r="AU42" s="74" t="str">
        <f t="shared" si="14"/>
        <v>F</v>
      </c>
      <c r="AV42" s="86">
        <v>19</v>
      </c>
      <c r="AW42" s="74">
        <v>0</v>
      </c>
      <c r="AX42" s="75">
        <f t="shared" si="15"/>
        <v>19</v>
      </c>
      <c r="AY42" s="74">
        <v>0</v>
      </c>
      <c r="AZ42" s="75">
        <f t="shared" si="16"/>
        <v>19</v>
      </c>
      <c r="BA42" s="139"/>
      <c r="BB42" s="74" t="str">
        <f t="shared" si="17"/>
        <v>F</v>
      </c>
      <c r="BC42" s="86">
        <v>14</v>
      </c>
      <c r="BD42" s="74">
        <v>0</v>
      </c>
      <c r="BE42" s="75">
        <f t="shared" si="18"/>
        <v>14</v>
      </c>
      <c r="BF42" s="74">
        <v>0</v>
      </c>
      <c r="BG42" s="75">
        <f t="shared" si="19"/>
        <v>14</v>
      </c>
      <c r="BH42" s="137"/>
      <c r="BI42" s="74" t="str">
        <f t="shared" si="20"/>
        <v>F</v>
      </c>
      <c r="BJ42" s="86">
        <v>9</v>
      </c>
      <c r="BK42" s="60">
        <v>32</v>
      </c>
      <c r="BL42" s="75">
        <f t="shared" si="21"/>
        <v>41</v>
      </c>
      <c r="BM42" s="74"/>
      <c r="BN42" s="60">
        <v>25</v>
      </c>
      <c r="BO42" s="75">
        <f t="shared" si="22"/>
        <v>41</v>
      </c>
      <c r="BP42" s="94"/>
      <c r="BQ42" s="74">
        <f t="shared" si="23"/>
        <v>5</v>
      </c>
      <c r="BR42" s="74" t="str">
        <f>IF(R42="F","F",IF(AA42="F","F",IF(AH42="F","F",IF(AO42="F","F",IF(BB42="F","F",IF(BI42="F","F",IF(AU42="F","F",SUM(R42,AA42,AH42,AO42,AU42,BB42,BI42))))))))</f>
        <v>F</v>
      </c>
      <c r="BS42" s="77" t="str">
        <f t="shared" si="32"/>
        <v>F</v>
      </c>
      <c r="BT42" s="78" t="str">
        <f t="shared" si="33"/>
        <v>F</v>
      </c>
      <c r="BU42" s="79" t="str">
        <f t="shared" si="34"/>
        <v>NEED TO PROGRESS</v>
      </c>
      <c r="BV42" s="80">
        <f>P42+Y42+AF42+AM42+AS42+AZ42+BG42</f>
        <v>117</v>
      </c>
      <c r="BW42" s="81"/>
      <c r="BX42" s="81"/>
    </row>
    <row r="43" spans="1:76" s="18" customFormat="1" ht="27.95" customHeight="1">
      <c r="A43" s="44">
        <v>34</v>
      </c>
      <c r="B43" s="51">
        <v>90</v>
      </c>
      <c r="C43" s="52" t="s">
        <v>201</v>
      </c>
      <c r="D43" s="52" t="s">
        <v>202</v>
      </c>
      <c r="E43" s="52" t="s">
        <v>203</v>
      </c>
      <c r="F43" s="56" t="s">
        <v>227</v>
      </c>
      <c r="G43" s="59">
        <v>15</v>
      </c>
      <c r="H43" s="66">
        <v>29</v>
      </c>
      <c r="I43" s="67">
        <f t="shared" si="29"/>
        <v>44</v>
      </c>
      <c r="J43" s="66">
        <v>25</v>
      </c>
      <c r="K43" s="67">
        <f t="shared" si="30"/>
        <v>69</v>
      </c>
      <c r="L43" s="62">
        <v>6</v>
      </c>
      <c r="M43" s="66">
        <v>26</v>
      </c>
      <c r="N43" s="67">
        <f t="shared" si="31"/>
        <v>32</v>
      </c>
      <c r="O43" s="61">
        <f t="shared" si="1"/>
        <v>32</v>
      </c>
      <c r="P43" s="67">
        <f>K43+O43</f>
        <v>101</v>
      </c>
      <c r="Q43" s="139"/>
      <c r="R43" s="60">
        <f t="shared" si="2"/>
        <v>4</v>
      </c>
      <c r="S43" s="62">
        <v>14</v>
      </c>
      <c r="T43" s="60">
        <v>60</v>
      </c>
      <c r="U43" s="61">
        <f t="shared" si="3"/>
        <v>74</v>
      </c>
      <c r="V43" s="62">
        <v>5</v>
      </c>
      <c r="W43" s="60">
        <v>28</v>
      </c>
      <c r="X43" s="61">
        <f t="shared" si="4"/>
        <v>33</v>
      </c>
      <c r="Y43" s="61">
        <f t="shared" si="5"/>
        <v>107</v>
      </c>
      <c r="Z43" s="139"/>
      <c r="AA43" s="60">
        <f t="shared" si="6"/>
        <v>4</v>
      </c>
      <c r="AB43" s="62">
        <v>10</v>
      </c>
      <c r="AC43" s="60">
        <v>9</v>
      </c>
      <c r="AD43" s="61">
        <f t="shared" si="7"/>
        <v>19</v>
      </c>
      <c r="AE43" s="60">
        <v>9</v>
      </c>
      <c r="AF43" s="61">
        <f t="shared" si="8"/>
        <v>28</v>
      </c>
      <c r="AG43" s="139"/>
      <c r="AH43" s="60" t="str">
        <f t="shared" si="9"/>
        <v>F</v>
      </c>
      <c r="AI43" s="62">
        <v>18</v>
      </c>
      <c r="AJ43" s="60">
        <v>37</v>
      </c>
      <c r="AK43" s="61">
        <f t="shared" si="10"/>
        <v>55</v>
      </c>
      <c r="AL43" s="60">
        <v>21</v>
      </c>
      <c r="AM43" s="61">
        <f t="shared" si="11"/>
        <v>76</v>
      </c>
      <c r="AN43" s="139"/>
      <c r="AO43" s="60">
        <f t="shared" si="12"/>
        <v>4</v>
      </c>
      <c r="AP43" s="63"/>
      <c r="AQ43" s="60">
        <v>22</v>
      </c>
      <c r="AR43" s="60">
        <v>24</v>
      </c>
      <c r="AS43" s="60">
        <f t="shared" si="13"/>
        <v>46</v>
      </c>
      <c r="AT43" s="137"/>
      <c r="AU43" s="60">
        <f t="shared" si="14"/>
        <v>5</v>
      </c>
      <c r="AV43" s="62">
        <v>19</v>
      </c>
      <c r="AW43" s="60">
        <v>47</v>
      </c>
      <c r="AX43" s="61">
        <f t="shared" si="15"/>
        <v>66</v>
      </c>
      <c r="AY43" s="60">
        <v>24</v>
      </c>
      <c r="AZ43" s="61">
        <f t="shared" si="16"/>
        <v>90</v>
      </c>
      <c r="BA43" s="139"/>
      <c r="BB43" s="60">
        <f t="shared" si="17"/>
        <v>5</v>
      </c>
      <c r="BC43" s="62">
        <v>13</v>
      </c>
      <c r="BD43" s="60">
        <v>37</v>
      </c>
      <c r="BE43" s="61">
        <f t="shared" si="18"/>
        <v>50</v>
      </c>
      <c r="BF43" s="60">
        <v>23</v>
      </c>
      <c r="BG43" s="61">
        <f t="shared" si="19"/>
        <v>73</v>
      </c>
      <c r="BH43" s="137"/>
      <c r="BI43" s="60">
        <f t="shared" si="20"/>
        <v>4</v>
      </c>
      <c r="BJ43" s="62">
        <v>10</v>
      </c>
      <c r="BK43" s="60">
        <v>32</v>
      </c>
      <c r="BL43" s="61">
        <f t="shared" si="21"/>
        <v>42</v>
      </c>
      <c r="BM43" s="60"/>
      <c r="BN43" s="60">
        <v>25</v>
      </c>
      <c r="BO43" s="61">
        <f t="shared" si="22"/>
        <v>42</v>
      </c>
      <c r="BP43" s="94"/>
      <c r="BQ43" s="60">
        <f t="shared" si="23"/>
        <v>5</v>
      </c>
      <c r="BR43" s="60" t="str">
        <f>IF(R43="F","F",IF(AA43="F","F",IF(AH43="F","F",IF(AO43="F","F",IF(BB43="F","F",IF(BI43="F","F",IF(AU43="F","F",SUM(R43,AA43,AH43,AO43,AU43,BB43,BI43))))))))</f>
        <v>F</v>
      </c>
      <c r="BS43" s="64" t="str">
        <f t="shared" si="32"/>
        <v>F</v>
      </c>
      <c r="BT43" s="65" t="str">
        <f t="shared" si="33"/>
        <v>F</v>
      </c>
      <c r="BU43" s="47" t="str">
        <f t="shared" si="34"/>
        <v>NEED TO PROGRESS</v>
      </c>
      <c r="BV43" s="46">
        <f>P43+Y43+AF43+AM43+AS43+AZ43+BG43</f>
        <v>521</v>
      </c>
      <c r="BW43" s="45"/>
      <c r="BX43" s="45"/>
    </row>
    <row r="44" spans="1:76" s="18" customFormat="1" ht="27.95" customHeight="1">
      <c r="A44" s="44">
        <v>35</v>
      </c>
      <c r="B44" s="51">
        <v>92</v>
      </c>
      <c r="C44" s="52" t="s">
        <v>204</v>
      </c>
      <c r="D44" s="52" t="s">
        <v>106</v>
      </c>
      <c r="E44" s="52" t="s">
        <v>205</v>
      </c>
      <c r="F44" s="56" t="s">
        <v>228</v>
      </c>
      <c r="G44" s="59">
        <v>14</v>
      </c>
      <c r="H44" s="66">
        <v>22</v>
      </c>
      <c r="I44" s="67">
        <f t="shared" si="29"/>
        <v>36</v>
      </c>
      <c r="J44" s="66">
        <v>26</v>
      </c>
      <c r="K44" s="67">
        <f t="shared" si="30"/>
        <v>62</v>
      </c>
      <c r="L44" s="62">
        <v>7</v>
      </c>
      <c r="M44" s="66">
        <v>34</v>
      </c>
      <c r="N44" s="67">
        <f t="shared" si="31"/>
        <v>41</v>
      </c>
      <c r="O44" s="61">
        <f t="shared" si="1"/>
        <v>41</v>
      </c>
      <c r="P44" s="67">
        <f>K44+O44</f>
        <v>103</v>
      </c>
      <c r="Q44" s="139"/>
      <c r="R44" s="60">
        <f t="shared" si="2"/>
        <v>4</v>
      </c>
      <c r="S44" s="62">
        <v>16</v>
      </c>
      <c r="T44" s="60">
        <v>62</v>
      </c>
      <c r="U44" s="61">
        <f t="shared" si="3"/>
        <v>78</v>
      </c>
      <c r="V44" s="62">
        <v>7</v>
      </c>
      <c r="W44" s="60">
        <v>29</v>
      </c>
      <c r="X44" s="61">
        <f t="shared" si="4"/>
        <v>36</v>
      </c>
      <c r="Y44" s="61">
        <f t="shared" si="5"/>
        <v>114</v>
      </c>
      <c r="Z44" s="139"/>
      <c r="AA44" s="60">
        <f t="shared" si="6"/>
        <v>4</v>
      </c>
      <c r="AB44" s="62">
        <v>20</v>
      </c>
      <c r="AC44" s="60">
        <v>31</v>
      </c>
      <c r="AD44" s="61">
        <f t="shared" si="7"/>
        <v>51</v>
      </c>
      <c r="AE44" s="60">
        <v>15</v>
      </c>
      <c r="AF44" s="61">
        <f t="shared" si="8"/>
        <v>66</v>
      </c>
      <c r="AG44" s="139"/>
      <c r="AH44" s="60">
        <f t="shared" si="9"/>
        <v>3.5</v>
      </c>
      <c r="AI44" s="62">
        <v>19</v>
      </c>
      <c r="AJ44" s="60">
        <v>39</v>
      </c>
      <c r="AK44" s="61">
        <f t="shared" si="10"/>
        <v>58</v>
      </c>
      <c r="AL44" s="60">
        <v>24</v>
      </c>
      <c r="AM44" s="61">
        <f t="shared" si="11"/>
        <v>82</v>
      </c>
      <c r="AN44" s="139"/>
      <c r="AO44" s="60">
        <f t="shared" si="12"/>
        <v>5</v>
      </c>
      <c r="AP44" s="63"/>
      <c r="AQ44" s="60">
        <v>22</v>
      </c>
      <c r="AR44" s="60">
        <v>24</v>
      </c>
      <c r="AS44" s="60">
        <f t="shared" si="13"/>
        <v>46</v>
      </c>
      <c r="AT44" s="137"/>
      <c r="AU44" s="60">
        <f t="shared" si="14"/>
        <v>5</v>
      </c>
      <c r="AV44" s="62">
        <v>20</v>
      </c>
      <c r="AW44" s="60">
        <v>36</v>
      </c>
      <c r="AX44" s="61">
        <f t="shared" si="15"/>
        <v>56</v>
      </c>
      <c r="AY44" s="60">
        <v>24</v>
      </c>
      <c r="AZ44" s="61">
        <f t="shared" si="16"/>
        <v>80</v>
      </c>
      <c r="BA44" s="139"/>
      <c r="BB44" s="60">
        <f t="shared" si="17"/>
        <v>5</v>
      </c>
      <c r="BC44" s="62">
        <v>13</v>
      </c>
      <c r="BD44" s="60">
        <v>34</v>
      </c>
      <c r="BE44" s="61">
        <f t="shared" si="18"/>
        <v>47</v>
      </c>
      <c r="BF44" s="60">
        <v>25</v>
      </c>
      <c r="BG44" s="61">
        <f t="shared" si="19"/>
        <v>72</v>
      </c>
      <c r="BH44" s="137"/>
      <c r="BI44" s="60">
        <f t="shared" si="20"/>
        <v>4</v>
      </c>
      <c r="BJ44" s="62">
        <v>9</v>
      </c>
      <c r="BK44" s="60">
        <v>32</v>
      </c>
      <c r="BL44" s="61">
        <f t="shared" si="21"/>
        <v>41</v>
      </c>
      <c r="BM44" s="60"/>
      <c r="BN44" s="60">
        <v>25</v>
      </c>
      <c r="BO44" s="61">
        <f t="shared" si="22"/>
        <v>41</v>
      </c>
      <c r="BP44" s="94"/>
      <c r="BQ44" s="60">
        <f t="shared" si="23"/>
        <v>5</v>
      </c>
      <c r="BR44" s="60">
        <f>IF(R44="F","F",IF(AA44="F","F",IF(AH44="F","F",IF(AO44="F","F",IF(BB44="F","F",IF(BI44="F","F",IF(AU44="F","F",SUM(R44,AA44,AH44,AO44,AU44,BB44,BI44))))))))</f>
        <v>30.5</v>
      </c>
      <c r="BS44" s="64">
        <f t="shared" si="32"/>
        <v>4.3571428571428568</v>
      </c>
      <c r="BT44" s="65" t="str">
        <f t="shared" si="33"/>
        <v>A</v>
      </c>
      <c r="BU44" s="47" t="str">
        <f t="shared" si="34"/>
        <v>BETTER</v>
      </c>
      <c r="BV44" s="46">
        <f>P44+Y44+AF44+AM44+AS44+AZ44+BG44</f>
        <v>563</v>
      </c>
      <c r="BW44" s="45"/>
      <c r="BX44" s="45"/>
    </row>
    <row r="45" spans="1:76" s="18" customFormat="1" ht="27.95" customHeight="1">
      <c r="A45" s="44">
        <v>36</v>
      </c>
      <c r="B45" s="51">
        <v>93</v>
      </c>
      <c r="C45" s="52" t="s">
        <v>123</v>
      </c>
      <c r="D45" s="52" t="s">
        <v>124</v>
      </c>
      <c r="E45" s="52" t="s">
        <v>125</v>
      </c>
      <c r="F45" s="56" t="s">
        <v>147</v>
      </c>
      <c r="G45" s="59">
        <v>14</v>
      </c>
      <c r="H45" s="66">
        <v>24</v>
      </c>
      <c r="I45" s="67">
        <f t="shared" si="29"/>
        <v>38</v>
      </c>
      <c r="J45" s="66">
        <v>28</v>
      </c>
      <c r="K45" s="67">
        <f t="shared" si="30"/>
        <v>66</v>
      </c>
      <c r="L45" s="62">
        <v>9</v>
      </c>
      <c r="M45" s="66">
        <v>31</v>
      </c>
      <c r="N45" s="67">
        <f t="shared" si="31"/>
        <v>40</v>
      </c>
      <c r="O45" s="61">
        <f t="shared" si="1"/>
        <v>40</v>
      </c>
      <c r="P45" s="67">
        <f>K45+O45</f>
        <v>106</v>
      </c>
      <c r="Q45" s="139"/>
      <c r="R45" s="60">
        <f t="shared" si="2"/>
        <v>4</v>
      </c>
      <c r="S45" s="62">
        <v>14</v>
      </c>
      <c r="T45" s="60">
        <v>47</v>
      </c>
      <c r="U45" s="61">
        <f t="shared" si="3"/>
        <v>61</v>
      </c>
      <c r="V45" s="62">
        <v>5</v>
      </c>
      <c r="W45" s="60">
        <v>27</v>
      </c>
      <c r="X45" s="61">
        <f t="shared" si="4"/>
        <v>32</v>
      </c>
      <c r="Y45" s="61">
        <f t="shared" si="5"/>
        <v>93</v>
      </c>
      <c r="Z45" s="139"/>
      <c r="AA45" s="60">
        <f t="shared" si="6"/>
        <v>4</v>
      </c>
      <c r="AB45" s="62">
        <v>15</v>
      </c>
      <c r="AC45" s="60">
        <v>16</v>
      </c>
      <c r="AD45" s="61">
        <f t="shared" si="7"/>
        <v>31</v>
      </c>
      <c r="AE45" s="60">
        <v>18</v>
      </c>
      <c r="AF45" s="61">
        <f t="shared" si="8"/>
        <v>49</v>
      </c>
      <c r="AG45" s="139"/>
      <c r="AH45" s="60">
        <f t="shared" si="9"/>
        <v>2</v>
      </c>
      <c r="AI45" s="62">
        <v>19</v>
      </c>
      <c r="AJ45" s="60">
        <v>37</v>
      </c>
      <c r="AK45" s="61">
        <f t="shared" si="10"/>
        <v>56</v>
      </c>
      <c r="AL45" s="60">
        <v>26</v>
      </c>
      <c r="AM45" s="61">
        <f t="shared" si="11"/>
        <v>82</v>
      </c>
      <c r="AN45" s="139"/>
      <c r="AO45" s="60">
        <f t="shared" si="12"/>
        <v>5</v>
      </c>
      <c r="AP45" s="63"/>
      <c r="AQ45" s="60">
        <v>22</v>
      </c>
      <c r="AR45" s="60">
        <v>24</v>
      </c>
      <c r="AS45" s="60">
        <f t="shared" si="13"/>
        <v>46</v>
      </c>
      <c r="AT45" s="137"/>
      <c r="AU45" s="60">
        <f t="shared" si="14"/>
        <v>5</v>
      </c>
      <c r="AV45" s="62">
        <v>20</v>
      </c>
      <c r="AW45" s="60">
        <v>38</v>
      </c>
      <c r="AX45" s="61">
        <f t="shared" si="15"/>
        <v>58</v>
      </c>
      <c r="AY45" s="60">
        <v>22</v>
      </c>
      <c r="AZ45" s="61">
        <f t="shared" si="16"/>
        <v>80</v>
      </c>
      <c r="BA45" s="139"/>
      <c r="BB45" s="60">
        <f t="shared" si="17"/>
        <v>5</v>
      </c>
      <c r="BC45" s="62">
        <v>13</v>
      </c>
      <c r="BD45" s="60">
        <v>32</v>
      </c>
      <c r="BE45" s="61">
        <f t="shared" si="18"/>
        <v>45</v>
      </c>
      <c r="BF45" s="60">
        <v>20</v>
      </c>
      <c r="BG45" s="61">
        <f t="shared" si="19"/>
        <v>65</v>
      </c>
      <c r="BH45" s="137"/>
      <c r="BI45" s="60">
        <f t="shared" si="20"/>
        <v>3.5</v>
      </c>
      <c r="BJ45" s="62">
        <v>9</v>
      </c>
      <c r="BK45" s="60">
        <v>32</v>
      </c>
      <c r="BL45" s="61">
        <f t="shared" si="21"/>
        <v>41</v>
      </c>
      <c r="BM45" s="60"/>
      <c r="BN45" s="60">
        <v>25</v>
      </c>
      <c r="BO45" s="61">
        <f t="shared" si="22"/>
        <v>41</v>
      </c>
      <c r="BP45" s="94"/>
      <c r="BQ45" s="60">
        <f t="shared" si="23"/>
        <v>5</v>
      </c>
      <c r="BR45" s="60">
        <f>IF(R45="F","F",IF(AA45="F","F",IF(AH45="F","F",IF(AO45="F","F",IF(BB45="F","F",IF(BI45="F","F",IF(AU45="F","F",SUM(R45,AA45,AH45,AO45,AU45,BB45,BI45))))))))</f>
        <v>28.5</v>
      </c>
      <c r="BS45" s="64">
        <f t="shared" si="32"/>
        <v>4.0714285714285712</v>
      </c>
      <c r="BT45" s="65" t="str">
        <f t="shared" si="33"/>
        <v>A</v>
      </c>
      <c r="BU45" s="47" t="str">
        <f t="shared" si="34"/>
        <v>BETTER</v>
      </c>
      <c r="BV45" s="46">
        <f>P45+Y45+AF45+AM45+AS45+AZ45+BG45</f>
        <v>521</v>
      </c>
      <c r="BW45" s="45"/>
      <c r="BX45" s="45"/>
    </row>
    <row r="46" spans="1:76" s="18" customFormat="1" ht="27.95" customHeight="1">
      <c r="A46" s="44">
        <v>37</v>
      </c>
      <c r="B46" s="51">
        <v>95</v>
      </c>
      <c r="C46" s="52" t="s">
        <v>126</v>
      </c>
      <c r="D46" s="52" t="s">
        <v>127</v>
      </c>
      <c r="E46" s="52" t="s">
        <v>128</v>
      </c>
      <c r="F46" s="56" t="s">
        <v>148</v>
      </c>
      <c r="G46" s="59">
        <v>15</v>
      </c>
      <c r="H46" s="66">
        <v>29</v>
      </c>
      <c r="I46" s="67">
        <f t="shared" si="29"/>
        <v>44</v>
      </c>
      <c r="J46" s="66">
        <v>25</v>
      </c>
      <c r="K46" s="67">
        <f t="shared" si="30"/>
        <v>69</v>
      </c>
      <c r="L46" s="62">
        <v>9</v>
      </c>
      <c r="M46" s="66">
        <v>30</v>
      </c>
      <c r="N46" s="67">
        <f t="shared" si="31"/>
        <v>39</v>
      </c>
      <c r="O46" s="61">
        <f t="shared" si="1"/>
        <v>39</v>
      </c>
      <c r="P46" s="67">
        <f>K46+O46</f>
        <v>108</v>
      </c>
      <c r="Q46" s="139"/>
      <c r="R46" s="60">
        <f t="shared" si="2"/>
        <v>4</v>
      </c>
      <c r="S46" s="62">
        <v>13</v>
      </c>
      <c r="T46" s="60">
        <v>53</v>
      </c>
      <c r="U46" s="61">
        <f t="shared" si="3"/>
        <v>66</v>
      </c>
      <c r="V46" s="62">
        <v>7</v>
      </c>
      <c r="W46" s="60">
        <v>34</v>
      </c>
      <c r="X46" s="61">
        <f t="shared" si="4"/>
        <v>41</v>
      </c>
      <c r="Y46" s="61">
        <f t="shared" si="5"/>
        <v>107</v>
      </c>
      <c r="Z46" s="139"/>
      <c r="AA46" s="60">
        <f t="shared" si="6"/>
        <v>4</v>
      </c>
      <c r="AB46" s="62">
        <v>20</v>
      </c>
      <c r="AC46" s="60">
        <v>31</v>
      </c>
      <c r="AD46" s="61">
        <f t="shared" si="7"/>
        <v>51</v>
      </c>
      <c r="AE46" s="60">
        <v>24</v>
      </c>
      <c r="AF46" s="61">
        <f t="shared" si="8"/>
        <v>75</v>
      </c>
      <c r="AG46" s="139"/>
      <c r="AH46" s="60">
        <f t="shared" si="9"/>
        <v>4</v>
      </c>
      <c r="AI46" s="62">
        <v>15</v>
      </c>
      <c r="AJ46" s="60">
        <v>45</v>
      </c>
      <c r="AK46" s="61">
        <f t="shared" si="10"/>
        <v>60</v>
      </c>
      <c r="AL46" s="60">
        <v>24</v>
      </c>
      <c r="AM46" s="61">
        <f t="shared" si="11"/>
        <v>84</v>
      </c>
      <c r="AN46" s="139"/>
      <c r="AO46" s="60">
        <f t="shared" si="12"/>
        <v>5</v>
      </c>
      <c r="AP46" s="63"/>
      <c r="AQ46" s="60">
        <v>22</v>
      </c>
      <c r="AR46" s="60">
        <v>24</v>
      </c>
      <c r="AS46" s="60">
        <f t="shared" si="13"/>
        <v>46</v>
      </c>
      <c r="AT46" s="137"/>
      <c r="AU46" s="60">
        <f t="shared" si="14"/>
        <v>5</v>
      </c>
      <c r="AV46" s="62">
        <v>18</v>
      </c>
      <c r="AW46" s="60">
        <v>46</v>
      </c>
      <c r="AX46" s="61">
        <f t="shared" si="15"/>
        <v>64</v>
      </c>
      <c r="AY46" s="60">
        <v>16</v>
      </c>
      <c r="AZ46" s="61">
        <f t="shared" si="16"/>
        <v>80</v>
      </c>
      <c r="BA46" s="139"/>
      <c r="BB46" s="60">
        <f t="shared" si="17"/>
        <v>5</v>
      </c>
      <c r="BC46" s="62">
        <v>16</v>
      </c>
      <c r="BD46" s="60">
        <v>22</v>
      </c>
      <c r="BE46" s="61">
        <f t="shared" si="18"/>
        <v>38</v>
      </c>
      <c r="BF46" s="60">
        <v>20</v>
      </c>
      <c r="BG46" s="61">
        <f t="shared" si="19"/>
        <v>58</v>
      </c>
      <c r="BH46" s="137"/>
      <c r="BI46" s="60">
        <f t="shared" si="20"/>
        <v>3</v>
      </c>
      <c r="BJ46" s="62">
        <v>9</v>
      </c>
      <c r="BK46" s="60">
        <v>32</v>
      </c>
      <c r="BL46" s="61">
        <f t="shared" si="21"/>
        <v>41</v>
      </c>
      <c r="BM46" s="60"/>
      <c r="BN46" s="60">
        <v>25</v>
      </c>
      <c r="BO46" s="61">
        <f t="shared" si="22"/>
        <v>41</v>
      </c>
      <c r="BP46" s="94"/>
      <c r="BQ46" s="60">
        <f t="shared" si="23"/>
        <v>5</v>
      </c>
      <c r="BR46" s="60">
        <f>IF(R46="F","F",IF(AA46="F","F",IF(AH46="F","F",IF(AO46="F","F",IF(BB46="F","F",IF(BI46="F","F",IF(AU46="F","F",SUM(R46,AA46,AH46,AO46,AU46,BB46,BI46))))))))</f>
        <v>30</v>
      </c>
      <c r="BS46" s="64">
        <f t="shared" si="32"/>
        <v>4.2857142857142856</v>
      </c>
      <c r="BT46" s="65" t="str">
        <f t="shared" si="33"/>
        <v>A</v>
      </c>
      <c r="BU46" s="47" t="str">
        <f t="shared" si="34"/>
        <v>BETTER</v>
      </c>
      <c r="BV46" s="46">
        <f>P46+Y46+AF46+AM46+AS46+AZ46+BG46</f>
        <v>558</v>
      </c>
      <c r="BW46" s="45"/>
      <c r="BX46" s="45"/>
    </row>
    <row r="47" spans="1:76" s="18" customFormat="1" ht="27.95" customHeight="1">
      <c r="A47" s="44">
        <v>38</v>
      </c>
      <c r="B47" s="51">
        <v>96</v>
      </c>
      <c r="C47" s="55" t="s">
        <v>206</v>
      </c>
      <c r="D47" s="52" t="s">
        <v>207</v>
      </c>
      <c r="E47" s="52" t="s">
        <v>208</v>
      </c>
      <c r="F47" s="56" t="s">
        <v>229</v>
      </c>
      <c r="G47" s="59">
        <v>16</v>
      </c>
      <c r="H47" s="66">
        <v>29</v>
      </c>
      <c r="I47" s="67">
        <f t="shared" si="29"/>
        <v>45</v>
      </c>
      <c r="J47" s="66">
        <v>28</v>
      </c>
      <c r="K47" s="67">
        <f t="shared" si="30"/>
        <v>73</v>
      </c>
      <c r="L47" s="62">
        <v>8</v>
      </c>
      <c r="M47" s="66">
        <v>28</v>
      </c>
      <c r="N47" s="67">
        <f t="shared" si="31"/>
        <v>36</v>
      </c>
      <c r="O47" s="61">
        <f t="shared" si="1"/>
        <v>36</v>
      </c>
      <c r="P47" s="67">
        <f>K47+O47</f>
        <v>109</v>
      </c>
      <c r="Q47" s="139"/>
      <c r="R47" s="60">
        <f t="shared" si="2"/>
        <v>4</v>
      </c>
      <c r="S47" s="62">
        <v>16</v>
      </c>
      <c r="T47" s="60">
        <v>49</v>
      </c>
      <c r="U47" s="61">
        <f t="shared" si="3"/>
        <v>65</v>
      </c>
      <c r="V47" s="62">
        <v>6</v>
      </c>
      <c r="W47" s="60">
        <v>33</v>
      </c>
      <c r="X47" s="61">
        <f t="shared" si="4"/>
        <v>39</v>
      </c>
      <c r="Y47" s="61">
        <f t="shared" si="5"/>
        <v>104</v>
      </c>
      <c r="Z47" s="139"/>
      <c r="AA47" s="60">
        <f t="shared" si="6"/>
        <v>4</v>
      </c>
      <c r="AB47" s="62">
        <v>19</v>
      </c>
      <c r="AC47" s="60">
        <v>34</v>
      </c>
      <c r="AD47" s="61">
        <f t="shared" si="7"/>
        <v>53</v>
      </c>
      <c r="AE47" s="60">
        <v>23</v>
      </c>
      <c r="AF47" s="61">
        <f t="shared" si="8"/>
        <v>76</v>
      </c>
      <c r="AG47" s="139"/>
      <c r="AH47" s="60">
        <f t="shared" si="9"/>
        <v>4</v>
      </c>
      <c r="AI47" s="62">
        <v>19</v>
      </c>
      <c r="AJ47" s="60">
        <v>43</v>
      </c>
      <c r="AK47" s="61">
        <f t="shared" si="10"/>
        <v>62</v>
      </c>
      <c r="AL47" s="60">
        <v>24</v>
      </c>
      <c r="AM47" s="61">
        <f t="shared" si="11"/>
        <v>86</v>
      </c>
      <c r="AN47" s="139"/>
      <c r="AO47" s="60">
        <f t="shared" si="12"/>
        <v>5</v>
      </c>
      <c r="AP47" s="63"/>
      <c r="AQ47" s="60">
        <v>22</v>
      </c>
      <c r="AR47" s="60">
        <v>24</v>
      </c>
      <c r="AS47" s="60">
        <f t="shared" si="13"/>
        <v>46</v>
      </c>
      <c r="AT47" s="137"/>
      <c r="AU47" s="60">
        <f t="shared" si="14"/>
        <v>5</v>
      </c>
      <c r="AV47" s="62">
        <v>19</v>
      </c>
      <c r="AW47" s="60">
        <v>41</v>
      </c>
      <c r="AX47" s="61">
        <f t="shared" si="15"/>
        <v>60</v>
      </c>
      <c r="AY47" s="60">
        <v>26</v>
      </c>
      <c r="AZ47" s="61">
        <f t="shared" si="16"/>
        <v>86</v>
      </c>
      <c r="BA47" s="139"/>
      <c r="BB47" s="60">
        <f t="shared" si="17"/>
        <v>5</v>
      </c>
      <c r="BC47" s="62">
        <v>15</v>
      </c>
      <c r="BD47" s="60">
        <v>34</v>
      </c>
      <c r="BE47" s="61">
        <f t="shared" si="18"/>
        <v>49</v>
      </c>
      <c r="BF47" s="60">
        <v>24</v>
      </c>
      <c r="BG47" s="61">
        <f t="shared" si="19"/>
        <v>73</v>
      </c>
      <c r="BH47" s="137"/>
      <c r="BI47" s="60">
        <f t="shared" si="20"/>
        <v>4</v>
      </c>
      <c r="BJ47" s="62">
        <v>9</v>
      </c>
      <c r="BK47" s="60">
        <v>32</v>
      </c>
      <c r="BL47" s="61">
        <f t="shared" si="21"/>
        <v>41</v>
      </c>
      <c r="BM47" s="60"/>
      <c r="BN47" s="60">
        <v>25</v>
      </c>
      <c r="BO47" s="61">
        <f t="shared" si="22"/>
        <v>41</v>
      </c>
      <c r="BP47" s="94"/>
      <c r="BQ47" s="60">
        <f t="shared" si="23"/>
        <v>5</v>
      </c>
      <c r="BR47" s="60">
        <f>IF(R47="F","F",IF(AA47="F","F",IF(AH47="F","F",IF(AO47="F","F",IF(BB47="F","F",IF(BI47="F","F",IF(AU47="F","F",SUM(R47,AA47,AH47,AO47,AU47,BB47,BI47))))))))</f>
        <v>31</v>
      </c>
      <c r="BS47" s="64">
        <f t="shared" si="32"/>
        <v>4.4285714285714288</v>
      </c>
      <c r="BT47" s="65" t="str">
        <f t="shared" si="33"/>
        <v>A</v>
      </c>
      <c r="BU47" s="47" t="str">
        <f t="shared" si="34"/>
        <v>BETTER</v>
      </c>
      <c r="BV47" s="46">
        <f>P47+Y47+AF47+AM47+AS47+AZ47+BG47</f>
        <v>580</v>
      </c>
      <c r="BW47" s="45"/>
      <c r="BX47" s="45"/>
    </row>
    <row r="48" spans="1:76" s="18" customFormat="1" ht="27.95" customHeight="1">
      <c r="A48" s="44">
        <v>39</v>
      </c>
      <c r="B48" s="51">
        <v>97</v>
      </c>
      <c r="C48" s="52" t="s">
        <v>129</v>
      </c>
      <c r="D48" s="52" t="s">
        <v>130</v>
      </c>
      <c r="E48" s="52" t="s">
        <v>104</v>
      </c>
      <c r="F48" s="56" t="s">
        <v>149</v>
      </c>
      <c r="G48" s="59">
        <v>19</v>
      </c>
      <c r="H48" s="66">
        <v>31</v>
      </c>
      <c r="I48" s="67">
        <f t="shared" si="29"/>
        <v>50</v>
      </c>
      <c r="J48" s="66">
        <v>27</v>
      </c>
      <c r="K48" s="67">
        <f t="shared" si="30"/>
        <v>77</v>
      </c>
      <c r="L48" s="62">
        <v>9</v>
      </c>
      <c r="M48" s="66">
        <v>32</v>
      </c>
      <c r="N48" s="67">
        <f t="shared" si="31"/>
        <v>41</v>
      </c>
      <c r="O48" s="61">
        <f t="shared" si="1"/>
        <v>41</v>
      </c>
      <c r="P48" s="67">
        <f>K48+O48</f>
        <v>118</v>
      </c>
      <c r="Q48" s="139"/>
      <c r="R48" s="60">
        <f t="shared" si="2"/>
        <v>4</v>
      </c>
      <c r="S48" s="62">
        <v>17</v>
      </c>
      <c r="T48" s="60">
        <v>70</v>
      </c>
      <c r="U48" s="61">
        <f t="shared" si="3"/>
        <v>87</v>
      </c>
      <c r="V48" s="62">
        <v>6</v>
      </c>
      <c r="W48" s="60">
        <v>34</v>
      </c>
      <c r="X48" s="61">
        <f t="shared" si="4"/>
        <v>40</v>
      </c>
      <c r="Y48" s="61">
        <f t="shared" si="5"/>
        <v>127</v>
      </c>
      <c r="Z48" s="139"/>
      <c r="AA48" s="60">
        <f t="shared" si="6"/>
        <v>5</v>
      </c>
      <c r="AB48" s="62">
        <v>20</v>
      </c>
      <c r="AC48" s="60">
        <v>36</v>
      </c>
      <c r="AD48" s="61">
        <f t="shared" si="7"/>
        <v>56</v>
      </c>
      <c r="AE48" s="60">
        <v>24</v>
      </c>
      <c r="AF48" s="61">
        <f t="shared" si="8"/>
        <v>80</v>
      </c>
      <c r="AG48" s="139"/>
      <c r="AH48" s="60">
        <f t="shared" si="9"/>
        <v>5</v>
      </c>
      <c r="AI48" s="62">
        <v>20</v>
      </c>
      <c r="AJ48" s="60">
        <v>45</v>
      </c>
      <c r="AK48" s="61">
        <f t="shared" si="10"/>
        <v>65</v>
      </c>
      <c r="AL48" s="60">
        <v>23</v>
      </c>
      <c r="AM48" s="61">
        <f t="shared" si="11"/>
        <v>88</v>
      </c>
      <c r="AN48" s="139"/>
      <c r="AO48" s="60">
        <f t="shared" si="12"/>
        <v>5</v>
      </c>
      <c r="AP48" s="63"/>
      <c r="AQ48" s="60">
        <v>22</v>
      </c>
      <c r="AR48" s="60">
        <v>24</v>
      </c>
      <c r="AS48" s="60">
        <f t="shared" si="13"/>
        <v>46</v>
      </c>
      <c r="AT48" s="137"/>
      <c r="AU48" s="60">
        <f t="shared" si="14"/>
        <v>5</v>
      </c>
      <c r="AV48" s="62">
        <v>19</v>
      </c>
      <c r="AW48" s="60">
        <v>48</v>
      </c>
      <c r="AX48" s="61">
        <f t="shared" si="15"/>
        <v>67</v>
      </c>
      <c r="AY48" s="60">
        <v>26</v>
      </c>
      <c r="AZ48" s="61">
        <f t="shared" si="16"/>
        <v>93</v>
      </c>
      <c r="BA48" s="139"/>
      <c r="BB48" s="60">
        <f t="shared" si="17"/>
        <v>5</v>
      </c>
      <c r="BC48" s="62">
        <v>17</v>
      </c>
      <c r="BD48" s="60">
        <v>38</v>
      </c>
      <c r="BE48" s="61">
        <f t="shared" si="18"/>
        <v>55</v>
      </c>
      <c r="BF48" s="60">
        <v>21</v>
      </c>
      <c r="BG48" s="61">
        <f t="shared" si="19"/>
        <v>76</v>
      </c>
      <c r="BH48" s="137"/>
      <c r="BI48" s="60">
        <f t="shared" si="20"/>
        <v>4</v>
      </c>
      <c r="BJ48" s="62">
        <v>9</v>
      </c>
      <c r="BK48" s="60">
        <v>32</v>
      </c>
      <c r="BL48" s="61">
        <f t="shared" si="21"/>
        <v>41</v>
      </c>
      <c r="BM48" s="60"/>
      <c r="BN48" s="60">
        <v>25</v>
      </c>
      <c r="BO48" s="61">
        <f t="shared" si="22"/>
        <v>41</v>
      </c>
      <c r="BP48" s="94"/>
      <c r="BQ48" s="60">
        <f t="shared" si="23"/>
        <v>5</v>
      </c>
      <c r="BR48" s="60">
        <f>IF(R48="F","F",IF(AA48="F","F",IF(AH48="F","F",IF(AO48="F","F",IF(BB48="F","F",IF(BI48="F","F",IF(AU48="F","F",SUM(R48,AA48,AH48,AO48,AU48,BB48,BI48))))))))</f>
        <v>33</v>
      </c>
      <c r="BS48" s="64">
        <f t="shared" si="32"/>
        <v>4.7142857142857144</v>
      </c>
      <c r="BT48" s="65" t="str">
        <f t="shared" si="33"/>
        <v>A</v>
      </c>
      <c r="BU48" s="47" t="str">
        <f t="shared" si="34"/>
        <v>BETTER</v>
      </c>
      <c r="BV48" s="46">
        <f>P48+Y48+AF48+AM48+AS48+AZ48+BG48</f>
        <v>628</v>
      </c>
      <c r="BW48" s="45"/>
      <c r="BX48" s="45"/>
    </row>
    <row r="49" spans="1:76" s="18" customFormat="1" ht="27.95" customHeight="1">
      <c r="A49" s="44">
        <v>40</v>
      </c>
      <c r="B49" s="51">
        <v>99</v>
      </c>
      <c r="C49" s="52" t="s">
        <v>131</v>
      </c>
      <c r="D49" s="52" t="s">
        <v>132</v>
      </c>
      <c r="E49" s="52" t="s">
        <v>133</v>
      </c>
      <c r="F49" s="56" t="s">
        <v>150</v>
      </c>
      <c r="G49" s="59">
        <v>15</v>
      </c>
      <c r="H49" s="66">
        <v>28</v>
      </c>
      <c r="I49" s="67">
        <f t="shared" si="29"/>
        <v>43</v>
      </c>
      <c r="J49" s="66">
        <v>24</v>
      </c>
      <c r="K49" s="67">
        <f t="shared" si="30"/>
        <v>67</v>
      </c>
      <c r="L49" s="62">
        <v>10</v>
      </c>
      <c r="M49" s="66">
        <v>29</v>
      </c>
      <c r="N49" s="67">
        <f t="shared" si="31"/>
        <v>39</v>
      </c>
      <c r="O49" s="61">
        <f t="shared" si="1"/>
        <v>39</v>
      </c>
      <c r="P49" s="67">
        <f>K49+O49</f>
        <v>106</v>
      </c>
      <c r="Q49" s="140"/>
      <c r="R49" s="60">
        <f t="shared" si="2"/>
        <v>4</v>
      </c>
      <c r="S49" s="62">
        <v>16</v>
      </c>
      <c r="T49" s="60">
        <v>62</v>
      </c>
      <c r="U49" s="61">
        <f t="shared" si="3"/>
        <v>78</v>
      </c>
      <c r="V49" s="62">
        <v>6</v>
      </c>
      <c r="W49" s="60">
        <v>34</v>
      </c>
      <c r="X49" s="61">
        <f t="shared" si="4"/>
        <v>40</v>
      </c>
      <c r="Y49" s="61">
        <f t="shared" si="5"/>
        <v>118</v>
      </c>
      <c r="Z49" s="140"/>
      <c r="AA49" s="60">
        <f t="shared" si="6"/>
        <v>4</v>
      </c>
      <c r="AB49" s="62">
        <v>19</v>
      </c>
      <c r="AC49" s="60">
        <v>34</v>
      </c>
      <c r="AD49" s="61">
        <f t="shared" si="7"/>
        <v>53</v>
      </c>
      <c r="AE49" s="60">
        <v>24</v>
      </c>
      <c r="AF49" s="61">
        <f t="shared" si="8"/>
        <v>77</v>
      </c>
      <c r="AG49" s="140"/>
      <c r="AH49" s="60">
        <f t="shared" si="9"/>
        <v>4</v>
      </c>
      <c r="AI49" s="62">
        <v>17</v>
      </c>
      <c r="AJ49" s="60">
        <v>43</v>
      </c>
      <c r="AK49" s="61">
        <f t="shared" si="10"/>
        <v>60</v>
      </c>
      <c r="AL49" s="60">
        <v>27</v>
      </c>
      <c r="AM49" s="61">
        <f t="shared" si="11"/>
        <v>87</v>
      </c>
      <c r="AN49" s="140"/>
      <c r="AO49" s="60">
        <f t="shared" si="12"/>
        <v>5</v>
      </c>
      <c r="AP49" s="63"/>
      <c r="AQ49" s="60">
        <v>22</v>
      </c>
      <c r="AR49" s="60">
        <v>24</v>
      </c>
      <c r="AS49" s="60">
        <f t="shared" si="13"/>
        <v>46</v>
      </c>
      <c r="AT49" s="138"/>
      <c r="AU49" s="60">
        <f t="shared" si="14"/>
        <v>5</v>
      </c>
      <c r="AV49" s="62">
        <v>17</v>
      </c>
      <c r="AW49" s="60">
        <v>46</v>
      </c>
      <c r="AX49" s="61">
        <f t="shared" si="15"/>
        <v>63</v>
      </c>
      <c r="AY49" s="60">
        <v>24</v>
      </c>
      <c r="AZ49" s="61">
        <f t="shared" si="16"/>
        <v>87</v>
      </c>
      <c r="BA49" s="140"/>
      <c r="BB49" s="60">
        <f t="shared" si="17"/>
        <v>5</v>
      </c>
      <c r="BC49" s="62">
        <v>17</v>
      </c>
      <c r="BD49" s="60">
        <v>37</v>
      </c>
      <c r="BE49" s="61">
        <f t="shared" si="18"/>
        <v>54</v>
      </c>
      <c r="BF49" s="60">
        <v>18</v>
      </c>
      <c r="BG49" s="61">
        <f t="shared" si="19"/>
        <v>72</v>
      </c>
      <c r="BH49" s="138"/>
      <c r="BI49" s="60">
        <f t="shared" si="20"/>
        <v>4</v>
      </c>
      <c r="BJ49" s="62">
        <v>9</v>
      </c>
      <c r="BK49" s="60">
        <v>32</v>
      </c>
      <c r="BL49" s="61">
        <f t="shared" si="21"/>
        <v>41</v>
      </c>
      <c r="BM49" s="60"/>
      <c r="BN49" s="60">
        <v>25</v>
      </c>
      <c r="BO49" s="61">
        <f t="shared" si="22"/>
        <v>41</v>
      </c>
      <c r="BP49" s="95"/>
      <c r="BQ49" s="60">
        <f t="shared" si="23"/>
        <v>5</v>
      </c>
      <c r="BR49" s="60">
        <f>IF(R49="F","F",IF(AA49="F","F",IF(AH49="F","F",IF(AO49="F","F",IF(BB49="F","F",IF(BI49="F","F",IF(AU49="F","F",SUM(R49,AA49,AH49,AO49,AU49,BB49,BI49))))))))</f>
        <v>31</v>
      </c>
      <c r="BS49" s="64">
        <f t="shared" si="32"/>
        <v>4.4285714285714288</v>
      </c>
      <c r="BT49" s="64" t="str">
        <f t="shared" si="33"/>
        <v>A</v>
      </c>
      <c r="BU49" s="58" t="str">
        <f t="shared" si="34"/>
        <v>BETTER</v>
      </c>
      <c r="BV49" s="46">
        <f>P49+Y49+AF49+AM49+AS49+AZ49+BG49</f>
        <v>593</v>
      </c>
      <c r="BW49" s="45"/>
      <c r="BX49" s="45"/>
    </row>
    <row r="50" spans="1:76" s="9" customFormat="1">
      <c r="A50" s="7"/>
      <c r="B50"/>
      <c r="C50" s="10"/>
      <c r="D50" s="10"/>
      <c r="E50" s="10"/>
      <c r="F50" s="1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 s="3"/>
      <c r="BX50"/>
    </row>
    <row r="51" spans="1:76" s="9" customFormat="1">
      <c r="A51" s="7"/>
      <c r="B51"/>
      <c r="C51" s="10"/>
      <c r="D51" s="10"/>
      <c r="E51" s="10"/>
      <c r="F51" s="10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 s="3"/>
      <c r="BX51"/>
    </row>
    <row r="52" spans="1:76" s="9" customFormat="1">
      <c r="A52" s="7"/>
      <c r="B52"/>
      <c r="C52" s="10"/>
      <c r="D52" s="10"/>
      <c r="E52" s="10"/>
      <c r="F52" s="10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 s="3"/>
      <c r="BX52"/>
    </row>
    <row r="53" spans="1:76" s="9" customFormat="1">
      <c r="A53" s="7"/>
      <c r="B53"/>
      <c r="C53" s="10"/>
      <c r="D53" s="10"/>
      <c r="E53" s="10"/>
      <c r="F53" s="10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 s="3"/>
      <c r="BX53"/>
    </row>
    <row r="54" spans="1:76" s="9" customFormat="1">
      <c r="A54" s="7">
        <v>0</v>
      </c>
      <c r="B54" s="1">
        <v>1</v>
      </c>
      <c r="C54" s="2">
        <v>2</v>
      </c>
      <c r="D54" s="1">
        <v>3</v>
      </c>
      <c r="E54" s="2">
        <v>4</v>
      </c>
      <c r="F54" s="1">
        <v>5</v>
      </c>
      <c r="G54" s="7">
        <v>6</v>
      </c>
      <c r="H54" s="1">
        <v>7</v>
      </c>
      <c r="I54" s="2">
        <v>8</v>
      </c>
      <c r="J54" s="1">
        <v>9</v>
      </c>
      <c r="K54" s="2">
        <v>10</v>
      </c>
      <c r="L54" s="1">
        <v>11</v>
      </c>
      <c r="M54" s="7">
        <v>12</v>
      </c>
      <c r="N54" s="1">
        <v>13</v>
      </c>
      <c r="O54" s="1">
        <v>15</v>
      </c>
      <c r="P54" s="2">
        <v>16</v>
      </c>
      <c r="Q54" s="1">
        <v>17</v>
      </c>
      <c r="R54" s="7">
        <v>18</v>
      </c>
      <c r="S54" s="1">
        <v>19</v>
      </c>
      <c r="T54" s="2">
        <v>20</v>
      </c>
      <c r="U54" s="1">
        <v>21</v>
      </c>
      <c r="V54" s="2">
        <v>22</v>
      </c>
      <c r="W54" s="1">
        <v>23</v>
      </c>
      <c r="X54" s="7">
        <v>24</v>
      </c>
      <c r="Y54" s="2">
        <v>26</v>
      </c>
      <c r="Z54" s="1">
        <v>27</v>
      </c>
      <c r="AA54" s="2">
        <v>28</v>
      </c>
      <c r="AB54" s="1">
        <v>29</v>
      </c>
      <c r="AC54" s="7">
        <v>30</v>
      </c>
      <c r="AD54" s="1">
        <v>31</v>
      </c>
      <c r="AE54" s="2">
        <v>32</v>
      </c>
      <c r="AF54" s="1">
        <v>33</v>
      </c>
      <c r="AG54" s="2">
        <v>34</v>
      </c>
      <c r="AH54" s="1">
        <v>35</v>
      </c>
      <c r="AI54" s="7">
        <v>36</v>
      </c>
      <c r="AJ54" s="1">
        <v>37</v>
      </c>
      <c r="AK54" s="2">
        <v>38</v>
      </c>
      <c r="AL54" s="1">
        <v>39</v>
      </c>
      <c r="AM54" s="2">
        <v>40</v>
      </c>
      <c r="AN54" s="1">
        <v>41</v>
      </c>
      <c r="AO54" s="7">
        <v>42</v>
      </c>
      <c r="AP54" s="1">
        <v>43</v>
      </c>
      <c r="AQ54" s="2">
        <v>44</v>
      </c>
      <c r="AR54" s="1">
        <v>45</v>
      </c>
      <c r="AS54" s="2">
        <v>46</v>
      </c>
      <c r="AT54" s="1">
        <v>47</v>
      </c>
      <c r="AU54" s="7">
        <v>48</v>
      </c>
      <c r="AV54" s="1">
        <v>49</v>
      </c>
      <c r="AW54" s="2">
        <v>50</v>
      </c>
      <c r="AX54" s="1">
        <v>51</v>
      </c>
      <c r="AY54" s="2">
        <v>52</v>
      </c>
      <c r="AZ54" s="1">
        <v>53</v>
      </c>
      <c r="BA54" s="7">
        <v>54</v>
      </c>
      <c r="BB54" s="1">
        <v>55</v>
      </c>
      <c r="BC54" s="2">
        <v>56</v>
      </c>
      <c r="BD54" s="1">
        <v>57</v>
      </c>
      <c r="BE54" s="2">
        <v>58</v>
      </c>
      <c r="BF54" s="1">
        <v>59</v>
      </c>
      <c r="BG54" s="7">
        <v>60</v>
      </c>
      <c r="BH54" s="1">
        <v>61</v>
      </c>
      <c r="BI54" s="2">
        <v>62</v>
      </c>
      <c r="BJ54" s="1">
        <v>63</v>
      </c>
      <c r="BK54" s="2">
        <v>64</v>
      </c>
      <c r="BL54" s="1">
        <v>65</v>
      </c>
      <c r="BM54" s="7">
        <v>66</v>
      </c>
      <c r="BN54" s="1">
        <v>67</v>
      </c>
      <c r="BO54" s="2">
        <v>68</v>
      </c>
      <c r="BP54" s="1">
        <v>69</v>
      </c>
      <c r="BQ54" s="2">
        <v>70</v>
      </c>
      <c r="BR54" s="1">
        <v>71</v>
      </c>
      <c r="BS54" s="7">
        <v>72</v>
      </c>
      <c r="BT54" s="1">
        <v>73</v>
      </c>
      <c r="BU54" s="2">
        <v>74</v>
      </c>
      <c r="BV54" s="1">
        <v>75</v>
      </c>
      <c r="BW54" s="2">
        <v>76</v>
      </c>
      <c r="BX54" s="1">
        <v>77</v>
      </c>
    </row>
    <row r="55" spans="1:76" s="9" customFormat="1">
      <c r="A55" s="7"/>
      <c r="B55" s="2"/>
      <c r="C55" s="11"/>
      <c r="D55" s="11"/>
      <c r="E55" s="11"/>
      <c r="F55" s="11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 s="3"/>
      <c r="BX55"/>
    </row>
    <row r="56" spans="1:76" s="9" customFormat="1">
      <c r="A56" s="7"/>
      <c r="B56"/>
      <c r="C56" s="10"/>
      <c r="D56" s="10"/>
      <c r="E56" s="10"/>
      <c r="F56" s="10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 s="3"/>
      <c r="BX56"/>
    </row>
    <row r="57" spans="1:76" s="9" customFormat="1">
      <c r="A57" s="7"/>
      <c r="B57"/>
      <c r="C57" s="10"/>
      <c r="D57" s="10"/>
      <c r="E57" s="10"/>
      <c r="F57" s="10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 s="3"/>
      <c r="BX57"/>
    </row>
    <row r="58" spans="1:76" s="9" customFormat="1">
      <c r="A58" s="7"/>
      <c r="B58"/>
      <c r="C58" s="10"/>
      <c r="D58" s="10"/>
      <c r="E58" s="10"/>
      <c r="F58" s="10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 s="3"/>
      <c r="BX58"/>
    </row>
    <row r="59" spans="1:76" s="9" customFormat="1">
      <c r="A59" s="7"/>
      <c r="B59"/>
      <c r="C59" s="10"/>
      <c r="D59" s="10"/>
      <c r="E59" s="10"/>
      <c r="F59" s="10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 s="3"/>
      <c r="BX59"/>
    </row>
    <row r="60" spans="1:76" s="9" customFormat="1">
      <c r="A60" s="7"/>
      <c r="B60"/>
      <c r="C60" s="10"/>
      <c r="D60" s="10"/>
      <c r="E60" s="10"/>
      <c r="F60" s="1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 s="2"/>
      <c r="BU60"/>
      <c r="BV60"/>
      <c r="BW60" s="3"/>
      <c r="BX60"/>
    </row>
    <row r="61" spans="1:76" s="9" customFormat="1">
      <c r="A61" s="7"/>
      <c r="B61"/>
      <c r="C61" s="10"/>
      <c r="D61" s="10"/>
      <c r="E61" s="10"/>
      <c r="F61" s="10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 s="3"/>
      <c r="BX61"/>
    </row>
    <row r="62" spans="1:76" s="9" customFormat="1">
      <c r="A62" s="7"/>
      <c r="B62"/>
      <c r="C62" s="10"/>
      <c r="D62" s="10"/>
      <c r="E62" s="10"/>
      <c r="F62" s="10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 s="3"/>
      <c r="BX62"/>
    </row>
    <row r="63" spans="1:76" s="9" customFormat="1" ht="14.45" customHeight="1">
      <c r="A63" s="7"/>
      <c r="B63"/>
      <c r="C63" s="10"/>
      <c r="D63" s="10"/>
      <c r="E63" s="10"/>
      <c r="F63" s="10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 s="3"/>
      <c r="BX63"/>
    </row>
    <row r="64" spans="1:76" s="9" customFormat="1">
      <c r="A64" s="7"/>
      <c r="B64"/>
      <c r="C64" s="10"/>
      <c r="D64" s="10"/>
      <c r="E64" s="10"/>
      <c r="F64" s="10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 s="3"/>
      <c r="BX64"/>
    </row>
    <row r="65" spans="1:75" s="9" customFormat="1" ht="11.45" customHeight="1">
      <c r="A65"/>
      <c r="B65" s="2"/>
      <c r="C65" s="11"/>
      <c r="D65" s="11"/>
      <c r="E65" s="11"/>
      <c r="F65" s="11"/>
      <c r="G65"/>
      <c r="H65"/>
      <c r="I65"/>
      <c r="J65"/>
      <c r="K65" s="3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W65" s="14"/>
    </row>
    <row r="66" spans="1:75" s="9" customFormat="1">
      <c r="A66" s="2"/>
      <c r="B66"/>
      <c r="C66" s="10"/>
      <c r="D66" s="10"/>
      <c r="E66" s="10"/>
      <c r="F66" s="10"/>
      <c r="G66" s="2"/>
      <c r="H66" s="2"/>
      <c r="I66" s="2"/>
      <c r="J66" s="2"/>
      <c r="K66" s="1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W66" s="14"/>
    </row>
    <row r="67" spans="1:75" s="9" customFormat="1">
      <c r="A67"/>
      <c r="B67"/>
      <c r="C67" s="10"/>
      <c r="D67" s="10"/>
      <c r="E67" s="10"/>
      <c r="F67" s="10"/>
      <c r="G67"/>
      <c r="H67"/>
      <c r="I67"/>
      <c r="J67"/>
      <c r="K67" s="3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W67" s="14"/>
    </row>
    <row r="68" spans="1:75" s="9" customFormat="1">
      <c r="A68"/>
      <c r="B68"/>
      <c r="C68" s="10"/>
      <c r="D68" s="10"/>
      <c r="E68" s="10"/>
      <c r="F68" s="10"/>
      <c r="G68"/>
      <c r="H68"/>
      <c r="I68"/>
      <c r="J68"/>
      <c r="K68" s="3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W68" s="14"/>
    </row>
    <row r="69" spans="1:75" s="9" customFormat="1">
      <c r="A69"/>
      <c r="B69"/>
      <c r="C69" s="10"/>
      <c r="D69" s="10"/>
      <c r="E69" s="10"/>
      <c r="F69" s="10"/>
      <c r="G69"/>
      <c r="H69"/>
      <c r="I69"/>
      <c r="J69"/>
      <c r="K69" s="3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W69" s="14"/>
    </row>
    <row r="70" spans="1:75" s="9" customFormat="1">
      <c r="A70"/>
      <c r="B70"/>
      <c r="C70" s="10"/>
      <c r="D70" s="10"/>
      <c r="E70" s="10"/>
      <c r="F70" s="10"/>
      <c r="G70"/>
      <c r="H70"/>
      <c r="I70"/>
      <c r="J70"/>
      <c r="K70" s="3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W70" s="14"/>
    </row>
    <row r="71" spans="1:75">
      <c r="K71" s="3"/>
      <c r="BW71" s="3"/>
    </row>
    <row r="72" spans="1:75">
      <c r="K72" s="3"/>
      <c r="BW72" s="3"/>
    </row>
    <row r="73" spans="1:75">
      <c r="K73" s="3"/>
      <c r="BW73" s="3"/>
    </row>
    <row r="74" spans="1:75">
      <c r="K74" s="3"/>
      <c r="BW74" s="3"/>
    </row>
    <row r="75" spans="1:75">
      <c r="K75" s="3"/>
      <c r="BW75" s="3"/>
    </row>
    <row r="76" spans="1:75">
      <c r="K76" s="3"/>
      <c r="BW76" s="3"/>
    </row>
    <row r="77" spans="1:75">
      <c r="K77" s="3"/>
      <c r="BW77" s="3"/>
    </row>
    <row r="78" spans="1:75">
      <c r="K78" s="3"/>
      <c r="BW78" s="3"/>
    </row>
    <row r="79" spans="1:75">
      <c r="K79" s="3"/>
      <c r="BW79" s="3"/>
    </row>
    <row r="80" spans="1:75" ht="15" customHeight="1">
      <c r="K80" s="3"/>
      <c r="BW80" s="3"/>
    </row>
    <row r="81" spans="11:75" ht="17.45" customHeight="1">
      <c r="K81" s="3"/>
      <c r="BW81" s="3"/>
    </row>
    <row r="82" spans="11:75">
      <c r="K82" s="3"/>
      <c r="BW82" s="3"/>
    </row>
    <row r="83" spans="11:75">
      <c r="K83" s="3"/>
      <c r="BW83" s="3"/>
    </row>
    <row r="84" spans="11:75">
      <c r="K84" s="3"/>
      <c r="BW84" s="3"/>
    </row>
    <row r="85" spans="11:75">
      <c r="K85" s="3"/>
      <c r="BW85" s="3"/>
    </row>
    <row r="86" spans="11:75">
      <c r="K86" s="3"/>
      <c r="BW86" s="3"/>
    </row>
    <row r="87" spans="11:75">
      <c r="K87" s="3"/>
      <c r="BW87" s="3"/>
    </row>
    <row r="88" spans="11:75">
      <c r="K88" s="3"/>
      <c r="BW88" s="3"/>
    </row>
    <row r="89" spans="11:75">
      <c r="K89" s="3"/>
      <c r="BW89" s="3"/>
    </row>
    <row r="90" spans="11:75">
      <c r="K90" s="3"/>
      <c r="BW90" s="3"/>
    </row>
    <row r="91" spans="11:75">
      <c r="K91" s="3"/>
      <c r="BW91" s="3"/>
    </row>
    <row r="92" spans="11:75">
      <c r="K92" s="3"/>
      <c r="BW92" s="3"/>
    </row>
    <row r="93" spans="11:75">
      <c r="K93" s="3"/>
      <c r="BW93" s="3"/>
    </row>
    <row r="94" spans="11:75">
      <c r="K94" s="3"/>
      <c r="BW94" s="3"/>
    </row>
    <row r="95" spans="11:75">
      <c r="K95" s="3"/>
      <c r="BW95" s="3"/>
    </row>
    <row r="96" spans="11:75">
      <c r="K96" s="3"/>
      <c r="BW96" s="3"/>
    </row>
    <row r="97" spans="11:75">
      <c r="K97" s="3"/>
      <c r="BW97" s="3"/>
    </row>
    <row r="98" spans="11:75">
      <c r="K98" s="3"/>
      <c r="BW98" s="3"/>
    </row>
    <row r="99" spans="11:75">
      <c r="K99" s="3"/>
      <c r="BW99" s="3"/>
    </row>
    <row r="100" spans="11:75">
      <c r="K100" s="3"/>
      <c r="BW100" s="3"/>
    </row>
    <row r="101" spans="11:75">
      <c r="K101" s="3"/>
      <c r="BW101" s="3"/>
    </row>
    <row r="102" spans="11:75">
      <c r="K102" s="3"/>
      <c r="BW102" s="3"/>
    </row>
    <row r="103" spans="11:75">
      <c r="K103" s="3"/>
      <c r="BW103" s="3"/>
    </row>
    <row r="104" spans="11:75">
      <c r="K104" s="3"/>
      <c r="BW104" s="3"/>
    </row>
    <row r="105" spans="11:75">
      <c r="K105" s="3"/>
      <c r="BW105" s="3"/>
    </row>
    <row r="106" spans="11:75">
      <c r="K106" s="3"/>
      <c r="BW106" s="3"/>
    </row>
    <row r="107" spans="11:75">
      <c r="K107" s="3"/>
      <c r="BW107" s="3"/>
    </row>
    <row r="108" spans="11:75">
      <c r="K108" s="3"/>
      <c r="BW108" s="3"/>
    </row>
    <row r="109" spans="11:75">
      <c r="K109" s="3"/>
      <c r="BW109" s="3"/>
    </row>
    <row r="110" spans="11:75">
      <c r="K110" s="3"/>
      <c r="BW110" s="3"/>
    </row>
    <row r="111" spans="11:75">
      <c r="K111" s="3"/>
      <c r="BW111" s="3"/>
    </row>
    <row r="112" spans="11:75">
      <c r="K112" s="3"/>
      <c r="BW112" s="3"/>
    </row>
    <row r="113" spans="11:75">
      <c r="K113" s="3"/>
      <c r="BW113" s="3"/>
    </row>
    <row r="114" spans="11:75">
      <c r="K114" s="3"/>
      <c r="BW114" s="3"/>
    </row>
    <row r="115" spans="11:75">
      <c r="K115" s="3"/>
      <c r="BW115" s="3"/>
    </row>
    <row r="116" spans="11:75">
      <c r="K116" s="3"/>
      <c r="BW116" s="3"/>
    </row>
    <row r="117" spans="11:75">
      <c r="K117" s="3"/>
      <c r="BW117" s="3"/>
    </row>
    <row r="118" spans="11:75">
      <c r="K118" s="3"/>
      <c r="BW118" s="3"/>
    </row>
    <row r="119" spans="11:75">
      <c r="K119" s="3"/>
      <c r="BW119" s="3"/>
    </row>
    <row r="120" spans="11:75">
      <c r="K120" s="3"/>
      <c r="BW120" s="3"/>
    </row>
    <row r="121" spans="11:75">
      <c r="K121" s="3"/>
      <c r="BW121" s="3"/>
    </row>
    <row r="122" spans="11:75">
      <c r="K122" s="3"/>
      <c r="BW122" s="3"/>
    </row>
    <row r="123" spans="11:75">
      <c r="K123" s="3"/>
      <c r="BW123" s="3"/>
    </row>
    <row r="124" spans="11:75">
      <c r="K124" s="3"/>
      <c r="BW124" s="3"/>
    </row>
    <row r="125" spans="11:75">
      <c r="K125" s="3"/>
      <c r="BW125" s="3"/>
    </row>
    <row r="126" spans="11:75">
      <c r="K126" s="3"/>
      <c r="BW126" s="3"/>
    </row>
    <row r="127" spans="11:75">
      <c r="K127" s="3"/>
      <c r="BW127" s="3"/>
    </row>
    <row r="128" spans="11:75">
      <c r="K128" s="3"/>
      <c r="BW128" s="3"/>
    </row>
    <row r="129" spans="11:75">
      <c r="K129" s="3"/>
      <c r="BW129" s="3"/>
    </row>
    <row r="130" spans="11:75">
      <c r="K130" s="3"/>
      <c r="BW130" s="3"/>
    </row>
    <row r="131" spans="11:75">
      <c r="K131" s="3"/>
      <c r="BW131" s="3"/>
    </row>
    <row r="132" spans="11:75">
      <c r="K132" s="3"/>
      <c r="BW132" s="3"/>
    </row>
    <row r="133" spans="11:75">
      <c r="K133" s="3"/>
      <c r="BW133" s="3"/>
    </row>
    <row r="134" spans="11:75">
      <c r="K134" s="3"/>
      <c r="BW134" s="3"/>
    </row>
    <row r="135" spans="11:75">
      <c r="K135" s="3"/>
      <c r="BW135" s="3"/>
    </row>
    <row r="136" spans="11:75">
      <c r="K136" s="3"/>
      <c r="BW136" s="3"/>
    </row>
    <row r="137" spans="11:75">
      <c r="K137" s="3"/>
      <c r="BW137" s="3"/>
    </row>
    <row r="138" spans="11:75">
      <c r="K138" s="3"/>
      <c r="BW138" s="3"/>
    </row>
    <row r="139" spans="11:75">
      <c r="K139" s="3"/>
      <c r="BW139" s="3"/>
    </row>
    <row r="140" spans="11:75">
      <c r="K140" s="3"/>
      <c r="BW140" s="3"/>
    </row>
    <row r="141" spans="11:75">
      <c r="K141" s="3"/>
      <c r="BW141" s="3"/>
    </row>
    <row r="142" spans="11:75">
      <c r="K142" s="3"/>
      <c r="BW142" s="3"/>
    </row>
    <row r="143" spans="11:75">
      <c r="K143" s="3"/>
      <c r="BW143" s="3"/>
    </row>
    <row r="144" spans="11:75">
      <c r="K144" s="3"/>
      <c r="BW144" s="3"/>
    </row>
    <row r="145" spans="11:75">
      <c r="K145" s="3"/>
      <c r="BW145" s="3"/>
    </row>
    <row r="146" spans="11:75">
      <c r="K146" s="3"/>
      <c r="BW146" s="3"/>
    </row>
    <row r="147" spans="11:75">
      <c r="K147" s="3"/>
      <c r="BW147" s="3"/>
    </row>
    <row r="148" spans="11:75">
      <c r="K148" s="3"/>
      <c r="BW148" s="3"/>
    </row>
    <row r="149" spans="11:75">
      <c r="K149" s="3"/>
      <c r="BW149" s="3"/>
    </row>
    <row r="150" spans="11:75">
      <c r="K150" s="3"/>
      <c r="BW150" s="3"/>
    </row>
    <row r="151" spans="11:75">
      <c r="K151" s="3"/>
      <c r="BW151" s="3"/>
    </row>
    <row r="152" spans="11:75">
      <c r="K152" s="3"/>
      <c r="BW152" s="3"/>
    </row>
    <row r="153" spans="11:75">
      <c r="K153" s="3"/>
      <c r="BW153" s="3"/>
    </row>
    <row r="154" spans="11:75">
      <c r="K154" s="3"/>
      <c r="BW154" s="3"/>
    </row>
    <row r="155" spans="11:75">
      <c r="K155" s="3"/>
      <c r="BW155" s="3"/>
    </row>
    <row r="156" spans="11:75">
      <c r="K156" s="3"/>
      <c r="BW156" s="3"/>
    </row>
    <row r="157" spans="11:75">
      <c r="K157" s="3"/>
      <c r="BW157" s="3"/>
    </row>
    <row r="158" spans="11:75">
      <c r="K158" s="3"/>
      <c r="BW158" s="3"/>
    </row>
    <row r="159" spans="11:75">
      <c r="K159" s="3"/>
      <c r="BW159" s="3"/>
    </row>
    <row r="160" spans="11:75">
      <c r="K160" s="3"/>
      <c r="BW160" s="3"/>
    </row>
    <row r="161" spans="11:75">
      <c r="K161" s="3"/>
      <c r="BW161" s="3"/>
    </row>
    <row r="162" spans="11:75">
      <c r="K162" s="3"/>
      <c r="BW162" s="3"/>
    </row>
    <row r="163" spans="11:75">
      <c r="K163" s="3"/>
      <c r="BW163" s="3"/>
    </row>
    <row r="164" spans="11:75">
      <c r="BW164" s="3"/>
    </row>
    <row r="165" spans="11:75">
      <c r="BW165" s="3"/>
    </row>
    <row r="166" spans="11:75">
      <c r="BW166" s="3"/>
    </row>
    <row r="167" spans="11:75">
      <c r="BW167" s="3"/>
    </row>
    <row r="168" spans="11:75">
      <c r="BW168" s="3"/>
    </row>
    <row r="169" spans="11:75">
      <c r="BW169" s="3"/>
    </row>
    <row r="170" spans="11:75">
      <c r="BW170" s="3"/>
    </row>
    <row r="171" spans="11:75">
      <c r="BW171" s="3"/>
    </row>
    <row r="172" spans="11:75">
      <c r="BW172" s="3"/>
    </row>
    <row r="173" spans="11:75">
      <c r="BW173" s="3"/>
    </row>
    <row r="174" spans="11:75">
      <c r="BW174" s="3"/>
    </row>
    <row r="175" spans="11:75">
      <c r="BW175" s="3"/>
    </row>
    <row r="176" spans="11:75">
      <c r="BW176" s="3"/>
    </row>
    <row r="177" spans="75:75">
      <c r="BW177" s="3"/>
    </row>
    <row r="178" spans="75:75">
      <c r="BW178" s="3"/>
    </row>
    <row r="179" spans="75:75">
      <c r="BW179" s="3"/>
    </row>
    <row r="180" spans="75:75">
      <c r="BW180" s="3"/>
    </row>
    <row r="181" spans="75:75">
      <c r="BW181" s="3"/>
    </row>
    <row r="182" spans="75:75">
      <c r="BW182" s="3"/>
    </row>
    <row r="183" spans="75:75">
      <c r="BW183" s="3"/>
    </row>
    <row r="184" spans="75:75">
      <c r="BW184" s="3"/>
    </row>
    <row r="185" spans="75:75">
      <c r="BW185" s="3"/>
    </row>
    <row r="186" spans="75:75">
      <c r="BW186" s="3"/>
    </row>
    <row r="187" spans="75:75">
      <c r="BW187" s="3"/>
    </row>
    <row r="188" spans="75:75">
      <c r="BW188" s="3"/>
    </row>
    <row r="189" spans="75:75">
      <c r="BW189" s="3"/>
    </row>
    <row r="190" spans="75:75">
      <c r="BW190" s="3"/>
    </row>
    <row r="191" spans="75:75">
      <c r="BW191" s="3"/>
    </row>
    <row r="192" spans="75:75">
      <c r="BW192" s="3"/>
    </row>
    <row r="193" spans="75:75">
      <c r="BW193" s="3"/>
    </row>
    <row r="194" spans="75:75">
      <c r="BW194" s="3"/>
    </row>
    <row r="195" spans="75:75">
      <c r="BW195" s="3"/>
    </row>
    <row r="196" spans="75:75">
      <c r="BW196" s="3"/>
    </row>
    <row r="197" spans="75:75">
      <c r="BW197" s="3"/>
    </row>
    <row r="198" spans="75:75">
      <c r="BW198" s="3"/>
    </row>
    <row r="199" spans="75:75">
      <c r="BW199" s="3"/>
    </row>
    <row r="200" spans="75:75">
      <c r="BW200" s="3"/>
    </row>
    <row r="201" spans="75:75">
      <c r="BW201" s="3"/>
    </row>
    <row r="202" spans="75:75">
      <c r="BW202" s="3"/>
    </row>
    <row r="203" spans="75:75">
      <c r="BW203" s="3"/>
    </row>
    <row r="204" spans="75:75">
      <c r="BW204" s="3"/>
    </row>
    <row r="205" spans="75:75">
      <c r="BW205" s="3"/>
    </row>
    <row r="206" spans="75:75">
      <c r="BW206" s="3"/>
    </row>
    <row r="207" spans="75:75">
      <c r="BW207" s="3"/>
    </row>
    <row r="208" spans="75:75">
      <c r="BW208" s="3"/>
    </row>
    <row r="209" spans="75:75">
      <c r="BW209" s="3"/>
    </row>
    <row r="210" spans="75:75">
      <c r="BW210" s="3"/>
    </row>
    <row r="211" spans="75:75">
      <c r="BW211" s="3"/>
    </row>
    <row r="212" spans="75:75">
      <c r="BW212" s="3"/>
    </row>
    <row r="213" spans="75:75">
      <c r="BW213" s="3"/>
    </row>
    <row r="214" spans="75:75">
      <c r="BW214" s="3"/>
    </row>
    <row r="215" spans="75:75">
      <c r="BW215" s="3"/>
    </row>
    <row r="216" spans="75:75">
      <c r="BW216" s="3"/>
    </row>
    <row r="217" spans="75:75">
      <c r="BW217" s="3"/>
    </row>
    <row r="218" spans="75:75">
      <c r="BW218" s="3"/>
    </row>
    <row r="219" spans="75:75">
      <c r="BW219" s="3"/>
    </row>
    <row r="220" spans="75:75">
      <c r="BW220" s="3"/>
    </row>
    <row r="221" spans="75:75">
      <c r="BW221" s="3"/>
    </row>
    <row r="222" spans="75:75">
      <c r="BW222" s="3"/>
    </row>
    <row r="223" spans="75:75">
      <c r="BW223" s="3"/>
    </row>
    <row r="224" spans="75:75">
      <c r="BW224" s="3"/>
    </row>
    <row r="225" spans="75:75">
      <c r="BW225" s="3"/>
    </row>
    <row r="226" spans="75:75">
      <c r="BW226" s="3"/>
    </row>
    <row r="227" spans="75:75">
      <c r="BW227" s="3"/>
    </row>
    <row r="228" spans="75:75">
      <c r="BW228" s="3"/>
    </row>
    <row r="229" spans="75:75">
      <c r="BW229" s="3"/>
    </row>
    <row r="230" spans="75:75">
      <c r="BW230" s="3"/>
    </row>
    <row r="231" spans="75:75">
      <c r="BW231" s="3"/>
    </row>
    <row r="232" spans="75:75">
      <c r="BW232" s="3"/>
    </row>
    <row r="233" spans="75:75">
      <c r="BW233" s="3"/>
    </row>
    <row r="234" spans="75:75">
      <c r="BW234" s="3"/>
    </row>
    <row r="235" spans="75:75">
      <c r="BW235" s="3"/>
    </row>
    <row r="236" spans="75:75">
      <c r="BW236" s="3"/>
    </row>
    <row r="237" spans="75:75">
      <c r="BW237" s="3"/>
    </row>
    <row r="238" spans="75:75">
      <c r="BW238" s="3"/>
    </row>
    <row r="239" spans="75:75">
      <c r="BW239" s="3"/>
    </row>
    <row r="240" spans="75:75">
      <c r="BW240" s="3"/>
    </row>
    <row r="241" spans="75:75">
      <c r="BW241" s="3"/>
    </row>
    <row r="242" spans="75:75">
      <c r="BW242" s="3"/>
    </row>
    <row r="243" spans="75:75">
      <c r="BW243" s="3"/>
    </row>
    <row r="244" spans="75:75">
      <c r="BW244" s="3"/>
    </row>
    <row r="245" spans="75:75">
      <c r="BW245" s="3"/>
    </row>
    <row r="246" spans="75:75">
      <c r="BW246" s="3"/>
    </row>
    <row r="247" spans="75:75">
      <c r="BW247" s="3"/>
    </row>
    <row r="248" spans="75:75">
      <c r="BW248" s="3"/>
    </row>
    <row r="249" spans="75:75">
      <c r="BW249" s="3"/>
    </row>
    <row r="250" spans="75:75">
      <c r="BW250" s="3"/>
    </row>
    <row r="251" spans="75:75">
      <c r="BW251" s="3"/>
    </row>
    <row r="252" spans="75:75">
      <c r="BW252" s="3"/>
    </row>
    <row r="253" spans="75:75">
      <c r="BW253" s="3"/>
    </row>
    <row r="254" spans="75:75">
      <c r="BW254" s="3"/>
    </row>
    <row r="255" spans="75:75">
      <c r="BW255" s="3"/>
    </row>
    <row r="256" spans="75:75">
      <c r="BW256" s="3"/>
    </row>
    <row r="257" spans="75:75">
      <c r="BW257" s="3"/>
    </row>
    <row r="258" spans="75:75">
      <c r="BW258" s="3"/>
    </row>
    <row r="259" spans="75:75">
      <c r="BW259" s="3"/>
    </row>
    <row r="260" spans="75:75">
      <c r="BW260" s="3"/>
    </row>
    <row r="261" spans="75:75">
      <c r="BW261" s="3"/>
    </row>
    <row r="262" spans="75:75">
      <c r="BW262" s="3"/>
    </row>
    <row r="263" spans="75:75">
      <c r="BW263" s="3"/>
    </row>
    <row r="264" spans="75:75">
      <c r="BW264" s="3"/>
    </row>
    <row r="265" spans="75:75">
      <c r="BW265" s="3"/>
    </row>
    <row r="266" spans="75:75">
      <c r="BW266" s="3"/>
    </row>
    <row r="267" spans="75:75">
      <c r="BW267" s="3"/>
    </row>
    <row r="268" spans="75:75">
      <c r="BW268" s="3"/>
    </row>
    <row r="269" spans="75:75">
      <c r="BW269" s="3"/>
    </row>
    <row r="270" spans="75:75">
      <c r="BW270" s="3"/>
    </row>
    <row r="271" spans="75:75">
      <c r="BW271" s="3"/>
    </row>
    <row r="272" spans="75:75">
      <c r="BW272" s="3"/>
    </row>
    <row r="273" spans="75:75">
      <c r="BW273" s="3"/>
    </row>
    <row r="274" spans="75:75">
      <c r="BW274" s="3"/>
    </row>
    <row r="275" spans="75:75">
      <c r="BW275" s="3"/>
    </row>
    <row r="276" spans="75:75">
      <c r="BW276" s="3"/>
    </row>
    <row r="277" spans="75:75">
      <c r="BW277" s="3"/>
    </row>
    <row r="278" spans="75:75">
      <c r="BW278" s="3"/>
    </row>
    <row r="279" spans="75:75">
      <c r="BW279" s="3"/>
    </row>
    <row r="280" spans="75:75">
      <c r="BW280" s="3"/>
    </row>
    <row r="281" spans="75:75">
      <c r="BW281" s="3"/>
    </row>
    <row r="282" spans="75:75">
      <c r="BW282" s="3"/>
    </row>
    <row r="283" spans="75:75">
      <c r="BW283" s="3"/>
    </row>
    <row r="284" spans="75:75">
      <c r="BW284" s="3"/>
    </row>
    <row r="285" spans="75:75">
      <c r="BW285" s="3"/>
    </row>
    <row r="286" spans="75:75">
      <c r="BW286" s="3"/>
    </row>
    <row r="287" spans="75:75">
      <c r="BW287" s="3"/>
    </row>
    <row r="288" spans="75:75">
      <c r="BW288" s="3"/>
    </row>
    <row r="289" spans="75:75">
      <c r="BW289" s="3"/>
    </row>
    <row r="290" spans="75:75">
      <c r="BW290" s="3"/>
    </row>
    <row r="291" spans="75:75">
      <c r="BW291" s="3"/>
    </row>
    <row r="292" spans="75:75">
      <c r="BW292" s="3"/>
    </row>
    <row r="293" spans="75:75">
      <c r="BW293" s="3"/>
    </row>
    <row r="294" spans="75:75">
      <c r="BW294" s="3"/>
    </row>
    <row r="295" spans="75:75">
      <c r="BW295" s="3"/>
    </row>
    <row r="296" spans="75:75">
      <c r="BW296" s="3"/>
    </row>
    <row r="297" spans="75:75">
      <c r="BW297" s="3"/>
    </row>
    <row r="298" spans="75:75">
      <c r="BW298" s="3"/>
    </row>
    <row r="299" spans="75:75">
      <c r="BW299" s="3"/>
    </row>
    <row r="300" spans="75:75">
      <c r="BW300" s="3"/>
    </row>
    <row r="301" spans="75:75">
      <c r="BW301" s="3"/>
    </row>
    <row r="302" spans="75:75">
      <c r="BW302" s="3"/>
    </row>
    <row r="303" spans="75:75">
      <c r="BW303" s="3"/>
    </row>
    <row r="304" spans="75:75">
      <c r="BW304" s="3"/>
    </row>
    <row r="305" spans="75:75">
      <c r="BW305" s="3"/>
    </row>
    <row r="306" spans="75:75">
      <c r="BW306" s="3"/>
    </row>
    <row r="307" spans="75:75">
      <c r="BW307" s="3"/>
    </row>
    <row r="308" spans="75:75">
      <c r="BW308" s="3"/>
    </row>
    <row r="309" spans="75:75">
      <c r="BW309" s="3"/>
    </row>
    <row r="310" spans="75:75">
      <c r="BW310" s="3"/>
    </row>
    <row r="311" spans="75:75">
      <c r="BW311" s="3"/>
    </row>
    <row r="312" spans="75:75">
      <c r="BW312" s="3"/>
    </row>
    <row r="313" spans="75:75">
      <c r="BW313" s="3"/>
    </row>
    <row r="314" spans="75:75">
      <c r="BW314" s="3"/>
    </row>
    <row r="315" spans="75:75">
      <c r="BW315" s="3"/>
    </row>
    <row r="316" spans="75:75">
      <c r="BW316" s="3"/>
    </row>
    <row r="317" spans="75:75">
      <c r="BW317" s="3"/>
    </row>
    <row r="318" spans="75:75">
      <c r="BW318" s="3"/>
    </row>
    <row r="319" spans="75:75">
      <c r="BW319" s="3"/>
    </row>
    <row r="320" spans="75:75">
      <c r="BW320" s="3"/>
    </row>
    <row r="321" spans="75:75">
      <c r="BW321" s="3"/>
    </row>
    <row r="322" spans="75:75">
      <c r="BW322" s="3"/>
    </row>
    <row r="323" spans="75:75">
      <c r="BW323" s="3"/>
    </row>
    <row r="324" spans="75:75">
      <c r="BW324" s="3"/>
    </row>
    <row r="325" spans="75:75">
      <c r="BW325" s="3"/>
    </row>
    <row r="326" spans="75:75">
      <c r="BW326" s="3"/>
    </row>
    <row r="327" spans="75:75">
      <c r="BW327" s="3"/>
    </row>
    <row r="328" spans="75:75">
      <c r="BW328" s="3"/>
    </row>
    <row r="329" spans="75:75">
      <c r="BW329" s="3"/>
    </row>
    <row r="330" spans="75:75">
      <c r="BW330" s="3"/>
    </row>
    <row r="331" spans="75:75">
      <c r="BW331" s="3"/>
    </row>
    <row r="332" spans="75:75">
      <c r="BW332" s="3"/>
    </row>
    <row r="333" spans="75:75">
      <c r="BW333" s="3"/>
    </row>
    <row r="334" spans="75:75">
      <c r="BW334" s="3"/>
    </row>
    <row r="335" spans="75:75">
      <c r="BW335" s="3"/>
    </row>
    <row r="336" spans="75:75">
      <c r="BW336" s="3"/>
    </row>
    <row r="337" spans="75:75">
      <c r="BW337" s="3"/>
    </row>
    <row r="338" spans="75:75">
      <c r="BW338" s="3"/>
    </row>
    <row r="339" spans="75:75">
      <c r="BW339" s="3"/>
    </row>
    <row r="340" spans="75:75">
      <c r="BW340" s="3"/>
    </row>
    <row r="341" spans="75:75">
      <c r="BW341" s="3"/>
    </row>
    <row r="342" spans="75:75">
      <c r="BW342" s="3"/>
    </row>
    <row r="343" spans="75:75">
      <c r="BW343" s="3"/>
    </row>
    <row r="344" spans="75:75">
      <c r="BW344" s="3"/>
    </row>
    <row r="345" spans="75:75">
      <c r="BW345" s="3"/>
    </row>
    <row r="346" spans="75:75">
      <c r="BW346" s="3"/>
    </row>
    <row r="347" spans="75:75">
      <c r="BW347" s="3"/>
    </row>
    <row r="348" spans="75:75">
      <c r="BW348" s="3"/>
    </row>
    <row r="349" spans="75:75">
      <c r="BW349" s="3"/>
    </row>
    <row r="350" spans="75:75">
      <c r="BW350" s="3"/>
    </row>
    <row r="351" spans="75:75">
      <c r="BW351" s="3"/>
    </row>
    <row r="352" spans="75:75">
      <c r="BW352" s="3"/>
    </row>
    <row r="353" spans="75:75">
      <c r="BW353" s="3"/>
    </row>
    <row r="354" spans="75:75">
      <c r="BW354" s="3"/>
    </row>
    <row r="355" spans="75:75">
      <c r="BW355" s="3"/>
    </row>
    <row r="356" spans="75:75">
      <c r="BW356" s="3"/>
    </row>
    <row r="357" spans="75:75">
      <c r="BW357" s="3"/>
    </row>
    <row r="358" spans="75:75">
      <c r="BW358" s="3"/>
    </row>
    <row r="359" spans="75:75">
      <c r="BW359" s="3"/>
    </row>
    <row r="360" spans="75:75">
      <c r="BW360" s="3"/>
    </row>
    <row r="361" spans="75:75">
      <c r="BW361" s="3"/>
    </row>
    <row r="362" spans="75:75">
      <c r="BW362" s="3"/>
    </row>
    <row r="363" spans="75:75">
      <c r="BW363" s="3"/>
    </row>
    <row r="364" spans="75:75">
      <c r="BW364" s="3"/>
    </row>
    <row r="365" spans="75:75">
      <c r="BW365" s="3"/>
    </row>
    <row r="366" spans="75:75">
      <c r="BW366" s="3"/>
    </row>
    <row r="367" spans="75:75">
      <c r="BW367" s="3"/>
    </row>
    <row r="368" spans="75:75">
      <c r="BW368" s="3"/>
    </row>
    <row r="369" spans="75:75">
      <c r="BW369" s="3"/>
    </row>
    <row r="370" spans="75:75">
      <c r="BW370" s="3"/>
    </row>
    <row r="371" spans="75:75">
      <c r="BW371" s="3"/>
    </row>
    <row r="372" spans="75:75">
      <c r="BW372" s="3"/>
    </row>
    <row r="373" spans="75:75">
      <c r="BW373" s="3"/>
    </row>
    <row r="374" spans="75:75">
      <c r="BW374" s="3"/>
    </row>
    <row r="375" spans="75:75">
      <c r="BW375" s="3"/>
    </row>
    <row r="376" spans="75:75">
      <c r="BW376" s="3"/>
    </row>
    <row r="377" spans="75:75">
      <c r="BW377" s="3"/>
    </row>
    <row r="378" spans="75:75">
      <c r="BW378" s="3"/>
    </row>
    <row r="379" spans="75:75">
      <c r="BW379" s="3"/>
    </row>
    <row r="380" spans="75:75">
      <c r="BW380" s="3"/>
    </row>
    <row r="381" spans="75:75">
      <c r="BW381" s="3"/>
    </row>
    <row r="382" spans="75:75">
      <c r="BW382" s="3"/>
    </row>
    <row r="383" spans="75:75">
      <c r="BW383" s="3"/>
    </row>
    <row r="384" spans="75:75">
      <c r="BW384" s="3"/>
    </row>
    <row r="385" spans="75:75">
      <c r="BW385" s="3"/>
    </row>
    <row r="386" spans="75:75">
      <c r="BW386" s="3"/>
    </row>
    <row r="387" spans="75:75">
      <c r="BW387" s="3"/>
    </row>
    <row r="388" spans="75:75">
      <c r="BW388" s="3"/>
    </row>
    <row r="389" spans="75:75">
      <c r="BW389" s="3"/>
    </row>
    <row r="390" spans="75:75">
      <c r="BW390" s="3"/>
    </row>
    <row r="391" spans="75:75">
      <c r="BW391" s="3"/>
    </row>
    <row r="392" spans="75:75">
      <c r="BW392" s="3"/>
    </row>
    <row r="393" spans="75:75">
      <c r="BW393" s="3"/>
    </row>
    <row r="394" spans="75:75">
      <c r="BW394" s="3"/>
    </row>
    <row r="395" spans="75:75">
      <c r="BW395" s="3"/>
    </row>
    <row r="396" spans="75:75">
      <c r="BW396" s="3"/>
    </row>
    <row r="397" spans="75:75">
      <c r="BW397" s="3"/>
    </row>
    <row r="398" spans="75:75">
      <c r="BW398" s="3"/>
    </row>
    <row r="399" spans="75:75">
      <c r="BW399" s="3"/>
    </row>
    <row r="400" spans="75:75">
      <c r="BW400" s="3"/>
    </row>
    <row r="401" spans="75:75">
      <c r="BW401" s="3"/>
    </row>
    <row r="402" spans="75:75">
      <c r="BW402" s="3"/>
    </row>
    <row r="403" spans="75:75">
      <c r="BW403" s="3"/>
    </row>
    <row r="404" spans="75:75">
      <c r="BW404" s="3"/>
    </row>
    <row r="405" spans="75:75">
      <c r="BW405" s="3"/>
    </row>
    <row r="406" spans="75:75">
      <c r="BW406" s="3"/>
    </row>
    <row r="407" spans="75:75">
      <c r="BW407" s="3"/>
    </row>
    <row r="408" spans="75:75">
      <c r="BW408" s="3"/>
    </row>
    <row r="409" spans="75:75">
      <c r="BW409" s="3"/>
    </row>
    <row r="410" spans="75:75">
      <c r="BW410" s="3"/>
    </row>
    <row r="411" spans="75:75">
      <c r="BW411" s="3"/>
    </row>
    <row r="412" spans="75:75">
      <c r="BW412" s="3"/>
    </row>
    <row r="413" spans="75:75">
      <c r="BW413" s="3"/>
    </row>
    <row r="414" spans="75:75">
      <c r="BW414" s="3"/>
    </row>
    <row r="415" spans="75:75">
      <c r="BW415" s="3"/>
    </row>
    <row r="416" spans="75:75">
      <c r="BW416" s="3"/>
    </row>
    <row r="417" spans="75:75">
      <c r="BW417" s="3"/>
    </row>
    <row r="418" spans="75:75">
      <c r="BW418" s="3"/>
    </row>
    <row r="419" spans="75:75">
      <c r="BW419" s="3"/>
    </row>
    <row r="420" spans="75:75">
      <c r="BW420" s="3"/>
    </row>
    <row r="421" spans="75:75">
      <c r="BW421" s="3"/>
    </row>
    <row r="422" spans="75:75">
      <c r="BW422" s="3"/>
    </row>
    <row r="423" spans="75:75">
      <c r="BW423" s="3"/>
    </row>
    <row r="424" spans="75:75">
      <c r="BW424" s="3"/>
    </row>
    <row r="425" spans="75:75">
      <c r="BW425" s="3"/>
    </row>
    <row r="426" spans="75:75">
      <c r="BW426" s="3"/>
    </row>
    <row r="427" spans="75:75">
      <c r="BW427" s="3"/>
    </row>
    <row r="428" spans="75:75">
      <c r="BW428" s="3"/>
    </row>
    <row r="429" spans="75:75">
      <c r="BW429" s="3"/>
    </row>
    <row r="430" spans="75:75">
      <c r="BW430" s="3"/>
    </row>
    <row r="431" spans="75:75">
      <c r="BW431" s="3"/>
    </row>
    <row r="432" spans="75:75">
      <c r="BW432" s="3"/>
    </row>
    <row r="433" spans="75:75">
      <c r="BW433" s="3"/>
    </row>
    <row r="434" spans="75:75">
      <c r="BW434" s="3"/>
    </row>
    <row r="435" spans="75:75">
      <c r="BW435" s="3"/>
    </row>
    <row r="436" spans="75:75">
      <c r="BW436" s="3"/>
    </row>
    <row r="437" spans="75:75">
      <c r="BW437" s="3"/>
    </row>
    <row r="438" spans="75:75">
      <c r="BW438" s="3"/>
    </row>
    <row r="439" spans="75:75">
      <c r="BW439" s="3"/>
    </row>
    <row r="440" spans="75:75">
      <c r="BW440" s="3"/>
    </row>
    <row r="441" spans="75:75">
      <c r="BW441" s="3"/>
    </row>
    <row r="442" spans="75:75">
      <c r="BW442" s="3"/>
    </row>
    <row r="443" spans="75:75">
      <c r="BW443" s="3"/>
    </row>
    <row r="444" spans="75:75">
      <c r="BW444" s="3"/>
    </row>
    <row r="445" spans="75:75">
      <c r="BW445" s="3"/>
    </row>
    <row r="446" spans="75:75">
      <c r="BW446" s="3"/>
    </row>
    <row r="447" spans="75:75">
      <c r="BW447" s="3"/>
    </row>
    <row r="448" spans="75:75">
      <c r="BW448" s="3"/>
    </row>
    <row r="449" spans="75:75">
      <c r="BW449" s="3"/>
    </row>
    <row r="450" spans="75:75">
      <c r="BW450" s="3"/>
    </row>
    <row r="451" spans="75:75">
      <c r="BW451" s="3"/>
    </row>
    <row r="452" spans="75:75">
      <c r="BW452" s="3"/>
    </row>
    <row r="453" spans="75:75">
      <c r="BW453" s="3"/>
    </row>
    <row r="454" spans="75:75">
      <c r="BW454" s="3"/>
    </row>
    <row r="455" spans="75:75">
      <c r="BW455" s="3"/>
    </row>
    <row r="456" spans="75:75">
      <c r="BW456" s="3"/>
    </row>
    <row r="457" spans="75:75">
      <c r="BW457" s="3"/>
    </row>
    <row r="458" spans="75:75">
      <c r="BW458" s="3"/>
    </row>
    <row r="459" spans="75:75">
      <c r="BW459" s="3"/>
    </row>
    <row r="460" spans="75:75">
      <c r="BW460" s="3"/>
    </row>
    <row r="461" spans="75:75">
      <c r="BW461" s="3"/>
    </row>
    <row r="462" spans="75:75">
      <c r="BW462" s="3"/>
    </row>
    <row r="463" spans="75:75">
      <c r="BW463" s="3"/>
    </row>
    <row r="464" spans="75:75">
      <c r="BW464" s="3"/>
    </row>
    <row r="465" spans="75:75">
      <c r="BW465" s="3"/>
    </row>
    <row r="466" spans="75:75">
      <c r="BW466" s="3"/>
    </row>
    <row r="467" spans="75:75">
      <c r="BW467" s="3"/>
    </row>
    <row r="468" spans="75:75">
      <c r="BW468" s="3"/>
    </row>
    <row r="469" spans="75:75">
      <c r="BW469" s="3"/>
    </row>
    <row r="470" spans="75:75">
      <c r="BW470" s="3"/>
    </row>
    <row r="471" spans="75:75">
      <c r="BW471" s="3"/>
    </row>
    <row r="472" spans="75:75">
      <c r="BW472" s="3"/>
    </row>
    <row r="473" spans="75:75">
      <c r="BW473" s="3"/>
    </row>
    <row r="474" spans="75:75">
      <c r="BW474" s="3"/>
    </row>
    <row r="475" spans="75:75">
      <c r="BW475" s="3"/>
    </row>
    <row r="476" spans="75:75">
      <c r="BW476" s="3"/>
    </row>
    <row r="477" spans="75:75">
      <c r="BW477" s="3"/>
    </row>
    <row r="478" spans="75:75">
      <c r="BW478" s="3"/>
    </row>
    <row r="479" spans="75:75">
      <c r="BW479" s="3"/>
    </row>
    <row r="480" spans="75:75">
      <c r="BW480" s="3"/>
    </row>
    <row r="481" spans="75:75">
      <c r="BW481" s="3"/>
    </row>
    <row r="482" spans="75:75">
      <c r="BW482" s="3"/>
    </row>
    <row r="483" spans="75:75">
      <c r="BW483" s="3"/>
    </row>
    <row r="484" spans="75:75">
      <c r="BW484" s="3"/>
    </row>
    <row r="485" spans="75:75">
      <c r="BW485" s="3"/>
    </row>
    <row r="486" spans="75:75">
      <c r="BW486" s="3"/>
    </row>
    <row r="487" spans="75:75">
      <c r="BW487" s="3"/>
    </row>
    <row r="488" spans="75:75">
      <c r="BW488" s="3"/>
    </row>
    <row r="489" spans="75:75">
      <c r="BW489" s="3"/>
    </row>
    <row r="490" spans="75:75">
      <c r="BW490" s="3"/>
    </row>
    <row r="491" spans="75:75">
      <c r="BW491" s="3"/>
    </row>
    <row r="492" spans="75:75">
      <c r="BW492" s="3"/>
    </row>
    <row r="493" spans="75:75">
      <c r="BW493" s="3"/>
    </row>
    <row r="494" spans="75:75">
      <c r="BW494" s="3"/>
    </row>
    <row r="495" spans="75:75">
      <c r="BW495" s="3"/>
    </row>
    <row r="496" spans="75:75">
      <c r="BW496" s="3"/>
    </row>
    <row r="497" spans="75:75">
      <c r="BW497" s="3"/>
    </row>
    <row r="498" spans="75:75">
      <c r="BW498" s="3"/>
    </row>
    <row r="499" spans="75:75">
      <c r="BW499" s="3"/>
    </row>
    <row r="500" spans="75:75">
      <c r="BW500" s="3"/>
    </row>
    <row r="501" spans="75:75">
      <c r="BW501" s="3"/>
    </row>
    <row r="502" spans="75:75">
      <c r="BW502" s="3"/>
    </row>
    <row r="503" spans="75:75">
      <c r="BW503" s="3"/>
    </row>
    <row r="504" spans="75:75">
      <c r="BW504" s="3"/>
    </row>
    <row r="505" spans="75:75">
      <c r="BW505" s="3"/>
    </row>
    <row r="506" spans="75:75">
      <c r="BW506" s="3"/>
    </row>
    <row r="507" spans="75:75">
      <c r="BW507" s="3"/>
    </row>
    <row r="508" spans="75:75">
      <c r="BW508" s="3"/>
    </row>
    <row r="509" spans="75:75">
      <c r="BW509" s="3"/>
    </row>
    <row r="510" spans="75:75">
      <c r="BW510" s="3"/>
    </row>
    <row r="511" spans="75:75">
      <c r="BW511" s="3"/>
    </row>
    <row r="512" spans="75:75">
      <c r="BW512" s="3"/>
    </row>
    <row r="513" spans="75:75">
      <c r="BW513" s="3"/>
    </row>
    <row r="514" spans="75:75">
      <c r="BW514" s="3"/>
    </row>
    <row r="515" spans="75:75">
      <c r="BW515" s="3"/>
    </row>
    <row r="516" spans="75:75">
      <c r="BW516" s="3"/>
    </row>
    <row r="517" spans="75:75">
      <c r="BW517" s="3"/>
    </row>
    <row r="518" spans="75:75">
      <c r="BW518" s="3"/>
    </row>
    <row r="519" spans="75:75">
      <c r="BW519" s="3"/>
    </row>
    <row r="520" spans="75:75">
      <c r="BW520" s="3"/>
    </row>
    <row r="521" spans="75:75">
      <c r="BW521" s="3"/>
    </row>
    <row r="522" spans="75:75">
      <c r="BW522" s="3"/>
    </row>
    <row r="523" spans="75:75">
      <c r="BW523" s="3"/>
    </row>
    <row r="524" spans="75:75">
      <c r="BW524" s="3"/>
    </row>
    <row r="525" spans="75:75">
      <c r="BW525" s="3"/>
    </row>
    <row r="526" spans="75:75">
      <c r="BW526" s="3"/>
    </row>
    <row r="527" spans="75:75">
      <c r="BW527" s="3"/>
    </row>
    <row r="528" spans="75:75">
      <c r="BW528" s="3"/>
    </row>
    <row r="529" spans="75:75">
      <c r="BW529" s="3"/>
    </row>
    <row r="530" spans="75:75">
      <c r="BW530" s="3"/>
    </row>
    <row r="531" spans="75:75">
      <c r="BW531" s="3"/>
    </row>
    <row r="532" spans="75:75">
      <c r="BW532" s="3"/>
    </row>
    <row r="533" spans="75:75">
      <c r="BW533" s="3"/>
    </row>
    <row r="534" spans="75:75">
      <c r="BW534" s="3"/>
    </row>
    <row r="535" spans="75:75">
      <c r="BW535" s="3"/>
    </row>
    <row r="536" spans="75:75">
      <c r="BW536" s="3"/>
    </row>
    <row r="537" spans="75:75">
      <c r="BW537" s="3"/>
    </row>
    <row r="538" spans="75:75">
      <c r="BW538" s="3"/>
    </row>
    <row r="539" spans="75:75">
      <c r="BW539" s="3"/>
    </row>
    <row r="540" spans="75:75">
      <c r="BW540" s="3"/>
    </row>
    <row r="541" spans="75:75">
      <c r="BW541" s="3"/>
    </row>
    <row r="542" spans="75:75">
      <c r="BW542" s="3"/>
    </row>
    <row r="543" spans="75:75">
      <c r="BW543" s="3"/>
    </row>
    <row r="544" spans="75:75">
      <c r="BW544" s="3"/>
    </row>
    <row r="545" spans="75:75">
      <c r="BW545" s="3"/>
    </row>
    <row r="546" spans="75:75">
      <c r="BW546" s="3"/>
    </row>
    <row r="547" spans="75:75">
      <c r="BW547" s="3"/>
    </row>
    <row r="548" spans="75:75">
      <c r="BW548" s="3"/>
    </row>
    <row r="549" spans="75:75">
      <c r="BW549" s="3"/>
    </row>
    <row r="550" spans="75:75">
      <c r="BW550" s="3"/>
    </row>
    <row r="551" spans="75:75">
      <c r="BW551" s="3"/>
    </row>
    <row r="552" spans="75:75">
      <c r="BW552" s="3"/>
    </row>
    <row r="553" spans="75:75">
      <c r="BW553" s="3"/>
    </row>
    <row r="554" spans="75:75">
      <c r="BW554" s="3"/>
    </row>
    <row r="555" spans="75:75">
      <c r="BW555" s="3"/>
    </row>
    <row r="556" spans="75:75">
      <c r="BW556" s="3"/>
    </row>
    <row r="557" spans="75:75">
      <c r="BW557" s="3"/>
    </row>
    <row r="558" spans="75:75">
      <c r="BW558" s="3"/>
    </row>
    <row r="559" spans="75:75">
      <c r="BW559" s="3"/>
    </row>
    <row r="560" spans="75:75">
      <c r="BW560" s="3"/>
    </row>
    <row r="561" spans="75:75">
      <c r="BW561" s="3"/>
    </row>
    <row r="562" spans="75:75">
      <c r="BW562" s="3"/>
    </row>
    <row r="563" spans="75:75">
      <c r="BW563" s="3"/>
    </row>
    <row r="564" spans="75:75">
      <c r="BW564" s="3"/>
    </row>
    <row r="565" spans="75:75">
      <c r="BW565" s="3"/>
    </row>
    <row r="566" spans="75:75">
      <c r="BW566" s="3"/>
    </row>
    <row r="567" spans="75:75">
      <c r="BW567" s="3"/>
    </row>
    <row r="568" spans="75:75">
      <c r="BW568" s="3"/>
    </row>
    <row r="569" spans="75:75">
      <c r="BW569" s="3"/>
    </row>
    <row r="570" spans="75:75">
      <c r="BW570" s="3"/>
    </row>
    <row r="571" spans="75:75">
      <c r="BW571" s="3"/>
    </row>
    <row r="572" spans="75:75">
      <c r="BW572" s="3"/>
    </row>
    <row r="573" spans="75:75">
      <c r="BW573" s="3"/>
    </row>
    <row r="574" spans="75:75">
      <c r="BW574" s="3"/>
    </row>
    <row r="575" spans="75:75">
      <c r="BW575" s="3"/>
    </row>
    <row r="576" spans="75:75">
      <c r="BW576" s="3"/>
    </row>
    <row r="577" spans="75:75">
      <c r="BW577" s="3"/>
    </row>
    <row r="578" spans="75:75">
      <c r="BW578" s="3"/>
    </row>
    <row r="579" spans="75:75">
      <c r="BW579" s="3"/>
    </row>
    <row r="580" spans="75:75">
      <c r="BW580" s="3"/>
    </row>
    <row r="581" spans="75:75">
      <c r="BW581" s="3"/>
    </row>
    <row r="582" spans="75:75">
      <c r="BW582" s="3"/>
    </row>
    <row r="583" spans="75:75">
      <c r="BW583" s="3"/>
    </row>
    <row r="584" spans="75:75">
      <c r="BW584" s="3"/>
    </row>
    <row r="585" spans="75:75">
      <c r="BW585" s="3"/>
    </row>
    <row r="586" spans="75:75">
      <c r="BW586" s="3"/>
    </row>
    <row r="587" spans="75:75">
      <c r="BW587" s="3"/>
    </row>
    <row r="588" spans="75:75">
      <c r="BW588" s="3"/>
    </row>
    <row r="589" spans="75:75">
      <c r="BW589" s="3"/>
    </row>
    <row r="590" spans="75:75">
      <c r="BW590" s="3"/>
    </row>
    <row r="591" spans="75:75">
      <c r="BW591" s="3"/>
    </row>
    <row r="592" spans="75:75">
      <c r="BW592" s="3"/>
    </row>
    <row r="593" spans="75:75">
      <c r="BW593" s="3"/>
    </row>
    <row r="594" spans="75:75">
      <c r="BW594" s="3"/>
    </row>
    <row r="595" spans="75:75">
      <c r="BW595" s="3"/>
    </row>
    <row r="596" spans="75:75">
      <c r="BW596" s="3"/>
    </row>
    <row r="597" spans="75:75">
      <c r="BW597" s="3"/>
    </row>
    <row r="598" spans="75:75">
      <c r="BW598" s="3"/>
    </row>
    <row r="599" spans="75:75">
      <c r="BW599" s="3"/>
    </row>
    <row r="600" spans="75:75">
      <c r="BW600" s="3"/>
    </row>
    <row r="601" spans="75:75">
      <c r="BW601" s="3"/>
    </row>
    <row r="602" spans="75:75">
      <c r="BW602" s="3"/>
    </row>
    <row r="603" spans="75:75">
      <c r="BW603" s="3"/>
    </row>
    <row r="604" spans="75:75">
      <c r="BW604" s="3"/>
    </row>
    <row r="605" spans="75:75">
      <c r="BW605" s="3"/>
    </row>
    <row r="606" spans="75:75">
      <c r="BW606" s="3"/>
    </row>
    <row r="607" spans="75:75">
      <c r="BW607" s="3"/>
    </row>
    <row r="608" spans="75:75">
      <c r="BW608" s="3"/>
    </row>
    <row r="609" spans="75:75">
      <c r="BW609" s="3"/>
    </row>
    <row r="610" spans="75:75">
      <c r="BW610" s="3"/>
    </row>
    <row r="611" spans="75:75">
      <c r="BW611" s="3"/>
    </row>
    <row r="612" spans="75:75">
      <c r="BW612" s="3"/>
    </row>
    <row r="613" spans="75:75">
      <c r="BW613" s="3"/>
    </row>
    <row r="614" spans="75:75">
      <c r="BW614" s="3"/>
    </row>
    <row r="615" spans="75:75">
      <c r="BW615" s="3"/>
    </row>
    <row r="616" spans="75:75">
      <c r="BW616" s="3"/>
    </row>
    <row r="617" spans="75:75">
      <c r="BW617" s="3"/>
    </row>
    <row r="618" spans="75:75">
      <c r="BW618" s="3"/>
    </row>
    <row r="619" spans="75:75">
      <c r="BW619" s="3"/>
    </row>
    <row r="620" spans="75:75">
      <c r="BW620" s="3"/>
    </row>
    <row r="621" spans="75:75">
      <c r="BW621" s="3"/>
    </row>
    <row r="622" spans="75:75">
      <c r="BW622" s="3"/>
    </row>
    <row r="623" spans="75:75">
      <c r="BW623" s="3"/>
    </row>
    <row r="624" spans="75:75">
      <c r="BW624" s="3"/>
    </row>
    <row r="625" spans="75:75">
      <c r="BW625" s="3"/>
    </row>
    <row r="626" spans="75:75">
      <c r="BW626" s="3"/>
    </row>
    <row r="627" spans="75:75">
      <c r="BW627" s="3"/>
    </row>
    <row r="628" spans="75:75">
      <c r="BW628" s="3"/>
    </row>
    <row r="629" spans="75:75">
      <c r="BW629" s="3"/>
    </row>
    <row r="630" spans="75:75">
      <c r="BW630" s="3"/>
    </row>
    <row r="631" spans="75:75">
      <c r="BW631" s="3"/>
    </row>
    <row r="632" spans="75:75">
      <c r="BW632" s="3"/>
    </row>
    <row r="633" spans="75:75">
      <c r="BW633" s="3"/>
    </row>
    <row r="634" spans="75:75">
      <c r="BW634" s="3"/>
    </row>
    <row r="635" spans="75:75">
      <c r="BW635" s="3"/>
    </row>
    <row r="636" spans="75:75">
      <c r="BW636" s="3"/>
    </row>
    <row r="637" spans="75:75">
      <c r="BW637" s="3"/>
    </row>
    <row r="638" spans="75:75">
      <c r="BW638" s="3"/>
    </row>
    <row r="639" spans="75:75">
      <c r="BW639" s="3"/>
    </row>
    <row r="640" spans="75:75">
      <c r="BW640" s="3"/>
    </row>
    <row r="641" spans="75:75">
      <c r="BW641" s="3"/>
    </row>
    <row r="642" spans="75:75">
      <c r="BW642" s="3"/>
    </row>
    <row r="643" spans="75:75">
      <c r="BW643" s="3"/>
    </row>
    <row r="644" spans="75:75">
      <c r="BW644" s="3"/>
    </row>
    <row r="645" spans="75:75">
      <c r="BW645" s="3"/>
    </row>
    <row r="646" spans="75:75">
      <c r="BW646" s="3"/>
    </row>
    <row r="647" spans="75:75">
      <c r="BW647" s="3"/>
    </row>
    <row r="648" spans="75:75">
      <c r="BW648" s="3"/>
    </row>
    <row r="649" spans="75:75">
      <c r="BW649" s="3"/>
    </row>
    <row r="650" spans="75:75">
      <c r="BW650" s="3"/>
    </row>
    <row r="651" spans="75:75">
      <c r="BW651" s="3"/>
    </row>
    <row r="652" spans="75:75">
      <c r="BW652" s="3"/>
    </row>
    <row r="653" spans="75:75">
      <c r="BW653" s="3"/>
    </row>
    <row r="654" spans="75:75">
      <c r="BW654" s="3"/>
    </row>
    <row r="655" spans="75:75">
      <c r="BW655" s="3"/>
    </row>
    <row r="656" spans="75:75">
      <c r="BW656" s="3"/>
    </row>
    <row r="657" spans="75:75">
      <c r="BW657" s="3"/>
    </row>
    <row r="658" spans="75:75">
      <c r="BW658" s="3"/>
    </row>
    <row r="659" spans="75:75">
      <c r="BW659" s="3"/>
    </row>
    <row r="660" spans="75:75">
      <c r="BW660" s="3"/>
    </row>
    <row r="661" spans="75:75">
      <c r="BW661" s="3"/>
    </row>
    <row r="662" spans="75:75">
      <c r="BW662" s="3"/>
    </row>
    <row r="663" spans="75:75">
      <c r="BW663" s="3"/>
    </row>
    <row r="664" spans="75:75">
      <c r="BW664" s="3"/>
    </row>
    <row r="665" spans="75:75">
      <c r="BW665" s="3"/>
    </row>
    <row r="666" spans="75:75">
      <c r="BW666" s="3"/>
    </row>
    <row r="667" spans="75:75">
      <c r="BW667" s="3"/>
    </row>
    <row r="668" spans="75:75">
      <c r="BW668" s="3"/>
    </row>
    <row r="669" spans="75:75">
      <c r="BW669" s="3"/>
    </row>
    <row r="670" spans="75:75">
      <c r="BW670" s="3"/>
    </row>
    <row r="671" spans="75:75">
      <c r="BW671" s="3"/>
    </row>
    <row r="672" spans="75:75">
      <c r="BW672" s="3"/>
    </row>
    <row r="673" spans="75:75">
      <c r="BW673" s="3"/>
    </row>
    <row r="674" spans="75:75">
      <c r="BW674" s="3"/>
    </row>
    <row r="675" spans="75:75">
      <c r="BW675" s="3"/>
    </row>
    <row r="676" spans="75:75">
      <c r="BW676" s="3"/>
    </row>
    <row r="677" spans="75:75">
      <c r="BW677" s="3"/>
    </row>
    <row r="678" spans="75:75">
      <c r="BW678" s="3"/>
    </row>
    <row r="679" spans="75:75">
      <c r="BW679" s="3"/>
    </row>
    <row r="680" spans="75:75">
      <c r="BW680" s="3"/>
    </row>
    <row r="681" spans="75:75">
      <c r="BW681" s="3"/>
    </row>
    <row r="682" spans="75:75">
      <c r="BW682" s="3"/>
    </row>
    <row r="683" spans="75:75">
      <c r="BW683" s="3"/>
    </row>
    <row r="684" spans="75:75">
      <c r="BW684" s="3"/>
    </row>
    <row r="685" spans="75:75">
      <c r="BW685" s="3"/>
    </row>
    <row r="686" spans="75:75">
      <c r="BW686" s="3"/>
    </row>
    <row r="687" spans="75:75">
      <c r="BW687" s="3"/>
    </row>
    <row r="688" spans="75:75">
      <c r="BW688" s="3"/>
    </row>
    <row r="689" spans="75:75">
      <c r="BW689" s="3"/>
    </row>
    <row r="690" spans="75:75">
      <c r="BW690" s="3"/>
    </row>
    <row r="691" spans="75:75">
      <c r="BW691" s="3"/>
    </row>
    <row r="692" spans="75:75">
      <c r="BW692" s="3"/>
    </row>
    <row r="693" spans="75:75">
      <c r="BW693" s="3"/>
    </row>
    <row r="694" spans="75:75">
      <c r="BW694" s="3"/>
    </row>
    <row r="695" spans="75:75">
      <c r="BW695" s="3"/>
    </row>
    <row r="696" spans="75:75">
      <c r="BW696" s="3"/>
    </row>
    <row r="697" spans="75:75">
      <c r="BW697" s="3"/>
    </row>
    <row r="698" spans="75:75">
      <c r="BW698" s="3"/>
    </row>
    <row r="699" spans="75:75">
      <c r="BW699" s="3"/>
    </row>
    <row r="700" spans="75:75">
      <c r="BW700" s="3"/>
    </row>
    <row r="701" spans="75:75">
      <c r="BW701" s="3"/>
    </row>
    <row r="702" spans="75:75">
      <c r="BW702" s="3"/>
    </row>
    <row r="703" spans="75:75">
      <c r="BW703" s="3"/>
    </row>
    <row r="704" spans="75:75">
      <c r="BW704" s="3"/>
    </row>
    <row r="705" spans="75:75">
      <c r="BW705" s="3"/>
    </row>
    <row r="706" spans="75:75">
      <c r="BW706" s="3"/>
    </row>
    <row r="707" spans="75:75">
      <c r="BW707" s="3"/>
    </row>
    <row r="708" spans="75:75">
      <c r="BW708" s="3"/>
    </row>
    <row r="709" spans="75:75">
      <c r="BW709" s="3"/>
    </row>
    <row r="710" spans="75:75">
      <c r="BW710" s="3"/>
    </row>
    <row r="711" spans="75:75">
      <c r="BW711" s="3"/>
    </row>
    <row r="712" spans="75:75">
      <c r="BW712" s="3"/>
    </row>
    <row r="713" spans="75:75">
      <c r="BW713" s="3"/>
    </row>
    <row r="714" spans="75:75">
      <c r="BW714" s="3"/>
    </row>
    <row r="715" spans="75:75">
      <c r="BW715" s="3"/>
    </row>
    <row r="716" spans="75:75">
      <c r="BW716" s="3"/>
    </row>
    <row r="717" spans="75:75">
      <c r="BW717" s="3"/>
    </row>
    <row r="718" spans="75:75">
      <c r="BW718" s="3"/>
    </row>
    <row r="719" spans="75:75">
      <c r="BW719" s="3"/>
    </row>
    <row r="720" spans="75:75">
      <c r="BW720" s="3"/>
    </row>
    <row r="721" spans="75:75">
      <c r="BW721" s="3"/>
    </row>
    <row r="722" spans="75:75">
      <c r="BW722" s="3"/>
    </row>
    <row r="723" spans="75:75">
      <c r="BW723" s="3"/>
    </row>
    <row r="724" spans="75:75">
      <c r="BW724" s="3"/>
    </row>
    <row r="725" spans="75:75">
      <c r="BW725" s="3"/>
    </row>
    <row r="726" spans="75:75">
      <c r="BW726" s="3"/>
    </row>
    <row r="727" spans="75:75">
      <c r="BW727" s="3"/>
    </row>
    <row r="728" spans="75:75">
      <c r="BW728" s="3"/>
    </row>
    <row r="729" spans="75:75">
      <c r="BW729" s="3"/>
    </row>
    <row r="730" spans="75:75">
      <c r="BW730" s="3"/>
    </row>
    <row r="731" spans="75:75">
      <c r="BW731" s="3"/>
    </row>
    <row r="732" spans="75:75">
      <c r="BW732" s="3"/>
    </row>
    <row r="733" spans="75:75">
      <c r="BW733" s="3"/>
    </row>
    <row r="734" spans="75:75">
      <c r="BW734" s="3"/>
    </row>
    <row r="735" spans="75:75">
      <c r="BW735" s="3"/>
    </row>
    <row r="736" spans="75:75">
      <c r="BW736" s="3"/>
    </row>
    <row r="737" spans="75:75">
      <c r="BW737" s="3"/>
    </row>
    <row r="738" spans="75:75">
      <c r="BW738" s="3"/>
    </row>
    <row r="739" spans="75:75">
      <c r="BW739" s="3"/>
    </row>
    <row r="740" spans="75:75">
      <c r="BW740" s="3"/>
    </row>
    <row r="741" spans="75:75">
      <c r="BW741" s="3"/>
    </row>
    <row r="742" spans="75:75">
      <c r="BW742" s="3"/>
    </row>
    <row r="743" spans="75:75">
      <c r="BW743" s="3"/>
    </row>
    <row r="744" spans="75:75">
      <c r="BW744" s="3"/>
    </row>
    <row r="745" spans="75:75">
      <c r="BW745" s="3"/>
    </row>
    <row r="746" spans="75:75">
      <c r="BW746" s="3"/>
    </row>
    <row r="747" spans="75:75">
      <c r="BW747" s="3"/>
    </row>
    <row r="748" spans="75:75">
      <c r="BW748" s="3"/>
    </row>
    <row r="749" spans="75:75">
      <c r="BW749" s="3"/>
    </row>
    <row r="750" spans="75:75">
      <c r="BW750" s="3"/>
    </row>
    <row r="751" spans="75:75">
      <c r="BW751" s="3"/>
    </row>
    <row r="752" spans="75:75">
      <c r="BW752" s="3"/>
    </row>
    <row r="753" spans="75:75">
      <c r="BW753" s="3"/>
    </row>
    <row r="754" spans="75:75">
      <c r="BW754" s="3"/>
    </row>
    <row r="755" spans="75:75">
      <c r="BW755" s="3"/>
    </row>
    <row r="756" spans="75:75">
      <c r="BW756" s="3"/>
    </row>
    <row r="757" spans="75:75">
      <c r="BW757" s="3"/>
    </row>
    <row r="758" spans="75:75">
      <c r="BW758" s="3"/>
    </row>
    <row r="759" spans="75:75">
      <c r="BW759" s="3"/>
    </row>
    <row r="760" spans="75:75">
      <c r="BW760" s="3"/>
    </row>
    <row r="761" spans="75:75">
      <c r="BW761" s="3"/>
    </row>
    <row r="762" spans="75:75">
      <c r="BW762" s="3"/>
    </row>
    <row r="763" spans="75:75">
      <c r="BW763" s="3"/>
    </row>
    <row r="764" spans="75:75">
      <c r="BW764" s="3"/>
    </row>
    <row r="765" spans="75:75">
      <c r="BW765" s="3"/>
    </row>
    <row r="766" spans="75:75">
      <c r="BW766" s="3"/>
    </row>
    <row r="767" spans="75:75">
      <c r="BW767" s="3"/>
    </row>
    <row r="768" spans="75:75">
      <c r="BW768" s="3"/>
    </row>
    <row r="769" spans="75:75">
      <c r="BW769" s="3"/>
    </row>
    <row r="770" spans="75:75">
      <c r="BW770" s="3"/>
    </row>
    <row r="771" spans="75:75">
      <c r="BW771" s="3"/>
    </row>
    <row r="772" spans="75:75">
      <c r="BW772" s="3"/>
    </row>
    <row r="773" spans="75:75">
      <c r="BW773" s="3"/>
    </row>
    <row r="774" spans="75:75">
      <c r="BW774" s="3"/>
    </row>
    <row r="775" spans="75:75">
      <c r="BW775" s="3"/>
    </row>
    <row r="776" spans="75:75">
      <c r="BW776" s="3"/>
    </row>
    <row r="777" spans="75:75">
      <c r="BW777" s="3"/>
    </row>
    <row r="778" spans="75:75">
      <c r="BW778" s="3"/>
    </row>
    <row r="779" spans="75:75">
      <c r="BW779" s="3"/>
    </row>
    <row r="780" spans="75:75">
      <c r="BW780" s="3"/>
    </row>
    <row r="781" spans="75:75">
      <c r="BW781" s="3"/>
    </row>
    <row r="782" spans="75:75">
      <c r="BW782" s="3"/>
    </row>
    <row r="783" spans="75:75">
      <c r="BW783" s="3"/>
    </row>
    <row r="784" spans="75:75">
      <c r="BW784" s="3"/>
    </row>
    <row r="785" spans="75:75">
      <c r="BW785" s="3"/>
    </row>
    <row r="786" spans="75:75">
      <c r="BW786" s="3"/>
    </row>
    <row r="787" spans="75:75">
      <c r="BW787" s="3"/>
    </row>
    <row r="788" spans="75:75">
      <c r="BW788" s="3"/>
    </row>
    <row r="789" spans="75:75">
      <c r="BW789" s="3"/>
    </row>
    <row r="790" spans="75:75">
      <c r="BW790" s="3"/>
    </row>
    <row r="791" spans="75:75">
      <c r="BW791" s="3"/>
    </row>
    <row r="792" spans="75:75">
      <c r="BW792" s="3"/>
    </row>
    <row r="793" spans="75:75">
      <c r="BW793" s="3"/>
    </row>
    <row r="794" spans="75:75">
      <c r="BW794" s="3"/>
    </row>
    <row r="795" spans="75:75">
      <c r="BW795" s="3"/>
    </row>
    <row r="796" spans="75:75">
      <c r="BW796" s="3"/>
    </row>
    <row r="797" spans="75:75">
      <c r="BW797" s="3"/>
    </row>
    <row r="798" spans="75:75">
      <c r="BW798" s="3"/>
    </row>
    <row r="799" spans="75:75">
      <c r="BW799" s="3"/>
    </row>
    <row r="800" spans="75:75">
      <c r="BW800" s="3"/>
    </row>
    <row r="801" spans="75:75">
      <c r="BW801" s="3"/>
    </row>
    <row r="802" spans="75:75">
      <c r="BW802" s="3"/>
    </row>
    <row r="803" spans="75:75">
      <c r="BW803" s="3"/>
    </row>
    <row r="804" spans="75:75">
      <c r="BW804" s="3"/>
    </row>
    <row r="805" spans="75:75">
      <c r="BW805" s="3"/>
    </row>
    <row r="806" spans="75:75">
      <c r="BW806" s="3"/>
    </row>
    <row r="807" spans="75:75">
      <c r="BW807" s="3"/>
    </row>
    <row r="808" spans="75:75">
      <c r="BW808" s="3"/>
    </row>
    <row r="809" spans="75:75">
      <c r="BW809" s="3"/>
    </row>
    <row r="810" spans="75:75">
      <c r="BW810" s="3"/>
    </row>
    <row r="811" spans="75:75">
      <c r="BW811" s="3"/>
    </row>
    <row r="812" spans="75:75">
      <c r="BW812" s="3"/>
    </row>
    <row r="813" spans="75:75">
      <c r="BW813" s="3"/>
    </row>
    <row r="814" spans="75:75">
      <c r="BW814" s="3"/>
    </row>
    <row r="815" spans="75:75">
      <c r="BW815" s="3"/>
    </row>
    <row r="816" spans="75:75">
      <c r="BW816" s="3"/>
    </row>
    <row r="817" spans="75:75">
      <c r="BW817" s="3"/>
    </row>
    <row r="818" spans="75:75">
      <c r="BW818" s="3"/>
    </row>
    <row r="819" spans="75:75">
      <c r="BW819" s="3"/>
    </row>
    <row r="820" spans="75:75">
      <c r="BW820" s="3"/>
    </row>
    <row r="821" spans="75:75">
      <c r="BW821" s="3"/>
    </row>
    <row r="822" spans="75:75">
      <c r="BW822" s="3"/>
    </row>
    <row r="823" spans="75:75">
      <c r="BW823" s="3"/>
    </row>
    <row r="824" spans="75:75">
      <c r="BW824" s="3"/>
    </row>
    <row r="825" spans="75:75">
      <c r="BW825" s="3"/>
    </row>
    <row r="826" spans="75:75">
      <c r="BW826" s="3"/>
    </row>
    <row r="827" spans="75:75">
      <c r="BW827" s="3"/>
    </row>
    <row r="828" spans="75:75">
      <c r="BW828" s="3"/>
    </row>
    <row r="829" spans="75:75">
      <c r="BW829" s="3"/>
    </row>
    <row r="830" spans="75:75">
      <c r="BW830" s="3"/>
    </row>
    <row r="831" spans="75:75">
      <c r="BW831" s="3"/>
    </row>
    <row r="832" spans="75:75">
      <c r="BW832" s="3"/>
    </row>
    <row r="833" spans="75:75">
      <c r="BW833" s="3"/>
    </row>
    <row r="834" spans="75:75">
      <c r="BW834" s="3"/>
    </row>
    <row r="835" spans="75:75">
      <c r="BW835" s="3"/>
    </row>
    <row r="836" spans="75:75">
      <c r="BW836" s="3"/>
    </row>
    <row r="837" spans="75:75">
      <c r="BW837" s="3"/>
    </row>
    <row r="838" spans="75:75">
      <c r="BW838" s="3"/>
    </row>
    <row r="839" spans="75:75">
      <c r="BW839" s="3"/>
    </row>
    <row r="840" spans="75:75">
      <c r="BW840" s="3"/>
    </row>
    <row r="841" spans="75:75">
      <c r="BW841" s="3"/>
    </row>
    <row r="842" spans="75:75">
      <c r="BW842" s="3"/>
    </row>
    <row r="843" spans="75:75">
      <c r="BW843" s="3"/>
    </row>
    <row r="844" spans="75:75">
      <c r="BW844" s="3"/>
    </row>
    <row r="845" spans="75:75">
      <c r="BW845" s="3"/>
    </row>
    <row r="846" spans="75:75">
      <c r="BW846" s="3"/>
    </row>
    <row r="847" spans="75:75">
      <c r="BW847" s="3"/>
    </row>
    <row r="848" spans="75:75">
      <c r="BW848" s="3"/>
    </row>
    <row r="849" spans="75:75">
      <c r="BW849" s="3"/>
    </row>
    <row r="850" spans="75:75">
      <c r="BW850" s="3"/>
    </row>
    <row r="851" spans="75:75">
      <c r="BW851" s="3"/>
    </row>
    <row r="852" spans="75:75">
      <c r="BW852" s="3"/>
    </row>
    <row r="853" spans="75:75">
      <c r="BW853" s="3"/>
    </row>
    <row r="854" spans="75:75">
      <c r="BW854" s="3"/>
    </row>
    <row r="855" spans="75:75">
      <c r="BW855" s="3"/>
    </row>
    <row r="856" spans="75:75">
      <c r="BW856" s="3"/>
    </row>
    <row r="857" spans="75:75">
      <c r="BW857" s="3"/>
    </row>
    <row r="858" spans="75:75">
      <c r="BW858" s="3"/>
    </row>
    <row r="859" spans="75:75">
      <c r="BW859" s="3"/>
    </row>
    <row r="860" spans="75:75">
      <c r="BW860" s="3"/>
    </row>
    <row r="861" spans="75:75">
      <c r="BW861" s="3"/>
    </row>
    <row r="862" spans="75:75">
      <c r="BW862" s="3"/>
    </row>
    <row r="863" spans="75:75">
      <c r="BW863" s="3"/>
    </row>
    <row r="864" spans="75:75">
      <c r="BW864" s="3"/>
    </row>
    <row r="865" spans="75:75">
      <c r="BW865" s="3"/>
    </row>
    <row r="866" spans="75:75">
      <c r="BW866" s="3"/>
    </row>
    <row r="867" spans="75:75">
      <c r="BW867" s="3"/>
    </row>
    <row r="868" spans="75:75">
      <c r="BW868" s="3"/>
    </row>
    <row r="869" spans="75:75">
      <c r="BW869" s="3"/>
    </row>
    <row r="870" spans="75:75">
      <c r="BW870" s="3"/>
    </row>
    <row r="871" spans="75:75">
      <c r="BW871" s="3"/>
    </row>
    <row r="872" spans="75:75">
      <c r="BW872" s="3"/>
    </row>
    <row r="873" spans="75:75">
      <c r="BW873" s="3"/>
    </row>
    <row r="874" spans="75:75">
      <c r="BW874" s="3"/>
    </row>
    <row r="875" spans="75:75">
      <c r="BW875" s="3"/>
    </row>
    <row r="876" spans="75:75">
      <c r="BW876" s="3"/>
    </row>
    <row r="877" spans="75:75">
      <c r="BW877" s="3"/>
    </row>
    <row r="878" spans="75:75">
      <c r="BW878" s="3"/>
    </row>
    <row r="879" spans="75:75">
      <c r="BW879" s="3"/>
    </row>
    <row r="880" spans="75:75">
      <c r="BW880" s="3"/>
    </row>
    <row r="881" spans="75:75">
      <c r="BW881" s="3"/>
    </row>
    <row r="882" spans="75:75">
      <c r="BW882" s="3"/>
    </row>
    <row r="883" spans="75:75">
      <c r="BW883" s="3"/>
    </row>
    <row r="884" spans="75:75">
      <c r="BW884" s="3"/>
    </row>
    <row r="885" spans="75:75">
      <c r="BW885" s="3"/>
    </row>
    <row r="886" spans="75:75">
      <c r="BW886" s="3"/>
    </row>
    <row r="887" spans="75:75">
      <c r="BW887" s="3"/>
    </row>
    <row r="888" spans="75:75">
      <c r="BW888" s="3"/>
    </row>
    <row r="889" spans="75:75">
      <c r="BW889" s="3"/>
    </row>
    <row r="890" spans="75:75">
      <c r="BW890" s="3"/>
    </row>
    <row r="891" spans="75:75">
      <c r="BW891" s="3"/>
    </row>
    <row r="892" spans="75:75">
      <c r="BW892" s="3"/>
    </row>
    <row r="893" spans="75:75">
      <c r="BW893" s="3"/>
    </row>
    <row r="894" spans="75:75">
      <c r="BW894" s="3"/>
    </row>
    <row r="895" spans="75:75">
      <c r="BW895" s="3"/>
    </row>
    <row r="896" spans="75:75">
      <c r="BW896" s="3"/>
    </row>
    <row r="897" spans="75:75">
      <c r="BW897" s="3"/>
    </row>
    <row r="898" spans="75:75">
      <c r="BW898" s="3"/>
    </row>
    <row r="899" spans="75:75">
      <c r="BW899" s="3"/>
    </row>
    <row r="900" spans="75:75">
      <c r="BW900" s="3"/>
    </row>
    <row r="901" spans="75:75">
      <c r="BW901" s="3"/>
    </row>
    <row r="902" spans="75:75">
      <c r="BW902" s="3"/>
    </row>
    <row r="903" spans="75:75">
      <c r="BW903" s="3"/>
    </row>
    <row r="904" spans="75:75">
      <c r="BW904" s="3"/>
    </row>
    <row r="905" spans="75:75">
      <c r="BW905" s="3"/>
    </row>
    <row r="906" spans="75:75">
      <c r="BW906" s="3"/>
    </row>
    <row r="907" spans="75:75">
      <c r="BW907" s="3"/>
    </row>
    <row r="908" spans="75:75">
      <c r="BW908" s="3"/>
    </row>
    <row r="909" spans="75:75">
      <c r="BW909" s="3"/>
    </row>
    <row r="910" spans="75:75">
      <c r="BW910" s="3"/>
    </row>
    <row r="911" spans="75:75">
      <c r="BW911" s="3"/>
    </row>
    <row r="912" spans="75:75">
      <c r="BW912" s="3"/>
    </row>
    <row r="913" spans="75:75">
      <c r="BW913" s="3"/>
    </row>
    <row r="914" spans="75:75">
      <c r="BW914" s="3"/>
    </row>
    <row r="915" spans="75:75">
      <c r="BW915" s="3"/>
    </row>
    <row r="916" spans="75:75">
      <c r="BW916" s="3"/>
    </row>
    <row r="917" spans="75:75">
      <c r="BW917" s="3"/>
    </row>
    <row r="918" spans="75:75">
      <c r="BW918" s="3"/>
    </row>
    <row r="919" spans="75:75">
      <c r="BW919" s="3"/>
    </row>
    <row r="920" spans="75:75">
      <c r="BW920" s="3"/>
    </row>
    <row r="921" spans="75:75">
      <c r="BW921" s="3"/>
    </row>
    <row r="922" spans="75:75">
      <c r="BW922" s="3"/>
    </row>
    <row r="923" spans="75:75">
      <c r="BW923" s="3"/>
    </row>
    <row r="924" spans="75:75">
      <c r="BW924" s="3"/>
    </row>
    <row r="925" spans="75:75">
      <c r="BW925" s="3"/>
    </row>
    <row r="926" spans="75:75">
      <c r="BW926" s="3"/>
    </row>
    <row r="927" spans="75:75">
      <c r="BW927" s="3"/>
    </row>
    <row r="928" spans="75:75">
      <c r="BW928" s="3"/>
    </row>
    <row r="929" spans="75:75">
      <c r="BW929" s="3"/>
    </row>
    <row r="930" spans="75:75">
      <c r="BW930" s="3"/>
    </row>
    <row r="931" spans="75:75">
      <c r="BW931" s="3"/>
    </row>
    <row r="932" spans="75:75">
      <c r="BW932" s="3"/>
    </row>
    <row r="933" spans="75:75">
      <c r="BW933" s="3"/>
    </row>
    <row r="934" spans="75:75">
      <c r="BW934" s="3"/>
    </row>
    <row r="935" spans="75:75">
      <c r="BW935" s="3"/>
    </row>
    <row r="936" spans="75:75">
      <c r="BW936" s="3"/>
    </row>
    <row r="937" spans="75:75">
      <c r="BW937" s="3"/>
    </row>
    <row r="938" spans="75:75">
      <c r="BW938" s="3"/>
    </row>
    <row r="939" spans="75:75">
      <c r="BW939" s="3"/>
    </row>
    <row r="940" spans="75:75">
      <c r="BW940" s="3"/>
    </row>
    <row r="941" spans="75:75">
      <c r="BW941" s="3"/>
    </row>
    <row r="942" spans="75:75">
      <c r="BW942" s="3"/>
    </row>
    <row r="943" spans="75:75">
      <c r="BW943" s="3"/>
    </row>
    <row r="944" spans="75:75">
      <c r="BW944" s="3"/>
    </row>
    <row r="945" spans="75:75">
      <c r="BW945" s="3"/>
    </row>
    <row r="946" spans="75:75">
      <c r="BW946" s="3"/>
    </row>
    <row r="947" spans="75:75">
      <c r="BW947" s="3"/>
    </row>
    <row r="948" spans="75:75">
      <c r="BW948" s="3"/>
    </row>
    <row r="949" spans="75:75">
      <c r="BW949" s="3"/>
    </row>
    <row r="950" spans="75:75">
      <c r="BW950" s="3"/>
    </row>
    <row r="951" spans="75:75">
      <c r="BW951" s="3"/>
    </row>
    <row r="952" spans="75:75">
      <c r="BW952" s="3"/>
    </row>
    <row r="953" spans="75:75">
      <c r="BW953" s="3"/>
    </row>
    <row r="954" spans="75:75">
      <c r="BW954" s="3"/>
    </row>
    <row r="955" spans="75:75">
      <c r="BW955" s="3"/>
    </row>
    <row r="956" spans="75:75">
      <c r="BW956" s="3"/>
    </row>
    <row r="957" spans="75:75">
      <c r="BW957" s="3"/>
    </row>
    <row r="958" spans="75:75">
      <c r="BW958" s="3"/>
    </row>
    <row r="959" spans="75:75">
      <c r="BW959" s="3"/>
    </row>
    <row r="960" spans="75:75">
      <c r="BW960" s="3"/>
    </row>
    <row r="961" spans="75:75">
      <c r="BW961" s="3"/>
    </row>
    <row r="962" spans="75:75">
      <c r="BW962" s="3"/>
    </row>
    <row r="963" spans="75:75">
      <c r="BW963" s="3"/>
    </row>
    <row r="964" spans="75:75">
      <c r="BW964" s="3"/>
    </row>
    <row r="965" spans="75:75">
      <c r="BW965" s="3"/>
    </row>
    <row r="966" spans="75:75">
      <c r="BW966" s="3"/>
    </row>
    <row r="967" spans="75:75">
      <c r="BW967" s="3"/>
    </row>
    <row r="968" spans="75:75">
      <c r="BW968" s="3"/>
    </row>
    <row r="969" spans="75:75">
      <c r="BW969" s="3"/>
    </row>
    <row r="970" spans="75:75">
      <c r="BW970" s="3"/>
    </row>
    <row r="971" spans="75:75">
      <c r="BW971" s="3"/>
    </row>
    <row r="972" spans="75:75">
      <c r="BW972" s="3"/>
    </row>
    <row r="973" spans="75:75">
      <c r="BW973" s="3"/>
    </row>
    <row r="974" spans="75:75">
      <c r="BW974" s="3"/>
    </row>
    <row r="975" spans="75:75">
      <c r="BW975" s="3"/>
    </row>
    <row r="976" spans="75:75">
      <c r="BW976" s="3"/>
    </row>
    <row r="977" spans="75:75">
      <c r="BW977" s="3"/>
    </row>
    <row r="978" spans="75:75">
      <c r="BW978" s="3"/>
    </row>
    <row r="979" spans="75:75">
      <c r="BW979" s="3"/>
    </row>
    <row r="980" spans="75:75">
      <c r="BW980" s="3"/>
    </row>
    <row r="981" spans="75:75">
      <c r="BW981" s="3"/>
    </row>
    <row r="982" spans="75:75">
      <c r="BW982" s="3"/>
    </row>
    <row r="983" spans="75:75">
      <c r="BW983" s="3"/>
    </row>
    <row r="984" spans="75:75">
      <c r="BW984" s="3"/>
    </row>
    <row r="985" spans="75:75">
      <c r="BW985" s="3"/>
    </row>
    <row r="986" spans="75:75">
      <c r="BW986" s="3"/>
    </row>
    <row r="987" spans="75:75">
      <c r="BW987" s="3"/>
    </row>
    <row r="988" spans="75:75">
      <c r="BW988" s="3"/>
    </row>
    <row r="989" spans="75:75">
      <c r="BW989" s="3"/>
    </row>
    <row r="990" spans="75:75">
      <c r="BW990" s="3"/>
    </row>
    <row r="991" spans="75:75">
      <c r="BW991" s="3"/>
    </row>
    <row r="992" spans="75:75">
      <c r="BW992" s="3"/>
    </row>
    <row r="993" spans="75:75">
      <c r="BW993" s="3"/>
    </row>
    <row r="994" spans="75:75">
      <c r="BW994" s="3"/>
    </row>
    <row r="995" spans="75:75">
      <c r="BW995" s="3"/>
    </row>
    <row r="996" spans="75:75">
      <c r="BW996" s="3"/>
    </row>
    <row r="997" spans="75:75">
      <c r="BW997" s="3"/>
    </row>
    <row r="998" spans="75:75">
      <c r="BW998" s="3"/>
    </row>
    <row r="999" spans="75:75">
      <c r="BW999" s="3"/>
    </row>
    <row r="1000" spans="75:75">
      <c r="BW1000" s="3"/>
    </row>
    <row r="1001" spans="75:75">
      <c r="BW1001" s="3"/>
    </row>
    <row r="1002" spans="75:75">
      <c r="BW1002" s="3"/>
    </row>
    <row r="1003" spans="75:75">
      <c r="BW1003" s="3"/>
    </row>
    <row r="1004" spans="75:75">
      <c r="BW1004" s="3"/>
    </row>
    <row r="1005" spans="75:75">
      <c r="BW1005" s="3"/>
    </row>
    <row r="1006" spans="75:75">
      <c r="BW1006" s="3"/>
    </row>
    <row r="1007" spans="75:75">
      <c r="BW1007" s="3"/>
    </row>
    <row r="1008" spans="75:75">
      <c r="BW1008" s="3"/>
    </row>
    <row r="1009" spans="75:75">
      <c r="BW1009" s="3"/>
    </row>
    <row r="1010" spans="75:75">
      <c r="BW1010" s="3"/>
    </row>
    <row r="1011" spans="75:75">
      <c r="BW1011" s="3"/>
    </row>
    <row r="1012" spans="75:75">
      <c r="BW1012" s="3"/>
    </row>
    <row r="1013" spans="75:75">
      <c r="BW1013" s="3"/>
    </row>
    <row r="1014" spans="75:75">
      <c r="BW1014" s="3"/>
    </row>
    <row r="1015" spans="75:75">
      <c r="BW1015" s="3"/>
    </row>
    <row r="1016" spans="75:75">
      <c r="BW1016" s="3"/>
    </row>
    <row r="1017" spans="75:75">
      <c r="BW1017" s="3"/>
    </row>
    <row r="1018" spans="75:75">
      <c r="BW1018" s="3"/>
    </row>
    <row r="1019" spans="75:75">
      <c r="BW1019" s="3"/>
    </row>
    <row r="1020" spans="75:75">
      <c r="BW1020" s="3"/>
    </row>
    <row r="1021" spans="75:75">
      <c r="BW1021" s="3"/>
    </row>
    <row r="1022" spans="75:75">
      <c r="BW1022" s="3"/>
    </row>
    <row r="1023" spans="75:75">
      <c r="BW1023" s="3"/>
    </row>
    <row r="1024" spans="75:75">
      <c r="BW1024" s="3"/>
    </row>
    <row r="1025" spans="75:75">
      <c r="BW1025" s="3"/>
    </row>
    <row r="1026" spans="75:75">
      <c r="BW1026" s="3"/>
    </row>
    <row r="1027" spans="75:75">
      <c r="BW1027" s="3"/>
    </row>
    <row r="1028" spans="75:75">
      <c r="BW1028" s="3"/>
    </row>
    <row r="1029" spans="75:75">
      <c r="BW1029" s="3"/>
    </row>
    <row r="1030" spans="75:75">
      <c r="BW1030" s="3"/>
    </row>
    <row r="1031" spans="75:75">
      <c r="BW1031" s="3"/>
    </row>
    <row r="1032" spans="75:75">
      <c r="BW1032" s="3"/>
    </row>
    <row r="1033" spans="75:75">
      <c r="BW1033" s="3"/>
    </row>
    <row r="1034" spans="75:75">
      <c r="BW1034" s="3"/>
    </row>
    <row r="1035" spans="75:75">
      <c r="BW1035" s="3"/>
    </row>
    <row r="1036" spans="75:75">
      <c r="BW1036" s="3"/>
    </row>
    <row r="1037" spans="75:75">
      <c r="BW1037" s="3"/>
    </row>
    <row r="1038" spans="75:75">
      <c r="BW1038" s="3"/>
    </row>
    <row r="1039" spans="75:75">
      <c r="BW1039" s="3"/>
    </row>
    <row r="1040" spans="75:75">
      <c r="BW1040" s="3"/>
    </row>
    <row r="1041" spans="75:75">
      <c r="BW1041" s="3"/>
    </row>
    <row r="1042" spans="75:75">
      <c r="BW1042" s="3"/>
    </row>
    <row r="1043" spans="75:75">
      <c r="BW1043" s="3"/>
    </row>
    <row r="1044" spans="75:75">
      <c r="BW1044" s="3"/>
    </row>
    <row r="1045" spans="75:75">
      <c r="BW1045" s="3"/>
    </row>
    <row r="1046" spans="75:75">
      <c r="BW1046" s="3"/>
    </row>
    <row r="1047" spans="75:75">
      <c r="BW1047" s="3"/>
    </row>
    <row r="1048" spans="75:75">
      <c r="BW1048" s="3"/>
    </row>
    <row r="1049" spans="75:75">
      <c r="BW1049" s="3"/>
    </row>
    <row r="1050" spans="75:75">
      <c r="BW1050" s="3"/>
    </row>
    <row r="1051" spans="75:75">
      <c r="BW1051" s="3"/>
    </row>
    <row r="1052" spans="75:75">
      <c r="BW1052" s="3"/>
    </row>
    <row r="1053" spans="75:75">
      <c r="BW1053" s="3"/>
    </row>
    <row r="1054" spans="75:75">
      <c r="BW1054" s="3"/>
    </row>
    <row r="1055" spans="75:75">
      <c r="BW1055" s="3"/>
    </row>
    <row r="1056" spans="75:75">
      <c r="BW1056" s="3"/>
    </row>
    <row r="1057" spans="75:75">
      <c r="BW1057" s="3"/>
    </row>
    <row r="1058" spans="75:75">
      <c r="BW1058" s="3"/>
    </row>
    <row r="1059" spans="75:75">
      <c r="BW1059" s="3"/>
    </row>
    <row r="1060" spans="75:75">
      <c r="BW1060" s="3"/>
    </row>
    <row r="1061" spans="75:75">
      <c r="BW1061" s="3"/>
    </row>
    <row r="1062" spans="75:75">
      <c r="BW1062" s="3"/>
    </row>
    <row r="1063" spans="75:75">
      <c r="BW1063" s="3"/>
    </row>
    <row r="1064" spans="75:75">
      <c r="BW1064" s="3"/>
    </row>
    <row r="1065" spans="75:75">
      <c r="BW1065" s="3"/>
    </row>
    <row r="1066" spans="75:75">
      <c r="BW1066" s="3"/>
    </row>
    <row r="1067" spans="75:75">
      <c r="BW1067" s="3"/>
    </row>
    <row r="1068" spans="75:75">
      <c r="BW1068" s="3"/>
    </row>
    <row r="1069" spans="75:75">
      <c r="BW1069" s="3"/>
    </row>
    <row r="1070" spans="75:75">
      <c r="BW1070" s="3"/>
    </row>
    <row r="1071" spans="75:75">
      <c r="BW1071" s="3"/>
    </row>
    <row r="1072" spans="75:75">
      <c r="BW1072" s="3"/>
    </row>
    <row r="1073" spans="75:75">
      <c r="BW1073" s="3"/>
    </row>
    <row r="1074" spans="75:75">
      <c r="BW1074" s="3"/>
    </row>
    <row r="1075" spans="75:75">
      <c r="BW1075" s="3"/>
    </row>
    <row r="1076" spans="75:75">
      <c r="BW1076" s="3"/>
    </row>
    <row r="1077" spans="75:75">
      <c r="BW1077" s="3"/>
    </row>
    <row r="1078" spans="75:75">
      <c r="BW1078" s="3"/>
    </row>
    <row r="1079" spans="75:75">
      <c r="BW1079" s="3"/>
    </row>
    <row r="1080" spans="75:75">
      <c r="BW1080" s="3"/>
    </row>
    <row r="1081" spans="75:75">
      <c r="BW1081" s="3"/>
    </row>
    <row r="1082" spans="75:75">
      <c r="BW1082" s="3"/>
    </row>
    <row r="1083" spans="75:75">
      <c r="BW1083" s="3"/>
    </row>
    <row r="1084" spans="75:75">
      <c r="BW1084" s="3"/>
    </row>
    <row r="1085" spans="75:75">
      <c r="BW1085" s="3"/>
    </row>
    <row r="1086" spans="75:75">
      <c r="BW1086" s="3"/>
    </row>
    <row r="1087" spans="75:75">
      <c r="BW1087" s="3"/>
    </row>
    <row r="1088" spans="75:75">
      <c r="BW1088" s="3"/>
    </row>
    <row r="1089" spans="75:75">
      <c r="BW1089" s="3"/>
    </row>
    <row r="1090" spans="75:75">
      <c r="BW1090" s="3"/>
    </row>
    <row r="1091" spans="75:75">
      <c r="BW1091" s="3"/>
    </row>
    <row r="1092" spans="75:75">
      <c r="BW1092" s="3"/>
    </row>
    <row r="1093" spans="75:75">
      <c r="BW1093" s="3"/>
    </row>
    <row r="1094" spans="75:75">
      <c r="BW1094" s="3"/>
    </row>
    <row r="1095" spans="75:75">
      <c r="BW1095" s="3"/>
    </row>
    <row r="1096" spans="75:75">
      <c r="BW1096" s="3"/>
    </row>
    <row r="1097" spans="75:75">
      <c r="BW1097" s="3"/>
    </row>
    <row r="1098" spans="75:75">
      <c r="BW1098" s="3"/>
    </row>
    <row r="1099" spans="75:75">
      <c r="BW1099" s="3"/>
    </row>
    <row r="1100" spans="75:75">
      <c r="BW1100" s="3"/>
    </row>
    <row r="1101" spans="75:75">
      <c r="BW1101" s="3"/>
    </row>
    <row r="1102" spans="75:75">
      <c r="BW1102" s="3"/>
    </row>
    <row r="1103" spans="75:75">
      <c r="BW1103" s="3"/>
    </row>
    <row r="1104" spans="75:75">
      <c r="BW1104" s="3"/>
    </row>
    <row r="1105" spans="75:75">
      <c r="BW1105" s="3"/>
    </row>
    <row r="1106" spans="75:75">
      <c r="BW1106" s="3"/>
    </row>
    <row r="1107" spans="75:75">
      <c r="BW1107" s="3"/>
    </row>
    <row r="1108" spans="75:75">
      <c r="BW1108" s="3"/>
    </row>
    <row r="1109" spans="75:75">
      <c r="BW1109" s="3"/>
    </row>
    <row r="1110" spans="75:75">
      <c r="BW1110" s="3"/>
    </row>
    <row r="1111" spans="75:75">
      <c r="BW1111" s="3"/>
    </row>
    <row r="1112" spans="75:75">
      <c r="BW1112" s="3"/>
    </row>
    <row r="1113" spans="75:75">
      <c r="BW1113" s="3"/>
    </row>
    <row r="1114" spans="75:75">
      <c r="BW1114" s="3"/>
    </row>
    <row r="1115" spans="75:75">
      <c r="BW1115" s="3"/>
    </row>
    <row r="1116" spans="75:75">
      <c r="BW1116" s="3"/>
    </row>
    <row r="1117" spans="75:75">
      <c r="BW1117" s="3"/>
    </row>
    <row r="1118" spans="75:75">
      <c r="BW1118" s="3"/>
    </row>
    <row r="1119" spans="75:75">
      <c r="BW1119" s="3"/>
    </row>
    <row r="1120" spans="75:75">
      <c r="BW1120" s="3"/>
    </row>
    <row r="1121" spans="75:75">
      <c r="BW1121" s="3"/>
    </row>
    <row r="1122" spans="75:75">
      <c r="BW1122" s="3"/>
    </row>
    <row r="1123" spans="75:75">
      <c r="BW1123" s="3"/>
    </row>
    <row r="1124" spans="75:75">
      <c r="BW1124" s="3"/>
    </row>
    <row r="1125" spans="75:75">
      <c r="BW1125" s="3"/>
    </row>
    <row r="1126" spans="75:75">
      <c r="BW1126" s="3"/>
    </row>
    <row r="1127" spans="75:75">
      <c r="BW1127" s="3"/>
    </row>
    <row r="1128" spans="75:75">
      <c r="BW1128" s="3"/>
    </row>
    <row r="1129" spans="75:75">
      <c r="BW1129" s="3"/>
    </row>
    <row r="1130" spans="75:75">
      <c r="BW1130" s="3"/>
    </row>
    <row r="1131" spans="75:75">
      <c r="BW1131" s="3"/>
    </row>
    <row r="1132" spans="75:75">
      <c r="BW1132" s="3"/>
    </row>
    <row r="1133" spans="75:75">
      <c r="BW1133" s="3"/>
    </row>
    <row r="1134" spans="75:75">
      <c r="BW1134" s="3"/>
    </row>
    <row r="1135" spans="75:75">
      <c r="BW1135" s="3"/>
    </row>
    <row r="1136" spans="75:75">
      <c r="BW1136" s="3"/>
    </row>
    <row r="1137" spans="75:75">
      <c r="BW1137" s="3"/>
    </row>
    <row r="1138" spans="75:75">
      <c r="BW1138" s="3"/>
    </row>
    <row r="1139" spans="75:75">
      <c r="BW1139" s="3"/>
    </row>
    <row r="1140" spans="75:75">
      <c r="BW1140" s="3"/>
    </row>
    <row r="1141" spans="75:75">
      <c r="BW1141" s="3"/>
    </row>
    <row r="1142" spans="75:75">
      <c r="BW1142" s="3"/>
    </row>
    <row r="1143" spans="75:75">
      <c r="BW1143" s="3"/>
    </row>
    <row r="1144" spans="75:75">
      <c r="BW1144" s="3"/>
    </row>
    <row r="1145" spans="75:75">
      <c r="BW1145" s="3"/>
    </row>
    <row r="1146" spans="75:75">
      <c r="BW1146" s="3"/>
    </row>
    <row r="1147" spans="75:75">
      <c r="BW1147" s="3"/>
    </row>
    <row r="1148" spans="75:75">
      <c r="BW1148" s="3"/>
    </row>
    <row r="1149" spans="75:75">
      <c r="BW1149" s="3"/>
    </row>
    <row r="1150" spans="75:75">
      <c r="BW1150" s="3"/>
    </row>
    <row r="1151" spans="75:75">
      <c r="BW1151" s="3"/>
    </row>
    <row r="1152" spans="75:75">
      <c r="BW1152" s="3"/>
    </row>
    <row r="1153" spans="75:75">
      <c r="BW1153" s="3"/>
    </row>
    <row r="1154" spans="75:75">
      <c r="BW1154" s="3"/>
    </row>
    <row r="1155" spans="75:75">
      <c r="BW1155" s="3"/>
    </row>
    <row r="1156" spans="75:75">
      <c r="BW1156" s="3"/>
    </row>
    <row r="1157" spans="75:75">
      <c r="BW1157" s="3"/>
    </row>
    <row r="1158" spans="75:75">
      <c r="BW1158" s="3"/>
    </row>
    <row r="1159" spans="75:75">
      <c r="BW1159" s="3"/>
    </row>
    <row r="1160" spans="75:75">
      <c r="BW1160" s="3"/>
    </row>
    <row r="1161" spans="75:75">
      <c r="BW1161" s="3"/>
    </row>
    <row r="1162" spans="75:75">
      <c r="BW1162" s="3"/>
    </row>
    <row r="1163" spans="75:75">
      <c r="BW1163" s="3"/>
    </row>
    <row r="1164" spans="75:75">
      <c r="BW1164" s="3"/>
    </row>
    <row r="1165" spans="75:75">
      <c r="BW1165" s="3"/>
    </row>
    <row r="1166" spans="75:75">
      <c r="BW1166" s="3"/>
    </row>
    <row r="1167" spans="75:75">
      <c r="BW1167" s="3"/>
    </row>
    <row r="1168" spans="75:75">
      <c r="BW1168" s="3"/>
    </row>
    <row r="1169" spans="75:75">
      <c r="BW1169" s="3"/>
    </row>
    <row r="1170" spans="75:75">
      <c r="BW1170" s="3"/>
    </row>
    <row r="1171" spans="75:75">
      <c r="BW1171" s="3"/>
    </row>
    <row r="1172" spans="75:75">
      <c r="BW1172" s="3"/>
    </row>
    <row r="1173" spans="75:75">
      <c r="BW1173" s="3"/>
    </row>
    <row r="1174" spans="75:75">
      <c r="BW1174" s="3"/>
    </row>
    <row r="1175" spans="75:75">
      <c r="BW1175" s="3"/>
    </row>
    <row r="1176" spans="75:75">
      <c r="BW1176" s="3"/>
    </row>
    <row r="1177" spans="75:75">
      <c r="BW1177" s="3"/>
    </row>
    <row r="1178" spans="75:75">
      <c r="BW1178" s="3"/>
    </row>
    <row r="1179" spans="75:75">
      <c r="BW1179" s="3"/>
    </row>
    <row r="1180" spans="75:75">
      <c r="BW1180" s="3"/>
    </row>
    <row r="1181" spans="75:75">
      <c r="BW1181" s="3"/>
    </row>
    <row r="1182" spans="75:75">
      <c r="BW1182" s="3"/>
    </row>
    <row r="1183" spans="75:75">
      <c r="BW1183" s="3"/>
    </row>
    <row r="1184" spans="75:75">
      <c r="BW1184" s="3"/>
    </row>
    <row r="1185" spans="75:75">
      <c r="BW1185" s="3"/>
    </row>
    <row r="1186" spans="75:75">
      <c r="BW1186" s="3"/>
    </row>
    <row r="1187" spans="75:75">
      <c r="BW1187" s="3"/>
    </row>
    <row r="1188" spans="75:75">
      <c r="BW1188" s="3"/>
    </row>
    <row r="1189" spans="75:75">
      <c r="BW1189" s="3"/>
    </row>
    <row r="1190" spans="75:75">
      <c r="BW1190" s="3"/>
    </row>
    <row r="1191" spans="75:75">
      <c r="BW1191" s="3"/>
    </row>
    <row r="1192" spans="75:75">
      <c r="BW1192" s="3"/>
    </row>
    <row r="1193" spans="75:75">
      <c r="BW1193" s="3"/>
    </row>
    <row r="1194" spans="75:75">
      <c r="BW1194" s="3"/>
    </row>
    <row r="1195" spans="75:75">
      <c r="BW1195" s="3"/>
    </row>
    <row r="1196" spans="75:75">
      <c r="BW1196" s="3"/>
    </row>
    <row r="1197" spans="75:75">
      <c r="BW1197" s="3"/>
    </row>
    <row r="1198" spans="75:75">
      <c r="BW1198" s="3"/>
    </row>
    <row r="1199" spans="75:75">
      <c r="BW1199" s="3"/>
    </row>
    <row r="1200" spans="75:75">
      <c r="BW1200" s="3"/>
    </row>
    <row r="1201" spans="75:75">
      <c r="BW1201" s="3"/>
    </row>
    <row r="1202" spans="75:75">
      <c r="BW1202" s="3"/>
    </row>
    <row r="1203" spans="75:75">
      <c r="BW1203" s="3"/>
    </row>
    <row r="1204" spans="75:75">
      <c r="BW1204" s="3"/>
    </row>
    <row r="1205" spans="75:75">
      <c r="BW1205" s="3"/>
    </row>
    <row r="1206" spans="75:75">
      <c r="BW1206" s="3"/>
    </row>
    <row r="1207" spans="75:75">
      <c r="BW1207" s="3"/>
    </row>
    <row r="1208" spans="75:75">
      <c r="BW1208" s="3"/>
    </row>
    <row r="1209" spans="75:75">
      <c r="BW1209" s="3"/>
    </row>
    <row r="1210" spans="75:75">
      <c r="BW1210" s="3"/>
    </row>
    <row r="1211" spans="75:75">
      <c r="BW1211" s="3"/>
    </row>
    <row r="1212" spans="75:75">
      <c r="BW1212" s="3"/>
    </row>
    <row r="1213" spans="75:75">
      <c r="BW1213" s="3"/>
    </row>
    <row r="1214" spans="75:75">
      <c r="BW1214" s="3"/>
    </row>
    <row r="1215" spans="75:75">
      <c r="BW1215" s="3"/>
    </row>
    <row r="1216" spans="75:75">
      <c r="BW1216" s="3"/>
    </row>
    <row r="1217" spans="75:75">
      <c r="BW1217" s="3"/>
    </row>
    <row r="1218" spans="75:75">
      <c r="BW1218" s="3"/>
    </row>
    <row r="1219" spans="75:75">
      <c r="BW1219" s="3"/>
    </row>
    <row r="1220" spans="75:75">
      <c r="BW1220" s="3"/>
    </row>
    <row r="1221" spans="75:75">
      <c r="BW1221" s="3"/>
    </row>
    <row r="1222" spans="75:75">
      <c r="BW1222" s="3"/>
    </row>
    <row r="1223" spans="75:75">
      <c r="BW1223" s="3"/>
    </row>
    <row r="1224" spans="75:75">
      <c r="BW1224" s="3"/>
    </row>
    <row r="1225" spans="75:75">
      <c r="BW1225" s="3"/>
    </row>
    <row r="1226" spans="75:75">
      <c r="BW1226" s="3"/>
    </row>
    <row r="1227" spans="75:75">
      <c r="BW1227" s="3"/>
    </row>
    <row r="1228" spans="75:75">
      <c r="BW1228" s="3"/>
    </row>
    <row r="1229" spans="75:75">
      <c r="BW1229" s="3"/>
    </row>
    <row r="1230" spans="75:75">
      <c r="BW1230" s="3"/>
    </row>
    <row r="1231" spans="75:75">
      <c r="BW1231" s="3"/>
    </row>
    <row r="1232" spans="75:75">
      <c r="BW1232" s="3"/>
    </row>
    <row r="1233" spans="75:75">
      <c r="BW1233" s="3"/>
    </row>
    <row r="1234" spans="75:75">
      <c r="BW1234" s="3"/>
    </row>
    <row r="1235" spans="75:75">
      <c r="BW1235" s="3"/>
    </row>
    <row r="1236" spans="75:75">
      <c r="BW1236" s="3"/>
    </row>
    <row r="1237" spans="75:75">
      <c r="BW1237" s="3"/>
    </row>
    <row r="1238" spans="75:75">
      <c r="BW1238" s="3"/>
    </row>
    <row r="1239" spans="75:75">
      <c r="BW1239" s="3"/>
    </row>
    <row r="1240" spans="75:75">
      <c r="BW1240" s="3"/>
    </row>
    <row r="1241" spans="75:75">
      <c r="BW1241" s="3"/>
    </row>
    <row r="1242" spans="75:75">
      <c r="BW1242" s="3"/>
    </row>
    <row r="1243" spans="75:75">
      <c r="BW1243" s="3"/>
    </row>
    <row r="1244" spans="75:75">
      <c r="BW1244" s="3"/>
    </row>
    <row r="1245" spans="75:75">
      <c r="BW1245" s="3"/>
    </row>
    <row r="1246" spans="75:75">
      <c r="BW1246" s="3"/>
    </row>
    <row r="1247" spans="75:75">
      <c r="BW1247" s="3"/>
    </row>
    <row r="1248" spans="75:75">
      <c r="BW1248" s="3"/>
    </row>
    <row r="1249" spans="75:75">
      <c r="BW1249" s="3"/>
    </row>
    <row r="1250" spans="75:75">
      <c r="BW1250" s="3"/>
    </row>
    <row r="1251" spans="75:75">
      <c r="BW1251" s="3"/>
    </row>
    <row r="1252" spans="75:75">
      <c r="BW1252" s="3"/>
    </row>
    <row r="1253" spans="75:75">
      <c r="BW1253" s="3"/>
    </row>
    <row r="1254" spans="75:75">
      <c r="BW1254" s="3"/>
    </row>
    <row r="1255" spans="75:75">
      <c r="BW1255" s="3"/>
    </row>
    <row r="1256" spans="75:75">
      <c r="BW1256" s="3"/>
    </row>
    <row r="1257" spans="75:75">
      <c r="BW1257" s="3"/>
    </row>
    <row r="1258" spans="75:75">
      <c r="BW1258" s="3"/>
    </row>
    <row r="1259" spans="75:75">
      <c r="BW1259" s="3"/>
    </row>
    <row r="1260" spans="75:75">
      <c r="BW1260" s="3"/>
    </row>
    <row r="1261" spans="75:75">
      <c r="BW1261" s="3"/>
    </row>
    <row r="1262" spans="75:75">
      <c r="BW1262" s="3"/>
    </row>
    <row r="1263" spans="75:75">
      <c r="BW1263" s="3"/>
    </row>
    <row r="1264" spans="75:75">
      <c r="BW1264" s="3"/>
    </row>
    <row r="1265" spans="75:75">
      <c r="BW1265" s="3"/>
    </row>
    <row r="1266" spans="75:75">
      <c r="BW1266" s="3"/>
    </row>
    <row r="1267" spans="75:75">
      <c r="BW1267" s="3"/>
    </row>
    <row r="1268" spans="75:75">
      <c r="BW1268" s="3"/>
    </row>
    <row r="1269" spans="75:75">
      <c r="BW1269" s="3"/>
    </row>
    <row r="1270" spans="75:75">
      <c r="BW1270" s="3"/>
    </row>
    <row r="1271" spans="75:75">
      <c r="BW1271" s="3"/>
    </row>
    <row r="1272" spans="75:75">
      <c r="BW1272" s="3"/>
    </row>
    <row r="1273" spans="75:75">
      <c r="BW1273" s="3"/>
    </row>
    <row r="1274" spans="75:75">
      <c r="BW1274" s="3"/>
    </row>
    <row r="1275" spans="75:75">
      <c r="BW1275" s="3"/>
    </row>
    <row r="1276" spans="75:75">
      <c r="BW1276" s="3"/>
    </row>
    <row r="1277" spans="75:75">
      <c r="BW1277" s="3"/>
    </row>
    <row r="1278" spans="75:75">
      <c r="BW1278" s="3"/>
    </row>
    <row r="1279" spans="75:75">
      <c r="BW1279" s="3"/>
    </row>
    <row r="1280" spans="75:75">
      <c r="BW1280" s="3"/>
    </row>
    <row r="1281" spans="75:75">
      <c r="BW1281" s="3"/>
    </row>
    <row r="1282" spans="75:75">
      <c r="BW1282" s="3"/>
    </row>
    <row r="1283" spans="75:75">
      <c r="BW1283" s="3"/>
    </row>
    <row r="1284" spans="75:75">
      <c r="BW1284" s="3"/>
    </row>
    <row r="1285" spans="75:75">
      <c r="BW1285" s="3"/>
    </row>
    <row r="1286" spans="75:75">
      <c r="BW1286" s="3"/>
    </row>
    <row r="1287" spans="75:75">
      <c r="BW1287" s="3"/>
    </row>
    <row r="1288" spans="75:75">
      <c r="BW1288" s="3"/>
    </row>
    <row r="1289" spans="75:75">
      <c r="BW1289" s="3"/>
    </row>
    <row r="1290" spans="75:75">
      <c r="BW1290" s="3"/>
    </row>
    <row r="1291" spans="75:75">
      <c r="BW1291" s="3"/>
    </row>
    <row r="1292" spans="75:75">
      <c r="BW1292" s="3"/>
    </row>
    <row r="1293" spans="75:75">
      <c r="BW1293" s="3"/>
    </row>
    <row r="1294" spans="75:75">
      <c r="BW1294" s="3"/>
    </row>
    <row r="1295" spans="75:75">
      <c r="BW1295" s="3"/>
    </row>
    <row r="1296" spans="75:75">
      <c r="BW1296" s="3"/>
    </row>
    <row r="1297" spans="75:75">
      <c r="BW1297" s="3"/>
    </row>
    <row r="1298" spans="75:75">
      <c r="BW1298" s="3"/>
    </row>
    <row r="1299" spans="75:75">
      <c r="BW1299" s="3"/>
    </row>
    <row r="1300" spans="75:75">
      <c r="BW1300" s="3"/>
    </row>
    <row r="1301" spans="75:75">
      <c r="BW1301" s="3"/>
    </row>
    <row r="1302" spans="75:75">
      <c r="BW1302" s="3"/>
    </row>
    <row r="1303" spans="75:75">
      <c r="BW1303" s="3"/>
    </row>
    <row r="1304" spans="75:75">
      <c r="BW1304" s="3"/>
    </row>
    <row r="1305" spans="75:75">
      <c r="BW1305" s="3"/>
    </row>
    <row r="1306" spans="75:75">
      <c r="BW1306" s="3"/>
    </row>
    <row r="1307" spans="75:75">
      <c r="BW1307" s="3"/>
    </row>
    <row r="1308" spans="75:75">
      <c r="BW1308" s="3"/>
    </row>
    <row r="1309" spans="75:75">
      <c r="BW1309" s="3"/>
    </row>
    <row r="1310" spans="75:75">
      <c r="BW1310" s="3"/>
    </row>
    <row r="1311" spans="75:75">
      <c r="BW1311" s="3"/>
    </row>
    <row r="1312" spans="75:75">
      <c r="BW1312" s="3"/>
    </row>
    <row r="1313" spans="75:75">
      <c r="BW1313" s="3"/>
    </row>
    <row r="1314" spans="75:75">
      <c r="BW1314" s="3"/>
    </row>
    <row r="1315" spans="75:75">
      <c r="BW1315" s="3"/>
    </row>
    <row r="1316" spans="75:75">
      <c r="BW1316" s="3"/>
    </row>
    <row r="1317" spans="75:75">
      <c r="BW1317" s="3"/>
    </row>
    <row r="1318" spans="75:75">
      <c r="BW1318" s="3"/>
    </row>
    <row r="1319" spans="75:75">
      <c r="BW1319" s="3"/>
    </row>
    <row r="1320" spans="75:75">
      <c r="BW1320" s="3"/>
    </row>
    <row r="1321" spans="75:75">
      <c r="BW1321" s="3"/>
    </row>
    <row r="1322" spans="75:75">
      <c r="BW1322" s="3"/>
    </row>
    <row r="1323" spans="75:75">
      <c r="BW1323" s="3"/>
    </row>
    <row r="1324" spans="75:75">
      <c r="BW1324" s="3"/>
    </row>
    <row r="1325" spans="75:75">
      <c r="BW1325" s="3"/>
    </row>
    <row r="1326" spans="75:75">
      <c r="BW1326" s="3"/>
    </row>
    <row r="1327" spans="75:75">
      <c r="BW1327" s="3"/>
    </row>
    <row r="1328" spans="75:75">
      <c r="BW1328" s="3"/>
    </row>
    <row r="1329" spans="75:75">
      <c r="BW1329" s="3"/>
    </row>
    <row r="1330" spans="75:75">
      <c r="BW1330" s="3"/>
    </row>
    <row r="1331" spans="75:75">
      <c r="BW1331" s="3"/>
    </row>
    <row r="1332" spans="75:75">
      <c r="BW1332" s="3"/>
    </row>
    <row r="1333" spans="75:75">
      <c r="BW1333" s="3"/>
    </row>
    <row r="1334" spans="75:75">
      <c r="BW1334" s="3"/>
    </row>
    <row r="1335" spans="75:75">
      <c r="BW1335" s="3"/>
    </row>
    <row r="1336" spans="75:75">
      <c r="BW1336" s="3"/>
    </row>
    <row r="1337" spans="75:75">
      <c r="BW1337" s="3"/>
    </row>
    <row r="1338" spans="75:75">
      <c r="BW1338" s="3"/>
    </row>
    <row r="1339" spans="75:75">
      <c r="BW1339" s="3"/>
    </row>
    <row r="1340" spans="75:75">
      <c r="BW1340" s="3"/>
    </row>
    <row r="1341" spans="75:75">
      <c r="BW1341" s="3"/>
    </row>
    <row r="1342" spans="75:75">
      <c r="BW1342" s="3"/>
    </row>
    <row r="1343" spans="75:75">
      <c r="BW1343" s="3"/>
    </row>
    <row r="1344" spans="75:75">
      <c r="BW1344" s="3"/>
    </row>
    <row r="1345" spans="75:75">
      <c r="BW1345" s="3"/>
    </row>
    <row r="1346" spans="75:75">
      <c r="BW1346" s="3"/>
    </row>
    <row r="1347" spans="75:75">
      <c r="BW1347" s="3"/>
    </row>
    <row r="1348" spans="75:75">
      <c r="BW1348" s="3"/>
    </row>
    <row r="1349" spans="75:75">
      <c r="BW1349" s="3"/>
    </row>
    <row r="1350" spans="75:75">
      <c r="BW1350" s="3"/>
    </row>
    <row r="1351" spans="75:75">
      <c r="BW1351" s="3"/>
    </row>
    <row r="1352" spans="75:75">
      <c r="BW1352" s="3"/>
    </row>
    <row r="1353" spans="75:75">
      <c r="BW1353" s="3"/>
    </row>
    <row r="1354" spans="75:75">
      <c r="BW1354" s="3"/>
    </row>
    <row r="1355" spans="75:75">
      <c r="BW1355" s="3"/>
    </row>
    <row r="1356" spans="75:75">
      <c r="BW1356" s="3"/>
    </row>
    <row r="1357" spans="75:75">
      <c r="BW1357" s="3"/>
    </row>
    <row r="1358" spans="75:75">
      <c r="BW1358" s="3"/>
    </row>
    <row r="1359" spans="75:75">
      <c r="BW1359" s="3"/>
    </row>
    <row r="1360" spans="75:75">
      <c r="BW1360" s="3"/>
    </row>
    <row r="1361" spans="75:75">
      <c r="BW1361" s="3"/>
    </row>
    <row r="1362" spans="75:75">
      <c r="BW1362" s="3"/>
    </row>
    <row r="1363" spans="75:75">
      <c r="BW1363" s="3"/>
    </row>
    <row r="1364" spans="75:75">
      <c r="BW1364" s="3"/>
    </row>
    <row r="1365" spans="75:75">
      <c r="BW1365" s="3"/>
    </row>
    <row r="1366" spans="75:75">
      <c r="BW1366" s="3"/>
    </row>
    <row r="1367" spans="75:75">
      <c r="BW1367" s="3"/>
    </row>
    <row r="1368" spans="75:75">
      <c r="BW1368" s="3"/>
    </row>
    <row r="1369" spans="75:75">
      <c r="BW1369" s="3"/>
    </row>
    <row r="1370" spans="75:75">
      <c r="BW1370" s="3"/>
    </row>
    <row r="1371" spans="75:75">
      <c r="BW1371" s="3"/>
    </row>
    <row r="1372" spans="75:75">
      <c r="BW1372" s="3"/>
    </row>
    <row r="1373" spans="75:75">
      <c r="BW1373" s="3"/>
    </row>
    <row r="1374" spans="75:75">
      <c r="BW1374" s="3"/>
    </row>
    <row r="1375" spans="75:75">
      <c r="BW1375" s="3"/>
    </row>
    <row r="1376" spans="75:75">
      <c r="BW1376" s="3"/>
    </row>
    <row r="1377" spans="75:75">
      <c r="BW1377" s="3"/>
    </row>
    <row r="1378" spans="75:75">
      <c r="BW1378" s="3"/>
    </row>
    <row r="1379" spans="75:75">
      <c r="BW1379" s="3"/>
    </row>
    <row r="1380" spans="75:75">
      <c r="BW1380" s="3"/>
    </row>
    <row r="1381" spans="75:75">
      <c r="BW1381" s="3"/>
    </row>
    <row r="1382" spans="75:75">
      <c r="BW1382" s="3"/>
    </row>
    <row r="1383" spans="75:75">
      <c r="BW1383" s="3"/>
    </row>
    <row r="1384" spans="75:75">
      <c r="BW1384" s="3"/>
    </row>
    <row r="1385" spans="75:75">
      <c r="BW1385" s="3"/>
    </row>
    <row r="1386" spans="75:75">
      <c r="BW1386" s="3"/>
    </row>
    <row r="1387" spans="75:75">
      <c r="BW1387" s="3"/>
    </row>
    <row r="1388" spans="75:75">
      <c r="BW1388" s="3"/>
    </row>
    <row r="1389" spans="75:75">
      <c r="BW1389" s="3"/>
    </row>
    <row r="1390" spans="75:75">
      <c r="BW1390" s="3"/>
    </row>
    <row r="1391" spans="75:75">
      <c r="BW1391" s="3"/>
    </row>
    <row r="1392" spans="75:75">
      <c r="BW1392" s="3"/>
    </row>
    <row r="1393" spans="75:75">
      <c r="BW1393" s="3"/>
    </row>
    <row r="1394" spans="75:75">
      <c r="BW1394" s="3"/>
    </row>
    <row r="1395" spans="75:75">
      <c r="BW1395" s="3"/>
    </row>
    <row r="1396" spans="75:75">
      <c r="BW1396" s="3"/>
    </row>
    <row r="1397" spans="75:75">
      <c r="BW1397" s="3"/>
    </row>
    <row r="1398" spans="75:75">
      <c r="BW1398" s="3"/>
    </row>
    <row r="1399" spans="75:75">
      <c r="BW1399" s="3"/>
    </row>
    <row r="1400" spans="75:75">
      <c r="BW1400" s="3"/>
    </row>
    <row r="1401" spans="75:75">
      <c r="BW1401" s="3"/>
    </row>
    <row r="1402" spans="75:75">
      <c r="BW1402" s="3"/>
    </row>
    <row r="1403" spans="75:75">
      <c r="BW1403" s="3"/>
    </row>
    <row r="1404" spans="75:75">
      <c r="BW1404" s="3"/>
    </row>
    <row r="1405" spans="75:75">
      <c r="BW1405" s="3"/>
    </row>
    <row r="1406" spans="75:75">
      <c r="BW1406" s="3"/>
    </row>
    <row r="1407" spans="75:75">
      <c r="BW1407" s="3"/>
    </row>
    <row r="1408" spans="75:75">
      <c r="BW1408" s="3"/>
    </row>
    <row r="1409" spans="75:75">
      <c r="BW1409" s="3"/>
    </row>
    <row r="1410" spans="75:75">
      <c r="BW1410" s="3"/>
    </row>
    <row r="1411" spans="75:75">
      <c r="BW1411" s="3"/>
    </row>
    <row r="1412" spans="75:75">
      <c r="BW1412" s="3"/>
    </row>
    <row r="1413" spans="75:75">
      <c r="BW1413" s="3"/>
    </row>
    <row r="1414" spans="75:75">
      <c r="BW1414" s="3"/>
    </row>
    <row r="1415" spans="75:75">
      <c r="BW1415" s="3"/>
    </row>
    <row r="1416" spans="75:75">
      <c r="BW1416" s="3"/>
    </row>
    <row r="1417" spans="75:75">
      <c r="BW1417" s="3"/>
    </row>
    <row r="1418" spans="75:75">
      <c r="BW1418" s="3"/>
    </row>
    <row r="1419" spans="75:75">
      <c r="BW1419" s="3"/>
    </row>
    <row r="1420" spans="75:75">
      <c r="BW1420" s="3"/>
    </row>
    <row r="1421" spans="75:75">
      <c r="BW1421" s="3"/>
    </row>
    <row r="1422" spans="75:75">
      <c r="BW1422" s="3"/>
    </row>
    <row r="1423" spans="75:75">
      <c r="BW1423" s="3"/>
    </row>
    <row r="1424" spans="75:75">
      <c r="BW1424" s="3"/>
    </row>
    <row r="1425" spans="75:75">
      <c r="BW1425" s="3"/>
    </row>
    <row r="1426" spans="75:75">
      <c r="BW1426" s="3"/>
    </row>
    <row r="1427" spans="75:75">
      <c r="BW1427" s="3"/>
    </row>
    <row r="1428" spans="75:75">
      <c r="BW1428" s="3"/>
    </row>
    <row r="1429" spans="75:75">
      <c r="BW1429" s="3"/>
    </row>
    <row r="1430" spans="75:75">
      <c r="BW1430" s="3"/>
    </row>
    <row r="1431" spans="75:75">
      <c r="BW1431" s="3"/>
    </row>
    <row r="1432" spans="75:75">
      <c r="BW1432" s="3"/>
    </row>
    <row r="1433" spans="75:75">
      <c r="BW1433" s="3"/>
    </row>
    <row r="1434" spans="75:75">
      <c r="BW1434" s="3"/>
    </row>
    <row r="1435" spans="75:75">
      <c r="BW1435" s="3"/>
    </row>
    <row r="1436" spans="75:75">
      <c r="BW1436" s="3"/>
    </row>
    <row r="1437" spans="75:75">
      <c r="BW1437" s="3"/>
    </row>
    <row r="1438" spans="75:75">
      <c r="BW1438" s="3"/>
    </row>
    <row r="1439" spans="75:75">
      <c r="BW1439" s="3"/>
    </row>
    <row r="1440" spans="75:75">
      <c r="BW1440" s="3"/>
    </row>
    <row r="1441" spans="75:75">
      <c r="BW1441" s="3"/>
    </row>
    <row r="1442" spans="75:75">
      <c r="BW1442" s="3"/>
    </row>
    <row r="1443" spans="75:75">
      <c r="BW1443" s="3"/>
    </row>
    <row r="1444" spans="75:75">
      <c r="BW1444" s="3"/>
    </row>
    <row r="1445" spans="75:75">
      <c r="BW1445" s="3"/>
    </row>
    <row r="1446" spans="75:75">
      <c r="BW1446" s="3"/>
    </row>
    <row r="1447" spans="75:75">
      <c r="BW1447" s="3"/>
    </row>
    <row r="1448" spans="75:75">
      <c r="BW1448" s="3"/>
    </row>
    <row r="1449" spans="75:75">
      <c r="BW1449" s="3"/>
    </row>
    <row r="1450" spans="75:75">
      <c r="BW1450" s="3"/>
    </row>
    <row r="1451" spans="75:75">
      <c r="BW1451" s="3"/>
    </row>
    <row r="1452" spans="75:75">
      <c r="BW1452" s="3"/>
    </row>
    <row r="1453" spans="75:75">
      <c r="BW1453" s="3"/>
    </row>
    <row r="1454" spans="75:75">
      <c r="BW1454" s="3"/>
    </row>
    <row r="1455" spans="75:75">
      <c r="BW1455" s="3"/>
    </row>
    <row r="1456" spans="75:75">
      <c r="BW1456" s="3"/>
    </row>
    <row r="1457" spans="75:75">
      <c r="BW1457" s="3"/>
    </row>
    <row r="1458" spans="75:75">
      <c r="BW1458" s="3"/>
    </row>
    <row r="1459" spans="75:75">
      <c r="BW1459" s="3"/>
    </row>
    <row r="1460" spans="75:75">
      <c r="BW1460" s="3"/>
    </row>
    <row r="1461" spans="75:75">
      <c r="BW1461" s="3"/>
    </row>
    <row r="1462" spans="75:75">
      <c r="BW1462" s="3"/>
    </row>
    <row r="1463" spans="75:75">
      <c r="BW1463" s="3"/>
    </row>
    <row r="1464" spans="75:75">
      <c r="BW1464" s="3"/>
    </row>
    <row r="1465" spans="75:75">
      <c r="BW1465" s="3"/>
    </row>
    <row r="1466" spans="75:75">
      <c r="BW1466" s="3"/>
    </row>
    <row r="1467" spans="75:75">
      <c r="BW1467" s="3"/>
    </row>
    <row r="1468" spans="75:75">
      <c r="BW1468" s="3"/>
    </row>
    <row r="1469" spans="75:75">
      <c r="BW1469" s="3"/>
    </row>
    <row r="1470" spans="75:75">
      <c r="BW1470" s="3"/>
    </row>
    <row r="1471" spans="75:75">
      <c r="BW1471" s="3"/>
    </row>
    <row r="1472" spans="75:75">
      <c r="BW1472" s="3"/>
    </row>
    <row r="1473" spans="75:75">
      <c r="BW1473" s="3"/>
    </row>
    <row r="1474" spans="75:75">
      <c r="BW1474" s="3"/>
    </row>
    <row r="1475" spans="75:75">
      <c r="BW1475" s="3"/>
    </row>
    <row r="1476" spans="75:75">
      <c r="BW1476" s="3"/>
    </row>
    <row r="1477" spans="75:75">
      <c r="BW1477" s="3"/>
    </row>
    <row r="1478" spans="75:75">
      <c r="BW1478" s="3"/>
    </row>
    <row r="1479" spans="75:75">
      <c r="BW1479" s="3"/>
    </row>
    <row r="1480" spans="75:75">
      <c r="BW1480" s="3"/>
    </row>
    <row r="1481" spans="75:75">
      <c r="BW1481" s="3"/>
    </row>
    <row r="1482" spans="75:75">
      <c r="BW1482" s="3"/>
    </row>
    <row r="1483" spans="75:75">
      <c r="BW1483" s="3"/>
    </row>
    <row r="1484" spans="75:75">
      <c r="BW1484" s="3"/>
    </row>
    <row r="1485" spans="75:75">
      <c r="BW1485" s="3"/>
    </row>
    <row r="1486" spans="75:75">
      <c r="BW1486" s="3"/>
    </row>
    <row r="1487" spans="75:75">
      <c r="BW1487" s="3"/>
    </row>
    <row r="1488" spans="75:75">
      <c r="BW1488" s="3"/>
    </row>
    <row r="1489" spans="75:75">
      <c r="BW1489" s="3"/>
    </row>
    <row r="1490" spans="75:75">
      <c r="BW1490" s="3"/>
    </row>
    <row r="1491" spans="75:75">
      <c r="BW1491" s="3"/>
    </row>
    <row r="1492" spans="75:75">
      <c r="BW1492" s="3"/>
    </row>
    <row r="1493" spans="75:75">
      <c r="BW1493" s="3"/>
    </row>
    <row r="1494" spans="75:75">
      <c r="BW1494" s="3"/>
    </row>
    <row r="1495" spans="75:75">
      <c r="BW1495" s="3"/>
    </row>
    <row r="1496" spans="75:75">
      <c r="BW1496" s="3"/>
    </row>
    <row r="1497" spans="75:75">
      <c r="BW1497" s="3"/>
    </row>
    <row r="1498" spans="75:75">
      <c r="BW1498" s="3"/>
    </row>
    <row r="1499" spans="75:75">
      <c r="BW1499" s="3"/>
    </row>
    <row r="1500" spans="75:75">
      <c r="BW1500" s="3"/>
    </row>
    <row r="1501" spans="75:75">
      <c r="BW1501" s="3"/>
    </row>
    <row r="1502" spans="75:75">
      <c r="BW1502" s="3"/>
    </row>
    <row r="1503" spans="75:75">
      <c r="BW1503" s="3"/>
    </row>
    <row r="1504" spans="75:75">
      <c r="BW1504" s="3"/>
    </row>
    <row r="1505" spans="75:75">
      <c r="BW1505" s="3"/>
    </row>
    <row r="1506" spans="75:75">
      <c r="BW1506" s="3"/>
    </row>
    <row r="1507" spans="75:75">
      <c r="BW1507" s="3"/>
    </row>
    <row r="1508" spans="75:75">
      <c r="BW1508" s="3"/>
    </row>
    <row r="1509" spans="75:75">
      <c r="BW1509" s="3"/>
    </row>
    <row r="1510" spans="75:75">
      <c r="BW1510" s="3"/>
    </row>
    <row r="1511" spans="75:75">
      <c r="BW1511" s="3"/>
    </row>
    <row r="1512" spans="75:75">
      <c r="BW1512" s="3"/>
    </row>
    <row r="1513" spans="75:75">
      <c r="BW1513" s="3"/>
    </row>
    <row r="1514" spans="75:75">
      <c r="BW1514" s="3"/>
    </row>
    <row r="1515" spans="75:75">
      <c r="BW1515" s="3"/>
    </row>
    <row r="1516" spans="75:75">
      <c r="BW1516" s="3"/>
    </row>
    <row r="1517" spans="75:75">
      <c r="BW1517" s="3"/>
    </row>
    <row r="1518" spans="75:75">
      <c r="BW1518" s="3"/>
    </row>
    <row r="1519" spans="75:75">
      <c r="BW1519" s="3"/>
    </row>
    <row r="1520" spans="75:75">
      <c r="BW1520" s="3"/>
    </row>
    <row r="1521" spans="75:75">
      <c r="BW1521" s="3"/>
    </row>
    <row r="1522" spans="75:75">
      <c r="BW1522" s="3"/>
    </row>
    <row r="1523" spans="75:75">
      <c r="BW1523" s="3"/>
    </row>
    <row r="1524" spans="75:75">
      <c r="BW1524" s="3"/>
    </row>
    <row r="1525" spans="75:75">
      <c r="BW1525" s="3"/>
    </row>
    <row r="1526" spans="75:75">
      <c r="BW1526" s="3"/>
    </row>
    <row r="1527" spans="75:75">
      <c r="BW1527" s="3"/>
    </row>
    <row r="1528" spans="75:75">
      <c r="BW1528" s="3"/>
    </row>
    <row r="1529" spans="75:75">
      <c r="BW1529" s="3"/>
    </row>
    <row r="1530" spans="75:75">
      <c r="BW1530" s="3"/>
    </row>
    <row r="1531" spans="75:75">
      <c r="BW1531" s="3"/>
    </row>
    <row r="1532" spans="75:75">
      <c r="BW1532" s="3"/>
    </row>
    <row r="1533" spans="75:75">
      <c r="BW1533" s="3"/>
    </row>
    <row r="1534" spans="75:75">
      <c r="BW1534" s="3"/>
    </row>
    <row r="1535" spans="75:75">
      <c r="BW1535" s="3"/>
    </row>
    <row r="1536" spans="75:75">
      <c r="BW1536" s="3"/>
    </row>
    <row r="1537" spans="75:75">
      <c r="BW1537" s="3"/>
    </row>
    <row r="1538" spans="75:75">
      <c r="BW1538" s="3"/>
    </row>
    <row r="1539" spans="75:75">
      <c r="BW1539" s="3"/>
    </row>
    <row r="1540" spans="75:75">
      <c r="BW1540" s="3"/>
    </row>
    <row r="1541" spans="75:75">
      <c r="BW1541" s="3"/>
    </row>
    <row r="1542" spans="75:75">
      <c r="BW1542" s="3"/>
    </row>
    <row r="1543" spans="75:75">
      <c r="BW1543" s="3"/>
    </row>
    <row r="1544" spans="75:75">
      <c r="BW1544" s="3"/>
    </row>
    <row r="1545" spans="75:75">
      <c r="BW1545" s="3"/>
    </row>
    <row r="1546" spans="75:75">
      <c r="BW1546" s="3"/>
    </row>
    <row r="1547" spans="75:75">
      <c r="BW1547" s="3"/>
    </row>
    <row r="1548" spans="75:75">
      <c r="BW1548" s="3"/>
    </row>
    <row r="1549" spans="75:75">
      <c r="BW1549" s="3"/>
    </row>
    <row r="1550" spans="75:75">
      <c r="BW1550" s="3"/>
    </row>
    <row r="1551" spans="75:75">
      <c r="BW1551" s="3"/>
    </row>
    <row r="1552" spans="75:75">
      <c r="BW1552" s="3"/>
    </row>
    <row r="1553" spans="75:75">
      <c r="BW1553" s="3"/>
    </row>
    <row r="1554" spans="75:75">
      <c r="BW1554" s="3"/>
    </row>
    <row r="1555" spans="75:75">
      <c r="BW1555" s="3"/>
    </row>
    <row r="1556" spans="75:75">
      <c r="BW1556" s="3"/>
    </row>
    <row r="1557" spans="75:75">
      <c r="BW1557" s="3"/>
    </row>
    <row r="1558" spans="75:75">
      <c r="BW1558" s="3"/>
    </row>
    <row r="1559" spans="75:75">
      <c r="BW1559" s="3"/>
    </row>
    <row r="1560" spans="75:75">
      <c r="BW1560" s="3"/>
    </row>
    <row r="1561" spans="75:75">
      <c r="BW1561" s="3"/>
    </row>
    <row r="1562" spans="75:75">
      <c r="BW1562" s="3"/>
    </row>
    <row r="1563" spans="75:75">
      <c r="BW1563" s="3"/>
    </row>
    <row r="1564" spans="75:75">
      <c r="BW1564" s="3"/>
    </row>
    <row r="1565" spans="75:75">
      <c r="BW1565" s="3"/>
    </row>
    <row r="1566" spans="75:75">
      <c r="BW1566" s="3"/>
    </row>
    <row r="1567" spans="75:75">
      <c r="BW1567" s="3"/>
    </row>
    <row r="1568" spans="75:75">
      <c r="BW1568" s="3"/>
    </row>
    <row r="1569" spans="75:75">
      <c r="BW1569" s="3"/>
    </row>
    <row r="1570" spans="75:75">
      <c r="BW1570" s="3"/>
    </row>
    <row r="1571" spans="75:75">
      <c r="BW1571" s="3"/>
    </row>
    <row r="1572" spans="75:75">
      <c r="BW1572" s="3"/>
    </row>
    <row r="1573" spans="75:75">
      <c r="BW1573" s="3"/>
    </row>
    <row r="1574" spans="75:75">
      <c r="BW1574" s="3"/>
    </row>
    <row r="1575" spans="75:75">
      <c r="BW1575" s="3"/>
    </row>
    <row r="1576" spans="75:75">
      <c r="BW1576" s="3"/>
    </row>
    <row r="1577" spans="75:75">
      <c r="BW1577" s="3"/>
    </row>
    <row r="1578" spans="75:75">
      <c r="BW1578" s="3"/>
    </row>
    <row r="1579" spans="75:75">
      <c r="BW1579" s="3"/>
    </row>
    <row r="1580" spans="75:75">
      <c r="BW1580" s="3"/>
    </row>
    <row r="1581" spans="75:75">
      <c r="BW1581" s="3"/>
    </row>
    <row r="1582" spans="75:75">
      <c r="BW1582" s="3"/>
    </row>
    <row r="1583" spans="75:75">
      <c r="BW1583" s="3"/>
    </row>
    <row r="1584" spans="75:75">
      <c r="BW1584" s="3"/>
    </row>
    <row r="1585" spans="75:75">
      <c r="BW1585" s="3"/>
    </row>
    <row r="1586" spans="75:75">
      <c r="BW1586" s="3"/>
    </row>
    <row r="1587" spans="75:75">
      <c r="BW1587" s="3"/>
    </row>
    <row r="1588" spans="75:75">
      <c r="BW1588" s="3"/>
    </row>
    <row r="1589" spans="75:75">
      <c r="BW1589" s="3"/>
    </row>
    <row r="1590" spans="75:75">
      <c r="BW1590" s="3"/>
    </row>
    <row r="1591" spans="75:75">
      <c r="BW1591" s="3"/>
    </row>
    <row r="1592" spans="75:75">
      <c r="BW1592" s="3"/>
    </row>
    <row r="1593" spans="75:75">
      <c r="BW1593" s="3"/>
    </row>
    <row r="1594" spans="75:75">
      <c r="BW1594" s="3"/>
    </row>
    <row r="1595" spans="75:75">
      <c r="BW1595" s="3"/>
    </row>
    <row r="1596" spans="75:75">
      <c r="BW1596" s="3"/>
    </row>
    <row r="1597" spans="75:75">
      <c r="BW1597" s="3"/>
    </row>
    <row r="1598" spans="75:75">
      <c r="BW1598" s="3"/>
    </row>
    <row r="1599" spans="75:75">
      <c r="BW1599" s="3"/>
    </row>
    <row r="1600" spans="75:75">
      <c r="BW1600" s="3"/>
    </row>
    <row r="1601" spans="75:75">
      <c r="BW1601" s="3"/>
    </row>
    <row r="1602" spans="75:75">
      <c r="BW1602" s="3"/>
    </row>
    <row r="1603" spans="75:75">
      <c r="BW1603" s="3"/>
    </row>
    <row r="1604" spans="75:75">
      <c r="BW1604" s="3"/>
    </row>
    <row r="1605" spans="75:75">
      <c r="BW1605" s="3"/>
    </row>
    <row r="1606" spans="75:75">
      <c r="BW1606" s="3"/>
    </row>
    <row r="1607" spans="75:75">
      <c r="BW1607" s="3"/>
    </row>
    <row r="1608" spans="75:75">
      <c r="BW1608" s="3"/>
    </row>
    <row r="1609" spans="75:75">
      <c r="BW1609" s="3"/>
    </row>
    <row r="1610" spans="75:75">
      <c r="BW1610" s="3"/>
    </row>
    <row r="1611" spans="75:75">
      <c r="BW1611" s="3"/>
    </row>
    <row r="1612" spans="75:75">
      <c r="BW1612" s="3"/>
    </row>
    <row r="1613" spans="75:75">
      <c r="BW1613" s="3"/>
    </row>
    <row r="1614" spans="75:75">
      <c r="BW1614" s="3"/>
    </row>
    <row r="1615" spans="75:75">
      <c r="BW1615" s="3"/>
    </row>
    <row r="1616" spans="75:75">
      <c r="BW1616" s="3"/>
    </row>
    <row r="1617" spans="75:75">
      <c r="BW1617" s="3"/>
    </row>
    <row r="1618" spans="75:75">
      <c r="BW1618" s="3"/>
    </row>
    <row r="1619" spans="75:75">
      <c r="BW1619" s="3"/>
    </row>
    <row r="1620" spans="75:75">
      <c r="BW1620" s="3"/>
    </row>
    <row r="1621" spans="75:75">
      <c r="BW1621" s="3"/>
    </row>
    <row r="1622" spans="75:75">
      <c r="BW1622" s="3"/>
    </row>
    <row r="1623" spans="75:75">
      <c r="BW1623" s="3"/>
    </row>
    <row r="1624" spans="75:75">
      <c r="BW1624" s="3"/>
    </row>
    <row r="1625" spans="75:75">
      <c r="BW1625" s="3"/>
    </row>
    <row r="1626" spans="75:75">
      <c r="BW1626" s="3"/>
    </row>
    <row r="1627" spans="75:75">
      <c r="BW1627" s="3"/>
    </row>
    <row r="1628" spans="75:75">
      <c r="BW1628" s="3"/>
    </row>
    <row r="1629" spans="75:75">
      <c r="BW1629" s="3"/>
    </row>
    <row r="1630" spans="75:75">
      <c r="BW1630" s="3"/>
    </row>
    <row r="1631" spans="75:75">
      <c r="BW1631" s="3"/>
    </row>
    <row r="1632" spans="75:75">
      <c r="BW1632" s="3"/>
    </row>
    <row r="1633" spans="75:75">
      <c r="BW1633" s="3"/>
    </row>
    <row r="1634" spans="75:75">
      <c r="BW1634" s="3"/>
    </row>
    <row r="1635" spans="75:75">
      <c r="BW1635" s="3"/>
    </row>
    <row r="1636" spans="75:75">
      <c r="BW1636" s="3"/>
    </row>
    <row r="1637" spans="75:75">
      <c r="BW1637" s="3"/>
    </row>
    <row r="1638" spans="75:75">
      <c r="BW1638" s="3"/>
    </row>
    <row r="1639" spans="75:75">
      <c r="BW1639" s="3"/>
    </row>
    <row r="1640" spans="75:75">
      <c r="BW1640" s="3"/>
    </row>
    <row r="1641" spans="75:75">
      <c r="BW1641" s="3"/>
    </row>
    <row r="1642" spans="75:75">
      <c r="BW1642" s="3"/>
    </row>
    <row r="1643" spans="75:75">
      <c r="BW1643" s="3"/>
    </row>
    <row r="1644" spans="75:75">
      <c r="BW1644" s="3"/>
    </row>
    <row r="1645" spans="75:75">
      <c r="BW1645" s="3"/>
    </row>
    <row r="1646" spans="75:75">
      <c r="BW1646" s="3"/>
    </row>
    <row r="1647" spans="75:75">
      <c r="BW1647" s="3"/>
    </row>
    <row r="1648" spans="75:75">
      <c r="BW1648" s="3"/>
    </row>
    <row r="1649" spans="75:75">
      <c r="BW1649" s="3"/>
    </row>
    <row r="1650" spans="75:75">
      <c r="BW1650" s="3"/>
    </row>
    <row r="1651" spans="75:75">
      <c r="BW1651" s="3"/>
    </row>
    <row r="1652" spans="75:75">
      <c r="BW1652" s="3"/>
    </row>
    <row r="1653" spans="75:75">
      <c r="BW1653" s="3"/>
    </row>
    <row r="1654" spans="75:75">
      <c r="BW1654" s="3"/>
    </row>
    <row r="1655" spans="75:75">
      <c r="BW1655" s="3"/>
    </row>
    <row r="1656" spans="75:75">
      <c r="BW1656" s="3"/>
    </row>
    <row r="1657" spans="75:75">
      <c r="BW1657" s="3"/>
    </row>
    <row r="1658" spans="75:75">
      <c r="BW1658" s="3"/>
    </row>
    <row r="1659" spans="75:75">
      <c r="BW1659" s="3"/>
    </row>
    <row r="1660" spans="75:75">
      <c r="BW1660" s="3"/>
    </row>
    <row r="1661" spans="75:75">
      <c r="BW1661" s="3"/>
    </row>
    <row r="1662" spans="75:75">
      <c r="BW1662" s="3"/>
    </row>
    <row r="1663" spans="75:75">
      <c r="BW1663" s="3"/>
    </row>
    <row r="1664" spans="75:75">
      <c r="BW1664" s="3"/>
    </row>
    <row r="1665" spans="75:75">
      <c r="BW1665" s="3"/>
    </row>
    <row r="1666" spans="75:75">
      <c r="BW1666" s="3"/>
    </row>
    <row r="1667" spans="75:75">
      <c r="BW1667" s="3"/>
    </row>
    <row r="1668" spans="75:75">
      <c r="BW1668" s="3"/>
    </row>
    <row r="1669" spans="75:75">
      <c r="BW1669" s="3"/>
    </row>
    <row r="1670" spans="75:75">
      <c r="BW1670" s="3"/>
    </row>
    <row r="1671" spans="75:75">
      <c r="BW1671" s="3"/>
    </row>
    <row r="1672" spans="75:75">
      <c r="BW1672" s="3"/>
    </row>
    <row r="1673" spans="75:75">
      <c r="BW1673" s="3"/>
    </row>
    <row r="1674" spans="75:75">
      <c r="BW1674" s="3"/>
    </row>
    <row r="1675" spans="75:75">
      <c r="BW1675" s="3"/>
    </row>
    <row r="1676" spans="75:75">
      <c r="BW1676" s="3"/>
    </row>
    <row r="1677" spans="75:75">
      <c r="BW1677" s="3"/>
    </row>
    <row r="1678" spans="75:75">
      <c r="BW1678" s="3"/>
    </row>
    <row r="1679" spans="75:75">
      <c r="BW1679" s="3"/>
    </row>
    <row r="1680" spans="75:75">
      <c r="BW1680" s="3"/>
    </row>
    <row r="1681" spans="75:75">
      <c r="BW1681" s="3"/>
    </row>
    <row r="1682" spans="75:75">
      <c r="BW1682" s="3"/>
    </row>
    <row r="1683" spans="75:75">
      <c r="BW1683" s="3"/>
    </row>
    <row r="1684" spans="75:75">
      <c r="BW1684" s="3"/>
    </row>
    <row r="1685" spans="75:75">
      <c r="BW1685" s="3"/>
    </row>
    <row r="1686" spans="75:75">
      <c r="BW1686" s="3"/>
    </row>
    <row r="1687" spans="75:75">
      <c r="BW1687" s="3"/>
    </row>
    <row r="1688" spans="75:75">
      <c r="BW1688" s="3"/>
    </row>
    <row r="1689" spans="75:75">
      <c r="BW1689" s="3"/>
    </row>
    <row r="1690" spans="75:75">
      <c r="BW1690" s="3"/>
    </row>
    <row r="1691" spans="75:75">
      <c r="BW1691" s="3"/>
    </row>
    <row r="1692" spans="75:75">
      <c r="BW1692" s="3"/>
    </row>
    <row r="1693" spans="75:75">
      <c r="BW1693" s="3"/>
    </row>
    <row r="1694" spans="75:75">
      <c r="BW1694" s="3"/>
    </row>
    <row r="1695" spans="75:75">
      <c r="BW1695" s="3"/>
    </row>
    <row r="1696" spans="75:75">
      <c r="BW1696" s="3"/>
    </row>
    <row r="1697" spans="75:75">
      <c r="BW1697" s="3"/>
    </row>
    <row r="1698" spans="75:75">
      <c r="BW1698" s="3"/>
    </row>
    <row r="1699" spans="75:75">
      <c r="BW1699" s="3"/>
    </row>
    <row r="1700" spans="75:75">
      <c r="BW1700" s="3"/>
    </row>
    <row r="1701" spans="75:75">
      <c r="BW1701" s="3"/>
    </row>
    <row r="1702" spans="75:75">
      <c r="BW1702" s="3"/>
    </row>
    <row r="1703" spans="75:75">
      <c r="BW1703" s="3"/>
    </row>
    <row r="1704" spans="75:75">
      <c r="BW1704" s="3"/>
    </row>
    <row r="1705" spans="75:75">
      <c r="BW1705" s="3"/>
    </row>
    <row r="1706" spans="75:75">
      <c r="BW1706" s="3"/>
    </row>
    <row r="1707" spans="75:75">
      <c r="BW1707" s="3"/>
    </row>
    <row r="1708" spans="75:75">
      <c r="BW1708" s="3"/>
    </row>
    <row r="1709" spans="75:75">
      <c r="BW1709" s="3"/>
    </row>
    <row r="1710" spans="75:75">
      <c r="BW1710" s="3"/>
    </row>
    <row r="1711" spans="75:75">
      <c r="BW1711" s="3"/>
    </row>
    <row r="1712" spans="75:75">
      <c r="BW1712" s="3"/>
    </row>
    <row r="1713" spans="75:75">
      <c r="BW1713" s="3"/>
    </row>
    <row r="1714" spans="75:75">
      <c r="BW1714" s="3"/>
    </row>
    <row r="1715" spans="75:75">
      <c r="BW1715" s="3"/>
    </row>
    <row r="1716" spans="75:75">
      <c r="BW1716" s="3"/>
    </row>
    <row r="1717" spans="75:75">
      <c r="BW1717" s="3"/>
    </row>
    <row r="1718" spans="75:75">
      <c r="BW1718" s="3"/>
    </row>
    <row r="1719" spans="75:75">
      <c r="BW1719" s="3"/>
    </row>
    <row r="1720" spans="75:75">
      <c r="BW1720" s="3"/>
    </row>
    <row r="1721" spans="75:75">
      <c r="BW1721" s="3"/>
    </row>
    <row r="1722" spans="75:75">
      <c r="BW1722" s="3"/>
    </row>
    <row r="1723" spans="75:75">
      <c r="BW1723" s="3"/>
    </row>
    <row r="1724" spans="75:75">
      <c r="BW1724" s="3"/>
    </row>
    <row r="1725" spans="75:75">
      <c r="BW1725" s="3"/>
    </row>
    <row r="1726" spans="75:75">
      <c r="BW1726" s="3"/>
    </row>
    <row r="1727" spans="75:75">
      <c r="BW1727" s="3"/>
    </row>
    <row r="1728" spans="75:75">
      <c r="BW1728" s="3"/>
    </row>
    <row r="1729" spans="75:75">
      <c r="BW1729" s="3"/>
    </row>
    <row r="1730" spans="75:75">
      <c r="BW1730" s="3"/>
    </row>
    <row r="1731" spans="75:75">
      <c r="BW1731" s="3"/>
    </row>
    <row r="1732" spans="75:75">
      <c r="BW1732" s="3"/>
    </row>
    <row r="1733" spans="75:75">
      <c r="BW1733" s="3"/>
    </row>
    <row r="1734" spans="75:75">
      <c r="BW1734" s="3"/>
    </row>
    <row r="1735" spans="75:75">
      <c r="BW1735" s="3"/>
    </row>
    <row r="1736" spans="75:75">
      <c r="BW1736" s="3"/>
    </row>
    <row r="1737" spans="75:75">
      <c r="BW1737" s="3"/>
    </row>
    <row r="1738" spans="75:75">
      <c r="BW1738" s="3"/>
    </row>
    <row r="1739" spans="75:75">
      <c r="BW1739" s="3"/>
    </row>
    <row r="1740" spans="75:75">
      <c r="BW1740" s="3"/>
    </row>
    <row r="1741" spans="75:75">
      <c r="BW1741" s="3"/>
    </row>
    <row r="1742" spans="75:75">
      <c r="BW1742" s="3"/>
    </row>
    <row r="1743" spans="75:75">
      <c r="BW1743" s="3"/>
    </row>
    <row r="1744" spans="75:75">
      <c r="BW1744" s="3"/>
    </row>
    <row r="1745" spans="75:75">
      <c r="BW1745" s="3"/>
    </row>
    <row r="1746" spans="75:75">
      <c r="BW1746" s="3"/>
    </row>
    <row r="1747" spans="75:75">
      <c r="BW1747" s="3"/>
    </row>
    <row r="1748" spans="75:75">
      <c r="BW1748" s="3"/>
    </row>
    <row r="1749" spans="75:75">
      <c r="BW1749" s="3"/>
    </row>
    <row r="1750" spans="75:75">
      <c r="BW1750" s="3"/>
    </row>
    <row r="1751" spans="75:75">
      <c r="BW1751" s="3"/>
    </row>
    <row r="1752" spans="75:75">
      <c r="BW1752" s="3"/>
    </row>
    <row r="1753" spans="75:75">
      <c r="BW1753" s="3"/>
    </row>
    <row r="1754" spans="75:75">
      <c r="BW1754" s="3"/>
    </row>
    <row r="1755" spans="75:75">
      <c r="BW1755" s="3"/>
    </row>
    <row r="1756" spans="75:75">
      <c r="BW1756" s="3"/>
    </row>
    <row r="1757" spans="75:75">
      <c r="BW1757" s="3"/>
    </row>
    <row r="1758" spans="75:75">
      <c r="BW1758" s="3"/>
    </row>
    <row r="1759" spans="75:75">
      <c r="BW1759" s="3"/>
    </row>
    <row r="1760" spans="75:75">
      <c r="BW1760" s="3"/>
    </row>
    <row r="1761" spans="75:75">
      <c r="BW1761" s="3"/>
    </row>
    <row r="1762" spans="75:75">
      <c r="BW1762" s="3"/>
    </row>
    <row r="1763" spans="75:75">
      <c r="BW1763" s="3"/>
    </row>
    <row r="1764" spans="75:75">
      <c r="BW1764" s="3"/>
    </row>
    <row r="1765" spans="75:75">
      <c r="BW1765" s="3"/>
    </row>
    <row r="1766" spans="75:75">
      <c r="BW1766" s="3"/>
    </row>
    <row r="1767" spans="75:75">
      <c r="BW1767" s="3"/>
    </row>
    <row r="1768" spans="75:75">
      <c r="BW1768" s="3"/>
    </row>
    <row r="1769" spans="75:75">
      <c r="BW1769" s="3"/>
    </row>
    <row r="1770" spans="75:75">
      <c r="BW1770" s="3"/>
    </row>
    <row r="1771" spans="75:75">
      <c r="BW1771" s="3"/>
    </row>
    <row r="1772" spans="75:75">
      <c r="BW1772" s="3"/>
    </row>
    <row r="1773" spans="75:75">
      <c r="BW1773" s="3"/>
    </row>
    <row r="1774" spans="75:75">
      <c r="BW1774" s="3"/>
    </row>
    <row r="1775" spans="75:75">
      <c r="BW1775" s="3"/>
    </row>
    <row r="1776" spans="75:75">
      <c r="BW1776" s="3"/>
    </row>
    <row r="1777" spans="75:75">
      <c r="BW1777" s="3"/>
    </row>
    <row r="1778" spans="75:75">
      <c r="BW1778" s="3"/>
    </row>
    <row r="1779" spans="75:75">
      <c r="BW1779" s="3"/>
    </row>
    <row r="1780" spans="75:75">
      <c r="BW1780" s="3"/>
    </row>
    <row r="1781" spans="75:75">
      <c r="BW1781" s="3"/>
    </row>
    <row r="1782" spans="75:75">
      <c r="BW1782" s="3"/>
    </row>
    <row r="1783" spans="75:75">
      <c r="BW1783" s="3"/>
    </row>
    <row r="1784" spans="75:75">
      <c r="BW1784" s="3"/>
    </row>
    <row r="1785" spans="75:75">
      <c r="BW1785" s="3"/>
    </row>
    <row r="1786" spans="75:75">
      <c r="BW1786" s="3"/>
    </row>
    <row r="1787" spans="75:75">
      <c r="BW1787" s="3"/>
    </row>
    <row r="1788" spans="75:75">
      <c r="BW1788" s="3"/>
    </row>
    <row r="1789" spans="75:75">
      <c r="BW1789" s="3"/>
    </row>
    <row r="1790" spans="75:75">
      <c r="BW1790" s="3"/>
    </row>
    <row r="1791" spans="75:75">
      <c r="BW1791" s="3"/>
    </row>
    <row r="1792" spans="75:75">
      <c r="BW1792" s="3"/>
    </row>
    <row r="1793" spans="75:75">
      <c r="BW1793" s="3"/>
    </row>
    <row r="1794" spans="75:75">
      <c r="BW1794" s="3"/>
    </row>
    <row r="1795" spans="75:75">
      <c r="BW1795" s="3"/>
    </row>
    <row r="1796" spans="75:75">
      <c r="BW1796" s="3"/>
    </row>
    <row r="1797" spans="75:75">
      <c r="BW1797" s="3"/>
    </row>
    <row r="1798" spans="75:75">
      <c r="BW1798" s="3"/>
    </row>
    <row r="1799" spans="75:75">
      <c r="BW1799" s="3"/>
    </row>
    <row r="1800" spans="75:75">
      <c r="BW1800" s="3"/>
    </row>
    <row r="1801" spans="75:75">
      <c r="BW1801" s="3"/>
    </row>
    <row r="1802" spans="75:75">
      <c r="BW1802" s="3"/>
    </row>
    <row r="1803" spans="75:75">
      <c r="BW1803" s="3"/>
    </row>
    <row r="1804" spans="75:75">
      <c r="BW1804" s="3"/>
    </row>
    <row r="1805" spans="75:75">
      <c r="BW1805" s="3"/>
    </row>
    <row r="1806" spans="75:75">
      <c r="BW1806" s="3"/>
    </row>
    <row r="1807" spans="75:75">
      <c r="BW1807" s="3"/>
    </row>
    <row r="1808" spans="75:75">
      <c r="BW1808" s="3"/>
    </row>
    <row r="1809" spans="75:75">
      <c r="BW1809" s="3"/>
    </row>
    <row r="1810" spans="75:75">
      <c r="BW1810" s="3"/>
    </row>
    <row r="1811" spans="75:75">
      <c r="BW1811" s="3"/>
    </row>
    <row r="1812" spans="75:75">
      <c r="BW1812" s="3"/>
    </row>
    <row r="1813" spans="75:75">
      <c r="BW1813" s="3"/>
    </row>
    <row r="1814" spans="75:75">
      <c r="BW1814" s="3"/>
    </row>
    <row r="1815" spans="75:75">
      <c r="BW1815" s="3"/>
    </row>
    <row r="1816" spans="75:75">
      <c r="BW1816" s="3"/>
    </row>
    <row r="1817" spans="75:75">
      <c r="BW1817" s="3"/>
    </row>
    <row r="1818" spans="75:75">
      <c r="BW1818" s="3"/>
    </row>
    <row r="1819" spans="75:75">
      <c r="BW1819" s="3"/>
    </row>
    <row r="1820" spans="75:75">
      <c r="BW1820" s="3"/>
    </row>
    <row r="1821" spans="75:75">
      <c r="BW1821" s="3"/>
    </row>
    <row r="1822" spans="75:75">
      <c r="BW1822" s="3"/>
    </row>
    <row r="1823" spans="75:75">
      <c r="BW1823" s="3"/>
    </row>
    <row r="1824" spans="75:75">
      <c r="BW1824" s="3"/>
    </row>
    <row r="1825" spans="75:75">
      <c r="BW1825" s="3"/>
    </row>
    <row r="1826" spans="75:75">
      <c r="BW1826" s="3"/>
    </row>
    <row r="1827" spans="75:75">
      <c r="BW1827" s="3"/>
    </row>
    <row r="1828" spans="75:75">
      <c r="BW1828" s="3"/>
    </row>
    <row r="1829" spans="75:75">
      <c r="BW1829" s="3"/>
    </row>
    <row r="1830" spans="75:75">
      <c r="BW1830" s="3"/>
    </row>
    <row r="1831" spans="75:75">
      <c r="BW1831" s="3"/>
    </row>
    <row r="1832" spans="75:75">
      <c r="BW1832" s="3"/>
    </row>
    <row r="1833" spans="75:75">
      <c r="BW1833" s="3"/>
    </row>
    <row r="1834" spans="75:75">
      <c r="BW1834" s="3"/>
    </row>
    <row r="1835" spans="75:75">
      <c r="BW1835" s="3"/>
    </row>
    <row r="1836" spans="75:75">
      <c r="BW1836" s="3"/>
    </row>
    <row r="1837" spans="75:75">
      <c r="BW1837" s="3"/>
    </row>
    <row r="1838" spans="75:75">
      <c r="BW1838" s="3"/>
    </row>
    <row r="1839" spans="75:75">
      <c r="BW1839" s="3"/>
    </row>
    <row r="1840" spans="75:75">
      <c r="BW1840" s="3"/>
    </row>
    <row r="1841" spans="75:75">
      <c r="BW1841" s="3"/>
    </row>
    <row r="1842" spans="75:75">
      <c r="BW1842" s="3"/>
    </row>
    <row r="1843" spans="75:75">
      <c r="BW1843" s="3"/>
    </row>
    <row r="1844" spans="75:75">
      <c r="BW1844" s="3"/>
    </row>
    <row r="1845" spans="75:75">
      <c r="BW1845" s="3"/>
    </row>
    <row r="1846" spans="75:75">
      <c r="BW1846" s="3"/>
    </row>
    <row r="1847" spans="75:75">
      <c r="BW1847" s="3"/>
    </row>
    <row r="1848" spans="75:75">
      <c r="BW1848" s="3"/>
    </row>
    <row r="1849" spans="75:75">
      <c r="BW1849" s="3"/>
    </row>
    <row r="1850" spans="75:75">
      <c r="BW1850" s="3"/>
    </row>
    <row r="1851" spans="75:75">
      <c r="BW1851" s="3"/>
    </row>
    <row r="1852" spans="75:75">
      <c r="BW1852" s="3"/>
    </row>
    <row r="1853" spans="75:75">
      <c r="BW1853" s="3"/>
    </row>
    <row r="1854" spans="75:75">
      <c r="BW1854" s="3"/>
    </row>
    <row r="1855" spans="75:75">
      <c r="BW1855" s="3"/>
    </row>
    <row r="1856" spans="75:75">
      <c r="BW1856" s="3"/>
    </row>
    <row r="1857" spans="75:75">
      <c r="BW1857" s="3"/>
    </row>
    <row r="1858" spans="75:75">
      <c r="BW1858" s="3"/>
    </row>
    <row r="1859" spans="75:75">
      <c r="BW1859" s="3"/>
    </row>
    <row r="1860" spans="75:75">
      <c r="BW1860" s="3"/>
    </row>
    <row r="1861" spans="75:75">
      <c r="BW1861" s="3"/>
    </row>
    <row r="1862" spans="75:75">
      <c r="BW1862" s="3"/>
    </row>
    <row r="1863" spans="75:75">
      <c r="BW1863" s="3"/>
    </row>
    <row r="1864" spans="75:75">
      <c r="BW1864" s="3"/>
    </row>
    <row r="1865" spans="75:75">
      <c r="BW1865" s="3"/>
    </row>
    <row r="1866" spans="75:75">
      <c r="BW1866" s="3"/>
    </row>
    <row r="1867" spans="75:75">
      <c r="BW1867" s="3"/>
    </row>
    <row r="1868" spans="75:75">
      <c r="BW1868" s="3"/>
    </row>
    <row r="1869" spans="75:75">
      <c r="BW1869" s="3"/>
    </row>
    <row r="1870" spans="75:75">
      <c r="BW1870" s="3"/>
    </row>
    <row r="1871" spans="75:75">
      <c r="BW1871" s="3"/>
    </row>
    <row r="1872" spans="75:75">
      <c r="BW1872" s="3"/>
    </row>
    <row r="1873" spans="75:75">
      <c r="BW1873" s="3"/>
    </row>
    <row r="1874" spans="75:75">
      <c r="BW1874" s="3"/>
    </row>
    <row r="1875" spans="75:75">
      <c r="BW1875" s="3"/>
    </row>
    <row r="1876" spans="75:75">
      <c r="BW1876" s="3"/>
    </row>
    <row r="1877" spans="75:75">
      <c r="BW1877" s="3"/>
    </row>
    <row r="1878" spans="75:75">
      <c r="BW1878" s="3"/>
    </row>
    <row r="1879" spans="75:75">
      <c r="BW1879" s="3"/>
    </row>
    <row r="1880" spans="75:75">
      <c r="BW1880" s="3"/>
    </row>
    <row r="1881" spans="75:75">
      <c r="BW1881" s="3"/>
    </row>
    <row r="1882" spans="75:75">
      <c r="BW1882" s="3"/>
    </row>
    <row r="1883" spans="75:75">
      <c r="BW1883" s="3"/>
    </row>
    <row r="1884" spans="75:75">
      <c r="BW1884" s="3"/>
    </row>
    <row r="1885" spans="75:75">
      <c r="BW1885" s="3"/>
    </row>
    <row r="1886" spans="75:75">
      <c r="BW1886" s="3"/>
    </row>
    <row r="1887" spans="75:75">
      <c r="BW1887" s="3"/>
    </row>
    <row r="1888" spans="75:75">
      <c r="BW1888" s="3"/>
    </row>
    <row r="1889" spans="75:75">
      <c r="BW1889" s="3"/>
    </row>
    <row r="1890" spans="75:75">
      <c r="BW1890" s="3"/>
    </row>
    <row r="1891" spans="75:75">
      <c r="BW1891" s="3"/>
    </row>
    <row r="1892" spans="75:75">
      <c r="BW1892" s="3"/>
    </row>
    <row r="1893" spans="75:75">
      <c r="BW1893" s="3"/>
    </row>
    <row r="1894" spans="75:75">
      <c r="BW1894" s="3"/>
    </row>
    <row r="1895" spans="75:75">
      <c r="BW1895" s="3"/>
    </row>
    <row r="1896" spans="75:75">
      <c r="BW1896" s="3"/>
    </row>
    <row r="1897" spans="75:75">
      <c r="BW1897" s="3"/>
    </row>
    <row r="1898" spans="75:75">
      <c r="BW1898" s="3"/>
    </row>
    <row r="1899" spans="75:75">
      <c r="BW1899" s="3"/>
    </row>
    <row r="1900" spans="75:75">
      <c r="BW1900" s="3"/>
    </row>
    <row r="1901" spans="75:75">
      <c r="BW1901" s="3"/>
    </row>
    <row r="1902" spans="75:75">
      <c r="BW1902" s="3"/>
    </row>
    <row r="1903" spans="75:75">
      <c r="BW1903" s="3"/>
    </row>
    <row r="1904" spans="75:75">
      <c r="BW1904" s="3"/>
    </row>
    <row r="1905" spans="75:75">
      <c r="BW1905" s="3"/>
    </row>
    <row r="1906" spans="75:75">
      <c r="BW1906" s="3"/>
    </row>
    <row r="1907" spans="75:75">
      <c r="BW1907" s="3"/>
    </row>
    <row r="1908" spans="75:75">
      <c r="BW1908" s="3"/>
    </row>
    <row r="1909" spans="75:75">
      <c r="BW1909" s="3"/>
    </row>
    <row r="1910" spans="75:75">
      <c r="BW1910" s="3"/>
    </row>
    <row r="1911" spans="75:75">
      <c r="BW1911" s="3"/>
    </row>
    <row r="1912" spans="75:75">
      <c r="BW1912" s="3"/>
    </row>
    <row r="1913" spans="75:75">
      <c r="BW1913" s="3"/>
    </row>
    <row r="1914" spans="75:75">
      <c r="BW1914" s="3"/>
    </row>
    <row r="1915" spans="75:75">
      <c r="BW1915" s="3"/>
    </row>
    <row r="1916" spans="75:75">
      <c r="BW1916" s="3"/>
    </row>
    <row r="1917" spans="75:75">
      <c r="BW1917" s="3"/>
    </row>
    <row r="1918" spans="75:75">
      <c r="BW1918" s="3"/>
    </row>
    <row r="1919" spans="75:75">
      <c r="BW1919" s="3"/>
    </row>
    <row r="1920" spans="75:75">
      <c r="BW1920" s="3"/>
    </row>
    <row r="1921" spans="75:75">
      <c r="BW1921" s="3"/>
    </row>
    <row r="1922" spans="75:75">
      <c r="BW1922" s="3"/>
    </row>
    <row r="1923" spans="75:75">
      <c r="BW1923" s="3"/>
    </row>
    <row r="1924" spans="75:75">
      <c r="BW1924" s="3"/>
    </row>
    <row r="1925" spans="75:75">
      <c r="BW1925" s="3"/>
    </row>
    <row r="1926" spans="75:75">
      <c r="BW1926" s="3"/>
    </row>
    <row r="1927" spans="75:75">
      <c r="BW1927" s="3"/>
    </row>
    <row r="1928" spans="75:75">
      <c r="BW1928" s="3"/>
    </row>
    <row r="1929" spans="75:75">
      <c r="BW1929" s="3"/>
    </row>
    <row r="1930" spans="75:75">
      <c r="BW1930" s="3"/>
    </row>
    <row r="1931" spans="75:75">
      <c r="BW1931" s="3"/>
    </row>
    <row r="1932" spans="75:75">
      <c r="BW1932" s="3"/>
    </row>
    <row r="1933" spans="75:75">
      <c r="BW1933" s="3"/>
    </row>
    <row r="1934" spans="75:75">
      <c r="BW1934" s="3"/>
    </row>
    <row r="1935" spans="75:75">
      <c r="BW1935" s="3"/>
    </row>
    <row r="1936" spans="75:75">
      <c r="BW1936" s="3"/>
    </row>
    <row r="1937" spans="75:75">
      <c r="BW1937" s="3"/>
    </row>
    <row r="1938" spans="75:75">
      <c r="BW1938" s="3"/>
    </row>
    <row r="1939" spans="75:75">
      <c r="BW1939" s="3"/>
    </row>
    <row r="1940" spans="75:75">
      <c r="BW1940" s="3"/>
    </row>
    <row r="1941" spans="75:75">
      <c r="BW1941" s="3"/>
    </row>
    <row r="1942" spans="75:75">
      <c r="BW1942" s="3"/>
    </row>
    <row r="1943" spans="75:75">
      <c r="BW1943" s="3"/>
    </row>
    <row r="1944" spans="75:75">
      <c r="BW1944" s="3"/>
    </row>
    <row r="1945" spans="75:75">
      <c r="BW1945" s="3"/>
    </row>
    <row r="1946" spans="75:75">
      <c r="BW1946" s="3"/>
    </row>
    <row r="1947" spans="75:75">
      <c r="BW1947" s="3"/>
    </row>
    <row r="1948" spans="75:75">
      <c r="BW1948" s="3"/>
    </row>
    <row r="1949" spans="75:75">
      <c r="BW1949" s="3"/>
    </row>
    <row r="1950" spans="75:75">
      <c r="BW1950" s="3"/>
    </row>
    <row r="1951" spans="75:75">
      <c r="BW1951" s="3"/>
    </row>
    <row r="1952" spans="75:75">
      <c r="BW1952" s="3"/>
    </row>
    <row r="1953" spans="75:75">
      <c r="BW1953" s="3"/>
    </row>
    <row r="1954" spans="75:75">
      <c r="BW1954" s="3"/>
    </row>
    <row r="1955" spans="75:75">
      <c r="BW1955" s="3"/>
    </row>
    <row r="1956" spans="75:75">
      <c r="BW1956" s="3"/>
    </row>
    <row r="1957" spans="75:75">
      <c r="BW1957" s="3"/>
    </row>
    <row r="1958" spans="75:75">
      <c r="BW1958" s="3"/>
    </row>
    <row r="1959" spans="75:75">
      <c r="BW1959" s="3"/>
    </row>
    <row r="1960" spans="75:75">
      <c r="BW1960" s="3"/>
    </row>
    <row r="1961" spans="75:75">
      <c r="BW1961" s="3"/>
    </row>
    <row r="1962" spans="75:75">
      <c r="BW1962" s="3"/>
    </row>
    <row r="1963" spans="75:75">
      <c r="BW1963" s="3"/>
    </row>
    <row r="1964" spans="75:75">
      <c r="BW1964" s="3"/>
    </row>
    <row r="1965" spans="75:75">
      <c r="BW1965" s="3"/>
    </row>
    <row r="1966" spans="75:75">
      <c r="BW1966" s="3"/>
    </row>
    <row r="1967" spans="75:75">
      <c r="BW1967" s="3"/>
    </row>
    <row r="1968" spans="75:75">
      <c r="BW1968" s="3"/>
    </row>
    <row r="1969" spans="75:75">
      <c r="BW1969" s="3"/>
    </row>
    <row r="1970" spans="75:75">
      <c r="BW1970" s="3"/>
    </row>
    <row r="1971" spans="75:75">
      <c r="BW1971" s="3"/>
    </row>
    <row r="1972" spans="75:75">
      <c r="BW1972" s="3"/>
    </row>
    <row r="1973" spans="75:75">
      <c r="BW1973" s="3"/>
    </row>
    <row r="1974" spans="75:75">
      <c r="BW1974" s="3"/>
    </row>
    <row r="1975" spans="75:75">
      <c r="BW1975" s="3"/>
    </row>
    <row r="1976" spans="75:75">
      <c r="BW1976" s="3"/>
    </row>
    <row r="1977" spans="75:75">
      <c r="BW1977" s="3"/>
    </row>
    <row r="1978" spans="75:75">
      <c r="BW1978" s="3"/>
    </row>
    <row r="1979" spans="75:75">
      <c r="BW1979" s="3"/>
    </row>
    <row r="1980" spans="75:75">
      <c r="BW1980" s="3"/>
    </row>
    <row r="1981" spans="75:75">
      <c r="BW1981" s="3"/>
    </row>
    <row r="1982" spans="75:75">
      <c r="BW1982" s="3"/>
    </row>
    <row r="1983" spans="75:75">
      <c r="BW1983" s="3"/>
    </row>
    <row r="1984" spans="75:75">
      <c r="BW1984" s="3"/>
    </row>
    <row r="1985" spans="75:75">
      <c r="BW1985" s="3"/>
    </row>
    <row r="1986" spans="75:75">
      <c r="BW1986" s="3"/>
    </row>
    <row r="1987" spans="75:75">
      <c r="BW1987" s="3"/>
    </row>
    <row r="1988" spans="75:75">
      <c r="BW1988" s="3"/>
    </row>
    <row r="1989" spans="75:75">
      <c r="BW1989" s="3"/>
    </row>
    <row r="1990" spans="75:75">
      <c r="BW1990" s="3"/>
    </row>
    <row r="1991" spans="75:75">
      <c r="BW1991" s="3"/>
    </row>
    <row r="1992" spans="75:75">
      <c r="BW1992" s="3"/>
    </row>
    <row r="1993" spans="75:75">
      <c r="BW1993" s="3"/>
    </row>
    <row r="1994" spans="75:75">
      <c r="BW1994" s="3"/>
    </row>
    <row r="1995" spans="75:75">
      <c r="BW1995" s="3"/>
    </row>
    <row r="1996" spans="75:75">
      <c r="BW1996" s="3"/>
    </row>
    <row r="1997" spans="75:75">
      <c r="BW1997" s="3"/>
    </row>
    <row r="1998" spans="75:75">
      <c r="BW1998" s="3"/>
    </row>
    <row r="1999" spans="75:75">
      <c r="BW1999" s="3"/>
    </row>
    <row r="2000" spans="75:75">
      <c r="BW2000" s="3"/>
    </row>
    <row r="2001" spans="75:75">
      <c r="BW2001" s="3"/>
    </row>
    <row r="2002" spans="75:75">
      <c r="BW2002" s="3"/>
    </row>
    <row r="2003" spans="75:75">
      <c r="BW2003" s="3"/>
    </row>
    <row r="2004" spans="75:75">
      <c r="BW2004" s="3"/>
    </row>
    <row r="2005" spans="75:75">
      <c r="BW2005" s="3"/>
    </row>
    <row r="2006" spans="75:75">
      <c r="BW2006" s="3"/>
    </row>
    <row r="2007" spans="75:75">
      <c r="BW2007" s="3"/>
    </row>
    <row r="2008" spans="75:75">
      <c r="BW2008" s="3"/>
    </row>
    <row r="2009" spans="75:75">
      <c r="BW2009" s="3"/>
    </row>
    <row r="2010" spans="75:75">
      <c r="BW2010" s="3"/>
    </row>
    <row r="2011" spans="75:75">
      <c r="BW2011" s="3"/>
    </row>
    <row r="2012" spans="75:75">
      <c r="BW2012" s="3"/>
    </row>
    <row r="2013" spans="75:75">
      <c r="BW2013" s="3"/>
    </row>
    <row r="2014" spans="75:75">
      <c r="BW2014" s="3"/>
    </row>
    <row r="2015" spans="75:75">
      <c r="BW2015" s="3"/>
    </row>
    <row r="2016" spans="75:75">
      <c r="BW2016" s="3"/>
    </row>
    <row r="2017" spans="75:75">
      <c r="BW2017" s="3"/>
    </row>
    <row r="2018" spans="75:75">
      <c r="BW2018" s="3"/>
    </row>
    <row r="2019" spans="75:75">
      <c r="BW2019" s="3"/>
    </row>
    <row r="2020" spans="75:75">
      <c r="BW2020" s="3"/>
    </row>
    <row r="2021" spans="75:75">
      <c r="BW2021" s="3"/>
    </row>
    <row r="2022" spans="75:75">
      <c r="BW2022" s="3"/>
    </row>
    <row r="2023" spans="75:75">
      <c r="BW2023" s="3"/>
    </row>
    <row r="2024" spans="75:75">
      <c r="BW2024" s="3"/>
    </row>
    <row r="2025" spans="75:75">
      <c r="BW2025" s="3"/>
    </row>
    <row r="2026" spans="75:75">
      <c r="BW2026" s="3"/>
    </row>
    <row r="2027" spans="75:75">
      <c r="BW2027" s="3"/>
    </row>
    <row r="2028" spans="75:75">
      <c r="BW2028" s="3"/>
    </row>
    <row r="2029" spans="75:75">
      <c r="BW2029" s="3"/>
    </row>
    <row r="2030" spans="75:75">
      <c r="BW2030" s="3"/>
    </row>
    <row r="2031" spans="75:75">
      <c r="BW2031" s="3"/>
    </row>
    <row r="2032" spans="75:75">
      <c r="BW2032" s="3"/>
    </row>
    <row r="2033" spans="75:75">
      <c r="BW2033" s="3"/>
    </row>
    <row r="2034" spans="75:75">
      <c r="BW2034" s="3"/>
    </row>
    <row r="2035" spans="75:75">
      <c r="BW2035" s="3"/>
    </row>
    <row r="2036" spans="75:75">
      <c r="BW2036" s="3"/>
    </row>
    <row r="2037" spans="75:75">
      <c r="BW2037" s="3"/>
    </row>
    <row r="2038" spans="75:75">
      <c r="BW2038" s="3"/>
    </row>
    <row r="2039" spans="75:75">
      <c r="BW2039" s="3"/>
    </row>
    <row r="2040" spans="75:75">
      <c r="BW2040" s="3"/>
    </row>
    <row r="2041" spans="75:75">
      <c r="BW2041" s="3"/>
    </row>
    <row r="2042" spans="75:75">
      <c r="BW2042" s="3"/>
    </row>
    <row r="2043" spans="75:75">
      <c r="BW2043" s="3"/>
    </row>
    <row r="2044" spans="75:75">
      <c r="BW2044" s="3"/>
    </row>
    <row r="2045" spans="75:75">
      <c r="BW2045" s="3"/>
    </row>
    <row r="2046" spans="75:75">
      <c r="BW2046" s="3"/>
    </row>
    <row r="2047" spans="75:75">
      <c r="BW2047" s="3"/>
    </row>
    <row r="2048" spans="75:75">
      <c r="BW2048" s="3"/>
    </row>
    <row r="2049" spans="75:75">
      <c r="BW2049" s="3"/>
    </row>
    <row r="2050" spans="75:75">
      <c r="BW2050" s="3"/>
    </row>
    <row r="2051" spans="75:75">
      <c r="BW2051" s="3"/>
    </row>
    <row r="2052" spans="75:75">
      <c r="BW2052" s="3"/>
    </row>
    <row r="2053" spans="75:75">
      <c r="BW2053" s="3"/>
    </row>
    <row r="2054" spans="75:75">
      <c r="BW2054" s="3"/>
    </row>
    <row r="2055" spans="75:75">
      <c r="BW2055" s="3"/>
    </row>
    <row r="2056" spans="75:75">
      <c r="BW2056" s="3"/>
    </row>
    <row r="2057" spans="75:75">
      <c r="BW2057" s="3"/>
    </row>
    <row r="2058" spans="75:75">
      <c r="BW2058" s="3"/>
    </row>
    <row r="2059" spans="75:75">
      <c r="BW2059" s="3"/>
    </row>
    <row r="2060" spans="75:75">
      <c r="BW2060" s="3"/>
    </row>
    <row r="2061" spans="75:75">
      <c r="BW2061" s="3"/>
    </row>
    <row r="2062" spans="75:75">
      <c r="BW2062" s="3"/>
    </row>
    <row r="2063" spans="75:75">
      <c r="BW2063" s="3"/>
    </row>
    <row r="2064" spans="75:75">
      <c r="BW2064" s="3"/>
    </row>
    <row r="2065" spans="75:75">
      <c r="BW2065" s="3"/>
    </row>
    <row r="2066" spans="75:75">
      <c r="BW2066" s="3"/>
    </row>
    <row r="2067" spans="75:75">
      <c r="BW2067" s="3"/>
    </row>
    <row r="2068" spans="75:75">
      <c r="BW2068" s="3"/>
    </row>
    <row r="2069" spans="75:75">
      <c r="BW2069" s="3"/>
    </row>
    <row r="2070" spans="75:75">
      <c r="BW2070" s="3"/>
    </row>
    <row r="2071" spans="75:75">
      <c r="BW2071" s="3"/>
    </row>
    <row r="2072" spans="75:75">
      <c r="BW2072" s="3"/>
    </row>
    <row r="2073" spans="75:75">
      <c r="BW2073" s="3"/>
    </row>
    <row r="2074" spans="75:75">
      <c r="BW2074" s="3"/>
    </row>
    <row r="2075" spans="75:75">
      <c r="BW2075" s="3"/>
    </row>
    <row r="2076" spans="75:75">
      <c r="BW2076" s="3"/>
    </row>
    <row r="2077" spans="75:75">
      <c r="BW2077" s="3"/>
    </row>
    <row r="2078" spans="75:75">
      <c r="BW2078" s="3"/>
    </row>
    <row r="2079" spans="75:75">
      <c r="BW2079" s="3"/>
    </row>
    <row r="2080" spans="75:75">
      <c r="BW2080" s="3"/>
    </row>
    <row r="2081" spans="75:75">
      <c r="BW2081" s="3"/>
    </row>
    <row r="2082" spans="75:75">
      <c r="BW2082" s="3"/>
    </row>
    <row r="2083" spans="75:75">
      <c r="BW2083" s="3"/>
    </row>
    <row r="2084" spans="75:75">
      <c r="BW2084" s="3"/>
    </row>
    <row r="2085" spans="75:75">
      <c r="BW2085" s="3"/>
    </row>
    <row r="2086" spans="75:75">
      <c r="BW2086" s="3"/>
    </row>
    <row r="2087" spans="75:75">
      <c r="BW2087" s="3"/>
    </row>
    <row r="2088" spans="75:75">
      <c r="BW2088" s="3"/>
    </row>
    <row r="2089" spans="75:75">
      <c r="BW2089" s="3"/>
    </row>
    <row r="2090" spans="75:75">
      <c r="BW2090" s="3"/>
    </row>
    <row r="2091" spans="75:75">
      <c r="BW2091" s="3"/>
    </row>
    <row r="2092" spans="75:75">
      <c r="BW2092" s="3"/>
    </row>
    <row r="2093" spans="75:75">
      <c r="BW2093" s="3"/>
    </row>
    <row r="2094" spans="75:75">
      <c r="BW2094" s="3"/>
    </row>
    <row r="2095" spans="75:75">
      <c r="BW2095" s="3"/>
    </row>
    <row r="2096" spans="75:75">
      <c r="BW2096" s="3"/>
    </row>
    <row r="2097" spans="75:75">
      <c r="BW2097" s="3"/>
    </row>
    <row r="2098" spans="75:75">
      <c r="BW2098" s="3"/>
    </row>
    <row r="2099" spans="75:75">
      <c r="BW2099" s="3"/>
    </row>
    <row r="2100" spans="75:75">
      <c r="BW2100" s="3"/>
    </row>
    <row r="2101" spans="75:75">
      <c r="BW2101" s="3"/>
    </row>
    <row r="2102" spans="75:75">
      <c r="BW2102" s="3"/>
    </row>
    <row r="2103" spans="75:75">
      <c r="BW2103" s="3"/>
    </row>
    <row r="2104" spans="75:75">
      <c r="BW2104" s="3"/>
    </row>
    <row r="2105" spans="75:75">
      <c r="BW2105" s="3"/>
    </row>
    <row r="2106" spans="75:75">
      <c r="BW2106" s="3"/>
    </row>
    <row r="2107" spans="75:75">
      <c r="BW2107" s="3"/>
    </row>
    <row r="2108" spans="75:75">
      <c r="BW2108" s="3"/>
    </row>
    <row r="2109" spans="75:75">
      <c r="BW2109" s="3"/>
    </row>
    <row r="2110" spans="75:75">
      <c r="BW2110" s="3"/>
    </row>
    <row r="2111" spans="75:75">
      <c r="BW2111" s="3"/>
    </row>
    <row r="2112" spans="75:75">
      <c r="BW2112" s="3"/>
    </row>
    <row r="2113" spans="75:75">
      <c r="BW2113" s="3"/>
    </row>
    <row r="2114" spans="75:75">
      <c r="BW2114" s="3"/>
    </row>
    <row r="2115" spans="75:75">
      <c r="BW2115" s="3"/>
    </row>
    <row r="2116" spans="75:75">
      <c r="BW2116" s="3"/>
    </row>
    <row r="2117" spans="75:75">
      <c r="BW2117" s="3"/>
    </row>
    <row r="2118" spans="75:75">
      <c r="BW2118" s="3"/>
    </row>
    <row r="2119" spans="75:75">
      <c r="BW2119" s="3"/>
    </row>
    <row r="2120" spans="75:75">
      <c r="BW2120" s="3"/>
    </row>
    <row r="2121" spans="75:75">
      <c r="BW2121" s="3"/>
    </row>
    <row r="2122" spans="75:75">
      <c r="BW2122" s="3"/>
    </row>
    <row r="2123" spans="75:75">
      <c r="BW2123" s="3"/>
    </row>
    <row r="2124" spans="75:75">
      <c r="BW2124" s="3"/>
    </row>
    <row r="2125" spans="75:75">
      <c r="BW2125" s="3"/>
    </row>
    <row r="2126" spans="75:75">
      <c r="BW2126" s="3"/>
    </row>
    <row r="2127" spans="75:75">
      <c r="BW2127" s="3"/>
    </row>
    <row r="2128" spans="75:75">
      <c r="BW2128" s="3"/>
    </row>
    <row r="2129" spans="75:75">
      <c r="BW2129" s="3"/>
    </row>
    <row r="2130" spans="75:75">
      <c r="BW2130" s="3"/>
    </row>
    <row r="2131" spans="75:75">
      <c r="BW2131" s="3"/>
    </row>
    <row r="2132" spans="75:75">
      <c r="BW2132" s="3"/>
    </row>
    <row r="2133" spans="75:75">
      <c r="BW2133" s="3"/>
    </row>
    <row r="2134" spans="75:75">
      <c r="BW2134" s="3"/>
    </row>
    <row r="2135" spans="75:75">
      <c r="BW2135" s="3"/>
    </row>
    <row r="2136" spans="75:75">
      <c r="BW2136" s="3"/>
    </row>
    <row r="2137" spans="75:75">
      <c r="BW2137" s="3"/>
    </row>
    <row r="2138" spans="75:75">
      <c r="BW2138" s="3"/>
    </row>
    <row r="2139" spans="75:75">
      <c r="BW2139" s="3"/>
    </row>
    <row r="2140" spans="75:75">
      <c r="BW2140" s="3"/>
    </row>
    <row r="2141" spans="75:75">
      <c r="BW2141" s="3"/>
    </row>
    <row r="2142" spans="75:75">
      <c r="BW2142" s="3"/>
    </row>
    <row r="2143" spans="75:75">
      <c r="BW2143" s="3"/>
    </row>
    <row r="2144" spans="75:75">
      <c r="BW2144" s="3"/>
    </row>
    <row r="2145" spans="75:75">
      <c r="BW2145" s="3"/>
    </row>
    <row r="2146" spans="75:75">
      <c r="BW2146" s="3"/>
    </row>
    <row r="2147" spans="75:75">
      <c r="BW2147" s="3"/>
    </row>
    <row r="2148" spans="75:75">
      <c r="BW2148" s="3"/>
    </row>
    <row r="2149" spans="75:75">
      <c r="BW2149" s="3"/>
    </row>
    <row r="2150" spans="75:75">
      <c r="BW2150" s="3"/>
    </row>
    <row r="2151" spans="75:75">
      <c r="BW2151" s="3"/>
    </row>
    <row r="2152" spans="75:75">
      <c r="BW2152" s="3"/>
    </row>
    <row r="2153" spans="75:75">
      <c r="BW2153" s="3"/>
    </row>
    <row r="2154" spans="75:75">
      <c r="BW2154" s="3"/>
    </row>
    <row r="2155" spans="75:75">
      <c r="BW2155" s="3"/>
    </row>
    <row r="2156" spans="75:75">
      <c r="BW2156" s="3"/>
    </row>
    <row r="2157" spans="75:75">
      <c r="BW2157" s="3"/>
    </row>
    <row r="2158" spans="75:75">
      <c r="BW2158" s="3"/>
    </row>
    <row r="2159" spans="75:75">
      <c r="BW2159" s="3"/>
    </row>
    <row r="2160" spans="75:75">
      <c r="BW2160" s="3"/>
    </row>
    <row r="2161" spans="75:75">
      <c r="BW2161" s="3"/>
    </row>
    <row r="2162" spans="75:75">
      <c r="BW2162" s="3"/>
    </row>
    <row r="2163" spans="75:75">
      <c r="BW2163" s="3"/>
    </row>
    <row r="2164" spans="75:75">
      <c r="BW2164" s="3"/>
    </row>
    <row r="2165" spans="75:75">
      <c r="BW2165" s="3"/>
    </row>
    <row r="2166" spans="75:75">
      <c r="BW2166" s="3"/>
    </row>
    <row r="2167" spans="75:75">
      <c r="BW2167" s="3"/>
    </row>
    <row r="2168" spans="75:75">
      <c r="BW2168" s="3"/>
    </row>
    <row r="2169" spans="75:75">
      <c r="BW2169" s="3"/>
    </row>
    <row r="2170" spans="75:75">
      <c r="BW2170" s="3"/>
    </row>
    <row r="2171" spans="75:75">
      <c r="BW2171" s="3"/>
    </row>
    <row r="2172" spans="75:75">
      <c r="BW2172" s="3"/>
    </row>
    <row r="2173" spans="75:75">
      <c r="BW2173" s="3"/>
    </row>
    <row r="2174" spans="75:75">
      <c r="BW2174" s="3"/>
    </row>
    <row r="2175" spans="75:75">
      <c r="BW2175" s="3"/>
    </row>
    <row r="2176" spans="75:75">
      <c r="BW2176" s="3"/>
    </row>
    <row r="2177" spans="75:75">
      <c r="BW2177" s="3"/>
    </row>
    <row r="2178" spans="75:75">
      <c r="BW2178" s="3"/>
    </row>
    <row r="2179" spans="75:75">
      <c r="BW2179" s="3"/>
    </row>
    <row r="2180" spans="75:75">
      <c r="BW2180" s="3"/>
    </row>
    <row r="2181" spans="75:75">
      <c r="BW2181" s="3"/>
    </row>
    <row r="2182" spans="75:75">
      <c r="BW2182" s="3"/>
    </row>
    <row r="2183" spans="75:75">
      <c r="BW2183" s="3"/>
    </row>
    <row r="2184" spans="75:75">
      <c r="BW2184" s="3"/>
    </row>
    <row r="2185" spans="75:75">
      <c r="BW2185" s="3"/>
    </row>
    <row r="2186" spans="75:75">
      <c r="BW2186" s="3"/>
    </row>
    <row r="2187" spans="75:75">
      <c r="BW2187" s="3"/>
    </row>
    <row r="2188" spans="75:75">
      <c r="BW2188" s="3"/>
    </row>
    <row r="2189" spans="75:75">
      <c r="BW2189" s="3"/>
    </row>
    <row r="2190" spans="75:75">
      <c r="BW2190" s="3"/>
    </row>
    <row r="2191" spans="75:75">
      <c r="BW2191" s="3"/>
    </row>
    <row r="2192" spans="75:75">
      <c r="BW2192" s="3"/>
    </row>
    <row r="2193" spans="75:75">
      <c r="BW2193" s="3"/>
    </row>
    <row r="2194" spans="75:75">
      <c r="BW2194" s="3"/>
    </row>
    <row r="2195" spans="75:75">
      <c r="BW2195" s="3"/>
    </row>
    <row r="2196" spans="75:75">
      <c r="BW2196" s="3"/>
    </row>
    <row r="2197" spans="75:75">
      <c r="BW2197" s="3"/>
    </row>
    <row r="2198" spans="75:75">
      <c r="BW2198" s="3"/>
    </row>
    <row r="2199" spans="75:75">
      <c r="BW2199" s="3"/>
    </row>
    <row r="2200" spans="75:75">
      <c r="BW2200" s="3"/>
    </row>
    <row r="2201" spans="75:75">
      <c r="BW2201" s="3"/>
    </row>
    <row r="2202" spans="75:75">
      <c r="BW2202" s="3"/>
    </row>
    <row r="2203" spans="75:75">
      <c r="BW2203" s="3"/>
    </row>
    <row r="2204" spans="75:75">
      <c r="BW2204" s="3"/>
    </row>
    <row r="2205" spans="75:75">
      <c r="BW2205" s="3"/>
    </row>
    <row r="2206" spans="75:75">
      <c r="BW2206" s="3"/>
    </row>
    <row r="2207" spans="75:75">
      <c r="BW2207" s="3"/>
    </row>
    <row r="2208" spans="75:75">
      <c r="BW2208" s="3"/>
    </row>
    <row r="2209" spans="75:75">
      <c r="BW2209" s="3"/>
    </row>
    <row r="2210" spans="75:75">
      <c r="BW2210" s="3"/>
    </row>
    <row r="2211" spans="75:75">
      <c r="BW2211" s="3"/>
    </row>
    <row r="2212" spans="75:75">
      <c r="BW2212" s="3"/>
    </row>
    <row r="2213" spans="75:75">
      <c r="BW2213" s="3"/>
    </row>
    <row r="2214" spans="75:75">
      <c r="BW2214" s="3"/>
    </row>
    <row r="2215" spans="75:75">
      <c r="BW2215" s="3"/>
    </row>
    <row r="2216" spans="75:75">
      <c r="BW2216" s="3"/>
    </row>
    <row r="2217" spans="75:75">
      <c r="BW2217" s="3"/>
    </row>
    <row r="2218" spans="75:75">
      <c r="BW2218" s="3"/>
    </row>
    <row r="2219" spans="75:75">
      <c r="BW2219" s="3"/>
    </row>
    <row r="2220" spans="75:75">
      <c r="BW2220" s="3"/>
    </row>
    <row r="2221" spans="75:75">
      <c r="BW2221" s="3"/>
    </row>
    <row r="2222" spans="75:75">
      <c r="BW2222" s="3"/>
    </row>
    <row r="2223" spans="75:75">
      <c r="BW2223" s="3"/>
    </row>
    <row r="2224" spans="75:75">
      <c r="BW2224" s="3"/>
    </row>
    <row r="2225" spans="75:75">
      <c r="BW2225" s="3"/>
    </row>
    <row r="2226" spans="75:75">
      <c r="BW2226" s="3"/>
    </row>
    <row r="2227" spans="75:75">
      <c r="BW2227" s="3"/>
    </row>
    <row r="2228" spans="75:75">
      <c r="BW2228" s="3"/>
    </row>
    <row r="2229" spans="75:75">
      <c r="BW2229" s="3"/>
    </row>
    <row r="2230" spans="75:75">
      <c r="BW2230" s="3"/>
    </row>
    <row r="2231" spans="75:75">
      <c r="BW2231" s="3"/>
    </row>
    <row r="2232" spans="75:75">
      <c r="BW2232" s="3"/>
    </row>
    <row r="2233" spans="75:75">
      <c r="BW2233" s="3"/>
    </row>
    <row r="2234" spans="75:75">
      <c r="BW2234" s="3"/>
    </row>
    <row r="2235" spans="75:75">
      <c r="BW2235" s="3"/>
    </row>
    <row r="2236" spans="75:75">
      <c r="BW2236" s="3"/>
    </row>
    <row r="2237" spans="75:75">
      <c r="BW2237" s="3"/>
    </row>
    <row r="2238" spans="75:75">
      <c r="BW2238" s="3"/>
    </row>
    <row r="2239" spans="75:75">
      <c r="BW2239" s="3"/>
    </row>
    <row r="2240" spans="75:75">
      <c r="BW2240" s="3"/>
    </row>
    <row r="2241" spans="75:75">
      <c r="BW2241" s="3"/>
    </row>
    <row r="2242" spans="75:75">
      <c r="BW2242" s="3"/>
    </row>
    <row r="2243" spans="75:75">
      <c r="BW2243" s="3"/>
    </row>
    <row r="2244" spans="75:75">
      <c r="BW2244" s="3"/>
    </row>
    <row r="2245" spans="75:75">
      <c r="BW2245" s="3"/>
    </row>
    <row r="2246" spans="75:75">
      <c r="BW2246" s="3"/>
    </row>
    <row r="2247" spans="75:75">
      <c r="BW2247" s="3"/>
    </row>
    <row r="2248" spans="75:75">
      <c r="BW2248" s="3"/>
    </row>
    <row r="2249" spans="75:75">
      <c r="BW2249" s="3"/>
    </row>
    <row r="2250" spans="75:75">
      <c r="BW2250" s="3"/>
    </row>
    <row r="2251" spans="75:75">
      <c r="BW2251" s="3"/>
    </row>
    <row r="2252" spans="75:75">
      <c r="BW2252" s="3"/>
    </row>
    <row r="2253" spans="75:75">
      <c r="BW2253" s="3"/>
    </row>
    <row r="2254" spans="75:75">
      <c r="BW2254" s="3"/>
    </row>
    <row r="2255" spans="75:75">
      <c r="BW2255" s="3"/>
    </row>
    <row r="2256" spans="75:75">
      <c r="BW2256" s="3"/>
    </row>
    <row r="2257" spans="75:75">
      <c r="BW2257" s="3"/>
    </row>
    <row r="2258" spans="75:75">
      <c r="BW2258" s="3"/>
    </row>
    <row r="2259" spans="75:75">
      <c r="BW2259" s="3"/>
    </row>
    <row r="2260" spans="75:75">
      <c r="BW2260" s="3"/>
    </row>
    <row r="2261" spans="75:75">
      <c r="BW2261" s="3"/>
    </row>
    <row r="2262" spans="75:75">
      <c r="BW2262" s="3"/>
    </row>
    <row r="2263" spans="75:75">
      <c r="BW2263" s="3"/>
    </row>
    <row r="2264" spans="75:75">
      <c r="BW2264" s="3"/>
    </row>
    <row r="2265" spans="75:75">
      <c r="BW2265" s="3"/>
    </row>
    <row r="2266" spans="75:75">
      <c r="BW2266" s="3"/>
    </row>
    <row r="2267" spans="75:75">
      <c r="BW2267" s="3"/>
    </row>
    <row r="2268" spans="75:75">
      <c r="BW2268" s="3"/>
    </row>
    <row r="2269" spans="75:75">
      <c r="BW2269" s="3"/>
    </row>
    <row r="2270" spans="75:75">
      <c r="BW2270" s="3"/>
    </row>
    <row r="2271" spans="75:75">
      <c r="BW2271" s="3"/>
    </row>
    <row r="2272" spans="75:75">
      <c r="BW2272" s="3"/>
    </row>
    <row r="2273" spans="75:75">
      <c r="BW2273" s="3"/>
    </row>
    <row r="2274" spans="75:75">
      <c r="BW2274" s="3"/>
    </row>
    <row r="2275" spans="75:75">
      <c r="BW2275" s="3"/>
    </row>
    <row r="2276" spans="75:75">
      <c r="BW2276" s="3"/>
    </row>
    <row r="2277" spans="75:75">
      <c r="BW2277" s="3"/>
    </row>
    <row r="2278" spans="75:75">
      <c r="BW2278" s="3"/>
    </row>
    <row r="2279" spans="75:75">
      <c r="BW2279" s="3"/>
    </row>
    <row r="2280" spans="75:75">
      <c r="BW2280" s="3"/>
    </row>
    <row r="2281" spans="75:75">
      <c r="BW2281" s="3"/>
    </row>
    <row r="2282" spans="75:75">
      <c r="BW2282" s="3"/>
    </row>
    <row r="2283" spans="75:75">
      <c r="BW2283" s="3"/>
    </row>
    <row r="2284" spans="75:75">
      <c r="BW2284" s="3"/>
    </row>
    <row r="2285" spans="75:75">
      <c r="BW2285" s="3"/>
    </row>
    <row r="2286" spans="75:75">
      <c r="BW2286" s="3"/>
    </row>
    <row r="2287" spans="75:75">
      <c r="BW2287" s="3"/>
    </row>
    <row r="2288" spans="75:75">
      <c r="BW2288" s="3"/>
    </row>
    <row r="2289" spans="75:75">
      <c r="BW2289" s="3"/>
    </row>
    <row r="2290" spans="75:75">
      <c r="BW2290" s="3"/>
    </row>
    <row r="2291" spans="75:75">
      <c r="BW2291" s="3"/>
    </row>
    <row r="2292" spans="75:75">
      <c r="BW2292" s="3"/>
    </row>
    <row r="2293" spans="75:75">
      <c r="BW2293" s="3"/>
    </row>
    <row r="2294" spans="75:75">
      <c r="BW2294" s="3"/>
    </row>
    <row r="2295" spans="75:75">
      <c r="BW2295" s="3"/>
    </row>
    <row r="2296" spans="75:75">
      <c r="BW2296" s="3"/>
    </row>
    <row r="2297" spans="75:75">
      <c r="BW2297" s="3"/>
    </row>
    <row r="2298" spans="75:75">
      <c r="BW2298" s="3"/>
    </row>
    <row r="2299" spans="75:75">
      <c r="BW2299" s="3"/>
    </row>
    <row r="2300" spans="75:75">
      <c r="BW2300" s="3"/>
    </row>
    <row r="2301" spans="75:75">
      <c r="BW2301" s="3"/>
    </row>
    <row r="2302" spans="75:75">
      <c r="BW2302" s="3"/>
    </row>
    <row r="2303" spans="75:75">
      <c r="BW2303" s="3"/>
    </row>
    <row r="2304" spans="75:75">
      <c r="BW2304" s="3"/>
    </row>
    <row r="2305" spans="75:75">
      <c r="BW2305" s="3"/>
    </row>
    <row r="2306" spans="75:75">
      <c r="BW2306" s="3"/>
    </row>
    <row r="2307" spans="75:75">
      <c r="BW2307" s="3"/>
    </row>
    <row r="2308" spans="75:75">
      <c r="BW2308" s="3"/>
    </row>
    <row r="2309" spans="75:75">
      <c r="BW2309" s="3"/>
    </row>
    <row r="2310" spans="75:75">
      <c r="BW2310" s="3"/>
    </row>
    <row r="2311" spans="75:75">
      <c r="BW2311" s="3"/>
    </row>
    <row r="2312" spans="75:75">
      <c r="BW2312" s="3"/>
    </row>
    <row r="2313" spans="75:75">
      <c r="BW2313" s="3"/>
    </row>
    <row r="2314" spans="75:75">
      <c r="BW2314" s="3"/>
    </row>
    <row r="2315" spans="75:75">
      <c r="BW2315" s="3"/>
    </row>
    <row r="2316" spans="75:75">
      <c r="BW2316" s="3"/>
    </row>
    <row r="2317" spans="75:75">
      <c r="BW2317" s="3"/>
    </row>
    <row r="2318" spans="75:75">
      <c r="BW2318" s="3"/>
    </row>
    <row r="2319" spans="75:75">
      <c r="BW2319" s="3"/>
    </row>
    <row r="2320" spans="75:75">
      <c r="BW2320" s="3"/>
    </row>
    <row r="2321" spans="75:75">
      <c r="BW2321" s="3"/>
    </row>
    <row r="2322" spans="75:75">
      <c r="BW2322" s="3"/>
    </row>
    <row r="2323" spans="75:75">
      <c r="BW2323" s="3"/>
    </row>
    <row r="2324" spans="75:75">
      <c r="BW2324" s="3"/>
    </row>
    <row r="2325" spans="75:75">
      <c r="BW2325" s="3"/>
    </row>
    <row r="2326" spans="75:75">
      <c r="BW2326" s="3"/>
    </row>
    <row r="2327" spans="75:75">
      <c r="BW2327" s="3"/>
    </row>
    <row r="2328" spans="75:75">
      <c r="BW2328" s="3"/>
    </row>
    <row r="2329" spans="75:75">
      <c r="BW2329" s="3"/>
    </row>
    <row r="2330" spans="75:75">
      <c r="BW2330" s="3"/>
    </row>
    <row r="2331" spans="75:75">
      <c r="BW2331" s="3"/>
    </row>
    <row r="2332" spans="75:75">
      <c r="BW2332" s="3"/>
    </row>
    <row r="2333" spans="75:75">
      <c r="BW2333" s="3"/>
    </row>
    <row r="2334" spans="75:75">
      <c r="BW2334" s="3"/>
    </row>
    <row r="2335" spans="75:75">
      <c r="BW2335" s="3"/>
    </row>
    <row r="2336" spans="75:75">
      <c r="BW2336" s="3"/>
    </row>
    <row r="2337" spans="75:75">
      <c r="BW2337" s="3"/>
    </row>
    <row r="2338" spans="75:75">
      <c r="BW2338" s="3"/>
    </row>
    <row r="2339" spans="75:75">
      <c r="BW2339" s="3"/>
    </row>
    <row r="2340" spans="75:75">
      <c r="BW2340" s="3"/>
    </row>
    <row r="2341" spans="75:75">
      <c r="BW2341" s="3"/>
    </row>
    <row r="2342" spans="75:75">
      <c r="BW2342" s="3"/>
    </row>
    <row r="2343" spans="75:75">
      <c r="BW2343" s="3"/>
    </row>
    <row r="2344" spans="75:75">
      <c r="BW2344" s="3"/>
    </row>
    <row r="2345" spans="75:75">
      <c r="BW2345" s="3"/>
    </row>
    <row r="2346" spans="75:75">
      <c r="BW2346" s="3"/>
    </row>
    <row r="2347" spans="75:75">
      <c r="BW2347" s="3"/>
    </row>
    <row r="2348" spans="75:75">
      <c r="BW2348" s="3"/>
    </row>
    <row r="2349" spans="75:75">
      <c r="BW2349" s="3"/>
    </row>
    <row r="2350" spans="75:75">
      <c r="BW2350" s="3"/>
    </row>
    <row r="2351" spans="75:75">
      <c r="BW2351" s="3"/>
    </row>
    <row r="2352" spans="75:75">
      <c r="BW2352" s="3"/>
    </row>
    <row r="2353" spans="75:75">
      <c r="BW2353" s="3"/>
    </row>
    <row r="2354" spans="75:75">
      <c r="BW2354" s="3"/>
    </row>
    <row r="2355" spans="75:75">
      <c r="BW2355" s="3"/>
    </row>
    <row r="2356" spans="75:75">
      <c r="BW2356" s="3"/>
    </row>
    <row r="2357" spans="75:75">
      <c r="BW2357" s="3"/>
    </row>
    <row r="2358" spans="75:75">
      <c r="BW2358" s="3"/>
    </row>
    <row r="2359" spans="75:75">
      <c r="BW2359" s="3"/>
    </row>
    <row r="2360" spans="75:75">
      <c r="BW2360" s="3"/>
    </row>
    <row r="2361" spans="75:75">
      <c r="BW2361" s="3"/>
    </row>
    <row r="2362" spans="75:75">
      <c r="BW2362" s="3"/>
    </row>
    <row r="2363" spans="75:75">
      <c r="BW2363" s="3"/>
    </row>
    <row r="2364" spans="75:75">
      <c r="BW2364" s="3"/>
    </row>
    <row r="2365" spans="75:75">
      <c r="BW2365" s="3"/>
    </row>
    <row r="2366" spans="75:75">
      <c r="BW2366" s="3"/>
    </row>
    <row r="2367" spans="75:75">
      <c r="BW2367" s="3"/>
    </row>
    <row r="2368" spans="75:75">
      <c r="BW2368" s="3"/>
    </row>
    <row r="2369" spans="75:75">
      <c r="BW2369" s="3"/>
    </row>
    <row r="2370" spans="75:75">
      <c r="BW2370" s="3"/>
    </row>
    <row r="2371" spans="75:75">
      <c r="BW2371" s="3"/>
    </row>
    <row r="2372" spans="75:75">
      <c r="BW2372" s="3"/>
    </row>
    <row r="2373" spans="75:75">
      <c r="BW2373" s="3"/>
    </row>
    <row r="2374" spans="75:75">
      <c r="BW2374" s="3"/>
    </row>
    <row r="2375" spans="75:75">
      <c r="BW2375" s="3"/>
    </row>
    <row r="2376" spans="75:75">
      <c r="BW2376" s="3"/>
    </row>
    <row r="2377" spans="75:75">
      <c r="BW2377" s="3"/>
    </row>
    <row r="2378" spans="75:75">
      <c r="BW2378" s="3"/>
    </row>
    <row r="2379" spans="75:75">
      <c r="BW2379" s="3"/>
    </row>
    <row r="2380" spans="75:75">
      <c r="BW2380" s="3"/>
    </row>
    <row r="2381" spans="75:75">
      <c r="BW2381" s="3"/>
    </row>
    <row r="2382" spans="75:75">
      <c r="BW2382" s="3"/>
    </row>
    <row r="2383" spans="75:75">
      <c r="BW2383" s="3"/>
    </row>
    <row r="2384" spans="75:75">
      <c r="BW2384" s="3"/>
    </row>
    <row r="2385" spans="75:75">
      <c r="BW2385" s="3"/>
    </row>
    <row r="2386" spans="75:75">
      <c r="BW2386" s="3"/>
    </row>
    <row r="2387" spans="75:75">
      <c r="BW2387" s="3"/>
    </row>
    <row r="2388" spans="75:75">
      <c r="BW2388" s="3"/>
    </row>
    <row r="2389" spans="75:75">
      <c r="BW2389" s="3"/>
    </row>
    <row r="2390" spans="75:75">
      <c r="BW2390" s="3"/>
    </row>
    <row r="2391" spans="75:75">
      <c r="BW2391" s="3"/>
    </row>
    <row r="2392" spans="75:75">
      <c r="BW2392" s="3"/>
    </row>
    <row r="2393" spans="75:75">
      <c r="BW2393" s="3"/>
    </row>
    <row r="2394" spans="75:75">
      <c r="BW2394" s="3"/>
    </row>
    <row r="2395" spans="75:75">
      <c r="BW2395" s="3"/>
    </row>
    <row r="2396" spans="75:75">
      <c r="BW2396" s="3"/>
    </row>
    <row r="2397" spans="75:75">
      <c r="BW2397" s="3"/>
    </row>
    <row r="2398" spans="75:75">
      <c r="BW2398" s="3"/>
    </row>
    <row r="2399" spans="75:75">
      <c r="BW2399" s="3"/>
    </row>
    <row r="2400" spans="75:75">
      <c r="BW2400" s="3"/>
    </row>
    <row r="2401" spans="75:75">
      <c r="BW2401" s="3"/>
    </row>
    <row r="2402" spans="75:75">
      <c r="BW2402" s="3"/>
    </row>
    <row r="2403" spans="75:75">
      <c r="BW2403" s="3"/>
    </row>
    <row r="2404" spans="75:75">
      <c r="BW2404" s="3"/>
    </row>
    <row r="2405" spans="75:75">
      <c r="BW2405" s="3"/>
    </row>
    <row r="2406" spans="75:75">
      <c r="BW2406" s="3"/>
    </row>
    <row r="2407" spans="75:75">
      <c r="BW2407" s="3"/>
    </row>
    <row r="2408" spans="75:75">
      <c r="BW2408" s="3"/>
    </row>
    <row r="2409" spans="75:75">
      <c r="BW2409" s="3"/>
    </row>
    <row r="2410" spans="75:75">
      <c r="BW2410" s="3"/>
    </row>
    <row r="2411" spans="75:75">
      <c r="BW2411" s="3"/>
    </row>
    <row r="2412" spans="75:75">
      <c r="BW2412" s="3"/>
    </row>
    <row r="2413" spans="75:75">
      <c r="BW2413" s="3"/>
    </row>
    <row r="2414" spans="75:75">
      <c r="BW2414" s="3"/>
    </row>
    <row r="2415" spans="75:75">
      <c r="BW2415" s="3"/>
    </row>
    <row r="2416" spans="75:75">
      <c r="BW2416" s="3"/>
    </row>
    <row r="2417" spans="75:75">
      <c r="BW2417" s="3"/>
    </row>
    <row r="2418" spans="75:75">
      <c r="BW2418" s="3"/>
    </row>
    <row r="2419" spans="75:75">
      <c r="BW2419" s="3"/>
    </row>
    <row r="2420" spans="75:75">
      <c r="BW2420" s="3"/>
    </row>
    <row r="2421" spans="75:75">
      <c r="BW2421" s="3"/>
    </row>
    <row r="2422" spans="75:75">
      <c r="BW2422" s="3"/>
    </row>
    <row r="2423" spans="75:75">
      <c r="BW2423" s="3"/>
    </row>
    <row r="2424" spans="75:75">
      <c r="BW2424" s="3"/>
    </row>
    <row r="2425" spans="75:75">
      <c r="BW2425" s="3"/>
    </row>
    <row r="2426" spans="75:75">
      <c r="BW2426" s="3"/>
    </row>
    <row r="2427" spans="75:75">
      <c r="BW2427" s="3"/>
    </row>
    <row r="2428" spans="75:75">
      <c r="BW2428" s="3"/>
    </row>
    <row r="2429" spans="75:75">
      <c r="BW2429" s="3"/>
    </row>
    <row r="2430" spans="75:75">
      <c r="BW2430" s="3"/>
    </row>
    <row r="2431" spans="75:75">
      <c r="BW2431" s="3"/>
    </row>
    <row r="2432" spans="75:75">
      <c r="BW2432" s="3"/>
    </row>
    <row r="2433" spans="75:75">
      <c r="BW2433" s="3"/>
    </row>
    <row r="2434" spans="75:75">
      <c r="BW2434" s="3"/>
    </row>
    <row r="2435" spans="75:75">
      <c r="BW2435" s="3"/>
    </row>
    <row r="2436" spans="75:75">
      <c r="BW2436" s="3"/>
    </row>
    <row r="2437" spans="75:75">
      <c r="BW2437" s="3"/>
    </row>
    <row r="2438" spans="75:75">
      <c r="BW2438" s="3"/>
    </row>
    <row r="2439" spans="75:75">
      <c r="BW2439" s="3"/>
    </row>
    <row r="2440" spans="75:75">
      <c r="BW2440" s="3"/>
    </row>
    <row r="2441" spans="75:75">
      <c r="BW2441" s="3"/>
    </row>
    <row r="2442" spans="75:75">
      <c r="BW2442" s="3"/>
    </row>
    <row r="2443" spans="75:75">
      <c r="BW2443" s="3"/>
    </row>
    <row r="2444" spans="75:75">
      <c r="BW2444" s="3"/>
    </row>
    <row r="2445" spans="75:75">
      <c r="BW2445" s="3"/>
    </row>
    <row r="2446" spans="75:75">
      <c r="BW2446" s="3"/>
    </row>
    <row r="2447" spans="75:75">
      <c r="BW2447" s="3"/>
    </row>
    <row r="2448" spans="75:75">
      <c r="BW2448" s="3"/>
    </row>
    <row r="2449" spans="75:75">
      <c r="BW2449" s="3"/>
    </row>
    <row r="2450" spans="75:75">
      <c r="BW2450" s="3"/>
    </row>
    <row r="2451" spans="75:75">
      <c r="BW2451" s="3"/>
    </row>
    <row r="2452" spans="75:75">
      <c r="BW2452" s="3"/>
    </row>
    <row r="2453" spans="75:75">
      <c r="BW2453" s="3"/>
    </row>
    <row r="2454" spans="75:75">
      <c r="BW2454" s="3"/>
    </row>
    <row r="2455" spans="75:75">
      <c r="BW2455" s="3"/>
    </row>
    <row r="2456" spans="75:75">
      <c r="BW2456" s="3"/>
    </row>
    <row r="2457" spans="75:75">
      <c r="BW2457" s="3"/>
    </row>
    <row r="2458" spans="75:75">
      <c r="BW2458" s="3"/>
    </row>
    <row r="2459" spans="75:75">
      <c r="BW2459" s="3"/>
    </row>
    <row r="2460" spans="75:75">
      <c r="BW2460" s="3"/>
    </row>
    <row r="2461" spans="75:75">
      <c r="BW2461" s="3"/>
    </row>
    <row r="2462" spans="75:75">
      <c r="BW2462" s="3"/>
    </row>
    <row r="2463" spans="75:75">
      <c r="BW2463" s="3"/>
    </row>
    <row r="2464" spans="75:75">
      <c r="BW2464" s="3"/>
    </row>
    <row r="2465" spans="75:75">
      <c r="BW2465" s="3"/>
    </row>
    <row r="2466" spans="75:75">
      <c r="BW2466" s="3"/>
    </row>
    <row r="2467" spans="75:75">
      <c r="BW2467" s="3"/>
    </row>
    <row r="2468" spans="75:75">
      <c r="BW2468" s="3"/>
    </row>
    <row r="2469" spans="75:75">
      <c r="BW2469" s="3"/>
    </row>
    <row r="2470" spans="75:75">
      <c r="BW2470" s="3"/>
    </row>
    <row r="2471" spans="75:75">
      <c r="BW2471" s="3"/>
    </row>
    <row r="2472" spans="75:75">
      <c r="BW2472" s="3"/>
    </row>
    <row r="2473" spans="75:75">
      <c r="BW2473" s="3"/>
    </row>
    <row r="2474" spans="75:75">
      <c r="BW2474" s="3"/>
    </row>
    <row r="2475" spans="75:75">
      <c r="BW2475" s="3"/>
    </row>
    <row r="2476" spans="75:75">
      <c r="BW2476" s="3"/>
    </row>
    <row r="2477" spans="75:75">
      <c r="BW2477" s="3"/>
    </row>
    <row r="2478" spans="75:75">
      <c r="BW2478" s="3"/>
    </row>
    <row r="2479" spans="75:75">
      <c r="BW2479" s="3"/>
    </row>
    <row r="2480" spans="75:75">
      <c r="BW2480" s="3"/>
    </row>
    <row r="2481" spans="75:75">
      <c r="BW2481" s="3"/>
    </row>
    <row r="2482" spans="75:75">
      <c r="BW2482" s="3"/>
    </row>
    <row r="2483" spans="75:75">
      <c r="BW2483" s="3"/>
    </row>
    <row r="2484" spans="75:75">
      <c r="BW2484" s="3"/>
    </row>
    <row r="2485" spans="75:75">
      <c r="BW2485" s="3"/>
    </row>
    <row r="2486" spans="75:75">
      <c r="BW2486" s="3"/>
    </row>
    <row r="2487" spans="75:75">
      <c r="BW2487" s="3"/>
    </row>
    <row r="2488" spans="75:75">
      <c r="BW2488" s="3"/>
    </row>
    <row r="2489" spans="75:75">
      <c r="BW2489" s="3"/>
    </row>
    <row r="2490" spans="75:75">
      <c r="BW2490" s="3"/>
    </row>
    <row r="2491" spans="75:75">
      <c r="BW2491" s="3"/>
    </row>
    <row r="2492" spans="75:75">
      <c r="BW2492" s="3"/>
    </row>
    <row r="2493" spans="75:75">
      <c r="BW2493" s="3"/>
    </row>
    <row r="2494" spans="75:75">
      <c r="BW2494" s="3"/>
    </row>
    <row r="2495" spans="75:75">
      <c r="BW2495" s="3"/>
    </row>
    <row r="2496" spans="75:75">
      <c r="BW2496" s="3"/>
    </row>
    <row r="2497" spans="75:75">
      <c r="BW2497" s="3"/>
    </row>
    <row r="2498" spans="75:75">
      <c r="BW2498" s="3"/>
    </row>
    <row r="2499" spans="75:75">
      <c r="BW2499" s="3"/>
    </row>
    <row r="2500" spans="75:75">
      <c r="BW2500" s="3"/>
    </row>
    <row r="2501" spans="75:75">
      <c r="BW2501" s="3"/>
    </row>
    <row r="2502" spans="75:75">
      <c r="BW2502" s="3"/>
    </row>
    <row r="2503" spans="75:75">
      <c r="BW2503" s="3"/>
    </row>
    <row r="2504" spans="75:75">
      <c r="BW2504" s="3"/>
    </row>
    <row r="2505" spans="75:75">
      <c r="BW2505" s="3"/>
    </row>
    <row r="2506" spans="75:75">
      <c r="BW2506" s="3"/>
    </row>
    <row r="2507" spans="75:75">
      <c r="BW2507" s="3"/>
    </row>
    <row r="2508" spans="75:75">
      <c r="BW2508" s="3"/>
    </row>
    <row r="2509" spans="75:75">
      <c r="BW2509" s="3"/>
    </row>
    <row r="2510" spans="75:75">
      <c r="BW2510" s="3"/>
    </row>
    <row r="2511" spans="75:75">
      <c r="BW2511" s="3"/>
    </row>
    <row r="2512" spans="75:75">
      <c r="BW2512" s="3"/>
    </row>
    <row r="2513" spans="75:75">
      <c r="BW2513" s="3"/>
    </row>
    <row r="2514" spans="75:75">
      <c r="BW2514" s="3"/>
    </row>
    <row r="2515" spans="75:75">
      <c r="BW2515" s="3"/>
    </row>
    <row r="2516" spans="75:75">
      <c r="BW2516" s="3"/>
    </row>
    <row r="2517" spans="75:75">
      <c r="BW2517" s="3"/>
    </row>
    <row r="2518" spans="75:75">
      <c r="BW2518" s="3"/>
    </row>
    <row r="2519" spans="75:75">
      <c r="BW2519" s="3"/>
    </row>
    <row r="2520" spans="75:75">
      <c r="BW2520" s="3"/>
    </row>
    <row r="2521" spans="75:75">
      <c r="BW2521" s="3"/>
    </row>
    <row r="2522" spans="75:75">
      <c r="BW2522" s="3"/>
    </row>
    <row r="2523" spans="75:75">
      <c r="BW2523" s="3"/>
    </row>
    <row r="2524" spans="75:75">
      <c r="BW2524" s="3"/>
    </row>
    <row r="2525" spans="75:75">
      <c r="BW2525" s="3"/>
    </row>
    <row r="2526" spans="75:75">
      <c r="BW2526" s="3"/>
    </row>
    <row r="2527" spans="75:75">
      <c r="BW2527" s="3"/>
    </row>
    <row r="2528" spans="75:75">
      <c r="BW2528" s="3"/>
    </row>
    <row r="2529" spans="75:75">
      <c r="BW2529" s="3"/>
    </row>
    <row r="2530" spans="75:75">
      <c r="BW2530" s="3"/>
    </row>
    <row r="2531" spans="75:75">
      <c r="BW2531" s="3"/>
    </row>
    <row r="2532" spans="75:75">
      <c r="BW2532" s="3"/>
    </row>
    <row r="2533" spans="75:75">
      <c r="BW2533" s="3"/>
    </row>
    <row r="2534" spans="75:75">
      <c r="BW2534" s="3"/>
    </row>
    <row r="2535" spans="75:75">
      <c r="BW2535" s="3"/>
    </row>
    <row r="2536" spans="75:75">
      <c r="BW2536" s="3"/>
    </row>
    <row r="2537" spans="75:75">
      <c r="BW2537" s="3"/>
    </row>
    <row r="2538" spans="75:75">
      <c r="BW2538" s="3"/>
    </row>
    <row r="2539" spans="75:75">
      <c r="BW2539" s="3"/>
    </row>
    <row r="2540" spans="75:75">
      <c r="BW2540" s="3"/>
    </row>
    <row r="2541" spans="75:75">
      <c r="BW2541" s="3"/>
    </row>
    <row r="2542" spans="75:75">
      <c r="BW2542" s="3"/>
    </row>
    <row r="2543" spans="75:75">
      <c r="BW2543" s="3"/>
    </row>
    <row r="2544" spans="75:75">
      <c r="BW2544" s="3"/>
    </row>
    <row r="2545" spans="75:75">
      <c r="BW2545" s="3"/>
    </row>
    <row r="2546" spans="75:75">
      <c r="BW2546" s="3"/>
    </row>
    <row r="2547" spans="75:75">
      <c r="BW2547" s="3"/>
    </row>
    <row r="2548" spans="75:75">
      <c r="BW2548" s="3"/>
    </row>
    <row r="2549" spans="75:75">
      <c r="BW2549" s="3"/>
    </row>
    <row r="2550" spans="75:75">
      <c r="BW2550" s="3"/>
    </row>
    <row r="2551" spans="75:75">
      <c r="BW2551" s="3"/>
    </row>
    <row r="2552" spans="75:75">
      <c r="BW2552" s="3"/>
    </row>
    <row r="2553" spans="75:75">
      <c r="BW2553" s="3"/>
    </row>
    <row r="2554" spans="75:75">
      <c r="BW2554" s="3"/>
    </row>
    <row r="2555" spans="75:75">
      <c r="BW2555" s="3"/>
    </row>
    <row r="2556" spans="75:75">
      <c r="BW2556" s="3"/>
    </row>
    <row r="2557" spans="75:75">
      <c r="BW2557" s="3"/>
    </row>
    <row r="2558" spans="75:75">
      <c r="BW2558" s="3"/>
    </row>
    <row r="2559" spans="75:75">
      <c r="BW2559" s="3"/>
    </row>
    <row r="2560" spans="75:75">
      <c r="BW2560" s="3"/>
    </row>
    <row r="2561" spans="75:75">
      <c r="BW2561" s="3"/>
    </row>
    <row r="2562" spans="75:75">
      <c r="BW2562" s="3"/>
    </row>
    <row r="2563" spans="75:75">
      <c r="BW2563" s="3"/>
    </row>
    <row r="2564" spans="75:75">
      <c r="BW2564" s="3"/>
    </row>
    <row r="2565" spans="75:75">
      <c r="BW2565" s="3"/>
    </row>
    <row r="2566" spans="75:75">
      <c r="BW2566" s="3"/>
    </row>
    <row r="2567" spans="75:75">
      <c r="BW2567" s="3"/>
    </row>
    <row r="2568" spans="75:75">
      <c r="BW2568" s="3"/>
    </row>
    <row r="2569" spans="75:75">
      <c r="BW2569" s="3"/>
    </row>
    <row r="2570" spans="75:75">
      <c r="BW2570" s="3"/>
    </row>
    <row r="2571" spans="75:75">
      <c r="BW2571" s="3"/>
    </row>
    <row r="2572" spans="75:75">
      <c r="BW2572" s="3"/>
    </row>
    <row r="2573" spans="75:75">
      <c r="BW2573" s="3"/>
    </row>
    <row r="2574" spans="75:75">
      <c r="BW2574" s="3"/>
    </row>
    <row r="2575" spans="75:75">
      <c r="BW2575" s="3"/>
    </row>
    <row r="2576" spans="75:75">
      <c r="BW2576" s="3"/>
    </row>
    <row r="2577" spans="75:75">
      <c r="BW2577" s="3"/>
    </row>
    <row r="2578" spans="75:75">
      <c r="BW2578" s="3"/>
    </row>
    <row r="2579" spans="75:75">
      <c r="BW2579" s="3"/>
    </row>
    <row r="2580" spans="75:75">
      <c r="BW2580" s="3"/>
    </row>
    <row r="2581" spans="75:75">
      <c r="BW2581" s="3"/>
    </row>
    <row r="2582" spans="75:75">
      <c r="BW2582" s="3"/>
    </row>
    <row r="2583" spans="75:75">
      <c r="BW2583" s="3"/>
    </row>
    <row r="2584" spans="75:75">
      <c r="BW2584" s="3"/>
    </row>
    <row r="2585" spans="75:75">
      <c r="BW2585" s="3"/>
    </row>
    <row r="2586" spans="75:75">
      <c r="BW2586" s="3"/>
    </row>
    <row r="2587" spans="75:75">
      <c r="BW2587" s="3"/>
    </row>
    <row r="2588" spans="75:75">
      <c r="BW2588" s="3"/>
    </row>
    <row r="2589" spans="75:75">
      <c r="BW2589" s="3"/>
    </row>
    <row r="2590" spans="75:75">
      <c r="BW2590" s="3"/>
    </row>
    <row r="2591" spans="75:75">
      <c r="BW2591" s="3"/>
    </row>
    <row r="2592" spans="75:75">
      <c r="BW2592" s="3"/>
    </row>
    <row r="2593" spans="75:75">
      <c r="BW2593" s="3"/>
    </row>
    <row r="2594" spans="75:75">
      <c r="BW2594" s="3"/>
    </row>
    <row r="2595" spans="75:75">
      <c r="BW2595" s="3"/>
    </row>
    <row r="2596" spans="75:75">
      <c r="BW2596" s="3"/>
    </row>
    <row r="2597" spans="75:75">
      <c r="BW2597" s="3"/>
    </row>
    <row r="2598" spans="75:75">
      <c r="BW2598" s="3"/>
    </row>
    <row r="2599" spans="75:75">
      <c r="BW2599" s="3"/>
    </row>
    <row r="2600" spans="75:75">
      <c r="BW2600" s="3"/>
    </row>
    <row r="2601" spans="75:75">
      <c r="BW2601" s="3"/>
    </row>
    <row r="2602" spans="75:75">
      <c r="BW2602" s="3"/>
    </row>
    <row r="2603" spans="75:75">
      <c r="BW2603" s="3"/>
    </row>
    <row r="2604" spans="75:75">
      <c r="BW2604" s="3"/>
    </row>
    <row r="2605" spans="75:75">
      <c r="BW2605" s="3"/>
    </row>
    <row r="2606" spans="75:75">
      <c r="BW2606" s="3"/>
    </row>
    <row r="2607" spans="75:75">
      <c r="BW2607" s="3"/>
    </row>
    <row r="2608" spans="75:75">
      <c r="BW2608" s="3"/>
    </row>
    <row r="2609" spans="75:75">
      <c r="BW2609" s="3"/>
    </row>
    <row r="2610" spans="75:75">
      <c r="BW2610" s="3"/>
    </row>
    <row r="2611" spans="75:75">
      <c r="BW2611" s="3"/>
    </row>
    <row r="2612" spans="75:75">
      <c r="BW2612" s="3"/>
    </row>
    <row r="2613" spans="75:75">
      <c r="BW2613" s="3"/>
    </row>
    <row r="2614" spans="75:75">
      <c r="BW2614" s="3"/>
    </row>
    <row r="2615" spans="75:75">
      <c r="BW2615" s="3"/>
    </row>
    <row r="2616" spans="75:75">
      <c r="BW2616" s="3"/>
    </row>
    <row r="2617" spans="75:75">
      <c r="BW2617" s="3"/>
    </row>
    <row r="2618" spans="75:75">
      <c r="BW2618" s="3"/>
    </row>
    <row r="2619" spans="75:75">
      <c r="BW2619" s="3"/>
    </row>
    <row r="2620" spans="75:75">
      <c r="BW2620" s="3"/>
    </row>
    <row r="2621" spans="75:75">
      <c r="BW2621" s="3"/>
    </row>
    <row r="2622" spans="75:75">
      <c r="BW2622" s="3"/>
    </row>
    <row r="2623" spans="75:75">
      <c r="BW2623" s="3"/>
    </row>
    <row r="2624" spans="75:75">
      <c r="BW2624" s="3"/>
    </row>
    <row r="2625" spans="75:75">
      <c r="BW2625" s="3"/>
    </row>
    <row r="2626" spans="75:75">
      <c r="BW2626" s="3"/>
    </row>
    <row r="2627" spans="75:75">
      <c r="BW2627" s="3"/>
    </row>
    <row r="2628" spans="75:75">
      <c r="BW2628" s="3"/>
    </row>
    <row r="2629" spans="75:75">
      <c r="BW2629" s="3"/>
    </row>
    <row r="2630" spans="75:75">
      <c r="BW2630" s="3"/>
    </row>
    <row r="2631" spans="75:75">
      <c r="BW2631" s="3"/>
    </row>
    <row r="2632" spans="75:75">
      <c r="BW2632" s="3"/>
    </row>
    <row r="2633" spans="75:75">
      <c r="BW2633" s="3"/>
    </row>
    <row r="2634" spans="75:75">
      <c r="BW2634" s="3"/>
    </row>
    <row r="2635" spans="75:75">
      <c r="BW2635" s="3"/>
    </row>
    <row r="2636" spans="75:75">
      <c r="BW2636" s="3"/>
    </row>
    <row r="2637" spans="75:75">
      <c r="BW2637" s="3"/>
    </row>
    <row r="2638" spans="75:75">
      <c r="BW2638" s="3"/>
    </row>
    <row r="2639" spans="75:75">
      <c r="BW2639" s="3"/>
    </row>
    <row r="2640" spans="75:75">
      <c r="BW2640" s="3"/>
    </row>
    <row r="2641" spans="75:75">
      <c r="BW2641" s="3"/>
    </row>
    <row r="2642" spans="75:75">
      <c r="BW2642" s="3"/>
    </row>
    <row r="2643" spans="75:75">
      <c r="BW2643" s="3"/>
    </row>
    <row r="2644" spans="75:75">
      <c r="BW2644" s="3"/>
    </row>
    <row r="2645" spans="75:75">
      <c r="BW2645" s="3"/>
    </row>
    <row r="2646" spans="75:75">
      <c r="BW2646" s="3"/>
    </row>
    <row r="2647" spans="75:75">
      <c r="BW2647" s="3"/>
    </row>
    <row r="2648" spans="75:75">
      <c r="BW2648" s="3"/>
    </row>
    <row r="2649" spans="75:75">
      <c r="BW2649" s="3"/>
    </row>
    <row r="2650" spans="75:75">
      <c r="BW2650" s="3"/>
    </row>
    <row r="2651" spans="75:75">
      <c r="BW2651" s="3"/>
    </row>
    <row r="2652" spans="75:75">
      <c r="BW2652" s="3"/>
    </row>
    <row r="2653" spans="75:75">
      <c r="BW2653" s="3"/>
    </row>
    <row r="2654" spans="75:75">
      <c r="BW2654" s="3"/>
    </row>
    <row r="2655" spans="75:75">
      <c r="BW2655" s="3"/>
    </row>
    <row r="2656" spans="75:75">
      <c r="BW2656" s="3"/>
    </row>
    <row r="2657" spans="75:75">
      <c r="BW2657" s="3"/>
    </row>
    <row r="2658" spans="75:75">
      <c r="BW2658" s="3"/>
    </row>
    <row r="2659" spans="75:75">
      <c r="BW2659" s="3"/>
    </row>
    <row r="2660" spans="75:75">
      <c r="BW2660" s="3"/>
    </row>
    <row r="2661" spans="75:75">
      <c r="BW2661" s="3"/>
    </row>
    <row r="2662" spans="75:75">
      <c r="BW2662" s="3"/>
    </row>
    <row r="2663" spans="75:75">
      <c r="BW2663" s="3"/>
    </row>
    <row r="2664" spans="75:75">
      <c r="BW2664" s="3"/>
    </row>
    <row r="2665" spans="75:75">
      <c r="BW2665" s="3"/>
    </row>
    <row r="2666" spans="75:75">
      <c r="BW2666" s="3"/>
    </row>
    <row r="2667" spans="75:75">
      <c r="BW2667" s="3"/>
    </row>
    <row r="2668" spans="75:75">
      <c r="BW2668" s="3"/>
    </row>
    <row r="2669" spans="75:75">
      <c r="BW2669" s="3"/>
    </row>
    <row r="2670" spans="75:75">
      <c r="BW2670" s="3"/>
    </row>
    <row r="2671" spans="75:75">
      <c r="BW2671" s="3"/>
    </row>
    <row r="2672" spans="75:75">
      <c r="BW2672" s="3"/>
    </row>
    <row r="2673" spans="75:75">
      <c r="BW2673" s="3"/>
    </row>
    <row r="2674" spans="75:75">
      <c r="BW2674" s="3"/>
    </row>
    <row r="2675" spans="75:75">
      <c r="BW2675" s="3"/>
    </row>
    <row r="2676" spans="75:75">
      <c r="BW2676" s="3"/>
    </row>
    <row r="2677" spans="75:75">
      <c r="BW2677" s="3"/>
    </row>
    <row r="2678" spans="75:75">
      <c r="BW2678" s="3"/>
    </row>
    <row r="2679" spans="75:75">
      <c r="BW2679" s="3"/>
    </row>
    <row r="2680" spans="75:75">
      <c r="BW2680" s="3"/>
    </row>
    <row r="2681" spans="75:75">
      <c r="BW2681" s="3"/>
    </row>
    <row r="2682" spans="75:75">
      <c r="BW2682" s="3"/>
    </row>
    <row r="2683" spans="75:75">
      <c r="BW2683" s="3"/>
    </row>
    <row r="2684" spans="75:75">
      <c r="BW2684" s="3"/>
    </row>
    <row r="2685" spans="75:75">
      <c r="BW2685" s="3"/>
    </row>
    <row r="2686" spans="75:75">
      <c r="BW2686" s="3"/>
    </row>
    <row r="2687" spans="75:75">
      <c r="BW2687" s="3"/>
    </row>
    <row r="2688" spans="75:75">
      <c r="BW2688" s="3"/>
    </row>
    <row r="2689" spans="75:75">
      <c r="BW2689" s="3"/>
    </row>
    <row r="2690" spans="75:75">
      <c r="BW2690" s="3"/>
    </row>
    <row r="2691" spans="75:75">
      <c r="BW2691" s="3"/>
    </row>
    <row r="2692" spans="75:75">
      <c r="BW2692" s="3"/>
    </row>
    <row r="2693" spans="75:75">
      <c r="BW2693" s="3"/>
    </row>
    <row r="2694" spans="75:75">
      <c r="BW2694" s="3"/>
    </row>
    <row r="2695" spans="75:75">
      <c r="BW2695" s="3"/>
    </row>
    <row r="2696" spans="75:75">
      <c r="BW2696" s="3"/>
    </row>
    <row r="2697" spans="75:75">
      <c r="BW2697" s="3"/>
    </row>
    <row r="2698" spans="75:75">
      <c r="BW2698" s="3"/>
    </row>
    <row r="2699" spans="75:75">
      <c r="BW2699" s="3"/>
    </row>
    <row r="2700" spans="75:75">
      <c r="BW2700" s="3"/>
    </row>
    <row r="2701" spans="75:75">
      <c r="BW2701" s="3"/>
    </row>
    <row r="2702" spans="75:75">
      <c r="BW2702" s="3"/>
    </row>
    <row r="2703" spans="75:75">
      <c r="BW2703" s="3"/>
    </row>
    <row r="2704" spans="75:75">
      <c r="BW2704" s="3"/>
    </row>
    <row r="2705" spans="75:75">
      <c r="BW2705" s="3"/>
    </row>
    <row r="2706" spans="75:75">
      <c r="BW2706" s="3"/>
    </row>
    <row r="2707" spans="75:75">
      <c r="BW2707" s="3"/>
    </row>
    <row r="2708" spans="75:75">
      <c r="BW2708" s="3"/>
    </row>
    <row r="2709" spans="75:75">
      <c r="BW2709" s="3"/>
    </row>
    <row r="2710" spans="75:75">
      <c r="BW2710" s="3"/>
    </row>
    <row r="2711" spans="75:75">
      <c r="BW2711" s="3"/>
    </row>
    <row r="2712" spans="75:75">
      <c r="BW2712" s="3"/>
    </row>
    <row r="2713" spans="75:75">
      <c r="BW2713" s="3"/>
    </row>
    <row r="2714" spans="75:75">
      <c r="BW2714" s="3"/>
    </row>
    <row r="2715" spans="75:75">
      <c r="BW2715" s="3"/>
    </row>
    <row r="2716" spans="75:75">
      <c r="BW2716" s="3"/>
    </row>
    <row r="2717" spans="75:75">
      <c r="BW2717" s="3"/>
    </row>
    <row r="2718" spans="75:75">
      <c r="BW2718" s="3"/>
    </row>
    <row r="2719" spans="75:75">
      <c r="BW2719" s="3"/>
    </row>
    <row r="2720" spans="75:75">
      <c r="BW2720" s="3"/>
    </row>
    <row r="2721" spans="75:75">
      <c r="BW2721" s="3"/>
    </row>
    <row r="2722" spans="75:75">
      <c r="BW2722" s="3"/>
    </row>
    <row r="2723" spans="75:75">
      <c r="BW2723" s="3"/>
    </row>
    <row r="2724" spans="75:75">
      <c r="BW2724" s="3"/>
    </row>
    <row r="2725" spans="75:75">
      <c r="BW2725" s="3"/>
    </row>
    <row r="2726" spans="75:75">
      <c r="BW2726" s="3"/>
    </row>
    <row r="2727" spans="75:75">
      <c r="BW2727" s="3"/>
    </row>
    <row r="2728" spans="75:75">
      <c r="BW2728" s="3"/>
    </row>
    <row r="2729" spans="75:75">
      <c r="BW2729" s="3"/>
    </row>
    <row r="2730" spans="75:75">
      <c r="BW2730" s="3"/>
    </row>
    <row r="2731" spans="75:75">
      <c r="BW2731" s="3"/>
    </row>
    <row r="2732" spans="75:75">
      <c r="BW2732" s="3"/>
    </row>
    <row r="2733" spans="75:75">
      <c r="BW2733" s="3"/>
    </row>
    <row r="2734" spans="75:75">
      <c r="BW2734" s="3"/>
    </row>
    <row r="2735" spans="75:75">
      <c r="BW2735" s="3"/>
    </row>
    <row r="2736" spans="75:75">
      <c r="BW2736" s="3"/>
    </row>
    <row r="2737" spans="75:75">
      <c r="BW2737" s="3"/>
    </row>
    <row r="2738" spans="75:75">
      <c r="BW2738" s="3"/>
    </row>
    <row r="2739" spans="75:75">
      <c r="BW2739" s="3"/>
    </row>
    <row r="2740" spans="75:75">
      <c r="BW2740" s="3"/>
    </row>
    <row r="2741" spans="75:75">
      <c r="BW2741" s="3"/>
    </row>
    <row r="2742" spans="75:75">
      <c r="BW2742" s="3"/>
    </row>
    <row r="2743" spans="75:75">
      <c r="BW2743" s="3"/>
    </row>
    <row r="2744" spans="75:75">
      <c r="BW2744" s="3"/>
    </row>
    <row r="2745" spans="75:75">
      <c r="BW2745" s="3"/>
    </row>
    <row r="2746" spans="75:75">
      <c r="BW2746" s="3"/>
    </row>
    <row r="2747" spans="75:75">
      <c r="BW2747" s="3"/>
    </row>
    <row r="2748" spans="75:75">
      <c r="BW2748" s="3"/>
    </row>
    <row r="2749" spans="75:75">
      <c r="BW2749" s="3"/>
    </row>
    <row r="2750" spans="75:75">
      <c r="BW2750" s="3"/>
    </row>
    <row r="2751" spans="75:75">
      <c r="BW2751" s="3"/>
    </row>
    <row r="2752" spans="75:75">
      <c r="BW2752" s="3"/>
    </row>
    <row r="2753" spans="75:75">
      <c r="BW2753" s="3"/>
    </row>
    <row r="2754" spans="75:75">
      <c r="BW2754" s="3"/>
    </row>
    <row r="2755" spans="75:75">
      <c r="BW2755" s="3"/>
    </row>
    <row r="2756" spans="75:75">
      <c r="BW2756" s="3"/>
    </row>
    <row r="2757" spans="75:75">
      <c r="BW2757" s="3"/>
    </row>
    <row r="2758" spans="75:75">
      <c r="BW2758" s="3"/>
    </row>
    <row r="2759" spans="75:75">
      <c r="BW2759" s="3"/>
    </row>
    <row r="2760" spans="75:75">
      <c r="BW2760" s="3"/>
    </row>
    <row r="2761" spans="75:75">
      <c r="BW2761" s="3"/>
    </row>
    <row r="2762" spans="75:75">
      <c r="BW2762" s="3"/>
    </row>
    <row r="2763" spans="75:75">
      <c r="BW2763" s="3"/>
    </row>
    <row r="2764" spans="75:75">
      <c r="BW2764" s="3"/>
    </row>
    <row r="2765" spans="75:75">
      <c r="BW2765" s="3"/>
    </row>
    <row r="2766" spans="75:75">
      <c r="BW2766" s="3"/>
    </row>
    <row r="2767" spans="75:75">
      <c r="BW2767" s="3"/>
    </row>
    <row r="2768" spans="75:75">
      <c r="BW2768" s="3"/>
    </row>
    <row r="2769" spans="75:75">
      <c r="BW2769" s="3"/>
    </row>
    <row r="2770" spans="75:75">
      <c r="BW2770" s="3"/>
    </row>
    <row r="2771" spans="75:75">
      <c r="BW2771" s="3"/>
    </row>
    <row r="2772" spans="75:75">
      <c r="BW2772" s="3"/>
    </row>
    <row r="2773" spans="75:75">
      <c r="BW2773" s="3"/>
    </row>
    <row r="2774" spans="75:75">
      <c r="BW2774" s="3"/>
    </row>
    <row r="2775" spans="75:75">
      <c r="BW2775" s="3"/>
    </row>
    <row r="2776" spans="75:75">
      <c r="BW2776" s="3"/>
    </row>
    <row r="2777" spans="75:75">
      <c r="BW2777" s="3"/>
    </row>
    <row r="2778" spans="75:75">
      <c r="BW2778" s="3"/>
    </row>
    <row r="2779" spans="75:75">
      <c r="BW2779" s="3"/>
    </row>
    <row r="2780" spans="75:75">
      <c r="BW2780" s="3"/>
    </row>
    <row r="2781" spans="75:75">
      <c r="BW2781" s="3"/>
    </row>
    <row r="2782" spans="75:75">
      <c r="BW2782" s="3"/>
    </row>
    <row r="2783" spans="75:75">
      <c r="BW2783" s="3"/>
    </row>
    <row r="2784" spans="75:75">
      <c r="BW2784" s="3"/>
    </row>
    <row r="2785" spans="75:75">
      <c r="BW2785" s="3"/>
    </row>
    <row r="2786" spans="75:75">
      <c r="BW2786" s="3"/>
    </row>
    <row r="2787" spans="75:75">
      <c r="BW2787" s="3"/>
    </row>
    <row r="2788" spans="75:75">
      <c r="BW2788" s="3"/>
    </row>
    <row r="2789" spans="75:75">
      <c r="BW2789" s="3"/>
    </row>
    <row r="2790" spans="75:75">
      <c r="BW2790" s="3"/>
    </row>
    <row r="2791" spans="75:75">
      <c r="BW2791" s="3"/>
    </row>
    <row r="2792" spans="75:75">
      <c r="BW2792" s="3"/>
    </row>
    <row r="2793" spans="75:75">
      <c r="BW2793" s="3"/>
    </row>
    <row r="2794" spans="75:75">
      <c r="BW2794" s="3"/>
    </row>
    <row r="2795" spans="75:75">
      <c r="BW2795" s="3"/>
    </row>
    <row r="2796" spans="75:75">
      <c r="BW2796" s="3"/>
    </row>
    <row r="2797" spans="75:75">
      <c r="BW2797" s="3"/>
    </row>
    <row r="2798" spans="75:75">
      <c r="BW2798" s="3"/>
    </row>
    <row r="2799" spans="75:75">
      <c r="BW2799" s="3"/>
    </row>
    <row r="2800" spans="75:75">
      <c r="BW2800" s="3"/>
    </row>
    <row r="2801" spans="75:75">
      <c r="BW2801" s="3"/>
    </row>
    <row r="2802" spans="75:75">
      <c r="BW2802" s="3"/>
    </row>
    <row r="2803" spans="75:75">
      <c r="BW2803" s="3"/>
    </row>
    <row r="2804" spans="75:75">
      <c r="BW2804" s="3"/>
    </row>
    <row r="2805" spans="75:75">
      <c r="BW2805" s="3"/>
    </row>
    <row r="2806" spans="75:75">
      <c r="BW2806" s="3"/>
    </row>
    <row r="2807" spans="75:75">
      <c r="BW2807" s="3"/>
    </row>
    <row r="2808" spans="75:75">
      <c r="BW2808" s="3"/>
    </row>
    <row r="2809" spans="75:75">
      <c r="BW2809" s="3"/>
    </row>
    <row r="2810" spans="75:75">
      <c r="BW2810" s="3"/>
    </row>
    <row r="2811" spans="75:75">
      <c r="BW2811" s="3"/>
    </row>
    <row r="2812" spans="75:75">
      <c r="BW2812" s="3"/>
    </row>
    <row r="2813" spans="75:75">
      <c r="BW2813" s="3"/>
    </row>
    <row r="2814" spans="75:75">
      <c r="BW2814" s="3"/>
    </row>
    <row r="2815" spans="75:75">
      <c r="BW2815" s="3"/>
    </row>
    <row r="2816" spans="75:75">
      <c r="BW2816" s="3"/>
    </row>
    <row r="2817" spans="75:75">
      <c r="BW2817" s="3"/>
    </row>
    <row r="2818" spans="75:75">
      <c r="BW2818" s="3"/>
    </row>
    <row r="2819" spans="75:75">
      <c r="BW2819" s="3"/>
    </row>
    <row r="2820" spans="75:75">
      <c r="BW2820" s="3"/>
    </row>
    <row r="2821" spans="75:75">
      <c r="BW2821" s="3"/>
    </row>
    <row r="2822" spans="75:75">
      <c r="BW2822" s="3"/>
    </row>
    <row r="2823" spans="75:75">
      <c r="BW2823" s="3"/>
    </row>
    <row r="2824" spans="75:75">
      <c r="BW2824" s="3"/>
    </row>
    <row r="2825" spans="75:75">
      <c r="BW2825" s="3"/>
    </row>
    <row r="2826" spans="75:75">
      <c r="BW2826" s="3"/>
    </row>
    <row r="2827" spans="75:75">
      <c r="BW2827" s="3"/>
    </row>
    <row r="2828" spans="75:75">
      <c r="BW2828" s="3"/>
    </row>
    <row r="2829" spans="75:75">
      <c r="BW2829" s="3"/>
    </row>
    <row r="2830" spans="75:75">
      <c r="BW2830" s="3"/>
    </row>
    <row r="2831" spans="75:75">
      <c r="BW2831" s="3"/>
    </row>
    <row r="2832" spans="75:75">
      <c r="BW2832" s="3"/>
    </row>
    <row r="2833" spans="75:75">
      <c r="BW2833" s="3"/>
    </row>
    <row r="2834" spans="75:75">
      <c r="BW2834" s="3"/>
    </row>
    <row r="2835" spans="75:75">
      <c r="BW2835" s="3"/>
    </row>
    <row r="2836" spans="75:75">
      <c r="BW2836" s="3"/>
    </row>
    <row r="2837" spans="75:75">
      <c r="BW2837" s="3"/>
    </row>
    <row r="2838" spans="75:75">
      <c r="BW2838" s="3"/>
    </row>
    <row r="2839" spans="75:75">
      <c r="BW2839" s="3"/>
    </row>
    <row r="2840" spans="75:75">
      <c r="BW2840" s="3"/>
    </row>
    <row r="2841" spans="75:75">
      <c r="BW2841" s="3"/>
    </row>
    <row r="2842" spans="75:75">
      <c r="BW2842" s="3"/>
    </row>
    <row r="2843" spans="75:75">
      <c r="BW2843" s="3"/>
    </row>
    <row r="2844" spans="75:75">
      <c r="BW2844" s="3"/>
    </row>
    <row r="2845" spans="75:75">
      <c r="BW2845" s="3"/>
    </row>
    <row r="2846" spans="75:75">
      <c r="BW2846" s="3"/>
    </row>
    <row r="2847" spans="75:75">
      <c r="BW2847" s="3"/>
    </row>
    <row r="2848" spans="75:75">
      <c r="BW2848" s="3"/>
    </row>
    <row r="2849" spans="75:75">
      <c r="BW2849" s="3"/>
    </row>
    <row r="2850" spans="75:75">
      <c r="BW2850" s="3"/>
    </row>
    <row r="2851" spans="75:75">
      <c r="BW2851" s="3"/>
    </row>
    <row r="2852" spans="75:75">
      <c r="BW2852" s="3"/>
    </row>
    <row r="2853" spans="75:75">
      <c r="BW2853" s="3"/>
    </row>
    <row r="2854" spans="75:75">
      <c r="BW2854" s="3"/>
    </row>
    <row r="2855" spans="75:75">
      <c r="BW2855" s="3"/>
    </row>
    <row r="2856" spans="75:75">
      <c r="BW2856" s="3"/>
    </row>
    <row r="2857" spans="75:75">
      <c r="BW2857" s="3"/>
    </row>
    <row r="2858" spans="75:75">
      <c r="BW2858" s="3"/>
    </row>
    <row r="2859" spans="75:75">
      <c r="BW2859" s="3"/>
    </row>
    <row r="2860" spans="75:75">
      <c r="BW2860" s="3"/>
    </row>
    <row r="2861" spans="75:75">
      <c r="BW2861" s="3"/>
    </row>
    <row r="2862" spans="75:75">
      <c r="BW2862" s="3"/>
    </row>
    <row r="2863" spans="75:75">
      <c r="BW2863" s="3"/>
    </row>
    <row r="2864" spans="75:75">
      <c r="BW2864" s="3"/>
    </row>
    <row r="2865" spans="75:75">
      <c r="BW2865" s="3"/>
    </row>
    <row r="2866" spans="75:75">
      <c r="BW2866" s="3"/>
    </row>
    <row r="2867" spans="75:75">
      <c r="BW2867" s="3"/>
    </row>
    <row r="2868" spans="75:75">
      <c r="BW2868" s="3"/>
    </row>
    <row r="2869" spans="75:75">
      <c r="BW2869" s="3"/>
    </row>
    <row r="2870" spans="75:75">
      <c r="BW2870" s="3"/>
    </row>
    <row r="2871" spans="75:75">
      <c r="BW2871" s="3"/>
    </row>
    <row r="2872" spans="75:75">
      <c r="BW2872" s="3"/>
    </row>
    <row r="2873" spans="75:75">
      <c r="BW2873" s="3"/>
    </row>
    <row r="2874" spans="75:75">
      <c r="BW2874" s="3"/>
    </row>
    <row r="2875" spans="75:75">
      <c r="BW2875" s="3"/>
    </row>
    <row r="2876" spans="75:75">
      <c r="BW2876" s="3"/>
    </row>
    <row r="2877" spans="75:75">
      <c r="BW2877" s="3"/>
    </row>
    <row r="2878" spans="75:75">
      <c r="BW2878" s="3"/>
    </row>
    <row r="2879" spans="75:75">
      <c r="BW2879" s="3"/>
    </row>
    <row r="2880" spans="75:75">
      <c r="BW2880" s="3"/>
    </row>
    <row r="2881" spans="75:75">
      <c r="BW2881" s="3"/>
    </row>
    <row r="2882" spans="75:75">
      <c r="BW2882" s="3"/>
    </row>
    <row r="2883" spans="75:75">
      <c r="BW2883" s="3"/>
    </row>
    <row r="2884" spans="75:75">
      <c r="BW2884" s="3"/>
    </row>
    <row r="2885" spans="75:75">
      <c r="BW2885" s="3"/>
    </row>
    <row r="2886" spans="75:75">
      <c r="BW2886" s="3"/>
    </row>
    <row r="2887" spans="75:75">
      <c r="BW2887" s="3"/>
    </row>
    <row r="2888" spans="75:75">
      <c r="BW2888" s="3"/>
    </row>
    <row r="2889" spans="75:75">
      <c r="BW2889" s="3"/>
    </row>
    <row r="2890" spans="75:75">
      <c r="BW2890" s="3"/>
    </row>
    <row r="2891" spans="75:75">
      <c r="BW2891" s="3"/>
    </row>
    <row r="2892" spans="75:75">
      <c r="BW2892" s="3"/>
    </row>
    <row r="2893" spans="75:75">
      <c r="BW2893" s="3"/>
    </row>
    <row r="2894" spans="75:75">
      <c r="BW2894" s="3"/>
    </row>
    <row r="2895" spans="75:75">
      <c r="BW2895" s="3"/>
    </row>
    <row r="2896" spans="75:75">
      <c r="BW2896" s="3"/>
    </row>
    <row r="2897" spans="75:75">
      <c r="BW2897" s="3"/>
    </row>
    <row r="2898" spans="75:75">
      <c r="BW2898" s="3"/>
    </row>
    <row r="2899" spans="75:75">
      <c r="BW2899" s="3"/>
    </row>
    <row r="2900" spans="75:75">
      <c r="BW2900" s="3"/>
    </row>
    <row r="2901" spans="75:75">
      <c r="BW2901" s="3"/>
    </row>
    <row r="2902" spans="75:75">
      <c r="BW2902" s="3"/>
    </row>
    <row r="2903" spans="75:75">
      <c r="BW2903" s="3"/>
    </row>
    <row r="2904" spans="75:75">
      <c r="BW2904" s="3"/>
    </row>
    <row r="2905" spans="75:75">
      <c r="BW2905" s="3"/>
    </row>
    <row r="2906" spans="75:75">
      <c r="BW2906" s="3"/>
    </row>
    <row r="2907" spans="75:75">
      <c r="BW2907" s="3"/>
    </row>
    <row r="2908" spans="75:75">
      <c r="BW2908" s="3"/>
    </row>
    <row r="2909" spans="75:75">
      <c r="BW2909" s="3"/>
    </row>
    <row r="2910" spans="75:75">
      <c r="BW2910" s="3"/>
    </row>
    <row r="2911" spans="75:75">
      <c r="BW2911" s="3"/>
    </row>
    <row r="2912" spans="75:75">
      <c r="BW2912" s="3"/>
    </row>
    <row r="2913" spans="75:75">
      <c r="BW2913" s="3"/>
    </row>
    <row r="2914" spans="75:75">
      <c r="BW2914" s="3"/>
    </row>
    <row r="2915" spans="75:75">
      <c r="BW2915" s="3"/>
    </row>
    <row r="2916" spans="75:75">
      <c r="BW2916" s="3"/>
    </row>
    <row r="2917" spans="75:75">
      <c r="BW2917" s="3"/>
    </row>
    <row r="2918" spans="75:75">
      <c r="BW2918" s="3"/>
    </row>
    <row r="2919" spans="75:75">
      <c r="BW2919" s="3"/>
    </row>
    <row r="2920" spans="75:75">
      <c r="BW2920" s="3"/>
    </row>
    <row r="2921" spans="75:75">
      <c r="BW2921" s="3"/>
    </row>
    <row r="2922" spans="75:75">
      <c r="BW2922" s="3"/>
    </row>
    <row r="2923" spans="75:75">
      <c r="BW2923" s="3"/>
    </row>
    <row r="2924" spans="75:75">
      <c r="BW2924" s="3"/>
    </row>
    <row r="2925" spans="75:75">
      <c r="BW2925" s="3"/>
    </row>
    <row r="2926" spans="75:75">
      <c r="BW2926" s="3"/>
    </row>
    <row r="2927" spans="75:75">
      <c r="BW2927" s="3"/>
    </row>
    <row r="2928" spans="75:75">
      <c r="BW2928" s="3"/>
    </row>
    <row r="2929" spans="75:75">
      <c r="BW2929" s="3"/>
    </row>
    <row r="2930" spans="75:75">
      <c r="BW2930" s="3"/>
    </row>
    <row r="2931" spans="75:75">
      <c r="BW2931" s="3"/>
    </row>
    <row r="2932" spans="75:75">
      <c r="BW2932" s="3"/>
    </row>
    <row r="2933" spans="75:75">
      <c r="BW2933" s="3"/>
    </row>
    <row r="2934" spans="75:75">
      <c r="BW2934" s="3"/>
    </row>
    <row r="2935" spans="75:75">
      <c r="BW2935" s="3"/>
    </row>
    <row r="2936" spans="75:75">
      <c r="BW2936" s="3"/>
    </row>
    <row r="2937" spans="75:75">
      <c r="BW2937" s="3"/>
    </row>
    <row r="2938" spans="75:75">
      <c r="BW2938" s="3"/>
    </row>
    <row r="2939" spans="75:75">
      <c r="BW2939" s="3"/>
    </row>
    <row r="2940" spans="75:75">
      <c r="BW2940" s="3"/>
    </row>
    <row r="2941" spans="75:75">
      <c r="BW2941" s="3"/>
    </row>
    <row r="2942" spans="75:75">
      <c r="BW2942" s="3"/>
    </row>
    <row r="2943" spans="75:75">
      <c r="BW2943" s="3"/>
    </row>
    <row r="2944" spans="75:75">
      <c r="BW2944" s="3"/>
    </row>
    <row r="2945" spans="75:75">
      <c r="BW2945" s="3"/>
    </row>
    <row r="2946" spans="75:75">
      <c r="BW2946" s="3"/>
    </row>
    <row r="2947" spans="75:75">
      <c r="BW2947" s="3"/>
    </row>
    <row r="2948" spans="75:75">
      <c r="BW2948" s="3"/>
    </row>
    <row r="2949" spans="75:75">
      <c r="BW2949" s="3"/>
    </row>
    <row r="2950" spans="75:75">
      <c r="BW2950" s="3"/>
    </row>
    <row r="2951" spans="75:75">
      <c r="BW2951" s="3"/>
    </row>
    <row r="2952" spans="75:75">
      <c r="BW2952" s="3"/>
    </row>
    <row r="2953" spans="75:75">
      <c r="BW2953" s="3"/>
    </row>
    <row r="2954" spans="75:75">
      <c r="BW2954" s="3"/>
    </row>
    <row r="2955" spans="75:75">
      <c r="BW2955" s="3"/>
    </row>
    <row r="2956" spans="75:75">
      <c r="BW2956" s="3"/>
    </row>
    <row r="2957" spans="75:75">
      <c r="BW2957" s="3"/>
    </row>
    <row r="2958" spans="75:75">
      <c r="BW2958" s="3"/>
    </row>
    <row r="2959" spans="75:75">
      <c r="BW2959" s="3"/>
    </row>
    <row r="2960" spans="75:75">
      <c r="BW2960" s="3"/>
    </row>
    <row r="2961" spans="75:75">
      <c r="BW2961" s="3"/>
    </row>
    <row r="2962" spans="75:75">
      <c r="BW2962" s="3"/>
    </row>
    <row r="2963" spans="75:75">
      <c r="BW2963" s="3"/>
    </row>
    <row r="2964" spans="75:75">
      <c r="BW2964" s="3"/>
    </row>
    <row r="2965" spans="75:75">
      <c r="BW2965" s="3"/>
    </row>
    <row r="2966" spans="75:75">
      <c r="BW2966" s="3"/>
    </row>
    <row r="2967" spans="75:75">
      <c r="BW2967" s="3"/>
    </row>
    <row r="2968" spans="75:75">
      <c r="BW2968" s="3"/>
    </row>
    <row r="2969" spans="75:75">
      <c r="BW2969" s="3"/>
    </row>
    <row r="2970" spans="75:75">
      <c r="BW2970" s="3"/>
    </row>
    <row r="2971" spans="75:75">
      <c r="BW2971" s="3"/>
    </row>
    <row r="2972" spans="75:75">
      <c r="BW2972" s="3"/>
    </row>
    <row r="2973" spans="75:75">
      <c r="BW2973" s="3"/>
    </row>
    <row r="2974" spans="75:75">
      <c r="BW2974" s="3"/>
    </row>
    <row r="2975" spans="75:75">
      <c r="BW2975" s="3"/>
    </row>
    <row r="2976" spans="75:75">
      <c r="BW2976" s="3"/>
    </row>
    <row r="2977" spans="75:75">
      <c r="BW2977" s="3"/>
    </row>
    <row r="2978" spans="75:75">
      <c r="BW2978" s="3"/>
    </row>
    <row r="2979" spans="75:75">
      <c r="BW2979" s="3"/>
    </row>
    <row r="2980" spans="75:75">
      <c r="BW2980" s="3"/>
    </row>
    <row r="2981" spans="75:75">
      <c r="BW2981" s="3"/>
    </row>
    <row r="2982" spans="75:75">
      <c r="BW2982" s="3"/>
    </row>
    <row r="2983" spans="75:75">
      <c r="BW2983" s="3"/>
    </row>
    <row r="2984" spans="75:75">
      <c r="BW2984" s="3"/>
    </row>
    <row r="2985" spans="75:75">
      <c r="BW2985" s="3"/>
    </row>
    <row r="2986" spans="75:75">
      <c r="BW2986" s="3"/>
    </row>
    <row r="2987" spans="75:75">
      <c r="BW2987" s="3"/>
    </row>
    <row r="2988" spans="75:75">
      <c r="BW2988" s="3"/>
    </row>
    <row r="2989" spans="75:75">
      <c r="BW2989" s="3"/>
    </row>
    <row r="2990" spans="75:75">
      <c r="BW2990" s="3"/>
    </row>
    <row r="2991" spans="75:75">
      <c r="BW2991" s="3"/>
    </row>
    <row r="2992" spans="75:75">
      <c r="BW2992" s="3"/>
    </row>
    <row r="2993" spans="75:75">
      <c r="BW2993" s="3"/>
    </row>
    <row r="2994" spans="75:75">
      <c r="BW2994" s="3"/>
    </row>
    <row r="2995" spans="75:75">
      <c r="BW2995" s="3"/>
    </row>
    <row r="2996" spans="75:75">
      <c r="BW2996" s="3"/>
    </row>
    <row r="2997" spans="75:75">
      <c r="BW2997" s="3"/>
    </row>
    <row r="2998" spans="75:75">
      <c r="BW2998" s="3"/>
    </row>
    <row r="2999" spans="75:75">
      <c r="BW2999" s="3"/>
    </row>
    <row r="3000" spans="75:75">
      <c r="BW3000" s="3"/>
    </row>
    <row r="3001" spans="75:75">
      <c r="BW3001" s="3"/>
    </row>
    <row r="3002" spans="75:75">
      <c r="BW3002" s="3"/>
    </row>
    <row r="3003" spans="75:75">
      <c r="BW3003" s="3"/>
    </row>
    <row r="3004" spans="75:75">
      <c r="BW3004" s="3"/>
    </row>
    <row r="3005" spans="75:75">
      <c r="BW3005" s="3"/>
    </row>
    <row r="3006" spans="75:75">
      <c r="BW3006" s="3"/>
    </row>
    <row r="3007" spans="75:75">
      <c r="BW3007" s="3"/>
    </row>
    <row r="3008" spans="75:75">
      <c r="BW3008" s="3"/>
    </row>
    <row r="3009" spans="75:75">
      <c r="BW3009" s="3"/>
    </row>
    <row r="3010" spans="75:75">
      <c r="BW3010" s="3"/>
    </row>
    <row r="3011" spans="75:75">
      <c r="BW3011" s="3"/>
    </row>
    <row r="3012" spans="75:75">
      <c r="BW3012" s="3"/>
    </row>
    <row r="3013" spans="75:75">
      <c r="BW3013" s="3"/>
    </row>
    <row r="3014" spans="75:75">
      <c r="BW3014" s="3"/>
    </row>
    <row r="3015" spans="75:75">
      <c r="BW3015" s="3"/>
    </row>
    <row r="3016" spans="75:75">
      <c r="BW3016" s="3"/>
    </row>
    <row r="3017" spans="75:75">
      <c r="BW3017" s="3"/>
    </row>
    <row r="3018" spans="75:75">
      <c r="BW3018" s="3"/>
    </row>
    <row r="3019" spans="75:75">
      <c r="BW3019" s="3"/>
    </row>
    <row r="3020" spans="75:75">
      <c r="BW3020" s="3"/>
    </row>
    <row r="3021" spans="75:75">
      <c r="BW3021" s="3"/>
    </row>
    <row r="3022" spans="75:75">
      <c r="BW3022" s="3"/>
    </row>
    <row r="3023" spans="75:75">
      <c r="BW3023" s="3"/>
    </row>
    <row r="3024" spans="75:75">
      <c r="BW3024" s="3"/>
    </row>
    <row r="3025" spans="75:75">
      <c r="BW3025" s="3"/>
    </row>
    <row r="3026" spans="75:75">
      <c r="BW3026" s="3"/>
    </row>
    <row r="3027" spans="75:75">
      <c r="BW3027" s="3"/>
    </row>
    <row r="3028" spans="75:75">
      <c r="BW3028" s="3"/>
    </row>
    <row r="3029" spans="75:75">
      <c r="BW3029" s="3"/>
    </row>
    <row r="3030" spans="75:75">
      <c r="BW3030" s="3"/>
    </row>
    <row r="3031" spans="75:75">
      <c r="BW3031" s="3"/>
    </row>
    <row r="3032" spans="75:75">
      <c r="BW3032" s="3"/>
    </row>
    <row r="3033" spans="75:75">
      <c r="BW3033" s="3"/>
    </row>
    <row r="3034" spans="75:75">
      <c r="BW3034" s="3"/>
    </row>
    <row r="3035" spans="75:75">
      <c r="BW3035" s="3"/>
    </row>
    <row r="3036" spans="75:75">
      <c r="BW3036" s="3"/>
    </row>
    <row r="3037" spans="75:75">
      <c r="BW3037" s="3"/>
    </row>
    <row r="3038" spans="75:75">
      <c r="BW3038" s="3"/>
    </row>
    <row r="3039" spans="75:75">
      <c r="BW3039" s="3"/>
    </row>
    <row r="3040" spans="75:75">
      <c r="BW3040" s="3"/>
    </row>
    <row r="3041" spans="75:75">
      <c r="BW3041" s="3"/>
    </row>
    <row r="3042" spans="75:75">
      <c r="BW3042" s="3"/>
    </row>
    <row r="3043" spans="75:75">
      <c r="BW3043" s="3"/>
    </row>
    <row r="3044" spans="75:75">
      <c r="BW3044" s="3"/>
    </row>
    <row r="3045" spans="75:75">
      <c r="BW3045" s="3"/>
    </row>
    <row r="3046" spans="75:75">
      <c r="BW3046" s="3"/>
    </row>
    <row r="3047" spans="75:75">
      <c r="BW3047" s="3"/>
    </row>
    <row r="3048" spans="75:75">
      <c r="BW3048" s="3"/>
    </row>
    <row r="3049" spans="75:75">
      <c r="BW3049" s="3"/>
    </row>
    <row r="3050" spans="75:75">
      <c r="BW3050" s="3"/>
    </row>
    <row r="3051" spans="75:75">
      <c r="BW3051" s="3"/>
    </row>
    <row r="3052" spans="75:75">
      <c r="BW3052" s="3"/>
    </row>
    <row r="3053" spans="75:75">
      <c r="BW3053" s="3"/>
    </row>
    <row r="3054" spans="75:75">
      <c r="BW3054" s="3"/>
    </row>
    <row r="3055" spans="75:75">
      <c r="BW3055" s="3"/>
    </row>
    <row r="3056" spans="75:75">
      <c r="BW3056" s="3"/>
    </row>
    <row r="3057" spans="75:75">
      <c r="BW3057" s="3"/>
    </row>
    <row r="3058" spans="75:75">
      <c r="BW3058" s="3"/>
    </row>
    <row r="3059" spans="75:75">
      <c r="BW3059" s="3"/>
    </row>
    <row r="3060" spans="75:75">
      <c r="BW3060" s="3"/>
    </row>
    <row r="3061" spans="75:75">
      <c r="BW3061" s="3"/>
    </row>
    <row r="3062" spans="75:75">
      <c r="BW3062" s="3"/>
    </row>
    <row r="3063" spans="75:75">
      <c r="BW3063" s="3"/>
    </row>
    <row r="3064" spans="75:75">
      <c r="BW3064" s="3"/>
    </row>
    <row r="3065" spans="75:75">
      <c r="BW3065" s="3"/>
    </row>
    <row r="3066" spans="75:75">
      <c r="BW3066" s="3"/>
    </row>
    <row r="3067" spans="75:75">
      <c r="BW3067" s="3"/>
    </row>
    <row r="3068" spans="75:75">
      <c r="BW3068" s="3"/>
    </row>
    <row r="3069" spans="75:75">
      <c r="BW3069" s="3"/>
    </row>
    <row r="3070" spans="75:75">
      <c r="BW3070" s="3"/>
    </row>
    <row r="3071" spans="75:75">
      <c r="BW3071" s="3"/>
    </row>
    <row r="3072" spans="75:75">
      <c r="BW3072" s="3"/>
    </row>
    <row r="3073" spans="75:75">
      <c r="BW3073" s="3"/>
    </row>
    <row r="3074" spans="75:75">
      <c r="BW3074" s="3"/>
    </row>
    <row r="3075" spans="75:75">
      <c r="BW3075" s="3"/>
    </row>
    <row r="3076" spans="75:75">
      <c r="BW3076" s="3"/>
    </row>
    <row r="3077" spans="75:75">
      <c r="BW3077" s="3"/>
    </row>
    <row r="3078" spans="75:75">
      <c r="BW3078" s="3"/>
    </row>
    <row r="3079" spans="75:75">
      <c r="BW3079" s="3"/>
    </row>
    <row r="3080" spans="75:75">
      <c r="BW3080" s="3"/>
    </row>
    <row r="3081" spans="75:75">
      <c r="BW3081" s="3"/>
    </row>
    <row r="3082" spans="75:75">
      <c r="BW3082" s="3"/>
    </row>
    <row r="3083" spans="75:75">
      <c r="BW3083" s="3"/>
    </row>
    <row r="3084" spans="75:75">
      <c r="BW3084" s="3"/>
    </row>
    <row r="3085" spans="75:75">
      <c r="BW3085" s="3"/>
    </row>
    <row r="3086" spans="75:75">
      <c r="BW3086" s="3"/>
    </row>
    <row r="3087" spans="75:75">
      <c r="BW3087" s="3"/>
    </row>
    <row r="3088" spans="75:75">
      <c r="BW3088" s="3"/>
    </row>
    <row r="3089" spans="75:75">
      <c r="BW3089" s="3"/>
    </row>
    <row r="3090" spans="75:75">
      <c r="BW3090" s="3"/>
    </row>
    <row r="3091" spans="75:75">
      <c r="BW3091" s="3"/>
    </row>
    <row r="3092" spans="75:75">
      <c r="BW3092" s="3"/>
    </row>
    <row r="3093" spans="75:75">
      <c r="BW3093" s="3"/>
    </row>
    <row r="3094" spans="75:75">
      <c r="BW3094" s="3"/>
    </row>
    <row r="3095" spans="75:75">
      <c r="BW3095" s="3"/>
    </row>
    <row r="3096" spans="75:75">
      <c r="BW3096" s="3"/>
    </row>
    <row r="3097" spans="75:75">
      <c r="BW3097" s="3"/>
    </row>
    <row r="3098" spans="75:75">
      <c r="BW3098" s="3"/>
    </row>
    <row r="3099" spans="75:75">
      <c r="BW3099" s="3"/>
    </row>
    <row r="3100" spans="75:75">
      <c r="BW3100" s="3"/>
    </row>
    <row r="3101" spans="75:75">
      <c r="BW3101" s="3"/>
    </row>
    <row r="3102" spans="75:75">
      <c r="BW3102" s="3"/>
    </row>
    <row r="3103" spans="75:75">
      <c r="BW3103" s="3"/>
    </row>
    <row r="3104" spans="75:75">
      <c r="BW3104" s="3"/>
    </row>
    <row r="3105" spans="75:75">
      <c r="BW3105" s="3"/>
    </row>
    <row r="3106" spans="75:75">
      <c r="BW3106" s="3"/>
    </row>
    <row r="3107" spans="75:75">
      <c r="BW3107" s="3"/>
    </row>
    <row r="3108" spans="75:75">
      <c r="BW3108" s="3"/>
    </row>
    <row r="3109" spans="75:75">
      <c r="BW3109" s="3"/>
    </row>
    <row r="3110" spans="75:75">
      <c r="BW3110" s="3"/>
    </row>
    <row r="3111" spans="75:75">
      <c r="BW3111" s="3"/>
    </row>
    <row r="3112" spans="75:75">
      <c r="BW3112" s="3"/>
    </row>
    <row r="3113" spans="75:75">
      <c r="BW3113" s="3"/>
    </row>
    <row r="3114" spans="75:75">
      <c r="BW3114" s="3"/>
    </row>
    <row r="3115" spans="75:75">
      <c r="BW3115" s="3"/>
    </row>
    <row r="3116" spans="75:75">
      <c r="BW3116" s="3"/>
    </row>
    <row r="3117" spans="75:75">
      <c r="BW3117" s="3"/>
    </row>
    <row r="3118" spans="75:75">
      <c r="BW3118" s="3"/>
    </row>
    <row r="3119" spans="75:75">
      <c r="BW3119" s="3"/>
    </row>
    <row r="3120" spans="75:75">
      <c r="BW3120" s="3"/>
    </row>
    <row r="3121" spans="75:75">
      <c r="BW3121" s="3"/>
    </row>
    <row r="3122" spans="75:75">
      <c r="BW3122" s="3"/>
    </row>
    <row r="3123" spans="75:75">
      <c r="BW3123" s="3"/>
    </row>
    <row r="3124" spans="75:75">
      <c r="BW3124" s="3"/>
    </row>
    <row r="3125" spans="75:75">
      <c r="BW3125" s="3"/>
    </row>
    <row r="3126" spans="75:75">
      <c r="BW3126" s="3"/>
    </row>
    <row r="3127" spans="75:75">
      <c r="BW3127" s="3"/>
    </row>
    <row r="3128" spans="75:75">
      <c r="BW3128" s="3"/>
    </row>
    <row r="3129" spans="75:75">
      <c r="BW3129" s="3"/>
    </row>
    <row r="3130" spans="75:75">
      <c r="BW3130" s="3"/>
    </row>
    <row r="3131" spans="75:75">
      <c r="BW3131" s="3"/>
    </row>
    <row r="3132" spans="75:75">
      <c r="BW3132" s="3"/>
    </row>
    <row r="3133" spans="75:75">
      <c r="BW3133" s="3"/>
    </row>
    <row r="3134" spans="75:75">
      <c r="BW3134" s="3"/>
    </row>
    <row r="3135" spans="75:75">
      <c r="BW3135" s="3"/>
    </row>
    <row r="3136" spans="75:75">
      <c r="BW3136" s="3"/>
    </row>
    <row r="3137" spans="75:75">
      <c r="BW3137" s="3"/>
    </row>
    <row r="3138" spans="75:75">
      <c r="BW3138" s="3"/>
    </row>
    <row r="3139" spans="75:75">
      <c r="BW3139" s="3"/>
    </row>
    <row r="3140" spans="75:75">
      <c r="BW3140" s="3"/>
    </row>
    <row r="3141" spans="75:75">
      <c r="BW3141" s="3"/>
    </row>
    <row r="3142" spans="75:75">
      <c r="BW3142" s="3"/>
    </row>
    <row r="3143" spans="75:75">
      <c r="BW3143" s="3"/>
    </row>
    <row r="3144" spans="75:75">
      <c r="BW3144" s="3"/>
    </row>
    <row r="3145" spans="75:75">
      <c r="BW3145" s="3"/>
    </row>
    <row r="3146" spans="75:75">
      <c r="BW3146" s="3"/>
    </row>
    <row r="3147" spans="75:75">
      <c r="BW3147" s="3"/>
    </row>
    <row r="3148" spans="75:75">
      <c r="BW3148" s="3"/>
    </row>
    <row r="3149" spans="75:75">
      <c r="BW3149" s="3"/>
    </row>
    <row r="3150" spans="75:75">
      <c r="BW3150" s="3"/>
    </row>
    <row r="3151" spans="75:75">
      <c r="BW3151" s="3"/>
    </row>
    <row r="3152" spans="75:75">
      <c r="BW3152" s="3"/>
    </row>
    <row r="3153" spans="75:75">
      <c r="BW3153" s="3"/>
    </row>
    <row r="3154" spans="75:75">
      <c r="BW3154" s="3"/>
    </row>
    <row r="3155" spans="75:75">
      <c r="BW3155" s="3"/>
    </row>
    <row r="3156" spans="75:75">
      <c r="BW3156" s="3"/>
    </row>
    <row r="3157" spans="75:75">
      <c r="BW3157" s="3"/>
    </row>
    <row r="3158" spans="75:75">
      <c r="BW3158" s="3"/>
    </row>
    <row r="3159" spans="75:75">
      <c r="BW3159" s="3"/>
    </row>
    <row r="3160" spans="75:75">
      <c r="BW3160" s="3"/>
    </row>
    <row r="3161" spans="75:75">
      <c r="BW3161" s="3"/>
    </row>
    <row r="3162" spans="75:75">
      <c r="BW3162" s="3"/>
    </row>
    <row r="3163" spans="75:75">
      <c r="BW3163" s="3"/>
    </row>
    <row r="3164" spans="75:75">
      <c r="BW3164" s="3"/>
    </row>
    <row r="3165" spans="75:75">
      <c r="BW3165" s="3"/>
    </row>
    <row r="3166" spans="75:75">
      <c r="BW3166" s="3"/>
    </row>
    <row r="3167" spans="75:75">
      <c r="BW3167" s="3"/>
    </row>
    <row r="3168" spans="75:75">
      <c r="BW3168" s="3"/>
    </row>
    <row r="3169" spans="75:75">
      <c r="BW3169" s="3"/>
    </row>
    <row r="3170" spans="75:75">
      <c r="BW3170" s="3"/>
    </row>
    <row r="3171" spans="75:75">
      <c r="BW3171" s="3"/>
    </row>
    <row r="3172" spans="75:75">
      <c r="BW3172" s="3"/>
    </row>
    <row r="3173" spans="75:75">
      <c r="BW3173" s="3"/>
    </row>
    <row r="3174" spans="75:75">
      <c r="BW3174" s="3"/>
    </row>
    <row r="3175" spans="75:75">
      <c r="BW3175" s="3"/>
    </row>
    <row r="3176" spans="75:75">
      <c r="BW3176" s="3"/>
    </row>
    <row r="3177" spans="75:75">
      <c r="BW3177" s="3"/>
    </row>
    <row r="3178" spans="75:75">
      <c r="BW3178" s="3"/>
    </row>
    <row r="3179" spans="75:75">
      <c r="BW3179" s="3"/>
    </row>
    <row r="3180" spans="75:75">
      <c r="BW3180" s="3"/>
    </row>
    <row r="3181" spans="75:75">
      <c r="BW3181" s="3"/>
    </row>
    <row r="3182" spans="75:75">
      <c r="BW3182" s="3"/>
    </row>
    <row r="3183" spans="75:75">
      <c r="BW3183" s="3"/>
    </row>
    <row r="3184" spans="75:75">
      <c r="BW3184" s="3"/>
    </row>
    <row r="3185" spans="75:75">
      <c r="BW3185" s="3"/>
    </row>
    <row r="3186" spans="75:75">
      <c r="BW3186" s="3"/>
    </row>
    <row r="3187" spans="75:75">
      <c r="BW3187" s="3"/>
    </row>
    <row r="3188" spans="75:75">
      <c r="BW3188" s="3"/>
    </row>
    <row r="3189" spans="75:75">
      <c r="BW3189" s="3"/>
    </row>
    <row r="3190" spans="75:75">
      <c r="BW3190" s="3"/>
    </row>
    <row r="3191" spans="75:75">
      <c r="BW3191" s="3"/>
    </row>
    <row r="3192" spans="75:75">
      <c r="BW3192" s="3"/>
    </row>
    <row r="3193" spans="75:75">
      <c r="BW3193" s="3"/>
    </row>
    <row r="3194" spans="75:75">
      <c r="BW3194" s="3"/>
    </row>
    <row r="3195" spans="75:75">
      <c r="BW3195" s="3"/>
    </row>
    <row r="3196" spans="75:75">
      <c r="BW3196" s="3"/>
    </row>
    <row r="3197" spans="75:75">
      <c r="BW3197" s="3"/>
    </row>
    <row r="3198" spans="75:75">
      <c r="BW3198" s="3"/>
    </row>
    <row r="3199" spans="75:75">
      <c r="BW3199" s="3"/>
    </row>
    <row r="3200" spans="75:75">
      <c r="BW3200" s="3"/>
    </row>
    <row r="3201" spans="75:75">
      <c r="BW3201" s="3"/>
    </row>
    <row r="3202" spans="75:75">
      <c r="BW3202" s="3"/>
    </row>
    <row r="3203" spans="75:75">
      <c r="BW3203" s="3"/>
    </row>
    <row r="3204" spans="75:75">
      <c r="BW3204" s="3"/>
    </row>
    <row r="3205" spans="75:75">
      <c r="BW3205" s="3"/>
    </row>
    <row r="3206" spans="75:75">
      <c r="BW3206" s="3"/>
    </row>
    <row r="3207" spans="75:75">
      <c r="BW3207" s="3"/>
    </row>
    <row r="3208" spans="75:75">
      <c r="BW3208" s="3"/>
    </row>
    <row r="3209" spans="75:75">
      <c r="BW3209" s="3"/>
    </row>
    <row r="3210" spans="75:75">
      <c r="BW3210" s="3"/>
    </row>
    <row r="3211" spans="75:75">
      <c r="BW3211" s="3"/>
    </row>
    <row r="3212" spans="75:75">
      <c r="BW3212" s="3"/>
    </row>
    <row r="3213" spans="75:75">
      <c r="BW3213" s="3"/>
    </row>
    <row r="3214" spans="75:75">
      <c r="BW3214" s="3"/>
    </row>
    <row r="3215" spans="75:75">
      <c r="BW3215" s="3"/>
    </row>
    <row r="3216" spans="75:75">
      <c r="BW3216" s="3"/>
    </row>
    <row r="3217" spans="75:75">
      <c r="BW3217" s="3"/>
    </row>
    <row r="3218" spans="75:75">
      <c r="BW3218" s="3"/>
    </row>
    <row r="3219" spans="75:75">
      <c r="BW3219" s="3"/>
    </row>
    <row r="3220" spans="75:75">
      <c r="BW3220" s="3"/>
    </row>
    <row r="3221" spans="75:75">
      <c r="BW3221" s="3"/>
    </row>
    <row r="3222" spans="75:75">
      <c r="BW3222" s="3"/>
    </row>
    <row r="3223" spans="75:75">
      <c r="BW3223" s="3"/>
    </row>
    <row r="3224" spans="75:75">
      <c r="BW3224" s="3"/>
    </row>
    <row r="3225" spans="75:75">
      <c r="BW3225" s="3"/>
    </row>
    <row r="3226" spans="75:75">
      <c r="BW3226" s="3"/>
    </row>
    <row r="3227" spans="75:75">
      <c r="BW3227" s="3"/>
    </row>
    <row r="3228" spans="75:75">
      <c r="BW3228" s="3"/>
    </row>
    <row r="3229" spans="75:75">
      <c r="BW3229" s="3"/>
    </row>
    <row r="3230" spans="75:75">
      <c r="BW3230" s="3"/>
    </row>
    <row r="3231" spans="75:75">
      <c r="BW3231" s="3"/>
    </row>
    <row r="3232" spans="75:75">
      <c r="BW3232" s="3"/>
    </row>
    <row r="3233" spans="75:75">
      <c r="BW3233" s="3"/>
    </row>
    <row r="3234" spans="75:75">
      <c r="BW3234" s="3"/>
    </row>
    <row r="3235" spans="75:75">
      <c r="BW3235" s="3"/>
    </row>
    <row r="3236" spans="75:75">
      <c r="BW3236" s="3"/>
    </row>
    <row r="3237" spans="75:75">
      <c r="BW3237" s="3"/>
    </row>
    <row r="3238" spans="75:75">
      <c r="BW3238" s="3"/>
    </row>
    <row r="3239" spans="75:75">
      <c r="BW3239" s="3"/>
    </row>
    <row r="3240" spans="75:75">
      <c r="BW3240" s="3"/>
    </row>
    <row r="3241" spans="75:75">
      <c r="BW3241" s="3"/>
    </row>
    <row r="3242" spans="75:75">
      <c r="BW3242" s="3"/>
    </row>
    <row r="3243" spans="75:75">
      <c r="BW3243" s="3"/>
    </row>
    <row r="3244" spans="75:75">
      <c r="BW3244" s="3"/>
    </row>
    <row r="3245" spans="75:75">
      <c r="BW3245" s="3"/>
    </row>
    <row r="3246" spans="75:75">
      <c r="BW3246" s="3"/>
    </row>
    <row r="3247" spans="75:75">
      <c r="BW3247" s="3"/>
    </row>
    <row r="3248" spans="75:75">
      <c r="BW3248" s="3"/>
    </row>
    <row r="3249" spans="75:75">
      <c r="BW3249" s="3"/>
    </row>
    <row r="3250" spans="75:75">
      <c r="BW3250" s="3"/>
    </row>
    <row r="3251" spans="75:75">
      <c r="BW3251" s="3"/>
    </row>
    <row r="3252" spans="75:75">
      <c r="BW3252" s="3"/>
    </row>
    <row r="3253" spans="75:75">
      <c r="BW3253" s="3"/>
    </row>
    <row r="3254" spans="75:75">
      <c r="BW3254" s="3"/>
    </row>
    <row r="3255" spans="75:75">
      <c r="BW3255" s="3"/>
    </row>
    <row r="3256" spans="75:75">
      <c r="BW3256" s="3"/>
    </row>
    <row r="3257" spans="75:75">
      <c r="BW3257" s="3"/>
    </row>
    <row r="3258" spans="75:75">
      <c r="BW3258" s="3"/>
    </row>
    <row r="3259" spans="75:75">
      <c r="BW3259" s="3"/>
    </row>
    <row r="3260" spans="75:75">
      <c r="BW3260" s="3"/>
    </row>
    <row r="3261" spans="75:75">
      <c r="BW3261" s="3"/>
    </row>
    <row r="3262" spans="75:75">
      <c r="BW3262" s="3"/>
    </row>
    <row r="3263" spans="75:75">
      <c r="BW3263" s="3"/>
    </row>
    <row r="3264" spans="75:75">
      <c r="BW3264" s="3"/>
    </row>
    <row r="3265" spans="75:75">
      <c r="BW3265" s="3"/>
    </row>
    <row r="3266" spans="75:75">
      <c r="BW3266" s="3"/>
    </row>
    <row r="3267" spans="75:75">
      <c r="BW3267" s="3"/>
    </row>
    <row r="3268" spans="75:75">
      <c r="BW3268" s="3"/>
    </row>
    <row r="3269" spans="75:75">
      <c r="BW3269" s="3"/>
    </row>
    <row r="3270" spans="75:75">
      <c r="BW3270" s="3"/>
    </row>
    <row r="3271" spans="75:75">
      <c r="BW3271" s="3"/>
    </row>
    <row r="3272" spans="75:75">
      <c r="BW3272" s="3"/>
    </row>
    <row r="3273" spans="75:75">
      <c r="BW3273" s="3"/>
    </row>
    <row r="3274" spans="75:75">
      <c r="BW3274" s="3"/>
    </row>
    <row r="3275" spans="75:75">
      <c r="BW3275" s="3"/>
    </row>
    <row r="3276" spans="75:75">
      <c r="BW3276" s="3"/>
    </row>
    <row r="3277" spans="75:75">
      <c r="BW3277" s="3"/>
    </row>
    <row r="3278" spans="75:75">
      <c r="BW3278" s="3"/>
    </row>
    <row r="3279" spans="75:75">
      <c r="BW3279" s="3"/>
    </row>
    <row r="3280" spans="75:75">
      <c r="BW3280" s="3"/>
    </row>
    <row r="3281" spans="75:75">
      <c r="BW3281" s="3"/>
    </row>
    <row r="3282" spans="75:75">
      <c r="BW3282" s="3"/>
    </row>
    <row r="3283" spans="75:75">
      <c r="BW3283" s="3"/>
    </row>
    <row r="3284" spans="75:75">
      <c r="BW3284" s="3"/>
    </row>
    <row r="3285" spans="75:75">
      <c r="BW3285" s="3"/>
    </row>
    <row r="3286" spans="75:75">
      <c r="BW3286" s="3"/>
    </row>
    <row r="3287" spans="75:75">
      <c r="BW3287" s="3"/>
    </row>
    <row r="3288" spans="75:75">
      <c r="BW3288" s="3"/>
    </row>
    <row r="3289" spans="75:75">
      <c r="BW3289" s="3"/>
    </row>
    <row r="3290" spans="75:75">
      <c r="BW3290" s="3"/>
    </row>
    <row r="3291" spans="75:75">
      <c r="BW3291" s="3"/>
    </row>
    <row r="3292" spans="75:75">
      <c r="BW3292" s="3"/>
    </row>
    <row r="3293" spans="75:75">
      <c r="BW3293" s="3"/>
    </row>
    <row r="3294" spans="75:75">
      <c r="BW3294" s="3"/>
    </row>
    <row r="3295" spans="75:75">
      <c r="BW3295" s="3"/>
    </row>
    <row r="3296" spans="75:75">
      <c r="BW3296" s="3"/>
    </row>
    <row r="3297" spans="75:75">
      <c r="BW3297" s="3"/>
    </row>
    <row r="3298" spans="75:75">
      <c r="BW3298" s="3"/>
    </row>
    <row r="3299" spans="75:75">
      <c r="BW3299" s="3"/>
    </row>
    <row r="3300" spans="75:75">
      <c r="BW3300" s="3"/>
    </row>
    <row r="3301" spans="75:75">
      <c r="BW3301" s="3"/>
    </row>
    <row r="3302" spans="75:75">
      <c r="BW3302" s="3"/>
    </row>
    <row r="3303" spans="75:75">
      <c r="BW3303" s="3"/>
    </row>
    <row r="3304" spans="75:75">
      <c r="BW3304" s="3"/>
    </row>
    <row r="3305" spans="75:75">
      <c r="BW3305" s="3"/>
    </row>
    <row r="3306" spans="75:75">
      <c r="BW3306" s="3"/>
    </row>
    <row r="3307" spans="75:75">
      <c r="BW3307" s="3"/>
    </row>
    <row r="3308" spans="75:75">
      <c r="BW3308" s="3"/>
    </row>
    <row r="3309" spans="75:75">
      <c r="BW3309" s="3"/>
    </row>
    <row r="3310" spans="75:75">
      <c r="BW3310" s="3"/>
    </row>
    <row r="3311" spans="75:75">
      <c r="BW3311" s="3"/>
    </row>
    <row r="3312" spans="75:75">
      <c r="BW3312" s="3"/>
    </row>
    <row r="3313" spans="75:75">
      <c r="BW3313" s="3"/>
    </row>
    <row r="3314" spans="75:75">
      <c r="BW3314" s="3"/>
    </row>
    <row r="3315" spans="75:75">
      <c r="BW3315" s="3"/>
    </row>
    <row r="3316" spans="75:75">
      <c r="BW3316" s="3"/>
    </row>
    <row r="3317" spans="75:75">
      <c r="BW3317" s="3"/>
    </row>
    <row r="3318" spans="75:75">
      <c r="BW3318" s="3"/>
    </row>
    <row r="3319" spans="75:75">
      <c r="BW3319" s="3"/>
    </row>
    <row r="3320" spans="75:75">
      <c r="BW3320" s="3"/>
    </row>
    <row r="3321" spans="75:75">
      <c r="BW3321" s="3"/>
    </row>
    <row r="3322" spans="75:75">
      <c r="BW3322" s="3"/>
    </row>
    <row r="3323" spans="75:75">
      <c r="BW3323" s="3"/>
    </row>
    <row r="3324" spans="75:75">
      <c r="BW3324" s="3"/>
    </row>
    <row r="3325" spans="75:75">
      <c r="BW3325" s="3"/>
    </row>
    <row r="3326" spans="75:75">
      <c r="BW3326" s="3"/>
    </row>
    <row r="3327" spans="75:75">
      <c r="BW3327" s="3"/>
    </row>
    <row r="3328" spans="75:75">
      <c r="BW3328" s="3"/>
    </row>
    <row r="3329" spans="75:75">
      <c r="BW3329" s="3"/>
    </row>
    <row r="3330" spans="75:75">
      <c r="BW3330" s="3"/>
    </row>
    <row r="3331" spans="75:75">
      <c r="BW3331" s="3"/>
    </row>
    <row r="3332" spans="75:75">
      <c r="BW3332" s="3"/>
    </row>
    <row r="3333" spans="75:75">
      <c r="BW3333" s="3"/>
    </row>
    <row r="3334" spans="75:75">
      <c r="BW3334" s="3"/>
    </row>
    <row r="3335" spans="75:75">
      <c r="BW3335" s="3"/>
    </row>
    <row r="3336" spans="75:75">
      <c r="BW3336" s="3"/>
    </row>
    <row r="3337" spans="75:75">
      <c r="BW3337" s="3"/>
    </row>
    <row r="3338" spans="75:75">
      <c r="BW3338" s="3"/>
    </row>
    <row r="3339" spans="75:75">
      <c r="BW3339" s="3"/>
    </row>
    <row r="3340" spans="75:75">
      <c r="BW3340" s="3"/>
    </row>
    <row r="3341" spans="75:75">
      <c r="BW3341" s="3"/>
    </row>
    <row r="3342" spans="75:75">
      <c r="BW3342" s="3"/>
    </row>
    <row r="3343" spans="75:75">
      <c r="BW3343" s="3"/>
    </row>
    <row r="3344" spans="75:75">
      <c r="BW3344" s="3"/>
    </row>
    <row r="3345" spans="75:75">
      <c r="BW3345" s="3"/>
    </row>
    <row r="3346" spans="75:75">
      <c r="BW3346" s="3"/>
    </row>
    <row r="3347" spans="75:75">
      <c r="BW3347" s="3"/>
    </row>
    <row r="3348" spans="75:75">
      <c r="BW3348" s="3"/>
    </row>
    <row r="3349" spans="75:75">
      <c r="BW3349" s="3"/>
    </row>
    <row r="3350" spans="75:75">
      <c r="BW3350" s="3"/>
    </row>
    <row r="3351" spans="75:75">
      <c r="BW3351" s="3"/>
    </row>
    <row r="3352" spans="75:75">
      <c r="BW3352" s="3"/>
    </row>
    <row r="3353" spans="75:75">
      <c r="BW3353" s="3"/>
    </row>
    <row r="3354" spans="75:75">
      <c r="BW3354" s="3"/>
    </row>
    <row r="3355" spans="75:75">
      <c r="BW3355" s="3"/>
    </row>
    <row r="3356" spans="75:75">
      <c r="BW3356" s="3"/>
    </row>
    <row r="3357" spans="75:75">
      <c r="BW3357" s="3"/>
    </row>
    <row r="3358" spans="75:75">
      <c r="BW3358" s="3"/>
    </row>
    <row r="3359" spans="75:75">
      <c r="BW3359" s="3"/>
    </row>
    <row r="3360" spans="75:75">
      <c r="BW3360" s="3"/>
    </row>
    <row r="3361" spans="75:75">
      <c r="BW3361" s="3"/>
    </row>
    <row r="3362" spans="75:75">
      <c r="BW3362" s="3"/>
    </row>
    <row r="3363" spans="75:75">
      <c r="BW3363" s="3"/>
    </row>
    <row r="3364" spans="75:75">
      <c r="BW3364" s="3"/>
    </row>
    <row r="3365" spans="75:75">
      <c r="BW3365" s="3"/>
    </row>
    <row r="3366" spans="75:75">
      <c r="BW3366" s="3"/>
    </row>
    <row r="3367" spans="75:75">
      <c r="BW3367" s="3"/>
    </row>
    <row r="3368" spans="75:75">
      <c r="BW3368" s="3"/>
    </row>
    <row r="3369" spans="75:75">
      <c r="BW3369" s="3"/>
    </row>
    <row r="3370" spans="75:75">
      <c r="BW3370" s="3"/>
    </row>
    <row r="3371" spans="75:75">
      <c r="BW3371" s="3"/>
    </row>
    <row r="3372" spans="75:75">
      <c r="BW3372" s="3"/>
    </row>
    <row r="3373" spans="75:75">
      <c r="BW3373" s="3"/>
    </row>
    <row r="3374" spans="75:75">
      <c r="BW3374" s="3"/>
    </row>
    <row r="3375" spans="75:75">
      <c r="BW3375" s="3"/>
    </row>
    <row r="3376" spans="75:75">
      <c r="BW3376" s="3"/>
    </row>
    <row r="3377" spans="75:75">
      <c r="BW3377" s="3"/>
    </row>
    <row r="3378" spans="75:75">
      <c r="BW3378" s="3"/>
    </row>
    <row r="3379" spans="75:75">
      <c r="BW3379" s="3"/>
    </row>
    <row r="3380" spans="75:75">
      <c r="BW3380" s="3"/>
    </row>
    <row r="3381" spans="75:75">
      <c r="BW3381" s="3"/>
    </row>
    <row r="3382" spans="75:75">
      <c r="BW3382" s="3"/>
    </row>
    <row r="3383" spans="75:75">
      <c r="BW3383" s="3"/>
    </row>
    <row r="3384" spans="75:75">
      <c r="BW3384" s="3"/>
    </row>
    <row r="3385" spans="75:75">
      <c r="BW3385" s="3"/>
    </row>
    <row r="3386" spans="75:75">
      <c r="BW3386" s="3"/>
    </row>
    <row r="3387" spans="75:75">
      <c r="BW3387" s="3"/>
    </row>
    <row r="3388" spans="75:75">
      <c r="BW3388" s="3"/>
    </row>
    <row r="3389" spans="75:75">
      <c r="BW3389" s="3"/>
    </row>
    <row r="3390" spans="75:75">
      <c r="BW3390" s="3"/>
    </row>
    <row r="3391" spans="75:75">
      <c r="BW3391" s="3"/>
    </row>
    <row r="3392" spans="75:75">
      <c r="BW3392" s="3"/>
    </row>
    <row r="3393" spans="75:75">
      <c r="BW3393" s="3"/>
    </row>
    <row r="3394" spans="75:75">
      <c r="BW3394" s="3"/>
    </row>
    <row r="3395" spans="75:75">
      <c r="BW3395" s="3"/>
    </row>
    <row r="3396" spans="75:75">
      <c r="BW3396" s="3"/>
    </row>
    <row r="3397" spans="75:75">
      <c r="BW3397" s="3"/>
    </row>
    <row r="3398" spans="75:75">
      <c r="BW3398" s="3"/>
    </row>
    <row r="3399" spans="75:75">
      <c r="BW3399" s="3"/>
    </row>
    <row r="3400" spans="75:75">
      <c r="BW3400" s="3"/>
    </row>
    <row r="3401" spans="75:75">
      <c r="BW3401" s="3"/>
    </row>
    <row r="3402" spans="75:75">
      <c r="BW3402" s="3"/>
    </row>
    <row r="3403" spans="75:75">
      <c r="BW3403" s="3"/>
    </row>
    <row r="3404" spans="75:75">
      <c r="BW3404" s="3"/>
    </row>
    <row r="3405" spans="75:75">
      <c r="BW3405" s="3"/>
    </row>
    <row r="3406" spans="75:75">
      <c r="BW3406" s="3"/>
    </row>
    <row r="3407" spans="75:75">
      <c r="BW3407" s="3"/>
    </row>
    <row r="3408" spans="75:75">
      <c r="BW3408" s="3"/>
    </row>
    <row r="3409" spans="75:75">
      <c r="BW3409" s="3"/>
    </row>
    <row r="3410" spans="75:75">
      <c r="BW3410" s="3"/>
    </row>
    <row r="3411" spans="75:75">
      <c r="BW3411" s="3"/>
    </row>
    <row r="3412" spans="75:75">
      <c r="BW3412" s="3"/>
    </row>
    <row r="3413" spans="75:75">
      <c r="BW3413" s="3"/>
    </row>
    <row r="3414" spans="75:75">
      <c r="BW3414" s="3"/>
    </row>
    <row r="3415" spans="75:75">
      <c r="BW3415" s="3"/>
    </row>
    <row r="3416" spans="75:75">
      <c r="BW3416" s="3"/>
    </row>
    <row r="3417" spans="75:75">
      <c r="BW3417" s="3"/>
    </row>
    <row r="3418" spans="75:75">
      <c r="BW3418" s="3"/>
    </row>
    <row r="3419" spans="75:75">
      <c r="BW3419" s="3"/>
    </row>
    <row r="3420" spans="75:75">
      <c r="BW3420" s="3"/>
    </row>
    <row r="3421" spans="75:75">
      <c r="BW3421" s="3"/>
    </row>
    <row r="3422" spans="75:75">
      <c r="BW3422" s="3"/>
    </row>
    <row r="3423" spans="75:75">
      <c r="BW3423" s="3"/>
    </row>
    <row r="3424" spans="75:75">
      <c r="BW3424" s="3"/>
    </row>
    <row r="3425" spans="75:75">
      <c r="BW3425" s="3"/>
    </row>
    <row r="3426" spans="75:75">
      <c r="BW3426" s="3"/>
    </row>
    <row r="3427" spans="75:75">
      <c r="BW3427" s="3"/>
    </row>
    <row r="3428" spans="75:75">
      <c r="BW3428" s="3"/>
    </row>
    <row r="3429" spans="75:75">
      <c r="BW3429" s="3"/>
    </row>
    <row r="3430" spans="75:75">
      <c r="BW3430" s="3"/>
    </row>
    <row r="3431" spans="75:75">
      <c r="BW3431" s="3"/>
    </row>
    <row r="3432" spans="75:75">
      <c r="BW3432" s="3"/>
    </row>
    <row r="3433" spans="75:75">
      <c r="BW3433" s="3"/>
    </row>
    <row r="3434" spans="75:75">
      <c r="BW3434" s="3"/>
    </row>
    <row r="3435" spans="75:75">
      <c r="BW3435" s="3"/>
    </row>
    <row r="3436" spans="75:75">
      <c r="BW3436" s="3"/>
    </row>
    <row r="3437" spans="75:75">
      <c r="BW3437" s="3"/>
    </row>
    <row r="3438" spans="75:75">
      <c r="BW3438" s="3"/>
    </row>
    <row r="3439" spans="75:75">
      <c r="BW3439" s="3"/>
    </row>
    <row r="3440" spans="75:75">
      <c r="BW3440" s="3"/>
    </row>
    <row r="3441" spans="75:75">
      <c r="BW3441" s="3"/>
    </row>
    <row r="3442" spans="75:75">
      <c r="BW3442" s="3"/>
    </row>
    <row r="3443" spans="75:75">
      <c r="BW3443" s="3"/>
    </row>
    <row r="3444" spans="75:75">
      <c r="BW3444" s="3"/>
    </row>
    <row r="3445" spans="75:75">
      <c r="BW3445" s="3"/>
    </row>
    <row r="3446" spans="75:75">
      <c r="BW3446" s="3"/>
    </row>
    <row r="3447" spans="75:75">
      <c r="BW3447" s="3"/>
    </row>
    <row r="3448" spans="75:75">
      <c r="BW3448" s="3"/>
    </row>
    <row r="3449" spans="75:75">
      <c r="BW3449" s="3"/>
    </row>
    <row r="3450" spans="75:75">
      <c r="BW3450" s="3"/>
    </row>
    <row r="3451" spans="75:75">
      <c r="BW3451" s="3"/>
    </row>
    <row r="3452" spans="75:75">
      <c r="BW3452" s="3"/>
    </row>
    <row r="3453" spans="75:75">
      <c r="BW3453" s="3"/>
    </row>
    <row r="3454" spans="75:75">
      <c r="BW3454" s="3"/>
    </row>
    <row r="3455" spans="75:75">
      <c r="BW3455" s="3"/>
    </row>
    <row r="3456" spans="75:75">
      <c r="BW3456" s="3"/>
    </row>
    <row r="3457" spans="75:75">
      <c r="BW3457" s="3"/>
    </row>
    <row r="3458" spans="75:75">
      <c r="BW3458" s="3"/>
    </row>
    <row r="3459" spans="75:75">
      <c r="BW3459" s="3"/>
    </row>
    <row r="3460" spans="75:75">
      <c r="BW3460" s="3"/>
    </row>
    <row r="3461" spans="75:75">
      <c r="BW3461" s="3"/>
    </row>
    <row r="3462" spans="75:75">
      <c r="BW3462" s="3"/>
    </row>
    <row r="3463" spans="75:75">
      <c r="BW3463" s="3"/>
    </row>
    <row r="3464" spans="75:75">
      <c r="BW3464" s="3"/>
    </row>
    <row r="3465" spans="75:75">
      <c r="BW3465" s="3"/>
    </row>
    <row r="3466" spans="75:75">
      <c r="BW3466" s="3"/>
    </row>
    <row r="3467" spans="75:75">
      <c r="BW3467" s="3"/>
    </row>
    <row r="3468" spans="75:75">
      <c r="BW3468" s="3"/>
    </row>
    <row r="3469" spans="75:75">
      <c r="BW3469" s="3"/>
    </row>
    <row r="3470" spans="75:75">
      <c r="BW3470" s="3"/>
    </row>
    <row r="3471" spans="75:75">
      <c r="BW3471" s="3"/>
    </row>
    <row r="3472" spans="75:75">
      <c r="BW3472" s="3"/>
    </row>
    <row r="3473" spans="75:75">
      <c r="BW3473" s="3"/>
    </row>
    <row r="3474" spans="75:75">
      <c r="BW3474" s="3"/>
    </row>
    <row r="3475" spans="75:75">
      <c r="BW3475" s="3"/>
    </row>
    <row r="3476" spans="75:75">
      <c r="BW3476" s="3"/>
    </row>
    <row r="3477" spans="75:75">
      <c r="BW3477" s="3"/>
    </row>
    <row r="3478" spans="75:75">
      <c r="BW3478" s="3"/>
    </row>
    <row r="3479" spans="75:75">
      <c r="BW3479" s="3"/>
    </row>
    <row r="3480" spans="75:75">
      <c r="BW3480" s="3"/>
    </row>
    <row r="3481" spans="75:75">
      <c r="BW3481" s="3"/>
    </row>
    <row r="3482" spans="75:75">
      <c r="BW3482" s="3"/>
    </row>
    <row r="3483" spans="75:75">
      <c r="BW3483" s="3"/>
    </row>
    <row r="3484" spans="75:75">
      <c r="BW3484" s="3"/>
    </row>
    <row r="3485" spans="75:75">
      <c r="BW3485" s="3"/>
    </row>
    <row r="3486" spans="75:75">
      <c r="BW3486" s="3"/>
    </row>
    <row r="3487" spans="75:75">
      <c r="BW3487" s="3"/>
    </row>
    <row r="3488" spans="75:75">
      <c r="BW3488" s="3"/>
    </row>
    <row r="3489" spans="75:75">
      <c r="BW3489" s="3"/>
    </row>
    <row r="3490" spans="75:75">
      <c r="BW3490" s="3"/>
    </row>
    <row r="3491" spans="75:75">
      <c r="BW3491" s="3"/>
    </row>
    <row r="3492" spans="75:75">
      <c r="BW3492" s="3"/>
    </row>
    <row r="3493" spans="75:75">
      <c r="BW3493" s="3"/>
    </row>
    <row r="3494" spans="75:75">
      <c r="BW3494" s="3"/>
    </row>
    <row r="3495" spans="75:75">
      <c r="BW3495" s="3"/>
    </row>
    <row r="3496" spans="75:75">
      <c r="BW3496" s="3"/>
    </row>
    <row r="3497" spans="75:75">
      <c r="BW3497" s="3"/>
    </row>
    <row r="3498" spans="75:75">
      <c r="BW3498" s="3"/>
    </row>
    <row r="3499" spans="75:75">
      <c r="BW3499" s="3"/>
    </row>
    <row r="3500" spans="75:75">
      <c r="BW3500" s="3"/>
    </row>
    <row r="3501" spans="75:75">
      <c r="BW3501" s="3"/>
    </row>
    <row r="3502" spans="75:75">
      <c r="BW3502" s="3"/>
    </row>
    <row r="3503" spans="75:75">
      <c r="BW3503" s="3"/>
    </row>
    <row r="3504" spans="75:75">
      <c r="BW3504" s="3"/>
    </row>
    <row r="3505" spans="75:75">
      <c r="BW3505" s="3"/>
    </row>
    <row r="3506" spans="75:75">
      <c r="BW3506" s="3"/>
    </row>
    <row r="3507" spans="75:75">
      <c r="BW3507" s="3"/>
    </row>
    <row r="3508" spans="75:75">
      <c r="BW3508" s="3"/>
    </row>
    <row r="3509" spans="75:75">
      <c r="BW3509" s="3"/>
    </row>
    <row r="3510" spans="75:75">
      <c r="BW3510" s="3"/>
    </row>
    <row r="3511" spans="75:75">
      <c r="BW3511" s="3"/>
    </row>
    <row r="3512" spans="75:75">
      <c r="BW3512" s="3"/>
    </row>
    <row r="3513" spans="75:75">
      <c r="BW3513" s="3"/>
    </row>
    <row r="3514" spans="75:75">
      <c r="BW3514" s="3"/>
    </row>
    <row r="3515" spans="75:75">
      <c r="BW3515" s="3"/>
    </row>
    <row r="3516" spans="75:75">
      <c r="BW3516" s="3"/>
    </row>
    <row r="3517" spans="75:75">
      <c r="BW3517" s="3"/>
    </row>
    <row r="3518" spans="75:75">
      <c r="BW3518" s="3"/>
    </row>
    <row r="3519" spans="75:75">
      <c r="BW3519" s="3"/>
    </row>
    <row r="3520" spans="75:75">
      <c r="BW3520" s="3"/>
    </row>
    <row r="3521" spans="75:75">
      <c r="BW3521" s="3"/>
    </row>
    <row r="3522" spans="75:75">
      <c r="BW3522" s="3"/>
    </row>
    <row r="3523" spans="75:75">
      <c r="BW3523" s="3"/>
    </row>
    <row r="3524" spans="75:75">
      <c r="BW3524" s="3"/>
    </row>
    <row r="3525" spans="75:75">
      <c r="BW3525" s="3"/>
    </row>
    <row r="3526" spans="75:75">
      <c r="BW3526" s="3"/>
    </row>
    <row r="3527" spans="75:75">
      <c r="BW3527" s="3"/>
    </row>
    <row r="3528" spans="75:75">
      <c r="BW3528" s="3"/>
    </row>
    <row r="3529" spans="75:75">
      <c r="BW3529" s="3"/>
    </row>
    <row r="3530" spans="75:75">
      <c r="BW3530" s="3"/>
    </row>
    <row r="3531" spans="75:75">
      <c r="BW3531" s="3"/>
    </row>
    <row r="3532" spans="75:75">
      <c r="BW3532" s="3"/>
    </row>
    <row r="3533" spans="75:75">
      <c r="BW3533" s="3"/>
    </row>
    <row r="3534" spans="75:75">
      <c r="BW3534" s="3"/>
    </row>
    <row r="3535" spans="75:75">
      <c r="BW3535" s="3"/>
    </row>
    <row r="3536" spans="75:75">
      <c r="BW3536" s="3"/>
    </row>
    <row r="3537" spans="75:75">
      <c r="BW3537" s="3"/>
    </row>
    <row r="3538" spans="75:75">
      <c r="BW3538" s="3"/>
    </row>
    <row r="3539" spans="75:75">
      <c r="BW3539" s="3"/>
    </row>
    <row r="3540" spans="75:75">
      <c r="BW3540" s="3"/>
    </row>
    <row r="3541" spans="75:75">
      <c r="BW3541" s="3"/>
    </row>
    <row r="3542" spans="75:75">
      <c r="BW3542" s="3"/>
    </row>
    <row r="3543" spans="75:75">
      <c r="BW3543" s="3"/>
    </row>
    <row r="3544" spans="75:75">
      <c r="BW3544" s="3"/>
    </row>
    <row r="3545" spans="75:75">
      <c r="BW3545" s="3"/>
    </row>
    <row r="3546" spans="75:75">
      <c r="BW3546" s="3"/>
    </row>
    <row r="3547" spans="75:75">
      <c r="BW3547" s="3"/>
    </row>
    <row r="3548" spans="75:75">
      <c r="BW3548" s="3"/>
    </row>
    <row r="3549" spans="75:75">
      <c r="BW3549" s="3"/>
    </row>
    <row r="3550" spans="75:75">
      <c r="BW3550" s="3"/>
    </row>
    <row r="3551" spans="75:75">
      <c r="BW3551" s="3"/>
    </row>
    <row r="3552" spans="75:75">
      <c r="BW3552" s="3"/>
    </row>
    <row r="3553" spans="75:75">
      <c r="BW3553" s="3"/>
    </row>
    <row r="3554" spans="75:75">
      <c r="BW3554" s="3"/>
    </row>
    <row r="3555" spans="75:75">
      <c r="BW3555" s="3"/>
    </row>
    <row r="3556" spans="75:75">
      <c r="BW3556" s="3"/>
    </row>
    <row r="3557" spans="75:75">
      <c r="BW3557" s="3"/>
    </row>
    <row r="3558" spans="75:75">
      <c r="BW3558" s="3"/>
    </row>
    <row r="3559" spans="75:75">
      <c r="BW3559" s="3"/>
    </row>
    <row r="3560" spans="75:75">
      <c r="BW3560" s="3"/>
    </row>
    <row r="3561" spans="75:75">
      <c r="BW3561" s="3"/>
    </row>
    <row r="3562" spans="75:75">
      <c r="BW3562" s="3"/>
    </row>
    <row r="3563" spans="75:75">
      <c r="BW3563" s="3"/>
    </row>
    <row r="3564" spans="75:75">
      <c r="BW3564" s="3"/>
    </row>
    <row r="3565" spans="75:75">
      <c r="BW3565" s="3"/>
    </row>
    <row r="3566" spans="75:75">
      <c r="BW3566" s="3"/>
    </row>
    <row r="3567" spans="75:75">
      <c r="BW3567" s="3"/>
    </row>
    <row r="3568" spans="75:75">
      <c r="BW3568" s="3"/>
    </row>
    <row r="3569" spans="75:75">
      <c r="BW3569" s="3"/>
    </row>
    <row r="3570" spans="75:75">
      <c r="BW3570" s="3"/>
    </row>
    <row r="3571" spans="75:75">
      <c r="BW3571" s="3"/>
    </row>
    <row r="3572" spans="75:75">
      <c r="BW3572" s="3"/>
    </row>
    <row r="3573" spans="75:75">
      <c r="BW3573" s="3"/>
    </row>
    <row r="3574" spans="75:75">
      <c r="BW3574" s="3"/>
    </row>
    <row r="3575" spans="75:75">
      <c r="BW3575" s="3"/>
    </row>
    <row r="3576" spans="75:75">
      <c r="BW3576" s="3"/>
    </row>
    <row r="3577" spans="75:75">
      <c r="BW3577" s="3"/>
    </row>
    <row r="3578" spans="75:75">
      <c r="BW3578" s="3"/>
    </row>
    <row r="3579" spans="75:75">
      <c r="BW3579" s="3"/>
    </row>
    <row r="3580" spans="75:75">
      <c r="BW3580" s="3"/>
    </row>
    <row r="3581" spans="75:75">
      <c r="BW3581" s="3"/>
    </row>
    <row r="3582" spans="75:75">
      <c r="BW3582" s="3"/>
    </row>
    <row r="3583" spans="75:75">
      <c r="BW3583" s="3"/>
    </row>
    <row r="3584" spans="75:75">
      <c r="BW3584" s="3"/>
    </row>
    <row r="3585" spans="75:75">
      <c r="BW3585" s="3"/>
    </row>
    <row r="3586" spans="75:75">
      <c r="BW3586" s="3"/>
    </row>
    <row r="3587" spans="75:75">
      <c r="BW3587" s="3"/>
    </row>
    <row r="3588" spans="75:75">
      <c r="BW3588" s="3"/>
    </row>
    <row r="3589" spans="75:75">
      <c r="BW3589" s="3"/>
    </row>
    <row r="3590" spans="75:75">
      <c r="BW3590" s="3"/>
    </row>
    <row r="3591" spans="75:75">
      <c r="BW3591" s="3"/>
    </row>
    <row r="3592" spans="75:75">
      <c r="BW3592" s="3"/>
    </row>
    <row r="3593" spans="75:75">
      <c r="BW3593" s="3"/>
    </row>
    <row r="3594" spans="75:75">
      <c r="BW3594" s="3"/>
    </row>
    <row r="3595" spans="75:75">
      <c r="BW3595" s="3"/>
    </row>
    <row r="3596" spans="75:75">
      <c r="BW3596" s="3"/>
    </row>
    <row r="3597" spans="75:75">
      <c r="BW3597" s="3"/>
    </row>
    <row r="3598" spans="75:75">
      <c r="BW3598" s="3"/>
    </row>
    <row r="3599" spans="75:75">
      <c r="BW3599" s="3"/>
    </row>
    <row r="3600" spans="75:75">
      <c r="BW3600" s="3"/>
    </row>
    <row r="3601" spans="75:75">
      <c r="BW3601" s="3"/>
    </row>
    <row r="3602" spans="75:75">
      <c r="BW3602" s="3"/>
    </row>
    <row r="3603" spans="75:75">
      <c r="BW3603" s="3"/>
    </row>
    <row r="3604" spans="75:75">
      <c r="BW3604" s="3"/>
    </row>
    <row r="3605" spans="75:75">
      <c r="BW3605" s="3"/>
    </row>
    <row r="3606" spans="75:75">
      <c r="BW3606" s="3"/>
    </row>
    <row r="3607" spans="75:75">
      <c r="BW3607" s="3"/>
    </row>
    <row r="3608" spans="75:75">
      <c r="BW3608" s="3"/>
    </row>
    <row r="3609" spans="75:75">
      <c r="BW3609" s="3"/>
    </row>
    <row r="3610" spans="75:75">
      <c r="BW3610" s="3"/>
    </row>
    <row r="3611" spans="75:75">
      <c r="BW3611" s="3"/>
    </row>
    <row r="3612" spans="75:75">
      <c r="BW3612" s="3"/>
    </row>
    <row r="3613" spans="75:75">
      <c r="BW3613" s="3"/>
    </row>
    <row r="3614" spans="75:75">
      <c r="BW3614" s="3"/>
    </row>
    <row r="3615" spans="75:75">
      <c r="BW3615" s="3"/>
    </row>
    <row r="3616" spans="75:75">
      <c r="BW3616" s="3"/>
    </row>
    <row r="3617" spans="75:75">
      <c r="BW3617" s="3"/>
    </row>
    <row r="3618" spans="75:75">
      <c r="BW3618" s="3"/>
    </row>
    <row r="3619" spans="75:75">
      <c r="BW3619" s="3"/>
    </row>
    <row r="3620" spans="75:75">
      <c r="BW3620" s="3"/>
    </row>
    <row r="3621" spans="75:75">
      <c r="BW3621" s="3"/>
    </row>
    <row r="3622" spans="75:75">
      <c r="BW3622" s="3"/>
    </row>
    <row r="3623" spans="75:75">
      <c r="BW3623" s="3"/>
    </row>
    <row r="3624" spans="75:75">
      <c r="BW3624" s="3"/>
    </row>
    <row r="3625" spans="75:75">
      <c r="BW3625" s="3"/>
    </row>
    <row r="3626" spans="75:75">
      <c r="BW3626" s="3"/>
    </row>
    <row r="3627" spans="75:75">
      <c r="BW3627" s="3"/>
    </row>
    <row r="3628" spans="75:75">
      <c r="BW3628" s="3"/>
    </row>
    <row r="3629" spans="75:75">
      <c r="BW3629" s="3"/>
    </row>
    <row r="3630" spans="75:75">
      <c r="BW3630" s="3"/>
    </row>
    <row r="3631" spans="75:75">
      <c r="BW3631" s="3"/>
    </row>
    <row r="3632" spans="75:75">
      <c r="BW3632" s="3"/>
    </row>
    <row r="3633" spans="75:75">
      <c r="BW3633" s="3"/>
    </row>
    <row r="3634" spans="75:75">
      <c r="BW3634" s="3"/>
    </row>
    <row r="3635" spans="75:75">
      <c r="BW3635" s="3"/>
    </row>
    <row r="3636" spans="75:75">
      <c r="BW3636" s="3"/>
    </row>
    <row r="3637" spans="75:75">
      <c r="BW3637" s="3"/>
    </row>
    <row r="3638" spans="75:75">
      <c r="BW3638" s="3"/>
    </row>
    <row r="3639" spans="75:75">
      <c r="BW3639" s="3"/>
    </row>
    <row r="3640" spans="75:75">
      <c r="BW3640" s="3"/>
    </row>
    <row r="3641" spans="75:75">
      <c r="BW3641" s="3"/>
    </row>
    <row r="3642" spans="75:75">
      <c r="BW3642" s="3"/>
    </row>
    <row r="3643" spans="75:75">
      <c r="BW3643" s="3"/>
    </row>
    <row r="3644" spans="75:75">
      <c r="BW3644" s="3"/>
    </row>
    <row r="3645" spans="75:75">
      <c r="BW3645" s="3"/>
    </row>
    <row r="3646" spans="75:75">
      <c r="BW3646" s="3"/>
    </row>
    <row r="3647" spans="75:75">
      <c r="BW3647" s="3"/>
    </row>
    <row r="3648" spans="75:75">
      <c r="BW3648" s="3"/>
    </row>
    <row r="3649" spans="75:75">
      <c r="BW3649" s="3"/>
    </row>
    <row r="3650" spans="75:75">
      <c r="BW3650" s="3"/>
    </row>
    <row r="3651" spans="75:75">
      <c r="BW3651" s="3"/>
    </row>
    <row r="3652" spans="75:75">
      <c r="BW3652" s="3"/>
    </row>
    <row r="3653" spans="75:75">
      <c r="BW3653" s="3"/>
    </row>
    <row r="3654" spans="75:75">
      <c r="BW3654" s="3"/>
    </row>
    <row r="3655" spans="75:75">
      <c r="BW3655" s="3"/>
    </row>
    <row r="3656" spans="75:75">
      <c r="BW3656" s="3"/>
    </row>
    <row r="3657" spans="75:75">
      <c r="BW3657" s="3"/>
    </row>
    <row r="3658" spans="75:75">
      <c r="BW3658" s="3"/>
    </row>
    <row r="3659" spans="75:75">
      <c r="BW3659" s="3"/>
    </row>
    <row r="3660" spans="75:75">
      <c r="BW3660" s="3"/>
    </row>
    <row r="3661" spans="75:75">
      <c r="BW3661" s="3"/>
    </row>
    <row r="3662" spans="75:75">
      <c r="BW3662" s="3"/>
    </row>
    <row r="3663" spans="75:75">
      <c r="BW3663" s="3"/>
    </row>
    <row r="3664" spans="75:75">
      <c r="BW3664" s="3"/>
    </row>
    <row r="3665" spans="75:75">
      <c r="BW3665" s="3"/>
    </row>
    <row r="3666" spans="75:75">
      <c r="BW3666" s="3"/>
    </row>
    <row r="3667" spans="75:75">
      <c r="BW3667" s="3"/>
    </row>
    <row r="3668" spans="75:75">
      <c r="BW3668" s="3"/>
    </row>
    <row r="3669" spans="75:75">
      <c r="BW3669" s="3"/>
    </row>
    <row r="3670" spans="75:75">
      <c r="BW3670" s="3"/>
    </row>
    <row r="3671" spans="75:75">
      <c r="BW3671" s="3"/>
    </row>
    <row r="3672" spans="75:75">
      <c r="BW3672" s="3"/>
    </row>
    <row r="3673" spans="75:75">
      <c r="BW3673" s="3"/>
    </row>
    <row r="3674" spans="75:75">
      <c r="BW3674" s="3"/>
    </row>
    <row r="3675" spans="75:75">
      <c r="BW3675" s="3"/>
    </row>
    <row r="3676" spans="75:75">
      <c r="BW3676" s="3"/>
    </row>
    <row r="3677" spans="75:75">
      <c r="BW3677" s="3"/>
    </row>
    <row r="3678" spans="75:75">
      <c r="BW3678" s="3"/>
    </row>
    <row r="3679" spans="75:75">
      <c r="BW3679" s="3"/>
    </row>
    <row r="3680" spans="75:75">
      <c r="BW3680" s="3"/>
    </row>
    <row r="3681" spans="75:75">
      <c r="BW3681" s="3"/>
    </row>
    <row r="3682" spans="75:75">
      <c r="BW3682" s="3"/>
    </row>
    <row r="3683" spans="75:75">
      <c r="BW3683" s="3"/>
    </row>
    <row r="3684" spans="75:75">
      <c r="BW3684" s="3"/>
    </row>
    <row r="3685" spans="75:75">
      <c r="BW3685" s="3"/>
    </row>
    <row r="3686" spans="75:75">
      <c r="BW3686" s="3"/>
    </row>
    <row r="3687" spans="75:75">
      <c r="BW3687" s="3"/>
    </row>
    <row r="3688" spans="75:75">
      <c r="BW3688" s="3"/>
    </row>
    <row r="3689" spans="75:75">
      <c r="BW3689" s="3"/>
    </row>
    <row r="3690" spans="75:75">
      <c r="BW3690" s="3"/>
    </row>
    <row r="3691" spans="75:75">
      <c r="BW3691" s="3"/>
    </row>
    <row r="3692" spans="75:75">
      <c r="BW3692" s="3"/>
    </row>
    <row r="3693" spans="75:75">
      <c r="BW3693" s="3"/>
    </row>
    <row r="3694" spans="75:75">
      <c r="BW3694" s="3"/>
    </row>
    <row r="3695" spans="75:75">
      <c r="BW3695" s="3"/>
    </row>
    <row r="3696" spans="75:75">
      <c r="BW3696" s="3"/>
    </row>
    <row r="3697" spans="75:75">
      <c r="BW3697" s="3"/>
    </row>
    <row r="3698" spans="75:75">
      <c r="BW3698" s="3"/>
    </row>
    <row r="3699" spans="75:75">
      <c r="BW3699" s="3"/>
    </row>
    <row r="3700" spans="75:75">
      <c r="BW3700" s="3"/>
    </row>
    <row r="3701" spans="75:75">
      <c r="BW3701" s="3"/>
    </row>
    <row r="3702" spans="75:75">
      <c r="BW3702" s="3"/>
    </row>
    <row r="3703" spans="75:75">
      <c r="BW3703" s="3"/>
    </row>
    <row r="3704" spans="75:75">
      <c r="BW3704" s="3"/>
    </row>
    <row r="3705" spans="75:75">
      <c r="BW3705" s="3"/>
    </row>
    <row r="3706" spans="75:75">
      <c r="BW3706" s="3"/>
    </row>
    <row r="3707" spans="75:75">
      <c r="BW3707" s="3"/>
    </row>
    <row r="3708" spans="75:75">
      <c r="BW3708" s="3"/>
    </row>
    <row r="3709" spans="75:75">
      <c r="BW3709" s="3"/>
    </row>
    <row r="3710" spans="75:75">
      <c r="BW3710" s="3"/>
    </row>
    <row r="3711" spans="75:75">
      <c r="BW3711" s="3"/>
    </row>
    <row r="3712" spans="75:75">
      <c r="BW3712" s="3"/>
    </row>
    <row r="3713" spans="75:75">
      <c r="BW3713" s="3"/>
    </row>
    <row r="3714" spans="75:75">
      <c r="BW3714" s="3"/>
    </row>
    <row r="3715" spans="75:75">
      <c r="BW3715" s="3"/>
    </row>
    <row r="3716" spans="75:75">
      <c r="BW3716" s="3"/>
    </row>
    <row r="3717" spans="75:75">
      <c r="BW3717" s="3"/>
    </row>
    <row r="3718" spans="75:75">
      <c r="BW3718" s="3"/>
    </row>
    <row r="3719" spans="75:75">
      <c r="BW3719" s="3"/>
    </row>
    <row r="3720" spans="75:75">
      <c r="BW3720" s="3"/>
    </row>
    <row r="3721" spans="75:75">
      <c r="BW3721" s="3"/>
    </row>
    <row r="3722" spans="75:75">
      <c r="BW3722" s="3"/>
    </row>
    <row r="3723" spans="75:75">
      <c r="BW3723" s="3"/>
    </row>
    <row r="3724" spans="75:75">
      <c r="BW3724" s="3"/>
    </row>
    <row r="3725" spans="75:75">
      <c r="BW3725" s="3"/>
    </row>
    <row r="3726" spans="75:75">
      <c r="BW3726" s="3"/>
    </row>
    <row r="3727" spans="75:75">
      <c r="BW3727" s="3"/>
    </row>
    <row r="3728" spans="75:75">
      <c r="BW3728" s="3"/>
    </row>
    <row r="3729" spans="75:75">
      <c r="BW3729" s="3"/>
    </row>
    <row r="3730" spans="75:75">
      <c r="BW3730" s="3"/>
    </row>
    <row r="3731" spans="75:75">
      <c r="BW3731" s="3"/>
    </row>
    <row r="3732" spans="75:75">
      <c r="BW3732" s="3"/>
    </row>
    <row r="3733" spans="75:75">
      <c r="BW3733" s="3"/>
    </row>
    <row r="3734" spans="75:75">
      <c r="BW3734" s="3"/>
    </row>
    <row r="3735" spans="75:75">
      <c r="BW3735" s="3"/>
    </row>
    <row r="3736" spans="75:75">
      <c r="BW3736" s="3"/>
    </row>
    <row r="3737" spans="75:75">
      <c r="BW3737" s="3"/>
    </row>
    <row r="3738" spans="75:75">
      <c r="BW3738" s="3"/>
    </row>
    <row r="3739" spans="75:75">
      <c r="BW3739" s="3"/>
    </row>
    <row r="3740" spans="75:75">
      <c r="BW3740" s="3"/>
    </row>
    <row r="3741" spans="75:75">
      <c r="BW3741" s="3"/>
    </row>
    <row r="3742" spans="75:75">
      <c r="BW3742" s="3"/>
    </row>
    <row r="3743" spans="75:75">
      <c r="BW3743" s="3"/>
    </row>
    <row r="3744" spans="75:75">
      <c r="BW3744" s="3"/>
    </row>
    <row r="3745" spans="75:75">
      <c r="BW3745" s="3"/>
    </row>
    <row r="3746" spans="75:75">
      <c r="BW3746" s="3"/>
    </row>
    <row r="3747" spans="75:75">
      <c r="BW3747" s="3"/>
    </row>
    <row r="3748" spans="75:75">
      <c r="BW3748" s="3"/>
    </row>
    <row r="3749" spans="75:75">
      <c r="BW3749" s="3"/>
    </row>
    <row r="3750" spans="75:75">
      <c r="BW3750" s="3"/>
    </row>
    <row r="3751" spans="75:75">
      <c r="BW3751" s="3"/>
    </row>
    <row r="3752" spans="75:75">
      <c r="BW3752" s="3"/>
    </row>
    <row r="3753" spans="75:75">
      <c r="BW3753" s="3"/>
    </row>
    <row r="3754" spans="75:75">
      <c r="BW3754" s="3"/>
    </row>
    <row r="3755" spans="75:75">
      <c r="BW3755" s="3"/>
    </row>
    <row r="3756" spans="75:75">
      <c r="BW3756" s="3"/>
    </row>
    <row r="3757" spans="75:75">
      <c r="BW3757" s="3"/>
    </row>
    <row r="3758" spans="75:75">
      <c r="BW3758" s="3"/>
    </row>
    <row r="3759" spans="75:75">
      <c r="BW3759" s="3"/>
    </row>
    <row r="3760" spans="75:75">
      <c r="BW3760" s="3"/>
    </row>
    <row r="3761" spans="75:75">
      <c r="BW3761" s="3"/>
    </row>
    <row r="3762" spans="75:75">
      <c r="BW3762" s="3"/>
    </row>
    <row r="3763" spans="75:75">
      <c r="BW3763" s="3"/>
    </row>
    <row r="3764" spans="75:75">
      <c r="BW3764" s="3"/>
    </row>
    <row r="3765" spans="75:75">
      <c r="BW3765" s="3"/>
    </row>
    <row r="3766" spans="75:75">
      <c r="BW3766" s="3"/>
    </row>
    <row r="3767" spans="75:75">
      <c r="BW3767" s="3"/>
    </row>
    <row r="3768" spans="75:75">
      <c r="BW3768" s="3"/>
    </row>
    <row r="3769" spans="75:75">
      <c r="BW3769" s="3"/>
    </row>
    <row r="3770" spans="75:75">
      <c r="BW3770" s="3"/>
    </row>
    <row r="3771" spans="75:75">
      <c r="BW3771" s="3"/>
    </row>
    <row r="3772" spans="75:75">
      <c r="BW3772" s="3"/>
    </row>
    <row r="3773" spans="75:75">
      <c r="BW3773" s="3"/>
    </row>
    <row r="3774" spans="75:75">
      <c r="BW3774" s="3"/>
    </row>
    <row r="3775" spans="75:75">
      <c r="BW3775" s="3"/>
    </row>
    <row r="3776" spans="75:75">
      <c r="BW3776" s="3"/>
    </row>
    <row r="3777" spans="75:75">
      <c r="BW3777" s="3"/>
    </row>
    <row r="3778" spans="75:75">
      <c r="BW3778" s="3"/>
    </row>
    <row r="3779" spans="75:75">
      <c r="BW3779" s="3"/>
    </row>
    <row r="3780" spans="75:75">
      <c r="BW3780" s="3"/>
    </row>
    <row r="3781" spans="75:75">
      <c r="BW3781" s="3"/>
    </row>
    <row r="3782" spans="75:75">
      <c r="BW3782" s="3"/>
    </row>
    <row r="3783" spans="75:75">
      <c r="BW3783" s="3"/>
    </row>
    <row r="3784" spans="75:75">
      <c r="BW3784" s="3"/>
    </row>
    <row r="3785" spans="75:75">
      <c r="BW3785" s="3"/>
    </row>
    <row r="3786" spans="75:75">
      <c r="BW3786" s="3"/>
    </row>
    <row r="3787" spans="75:75">
      <c r="BW3787" s="3"/>
    </row>
    <row r="3788" spans="75:75">
      <c r="BW3788" s="3"/>
    </row>
    <row r="3789" spans="75:75">
      <c r="BW3789" s="3"/>
    </row>
    <row r="3790" spans="75:75">
      <c r="BW3790" s="3"/>
    </row>
    <row r="3791" spans="75:75">
      <c r="BW3791" s="3"/>
    </row>
    <row r="3792" spans="75:75">
      <c r="BW3792" s="3"/>
    </row>
    <row r="3793" spans="75:75">
      <c r="BW3793" s="3"/>
    </row>
    <row r="3794" spans="75:75">
      <c r="BW3794" s="3"/>
    </row>
    <row r="3795" spans="75:75">
      <c r="BW3795" s="3"/>
    </row>
    <row r="3796" spans="75:75">
      <c r="BW3796" s="3"/>
    </row>
    <row r="3797" spans="75:75">
      <c r="BW3797" s="3"/>
    </row>
    <row r="3798" spans="75:75">
      <c r="BW3798" s="3"/>
    </row>
    <row r="3799" spans="75:75">
      <c r="BW3799" s="3"/>
    </row>
    <row r="3800" spans="75:75">
      <c r="BW3800" s="3"/>
    </row>
    <row r="3801" spans="75:75">
      <c r="BW3801" s="3"/>
    </row>
    <row r="3802" spans="75:75">
      <c r="BW3802" s="3"/>
    </row>
    <row r="3803" spans="75:75">
      <c r="BW3803" s="3"/>
    </row>
    <row r="3804" spans="75:75">
      <c r="BW3804" s="3"/>
    </row>
    <row r="3805" spans="75:75">
      <c r="BW3805" s="3"/>
    </row>
    <row r="3806" spans="75:75">
      <c r="BW3806" s="3"/>
    </row>
    <row r="3807" spans="75:75">
      <c r="BW3807" s="3"/>
    </row>
    <row r="3808" spans="75:75">
      <c r="BW3808" s="3"/>
    </row>
    <row r="3809" spans="75:75">
      <c r="BW3809" s="3"/>
    </row>
    <row r="3810" spans="75:75">
      <c r="BW3810" s="3"/>
    </row>
    <row r="3811" spans="75:75">
      <c r="BW3811" s="3"/>
    </row>
    <row r="3812" spans="75:75">
      <c r="BW3812" s="3"/>
    </row>
    <row r="3813" spans="75:75">
      <c r="BW3813" s="3"/>
    </row>
    <row r="3814" spans="75:75">
      <c r="BW3814" s="3"/>
    </row>
    <row r="3815" spans="75:75">
      <c r="BW3815" s="3"/>
    </row>
    <row r="3816" spans="75:75">
      <c r="BW3816" s="3"/>
    </row>
    <row r="3817" spans="75:75">
      <c r="BW3817" s="3"/>
    </row>
    <row r="3818" spans="75:75">
      <c r="BW3818" s="3"/>
    </row>
    <row r="3819" spans="75:75">
      <c r="BW3819" s="3"/>
    </row>
    <row r="3820" spans="75:75">
      <c r="BW3820" s="3"/>
    </row>
    <row r="3821" spans="75:75">
      <c r="BW3821" s="3"/>
    </row>
    <row r="3822" spans="75:75">
      <c r="BW3822" s="3"/>
    </row>
    <row r="3823" spans="75:75">
      <c r="BW3823" s="3"/>
    </row>
    <row r="3824" spans="75:75">
      <c r="BW3824" s="3"/>
    </row>
    <row r="3825" spans="75:75">
      <c r="BW3825" s="3"/>
    </row>
    <row r="3826" spans="75:75">
      <c r="BW3826" s="3"/>
    </row>
    <row r="3827" spans="75:75">
      <c r="BW3827" s="3"/>
    </row>
    <row r="3828" spans="75:75">
      <c r="BW3828" s="3"/>
    </row>
    <row r="3829" spans="75:75">
      <c r="BW3829" s="3"/>
    </row>
    <row r="3830" spans="75:75">
      <c r="BW3830" s="3"/>
    </row>
    <row r="3831" spans="75:75">
      <c r="BW3831" s="3"/>
    </row>
    <row r="3832" spans="75:75">
      <c r="BW3832" s="3"/>
    </row>
    <row r="3833" spans="75:75">
      <c r="BW3833" s="3"/>
    </row>
    <row r="3834" spans="75:75">
      <c r="BW3834" s="3"/>
    </row>
    <row r="3835" spans="75:75">
      <c r="BW3835" s="3"/>
    </row>
    <row r="3836" spans="75:75">
      <c r="BW3836" s="3"/>
    </row>
    <row r="3837" spans="75:75">
      <c r="BW3837" s="3"/>
    </row>
    <row r="3838" spans="75:75">
      <c r="BW3838" s="3"/>
    </row>
    <row r="3839" spans="75:75">
      <c r="BW3839" s="3"/>
    </row>
    <row r="3840" spans="75:75">
      <c r="BW3840" s="3"/>
    </row>
    <row r="3841" spans="75:75">
      <c r="BW3841" s="3"/>
    </row>
    <row r="3842" spans="75:75">
      <c r="BW3842" s="3"/>
    </row>
    <row r="3843" spans="75:75">
      <c r="BW3843" s="3"/>
    </row>
    <row r="3844" spans="75:75">
      <c r="BW3844" s="3"/>
    </row>
    <row r="3845" spans="75:75">
      <c r="BW3845" s="3"/>
    </row>
    <row r="3846" spans="75:75">
      <c r="BW3846" s="3"/>
    </row>
    <row r="3847" spans="75:75">
      <c r="BW3847" s="3"/>
    </row>
    <row r="3848" spans="75:75">
      <c r="BW3848" s="3"/>
    </row>
    <row r="3849" spans="75:75">
      <c r="BW3849" s="3"/>
    </row>
    <row r="3850" spans="75:75">
      <c r="BW3850" s="3"/>
    </row>
    <row r="3851" spans="75:75">
      <c r="BW3851" s="3"/>
    </row>
    <row r="3852" spans="75:75">
      <c r="BW3852" s="3"/>
    </row>
    <row r="3853" spans="75:75">
      <c r="BW3853" s="3"/>
    </row>
    <row r="3854" spans="75:75">
      <c r="BW3854" s="3"/>
    </row>
    <row r="3855" spans="75:75">
      <c r="BW3855" s="3"/>
    </row>
    <row r="3856" spans="75:75">
      <c r="BW3856" s="3"/>
    </row>
    <row r="3857" spans="75:75">
      <c r="BW3857" s="3"/>
    </row>
    <row r="3858" spans="75:75">
      <c r="BW3858" s="3"/>
    </row>
    <row r="3859" spans="75:75">
      <c r="BW3859" s="3"/>
    </row>
    <row r="3860" spans="75:75">
      <c r="BW3860" s="3"/>
    </row>
    <row r="3861" spans="75:75">
      <c r="BW3861" s="3"/>
    </row>
    <row r="3862" spans="75:75">
      <c r="BW3862" s="3"/>
    </row>
    <row r="3863" spans="75:75">
      <c r="BW3863" s="3"/>
    </row>
    <row r="3864" spans="75:75">
      <c r="BW3864" s="3"/>
    </row>
    <row r="3865" spans="75:75">
      <c r="BW3865" s="3"/>
    </row>
    <row r="3866" spans="75:75">
      <c r="BW3866" s="3"/>
    </row>
    <row r="3867" spans="75:75">
      <c r="BW3867" s="3"/>
    </row>
    <row r="3868" spans="75:75">
      <c r="BW3868" s="3"/>
    </row>
    <row r="3869" spans="75:75">
      <c r="BW3869" s="3"/>
    </row>
    <row r="3870" spans="75:75">
      <c r="BW3870" s="3"/>
    </row>
    <row r="3871" spans="75:75">
      <c r="BW3871" s="3"/>
    </row>
    <row r="3872" spans="75:75">
      <c r="BW3872" s="3"/>
    </row>
    <row r="3873" spans="75:75">
      <c r="BW3873" s="3"/>
    </row>
    <row r="3874" spans="75:75">
      <c r="BW3874" s="3"/>
    </row>
    <row r="3875" spans="75:75">
      <c r="BW3875" s="3"/>
    </row>
    <row r="3876" spans="75:75">
      <c r="BW3876" s="3"/>
    </row>
    <row r="3877" spans="75:75">
      <c r="BW3877" s="3"/>
    </row>
    <row r="3878" spans="75:75">
      <c r="BW3878" s="3"/>
    </row>
    <row r="3879" spans="75:75">
      <c r="BW3879" s="3"/>
    </row>
    <row r="3880" spans="75:75">
      <c r="BW3880" s="3"/>
    </row>
    <row r="3881" spans="75:75">
      <c r="BW3881" s="3"/>
    </row>
    <row r="3882" spans="75:75">
      <c r="BW3882" s="3"/>
    </row>
    <row r="3883" spans="75:75">
      <c r="BW3883" s="3"/>
    </row>
    <row r="3884" spans="75:75">
      <c r="BW3884" s="3"/>
    </row>
    <row r="3885" spans="75:75">
      <c r="BW3885" s="3"/>
    </row>
    <row r="3886" spans="75:75">
      <c r="BW3886" s="3"/>
    </row>
    <row r="3887" spans="75:75">
      <c r="BW3887" s="3"/>
    </row>
    <row r="3888" spans="75:75">
      <c r="BW3888" s="3"/>
    </row>
    <row r="3889" spans="75:75">
      <c r="BW3889" s="3"/>
    </row>
    <row r="3890" spans="75:75">
      <c r="BW3890" s="3"/>
    </row>
    <row r="3891" spans="75:75">
      <c r="BW3891" s="3"/>
    </row>
    <row r="3892" spans="75:75">
      <c r="BW3892" s="3"/>
    </row>
    <row r="3893" spans="75:75">
      <c r="BW3893" s="3"/>
    </row>
    <row r="3894" spans="75:75">
      <c r="BW3894" s="3"/>
    </row>
    <row r="3895" spans="75:75">
      <c r="BW3895" s="3"/>
    </row>
    <row r="3896" spans="75:75">
      <c r="BW3896" s="3"/>
    </row>
    <row r="3897" spans="75:75">
      <c r="BW3897" s="3"/>
    </row>
    <row r="3898" spans="75:75">
      <c r="BW3898" s="3"/>
    </row>
    <row r="3899" spans="75:75">
      <c r="BW3899" s="3"/>
    </row>
    <row r="3900" spans="75:75">
      <c r="BW3900" s="3"/>
    </row>
    <row r="3901" spans="75:75">
      <c r="BW3901" s="3"/>
    </row>
    <row r="3902" spans="75:75">
      <c r="BW3902" s="3"/>
    </row>
    <row r="3903" spans="75:75">
      <c r="BW3903" s="3"/>
    </row>
    <row r="3904" spans="75:75">
      <c r="BW3904" s="3"/>
    </row>
    <row r="3905" spans="75:75">
      <c r="BW3905" s="3"/>
    </row>
    <row r="3906" spans="75:75">
      <c r="BW3906" s="3"/>
    </row>
    <row r="3907" spans="75:75">
      <c r="BW3907" s="3"/>
    </row>
    <row r="3908" spans="75:75">
      <c r="BW3908" s="3"/>
    </row>
    <row r="3909" spans="75:75">
      <c r="BW3909" s="3"/>
    </row>
    <row r="3910" spans="75:75">
      <c r="BW3910" s="3"/>
    </row>
    <row r="3911" spans="75:75">
      <c r="BW3911" s="3"/>
    </row>
    <row r="3912" spans="75:75">
      <c r="BW3912" s="3"/>
    </row>
    <row r="3913" spans="75:75">
      <c r="BW3913" s="3"/>
    </row>
    <row r="3914" spans="75:75">
      <c r="BW3914" s="3"/>
    </row>
    <row r="3915" spans="75:75">
      <c r="BW3915" s="3"/>
    </row>
    <row r="3916" spans="75:75">
      <c r="BW3916" s="3"/>
    </row>
    <row r="3917" spans="75:75">
      <c r="BW3917" s="3"/>
    </row>
    <row r="3918" spans="75:75">
      <c r="BW3918" s="3"/>
    </row>
    <row r="3919" spans="75:75">
      <c r="BW3919" s="3"/>
    </row>
    <row r="3920" spans="75:75">
      <c r="BW3920" s="3"/>
    </row>
    <row r="3921" spans="75:75">
      <c r="BW3921" s="3"/>
    </row>
    <row r="3922" spans="75:75">
      <c r="BW3922" s="3"/>
    </row>
    <row r="3923" spans="75:75">
      <c r="BW3923" s="3"/>
    </row>
    <row r="3924" spans="75:75">
      <c r="BW3924" s="3"/>
    </row>
    <row r="3925" spans="75:75">
      <c r="BW3925" s="3"/>
    </row>
    <row r="3926" spans="75:75">
      <c r="BW3926" s="3"/>
    </row>
    <row r="3927" spans="75:75">
      <c r="BW3927" s="3"/>
    </row>
    <row r="3928" spans="75:75">
      <c r="BW3928" s="3"/>
    </row>
    <row r="3929" spans="75:75">
      <c r="BW3929" s="3"/>
    </row>
    <row r="3930" spans="75:75">
      <c r="BW3930" s="3"/>
    </row>
    <row r="3931" spans="75:75">
      <c r="BW3931" s="3"/>
    </row>
    <row r="3932" spans="75:75">
      <c r="BW3932" s="3"/>
    </row>
    <row r="3933" spans="75:75">
      <c r="BW3933" s="3"/>
    </row>
    <row r="3934" spans="75:75">
      <c r="BW3934" s="3"/>
    </row>
    <row r="3935" spans="75:75">
      <c r="BW3935" s="3"/>
    </row>
    <row r="3936" spans="75:75">
      <c r="BW3936" s="3"/>
    </row>
    <row r="3937" spans="75:75">
      <c r="BW3937" s="3"/>
    </row>
    <row r="3938" spans="75:75">
      <c r="BW3938" s="3"/>
    </row>
    <row r="3939" spans="75:75">
      <c r="BW3939" s="3"/>
    </row>
    <row r="3940" spans="75:75">
      <c r="BW3940" s="3"/>
    </row>
    <row r="3941" spans="75:75">
      <c r="BW3941" s="3"/>
    </row>
    <row r="3942" spans="75:75">
      <c r="BW3942" s="3"/>
    </row>
    <row r="3943" spans="75:75">
      <c r="BW3943" s="3"/>
    </row>
    <row r="3944" spans="75:75">
      <c r="BW3944" s="3"/>
    </row>
    <row r="3945" spans="75:75">
      <c r="BW3945" s="3"/>
    </row>
    <row r="3946" spans="75:75">
      <c r="BW3946" s="3"/>
    </row>
    <row r="3947" spans="75:75">
      <c r="BW3947" s="3"/>
    </row>
    <row r="3948" spans="75:75">
      <c r="BW3948" s="3"/>
    </row>
    <row r="3949" spans="75:75">
      <c r="BW3949" s="3"/>
    </row>
    <row r="3950" spans="75:75">
      <c r="BW3950" s="3"/>
    </row>
    <row r="3951" spans="75:75">
      <c r="BW3951" s="3"/>
    </row>
    <row r="3952" spans="75:75">
      <c r="BW3952" s="3"/>
    </row>
    <row r="3953" spans="75:75">
      <c r="BW3953" s="3"/>
    </row>
    <row r="3954" spans="75:75">
      <c r="BW3954" s="3"/>
    </row>
    <row r="3955" spans="75:75">
      <c r="BW3955" s="3"/>
    </row>
    <row r="3956" spans="75:75">
      <c r="BW3956" s="3"/>
    </row>
    <row r="3957" spans="75:75">
      <c r="BW3957" s="3"/>
    </row>
    <row r="3958" spans="75:75">
      <c r="BW3958" s="3"/>
    </row>
    <row r="3959" spans="75:75">
      <c r="BW3959" s="3"/>
    </row>
    <row r="3960" spans="75:75">
      <c r="BW3960" s="3"/>
    </row>
    <row r="3961" spans="75:75">
      <c r="BW3961" s="3"/>
    </row>
    <row r="3962" spans="75:75">
      <c r="BW3962" s="3"/>
    </row>
    <row r="3963" spans="75:75">
      <c r="BW3963" s="3"/>
    </row>
    <row r="3964" spans="75:75">
      <c r="BW3964" s="3"/>
    </row>
    <row r="3965" spans="75:75">
      <c r="BW3965" s="3"/>
    </row>
    <row r="3966" spans="75:75">
      <c r="BW3966" s="3"/>
    </row>
    <row r="3967" spans="75:75">
      <c r="BW3967" s="3"/>
    </row>
    <row r="3968" spans="75:75">
      <c r="BW3968" s="3"/>
    </row>
    <row r="3969" spans="75:75">
      <c r="BW3969" s="3"/>
    </row>
    <row r="3970" spans="75:75">
      <c r="BW3970" s="3"/>
    </row>
    <row r="3971" spans="75:75">
      <c r="BW3971" s="3"/>
    </row>
    <row r="3972" spans="75:75">
      <c r="BW3972" s="3"/>
    </row>
    <row r="3973" spans="75:75">
      <c r="BW3973" s="3"/>
    </row>
    <row r="3974" spans="75:75">
      <c r="BW3974" s="3"/>
    </row>
    <row r="3975" spans="75:75">
      <c r="BW3975" s="3"/>
    </row>
    <row r="3976" spans="75:75">
      <c r="BW3976" s="3"/>
    </row>
    <row r="3977" spans="75:75">
      <c r="BW3977" s="3"/>
    </row>
    <row r="3978" spans="75:75">
      <c r="BW3978" s="3"/>
    </row>
    <row r="3979" spans="75:75">
      <c r="BW3979" s="3"/>
    </row>
    <row r="3980" spans="75:75">
      <c r="BW3980" s="3"/>
    </row>
    <row r="3981" spans="75:75">
      <c r="BW3981" s="3"/>
    </row>
    <row r="3982" spans="75:75">
      <c r="BW3982" s="3"/>
    </row>
    <row r="3983" spans="75:75">
      <c r="BW3983" s="3"/>
    </row>
    <row r="3984" spans="75:75">
      <c r="BW3984" s="3"/>
    </row>
    <row r="3985" spans="75:75">
      <c r="BW3985" s="3"/>
    </row>
    <row r="3986" spans="75:75">
      <c r="BW3986" s="3"/>
    </row>
    <row r="3987" spans="75:75">
      <c r="BW3987" s="3"/>
    </row>
    <row r="3988" spans="75:75">
      <c r="BW3988" s="3"/>
    </row>
    <row r="3989" spans="75:75">
      <c r="BW3989" s="3"/>
    </row>
    <row r="3990" spans="75:75">
      <c r="BW3990" s="3"/>
    </row>
    <row r="3991" spans="75:75">
      <c r="BW3991" s="3"/>
    </row>
    <row r="3992" spans="75:75">
      <c r="BW3992" s="3"/>
    </row>
    <row r="3993" spans="75:75">
      <c r="BW3993" s="3"/>
    </row>
    <row r="3994" spans="75:75">
      <c r="BW3994" s="3"/>
    </row>
    <row r="3995" spans="75:75">
      <c r="BW3995" s="3"/>
    </row>
    <row r="3996" spans="75:75">
      <c r="BW3996" s="3"/>
    </row>
    <row r="3997" spans="75:75">
      <c r="BW3997" s="3"/>
    </row>
    <row r="3998" spans="75:75">
      <c r="BW3998" s="3"/>
    </row>
    <row r="3999" spans="75:75">
      <c r="BW3999" s="3"/>
    </row>
    <row r="4000" spans="75:75">
      <c r="BW4000" s="3"/>
    </row>
    <row r="4001" spans="75:75">
      <c r="BW4001" s="3"/>
    </row>
    <row r="4002" spans="75:75">
      <c r="BW4002" s="3"/>
    </row>
    <row r="4003" spans="75:75">
      <c r="BW4003" s="3"/>
    </row>
    <row r="4004" spans="75:75">
      <c r="BW4004" s="3"/>
    </row>
    <row r="4005" spans="75:75">
      <c r="BW4005" s="3"/>
    </row>
    <row r="4006" spans="75:75">
      <c r="BW4006" s="3"/>
    </row>
    <row r="4007" spans="75:75">
      <c r="BW4007" s="3"/>
    </row>
    <row r="4008" spans="75:75">
      <c r="BW4008" s="3"/>
    </row>
    <row r="4009" spans="75:75">
      <c r="BW4009" s="3"/>
    </row>
    <row r="4010" spans="75:75">
      <c r="BW4010" s="3"/>
    </row>
    <row r="4011" spans="75:75">
      <c r="BW4011" s="3"/>
    </row>
    <row r="4012" spans="75:75">
      <c r="BW4012" s="3"/>
    </row>
    <row r="4013" spans="75:75">
      <c r="BW4013" s="3"/>
    </row>
    <row r="4014" spans="75:75">
      <c r="BW4014" s="3"/>
    </row>
    <row r="4015" spans="75:75">
      <c r="BW4015" s="3"/>
    </row>
    <row r="4016" spans="75:75">
      <c r="BW4016" s="3"/>
    </row>
    <row r="4017" spans="75:75">
      <c r="BW4017" s="3"/>
    </row>
    <row r="4018" spans="75:75">
      <c r="BW4018" s="3"/>
    </row>
    <row r="4019" spans="75:75">
      <c r="BW4019" s="3"/>
    </row>
    <row r="4020" spans="75:75">
      <c r="BW4020" s="3"/>
    </row>
    <row r="4021" spans="75:75">
      <c r="BW4021" s="3"/>
    </row>
    <row r="4022" spans="75:75">
      <c r="BW4022" s="3"/>
    </row>
    <row r="4023" spans="75:75">
      <c r="BW4023" s="3"/>
    </row>
    <row r="4024" spans="75:75">
      <c r="BW4024" s="3"/>
    </row>
    <row r="4025" spans="75:75">
      <c r="BW4025" s="3"/>
    </row>
    <row r="4026" spans="75:75">
      <c r="BW4026" s="3"/>
    </row>
    <row r="4027" spans="75:75">
      <c r="BW4027" s="3"/>
    </row>
    <row r="4028" spans="75:75">
      <c r="BW4028" s="3"/>
    </row>
    <row r="4029" spans="75:75">
      <c r="BW4029" s="3"/>
    </row>
    <row r="4030" spans="75:75">
      <c r="BW4030" s="3"/>
    </row>
    <row r="4031" spans="75:75">
      <c r="BW4031" s="3"/>
    </row>
    <row r="4032" spans="75:75">
      <c r="BW4032" s="3"/>
    </row>
    <row r="4033" spans="75:75">
      <c r="BW4033" s="3"/>
    </row>
    <row r="4034" spans="75:75">
      <c r="BW4034" s="3"/>
    </row>
    <row r="4035" spans="75:75">
      <c r="BW4035" s="3"/>
    </row>
    <row r="4036" spans="75:75">
      <c r="BW4036" s="3"/>
    </row>
    <row r="4037" spans="75:75">
      <c r="BW4037" s="3"/>
    </row>
    <row r="4038" spans="75:75">
      <c r="BW4038" s="3"/>
    </row>
    <row r="4039" spans="75:75">
      <c r="BW4039" s="3"/>
    </row>
    <row r="4040" spans="75:75">
      <c r="BW4040" s="3"/>
    </row>
    <row r="4041" spans="75:75">
      <c r="BW4041" s="3"/>
    </row>
    <row r="4042" spans="75:75">
      <c r="BW4042" s="3"/>
    </row>
    <row r="4043" spans="75:75">
      <c r="BW4043" s="3"/>
    </row>
    <row r="4044" spans="75:75">
      <c r="BW4044" s="3"/>
    </row>
    <row r="4045" spans="75:75">
      <c r="BW4045" s="3"/>
    </row>
    <row r="4046" spans="75:75">
      <c r="BW4046" s="3"/>
    </row>
    <row r="4047" spans="75:75">
      <c r="BW4047" s="3"/>
    </row>
    <row r="4048" spans="75:75">
      <c r="BW4048" s="3"/>
    </row>
    <row r="4049" spans="75:75">
      <c r="BW4049" s="3"/>
    </row>
    <row r="4050" spans="75:75">
      <c r="BW4050" s="3"/>
    </row>
    <row r="4051" spans="75:75">
      <c r="BW4051" s="3"/>
    </row>
    <row r="4052" spans="75:75">
      <c r="BW4052" s="3"/>
    </row>
    <row r="4053" spans="75:75">
      <c r="BW4053" s="3"/>
    </row>
    <row r="4054" spans="75:75">
      <c r="BW4054" s="3"/>
    </row>
    <row r="4055" spans="75:75">
      <c r="BW4055" s="3"/>
    </row>
    <row r="4056" spans="75:75">
      <c r="BW4056" s="3"/>
    </row>
    <row r="4057" spans="75:75">
      <c r="BW4057" s="3"/>
    </row>
    <row r="4058" spans="75:75">
      <c r="BW4058" s="3"/>
    </row>
    <row r="4059" spans="75:75">
      <c r="BW4059" s="3"/>
    </row>
    <row r="4060" spans="75:75">
      <c r="BW4060" s="3"/>
    </row>
    <row r="4061" spans="75:75">
      <c r="BW4061" s="3"/>
    </row>
    <row r="4062" spans="75:75">
      <c r="BW4062" s="3"/>
    </row>
    <row r="4063" spans="75:75">
      <c r="BW4063" s="3"/>
    </row>
    <row r="4064" spans="75:75">
      <c r="BW4064" s="3"/>
    </row>
    <row r="4065" spans="75:75">
      <c r="BW4065" s="3"/>
    </row>
    <row r="4066" spans="75:75">
      <c r="BW4066" s="3"/>
    </row>
    <row r="4067" spans="75:75">
      <c r="BW4067" s="3"/>
    </row>
    <row r="4068" spans="75:75">
      <c r="BW4068" s="3"/>
    </row>
    <row r="4069" spans="75:75">
      <c r="BW4069" s="3"/>
    </row>
    <row r="4070" spans="75:75">
      <c r="BW4070" s="3"/>
    </row>
    <row r="4071" spans="75:75">
      <c r="BW4071" s="3"/>
    </row>
    <row r="4072" spans="75:75">
      <c r="BW4072" s="3"/>
    </row>
    <row r="4073" spans="75:75">
      <c r="BW4073" s="3"/>
    </row>
    <row r="4074" spans="75:75">
      <c r="BW4074" s="3"/>
    </row>
    <row r="4075" spans="75:75">
      <c r="BW4075" s="3"/>
    </row>
    <row r="4076" spans="75:75">
      <c r="BW4076" s="3"/>
    </row>
    <row r="4077" spans="75:75">
      <c r="BW4077" s="3"/>
    </row>
    <row r="4078" spans="75:75">
      <c r="BW4078" s="3"/>
    </row>
    <row r="4079" spans="75:75">
      <c r="BW4079" s="3"/>
    </row>
    <row r="4080" spans="75:75">
      <c r="BW4080" s="3"/>
    </row>
    <row r="4081" spans="75:75">
      <c r="BW4081" s="3"/>
    </row>
    <row r="4082" spans="75:75">
      <c r="BW4082" s="3"/>
    </row>
    <row r="4083" spans="75:75">
      <c r="BW4083" s="3"/>
    </row>
    <row r="4084" spans="75:75">
      <c r="BW4084" s="3"/>
    </row>
    <row r="4085" spans="75:75">
      <c r="BW4085" s="3"/>
    </row>
    <row r="4086" spans="75:75">
      <c r="BW4086" s="3"/>
    </row>
    <row r="4087" spans="75:75">
      <c r="BW4087" s="3"/>
    </row>
    <row r="4088" spans="75:75">
      <c r="BW4088" s="3"/>
    </row>
    <row r="4089" spans="75:75">
      <c r="BW4089" s="3"/>
    </row>
    <row r="4090" spans="75:75">
      <c r="BW4090" s="3"/>
    </row>
    <row r="4091" spans="75:75">
      <c r="BW4091" s="3"/>
    </row>
    <row r="4092" spans="75:75">
      <c r="BW4092" s="3"/>
    </row>
    <row r="4093" spans="75:75">
      <c r="BW4093" s="3"/>
    </row>
    <row r="4094" spans="75:75">
      <c r="BW4094" s="3"/>
    </row>
    <row r="4095" spans="75:75">
      <c r="BW4095" s="3"/>
    </row>
    <row r="4096" spans="75:75">
      <c r="BW4096" s="3"/>
    </row>
    <row r="4097" spans="75:75">
      <c r="BW4097" s="3"/>
    </row>
    <row r="4098" spans="75:75">
      <c r="BW4098" s="3"/>
    </row>
    <row r="4099" spans="75:75">
      <c r="BW4099" s="3"/>
    </row>
    <row r="4100" spans="75:75">
      <c r="BW4100" s="3"/>
    </row>
    <row r="4101" spans="75:75">
      <c r="BW4101" s="3"/>
    </row>
    <row r="4102" spans="75:75">
      <c r="BW4102" s="3"/>
    </row>
    <row r="4103" spans="75:75">
      <c r="BW4103" s="3"/>
    </row>
    <row r="4104" spans="75:75">
      <c r="BW4104" s="3"/>
    </row>
    <row r="4105" spans="75:75">
      <c r="BW4105" s="3"/>
    </row>
    <row r="4106" spans="75:75">
      <c r="BW4106" s="3"/>
    </row>
    <row r="4107" spans="75:75">
      <c r="BW4107" s="3"/>
    </row>
    <row r="4108" spans="75:75">
      <c r="BW4108" s="3"/>
    </row>
    <row r="4109" spans="75:75">
      <c r="BW4109" s="3"/>
    </row>
    <row r="4110" spans="75:75">
      <c r="BW4110" s="3"/>
    </row>
    <row r="4111" spans="75:75">
      <c r="BW4111" s="3"/>
    </row>
    <row r="4112" spans="75:75">
      <c r="BW4112" s="3"/>
    </row>
    <row r="4113" spans="75:75">
      <c r="BW4113" s="3"/>
    </row>
    <row r="4114" spans="75:75">
      <c r="BW4114" s="3"/>
    </row>
    <row r="4115" spans="75:75">
      <c r="BW4115" s="3"/>
    </row>
    <row r="4116" spans="75:75">
      <c r="BW4116" s="3"/>
    </row>
    <row r="4117" spans="75:75">
      <c r="BW4117" s="3"/>
    </row>
    <row r="4118" spans="75:75">
      <c r="BW4118" s="3"/>
    </row>
    <row r="4119" spans="75:75">
      <c r="BW4119" s="3"/>
    </row>
    <row r="4120" spans="75:75">
      <c r="BW4120" s="3"/>
    </row>
    <row r="4121" spans="75:75">
      <c r="BW4121" s="3"/>
    </row>
    <row r="4122" spans="75:75">
      <c r="BW4122" s="3"/>
    </row>
    <row r="4123" spans="75:75">
      <c r="BW4123" s="3"/>
    </row>
    <row r="4124" spans="75:75">
      <c r="BW4124" s="3"/>
    </row>
    <row r="4125" spans="75:75">
      <c r="BW4125" s="3"/>
    </row>
    <row r="4126" spans="75:75">
      <c r="BW4126" s="3"/>
    </row>
    <row r="4127" spans="75:75">
      <c r="BW4127" s="3"/>
    </row>
    <row r="4128" spans="75:75">
      <c r="BW4128" s="3"/>
    </row>
    <row r="4129" spans="75:75">
      <c r="BW4129" s="3"/>
    </row>
    <row r="4130" spans="75:75">
      <c r="BW4130" s="3"/>
    </row>
    <row r="4131" spans="75:75">
      <c r="BW4131" s="3"/>
    </row>
    <row r="4132" spans="75:75">
      <c r="BW4132" s="3"/>
    </row>
    <row r="4133" spans="75:75">
      <c r="BW4133" s="3"/>
    </row>
    <row r="4134" spans="75:75">
      <c r="BW4134" s="3"/>
    </row>
    <row r="4135" spans="75:75">
      <c r="BW4135" s="3"/>
    </row>
    <row r="4136" spans="75:75">
      <c r="BW4136" s="3"/>
    </row>
    <row r="4137" spans="75:75">
      <c r="BW4137" s="3"/>
    </row>
    <row r="4138" spans="75:75">
      <c r="BW4138" s="3"/>
    </row>
    <row r="4139" spans="75:75">
      <c r="BW4139" s="3"/>
    </row>
    <row r="4140" spans="75:75">
      <c r="BW4140" s="3"/>
    </row>
    <row r="4141" spans="75:75">
      <c r="BW4141" s="3"/>
    </row>
    <row r="4142" spans="75:75">
      <c r="BW4142" s="3"/>
    </row>
    <row r="4143" spans="75:75">
      <c r="BW4143" s="3"/>
    </row>
    <row r="4144" spans="75:75">
      <c r="BW4144" s="3"/>
    </row>
    <row r="4145" spans="75:75">
      <c r="BW4145" s="3"/>
    </row>
    <row r="4146" spans="75:75">
      <c r="BW4146" s="3"/>
    </row>
    <row r="4147" spans="75:75">
      <c r="BW4147" s="3"/>
    </row>
    <row r="4148" spans="75:75">
      <c r="BW4148" s="3"/>
    </row>
    <row r="4149" spans="75:75">
      <c r="BW4149" s="3"/>
    </row>
    <row r="4150" spans="75:75">
      <c r="BW4150" s="3"/>
    </row>
    <row r="4151" spans="75:75">
      <c r="BW4151" s="3"/>
    </row>
    <row r="4152" spans="75:75">
      <c r="BW4152" s="3"/>
    </row>
    <row r="4153" spans="75:75">
      <c r="BW4153" s="3"/>
    </row>
    <row r="4154" spans="75:75">
      <c r="BW4154" s="3"/>
    </row>
    <row r="4155" spans="75:75">
      <c r="BW4155" s="3"/>
    </row>
    <row r="4156" spans="75:75">
      <c r="BW4156" s="3"/>
    </row>
    <row r="4157" spans="75:75">
      <c r="BW4157" s="3"/>
    </row>
    <row r="4158" spans="75:75">
      <c r="BW4158" s="3"/>
    </row>
    <row r="4159" spans="75:75">
      <c r="BW4159" s="3"/>
    </row>
    <row r="4160" spans="75:75">
      <c r="BW4160" s="3"/>
    </row>
    <row r="4161" spans="75:75">
      <c r="BW4161" s="3"/>
    </row>
    <row r="4162" spans="75:75">
      <c r="BW4162" s="3"/>
    </row>
    <row r="4163" spans="75:75">
      <c r="BW4163" s="3"/>
    </row>
    <row r="4164" spans="75:75">
      <c r="BW4164" s="3"/>
    </row>
    <row r="4165" spans="75:75">
      <c r="BW4165" s="3"/>
    </row>
    <row r="4166" spans="75:75">
      <c r="BW4166" s="3"/>
    </row>
    <row r="4167" spans="75:75">
      <c r="BW4167" s="3"/>
    </row>
    <row r="4168" spans="75:75">
      <c r="BW4168" s="3"/>
    </row>
    <row r="4169" spans="75:75">
      <c r="BW4169" s="3"/>
    </row>
    <row r="4170" spans="75:75">
      <c r="BW4170" s="3"/>
    </row>
    <row r="4171" spans="75:75">
      <c r="BW4171" s="3"/>
    </row>
    <row r="4172" spans="75:75">
      <c r="BW4172" s="3"/>
    </row>
    <row r="4173" spans="75:75">
      <c r="BW4173" s="3"/>
    </row>
    <row r="4174" spans="75:75">
      <c r="BW4174" s="3"/>
    </row>
    <row r="4175" spans="75:75">
      <c r="BW4175" s="3"/>
    </row>
    <row r="4176" spans="75:75">
      <c r="BW4176" s="3"/>
    </row>
    <row r="4177" spans="75:75">
      <c r="BW4177" s="3"/>
    </row>
    <row r="4178" spans="75:75">
      <c r="BW4178" s="3"/>
    </row>
    <row r="4179" spans="75:75">
      <c r="BW4179" s="3"/>
    </row>
    <row r="4180" spans="75:75">
      <c r="BW4180" s="3"/>
    </row>
    <row r="4181" spans="75:75">
      <c r="BW4181" s="3"/>
    </row>
    <row r="4182" spans="75:75">
      <c r="BW4182" s="3"/>
    </row>
    <row r="4183" spans="75:75">
      <c r="BW4183" s="3"/>
    </row>
    <row r="4184" spans="75:75">
      <c r="BW4184" s="3"/>
    </row>
    <row r="4185" spans="75:75">
      <c r="BW4185" s="3"/>
    </row>
    <row r="4186" spans="75:75">
      <c r="BW4186" s="3"/>
    </row>
    <row r="4187" spans="75:75">
      <c r="BW4187" s="3"/>
    </row>
    <row r="4188" spans="75:75">
      <c r="BW4188" s="3"/>
    </row>
    <row r="4189" spans="75:75">
      <c r="BW4189" s="3"/>
    </row>
    <row r="4190" spans="75:75">
      <c r="BW4190" s="3"/>
    </row>
    <row r="4191" spans="75:75">
      <c r="BW4191" s="3"/>
    </row>
    <row r="4192" spans="75:75">
      <c r="BW4192" s="3"/>
    </row>
    <row r="4193" spans="75:75">
      <c r="BW4193" s="3"/>
    </row>
    <row r="4194" spans="75:75">
      <c r="BW4194" s="3"/>
    </row>
    <row r="4195" spans="75:75">
      <c r="BW4195" s="3"/>
    </row>
    <row r="4196" spans="75:75">
      <c r="BW4196" s="3"/>
    </row>
    <row r="4197" spans="75:75">
      <c r="BW4197" s="3"/>
    </row>
    <row r="4198" spans="75:75">
      <c r="BW4198" s="3"/>
    </row>
    <row r="4199" spans="75:75">
      <c r="BW4199" s="3"/>
    </row>
    <row r="4200" spans="75:75">
      <c r="BW4200" s="3"/>
    </row>
    <row r="4201" spans="75:75">
      <c r="BW4201" s="3"/>
    </row>
    <row r="4202" spans="75:75">
      <c r="BW4202" s="3"/>
    </row>
    <row r="4203" spans="75:75">
      <c r="BW4203" s="3"/>
    </row>
    <row r="4204" spans="75:75">
      <c r="BW4204" s="3"/>
    </row>
    <row r="4205" spans="75:75">
      <c r="BW4205" s="3"/>
    </row>
    <row r="4206" spans="75:75">
      <c r="BW4206" s="3"/>
    </row>
    <row r="4207" spans="75:75">
      <c r="BW4207" s="3"/>
    </row>
    <row r="4208" spans="75:75">
      <c r="BW4208" s="3"/>
    </row>
    <row r="4209" spans="75:75">
      <c r="BW4209" s="3"/>
    </row>
    <row r="4210" spans="75:75">
      <c r="BW4210" s="3"/>
    </row>
    <row r="4211" spans="75:75">
      <c r="BW4211" s="3"/>
    </row>
    <row r="4212" spans="75:75">
      <c r="BW4212" s="3"/>
    </row>
    <row r="4213" spans="75:75">
      <c r="BW4213" s="3"/>
    </row>
    <row r="4214" spans="75:75">
      <c r="BW4214" s="3"/>
    </row>
    <row r="4215" spans="75:75">
      <c r="BW4215" s="3"/>
    </row>
    <row r="4216" spans="75:75">
      <c r="BW4216" s="3"/>
    </row>
    <row r="4217" spans="75:75">
      <c r="BW4217" s="3"/>
    </row>
    <row r="4218" spans="75:75">
      <c r="BW4218" s="3"/>
    </row>
    <row r="4219" spans="75:75">
      <c r="BW4219" s="3"/>
    </row>
    <row r="4220" spans="75:75">
      <c r="BW4220" s="3"/>
    </row>
    <row r="4221" spans="75:75">
      <c r="BW4221" s="3"/>
    </row>
    <row r="4222" spans="75:75">
      <c r="BW4222" s="3"/>
    </row>
    <row r="4223" spans="75:75">
      <c r="BW4223" s="3"/>
    </row>
    <row r="4224" spans="75:75">
      <c r="BW4224" s="3"/>
    </row>
    <row r="4225" spans="75:75">
      <c r="BW4225" s="3"/>
    </row>
    <row r="4226" spans="75:75">
      <c r="BW4226" s="3"/>
    </row>
    <row r="4227" spans="75:75">
      <c r="BW4227" s="3"/>
    </row>
    <row r="4228" spans="75:75">
      <c r="BW4228" s="3"/>
    </row>
    <row r="4229" spans="75:75">
      <c r="BW4229" s="3"/>
    </row>
    <row r="4230" spans="75:75">
      <c r="BW4230" s="3"/>
    </row>
    <row r="4231" spans="75:75">
      <c r="BW4231" s="3"/>
    </row>
    <row r="4232" spans="75:75">
      <c r="BW4232" s="3"/>
    </row>
    <row r="4233" spans="75:75">
      <c r="BW4233" s="3"/>
    </row>
    <row r="4234" spans="75:75">
      <c r="BW4234" s="3"/>
    </row>
    <row r="4235" spans="75:75">
      <c r="BW4235" s="3"/>
    </row>
    <row r="4236" spans="75:75">
      <c r="BW4236" s="3"/>
    </row>
    <row r="4237" spans="75:75">
      <c r="BW4237" s="3"/>
    </row>
    <row r="4238" spans="75:75">
      <c r="BW4238" s="3"/>
    </row>
    <row r="4239" spans="75:75">
      <c r="BW4239" s="3"/>
    </row>
    <row r="4240" spans="75:75">
      <c r="BW4240" s="3"/>
    </row>
    <row r="4241" spans="75:75">
      <c r="BW4241" s="3"/>
    </row>
    <row r="4242" spans="75:75">
      <c r="BW4242" s="3"/>
    </row>
    <row r="4243" spans="75:75">
      <c r="BW4243" s="3"/>
    </row>
    <row r="4244" spans="75:75">
      <c r="BW4244" s="3"/>
    </row>
    <row r="4245" spans="75:75">
      <c r="BW4245" s="3"/>
    </row>
    <row r="4246" spans="75:75">
      <c r="BW4246" s="3"/>
    </row>
    <row r="4247" spans="75:75">
      <c r="BW4247" s="3"/>
    </row>
    <row r="4248" spans="75:75">
      <c r="BW4248" s="3"/>
    </row>
    <row r="4249" spans="75:75">
      <c r="BW4249" s="3"/>
    </row>
    <row r="4250" spans="75:75">
      <c r="BW4250" s="3"/>
    </row>
    <row r="4251" spans="75:75">
      <c r="BW4251" s="3"/>
    </row>
    <row r="4252" spans="75:75">
      <c r="BW4252" s="3"/>
    </row>
    <row r="4253" spans="75:75">
      <c r="BW4253" s="3"/>
    </row>
    <row r="4254" spans="75:75">
      <c r="BW4254" s="3"/>
    </row>
    <row r="4255" spans="75:75">
      <c r="BW4255" s="3"/>
    </row>
    <row r="4256" spans="75:75">
      <c r="BW4256" s="3"/>
    </row>
    <row r="4257" spans="75:75">
      <c r="BW4257" s="3"/>
    </row>
    <row r="4258" spans="75:75">
      <c r="BW4258" s="3"/>
    </row>
    <row r="4259" spans="75:75">
      <c r="BW4259" s="3"/>
    </row>
    <row r="4260" spans="75:75">
      <c r="BW4260" s="3"/>
    </row>
    <row r="4261" spans="75:75">
      <c r="BW4261" s="3"/>
    </row>
    <row r="4262" spans="75:75">
      <c r="BW4262" s="3"/>
    </row>
    <row r="4263" spans="75:75">
      <c r="BW4263" s="3"/>
    </row>
    <row r="4264" spans="75:75">
      <c r="BW4264" s="3"/>
    </row>
    <row r="4265" spans="75:75">
      <c r="BW4265" s="3"/>
    </row>
    <row r="4266" spans="75:75">
      <c r="BW4266" s="3"/>
    </row>
    <row r="4267" spans="75:75">
      <c r="BW4267" s="3"/>
    </row>
    <row r="4268" spans="75:75">
      <c r="BW4268" s="3"/>
    </row>
    <row r="4269" spans="75:75">
      <c r="BW4269" s="3"/>
    </row>
    <row r="4270" spans="75:75">
      <c r="BW4270" s="3"/>
    </row>
    <row r="4271" spans="75:75">
      <c r="BW4271" s="3"/>
    </row>
    <row r="4272" spans="75:75">
      <c r="BW4272" s="3"/>
    </row>
    <row r="4273" spans="75:75">
      <c r="BW4273" s="3"/>
    </row>
    <row r="4274" spans="75:75">
      <c r="BW4274" s="3"/>
    </row>
    <row r="4275" spans="75:75">
      <c r="BW4275" s="3"/>
    </row>
    <row r="4276" spans="75:75">
      <c r="BW4276" s="3"/>
    </row>
    <row r="4277" spans="75:75">
      <c r="BW4277" s="3"/>
    </row>
    <row r="4278" spans="75:75">
      <c r="BW4278" s="3"/>
    </row>
    <row r="4279" spans="75:75">
      <c r="BW4279" s="3"/>
    </row>
    <row r="4280" spans="75:75">
      <c r="BW4280" s="3"/>
    </row>
    <row r="4281" spans="75:75">
      <c r="BW4281" s="3"/>
    </row>
    <row r="4282" spans="75:75">
      <c r="BW4282" s="3"/>
    </row>
    <row r="4283" spans="75:75">
      <c r="BW4283" s="3"/>
    </row>
    <row r="4284" spans="75:75">
      <c r="BW4284" s="3"/>
    </row>
    <row r="4285" spans="75:75">
      <c r="BW4285" s="3"/>
    </row>
    <row r="4286" spans="75:75">
      <c r="BW4286" s="3"/>
    </row>
    <row r="4287" spans="75:75">
      <c r="BW4287" s="3"/>
    </row>
    <row r="4288" spans="75:75">
      <c r="BW4288" s="3"/>
    </row>
    <row r="4289" spans="75:75">
      <c r="BW4289" s="3"/>
    </row>
    <row r="4290" spans="75:75">
      <c r="BW4290" s="3"/>
    </row>
    <row r="4291" spans="75:75">
      <c r="BW4291" s="3"/>
    </row>
    <row r="4292" spans="75:75">
      <c r="BW4292" s="3"/>
    </row>
    <row r="4293" spans="75:75">
      <c r="BW4293" s="3"/>
    </row>
    <row r="4294" spans="75:75">
      <c r="BW4294" s="3"/>
    </row>
    <row r="4295" spans="75:75">
      <c r="BW4295" s="3"/>
    </row>
    <row r="4296" spans="75:75">
      <c r="BW4296" s="3"/>
    </row>
    <row r="4297" spans="75:75">
      <c r="BW4297" s="3"/>
    </row>
    <row r="4298" spans="75:75">
      <c r="BW4298" s="3"/>
    </row>
    <row r="4299" spans="75:75">
      <c r="BW4299" s="3"/>
    </row>
    <row r="4300" spans="75:75">
      <c r="BW4300" s="3"/>
    </row>
    <row r="4301" spans="75:75">
      <c r="BW4301" s="3"/>
    </row>
    <row r="4302" spans="75:75">
      <c r="BW4302" s="3"/>
    </row>
    <row r="4303" spans="75:75">
      <c r="BW4303" s="3"/>
    </row>
    <row r="4304" spans="75:75">
      <c r="BW4304" s="3"/>
    </row>
    <row r="4305" spans="75:75">
      <c r="BW4305" s="3"/>
    </row>
    <row r="4306" spans="75:75">
      <c r="BW4306" s="3"/>
    </row>
    <row r="4307" spans="75:75">
      <c r="BW4307" s="3"/>
    </row>
    <row r="4308" spans="75:75">
      <c r="BW4308" s="3"/>
    </row>
    <row r="4309" spans="75:75">
      <c r="BW4309" s="3"/>
    </row>
    <row r="4310" spans="75:75">
      <c r="BW4310" s="3"/>
    </row>
    <row r="4311" spans="75:75">
      <c r="BW4311" s="3"/>
    </row>
    <row r="4312" spans="75:75">
      <c r="BW4312" s="3"/>
    </row>
    <row r="4313" spans="75:75">
      <c r="BW4313" s="3"/>
    </row>
    <row r="4314" spans="75:75">
      <c r="BW4314" s="3"/>
    </row>
    <row r="4315" spans="75:75">
      <c r="BW4315" s="3"/>
    </row>
    <row r="4316" spans="75:75">
      <c r="BW4316" s="3"/>
    </row>
    <row r="4317" spans="75:75">
      <c r="BW4317" s="3"/>
    </row>
    <row r="4318" spans="75:75">
      <c r="BW4318" s="3"/>
    </row>
    <row r="4319" spans="75:75">
      <c r="BW4319" s="3"/>
    </row>
    <row r="4320" spans="75:75">
      <c r="BW4320" s="3"/>
    </row>
    <row r="4321" spans="75:75">
      <c r="BW4321" s="3"/>
    </row>
    <row r="4322" spans="75:75">
      <c r="BW4322" s="3"/>
    </row>
  </sheetData>
  <mergeCells count="52">
    <mergeCell ref="BW4:BW6"/>
    <mergeCell ref="AZ8:AZ9"/>
    <mergeCell ref="BG8:BG9"/>
    <mergeCell ref="BH8:BH9"/>
    <mergeCell ref="BI8:BI9"/>
    <mergeCell ref="BJ8:BN8"/>
    <mergeCell ref="BV8:BV9"/>
    <mergeCell ref="BW8:BW9"/>
    <mergeCell ref="BP8:BP9"/>
    <mergeCell ref="BQ8:BQ9"/>
    <mergeCell ref="BB8:BB9"/>
    <mergeCell ref="A2:BV6"/>
    <mergeCell ref="K7:L7"/>
    <mergeCell ref="R8:R9"/>
    <mergeCell ref="S8:X8"/>
    <mergeCell ref="Y8:Y9"/>
    <mergeCell ref="BP10:BP49"/>
    <mergeCell ref="BO8:BO9"/>
    <mergeCell ref="BA8:BA9"/>
    <mergeCell ref="BX8:BX9"/>
    <mergeCell ref="BS8:BS9"/>
    <mergeCell ref="BR8:BR9"/>
    <mergeCell ref="BU8:BU9"/>
    <mergeCell ref="BT8:BT9"/>
    <mergeCell ref="AG8:AG9"/>
    <mergeCell ref="AI8:AL8"/>
    <mergeCell ref="Z8:Z9"/>
    <mergeCell ref="AA8:AA9"/>
    <mergeCell ref="AF8:AF9"/>
    <mergeCell ref="AB8:AE8"/>
    <mergeCell ref="AH8:AH9"/>
    <mergeCell ref="AU8:AU9"/>
    <mergeCell ref="AP8:AR8"/>
    <mergeCell ref="AM8:AM9"/>
    <mergeCell ref="AN8:AN9"/>
    <mergeCell ref="AS8:AS9"/>
    <mergeCell ref="AT8:AT9"/>
    <mergeCell ref="A8:A9"/>
    <mergeCell ref="B8:B9"/>
    <mergeCell ref="AO8:AO9"/>
    <mergeCell ref="BC8:BF8"/>
    <mergeCell ref="C8:C9"/>
    <mergeCell ref="D8:D9"/>
    <mergeCell ref="E8:E9"/>
    <mergeCell ref="F8:F9"/>
    <mergeCell ref="G8:J8"/>
    <mergeCell ref="K8:K9"/>
    <mergeCell ref="L8:N8"/>
    <mergeCell ref="O8:O9"/>
    <mergeCell ref="P8:P9"/>
    <mergeCell ref="Q8:Q9"/>
    <mergeCell ref="AV8:AY8"/>
  </mergeCells>
  <pageMargins left="0.19685039370078741" right="0.19685039370078741" top="0.19685039370078741" bottom="0.19685039370078741" header="0.19685039370078741" footer="0.19685039370078741"/>
  <pageSetup paperSize="5" scale="6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workbookViewId="0">
      <selection activeCell="B5" sqref="B5:C5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>
      <c r="B1" s="102" t="s">
        <v>153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2:16" ht="24.95" customHeight="1"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2:16" ht="24.95" customHeight="1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P3" s="3"/>
    </row>
    <row r="4" spans="2:16" ht="24.95" customHeight="1"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2:16" ht="24.95" customHeight="1">
      <c r="B5" s="99" t="s">
        <v>35</v>
      </c>
      <c r="C5" s="99"/>
      <c r="D5" s="100" t="str">
        <f>VLOOKUP($K$5,'1ST_SEMESTER'!$B$8:$BX$49,2,0)</f>
        <v xml:space="preserve">Mahua Khan </v>
      </c>
      <c r="E5" s="100"/>
      <c r="F5" s="100"/>
      <c r="G5" s="100"/>
      <c r="H5" s="101" t="s">
        <v>0</v>
      </c>
      <c r="I5" s="101"/>
      <c r="J5" s="28" t="s">
        <v>55</v>
      </c>
      <c r="K5" s="100">
        <v>1</v>
      </c>
      <c r="L5" s="100"/>
      <c r="M5" s="100"/>
    </row>
    <row r="6" spans="2:16" ht="24.95" customHeight="1">
      <c r="B6" s="99" t="s">
        <v>36</v>
      </c>
      <c r="C6" s="99"/>
      <c r="D6" s="100" t="str">
        <f>VLOOKUP($K$5,'1ST_SEMESTER'!$B$8:$BX$49,3,0)</f>
        <v xml:space="preserve">Md. Mizanur Rahman </v>
      </c>
      <c r="E6" s="100"/>
      <c r="F6" s="100"/>
      <c r="G6" s="100"/>
      <c r="H6" s="101" t="s">
        <v>56</v>
      </c>
      <c r="I6" s="101"/>
      <c r="J6" s="28" t="s">
        <v>55</v>
      </c>
      <c r="K6" s="100" t="str">
        <f>'1ST_SEMESTER'!H7</f>
        <v>EIGHT</v>
      </c>
      <c r="L6" s="100"/>
      <c r="M6" s="100"/>
    </row>
    <row r="7" spans="2:16" ht="24.95" customHeight="1">
      <c r="B7" s="99" t="s">
        <v>37</v>
      </c>
      <c r="C7" s="99"/>
      <c r="D7" s="100" t="str">
        <f>VLOOKUP($K$5,'1ST_SEMESTER'!$B$8:$BX$49,4,0)</f>
        <v>Maksutha Begum</v>
      </c>
      <c r="E7" s="100"/>
      <c r="F7" s="100"/>
      <c r="G7" s="100"/>
      <c r="H7" s="101" t="s">
        <v>57</v>
      </c>
      <c r="I7" s="101"/>
      <c r="J7" s="28" t="s">
        <v>55</v>
      </c>
      <c r="K7" s="100" t="str">
        <f>'1ST_SEMESTER'!J7</f>
        <v>PALASH</v>
      </c>
      <c r="L7" s="100"/>
      <c r="M7" s="100"/>
    </row>
    <row r="8" spans="2:16" ht="24.95" customHeight="1">
      <c r="B8" s="99" t="s">
        <v>38</v>
      </c>
      <c r="C8" s="99"/>
      <c r="D8" s="103" t="str">
        <f>'1ST_SEMESTER'!D7</f>
        <v>MAFIQUL ISLAM</v>
      </c>
      <c r="E8" s="103"/>
      <c r="F8" s="103"/>
      <c r="G8" s="103"/>
      <c r="H8" s="105" t="s">
        <v>58</v>
      </c>
      <c r="I8" s="105"/>
      <c r="J8" s="29" t="s">
        <v>55</v>
      </c>
      <c r="K8" s="104">
        <f>'1ST_SEMESTER'!M7</f>
        <v>39</v>
      </c>
      <c r="L8" s="104"/>
      <c r="M8" s="104"/>
    </row>
    <row r="9" spans="2:16" ht="24.95" customHeight="1">
      <c r="B9" s="99" t="s">
        <v>39</v>
      </c>
      <c r="C9" s="99"/>
      <c r="D9" s="106" t="str">
        <f>'1ST_SEMESTER'!F7</f>
        <v>01629-427344</v>
      </c>
      <c r="E9" s="106"/>
      <c r="F9" s="106"/>
      <c r="G9" s="106"/>
      <c r="H9" s="101" t="s">
        <v>59</v>
      </c>
      <c r="I9" s="101"/>
      <c r="J9" s="29" t="s">
        <v>55</v>
      </c>
      <c r="K9" s="104" t="e">
        <f>VLOOKUP($K$5,'1ST_SEMESTER'!$B$8:$BX$49,77,0)</f>
        <v>#REF!</v>
      </c>
      <c r="L9" s="104"/>
      <c r="M9" s="104">
        <f>VLOOKUP($K$5,'1ST_SEMESTER'!$B$8:$BX$24,10,0)</f>
        <v>95</v>
      </c>
    </row>
    <row r="10" spans="2:16" ht="12.75" customHeight="1">
      <c r="B10" s="40"/>
      <c r="C10" s="40"/>
      <c r="D10" s="43"/>
      <c r="E10" s="43"/>
      <c r="F10" s="43"/>
      <c r="G10" s="43"/>
      <c r="H10" s="41"/>
      <c r="I10" s="41"/>
      <c r="J10" s="29"/>
      <c r="K10" s="42"/>
      <c r="L10" s="42"/>
      <c r="M10" s="42"/>
    </row>
    <row r="11" spans="2:16" ht="24.95" customHeight="1">
      <c r="B11" s="107" t="s">
        <v>20</v>
      </c>
      <c r="C11" s="107"/>
      <c r="D11" s="107"/>
      <c r="E11" s="108" t="s">
        <v>21</v>
      </c>
      <c r="F11" s="111" t="s">
        <v>24</v>
      </c>
      <c r="G11" s="112" t="s">
        <v>25</v>
      </c>
      <c r="H11" s="111" t="s">
        <v>26</v>
      </c>
      <c r="I11" s="109" t="s">
        <v>22</v>
      </c>
      <c r="J11" s="109" t="s">
        <v>23</v>
      </c>
      <c r="K11" s="110" t="s">
        <v>2</v>
      </c>
      <c r="L11" s="109" t="s">
        <v>54</v>
      </c>
      <c r="M11" s="109" t="s">
        <v>6</v>
      </c>
    </row>
    <row r="12" spans="2:16" ht="24.95" customHeight="1">
      <c r="B12" s="107"/>
      <c r="C12" s="107"/>
      <c r="D12" s="107"/>
      <c r="E12" s="108"/>
      <c r="F12" s="111"/>
      <c r="G12" s="112"/>
      <c r="H12" s="111"/>
      <c r="I12" s="109"/>
      <c r="J12" s="109"/>
      <c r="K12" s="110"/>
      <c r="L12" s="109"/>
      <c r="M12" s="109"/>
    </row>
    <row r="13" spans="2:16" ht="24.95" customHeight="1">
      <c r="B13" s="107"/>
      <c r="C13" s="107"/>
      <c r="D13" s="107"/>
      <c r="E13" s="108"/>
      <c r="F13" s="111"/>
      <c r="G13" s="112"/>
      <c r="H13" s="111"/>
      <c r="I13" s="109"/>
      <c r="J13" s="109"/>
      <c r="K13" s="110"/>
      <c r="L13" s="109"/>
      <c r="M13" s="109"/>
    </row>
    <row r="14" spans="2:16" ht="24.95" customHeight="1">
      <c r="B14" s="107"/>
      <c r="C14" s="107"/>
      <c r="D14" s="107"/>
      <c r="E14" s="108"/>
      <c r="F14" s="111"/>
      <c r="G14" s="112"/>
      <c r="H14" s="111"/>
      <c r="I14" s="109"/>
      <c r="J14" s="109"/>
      <c r="K14" s="110"/>
      <c r="L14" s="109"/>
      <c r="M14" s="109"/>
    </row>
    <row r="15" spans="2:16" ht="24.95" customHeight="1">
      <c r="B15" s="107"/>
      <c r="C15" s="107"/>
      <c r="D15" s="107"/>
      <c r="E15" s="108"/>
      <c r="F15" s="111"/>
      <c r="G15" s="112"/>
      <c r="H15" s="111"/>
      <c r="I15" s="109"/>
      <c r="J15" s="109"/>
      <c r="K15" s="110"/>
      <c r="L15" s="109"/>
      <c r="M15" s="109"/>
    </row>
    <row r="16" spans="2:16" ht="24.95" customHeight="1">
      <c r="B16" s="107"/>
      <c r="C16" s="107"/>
      <c r="D16" s="107"/>
      <c r="E16" s="108"/>
      <c r="F16" s="111"/>
      <c r="G16" s="112"/>
      <c r="H16" s="111"/>
      <c r="I16" s="109"/>
      <c r="J16" s="109"/>
      <c r="K16" s="110"/>
      <c r="L16" s="109"/>
      <c r="M16" s="109"/>
    </row>
    <row r="17" spans="2:16" ht="30" customHeight="1">
      <c r="B17" s="114" t="s">
        <v>27</v>
      </c>
      <c r="C17" s="114"/>
      <c r="D17" s="114"/>
      <c r="E17" s="19">
        <f>VLOOKUP($K$5,'1ST_SEMESTER'!$B$8:$BX$49,6,0)</f>
        <v>20</v>
      </c>
      <c r="F17" s="19">
        <f>VLOOKUP($K$5,'1ST_SEMESTER'!$B$8:$BX$49,7,0)</f>
        <v>45</v>
      </c>
      <c r="G17" s="19">
        <f>VLOOKUP($K$5,'1ST_SEMESTER'!$B$8:$BX$49,9,0)</f>
        <v>30</v>
      </c>
      <c r="H17" s="120"/>
      <c r="I17" s="115">
        <f>VLOOKUP($K$5,'1ST_SEMESTER'!$B$8:$BX$49,16,0)</f>
        <v>143</v>
      </c>
      <c r="J17" s="115">
        <f>'1ST_SEMESTER'!Q10</f>
        <v>143</v>
      </c>
      <c r="K17" s="115">
        <f>VLOOKUP($K$5,'1ST_SEMESTER'!$B$8:$BX$49,18,0)</f>
        <v>19</v>
      </c>
      <c r="L17" s="115" t="str">
        <f t="shared" ref="L17:L25" si="0">IF(K17="F","F",IF(K17&lt;2.5,"D",IF(K17&lt;3,"C",IF(K17&lt;3.5,"B",IF(K17&lt;4,"A-",IF(K17&lt;5,"A","A+"))))))</f>
        <v>A+</v>
      </c>
      <c r="M17" s="113" t="str">
        <f>IFERROR(VLOOKUP($K$5,'1ST_SEMESTER'!$B$8:$BX$49,72,0),"")</f>
        <v>BEST</v>
      </c>
    </row>
    <row r="18" spans="2:16" ht="30" customHeight="1">
      <c r="B18" s="114" t="s">
        <v>28</v>
      </c>
      <c r="C18" s="114"/>
      <c r="D18" s="114"/>
      <c r="E18" s="19">
        <f>VLOOKUP($K$5,'1ST_SEMESTER'!$B$8:$BX$49,11,0)</f>
        <v>10</v>
      </c>
      <c r="F18" s="19">
        <f>VLOOKUP($K$5,'1ST_SEMESTER'!$B$8:$BX$49,12,0)</f>
        <v>38</v>
      </c>
      <c r="G18" s="19">
        <f>VLOOKUP($K$5,'1ST_SEMESTER'!$B$8:$BX$49,14,0)</f>
        <v>48</v>
      </c>
      <c r="H18" s="121"/>
      <c r="I18" s="116"/>
      <c r="J18" s="116"/>
      <c r="K18" s="116"/>
      <c r="L18" s="116" t="str">
        <f t="shared" si="0"/>
        <v>D</v>
      </c>
      <c r="M18" s="113">
        <f>VLOOKUP($K$5,'1ST_SEMESTER'!$B$8:$BX$24,47,0)</f>
        <v>20</v>
      </c>
    </row>
    <row r="19" spans="2:16" ht="30" customHeight="1">
      <c r="B19" s="114" t="s">
        <v>29</v>
      </c>
      <c r="C19" s="114"/>
      <c r="D19" s="114"/>
      <c r="E19" s="19">
        <f>VLOOKUP($K$5,'1ST_SEMESTER'!$B$8:$BX$49,19,0)</f>
        <v>78</v>
      </c>
      <c r="F19" s="19">
        <f>VLOOKUP($K$5,'1ST_SEMESTER'!$B$8:$BX$49,20,0)</f>
        <v>97</v>
      </c>
      <c r="G19" s="21"/>
      <c r="H19" s="121"/>
      <c r="I19" s="115">
        <f>VLOOKUP($K$5,'1ST_SEMESTER'!$B$8:$BX$49,26,0)</f>
        <v>5</v>
      </c>
      <c r="J19" s="115">
        <f>'1ST_SEMESTER'!Z10</f>
        <v>141</v>
      </c>
      <c r="K19" s="115">
        <f>VLOOKUP($K$5,'1ST_SEMESTER'!$B$8:$BX$49,28,0)</f>
        <v>44</v>
      </c>
      <c r="L19" s="115" t="str">
        <f t="shared" si="0"/>
        <v>A+</v>
      </c>
      <c r="M19" s="113">
        <f>VLOOKUP($K$5,'1ST_SEMESTER'!$B$8:$BX$24,47,0)</f>
        <v>20</v>
      </c>
      <c r="P19" s="3"/>
    </row>
    <row r="20" spans="2:16" ht="30" customHeight="1">
      <c r="B20" s="114" t="s">
        <v>30</v>
      </c>
      <c r="C20" s="114"/>
      <c r="D20" s="114"/>
      <c r="E20" s="19">
        <f>VLOOKUP($K$5,'1ST_SEMESTER'!$B$8:$BX$49,22,0)</f>
        <v>37</v>
      </c>
      <c r="F20" s="19">
        <f>VLOOKUP($K$5,'1ST_SEMESTER'!$B$8:$BX$49,23,0)</f>
        <v>44</v>
      </c>
      <c r="G20" s="22"/>
      <c r="H20" s="121"/>
      <c r="I20" s="116"/>
      <c r="J20" s="116"/>
      <c r="K20" s="116"/>
      <c r="L20" s="116" t="str">
        <f t="shared" si="0"/>
        <v>D</v>
      </c>
      <c r="M20" s="113">
        <f>VLOOKUP($K$5,'1ST_SEMESTER'!$B$8:$BX$24,47,0)</f>
        <v>20</v>
      </c>
    </row>
    <row r="21" spans="2:16" ht="30" customHeight="1">
      <c r="B21" s="114" t="s">
        <v>31</v>
      </c>
      <c r="C21" s="114"/>
      <c r="D21" s="114"/>
      <c r="E21" s="19">
        <f>VLOOKUP($K$5,'1ST_SEMESTER'!$B$8:$BX$49,29,0)</f>
        <v>64</v>
      </c>
      <c r="F21" s="19">
        <f>VLOOKUP($K$5,'1ST_SEMESTER'!$B$8:$BX$49,30,0)</f>
        <v>28</v>
      </c>
      <c r="G21" s="19">
        <f>VLOOKUP($K$5,'1ST_SEMESTER'!$B$8:$BX$49,32,0)</f>
        <v>95</v>
      </c>
      <c r="H21" s="121"/>
      <c r="I21" s="19">
        <f>VLOOKUP($K$5,'1ST_SEMESTER'!$B$8:$BX$49,33,0)</f>
        <v>5</v>
      </c>
      <c r="J21" s="19">
        <f>'1ST_SEMESTER'!AG10</f>
        <v>95</v>
      </c>
      <c r="K21" s="19">
        <f>VLOOKUP($K$5,'1ST_SEMESTER'!$B$8:$BX$49,35,0)</f>
        <v>50</v>
      </c>
      <c r="L21" s="19" t="str">
        <f t="shared" si="0"/>
        <v>A+</v>
      </c>
      <c r="M21" s="113">
        <f>VLOOKUP($K$5,'1ST_SEMESTER'!$B$8:$BX$24,47,0)</f>
        <v>20</v>
      </c>
    </row>
    <row r="22" spans="2:16" ht="30" customHeight="1">
      <c r="B22" s="114" t="s">
        <v>32</v>
      </c>
      <c r="C22" s="114"/>
      <c r="D22" s="114"/>
      <c r="E22" s="19">
        <f>VLOOKUP($K$5,'1ST_SEMESTER'!$B$8:$BX$49,36,0)</f>
        <v>70</v>
      </c>
      <c r="F22" s="19">
        <f>VLOOKUP($K$5,'1ST_SEMESTER'!$B$8:$BX$49,37,0)</f>
        <v>28</v>
      </c>
      <c r="G22" s="19">
        <f>VLOOKUP($K$5,'1ST_SEMESTER'!$B$8:$BX$49,39,0)</f>
        <v>100</v>
      </c>
      <c r="H22" s="122"/>
      <c r="I22" s="19">
        <f>VLOOKUP($K$5,'1ST_SEMESTER'!$B$8:$BX$49,40,0)</f>
        <v>5</v>
      </c>
      <c r="J22" s="19">
        <f>'1ST_SEMESTER'!AN10</f>
        <v>100</v>
      </c>
      <c r="K22" s="19">
        <f>VLOOKUP($K$5,'1ST_SEMESTER'!$B$8:$BX$49,42,0)</f>
        <v>22</v>
      </c>
      <c r="L22" s="19" t="str">
        <f t="shared" si="0"/>
        <v>A+</v>
      </c>
      <c r="M22" s="113">
        <f>VLOOKUP($K$5,'1ST_SEMESTER'!$B$8:$BX$24,47,0)</f>
        <v>20</v>
      </c>
    </row>
    <row r="23" spans="2:16" ht="30" customHeight="1">
      <c r="B23" s="114" t="s">
        <v>4</v>
      </c>
      <c r="C23" s="114"/>
      <c r="D23" s="114"/>
      <c r="E23" s="19">
        <f>VLOOKUP($K$5,'1ST_SEMESTER'!$B$8:$BX$49,43,0)</f>
        <v>24</v>
      </c>
      <c r="F23" s="23"/>
      <c r="G23" s="19">
        <f>VLOOKUP($K$5,'1ST_SEMESTER'!$B$8:$BX$49,44,0)</f>
        <v>46</v>
      </c>
      <c r="H23" s="24">
        <f>VLOOKUP($K$5,'1ST_SEMESTER'!$B$8:$BX$49,45,0)</f>
        <v>46</v>
      </c>
      <c r="I23" s="19">
        <f>VLOOKUP($K$5,'1ST_SEMESTER'!$B$8:$BX$49,46,0)</f>
        <v>5</v>
      </c>
      <c r="J23" s="19">
        <f>'1ST_SEMESTER'!AT10</f>
        <v>46</v>
      </c>
      <c r="K23" s="19">
        <f>VLOOKUP($K$5,'1ST_SEMESTER'!$B$8:$BX$49,48,0)</f>
        <v>49</v>
      </c>
      <c r="L23" s="19" t="str">
        <f t="shared" si="0"/>
        <v>A+</v>
      </c>
      <c r="M23" s="113">
        <f>VLOOKUP($K$5,'1ST_SEMESTER'!$B$8:$BX$24,47,0)</f>
        <v>20</v>
      </c>
    </row>
    <row r="24" spans="2:16" ht="30" customHeight="1">
      <c r="B24" s="114" t="s">
        <v>67</v>
      </c>
      <c r="C24" s="114"/>
      <c r="D24" s="114"/>
      <c r="E24" s="19">
        <f>VLOOKUP($K$5,'1ST_SEMESTER'!$B$8:$BX$49,49,0)</f>
        <v>69</v>
      </c>
      <c r="F24" s="19">
        <f>VLOOKUP($K$5,'1ST_SEMESTER'!$B$8:$BX$49,50,0)</f>
        <v>30</v>
      </c>
      <c r="G24" s="19">
        <f>VLOOKUP($K$5,'1ST_SEMESTER'!$B$8:$BX$49,52,0)</f>
        <v>99</v>
      </c>
      <c r="H24" s="25"/>
      <c r="I24" s="19">
        <f>VLOOKUP($K$5,'1ST_SEMESTER'!$B$8:$BX$49,53,0)</f>
        <v>5</v>
      </c>
      <c r="J24" s="19">
        <f>'1ST_SEMESTER'!BA10</f>
        <v>99</v>
      </c>
      <c r="K24" s="19">
        <f>VLOOKUP($K$5,'1ST_SEMESTER'!$B$8:$BX$49,55,0)</f>
        <v>48</v>
      </c>
      <c r="L24" s="19" t="str">
        <f t="shared" si="0"/>
        <v>A+</v>
      </c>
      <c r="M24" s="113">
        <f>VLOOKUP($K$5,'1ST_SEMESTER'!$B$8:$BX$24,47,0)</f>
        <v>20</v>
      </c>
    </row>
    <row r="25" spans="2:16" ht="30" customHeight="1">
      <c r="B25" s="114" t="s">
        <v>49</v>
      </c>
      <c r="C25" s="114"/>
      <c r="D25" s="114"/>
      <c r="E25" s="19">
        <f>VLOOKUP($K$5,'1ST_SEMESTER'!$B$8:$BX$49,56,0)</f>
        <v>67</v>
      </c>
      <c r="F25" s="19">
        <f>VLOOKUP($K$5,'1ST_SEMESTER'!$B$8:$BX$49,57,0)</f>
        <v>26</v>
      </c>
      <c r="G25" s="19">
        <f>VLOOKUP($K$5,'1ST_SEMESTER'!$B$8:$BX$49,59,0)</f>
        <v>98</v>
      </c>
      <c r="H25" s="24"/>
      <c r="I25" s="19">
        <f>VLOOKUP($K$5,'1ST_SEMESTER'!$B$8:$BX$49,60,0)</f>
        <v>5</v>
      </c>
      <c r="J25" s="19">
        <f>'1ST_SEMESTER'!BH10</f>
        <v>98</v>
      </c>
      <c r="K25" s="19">
        <f>VLOOKUP($K$5,'1ST_SEMESTER'!$B$8:$BX$49,62,0)</f>
        <v>32</v>
      </c>
      <c r="L25" s="19" t="str">
        <f t="shared" si="0"/>
        <v>A+</v>
      </c>
      <c r="M25" s="113">
        <f>VLOOKUP($K$5,'1ST_SEMESTER'!$B$8:$BX$24,47,0)</f>
        <v>20</v>
      </c>
    </row>
    <row r="26" spans="2:16" ht="30" customHeight="1">
      <c r="B26" s="133" t="s">
        <v>33</v>
      </c>
      <c r="C26" s="134"/>
      <c r="D26" s="134"/>
      <c r="E26" s="134"/>
      <c r="F26" s="134"/>
      <c r="G26" s="134"/>
      <c r="H26" s="134"/>
      <c r="I26" s="134"/>
      <c r="J26" s="135"/>
      <c r="K26" s="125"/>
      <c r="L26" s="126"/>
      <c r="M26" s="113">
        <f>VLOOKUP($K$5,'1ST_SEMESTER'!$B$8:$BX$24,47,0)</f>
        <v>20</v>
      </c>
    </row>
    <row r="27" spans="2:16" ht="30" customHeight="1">
      <c r="B27" s="114" t="s">
        <v>68</v>
      </c>
      <c r="C27" s="114"/>
      <c r="D27" s="114"/>
      <c r="E27" s="19">
        <f>VLOOKUP($K$5,'1ST_SEMESTER'!$B$8:$BX$49,64,0)</f>
        <v>0</v>
      </c>
      <c r="F27" s="19">
        <f>VLOOKUP($K$5,'1ST_SEMESTER'!$B$8:$BX$49,65,0)</f>
        <v>25</v>
      </c>
      <c r="G27" s="19">
        <f>VLOOKUP($K$5,'1ST_SEMESTER'!$B$8:$BX$49,66,0)</f>
        <v>42</v>
      </c>
      <c r="H27" s="24" t="e">
        <f>VLOOKUP($K$5,'1ST_SEMESTER'!$B$8:$BX$49,67,0)</f>
        <v>#VALUE!</v>
      </c>
      <c r="I27" s="19">
        <f>VLOOKUP($K$5,'1ST_SEMESTER'!$B$8:$BX$49,68,0)</f>
        <v>5</v>
      </c>
      <c r="J27" s="20" t="e">
        <f>'1ST_SEMESTER'!BP10</f>
        <v>#VALUE!</v>
      </c>
      <c r="K27" s="20">
        <f>VLOOKUP($K$5,'1ST_SEMESTER'!$B$8:$BX$49,70,0)</f>
        <v>5</v>
      </c>
      <c r="L27" s="20" t="str">
        <f>IF(K27="F","F",IF(K27&lt;2.5,"D",IF(K27&lt;3,"C",IF(K27&lt;3.5,"B",IF(K27&lt;4,"A-",IF(K27&lt;5,"A","A+"))))))</f>
        <v>A+</v>
      </c>
      <c r="M27" s="113">
        <f>VLOOKUP($K$5,'1ST_SEMESTER'!$B$8:$BX$24,47,0)</f>
        <v>20</v>
      </c>
    </row>
    <row r="28" spans="2:16" ht="30" customHeight="1">
      <c r="B28" s="127" t="s">
        <v>34</v>
      </c>
      <c r="C28" s="128"/>
      <c r="D28" s="129"/>
      <c r="E28" s="34"/>
      <c r="F28" s="35"/>
      <c r="G28" s="36"/>
      <c r="H28" s="35"/>
      <c r="I28" s="37">
        <f>I17+I19+I21+I22+I23+I24+I25</f>
        <v>173</v>
      </c>
      <c r="J28" s="117"/>
      <c r="K28" s="118"/>
      <c r="L28" s="119"/>
      <c r="M28" s="113">
        <f>VLOOKUP($K$5,'1ST_SEMESTER'!$B$8:$BX$24,47,0)</f>
        <v>20</v>
      </c>
    </row>
    <row r="29" spans="2:16" ht="21" customHeight="1">
      <c r="B29" s="26"/>
      <c r="C29" s="26"/>
      <c r="D29" s="26"/>
      <c r="E29" s="27"/>
      <c r="F29" s="26"/>
      <c r="G29" s="27"/>
      <c r="H29" s="26"/>
      <c r="I29" s="26"/>
      <c r="J29" s="26"/>
      <c r="K29" s="27"/>
      <c r="L29" s="26"/>
      <c r="M29" s="26"/>
    </row>
    <row r="30" spans="2:16" ht="19.5" customHeight="1">
      <c r="B30" s="130" t="s">
        <v>62</v>
      </c>
      <c r="C30" s="130"/>
      <c r="D30" s="130"/>
      <c r="E30" s="130"/>
      <c r="F30" s="33">
        <f>IFERROR(VLOOKUP($K$5,'1ST_SEMESTER'!$B$8:$BX$49,74,0),"")</f>
        <v>0</v>
      </c>
      <c r="G30" s="33"/>
      <c r="H30" s="33"/>
      <c r="I30" s="33"/>
      <c r="J30" s="30"/>
      <c r="K30" s="31"/>
      <c r="L30" s="30"/>
      <c r="M30" s="30"/>
    </row>
    <row r="31" spans="2:16">
      <c r="B31" s="30"/>
      <c r="C31" s="30"/>
      <c r="D31" s="30"/>
      <c r="E31" s="31"/>
      <c r="F31" s="30"/>
      <c r="G31" s="31"/>
      <c r="H31" s="30"/>
      <c r="I31" s="30"/>
      <c r="J31" s="30"/>
      <c r="K31" s="31"/>
      <c r="L31" s="30"/>
      <c r="M31" s="30"/>
    </row>
    <row r="32" spans="2:16" ht="19.5" customHeight="1">
      <c r="B32" s="131" t="s">
        <v>61</v>
      </c>
      <c r="C32" s="131"/>
      <c r="D32" s="131"/>
      <c r="E32" s="131"/>
      <c r="F32" s="132" t="str">
        <f>IFERROR(VLOOKUP($K$5,'1ST_SEMESTER'!$B$8:$BX$49,76,0),"")</f>
        <v/>
      </c>
      <c r="G32" s="132" t="e">
        <f>VLOOKUP($K$5,'1ST_SEMESTER'!$B$8:$BX$24,101,0)</f>
        <v>#REF!</v>
      </c>
      <c r="H32" s="30"/>
      <c r="I32" s="30"/>
      <c r="J32" s="30"/>
      <c r="K32" s="31"/>
      <c r="L32" s="30"/>
      <c r="M32" s="32"/>
    </row>
    <row r="33" spans="2:13">
      <c r="B33" s="30"/>
      <c r="C33" s="30"/>
      <c r="D33" s="30"/>
      <c r="E33" s="31"/>
      <c r="F33" s="30"/>
      <c r="G33" s="31"/>
      <c r="H33" s="30"/>
      <c r="I33" s="30"/>
      <c r="J33" s="30"/>
      <c r="K33" s="31"/>
      <c r="L33" s="30"/>
      <c r="M33" s="30"/>
    </row>
    <row r="34" spans="2:13">
      <c r="B34" s="30"/>
      <c r="C34" s="30"/>
      <c r="D34" s="30"/>
      <c r="E34" s="31"/>
      <c r="F34" s="30"/>
      <c r="G34" s="31"/>
      <c r="H34" s="30"/>
      <c r="I34" s="30"/>
      <c r="J34" s="30"/>
      <c r="K34" s="31"/>
      <c r="L34" s="30"/>
      <c r="M34" s="30"/>
    </row>
    <row r="35" spans="2:13">
      <c r="B35" s="30"/>
      <c r="C35" s="30"/>
      <c r="D35" s="30"/>
      <c r="E35" s="31"/>
      <c r="F35" s="30"/>
      <c r="G35" s="31"/>
      <c r="H35" s="30"/>
      <c r="I35" s="30"/>
      <c r="J35" s="30"/>
      <c r="K35" s="31"/>
      <c r="L35" s="30"/>
      <c r="M35" s="30"/>
    </row>
    <row r="36" spans="2:13">
      <c r="B36" s="30"/>
      <c r="C36" s="30"/>
      <c r="D36" s="30"/>
      <c r="E36" s="31"/>
      <c r="F36" s="30"/>
      <c r="G36" s="31"/>
      <c r="H36" s="30"/>
      <c r="I36" s="30"/>
      <c r="J36" s="30"/>
      <c r="K36" s="31"/>
      <c r="L36" s="30"/>
      <c r="M36" s="30"/>
    </row>
    <row r="37" spans="2:13" ht="15.75">
      <c r="B37" s="30"/>
      <c r="C37" s="124" t="s">
        <v>63</v>
      </c>
      <c r="D37" s="124"/>
      <c r="E37" s="31"/>
      <c r="F37" s="30"/>
      <c r="G37" s="123" t="s">
        <v>64</v>
      </c>
      <c r="H37" s="123"/>
      <c r="I37" s="30"/>
      <c r="J37" s="30"/>
      <c r="K37" s="38"/>
      <c r="L37" s="39" t="s">
        <v>65</v>
      </c>
      <c r="M37" s="30"/>
    </row>
    <row r="38" spans="2:13">
      <c r="B38" s="30"/>
      <c r="C38" s="30"/>
      <c r="D38" s="30"/>
      <c r="E38" s="31"/>
      <c r="F38" s="30"/>
      <c r="G38" s="31"/>
      <c r="H38" s="30"/>
      <c r="I38" s="30"/>
      <c r="J38" s="30"/>
      <c r="K38" s="31"/>
      <c r="L38" s="30"/>
      <c r="M38" s="30"/>
    </row>
    <row r="39" spans="2:13">
      <c r="B39" s="30"/>
      <c r="C39" s="30"/>
      <c r="D39" s="30"/>
      <c r="E39" s="31"/>
      <c r="F39" s="30"/>
      <c r="G39" s="31"/>
      <c r="H39" s="30"/>
      <c r="I39" s="30"/>
      <c r="J39" s="30"/>
      <c r="K39" s="31"/>
      <c r="L39" s="30"/>
      <c r="M39" s="30"/>
    </row>
  </sheetData>
  <mergeCells count="60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2025-05-15T16:00:02Z</cp:lastPrinted>
  <dcterms:created xsi:type="dcterms:W3CDTF">2020-11-16T04:30:11Z</dcterms:created>
  <dcterms:modified xsi:type="dcterms:W3CDTF">2025-11-06T06:27:11Z</dcterms:modified>
</cp:coreProperties>
</file>