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13800" yWindow="1530" windowWidth="15375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50" i="4"/>
  <c r="AZ49"/>
  <c r="BB49" s="1"/>
  <c r="AZ50"/>
  <c r="AW49"/>
  <c r="AW50"/>
  <c r="AO49"/>
  <c r="AQ49" s="1"/>
  <c r="AM49"/>
  <c r="AH49"/>
  <c r="AJ49"/>
  <c r="AF49"/>
  <c r="AF50"/>
  <c r="Y49"/>
  <c r="Z49"/>
  <c r="AA49" s="1"/>
  <c r="AC49" s="1"/>
  <c r="S49"/>
  <c r="S50"/>
  <c r="V49"/>
  <c r="N49"/>
  <c r="P49" s="1"/>
  <c r="Q49" s="1"/>
  <c r="N50"/>
  <c r="P50" s="1"/>
  <c r="Q50" s="1"/>
  <c r="I49"/>
  <c r="K49" s="1"/>
  <c r="BN48"/>
  <c r="BQ48" s="1"/>
  <c r="BG48"/>
  <c r="BI48" s="1"/>
  <c r="BK48" s="1"/>
  <c r="BB48"/>
  <c r="BD48" s="1"/>
  <c r="AZ48"/>
  <c r="AU48"/>
  <c r="AW48" s="1"/>
  <c r="AO48"/>
  <c r="AQ48" s="1"/>
  <c r="AM48"/>
  <c r="AH48"/>
  <c r="AJ48" s="1"/>
  <c r="AF48"/>
  <c r="Y48"/>
  <c r="V48"/>
  <c r="N48"/>
  <c r="P48" s="1"/>
  <c r="I48"/>
  <c r="K48" s="1"/>
  <c r="BS48" l="1"/>
  <c r="Z48"/>
  <c r="AA48" s="1"/>
  <c r="AC48" s="1"/>
  <c r="Q48"/>
  <c r="BN47"/>
  <c r="BQ47" s="1"/>
  <c r="BN50"/>
  <c r="BQ50" s="1"/>
  <c r="BG47"/>
  <c r="BI47" s="1"/>
  <c r="BK47" s="1"/>
  <c r="BG50"/>
  <c r="BI50" s="1"/>
  <c r="BK50" s="1"/>
  <c r="AZ47"/>
  <c r="BB47" s="1"/>
  <c r="BD47" s="1"/>
  <c r="BD50"/>
  <c r="AU47"/>
  <c r="AW47" s="1"/>
  <c r="AU50"/>
  <c r="AM47"/>
  <c r="AO47" s="1"/>
  <c r="AQ47" s="1"/>
  <c r="AM50"/>
  <c r="AO50" s="1"/>
  <c r="AQ50" s="1"/>
  <c r="AF47"/>
  <c r="AH47" s="1"/>
  <c r="AJ47" s="1"/>
  <c r="AH50"/>
  <c r="AJ50" s="1"/>
  <c r="V47"/>
  <c r="Y47"/>
  <c r="V50"/>
  <c r="Y50"/>
  <c r="N47"/>
  <c r="P47" s="1"/>
  <c r="I47"/>
  <c r="K47" s="1"/>
  <c r="I50"/>
  <c r="K50" s="1"/>
  <c r="G25" i="2"/>
  <c r="BX48" i="4" l="1"/>
  <c r="S48"/>
  <c r="BT48" s="1"/>
  <c r="BU48" s="1"/>
  <c r="BW48" s="1"/>
  <c r="Q47"/>
  <c r="S47" s="1"/>
  <c r="BT47" s="1"/>
  <c r="BU47" s="1"/>
  <c r="BW47" s="1"/>
  <c r="Z47"/>
  <c r="AA47" s="1"/>
  <c r="AC47" s="1"/>
  <c r="BS47"/>
  <c r="Z50"/>
  <c r="AA50" s="1"/>
  <c r="AC50" s="1"/>
  <c r="BS50"/>
  <c r="AU10"/>
  <c r="AW10" s="1"/>
  <c r="BV48" l="1"/>
  <c r="BX47"/>
  <c r="BV47"/>
  <c r="BX50"/>
  <c r="BT50"/>
  <c r="BU50" s="1"/>
  <c r="BN45"/>
  <c r="BN46"/>
  <c r="BN36"/>
  <c r="BN37"/>
  <c r="BN38"/>
  <c r="BN39"/>
  <c r="BN40"/>
  <c r="BN41"/>
  <c r="BN42"/>
  <c r="BN43"/>
  <c r="BN44"/>
  <c r="BN25"/>
  <c r="BN26"/>
  <c r="BN27"/>
  <c r="BN28"/>
  <c r="BN29"/>
  <c r="BN30"/>
  <c r="BN31"/>
  <c r="BN32"/>
  <c r="BN33"/>
  <c r="BN34"/>
  <c r="BN35"/>
  <c r="BN11"/>
  <c r="BN12"/>
  <c r="BN13"/>
  <c r="BN14"/>
  <c r="BN15"/>
  <c r="BN16"/>
  <c r="BN17"/>
  <c r="BN18"/>
  <c r="BN19"/>
  <c r="BN20"/>
  <c r="BN21"/>
  <c r="BN22"/>
  <c r="BN23"/>
  <c r="BN24"/>
  <c r="BG45"/>
  <c r="BI45" s="1"/>
  <c r="BK45" s="1"/>
  <c r="BG46"/>
  <c r="BI46" s="1"/>
  <c r="BK46" s="1"/>
  <c r="BG36"/>
  <c r="BI36" s="1"/>
  <c r="BK36" s="1"/>
  <c r="BG37"/>
  <c r="BG38"/>
  <c r="BI38" s="1"/>
  <c r="BK38" s="1"/>
  <c r="BG39"/>
  <c r="BI39" s="1"/>
  <c r="BK39" s="1"/>
  <c r="BG40"/>
  <c r="BI40" s="1"/>
  <c r="BK40" s="1"/>
  <c r="BG41"/>
  <c r="BI41" s="1"/>
  <c r="BK41" s="1"/>
  <c r="BG42"/>
  <c r="BI42" s="1"/>
  <c r="BK42" s="1"/>
  <c r="BG43"/>
  <c r="BI43" s="1"/>
  <c r="BK43" s="1"/>
  <c r="BG44"/>
  <c r="BI44" s="1"/>
  <c r="BK44" s="1"/>
  <c r="BG25"/>
  <c r="BI25" s="1"/>
  <c r="BK25" s="1"/>
  <c r="BG26"/>
  <c r="BI26" s="1"/>
  <c r="BK26" s="1"/>
  <c r="BG27"/>
  <c r="BI27" s="1"/>
  <c r="BK27" s="1"/>
  <c r="BG28"/>
  <c r="BI28" s="1"/>
  <c r="BK28" s="1"/>
  <c r="BG29"/>
  <c r="BG30"/>
  <c r="BI30" s="1"/>
  <c r="BK30" s="1"/>
  <c r="BG31"/>
  <c r="BI31" s="1"/>
  <c r="BK31" s="1"/>
  <c r="BG32"/>
  <c r="BI32" s="1"/>
  <c r="BK32" s="1"/>
  <c r="BG33"/>
  <c r="BG34"/>
  <c r="BI34" s="1"/>
  <c r="BK34" s="1"/>
  <c r="BG35"/>
  <c r="BI35" s="1"/>
  <c r="BK35" s="1"/>
  <c r="BG11"/>
  <c r="BI11" s="1"/>
  <c r="BK11" s="1"/>
  <c r="BG12"/>
  <c r="BI12" s="1"/>
  <c r="BK12" s="1"/>
  <c r="BG13"/>
  <c r="BI13" s="1"/>
  <c r="BK13" s="1"/>
  <c r="BG14"/>
  <c r="BI14" s="1"/>
  <c r="BK14" s="1"/>
  <c r="BG15"/>
  <c r="BI15" s="1"/>
  <c r="BK15" s="1"/>
  <c r="BG16"/>
  <c r="BI16" s="1"/>
  <c r="BK16" s="1"/>
  <c r="BG17"/>
  <c r="BI17" s="1"/>
  <c r="BK17" s="1"/>
  <c r="BG18"/>
  <c r="BI18" s="1"/>
  <c r="BK18" s="1"/>
  <c r="BG19"/>
  <c r="BG20"/>
  <c r="BI20" s="1"/>
  <c r="BK20" s="1"/>
  <c r="BG21"/>
  <c r="BI21" s="1"/>
  <c r="BK21" s="1"/>
  <c r="BG22"/>
  <c r="BI22" s="1"/>
  <c r="BK22" s="1"/>
  <c r="BG23"/>
  <c r="BG24"/>
  <c r="BI24" s="1"/>
  <c r="BK24" s="1"/>
  <c r="AZ45"/>
  <c r="AZ46"/>
  <c r="AZ36"/>
  <c r="AZ37"/>
  <c r="AZ38"/>
  <c r="AZ39"/>
  <c r="AZ40"/>
  <c r="AZ42"/>
  <c r="AZ43"/>
  <c r="AZ44"/>
  <c r="AZ25"/>
  <c r="AZ26"/>
  <c r="AZ27"/>
  <c r="AZ28"/>
  <c r="AZ29"/>
  <c r="AZ30"/>
  <c r="AZ31"/>
  <c r="AZ32"/>
  <c r="AZ33"/>
  <c r="AZ34"/>
  <c r="AZ35"/>
  <c r="AZ11"/>
  <c r="AZ12"/>
  <c r="AZ13"/>
  <c r="AZ14"/>
  <c r="AZ15"/>
  <c r="AZ16"/>
  <c r="AZ17"/>
  <c r="AZ18"/>
  <c r="AZ19"/>
  <c r="AZ20"/>
  <c r="AZ21"/>
  <c r="AZ22"/>
  <c r="AZ23"/>
  <c r="AU38"/>
  <c r="AW38" s="1"/>
  <c r="AU39"/>
  <c r="AW39" s="1"/>
  <c r="AU40"/>
  <c r="AW40" s="1"/>
  <c r="AU41"/>
  <c r="AW41" s="1"/>
  <c r="AU42"/>
  <c r="AW42" s="1"/>
  <c r="AU43"/>
  <c r="AW43" s="1"/>
  <c r="AU44"/>
  <c r="AW44" s="1"/>
  <c r="AU45"/>
  <c r="AW45" s="1"/>
  <c r="AU46"/>
  <c r="AW46" s="1"/>
  <c r="AU25"/>
  <c r="AW25" s="1"/>
  <c r="AU26"/>
  <c r="AW26" s="1"/>
  <c r="AU27"/>
  <c r="AW27" s="1"/>
  <c r="AU28"/>
  <c r="AW28" s="1"/>
  <c r="AU29"/>
  <c r="AW29" s="1"/>
  <c r="AU30"/>
  <c r="AW30" s="1"/>
  <c r="AU31"/>
  <c r="AW31" s="1"/>
  <c r="AU32"/>
  <c r="AW32" s="1"/>
  <c r="AU33"/>
  <c r="AW33" s="1"/>
  <c r="AU34"/>
  <c r="AW34" s="1"/>
  <c r="AU35"/>
  <c r="AW35" s="1"/>
  <c r="AU36"/>
  <c r="AW36" s="1"/>
  <c r="AU37"/>
  <c r="AW37" s="1"/>
  <c r="AU11"/>
  <c r="AW11" s="1"/>
  <c r="AU12"/>
  <c r="AW12" s="1"/>
  <c r="AU13"/>
  <c r="AW13" s="1"/>
  <c r="AU14"/>
  <c r="AW14" s="1"/>
  <c r="AU15"/>
  <c r="AW15" s="1"/>
  <c r="AU16"/>
  <c r="AW16" s="1"/>
  <c r="AU17"/>
  <c r="AW17" s="1"/>
  <c r="AU18"/>
  <c r="AW18" s="1"/>
  <c r="AU19"/>
  <c r="AW19" s="1"/>
  <c r="AU20"/>
  <c r="AW20" s="1"/>
  <c r="AU21"/>
  <c r="AW21" s="1"/>
  <c r="AU22"/>
  <c r="AW22" s="1"/>
  <c r="AU23"/>
  <c r="AW23" s="1"/>
  <c r="AU24"/>
  <c r="AW24" s="1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11"/>
  <c r="AM12"/>
  <c r="AM13"/>
  <c r="AM14"/>
  <c r="AM15"/>
  <c r="AM16"/>
  <c r="AM17"/>
  <c r="AM18"/>
  <c r="AM19"/>
  <c r="AM20"/>
  <c r="AM21"/>
  <c r="AM22"/>
  <c r="AM23"/>
  <c r="AM24"/>
  <c r="AF45"/>
  <c r="AF46"/>
  <c r="AF36"/>
  <c r="AF37"/>
  <c r="AF38"/>
  <c r="AF39"/>
  <c r="AF40"/>
  <c r="AF41"/>
  <c r="AF42"/>
  <c r="AF43"/>
  <c r="AF44"/>
  <c r="AF25"/>
  <c r="AF26"/>
  <c r="AF27"/>
  <c r="AF28"/>
  <c r="AF29"/>
  <c r="AF30"/>
  <c r="AF31"/>
  <c r="AF32"/>
  <c r="AF33"/>
  <c r="AF34"/>
  <c r="AF35"/>
  <c r="AF11"/>
  <c r="AF12"/>
  <c r="AF13"/>
  <c r="AF14"/>
  <c r="AF15"/>
  <c r="AF16"/>
  <c r="AF17"/>
  <c r="AF18"/>
  <c r="AF19"/>
  <c r="AF20"/>
  <c r="AF21"/>
  <c r="AF22"/>
  <c r="AF23"/>
  <c r="AF24"/>
  <c r="V11"/>
  <c r="Y11"/>
  <c r="V12"/>
  <c r="Y12"/>
  <c r="V13"/>
  <c r="Y13"/>
  <c r="V14"/>
  <c r="Y14"/>
  <c r="V15"/>
  <c r="Y15"/>
  <c r="V16"/>
  <c r="Y16"/>
  <c r="V17"/>
  <c r="Y17"/>
  <c r="V18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Y34"/>
  <c r="V35"/>
  <c r="Y35"/>
  <c r="V36"/>
  <c r="Y36"/>
  <c r="V37"/>
  <c r="Y37"/>
  <c r="V38"/>
  <c r="Y38"/>
  <c r="V39"/>
  <c r="Y39"/>
  <c r="V40"/>
  <c r="Y40"/>
  <c r="V41"/>
  <c r="Y41"/>
  <c r="V42"/>
  <c r="Y42"/>
  <c r="V43"/>
  <c r="Y43"/>
  <c r="V44"/>
  <c r="Y44"/>
  <c r="V45"/>
  <c r="Y45"/>
  <c r="V46"/>
  <c r="Y46"/>
  <c r="I11"/>
  <c r="N11"/>
  <c r="P11" s="1"/>
  <c r="I12"/>
  <c r="N12"/>
  <c r="P12" s="1"/>
  <c r="I13"/>
  <c r="N13"/>
  <c r="P13" s="1"/>
  <c r="I14"/>
  <c r="N14"/>
  <c r="P14" s="1"/>
  <c r="I15"/>
  <c r="N15"/>
  <c r="P15" s="1"/>
  <c r="I16"/>
  <c r="N16"/>
  <c r="P16" s="1"/>
  <c r="I17"/>
  <c r="N17"/>
  <c r="P17" s="1"/>
  <c r="I18"/>
  <c r="N18"/>
  <c r="P18" s="1"/>
  <c r="I19"/>
  <c r="N19"/>
  <c r="P19" s="1"/>
  <c r="I20"/>
  <c r="N20"/>
  <c r="P20" s="1"/>
  <c r="I21"/>
  <c r="N21"/>
  <c r="P21" s="1"/>
  <c r="I22"/>
  <c r="N22"/>
  <c r="P22" s="1"/>
  <c r="I23"/>
  <c r="N23"/>
  <c r="P23" s="1"/>
  <c r="I24"/>
  <c r="N24"/>
  <c r="P24" s="1"/>
  <c r="I25"/>
  <c r="N25"/>
  <c r="P25" s="1"/>
  <c r="I26"/>
  <c r="N26"/>
  <c r="P26" s="1"/>
  <c r="I27"/>
  <c r="N27"/>
  <c r="P27" s="1"/>
  <c r="I28"/>
  <c r="N28"/>
  <c r="P28" s="1"/>
  <c r="I29"/>
  <c r="N29"/>
  <c r="P29" s="1"/>
  <c r="I30"/>
  <c r="N30"/>
  <c r="P30" s="1"/>
  <c r="I31"/>
  <c r="N31"/>
  <c r="P31" s="1"/>
  <c r="I32"/>
  <c r="N32"/>
  <c r="P32" s="1"/>
  <c r="I33"/>
  <c r="N33"/>
  <c r="P33" s="1"/>
  <c r="I34"/>
  <c r="N34"/>
  <c r="P34" s="1"/>
  <c r="I35"/>
  <c r="N35"/>
  <c r="P35" s="1"/>
  <c r="I36"/>
  <c r="N36"/>
  <c r="P36" s="1"/>
  <c r="I37"/>
  <c r="N37"/>
  <c r="P37" s="1"/>
  <c r="I38"/>
  <c r="N38"/>
  <c r="P38" s="1"/>
  <c r="I39"/>
  <c r="N39"/>
  <c r="P39" s="1"/>
  <c r="I40"/>
  <c r="N40"/>
  <c r="P40" s="1"/>
  <c r="I41"/>
  <c r="N41"/>
  <c r="P41" s="1"/>
  <c r="I42"/>
  <c r="N42"/>
  <c r="P42" s="1"/>
  <c r="I43"/>
  <c r="N43"/>
  <c r="P43" s="1"/>
  <c r="I44"/>
  <c r="N44"/>
  <c r="P44" s="1"/>
  <c r="I45"/>
  <c r="N45"/>
  <c r="P45" s="1"/>
  <c r="I46"/>
  <c r="N46"/>
  <c r="P46" s="1"/>
  <c r="I10"/>
  <c r="N10"/>
  <c r="P10" s="1"/>
  <c r="BV50" l="1"/>
  <c r="BW50"/>
  <c r="BQ31"/>
  <c r="BS31" s="1"/>
  <c r="BB23"/>
  <c r="BD23" s="1"/>
  <c r="BB11"/>
  <c r="BD11" s="1"/>
  <c r="BB45"/>
  <c r="BD45" s="1"/>
  <c r="BQ17"/>
  <c r="BS17" s="1"/>
  <c r="BQ30"/>
  <c r="BS30" s="1"/>
  <c r="BQ39"/>
  <c r="BS39" s="1"/>
  <c r="BQ40"/>
  <c r="BS40" s="1"/>
  <c r="BB22"/>
  <c r="BD22" s="1"/>
  <c r="BB35"/>
  <c r="BD35" s="1"/>
  <c r="BB44"/>
  <c r="BD44" s="1"/>
  <c r="BQ16"/>
  <c r="BS16" s="1"/>
  <c r="BQ29"/>
  <c r="BS29" s="1"/>
  <c r="BQ38"/>
  <c r="BS38" s="1"/>
  <c r="BB13"/>
  <c r="BD13" s="1"/>
  <c r="BQ19"/>
  <c r="BS19" s="1"/>
  <c r="BB12"/>
  <c r="BD12" s="1"/>
  <c r="BB21"/>
  <c r="BD21" s="1"/>
  <c r="BB34"/>
  <c r="BD34" s="1"/>
  <c r="BB43"/>
  <c r="BD43" s="1"/>
  <c r="BQ15"/>
  <c r="BS15" s="1"/>
  <c r="BQ28"/>
  <c r="BS28" s="1"/>
  <c r="BQ37"/>
  <c r="BS37" s="1"/>
  <c r="BB20"/>
  <c r="BD20" s="1"/>
  <c r="BB33"/>
  <c r="BD33" s="1"/>
  <c r="BB42"/>
  <c r="BD42" s="1"/>
  <c r="BQ14"/>
  <c r="BS14" s="1"/>
  <c r="BQ27"/>
  <c r="BS27" s="1"/>
  <c r="BQ36"/>
  <c r="BS36" s="1"/>
  <c r="BQ41"/>
  <c r="BS41" s="1"/>
  <c r="BB19"/>
  <c r="BD19" s="1"/>
  <c r="BB32"/>
  <c r="BD32" s="1"/>
  <c r="BQ13"/>
  <c r="BS13" s="1"/>
  <c r="BQ26"/>
  <c r="BS26" s="1"/>
  <c r="BB18"/>
  <c r="BD18" s="1"/>
  <c r="BB31"/>
  <c r="BD31" s="1"/>
  <c r="BB40"/>
  <c r="BD40" s="1"/>
  <c r="BQ24"/>
  <c r="BS24" s="1"/>
  <c r="BQ12"/>
  <c r="BS12" s="1"/>
  <c r="BQ25"/>
  <c r="BS25" s="1"/>
  <c r="BQ46"/>
  <c r="BS46" s="1"/>
  <c r="BQ18"/>
  <c r="BS18" s="1"/>
  <c r="BB17"/>
  <c r="BD17" s="1"/>
  <c r="BB30"/>
  <c r="BD30" s="1"/>
  <c r="BB39"/>
  <c r="BD39" s="1"/>
  <c r="BQ23"/>
  <c r="BS23" s="1"/>
  <c r="BQ11"/>
  <c r="BS11" s="1"/>
  <c r="BQ45"/>
  <c r="BS45" s="1"/>
  <c r="BB26"/>
  <c r="BD26" s="1"/>
  <c r="BB16"/>
  <c r="BD16" s="1"/>
  <c r="BB38"/>
  <c r="BD38" s="1"/>
  <c r="BQ22"/>
  <c r="BS22" s="1"/>
  <c r="BQ35"/>
  <c r="BS35" s="1"/>
  <c r="BQ44"/>
  <c r="BS44" s="1"/>
  <c r="BQ32"/>
  <c r="BS32" s="1"/>
  <c r="BB15"/>
  <c r="BD15" s="1"/>
  <c r="BB28"/>
  <c r="BD28" s="1"/>
  <c r="BB37"/>
  <c r="BD37" s="1"/>
  <c r="BQ21"/>
  <c r="BS21" s="1"/>
  <c r="BQ34"/>
  <c r="BS34" s="1"/>
  <c r="BQ43"/>
  <c r="BS43" s="1"/>
  <c r="BB46"/>
  <c r="BD46" s="1"/>
  <c r="BB14"/>
  <c r="BD14" s="1"/>
  <c r="BB27"/>
  <c r="BD27" s="1"/>
  <c r="BB36"/>
  <c r="BD36" s="1"/>
  <c r="BQ20"/>
  <c r="BS20" s="1"/>
  <c r="BQ33"/>
  <c r="BS33" s="1"/>
  <c r="BQ42"/>
  <c r="BS42" s="1"/>
  <c r="AH21"/>
  <c r="AJ21" s="1"/>
  <c r="AH35"/>
  <c r="AJ35" s="1"/>
  <c r="AH44"/>
  <c r="AJ44" s="1"/>
  <c r="AO13"/>
  <c r="AQ13" s="1"/>
  <c r="AO39"/>
  <c r="AQ39" s="1"/>
  <c r="AO27"/>
  <c r="AQ27" s="1"/>
  <c r="AO28"/>
  <c r="AQ28" s="1"/>
  <c r="AH43"/>
  <c r="AJ43" s="1"/>
  <c r="AO12"/>
  <c r="AQ12" s="1"/>
  <c r="AH17"/>
  <c r="AJ17" s="1"/>
  <c r="AH31"/>
  <c r="AJ31" s="1"/>
  <c r="AH40"/>
  <c r="AJ40" s="1"/>
  <c r="AO21"/>
  <c r="AQ21" s="1"/>
  <c r="AO35"/>
  <c r="AQ35" s="1"/>
  <c r="AH34"/>
  <c r="AJ34" s="1"/>
  <c r="AO24"/>
  <c r="AQ24" s="1"/>
  <c r="AO26"/>
  <c r="AQ26" s="1"/>
  <c r="AH42"/>
  <c r="AJ42" s="1"/>
  <c r="Z46"/>
  <c r="AA46" s="1"/>
  <c r="AC46" s="1"/>
  <c r="Z40"/>
  <c r="AA40" s="1"/>
  <c r="AC40" s="1"/>
  <c r="AH32"/>
  <c r="AJ32" s="1"/>
  <c r="AH16"/>
  <c r="AJ16" s="1"/>
  <c r="AH30"/>
  <c r="AJ30" s="1"/>
  <c r="AH39"/>
  <c r="AJ39" s="1"/>
  <c r="AO20"/>
  <c r="AQ20" s="1"/>
  <c r="AO46"/>
  <c r="AQ46" s="1"/>
  <c r="AO34"/>
  <c r="AQ34" s="1"/>
  <c r="AH38"/>
  <c r="AJ38" s="1"/>
  <c r="AO19"/>
  <c r="AQ19" s="1"/>
  <c r="AO45"/>
  <c r="AQ45" s="1"/>
  <c r="AO33"/>
  <c r="AQ33" s="1"/>
  <c r="AO14"/>
  <c r="AQ14" s="1"/>
  <c r="AO22"/>
  <c r="AQ22" s="1"/>
  <c r="AH14"/>
  <c r="AJ14" s="1"/>
  <c r="AH28"/>
  <c r="AJ28" s="1"/>
  <c r="AH37"/>
  <c r="AJ37" s="1"/>
  <c r="AO18"/>
  <c r="AQ18" s="1"/>
  <c r="AO44"/>
  <c r="AQ44" s="1"/>
  <c r="AO32"/>
  <c r="AQ32" s="1"/>
  <c r="AH45"/>
  <c r="AJ45" s="1"/>
  <c r="AH20"/>
  <c r="AJ20" s="1"/>
  <c r="AO38"/>
  <c r="AQ38" s="1"/>
  <c r="AO11"/>
  <c r="AQ11" s="1"/>
  <c r="AH13"/>
  <c r="AJ13" s="1"/>
  <c r="AH27"/>
  <c r="AJ27" s="1"/>
  <c r="AH36"/>
  <c r="AJ36" s="1"/>
  <c r="AO17"/>
  <c r="AQ17" s="1"/>
  <c r="AO43"/>
  <c r="AQ43" s="1"/>
  <c r="AO31"/>
  <c r="AQ31" s="1"/>
  <c r="AH11"/>
  <c r="AJ11" s="1"/>
  <c r="AH18"/>
  <c r="AJ18" s="1"/>
  <c r="AO36"/>
  <c r="AQ36" s="1"/>
  <c r="AH24"/>
  <c r="AJ24" s="1"/>
  <c r="AH12"/>
  <c r="AJ12" s="1"/>
  <c r="AH26"/>
  <c r="AJ26" s="1"/>
  <c r="AO16"/>
  <c r="AQ16" s="1"/>
  <c r="AO42"/>
  <c r="AQ42" s="1"/>
  <c r="AO30"/>
  <c r="AQ30" s="1"/>
  <c r="AH22"/>
  <c r="AJ22" s="1"/>
  <c r="AO40"/>
  <c r="AQ40" s="1"/>
  <c r="AH25"/>
  <c r="AJ25" s="1"/>
  <c r="AH46"/>
  <c r="AJ46" s="1"/>
  <c r="AO41"/>
  <c r="AQ41" s="1"/>
  <c r="AO25"/>
  <c r="AQ25" s="1"/>
  <c r="K43"/>
  <c r="Q43" s="1"/>
  <c r="S43" s="1"/>
  <c r="K37"/>
  <c r="Q37" s="1"/>
  <c r="S37" s="1"/>
  <c r="K33"/>
  <c r="Q33" s="1"/>
  <c r="S33" s="1"/>
  <c r="K29"/>
  <c r="Q29" s="1"/>
  <c r="S29" s="1"/>
  <c r="BT29" s="1"/>
  <c r="BU29" s="1"/>
  <c r="K25"/>
  <c r="Q25" s="1"/>
  <c r="S25" s="1"/>
  <c r="K18"/>
  <c r="Q18" s="1"/>
  <c r="S18" s="1"/>
  <c r="K16"/>
  <c r="Q16" s="1"/>
  <c r="S16" s="1"/>
  <c r="K12"/>
  <c r="Q12" s="1"/>
  <c r="S12" s="1"/>
  <c r="K10"/>
  <c r="Q10" s="1"/>
  <c r="K46"/>
  <c r="Q46" s="1"/>
  <c r="S46" s="1"/>
  <c r="K44"/>
  <c r="Q44" s="1"/>
  <c r="S44" s="1"/>
  <c r="K42"/>
  <c r="Q42" s="1"/>
  <c r="S42" s="1"/>
  <c r="K38"/>
  <c r="Q38" s="1"/>
  <c r="S38" s="1"/>
  <c r="K36"/>
  <c r="Q36" s="1"/>
  <c r="S36" s="1"/>
  <c r="K34"/>
  <c r="Q34" s="1"/>
  <c r="S34" s="1"/>
  <c r="K30"/>
  <c r="Q30" s="1"/>
  <c r="S30" s="1"/>
  <c r="K28"/>
  <c r="Q28" s="1"/>
  <c r="S28" s="1"/>
  <c r="K26"/>
  <c r="Q26" s="1"/>
  <c r="S26" s="1"/>
  <c r="Z45"/>
  <c r="AA45" s="1"/>
  <c r="AC45" s="1"/>
  <c r="Z23"/>
  <c r="AA23" s="1"/>
  <c r="AC23" s="1"/>
  <c r="Z19"/>
  <c r="AA19" s="1"/>
  <c r="AC19" s="1"/>
  <c r="Z15"/>
  <c r="AA15" s="1"/>
  <c r="AC15" s="1"/>
  <c r="BB25"/>
  <c r="BD25" s="1"/>
  <c r="K45"/>
  <c r="Q45" s="1"/>
  <c r="S45" s="1"/>
  <c r="K41"/>
  <c r="Q41" s="1"/>
  <c r="S41" s="1"/>
  <c r="K39"/>
  <c r="Q39" s="1"/>
  <c r="S39" s="1"/>
  <c r="K35"/>
  <c r="Q35" s="1"/>
  <c r="S35" s="1"/>
  <c r="K31"/>
  <c r="Q31" s="1"/>
  <c r="S31" s="1"/>
  <c r="K27"/>
  <c r="Q27" s="1"/>
  <c r="S27" s="1"/>
  <c r="K24"/>
  <c r="Q24" s="1"/>
  <c r="S24" s="1"/>
  <c r="K20"/>
  <c r="Q20" s="1"/>
  <c r="S20" s="1"/>
  <c r="K23"/>
  <c r="Q23" s="1"/>
  <c r="K21"/>
  <c r="Q21" s="1"/>
  <c r="S21" s="1"/>
  <c r="K19"/>
  <c r="Q19" s="1"/>
  <c r="S19" s="1"/>
  <c r="K17"/>
  <c r="Q17" s="1"/>
  <c r="S17" s="1"/>
  <c r="K15"/>
  <c r="Q15" s="1"/>
  <c r="S15" s="1"/>
  <c r="K13"/>
  <c r="Q13" s="1"/>
  <c r="S13" s="1"/>
  <c r="K11"/>
  <c r="Q11" s="1"/>
  <c r="BB24"/>
  <c r="BD24" s="1"/>
  <c r="Z34"/>
  <c r="AA34" s="1"/>
  <c r="AC34" s="1"/>
  <c r="Z26"/>
  <c r="AA26" s="1"/>
  <c r="AC26" s="1"/>
  <c r="Z24"/>
  <c r="AA24" s="1"/>
  <c r="AC24" s="1"/>
  <c r="Z20"/>
  <c r="AA20" s="1"/>
  <c r="AC20" s="1"/>
  <c r="Z43"/>
  <c r="AA43" s="1"/>
  <c r="AC43" s="1"/>
  <c r="Z42"/>
  <c r="AA42" s="1"/>
  <c r="AC42" s="1"/>
  <c r="Z39"/>
  <c r="AA39" s="1"/>
  <c r="AC39" s="1"/>
  <c r="Z38"/>
  <c r="AA38" s="1"/>
  <c r="AC38" s="1"/>
  <c r="Z35"/>
  <c r="AA35" s="1"/>
  <c r="AC35" s="1"/>
  <c r="Z31"/>
  <c r="AA31" s="1"/>
  <c r="AC31" s="1"/>
  <c r="Z30"/>
  <c r="AA30" s="1"/>
  <c r="AC30" s="1"/>
  <c r="Z27"/>
  <c r="AA27" s="1"/>
  <c r="AC27" s="1"/>
  <c r="Z21"/>
  <c r="AA21" s="1"/>
  <c r="AC21" s="1"/>
  <c r="Z17"/>
  <c r="AA17" s="1"/>
  <c r="AC17" s="1"/>
  <c r="Z16"/>
  <c r="AA16" s="1"/>
  <c r="AC16" s="1"/>
  <c r="Z13"/>
  <c r="AA13" s="1"/>
  <c r="AC13" s="1"/>
  <c r="Z12"/>
  <c r="AA12" s="1"/>
  <c r="AC12" s="1"/>
  <c r="AH29"/>
  <c r="AJ29" s="1"/>
  <c r="AH41"/>
  <c r="AJ41" s="1"/>
  <c r="AH33"/>
  <c r="AJ33" s="1"/>
  <c r="AH23"/>
  <c r="AJ23" s="1"/>
  <c r="AH19"/>
  <c r="AJ19" s="1"/>
  <c r="AH15"/>
  <c r="AJ15" s="1"/>
  <c r="Z32"/>
  <c r="AA32" s="1"/>
  <c r="AC32" s="1"/>
  <c r="Z28"/>
  <c r="AA28" s="1"/>
  <c r="AC28" s="1"/>
  <c r="Z36"/>
  <c r="AA36" s="1"/>
  <c r="AC36" s="1"/>
  <c r="Z44"/>
  <c r="AA44" s="1"/>
  <c r="AC44" s="1"/>
  <c r="Z41"/>
  <c r="AA41" s="1"/>
  <c r="AC41" s="1"/>
  <c r="Z37"/>
  <c r="AA37" s="1"/>
  <c r="AC37" s="1"/>
  <c r="Z33"/>
  <c r="AA33" s="1"/>
  <c r="AC33" s="1"/>
  <c r="Z29"/>
  <c r="AA29" s="1"/>
  <c r="AC29" s="1"/>
  <c r="Z25"/>
  <c r="AA25" s="1"/>
  <c r="AC25" s="1"/>
  <c r="Z22"/>
  <c r="AA22" s="1"/>
  <c r="AC22" s="1"/>
  <c r="Z18"/>
  <c r="AA18" s="1"/>
  <c r="AC18" s="1"/>
  <c r="Z14"/>
  <c r="AA14" s="1"/>
  <c r="AC14" s="1"/>
  <c r="Z11"/>
  <c r="AA11" s="1"/>
  <c r="AC11" s="1"/>
  <c r="BI37"/>
  <c r="BK37" s="1"/>
  <c r="BI33"/>
  <c r="BK33" s="1"/>
  <c r="BI29"/>
  <c r="BK29" s="1"/>
  <c r="BI23"/>
  <c r="BK23" s="1"/>
  <c r="BI19"/>
  <c r="BK19" s="1"/>
  <c r="AO15"/>
  <c r="AQ15" s="1"/>
  <c r="AO29"/>
  <c r="AQ29" s="1"/>
  <c r="AO37"/>
  <c r="AQ37" s="1"/>
  <c r="AO23"/>
  <c r="AQ23" s="1"/>
  <c r="BB41"/>
  <c r="BD41" s="1"/>
  <c r="BB29"/>
  <c r="BD29" s="1"/>
  <c r="K14"/>
  <c r="Q14" s="1"/>
  <c r="S14" s="1"/>
  <c r="K40"/>
  <c r="Q40" s="1"/>
  <c r="S40" s="1"/>
  <c r="K32"/>
  <c r="Q32" s="1"/>
  <c r="S32" s="1"/>
  <c r="K22"/>
  <c r="Q22" s="1"/>
  <c r="S22" s="1"/>
  <c r="K9" i="2"/>
  <c r="G27"/>
  <c r="BT27" i="4" l="1"/>
  <c r="BU27" s="1"/>
  <c r="BW27" s="1"/>
  <c r="BT25"/>
  <c r="BU25" s="1"/>
  <c r="BW25" s="1"/>
  <c r="BT24"/>
  <c r="BT37"/>
  <c r="BU37" s="1"/>
  <c r="S10"/>
  <c r="S11"/>
  <c r="BT11" s="1"/>
  <c r="BX11"/>
  <c r="S23"/>
  <c r="BT23" s="1"/>
  <c r="BX16"/>
  <c r="BX35"/>
  <c r="BX36"/>
  <c r="BX27"/>
  <c r="BT14"/>
  <c r="BX13"/>
  <c r="BX37"/>
  <c r="BX46"/>
  <c r="BT17"/>
  <c r="BX31"/>
  <c r="BT18"/>
  <c r="BT45"/>
  <c r="BU45" s="1"/>
  <c r="BV45" s="1"/>
  <c r="BT20"/>
  <c r="BT42"/>
  <c r="BT43"/>
  <c r="BX32"/>
  <c r="BX15"/>
  <c r="BX39"/>
  <c r="BX12"/>
  <c r="BT46"/>
  <c r="BU46" s="1"/>
  <c r="BW46" s="1"/>
  <c r="BX22"/>
  <c r="BX40"/>
  <c r="BX17"/>
  <c r="BX41"/>
  <c r="BT31"/>
  <c r="BU31" s="1"/>
  <c r="BT44"/>
  <c r="BX19"/>
  <c r="BX26"/>
  <c r="BX21"/>
  <c r="BX28"/>
  <c r="BT28"/>
  <c r="BU28" s="1"/>
  <c r="BT40"/>
  <c r="BT35"/>
  <c r="BT12"/>
  <c r="BX14"/>
  <c r="BX45"/>
  <c r="BX18"/>
  <c r="BX23"/>
  <c r="BX30"/>
  <c r="BX25"/>
  <c r="BT13"/>
  <c r="BT30"/>
  <c r="BU30" s="1"/>
  <c r="BX34"/>
  <c r="BT15"/>
  <c r="BT39"/>
  <c r="BT19"/>
  <c r="BT36"/>
  <c r="BX20"/>
  <c r="BX29"/>
  <c r="BT16"/>
  <c r="BT34"/>
  <c r="BU34" s="1"/>
  <c r="BT38"/>
  <c r="BX24"/>
  <c r="BX38"/>
  <c r="BX33"/>
  <c r="BT22"/>
  <c r="BT41"/>
  <c r="BX42"/>
  <c r="BT26"/>
  <c r="BU26" s="1"/>
  <c r="BT21"/>
  <c r="BX44"/>
  <c r="BX43"/>
  <c r="BT32"/>
  <c r="BU32" s="1"/>
  <c r="BT33"/>
  <c r="BW29"/>
  <c r="BV29"/>
  <c r="BV25" l="1"/>
  <c r="BV27"/>
  <c r="BW26"/>
  <c r="BV26"/>
  <c r="BU33"/>
  <c r="BV33" s="1"/>
  <c r="BW32"/>
  <c r="BV32"/>
  <c r="BV30"/>
  <c r="BW30"/>
  <c r="BV31"/>
  <c r="BW31"/>
  <c r="BW34"/>
  <c r="BV46"/>
  <c r="BW45"/>
  <c r="BV34"/>
  <c r="BW28"/>
  <c r="BV28"/>
  <c r="BW37"/>
  <c r="BV37"/>
  <c r="BW33" l="1"/>
  <c r="BU43"/>
  <c r="BU38"/>
  <c r="BU42"/>
  <c r="BW43" l="1"/>
  <c r="BV43"/>
  <c r="BV42"/>
  <c r="BW42"/>
  <c r="BW38"/>
  <c r="BV38"/>
  <c r="BU41"/>
  <c r="BU39"/>
  <c r="BU44"/>
  <c r="BU40"/>
  <c r="BW39" l="1"/>
  <c r="BV39"/>
  <c r="BV44"/>
  <c r="BW44"/>
  <c r="BW41"/>
  <c r="BV41"/>
  <c r="BW40"/>
  <c r="BV40"/>
  <c r="V10"/>
  <c r="BU36" l="1"/>
  <c r="D5" i="2"/>
  <c r="G23"/>
  <c r="G18"/>
  <c r="G17"/>
  <c r="F21"/>
  <c r="F19"/>
  <c r="F18"/>
  <c r="F17"/>
  <c r="E23"/>
  <c r="E22"/>
  <c r="E24"/>
  <c r="E25"/>
  <c r="E21"/>
  <c r="E20"/>
  <c r="E19"/>
  <c r="E18"/>
  <c r="BN10" i="4"/>
  <c r="AF10"/>
  <c r="BG10"/>
  <c r="AM10"/>
  <c r="AZ10"/>
  <c r="Y10"/>
  <c r="F20" i="2" s="1"/>
  <c r="BB10" i="4" l="1"/>
  <c r="AO10"/>
  <c r="F25" i="2"/>
  <c r="F27"/>
  <c r="E27"/>
  <c r="H23"/>
  <c r="F24"/>
  <c r="F22"/>
  <c r="BW36" i="4"/>
  <c r="BV36"/>
  <c r="BI10"/>
  <c r="BU15"/>
  <c r="BU18"/>
  <c r="BU23"/>
  <c r="BU24"/>
  <c r="BU35"/>
  <c r="BU19"/>
  <c r="BU21"/>
  <c r="BU17"/>
  <c r="BU14"/>
  <c r="BU12"/>
  <c r="BU22"/>
  <c r="BU16"/>
  <c r="BU13"/>
  <c r="BU20"/>
  <c r="K23" i="2"/>
  <c r="BQ10" i="4"/>
  <c r="BS10" s="1"/>
  <c r="BK10" l="1"/>
  <c r="I25" i="2"/>
  <c r="G24"/>
  <c r="BD10" i="4"/>
  <c r="G22" i="2"/>
  <c r="AQ10" i="4"/>
  <c r="K22" i="2" s="1"/>
  <c r="I27"/>
  <c r="H27"/>
  <c r="BW15" i="4"/>
  <c r="BV15"/>
  <c r="BW17"/>
  <c r="BV17"/>
  <c r="BV22"/>
  <c r="BW22"/>
  <c r="BW14"/>
  <c r="BV14"/>
  <c r="BW18"/>
  <c r="BV18"/>
  <c r="K25" i="2"/>
  <c r="BW21" i="4"/>
  <c r="BV21"/>
  <c r="BW19"/>
  <c r="BV19"/>
  <c r="BV23"/>
  <c r="BW23"/>
  <c r="BW16"/>
  <c r="BV16"/>
  <c r="BV12"/>
  <c r="BW12"/>
  <c r="BW35"/>
  <c r="BV35"/>
  <c r="BW13"/>
  <c r="BV13"/>
  <c r="BW24"/>
  <c r="BV24"/>
  <c r="BV20"/>
  <c r="BW20"/>
  <c r="BR10"/>
  <c r="J27" i="2" s="1"/>
  <c r="AH10" i="4" l="1"/>
  <c r="AJ10" s="1"/>
  <c r="Z10"/>
  <c r="AA10" s="1"/>
  <c r="AC10" l="1"/>
  <c r="K19" i="2" s="1"/>
  <c r="BX10" i="4"/>
  <c r="G21" i="2"/>
  <c r="K24"/>
  <c r="K21"/>
  <c r="BJ10" i="4"/>
  <c r="AV10"/>
  <c r="I23" i="2" s="1"/>
  <c r="AP10" i="4"/>
  <c r="I22" i="2" s="1"/>
  <c r="BT10" i="4" l="1"/>
  <c r="BU11"/>
  <c r="AB10"/>
  <c r="I19" i="2" s="1"/>
  <c r="K27"/>
  <c r="BC10" i="4"/>
  <c r="I24" i="2" s="1"/>
  <c r="AI10" i="4"/>
  <c r="I21" i="2" s="1"/>
  <c r="R10" i="4"/>
  <c r="I17" i="2" s="1"/>
  <c r="L20"/>
  <c r="L18"/>
  <c r="E17"/>
  <c r="I28" l="1"/>
  <c r="BV11" i="4"/>
  <c r="BW11"/>
  <c r="BU10"/>
  <c r="K17" i="2"/>
  <c r="F32" l="1"/>
  <c r="BV10" i="4"/>
  <c r="M17" i="2" s="1"/>
  <c r="BW10" i="4"/>
  <c r="F30" i="2" s="1"/>
  <c r="D7"/>
  <c r="D6"/>
  <c r="K7" l="1"/>
  <c r="K8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<sst xmlns="http://schemas.openxmlformats.org/spreadsheetml/2006/main" count="295" uniqueCount="228">
  <si>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</si>
  <si>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</si>
  <si>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</si>
  <si>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</si>
  <si>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</si>
  <si>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</si>
  <si>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</si>
  <si>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</si>
  <si>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</si>
  <si>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</si>
  <si>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</si>
  <si>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</si>
  <si>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</si>
  <si>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</si>
  <si>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</si>
  <si>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</si>
  <si>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</si>
  <si>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</si>
  <si>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</si>
  <si>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</si>
  <si>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</si>
  <si>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</si>
  <si>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</si>
  <si>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</si>
  <si>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</si>
  <si>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</si>
  <si>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</si>
  <si>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</si>
  <si>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</si>
  <si>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</si>
  <si>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</si>
  <si>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</si>
  <si>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</si>
  <si>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</si>
  <si>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</si>
  <si>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</si>
  <si>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</si>
  <si>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</si>
  <si>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</si>
  <si>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</si>
  <si>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</si>
  <si>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</si>
  <si>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</si>
  <si>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</si>
  <si>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</si>
  <si>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</si>
  <si>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</si>
  <si>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</si>
  <si>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</si>
  <si>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</si>
  <si>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</si>
  <si>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</si>
  <si>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</si>
  <si>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</si>
  <si>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</si>
  <si>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</si>
  <si>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</si>
  <si>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</si>
  <si>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</si>
  <si>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</si>
  <si>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</si>
  <si>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</si>
  <si>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</si>
  <si>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t xml:space="preserve">        Class Teacher</t>
  </si>
  <si>
    <t>Co-Ordinator</t>
  </si>
  <si>
    <t>Principal (Acting)</t>
  </si>
  <si>
    <t>ABDUL KADER</t>
  </si>
  <si>
    <t>01595-203572</t>
  </si>
  <si>
    <t>EIGHT</t>
  </si>
  <si>
    <t>PADMA</t>
  </si>
  <si>
    <t>SCIENCE</t>
  </si>
  <si>
    <t>AGICULTURE</t>
  </si>
  <si>
    <t>Md Mahian Rahman Boron</t>
  </si>
  <si>
    <t>Md Mizanur Rahman</t>
  </si>
  <si>
    <t>Mst. Bali Akter</t>
  </si>
  <si>
    <t>Abdulla</t>
  </si>
  <si>
    <t>Abdur Rahim</t>
  </si>
  <si>
    <t>Ayesha Siddika</t>
  </si>
  <si>
    <t xml:space="preserve">Md. Tahsin Ahmed </t>
  </si>
  <si>
    <t xml:space="preserve">Md Mostak Ahmed </t>
  </si>
  <si>
    <t xml:space="preserve">Kakoli Yasmin </t>
  </si>
  <si>
    <t>Md. Younus</t>
  </si>
  <si>
    <t>Md. Bablu</t>
  </si>
  <si>
    <t>Taslima Begum</t>
  </si>
  <si>
    <t xml:space="preserve">Md. Arafat Hossain </t>
  </si>
  <si>
    <t xml:space="preserve">Md. Sha Alam Molla </t>
  </si>
  <si>
    <t xml:space="preserve">Mst. Argina Akter </t>
  </si>
  <si>
    <t xml:space="preserve">Md. Tahamidur Rahman Sifat </t>
  </si>
  <si>
    <t xml:space="preserve">Md. Kamruzzaman </t>
  </si>
  <si>
    <t xml:space="preserve">Farzana Akter Mily </t>
  </si>
  <si>
    <t xml:space="preserve">Md. Siyam Rahman Sifat </t>
  </si>
  <si>
    <t>Abdul Ohab</t>
  </si>
  <si>
    <t xml:space="preserve">Some Begum </t>
  </si>
  <si>
    <t xml:space="preserve">Mahati Mohammad Minhaz </t>
  </si>
  <si>
    <t xml:space="preserve">Md. Oliar Rahman </t>
  </si>
  <si>
    <t xml:space="preserve">Mst. Nasrin Naher </t>
  </si>
  <si>
    <t xml:space="preserve">Md Tanbin Ahammad </t>
  </si>
  <si>
    <t xml:space="preserve">Md. Abdul Mottalib </t>
  </si>
  <si>
    <t xml:space="preserve">Merina </t>
  </si>
  <si>
    <t xml:space="preserve">Mst. Samiya Akter </t>
  </si>
  <si>
    <t xml:space="preserve">Solaman Mia </t>
  </si>
  <si>
    <t xml:space="preserve">Safily Begum </t>
  </si>
  <si>
    <t xml:space="preserve">Imtiaz Hossain </t>
  </si>
  <si>
    <t xml:space="preserve">Md. Faruk Hossen </t>
  </si>
  <si>
    <t xml:space="preserve">Sazeda Begum </t>
  </si>
  <si>
    <t xml:space="preserve">Md. Fahad Hossain </t>
  </si>
  <si>
    <t xml:space="preserve">Md. Shukur </t>
  </si>
  <si>
    <t xml:space="preserve">Forida Akter </t>
  </si>
  <si>
    <t xml:space="preserve">Md Saymon Arafat </t>
  </si>
  <si>
    <t xml:space="preserve">Md. Bablu Miah </t>
  </si>
  <si>
    <t>Miss Yesmin Akter</t>
  </si>
  <si>
    <t xml:space="preserve">Mohammad Nihad Hosen </t>
  </si>
  <si>
    <t xml:space="preserve">Md Nazir Patwary </t>
  </si>
  <si>
    <t xml:space="preserve">Khadiza Begum </t>
  </si>
  <si>
    <t xml:space="preserve">Md Rasal Hossain </t>
  </si>
  <si>
    <t xml:space="preserve">Mst. Salma Begum </t>
  </si>
  <si>
    <t xml:space="preserve">Kashfi Mahamud Rahat </t>
  </si>
  <si>
    <t xml:space="preserve">Md. Rabiul Awal </t>
  </si>
  <si>
    <t xml:space="preserve">Kulsum Akter Riya </t>
  </si>
  <si>
    <t xml:space="preserve">Md. Mahim Islam </t>
  </si>
  <si>
    <t xml:space="preserve">Md. Johirul Islam </t>
  </si>
  <si>
    <t>Khadiza Akter Mousomi</t>
  </si>
  <si>
    <t>Israt Jahan Pinky</t>
  </si>
  <si>
    <t xml:space="preserve">Md. Bushir Ahammed </t>
  </si>
  <si>
    <t xml:space="preserve">Mst. Rozina Begum </t>
  </si>
  <si>
    <t>Md. Tamim Uddin</t>
  </si>
  <si>
    <t>Md. Asam Uddin</t>
  </si>
  <si>
    <t>Shafali Begum</t>
  </si>
  <si>
    <t>01744-454130   01792-229433</t>
  </si>
  <si>
    <t>01322-690205       01328-062909</t>
  </si>
  <si>
    <t>01712-615903                   01793-941632</t>
  </si>
  <si>
    <t>01831-255434 01406-295807</t>
  </si>
  <si>
    <t>01316-132517                   01620-818123</t>
  </si>
  <si>
    <t>01915-241514</t>
  </si>
  <si>
    <t>01763-265050                      01792-115929</t>
  </si>
  <si>
    <t>01722-197674                                      01311-799761</t>
  </si>
  <si>
    <t>01705-780809                        01568-120003</t>
  </si>
  <si>
    <t>01747-402792                 01731-673248</t>
  </si>
  <si>
    <t>01638-297604                             01620-087660</t>
  </si>
  <si>
    <t>01790-842624     01790-842622</t>
  </si>
  <si>
    <t>01711-716233     01916-803533</t>
  </si>
  <si>
    <t xml:space="preserve">01929-564162 </t>
  </si>
  <si>
    <t>01978-607017      01939-771183</t>
  </si>
  <si>
    <t>01796-524243                            01764-406664</t>
  </si>
  <si>
    <t>01722-910542                        01722-884993</t>
  </si>
  <si>
    <t>017175-67097 01721-891042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</si>
  <si>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</si>
  <si>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r>
      <rPr>
        <b/>
        <sz val="20"/>
        <color theme="1"/>
        <rFont val="Algerian"/>
        <family val="5"/>
      </rPr>
      <t>AMIN CADET RESIDENTIAL ACADEMY</t>
    </r>
    <r>
      <rPr>
        <sz val="16"/>
        <color theme="1"/>
        <rFont val="Algerian"/>
        <family val="5"/>
      </rPr>
      <t xml:space="preserve">
</t>
    </r>
    <r>
      <rPr>
        <sz val="16"/>
        <rFont val="Algerian"/>
        <family val="5"/>
      </rPr>
      <t>Amin Model Town, Savar Cantonment, Ashulia, Dhaka - 1344.
2Nd SEMESTER TABULATION SHEET-2025
CLASS- EIGHT (PADMA)</t>
    </r>
  </si>
  <si>
    <t xml:space="preserve">Most. Moriyam Mahiya </t>
  </si>
  <si>
    <t xml:space="preserve">Md. Mohi Uddin </t>
  </si>
  <si>
    <t xml:space="preserve">Fatama Begum </t>
  </si>
  <si>
    <t>Sayma Afroj</t>
  </si>
  <si>
    <t xml:space="preserve">Shohag </t>
  </si>
  <si>
    <t xml:space="preserve">Asia </t>
  </si>
  <si>
    <t>Syed Tousif Hassan</t>
  </si>
  <si>
    <t>Syed Zahid Hassan</t>
  </si>
  <si>
    <t>Nazma Akter</t>
  </si>
  <si>
    <t>Sinthiya Hasan Simmi</t>
  </si>
  <si>
    <t>Hasan Mamun</t>
  </si>
  <si>
    <t>Suborna Akther</t>
  </si>
  <si>
    <t>Rifat Miah</t>
  </si>
  <si>
    <t>Md. Shahinur Islam</t>
  </si>
  <si>
    <t>Lipi Akter</t>
  </si>
  <si>
    <t xml:space="preserve">Omar Abdullah </t>
  </si>
  <si>
    <t>Jahangir Alam Sumon</t>
  </si>
  <si>
    <t xml:space="preserve">Shahanaz Alom </t>
  </si>
  <si>
    <t xml:space="preserve">Jidan </t>
  </si>
  <si>
    <t xml:space="preserve">Shahjahan </t>
  </si>
  <si>
    <t xml:space="preserve">Mst. Hosne Ara Akter Maya </t>
  </si>
  <si>
    <t xml:space="preserve">Riadul Islam Fahad </t>
  </si>
  <si>
    <t>Seuli Begum</t>
  </si>
  <si>
    <t xml:space="preserve">Sadia Akter </t>
  </si>
  <si>
    <t xml:space="preserve">Md. Akkas Mia </t>
  </si>
  <si>
    <t xml:space="preserve">Rubi Akter </t>
  </si>
  <si>
    <t xml:space="preserve">Arman </t>
  </si>
  <si>
    <t xml:space="preserve">Anowar </t>
  </si>
  <si>
    <t xml:space="preserve">Monalisa </t>
  </si>
  <si>
    <t>Sinthia Islam Brishty</t>
  </si>
  <si>
    <t>Bahadur Kha</t>
  </si>
  <si>
    <t xml:space="preserve">Asma Akter </t>
  </si>
  <si>
    <t xml:space="preserve">Abdur Rahman </t>
  </si>
  <si>
    <t xml:space="preserve">Lutfar Rahman </t>
  </si>
  <si>
    <t xml:space="preserve">Mst Taslima Akter </t>
  </si>
  <si>
    <t>Yasin Ahmed</t>
  </si>
  <si>
    <t xml:space="preserve">Md. Salem </t>
  </si>
  <si>
    <t xml:space="preserve">Syeda Yeasmin </t>
  </si>
  <si>
    <t>Rownak Hossain</t>
  </si>
  <si>
    <t xml:space="preserve">Bayezid Hossain </t>
  </si>
  <si>
    <t xml:space="preserve">Shahida Yesmin </t>
  </si>
  <si>
    <t xml:space="preserve">Moriom Akther Riya </t>
  </si>
  <si>
    <t xml:space="preserve">Md. Mafidul Alam </t>
  </si>
  <si>
    <t xml:space="preserve">Md. Mahbubul Alam </t>
  </si>
  <si>
    <t xml:space="preserve">Dil Afroze </t>
  </si>
  <si>
    <t xml:space="preserve">Md. Tamim </t>
  </si>
  <si>
    <t xml:space="preserve">Md. Jahangir </t>
  </si>
  <si>
    <t xml:space="preserve">Arju </t>
  </si>
  <si>
    <t xml:space="preserve">Ruhan Shanta </t>
  </si>
  <si>
    <t xml:space="preserve">Md. Hanif Mia </t>
  </si>
  <si>
    <t xml:space="preserve">Rupa Akter </t>
  </si>
  <si>
    <t xml:space="preserve">Md. Fahim Fuad Aditto </t>
  </si>
  <si>
    <t xml:space="preserve">Md. Hannan Miah </t>
  </si>
  <si>
    <t xml:space="preserve">Momena Akter </t>
  </si>
  <si>
    <t>Md. Alif Rahman</t>
  </si>
  <si>
    <t>Muklesur Rahman</t>
  </si>
  <si>
    <t>Sabia Parvin Asha</t>
  </si>
  <si>
    <t>Md. Wasi Anan</t>
  </si>
  <si>
    <t>01732-001161       01751-123121</t>
  </si>
  <si>
    <t>01782-738128</t>
  </si>
  <si>
    <t>01718-538286
01767-749342</t>
  </si>
  <si>
    <t>01979-621626</t>
  </si>
  <si>
    <t>01777-644298</t>
  </si>
  <si>
    <t>01712-541996     01715-432674</t>
  </si>
  <si>
    <t>01765-554331       01775-565557</t>
  </si>
  <si>
    <t>01978-882361</t>
  </si>
  <si>
    <t>01886-664730                                    01746-664249</t>
  </si>
  <si>
    <t>01792-847521     01936-868932</t>
  </si>
  <si>
    <t>01316-007819 01608-035270</t>
  </si>
  <si>
    <t>01715-391389                      019075391389</t>
  </si>
  <si>
    <t>01929-070256                   01749-466325</t>
  </si>
  <si>
    <t>01739-641604                  01760-066672</t>
  </si>
  <si>
    <t>01313-951693</t>
  </si>
  <si>
    <t>01779-528999                   01736-181876</t>
  </si>
  <si>
    <t>01718-729346</t>
  </si>
  <si>
    <t>01777-778631      01716-269069</t>
  </si>
  <si>
    <t>01728-116299     01882-053617</t>
  </si>
  <si>
    <t>01607037189 01926115090</t>
  </si>
  <si>
    <t>Nafisa Parvin Raisa</t>
  </si>
  <si>
    <t>Lamiul Islam Ratul</t>
  </si>
</sst>
</file>

<file path=xl/styles.xml><?xml version="1.0" encoding="utf-8"?>
<styleSheet xmlns="http://schemas.openxmlformats.org/spreadsheetml/2006/main">
  <numFmts count="1">
    <numFmt numFmtId="164" formatCode="0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4"/>
      <color theme="1"/>
      <name val="Algerian"/>
      <family val="5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Times New Roman"/>
      <family val="1"/>
    </font>
    <font>
      <u/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8"/>
      <color theme="1"/>
      <name val="Times New Roman"/>
      <family val="1"/>
    </font>
    <font>
      <sz val="16"/>
      <color theme="1"/>
      <name val="Algerian"/>
      <family val="5"/>
    </font>
    <font>
      <sz val="16"/>
      <name val="Algerian"/>
      <family val="5"/>
    </font>
    <font>
      <b/>
      <sz val="20"/>
      <color theme="1"/>
      <name val="Algerian"/>
      <family val="5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sz val="10"/>
      <name val="Arial"/>
    </font>
    <font>
      <b/>
      <sz val="13"/>
      <name val="Arial"/>
      <family val="2"/>
    </font>
    <font>
      <sz val="13"/>
      <color theme="1"/>
      <name val="Arial"/>
      <family val="2"/>
    </font>
    <font>
      <sz val="1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7" fillId="0" borderId="0"/>
  </cellStyleXfs>
  <cellXfs count="112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/>
    <xf numFmtId="1" fontId="6" fillId="2" borderId="1" xfId="0" applyNumberFormat="1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1" fontId="6" fillId="2" borderId="8" xfId="0" applyNumberFormat="1" applyFont="1" applyFill="1" applyBorder="1" applyAlignment="1">
      <alignment vertical="center"/>
    </xf>
    <xf numFmtId="1" fontId="6" fillId="2" borderId="10" xfId="0" applyNumberFormat="1" applyFont="1" applyFill="1" applyBorder="1" applyAlignment="1">
      <alignment vertical="center"/>
    </xf>
    <xf numFmtId="0" fontId="6" fillId="2" borderId="5" xfId="0" applyFont="1" applyFill="1" applyBorder="1"/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22" fillId="0" borderId="0" xfId="0" applyFont="1"/>
    <xf numFmtId="0" fontId="21" fillId="2" borderId="0" xfId="0" applyFont="1" applyFill="1" applyAlignment="1">
      <alignment vertical="center"/>
    </xf>
    <xf numFmtId="0" fontId="9" fillId="2" borderId="0" xfId="0" applyFont="1" applyFill="1" applyAlignment="1">
      <alignment horizontal="center"/>
    </xf>
    <xf numFmtId="1" fontId="10" fillId="2" borderId="0" xfId="0" applyNumberFormat="1" applyFont="1" applyFill="1" applyAlignment="1">
      <alignment horizontal="left"/>
    </xf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/>
    </xf>
    <xf numFmtId="0" fontId="23" fillId="0" borderId="0" xfId="0" applyFont="1"/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8" fillId="2" borderId="0" xfId="0" applyFont="1" applyFill="1"/>
    <xf numFmtId="0" fontId="28" fillId="2" borderId="1" xfId="0" applyFont="1" applyFill="1" applyBorder="1" applyAlignment="1">
      <alignment horizontal="center" vertical="center"/>
    </xf>
    <xf numFmtId="1" fontId="22" fillId="2" borderId="0" xfId="0" applyNumberFormat="1" applyFont="1" applyFill="1" applyAlignment="1">
      <alignment horizontal="center"/>
    </xf>
    <xf numFmtId="0" fontId="29" fillId="2" borderId="1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1" fontId="28" fillId="2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 wrapText="1"/>
    </xf>
    <xf numFmtId="0" fontId="35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15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left"/>
    </xf>
    <xf numFmtId="0" fontId="10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1" fontId="10" fillId="2" borderId="0" xfId="0" applyNumberFormat="1" applyFont="1" applyFill="1" applyAlignment="1">
      <alignment horizontal="left"/>
    </xf>
    <xf numFmtId="0" fontId="7" fillId="2" borderId="1" xfId="0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textRotation="90" wrapText="1"/>
    </xf>
    <xf numFmtId="0" fontId="5" fillId="2" borderId="1" xfId="0" applyFont="1" applyFill="1" applyBorder="1" applyAlignment="1">
      <alignment horizontal="center" vertical="center" textRotation="90"/>
    </xf>
    <xf numFmtId="1" fontId="5" fillId="2" borderId="1" xfId="0" applyNumberFormat="1" applyFont="1" applyFill="1" applyBorder="1" applyAlignment="1">
      <alignment horizontal="center" vertical="center" textRotation="90"/>
    </xf>
    <xf numFmtId="0" fontId="8" fillId="2" borderId="1" xfId="0" applyFont="1" applyFill="1" applyBorder="1" applyAlignment="1">
      <alignment horizontal="center" vertical="center" textRotation="90"/>
    </xf>
    <xf numFmtId="1" fontId="8" fillId="2" borderId="1" xfId="0" applyNumberFormat="1" applyFont="1" applyFill="1" applyBorder="1" applyAlignment="1">
      <alignment horizontal="center" vertical="center" textRotation="90"/>
    </xf>
    <xf numFmtId="2" fontId="1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2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1" fontId="3" fillId="2" borderId="5" xfId="0" applyNumberFormat="1" applyFont="1" applyFill="1" applyBorder="1" applyAlignment="1">
      <alignment horizontal="center" vertical="center"/>
    </xf>
    <xf numFmtId="1" fontId="3" fillId="2" borderId="7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164" fontId="38" fillId="0" borderId="7" xfId="2" applyNumberFormat="1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1" fontId="39" fillId="2" borderId="1" xfId="0" applyNumberFormat="1" applyFont="1" applyFill="1" applyBorder="1" applyAlignment="1">
      <alignment horizontal="center" vertical="center"/>
    </xf>
    <xf numFmtId="1" fontId="39" fillId="2" borderId="2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39" fillId="2" borderId="2" xfId="0" applyFont="1" applyFill="1" applyBorder="1" applyAlignment="1">
      <alignment horizontal="center" vertical="center"/>
    </xf>
    <xf numFmtId="2" fontId="39" fillId="2" borderId="1" xfId="1" applyNumberFormat="1" applyFont="1" applyFill="1" applyBorder="1" applyAlignment="1">
      <alignment horizontal="center" vertical="center"/>
    </xf>
    <xf numFmtId="2" fontId="39" fillId="2" borderId="2" xfId="1" applyNumberFormat="1" applyFont="1" applyFill="1" applyBorder="1" applyAlignment="1">
      <alignment horizontal="center" vertical="center"/>
    </xf>
    <xf numFmtId="164" fontId="40" fillId="0" borderId="7" xfId="2" applyNumberFormat="1" applyFont="1" applyBorder="1" applyAlignment="1">
      <alignment horizontal="center" vertical="center"/>
    </xf>
    <xf numFmtId="164" fontId="40" fillId="0" borderId="1" xfId="2" applyNumberFormat="1" applyFont="1" applyBorder="1" applyAlignment="1">
      <alignment horizontal="center" vertical="center"/>
    </xf>
    <xf numFmtId="1" fontId="39" fillId="2" borderId="4" xfId="0" applyNumberFormat="1" applyFont="1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1" fontId="39" fillId="2" borderId="3" xfId="0" applyNumberFormat="1" applyFont="1" applyFill="1" applyBorder="1" applyAlignment="1">
      <alignment horizontal="center" vertical="center"/>
    </xf>
    <xf numFmtId="0" fontId="39" fillId="2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456932</xdr:colOff>
      <xdr:row>1</xdr:row>
      <xdr:rowOff>62934</xdr:rowOff>
    </xdr:from>
    <xdr:to>
      <xdr:col>27</xdr:col>
      <xdr:colOff>263490</xdr:colOff>
      <xdr:row>5</xdr:row>
      <xdr:rowOff>120134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21394614" y="62934"/>
          <a:ext cx="984194" cy="11136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33</xdr:row>
      <xdr:rowOff>180975</xdr:rowOff>
    </xdr:from>
    <xdr:to>
      <xdr:col>12</xdr:col>
      <xdr:colOff>501160</xdr:colOff>
      <xdr:row>35</xdr:row>
      <xdr:rowOff>187072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19050</xdr:colOff>
      <xdr:row>34</xdr:row>
      <xdr:rowOff>123825</xdr:rowOff>
    </xdr:from>
    <xdr:to>
      <xdr:col>7</xdr:col>
      <xdr:colOff>397248</xdr:colOff>
      <xdr:row>36</xdr:row>
      <xdr:rowOff>62294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4E412484-3CF9-4BC9-802E-7B4ADD9D0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19450" y="109061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BZ4322"/>
  <sheetViews>
    <sheetView tabSelected="1" topLeftCell="AH29" zoomScale="55" zoomScaleNormal="55" workbookViewId="0">
      <selection activeCell="BM44" sqref="BM44"/>
    </sheetView>
  </sheetViews>
  <sheetFormatPr defaultColWidth="8.7109375" defaultRowHeight="18.75"/>
  <cols>
    <col min="1" max="1" width="8.7109375" style="33"/>
    <col min="2" max="2" width="10.28515625" style="33" bestFit="1" customWidth="1"/>
    <col min="3" max="3" width="34.42578125" style="33" bestFit="1" customWidth="1"/>
    <col min="4" max="4" width="26.140625" style="33" bestFit="1" customWidth="1"/>
    <col min="5" max="5" width="32.5703125" style="33" bestFit="1" customWidth="1"/>
    <col min="6" max="6" width="22.140625" style="33" customWidth="1"/>
    <col min="7" max="17" width="8.7109375" style="33"/>
    <col min="18" max="18" width="8.7109375" style="33" customWidth="1"/>
    <col min="19" max="47" width="8.7109375" style="33"/>
    <col min="48" max="48" width="8.7109375" style="33" customWidth="1"/>
    <col min="49" max="74" width="8.7109375" style="33"/>
    <col min="75" max="75" width="23.140625" style="33" bestFit="1" customWidth="1"/>
    <col min="76" max="76" width="8.7109375" style="33"/>
    <col min="77" max="77" width="8.7109375" style="34"/>
    <col min="78" max="16384" width="8.7109375" style="33"/>
  </cols>
  <sheetData>
    <row r="1" spans="1:78" hidden="1"/>
    <row r="2" spans="1:78" ht="14.45" customHeight="1">
      <c r="A2" s="59" t="s">
        <v>147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</row>
    <row r="3" spans="1:78" ht="20.45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</row>
    <row r="4" spans="1:78" ht="24.6" customHeight="1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8"/>
    </row>
    <row r="5" spans="1:78" ht="24.6" customHeight="1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8"/>
    </row>
    <row r="6" spans="1:78" ht="15" customHeight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8"/>
    </row>
    <row r="7" spans="1:78" s="28" customFormat="1" ht="37.5">
      <c r="B7" s="29"/>
      <c r="C7" s="29" t="s">
        <v>38</v>
      </c>
      <c r="D7" s="29" t="s">
        <v>66</v>
      </c>
      <c r="E7" s="29" t="s">
        <v>47</v>
      </c>
      <c r="F7" s="30" t="s">
        <v>67</v>
      </c>
      <c r="G7" s="29" t="s">
        <v>46</v>
      </c>
      <c r="H7" s="29" t="s">
        <v>68</v>
      </c>
      <c r="I7" s="30" t="s">
        <v>45</v>
      </c>
      <c r="J7" s="29" t="s">
        <v>69</v>
      </c>
      <c r="K7" s="60" t="s">
        <v>40</v>
      </c>
      <c r="L7" s="60"/>
      <c r="M7" s="29">
        <v>39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31"/>
    </row>
    <row r="8" spans="1:78" s="32" customFormat="1" ht="36" customHeight="1">
      <c r="A8" s="53" t="s">
        <v>10</v>
      </c>
      <c r="B8" s="53" t="s">
        <v>0</v>
      </c>
      <c r="C8" s="55" t="s">
        <v>15</v>
      </c>
      <c r="D8" s="55" t="s">
        <v>50</v>
      </c>
      <c r="E8" s="55" t="s">
        <v>14</v>
      </c>
      <c r="F8" s="55" t="s">
        <v>17</v>
      </c>
      <c r="G8" s="54" t="s">
        <v>19</v>
      </c>
      <c r="H8" s="54"/>
      <c r="I8" s="54"/>
      <c r="J8" s="54"/>
      <c r="K8" s="56" t="s">
        <v>52</v>
      </c>
      <c r="L8" s="54" t="s">
        <v>18</v>
      </c>
      <c r="M8" s="54"/>
      <c r="N8" s="54"/>
      <c r="O8" s="54"/>
      <c r="P8" s="56" t="s">
        <v>52</v>
      </c>
      <c r="Q8" s="54" t="s">
        <v>1</v>
      </c>
      <c r="R8" s="54" t="s">
        <v>51</v>
      </c>
      <c r="S8" s="54" t="s">
        <v>2</v>
      </c>
      <c r="T8" s="54" t="s">
        <v>11</v>
      </c>
      <c r="U8" s="54"/>
      <c r="V8" s="54"/>
      <c r="W8" s="54"/>
      <c r="X8" s="54"/>
      <c r="Y8" s="54"/>
      <c r="Z8" s="56" t="s">
        <v>52</v>
      </c>
      <c r="AA8" s="56" t="s">
        <v>1</v>
      </c>
      <c r="AB8" s="54" t="s">
        <v>51</v>
      </c>
      <c r="AC8" s="54" t="s">
        <v>2</v>
      </c>
      <c r="AD8" s="54" t="s">
        <v>41</v>
      </c>
      <c r="AE8" s="54"/>
      <c r="AF8" s="54"/>
      <c r="AG8" s="54"/>
      <c r="AH8" s="54" t="s">
        <v>1</v>
      </c>
      <c r="AI8" s="54" t="s">
        <v>51</v>
      </c>
      <c r="AJ8" s="54" t="s">
        <v>2</v>
      </c>
      <c r="AK8" s="54" t="s">
        <v>3</v>
      </c>
      <c r="AL8" s="54"/>
      <c r="AM8" s="54"/>
      <c r="AN8" s="54"/>
      <c r="AO8" s="54" t="s">
        <v>1</v>
      </c>
      <c r="AP8" s="54" t="s">
        <v>51</v>
      </c>
      <c r="AQ8" s="54" t="s">
        <v>2</v>
      </c>
      <c r="AR8" s="54" t="s">
        <v>4</v>
      </c>
      <c r="AS8" s="54"/>
      <c r="AT8" s="54"/>
      <c r="AU8" s="54" t="s">
        <v>1</v>
      </c>
      <c r="AV8" s="54" t="s">
        <v>51</v>
      </c>
      <c r="AW8" s="54" t="s">
        <v>2</v>
      </c>
      <c r="AX8" s="54" t="s">
        <v>70</v>
      </c>
      <c r="AY8" s="54"/>
      <c r="AZ8" s="54"/>
      <c r="BA8" s="54"/>
      <c r="BB8" s="54" t="s">
        <v>1</v>
      </c>
      <c r="BC8" s="54" t="s">
        <v>51</v>
      </c>
      <c r="BD8" s="54" t="s">
        <v>2</v>
      </c>
      <c r="BE8" s="54" t="s">
        <v>49</v>
      </c>
      <c r="BF8" s="54"/>
      <c r="BG8" s="54"/>
      <c r="BH8" s="54"/>
      <c r="BI8" s="54" t="s">
        <v>1</v>
      </c>
      <c r="BJ8" s="54" t="s">
        <v>51</v>
      </c>
      <c r="BK8" s="54" t="s">
        <v>2</v>
      </c>
      <c r="BL8" s="54" t="s">
        <v>71</v>
      </c>
      <c r="BM8" s="54"/>
      <c r="BN8" s="54"/>
      <c r="BO8" s="54"/>
      <c r="BP8" s="54"/>
      <c r="BQ8" s="54" t="s">
        <v>1</v>
      </c>
      <c r="BR8" s="54" t="s">
        <v>51</v>
      </c>
      <c r="BS8" s="54" t="s">
        <v>2</v>
      </c>
      <c r="BT8" s="54" t="s">
        <v>5</v>
      </c>
      <c r="BU8" s="54" t="s">
        <v>6</v>
      </c>
      <c r="BV8" s="56" t="s">
        <v>54</v>
      </c>
      <c r="BW8" s="56" t="s">
        <v>42</v>
      </c>
      <c r="BX8" s="56" t="s">
        <v>43</v>
      </c>
      <c r="BY8" s="56" t="s">
        <v>48</v>
      </c>
      <c r="BZ8" s="56" t="s">
        <v>44</v>
      </c>
    </row>
    <row r="9" spans="1:78" s="32" customFormat="1" ht="31.5">
      <c r="A9" s="53"/>
      <c r="B9" s="53"/>
      <c r="C9" s="55"/>
      <c r="D9" s="55"/>
      <c r="E9" s="55"/>
      <c r="F9" s="55"/>
      <c r="G9" s="46" t="s">
        <v>16</v>
      </c>
      <c r="H9" s="45" t="s">
        <v>7</v>
      </c>
      <c r="I9" s="45" t="s">
        <v>53</v>
      </c>
      <c r="J9" s="45" t="s">
        <v>8</v>
      </c>
      <c r="K9" s="57"/>
      <c r="L9" s="46" t="s">
        <v>16</v>
      </c>
      <c r="M9" s="45" t="s">
        <v>7</v>
      </c>
      <c r="N9" s="45" t="s">
        <v>53</v>
      </c>
      <c r="O9" s="45" t="s">
        <v>8</v>
      </c>
      <c r="P9" s="57"/>
      <c r="Q9" s="54"/>
      <c r="R9" s="54"/>
      <c r="S9" s="54"/>
      <c r="T9" s="46" t="s">
        <v>16</v>
      </c>
      <c r="U9" s="45" t="s">
        <v>12</v>
      </c>
      <c r="V9" s="45" t="s">
        <v>60</v>
      </c>
      <c r="W9" s="45" t="s">
        <v>16</v>
      </c>
      <c r="X9" s="45" t="s">
        <v>13</v>
      </c>
      <c r="Y9" s="45" t="s">
        <v>60</v>
      </c>
      <c r="Z9" s="57"/>
      <c r="AA9" s="57"/>
      <c r="AB9" s="54"/>
      <c r="AC9" s="54"/>
      <c r="AD9" s="46" t="s">
        <v>16</v>
      </c>
      <c r="AE9" s="45" t="s">
        <v>7</v>
      </c>
      <c r="AF9" s="45" t="s">
        <v>53</v>
      </c>
      <c r="AG9" s="45" t="s">
        <v>8</v>
      </c>
      <c r="AH9" s="54"/>
      <c r="AI9" s="54"/>
      <c r="AJ9" s="54"/>
      <c r="AK9" s="46" t="s">
        <v>16</v>
      </c>
      <c r="AL9" s="45" t="s">
        <v>7</v>
      </c>
      <c r="AM9" s="45" t="s">
        <v>53</v>
      </c>
      <c r="AN9" s="45" t="s">
        <v>8</v>
      </c>
      <c r="AO9" s="54"/>
      <c r="AP9" s="54"/>
      <c r="AQ9" s="54"/>
      <c r="AR9" s="46" t="s">
        <v>16</v>
      </c>
      <c r="AS9" s="45" t="s">
        <v>8</v>
      </c>
      <c r="AT9" s="45" t="s">
        <v>9</v>
      </c>
      <c r="AU9" s="54"/>
      <c r="AV9" s="54"/>
      <c r="AW9" s="54"/>
      <c r="AX9" s="46" t="s">
        <v>16</v>
      </c>
      <c r="AY9" s="45" t="s">
        <v>7</v>
      </c>
      <c r="AZ9" s="45" t="s">
        <v>53</v>
      </c>
      <c r="BA9" s="45" t="s">
        <v>8</v>
      </c>
      <c r="BB9" s="54"/>
      <c r="BC9" s="54"/>
      <c r="BD9" s="54"/>
      <c r="BE9" s="46" t="s">
        <v>16</v>
      </c>
      <c r="BF9" s="45" t="s">
        <v>7</v>
      </c>
      <c r="BG9" s="45" t="s">
        <v>53</v>
      </c>
      <c r="BH9" s="45" t="s">
        <v>8</v>
      </c>
      <c r="BI9" s="54"/>
      <c r="BJ9" s="54"/>
      <c r="BK9" s="54"/>
      <c r="BL9" s="46" t="s">
        <v>16</v>
      </c>
      <c r="BM9" s="45" t="s">
        <v>7</v>
      </c>
      <c r="BN9" s="45" t="s">
        <v>53</v>
      </c>
      <c r="BO9" s="45" t="s">
        <v>8</v>
      </c>
      <c r="BP9" s="45" t="s">
        <v>9</v>
      </c>
      <c r="BQ9" s="54"/>
      <c r="BR9" s="54"/>
      <c r="BS9" s="54"/>
      <c r="BT9" s="54"/>
      <c r="BU9" s="54"/>
      <c r="BV9" s="57"/>
      <c r="BW9" s="57"/>
      <c r="BX9" s="57"/>
      <c r="BY9" s="57"/>
      <c r="BZ9" s="57"/>
    </row>
    <row r="10" spans="1:78" s="39" customFormat="1" ht="27.95" customHeight="1">
      <c r="A10" s="42">
        <v>1</v>
      </c>
      <c r="B10" s="47">
        <v>17</v>
      </c>
      <c r="C10" s="48" t="s">
        <v>148</v>
      </c>
      <c r="D10" s="48" t="s">
        <v>149</v>
      </c>
      <c r="E10" s="48" t="s">
        <v>150</v>
      </c>
      <c r="F10" s="51" t="s">
        <v>206</v>
      </c>
      <c r="G10" s="98">
        <v>0</v>
      </c>
      <c r="H10" s="99">
        <v>39</v>
      </c>
      <c r="I10" s="100">
        <f>H10+G10</f>
        <v>39</v>
      </c>
      <c r="J10" s="99">
        <v>0</v>
      </c>
      <c r="K10" s="100">
        <f>I10+J10</f>
        <v>39</v>
      </c>
      <c r="L10" s="98">
        <v>0</v>
      </c>
      <c r="M10" s="99">
        <v>0</v>
      </c>
      <c r="N10" s="100">
        <f>M10+L10</f>
        <v>0</v>
      </c>
      <c r="O10" s="99"/>
      <c r="P10" s="100">
        <f>N10</f>
        <v>0</v>
      </c>
      <c r="Q10" s="100">
        <f t="shared" ref="Q10:Q46" si="0">K10+P10</f>
        <v>39</v>
      </c>
      <c r="R10" s="101">
        <f>MAX(Q10:Q50)</f>
        <v>123</v>
      </c>
      <c r="S10" s="99" t="str">
        <f>IF(Q10&lt;60,"F",IF(Q10&lt;60,2,IF(Q10&lt;75,3,IF(Q10&lt;90,3.5,IF(Q10&lt;120,4,5)))))</f>
        <v>F</v>
      </c>
      <c r="T10" s="98">
        <v>0</v>
      </c>
      <c r="U10" s="99">
        <v>0</v>
      </c>
      <c r="V10" s="100">
        <f>U10+T10</f>
        <v>0</v>
      </c>
      <c r="W10" s="98">
        <v>0</v>
      </c>
      <c r="X10" s="99">
        <v>0</v>
      </c>
      <c r="Y10" s="100">
        <f>X10+W10</f>
        <v>0</v>
      </c>
      <c r="Z10" s="100">
        <f t="shared" ref="Z10" si="1">V10+Y10</f>
        <v>0</v>
      </c>
      <c r="AA10" s="100">
        <f t="shared" ref="AA10" si="2">Z10</f>
        <v>0</v>
      </c>
      <c r="AB10" s="101">
        <f>MAX(AA10:AA50)</f>
        <v>117</v>
      </c>
      <c r="AC10" s="99" t="str">
        <f>IF(AA10&lt;60,"F",IF(AA10&lt;60,2,IF(AA10&lt;75,3,IF(AA10&lt;90,3.5,IF(AA10&lt;120,4,5)))))</f>
        <v>F</v>
      </c>
      <c r="AD10" s="98">
        <v>0</v>
      </c>
      <c r="AE10" s="99">
        <v>0</v>
      </c>
      <c r="AF10" s="100">
        <f>AE10+AD10</f>
        <v>0</v>
      </c>
      <c r="AG10" s="99">
        <v>0</v>
      </c>
      <c r="AH10" s="100">
        <f>AF10+AG10</f>
        <v>0</v>
      </c>
      <c r="AI10" s="101">
        <f>MAX(AH10:AH50)</f>
        <v>67</v>
      </c>
      <c r="AJ10" s="99" t="str">
        <f>IF(AH10&lt;40,"F",IF(AH10&lt;50,2,IF(AH10&lt;60,3,IF(AH10&lt;70,3.5,IF(AH10&lt;80,4,5)))))</f>
        <v>F</v>
      </c>
      <c r="AK10" s="98">
        <v>0</v>
      </c>
      <c r="AL10" s="99">
        <v>0</v>
      </c>
      <c r="AM10" s="100">
        <f>AL10+AK10</f>
        <v>0</v>
      </c>
      <c r="AN10" s="99">
        <v>0</v>
      </c>
      <c r="AO10" s="100">
        <f>+AM10+AN10</f>
        <v>0</v>
      </c>
      <c r="AP10" s="101">
        <f>MAX(AO10:AO50)</f>
        <v>81</v>
      </c>
      <c r="AQ10" s="99" t="str">
        <f>IF(AO10&lt;40,"F",IF(AO10&lt;50,2,IF(AO10&lt;60,3,IF(AO10&lt;70,3.5,IF(AO10&lt;80,4,5)))))</f>
        <v>F</v>
      </c>
      <c r="AR10" s="102"/>
      <c r="AS10" s="99">
        <v>23</v>
      </c>
      <c r="AT10" s="99">
        <v>23</v>
      </c>
      <c r="AU10" s="99">
        <f>AR10+AS10+AT10</f>
        <v>46</v>
      </c>
      <c r="AV10" s="103">
        <f>MAX(AU10:AU50)</f>
        <v>46</v>
      </c>
      <c r="AW10" s="99">
        <f>IF(AU10&lt;20,"F",IF(AU10&lt;25,2,IF(AU10&lt;30,3,IF(AU10&lt;35,3.5,IF(AU10&lt;40,4,5)))))</f>
        <v>5</v>
      </c>
      <c r="AX10" s="98">
        <v>0</v>
      </c>
      <c r="AY10" s="99">
        <v>0</v>
      </c>
      <c r="AZ10" s="100">
        <f>AY10+AX10</f>
        <v>0</v>
      </c>
      <c r="BA10" s="99">
        <v>0</v>
      </c>
      <c r="BB10" s="100">
        <f>AZ10+BA10</f>
        <v>0</v>
      </c>
      <c r="BC10" s="101">
        <f>MAX(BB10:BB50)</f>
        <v>87</v>
      </c>
      <c r="BD10" s="99" t="str">
        <f>IF(BB10&lt;40,"F",IF(BB10&lt;50,2,IF(BB10&lt;60,3,IF(BB10&lt;70,3.5,IF(BB10&lt;80,4,5)))))</f>
        <v>F</v>
      </c>
      <c r="BE10" s="98">
        <v>0</v>
      </c>
      <c r="BF10" s="99">
        <v>0</v>
      </c>
      <c r="BG10" s="100">
        <f>BF10+BE10</f>
        <v>0</v>
      </c>
      <c r="BH10" s="99"/>
      <c r="BI10" s="100">
        <f>BG10+BH10</f>
        <v>0</v>
      </c>
      <c r="BJ10" s="101">
        <f>MAX(BI10:BI50)</f>
        <v>61</v>
      </c>
      <c r="BK10" s="99" t="str">
        <f>IF(BI10&lt;40,"F",IF(BI10&lt;50,2,IF(BI10&lt;60,3,IF(BI10&lt;70,3.5,IF(BI10&lt;80,4,5)))))</f>
        <v>F</v>
      </c>
      <c r="BL10" s="98">
        <v>0</v>
      </c>
      <c r="BM10" s="99">
        <v>0</v>
      </c>
      <c r="BN10" s="100">
        <f>BM10+BL10</f>
        <v>0</v>
      </c>
      <c r="BO10" s="99"/>
      <c r="BP10" s="99"/>
      <c r="BQ10" s="100">
        <f>BN10+BO10+BP10</f>
        <v>0</v>
      </c>
      <c r="BR10" s="101">
        <f>MAX(BQ10:BQ50)</f>
        <v>50</v>
      </c>
      <c r="BS10" s="99" t="str">
        <f>IF(BN10&lt;20,"F",IF(BQ10&lt;20,"F",IF(BQ10&lt;25,2,IF(BQ10&lt;30,3,IF(BQ10&lt;35,3.5,IF(BQ10&lt;40,4,5))))))</f>
        <v>F</v>
      </c>
      <c r="BT10" s="99" t="str">
        <f>IF(S10="F","F",IF(AC10="F","F",IF(AJ10="F","F",IF(AQ10="F","F",IF(BD10="F","F",IF(BK10="F","F",IF(AW10="F","F",SUM(S10,AC10,AJ10,AQ10,AW10,BD10,BK10))))))))</f>
        <v>F</v>
      </c>
      <c r="BU10" s="104" t="str">
        <f>IF(BT10="F","F",IF(BT10&gt;=45,5,IF(BT10&lt;45,BT10/7)))</f>
        <v>F</v>
      </c>
      <c r="BV10" s="105" t="str">
        <f>IF(BU10="F","F",IF(BU10&lt;2.5,"D",IF(BU10&lt;3,"C",IF(BU10&lt;3.5,"B",IF(BU10&lt;4,"A-",IF(BU10&lt;5,"A","A+"))))))</f>
        <v>F</v>
      </c>
      <c r="BW10" s="43" t="str">
        <f t="shared" ref="BW10:BW44" si="3">IF(BU10="F","NEED TO PROGRESS",IF(BU10&gt;=5,"BEST",IF(BU10&gt;=4,"BETTER",IF(BU10&gt;=2,"GOOD"))))</f>
        <v>NEED TO PROGRESS</v>
      </c>
      <c r="BX10" s="44">
        <f>Q10+AA10+AH10+AO10+AU10+BB10+BI10</f>
        <v>85</v>
      </c>
      <c r="BY10" s="40"/>
      <c r="BZ10" s="40"/>
    </row>
    <row r="11" spans="1:78" s="39" customFormat="1" ht="27.95" customHeight="1">
      <c r="A11" s="42">
        <v>2</v>
      </c>
      <c r="B11" s="47">
        <v>27</v>
      </c>
      <c r="C11" s="48" t="s">
        <v>151</v>
      </c>
      <c r="D11" s="48" t="s">
        <v>152</v>
      </c>
      <c r="E11" s="48" t="s">
        <v>153</v>
      </c>
      <c r="F11" s="51" t="s">
        <v>207</v>
      </c>
      <c r="G11" s="106">
        <v>16</v>
      </c>
      <c r="H11" s="99">
        <v>22</v>
      </c>
      <c r="I11" s="100">
        <f t="shared" ref="I11:I46" si="4">H11+G11</f>
        <v>38</v>
      </c>
      <c r="J11" s="99">
        <v>16</v>
      </c>
      <c r="K11" s="100">
        <f t="shared" ref="K11:K46" si="5">I11+J11</f>
        <v>54</v>
      </c>
      <c r="L11" s="107">
        <v>9</v>
      </c>
      <c r="M11" s="99">
        <v>30</v>
      </c>
      <c r="N11" s="100">
        <f t="shared" ref="N11:N46" si="6">M11+L11</f>
        <v>39</v>
      </c>
      <c r="O11" s="99"/>
      <c r="P11" s="100">
        <f t="shared" ref="P11:P46" si="7">N11</f>
        <v>39</v>
      </c>
      <c r="Q11" s="100">
        <f t="shared" si="0"/>
        <v>93</v>
      </c>
      <c r="R11" s="108"/>
      <c r="S11" s="99">
        <f t="shared" ref="S11:S50" si="8">IF(Q11&lt;60,"F",IF(Q11&lt;60,2,IF(Q11&lt;75,3,IF(Q11&lt;90,3.5,IF(Q11&lt;120,4,5)))))</f>
        <v>4</v>
      </c>
      <c r="T11" s="107">
        <v>15</v>
      </c>
      <c r="U11" s="99">
        <v>50</v>
      </c>
      <c r="V11" s="100">
        <f t="shared" ref="V11:V46" si="9">U11+T11</f>
        <v>65</v>
      </c>
      <c r="W11" s="107">
        <v>8</v>
      </c>
      <c r="X11" s="99">
        <v>30</v>
      </c>
      <c r="Y11" s="100">
        <f t="shared" ref="Y11:Y46" si="10">X11+W11</f>
        <v>38</v>
      </c>
      <c r="Z11" s="100">
        <f t="shared" ref="Z11:Z46" si="11">V11+Y11</f>
        <v>103</v>
      </c>
      <c r="AA11" s="100">
        <f t="shared" ref="AA11:AA46" si="12">Z11</f>
        <v>103</v>
      </c>
      <c r="AB11" s="108"/>
      <c r="AC11" s="99">
        <f t="shared" ref="AC11:AC50" si="13">IF(AA11&lt;60,"F",IF(AA11&lt;60,2,IF(AA11&lt;75,3,IF(AA11&lt;90,3.5,IF(AA11&lt;120,4,5)))))</f>
        <v>4</v>
      </c>
      <c r="AD11" s="107">
        <v>19</v>
      </c>
      <c r="AE11" s="99">
        <v>11</v>
      </c>
      <c r="AF11" s="100">
        <f t="shared" ref="AF11:AF24" si="14">AE11+AD11</f>
        <v>30</v>
      </c>
      <c r="AG11" s="99">
        <v>18</v>
      </c>
      <c r="AH11" s="100">
        <f t="shared" ref="AH11:AH24" si="15">AF11+AG11</f>
        <v>48</v>
      </c>
      <c r="AI11" s="108"/>
      <c r="AJ11" s="99">
        <f t="shared" ref="AJ11:AJ46" si="16">IF(AH11&lt;40,"F",IF(AH11&lt;50,2,IF(AH11&lt;60,3,IF(AH11&lt;70,3.5,IF(AH11&lt;80,4,5)))))</f>
        <v>2</v>
      </c>
      <c r="AK11" s="107">
        <v>20</v>
      </c>
      <c r="AL11" s="99">
        <v>39</v>
      </c>
      <c r="AM11" s="100">
        <f t="shared" ref="AM11:AM24" si="17">AL11+AK11</f>
        <v>59</v>
      </c>
      <c r="AN11" s="99">
        <v>18</v>
      </c>
      <c r="AO11" s="100">
        <f t="shared" ref="AO11:AO24" si="18">+AM11+AN11</f>
        <v>77</v>
      </c>
      <c r="AP11" s="108"/>
      <c r="AQ11" s="99">
        <f t="shared" ref="AQ11:AQ50" si="19">IF(AO11&lt;40,"F",IF(AO11&lt;50,2,IF(AO11&lt;60,3,IF(AO11&lt;70,3.5,IF(AO11&lt;80,4,5)))))</f>
        <v>4</v>
      </c>
      <c r="AR11" s="102"/>
      <c r="AS11" s="99">
        <v>23</v>
      </c>
      <c r="AT11" s="99">
        <v>23</v>
      </c>
      <c r="AU11" s="99">
        <f t="shared" ref="AU11:AU24" si="20">AR11+AS11+AT11</f>
        <v>46</v>
      </c>
      <c r="AV11" s="109"/>
      <c r="AW11" s="99">
        <f t="shared" ref="AW11:AW50" si="21">IF(AU11&lt;20,"F",IF(AU11&lt;25,2,IF(AU11&lt;30,3,IF(AU11&lt;35,3.5,IF(AU11&lt;40,4,5)))))</f>
        <v>5</v>
      </c>
      <c r="AX11" s="107">
        <v>17</v>
      </c>
      <c r="AY11" s="99">
        <v>30</v>
      </c>
      <c r="AZ11" s="100">
        <f t="shared" ref="AZ11:AZ23" si="22">AY11+AX11</f>
        <v>47</v>
      </c>
      <c r="BA11" s="99">
        <v>30</v>
      </c>
      <c r="BB11" s="100">
        <f t="shared" ref="BB11:BB24" si="23">AZ11+BA11</f>
        <v>77</v>
      </c>
      <c r="BC11" s="108"/>
      <c r="BD11" s="99">
        <f t="shared" ref="BD11:BD50" si="24">IF(BB11&lt;40,"F",IF(BB11&lt;50,2,IF(BB11&lt;60,3,IF(BB11&lt;70,3.5,IF(BB11&lt;80,4,5)))))</f>
        <v>4</v>
      </c>
      <c r="BE11" s="107">
        <v>19</v>
      </c>
      <c r="BF11" s="99">
        <v>21</v>
      </c>
      <c r="BG11" s="100">
        <f t="shared" ref="BG11:BG24" si="25">BF11+BE11</f>
        <v>40</v>
      </c>
      <c r="BH11" s="99"/>
      <c r="BI11" s="100">
        <f t="shared" ref="BI11:BI24" si="26">BG11+BH11</f>
        <v>40</v>
      </c>
      <c r="BJ11" s="109"/>
      <c r="BK11" s="99">
        <f t="shared" ref="BK11:BK50" si="27">IF(BI11&lt;40,"F",IF(BI11&lt;50,2,IF(BI11&lt;60,3,IF(BI11&lt;70,3.5,IF(BI11&lt;80,4,5)))))</f>
        <v>2</v>
      </c>
      <c r="BL11" s="107">
        <v>9</v>
      </c>
      <c r="BM11" s="99">
        <v>39</v>
      </c>
      <c r="BN11" s="100">
        <f t="shared" ref="BN11:BN24" si="28">BM11+BL11</f>
        <v>48</v>
      </c>
      <c r="BO11" s="99"/>
      <c r="BP11" s="99"/>
      <c r="BQ11" s="100">
        <f t="shared" ref="BQ11:BQ24" si="29">BN11+BO11+BP11</f>
        <v>48</v>
      </c>
      <c r="BR11" s="109"/>
      <c r="BS11" s="99">
        <f t="shared" ref="BS11:BS46" si="30">IF(BN11&lt;20,"F",IF(BQ11&lt;20,"F",IF(BQ11&lt;25,2,IF(BQ11&lt;30,3,IF(BQ11&lt;35,3.5,IF(BQ11&lt;40,4,5))))))</f>
        <v>5</v>
      </c>
      <c r="BT11" s="99">
        <f t="shared" ref="BT11:BT46" si="31">IF(S11="F","F",IF(AC11="F","F",IF(AJ11="F","F",IF(AQ11="F","F",IF(BD11="F","F",IF(BK11="F","F",IF(AW11="F","F",SUM(S11,AC11,AJ11,AQ11,AW11,BD11,BK11))))))))</f>
        <v>25</v>
      </c>
      <c r="BU11" s="104">
        <f t="shared" ref="BU11:BU44" si="32">IF(BT11="F","F",IF(BT11&gt;=45,5,IF(BT11&lt;45,BT11/7)))</f>
        <v>3.5714285714285716</v>
      </c>
      <c r="BV11" s="105" t="str">
        <f t="shared" ref="BV11:BV44" si="33">IF(BU11="F","F",IF(BU11&lt;2.5,"D",IF(BU11&lt;3,"C",IF(BU11&lt;3.5,"B",IF(BU11&lt;4,"A-",IF(BU11&lt;5,"A","A+"))))))</f>
        <v>A-</v>
      </c>
      <c r="BW11" s="43" t="str">
        <f t="shared" si="3"/>
        <v>GOOD</v>
      </c>
      <c r="BX11" s="44">
        <f>Q11+AA11+AH11+AO11+AU11+BB11+BI11</f>
        <v>484</v>
      </c>
      <c r="BY11" s="40"/>
      <c r="BZ11" s="40"/>
    </row>
    <row r="12" spans="1:78" s="39" customFormat="1" ht="27.95" customHeight="1">
      <c r="A12" s="42">
        <v>3</v>
      </c>
      <c r="B12" s="47">
        <v>30</v>
      </c>
      <c r="C12" s="49" t="s">
        <v>72</v>
      </c>
      <c r="D12" s="49" t="s">
        <v>73</v>
      </c>
      <c r="E12" s="49" t="s">
        <v>74</v>
      </c>
      <c r="F12" s="52" t="s">
        <v>128</v>
      </c>
      <c r="G12" s="106">
        <v>10</v>
      </c>
      <c r="H12" s="99">
        <v>29</v>
      </c>
      <c r="I12" s="100">
        <f t="shared" si="4"/>
        <v>39</v>
      </c>
      <c r="J12" s="99">
        <v>13</v>
      </c>
      <c r="K12" s="100">
        <f t="shared" si="5"/>
        <v>52</v>
      </c>
      <c r="L12" s="107">
        <v>8</v>
      </c>
      <c r="M12" s="99">
        <v>12</v>
      </c>
      <c r="N12" s="100">
        <f t="shared" si="6"/>
        <v>20</v>
      </c>
      <c r="O12" s="99"/>
      <c r="P12" s="100">
        <f t="shared" si="7"/>
        <v>20</v>
      </c>
      <c r="Q12" s="100">
        <f t="shared" si="0"/>
        <v>72</v>
      </c>
      <c r="R12" s="108"/>
      <c r="S12" s="99">
        <f t="shared" si="8"/>
        <v>3</v>
      </c>
      <c r="T12" s="107">
        <v>14</v>
      </c>
      <c r="U12" s="99">
        <v>43</v>
      </c>
      <c r="V12" s="100">
        <f t="shared" si="9"/>
        <v>57</v>
      </c>
      <c r="W12" s="107">
        <v>9</v>
      </c>
      <c r="X12" s="99">
        <v>18</v>
      </c>
      <c r="Y12" s="100">
        <f t="shared" si="10"/>
        <v>27</v>
      </c>
      <c r="Z12" s="100">
        <f t="shared" si="11"/>
        <v>84</v>
      </c>
      <c r="AA12" s="100">
        <f t="shared" si="12"/>
        <v>84</v>
      </c>
      <c r="AB12" s="108"/>
      <c r="AC12" s="99">
        <f t="shared" si="13"/>
        <v>3.5</v>
      </c>
      <c r="AD12" s="107">
        <v>12</v>
      </c>
      <c r="AE12" s="99">
        <v>2</v>
      </c>
      <c r="AF12" s="100">
        <f t="shared" si="14"/>
        <v>14</v>
      </c>
      <c r="AG12" s="99">
        <v>19</v>
      </c>
      <c r="AH12" s="100">
        <f t="shared" si="15"/>
        <v>33</v>
      </c>
      <c r="AI12" s="108"/>
      <c r="AJ12" s="99" t="str">
        <f t="shared" si="16"/>
        <v>F</v>
      </c>
      <c r="AK12" s="107">
        <v>16</v>
      </c>
      <c r="AL12" s="99">
        <v>20</v>
      </c>
      <c r="AM12" s="100">
        <f t="shared" si="17"/>
        <v>36</v>
      </c>
      <c r="AN12" s="99">
        <v>18</v>
      </c>
      <c r="AO12" s="100">
        <f t="shared" si="18"/>
        <v>54</v>
      </c>
      <c r="AP12" s="108"/>
      <c r="AQ12" s="99">
        <f t="shared" si="19"/>
        <v>3</v>
      </c>
      <c r="AR12" s="102"/>
      <c r="AS12" s="99">
        <v>23</v>
      </c>
      <c r="AT12" s="99">
        <v>23</v>
      </c>
      <c r="AU12" s="99">
        <f t="shared" si="20"/>
        <v>46</v>
      </c>
      <c r="AV12" s="109"/>
      <c r="AW12" s="99">
        <f t="shared" si="21"/>
        <v>5</v>
      </c>
      <c r="AX12" s="107">
        <v>20</v>
      </c>
      <c r="AY12" s="99">
        <v>14</v>
      </c>
      <c r="AZ12" s="100">
        <f t="shared" si="22"/>
        <v>34</v>
      </c>
      <c r="BA12" s="99">
        <v>22</v>
      </c>
      <c r="BB12" s="100">
        <f t="shared" si="23"/>
        <v>56</v>
      </c>
      <c r="BC12" s="108"/>
      <c r="BD12" s="99">
        <f t="shared" si="24"/>
        <v>3</v>
      </c>
      <c r="BE12" s="107">
        <v>13</v>
      </c>
      <c r="BF12" s="99">
        <v>27</v>
      </c>
      <c r="BG12" s="100">
        <f t="shared" si="25"/>
        <v>40</v>
      </c>
      <c r="BH12" s="99"/>
      <c r="BI12" s="100">
        <f t="shared" si="26"/>
        <v>40</v>
      </c>
      <c r="BJ12" s="109"/>
      <c r="BK12" s="99">
        <f t="shared" si="27"/>
        <v>2</v>
      </c>
      <c r="BL12" s="107">
        <v>8</v>
      </c>
      <c r="BM12" s="99">
        <v>38</v>
      </c>
      <c r="BN12" s="100">
        <f t="shared" si="28"/>
        <v>46</v>
      </c>
      <c r="BO12" s="99"/>
      <c r="BP12" s="99"/>
      <c r="BQ12" s="100">
        <f t="shared" si="29"/>
        <v>46</v>
      </c>
      <c r="BR12" s="109"/>
      <c r="BS12" s="99">
        <f t="shared" si="30"/>
        <v>5</v>
      </c>
      <c r="BT12" s="99" t="str">
        <f t="shared" si="31"/>
        <v>F</v>
      </c>
      <c r="BU12" s="104" t="str">
        <f t="shared" si="32"/>
        <v>F</v>
      </c>
      <c r="BV12" s="105" t="str">
        <f t="shared" si="33"/>
        <v>F</v>
      </c>
      <c r="BW12" s="43" t="str">
        <f t="shared" si="3"/>
        <v>NEED TO PROGRESS</v>
      </c>
      <c r="BX12" s="44">
        <f t="shared" ref="BX12:BX46" si="34">Q12+AA12+AH12+AO12+AU12+BB12+BI12</f>
        <v>385</v>
      </c>
      <c r="BY12" s="40"/>
      <c r="BZ12" s="40"/>
    </row>
    <row r="13" spans="1:78" s="39" customFormat="1" ht="27.95" customHeight="1">
      <c r="A13" s="42">
        <v>4</v>
      </c>
      <c r="B13" s="47">
        <v>32</v>
      </c>
      <c r="C13" s="48" t="s">
        <v>75</v>
      </c>
      <c r="D13" s="48" t="s">
        <v>76</v>
      </c>
      <c r="E13" s="48" t="s">
        <v>77</v>
      </c>
      <c r="F13" s="51" t="s">
        <v>129</v>
      </c>
      <c r="G13" s="106">
        <v>11</v>
      </c>
      <c r="H13" s="99">
        <v>26</v>
      </c>
      <c r="I13" s="100">
        <f t="shared" si="4"/>
        <v>37</v>
      </c>
      <c r="J13" s="99">
        <v>19</v>
      </c>
      <c r="K13" s="100">
        <f t="shared" si="5"/>
        <v>56</v>
      </c>
      <c r="L13" s="107">
        <v>7</v>
      </c>
      <c r="M13" s="99">
        <v>22</v>
      </c>
      <c r="N13" s="100">
        <f t="shared" si="6"/>
        <v>29</v>
      </c>
      <c r="O13" s="99"/>
      <c r="P13" s="100">
        <f t="shared" si="7"/>
        <v>29</v>
      </c>
      <c r="Q13" s="100">
        <f t="shared" si="0"/>
        <v>85</v>
      </c>
      <c r="R13" s="108"/>
      <c r="S13" s="99">
        <f t="shared" si="8"/>
        <v>3.5</v>
      </c>
      <c r="T13" s="107">
        <v>14</v>
      </c>
      <c r="U13" s="99">
        <v>46</v>
      </c>
      <c r="V13" s="100">
        <f t="shared" si="9"/>
        <v>60</v>
      </c>
      <c r="W13" s="107">
        <v>8</v>
      </c>
      <c r="X13" s="99">
        <v>21</v>
      </c>
      <c r="Y13" s="100">
        <f t="shared" si="10"/>
        <v>29</v>
      </c>
      <c r="Z13" s="100">
        <f t="shared" si="11"/>
        <v>89</v>
      </c>
      <c r="AA13" s="100">
        <f t="shared" si="12"/>
        <v>89</v>
      </c>
      <c r="AB13" s="108"/>
      <c r="AC13" s="99">
        <f t="shared" si="13"/>
        <v>3.5</v>
      </c>
      <c r="AD13" s="107">
        <v>17</v>
      </c>
      <c r="AE13" s="99">
        <v>16</v>
      </c>
      <c r="AF13" s="100">
        <f t="shared" si="14"/>
        <v>33</v>
      </c>
      <c r="AG13" s="99">
        <v>21</v>
      </c>
      <c r="AH13" s="100">
        <f t="shared" si="15"/>
        <v>54</v>
      </c>
      <c r="AI13" s="108"/>
      <c r="AJ13" s="99">
        <f t="shared" si="16"/>
        <v>3</v>
      </c>
      <c r="AK13" s="107">
        <v>17</v>
      </c>
      <c r="AL13" s="99">
        <v>22</v>
      </c>
      <c r="AM13" s="100">
        <f t="shared" si="17"/>
        <v>39</v>
      </c>
      <c r="AN13" s="99">
        <v>16</v>
      </c>
      <c r="AO13" s="100">
        <f t="shared" si="18"/>
        <v>55</v>
      </c>
      <c r="AP13" s="108"/>
      <c r="AQ13" s="99">
        <f t="shared" si="19"/>
        <v>3</v>
      </c>
      <c r="AR13" s="102"/>
      <c r="AS13" s="99">
        <v>23</v>
      </c>
      <c r="AT13" s="99">
        <v>23</v>
      </c>
      <c r="AU13" s="99">
        <f t="shared" si="20"/>
        <v>46</v>
      </c>
      <c r="AV13" s="109"/>
      <c r="AW13" s="99">
        <f t="shared" si="21"/>
        <v>5</v>
      </c>
      <c r="AX13" s="107">
        <v>19</v>
      </c>
      <c r="AY13" s="99">
        <v>24</v>
      </c>
      <c r="AZ13" s="100">
        <f t="shared" si="22"/>
        <v>43</v>
      </c>
      <c r="BA13" s="99">
        <v>20</v>
      </c>
      <c r="BB13" s="100">
        <f t="shared" si="23"/>
        <v>63</v>
      </c>
      <c r="BC13" s="108"/>
      <c r="BD13" s="99">
        <f t="shared" si="24"/>
        <v>3.5</v>
      </c>
      <c r="BE13" s="107">
        <v>13</v>
      </c>
      <c r="BF13" s="99">
        <v>29</v>
      </c>
      <c r="BG13" s="100">
        <f t="shared" si="25"/>
        <v>42</v>
      </c>
      <c r="BH13" s="99"/>
      <c r="BI13" s="100">
        <f t="shared" si="26"/>
        <v>42</v>
      </c>
      <c r="BJ13" s="109"/>
      <c r="BK13" s="99">
        <f t="shared" si="27"/>
        <v>2</v>
      </c>
      <c r="BL13" s="107">
        <v>6</v>
      </c>
      <c r="BM13" s="99">
        <v>22</v>
      </c>
      <c r="BN13" s="100">
        <f t="shared" si="28"/>
        <v>28</v>
      </c>
      <c r="BO13" s="99"/>
      <c r="BP13" s="99"/>
      <c r="BQ13" s="100">
        <f t="shared" si="29"/>
        <v>28</v>
      </c>
      <c r="BR13" s="109"/>
      <c r="BS13" s="99">
        <f t="shared" si="30"/>
        <v>3</v>
      </c>
      <c r="BT13" s="99">
        <f t="shared" si="31"/>
        <v>23.5</v>
      </c>
      <c r="BU13" s="104">
        <f t="shared" si="32"/>
        <v>3.3571428571428572</v>
      </c>
      <c r="BV13" s="105" t="str">
        <f t="shared" si="33"/>
        <v>B</v>
      </c>
      <c r="BW13" s="43" t="str">
        <f t="shared" si="3"/>
        <v>GOOD</v>
      </c>
      <c r="BX13" s="44">
        <f t="shared" si="34"/>
        <v>434</v>
      </c>
      <c r="BY13" s="40"/>
      <c r="BZ13" s="40"/>
    </row>
    <row r="14" spans="1:78" s="39" customFormat="1" ht="27.95" customHeight="1">
      <c r="A14" s="42">
        <v>5</v>
      </c>
      <c r="B14" s="47">
        <v>34</v>
      </c>
      <c r="C14" s="48" t="s">
        <v>78</v>
      </c>
      <c r="D14" s="48" t="s">
        <v>79</v>
      </c>
      <c r="E14" s="48" t="s">
        <v>80</v>
      </c>
      <c r="F14" s="51" t="s">
        <v>130</v>
      </c>
      <c r="G14" s="106">
        <v>18</v>
      </c>
      <c r="H14" s="99">
        <v>25</v>
      </c>
      <c r="I14" s="100">
        <f t="shared" si="4"/>
        <v>43</v>
      </c>
      <c r="J14" s="99">
        <v>13</v>
      </c>
      <c r="K14" s="100">
        <f t="shared" si="5"/>
        <v>56</v>
      </c>
      <c r="L14" s="107">
        <v>9</v>
      </c>
      <c r="M14" s="99">
        <v>22</v>
      </c>
      <c r="N14" s="100">
        <f t="shared" si="6"/>
        <v>31</v>
      </c>
      <c r="O14" s="99"/>
      <c r="P14" s="100">
        <f t="shared" si="7"/>
        <v>31</v>
      </c>
      <c r="Q14" s="100">
        <f t="shared" si="0"/>
        <v>87</v>
      </c>
      <c r="R14" s="108"/>
      <c r="S14" s="99">
        <f t="shared" si="8"/>
        <v>3.5</v>
      </c>
      <c r="T14" s="107">
        <v>9</v>
      </c>
      <c r="U14" s="99">
        <v>41</v>
      </c>
      <c r="V14" s="100">
        <f t="shared" si="9"/>
        <v>50</v>
      </c>
      <c r="W14" s="107">
        <v>8</v>
      </c>
      <c r="X14" s="99">
        <v>29</v>
      </c>
      <c r="Y14" s="100">
        <f t="shared" si="10"/>
        <v>37</v>
      </c>
      <c r="Z14" s="100">
        <f t="shared" si="11"/>
        <v>87</v>
      </c>
      <c r="AA14" s="100">
        <f t="shared" si="12"/>
        <v>87</v>
      </c>
      <c r="AB14" s="108"/>
      <c r="AC14" s="99">
        <f t="shared" si="13"/>
        <v>3.5</v>
      </c>
      <c r="AD14" s="107">
        <v>12</v>
      </c>
      <c r="AE14" s="99">
        <v>10</v>
      </c>
      <c r="AF14" s="100">
        <f t="shared" si="14"/>
        <v>22</v>
      </c>
      <c r="AG14" s="99">
        <v>20</v>
      </c>
      <c r="AH14" s="100">
        <f t="shared" si="15"/>
        <v>42</v>
      </c>
      <c r="AI14" s="108"/>
      <c r="AJ14" s="99">
        <f t="shared" si="16"/>
        <v>2</v>
      </c>
      <c r="AK14" s="107">
        <v>15</v>
      </c>
      <c r="AL14" s="99">
        <v>33</v>
      </c>
      <c r="AM14" s="100">
        <f t="shared" si="17"/>
        <v>48</v>
      </c>
      <c r="AN14" s="99">
        <v>15</v>
      </c>
      <c r="AO14" s="100">
        <f t="shared" si="18"/>
        <v>63</v>
      </c>
      <c r="AP14" s="108"/>
      <c r="AQ14" s="99">
        <f t="shared" si="19"/>
        <v>3.5</v>
      </c>
      <c r="AR14" s="102"/>
      <c r="AS14" s="99">
        <v>23</v>
      </c>
      <c r="AT14" s="99">
        <v>23</v>
      </c>
      <c r="AU14" s="99">
        <f t="shared" si="20"/>
        <v>46</v>
      </c>
      <c r="AV14" s="109"/>
      <c r="AW14" s="99">
        <f t="shared" si="21"/>
        <v>5</v>
      </c>
      <c r="AX14" s="107">
        <v>20</v>
      </c>
      <c r="AY14" s="99">
        <v>16</v>
      </c>
      <c r="AZ14" s="100">
        <f t="shared" si="22"/>
        <v>36</v>
      </c>
      <c r="BA14" s="99">
        <v>28</v>
      </c>
      <c r="BB14" s="100">
        <f t="shared" si="23"/>
        <v>64</v>
      </c>
      <c r="BC14" s="108"/>
      <c r="BD14" s="99">
        <f t="shared" si="24"/>
        <v>3.5</v>
      </c>
      <c r="BE14" s="107">
        <v>14</v>
      </c>
      <c r="BF14" s="99">
        <v>29</v>
      </c>
      <c r="BG14" s="100">
        <f t="shared" si="25"/>
        <v>43</v>
      </c>
      <c r="BH14" s="99"/>
      <c r="BI14" s="100">
        <f t="shared" si="26"/>
        <v>43</v>
      </c>
      <c r="BJ14" s="109"/>
      <c r="BK14" s="99">
        <f t="shared" si="27"/>
        <v>2</v>
      </c>
      <c r="BL14" s="107">
        <v>8</v>
      </c>
      <c r="BM14" s="99">
        <v>25</v>
      </c>
      <c r="BN14" s="100">
        <f t="shared" si="28"/>
        <v>33</v>
      </c>
      <c r="BO14" s="99"/>
      <c r="BP14" s="99"/>
      <c r="BQ14" s="100">
        <f t="shared" si="29"/>
        <v>33</v>
      </c>
      <c r="BR14" s="109"/>
      <c r="BS14" s="99">
        <f t="shared" si="30"/>
        <v>3.5</v>
      </c>
      <c r="BT14" s="99">
        <f t="shared" si="31"/>
        <v>23</v>
      </c>
      <c r="BU14" s="104">
        <f t="shared" si="32"/>
        <v>3.2857142857142856</v>
      </c>
      <c r="BV14" s="105" t="str">
        <f t="shared" si="33"/>
        <v>B</v>
      </c>
      <c r="BW14" s="43" t="str">
        <f t="shared" si="3"/>
        <v>GOOD</v>
      </c>
      <c r="BX14" s="44">
        <f t="shared" si="34"/>
        <v>432</v>
      </c>
      <c r="BY14" s="40"/>
      <c r="BZ14" s="40"/>
    </row>
    <row r="15" spans="1:78" s="39" customFormat="1" ht="27.95" customHeight="1">
      <c r="A15" s="42">
        <v>6</v>
      </c>
      <c r="B15" s="47">
        <v>35</v>
      </c>
      <c r="C15" s="48" t="s">
        <v>154</v>
      </c>
      <c r="D15" s="48" t="s">
        <v>155</v>
      </c>
      <c r="E15" s="48" t="s">
        <v>156</v>
      </c>
      <c r="F15" s="51" t="s">
        <v>208</v>
      </c>
      <c r="G15" s="106">
        <v>11</v>
      </c>
      <c r="H15" s="99">
        <v>21</v>
      </c>
      <c r="I15" s="100">
        <f t="shared" si="4"/>
        <v>32</v>
      </c>
      <c r="J15" s="99">
        <v>13</v>
      </c>
      <c r="K15" s="100">
        <f t="shared" si="5"/>
        <v>45</v>
      </c>
      <c r="L15" s="107">
        <v>9</v>
      </c>
      <c r="M15" s="99">
        <v>13</v>
      </c>
      <c r="N15" s="100">
        <f t="shared" si="6"/>
        <v>22</v>
      </c>
      <c r="O15" s="99"/>
      <c r="P15" s="100">
        <f t="shared" si="7"/>
        <v>22</v>
      </c>
      <c r="Q15" s="100">
        <f t="shared" si="0"/>
        <v>67</v>
      </c>
      <c r="R15" s="108"/>
      <c r="S15" s="99">
        <f t="shared" si="8"/>
        <v>3</v>
      </c>
      <c r="T15" s="107">
        <v>8</v>
      </c>
      <c r="U15" s="99">
        <v>19</v>
      </c>
      <c r="V15" s="100">
        <f t="shared" si="9"/>
        <v>27</v>
      </c>
      <c r="W15" s="107">
        <v>6</v>
      </c>
      <c r="X15" s="99">
        <v>15</v>
      </c>
      <c r="Y15" s="100">
        <f t="shared" si="10"/>
        <v>21</v>
      </c>
      <c r="Z15" s="100">
        <f t="shared" si="11"/>
        <v>48</v>
      </c>
      <c r="AA15" s="100">
        <f t="shared" si="12"/>
        <v>48</v>
      </c>
      <c r="AB15" s="108"/>
      <c r="AC15" s="99" t="str">
        <f t="shared" si="13"/>
        <v>F</v>
      </c>
      <c r="AD15" s="107">
        <v>12</v>
      </c>
      <c r="AE15" s="99">
        <v>4</v>
      </c>
      <c r="AF15" s="100">
        <f t="shared" si="14"/>
        <v>16</v>
      </c>
      <c r="AG15" s="99">
        <v>14</v>
      </c>
      <c r="AH15" s="100">
        <f t="shared" si="15"/>
        <v>30</v>
      </c>
      <c r="AI15" s="108"/>
      <c r="AJ15" s="99" t="str">
        <f t="shared" si="16"/>
        <v>F</v>
      </c>
      <c r="AK15" s="107">
        <v>17</v>
      </c>
      <c r="AL15" s="99">
        <v>33</v>
      </c>
      <c r="AM15" s="100">
        <f t="shared" si="17"/>
        <v>50</v>
      </c>
      <c r="AN15" s="99">
        <v>17</v>
      </c>
      <c r="AO15" s="100">
        <f t="shared" si="18"/>
        <v>67</v>
      </c>
      <c r="AP15" s="108"/>
      <c r="AQ15" s="99">
        <f t="shared" si="19"/>
        <v>3.5</v>
      </c>
      <c r="AR15" s="102"/>
      <c r="AS15" s="99">
        <v>23</v>
      </c>
      <c r="AT15" s="99">
        <v>23</v>
      </c>
      <c r="AU15" s="99">
        <f t="shared" si="20"/>
        <v>46</v>
      </c>
      <c r="AV15" s="109"/>
      <c r="AW15" s="99">
        <f t="shared" si="21"/>
        <v>5</v>
      </c>
      <c r="AX15" s="107">
        <v>20</v>
      </c>
      <c r="AY15" s="99">
        <v>19</v>
      </c>
      <c r="AZ15" s="100">
        <f t="shared" si="22"/>
        <v>39</v>
      </c>
      <c r="BA15" s="99">
        <v>20</v>
      </c>
      <c r="BB15" s="100">
        <f t="shared" si="23"/>
        <v>59</v>
      </c>
      <c r="BC15" s="108"/>
      <c r="BD15" s="99">
        <f t="shared" si="24"/>
        <v>3</v>
      </c>
      <c r="BE15" s="107">
        <v>16</v>
      </c>
      <c r="BF15" s="99">
        <v>29</v>
      </c>
      <c r="BG15" s="100">
        <f t="shared" si="25"/>
        <v>45</v>
      </c>
      <c r="BH15" s="99"/>
      <c r="BI15" s="100">
        <f t="shared" si="26"/>
        <v>45</v>
      </c>
      <c r="BJ15" s="109"/>
      <c r="BK15" s="99">
        <f t="shared" si="27"/>
        <v>2</v>
      </c>
      <c r="BL15" s="107">
        <v>7</v>
      </c>
      <c r="BM15" s="99">
        <v>24</v>
      </c>
      <c r="BN15" s="100">
        <f t="shared" si="28"/>
        <v>31</v>
      </c>
      <c r="BO15" s="99"/>
      <c r="BP15" s="99"/>
      <c r="BQ15" s="100">
        <f t="shared" si="29"/>
        <v>31</v>
      </c>
      <c r="BR15" s="109"/>
      <c r="BS15" s="99">
        <f t="shared" si="30"/>
        <v>3.5</v>
      </c>
      <c r="BT15" s="99" t="str">
        <f t="shared" si="31"/>
        <v>F</v>
      </c>
      <c r="BU15" s="104" t="str">
        <f t="shared" si="32"/>
        <v>F</v>
      </c>
      <c r="BV15" s="105" t="str">
        <f t="shared" si="33"/>
        <v>F</v>
      </c>
      <c r="BW15" s="43" t="str">
        <f t="shared" si="3"/>
        <v>NEED TO PROGRESS</v>
      </c>
      <c r="BX15" s="44">
        <f t="shared" si="34"/>
        <v>362</v>
      </c>
      <c r="BY15" s="40"/>
      <c r="BZ15" s="40"/>
    </row>
    <row r="16" spans="1:78" s="39" customFormat="1" ht="27.95" customHeight="1">
      <c r="A16" s="42">
        <v>7</v>
      </c>
      <c r="B16" s="47">
        <v>36</v>
      </c>
      <c r="C16" s="49" t="s">
        <v>81</v>
      </c>
      <c r="D16" s="49" t="s">
        <v>82</v>
      </c>
      <c r="E16" s="49" t="s">
        <v>83</v>
      </c>
      <c r="F16" s="52" t="s">
        <v>131</v>
      </c>
      <c r="G16" s="106">
        <v>14</v>
      </c>
      <c r="H16" s="99">
        <v>41</v>
      </c>
      <c r="I16" s="100">
        <f t="shared" si="4"/>
        <v>55</v>
      </c>
      <c r="J16" s="99">
        <v>12</v>
      </c>
      <c r="K16" s="100">
        <f t="shared" si="5"/>
        <v>67</v>
      </c>
      <c r="L16" s="107">
        <v>9</v>
      </c>
      <c r="M16" s="99">
        <v>25</v>
      </c>
      <c r="N16" s="100">
        <f t="shared" si="6"/>
        <v>34</v>
      </c>
      <c r="O16" s="99"/>
      <c r="P16" s="100">
        <f t="shared" si="7"/>
        <v>34</v>
      </c>
      <c r="Q16" s="100">
        <f t="shared" si="0"/>
        <v>101</v>
      </c>
      <c r="R16" s="108"/>
      <c r="S16" s="99">
        <f t="shared" si="8"/>
        <v>4</v>
      </c>
      <c r="T16" s="107">
        <v>10</v>
      </c>
      <c r="U16" s="99">
        <v>38</v>
      </c>
      <c r="V16" s="100">
        <f t="shared" si="9"/>
        <v>48</v>
      </c>
      <c r="W16" s="107">
        <v>7</v>
      </c>
      <c r="X16" s="99">
        <v>18</v>
      </c>
      <c r="Y16" s="100">
        <f t="shared" si="10"/>
        <v>25</v>
      </c>
      <c r="Z16" s="100">
        <f t="shared" si="11"/>
        <v>73</v>
      </c>
      <c r="AA16" s="100">
        <f t="shared" si="12"/>
        <v>73</v>
      </c>
      <c r="AB16" s="108"/>
      <c r="AC16" s="99">
        <f t="shared" si="13"/>
        <v>3</v>
      </c>
      <c r="AD16" s="107">
        <v>17</v>
      </c>
      <c r="AE16" s="99">
        <v>21</v>
      </c>
      <c r="AF16" s="100">
        <f t="shared" si="14"/>
        <v>38</v>
      </c>
      <c r="AG16" s="99">
        <v>18</v>
      </c>
      <c r="AH16" s="100">
        <f t="shared" si="15"/>
        <v>56</v>
      </c>
      <c r="AI16" s="108"/>
      <c r="AJ16" s="99">
        <f t="shared" si="16"/>
        <v>3</v>
      </c>
      <c r="AK16" s="107">
        <v>17</v>
      </c>
      <c r="AL16" s="99">
        <v>23</v>
      </c>
      <c r="AM16" s="100">
        <f t="shared" si="17"/>
        <v>40</v>
      </c>
      <c r="AN16" s="99">
        <v>21</v>
      </c>
      <c r="AO16" s="100">
        <f t="shared" si="18"/>
        <v>61</v>
      </c>
      <c r="AP16" s="108"/>
      <c r="AQ16" s="99">
        <f t="shared" si="19"/>
        <v>3.5</v>
      </c>
      <c r="AR16" s="102"/>
      <c r="AS16" s="99">
        <v>23</v>
      </c>
      <c r="AT16" s="99">
        <v>23</v>
      </c>
      <c r="AU16" s="99">
        <f t="shared" si="20"/>
        <v>46</v>
      </c>
      <c r="AV16" s="109"/>
      <c r="AW16" s="99">
        <f t="shared" si="21"/>
        <v>5</v>
      </c>
      <c r="AX16" s="107">
        <v>17</v>
      </c>
      <c r="AY16" s="99">
        <v>23</v>
      </c>
      <c r="AZ16" s="100">
        <f t="shared" si="22"/>
        <v>40</v>
      </c>
      <c r="BA16" s="99">
        <v>24</v>
      </c>
      <c r="BB16" s="100">
        <f t="shared" si="23"/>
        <v>64</v>
      </c>
      <c r="BC16" s="108"/>
      <c r="BD16" s="99">
        <f t="shared" si="24"/>
        <v>3.5</v>
      </c>
      <c r="BE16" s="107">
        <v>15</v>
      </c>
      <c r="BF16" s="99">
        <v>36</v>
      </c>
      <c r="BG16" s="100">
        <f t="shared" si="25"/>
        <v>51</v>
      </c>
      <c r="BH16" s="99"/>
      <c r="BI16" s="100">
        <f t="shared" si="26"/>
        <v>51</v>
      </c>
      <c r="BJ16" s="109"/>
      <c r="BK16" s="99">
        <f t="shared" si="27"/>
        <v>3</v>
      </c>
      <c r="BL16" s="107">
        <v>9</v>
      </c>
      <c r="BM16" s="99">
        <v>34</v>
      </c>
      <c r="BN16" s="100">
        <f t="shared" si="28"/>
        <v>43</v>
      </c>
      <c r="BO16" s="99"/>
      <c r="BP16" s="99"/>
      <c r="BQ16" s="100">
        <f t="shared" si="29"/>
        <v>43</v>
      </c>
      <c r="BR16" s="109"/>
      <c r="BS16" s="99">
        <f t="shared" si="30"/>
        <v>5</v>
      </c>
      <c r="BT16" s="99">
        <f t="shared" si="31"/>
        <v>25</v>
      </c>
      <c r="BU16" s="104">
        <f t="shared" si="32"/>
        <v>3.5714285714285716</v>
      </c>
      <c r="BV16" s="105" t="str">
        <f t="shared" si="33"/>
        <v>A-</v>
      </c>
      <c r="BW16" s="43" t="str">
        <f t="shared" si="3"/>
        <v>GOOD</v>
      </c>
      <c r="BX16" s="44">
        <f t="shared" si="34"/>
        <v>452</v>
      </c>
      <c r="BY16" s="40"/>
      <c r="BZ16" s="40"/>
    </row>
    <row r="17" spans="1:78" s="39" customFormat="1" ht="27.95" customHeight="1">
      <c r="A17" s="42">
        <v>8</v>
      </c>
      <c r="B17" s="47">
        <v>37</v>
      </c>
      <c r="C17" s="49" t="s">
        <v>157</v>
      </c>
      <c r="D17" s="49" t="s">
        <v>158</v>
      </c>
      <c r="E17" s="49" t="s">
        <v>159</v>
      </c>
      <c r="F17" s="52" t="s">
        <v>209</v>
      </c>
      <c r="G17" s="106">
        <v>16</v>
      </c>
      <c r="H17" s="99">
        <v>21</v>
      </c>
      <c r="I17" s="100">
        <f t="shared" si="4"/>
        <v>37</v>
      </c>
      <c r="J17" s="99">
        <v>18</v>
      </c>
      <c r="K17" s="100">
        <f t="shared" si="5"/>
        <v>55</v>
      </c>
      <c r="L17" s="107">
        <v>9</v>
      </c>
      <c r="M17" s="99">
        <v>29</v>
      </c>
      <c r="N17" s="100">
        <f t="shared" si="6"/>
        <v>38</v>
      </c>
      <c r="O17" s="99"/>
      <c r="P17" s="100">
        <f t="shared" si="7"/>
        <v>38</v>
      </c>
      <c r="Q17" s="100">
        <f t="shared" si="0"/>
        <v>93</v>
      </c>
      <c r="R17" s="108"/>
      <c r="S17" s="99">
        <f t="shared" si="8"/>
        <v>4</v>
      </c>
      <c r="T17" s="107">
        <v>13</v>
      </c>
      <c r="U17" s="99">
        <v>48</v>
      </c>
      <c r="V17" s="100">
        <f t="shared" si="9"/>
        <v>61</v>
      </c>
      <c r="W17" s="107">
        <v>6</v>
      </c>
      <c r="X17" s="99">
        <v>25</v>
      </c>
      <c r="Y17" s="100">
        <f t="shared" si="10"/>
        <v>31</v>
      </c>
      <c r="Z17" s="100">
        <f t="shared" si="11"/>
        <v>92</v>
      </c>
      <c r="AA17" s="100">
        <f t="shared" si="12"/>
        <v>92</v>
      </c>
      <c r="AB17" s="108"/>
      <c r="AC17" s="99">
        <f t="shared" si="13"/>
        <v>4</v>
      </c>
      <c r="AD17" s="107">
        <v>18</v>
      </c>
      <c r="AE17" s="99">
        <v>9</v>
      </c>
      <c r="AF17" s="100">
        <f t="shared" si="14"/>
        <v>27</v>
      </c>
      <c r="AG17" s="99">
        <v>19</v>
      </c>
      <c r="AH17" s="100">
        <f t="shared" si="15"/>
        <v>46</v>
      </c>
      <c r="AI17" s="108"/>
      <c r="AJ17" s="99">
        <f t="shared" si="16"/>
        <v>2</v>
      </c>
      <c r="AK17" s="107">
        <v>13</v>
      </c>
      <c r="AL17" s="99">
        <v>27</v>
      </c>
      <c r="AM17" s="100">
        <f t="shared" si="17"/>
        <v>40</v>
      </c>
      <c r="AN17" s="99">
        <v>15</v>
      </c>
      <c r="AO17" s="100">
        <f t="shared" si="18"/>
        <v>55</v>
      </c>
      <c r="AP17" s="108"/>
      <c r="AQ17" s="99">
        <f t="shared" si="19"/>
        <v>3</v>
      </c>
      <c r="AR17" s="102"/>
      <c r="AS17" s="99">
        <v>23</v>
      </c>
      <c r="AT17" s="99">
        <v>23</v>
      </c>
      <c r="AU17" s="99">
        <f t="shared" si="20"/>
        <v>46</v>
      </c>
      <c r="AV17" s="109"/>
      <c r="AW17" s="99">
        <f t="shared" si="21"/>
        <v>5</v>
      </c>
      <c r="AX17" s="107">
        <v>18</v>
      </c>
      <c r="AY17" s="99">
        <v>22</v>
      </c>
      <c r="AZ17" s="100">
        <f t="shared" si="22"/>
        <v>40</v>
      </c>
      <c r="BA17" s="99">
        <v>25</v>
      </c>
      <c r="BB17" s="100">
        <f t="shared" si="23"/>
        <v>65</v>
      </c>
      <c r="BC17" s="108"/>
      <c r="BD17" s="99">
        <f t="shared" si="24"/>
        <v>3.5</v>
      </c>
      <c r="BE17" s="107">
        <v>16</v>
      </c>
      <c r="BF17" s="99">
        <v>40</v>
      </c>
      <c r="BG17" s="100">
        <f t="shared" si="25"/>
        <v>56</v>
      </c>
      <c r="BH17" s="99"/>
      <c r="BI17" s="100">
        <f t="shared" si="26"/>
        <v>56</v>
      </c>
      <c r="BJ17" s="109"/>
      <c r="BK17" s="99">
        <f t="shared" si="27"/>
        <v>3</v>
      </c>
      <c r="BL17" s="107">
        <v>9</v>
      </c>
      <c r="BM17" s="99">
        <v>38</v>
      </c>
      <c r="BN17" s="100">
        <f t="shared" si="28"/>
        <v>47</v>
      </c>
      <c r="BO17" s="99"/>
      <c r="BP17" s="99"/>
      <c r="BQ17" s="100">
        <f t="shared" si="29"/>
        <v>47</v>
      </c>
      <c r="BR17" s="109"/>
      <c r="BS17" s="99">
        <f t="shared" si="30"/>
        <v>5</v>
      </c>
      <c r="BT17" s="99">
        <f t="shared" si="31"/>
        <v>24.5</v>
      </c>
      <c r="BU17" s="104">
        <f t="shared" si="32"/>
        <v>3.5</v>
      </c>
      <c r="BV17" s="105" t="str">
        <f t="shared" si="33"/>
        <v>A-</v>
      </c>
      <c r="BW17" s="43" t="str">
        <f t="shared" si="3"/>
        <v>GOOD</v>
      </c>
      <c r="BX17" s="44">
        <f t="shared" si="34"/>
        <v>453</v>
      </c>
      <c r="BY17" s="40"/>
      <c r="BZ17" s="40"/>
    </row>
    <row r="18" spans="1:78" s="39" customFormat="1" ht="27.95" customHeight="1">
      <c r="A18" s="42">
        <v>9</v>
      </c>
      <c r="B18" s="47">
        <v>39</v>
      </c>
      <c r="C18" s="49" t="s">
        <v>160</v>
      </c>
      <c r="D18" s="49" t="s">
        <v>161</v>
      </c>
      <c r="E18" s="49" t="s">
        <v>162</v>
      </c>
      <c r="F18" s="52" t="s">
        <v>210</v>
      </c>
      <c r="G18" s="106">
        <v>11</v>
      </c>
      <c r="H18" s="99">
        <v>26</v>
      </c>
      <c r="I18" s="100">
        <f t="shared" si="4"/>
        <v>37</v>
      </c>
      <c r="J18" s="99">
        <v>12</v>
      </c>
      <c r="K18" s="100">
        <f t="shared" si="5"/>
        <v>49</v>
      </c>
      <c r="L18" s="107">
        <v>7</v>
      </c>
      <c r="M18" s="99">
        <v>25</v>
      </c>
      <c r="N18" s="100">
        <f t="shared" si="6"/>
        <v>32</v>
      </c>
      <c r="O18" s="99"/>
      <c r="P18" s="100">
        <f t="shared" si="7"/>
        <v>32</v>
      </c>
      <c r="Q18" s="100">
        <f t="shared" si="0"/>
        <v>81</v>
      </c>
      <c r="R18" s="108"/>
      <c r="S18" s="99">
        <f t="shared" si="8"/>
        <v>3.5</v>
      </c>
      <c r="T18" s="107">
        <v>8</v>
      </c>
      <c r="U18" s="99">
        <v>32</v>
      </c>
      <c r="V18" s="100">
        <f t="shared" si="9"/>
        <v>40</v>
      </c>
      <c r="W18" s="107">
        <v>6</v>
      </c>
      <c r="X18" s="99">
        <v>20</v>
      </c>
      <c r="Y18" s="100">
        <f t="shared" si="10"/>
        <v>26</v>
      </c>
      <c r="Z18" s="100">
        <f t="shared" si="11"/>
        <v>66</v>
      </c>
      <c r="AA18" s="100">
        <f t="shared" si="12"/>
        <v>66</v>
      </c>
      <c r="AB18" s="108"/>
      <c r="AC18" s="99">
        <f t="shared" si="13"/>
        <v>3</v>
      </c>
      <c r="AD18" s="107">
        <v>15</v>
      </c>
      <c r="AE18" s="99">
        <v>21</v>
      </c>
      <c r="AF18" s="100">
        <f t="shared" si="14"/>
        <v>36</v>
      </c>
      <c r="AG18" s="99">
        <v>19</v>
      </c>
      <c r="AH18" s="100">
        <f t="shared" si="15"/>
        <v>55</v>
      </c>
      <c r="AI18" s="108"/>
      <c r="AJ18" s="99">
        <f t="shared" si="16"/>
        <v>3</v>
      </c>
      <c r="AK18" s="107">
        <v>12</v>
      </c>
      <c r="AL18" s="99">
        <v>27</v>
      </c>
      <c r="AM18" s="100">
        <f t="shared" si="17"/>
        <v>39</v>
      </c>
      <c r="AN18" s="99">
        <v>17</v>
      </c>
      <c r="AO18" s="100">
        <f t="shared" si="18"/>
        <v>56</v>
      </c>
      <c r="AP18" s="108"/>
      <c r="AQ18" s="99">
        <f t="shared" si="19"/>
        <v>3</v>
      </c>
      <c r="AR18" s="102"/>
      <c r="AS18" s="99">
        <v>23</v>
      </c>
      <c r="AT18" s="99">
        <v>23</v>
      </c>
      <c r="AU18" s="99">
        <f t="shared" si="20"/>
        <v>46</v>
      </c>
      <c r="AV18" s="109"/>
      <c r="AW18" s="99">
        <f t="shared" si="21"/>
        <v>5</v>
      </c>
      <c r="AX18" s="107">
        <v>20</v>
      </c>
      <c r="AY18" s="99">
        <v>29</v>
      </c>
      <c r="AZ18" s="100">
        <f t="shared" si="22"/>
        <v>49</v>
      </c>
      <c r="BA18" s="99">
        <v>24</v>
      </c>
      <c r="BB18" s="100">
        <f t="shared" si="23"/>
        <v>73</v>
      </c>
      <c r="BC18" s="108"/>
      <c r="BD18" s="99">
        <f t="shared" si="24"/>
        <v>4</v>
      </c>
      <c r="BE18" s="107">
        <v>14</v>
      </c>
      <c r="BF18" s="99">
        <v>34</v>
      </c>
      <c r="BG18" s="100">
        <f t="shared" si="25"/>
        <v>48</v>
      </c>
      <c r="BH18" s="99"/>
      <c r="BI18" s="100">
        <f t="shared" si="26"/>
        <v>48</v>
      </c>
      <c r="BJ18" s="109"/>
      <c r="BK18" s="99">
        <f t="shared" si="27"/>
        <v>2</v>
      </c>
      <c r="BL18" s="107">
        <v>7</v>
      </c>
      <c r="BM18" s="99">
        <v>26</v>
      </c>
      <c r="BN18" s="100">
        <f t="shared" si="28"/>
        <v>33</v>
      </c>
      <c r="BO18" s="99"/>
      <c r="BP18" s="99"/>
      <c r="BQ18" s="100">
        <f t="shared" si="29"/>
        <v>33</v>
      </c>
      <c r="BR18" s="109"/>
      <c r="BS18" s="99">
        <f t="shared" si="30"/>
        <v>3.5</v>
      </c>
      <c r="BT18" s="99">
        <f t="shared" si="31"/>
        <v>23.5</v>
      </c>
      <c r="BU18" s="104">
        <f t="shared" si="32"/>
        <v>3.3571428571428572</v>
      </c>
      <c r="BV18" s="105" t="str">
        <f t="shared" si="33"/>
        <v>B</v>
      </c>
      <c r="BW18" s="43" t="str">
        <f t="shared" si="3"/>
        <v>GOOD</v>
      </c>
      <c r="BX18" s="44">
        <f t="shared" si="34"/>
        <v>425</v>
      </c>
      <c r="BY18" s="40"/>
      <c r="BZ18" s="40"/>
    </row>
    <row r="19" spans="1:78" s="39" customFormat="1" ht="27.95" customHeight="1">
      <c r="A19" s="42">
        <v>10</v>
      </c>
      <c r="B19" s="47">
        <v>41</v>
      </c>
      <c r="C19" s="49" t="s">
        <v>163</v>
      </c>
      <c r="D19" s="49" t="s">
        <v>164</v>
      </c>
      <c r="E19" s="49" t="s">
        <v>165</v>
      </c>
      <c r="F19" s="52" t="s">
        <v>211</v>
      </c>
      <c r="G19" s="106">
        <v>13</v>
      </c>
      <c r="H19" s="99">
        <v>39</v>
      </c>
      <c r="I19" s="100">
        <f t="shared" si="4"/>
        <v>52</v>
      </c>
      <c r="J19" s="99">
        <v>18</v>
      </c>
      <c r="K19" s="100">
        <f t="shared" si="5"/>
        <v>70</v>
      </c>
      <c r="L19" s="107">
        <v>7</v>
      </c>
      <c r="M19" s="99">
        <v>21</v>
      </c>
      <c r="N19" s="100">
        <f t="shared" si="6"/>
        <v>28</v>
      </c>
      <c r="O19" s="99"/>
      <c r="P19" s="100">
        <f t="shared" si="7"/>
        <v>28</v>
      </c>
      <c r="Q19" s="100">
        <f t="shared" si="0"/>
        <v>98</v>
      </c>
      <c r="R19" s="108"/>
      <c r="S19" s="99">
        <f t="shared" si="8"/>
        <v>4</v>
      </c>
      <c r="T19" s="107">
        <v>9</v>
      </c>
      <c r="U19" s="99">
        <v>37</v>
      </c>
      <c r="V19" s="100">
        <f t="shared" si="9"/>
        <v>46</v>
      </c>
      <c r="W19" s="107">
        <v>5</v>
      </c>
      <c r="X19" s="99">
        <v>17</v>
      </c>
      <c r="Y19" s="100">
        <f t="shared" si="10"/>
        <v>22</v>
      </c>
      <c r="Z19" s="100">
        <f t="shared" si="11"/>
        <v>68</v>
      </c>
      <c r="AA19" s="100">
        <f t="shared" si="12"/>
        <v>68</v>
      </c>
      <c r="AB19" s="108"/>
      <c r="AC19" s="99">
        <f t="shared" si="13"/>
        <v>3</v>
      </c>
      <c r="AD19" s="107">
        <v>15</v>
      </c>
      <c r="AE19" s="99">
        <v>4</v>
      </c>
      <c r="AF19" s="100">
        <f t="shared" si="14"/>
        <v>19</v>
      </c>
      <c r="AG19" s="99">
        <v>15</v>
      </c>
      <c r="AH19" s="100">
        <f t="shared" si="15"/>
        <v>34</v>
      </c>
      <c r="AI19" s="108"/>
      <c r="AJ19" s="99" t="str">
        <f t="shared" si="16"/>
        <v>F</v>
      </c>
      <c r="AK19" s="107">
        <v>13</v>
      </c>
      <c r="AL19" s="99">
        <v>21</v>
      </c>
      <c r="AM19" s="100">
        <f t="shared" si="17"/>
        <v>34</v>
      </c>
      <c r="AN19" s="99">
        <v>18</v>
      </c>
      <c r="AO19" s="100">
        <f t="shared" si="18"/>
        <v>52</v>
      </c>
      <c r="AP19" s="108"/>
      <c r="AQ19" s="99">
        <f t="shared" si="19"/>
        <v>3</v>
      </c>
      <c r="AR19" s="102"/>
      <c r="AS19" s="99">
        <v>23</v>
      </c>
      <c r="AT19" s="99">
        <v>23</v>
      </c>
      <c r="AU19" s="99">
        <f t="shared" si="20"/>
        <v>46</v>
      </c>
      <c r="AV19" s="109"/>
      <c r="AW19" s="99">
        <f t="shared" si="21"/>
        <v>5</v>
      </c>
      <c r="AX19" s="107">
        <v>15</v>
      </c>
      <c r="AY19" s="99">
        <v>13</v>
      </c>
      <c r="AZ19" s="100">
        <f t="shared" si="22"/>
        <v>28</v>
      </c>
      <c r="BA19" s="99">
        <v>22</v>
      </c>
      <c r="BB19" s="100">
        <f t="shared" si="23"/>
        <v>50</v>
      </c>
      <c r="BC19" s="108"/>
      <c r="BD19" s="99">
        <f t="shared" si="24"/>
        <v>3</v>
      </c>
      <c r="BE19" s="107">
        <v>16</v>
      </c>
      <c r="BF19" s="99">
        <v>29</v>
      </c>
      <c r="BG19" s="100">
        <f t="shared" si="25"/>
        <v>45</v>
      </c>
      <c r="BH19" s="99"/>
      <c r="BI19" s="100">
        <f t="shared" si="26"/>
        <v>45</v>
      </c>
      <c r="BJ19" s="109"/>
      <c r="BK19" s="99">
        <f t="shared" si="27"/>
        <v>2</v>
      </c>
      <c r="BL19" s="107">
        <v>8</v>
      </c>
      <c r="BM19" s="99">
        <v>39</v>
      </c>
      <c r="BN19" s="100">
        <f t="shared" si="28"/>
        <v>47</v>
      </c>
      <c r="BO19" s="99"/>
      <c r="BP19" s="99"/>
      <c r="BQ19" s="100">
        <f t="shared" si="29"/>
        <v>47</v>
      </c>
      <c r="BR19" s="109"/>
      <c r="BS19" s="99">
        <f t="shared" si="30"/>
        <v>5</v>
      </c>
      <c r="BT19" s="99" t="str">
        <f t="shared" si="31"/>
        <v>F</v>
      </c>
      <c r="BU19" s="104" t="str">
        <f t="shared" si="32"/>
        <v>F</v>
      </c>
      <c r="BV19" s="105" t="str">
        <f t="shared" si="33"/>
        <v>F</v>
      </c>
      <c r="BW19" s="43" t="str">
        <f t="shared" si="3"/>
        <v>NEED TO PROGRESS</v>
      </c>
      <c r="BX19" s="44">
        <f t="shared" si="34"/>
        <v>393</v>
      </c>
      <c r="BY19" s="40"/>
      <c r="BZ19" s="40"/>
    </row>
    <row r="20" spans="1:78" s="39" customFormat="1" ht="27.95" customHeight="1">
      <c r="A20" s="42">
        <v>11</v>
      </c>
      <c r="B20" s="47">
        <v>43</v>
      </c>
      <c r="C20" s="48" t="s">
        <v>166</v>
      </c>
      <c r="D20" s="48" t="s">
        <v>167</v>
      </c>
      <c r="E20" s="50" t="s">
        <v>168</v>
      </c>
      <c r="F20" s="51" t="s">
        <v>212</v>
      </c>
      <c r="G20" s="106">
        <v>18</v>
      </c>
      <c r="H20" s="99">
        <v>32</v>
      </c>
      <c r="I20" s="100">
        <f t="shared" si="4"/>
        <v>50</v>
      </c>
      <c r="J20" s="99">
        <v>17</v>
      </c>
      <c r="K20" s="100">
        <f t="shared" si="5"/>
        <v>67</v>
      </c>
      <c r="L20" s="107">
        <v>8</v>
      </c>
      <c r="M20" s="99">
        <v>25</v>
      </c>
      <c r="N20" s="100">
        <f t="shared" si="6"/>
        <v>33</v>
      </c>
      <c r="O20" s="99"/>
      <c r="P20" s="100">
        <f t="shared" si="7"/>
        <v>33</v>
      </c>
      <c r="Q20" s="100">
        <f t="shared" si="0"/>
        <v>100</v>
      </c>
      <c r="R20" s="108"/>
      <c r="S20" s="99">
        <f t="shared" si="8"/>
        <v>4</v>
      </c>
      <c r="T20" s="107">
        <v>10</v>
      </c>
      <c r="U20" s="99">
        <v>36</v>
      </c>
      <c r="V20" s="100">
        <f t="shared" si="9"/>
        <v>46</v>
      </c>
      <c r="W20" s="107">
        <v>5</v>
      </c>
      <c r="X20" s="99">
        <v>19</v>
      </c>
      <c r="Y20" s="100">
        <f t="shared" si="10"/>
        <v>24</v>
      </c>
      <c r="Z20" s="100">
        <f t="shared" si="11"/>
        <v>70</v>
      </c>
      <c r="AA20" s="100">
        <f t="shared" si="12"/>
        <v>70</v>
      </c>
      <c r="AB20" s="108"/>
      <c r="AC20" s="99">
        <f t="shared" si="13"/>
        <v>3</v>
      </c>
      <c r="AD20" s="107">
        <v>12</v>
      </c>
      <c r="AE20" s="99">
        <v>19</v>
      </c>
      <c r="AF20" s="100">
        <f t="shared" si="14"/>
        <v>31</v>
      </c>
      <c r="AG20" s="99">
        <v>19</v>
      </c>
      <c r="AH20" s="100">
        <f t="shared" si="15"/>
        <v>50</v>
      </c>
      <c r="AI20" s="108"/>
      <c r="AJ20" s="99">
        <f t="shared" si="16"/>
        <v>3</v>
      </c>
      <c r="AK20" s="107">
        <v>15</v>
      </c>
      <c r="AL20" s="99">
        <v>27</v>
      </c>
      <c r="AM20" s="100">
        <f t="shared" si="17"/>
        <v>42</v>
      </c>
      <c r="AN20" s="99">
        <v>18</v>
      </c>
      <c r="AO20" s="100">
        <f t="shared" si="18"/>
        <v>60</v>
      </c>
      <c r="AP20" s="108"/>
      <c r="AQ20" s="99">
        <f t="shared" si="19"/>
        <v>3.5</v>
      </c>
      <c r="AR20" s="102"/>
      <c r="AS20" s="99">
        <v>23</v>
      </c>
      <c r="AT20" s="99">
        <v>23</v>
      </c>
      <c r="AU20" s="99">
        <f t="shared" si="20"/>
        <v>46</v>
      </c>
      <c r="AV20" s="109"/>
      <c r="AW20" s="99">
        <f t="shared" si="21"/>
        <v>5</v>
      </c>
      <c r="AX20" s="107">
        <v>15</v>
      </c>
      <c r="AY20" s="99">
        <v>16</v>
      </c>
      <c r="AZ20" s="100">
        <f t="shared" si="22"/>
        <v>31</v>
      </c>
      <c r="BA20" s="99">
        <v>28</v>
      </c>
      <c r="BB20" s="100">
        <f t="shared" si="23"/>
        <v>59</v>
      </c>
      <c r="BC20" s="108"/>
      <c r="BD20" s="99">
        <f t="shared" si="24"/>
        <v>3</v>
      </c>
      <c r="BE20" s="107">
        <v>12</v>
      </c>
      <c r="BF20" s="99">
        <v>24</v>
      </c>
      <c r="BG20" s="100">
        <f t="shared" si="25"/>
        <v>36</v>
      </c>
      <c r="BH20" s="99"/>
      <c r="BI20" s="100">
        <f t="shared" si="26"/>
        <v>36</v>
      </c>
      <c r="BJ20" s="109"/>
      <c r="BK20" s="99" t="str">
        <f t="shared" si="27"/>
        <v>F</v>
      </c>
      <c r="BL20" s="107">
        <v>8</v>
      </c>
      <c r="BM20" s="99">
        <v>36</v>
      </c>
      <c r="BN20" s="100">
        <f t="shared" si="28"/>
        <v>44</v>
      </c>
      <c r="BO20" s="99"/>
      <c r="BP20" s="99"/>
      <c r="BQ20" s="100">
        <f t="shared" si="29"/>
        <v>44</v>
      </c>
      <c r="BR20" s="109"/>
      <c r="BS20" s="99">
        <f t="shared" si="30"/>
        <v>5</v>
      </c>
      <c r="BT20" s="99" t="str">
        <f t="shared" si="31"/>
        <v>F</v>
      </c>
      <c r="BU20" s="104" t="str">
        <f t="shared" si="32"/>
        <v>F</v>
      </c>
      <c r="BV20" s="105" t="str">
        <f t="shared" si="33"/>
        <v>F</v>
      </c>
      <c r="BW20" s="43" t="str">
        <f t="shared" si="3"/>
        <v>NEED TO PROGRESS</v>
      </c>
      <c r="BX20" s="44">
        <f t="shared" si="34"/>
        <v>421</v>
      </c>
      <c r="BY20" s="40"/>
      <c r="BZ20" s="40"/>
    </row>
    <row r="21" spans="1:78" s="39" customFormat="1" ht="27.95" customHeight="1">
      <c r="A21" s="42">
        <v>12</v>
      </c>
      <c r="B21" s="47">
        <v>48</v>
      </c>
      <c r="C21" s="49" t="s">
        <v>84</v>
      </c>
      <c r="D21" s="49" t="s">
        <v>85</v>
      </c>
      <c r="E21" s="49" t="s">
        <v>86</v>
      </c>
      <c r="F21" s="52" t="s">
        <v>132</v>
      </c>
      <c r="G21" s="106">
        <v>12</v>
      </c>
      <c r="H21" s="99">
        <v>27</v>
      </c>
      <c r="I21" s="100">
        <f t="shared" si="4"/>
        <v>39</v>
      </c>
      <c r="J21" s="99">
        <v>12</v>
      </c>
      <c r="K21" s="100">
        <f t="shared" si="5"/>
        <v>51</v>
      </c>
      <c r="L21" s="107">
        <v>8</v>
      </c>
      <c r="M21" s="99">
        <v>15</v>
      </c>
      <c r="N21" s="100">
        <f t="shared" si="6"/>
        <v>23</v>
      </c>
      <c r="O21" s="99"/>
      <c r="P21" s="100">
        <f t="shared" si="7"/>
        <v>23</v>
      </c>
      <c r="Q21" s="100">
        <f t="shared" si="0"/>
        <v>74</v>
      </c>
      <c r="R21" s="108"/>
      <c r="S21" s="99">
        <f t="shared" si="8"/>
        <v>3</v>
      </c>
      <c r="T21" s="107">
        <v>10</v>
      </c>
      <c r="U21" s="99">
        <v>34</v>
      </c>
      <c r="V21" s="100">
        <f t="shared" si="9"/>
        <v>44</v>
      </c>
      <c r="W21" s="107">
        <v>5</v>
      </c>
      <c r="X21" s="99">
        <v>21</v>
      </c>
      <c r="Y21" s="100">
        <f t="shared" si="10"/>
        <v>26</v>
      </c>
      <c r="Z21" s="100">
        <f t="shared" si="11"/>
        <v>70</v>
      </c>
      <c r="AA21" s="100">
        <f t="shared" si="12"/>
        <v>70</v>
      </c>
      <c r="AB21" s="108"/>
      <c r="AC21" s="99">
        <f t="shared" si="13"/>
        <v>3</v>
      </c>
      <c r="AD21" s="107">
        <v>16</v>
      </c>
      <c r="AE21" s="99">
        <v>16</v>
      </c>
      <c r="AF21" s="100">
        <f t="shared" si="14"/>
        <v>32</v>
      </c>
      <c r="AG21" s="99">
        <v>19</v>
      </c>
      <c r="AH21" s="100">
        <f t="shared" si="15"/>
        <v>51</v>
      </c>
      <c r="AI21" s="108"/>
      <c r="AJ21" s="99">
        <f t="shared" si="16"/>
        <v>3</v>
      </c>
      <c r="AK21" s="107">
        <v>13</v>
      </c>
      <c r="AL21" s="99">
        <v>21</v>
      </c>
      <c r="AM21" s="100">
        <f t="shared" si="17"/>
        <v>34</v>
      </c>
      <c r="AN21" s="99">
        <v>14</v>
      </c>
      <c r="AO21" s="100">
        <f t="shared" si="18"/>
        <v>48</v>
      </c>
      <c r="AP21" s="108"/>
      <c r="AQ21" s="99">
        <f t="shared" si="19"/>
        <v>2</v>
      </c>
      <c r="AR21" s="102"/>
      <c r="AS21" s="99">
        <v>23</v>
      </c>
      <c r="AT21" s="99">
        <v>23</v>
      </c>
      <c r="AU21" s="99">
        <f t="shared" si="20"/>
        <v>46</v>
      </c>
      <c r="AV21" s="109"/>
      <c r="AW21" s="99">
        <f t="shared" si="21"/>
        <v>5</v>
      </c>
      <c r="AX21" s="107">
        <v>17</v>
      </c>
      <c r="AY21" s="99">
        <v>11</v>
      </c>
      <c r="AZ21" s="100">
        <f t="shared" si="22"/>
        <v>28</v>
      </c>
      <c r="BA21" s="99">
        <v>24</v>
      </c>
      <c r="BB21" s="100">
        <f t="shared" si="23"/>
        <v>52</v>
      </c>
      <c r="BC21" s="108"/>
      <c r="BD21" s="99">
        <f t="shared" si="24"/>
        <v>3</v>
      </c>
      <c r="BE21" s="107">
        <v>13</v>
      </c>
      <c r="BF21" s="99">
        <v>26</v>
      </c>
      <c r="BG21" s="100">
        <f t="shared" si="25"/>
        <v>39</v>
      </c>
      <c r="BH21" s="99"/>
      <c r="BI21" s="100">
        <f t="shared" si="26"/>
        <v>39</v>
      </c>
      <c r="BJ21" s="109"/>
      <c r="BK21" s="99" t="str">
        <f t="shared" si="27"/>
        <v>F</v>
      </c>
      <c r="BL21" s="107">
        <v>9</v>
      </c>
      <c r="BM21" s="99">
        <v>38</v>
      </c>
      <c r="BN21" s="100">
        <f t="shared" si="28"/>
        <v>47</v>
      </c>
      <c r="BO21" s="99"/>
      <c r="BP21" s="99"/>
      <c r="BQ21" s="100">
        <f t="shared" si="29"/>
        <v>47</v>
      </c>
      <c r="BR21" s="109"/>
      <c r="BS21" s="99">
        <f t="shared" si="30"/>
        <v>5</v>
      </c>
      <c r="BT21" s="99" t="str">
        <f t="shared" si="31"/>
        <v>F</v>
      </c>
      <c r="BU21" s="104" t="str">
        <f t="shared" si="32"/>
        <v>F</v>
      </c>
      <c r="BV21" s="105" t="str">
        <f t="shared" si="33"/>
        <v>F</v>
      </c>
      <c r="BW21" s="43" t="str">
        <f t="shared" si="3"/>
        <v>NEED TO PROGRESS</v>
      </c>
      <c r="BX21" s="44">
        <f t="shared" si="34"/>
        <v>380</v>
      </c>
      <c r="BY21" s="40"/>
      <c r="BZ21" s="40"/>
    </row>
    <row r="22" spans="1:78" s="39" customFormat="1" ht="27.95" customHeight="1">
      <c r="A22" s="42">
        <v>13</v>
      </c>
      <c r="B22" s="47">
        <v>49</v>
      </c>
      <c r="C22" s="48" t="s">
        <v>169</v>
      </c>
      <c r="D22" s="48" t="s">
        <v>76</v>
      </c>
      <c r="E22" s="48" t="s">
        <v>170</v>
      </c>
      <c r="F22" s="51" t="s">
        <v>213</v>
      </c>
      <c r="G22" s="106">
        <v>14</v>
      </c>
      <c r="H22" s="99">
        <v>0</v>
      </c>
      <c r="I22" s="100">
        <f t="shared" si="4"/>
        <v>14</v>
      </c>
      <c r="J22" s="99">
        <v>23</v>
      </c>
      <c r="K22" s="100">
        <f t="shared" si="5"/>
        <v>37</v>
      </c>
      <c r="L22" s="107">
        <v>9</v>
      </c>
      <c r="M22" s="99">
        <v>23</v>
      </c>
      <c r="N22" s="100">
        <f t="shared" si="6"/>
        <v>32</v>
      </c>
      <c r="O22" s="99"/>
      <c r="P22" s="100">
        <f t="shared" si="7"/>
        <v>32</v>
      </c>
      <c r="Q22" s="100">
        <f t="shared" si="0"/>
        <v>69</v>
      </c>
      <c r="R22" s="108"/>
      <c r="S22" s="99">
        <f t="shared" si="8"/>
        <v>3</v>
      </c>
      <c r="T22" s="107">
        <v>8</v>
      </c>
      <c r="U22" s="99">
        <v>34</v>
      </c>
      <c r="V22" s="100">
        <f t="shared" si="9"/>
        <v>42</v>
      </c>
      <c r="W22" s="107">
        <v>8</v>
      </c>
      <c r="X22" s="99">
        <v>24</v>
      </c>
      <c r="Y22" s="100">
        <f t="shared" si="10"/>
        <v>32</v>
      </c>
      <c r="Z22" s="100">
        <f t="shared" si="11"/>
        <v>74</v>
      </c>
      <c r="AA22" s="100">
        <f t="shared" si="12"/>
        <v>74</v>
      </c>
      <c r="AB22" s="108"/>
      <c r="AC22" s="99">
        <f t="shared" si="13"/>
        <v>3</v>
      </c>
      <c r="AD22" s="107">
        <v>15</v>
      </c>
      <c r="AE22" s="99">
        <v>11</v>
      </c>
      <c r="AF22" s="100">
        <f t="shared" si="14"/>
        <v>26</v>
      </c>
      <c r="AG22" s="99">
        <v>20</v>
      </c>
      <c r="AH22" s="100">
        <f t="shared" si="15"/>
        <v>46</v>
      </c>
      <c r="AI22" s="108"/>
      <c r="AJ22" s="99">
        <f t="shared" si="16"/>
        <v>2</v>
      </c>
      <c r="AK22" s="107">
        <v>11</v>
      </c>
      <c r="AL22" s="99">
        <v>21</v>
      </c>
      <c r="AM22" s="100">
        <f t="shared" si="17"/>
        <v>32</v>
      </c>
      <c r="AN22" s="99">
        <v>18</v>
      </c>
      <c r="AO22" s="100">
        <f t="shared" si="18"/>
        <v>50</v>
      </c>
      <c r="AP22" s="108"/>
      <c r="AQ22" s="99">
        <f t="shared" si="19"/>
        <v>3</v>
      </c>
      <c r="AR22" s="102"/>
      <c r="AS22" s="99">
        <v>23</v>
      </c>
      <c r="AT22" s="99">
        <v>23</v>
      </c>
      <c r="AU22" s="99">
        <f t="shared" si="20"/>
        <v>46</v>
      </c>
      <c r="AV22" s="109"/>
      <c r="AW22" s="99">
        <f t="shared" si="21"/>
        <v>5</v>
      </c>
      <c r="AX22" s="107">
        <v>18</v>
      </c>
      <c r="AY22" s="99">
        <v>12</v>
      </c>
      <c r="AZ22" s="100">
        <f t="shared" si="22"/>
        <v>30</v>
      </c>
      <c r="BA22" s="99">
        <v>20</v>
      </c>
      <c r="BB22" s="100">
        <f t="shared" si="23"/>
        <v>50</v>
      </c>
      <c r="BC22" s="108"/>
      <c r="BD22" s="99">
        <f t="shared" si="24"/>
        <v>3</v>
      </c>
      <c r="BE22" s="107">
        <v>14</v>
      </c>
      <c r="BF22" s="99">
        <v>28</v>
      </c>
      <c r="BG22" s="100">
        <f t="shared" si="25"/>
        <v>42</v>
      </c>
      <c r="BH22" s="99"/>
      <c r="BI22" s="100">
        <f t="shared" si="26"/>
        <v>42</v>
      </c>
      <c r="BJ22" s="109"/>
      <c r="BK22" s="99">
        <f t="shared" si="27"/>
        <v>2</v>
      </c>
      <c r="BL22" s="107">
        <v>8</v>
      </c>
      <c r="BM22" s="99">
        <v>38</v>
      </c>
      <c r="BN22" s="100">
        <f t="shared" si="28"/>
        <v>46</v>
      </c>
      <c r="BO22" s="99"/>
      <c r="BP22" s="99"/>
      <c r="BQ22" s="100">
        <f t="shared" si="29"/>
        <v>46</v>
      </c>
      <c r="BR22" s="109"/>
      <c r="BS22" s="99">
        <f t="shared" si="30"/>
        <v>5</v>
      </c>
      <c r="BT22" s="99">
        <f t="shared" si="31"/>
        <v>21</v>
      </c>
      <c r="BU22" s="104">
        <f t="shared" si="32"/>
        <v>3</v>
      </c>
      <c r="BV22" s="105" t="str">
        <f t="shared" si="33"/>
        <v>B</v>
      </c>
      <c r="BW22" s="43" t="str">
        <f t="shared" si="3"/>
        <v>GOOD</v>
      </c>
      <c r="BX22" s="44">
        <f t="shared" si="34"/>
        <v>377</v>
      </c>
      <c r="BY22" s="40"/>
      <c r="BZ22" s="40"/>
    </row>
    <row r="23" spans="1:78" s="39" customFormat="1" ht="27.95" customHeight="1">
      <c r="A23" s="42">
        <v>14</v>
      </c>
      <c r="B23" s="47">
        <v>51</v>
      </c>
      <c r="C23" s="48" t="s">
        <v>171</v>
      </c>
      <c r="D23" s="48" t="s">
        <v>172</v>
      </c>
      <c r="E23" s="48" t="s">
        <v>173</v>
      </c>
      <c r="F23" s="51" t="s">
        <v>214</v>
      </c>
      <c r="G23" s="106">
        <v>10</v>
      </c>
      <c r="H23" s="99">
        <v>21</v>
      </c>
      <c r="I23" s="100">
        <f t="shared" si="4"/>
        <v>31</v>
      </c>
      <c r="J23" s="99">
        <v>0</v>
      </c>
      <c r="K23" s="100">
        <f t="shared" si="5"/>
        <v>31</v>
      </c>
      <c r="L23" s="107">
        <v>6</v>
      </c>
      <c r="M23" s="99">
        <v>0</v>
      </c>
      <c r="N23" s="100">
        <f t="shared" si="6"/>
        <v>6</v>
      </c>
      <c r="O23" s="99"/>
      <c r="P23" s="100">
        <f t="shared" si="7"/>
        <v>6</v>
      </c>
      <c r="Q23" s="100">
        <f t="shared" si="0"/>
        <v>37</v>
      </c>
      <c r="R23" s="108"/>
      <c r="S23" s="99" t="str">
        <f t="shared" si="8"/>
        <v>F</v>
      </c>
      <c r="T23" s="107">
        <v>12</v>
      </c>
      <c r="U23" s="99">
        <v>0</v>
      </c>
      <c r="V23" s="100">
        <f t="shared" si="9"/>
        <v>12</v>
      </c>
      <c r="W23" s="107">
        <v>6</v>
      </c>
      <c r="X23" s="99">
        <v>0</v>
      </c>
      <c r="Y23" s="100">
        <f t="shared" si="10"/>
        <v>6</v>
      </c>
      <c r="Z23" s="100">
        <f t="shared" si="11"/>
        <v>18</v>
      </c>
      <c r="AA23" s="100">
        <f t="shared" si="12"/>
        <v>18</v>
      </c>
      <c r="AB23" s="108"/>
      <c r="AC23" s="99" t="str">
        <f t="shared" si="13"/>
        <v>F</v>
      </c>
      <c r="AD23" s="107">
        <v>11</v>
      </c>
      <c r="AE23" s="99">
        <v>0</v>
      </c>
      <c r="AF23" s="100">
        <f t="shared" si="14"/>
        <v>11</v>
      </c>
      <c r="AG23" s="99">
        <v>0</v>
      </c>
      <c r="AH23" s="100">
        <f t="shared" si="15"/>
        <v>11</v>
      </c>
      <c r="AI23" s="108"/>
      <c r="AJ23" s="99" t="str">
        <f t="shared" si="16"/>
        <v>F</v>
      </c>
      <c r="AK23" s="107">
        <v>14</v>
      </c>
      <c r="AL23" s="99">
        <v>0</v>
      </c>
      <c r="AM23" s="100">
        <f t="shared" si="17"/>
        <v>14</v>
      </c>
      <c r="AN23" s="99">
        <v>0</v>
      </c>
      <c r="AO23" s="100">
        <f t="shared" si="18"/>
        <v>14</v>
      </c>
      <c r="AP23" s="108"/>
      <c r="AQ23" s="99" t="str">
        <f t="shared" si="19"/>
        <v>F</v>
      </c>
      <c r="AR23" s="102"/>
      <c r="AS23" s="99">
        <v>23</v>
      </c>
      <c r="AT23" s="99">
        <v>23</v>
      </c>
      <c r="AU23" s="99">
        <f t="shared" si="20"/>
        <v>46</v>
      </c>
      <c r="AV23" s="109"/>
      <c r="AW23" s="99">
        <f t="shared" si="21"/>
        <v>5</v>
      </c>
      <c r="AX23" s="107">
        <v>15</v>
      </c>
      <c r="AY23" s="99">
        <v>0</v>
      </c>
      <c r="AZ23" s="100">
        <f t="shared" si="22"/>
        <v>15</v>
      </c>
      <c r="BA23" s="99">
        <v>0</v>
      </c>
      <c r="BB23" s="100">
        <f t="shared" si="23"/>
        <v>15</v>
      </c>
      <c r="BC23" s="108"/>
      <c r="BD23" s="99" t="str">
        <f t="shared" si="24"/>
        <v>F</v>
      </c>
      <c r="BE23" s="107">
        <v>13</v>
      </c>
      <c r="BF23" s="99">
        <v>0</v>
      </c>
      <c r="BG23" s="100">
        <f t="shared" si="25"/>
        <v>13</v>
      </c>
      <c r="BH23" s="99"/>
      <c r="BI23" s="100">
        <f t="shared" si="26"/>
        <v>13</v>
      </c>
      <c r="BJ23" s="109"/>
      <c r="BK23" s="99" t="str">
        <f t="shared" si="27"/>
        <v>F</v>
      </c>
      <c r="BL23" s="107">
        <v>7</v>
      </c>
      <c r="BM23" s="99">
        <v>0</v>
      </c>
      <c r="BN23" s="100">
        <f t="shared" si="28"/>
        <v>7</v>
      </c>
      <c r="BO23" s="99"/>
      <c r="BP23" s="99"/>
      <c r="BQ23" s="100">
        <f t="shared" si="29"/>
        <v>7</v>
      </c>
      <c r="BR23" s="109"/>
      <c r="BS23" s="99" t="str">
        <f t="shared" si="30"/>
        <v>F</v>
      </c>
      <c r="BT23" s="99" t="str">
        <f t="shared" si="31"/>
        <v>F</v>
      </c>
      <c r="BU23" s="104" t="str">
        <f t="shared" si="32"/>
        <v>F</v>
      </c>
      <c r="BV23" s="105" t="str">
        <f t="shared" si="33"/>
        <v>F</v>
      </c>
      <c r="BW23" s="43" t="str">
        <f t="shared" si="3"/>
        <v>NEED TO PROGRESS</v>
      </c>
      <c r="BX23" s="44">
        <f t="shared" si="34"/>
        <v>154</v>
      </c>
      <c r="BY23" s="40"/>
      <c r="BZ23" s="40"/>
    </row>
    <row r="24" spans="1:78" s="39" customFormat="1" ht="27.95" customHeight="1">
      <c r="A24" s="42">
        <v>15</v>
      </c>
      <c r="B24" s="47">
        <v>52</v>
      </c>
      <c r="C24" s="48" t="s">
        <v>87</v>
      </c>
      <c r="D24" s="48" t="s">
        <v>88</v>
      </c>
      <c r="E24" s="48" t="s">
        <v>89</v>
      </c>
      <c r="F24" s="51" t="s">
        <v>133</v>
      </c>
      <c r="G24" s="106">
        <v>14</v>
      </c>
      <c r="H24" s="99">
        <v>36</v>
      </c>
      <c r="I24" s="100">
        <f t="shared" si="4"/>
        <v>50</v>
      </c>
      <c r="J24" s="99">
        <v>14</v>
      </c>
      <c r="K24" s="100">
        <f t="shared" si="5"/>
        <v>64</v>
      </c>
      <c r="L24" s="107">
        <v>8</v>
      </c>
      <c r="M24" s="99">
        <v>16</v>
      </c>
      <c r="N24" s="100">
        <f t="shared" si="6"/>
        <v>24</v>
      </c>
      <c r="O24" s="99"/>
      <c r="P24" s="100">
        <f t="shared" si="7"/>
        <v>24</v>
      </c>
      <c r="Q24" s="100">
        <f t="shared" si="0"/>
        <v>88</v>
      </c>
      <c r="R24" s="108"/>
      <c r="S24" s="99">
        <f t="shared" si="8"/>
        <v>3.5</v>
      </c>
      <c r="T24" s="107">
        <v>9</v>
      </c>
      <c r="U24" s="99">
        <v>38</v>
      </c>
      <c r="V24" s="100">
        <f t="shared" si="9"/>
        <v>47</v>
      </c>
      <c r="W24" s="107">
        <v>6</v>
      </c>
      <c r="X24" s="99">
        <v>16</v>
      </c>
      <c r="Y24" s="100">
        <f t="shared" si="10"/>
        <v>22</v>
      </c>
      <c r="Z24" s="100">
        <f t="shared" si="11"/>
        <v>69</v>
      </c>
      <c r="AA24" s="100">
        <f t="shared" si="12"/>
        <v>69</v>
      </c>
      <c r="AB24" s="108"/>
      <c r="AC24" s="99">
        <f t="shared" si="13"/>
        <v>3</v>
      </c>
      <c r="AD24" s="107">
        <v>18</v>
      </c>
      <c r="AE24" s="99">
        <v>21</v>
      </c>
      <c r="AF24" s="100">
        <f t="shared" si="14"/>
        <v>39</v>
      </c>
      <c r="AG24" s="99">
        <v>19</v>
      </c>
      <c r="AH24" s="100">
        <f t="shared" si="15"/>
        <v>58</v>
      </c>
      <c r="AI24" s="108"/>
      <c r="AJ24" s="99">
        <f t="shared" si="16"/>
        <v>3</v>
      </c>
      <c r="AK24" s="107">
        <v>12</v>
      </c>
      <c r="AL24" s="99">
        <v>21</v>
      </c>
      <c r="AM24" s="100">
        <f t="shared" si="17"/>
        <v>33</v>
      </c>
      <c r="AN24" s="99">
        <v>18</v>
      </c>
      <c r="AO24" s="100">
        <f t="shared" si="18"/>
        <v>51</v>
      </c>
      <c r="AP24" s="108"/>
      <c r="AQ24" s="99">
        <f t="shared" si="19"/>
        <v>3</v>
      </c>
      <c r="AR24" s="102"/>
      <c r="AS24" s="99">
        <v>23</v>
      </c>
      <c r="AT24" s="99">
        <v>23</v>
      </c>
      <c r="AU24" s="99">
        <f t="shared" si="20"/>
        <v>46</v>
      </c>
      <c r="AV24" s="109"/>
      <c r="AW24" s="99">
        <f t="shared" si="21"/>
        <v>5</v>
      </c>
      <c r="AX24" s="107">
        <v>16</v>
      </c>
      <c r="AY24" s="99">
        <v>10</v>
      </c>
      <c r="AZ24" s="100">
        <v>16</v>
      </c>
      <c r="BA24" s="99">
        <v>24</v>
      </c>
      <c r="BB24" s="100">
        <f t="shared" si="23"/>
        <v>40</v>
      </c>
      <c r="BC24" s="108"/>
      <c r="BD24" s="99">
        <f t="shared" si="24"/>
        <v>2</v>
      </c>
      <c r="BE24" s="107">
        <v>16</v>
      </c>
      <c r="BF24" s="99">
        <v>25</v>
      </c>
      <c r="BG24" s="100">
        <f t="shared" si="25"/>
        <v>41</v>
      </c>
      <c r="BH24" s="99"/>
      <c r="BI24" s="100">
        <f t="shared" si="26"/>
        <v>41</v>
      </c>
      <c r="BJ24" s="109"/>
      <c r="BK24" s="99">
        <f t="shared" si="27"/>
        <v>2</v>
      </c>
      <c r="BL24" s="107">
        <v>10</v>
      </c>
      <c r="BM24" s="99">
        <v>40</v>
      </c>
      <c r="BN24" s="100">
        <f t="shared" si="28"/>
        <v>50</v>
      </c>
      <c r="BO24" s="99"/>
      <c r="BP24" s="99"/>
      <c r="BQ24" s="100">
        <f t="shared" si="29"/>
        <v>50</v>
      </c>
      <c r="BR24" s="109"/>
      <c r="BS24" s="99">
        <f t="shared" si="30"/>
        <v>5</v>
      </c>
      <c r="BT24" s="99">
        <f t="shared" si="31"/>
        <v>21.5</v>
      </c>
      <c r="BU24" s="104">
        <f t="shared" si="32"/>
        <v>3.0714285714285716</v>
      </c>
      <c r="BV24" s="105" t="str">
        <f t="shared" si="33"/>
        <v>B</v>
      </c>
      <c r="BW24" s="43" t="str">
        <f t="shared" si="3"/>
        <v>GOOD</v>
      </c>
      <c r="BX24" s="44">
        <f t="shared" si="34"/>
        <v>393</v>
      </c>
      <c r="BY24" s="40"/>
      <c r="BZ24" s="40"/>
    </row>
    <row r="25" spans="1:78" s="39" customFormat="1" ht="27.95" customHeight="1">
      <c r="A25" s="42">
        <v>16</v>
      </c>
      <c r="B25" s="47">
        <v>53</v>
      </c>
      <c r="C25" s="48" t="s">
        <v>174</v>
      </c>
      <c r="D25" s="48" t="s">
        <v>175</v>
      </c>
      <c r="E25" s="48" t="s">
        <v>176</v>
      </c>
      <c r="F25" s="51" t="s">
        <v>215</v>
      </c>
      <c r="G25" s="106">
        <v>13</v>
      </c>
      <c r="H25" s="99">
        <v>20</v>
      </c>
      <c r="I25" s="100">
        <f t="shared" si="4"/>
        <v>33</v>
      </c>
      <c r="J25" s="99">
        <v>22</v>
      </c>
      <c r="K25" s="100">
        <f t="shared" si="5"/>
        <v>55</v>
      </c>
      <c r="L25" s="107">
        <v>7</v>
      </c>
      <c r="M25" s="99">
        <v>23</v>
      </c>
      <c r="N25" s="100">
        <f t="shared" si="6"/>
        <v>30</v>
      </c>
      <c r="O25" s="99"/>
      <c r="P25" s="100">
        <f t="shared" si="7"/>
        <v>30</v>
      </c>
      <c r="Q25" s="100">
        <f t="shared" si="0"/>
        <v>85</v>
      </c>
      <c r="R25" s="108"/>
      <c r="S25" s="99">
        <f t="shared" si="8"/>
        <v>3.5</v>
      </c>
      <c r="T25" s="107">
        <v>10</v>
      </c>
      <c r="U25" s="99">
        <v>26</v>
      </c>
      <c r="V25" s="100">
        <f t="shared" si="9"/>
        <v>36</v>
      </c>
      <c r="W25" s="107">
        <v>8</v>
      </c>
      <c r="X25" s="99">
        <v>21</v>
      </c>
      <c r="Y25" s="100">
        <f t="shared" si="10"/>
        <v>29</v>
      </c>
      <c r="Z25" s="100">
        <f t="shared" si="11"/>
        <v>65</v>
      </c>
      <c r="AA25" s="100">
        <f t="shared" si="12"/>
        <v>65</v>
      </c>
      <c r="AB25" s="108"/>
      <c r="AC25" s="99">
        <f t="shared" si="13"/>
        <v>3</v>
      </c>
      <c r="AD25" s="107">
        <v>14</v>
      </c>
      <c r="AE25" s="99">
        <v>10</v>
      </c>
      <c r="AF25" s="100">
        <f t="shared" ref="AF25:AF36" si="35">AE25+AD25</f>
        <v>24</v>
      </c>
      <c r="AG25" s="99">
        <v>19</v>
      </c>
      <c r="AH25" s="100">
        <f t="shared" ref="AH25:AH36" si="36">AF25+AG25</f>
        <v>43</v>
      </c>
      <c r="AI25" s="108"/>
      <c r="AJ25" s="99">
        <f t="shared" si="16"/>
        <v>2</v>
      </c>
      <c r="AK25" s="107">
        <v>13</v>
      </c>
      <c r="AL25" s="99">
        <v>26</v>
      </c>
      <c r="AM25" s="100">
        <f t="shared" ref="AM25:AM46" si="37">AL25+AK25</f>
        <v>39</v>
      </c>
      <c r="AN25" s="99">
        <v>20</v>
      </c>
      <c r="AO25" s="100">
        <f t="shared" ref="AO25:AO46" si="38">+AM25+AN25</f>
        <v>59</v>
      </c>
      <c r="AP25" s="108"/>
      <c r="AQ25" s="99">
        <f t="shared" si="19"/>
        <v>3</v>
      </c>
      <c r="AR25" s="102"/>
      <c r="AS25" s="99">
        <v>23</v>
      </c>
      <c r="AT25" s="99">
        <v>23</v>
      </c>
      <c r="AU25" s="99">
        <f t="shared" ref="AU25:AU29" si="39">AR25+AS25+AT25</f>
        <v>46</v>
      </c>
      <c r="AV25" s="109"/>
      <c r="AW25" s="99">
        <f t="shared" si="21"/>
        <v>5</v>
      </c>
      <c r="AX25" s="107">
        <v>19</v>
      </c>
      <c r="AY25" s="99">
        <v>14</v>
      </c>
      <c r="AZ25" s="100">
        <f t="shared" ref="AZ25:AZ35" si="40">AY25+AX25</f>
        <v>33</v>
      </c>
      <c r="BA25" s="99">
        <v>24</v>
      </c>
      <c r="BB25" s="100">
        <f t="shared" ref="BB25:BB35" si="41">AZ25+BA25</f>
        <v>57</v>
      </c>
      <c r="BC25" s="108"/>
      <c r="BD25" s="99">
        <f t="shared" si="24"/>
        <v>3</v>
      </c>
      <c r="BE25" s="107">
        <v>11</v>
      </c>
      <c r="BF25" s="99">
        <v>22</v>
      </c>
      <c r="BG25" s="100">
        <f t="shared" ref="BG25:BG35" si="42">BF25+BE25</f>
        <v>33</v>
      </c>
      <c r="BH25" s="99"/>
      <c r="BI25" s="100">
        <f t="shared" ref="BI25:BI35" si="43">BG25+BH25</f>
        <v>33</v>
      </c>
      <c r="BJ25" s="109"/>
      <c r="BK25" s="99" t="str">
        <f t="shared" si="27"/>
        <v>F</v>
      </c>
      <c r="BL25" s="107">
        <v>9</v>
      </c>
      <c r="BM25" s="99">
        <v>38</v>
      </c>
      <c r="BN25" s="100">
        <f t="shared" ref="BN25:BN35" si="44">BM25+BL25</f>
        <v>47</v>
      </c>
      <c r="BO25" s="99"/>
      <c r="BP25" s="99"/>
      <c r="BQ25" s="100">
        <f t="shared" ref="BQ25:BQ35" si="45">BN25+BO25+BP25</f>
        <v>47</v>
      </c>
      <c r="BR25" s="109"/>
      <c r="BS25" s="99">
        <f t="shared" si="30"/>
        <v>5</v>
      </c>
      <c r="BT25" s="99" t="str">
        <f t="shared" si="31"/>
        <v>F</v>
      </c>
      <c r="BU25" s="104" t="str">
        <f t="shared" si="32"/>
        <v>F</v>
      </c>
      <c r="BV25" s="105" t="str">
        <f t="shared" si="33"/>
        <v>F</v>
      </c>
      <c r="BW25" s="43" t="str">
        <f t="shared" si="3"/>
        <v>NEED TO PROGRESS</v>
      </c>
      <c r="BX25" s="44">
        <f t="shared" si="34"/>
        <v>388</v>
      </c>
      <c r="BY25" s="40"/>
      <c r="BZ25" s="40"/>
    </row>
    <row r="26" spans="1:78" s="39" customFormat="1" ht="27.95" customHeight="1">
      <c r="A26" s="42">
        <v>17</v>
      </c>
      <c r="B26" s="47">
        <v>54</v>
      </c>
      <c r="C26" s="48" t="s">
        <v>90</v>
      </c>
      <c r="D26" s="48" t="s">
        <v>91</v>
      </c>
      <c r="E26" s="48" t="s">
        <v>92</v>
      </c>
      <c r="F26" s="51" t="s">
        <v>134</v>
      </c>
      <c r="G26" s="106">
        <v>6</v>
      </c>
      <c r="H26" s="99">
        <v>38</v>
      </c>
      <c r="I26" s="100">
        <f t="shared" si="4"/>
        <v>44</v>
      </c>
      <c r="J26" s="99">
        <v>22</v>
      </c>
      <c r="K26" s="100">
        <f t="shared" si="5"/>
        <v>66</v>
      </c>
      <c r="L26" s="107">
        <v>8</v>
      </c>
      <c r="M26" s="99">
        <v>19</v>
      </c>
      <c r="N26" s="100">
        <f t="shared" si="6"/>
        <v>27</v>
      </c>
      <c r="O26" s="99"/>
      <c r="P26" s="100">
        <f t="shared" si="7"/>
        <v>27</v>
      </c>
      <c r="Q26" s="100">
        <f t="shared" si="0"/>
        <v>93</v>
      </c>
      <c r="R26" s="108"/>
      <c r="S26" s="99">
        <f t="shared" si="8"/>
        <v>4</v>
      </c>
      <c r="T26" s="107">
        <v>11</v>
      </c>
      <c r="U26" s="99">
        <v>21</v>
      </c>
      <c r="V26" s="100">
        <f t="shared" si="9"/>
        <v>32</v>
      </c>
      <c r="W26" s="107">
        <v>6</v>
      </c>
      <c r="X26" s="99">
        <v>14</v>
      </c>
      <c r="Y26" s="100">
        <f t="shared" si="10"/>
        <v>20</v>
      </c>
      <c r="Z26" s="100">
        <f t="shared" si="11"/>
        <v>52</v>
      </c>
      <c r="AA26" s="100">
        <f t="shared" si="12"/>
        <v>52</v>
      </c>
      <c r="AB26" s="108"/>
      <c r="AC26" s="99" t="str">
        <f t="shared" si="13"/>
        <v>F</v>
      </c>
      <c r="AD26" s="107">
        <v>10</v>
      </c>
      <c r="AE26" s="99">
        <v>4</v>
      </c>
      <c r="AF26" s="100">
        <f t="shared" si="35"/>
        <v>14</v>
      </c>
      <c r="AG26" s="99">
        <v>12</v>
      </c>
      <c r="AH26" s="100">
        <f t="shared" si="36"/>
        <v>26</v>
      </c>
      <c r="AI26" s="108"/>
      <c r="AJ26" s="99" t="str">
        <f t="shared" si="16"/>
        <v>F</v>
      </c>
      <c r="AK26" s="107">
        <v>11</v>
      </c>
      <c r="AL26" s="99">
        <v>16</v>
      </c>
      <c r="AM26" s="100">
        <f t="shared" si="37"/>
        <v>27</v>
      </c>
      <c r="AN26" s="99">
        <v>19</v>
      </c>
      <c r="AO26" s="100">
        <f t="shared" si="38"/>
        <v>46</v>
      </c>
      <c r="AP26" s="108"/>
      <c r="AQ26" s="99">
        <f t="shared" si="19"/>
        <v>2</v>
      </c>
      <c r="AR26" s="102"/>
      <c r="AS26" s="99">
        <v>23</v>
      </c>
      <c r="AT26" s="99">
        <v>23</v>
      </c>
      <c r="AU26" s="99">
        <f t="shared" si="39"/>
        <v>46</v>
      </c>
      <c r="AV26" s="109"/>
      <c r="AW26" s="99">
        <f t="shared" si="21"/>
        <v>5</v>
      </c>
      <c r="AX26" s="107">
        <v>15</v>
      </c>
      <c r="AY26" s="99">
        <v>9</v>
      </c>
      <c r="AZ26" s="100">
        <f t="shared" si="40"/>
        <v>24</v>
      </c>
      <c r="BA26" s="99">
        <v>27</v>
      </c>
      <c r="BB26" s="100">
        <f t="shared" si="41"/>
        <v>51</v>
      </c>
      <c r="BC26" s="108"/>
      <c r="BD26" s="99">
        <f t="shared" si="24"/>
        <v>3</v>
      </c>
      <c r="BE26" s="107">
        <v>12</v>
      </c>
      <c r="BF26" s="99">
        <v>16</v>
      </c>
      <c r="BG26" s="100">
        <f t="shared" si="42"/>
        <v>28</v>
      </c>
      <c r="BH26" s="99"/>
      <c r="BI26" s="100">
        <f t="shared" si="43"/>
        <v>28</v>
      </c>
      <c r="BJ26" s="109"/>
      <c r="BK26" s="99" t="str">
        <f t="shared" si="27"/>
        <v>F</v>
      </c>
      <c r="BL26" s="107">
        <v>9</v>
      </c>
      <c r="BM26" s="99">
        <v>38</v>
      </c>
      <c r="BN26" s="100">
        <f t="shared" si="44"/>
        <v>47</v>
      </c>
      <c r="BO26" s="99"/>
      <c r="BP26" s="99"/>
      <c r="BQ26" s="100">
        <f t="shared" si="45"/>
        <v>47</v>
      </c>
      <c r="BR26" s="109"/>
      <c r="BS26" s="99">
        <f t="shared" si="30"/>
        <v>5</v>
      </c>
      <c r="BT26" s="99" t="str">
        <f t="shared" si="31"/>
        <v>F</v>
      </c>
      <c r="BU26" s="104" t="str">
        <f t="shared" si="32"/>
        <v>F</v>
      </c>
      <c r="BV26" s="105" t="str">
        <f t="shared" si="33"/>
        <v>F</v>
      </c>
      <c r="BW26" s="43" t="str">
        <f t="shared" si="3"/>
        <v>NEED TO PROGRESS</v>
      </c>
      <c r="BX26" s="44">
        <f t="shared" si="34"/>
        <v>342</v>
      </c>
      <c r="BY26" s="40"/>
      <c r="BZ26" s="40"/>
    </row>
    <row r="27" spans="1:78" s="39" customFormat="1" ht="27.95" customHeight="1">
      <c r="A27" s="42">
        <v>18</v>
      </c>
      <c r="B27" s="47">
        <v>55</v>
      </c>
      <c r="C27" s="48" t="s">
        <v>177</v>
      </c>
      <c r="D27" s="48" t="s">
        <v>178</v>
      </c>
      <c r="E27" s="48" t="s">
        <v>179</v>
      </c>
      <c r="F27" s="51" t="s">
        <v>216</v>
      </c>
      <c r="G27" s="106">
        <v>16</v>
      </c>
      <c r="H27" s="99">
        <v>29</v>
      </c>
      <c r="I27" s="100">
        <f t="shared" si="4"/>
        <v>45</v>
      </c>
      <c r="J27" s="99">
        <v>22</v>
      </c>
      <c r="K27" s="100">
        <f t="shared" si="5"/>
        <v>67</v>
      </c>
      <c r="L27" s="107">
        <v>9</v>
      </c>
      <c r="M27" s="99">
        <v>30</v>
      </c>
      <c r="N27" s="100">
        <f t="shared" si="6"/>
        <v>39</v>
      </c>
      <c r="O27" s="99"/>
      <c r="P27" s="100">
        <f t="shared" si="7"/>
        <v>39</v>
      </c>
      <c r="Q27" s="100">
        <f t="shared" si="0"/>
        <v>106</v>
      </c>
      <c r="R27" s="108"/>
      <c r="S27" s="99">
        <f t="shared" si="8"/>
        <v>4</v>
      </c>
      <c r="T27" s="107">
        <v>7</v>
      </c>
      <c r="U27" s="99">
        <v>0</v>
      </c>
      <c r="V27" s="100">
        <f t="shared" si="9"/>
        <v>7</v>
      </c>
      <c r="W27" s="107">
        <v>6</v>
      </c>
      <c r="X27" s="99">
        <v>14</v>
      </c>
      <c r="Y27" s="100">
        <f t="shared" si="10"/>
        <v>20</v>
      </c>
      <c r="Z27" s="100">
        <f t="shared" si="11"/>
        <v>27</v>
      </c>
      <c r="AA27" s="100">
        <f t="shared" si="12"/>
        <v>27</v>
      </c>
      <c r="AB27" s="108"/>
      <c r="AC27" s="99" t="str">
        <f t="shared" si="13"/>
        <v>F</v>
      </c>
      <c r="AD27" s="107">
        <v>6</v>
      </c>
      <c r="AE27" s="99">
        <v>1</v>
      </c>
      <c r="AF27" s="100">
        <f t="shared" si="35"/>
        <v>7</v>
      </c>
      <c r="AG27" s="99">
        <v>9</v>
      </c>
      <c r="AH27" s="100">
        <f t="shared" si="36"/>
        <v>16</v>
      </c>
      <c r="AI27" s="108"/>
      <c r="AJ27" s="99" t="str">
        <f t="shared" si="16"/>
        <v>F</v>
      </c>
      <c r="AK27" s="107">
        <v>11</v>
      </c>
      <c r="AL27" s="99">
        <v>22</v>
      </c>
      <c r="AM27" s="100">
        <f t="shared" si="37"/>
        <v>33</v>
      </c>
      <c r="AN27" s="99">
        <v>12</v>
      </c>
      <c r="AO27" s="100">
        <f t="shared" si="38"/>
        <v>45</v>
      </c>
      <c r="AP27" s="108"/>
      <c r="AQ27" s="99">
        <f t="shared" si="19"/>
        <v>2</v>
      </c>
      <c r="AR27" s="102"/>
      <c r="AS27" s="99">
        <v>23</v>
      </c>
      <c r="AT27" s="99">
        <v>23</v>
      </c>
      <c r="AU27" s="99">
        <f t="shared" si="39"/>
        <v>46</v>
      </c>
      <c r="AV27" s="109"/>
      <c r="AW27" s="99">
        <f t="shared" si="21"/>
        <v>5</v>
      </c>
      <c r="AX27" s="107">
        <v>18</v>
      </c>
      <c r="AY27" s="99">
        <v>24</v>
      </c>
      <c r="AZ27" s="100">
        <f t="shared" si="40"/>
        <v>42</v>
      </c>
      <c r="BA27" s="99">
        <v>25</v>
      </c>
      <c r="BB27" s="100">
        <f t="shared" si="41"/>
        <v>67</v>
      </c>
      <c r="BC27" s="108"/>
      <c r="BD27" s="99">
        <f t="shared" si="24"/>
        <v>3.5</v>
      </c>
      <c r="BE27" s="107">
        <v>17</v>
      </c>
      <c r="BF27" s="99">
        <v>29</v>
      </c>
      <c r="BG27" s="100">
        <f t="shared" si="42"/>
        <v>46</v>
      </c>
      <c r="BH27" s="99"/>
      <c r="BI27" s="100">
        <f t="shared" si="43"/>
        <v>46</v>
      </c>
      <c r="BJ27" s="109"/>
      <c r="BK27" s="99">
        <f t="shared" si="27"/>
        <v>2</v>
      </c>
      <c r="BL27" s="107">
        <v>8</v>
      </c>
      <c r="BM27" s="99">
        <v>38</v>
      </c>
      <c r="BN27" s="100">
        <f t="shared" si="44"/>
        <v>46</v>
      </c>
      <c r="BO27" s="99"/>
      <c r="BP27" s="99"/>
      <c r="BQ27" s="100">
        <f t="shared" si="45"/>
        <v>46</v>
      </c>
      <c r="BR27" s="109"/>
      <c r="BS27" s="99">
        <f t="shared" si="30"/>
        <v>5</v>
      </c>
      <c r="BT27" s="99" t="str">
        <f t="shared" si="31"/>
        <v>F</v>
      </c>
      <c r="BU27" s="104" t="str">
        <f t="shared" si="32"/>
        <v>F</v>
      </c>
      <c r="BV27" s="105" t="str">
        <f t="shared" si="33"/>
        <v>F</v>
      </c>
      <c r="BW27" s="43" t="str">
        <f t="shared" si="3"/>
        <v>NEED TO PROGRESS</v>
      </c>
      <c r="BX27" s="44">
        <f t="shared" si="34"/>
        <v>353</v>
      </c>
      <c r="BY27" s="40"/>
      <c r="BZ27" s="40"/>
    </row>
    <row r="28" spans="1:78" s="39" customFormat="1" ht="27.95" customHeight="1">
      <c r="A28" s="42">
        <v>19</v>
      </c>
      <c r="B28" s="47">
        <v>62</v>
      </c>
      <c r="C28" s="48" t="s">
        <v>93</v>
      </c>
      <c r="D28" s="48" t="s">
        <v>94</v>
      </c>
      <c r="E28" s="48" t="s">
        <v>95</v>
      </c>
      <c r="F28" s="51" t="s">
        <v>135</v>
      </c>
      <c r="G28" s="106">
        <v>13</v>
      </c>
      <c r="H28" s="99">
        <v>39</v>
      </c>
      <c r="I28" s="100">
        <f t="shared" si="4"/>
        <v>52</v>
      </c>
      <c r="J28" s="99">
        <v>25</v>
      </c>
      <c r="K28" s="100">
        <f t="shared" si="5"/>
        <v>77</v>
      </c>
      <c r="L28" s="107">
        <v>9</v>
      </c>
      <c r="M28" s="99">
        <v>30</v>
      </c>
      <c r="N28" s="100">
        <f t="shared" si="6"/>
        <v>39</v>
      </c>
      <c r="O28" s="99"/>
      <c r="P28" s="100">
        <f t="shared" si="7"/>
        <v>39</v>
      </c>
      <c r="Q28" s="100">
        <f t="shared" si="0"/>
        <v>116</v>
      </c>
      <c r="R28" s="108"/>
      <c r="S28" s="99">
        <f t="shared" si="8"/>
        <v>4</v>
      </c>
      <c r="T28" s="107">
        <v>10</v>
      </c>
      <c r="U28" s="99">
        <v>42</v>
      </c>
      <c r="V28" s="100">
        <f t="shared" si="9"/>
        <v>52</v>
      </c>
      <c r="W28" s="107">
        <v>7</v>
      </c>
      <c r="X28" s="99">
        <v>14</v>
      </c>
      <c r="Y28" s="100">
        <f t="shared" si="10"/>
        <v>21</v>
      </c>
      <c r="Z28" s="100">
        <f t="shared" si="11"/>
        <v>73</v>
      </c>
      <c r="AA28" s="100">
        <f t="shared" si="12"/>
        <v>73</v>
      </c>
      <c r="AB28" s="108"/>
      <c r="AC28" s="99">
        <f t="shared" si="13"/>
        <v>3</v>
      </c>
      <c r="AD28" s="107">
        <v>15</v>
      </c>
      <c r="AE28" s="99">
        <v>17</v>
      </c>
      <c r="AF28" s="100">
        <f t="shared" si="35"/>
        <v>32</v>
      </c>
      <c r="AG28" s="99">
        <v>20</v>
      </c>
      <c r="AH28" s="100">
        <f t="shared" si="36"/>
        <v>52</v>
      </c>
      <c r="AI28" s="108"/>
      <c r="AJ28" s="99">
        <f t="shared" si="16"/>
        <v>3</v>
      </c>
      <c r="AK28" s="107">
        <v>16</v>
      </c>
      <c r="AL28" s="99">
        <v>31</v>
      </c>
      <c r="AM28" s="100">
        <f t="shared" si="37"/>
        <v>47</v>
      </c>
      <c r="AN28" s="99">
        <v>21</v>
      </c>
      <c r="AO28" s="100">
        <f t="shared" si="38"/>
        <v>68</v>
      </c>
      <c r="AP28" s="108"/>
      <c r="AQ28" s="99">
        <f t="shared" si="19"/>
        <v>3.5</v>
      </c>
      <c r="AR28" s="102"/>
      <c r="AS28" s="99">
        <v>23</v>
      </c>
      <c r="AT28" s="99">
        <v>23</v>
      </c>
      <c r="AU28" s="99">
        <f t="shared" si="39"/>
        <v>46</v>
      </c>
      <c r="AV28" s="109"/>
      <c r="AW28" s="99">
        <f t="shared" si="21"/>
        <v>5</v>
      </c>
      <c r="AX28" s="107">
        <v>19</v>
      </c>
      <c r="AY28" s="99">
        <v>28</v>
      </c>
      <c r="AZ28" s="100">
        <f t="shared" si="40"/>
        <v>47</v>
      </c>
      <c r="BA28" s="99">
        <v>27</v>
      </c>
      <c r="BB28" s="100">
        <f t="shared" si="41"/>
        <v>74</v>
      </c>
      <c r="BC28" s="108"/>
      <c r="BD28" s="99">
        <f t="shared" si="24"/>
        <v>4</v>
      </c>
      <c r="BE28" s="107">
        <v>14</v>
      </c>
      <c r="BF28" s="99">
        <v>26</v>
      </c>
      <c r="BG28" s="100">
        <f t="shared" si="42"/>
        <v>40</v>
      </c>
      <c r="BH28" s="99"/>
      <c r="BI28" s="100">
        <f t="shared" si="43"/>
        <v>40</v>
      </c>
      <c r="BJ28" s="109"/>
      <c r="BK28" s="99">
        <f t="shared" si="27"/>
        <v>2</v>
      </c>
      <c r="BL28" s="107">
        <v>9</v>
      </c>
      <c r="BM28" s="99">
        <v>39</v>
      </c>
      <c r="BN28" s="100">
        <f t="shared" si="44"/>
        <v>48</v>
      </c>
      <c r="BO28" s="99"/>
      <c r="BP28" s="99"/>
      <c r="BQ28" s="100">
        <f t="shared" si="45"/>
        <v>48</v>
      </c>
      <c r="BR28" s="109"/>
      <c r="BS28" s="99">
        <f t="shared" si="30"/>
        <v>5</v>
      </c>
      <c r="BT28" s="99">
        <f t="shared" si="31"/>
        <v>24.5</v>
      </c>
      <c r="BU28" s="104">
        <f t="shared" si="32"/>
        <v>3.5</v>
      </c>
      <c r="BV28" s="105" t="str">
        <f t="shared" si="33"/>
        <v>A-</v>
      </c>
      <c r="BW28" s="43" t="str">
        <f t="shared" si="3"/>
        <v>GOOD</v>
      </c>
      <c r="BX28" s="44">
        <f t="shared" si="34"/>
        <v>469</v>
      </c>
      <c r="BY28" s="40"/>
      <c r="BZ28" s="40"/>
    </row>
    <row r="29" spans="1:78" s="39" customFormat="1" ht="27.95" customHeight="1">
      <c r="A29" s="42">
        <v>20</v>
      </c>
      <c r="B29" s="47">
        <v>64</v>
      </c>
      <c r="C29" s="48" t="s">
        <v>96</v>
      </c>
      <c r="D29" s="48" t="s">
        <v>97</v>
      </c>
      <c r="E29" s="48" t="s">
        <v>98</v>
      </c>
      <c r="F29" s="51" t="s">
        <v>136</v>
      </c>
      <c r="G29" s="98">
        <v>0</v>
      </c>
      <c r="H29" s="99">
        <v>26</v>
      </c>
      <c r="I29" s="100">
        <f t="shared" si="4"/>
        <v>26</v>
      </c>
      <c r="J29" s="99">
        <v>0</v>
      </c>
      <c r="K29" s="100">
        <f t="shared" si="5"/>
        <v>26</v>
      </c>
      <c r="L29" s="98">
        <v>0</v>
      </c>
      <c r="M29" s="99">
        <v>0</v>
      </c>
      <c r="N29" s="100">
        <f t="shared" si="6"/>
        <v>0</v>
      </c>
      <c r="O29" s="99"/>
      <c r="P29" s="100">
        <f t="shared" si="7"/>
        <v>0</v>
      </c>
      <c r="Q29" s="100">
        <f t="shared" si="0"/>
        <v>26</v>
      </c>
      <c r="R29" s="108"/>
      <c r="S29" s="99" t="str">
        <f t="shared" si="8"/>
        <v>F</v>
      </c>
      <c r="T29" s="98">
        <v>0</v>
      </c>
      <c r="U29" s="99">
        <v>0</v>
      </c>
      <c r="V29" s="100">
        <f t="shared" si="9"/>
        <v>0</v>
      </c>
      <c r="W29" s="98">
        <v>0</v>
      </c>
      <c r="X29" s="99">
        <v>0</v>
      </c>
      <c r="Y29" s="100">
        <f t="shared" si="10"/>
        <v>0</v>
      </c>
      <c r="Z29" s="100">
        <f t="shared" si="11"/>
        <v>0</v>
      </c>
      <c r="AA29" s="100">
        <f t="shared" si="12"/>
        <v>0</v>
      </c>
      <c r="AB29" s="108"/>
      <c r="AC29" s="99" t="str">
        <f t="shared" si="13"/>
        <v>F</v>
      </c>
      <c r="AD29" s="98">
        <v>0</v>
      </c>
      <c r="AE29" s="99">
        <v>0</v>
      </c>
      <c r="AF29" s="100">
        <f t="shared" si="35"/>
        <v>0</v>
      </c>
      <c r="AG29" s="99">
        <v>0</v>
      </c>
      <c r="AH29" s="100">
        <f t="shared" si="36"/>
        <v>0</v>
      </c>
      <c r="AI29" s="108"/>
      <c r="AJ29" s="99" t="str">
        <f t="shared" si="16"/>
        <v>F</v>
      </c>
      <c r="AK29" s="98">
        <v>0</v>
      </c>
      <c r="AL29" s="99">
        <v>0</v>
      </c>
      <c r="AM29" s="100">
        <f t="shared" si="37"/>
        <v>0</v>
      </c>
      <c r="AN29" s="99">
        <v>0</v>
      </c>
      <c r="AO29" s="100">
        <f t="shared" si="38"/>
        <v>0</v>
      </c>
      <c r="AP29" s="108"/>
      <c r="AQ29" s="99" t="str">
        <f t="shared" si="19"/>
        <v>F</v>
      </c>
      <c r="AR29" s="102"/>
      <c r="AS29" s="99">
        <v>23</v>
      </c>
      <c r="AT29" s="99">
        <v>23</v>
      </c>
      <c r="AU29" s="99">
        <f t="shared" si="39"/>
        <v>46</v>
      </c>
      <c r="AV29" s="109"/>
      <c r="AW29" s="99">
        <f t="shared" si="21"/>
        <v>5</v>
      </c>
      <c r="AX29" s="98">
        <v>0</v>
      </c>
      <c r="AY29" s="99">
        <v>0</v>
      </c>
      <c r="AZ29" s="100">
        <f t="shared" si="40"/>
        <v>0</v>
      </c>
      <c r="BA29" s="99">
        <v>0</v>
      </c>
      <c r="BB29" s="100">
        <f t="shared" si="41"/>
        <v>0</v>
      </c>
      <c r="BC29" s="108"/>
      <c r="BD29" s="99" t="str">
        <f t="shared" si="24"/>
        <v>F</v>
      </c>
      <c r="BE29" s="98">
        <v>0</v>
      </c>
      <c r="BF29" s="99">
        <v>0</v>
      </c>
      <c r="BG29" s="100">
        <f t="shared" si="42"/>
        <v>0</v>
      </c>
      <c r="BH29" s="99"/>
      <c r="BI29" s="100">
        <f t="shared" si="43"/>
        <v>0</v>
      </c>
      <c r="BJ29" s="109"/>
      <c r="BK29" s="99" t="str">
        <f t="shared" si="27"/>
        <v>F</v>
      </c>
      <c r="BL29" s="98">
        <v>0</v>
      </c>
      <c r="BM29" s="99">
        <v>0</v>
      </c>
      <c r="BN29" s="100">
        <f t="shared" si="44"/>
        <v>0</v>
      </c>
      <c r="BO29" s="99"/>
      <c r="BP29" s="99"/>
      <c r="BQ29" s="100">
        <f t="shared" si="45"/>
        <v>0</v>
      </c>
      <c r="BR29" s="109"/>
      <c r="BS29" s="99" t="str">
        <f t="shared" si="30"/>
        <v>F</v>
      </c>
      <c r="BT29" s="99" t="str">
        <f t="shared" si="31"/>
        <v>F</v>
      </c>
      <c r="BU29" s="104" t="str">
        <f t="shared" si="32"/>
        <v>F</v>
      </c>
      <c r="BV29" s="105" t="str">
        <f t="shared" si="33"/>
        <v>F</v>
      </c>
      <c r="BW29" s="43" t="str">
        <f t="shared" si="3"/>
        <v>NEED TO PROGRESS</v>
      </c>
      <c r="BX29" s="44">
        <f t="shared" si="34"/>
        <v>72</v>
      </c>
      <c r="BY29" s="40"/>
      <c r="BZ29" s="40"/>
    </row>
    <row r="30" spans="1:78" s="39" customFormat="1" ht="27.95" customHeight="1">
      <c r="A30" s="42">
        <v>21</v>
      </c>
      <c r="B30" s="47">
        <v>68</v>
      </c>
      <c r="C30" s="48" t="s">
        <v>99</v>
      </c>
      <c r="D30" s="48" t="s">
        <v>100</v>
      </c>
      <c r="E30" s="48" t="s">
        <v>101</v>
      </c>
      <c r="F30" s="51" t="s">
        <v>217</v>
      </c>
      <c r="G30" s="106">
        <v>19</v>
      </c>
      <c r="H30" s="99">
        <v>34</v>
      </c>
      <c r="I30" s="100">
        <f t="shared" si="4"/>
        <v>53</v>
      </c>
      <c r="J30" s="99">
        <v>23</v>
      </c>
      <c r="K30" s="100">
        <f t="shared" si="5"/>
        <v>76</v>
      </c>
      <c r="L30" s="107">
        <v>9</v>
      </c>
      <c r="M30" s="99">
        <v>37</v>
      </c>
      <c r="N30" s="100">
        <f t="shared" si="6"/>
        <v>46</v>
      </c>
      <c r="O30" s="99"/>
      <c r="P30" s="100">
        <f t="shared" si="7"/>
        <v>46</v>
      </c>
      <c r="Q30" s="100">
        <f t="shared" si="0"/>
        <v>122</v>
      </c>
      <c r="R30" s="108"/>
      <c r="S30" s="99">
        <f t="shared" si="8"/>
        <v>5</v>
      </c>
      <c r="T30" s="107">
        <v>15</v>
      </c>
      <c r="U30" s="99">
        <v>50</v>
      </c>
      <c r="V30" s="100">
        <f t="shared" si="9"/>
        <v>65</v>
      </c>
      <c r="W30" s="107">
        <v>6</v>
      </c>
      <c r="X30" s="99">
        <v>22</v>
      </c>
      <c r="Y30" s="100">
        <f t="shared" si="10"/>
        <v>28</v>
      </c>
      <c r="Z30" s="100">
        <f t="shared" si="11"/>
        <v>93</v>
      </c>
      <c r="AA30" s="100">
        <f t="shared" si="12"/>
        <v>93</v>
      </c>
      <c r="AB30" s="108"/>
      <c r="AC30" s="99">
        <f t="shared" si="13"/>
        <v>4</v>
      </c>
      <c r="AD30" s="107">
        <v>18</v>
      </c>
      <c r="AE30" s="99">
        <v>10</v>
      </c>
      <c r="AF30" s="100">
        <f t="shared" si="35"/>
        <v>28</v>
      </c>
      <c r="AG30" s="99">
        <v>21</v>
      </c>
      <c r="AH30" s="100">
        <f t="shared" si="36"/>
        <v>49</v>
      </c>
      <c r="AI30" s="108"/>
      <c r="AJ30" s="99">
        <f t="shared" si="16"/>
        <v>2</v>
      </c>
      <c r="AK30" s="107">
        <v>19</v>
      </c>
      <c r="AL30" s="99">
        <v>37</v>
      </c>
      <c r="AM30" s="100">
        <f t="shared" si="37"/>
        <v>56</v>
      </c>
      <c r="AN30" s="99">
        <v>25</v>
      </c>
      <c r="AO30" s="100">
        <f t="shared" si="38"/>
        <v>81</v>
      </c>
      <c r="AP30" s="108"/>
      <c r="AQ30" s="99">
        <f t="shared" si="19"/>
        <v>5</v>
      </c>
      <c r="AR30" s="102"/>
      <c r="AS30" s="99">
        <v>23</v>
      </c>
      <c r="AT30" s="99">
        <v>23</v>
      </c>
      <c r="AU30" s="99">
        <f t="shared" ref="AU30:AU50" si="46">AR30+AS30+AT30</f>
        <v>46</v>
      </c>
      <c r="AV30" s="109"/>
      <c r="AW30" s="99">
        <f t="shared" si="21"/>
        <v>5</v>
      </c>
      <c r="AX30" s="107">
        <v>20</v>
      </c>
      <c r="AY30" s="99">
        <v>24</v>
      </c>
      <c r="AZ30" s="100">
        <f t="shared" si="40"/>
        <v>44</v>
      </c>
      <c r="BA30" s="99">
        <v>30</v>
      </c>
      <c r="BB30" s="100">
        <f t="shared" si="41"/>
        <v>74</v>
      </c>
      <c r="BC30" s="108"/>
      <c r="BD30" s="99">
        <f t="shared" si="24"/>
        <v>4</v>
      </c>
      <c r="BE30" s="107">
        <v>19</v>
      </c>
      <c r="BF30" s="99">
        <v>38</v>
      </c>
      <c r="BG30" s="100">
        <f t="shared" si="42"/>
        <v>57</v>
      </c>
      <c r="BH30" s="99"/>
      <c r="BI30" s="100">
        <f t="shared" si="43"/>
        <v>57</v>
      </c>
      <c r="BJ30" s="109"/>
      <c r="BK30" s="99">
        <f t="shared" si="27"/>
        <v>3</v>
      </c>
      <c r="BL30" s="107">
        <v>10</v>
      </c>
      <c r="BM30" s="99">
        <v>40</v>
      </c>
      <c r="BN30" s="100">
        <f t="shared" si="44"/>
        <v>50</v>
      </c>
      <c r="BO30" s="99"/>
      <c r="BP30" s="99"/>
      <c r="BQ30" s="100">
        <f t="shared" si="45"/>
        <v>50</v>
      </c>
      <c r="BR30" s="109"/>
      <c r="BS30" s="99">
        <f t="shared" si="30"/>
        <v>5</v>
      </c>
      <c r="BT30" s="99">
        <f t="shared" si="31"/>
        <v>28</v>
      </c>
      <c r="BU30" s="104">
        <f t="shared" si="32"/>
        <v>4</v>
      </c>
      <c r="BV30" s="105" t="str">
        <f t="shared" si="33"/>
        <v>A</v>
      </c>
      <c r="BW30" s="43" t="str">
        <f t="shared" si="3"/>
        <v>BETTER</v>
      </c>
      <c r="BX30" s="44">
        <f t="shared" si="34"/>
        <v>522</v>
      </c>
      <c r="BY30" s="40"/>
      <c r="BZ30" s="40"/>
    </row>
    <row r="31" spans="1:78" s="39" customFormat="1" ht="27.95" customHeight="1">
      <c r="A31" s="42">
        <v>22</v>
      </c>
      <c r="B31" s="47">
        <v>69</v>
      </c>
      <c r="C31" s="48" t="s">
        <v>180</v>
      </c>
      <c r="D31" s="48" t="s">
        <v>181</v>
      </c>
      <c r="E31" s="48" t="s">
        <v>182</v>
      </c>
      <c r="F31" s="51" t="s">
        <v>218</v>
      </c>
      <c r="G31" s="106">
        <v>14</v>
      </c>
      <c r="H31" s="99">
        <v>28</v>
      </c>
      <c r="I31" s="100">
        <f t="shared" si="4"/>
        <v>42</v>
      </c>
      <c r="J31" s="99">
        <v>18</v>
      </c>
      <c r="K31" s="100">
        <f t="shared" si="5"/>
        <v>60</v>
      </c>
      <c r="L31" s="107">
        <v>9</v>
      </c>
      <c r="M31" s="99">
        <v>22</v>
      </c>
      <c r="N31" s="100">
        <f t="shared" si="6"/>
        <v>31</v>
      </c>
      <c r="O31" s="99"/>
      <c r="P31" s="100">
        <f t="shared" si="7"/>
        <v>31</v>
      </c>
      <c r="Q31" s="100">
        <f t="shared" si="0"/>
        <v>91</v>
      </c>
      <c r="R31" s="108"/>
      <c r="S31" s="99">
        <f t="shared" si="8"/>
        <v>4</v>
      </c>
      <c r="T31" s="107">
        <v>10</v>
      </c>
      <c r="U31" s="99">
        <v>42</v>
      </c>
      <c r="V31" s="100">
        <f t="shared" si="9"/>
        <v>52</v>
      </c>
      <c r="W31" s="107">
        <v>6</v>
      </c>
      <c r="X31" s="99">
        <v>26</v>
      </c>
      <c r="Y31" s="100">
        <f t="shared" si="10"/>
        <v>32</v>
      </c>
      <c r="Z31" s="100">
        <f t="shared" si="11"/>
        <v>84</v>
      </c>
      <c r="AA31" s="100">
        <f t="shared" si="12"/>
        <v>84</v>
      </c>
      <c r="AB31" s="108"/>
      <c r="AC31" s="99">
        <f t="shared" si="13"/>
        <v>3.5</v>
      </c>
      <c r="AD31" s="107">
        <v>15</v>
      </c>
      <c r="AE31" s="99">
        <v>14</v>
      </c>
      <c r="AF31" s="100">
        <f t="shared" si="35"/>
        <v>29</v>
      </c>
      <c r="AG31" s="99">
        <v>12</v>
      </c>
      <c r="AH31" s="100">
        <f t="shared" si="36"/>
        <v>41</v>
      </c>
      <c r="AI31" s="108"/>
      <c r="AJ31" s="99">
        <f t="shared" si="16"/>
        <v>2</v>
      </c>
      <c r="AK31" s="107">
        <v>12</v>
      </c>
      <c r="AL31" s="99">
        <v>26</v>
      </c>
      <c r="AM31" s="100">
        <f t="shared" si="37"/>
        <v>38</v>
      </c>
      <c r="AN31" s="99">
        <v>20</v>
      </c>
      <c r="AO31" s="100">
        <f t="shared" si="38"/>
        <v>58</v>
      </c>
      <c r="AP31" s="108"/>
      <c r="AQ31" s="99">
        <f t="shared" si="19"/>
        <v>3</v>
      </c>
      <c r="AR31" s="102"/>
      <c r="AS31" s="99">
        <v>23</v>
      </c>
      <c r="AT31" s="99">
        <v>23</v>
      </c>
      <c r="AU31" s="99">
        <f t="shared" si="46"/>
        <v>46</v>
      </c>
      <c r="AV31" s="109"/>
      <c r="AW31" s="99">
        <f t="shared" si="21"/>
        <v>5</v>
      </c>
      <c r="AX31" s="107">
        <v>19</v>
      </c>
      <c r="AY31" s="99">
        <v>28</v>
      </c>
      <c r="AZ31" s="100">
        <f t="shared" si="40"/>
        <v>47</v>
      </c>
      <c r="BA31" s="99">
        <v>22</v>
      </c>
      <c r="BB31" s="100">
        <f t="shared" si="41"/>
        <v>69</v>
      </c>
      <c r="BC31" s="108"/>
      <c r="BD31" s="99">
        <f t="shared" si="24"/>
        <v>3.5</v>
      </c>
      <c r="BE31" s="107">
        <v>16</v>
      </c>
      <c r="BF31" s="99">
        <v>31</v>
      </c>
      <c r="BG31" s="100">
        <f t="shared" si="42"/>
        <v>47</v>
      </c>
      <c r="BH31" s="99"/>
      <c r="BI31" s="100">
        <f t="shared" si="43"/>
        <v>47</v>
      </c>
      <c r="BJ31" s="109"/>
      <c r="BK31" s="99">
        <f t="shared" si="27"/>
        <v>2</v>
      </c>
      <c r="BL31" s="107">
        <v>10</v>
      </c>
      <c r="BM31" s="99">
        <v>40</v>
      </c>
      <c r="BN31" s="100">
        <f t="shared" si="44"/>
        <v>50</v>
      </c>
      <c r="BO31" s="99"/>
      <c r="BP31" s="99"/>
      <c r="BQ31" s="100">
        <f t="shared" si="45"/>
        <v>50</v>
      </c>
      <c r="BR31" s="109"/>
      <c r="BS31" s="99">
        <f t="shared" si="30"/>
        <v>5</v>
      </c>
      <c r="BT31" s="99">
        <f t="shared" si="31"/>
        <v>23</v>
      </c>
      <c r="BU31" s="104">
        <f t="shared" si="32"/>
        <v>3.2857142857142856</v>
      </c>
      <c r="BV31" s="105" t="str">
        <f t="shared" si="33"/>
        <v>B</v>
      </c>
      <c r="BW31" s="43" t="str">
        <f t="shared" si="3"/>
        <v>GOOD</v>
      </c>
      <c r="BX31" s="44">
        <f t="shared" si="34"/>
        <v>436</v>
      </c>
      <c r="BY31" s="40"/>
      <c r="BZ31" s="40"/>
    </row>
    <row r="32" spans="1:78" s="39" customFormat="1" ht="27.95" customHeight="1">
      <c r="A32" s="42">
        <v>23</v>
      </c>
      <c r="B32" s="47">
        <v>70</v>
      </c>
      <c r="C32" s="48" t="s">
        <v>102</v>
      </c>
      <c r="D32" s="48" t="s">
        <v>103</v>
      </c>
      <c r="E32" s="48" t="s">
        <v>104</v>
      </c>
      <c r="F32" s="51" t="s">
        <v>137</v>
      </c>
      <c r="G32" s="106">
        <v>18</v>
      </c>
      <c r="H32" s="99">
        <v>0</v>
      </c>
      <c r="I32" s="100">
        <f t="shared" si="4"/>
        <v>18</v>
      </c>
      <c r="J32" s="99">
        <v>22</v>
      </c>
      <c r="K32" s="100">
        <f t="shared" si="5"/>
        <v>40</v>
      </c>
      <c r="L32" s="107">
        <v>9</v>
      </c>
      <c r="M32" s="99">
        <v>31</v>
      </c>
      <c r="N32" s="100">
        <f t="shared" si="6"/>
        <v>40</v>
      </c>
      <c r="O32" s="99"/>
      <c r="P32" s="100">
        <f t="shared" si="7"/>
        <v>40</v>
      </c>
      <c r="Q32" s="100">
        <f t="shared" si="0"/>
        <v>80</v>
      </c>
      <c r="R32" s="108"/>
      <c r="S32" s="99">
        <f t="shared" si="8"/>
        <v>3.5</v>
      </c>
      <c r="T32" s="107">
        <v>14</v>
      </c>
      <c r="U32" s="99">
        <v>13</v>
      </c>
      <c r="V32" s="100">
        <f t="shared" si="9"/>
        <v>27</v>
      </c>
      <c r="W32" s="107">
        <v>6</v>
      </c>
      <c r="X32" s="99">
        <v>17</v>
      </c>
      <c r="Y32" s="100">
        <f t="shared" si="10"/>
        <v>23</v>
      </c>
      <c r="Z32" s="100">
        <f t="shared" si="11"/>
        <v>50</v>
      </c>
      <c r="AA32" s="100">
        <f t="shared" si="12"/>
        <v>50</v>
      </c>
      <c r="AB32" s="108"/>
      <c r="AC32" s="99" t="str">
        <f t="shared" si="13"/>
        <v>F</v>
      </c>
      <c r="AD32" s="107">
        <v>15</v>
      </c>
      <c r="AE32" s="99">
        <v>9</v>
      </c>
      <c r="AF32" s="100">
        <f t="shared" si="35"/>
        <v>24</v>
      </c>
      <c r="AG32" s="99">
        <v>13</v>
      </c>
      <c r="AH32" s="100">
        <f t="shared" si="36"/>
        <v>37</v>
      </c>
      <c r="AI32" s="108"/>
      <c r="AJ32" s="99" t="str">
        <f t="shared" si="16"/>
        <v>F</v>
      </c>
      <c r="AK32" s="107">
        <v>15</v>
      </c>
      <c r="AL32" s="99">
        <v>31</v>
      </c>
      <c r="AM32" s="100">
        <f t="shared" si="37"/>
        <v>46</v>
      </c>
      <c r="AN32" s="99">
        <v>21</v>
      </c>
      <c r="AO32" s="100">
        <f t="shared" si="38"/>
        <v>67</v>
      </c>
      <c r="AP32" s="108"/>
      <c r="AQ32" s="99">
        <f t="shared" si="19"/>
        <v>3.5</v>
      </c>
      <c r="AR32" s="102"/>
      <c r="AS32" s="99">
        <v>23</v>
      </c>
      <c r="AT32" s="99">
        <v>23</v>
      </c>
      <c r="AU32" s="99">
        <f t="shared" si="46"/>
        <v>46</v>
      </c>
      <c r="AV32" s="109"/>
      <c r="AW32" s="99">
        <f t="shared" si="21"/>
        <v>5</v>
      </c>
      <c r="AX32" s="107">
        <v>18</v>
      </c>
      <c r="AY32" s="99">
        <v>25</v>
      </c>
      <c r="AZ32" s="100">
        <f t="shared" si="40"/>
        <v>43</v>
      </c>
      <c r="BA32" s="99">
        <v>24</v>
      </c>
      <c r="BB32" s="100">
        <f t="shared" si="41"/>
        <v>67</v>
      </c>
      <c r="BC32" s="108"/>
      <c r="BD32" s="99">
        <f t="shared" si="24"/>
        <v>3.5</v>
      </c>
      <c r="BE32" s="107">
        <v>13</v>
      </c>
      <c r="BF32" s="99">
        <v>18</v>
      </c>
      <c r="BG32" s="100">
        <f t="shared" si="42"/>
        <v>31</v>
      </c>
      <c r="BH32" s="99"/>
      <c r="BI32" s="100">
        <f t="shared" si="43"/>
        <v>31</v>
      </c>
      <c r="BJ32" s="109"/>
      <c r="BK32" s="99" t="str">
        <f t="shared" si="27"/>
        <v>F</v>
      </c>
      <c r="BL32" s="107">
        <v>9</v>
      </c>
      <c r="BM32" s="99">
        <v>38</v>
      </c>
      <c r="BN32" s="100">
        <f t="shared" si="44"/>
        <v>47</v>
      </c>
      <c r="BO32" s="99"/>
      <c r="BP32" s="99"/>
      <c r="BQ32" s="100">
        <f t="shared" si="45"/>
        <v>47</v>
      </c>
      <c r="BR32" s="109"/>
      <c r="BS32" s="99">
        <f t="shared" si="30"/>
        <v>5</v>
      </c>
      <c r="BT32" s="99" t="str">
        <f t="shared" si="31"/>
        <v>F</v>
      </c>
      <c r="BU32" s="104" t="str">
        <f t="shared" si="32"/>
        <v>F</v>
      </c>
      <c r="BV32" s="105" t="str">
        <f t="shared" si="33"/>
        <v>F</v>
      </c>
      <c r="BW32" s="43" t="str">
        <f t="shared" si="3"/>
        <v>NEED TO PROGRESS</v>
      </c>
      <c r="BX32" s="44">
        <f t="shared" si="34"/>
        <v>378</v>
      </c>
      <c r="BY32" s="40"/>
      <c r="BZ32" s="40"/>
    </row>
    <row r="33" spans="1:78" s="39" customFormat="1" ht="27.95" customHeight="1">
      <c r="A33" s="42">
        <v>24</v>
      </c>
      <c r="B33" s="47">
        <v>76</v>
      </c>
      <c r="C33" s="48" t="s">
        <v>105</v>
      </c>
      <c r="D33" s="48" t="s">
        <v>106</v>
      </c>
      <c r="E33" s="48" t="s">
        <v>107</v>
      </c>
      <c r="F33" s="51" t="s">
        <v>138</v>
      </c>
      <c r="G33" s="106">
        <v>14</v>
      </c>
      <c r="H33" s="99">
        <v>24</v>
      </c>
      <c r="I33" s="100">
        <f t="shared" si="4"/>
        <v>38</v>
      </c>
      <c r="J33" s="99">
        <v>24</v>
      </c>
      <c r="K33" s="100">
        <f t="shared" si="5"/>
        <v>62</v>
      </c>
      <c r="L33" s="107">
        <v>8</v>
      </c>
      <c r="M33" s="99">
        <v>25</v>
      </c>
      <c r="N33" s="100">
        <f t="shared" si="6"/>
        <v>33</v>
      </c>
      <c r="O33" s="99"/>
      <c r="P33" s="100">
        <f t="shared" si="7"/>
        <v>33</v>
      </c>
      <c r="Q33" s="100">
        <f t="shared" si="0"/>
        <v>95</v>
      </c>
      <c r="R33" s="108"/>
      <c r="S33" s="99">
        <f t="shared" si="8"/>
        <v>4</v>
      </c>
      <c r="T33" s="107">
        <v>14</v>
      </c>
      <c r="U33" s="99">
        <v>35</v>
      </c>
      <c r="V33" s="100">
        <f t="shared" si="9"/>
        <v>49</v>
      </c>
      <c r="W33" s="107">
        <v>6</v>
      </c>
      <c r="X33" s="99">
        <v>26</v>
      </c>
      <c r="Y33" s="100">
        <f t="shared" si="10"/>
        <v>32</v>
      </c>
      <c r="Z33" s="100">
        <f t="shared" si="11"/>
        <v>81</v>
      </c>
      <c r="AA33" s="100">
        <f t="shared" si="12"/>
        <v>81</v>
      </c>
      <c r="AB33" s="108"/>
      <c r="AC33" s="99">
        <f t="shared" si="13"/>
        <v>3.5</v>
      </c>
      <c r="AD33" s="107">
        <v>15</v>
      </c>
      <c r="AE33" s="99">
        <v>18</v>
      </c>
      <c r="AF33" s="100">
        <f t="shared" si="35"/>
        <v>33</v>
      </c>
      <c r="AG33" s="99">
        <v>19</v>
      </c>
      <c r="AH33" s="100">
        <f t="shared" si="36"/>
        <v>52</v>
      </c>
      <c r="AI33" s="108"/>
      <c r="AJ33" s="99">
        <f t="shared" si="16"/>
        <v>3</v>
      </c>
      <c r="AK33" s="107">
        <v>15</v>
      </c>
      <c r="AL33" s="99">
        <v>29</v>
      </c>
      <c r="AM33" s="100">
        <f t="shared" si="37"/>
        <v>44</v>
      </c>
      <c r="AN33" s="99">
        <v>17</v>
      </c>
      <c r="AO33" s="100">
        <f t="shared" si="38"/>
        <v>61</v>
      </c>
      <c r="AP33" s="108"/>
      <c r="AQ33" s="99">
        <f t="shared" si="19"/>
        <v>3.5</v>
      </c>
      <c r="AR33" s="102"/>
      <c r="AS33" s="99">
        <v>23</v>
      </c>
      <c r="AT33" s="99">
        <v>23</v>
      </c>
      <c r="AU33" s="99">
        <f t="shared" si="46"/>
        <v>46</v>
      </c>
      <c r="AV33" s="109"/>
      <c r="AW33" s="99">
        <f t="shared" si="21"/>
        <v>5</v>
      </c>
      <c r="AX33" s="107">
        <v>17</v>
      </c>
      <c r="AY33" s="99">
        <v>22</v>
      </c>
      <c r="AZ33" s="100">
        <f t="shared" si="40"/>
        <v>39</v>
      </c>
      <c r="BA33" s="99">
        <v>22</v>
      </c>
      <c r="BB33" s="100">
        <f t="shared" si="41"/>
        <v>61</v>
      </c>
      <c r="BC33" s="108"/>
      <c r="BD33" s="99">
        <f t="shared" si="24"/>
        <v>3.5</v>
      </c>
      <c r="BE33" s="107">
        <v>16</v>
      </c>
      <c r="BF33" s="99">
        <v>21</v>
      </c>
      <c r="BG33" s="100">
        <f t="shared" si="42"/>
        <v>37</v>
      </c>
      <c r="BH33" s="99"/>
      <c r="BI33" s="100">
        <f t="shared" si="43"/>
        <v>37</v>
      </c>
      <c r="BJ33" s="109"/>
      <c r="BK33" s="99" t="str">
        <f t="shared" si="27"/>
        <v>F</v>
      </c>
      <c r="BL33" s="107">
        <v>9</v>
      </c>
      <c r="BM33" s="99">
        <v>38</v>
      </c>
      <c r="BN33" s="100">
        <f t="shared" si="44"/>
        <v>47</v>
      </c>
      <c r="BO33" s="99"/>
      <c r="BP33" s="99"/>
      <c r="BQ33" s="100">
        <f t="shared" si="45"/>
        <v>47</v>
      </c>
      <c r="BR33" s="109"/>
      <c r="BS33" s="99">
        <f t="shared" si="30"/>
        <v>5</v>
      </c>
      <c r="BT33" s="99" t="str">
        <f t="shared" si="31"/>
        <v>F</v>
      </c>
      <c r="BU33" s="104" t="str">
        <f t="shared" si="32"/>
        <v>F</v>
      </c>
      <c r="BV33" s="105" t="str">
        <f t="shared" si="33"/>
        <v>F</v>
      </c>
      <c r="BW33" s="43" t="str">
        <f t="shared" si="3"/>
        <v>NEED TO PROGRESS</v>
      </c>
      <c r="BX33" s="44">
        <f t="shared" si="34"/>
        <v>433</v>
      </c>
      <c r="BY33" s="40"/>
      <c r="BZ33" s="40"/>
    </row>
    <row r="34" spans="1:78" s="39" customFormat="1" ht="27.95" customHeight="1">
      <c r="A34" s="42">
        <v>25</v>
      </c>
      <c r="B34" s="47">
        <v>77</v>
      </c>
      <c r="C34" s="48" t="s">
        <v>183</v>
      </c>
      <c r="D34" s="48" t="s">
        <v>184</v>
      </c>
      <c r="E34" s="48" t="s">
        <v>185</v>
      </c>
      <c r="F34" s="51" t="s">
        <v>219</v>
      </c>
      <c r="G34" s="106">
        <v>9</v>
      </c>
      <c r="H34" s="99">
        <v>0</v>
      </c>
      <c r="I34" s="100">
        <f t="shared" si="4"/>
        <v>9</v>
      </c>
      <c r="J34" s="99">
        <v>0</v>
      </c>
      <c r="K34" s="100">
        <f t="shared" si="5"/>
        <v>9</v>
      </c>
      <c r="L34" s="107">
        <v>7</v>
      </c>
      <c r="M34" s="99">
        <v>0</v>
      </c>
      <c r="N34" s="100">
        <f t="shared" si="6"/>
        <v>7</v>
      </c>
      <c r="O34" s="99"/>
      <c r="P34" s="100">
        <f t="shared" si="7"/>
        <v>7</v>
      </c>
      <c r="Q34" s="100">
        <f t="shared" si="0"/>
        <v>16</v>
      </c>
      <c r="R34" s="108"/>
      <c r="S34" s="99" t="str">
        <f t="shared" si="8"/>
        <v>F</v>
      </c>
      <c r="T34" s="107">
        <v>7</v>
      </c>
      <c r="U34" s="99">
        <v>0</v>
      </c>
      <c r="V34" s="100">
        <f t="shared" si="9"/>
        <v>7</v>
      </c>
      <c r="W34" s="107">
        <v>6</v>
      </c>
      <c r="X34" s="99">
        <v>0</v>
      </c>
      <c r="Y34" s="100">
        <f t="shared" si="10"/>
        <v>6</v>
      </c>
      <c r="Z34" s="100">
        <f t="shared" si="11"/>
        <v>13</v>
      </c>
      <c r="AA34" s="100">
        <f t="shared" si="12"/>
        <v>13</v>
      </c>
      <c r="AB34" s="108"/>
      <c r="AC34" s="99" t="str">
        <f t="shared" si="13"/>
        <v>F</v>
      </c>
      <c r="AD34" s="107">
        <v>7</v>
      </c>
      <c r="AE34" s="99">
        <v>0</v>
      </c>
      <c r="AF34" s="100">
        <f t="shared" si="35"/>
        <v>7</v>
      </c>
      <c r="AG34" s="99">
        <v>0</v>
      </c>
      <c r="AH34" s="100">
        <f t="shared" si="36"/>
        <v>7</v>
      </c>
      <c r="AI34" s="108"/>
      <c r="AJ34" s="99" t="str">
        <f t="shared" si="16"/>
        <v>F</v>
      </c>
      <c r="AK34" s="107">
        <v>9</v>
      </c>
      <c r="AL34" s="99">
        <v>0</v>
      </c>
      <c r="AM34" s="100">
        <f t="shared" si="37"/>
        <v>9</v>
      </c>
      <c r="AN34" s="99">
        <v>0</v>
      </c>
      <c r="AO34" s="100">
        <f t="shared" si="38"/>
        <v>9</v>
      </c>
      <c r="AP34" s="108"/>
      <c r="AQ34" s="99" t="str">
        <f t="shared" si="19"/>
        <v>F</v>
      </c>
      <c r="AR34" s="102"/>
      <c r="AS34" s="99">
        <v>23</v>
      </c>
      <c r="AT34" s="99">
        <v>23</v>
      </c>
      <c r="AU34" s="99">
        <f t="shared" si="46"/>
        <v>46</v>
      </c>
      <c r="AV34" s="109"/>
      <c r="AW34" s="99">
        <f t="shared" si="21"/>
        <v>5</v>
      </c>
      <c r="AX34" s="107">
        <v>14</v>
      </c>
      <c r="AY34" s="99">
        <v>0</v>
      </c>
      <c r="AZ34" s="100">
        <f t="shared" si="40"/>
        <v>14</v>
      </c>
      <c r="BA34" s="99">
        <v>0</v>
      </c>
      <c r="BB34" s="100">
        <f t="shared" si="41"/>
        <v>14</v>
      </c>
      <c r="BC34" s="108"/>
      <c r="BD34" s="99" t="str">
        <f t="shared" si="24"/>
        <v>F</v>
      </c>
      <c r="BE34" s="107">
        <v>10</v>
      </c>
      <c r="BF34" s="99">
        <v>0</v>
      </c>
      <c r="BG34" s="100">
        <f t="shared" si="42"/>
        <v>10</v>
      </c>
      <c r="BH34" s="99"/>
      <c r="BI34" s="100">
        <f t="shared" si="43"/>
        <v>10</v>
      </c>
      <c r="BJ34" s="109"/>
      <c r="BK34" s="99" t="str">
        <f t="shared" si="27"/>
        <v>F</v>
      </c>
      <c r="BL34" s="107">
        <v>8</v>
      </c>
      <c r="BM34" s="99">
        <v>0</v>
      </c>
      <c r="BN34" s="100">
        <f t="shared" si="44"/>
        <v>8</v>
      </c>
      <c r="BO34" s="99"/>
      <c r="BP34" s="99"/>
      <c r="BQ34" s="100">
        <f t="shared" si="45"/>
        <v>8</v>
      </c>
      <c r="BR34" s="109"/>
      <c r="BS34" s="99" t="str">
        <f t="shared" si="30"/>
        <v>F</v>
      </c>
      <c r="BT34" s="99" t="str">
        <f t="shared" si="31"/>
        <v>F</v>
      </c>
      <c r="BU34" s="104" t="str">
        <f t="shared" si="32"/>
        <v>F</v>
      </c>
      <c r="BV34" s="105" t="str">
        <f t="shared" si="33"/>
        <v>F</v>
      </c>
      <c r="BW34" s="43" t="str">
        <f t="shared" si="3"/>
        <v>NEED TO PROGRESS</v>
      </c>
      <c r="BX34" s="44">
        <f t="shared" si="34"/>
        <v>115</v>
      </c>
      <c r="BY34" s="40"/>
      <c r="BZ34" s="40"/>
    </row>
    <row r="35" spans="1:78" s="39" customFormat="1" ht="27.95" customHeight="1">
      <c r="A35" s="42">
        <v>26</v>
      </c>
      <c r="B35" s="47">
        <v>78</v>
      </c>
      <c r="C35" s="48" t="s">
        <v>108</v>
      </c>
      <c r="D35" s="48" t="s">
        <v>109</v>
      </c>
      <c r="E35" s="48" t="s">
        <v>110</v>
      </c>
      <c r="F35" s="51" t="s">
        <v>139</v>
      </c>
      <c r="G35" s="106">
        <v>11</v>
      </c>
      <c r="H35" s="99">
        <v>21</v>
      </c>
      <c r="I35" s="100">
        <f t="shared" si="4"/>
        <v>32</v>
      </c>
      <c r="J35" s="99">
        <v>22</v>
      </c>
      <c r="K35" s="100">
        <f t="shared" si="5"/>
        <v>54</v>
      </c>
      <c r="L35" s="107">
        <v>8</v>
      </c>
      <c r="M35" s="99">
        <v>22</v>
      </c>
      <c r="N35" s="100">
        <f t="shared" si="6"/>
        <v>30</v>
      </c>
      <c r="O35" s="99"/>
      <c r="P35" s="100">
        <f t="shared" si="7"/>
        <v>30</v>
      </c>
      <c r="Q35" s="100">
        <f t="shared" si="0"/>
        <v>84</v>
      </c>
      <c r="R35" s="108"/>
      <c r="S35" s="99">
        <f t="shared" si="8"/>
        <v>3.5</v>
      </c>
      <c r="T35" s="107">
        <v>9</v>
      </c>
      <c r="U35" s="99">
        <v>45</v>
      </c>
      <c r="V35" s="100">
        <f t="shared" si="9"/>
        <v>54</v>
      </c>
      <c r="W35" s="107">
        <v>6</v>
      </c>
      <c r="X35" s="99">
        <v>22</v>
      </c>
      <c r="Y35" s="100">
        <f t="shared" si="10"/>
        <v>28</v>
      </c>
      <c r="Z35" s="100">
        <f t="shared" si="11"/>
        <v>82</v>
      </c>
      <c r="AA35" s="100">
        <f t="shared" si="12"/>
        <v>82</v>
      </c>
      <c r="AB35" s="108"/>
      <c r="AC35" s="99">
        <f t="shared" si="13"/>
        <v>3.5</v>
      </c>
      <c r="AD35" s="107">
        <v>18</v>
      </c>
      <c r="AE35" s="99">
        <v>25</v>
      </c>
      <c r="AF35" s="100">
        <f t="shared" si="35"/>
        <v>43</v>
      </c>
      <c r="AG35" s="99">
        <v>19</v>
      </c>
      <c r="AH35" s="100">
        <f t="shared" si="36"/>
        <v>62</v>
      </c>
      <c r="AI35" s="108"/>
      <c r="AJ35" s="99">
        <f t="shared" si="16"/>
        <v>3.5</v>
      </c>
      <c r="AK35" s="107">
        <v>15</v>
      </c>
      <c r="AL35" s="99">
        <v>33</v>
      </c>
      <c r="AM35" s="100">
        <f t="shared" si="37"/>
        <v>48</v>
      </c>
      <c r="AN35" s="99">
        <v>21</v>
      </c>
      <c r="AO35" s="100">
        <f t="shared" si="38"/>
        <v>69</v>
      </c>
      <c r="AP35" s="108"/>
      <c r="AQ35" s="99">
        <f t="shared" si="19"/>
        <v>3.5</v>
      </c>
      <c r="AR35" s="102"/>
      <c r="AS35" s="99">
        <v>23</v>
      </c>
      <c r="AT35" s="99">
        <v>23</v>
      </c>
      <c r="AU35" s="99">
        <f t="shared" si="46"/>
        <v>46</v>
      </c>
      <c r="AV35" s="109"/>
      <c r="AW35" s="99">
        <f t="shared" si="21"/>
        <v>5</v>
      </c>
      <c r="AX35" s="107">
        <v>20</v>
      </c>
      <c r="AY35" s="99">
        <v>29</v>
      </c>
      <c r="AZ35" s="100">
        <f t="shared" si="40"/>
        <v>49</v>
      </c>
      <c r="BA35" s="99">
        <v>22</v>
      </c>
      <c r="BB35" s="100">
        <f t="shared" si="41"/>
        <v>71</v>
      </c>
      <c r="BC35" s="108"/>
      <c r="BD35" s="99">
        <f t="shared" si="24"/>
        <v>4</v>
      </c>
      <c r="BE35" s="107">
        <v>16</v>
      </c>
      <c r="BF35" s="99">
        <v>31</v>
      </c>
      <c r="BG35" s="100">
        <f t="shared" si="42"/>
        <v>47</v>
      </c>
      <c r="BH35" s="99"/>
      <c r="BI35" s="100">
        <f t="shared" si="43"/>
        <v>47</v>
      </c>
      <c r="BJ35" s="109"/>
      <c r="BK35" s="99">
        <f t="shared" si="27"/>
        <v>2</v>
      </c>
      <c r="BL35" s="107">
        <v>9</v>
      </c>
      <c r="BM35" s="99">
        <v>39</v>
      </c>
      <c r="BN35" s="100">
        <f t="shared" si="44"/>
        <v>48</v>
      </c>
      <c r="BO35" s="99"/>
      <c r="BP35" s="99"/>
      <c r="BQ35" s="100">
        <f t="shared" si="45"/>
        <v>48</v>
      </c>
      <c r="BR35" s="109"/>
      <c r="BS35" s="99">
        <f t="shared" si="30"/>
        <v>5</v>
      </c>
      <c r="BT35" s="99">
        <f t="shared" si="31"/>
        <v>25</v>
      </c>
      <c r="BU35" s="104">
        <f t="shared" si="32"/>
        <v>3.5714285714285716</v>
      </c>
      <c r="BV35" s="105" t="str">
        <f t="shared" si="33"/>
        <v>A-</v>
      </c>
      <c r="BW35" s="43" t="str">
        <f t="shared" si="3"/>
        <v>GOOD</v>
      </c>
      <c r="BX35" s="44">
        <f t="shared" si="34"/>
        <v>461</v>
      </c>
      <c r="BY35" s="40"/>
      <c r="BZ35" s="40"/>
    </row>
    <row r="36" spans="1:78" s="39" customFormat="1" ht="27.95" customHeight="1">
      <c r="A36" s="42">
        <v>27</v>
      </c>
      <c r="B36" s="47">
        <v>79</v>
      </c>
      <c r="C36" s="48" t="s">
        <v>186</v>
      </c>
      <c r="D36" s="48" t="s">
        <v>187</v>
      </c>
      <c r="E36" s="48" t="s">
        <v>188</v>
      </c>
      <c r="F36" s="51" t="s">
        <v>220</v>
      </c>
      <c r="G36" s="98">
        <v>0</v>
      </c>
      <c r="H36" s="99">
        <v>26</v>
      </c>
      <c r="I36" s="100">
        <f t="shared" si="4"/>
        <v>26</v>
      </c>
      <c r="J36" s="99">
        <v>0</v>
      </c>
      <c r="K36" s="100">
        <f t="shared" si="5"/>
        <v>26</v>
      </c>
      <c r="L36" s="98">
        <v>0</v>
      </c>
      <c r="M36" s="99">
        <v>0</v>
      </c>
      <c r="N36" s="100">
        <f t="shared" si="6"/>
        <v>0</v>
      </c>
      <c r="O36" s="99"/>
      <c r="P36" s="100">
        <f t="shared" si="7"/>
        <v>0</v>
      </c>
      <c r="Q36" s="100">
        <f t="shared" si="0"/>
        <v>26</v>
      </c>
      <c r="R36" s="108"/>
      <c r="S36" s="99" t="str">
        <f t="shared" si="8"/>
        <v>F</v>
      </c>
      <c r="T36" s="98">
        <v>0</v>
      </c>
      <c r="U36" s="99">
        <v>0</v>
      </c>
      <c r="V36" s="100">
        <f t="shared" si="9"/>
        <v>0</v>
      </c>
      <c r="W36" s="98">
        <v>0</v>
      </c>
      <c r="X36" s="99">
        <v>0</v>
      </c>
      <c r="Y36" s="100">
        <f t="shared" si="10"/>
        <v>0</v>
      </c>
      <c r="Z36" s="100">
        <f t="shared" si="11"/>
        <v>0</v>
      </c>
      <c r="AA36" s="100">
        <f t="shared" si="12"/>
        <v>0</v>
      </c>
      <c r="AB36" s="108"/>
      <c r="AC36" s="99" t="str">
        <f t="shared" si="13"/>
        <v>F</v>
      </c>
      <c r="AD36" s="98">
        <v>0</v>
      </c>
      <c r="AE36" s="99">
        <v>0</v>
      </c>
      <c r="AF36" s="100">
        <f t="shared" si="35"/>
        <v>0</v>
      </c>
      <c r="AG36" s="99">
        <v>0</v>
      </c>
      <c r="AH36" s="100">
        <f t="shared" si="36"/>
        <v>0</v>
      </c>
      <c r="AI36" s="108"/>
      <c r="AJ36" s="99" t="str">
        <f t="shared" si="16"/>
        <v>F</v>
      </c>
      <c r="AK36" s="98">
        <v>0</v>
      </c>
      <c r="AL36" s="99">
        <v>0</v>
      </c>
      <c r="AM36" s="100">
        <f t="shared" si="37"/>
        <v>0</v>
      </c>
      <c r="AN36" s="99">
        <v>0</v>
      </c>
      <c r="AO36" s="100">
        <f t="shared" si="38"/>
        <v>0</v>
      </c>
      <c r="AP36" s="108"/>
      <c r="AQ36" s="99" t="str">
        <f t="shared" si="19"/>
        <v>F</v>
      </c>
      <c r="AR36" s="102"/>
      <c r="AS36" s="99">
        <v>23</v>
      </c>
      <c r="AT36" s="99">
        <v>23</v>
      </c>
      <c r="AU36" s="99">
        <f t="shared" si="46"/>
        <v>46</v>
      </c>
      <c r="AV36" s="109"/>
      <c r="AW36" s="99">
        <f t="shared" si="21"/>
        <v>5</v>
      </c>
      <c r="AX36" s="98">
        <v>0</v>
      </c>
      <c r="AY36" s="99">
        <v>0</v>
      </c>
      <c r="AZ36" s="100">
        <f>AY36+AX36</f>
        <v>0</v>
      </c>
      <c r="BA36" s="99">
        <v>0</v>
      </c>
      <c r="BB36" s="100">
        <f>AZ36+BA36</f>
        <v>0</v>
      </c>
      <c r="BC36" s="108"/>
      <c r="BD36" s="99" t="str">
        <f t="shared" si="24"/>
        <v>F</v>
      </c>
      <c r="BE36" s="98">
        <v>0</v>
      </c>
      <c r="BF36" s="99">
        <v>0</v>
      </c>
      <c r="BG36" s="100">
        <f>BF36+BE36</f>
        <v>0</v>
      </c>
      <c r="BH36" s="99"/>
      <c r="BI36" s="100">
        <f>BG36+BH36</f>
        <v>0</v>
      </c>
      <c r="BJ36" s="109"/>
      <c r="BK36" s="99" t="str">
        <f t="shared" si="27"/>
        <v>F</v>
      </c>
      <c r="BL36" s="98">
        <v>0</v>
      </c>
      <c r="BM36" s="99">
        <v>0</v>
      </c>
      <c r="BN36" s="100">
        <f>BM36+BL36</f>
        <v>0</v>
      </c>
      <c r="BO36" s="99"/>
      <c r="BP36" s="99"/>
      <c r="BQ36" s="100">
        <f>BN36+BO36+BP36</f>
        <v>0</v>
      </c>
      <c r="BR36" s="109"/>
      <c r="BS36" s="99" t="str">
        <f t="shared" si="30"/>
        <v>F</v>
      </c>
      <c r="BT36" s="99" t="str">
        <f t="shared" si="31"/>
        <v>F</v>
      </c>
      <c r="BU36" s="104" t="str">
        <f t="shared" si="32"/>
        <v>F</v>
      </c>
      <c r="BV36" s="105" t="str">
        <f t="shared" si="33"/>
        <v>F</v>
      </c>
      <c r="BW36" s="43" t="str">
        <f t="shared" si="3"/>
        <v>NEED TO PROGRESS</v>
      </c>
      <c r="BX36" s="44">
        <f t="shared" si="34"/>
        <v>72</v>
      </c>
      <c r="BY36" s="40"/>
      <c r="BZ36" s="40"/>
    </row>
    <row r="37" spans="1:78" s="39" customFormat="1" ht="27.95" customHeight="1">
      <c r="A37" s="42">
        <v>28</v>
      </c>
      <c r="B37" s="47">
        <v>80</v>
      </c>
      <c r="C37" s="48" t="s">
        <v>111</v>
      </c>
      <c r="D37" s="48" t="s">
        <v>112</v>
      </c>
      <c r="E37" s="48" t="s">
        <v>113</v>
      </c>
      <c r="F37" s="51" t="s">
        <v>140</v>
      </c>
      <c r="G37" s="106">
        <v>20</v>
      </c>
      <c r="H37" s="99">
        <v>37</v>
      </c>
      <c r="I37" s="100">
        <f t="shared" si="4"/>
        <v>57</v>
      </c>
      <c r="J37" s="99">
        <v>19</v>
      </c>
      <c r="K37" s="100">
        <f t="shared" si="5"/>
        <v>76</v>
      </c>
      <c r="L37" s="107">
        <v>9</v>
      </c>
      <c r="M37" s="99">
        <v>23</v>
      </c>
      <c r="N37" s="100">
        <f t="shared" si="6"/>
        <v>32</v>
      </c>
      <c r="O37" s="99"/>
      <c r="P37" s="100">
        <f t="shared" si="7"/>
        <v>32</v>
      </c>
      <c r="Q37" s="100">
        <f t="shared" si="0"/>
        <v>108</v>
      </c>
      <c r="R37" s="108"/>
      <c r="S37" s="99">
        <f t="shared" si="8"/>
        <v>4</v>
      </c>
      <c r="T37" s="107">
        <v>14</v>
      </c>
      <c r="U37" s="99">
        <v>48</v>
      </c>
      <c r="V37" s="100">
        <f t="shared" si="9"/>
        <v>62</v>
      </c>
      <c r="W37" s="107">
        <v>9</v>
      </c>
      <c r="X37" s="99">
        <v>31</v>
      </c>
      <c r="Y37" s="100">
        <f t="shared" si="10"/>
        <v>40</v>
      </c>
      <c r="Z37" s="100">
        <f t="shared" si="11"/>
        <v>102</v>
      </c>
      <c r="AA37" s="100">
        <f t="shared" si="12"/>
        <v>102</v>
      </c>
      <c r="AB37" s="108"/>
      <c r="AC37" s="99">
        <f t="shared" si="13"/>
        <v>4</v>
      </c>
      <c r="AD37" s="107">
        <v>18</v>
      </c>
      <c r="AE37" s="99">
        <v>11</v>
      </c>
      <c r="AF37" s="100">
        <f t="shared" ref="AF37:AF46" si="47">AE37+AD37</f>
        <v>29</v>
      </c>
      <c r="AG37" s="99">
        <v>22</v>
      </c>
      <c r="AH37" s="100">
        <f t="shared" ref="AH37:AH46" si="48">AF37+AG37</f>
        <v>51</v>
      </c>
      <c r="AI37" s="108"/>
      <c r="AJ37" s="99">
        <f t="shared" si="16"/>
        <v>3</v>
      </c>
      <c r="AK37" s="107">
        <v>17</v>
      </c>
      <c r="AL37" s="99">
        <v>30</v>
      </c>
      <c r="AM37" s="100">
        <f t="shared" si="37"/>
        <v>47</v>
      </c>
      <c r="AN37" s="99">
        <v>22</v>
      </c>
      <c r="AO37" s="100">
        <f t="shared" si="38"/>
        <v>69</v>
      </c>
      <c r="AP37" s="108"/>
      <c r="AQ37" s="99">
        <f t="shared" si="19"/>
        <v>3.5</v>
      </c>
      <c r="AR37" s="102"/>
      <c r="AS37" s="99">
        <v>23</v>
      </c>
      <c r="AT37" s="99">
        <v>23</v>
      </c>
      <c r="AU37" s="99">
        <f t="shared" si="46"/>
        <v>46</v>
      </c>
      <c r="AV37" s="109"/>
      <c r="AW37" s="99">
        <f t="shared" si="21"/>
        <v>5</v>
      </c>
      <c r="AX37" s="107">
        <v>20</v>
      </c>
      <c r="AY37" s="99">
        <v>19</v>
      </c>
      <c r="AZ37" s="100">
        <f t="shared" ref="AZ37:AZ44" si="49">AY37+AX37</f>
        <v>39</v>
      </c>
      <c r="BA37" s="99">
        <v>30</v>
      </c>
      <c r="BB37" s="100">
        <f t="shared" ref="BB37:BB44" si="50">AZ37+BA37</f>
        <v>69</v>
      </c>
      <c r="BC37" s="108"/>
      <c r="BD37" s="99">
        <f t="shared" si="24"/>
        <v>3.5</v>
      </c>
      <c r="BE37" s="107">
        <v>14</v>
      </c>
      <c r="BF37" s="99">
        <v>22</v>
      </c>
      <c r="BG37" s="100">
        <f t="shared" ref="BG37:BG44" si="51">BF37+BE37</f>
        <v>36</v>
      </c>
      <c r="BH37" s="99"/>
      <c r="BI37" s="100">
        <f t="shared" ref="BI37:BI44" si="52">BG37+BH37</f>
        <v>36</v>
      </c>
      <c r="BJ37" s="109"/>
      <c r="BK37" s="99" t="str">
        <f t="shared" si="27"/>
        <v>F</v>
      </c>
      <c r="BL37" s="107">
        <v>9</v>
      </c>
      <c r="BM37" s="99">
        <v>38</v>
      </c>
      <c r="BN37" s="100">
        <f t="shared" ref="BN37:BN44" si="53">BM37+BL37</f>
        <v>47</v>
      </c>
      <c r="BO37" s="99"/>
      <c r="BP37" s="99"/>
      <c r="BQ37" s="100">
        <f t="shared" ref="BQ37:BQ44" si="54">BN37+BO37+BP37</f>
        <v>47</v>
      </c>
      <c r="BR37" s="109"/>
      <c r="BS37" s="99">
        <f t="shared" si="30"/>
        <v>5</v>
      </c>
      <c r="BT37" s="99" t="str">
        <f t="shared" si="31"/>
        <v>F</v>
      </c>
      <c r="BU37" s="104" t="str">
        <f t="shared" si="32"/>
        <v>F</v>
      </c>
      <c r="BV37" s="105" t="str">
        <f t="shared" si="33"/>
        <v>F</v>
      </c>
      <c r="BW37" s="43" t="str">
        <f t="shared" si="3"/>
        <v>NEED TO PROGRESS</v>
      </c>
      <c r="BX37" s="44">
        <f t="shared" si="34"/>
        <v>481</v>
      </c>
      <c r="BY37" s="40"/>
      <c r="BZ37" s="40"/>
    </row>
    <row r="38" spans="1:78" s="39" customFormat="1" ht="27.95" customHeight="1">
      <c r="A38" s="42">
        <v>29</v>
      </c>
      <c r="B38" s="47">
        <v>82</v>
      </c>
      <c r="C38" s="48" t="s">
        <v>189</v>
      </c>
      <c r="D38" s="48" t="s">
        <v>114</v>
      </c>
      <c r="E38" s="48" t="s">
        <v>115</v>
      </c>
      <c r="F38" s="51" t="s">
        <v>141</v>
      </c>
      <c r="G38" s="106">
        <v>17</v>
      </c>
      <c r="H38" s="99">
        <v>27</v>
      </c>
      <c r="I38" s="100">
        <f t="shared" si="4"/>
        <v>44</v>
      </c>
      <c r="J38" s="99">
        <v>23</v>
      </c>
      <c r="K38" s="100">
        <f t="shared" si="5"/>
        <v>67</v>
      </c>
      <c r="L38" s="107">
        <v>9</v>
      </c>
      <c r="M38" s="99">
        <v>31</v>
      </c>
      <c r="N38" s="100">
        <f t="shared" si="6"/>
        <v>40</v>
      </c>
      <c r="O38" s="99"/>
      <c r="P38" s="100">
        <f t="shared" si="7"/>
        <v>40</v>
      </c>
      <c r="Q38" s="100">
        <f t="shared" si="0"/>
        <v>107</v>
      </c>
      <c r="R38" s="108"/>
      <c r="S38" s="99">
        <f t="shared" si="8"/>
        <v>4</v>
      </c>
      <c r="T38" s="107">
        <v>14</v>
      </c>
      <c r="U38" s="99">
        <v>46</v>
      </c>
      <c r="V38" s="100">
        <f t="shared" si="9"/>
        <v>60</v>
      </c>
      <c r="W38" s="107">
        <v>9</v>
      </c>
      <c r="X38" s="99">
        <v>26</v>
      </c>
      <c r="Y38" s="100">
        <f t="shared" si="10"/>
        <v>35</v>
      </c>
      <c r="Z38" s="100">
        <f t="shared" si="11"/>
        <v>95</v>
      </c>
      <c r="AA38" s="100">
        <f t="shared" si="12"/>
        <v>95</v>
      </c>
      <c r="AB38" s="108"/>
      <c r="AC38" s="99">
        <f t="shared" si="13"/>
        <v>4</v>
      </c>
      <c r="AD38" s="107">
        <v>16</v>
      </c>
      <c r="AE38" s="99">
        <v>19</v>
      </c>
      <c r="AF38" s="100">
        <f t="shared" si="47"/>
        <v>35</v>
      </c>
      <c r="AG38" s="99">
        <v>15</v>
      </c>
      <c r="AH38" s="100">
        <f t="shared" si="48"/>
        <v>50</v>
      </c>
      <c r="AI38" s="108"/>
      <c r="AJ38" s="99">
        <f t="shared" si="16"/>
        <v>3</v>
      </c>
      <c r="AK38" s="107">
        <v>17</v>
      </c>
      <c r="AL38" s="99">
        <v>33</v>
      </c>
      <c r="AM38" s="100">
        <f t="shared" si="37"/>
        <v>50</v>
      </c>
      <c r="AN38" s="99">
        <v>26</v>
      </c>
      <c r="AO38" s="100">
        <f t="shared" si="38"/>
        <v>76</v>
      </c>
      <c r="AP38" s="108"/>
      <c r="AQ38" s="99">
        <f t="shared" si="19"/>
        <v>4</v>
      </c>
      <c r="AR38" s="102"/>
      <c r="AS38" s="99">
        <v>23</v>
      </c>
      <c r="AT38" s="99">
        <v>23</v>
      </c>
      <c r="AU38" s="99">
        <f t="shared" si="46"/>
        <v>46</v>
      </c>
      <c r="AV38" s="109"/>
      <c r="AW38" s="99">
        <f t="shared" si="21"/>
        <v>5</v>
      </c>
      <c r="AX38" s="107">
        <v>20</v>
      </c>
      <c r="AY38" s="99">
        <v>30</v>
      </c>
      <c r="AZ38" s="100">
        <f t="shared" si="49"/>
        <v>50</v>
      </c>
      <c r="BA38" s="99">
        <v>21</v>
      </c>
      <c r="BB38" s="100">
        <f t="shared" si="50"/>
        <v>71</v>
      </c>
      <c r="BC38" s="108"/>
      <c r="BD38" s="99">
        <f t="shared" si="24"/>
        <v>4</v>
      </c>
      <c r="BE38" s="107">
        <v>18</v>
      </c>
      <c r="BF38" s="99">
        <v>42</v>
      </c>
      <c r="BG38" s="100">
        <f t="shared" si="51"/>
        <v>60</v>
      </c>
      <c r="BH38" s="99"/>
      <c r="BI38" s="100">
        <f t="shared" si="52"/>
        <v>60</v>
      </c>
      <c r="BJ38" s="109"/>
      <c r="BK38" s="99">
        <f t="shared" si="27"/>
        <v>3.5</v>
      </c>
      <c r="BL38" s="107">
        <v>10</v>
      </c>
      <c r="BM38" s="99">
        <v>40</v>
      </c>
      <c r="BN38" s="100">
        <f t="shared" si="53"/>
        <v>50</v>
      </c>
      <c r="BO38" s="99"/>
      <c r="BP38" s="99"/>
      <c r="BQ38" s="100">
        <f t="shared" si="54"/>
        <v>50</v>
      </c>
      <c r="BR38" s="109"/>
      <c r="BS38" s="99">
        <f t="shared" si="30"/>
        <v>5</v>
      </c>
      <c r="BT38" s="99">
        <f t="shared" si="31"/>
        <v>27.5</v>
      </c>
      <c r="BU38" s="104">
        <f t="shared" si="32"/>
        <v>3.9285714285714284</v>
      </c>
      <c r="BV38" s="105" t="str">
        <f t="shared" si="33"/>
        <v>A-</v>
      </c>
      <c r="BW38" s="43" t="str">
        <f t="shared" si="3"/>
        <v>GOOD</v>
      </c>
      <c r="BX38" s="44">
        <f t="shared" si="34"/>
        <v>505</v>
      </c>
      <c r="BY38" s="40"/>
      <c r="BZ38" s="40"/>
    </row>
    <row r="39" spans="1:78" s="39" customFormat="1" ht="27.95" customHeight="1">
      <c r="A39" s="42">
        <v>30</v>
      </c>
      <c r="B39" s="47">
        <v>83</v>
      </c>
      <c r="C39" s="48" t="s">
        <v>190</v>
      </c>
      <c r="D39" s="48" t="s">
        <v>191</v>
      </c>
      <c r="E39" s="48" t="s">
        <v>192</v>
      </c>
      <c r="F39" s="51" t="s">
        <v>221</v>
      </c>
      <c r="G39" s="106">
        <v>20</v>
      </c>
      <c r="H39" s="99">
        <v>40</v>
      </c>
      <c r="I39" s="100">
        <f t="shared" si="4"/>
        <v>60</v>
      </c>
      <c r="J39" s="99">
        <v>19</v>
      </c>
      <c r="K39" s="100">
        <f t="shared" si="5"/>
        <v>79</v>
      </c>
      <c r="L39" s="107">
        <v>10</v>
      </c>
      <c r="M39" s="99">
        <v>29</v>
      </c>
      <c r="N39" s="100">
        <f t="shared" si="6"/>
        <v>39</v>
      </c>
      <c r="O39" s="99"/>
      <c r="P39" s="100">
        <f t="shared" si="7"/>
        <v>39</v>
      </c>
      <c r="Q39" s="100">
        <f t="shared" si="0"/>
        <v>118</v>
      </c>
      <c r="R39" s="108"/>
      <c r="S39" s="99">
        <f t="shared" si="8"/>
        <v>4</v>
      </c>
      <c r="T39" s="107">
        <v>15</v>
      </c>
      <c r="U39" s="99">
        <v>58</v>
      </c>
      <c r="V39" s="100">
        <f t="shared" si="9"/>
        <v>73</v>
      </c>
      <c r="W39" s="107">
        <v>10</v>
      </c>
      <c r="X39" s="99">
        <v>34</v>
      </c>
      <c r="Y39" s="100">
        <f t="shared" si="10"/>
        <v>44</v>
      </c>
      <c r="Z39" s="100">
        <f t="shared" si="11"/>
        <v>117</v>
      </c>
      <c r="AA39" s="100">
        <f t="shared" si="12"/>
        <v>117</v>
      </c>
      <c r="AB39" s="108"/>
      <c r="AC39" s="99">
        <f t="shared" si="13"/>
        <v>4</v>
      </c>
      <c r="AD39" s="107">
        <v>20</v>
      </c>
      <c r="AE39" s="99">
        <v>26</v>
      </c>
      <c r="AF39" s="100">
        <f t="shared" si="47"/>
        <v>46</v>
      </c>
      <c r="AG39" s="99">
        <v>21</v>
      </c>
      <c r="AH39" s="100">
        <f t="shared" si="48"/>
        <v>67</v>
      </c>
      <c r="AI39" s="108"/>
      <c r="AJ39" s="99">
        <f t="shared" si="16"/>
        <v>3.5</v>
      </c>
      <c r="AK39" s="107">
        <v>19</v>
      </c>
      <c r="AL39" s="99">
        <v>39</v>
      </c>
      <c r="AM39" s="100">
        <f t="shared" si="37"/>
        <v>58</v>
      </c>
      <c r="AN39" s="99">
        <v>22</v>
      </c>
      <c r="AO39" s="100">
        <f t="shared" si="38"/>
        <v>80</v>
      </c>
      <c r="AP39" s="108"/>
      <c r="AQ39" s="99">
        <f t="shared" si="19"/>
        <v>5</v>
      </c>
      <c r="AR39" s="102"/>
      <c r="AS39" s="99">
        <v>23</v>
      </c>
      <c r="AT39" s="99">
        <v>23</v>
      </c>
      <c r="AU39" s="99">
        <f t="shared" si="46"/>
        <v>46</v>
      </c>
      <c r="AV39" s="109"/>
      <c r="AW39" s="99">
        <f t="shared" si="21"/>
        <v>5</v>
      </c>
      <c r="AX39" s="107">
        <v>20</v>
      </c>
      <c r="AY39" s="99">
        <v>39</v>
      </c>
      <c r="AZ39" s="100">
        <f t="shared" si="49"/>
        <v>59</v>
      </c>
      <c r="BA39" s="99">
        <v>28</v>
      </c>
      <c r="BB39" s="100">
        <f t="shared" si="50"/>
        <v>87</v>
      </c>
      <c r="BC39" s="108"/>
      <c r="BD39" s="99">
        <f t="shared" si="24"/>
        <v>5</v>
      </c>
      <c r="BE39" s="107">
        <v>19</v>
      </c>
      <c r="BF39" s="99">
        <v>42</v>
      </c>
      <c r="BG39" s="100">
        <f t="shared" si="51"/>
        <v>61</v>
      </c>
      <c r="BH39" s="99"/>
      <c r="BI39" s="100">
        <f t="shared" si="52"/>
        <v>61</v>
      </c>
      <c r="BJ39" s="109"/>
      <c r="BK39" s="99">
        <f t="shared" si="27"/>
        <v>3.5</v>
      </c>
      <c r="BL39" s="107">
        <v>10</v>
      </c>
      <c r="BM39" s="99">
        <v>40</v>
      </c>
      <c r="BN39" s="100">
        <f t="shared" si="53"/>
        <v>50</v>
      </c>
      <c r="BO39" s="99"/>
      <c r="BP39" s="99"/>
      <c r="BQ39" s="100">
        <f t="shared" si="54"/>
        <v>50</v>
      </c>
      <c r="BR39" s="109"/>
      <c r="BS39" s="99">
        <f t="shared" si="30"/>
        <v>5</v>
      </c>
      <c r="BT39" s="99">
        <f t="shared" si="31"/>
        <v>30</v>
      </c>
      <c r="BU39" s="104">
        <f t="shared" si="32"/>
        <v>4.2857142857142856</v>
      </c>
      <c r="BV39" s="105" t="str">
        <f t="shared" si="33"/>
        <v>A</v>
      </c>
      <c r="BW39" s="43" t="str">
        <f t="shared" si="3"/>
        <v>BETTER</v>
      </c>
      <c r="BX39" s="44">
        <f t="shared" si="34"/>
        <v>576</v>
      </c>
      <c r="BY39" s="40"/>
      <c r="BZ39" s="40"/>
    </row>
    <row r="40" spans="1:78" s="39" customFormat="1" ht="27.95" customHeight="1">
      <c r="A40" s="42">
        <v>31</v>
      </c>
      <c r="B40" s="47">
        <v>84</v>
      </c>
      <c r="C40" s="48" t="s">
        <v>116</v>
      </c>
      <c r="D40" s="48" t="s">
        <v>117</v>
      </c>
      <c r="E40" s="48" t="s">
        <v>118</v>
      </c>
      <c r="F40" s="51" t="s">
        <v>142</v>
      </c>
      <c r="G40" s="106">
        <v>16</v>
      </c>
      <c r="H40" s="99">
        <v>31</v>
      </c>
      <c r="I40" s="100">
        <f t="shared" si="4"/>
        <v>47</v>
      </c>
      <c r="J40" s="99">
        <v>28</v>
      </c>
      <c r="K40" s="100">
        <f t="shared" si="5"/>
        <v>75</v>
      </c>
      <c r="L40" s="107">
        <v>9</v>
      </c>
      <c r="M40" s="99">
        <v>29</v>
      </c>
      <c r="N40" s="100">
        <f t="shared" si="6"/>
        <v>38</v>
      </c>
      <c r="O40" s="99"/>
      <c r="P40" s="100">
        <f t="shared" si="7"/>
        <v>38</v>
      </c>
      <c r="Q40" s="100">
        <f t="shared" si="0"/>
        <v>113</v>
      </c>
      <c r="R40" s="108"/>
      <c r="S40" s="99">
        <f t="shared" si="8"/>
        <v>4</v>
      </c>
      <c r="T40" s="107">
        <v>14</v>
      </c>
      <c r="U40" s="99">
        <v>38</v>
      </c>
      <c r="V40" s="100">
        <f t="shared" si="9"/>
        <v>52</v>
      </c>
      <c r="W40" s="107">
        <v>8</v>
      </c>
      <c r="X40" s="99">
        <v>24</v>
      </c>
      <c r="Y40" s="100">
        <f t="shared" si="10"/>
        <v>32</v>
      </c>
      <c r="Z40" s="100">
        <f t="shared" si="11"/>
        <v>84</v>
      </c>
      <c r="AA40" s="100">
        <f t="shared" si="12"/>
        <v>84</v>
      </c>
      <c r="AB40" s="108"/>
      <c r="AC40" s="99">
        <f t="shared" si="13"/>
        <v>3.5</v>
      </c>
      <c r="AD40" s="107">
        <v>15</v>
      </c>
      <c r="AE40" s="99">
        <v>13</v>
      </c>
      <c r="AF40" s="100">
        <f t="shared" si="47"/>
        <v>28</v>
      </c>
      <c r="AG40" s="99">
        <v>21</v>
      </c>
      <c r="AH40" s="100">
        <f t="shared" si="48"/>
        <v>49</v>
      </c>
      <c r="AI40" s="108"/>
      <c r="AJ40" s="99">
        <f t="shared" si="16"/>
        <v>2</v>
      </c>
      <c r="AK40" s="107">
        <v>16</v>
      </c>
      <c r="AL40" s="99">
        <v>20</v>
      </c>
      <c r="AM40" s="100">
        <f t="shared" si="37"/>
        <v>36</v>
      </c>
      <c r="AN40" s="99">
        <v>22</v>
      </c>
      <c r="AO40" s="100">
        <f t="shared" si="38"/>
        <v>58</v>
      </c>
      <c r="AP40" s="108"/>
      <c r="AQ40" s="99">
        <f t="shared" si="19"/>
        <v>3</v>
      </c>
      <c r="AR40" s="102"/>
      <c r="AS40" s="99">
        <v>23</v>
      </c>
      <c r="AT40" s="99">
        <v>23</v>
      </c>
      <c r="AU40" s="99">
        <f t="shared" si="46"/>
        <v>46</v>
      </c>
      <c r="AV40" s="109"/>
      <c r="AW40" s="99">
        <f t="shared" si="21"/>
        <v>5</v>
      </c>
      <c r="AX40" s="107">
        <v>17</v>
      </c>
      <c r="AY40" s="99">
        <v>19</v>
      </c>
      <c r="AZ40" s="100">
        <f t="shared" si="49"/>
        <v>36</v>
      </c>
      <c r="BA40" s="99">
        <v>26</v>
      </c>
      <c r="BB40" s="100">
        <f t="shared" si="50"/>
        <v>62</v>
      </c>
      <c r="BC40" s="108"/>
      <c r="BD40" s="99">
        <f t="shared" si="24"/>
        <v>3.5</v>
      </c>
      <c r="BE40" s="107">
        <v>16</v>
      </c>
      <c r="BF40" s="99">
        <v>32</v>
      </c>
      <c r="BG40" s="100">
        <f t="shared" si="51"/>
        <v>48</v>
      </c>
      <c r="BH40" s="99"/>
      <c r="BI40" s="100">
        <f t="shared" si="52"/>
        <v>48</v>
      </c>
      <c r="BJ40" s="109"/>
      <c r="BK40" s="99">
        <f t="shared" si="27"/>
        <v>2</v>
      </c>
      <c r="BL40" s="107">
        <v>9</v>
      </c>
      <c r="BM40" s="99">
        <v>38</v>
      </c>
      <c r="BN40" s="100">
        <f t="shared" si="53"/>
        <v>47</v>
      </c>
      <c r="BO40" s="99"/>
      <c r="BP40" s="99"/>
      <c r="BQ40" s="100">
        <f t="shared" si="54"/>
        <v>47</v>
      </c>
      <c r="BR40" s="109"/>
      <c r="BS40" s="99">
        <f t="shared" si="30"/>
        <v>5</v>
      </c>
      <c r="BT40" s="99">
        <f t="shared" si="31"/>
        <v>23</v>
      </c>
      <c r="BU40" s="104">
        <f t="shared" si="32"/>
        <v>3.2857142857142856</v>
      </c>
      <c r="BV40" s="105" t="str">
        <f t="shared" si="33"/>
        <v>B</v>
      </c>
      <c r="BW40" s="43" t="str">
        <f t="shared" si="3"/>
        <v>GOOD</v>
      </c>
      <c r="BX40" s="44">
        <f t="shared" si="34"/>
        <v>460</v>
      </c>
      <c r="BY40" s="40"/>
      <c r="BZ40" s="40"/>
    </row>
    <row r="41" spans="1:78" s="39" customFormat="1" ht="27.95" customHeight="1">
      <c r="A41" s="42">
        <v>32</v>
      </c>
      <c r="B41" s="47">
        <v>85</v>
      </c>
      <c r="C41" s="48" t="s">
        <v>193</v>
      </c>
      <c r="D41" s="48" t="s">
        <v>194</v>
      </c>
      <c r="E41" s="48" t="s">
        <v>195</v>
      </c>
      <c r="F41" s="51" t="s">
        <v>222</v>
      </c>
      <c r="G41" s="106">
        <v>16</v>
      </c>
      <c r="H41" s="99">
        <v>32</v>
      </c>
      <c r="I41" s="100">
        <f t="shared" si="4"/>
        <v>48</v>
      </c>
      <c r="J41" s="99">
        <v>26</v>
      </c>
      <c r="K41" s="100">
        <f t="shared" si="5"/>
        <v>74</v>
      </c>
      <c r="L41" s="107">
        <v>9</v>
      </c>
      <c r="M41" s="99">
        <v>30</v>
      </c>
      <c r="N41" s="100">
        <f t="shared" si="6"/>
        <v>39</v>
      </c>
      <c r="O41" s="99"/>
      <c r="P41" s="100">
        <f t="shared" si="7"/>
        <v>39</v>
      </c>
      <c r="Q41" s="100">
        <f t="shared" si="0"/>
        <v>113</v>
      </c>
      <c r="R41" s="108"/>
      <c r="S41" s="99">
        <f t="shared" si="8"/>
        <v>4</v>
      </c>
      <c r="T41" s="107">
        <v>8</v>
      </c>
      <c r="U41" s="99">
        <v>41</v>
      </c>
      <c r="V41" s="100">
        <f t="shared" si="9"/>
        <v>49</v>
      </c>
      <c r="W41" s="107">
        <v>6</v>
      </c>
      <c r="X41" s="99">
        <v>20</v>
      </c>
      <c r="Y41" s="100">
        <f t="shared" si="10"/>
        <v>26</v>
      </c>
      <c r="Z41" s="100">
        <f t="shared" si="11"/>
        <v>75</v>
      </c>
      <c r="AA41" s="100">
        <f t="shared" si="12"/>
        <v>75</v>
      </c>
      <c r="AB41" s="108"/>
      <c r="AC41" s="99">
        <f t="shared" si="13"/>
        <v>3.5</v>
      </c>
      <c r="AD41" s="107">
        <v>12</v>
      </c>
      <c r="AE41" s="99">
        <v>7</v>
      </c>
      <c r="AF41" s="100">
        <f t="shared" si="47"/>
        <v>19</v>
      </c>
      <c r="AG41" s="99">
        <v>23</v>
      </c>
      <c r="AH41" s="100">
        <f t="shared" si="48"/>
        <v>42</v>
      </c>
      <c r="AI41" s="108"/>
      <c r="AJ41" s="99">
        <f t="shared" si="16"/>
        <v>2</v>
      </c>
      <c r="AK41" s="107">
        <v>16</v>
      </c>
      <c r="AL41" s="99">
        <v>31</v>
      </c>
      <c r="AM41" s="100">
        <f t="shared" si="37"/>
        <v>47</v>
      </c>
      <c r="AN41" s="99">
        <v>18</v>
      </c>
      <c r="AO41" s="100">
        <f t="shared" si="38"/>
        <v>65</v>
      </c>
      <c r="AP41" s="108"/>
      <c r="AQ41" s="99">
        <f t="shared" si="19"/>
        <v>3.5</v>
      </c>
      <c r="AR41" s="102"/>
      <c r="AS41" s="99">
        <v>23</v>
      </c>
      <c r="AT41" s="99">
        <v>23</v>
      </c>
      <c r="AU41" s="99">
        <f t="shared" si="46"/>
        <v>46</v>
      </c>
      <c r="AV41" s="109"/>
      <c r="AW41" s="99">
        <f t="shared" si="21"/>
        <v>5</v>
      </c>
      <c r="AX41" s="107">
        <v>19</v>
      </c>
      <c r="AY41" s="99">
        <v>26</v>
      </c>
      <c r="AZ41" s="100">
        <v>15</v>
      </c>
      <c r="BA41" s="99">
        <v>26</v>
      </c>
      <c r="BB41" s="100">
        <f t="shared" si="50"/>
        <v>41</v>
      </c>
      <c r="BC41" s="108"/>
      <c r="BD41" s="99">
        <f t="shared" si="24"/>
        <v>2</v>
      </c>
      <c r="BE41" s="107">
        <v>16</v>
      </c>
      <c r="BF41" s="99">
        <v>41</v>
      </c>
      <c r="BG41" s="100">
        <f t="shared" si="51"/>
        <v>57</v>
      </c>
      <c r="BH41" s="99"/>
      <c r="BI41" s="100">
        <f t="shared" si="52"/>
        <v>57</v>
      </c>
      <c r="BJ41" s="109"/>
      <c r="BK41" s="99">
        <f t="shared" si="27"/>
        <v>3</v>
      </c>
      <c r="BL41" s="107">
        <v>9</v>
      </c>
      <c r="BM41" s="99">
        <v>38</v>
      </c>
      <c r="BN41" s="100">
        <f t="shared" si="53"/>
        <v>47</v>
      </c>
      <c r="BO41" s="99"/>
      <c r="BP41" s="99"/>
      <c r="BQ41" s="100">
        <f t="shared" si="54"/>
        <v>47</v>
      </c>
      <c r="BR41" s="109"/>
      <c r="BS41" s="99">
        <f t="shared" si="30"/>
        <v>5</v>
      </c>
      <c r="BT41" s="99">
        <f t="shared" si="31"/>
        <v>23</v>
      </c>
      <c r="BU41" s="104">
        <f t="shared" si="32"/>
        <v>3.2857142857142856</v>
      </c>
      <c r="BV41" s="105" t="str">
        <f t="shared" si="33"/>
        <v>B</v>
      </c>
      <c r="BW41" s="43" t="str">
        <f t="shared" si="3"/>
        <v>GOOD</v>
      </c>
      <c r="BX41" s="44">
        <f t="shared" si="34"/>
        <v>439</v>
      </c>
      <c r="BY41" s="40"/>
      <c r="BZ41" s="40"/>
    </row>
    <row r="42" spans="1:78" s="39" customFormat="1" ht="27.95" customHeight="1">
      <c r="A42" s="42">
        <v>33</v>
      </c>
      <c r="B42" s="47">
        <v>87</v>
      </c>
      <c r="C42" s="48" t="s">
        <v>196</v>
      </c>
      <c r="D42" s="48" t="s">
        <v>197</v>
      </c>
      <c r="E42" s="48" t="s">
        <v>198</v>
      </c>
      <c r="F42" s="51" t="s">
        <v>223</v>
      </c>
      <c r="G42" s="106">
        <v>13</v>
      </c>
      <c r="H42" s="99">
        <v>0</v>
      </c>
      <c r="I42" s="100">
        <f t="shared" si="4"/>
        <v>13</v>
      </c>
      <c r="J42" s="99">
        <v>28</v>
      </c>
      <c r="K42" s="100">
        <f t="shared" si="5"/>
        <v>41</v>
      </c>
      <c r="L42" s="107">
        <v>9</v>
      </c>
      <c r="M42" s="99">
        <v>32</v>
      </c>
      <c r="N42" s="100">
        <f t="shared" si="6"/>
        <v>41</v>
      </c>
      <c r="O42" s="99"/>
      <c r="P42" s="100">
        <f t="shared" si="7"/>
        <v>41</v>
      </c>
      <c r="Q42" s="100">
        <f t="shared" si="0"/>
        <v>82</v>
      </c>
      <c r="R42" s="108"/>
      <c r="S42" s="99">
        <f t="shared" si="8"/>
        <v>3.5</v>
      </c>
      <c r="T42" s="107">
        <v>6</v>
      </c>
      <c r="U42" s="99">
        <v>33</v>
      </c>
      <c r="V42" s="100">
        <f t="shared" si="9"/>
        <v>39</v>
      </c>
      <c r="W42" s="107">
        <v>7</v>
      </c>
      <c r="X42" s="99">
        <v>19</v>
      </c>
      <c r="Y42" s="100">
        <f t="shared" si="10"/>
        <v>26</v>
      </c>
      <c r="Z42" s="100">
        <f t="shared" si="11"/>
        <v>65</v>
      </c>
      <c r="AA42" s="100">
        <f t="shared" si="12"/>
        <v>65</v>
      </c>
      <c r="AB42" s="108"/>
      <c r="AC42" s="99">
        <f t="shared" si="13"/>
        <v>3</v>
      </c>
      <c r="AD42" s="107">
        <v>18</v>
      </c>
      <c r="AE42" s="99">
        <v>14</v>
      </c>
      <c r="AF42" s="100">
        <f t="shared" si="47"/>
        <v>32</v>
      </c>
      <c r="AG42" s="99">
        <v>22</v>
      </c>
      <c r="AH42" s="100">
        <f t="shared" si="48"/>
        <v>54</v>
      </c>
      <c r="AI42" s="108"/>
      <c r="AJ42" s="99">
        <f t="shared" si="16"/>
        <v>3</v>
      </c>
      <c r="AK42" s="107">
        <v>15</v>
      </c>
      <c r="AL42" s="99">
        <v>20</v>
      </c>
      <c r="AM42" s="100">
        <f t="shared" si="37"/>
        <v>35</v>
      </c>
      <c r="AN42" s="99">
        <v>20</v>
      </c>
      <c r="AO42" s="100">
        <f t="shared" si="38"/>
        <v>55</v>
      </c>
      <c r="AP42" s="108"/>
      <c r="AQ42" s="99">
        <f t="shared" si="19"/>
        <v>3</v>
      </c>
      <c r="AR42" s="102"/>
      <c r="AS42" s="99">
        <v>23</v>
      </c>
      <c r="AT42" s="99">
        <v>23</v>
      </c>
      <c r="AU42" s="99">
        <f t="shared" si="46"/>
        <v>46</v>
      </c>
      <c r="AV42" s="109"/>
      <c r="AW42" s="99">
        <f t="shared" si="21"/>
        <v>5</v>
      </c>
      <c r="AX42" s="107">
        <v>19</v>
      </c>
      <c r="AY42" s="99">
        <v>21</v>
      </c>
      <c r="AZ42" s="100">
        <f t="shared" si="49"/>
        <v>40</v>
      </c>
      <c r="BA42" s="99">
        <v>30</v>
      </c>
      <c r="BB42" s="100">
        <f t="shared" si="50"/>
        <v>70</v>
      </c>
      <c r="BC42" s="108"/>
      <c r="BD42" s="99">
        <f t="shared" si="24"/>
        <v>4</v>
      </c>
      <c r="BE42" s="107">
        <v>13</v>
      </c>
      <c r="BF42" s="99">
        <v>32</v>
      </c>
      <c r="BG42" s="100">
        <f t="shared" si="51"/>
        <v>45</v>
      </c>
      <c r="BH42" s="99"/>
      <c r="BI42" s="100">
        <f t="shared" si="52"/>
        <v>45</v>
      </c>
      <c r="BJ42" s="109"/>
      <c r="BK42" s="99">
        <f t="shared" si="27"/>
        <v>2</v>
      </c>
      <c r="BL42" s="107">
        <v>9</v>
      </c>
      <c r="BM42" s="99">
        <v>38</v>
      </c>
      <c r="BN42" s="100">
        <f t="shared" si="53"/>
        <v>47</v>
      </c>
      <c r="BO42" s="99"/>
      <c r="BP42" s="99"/>
      <c r="BQ42" s="100">
        <f t="shared" si="54"/>
        <v>47</v>
      </c>
      <c r="BR42" s="109"/>
      <c r="BS42" s="99">
        <f t="shared" si="30"/>
        <v>5</v>
      </c>
      <c r="BT42" s="99">
        <f t="shared" si="31"/>
        <v>23.5</v>
      </c>
      <c r="BU42" s="104">
        <f t="shared" si="32"/>
        <v>3.3571428571428572</v>
      </c>
      <c r="BV42" s="105" t="str">
        <f t="shared" si="33"/>
        <v>B</v>
      </c>
      <c r="BW42" s="43" t="str">
        <f t="shared" si="3"/>
        <v>GOOD</v>
      </c>
      <c r="BX42" s="44">
        <f t="shared" si="34"/>
        <v>417</v>
      </c>
      <c r="BY42" s="40"/>
      <c r="BZ42" s="40"/>
    </row>
    <row r="43" spans="1:78" s="39" customFormat="1" ht="27.95" customHeight="1">
      <c r="A43" s="42">
        <v>34</v>
      </c>
      <c r="B43" s="47">
        <v>91</v>
      </c>
      <c r="C43" s="48" t="s">
        <v>199</v>
      </c>
      <c r="D43" s="48" t="s">
        <v>200</v>
      </c>
      <c r="E43" s="48" t="s">
        <v>201</v>
      </c>
      <c r="F43" s="51" t="s">
        <v>224</v>
      </c>
      <c r="G43" s="106">
        <v>16</v>
      </c>
      <c r="H43" s="99">
        <v>34</v>
      </c>
      <c r="I43" s="100">
        <f t="shared" si="4"/>
        <v>50</v>
      </c>
      <c r="J43" s="99">
        <v>15</v>
      </c>
      <c r="K43" s="100">
        <f t="shared" si="5"/>
        <v>65</v>
      </c>
      <c r="L43" s="107">
        <v>9</v>
      </c>
      <c r="M43" s="99">
        <v>26</v>
      </c>
      <c r="N43" s="100">
        <f t="shared" si="6"/>
        <v>35</v>
      </c>
      <c r="O43" s="99"/>
      <c r="P43" s="100">
        <f t="shared" si="7"/>
        <v>35</v>
      </c>
      <c r="Q43" s="100">
        <f t="shared" si="0"/>
        <v>100</v>
      </c>
      <c r="R43" s="108"/>
      <c r="S43" s="99">
        <f t="shared" si="8"/>
        <v>4</v>
      </c>
      <c r="T43" s="107">
        <v>10</v>
      </c>
      <c r="U43" s="99">
        <v>27</v>
      </c>
      <c r="V43" s="100">
        <f t="shared" si="9"/>
        <v>37</v>
      </c>
      <c r="W43" s="107">
        <v>10</v>
      </c>
      <c r="X43" s="99">
        <v>16</v>
      </c>
      <c r="Y43" s="100">
        <f t="shared" si="10"/>
        <v>26</v>
      </c>
      <c r="Z43" s="100">
        <f t="shared" si="11"/>
        <v>63</v>
      </c>
      <c r="AA43" s="100">
        <f t="shared" si="12"/>
        <v>63</v>
      </c>
      <c r="AB43" s="108"/>
      <c r="AC43" s="99">
        <f t="shared" si="13"/>
        <v>3</v>
      </c>
      <c r="AD43" s="107">
        <v>18</v>
      </c>
      <c r="AE43" s="99">
        <v>21</v>
      </c>
      <c r="AF43" s="100">
        <f t="shared" si="47"/>
        <v>39</v>
      </c>
      <c r="AG43" s="99">
        <v>14</v>
      </c>
      <c r="AH43" s="100">
        <f t="shared" si="48"/>
        <v>53</v>
      </c>
      <c r="AI43" s="108"/>
      <c r="AJ43" s="99">
        <f t="shared" si="16"/>
        <v>3</v>
      </c>
      <c r="AK43" s="107">
        <v>16</v>
      </c>
      <c r="AL43" s="99">
        <v>28</v>
      </c>
      <c r="AM43" s="100">
        <f t="shared" si="37"/>
        <v>44</v>
      </c>
      <c r="AN43" s="99">
        <v>19</v>
      </c>
      <c r="AO43" s="100">
        <f t="shared" si="38"/>
        <v>63</v>
      </c>
      <c r="AP43" s="108"/>
      <c r="AQ43" s="99">
        <f t="shared" si="19"/>
        <v>3.5</v>
      </c>
      <c r="AR43" s="102"/>
      <c r="AS43" s="99">
        <v>23</v>
      </c>
      <c r="AT43" s="99">
        <v>23</v>
      </c>
      <c r="AU43" s="99">
        <f t="shared" si="46"/>
        <v>46</v>
      </c>
      <c r="AV43" s="109"/>
      <c r="AW43" s="99">
        <f t="shared" si="21"/>
        <v>5</v>
      </c>
      <c r="AX43" s="107">
        <v>20</v>
      </c>
      <c r="AY43" s="99">
        <v>34</v>
      </c>
      <c r="AZ43" s="100">
        <f t="shared" si="49"/>
        <v>54</v>
      </c>
      <c r="BA43" s="99">
        <v>30</v>
      </c>
      <c r="BB43" s="100">
        <f t="shared" si="50"/>
        <v>84</v>
      </c>
      <c r="BC43" s="108"/>
      <c r="BD43" s="99">
        <f t="shared" si="24"/>
        <v>5</v>
      </c>
      <c r="BE43" s="107">
        <v>19</v>
      </c>
      <c r="BF43" s="99">
        <v>26</v>
      </c>
      <c r="BG43" s="100">
        <f t="shared" si="51"/>
        <v>45</v>
      </c>
      <c r="BH43" s="99"/>
      <c r="BI43" s="100">
        <f t="shared" si="52"/>
        <v>45</v>
      </c>
      <c r="BJ43" s="109"/>
      <c r="BK43" s="99">
        <f t="shared" si="27"/>
        <v>2</v>
      </c>
      <c r="BL43" s="107">
        <v>9</v>
      </c>
      <c r="BM43" s="99">
        <v>36</v>
      </c>
      <c r="BN43" s="100">
        <f t="shared" si="53"/>
        <v>45</v>
      </c>
      <c r="BO43" s="99"/>
      <c r="BP43" s="99"/>
      <c r="BQ43" s="100">
        <f t="shared" si="54"/>
        <v>45</v>
      </c>
      <c r="BR43" s="109"/>
      <c r="BS43" s="99">
        <f t="shared" si="30"/>
        <v>5</v>
      </c>
      <c r="BT43" s="99">
        <f t="shared" si="31"/>
        <v>25.5</v>
      </c>
      <c r="BU43" s="104">
        <f t="shared" si="32"/>
        <v>3.6428571428571428</v>
      </c>
      <c r="BV43" s="105" t="str">
        <f t="shared" si="33"/>
        <v>A-</v>
      </c>
      <c r="BW43" s="43" t="str">
        <f t="shared" si="3"/>
        <v>GOOD</v>
      </c>
      <c r="BX43" s="44">
        <f t="shared" si="34"/>
        <v>454</v>
      </c>
      <c r="BY43" s="40"/>
      <c r="BZ43" s="40"/>
    </row>
    <row r="44" spans="1:78" s="41" customFormat="1" ht="27.95" customHeight="1">
      <c r="A44" s="42">
        <v>35</v>
      </c>
      <c r="B44" s="47">
        <v>94</v>
      </c>
      <c r="C44" s="48" t="s">
        <v>119</v>
      </c>
      <c r="D44" s="48" t="s">
        <v>120</v>
      </c>
      <c r="E44" s="48" t="s">
        <v>121</v>
      </c>
      <c r="F44" s="51" t="s">
        <v>143</v>
      </c>
      <c r="G44" s="106">
        <v>14</v>
      </c>
      <c r="H44" s="99">
        <v>0</v>
      </c>
      <c r="I44" s="100">
        <f t="shared" si="4"/>
        <v>14</v>
      </c>
      <c r="J44" s="99">
        <v>0</v>
      </c>
      <c r="K44" s="100">
        <f t="shared" si="5"/>
        <v>14</v>
      </c>
      <c r="L44" s="107">
        <v>8</v>
      </c>
      <c r="M44" s="99">
        <v>0</v>
      </c>
      <c r="N44" s="100">
        <f t="shared" si="6"/>
        <v>8</v>
      </c>
      <c r="O44" s="99"/>
      <c r="P44" s="100">
        <f t="shared" si="7"/>
        <v>8</v>
      </c>
      <c r="Q44" s="100">
        <f t="shared" si="0"/>
        <v>22</v>
      </c>
      <c r="R44" s="108"/>
      <c r="S44" s="99" t="str">
        <f t="shared" si="8"/>
        <v>F</v>
      </c>
      <c r="T44" s="107">
        <v>9</v>
      </c>
      <c r="U44" s="99">
        <v>0</v>
      </c>
      <c r="V44" s="100">
        <f t="shared" si="9"/>
        <v>9</v>
      </c>
      <c r="W44" s="107">
        <v>6</v>
      </c>
      <c r="X44" s="99">
        <v>18</v>
      </c>
      <c r="Y44" s="100">
        <f t="shared" si="10"/>
        <v>24</v>
      </c>
      <c r="Z44" s="100">
        <f t="shared" si="11"/>
        <v>33</v>
      </c>
      <c r="AA44" s="100">
        <f t="shared" si="12"/>
        <v>33</v>
      </c>
      <c r="AB44" s="108"/>
      <c r="AC44" s="99" t="str">
        <f t="shared" si="13"/>
        <v>F</v>
      </c>
      <c r="AD44" s="107">
        <v>12</v>
      </c>
      <c r="AE44" s="99">
        <v>9</v>
      </c>
      <c r="AF44" s="100">
        <f t="shared" si="47"/>
        <v>21</v>
      </c>
      <c r="AG44" s="99">
        <v>13</v>
      </c>
      <c r="AH44" s="100">
        <f t="shared" si="48"/>
        <v>34</v>
      </c>
      <c r="AI44" s="108"/>
      <c r="AJ44" s="99" t="str">
        <f t="shared" si="16"/>
        <v>F</v>
      </c>
      <c r="AK44" s="107">
        <v>12</v>
      </c>
      <c r="AL44" s="99">
        <v>31</v>
      </c>
      <c r="AM44" s="100">
        <f t="shared" si="37"/>
        <v>43</v>
      </c>
      <c r="AN44" s="99">
        <v>19</v>
      </c>
      <c r="AO44" s="100">
        <f t="shared" si="38"/>
        <v>62</v>
      </c>
      <c r="AP44" s="108"/>
      <c r="AQ44" s="99">
        <f t="shared" si="19"/>
        <v>3.5</v>
      </c>
      <c r="AR44" s="102"/>
      <c r="AS44" s="99">
        <v>23</v>
      </c>
      <c r="AT44" s="99">
        <v>23</v>
      </c>
      <c r="AU44" s="99">
        <f t="shared" si="46"/>
        <v>46</v>
      </c>
      <c r="AV44" s="109"/>
      <c r="AW44" s="99">
        <f t="shared" si="21"/>
        <v>5</v>
      </c>
      <c r="AX44" s="107">
        <v>20</v>
      </c>
      <c r="AY44" s="99">
        <v>0</v>
      </c>
      <c r="AZ44" s="100">
        <f t="shared" si="49"/>
        <v>20</v>
      </c>
      <c r="BA44" s="99">
        <v>0</v>
      </c>
      <c r="BB44" s="100">
        <f t="shared" si="50"/>
        <v>20</v>
      </c>
      <c r="BC44" s="108"/>
      <c r="BD44" s="99" t="str">
        <f t="shared" si="24"/>
        <v>F</v>
      </c>
      <c r="BE44" s="107">
        <v>16</v>
      </c>
      <c r="BF44" s="99">
        <v>26</v>
      </c>
      <c r="BG44" s="100">
        <f t="shared" si="51"/>
        <v>42</v>
      </c>
      <c r="BH44" s="99"/>
      <c r="BI44" s="100">
        <f t="shared" si="52"/>
        <v>42</v>
      </c>
      <c r="BJ44" s="109"/>
      <c r="BK44" s="99">
        <f t="shared" si="27"/>
        <v>2</v>
      </c>
      <c r="BL44" s="107">
        <v>8</v>
      </c>
      <c r="BM44" s="99">
        <v>38</v>
      </c>
      <c r="BN44" s="100">
        <f t="shared" si="53"/>
        <v>46</v>
      </c>
      <c r="BO44" s="99"/>
      <c r="BP44" s="99"/>
      <c r="BQ44" s="100">
        <f t="shared" si="54"/>
        <v>46</v>
      </c>
      <c r="BR44" s="109"/>
      <c r="BS44" s="99">
        <f t="shared" si="30"/>
        <v>5</v>
      </c>
      <c r="BT44" s="99" t="str">
        <f t="shared" si="31"/>
        <v>F</v>
      </c>
      <c r="BU44" s="104" t="str">
        <f t="shared" si="32"/>
        <v>F</v>
      </c>
      <c r="BV44" s="105" t="str">
        <f t="shared" si="33"/>
        <v>F</v>
      </c>
      <c r="BW44" s="43" t="str">
        <f t="shared" si="3"/>
        <v>NEED TO PROGRESS</v>
      </c>
      <c r="BX44" s="44">
        <f t="shared" si="34"/>
        <v>259</v>
      </c>
      <c r="BY44" s="40"/>
      <c r="BZ44" s="40"/>
    </row>
    <row r="45" spans="1:78" s="41" customFormat="1" ht="27.95" customHeight="1">
      <c r="A45" s="42">
        <v>36</v>
      </c>
      <c r="B45" s="47">
        <v>98</v>
      </c>
      <c r="C45" s="48" t="s">
        <v>122</v>
      </c>
      <c r="D45" s="48" t="s">
        <v>123</v>
      </c>
      <c r="E45" s="48" t="s">
        <v>124</v>
      </c>
      <c r="F45" s="51" t="s">
        <v>144</v>
      </c>
      <c r="G45" s="106">
        <v>16</v>
      </c>
      <c r="H45" s="99">
        <v>37</v>
      </c>
      <c r="I45" s="100">
        <f t="shared" si="4"/>
        <v>53</v>
      </c>
      <c r="J45" s="99">
        <v>27</v>
      </c>
      <c r="K45" s="100">
        <f t="shared" si="5"/>
        <v>80</v>
      </c>
      <c r="L45" s="107">
        <v>9</v>
      </c>
      <c r="M45" s="99">
        <v>34</v>
      </c>
      <c r="N45" s="100">
        <f t="shared" si="6"/>
        <v>43</v>
      </c>
      <c r="O45" s="99"/>
      <c r="P45" s="100">
        <f t="shared" si="7"/>
        <v>43</v>
      </c>
      <c r="Q45" s="100">
        <f t="shared" si="0"/>
        <v>123</v>
      </c>
      <c r="R45" s="108"/>
      <c r="S45" s="99">
        <f t="shared" si="8"/>
        <v>5</v>
      </c>
      <c r="T45" s="107">
        <v>9</v>
      </c>
      <c r="U45" s="99">
        <v>46</v>
      </c>
      <c r="V45" s="100">
        <f t="shared" si="9"/>
        <v>55</v>
      </c>
      <c r="W45" s="107">
        <v>6</v>
      </c>
      <c r="X45" s="99">
        <v>27</v>
      </c>
      <c r="Y45" s="100">
        <f t="shared" si="10"/>
        <v>33</v>
      </c>
      <c r="Z45" s="100">
        <f t="shared" si="11"/>
        <v>88</v>
      </c>
      <c r="AA45" s="100">
        <f t="shared" si="12"/>
        <v>88</v>
      </c>
      <c r="AB45" s="108"/>
      <c r="AC45" s="99">
        <f t="shared" si="13"/>
        <v>3.5</v>
      </c>
      <c r="AD45" s="107">
        <v>17</v>
      </c>
      <c r="AE45" s="99">
        <v>25</v>
      </c>
      <c r="AF45" s="100">
        <f t="shared" si="47"/>
        <v>42</v>
      </c>
      <c r="AG45" s="99">
        <v>14</v>
      </c>
      <c r="AH45" s="100">
        <f t="shared" si="48"/>
        <v>56</v>
      </c>
      <c r="AI45" s="108"/>
      <c r="AJ45" s="99">
        <f t="shared" si="16"/>
        <v>3</v>
      </c>
      <c r="AK45" s="107">
        <v>17</v>
      </c>
      <c r="AL45" s="99">
        <v>29</v>
      </c>
      <c r="AM45" s="100">
        <f t="shared" si="37"/>
        <v>46</v>
      </c>
      <c r="AN45" s="99">
        <v>24</v>
      </c>
      <c r="AO45" s="100">
        <f t="shared" si="38"/>
        <v>70</v>
      </c>
      <c r="AP45" s="108"/>
      <c r="AQ45" s="99">
        <f t="shared" si="19"/>
        <v>4</v>
      </c>
      <c r="AR45" s="102"/>
      <c r="AS45" s="99">
        <v>23</v>
      </c>
      <c r="AT45" s="99">
        <v>23</v>
      </c>
      <c r="AU45" s="99">
        <f t="shared" si="46"/>
        <v>46</v>
      </c>
      <c r="AV45" s="109"/>
      <c r="AW45" s="99">
        <f t="shared" si="21"/>
        <v>5</v>
      </c>
      <c r="AX45" s="107">
        <v>19</v>
      </c>
      <c r="AY45" s="99">
        <v>29</v>
      </c>
      <c r="AZ45" s="100">
        <f>AY45+AX45</f>
        <v>48</v>
      </c>
      <c r="BA45" s="99">
        <v>25</v>
      </c>
      <c r="BB45" s="100">
        <f>AZ45+BA45</f>
        <v>73</v>
      </c>
      <c r="BC45" s="108"/>
      <c r="BD45" s="99">
        <f t="shared" si="24"/>
        <v>4</v>
      </c>
      <c r="BE45" s="107">
        <v>14</v>
      </c>
      <c r="BF45" s="99">
        <v>34</v>
      </c>
      <c r="BG45" s="100">
        <f>BF45+BE45</f>
        <v>48</v>
      </c>
      <c r="BH45" s="99"/>
      <c r="BI45" s="100">
        <f>BG45+BH45</f>
        <v>48</v>
      </c>
      <c r="BJ45" s="109"/>
      <c r="BK45" s="99">
        <f t="shared" si="27"/>
        <v>2</v>
      </c>
      <c r="BL45" s="107">
        <v>8</v>
      </c>
      <c r="BM45" s="99">
        <v>38</v>
      </c>
      <c r="BN45" s="100">
        <f>BM45+BL45</f>
        <v>46</v>
      </c>
      <c r="BO45" s="99"/>
      <c r="BP45" s="99"/>
      <c r="BQ45" s="100">
        <f>BN45+BO45+BP45</f>
        <v>46</v>
      </c>
      <c r="BR45" s="109"/>
      <c r="BS45" s="99">
        <f t="shared" si="30"/>
        <v>5</v>
      </c>
      <c r="BT45" s="99">
        <f t="shared" si="31"/>
        <v>26.5</v>
      </c>
      <c r="BU45" s="104">
        <f t="shared" ref="BU45:BU46" si="55">IF(BT45="F","F",IF(BT45&gt;=45,5,IF(BT45&lt;45,BT45/7)))</f>
        <v>3.7857142857142856</v>
      </c>
      <c r="BV45" s="105" t="str">
        <f t="shared" ref="BV45:BV46" si="56">IF(BU45="F","F",IF(BU45&lt;2.5,"D",IF(BU45&lt;3,"C",IF(BU45&lt;3.5,"B",IF(BU45&lt;4,"A-",IF(BU45&lt;5,"A","A+"))))))</f>
        <v>A-</v>
      </c>
      <c r="BW45" s="43" t="str">
        <f t="shared" ref="BW45:BW46" si="57">IF(BU45="F","NEED TO PROGRESS",IF(BU45&gt;=5,"BEST",IF(BU45&gt;=4,"BETTER",IF(BU45&gt;=2,"GOOD"))))</f>
        <v>GOOD</v>
      </c>
      <c r="BX45" s="44">
        <f t="shared" si="34"/>
        <v>504</v>
      </c>
      <c r="BY45" s="40"/>
      <c r="BZ45" s="40"/>
    </row>
    <row r="46" spans="1:78" s="39" customFormat="1" ht="27.95" customHeight="1">
      <c r="A46" s="42">
        <v>37</v>
      </c>
      <c r="B46" s="47">
        <v>100</v>
      </c>
      <c r="C46" s="48" t="s">
        <v>125</v>
      </c>
      <c r="D46" s="48" t="s">
        <v>126</v>
      </c>
      <c r="E46" s="48" t="s">
        <v>127</v>
      </c>
      <c r="F46" s="51" t="s">
        <v>145</v>
      </c>
      <c r="G46" s="98">
        <v>0</v>
      </c>
      <c r="H46" s="99">
        <v>0</v>
      </c>
      <c r="I46" s="100">
        <f t="shared" si="4"/>
        <v>0</v>
      </c>
      <c r="J46" s="99">
        <v>0</v>
      </c>
      <c r="K46" s="100">
        <f t="shared" si="5"/>
        <v>0</v>
      </c>
      <c r="L46" s="98">
        <v>0</v>
      </c>
      <c r="M46" s="99">
        <v>0</v>
      </c>
      <c r="N46" s="100">
        <f t="shared" si="6"/>
        <v>0</v>
      </c>
      <c r="O46" s="99"/>
      <c r="P46" s="100">
        <f t="shared" si="7"/>
        <v>0</v>
      </c>
      <c r="Q46" s="100">
        <f t="shared" si="0"/>
        <v>0</v>
      </c>
      <c r="R46" s="108"/>
      <c r="S46" s="99" t="str">
        <f t="shared" si="8"/>
        <v>F</v>
      </c>
      <c r="T46" s="98">
        <v>0</v>
      </c>
      <c r="U46" s="99">
        <v>0</v>
      </c>
      <c r="V46" s="100">
        <f t="shared" si="9"/>
        <v>0</v>
      </c>
      <c r="W46" s="98">
        <v>0</v>
      </c>
      <c r="X46" s="99">
        <v>0</v>
      </c>
      <c r="Y46" s="100">
        <f t="shared" si="10"/>
        <v>0</v>
      </c>
      <c r="Z46" s="100">
        <f t="shared" si="11"/>
        <v>0</v>
      </c>
      <c r="AA46" s="100">
        <f t="shared" si="12"/>
        <v>0</v>
      </c>
      <c r="AB46" s="108"/>
      <c r="AC46" s="99" t="str">
        <f t="shared" si="13"/>
        <v>F</v>
      </c>
      <c r="AD46" s="98">
        <v>0</v>
      </c>
      <c r="AE46" s="99">
        <v>0</v>
      </c>
      <c r="AF46" s="100">
        <f t="shared" si="47"/>
        <v>0</v>
      </c>
      <c r="AG46" s="99">
        <v>0</v>
      </c>
      <c r="AH46" s="100">
        <f t="shared" si="48"/>
        <v>0</v>
      </c>
      <c r="AI46" s="108"/>
      <c r="AJ46" s="99" t="str">
        <f t="shared" si="16"/>
        <v>F</v>
      </c>
      <c r="AK46" s="98">
        <v>0</v>
      </c>
      <c r="AL46" s="99">
        <v>0</v>
      </c>
      <c r="AM46" s="100">
        <f t="shared" si="37"/>
        <v>0</v>
      </c>
      <c r="AN46" s="99">
        <v>0</v>
      </c>
      <c r="AO46" s="100">
        <f t="shared" si="38"/>
        <v>0</v>
      </c>
      <c r="AP46" s="108"/>
      <c r="AQ46" s="99" t="str">
        <f t="shared" si="19"/>
        <v>F</v>
      </c>
      <c r="AR46" s="102"/>
      <c r="AS46" s="99">
        <v>23</v>
      </c>
      <c r="AT46" s="99">
        <v>23</v>
      </c>
      <c r="AU46" s="99">
        <f t="shared" si="46"/>
        <v>46</v>
      </c>
      <c r="AV46" s="109"/>
      <c r="AW46" s="99">
        <f t="shared" si="21"/>
        <v>5</v>
      </c>
      <c r="AX46" s="98">
        <v>0</v>
      </c>
      <c r="AY46" s="99">
        <v>0</v>
      </c>
      <c r="AZ46" s="100">
        <f t="shared" ref="AZ46" si="58">AY46+AX46</f>
        <v>0</v>
      </c>
      <c r="BA46" s="99">
        <v>0</v>
      </c>
      <c r="BB46" s="100">
        <f t="shared" ref="BB46" si="59">AZ46+BA46</f>
        <v>0</v>
      </c>
      <c r="BC46" s="108"/>
      <c r="BD46" s="99" t="str">
        <f t="shared" si="24"/>
        <v>F</v>
      </c>
      <c r="BE46" s="98">
        <v>0</v>
      </c>
      <c r="BF46" s="99">
        <v>0</v>
      </c>
      <c r="BG46" s="100">
        <f t="shared" ref="BG46" si="60">BF46+BE46</f>
        <v>0</v>
      </c>
      <c r="BH46" s="99"/>
      <c r="BI46" s="100">
        <f t="shared" ref="BI46" si="61">BG46+BH46</f>
        <v>0</v>
      </c>
      <c r="BJ46" s="109"/>
      <c r="BK46" s="99" t="str">
        <f t="shared" si="27"/>
        <v>F</v>
      </c>
      <c r="BL46" s="98">
        <v>0</v>
      </c>
      <c r="BM46" s="99">
        <v>0</v>
      </c>
      <c r="BN46" s="100">
        <f t="shared" ref="BN46:BN50" si="62">BM46+BL46</f>
        <v>0</v>
      </c>
      <c r="BO46" s="99"/>
      <c r="BP46" s="99"/>
      <c r="BQ46" s="100">
        <f t="shared" ref="BQ46:BQ50" si="63">BN46+BO46+BP46</f>
        <v>0</v>
      </c>
      <c r="BR46" s="109"/>
      <c r="BS46" s="99" t="str">
        <f t="shared" si="30"/>
        <v>F</v>
      </c>
      <c r="BT46" s="99" t="str">
        <f t="shared" si="31"/>
        <v>F</v>
      </c>
      <c r="BU46" s="104" t="str">
        <f t="shared" si="55"/>
        <v>F</v>
      </c>
      <c r="BV46" s="105" t="str">
        <f t="shared" si="56"/>
        <v>F</v>
      </c>
      <c r="BW46" s="43" t="str">
        <f t="shared" si="57"/>
        <v>NEED TO PROGRESS</v>
      </c>
      <c r="BX46" s="44">
        <f t="shared" si="34"/>
        <v>46</v>
      </c>
      <c r="BY46" s="40"/>
      <c r="BZ46" s="40"/>
    </row>
    <row r="47" spans="1:78" s="39" customFormat="1" ht="27.75" customHeight="1">
      <c r="A47" s="42">
        <v>38</v>
      </c>
      <c r="B47" s="47">
        <v>101</v>
      </c>
      <c r="C47" s="48" t="s">
        <v>202</v>
      </c>
      <c r="D47" s="48" t="s">
        <v>203</v>
      </c>
      <c r="E47" s="48" t="s">
        <v>204</v>
      </c>
      <c r="F47" s="51" t="s">
        <v>225</v>
      </c>
      <c r="G47" s="106">
        <v>16</v>
      </c>
      <c r="H47" s="99">
        <v>40</v>
      </c>
      <c r="I47" s="100">
        <f t="shared" ref="I47:I50" si="64">H47+G47</f>
        <v>56</v>
      </c>
      <c r="J47" s="99">
        <v>15</v>
      </c>
      <c r="K47" s="100">
        <f t="shared" ref="K47:K50" si="65">I47+J47</f>
        <v>71</v>
      </c>
      <c r="L47" s="107">
        <v>8</v>
      </c>
      <c r="M47" s="99">
        <v>24</v>
      </c>
      <c r="N47" s="100">
        <f t="shared" ref="N47:N50" si="66">M47+L47</f>
        <v>32</v>
      </c>
      <c r="O47" s="99"/>
      <c r="P47" s="100">
        <f t="shared" ref="P47:P50" si="67">N47</f>
        <v>32</v>
      </c>
      <c r="Q47" s="100">
        <f t="shared" ref="Q47:Q50" si="68">K47+P47</f>
        <v>103</v>
      </c>
      <c r="R47" s="108"/>
      <c r="S47" s="99">
        <f t="shared" si="8"/>
        <v>4</v>
      </c>
      <c r="T47" s="107">
        <v>14</v>
      </c>
      <c r="U47" s="99">
        <v>50</v>
      </c>
      <c r="V47" s="100">
        <f t="shared" ref="V47:V50" si="69">U47+T47</f>
        <v>64</v>
      </c>
      <c r="W47" s="107">
        <v>7</v>
      </c>
      <c r="X47" s="99">
        <v>22</v>
      </c>
      <c r="Y47" s="100">
        <f t="shared" ref="Y47:Y50" si="70">X47+W47</f>
        <v>29</v>
      </c>
      <c r="Z47" s="100">
        <f t="shared" ref="Z47:Z50" si="71">V47+Y47</f>
        <v>93</v>
      </c>
      <c r="AA47" s="100">
        <f t="shared" ref="AA47:AA50" si="72">Z47</f>
        <v>93</v>
      </c>
      <c r="AB47" s="108"/>
      <c r="AC47" s="99">
        <f t="shared" si="13"/>
        <v>4</v>
      </c>
      <c r="AD47" s="107">
        <v>18</v>
      </c>
      <c r="AE47" s="99">
        <v>15</v>
      </c>
      <c r="AF47" s="100">
        <f t="shared" ref="AF47:AF50" si="73">AE47+AD47</f>
        <v>33</v>
      </c>
      <c r="AG47" s="99">
        <v>16</v>
      </c>
      <c r="AH47" s="100">
        <f t="shared" ref="AH47:AH50" si="74">AF47+AG47</f>
        <v>49</v>
      </c>
      <c r="AI47" s="108"/>
      <c r="AJ47" s="99">
        <f t="shared" ref="AJ47:AJ50" si="75">IF(AH47&lt;40,"F",IF(AH47&lt;50,2,IF(AH47&lt;60,3,IF(AH47&lt;70,3.5,IF(AH47&lt;80,4,5)))))</f>
        <v>2</v>
      </c>
      <c r="AK47" s="107">
        <v>16</v>
      </c>
      <c r="AL47" s="99">
        <v>31</v>
      </c>
      <c r="AM47" s="100">
        <f t="shared" ref="AM47:AM50" si="76">AL47+AK47</f>
        <v>47</v>
      </c>
      <c r="AN47" s="99">
        <v>19</v>
      </c>
      <c r="AO47" s="100">
        <f t="shared" ref="AO47:AO50" si="77">+AM47+AN47</f>
        <v>66</v>
      </c>
      <c r="AP47" s="108"/>
      <c r="AQ47" s="99">
        <f t="shared" si="19"/>
        <v>3.5</v>
      </c>
      <c r="AR47" s="102"/>
      <c r="AS47" s="99">
        <v>23</v>
      </c>
      <c r="AT47" s="99">
        <v>23</v>
      </c>
      <c r="AU47" s="99">
        <f t="shared" si="46"/>
        <v>46</v>
      </c>
      <c r="AV47" s="109"/>
      <c r="AW47" s="99">
        <f t="shared" si="21"/>
        <v>5</v>
      </c>
      <c r="AX47" s="107">
        <v>20</v>
      </c>
      <c r="AY47" s="99">
        <v>29</v>
      </c>
      <c r="AZ47" s="100">
        <f t="shared" ref="AZ47:AZ50" si="78">AY47+AX47</f>
        <v>49</v>
      </c>
      <c r="BA47" s="99">
        <v>30</v>
      </c>
      <c r="BB47" s="100">
        <f t="shared" ref="BB47:BB50" si="79">AZ47+BA47</f>
        <v>79</v>
      </c>
      <c r="BC47" s="108"/>
      <c r="BD47" s="99">
        <f t="shared" si="24"/>
        <v>4</v>
      </c>
      <c r="BE47" s="107">
        <v>13</v>
      </c>
      <c r="BF47" s="99">
        <v>36</v>
      </c>
      <c r="BG47" s="100">
        <f t="shared" ref="BG47:BG50" si="80">BF47+BE47</f>
        <v>49</v>
      </c>
      <c r="BH47" s="99"/>
      <c r="BI47" s="100">
        <f t="shared" ref="BI47:BI50" si="81">BG47+BH47</f>
        <v>49</v>
      </c>
      <c r="BJ47" s="109"/>
      <c r="BK47" s="99">
        <f t="shared" si="27"/>
        <v>2</v>
      </c>
      <c r="BL47" s="107">
        <v>6</v>
      </c>
      <c r="BM47" s="99">
        <v>32</v>
      </c>
      <c r="BN47" s="100">
        <f t="shared" si="62"/>
        <v>38</v>
      </c>
      <c r="BO47" s="99"/>
      <c r="BP47" s="99"/>
      <c r="BQ47" s="100">
        <f t="shared" si="63"/>
        <v>38</v>
      </c>
      <c r="BR47" s="109"/>
      <c r="BS47" s="99">
        <f t="shared" ref="BS47:BS50" si="82">IF(BN47&lt;20,"F",IF(BQ47&lt;20,"F",IF(BQ47&lt;25,2,IF(BQ47&lt;30,3,IF(BQ47&lt;35,3.5,IF(BQ47&lt;40,4,5))))))</f>
        <v>4</v>
      </c>
      <c r="BT47" s="99">
        <f t="shared" ref="BT47:BT50" si="83">IF(S47="F","F",IF(AC47="F","F",IF(AJ47="F","F",IF(AQ47="F","F",IF(BD47="F","F",IF(BK47="F","F",IF(AW47="F","F",SUM(S47,AC47,AJ47,AQ47,AW47,BD47,BK47))))))))</f>
        <v>24.5</v>
      </c>
      <c r="BU47" s="104">
        <f t="shared" ref="BU47:BU50" si="84">IF(BT47="F","F",IF(BT47&gt;=45,5,IF(BT47&lt;45,BT47/7)))</f>
        <v>3.5</v>
      </c>
      <c r="BV47" s="105" t="str">
        <f t="shared" ref="BV47:BV50" si="85">IF(BU47="F","F",IF(BU47&lt;2.5,"D",IF(BU47&lt;3,"C",IF(BU47&lt;3.5,"B",IF(BU47&lt;4,"A-",IF(BU47&lt;5,"A","A+"))))))</f>
        <v>A-</v>
      </c>
      <c r="BW47" s="43" t="str">
        <f t="shared" ref="BW47:BW50" si="86">IF(BU47="F","NEED TO PROGRESS",IF(BU47&gt;=5,"BEST",IF(BU47&gt;=4,"BETTER",IF(BU47&gt;=2,"GOOD"))))</f>
        <v>GOOD</v>
      </c>
      <c r="BX47" s="44">
        <f t="shared" ref="BX47:BX50" si="87">Q47+AA47+AH47+AO47+AU47+BB47+BI47</f>
        <v>485</v>
      </c>
      <c r="BY47" s="40"/>
      <c r="BZ47" s="40"/>
    </row>
    <row r="48" spans="1:78" s="39" customFormat="1" ht="27.95" customHeight="1">
      <c r="A48" s="42">
        <v>39</v>
      </c>
      <c r="B48" s="47">
        <v>102</v>
      </c>
      <c r="C48" s="48" t="s">
        <v>205</v>
      </c>
      <c r="D48" s="48"/>
      <c r="E48" s="48"/>
      <c r="F48" s="51"/>
      <c r="G48" s="98">
        <v>0</v>
      </c>
      <c r="H48" s="99">
        <v>0</v>
      </c>
      <c r="I48" s="100">
        <f t="shared" ref="I48:I49" si="88">H48+G48</f>
        <v>0</v>
      </c>
      <c r="J48" s="99">
        <v>0</v>
      </c>
      <c r="K48" s="100">
        <f t="shared" ref="K48:K49" si="89">I48+J48</f>
        <v>0</v>
      </c>
      <c r="L48" s="98">
        <v>0</v>
      </c>
      <c r="M48" s="99">
        <v>0</v>
      </c>
      <c r="N48" s="100">
        <f t="shared" ref="N48:N50" si="90">M48+L48</f>
        <v>0</v>
      </c>
      <c r="O48" s="99"/>
      <c r="P48" s="100">
        <f t="shared" ref="P48:P50" si="91">N48</f>
        <v>0</v>
      </c>
      <c r="Q48" s="100">
        <f t="shared" ref="Q48:Q50" si="92">K48+P48</f>
        <v>0</v>
      </c>
      <c r="R48" s="108"/>
      <c r="S48" s="99" t="str">
        <f t="shared" ref="S48:S50" si="93">IF(Q48&lt;60,"F",IF(Q48&lt;60,2,IF(Q48&lt;75,3,IF(Q48&lt;90,3.5,IF(Q48&lt;120,4,5)))))</f>
        <v>F</v>
      </c>
      <c r="T48" s="98">
        <v>0</v>
      </c>
      <c r="U48" s="99">
        <v>0</v>
      </c>
      <c r="V48" s="100">
        <f t="shared" ref="V48:V49" si="94">U48+T48</f>
        <v>0</v>
      </c>
      <c r="W48" s="98">
        <v>0</v>
      </c>
      <c r="X48" s="99">
        <v>13</v>
      </c>
      <c r="Y48" s="100">
        <f t="shared" ref="Y48:Y49" si="95">X48+W48</f>
        <v>13</v>
      </c>
      <c r="Z48" s="100">
        <f t="shared" ref="Z48:Z49" si="96">V48+Y48</f>
        <v>13</v>
      </c>
      <c r="AA48" s="100">
        <f t="shared" ref="AA48:AA49" si="97">Z48</f>
        <v>13</v>
      </c>
      <c r="AB48" s="108"/>
      <c r="AC48" s="99" t="str">
        <f t="shared" ref="AC48:AC49" si="98">IF(AA48&lt;60,"F",IF(AA48&lt;60,2,IF(AA48&lt;75,3,IF(AA48&lt;90,3.5,IF(AA48&lt;120,4,5)))))</f>
        <v>F</v>
      </c>
      <c r="AD48" s="98">
        <v>0</v>
      </c>
      <c r="AE48" s="99">
        <v>0</v>
      </c>
      <c r="AF48" s="100">
        <f t="shared" ref="AF48:AF50" si="99">AE48+AD48</f>
        <v>0</v>
      </c>
      <c r="AG48" s="99">
        <v>0</v>
      </c>
      <c r="AH48" s="100">
        <f t="shared" ref="AH48:AH49" si="100">AF48+AG48</f>
        <v>0</v>
      </c>
      <c r="AI48" s="108"/>
      <c r="AJ48" s="99" t="str">
        <f t="shared" ref="AJ48:AJ49" si="101">IF(AH48&lt;40,"F",IF(AH48&lt;50,2,IF(AH48&lt;60,3,IF(AH48&lt;70,3.5,IF(AH48&lt;80,4,5)))))</f>
        <v>F</v>
      </c>
      <c r="AK48" s="98">
        <v>0</v>
      </c>
      <c r="AL48" s="99">
        <v>0</v>
      </c>
      <c r="AM48" s="100">
        <f t="shared" ref="AM48:AM49" si="102">AL48+AK48</f>
        <v>0</v>
      </c>
      <c r="AN48" s="99">
        <v>0</v>
      </c>
      <c r="AO48" s="100">
        <f t="shared" ref="AO48:AO49" si="103">+AM48+AN48</f>
        <v>0</v>
      </c>
      <c r="AP48" s="108"/>
      <c r="AQ48" s="99" t="str">
        <f t="shared" ref="AQ48:AQ49" si="104">IF(AO48&lt;40,"F",IF(AO48&lt;50,2,IF(AO48&lt;60,3,IF(AO48&lt;70,3.5,IF(AO48&lt;80,4,5)))))</f>
        <v>F</v>
      </c>
      <c r="AR48" s="102"/>
      <c r="AS48" s="99">
        <v>23</v>
      </c>
      <c r="AT48" s="99">
        <v>23</v>
      </c>
      <c r="AU48" s="99">
        <f t="shared" ref="AU48" si="105">AR48+AS48+AT48</f>
        <v>46</v>
      </c>
      <c r="AV48" s="109"/>
      <c r="AW48" s="99">
        <f t="shared" ref="AW48:AW50" si="106">IF(AU48&lt;20,"F",IF(AU48&lt;25,2,IF(AU48&lt;30,3,IF(AU48&lt;35,3.5,IF(AU48&lt;40,4,5)))))</f>
        <v>5</v>
      </c>
      <c r="AX48" s="98">
        <v>0</v>
      </c>
      <c r="AY48" s="99">
        <v>0</v>
      </c>
      <c r="AZ48" s="100">
        <f t="shared" ref="AZ48:AZ50" si="107">AY48+AX48</f>
        <v>0</v>
      </c>
      <c r="BA48" s="99">
        <v>0</v>
      </c>
      <c r="BB48" s="100">
        <f t="shared" ref="BB48:BB50" si="108">AZ48+BA48</f>
        <v>0</v>
      </c>
      <c r="BC48" s="108"/>
      <c r="BD48" s="99" t="str">
        <f t="shared" ref="BD48" si="109">IF(BB48&lt;40,"F",IF(BB48&lt;50,2,IF(BB48&lt;60,3,IF(BB48&lt;70,3.5,IF(BB48&lt;80,4,5)))))</f>
        <v>F</v>
      </c>
      <c r="BE48" s="98">
        <v>0</v>
      </c>
      <c r="BF48" s="99">
        <v>0</v>
      </c>
      <c r="BG48" s="100">
        <f t="shared" ref="BG48" si="110">BF48+BE48</f>
        <v>0</v>
      </c>
      <c r="BH48" s="99"/>
      <c r="BI48" s="100">
        <f t="shared" ref="BI48" si="111">BG48+BH48</f>
        <v>0</v>
      </c>
      <c r="BJ48" s="109"/>
      <c r="BK48" s="99" t="str">
        <f t="shared" ref="BK48" si="112">IF(BI48&lt;40,"F",IF(BI48&lt;50,2,IF(BI48&lt;60,3,IF(BI48&lt;70,3.5,IF(BI48&lt;80,4,5)))))</f>
        <v>F</v>
      </c>
      <c r="BL48" s="98">
        <v>0</v>
      </c>
      <c r="BM48" s="99">
        <v>0</v>
      </c>
      <c r="BN48" s="100">
        <f t="shared" ref="BN48" si="113">BM48+BL48</f>
        <v>0</v>
      </c>
      <c r="BO48" s="99"/>
      <c r="BP48" s="99"/>
      <c r="BQ48" s="100">
        <f t="shared" ref="BQ48" si="114">BN48+BO48+BP48</f>
        <v>0</v>
      </c>
      <c r="BR48" s="109"/>
      <c r="BS48" s="99" t="str">
        <f t="shared" ref="BS48" si="115">IF(BN48&lt;20,"F",IF(BQ48&lt;20,"F",IF(BQ48&lt;25,2,IF(BQ48&lt;30,3,IF(BQ48&lt;35,3.5,IF(BQ48&lt;40,4,5))))))</f>
        <v>F</v>
      </c>
      <c r="BT48" s="99" t="str">
        <f t="shared" ref="BT48" si="116">IF(S48="F","F",IF(AC48="F","F",IF(AJ48="F","F",IF(AQ48="F","F",IF(BD48="F","F",IF(BK48="F","F",IF(AW48="F","F",SUM(S48,AC48,AJ48,AQ48,AW48,BD48,BK48))))))))</f>
        <v>F</v>
      </c>
      <c r="BU48" s="104" t="str">
        <f t="shared" ref="BU48" si="117">IF(BT48="F","F",IF(BT48&gt;=45,5,IF(BT48&lt;45,BT48/7)))</f>
        <v>F</v>
      </c>
      <c r="BV48" s="105" t="str">
        <f t="shared" ref="BV48" si="118">IF(BU48="F","F",IF(BU48&lt;2.5,"D",IF(BU48&lt;3,"C",IF(BU48&lt;3.5,"B",IF(BU48&lt;4,"A-",IF(BU48&lt;5,"A","A+"))))))</f>
        <v>F</v>
      </c>
      <c r="BW48" s="43" t="str">
        <f t="shared" ref="BW48" si="119">IF(BU48="F","NEED TO PROGRESS",IF(BU48&gt;=5,"BEST",IF(BU48&gt;=4,"BETTER",IF(BU48&gt;=2,"GOOD"))))</f>
        <v>NEED TO PROGRESS</v>
      </c>
      <c r="BX48" s="44">
        <f t="shared" ref="BX48" si="120">Q48+AA48+AH48+AO48+AU48+BB48+BI48</f>
        <v>59</v>
      </c>
      <c r="BY48" s="40"/>
      <c r="BZ48" s="40"/>
    </row>
    <row r="49" spans="1:78" s="39" customFormat="1" ht="27.75" customHeight="1">
      <c r="A49" s="42">
        <v>40</v>
      </c>
      <c r="B49" s="47">
        <v>103</v>
      </c>
      <c r="C49" s="48" t="s">
        <v>226</v>
      </c>
      <c r="D49" s="48"/>
      <c r="E49" s="48"/>
      <c r="F49" s="51"/>
      <c r="G49" s="106">
        <v>10</v>
      </c>
      <c r="H49" s="99">
        <v>40</v>
      </c>
      <c r="I49" s="100">
        <f t="shared" si="88"/>
        <v>50</v>
      </c>
      <c r="J49" s="99">
        <v>25</v>
      </c>
      <c r="K49" s="100">
        <f t="shared" si="89"/>
        <v>75</v>
      </c>
      <c r="L49" s="98">
        <v>9</v>
      </c>
      <c r="M49" s="99">
        <v>34</v>
      </c>
      <c r="N49" s="100">
        <f t="shared" si="90"/>
        <v>43</v>
      </c>
      <c r="O49" s="99"/>
      <c r="P49" s="100">
        <f t="shared" si="91"/>
        <v>43</v>
      </c>
      <c r="Q49" s="100">
        <f t="shared" si="92"/>
        <v>118</v>
      </c>
      <c r="R49" s="108"/>
      <c r="S49" s="99">
        <f t="shared" si="93"/>
        <v>4</v>
      </c>
      <c r="T49" s="106">
        <v>0</v>
      </c>
      <c r="U49" s="99">
        <v>46</v>
      </c>
      <c r="V49" s="100">
        <f t="shared" si="94"/>
        <v>46</v>
      </c>
      <c r="W49" s="98">
        <v>0</v>
      </c>
      <c r="X49" s="99">
        <v>22</v>
      </c>
      <c r="Y49" s="100">
        <f t="shared" si="95"/>
        <v>22</v>
      </c>
      <c r="Z49" s="100">
        <f t="shared" si="96"/>
        <v>68</v>
      </c>
      <c r="AA49" s="100">
        <f t="shared" si="97"/>
        <v>68</v>
      </c>
      <c r="AB49" s="108"/>
      <c r="AC49" s="99">
        <f t="shared" si="98"/>
        <v>3</v>
      </c>
      <c r="AD49" s="98">
        <v>0</v>
      </c>
      <c r="AE49" s="99">
        <v>18</v>
      </c>
      <c r="AF49" s="100">
        <f t="shared" si="99"/>
        <v>18</v>
      </c>
      <c r="AG49" s="99">
        <v>23</v>
      </c>
      <c r="AH49" s="100">
        <f t="shared" si="100"/>
        <v>41</v>
      </c>
      <c r="AI49" s="108"/>
      <c r="AJ49" s="99">
        <f t="shared" si="101"/>
        <v>2</v>
      </c>
      <c r="AK49" s="98">
        <v>0</v>
      </c>
      <c r="AL49" s="99">
        <v>31</v>
      </c>
      <c r="AM49" s="100">
        <f t="shared" si="102"/>
        <v>31</v>
      </c>
      <c r="AN49" s="99">
        <v>23</v>
      </c>
      <c r="AO49" s="100">
        <f t="shared" si="103"/>
        <v>54</v>
      </c>
      <c r="AP49" s="108"/>
      <c r="AQ49" s="99">
        <f t="shared" si="104"/>
        <v>3</v>
      </c>
      <c r="AR49" s="102"/>
      <c r="AS49" s="99">
        <v>23</v>
      </c>
      <c r="AT49" s="99">
        <v>23</v>
      </c>
      <c r="AU49" s="99"/>
      <c r="AV49" s="109"/>
      <c r="AW49" s="99" t="str">
        <f t="shared" si="106"/>
        <v>F</v>
      </c>
      <c r="AX49" s="98">
        <v>0</v>
      </c>
      <c r="AY49" s="99">
        <v>21</v>
      </c>
      <c r="AZ49" s="100">
        <f t="shared" si="107"/>
        <v>21</v>
      </c>
      <c r="BA49" s="99">
        <v>20</v>
      </c>
      <c r="BB49" s="100">
        <f t="shared" si="108"/>
        <v>41</v>
      </c>
      <c r="BC49" s="108"/>
      <c r="BD49" s="99"/>
      <c r="BE49" s="106"/>
      <c r="BF49" s="99">
        <v>27</v>
      </c>
      <c r="BG49" s="100"/>
      <c r="BH49" s="99"/>
      <c r="BI49" s="100"/>
      <c r="BJ49" s="109"/>
      <c r="BK49" s="99"/>
      <c r="BL49" s="106"/>
      <c r="BM49" s="99">
        <v>20</v>
      </c>
      <c r="BN49" s="100"/>
      <c r="BO49" s="99"/>
      <c r="BP49" s="99"/>
      <c r="BQ49" s="100"/>
      <c r="BR49" s="109"/>
      <c r="BS49" s="99"/>
      <c r="BT49" s="99"/>
      <c r="BU49" s="104"/>
      <c r="BV49" s="105"/>
      <c r="BW49" s="43"/>
      <c r="BX49" s="44"/>
      <c r="BY49" s="40"/>
      <c r="BZ49" s="40"/>
    </row>
    <row r="50" spans="1:78" s="39" customFormat="1" ht="27.95" customHeight="1">
      <c r="A50" s="42">
        <v>41</v>
      </c>
      <c r="B50" s="47">
        <v>104</v>
      </c>
      <c r="C50" s="48" t="s">
        <v>227</v>
      </c>
      <c r="D50" s="48"/>
      <c r="E50" s="48"/>
      <c r="F50" s="51"/>
      <c r="G50" s="98">
        <v>0</v>
      </c>
      <c r="H50" s="99">
        <v>0</v>
      </c>
      <c r="I50" s="100">
        <f t="shared" si="64"/>
        <v>0</v>
      </c>
      <c r="J50" s="99">
        <v>12</v>
      </c>
      <c r="K50" s="100">
        <f t="shared" si="65"/>
        <v>12</v>
      </c>
      <c r="L50" s="98">
        <v>0</v>
      </c>
      <c r="M50" s="99">
        <v>6</v>
      </c>
      <c r="N50" s="100">
        <f t="shared" si="90"/>
        <v>6</v>
      </c>
      <c r="O50" s="99"/>
      <c r="P50" s="100">
        <f t="shared" si="91"/>
        <v>6</v>
      </c>
      <c r="Q50" s="100">
        <f t="shared" si="92"/>
        <v>18</v>
      </c>
      <c r="R50" s="110"/>
      <c r="S50" s="99" t="str">
        <f t="shared" si="93"/>
        <v>F</v>
      </c>
      <c r="T50" s="98">
        <v>0</v>
      </c>
      <c r="U50" s="99">
        <v>21</v>
      </c>
      <c r="V50" s="100">
        <f t="shared" si="69"/>
        <v>21</v>
      </c>
      <c r="W50" s="98">
        <v>0</v>
      </c>
      <c r="X50" s="99">
        <v>0</v>
      </c>
      <c r="Y50" s="100">
        <f t="shared" si="70"/>
        <v>0</v>
      </c>
      <c r="Z50" s="100">
        <f t="shared" si="71"/>
        <v>21</v>
      </c>
      <c r="AA50" s="100">
        <f t="shared" si="72"/>
        <v>21</v>
      </c>
      <c r="AB50" s="110"/>
      <c r="AC50" s="99" t="str">
        <f t="shared" si="13"/>
        <v>F</v>
      </c>
      <c r="AD50" s="98">
        <v>0</v>
      </c>
      <c r="AE50" s="99">
        <v>0</v>
      </c>
      <c r="AF50" s="100">
        <f t="shared" si="99"/>
        <v>0</v>
      </c>
      <c r="AG50" s="99">
        <v>10</v>
      </c>
      <c r="AH50" s="100">
        <f t="shared" si="74"/>
        <v>10</v>
      </c>
      <c r="AI50" s="110"/>
      <c r="AJ50" s="99" t="str">
        <f t="shared" si="75"/>
        <v>F</v>
      </c>
      <c r="AK50" s="98">
        <v>0</v>
      </c>
      <c r="AL50" s="99">
        <v>21</v>
      </c>
      <c r="AM50" s="100">
        <f t="shared" si="76"/>
        <v>21</v>
      </c>
      <c r="AN50" s="99">
        <v>18</v>
      </c>
      <c r="AO50" s="100">
        <f t="shared" si="77"/>
        <v>39</v>
      </c>
      <c r="AP50" s="110"/>
      <c r="AQ50" s="99" t="str">
        <f t="shared" si="19"/>
        <v>F</v>
      </c>
      <c r="AR50" s="102"/>
      <c r="AS50" s="99">
        <v>23</v>
      </c>
      <c r="AT50" s="99">
        <v>23</v>
      </c>
      <c r="AU50" s="99">
        <f t="shared" si="46"/>
        <v>46</v>
      </c>
      <c r="AV50" s="111"/>
      <c r="AW50" s="99">
        <f t="shared" si="106"/>
        <v>5</v>
      </c>
      <c r="AX50" s="98">
        <v>0</v>
      </c>
      <c r="AY50" s="99">
        <v>2</v>
      </c>
      <c r="AZ50" s="100">
        <f t="shared" si="107"/>
        <v>2</v>
      </c>
      <c r="BA50" s="99">
        <v>14</v>
      </c>
      <c r="BB50" s="100">
        <f t="shared" si="108"/>
        <v>16</v>
      </c>
      <c r="BC50" s="110"/>
      <c r="BD50" s="99" t="str">
        <f t="shared" si="24"/>
        <v>F</v>
      </c>
      <c r="BE50" s="98">
        <v>0</v>
      </c>
      <c r="BF50" s="99">
        <v>13</v>
      </c>
      <c r="BG50" s="100">
        <f t="shared" si="80"/>
        <v>13</v>
      </c>
      <c r="BH50" s="99"/>
      <c r="BI50" s="100">
        <f t="shared" si="81"/>
        <v>13</v>
      </c>
      <c r="BJ50" s="111"/>
      <c r="BK50" s="99" t="str">
        <f t="shared" si="27"/>
        <v>F</v>
      </c>
      <c r="BL50" s="98">
        <v>0</v>
      </c>
      <c r="BM50" s="99">
        <v>20</v>
      </c>
      <c r="BN50" s="100">
        <f t="shared" si="62"/>
        <v>20</v>
      </c>
      <c r="BO50" s="99"/>
      <c r="BP50" s="99"/>
      <c r="BQ50" s="100">
        <f t="shared" si="63"/>
        <v>20</v>
      </c>
      <c r="BR50" s="111"/>
      <c r="BS50" s="99">
        <f t="shared" si="82"/>
        <v>2</v>
      </c>
      <c r="BT50" s="99" t="str">
        <f t="shared" si="83"/>
        <v>F</v>
      </c>
      <c r="BU50" s="104" t="str">
        <f t="shared" si="84"/>
        <v>F</v>
      </c>
      <c r="BV50" s="105" t="str">
        <f t="shared" si="85"/>
        <v>F</v>
      </c>
      <c r="BW50" s="43" t="str">
        <f t="shared" si="86"/>
        <v>NEED TO PROGRESS</v>
      </c>
      <c r="BX50" s="44">
        <f t="shared" si="87"/>
        <v>163</v>
      </c>
      <c r="BY50" s="40"/>
      <c r="BZ50" s="40"/>
    </row>
    <row r="51" spans="1:78" s="28" customFormat="1">
      <c r="A51" s="30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5"/>
      <c r="BZ51" s="33"/>
    </row>
    <row r="52" spans="1:78" s="28" customFormat="1">
      <c r="A52" s="30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5"/>
      <c r="BZ52" s="33"/>
    </row>
    <row r="53" spans="1:78" s="28" customFormat="1">
      <c r="A53" s="30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5"/>
      <c r="BZ53" s="33"/>
    </row>
    <row r="54" spans="1:78" s="28" customFormat="1">
      <c r="A54" s="30">
        <v>0</v>
      </c>
      <c r="B54" s="36">
        <v>1</v>
      </c>
      <c r="C54" s="37">
        <v>2</v>
      </c>
      <c r="D54" s="36">
        <v>3</v>
      </c>
      <c r="E54" s="37">
        <v>4</v>
      </c>
      <c r="F54" s="36">
        <v>5</v>
      </c>
      <c r="G54" s="30">
        <v>6</v>
      </c>
      <c r="H54" s="36">
        <v>7</v>
      </c>
      <c r="I54" s="37">
        <v>8</v>
      </c>
      <c r="J54" s="36">
        <v>9</v>
      </c>
      <c r="K54" s="37">
        <v>10</v>
      </c>
      <c r="L54" s="36">
        <v>11</v>
      </c>
      <c r="M54" s="30">
        <v>12</v>
      </c>
      <c r="N54" s="36">
        <v>13</v>
      </c>
      <c r="O54" s="37">
        <v>14</v>
      </c>
      <c r="P54" s="36">
        <v>15</v>
      </c>
      <c r="Q54" s="37">
        <v>16</v>
      </c>
      <c r="R54" s="36">
        <v>17</v>
      </c>
      <c r="S54" s="30">
        <v>18</v>
      </c>
      <c r="T54" s="36">
        <v>19</v>
      </c>
      <c r="U54" s="37">
        <v>20</v>
      </c>
      <c r="V54" s="36">
        <v>21</v>
      </c>
      <c r="W54" s="37">
        <v>22</v>
      </c>
      <c r="X54" s="36">
        <v>23</v>
      </c>
      <c r="Y54" s="30">
        <v>24</v>
      </c>
      <c r="Z54" s="36">
        <v>25</v>
      </c>
      <c r="AA54" s="37">
        <v>26</v>
      </c>
      <c r="AB54" s="36">
        <v>27</v>
      </c>
      <c r="AC54" s="37">
        <v>28</v>
      </c>
      <c r="AD54" s="36">
        <v>29</v>
      </c>
      <c r="AE54" s="30">
        <v>30</v>
      </c>
      <c r="AF54" s="36">
        <v>31</v>
      </c>
      <c r="AG54" s="37">
        <v>32</v>
      </c>
      <c r="AH54" s="36">
        <v>33</v>
      </c>
      <c r="AI54" s="37">
        <v>34</v>
      </c>
      <c r="AJ54" s="36">
        <v>35</v>
      </c>
      <c r="AK54" s="30">
        <v>36</v>
      </c>
      <c r="AL54" s="36">
        <v>37</v>
      </c>
      <c r="AM54" s="37">
        <v>38</v>
      </c>
      <c r="AN54" s="36">
        <v>39</v>
      </c>
      <c r="AO54" s="37">
        <v>40</v>
      </c>
      <c r="AP54" s="36">
        <v>41</v>
      </c>
      <c r="AQ54" s="30">
        <v>42</v>
      </c>
      <c r="AR54" s="36">
        <v>43</v>
      </c>
      <c r="AS54" s="37">
        <v>44</v>
      </c>
      <c r="AT54" s="36">
        <v>45</v>
      </c>
      <c r="AU54" s="37">
        <v>46</v>
      </c>
      <c r="AV54" s="36">
        <v>47</v>
      </c>
      <c r="AW54" s="30">
        <v>48</v>
      </c>
      <c r="AX54" s="36">
        <v>49</v>
      </c>
      <c r="AY54" s="37">
        <v>50</v>
      </c>
      <c r="AZ54" s="36">
        <v>51</v>
      </c>
      <c r="BA54" s="37">
        <v>52</v>
      </c>
      <c r="BB54" s="36">
        <v>53</v>
      </c>
      <c r="BC54" s="30">
        <v>54</v>
      </c>
      <c r="BD54" s="36">
        <v>55</v>
      </c>
      <c r="BE54" s="37">
        <v>56</v>
      </c>
      <c r="BF54" s="36">
        <v>57</v>
      </c>
      <c r="BG54" s="37">
        <v>58</v>
      </c>
      <c r="BH54" s="36">
        <v>59</v>
      </c>
      <c r="BI54" s="30">
        <v>60</v>
      </c>
      <c r="BJ54" s="36">
        <v>61</v>
      </c>
      <c r="BK54" s="37">
        <v>62</v>
      </c>
      <c r="BL54" s="36">
        <v>63</v>
      </c>
      <c r="BM54" s="37">
        <v>64</v>
      </c>
      <c r="BN54" s="36">
        <v>65</v>
      </c>
      <c r="BO54" s="30">
        <v>66</v>
      </c>
      <c r="BP54" s="36">
        <v>67</v>
      </c>
      <c r="BQ54" s="37">
        <v>68</v>
      </c>
      <c r="BR54" s="36">
        <v>69</v>
      </c>
      <c r="BS54" s="37">
        <v>70</v>
      </c>
      <c r="BT54" s="36">
        <v>71</v>
      </c>
      <c r="BU54" s="30">
        <v>72</v>
      </c>
      <c r="BV54" s="36">
        <v>73</v>
      </c>
      <c r="BW54" s="37">
        <v>74</v>
      </c>
      <c r="BX54" s="36">
        <v>75</v>
      </c>
      <c r="BY54" s="37">
        <v>76</v>
      </c>
      <c r="BZ54" s="36">
        <v>77</v>
      </c>
    </row>
    <row r="55" spans="1:78" s="28" customFormat="1">
      <c r="A55" s="30"/>
      <c r="B55" s="37"/>
      <c r="C55" s="37"/>
      <c r="D55" s="37"/>
      <c r="E55" s="37"/>
      <c r="F55" s="37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5"/>
      <c r="BZ55" s="33"/>
    </row>
    <row r="56" spans="1:78" s="28" customFormat="1">
      <c r="A56" s="30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5"/>
      <c r="BZ56" s="33"/>
    </row>
    <row r="57" spans="1:78" s="28" customFormat="1">
      <c r="A57" s="30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5"/>
      <c r="BZ57" s="33"/>
    </row>
    <row r="58" spans="1:78" s="28" customFormat="1">
      <c r="A58" s="30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5"/>
      <c r="BZ58" s="33"/>
    </row>
    <row r="59" spans="1:78" s="28" customFormat="1">
      <c r="A59" s="30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5"/>
      <c r="BZ59" s="33"/>
    </row>
    <row r="60" spans="1:78" s="28" customFormat="1">
      <c r="A60" s="30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7"/>
      <c r="BW60" s="33"/>
      <c r="BX60" s="33"/>
      <c r="BY60" s="35"/>
      <c r="BZ60" s="33"/>
    </row>
    <row r="61" spans="1:78" s="28" customFormat="1">
      <c r="A61" s="30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5"/>
      <c r="BZ61" s="33"/>
    </row>
    <row r="62" spans="1:78" s="28" customFormat="1">
      <c r="A62" s="30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5"/>
      <c r="BZ62" s="33"/>
    </row>
    <row r="63" spans="1:78" s="28" customFormat="1" ht="14.45" customHeight="1">
      <c r="A63" s="30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5"/>
      <c r="BZ63" s="33"/>
    </row>
    <row r="64" spans="1:78" s="28" customFormat="1">
      <c r="A64" s="30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5"/>
      <c r="BZ64" s="33"/>
    </row>
    <row r="65" spans="1:77" s="28" customFormat="1" ht="11.45" customHeight="1">
      <c r="A65" s="33"/>
      <c r="B65" s="37"/>
      <c r="C65" s="37"/>
      <c r="D65" s="37"/>
      <c r="E65" s="37"/>
      <c r="F65" s="37"/>
      <c r="G65" s="33"/>
      <c r="H65" s="33"/>
      <c r="I65" s="33"/>
      <c r="J65" s="33"/>
      <c r="K65" s="35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Y65" s="38"/>
    </row>
    <row r="66" spans="1:77" s="28" customFormat="1">
      <c r="A66" s="37"/>
      <c r="B66" s="33"/>
      <c r="C66" s="33"/>
      <c r="D66" s="33"/>
      <c r="E66" s="33"/>
      <c r="F66" s="33"/>
      <c r="G66" s="37"/>
      <c r="H66" s="37"/>
      <c r="I66" s="37"/>
      <c r="J66" s="37"/>
      <c r="K66" s="36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Y66" s="38"/>
    </row>
    <row r="67" spans="1:77" s="28" customFormat="1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5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Y67" s="38"/>
    </row>
    <row r="68" spans="1:77" s="28" customFormat="1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5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Y68" s="38"/>
    </row>
    <row r="69" spans="1:77" s="28" customForma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5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Y69" s="38"/>
    </row>
    <row r="70" spans="1:77" s="28" customFormat="1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5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Y70" s="38"/>
    </row>
    <row r="71" spans="1:77">
      <c r="K71" s="35"/>
      <c r="BY71" s="35"/>
    </row>
    <row r="72" spans="1:77">
      <c r="K72" s="35"/>
      <c r="BY72" s="35"/>
    </row>
    <row r="73" spans="1:77">
      <c r="K73" s="35"/>
      <c r="BY73" s="35"/>
    </row>
    <row r="74" spans="1:77">
      <c r="K74" s="35"/>
      <c r="BY74" s="35"/>
    </row>
    <row r="75" spans="1:77">
      <c r="K75" s="35"/>
      <c r="BY75" s="35"/>
    </row>
    <row r="76" spans="1:77">
      <c r="K76" s="35"/>
      <c r="BY76" s="35"/>
    </row>
    <row r="77" spans="1:77">
      <c r="K77" s="35"/>
      <c r="BY77" s="35"/>
    </row>
    <row r="78" spans="1:77">
      <c r="K78" s="35"/>
      <c r="BY78" s="35"/>
    </row>
    <row r="79" spans="1:77">
      <c r="K79" s="35"/>
      <c r="BY79" s="35"/>
    </row>
    <row r="80" spans="1:77" ht="15" customHeight="1">
      <c r="K80" s="35"/>
      <c r="BY80" s="35"/>
    </row>
    <row r="81" spans="11:77" ht="17.45" customHeight="1">
      <c r="K81" s="35"/>
      <c r="BY81" s="35"/>
    </row>
    <row r="82" spans="11:77">
      <c r="K82" s="35"/>
      <c r="BY82" s="35"/>
    </row>
    <row r="83" spans="11:77">
      <c r="K83" s="35"/>
      <c r="BY83" s="35"/>
    </row>
    <row r="84" spans="11:77">
      <c r="K84" s="35"/>
      <c r="BY84" s="35"/>
    </row>
    <row r="85" spans="11:77">
      <c r="K85" s="35"/>
      <c r="BY85" s="35"/>
    </row>
    <row r="86" spans="11:77">
      <c r="K86" s="35"/>
      <c r="BY86" s="35"/>
    </row>
    <row r="87" spans="11:77">
      <c r="K87" s="35"/>
      <c r="BY87" s="35"/>
    </row>
    <row r="88" spans="11:77">
      <c r="K88" s="35"/>
      <c r="BY88" s="35"/>
    </row>
    <row r="89" spans="11:77">
      <c r="K89" s="35"/>
      <c r="BY89" s="35"/>
    </row>
    <row r="90" spans="11:77">
      <c r="K90" s="35"/>
      <c r="BY90" s="35"/>
    </row>
    <row r="91" spans="11:77">
      <c r="K91" s="35"/>
      <c r="BY91" s="35"/>
    </row>
    <row r="92" spans="11:77">
      <c r="K92" s="35"/>
      <c r="BY92" s="35"/>
    </row>
    <row r="93" spans="11:77">
      <c r="K93" s="35"/>
      <c r="BY93" s="35"/>
    </row>
    <row r="94" spans="11:77">
      <c r="K94" s="35"/>
      <c r="BY94" s="35"/>
    </row>
    <row r="95" spans="11:77">
      <c r="K95" s="35"/>
      <c r="BY95" s="35"/>
    </row>
    <row r="96" spans="11:77">
      <c r="K96" s="35"/>
      <c r="BY96" s="35"/>
    </row>
    <row r="97" spans="11:77">
      <c r="K97" s="35"/>
      <c r="BY97" s="35"/>
    </row>
    <row r="98" spans="11:77">
      <c r="K98" s="35"/>
      <c r="BY98" s="35"/>
    </row>
    <row r="99" spans="11:77">
      <c r="K99" s="35"/>
      <c r="BY99" s="35"/>
    </row>
    <row r="100" spans="11:77">
      <c r="K100" s="35"/>
      <c r="BY100" s="35"/>
    </row>
    <row r="101" spans="11:77">
      <c r="K101" s="35"/>
      <c r="BY101" s="35"/>
    </row>
    <row r="102" spans="11:77">
      <c r="K102" s="35"/>
      <c r="BY102" s="35"/>
    </row>
    <row r="103" spans="11:77">
      <c r="K103" s="35"/>
      <c r="BY103" s="35"/>
    </row>
    <row r="104" spans="11:77">
      <c r="K104" s="35"/>
      <c r="BY104" s="35"/>
    </row>
    <row r="105" spans="11:77">
      <c r="K105" s="35"/>
      <c r="BY105" s="35"/>
    </row>
    <row r="106" spans="11:77">
      <c r="K106" s="35"/>
      <c r="BY106" s="35"/>
    </row>
    <row r="107" spans="11:77">
      <c r="K107" s="35"/>
      <c r="BY107" s="35"/>
    </row>
    <row r="108" spans="11:77">
      <c r="K108" s="35"/>
      <c r="BY108" s="35"/>
    </row>
    <row r="109" spans="11:77">
      <c r="K109" s="35"/>
      <c r="BY109" s="35"/>
    </row>
    <row r="110" spans="11:77">
      <c r="K110" s="35"/>
      <c r="BY110" s="35"/>
    </row>
    <row r="111" spans="11:77">
      <c r="K111" s="35"/>
      <c r="BY111" s="35"/>
    </row>
    <row r="112" spans="11:77">
      <c r="K112" s="35"/>
      <c r="BY112" s="35"/>
    </row>
    <row r="113" spans="11:77">
      <c r="K113" s="35"/>
      <c r="BY113" s="35"/>
    </row>
    <row r="114" spans="11:77">
      <c r="K114" s="35"/>
      <c r="BY114" s="35"/>
    </row>
    <row r="115" spans="11:77">
      <c r="K115" s="35"/>
      <c r="BY115" s="35"/>
    </row>
    <row r="116" spans="11:77">
      <c r="K116" s="35"/>
      <c r="BY116" s="35"/>
    </row>
    <row r="117" spans="11:77">
      <c r="K117" s="35"/>
      <c r="BY117" s="35"/>
    </row>
    <row r="118" spans="11:77">
      <c r="K118" s="35"/>
      <c r="BY118" s="35"/>
    </row>
    <row r="119" spans="11:77">
      <c r="K119" s="35"/>
      <c r="BY119" s="35"/>
    </row>
    <row r="120" spans="11:77">
      <c r="K120" s="35"/>
      <c r="BY120" s="35"/>
    </row>
    <row r="121" spans="11:77">
      <c r="K121" s="35"/>
      <c r="BY121" s="35"/>
    </row>
    <row r="122" spans="11:77">
      <c r="K122" s="35"/>
      <c r="BY122" s="35"/>
    </row>
    <row r="123" spans="11:77">
      <c r="K123" s="35"/>
      <c r="BY123" s="35"/>
    </row>
    <row r="124" spans="11:77">
      <c r="K124" s="35"/>
      <c r="BY124" s="35"/>
    </row>
    <row r="125" spans="11:77">
      <c r="K125" s="35"/>
      <c r="BY125" s="35"/>
    </row>
    <row r="126" spans="11:77">
      <c r="K126" s="35"/>
      <c r="BY126" s="35"/>
    </row>
    <row r="127" spans="11:77">
      <c r="K127" s="35"/>
      <c r="BY127" s="35"/>
    </row>
    <row r="128" spans="11:77">
      <c r="K128" s="35"/>
      <c r="BY128" s="35"/>
    </row>
    <row r="129" spans="11:77">
      <c r="K129" s="35"/>
      <c r="BY129" s="35"/>
    </row>
    <row r="130" spans="11:77">
      <c r="K130" s="35"/>
      <c r="BY130" s="35"/>
    </row>
    <row r="131" spans="11:77">
      <c r="K131" s="35"/>
      <c r="BY131" s="35"/>
    </row>
    <row r="132" spans="11:77">
      <c r="K132" s="35"/>
      <c r="BY132" s="35"/>
    </row>
    <row r="133" spans="11:77">
      <c r="K133" s="35"/>
      <c r="BY133" s="35"/>
    </row>
    <row r="134" spans="11:77">
      <c r="K134" s="35"/>
      <c r="BY134" s="35"/>
    </row>
    <row r="135" spans="11:77">
      <c r="K135" s="35"/>
      <c r="BY135" s="35"/>
    </row>
    <row r="136" spans="11:77">
      <c r="K136" s="35"/>
      <c r="BY136" s="35"/>
    </row>
    <row r="137" spans="11:77">
      <c r="K137" s="35"/>
      <c r="BY137" s="35"/>
    </row>
    <row r="138" spans="11:77">
      <c r="K138" s="35"/>
      <c r="BY138" s="35"/>
    </row>
    <row r="139" spans="11:77">
      <c r="K139" s="35"/>
      <c r="BY139" s="35"/>
    </row>
    <row r="140" spans="11:77">
      <c r="K140" s="35"/>
      <c r="BY140" s="35"/>
    </row>
    <row r="141" spans="11:77">
      <c r="K141" s="35"/>
      <c r="BY141" s="35"/>
    </row>
    <row r="142" spans="11:77">
      <c r="K142" s="35"/>
      <c r="BY142" s="35"/>
    </row>
    <row r="143" spans="11:77">
      <c r="K143" s="35"/>
      <c r="BY143" s="35"/>
    </row>
    <row r="144" spans="11:77">
      <c r="K144" s="35"/>
      <c r="BY144" s="35"/>
    </row>
    <row r="145" spans="11:77">
      <c r="K145" s="35"/>
      <c r="BY145" s="35"/>
    </row>
    <row r="146" spans="11:77">
      <c r="K146" s="35"/>
      <c r="BY146" s="35"/>
    </row>
    <row r="147" spans="11:77">
      <c r="K147" s="35"/>
      <c r="BY147" s="35"/>
    </row>
    <row r="148" spans="11:77">
      <c r="K148" s="35"/>
      <c r="BY148" s="35"/>
    </row>
    <row r="149" spans="11:77">
      <c r="K149" s="35"/>
      <c r="BY149" s="35"/>
    </row>
    <row r="150" spans="11:77">
      <c r="K150" s="35"/>
      <c r="BY150" s="35"/>
    </row>
    <row r="151" spans="11:77">
      <c r="K151" s="35"/>
      <c r="BY151" s="35"/>
    </row>
    <row r="152" spans="11:77">
      <c r="K152" s="35"/>
      <c r="BY152" s="35"/>
    </row>
    <row r="153" spans="11:77">
      <c r="K153" s="35"/>
      <c r="BY153" s="35"/>
    </row>
    <row r="154" spans="11:77">
      <c r="K154" s="35"/>
      <c r="BY154" s="35"/>
    </row>
    <row r="155" spans="11:77">
      <c r="K155" s="35"/>
      <c r="BY155" s="35"/>
    </row>
    <row r="156" spans="11:77">
      <c r="K156" s="35"/>
      <c r="BY156" s="35"/>
    </row>
    <row r="157" spans="11:77">
      <c r="K157" s="35"/>
      <c r="BY157" s="35"/>
    </row>
    <row r="158" spans="11:77">
      <c r="K158" s="35"/>
      <c r="BY158" s="35"/>
    </row>
    <row r="159" spans="11:77">
      <c r="K159" s="35"/>
      <c r="BY159" s="35"/>
    </row>
    <row r="160" spans="11:77">
      <c r="K160" s="35"/>
      <c r="BY160" s="35"/>
    </row>
    <row r="161" spans="11:77">
      <c r="K161" s="35"/>
      <c r="BY161" s="35"/>
    </row>
    <row r="162" spans="11:77">
      <c r="K162" s="35"/>
      <c r="BY162" s="35"/>
    </row>
    <row r="163" spans="11:77">
      <c r="K163" s="35"/>
      <c r="BY163" s="35"/>
    </row>
    <row r="164" spans="11:77">
      <c r="BY164" s="35"/>
    </row>
    <row r="165" spans="11:77">
      <c r="BY165" s="35"/>
    </row>
    <row r="166" spans="11:77">
      <c r="BY166" s="35"/>
    </row>
    <row r="167" spans="11:77">
      <c r="BY167" s="35"/>
    </row>
    <row r="168" spans="11:77">
      <c r="BY168" s="35"/>
    </row>
    <row r="169" spans="11:77">
      <c r="BY169" s="35"/>
    </row>
    <row r="170" spans="11:77">
      <c r="BY170" s="35"/>
    </row>
    <row r="171" spans="11:77">
      <c r="BY171" s="35"/>
    </row>
    <row r="172" spans="11:77">
      <c r="BY172" s="35"/>
    </row>
    <row r="173" spans="11:77">
      <c r="BY173" s="35"/>
    </row>
    <row r="174" spans="11:77">
      <c r="BY174" s="35"/>
    </row>
    <row r="175" spans="11:77">
      <c r="BY175" s="35"/>
    </row>
    <row r="176" spans="11:77">
      <c r="BY176" s="35"/>
    </row>
    <row r="177" spans="77:77">
      <c r="BY177" s="35"/>
    </row>
    <row r="178" spans="77:77">
      <c r="BY178" s="35"/>
    </row>
    <row r="179" spans="77:77">
      <c r="BY179" s="35"/>
    </row>
    <row r="180" spans="77:77">
      <c r="BY180" s="35"/>
    </row>
    <row r="181" spans="77:77">
      <c r="BY181" s="35"/>
    </row>
    <row r="182" spans="77:77">
      <c r="BY182" s="35"/>
    </row>
    <row r="183" spans="77:77">
      <c r="BY183" s="35"/>
    </row>
    <row r="184" spans="77:77">
      <c r="BY184" s="35"/>
    </row>
    <row r="185" spans="77:77">
      <c r="BY185" s="35"/>
    </row>
    <row r="186" spans="77:77">
      <c r="BY186" s="35"/>
    </row>
    <row r="187" spans="77:77">
      <c r="BY187" s="35"/>
    </row>
    <row r="188" spans="77:77">
      <c r="BY188" s="35"/>
    </row>
    <row r="189" spans="77:77">
      <c r="BY189" s="35"/>
    </row>
    <row r="190" spans="77:77">
      <c r="BY190" s="35"/>
    </row>
    <row r="191" spans="77:77">
      <c r="BY191" s="35"/>
    </row>
    <row r="192" spans="77:77">
      <c r="BY192" s="35"/>
    </row>
    <row r="193" spans="77:77">
      <c r="BY193" s="35"/>
    </row>
    <row r="194" spans="77:77">
      <c r="BY194" s="35"/>
    </row>
    <row r="195" spans="77:77">
      <c r="BY195" s="35"/>
    </row>
    <row r="196" spans="77:77">
      <c r="BY196" s="35"/>
    </row>
    <row r="197" spans="77:77">
      <c r="BY197" s="35"/>
    </row>
    <row r="198" spans="77:77">
      <c r="BY198" s="35"/>
    </row>
    <row r="199" spans="77:77">
      <c r="BY199" s="35"/>
    </row>
    <row r="200" spans="77:77">
      <c r="BY200" s="35"/>
    </row>
    <row r="201" spans="77:77">
      <c r="BY201" s="35"/>
    </row>
    <row r="202" spans="77:77">
      <c r="BY202" s="35"/>
    </row>
    <row r="203" spans="77:77">
      <c r="BY203" s="35"/>
    </row>
    <row r="204" spans="77:77">
      <c r="BY204" s="35"/>
    </row>
    <row r="205" spans="77:77">
      <c r="BY205" s="35"/>
    </row>
    <row r="206" spans="77:77">
      <c r="BY206" s="35"/>
    </row>
    <row r="207" spans="77:77">
      <c r="BY207" s="35"/>
    </row>
    <row r="208" spans="77:77">
      <c r="BY208" s="35"/>
    </row>
    <row r="209" spans="77:77">
      <c r="BY209" s="35"/>
    </row>
    <row r="210" spans="77:77">
      <c r="BY210" s="35"/>
    </row>
    <row r="211" spans="77:77">
      <c r="BY211" s="35"/>
    </row>
    <row r="212" spans="77:77">
      <c r="BY212" s="35"/>
    </row>
    <row r="213" spans="77:77">
      <c r="BY213" s="35"/>
    </row>
    <row r="214" spans="77:77">
      <c r="BY214" s="35"/>
    </row>
    <row r="215" spans="77:77">
      <c r="BY215" s="35"/>
    </row>
    <row r="216" spans="77:77">
      <c r="BY216" s="35"/>
    </row>
    <row r="217" spans="77:77">
      <c r="BY217" s="35"/>
    </row>
    <row r="218" spans="77:77">
      <c r="BY218" s="35"/>
    </row>
    <row r="219" spans="77:77">
      <c r="BY219" s="35"/>
    </row>
    <row r="220" spans="77:77">
      <c r="BY220" s="35"/>
    </row>
    <row r="221" spans="77:77">
      <c r="BY221" s="35"/>
    </row>
    <row r="222" spans="77:77">
      <c r="BY222" s="35"/>
    </row>
    <row r="223" spans="77:77">
      <c r="BY223" s="35"/>
    </row>
    <row r="224" spans="77:77">
      <c r="BY224" s="35"/>
    </row>
    <row r="225" spans="77:77">
      <c r="BY225" s="35"/>
    </row>
    <row r="226" spans="77:77">
      <c r="BY226" s="35"/>
    </row>
    <row r="227" spans="77:77">
      <c r="BY227" s="35"/>
    </row>
    <row r="228" spans="77:77">
      <c r="BY228" s="35"/>
    </row>
    <row r="229" spans="77:77">
      <c r="BY229" s="35"/>
    </row>
    <row r="230" spans="77:77">
      <c r="BY230" s="35"/>
    </row>
    <row r="231" spans="77:77">
      <c r="BY231" s="35"/>
    </row>
    <row r="232" spans="77:77">
      <c r="BY232" s="35"/>
    </row>
    <row r="233" spans="77:77">
      <c r="BY233" s="35"/>
    </row>
    <row r="234" spans="77:77">
      <c r="BY234" s="35"/>
    </row>
    <row r="235" spans="77:77">
      <c r="BY235" s="35"/>
    </row>
    <row r="236" spans="77:77">
      <c r="BY236" s="35"/>
    </row>
    <row r="237" spans="77:77">
      <c r="BY237" s="35"/>
    </row>
    <row r="238" spans="77:77">
      <c r="BY238" s="35"/>
    </row>
    <row r="239" spans="77:77">
      <c r="BY239" s="35"/>
    </row>
    <row r="240" spans="77:77">
      <c r="BY240" s="35"/>
    </row>
    <row r="241" spans="77:77">
      <c r="BY241" s="35"/>
    </row>
    <row r="242" spans="77:77">
      <c r="BY242" s="35"/>
    </row>
    <row r="243" spans="77:77">
      <c r="BY243" s="35"/>
    </row>
    <row r="244" spans="77:77">
      <c r="BY244" s="35"/>
    </row>
    <row r="245" spans="77:77">
      <c r="BY245" s="35"/>
    </row>
    <row r="246" spans="77:77">
      <c r="BY246" s="35"/>
    </row>
    <row r="247" spans="77:77">
      <c r="BY247" s="35"/>
    </row>
    <row r="248" spans="77:77">
      <c r="BY248" s="35"/>
    </row>
    <row r="249" spans="77:77">
      <c r="BY249" s="35"/>
    </row>
    <row r="250" spans="77:77">
      <c r="BY250" s="35"/>
    </row>
    <row r="251" spans="77:77">
      <c r="BY251" s="35"/>
    </row>
    <row r="252" spans="77:77">
      <c r="BY252" s="35"/>
    </row>
    <row r="253" spans="77:77">
      <c r="BY253" s="35"/>
    </row>
    <row r="254" spans="77:77">
      <c r="BY254" s="35"/>
    </row>
    <row r="255" spans="77:77">
      <c r="BY255" s="35"/>
    </row>
    <row r="256" spans="77:77">
      <c r="BY256" s="35"/>
    </row>
    <row r="257" spans="77:77">
      <c r="BY257" s="35"/>
    </row>
    <row r="258" spans="77:77">
      <c r="BY258" s="35"/>
    </row>
    <row r="259" spans="77:77">
      <c r="BY259" s="35"/>
    </row>
    <row r="260" spans="77:77">
      <c r="BY260" s="35"/>
    </row>
    <row r="261" spans="77:77">
      <c r="BY261" s="35"/>
    </row>
    <row r="262" spans="77:77">
      <c r="BY262" s="35"/>
    </row>
    <row r="263" spans="77:77">
      <c r="BY263" s="35"/>
    </row>
    <row r="264" spans="77:77">
      <c r="BY264" s="35"/>
    </row>
    <row r="265" spans="77:77">
      <c r="BY265" s="35"/>
    </row>
    <row r="266" spans="77:77">
      <c r="BY266" s="35"/>
    </row>
    <row r="267" spans="77:77">
      <c r="BY267" s="35"/>
    </row>
    <row r="268" spans="77:77">
      <c r="BY268" s="35"/>
    </row>
    <row r="269" spans="77:77">
      <c r="BY269" s="35"/>
    </row>
    <row r="270" spans="77:77">
      <c r="BY270" s="35"/>
    </row>
    <row r="271" spans="77:77">
      <c r="BY271" s="35"/>
    </row>
    <row r="272" spans="77:77">
      <c r="BY272" s="35"/>
    </row>
    <row r="273" spans="77:77">
      <c r="BY273" s="35"/>
    </row>
    <row r="274" spans="77:77">
      <c r="BY274" s="35"/>
    </row>
    <row r="275" spans="77:77">
      <c r="BY275" s="35"/>
    </row>
    <row r="276" spans="77:77">
      <c r="BY276" s="35"/>
    </row>
    <row r="277" spans="77:77">
      <c r="BY277" s="35"/>
    </row>
    <row r="278" spans="77:77">
      <c r="BY278" s="35"/>
    </row>
    <row r="279" spans="77:77">
      <c r="BY279" s="35"/>
    </row>
    <row r="280" spans="77:77">
      <c r="BY280" s="35"/>
    </row>
    <row r="281" spans="77:77">
      <c r="BY281" s="35"/>
    </row>
    <row r="282" spans="77:77">
      <c r="BY282" s="35"/>
    </row>
    <row r="283" spans="77:77">
      <c r="BY283" s="35"/>
    </row>
    <row r="284" spans="77:77">
      <c r="BY284" s="35"/>
    </row>
    <row r="285" spans="77:77">
      <c r="BY285" s="35"/>
    </row>
    <row r="286" spans="77:77">
      <c r="BY286" s="35"/>
    </row>
    <row r="287" spans="77:77">
      <c r="BY287" s="35"/>
    </row>
    <row r="288" spans="77:77">
      <c r="BY288" s="35"/>
    </row>
    <row r="289" spans="77:77">
      <c r="BY289" s="35"/>
    </row>
    <row r="290" spans="77:77">
      <c r="BY290" s="35"/>
    </row>
    <row r="291" spans="77:77">
      <c r="BY291" s="35"/>
    </row>
    <row r="292" spans="77:77">
      <c r="BY292" s="35"/>
    </row>
    <row r="293" spans="77:77">
      <c r="BY293" s="35"/>
    </row>
    <row r="294" spans="77:77">
      <c r="BY294" s="35"/>
    </row>
    <row r="295" spans="77:77">
      <c r="BY295" s="35"/>
    </row>
    <row r="296" spans="77:77">
      <c r="BY296" s="35"/>
    </row>
    <row r="297" spans="77:77">
      <c r="BY297" s="35"/>
    </row>
    <row r="298" spans="77:77">
      <c r="BY298" s="35"/>
    </row>
    <row r="299" spans="77:77">
      <c r="BY299" s="35"/>
    </row>
    <row r="300" spans="77:77">
      <c r="BY300" s="35"/>
    </row>
    <row r="301" spans="77:77">
      <c r="BY301" s="35"/>
    </row>
    <row r="302" spans="77:77">
      <c r="BY302" s="35"/>
    </row>
    <row r="303" spans="77:77">
      <c r="BY303" s="35"/>
    </row>
    <row r="304" spans="77:77">
      <c r="BY304" s="35"/>
    </row>
    <row r="305" spans="77:77">
      <c r="BY305" s="35"/>
    </row>
    <row r="306" spans="77:77">
      <c r="BY306" s="35"/>
    </row>
    <row r="307" spans="77:77">
      <c r="BY307" s="35"/>
    </row>
    <row r="308" spans="77:77">
      <c r="BY308" s="35"/>
    </row>
    <row r="309" spans="77:77">
      <c r="BY309" s="35"/>
    </row>
    <row r="310" spans="77:77">
      <c r="BY310" s="35"/>
    </row>
    <row r="311" spans="77:77">
      <c r="BY311" s="35"/>
    </row>
    <row r="312" spans="77:77">
      <c r="BY312" s="35"/>
    </row>
    <row r="313" spans="77:77">
      <c r="BY313" s="35"/>
    </row>
    <row r="314" spans="77:77">
      <c r="BY314" s="35"/>
    </row>
    <row r="315" spans="77:77">
      <c r="BY315" s="35"/>
    </row>
    <row r="316" spans="77:77">
      <c r="BY316" s="35"/>
    </row>
    <row r="317" spans="77:77">
      <c r="BY317" s="35"/>
    </row>
    <row r="318" spans="77:77">
      <c r="BY318" s="35"/>
    </row>
    <row r="319" spans="77:77">
      <c r="BY319" s="35"/>
    </row>
    <row r="320" spans="77:77">
      <c r="BY320" s="35"/>
    </row>
    <row r="321" spans="77:77">
      <c r="BY321" s="35"/>
    </row>
    <row r="322" spans="77:77">
      <c r="BY322" s="35"/>
    </row>
    <row r="323" spans="77:77">
      <c r="BY323" s="35"/>
    </row>
    <row r="324" spans="77:77">
      <c r="BY324" s="35"/>
    </row>
    <row r="325" spans="77:77">
      <c r="BY325" s="35"/>
    </row>
    <row r="326" spans="77:77">
      <c r="BY326" s="35"/>
    </row>
    <row r="327" spans="77:77">
      <c r="BY327" s="35"/>
    </row>
    <row r="328" spans="77:77">
      <c r="BY328" s="35"/>
    </row>
    <row r="329" spans="77:77">
      <c r="BY329" s="35"/>
    </row>
    <row r="330" spans="77:77">
      <c r="BY330" s="35"/>
    </row>
    <row r="331" spans="77:77">
      <c r="BY331" s="35"/>
    </row>
    <row r="332" spans="77:77">
      <c r="BY332" s="35"/>
    </row>
    <row r="333" spans="77:77">
      <c r="BY333" s="35"/>
    </row>
    <row r="334" spans="77:77">
      <c r="BY334" s="35"/>
    </row>
    <row r="335" spans="77:77">
      <c r="BY335" s="35"/>
    </row>
    <row r="336" spans="77:77">
      <c r="BY336" s="35"/>
    </row>
    <row r="337" spans="77:77">
      <c r="BY337" s="35"/>
    </row>
    <row r="338" spans="77:77">
      <c r="BY338" s="35"/>
    </row>
    <row r="339" spans="77:77">
      <c r="BY339" s="35"/>
    </row>
    <row r="340" spans="77:77">
      <c r="BY340" s="35"/>
    </row>
    <row r="341" spans="77:77">
      <c r="BY341" s="35"/>
    </row>
    <row r="342" spans="77:77">
      <c r="BY342" s="35"/>
    </row>
    <row r="343" spans="77:77">
      <c r="BY343" s="35"/>
    </row>
    <row r="344" spans="77:77">
      <c r="BY344" s="35"/>
    </row>
    <row r="345" spans="77:77">
      <c r="BY345" s="35"/>
    </row>
    <row r="346" spans="77:77">
      <c r="BY346" s="35"/>
    </row>
    <row r="347" spans="77:77">
      <c r="BY347" s="35"/>
    </row>
    <row r="348" spans="77:77">
      <c r="BY348" s="35"/>
    </row>
    <row r="349" spans="77:77">
      <c r="BY349" s="35"/>
    </row>
    <row r="350" spans="77:77">
      <c r="BY350" s="35"/>
    </row>
    <row r="351" spans="77:77">
      <c r="BY351" s="35"/>
    </row>
    <row r="352" spans="77:77">
      <c r="BY352" s="35"/>
    </row>
    <row r="353" spans="77:77">
      <c r="BY353" s="35"/>
    </row>
    <row r="354" spans="77:77">
      <c r="BY354" s="35"/>
    </row>
    <row r="355" spans="77:77">
      <c r="BY355" s="35"/>
    </row>
    <row r="356" spans="77:77">
      <c r="BY356" s="35"/>
    </row>
    <row r="357" spans="77:77">
      <c r="BY357" s="35"/>
    </row>
    <row r="358" spans="77:77">
      <c r="BY358" s="35"/>
    </row>
    <row r="359" spans="77:77">
      <c r="BY359" s="35"/>
    </row>
    <row r="360" spans="77:77">
      <c r="BY360" s="35"/>
    </row>
    <row r="361" spans="77:77">
      <c r="BY361" s="35"/>
    </row>
    <row r="362" spans="77:77">
      <c r="BY362" s="35"/>
    </row>
    <row r="363" spans="77:77">
      <c r="BY363" s="35"/>
    </row>
    <row r="364" spans="77:77">
      <c r="BY364" s="35"/>
    </row>
    <row r="365" spans="77:77">
      <c r="BY365" s="35"/>
    </row>
    <row r="366" spans="77:77">
      <c r="BY366" s="35"/>
    </row>
    <row r="367" spans="77:77">
      <c r="BY367" s="35"/>
    </row>
    <row r="368" spans="77:77">
      <c r="BY368" s="35"/>
    </row>
    <row r="369" spans="77:77">
      <c r="BY369" s="35"/>
    </row>
    <row r="370" spans="77:77">
      <c r="BY370" s="35"/>
    </row>
    <row r="371" spans="77:77">
      <c r="BY371" s="35"/>
    </row>
    <row r="372" spans="77:77">
      <c r="BY372" s="35"/>
    </row>
    <row r="373" spans="77:77">
      <c r="BY373" s="35"/>
    </row>
    <row r="374" spans="77:77">
      <c r="BY374" s="35"/>
    </row>
    <row r="375" spans="77:77">
      <c r="BY375" s="35"/>
    </row>
    <row r="376" spans="77:77">
      <c r="BY376" s="35"/>
    </row>
    <row r="377" spans="77:77">
      <c r="BY377" s="35"/>
    </row>
    <row r="378" spans="77:77">
      <c r="BY378" s="35"/>
    </row>
    <row r="379" spans="77:77">
      <c r="BY379" s="35"/>
    </row>
    <row r="380" spans="77:77">
      <c r="BY380" s="35"/>
    </row>
    <row r="381" spans="77:77">
      <c r="BY381" s="35"/>
    </row>
    <row r="382" spans="77:77">
      <c r="BY382" s="35"/>
    </row>
    <row r="383" spans="77:77">
      <c r="BY383" s="35"/>
    </row>
    <row r="384" spans="77:77">
      <c r="BY384" s="35"/>
    </row>
    <row r="385" spans="77:77">
      <c r="BY385" s="35"/>
    </row>
    <row r="386" spans="77:77">
      <c r="BY386" s="35"/>
    </row>
    <row r="387" spans="77:77">
      <c r="BY387" s="35"/>
    </row>
    <row r="388" spans="77:77">
      <c r="BY388" s="35"/>
    </row>
    <row r="389" spans="77:77">
      <c r="BY389" s="35"/>
    </row>
    <row r="390" spans="77:77">
      <c r="BY390" s="35"/>
    </row>
    <row r="391" spans="77:77">
      <c r="BY391" s="35"/>
    </row>
    <row r="392" spans="77:77">
      <c r="BY392" s="35"/>
    </row>
    <row r="393" spans="77:77">
      <c r="BY393" s="35"/>
    </row>
    <row r="394" spans="77:77">
      <c r="BY394" s="35"/>
    </row>
    <row r="395" spans="77:77">
      <c r="BY395" s="35"/>
    </row>
    <row r="396" spans="77:77">
      <c r="BY396" s="35"/>
    </row>
    <row r="397" spans="77:77">
      <c r="BY397" s="35"/>
    </row>
    <row r="398" spans="77:77">
      <c r="BY398" s="35"/>
    </row>
    <row r="399" spans="77:77">
      <c r="BY399" s="35"/>
    </row>
    <row r="400" spans="77:77">
      <c r="BY400" s="35"/>
    </row>
    <row r="401" spans="77:77">
      <c r="BY401" s="35"/>
    </row>
    <row r="402" spans="77:77">
      <c r="BY402" s="35"/>
    </row>
    <row r="403" spans="77:77">
      <c r="BY403" s="35"/>
    </row>
    <row r="404" spans="77:77">
      <c r="BY404" s="35"/>
    </row>
    <row r="405" spans="77:77">
      <c r="BY405" s="35"/>
    </row>
    <row r="406" spans="77:77">
      <c r="BY406" s="35"/>
    </row>
    <row r="407" spans="77:77">
      <c r="BY407" s="35"/>
    </row>
    <row r="408" spans="77:77">
      <c r="BY408" s="35"/>
    </row>
    <row r="409" spans="77:77">
      <c r="BY409" s="35"/>
    </row>
    <row r="410" spans="77:77">
      <c r="BY410" s="35"/>
    </row>
    <row r="411" spans="77:77">
      <c r="BY411" s="35"/>
    </row>
    <row r="412" spans="77:77">
      <c r="BY412" s="35"/>
    </row>
    <row r="413" spans="77:77">
      <c r="BY413" s="35"/>
    </row>
    <row r="414" spans="77:77">
      <c r="BY414" s="35"/>
    </row>
    <row r="415" spans="77:77">
      <c r="BY415" s="35"/>
    </row>
    <row r="416" spans="77:77">
      <c r="BY416" s="35"/>
    </row>
    <row r="417" spans="77:77">
      <c r="BY417" s="35"/>
    </row>
    <row r="418" spans="77:77">
      <c r="BY418" s="35"/>
    </row>
    <row r="419" spans="77:77">
      <c r="BY419" s="35"/>
    </row>
    <row r="420" spans="77:77">
      <c r="BY420" s="35"/>
    </row>
    <row r="421" spans="77:77">
      <c r="BY421" s="35"/>
    </row>
    <row r="422" spans="77:77">
      <c r="BY422" s="35"/>
    </row>
    <row r="423" spans="77:77">
      <c r="BY423" s="35"/>
    </row>
    <row r="424" spans="77:77">
      <c r="BY424" s="35"/>
    </row>
    <row r="425" spans="77:77">
      <c r="BY425" s="35"/>
    </row>
    <row r="426" spans="77:77">
      <c r="BY426" s="35"/>
    </row>
    <row r="427" spans="77:77">
      <c r="BY427" s="35"/>
    </row>
    <row r="428" spans="77:77">
      <c r="BY428" s="35"/>
    </row>
    <row r="429" spans="77:77">
      <c r="BY429" s="35"/>
    </row>
    <row r="430" spans="77:77">
      <c r="BY430" s="35"/>
    </row>
    <row r="431" spans="77:77">
      <c r="BY431" s="35"/>
    </row>
    <row r="432" spans="77:77">
      <c r="BY432" s="35"/>
    </row>
    <row r="433" spans="77:77">
      <c r="BY433" s="35"/>
    </row>
    <row r="434" spans="77:77">
      <c r="BY434" s="35"/>
    </row>
    <row r="435" spans="77:77">
      <c r="BY435" s="35"/>
    </row>
    <row r="436" spans="77:77">
      <c r="BY436" s="35"/>
    </row>
    <row r="437" spans="77:77">
      <c r="BY437" s="35"/>
    </row>
    <row r="438" spans="77:77">
      <c r="BY438" s="35"/>
    </row>
    <row r="439" spans="77:77">
      <c r="BY439" s="35"/>
    </row>
    <row r="440" spans="77:77">
      <c r="BY440" s="35"/>
    </row>
    <row r="441" spans="77:77">
      <c r="BY441" s="35"/>
    </row>
    <row r="442" spans="77:77">
      <c r="BY442" s="35"/>
    </row>
    <row r="443" spans="77:77">
      <c r="BY443" s="35"/>
    </row>
    <row r="444" spans="77:77">
      <c r="BY444" s="35"/>
    </row>
    <row r="445" spans="77:77">
      <c r="BY445" s="35"/>
    </row>
    <row r="446" spans="77:77">
      <c r="BY446" s="35"/>
    </row>
    <row r="447" spans="77:77">
      <c r="BY447" s="35"/>
    </row>
    <row r="448" spans="77:77">
      <c r="BY448" s="35"/>
    </row>
    <row r="449" spans="77:77">
      <c r="BY449" s="35"/>
    </row>
    <row r="450" spans="77:77">
      <c r="BY450" s="35"/>
    </row>
    <row r="451" spans="77:77">
      <c r="BY451" s="35"/>
    </row>
    <row r="452" spans="77:77">
      <c r="BY452" s="35"/>
    </row>
    <row r="453" spans="77:77">
      <c r="BY453" s="35"/>
    </row>
    <row r="454" spans="77:77">
      <c r="BY454" s="35"/>
    </row>
    <row r="455" spans="77:77">
      <c r="BY455" s="35"/>
    </row>
    <row r="456" spans="77:77">
      <c r="BY456" s="35"/>
    </row>
    <row r="457" spans="77:77">
      <c r="BY457" s="35"/>
    </row>
    <row r="458" spans="77:77">
      <c r="BY458" s="35"/>
    </row>
    <row r="459" spans="77:77">
      <c r="BY459" s="35"/>
    </row>
    <row r="460" spans="77:77">
      <c r="BY460" s="35"/>
    </row>
    <row r="461" spans="77:77">
      <c r="BY461" s="35"/>
    </row>
    <row r="462" spans="77:77">
      <c r="BY462" s="35"/>
    </row>
    <row r="463" spans="77:77">
      <c r="BY463" s="35"/>
    </row>
    <row r="464" spans="77:77">
      <c r="BY464" s="35"/>
    </row>
    <row r="465" spans="77:77">
      <c r="BY465" s="35"/>
    </row>
    <row r="466" spans="77:77">
      <c r="BY466" s="35"/>
    </row>
    <row r="467" spans="77:77">
      <c r="BY467" s="35"/>
    </row>
    <row r="468" spans="77:77">
      <c r="BY468" s="35"/>
    </row>
    <row r="469" spans="77:77">
      <c r="BY469" s="35"/>
    </row>
    <row r="470" spans="77:77">
      <c r="BY470" s="35"/>
    </row>
    <row r="471" spans="77:77">
      <c r="BY471" s="35"/>
    </row>
    <row r="472" spans="77:77">
      <c r="BY472" s="35"/>
    </row>
    <row r="473" spans="77:77">
      <c r="BY473" s="35"/>
    </row>
    <row r="474" spans="77:77">
      <c r="BY474" s="35"/>
    </row>
    <row r="475" spans="77:77">
      <c r="BY475" s="35"/>
    </row>
    <row r="476" spans="77:77">
      <c r="BY476" s="35"/>
    </row>
    <row r="477" spans="77:77">
      <c r="BY477" s="35"/>
    </row>
    <row r="478" spans="77:77">
      <c r="BY478" s="35"/>
    </row>
    <row r="479" spans="77:77">
      <c r="BY479" s="35"/>
    </row>
    <row r="480" spans="77:77">
      <c r="BY480" s="35"/>
    </row>
    <row r="481" spans="77:77">
      <c r="BY481" s="35"/>
    </row>
    <row r="482" spans="77:77">
      <c r="BY482" s="35"/>
    </row>
    <row r="483" spans="77:77">
      <c r="BY483" s="35"/>
    </row>
    <row r="484" spans="77:77">
      <c r="BY484" s="35"/>
    </row>
    <row r="485" spans="77:77">
      <c r="BY485" s="35"/>
    </row>
    <row r="486" spans="77:77">
      <c r="BY486" s="35"/>
    </row>
    <row r="487" spans="77:77">
      <c r="BY487" s="35"/>
    </row>
    <row r="488" spans="77:77">
      <c r="BY488" s="35"/>
    </row>
    <row r="489" spans="77:77">
      <c r="BY489" s="35"/>
    </row>
    <row r="490" spans="77:77">
      <c r="BY490" s="35"/>
    </row>
    <row r="491" spans="77:77">
      <c r="BY491" s="35"/>
    </row>
    <row r="492" spans="77:77">
      <c r="BY492" s="35"/>
    </row>
    <row r="493" spans="77:77">
      <c r="BY493" s="35"/>
    </row>
    <row r="494" spans="77:77">
      <c r="BY494" s="35"/>
    </row>
    <row r="495" spans="77:77">
      <c r="BY495" s="35"/>
    </row>
    <row r="496" spans="77:77">
      <c r="BY496" s="35"/>
    </row>
    <row r="497" spans="77:77">
      <c r="BY497" s="35"/>
    </row>
    <row r="498" spans="77:77">
      <c r="BY498" s="35"/>
    </row>
    <row r="499" spans="77:77">
      <c r="BY499" s="35"/>
    </row>
    <row r="500" spans="77:77">
      <c r="BY500" s="35"/>
    </row>
    <row r="501" spans="77:77">
      <c r="BY501" s="35"/>
    </row>
    <row r="502" spans="77:77">
      <c r="BY502" s="35"/>
    </row>
    <row r="503" spans="77:77">
      <c r="BY503" s="35"/>
    </row>
    <row r="504" spans="77:77">
      <c r="BY504" s="35"/>
    </row>
    <row r="505" spans="77:77">
      <c r="BY505" s="35"/>
    </row>
    <row r="506" spans="77:77">
      <c r="BY506" s="35"/>
    </row>
    <row r="507" spans="77:77">
      <c r="BY507" s="35"/>
    </row>
    <row r="508" spans="77:77">
      <c r="BY508" s="35"/>
    </row>
    <row r="509" spans="77:77">
      <c r="BY509" s="35"/>
    </row>
    <row r="510" spans="77:77">
      <c r="BY510" s="35"/>
    </row>
    <row r="511" spans="77:77">
      <c r="BY511" s="35"/>
    </row>
    <row r="512" spans="77:77">
      <c r="BY512" s="35"/>
    </row>
    <row r="513" spans="77:77">
      <c r="BY513" s="35"/>
    </row>
    <row r="514" spans="77:77">
      <c r="BY514" s="35"/>
    </row>
    <row r="515" spans="77:77">
      <c r="BY515" s="35"/>
    </row>
    <row r="516" spans="77:77">
      <c r="BY516" s="35"/>
    </row>
    <row r="517" spans="77:77">
      <c r="BY517" s="35"/>
    </row>
    <row r="518" spans="77:77">
      <c r="BY518" s="35"/>
    </row>
    <row r="519" spans="77:77">
      <c r="BY519" s="35"/>
    </row>
    <row r="520" spans="77:77">
      <c r="BY520" s="35"/>
    </row>
    <row r="521" spans="77:77">
      <c r="BY521" s="35"/>
    </row>
    <row r="522" spans="77:77">
      <c r="BY522" s="35"/>
    </row>
    <row r="523" spans="77:77">
      <c r="BY523" s="35"/>
    </row>
    <row r="524" spans="77:77">
      <c r="BY524" s="35"/>
    </row>
    <row r="525" spans="77:77">
      <c r="BY525" s="35"/>
    </row>
    <row r="526" spans="77:77">
      <c r="BY526" s="35"/>
    </row>
    <row r="527" spans="77:77">
      <c r="BY527" s="35"/>
    </row>
    <row r="528" spans="77:77">
      <c r="BY528" s="35"/>
    </row>
    <row r="529" spans="77:77">
      <c r="BY529" s="35"/>
    </row>
    <row r="530" spans="77:77">
      <c r="BY530" s="35"/>
    </row>
    <row r="531" spans="77:77">
      <c r="BY531" s="35"/>
    </row>
    <row r="532" spans="77:77">
      <c r="BY532" s="35"/>
    </row>
    <row r="533" spans="77:77">
      <c r="BY533" s="35"/>
    </row>
    <row r="534" spans="77:77">
      <c r="BY534" s="35"/>
    </row>
    <row r="535" spans="77:77">
      <c r="BY535" s="35"/>
    </row>
    <row r="536" spans="77:77">
      <c r="BY536" s="35"/>
    </row>
    <row r="537" spans="77:77">
      <c r="BY537" s="35"/>
    </row>
    <row r="538" spans="77:77">
      <c r="BY538" s="35"/>
    </row>
    <row r="539" spans="77:77">
      <c r="BY539" s="35"/>
    </row>
    <row r="540" spans="77:77">
      <c r="BY540" s="35"/>
    </row>
    <row r="541" spans="77:77">
      <c r="BY541" s="35"/>
    </row>
    <row r="542" spans="77:77">
      <c r="BY542" s="35"/>
    </row>
    <row r="543" spans="77:77">
      <c r="BY543" s="35"/>
    </row>
    <row r="544" spans="77:77">
      <c r="BY544" s="35"/>
    </row>
    <row r="545" spans="77:77">
      <c r="BY545" s="35"/>
    </row>
    <row r="546" spans="77:77">
      <c r="BY546" s="35"/>
    </row>
    <row r="547" spans="77:77">
      <c r="BY547" s="35"/>
    </row>
    <row r="548" spans="77:77">
      <c r="BY548" s="35"/>
    </row>
    <row r="549" spans="77:77">
      <c r="BY549" s="35"/>
    </row>
    <row r="550" spans="77:77">
      <c r="BY550" s="35"/>
    </row>
    <row r="551" spans="77:77">
      <c r="BY551" s="35"/>
    </row>
    <row r="552" spans="77:77">
      <c r="BY552" s="35"/>
    </row>
    <row r="553" spans="77:77">
      <c r="BY553" s="35"/>
    </row>
    <row r="554" spans="77:77">
      <c r="BY554" s="35"/>
    </row>
    <row r="555" spans="77:77">
      <c r="BY555" s="35"/>
    </row>
    <row r="556" spans="77:77">
      <c r="BY556" s="35"/>
    </row>
    <row r="557" spans="77:77">
      <c r="BY557" s="35"/>
    </row>
    <row r="558" spans="77:77">
      <c r="BY558" s="35"/>
    </row>
    <row r="559" spans="77:77">
      <c r="BY559" s="35"/>
    </row>
    <row r="560" spans="77:77">
      <c r="BY560" s="35"/>
    </row>
    <row r="561" spans="77:77">
      <c r="BY561" s="35"/>
    </row>
    <row r="562" spans="77:77">
      <c r="BY562" s="35"/>
    </row>
    <row r="563" spans="77:77">
      <c r="BY563" s="35"/>
    </row>
    <row r="564" spans="77:77">
      <c r="BY564" s="35"/>
    </row>
    <row r="565" spans="77:77">
      <c r="BY565" s="35"/>
    </row>
    <row r="566" spans="77:77">
      <c r="BY566" s="35"/>
    </row>
    <row r="567" spans="77:77">
      <c r="BY567" s="35"/>
    </row>
    <row r="568" spans="77:77">
      <c r="BY568" s="35"/>
    </row>
    <row r="569" spans="77:77">
      <c r="BY569" s="35"/>
    </row>
    <row r="570" spans="77:77">
      <c r="BY570" s="35"/>
    </row>
    <row r="571" spans="77:77">
      <c r="BY571" s="35"/>
    </row>
    <row r="572" spans="77:77">
      <c r="BY572" s="35"/>
    </row>
    <row r="573" spans="77:77">
      <c r="BY573" s="35"/>
    </row>
    <row r="574" spans="77:77">
      <c r="BY574" s="35"/>
    </row>
    <row r="575" spans="77:77">
      <c r="BY575" s="35"/>
    </row>
    <row r="576" spans="77:77">
      <c r="BY576" s="35"/>
    </row>
    <row r="577" spans="77:77">
      <c r="BY577" s="35"/>
    </row>
    <row r="578" spans="77:77">
      <c r="BY578" s="35"/>
    </row>
    <row r="579" spans="77:77">
      <c r="BY579" s="35"/>
    </row>
    <row r="580" spans="77:77">
      <c r="BY580" s="35"/>
    </row>
    <row r="581" spans="77:77">
      <c r="BY581" s="35"/>
    </row>
    <row r="582" spans="77:77">
      <c r="BY582" s="35"/>
    </row>
    <row r="583" spans="77:77">
      <c r="BY583" s="35"/>
    </row>
    <row r="584" spans="77:77">
      <c r="BY584" s="35"/>
    </row>
    <row r="585" spans="77:77">
      <c r="BY585" s="35"/>
    </row>
    <row r="586" spans="77:77">
      <c r="BY586" s="35"/>
    </row>
    <row r="587" spans="77:77">
      <c r="BY587" s="35"/>
    </row>
    <row r="588" spans="77:77">
      <c r="BY588" s="35"/>
    </row>
    <row r="589" spans="77:77">
      <c r="BY589" s="35"/>
    </row>
    <row r="590" spans="77:77">
      <c r="BY590" s="35"/>
    </row>
    <row r="591" spans="77:77">
      <c r="BY591" s="35"/>
    </row>
    <row r="592" spans="77:77">
      <c r="BY592" s="35"/>
    </row>
    <row r="593" spans="77:77">
      <c r="BY593" s="35"/>
    </row>
    <row r="594" spans="77:77">
      <c r="BY594" s="35"/>
    </row>
    <row r="595" spans="77:77">
      <c r="BY595" s="35"/>
    </row>
    <row r="596" spans="77:77">
      <c r="BY596" s="35"/>
    </row>
    <row r="597" spans="77:77">
      <c r="BY597" s="35"/>
    </row>
    <row r="598" spans="77:77">
      <c r="BY598" s="35"/>
    </row>
    <row r="599" spans="77:77">
      <c r="BY599" s="35"/>
    </row>
    <row r="600" spans="77:77">
      <c r="BY600" s="35"/>
    </row>
    <row r="601" spans="77:77">
      <c r="BY601" s="35"/>
    </row>
    <row r="602" spans="77:77">
      <c r="BY602" s="35"/>
    </row>
    <row r="603" spans="77:77">
      <c r="BY603" s="35"/>
    </row>
    <row r="604" spans="77:77">
      <c r="BY604" s="35"/>
    </row>
    <row r="605" spans="77:77">
      <c r="BY605" s="35"/>
    </row>
    <row r="606" spans="77:77">
      <c r="BY606" s="35"/>
    </row>
    <row r="607" spans="77:77">
      <c r="BY607" s="35"/>
    </row>
    <row r="608" spans="77:77">
      <c r="BY608" s="35"/>
    </row>
    <row r="609" spans="77:77">
      <c r="BY609" s="35"/>
    </row>
    <row r="610" spans="77:77">
      <c r="BY610" s="35"/>
    </row>
    <row r="611" spans="77:77">
      <c r="BY611" s="35"/>
    </row>
    <row r="612" spans="77:77">
      <c r="BY612" s="35"/>
    </row>
    <row r="613" spans="77:77">
      <c r="BY613" s="35"/>
    </row>
    <row r="614" spans="77:77">
      <c r="BY614" s="35"/>
    </row>
    <row r="615" spans="77:77">
      <c r="BY615" s="35"/>
    </row>
    <row r="616" spans="77:77">
      <c r="BY616" s="35"/>
    </row>
    <row r="617" spans="77:77">
      <c r="BY617" s="35"/>
    </row>
    <row r="618" spans="77:77">
      <c r="BY618" s="35"/>
    </row>
    <row r="619" spans="77:77">
      <c r="BY619" s="35"/>
    </row>
    <row r="620" spans="77:77">
      <c r="BY620" s="35"/>
    </row>
    <row r="621" spans="77:77">
      <c r="BY621" s="35"/>
    </row>
    <row r="622" spans="77:77">
      <c r="BY622" s="35"/>
    </row>
    <row r="623" spans="77:77">
      <c r="BY623" s="35"/>
    </row>
    <row r="624" spans="77:77">
      <c r="BY624" s="35"/>
    </row>
    <row r="625" spans="77:77">
      <c r="BY625" s="35"/>
    </row>
    <row r="626" spans="77:77">
      <c r="BY626" s="35"/>
    </row>
    <row r="627" spans="77:77">
      <c r="BY627" s="35"/>
    </row>
    <row r="628" spans="77:77">
      <c r="BY628" s="35"/>
    </row>
    <row r="629" spans="77:77">
      <c r="BY629" s="35"/>
    </row>
    <row r="630" spans="77:77">
      <c r="BY630" s="35"/>
    </row>
    <row r="631" spans="77:77">
      <c r="BY631" s="35"/>
    </row>
    <row r="632" spans="77:77">
      <c r="BY632" s="35"/>
    </row>
    <row r="633" spans="77:77">
      <c r="BY633" s="35"/>
    </row>
    <row r="634" spans="77:77">
      <c r="BY634" s="35"/>
    </row>
    <row r="635" spans="77:77">
      <c r="BY635" s="35"/>
    </row>
    <row r="636" spans="77:77">
      <c r="BY636" s="35"/>
    </row>
    <row r="637" spans="77:77">
      <c r="BY637" s="35"/>
    </row>
    <row r="638" spans="77:77">
      <c r="BY638" s="35"/>
    </row>
    <row r="639" spans="77:77">
      <c r="BY639" s="35"/>
    </row>
    <row r="640" spans="77:77">
      <c r="BY640" s="35"/>
    </row>
    <row r="641" spans="77:77">
      <c r="BY641" s="35"/>
    </row>
    <row r="642" spans="77:77">
      <c r="BY642" s="35"/>
    </row>
    <row r="643" spans="77:77">
      <c r="BY643" s="35"/>
    </row>
    <row r="644" spans="77:77">
      <c r="BY644" s="35"/>
    </row>
    <row r="645" spans="77:77">
      <c r="BY645" s="35"/>
    </row>
    <row r="646" spans="77:77">
      <c r="BY646" s="35"/>
    </row>
    <row r="647" spans="77:77">
      <c r="BY647" s="35"/>
    </row>
    <row r="648" spans="77:77">
      <c r="BY648" s="35"/>
    </row>
    <row r="649" spans="77:77">
      <c r="BY649" s="35"/>
    </row>
    <row r="650" spans="77:77">
      <c r="BY650" s="35"/>
    </row>
    <row r="651" spans="77:77">
      <c r="BY651" s="35"/>
    </row>
    <row r="652" spans="77:77">
      <c r="BY652" s="35"/>
    </row>
    <row r="653" spans="77:77">
      <c r="BY653" s="35"/>
    </row>
    <row r="654" spans="77:77">
      <c r="BY654" s="35"/>
    </row>
    <row r="655" spans="77:77">
      <c r="BY655" s="35"/>
    </row>
    <row r="656" spans="77:77">
      <c r="BY656" s="35"/>
    </row>
    <row r="657" spans="77:77">
      <c r="BY657" s="35"/>
    </row>
    <row r="658" spans="77:77">
      <c r="BY658" s="35"/>
    </row>
    <row r="659" spans="77:77">
      <c r="BY659" s="35"/>
    </row>
    <row r="660" spans="77:77">
      <c r="BY660" s="35"/>
    </row>
    <row r="661" spans="77:77">
      <c r="BY661" s="35"/>
    </row>
    <row r="662" spans="77:77">
      <c r="BY662" s="35"/>
    </row>
    <row r="663" spans="77:77">
      <c r="BY663" s="35"/>
    </row>
    <row r="664" spans="77:77">
      <c r="BY664" s="35"/>
    </row>
    <row r="665" spans="77:77">
      <c r="BY665" s="35"/>
    </row>
    <row r="666" spans="77:77">
      <c r="BY666" s="35"/>
    </row>
    <row r="667" spans="77:77">
      <c r="BY667" s="35"/>
    </row>
    <row r="668" spans="77:77">
      <c r="BY668" s="35"/>
    </row>
    <row r="669" spans="77:77">
      <c r="BY669" s="35"/>
    </row>
    <row r="670" spans="77:77">
      <c r="BY670" s="35"/>
    </row>
    <row r="671" spans="77:77">
      <c r="BY671" s="35"/>
    </row>
    <row r="672" spans="77:77">
      <c r="BY672" s="35"/>
    </row>
    <row r="673" spans="77:77">
      <c r="BY673" s="35"/>
    </row>
    <row r="674" spans="77:77">
      <c r="BY674" s="35"/>
    </row>
    <row r="675" spans="77:77">
      <c r="BY675" s="35"/>
    </row>
    <row r="676" spans="77:77">
      <c r="BY676" s="35"/>
    </row>
    <row r="677" spans="77:77">
      <c r="BY677" s="35"/>
    </row>
    <row r="678" spans="77:77">
      <c r="BY678" s="35"/>
    </row>
    <row r="679" spans="77:77">
      <c r="BY679" s="35"/>
    </row>
    <row r="680" spans="77:77">
      <c r="BY680" s="35"/>
    </row>
    <row r="681" spans="77:77">
      <c r="BY681" s="35"/>
    </row>
    <row r="682" spans="77:77">
      <c r="BY682" s="35"/>
    </row>
    <row r="683" spans="77:77">
      <c r="BY683" s="35"/>
    </row>
    <row r="684" spans="77:77">
      <c r="BY684" s="35"/>
    </row>
    <row r="685" spans="77:77">
      <c r="BY685" s="35"/>
    </row>
    <row r="686" spans="77:77">
      <c r="BY686" s="35"/>
    </row>
    <row r="687" spans="77:77">
      <c r="BY687" s="35"/>
    </row>
    <row r="688" spans="77:77">
      <c r="BY688" s="35"/>
    </row>
    <row r="689" spans="77:77">
      <c r="BY689" s="35"/>
    </row>
    <row r="690" spans="77:77">
      <c r="BY690" s="35"/>
    </row>
    <row r="691" spans="77:77">
      <c r="BY691" s="35"/>
    </row>
    <row r="692" spans="77:77">
      <c r="BY692" s="35"/>
    </row>
    <row r="693" spans="77:77">
      <c r="BY693" s="35"/>
    </row>
    <row r="694" spans="77:77">
      <c r="BY694" s="35"/>
    </row>
    <row r="695" spans="77:77">
      <c r="BY695" s="35"/>
    </row>
    <row r="696" spans="77:77">
      <c r="BY696" s="35"/>
    </row>
    <row r="697" spans="77:77">
      <c r="BY697" s="35"/>
    </row>
    <row r="698" spans="77:77">
      <c r="BY698" s="35"/>
    </row>
    <row r="699" spans="77:77">
      <c r="BY699" s="35"/>
    </row>
    <row r="700" spans="77:77">
      <c r="BY700" s="35"/>
    </row>
    <row r="701" spans="77:77">
      <c r="BY701" s="35"/>
    </row>
    <row r="702" spans="77:77">
      <c r="BY702" s="35"/>
    </row>
    <row r="703" spans="77:77">
      <c r="BY703" s="35"/>
    </row>
    <row r="704" spans="77:77">
      <c r="BY704" s="35"/>
    </row>
    <row r="705" spans="77:77">
      <c r="BY705" s="35"/>
    </row>
    <row r="706" spans="77:77">
      <c r="BY706" s="35"/>
    </row>
    <row r="707" spans="77:77">
      <c r="BY707" s="35"/>
    </row>
    <row r="708" spans="77:77">
      <c r="BY708" s="35"/>
    </row>
    <row r="709" spans="77:77">
      <c r="BY709" s="35"/>
    </row>
    <row r="710" spans="77:77">
      <c r="BY710" s="35"/>
    </row>
    <row r="711" spans="77:77">
      <c r="BY711" s="35"/>
    </row>
    <row r="712" spans="77:77">
      <c r="BY712" s="35"/>
    </row>
    <row r="713" spans="77:77">
      <c r="BY713" s="35"/>
    </row>
    <row r="714" spans="77:77">
      <c r="BY714" s="35"/>
    </row>
    <row r="715" spans="77:77">
      <c r="BY715" s="35"/>
    </row>
    <row r="716" spans="77:77">
      <c r="BY716" s="35"/>
    </row>
    <row r="717" spans="77:77">
      <c r="BY717" s="35"/>
    </row>
    <row r="718" spans="77:77">
      <c r="BY718" s="35"/>
    </row>
    <row r="719" spans="77:77">
      <c r="BY719" s="35"/>
    </row>
    <row r="720" spans="77:77">
      <c r="BY720" s="35"/>
    </row>
    <row r="721" spans="77:77">
      <c r="BY721" s="35"/>
    </row>
    <row r="722" spans="77:77">
      <c r="BY722" s="35"/>
    </row>
    <row r="723" spans="77:77">
      <c r="BY723" s="35"/>
    </row>
    <row r="724" spans="77:77">
      <c r="BY724" s="35"/>
    </row>
    <row r="725" spans="77:77">
      <c r="BY725" s="35"/>
    </row>
    <row r="726" spans="77:77">
      <c r="BY726" s="35"/>
    </row>
    <row r="727" spans="77:77">
      <c r="BY727" s="35"/>
    </row>
    <row r="728" spans="77:77">
      <c r="BY728" s="35"/>
    </row>
    <row r="729" spans="77:77">
      <c r="BY729" s="35"/>
    </row>
    <row r="730" spans="77:77">
      <c r="BY730" s="35"/>
    </row>
    <row r="731" spans="77:77">
      <c r="BY731" s="35"/>
    </row>
    <row r="732" spans="77:77">
      <c r="BY732" s="35"/>
    </row>
    <row r="733" spans="77:77">
      <c r="BY733" s="35"/>
    </row>
    <row r="734" spans="77:77">
      <c r="BY734" s="35"/>
    </row>
    <row r="735" spans="77:77">
      <c r="BY735" s="35"/>
    </row>
    <row r="736" spans="77:77">
      <c r="BY736" s="35"/>
    </row>
    <row r="737" spans="77:77">
      <c r="BY737" s="35"/>
    </row>
    <row r="738" spans="77:77">
      <c r="BY738" s="35"/>
    </row>
    <row r="739" spans="77:77">
      <c r="BY739" s="35"/>
    </row>
    <row r="740" spans="77:77">
      <c r="BY740" s="35"/>
    </row>
    <row r="741" spans="77:77">
      <c r="BY741" s="35"/>
    </row>
    <row r="742" spans="77:77">
      <c r="BY742" s="35"/>
    </row>
    <row r="743" spans="77:77">
      <c r="BY743" s="35"/>
    </row>
    <row r="744" spans="77:77">
      <c r="BY744" s="35"/>
    </row>
    <row r="745" spans="77:77">
      <c r="BY745" s="35"/>
    </row>
    <row r="746" spans="77:77">
      <c r="BY746" s="35"/>
    </row>
    <row r="747" spans="77:77">
      <c r="BY747" s="35"/>
    </row>
    <row r="748" spans="77:77">
      <c r="BY748" s="35"/>
    </row>
    <row r="749" spans="77:77">
      <c r="BY749" s="35"/>
    </row>
    <row r="750" spans="77:77">
      <c r="BY750" s="35"/>
    </row>
    <row r="751" spans="77:77">
      <c r="BY751" s="35"/>
    </row>
    <row r="752" spans="77:77">
      <c r="BY752" s="35"/>
    </row>
    <row r="753" spans="77:77">
      <c r="BY753" s="35"/>
    </row>
    <row r="754" spans="77:77">
      <c r="BY754" s="35"/>
    </row>
    <row r="755" spans="77:77">
      <c r="BY755" s="35"/>
    </row>
    <row r="756" spans="77:77">
      <c r="BY756" s="35"/>
    </row>
    <row r="757" spans="77:77">
      <c r="BY757" s="35"/>
    </row>
    <row r="758" spans="77:77">
      <c r="BY758" s="35"/>
    </row>
    <row r="759" spans="77:77">
      <c r="BY759" s="35"/>
    </row>
    <row r="760" spans="77:77">
      <c r="BY760" s="35"/>
    </row>
    <row r="761" spans="77:77">
      <c r="BY761" s="35"/>
    </row>
    <row r="762" spans="77:77">
      <c r="BY762" s="35"/>
    </row>
    <row r="763" spans="77:77">
      <c r="BY763" s="35"/>
    </row>
    <row r="764" spans="77:77">
      <c r="BY764" s="35"/>
    </row>
    <row r="765" spans="77:77">
      <c r="BY765" s="35"/>
    </row>
    <row r="766" spans="77:77">
      <c r="BY766" s="35"/>
    </row>
    <row r="767" spans="77:77">
      <c r="BY767" s="35"/>
    </row>
    <row r="768" spans="77:77">
      <c r="BY768" s="35"/>
    </row>
    <row r="769" spans="77:77">
      <c r="BY769" s="35"/>
    </row>
    <row r="770" spans="77:77">
      <c r="BY770" s="35"/>
    </row>
    <row r="771" spans="77:77">
      <c r="BY771" s="35"/>
    </row>
    <row r="772" spans="77:77">
      <c r="BY772" s="35"/>
    </row>
    <row r="773" spans="77:77">
      <c r="BY773" s="35"/>
    </row>
    <row r="774" spans="77:77">
      <c r="BY774" s="35"/>
    </row>
    <row r="775" spans="77:77">
      <c r="BY775" s="35"/>
    </row>
    <row r="776" spans="77:77">
      <c r="BY776" s="35"/>
    </row>
    <row r="777" spans="77:77">
      <c r="BY777" s="35"/>
    </row>
    <row r="778" spans="77:77">
      <c r="BY778" s="35"/>
    </row>
    <row r="779" spans="77:77">
      <c r="BY779" s="35"/>
    </row>
    <row r="780" spans="77:77">
      <c r="BY780" s="35"/>
    </row>
    <row r="781" spans="77:77">
      <c r="BY781" s="35"/>
    </row>
    <row r="782" spans="77:77">
      <c r="BY782" s="35"/>
    </row>
    <row r="783" spans="77:77">
      <c r="BY783" s="35"/>
    </row>
    <row r="784" spans="77:77">
      <c r="BY784" s="35"/>
    </row>
    <row r="785" spans="77:77">
      <c r="BY785" s="35"/>
    </row>
    <row r="786" spans="77:77">
      <c r="BY786" s="35"/>
    </row>
    <row r="787" spans="77:77">
      <c r="BY787" s="35"/>
    </row>
    <row r="788" spans="77:77">
      <c r="BY788" s="35"/>
    </row>
    <row r="789" spans="77:77">
      <c r="BY789" s="35"/>
    </row>
    <row r="790" spans="77:77">
      <c r="BY790" s="35"/>
    </row>
    <row r="791" spans="77:77">
      <c r="BY791" s="35"/>
    </row>
    <row r="792" spans="77:77">
      <c r="BY792" s="35"/>
    </row>
    <row r="793" spans="77:77">
      <c r="BY793" s="35"/>
    </row>
    <row r="794" spans="77:77">
      <c r="BY794" s="35"/>
    </row>
    <row r="795" spans="77:77">
      <c r="BY795" s="35"/>
    </row>
    <row r="796" spans="77:77">
      <c r="BY796" s="35"/>
    </row>
    <row r="797" spans="77:77">
      <c r="BY797" s="35"/>
    </row>
    <row r="798" spans="77:77">
      <c r="BY798" s="35"/>
    </row>
    <row r="799" spans="77:77">
      <c r="BY799" s="35"/>
    </row>
    <row r="800" spans="77:77">
      <c r="BY800" s="35"/>
    </row>
    <row r="801" spans="77:77">
      <c r="BY801" s="35"/>
    </row>
    <row r="802" spans="77:77">
      <c r="BY802" s="35"/>
    </row>
    <row r="803" spans="77:77">
      <c r="BY803" s="35"/>
    </row>
    <row r="804" spans="77:77">
      <c r="BY804" s="35"/>
    </row>
    <row r="805" spans="77:77">
      <c r="BY805" s="35"/>
    </row>
    <row r="806" spans="77:77">
      <c r="BY806" s="35"/>
    </row>
    <row r="807" spans="77:77">
      <c r="BY807" s="35"/>
    </row>
    <row r="808" spans="77:77">
      <c r="BY808" s="35"/>
    </row>
    <row r="809" spans="77:77">
      <c r="BY809" s="35"/>
    </row>
    <row r="810" spans="77:77">
      <c r="BY810" s="35"/>
    </row>
    <row r="811" spans="77:77">
      <c r="BY811" s="35"/>
    </row>
    <row r="812" spans="77:77">
      <c r="BY812" s="35"/>
    </row>
    <row r="813" spans="77:77">
      <c r="BY813" s="35"/>
    </row>
    <row r="814" spans="77:77">
      <c r="BY814" s="35"/>
    </row>
    <row r="815" spans="77:77">
      <c r="BY815" s="35"/>
    </row>
    <row r="816" spans="77:77">
      <c r="BY816" s="35"/>
    </row>
    <row r="817" spans="77:77">
      <c r="BY817" s="35"/>
    </row>
    <row r="818" spans="77:77">
      <c r="BY818" s="35"/>
    </row>
    <row r="819" spans="77:77">
      <c r="BY819" s="35"/>
    </row>
    <row r="820" spans="77:77">
      <c r="BY820" s="35"/>
    </row>
    <row r="821" spans="77:77">
      <c r="BY821" s="35"/>
    </row>
    <row r="822" spans="77:77">
      <c r="BY822" s="35"/>
    </row>
    <row r="823" spans="77:77">
      <c r="BY823" s="35"/>
    </row>
    <row r="824" spans="77:77">
      <c r="BY824" s="35"/>
    </row>
    <row r="825" spans="77:77">
      <c r="BY825" s="35"/>
    </row>
    <row r="826" spans="77:77">
      <c r="BY826" s="35"/>
    </row>
    <row r="827" spans="77:77">
      <c r="BY827" s="35"/>
    </row>
    <row r="828" spans="77:77">
      <c r="BY828" s="35"/>
    </row>
    <row r="829" spans="77:77">
      <c r="BY829" s="35"/>
    </row>
    <row r="830" spans="77:77">
      <c r="BY830" s="35"/>
    </row>
    <row r="831" spans="77:77">
      <c r="BY831" s="35"/>
    </row>
    <row r="832" spans="77:77">
      <c r="BY832" s="35"/>
    </row>
    <row r="833" spans="77:77">
      <c r="BY833" s="35"/>
    </row>
    <row r="834" spans="77:77">
      <c r="BY834" s="35"/>
    </row>
    <row r="835" spans="77:77">
      <c r="BY835" s="35"/>
    </row>
    <row r="836" spans="77:77">
      <c r="BY836" s="35"/>
    </row>
    <row r="837" spans="77:77">
      <c r="BY837" s="35"/>
    </row>
    <row r="838" spans="77:77">
      <c r="BY838" s="35"/>
    </row>
    <row r="839" spans="77:77">
      <c r="BY839" s="35"/>
    </row>
    <row r="840" spans="77:77">
      <c r="BY840" s="35"/>
    </row>
    <row r="841" spans="77:77">
      <c r="BY841" s="35"/>
    </row>
    <row r="842" spans="77:77">
      <c r="BY842" s="35"/>
    </row>
    <row r="843" spans="77:77">
      <c r="BY843" s="35"/>
    </row>
    <row r="844" spans="77:77">
      <c r="BY844" s="35"/>
    </row>
    <row r="845" spans="77:77">
      <c r="BY845" s="35"/>
    </row>
    <row r="846" spans="77:77">
      <c r="BY846" s="35"/>
    </row>
    <row r="847" spans="77:77">
      <c r="BY847" s="35"/>
    </row>
    <row r="848" spans="77:77">
      <c r="BY848" s="35"/>
    </row>
    <row r="849" spans="77:77">
      <c r="BY849" s="35"/>
    </row>
    <row r="850" spans="77:77">
      <c r="BY850" s="35"/>
    </row>
    <row r="851" spans="77:77">
      <c r="BY851" s="35"/>
    </row>
    <row r="852" spans="77:77">
      <c r="BY852" s="35"/>
    </row>
    <row r="853" spans="77:77">
      <c r="BY853" s="35"/>
    </row>
    <row r="854" spans="77:77">
      <c r="BY854" s="35"/>
    </row>
    <row r="855" spans="77:77">
      <c r="BY855" s="35"/>
    </row>
    <row r="856" spans="77:77">
      <c r="BY856" s="35"/>
    </row>
    <row r="857" spans="77:77">
      <c r="BY857" s="35"/>
    </row>
    <row r="858" spans="77:77">
      <c r="BY858" s="35"/>
    </row>
    <row r="859" spans="77:77">
      <c r="BY859" s="35"/>
    </row>
    <row r="860" spans="77:77">
      <c r="BY860" s="35"/>
    </row>
    <row r="861" spans="77:77">
      <c r="BY861" s="35"/>
    </row>
    <row r="862" spans="77:77">
      <c r="BY862" s="35"/>
    </row>
    <row r="863" spans="77:77">
      <c r="BY863" s="35"/>
    </row>
    <row r="864" spans="77:77">
      <c r="BY864" s="35"/>
    </row>
    <row r="865" spans="77:77">
      <c r="BY865" s="35"/>
    </row>
    <row r="866" spans="77:77">
      <c r="BY866" s="35"/>
    </row>
    <row r="867" spans="77:77">
      <c r="BY867" s="35"/>
    </row>
    <row r="868" spans="77:77">
      <c r="BY868" s="35"/>
    </row>
    <row r="869" spans="77:77">
      <c r="BY869" s="35"/>
    </row>
    <row r="870" spans="77:77">
      <c r="BY870" s="35"/>
    </row>
    <row r="871" spans="77:77">
      <c r="BY871" s="35"/>
    </row>
    <row r="872" spans="77:77">
      <c r="BY872" s="35"/>
    </row>
    <row r="873" spans="77:77">
      <c r="BY873" s="35"/>
    </row>
    <row r="874" spans="77:77">
      <c r="BY874" s="35"/>
    </row>
    <row r="875" spans="77:77">
      <c r="BY875" s="35"/>
    </row>
    <row r="876" spans="77:77">
      <c r="BY876" s="35"/>
    </row>
    <row r="877" spans="77:77">
      <c r="BY877" s="35"/>
    </row>
    <row r="878" spans="77:77">
      <c r="BY878" s="35"/>
    </row>
    <row r="879" spans="77:77">
      <c r="BY879" s="35"/>
    </row>
    <row r="880" spans="77:77">
      <c r="BY880" s="35"/>
    </row>
    <row r="881" spans="77:77">
      <c r="BY881" s="35"/>
    </row>
    <row r="882" spans="77:77">
      <c r="BY882" s="35"/>
    </row>
    <row r="883" spans="77:77">
      <c r="BY883" s="35"/>
    </row>
    <row r="884" spans="77:77">
      <c r="BY884" s="35"/>
    </row>
    <row r="885" spans="77:77">
      <c r="BY885" s="35"/>
    </row>
    <row r="886" spans="77:77">
      <c r="BY886" s="35"/>
    </row>
    <row r="887" spans="77:77">
      <c r="BY887" s="35"/>
    </row>
    <row r="888" spans="77:77">
      <c r="BY888" s="35"/>
    </row>
    <row r="889" spans="77:77">
      <c r="BY889" s="35"/>
    </row>
    <row r="890" spans="77:77">
      <c r="BY890" s="35"/>
    </row>
    <row r="891" spans="77:77">
      <c r="BY891" s="35"/>
    </row>
    <row r="892" spans="77:77">
      <c r="BY892" s="35"/>
    </row>
    <row r="893" spans="77:77">
      <c r="BY893" s="35"/>
    </row>
    <row r="894" spans="77:77">
      <c r="BY894" s="35"/>
    </row>
    <row r="895" spans="77:77">
      <c r="BY895" s="35"/>
    </row>
    <row r="896" spans="77:77">
      <c r="BY896" s="35"/>
    </row>
    <row r="897" spans="77:77">
      <c r="BY897" s="35"/>
    </row>
    <row r="898" spans="77:77">
      <c r="BY898" s="35"/>
    </row>
    <row r="899" spans="77:77">
      <c r="BY899" s="35"/>
    </row>
    <row r="900" spans="77:77">
      <c r="BY900" s="35"/>
    </row>
    <row r="901" spans="77:77">
      <c r="BY901" s="35"/>
    </row>
    <row r="902" spans="77:77">
      <c r="BY902" s="35"/>
    </row>
    <row r="903" spans="77:77">
      <c r="BY903" s="35"/>
    </row>
    <row r="904" spans="77:77">
      <c r="BY904" s="35"/>
    </row>
    <row r="905" spans="77:77">
      <c r="BY905" s="35"/>
    </row>
    <row r="906" spans="77:77">
      <c r="BY906" s="35"/>
    </row>
    <row r="907" spans="77:77">
      <c r="BY907" s="35"/>
    </row>
    <row r="908" spans="77:77">
      <c r="BY908" s="35"/>
    </row>
    <row r="909" spans="77:77">
      <c r="BY909" s="35"/>
    </row>
    <row r="910" spans="77:77">
      <c r="BY910" s="35"/>
    </row>
    <row r="911" spans="77:77">
      <c r="BY911" s="35"/>
    </row>
    <row r="912" spans="77:77">
      <c r="BY912" s="35"/>
    </row>
    <row r="913" spans="77:77">
      <c r="BY913" s="35"/>
    </row>
    <row r="914" spans="77:77">
      <c r="BY914" s="35"/>
    </row>
    <row r="915" spans="77:77">
      <c r="BY915" s="35"/>
    </row>
    <row r="916" spans="77:77">
      <c r="BY916" s="35"/>
    </row>
    <row r="917" spans="77:77">
      <c r="BY917" s="35"/>
    </row>
    <row r="918" spans="77:77">
      <c r="BY918" s="35"/>
    </row>
    <row r="919" spans="77:77">
      <c r="BY919" s="35"/>
    </row>
    <row r="920" spans="77:77">
      <c r="BY920" s="35"/>
    </row>
    <row r="921" spans="77:77">
      <c r="BY921" s="35"/>
    </row>
    <row r="922" spans="77:77">
      <c r="BY922" s="35"/>
    </row>
    <row r="923" spans="77:77">
      <c r="BY923" s="35"/>
    </row>
    <row r="924" spans="77:77">
      <c r="BY924" s="35"/>
    </row>
    <row r="925" spans="77:77">
      <c r="BY925" s="35"/>
    </row>
    <row r="926" spans="77:77">
      <c r="BY926" s="35"/>
    </row>
    <row r="927" spans="77:77">
      <c r="BY927" s="35"/>
    </row>
    <row r="928" spans="77:77">
      <c r="BY928" s="35"/>
    </row>
    <row r="929" spans="77:77">
      <c r="BY929" s="35"/>
    </row>
    <row r="930" spans="77:77">
      <c r="BY930" s="35"/>
    </row>
    <row r="931" spans="77:77">
      <c r="BY931" s="35"/>
    </row>
    <row r="932" spans="77:77">
      <c r="BY932" s="35"/>
    </row>
    <row r="933" spans="77:77">
      <c r="BY933" s="35"/>
    </row>
    <row r="934" spans="77:77">
      <c r="BY934" s="35"/>
    </row>
    <row r="935" spans="77:77">
      <c r="BY935" s="35"/>
    </row>
    <row r="936" spans="77:77">
      <c r="BY936" s="35"/>
    </row>
    <row r="937" spans="77:77">
      <c r="BY937" s="35"/>
    </row>
    <row r="938" spans="77:77">
      <c r="BY938" s="35"/>
    </row>
    <row r="939" spans="77:77">
      <c r="BY939" s="35"/>
    </row>
    <row r="940" spans="77:77">
      <c r="BY940" s="35"/>
    </row>
    <row r="941" spans="77:77">
      <c r="BY941" s="35"/>
    </row>
    <row r="942" spans="77:77">
      <c r="BY942" s="35"/>
    </row>
    <row r="943" spans="77:77">
      <c r="BY943" s="35"/>
    </row>
    <row r="944" spans="77:77">
      <c r="BY944" s="35"/>
    </row>
    <row r="945" spans="77:77">
      <c r="BY945" s="35"/>
    </row>
    <row r="946" spans="77:77">
      <c r="BY946" s="35"/>
    </row>
    <row r="947" spans="77:77">
      <c r="BY947" s="35"/>
    </row>
    <row r="948" spans="77:77">
      <c r="BY948" s="35"/>
    </row>
    <row r="949" spans="77:77">
      <c r="BY949" s="35"/>
    </row>
    <row r="950" spans="77:77">
      <c r="BY950" s="35"/>
    </row>
    <row r="951" spans="77:77">
      <c r="BY951" s="35"/>
    </row>
    <row r="952" spans="77:77">
      <c r="BY952" s="35"/>
    </row>
    <row r="953" spans="77:77">
      <c r="BY953" s="35"/>
    </row>
    <row r="954" spans="77:77">
      <c r="BY954" s="35"/>
    </row>
    <row r="955" spans="77:77">
      <c r="BY955" s="35"/>
    </row>
    <row r="956" spans="77:77">
      <c r="BY956" s="35"/>
    </row>
    <row r="957" spans="77:77">
      <c r="BY957" s="35"/>
    </row>
    <row r="958" spans="77:77">
      <c r="BY958" s="35"/>
    </row>
    <row r="959" spans="77:77">
      <c r="BY959" s="35"/>
    </row>
    <row r="960" spans="77:77">
      <c r="BY960" s="35"/>
    </row>
    <row r="961" spans="77:77">
      <c r="BY961" s="35"/>
    </row>
    <row r="962" spans="77:77">
      <c r="BY962" s="35"/>
    </row>
    <row r="963" spans="77:77">
      <c r="BY963" s="35"/>
    </row>
    <row r="964" spans="77:77">
      <c r="BY964" s="35"/>
    </row>
    <row r="965" spans="77:77">
      <c r="BY965" s="35"/>
    </row>
    <row r="966" spans="77:77">
      <c r="BY966" s="35"/>
    </row>
    <row r="967" spans="77:77">
      <c r="BY967" s="35"/>
    </row>
    <row r="968" spans="77:77">
      <c r="BY968" s="35"/>
    </row>
    <row r="969" spans="77:77">
      <c r="BY969" s="35"/>
    </row>
    <row r="970" spans="77:77">
      <c r="BY970" s="35"/>
    </row>
    <row r="971" spans="77:77">
      <c r="BY971" s="35"/>
    </row>
    <row r="972" spans="77:77">
      <c r="BY972" s="35"/>
    </row>
    <row r="973" spans="77:77">
      <c r="BY973" s="35"/>
    </row>
    <row r="974" spans="77:77">
      <c r="BY974" s="35"/>
    </row>
    <row r="975" spans="77:77">
      <c r="BY975" s="35"/>
    </row>
    <row r="976" spans="77:77">
      <c r="BY976" s="35"/>
    </row>
    <row r="977" spans="77:77">
      <c r="BY977" s="35"/>
    </row>
    <row r="978" spans="77:77">
      <c r="BY978" s="35"/>
    </row>
    <row r="979" spans="77:77">
      <c r="BY979" s="35"/>
    </row>
    <row r="980" spans="77:77">
      <c r="BY980" s="35"/>
    </row>
    <row r="981" spans="77:77">
      <c r="BY981" s="35"/>
    </row>
    <row r="982" spans="77:77">
      <c r="BY982" s="35"/>
    </row>
    <row r="983" spans="77:77">
      <c r="BY983" s="35"/>
    </row>
    <row r="984" spans="77:77">
      <c r="BY984" s="35"/>
    </row>
    <row r="985" spans="77:77">
      <c r="BY985" s="35"/>
    </row>
    <row r="986" spans="77:77">
      <c r="BY986" s="35"/>
    </row>
    <row r="987" spans="77:77">
      <c r="BY987" s="35"/>
    </row>
    <row r="988" spans="77:77">
      <c r="BY988" s="35"/>
    </row>
    <row r="989" spans="77:77">
      <c r="BY989" s="35"/>
    </row>
    <row r="990" spans="77:77">
      <c r="BY990" s="35"/>
    </row>
    <row r="991" spans="77:77">
      <c r="BY991" s="35"/>
    </row>
    <row r="992" spans="77:77">
      <c r="BY992" s="35"/>
    </row>
    <row r="993" spans="77:77">
      <c r="BY993" s="35"/>
    </row>
    <row r="994" spans="77:77">
      <c r="BY994" s="35"/>
    </row>
    <row r="995" spans="77:77">
      <c r="BY995" s="35"/>
    </row>
    <row r="996" spans="77:77">
      <c r="BY996" s="35"/>
    </row>
    <row r="997" spans="77:77">
      <c r="BY997" s="35"/>
    </row>
    <row r="998" spans="77:77">
      <c r="BY998" s="35"/>
    </row>
    <row r="999" spans="77:77">
      <c r="BY999" s="35"/>
    </row>
    <row r="1000" spans="77:77">
      <c r="BY1000" s="35"/>
    </row>
    <row r="1001" spans="77:77">
      <c r="BY1001" s="35"/>
    </row>
    <row r="1002" spans="77:77">
      <c r="BY1002" s="35"/>
    </row>
    <row r="1003" spans="77:77">
      <c r="BY1003" s="35"/>
    </row>
    <row r="1004" spans="77:77">
      <c r="BY1004" s="35"/>
    </row>
    <row r="1005" spans="77:77">
      <c r="BY1005" s="35"/>
    </row>
    <row r="1006" spans="77:77">
      <c r="BY1006" s="35"/>
    </row>
    <row r="1007" spans="77:77">
      <c r="BY1007" s="35"/>
    </row>
    <row r="1008" spans="77:77">
      <c r="BY1008" s="35"/>
    </row>
    <row r="1009" spans="77:77">
      <c r="BY1009" s="35"/>
    </row>
    <row r="1010" spans="77:77">
      <c r="BY1010" s="35"/>
    </row>
    <row r="1011" spans="77:77">
      <c r="BY1011" s="35"/>
    </row>
    <row r="1012" spans="77:77">
      <c r="BY1012" s="35"/>
    </row>
    <row r="1013" spans="77:77">
      <c r="BY1013" s="35"/>
    </row>
    <row r="1014" spans="77:77">
      <c r="BY1014" s="35"/>
    </row>
    <row r="1015" spans="77:77">
      <c r="BY1015" s="35"/>
    </row>
    <row r="1016" spans="77:77">
      <c r="BY1016" s="35"/>
    </row>
    <row r="1017" spans="77:77">
      <c r="BY1017" s="35"/>
    </row>
    <row r="1018" spans="77:77">
      <c r="BY1018" s="35"/>
    </row>
    <row r="1019" spans="77:77">
      <c r="BY1019" s="35"/>
    </row>
    <row r="1020" spans="77:77">
      <c r="BY1020" s="35"/>
    </row>
    <row r="1021" spans="77:77">
      <c r="BY1021" s="35"/>
    </row>
    <row r="1022" spans="77:77">
      <c r="BY1022" s="35"/>
    </row>
    <row r="1023" spans="77:77">
      <c r="BY1023" s="35"/>
    </row>
    <row r="1024" spans="77:77">
      <c r="BY1024" s="35"/>
    </row>
    <row r="1025" spans="77:77">
      <c r="BY1025" s="35"/>
    </row>
    <row r="1026" spans="77:77">
      <c r="BY1026" s="35"/>
    </row>
    <row r="1027" spans="77:77">
      <c r="BY1027" s="35"/>
    </row>
    <row r="1028" spans="77:77">
      <c r="BY1028" s="35"/>
    </row>
    <row r="1029" spans="77:77">
      <c r="BY1029" s="35"/>
    </row>
    <row r="1030" spans="77:77">
      <c r="BY1030" s="35"/>
    </row>
    <row r="1031" spans="77:77">
      <c r="BY1031" s="35"/>
    </row>
    <row r="1032" spans="77:77">
      <c r="BY1032" s="35"/>
    </row>
    <row r="1033" spans="77:77">
      <c r="BY1033" s="35"/>
    </row>
    <row r="1034" spans="77:77">
      <c r="BY1034" s="35"/>
    </row>
    <row r="1035" spans="77:77">
      <c r="BY1035" s="35"/>
    </row>
    <row r="1036" spans="77:77">
      <c r="BY1036" s="35"/>
    </row>
    <row r="1037" spans="77:77">
      <c r="BY1037" s="35"/>
    </row>
    <row r="1038" spans="77:77">
      <c r="BY1038" s="35"/>
    </row>
    <row r="1039" spans="77:77">
      <c r="BY1039" s="35"/>
    </row>
    <row r="1040" spans="77:77">
      <c r="BY1040" s="35"/>
    </row>
    <row r="1041" spans="77:77">
      <c r="BY1041" s="35"/>
    </row>
    <row r="1042" spans="77:77">
      <c r="BY1042" s="35"/>
    </row>
    <row r="1043" spans="77:77">
      <c r="BY1043" s="35"/>
    </row>
    <row r="1044" spans="77:77">
      <c r="BY1044" s="35"/>
    </row>
    <row r="1045" spans="77:77">
      <c r="BY1045" s="35"/>
    </row>
    <row r="1046" spans="77:77">
      <c r="BY1046" s="35"/>
    </row>
    <row r="1047" spans="77:77">
      <c r="BY1047" s="35"/>
    </row>
    <row r="1048" spans="77:77">
      <c r="BY1048" s="35"/>
    </row>
    <row r="1049" spans="77:77">
      <c r="BY1049" s="35"/>
    </row>
    <row r="1050" spans="77:77">
      <c r="BY1050" s="35"/>
    </row>
    <row r="1051" spans="77:77">
      <c r="BY1051" s="35"/>
    </row>
    <row r="1052" spans="77:77">
      <c r="BY1052" s="35"/>
    </row>
    <row r="1053" spans="77:77">
      <c r="BY1053" s="35"/>
    </row>
    <row r="1054" spans="77:77">
      <c r="BY1054" s="35"/>
    </row>
    <row r="1055" spans="77:77">
      <c r="BY1055" s="35"/>
    </row>
    <row r="1056" spans="77:77">
      <c r="BY1056" s="35"/>
    </row>
    <row r="1057" spans="77:77">
      <c r="BY1057" s="35"/>
    </row>
    <row r="1058" spans="77:77">
      <c r="BY1058" s="35"/>
    </row>
    <row r="1059" spans="77:77">
      <c r="BY1059" s="35"/>
    </row>
    <row r="1060" spans="77:77">
      <c r="BY1060" s="35"/>
    </row>
    <row r="1061" spans="77:77">
      <c r="BY1061" s="35"/>
    </row>
    <row r="1062" spans="77:77">
      <c r="BY1062" s="35"/>
    </row>
    <row r="1063" spans="77:77">
      <c r="BY1063" s="35"/>
    </row>
    <row r="1064" spans="77:77">
      <c r="BY1064" s="35"/>
    </row>
    <row r="1065" spans="77:77">
      <c r="BY1065" s="35"/>
    </row>
    <row r="1066" spans="77:77">
      <c r="BY1066" s="35"/>
    </row>
    <row r="1067" spans="77:77">
      <c r="BY1067" s="35"/>
    </row>
    <row r="1068" spans="77:77">
      <c r="BY1068" s="35"/>
    </row>
    <row r="1069" spans="77:77">
      <c r="BY1069" s="35"/>
    </row>
    <row r="1070" spans="77:77">
      <c r="BY1070" s="35"/>
    </row>
    <row r="1071" spans="77:77">
      <c r="BY1071" s="35"/>
    </row>
    <row r="1072" spans="77:77">
      <c r="BY1072" s="35"/>
    </row>
    <row r="1073" spans="77:77">
      <c r="BY1073" s="35"/>
    </row>
    <row r="1074" spans="77:77">
      <c r="BY1074" s="35"/>
    </row>
    <row r="1075" spans="77:77">
      <c r="BY1075" s="35"/>
    </row>
    <row r="1076" spans="77:77">
      <c r="BY1076" s="35"/>
    </row>
    <row r="1077" spans="77:77">
      <c r="BY1077" s="35"/>
    </row>
    <row r="1078" spans="77:77">
      <c r="BY1078" s="35"/>
    </row>
    <row r="1079" spans="77:77">
      <c r="BY1079" s="35"/>
    </row>
    <row r="1080" spans="77:77">
      <c r="BY1080" s="35"/>
    </row>
    <row r="1081" spans="77:77">
      <c r="BY1081" s="35"/>
    </row>
    <row r="1082" spans="77:77">
      <c r="BY1082" s="35"/>
    </row>
    <row r="1083" spans="77:77">
      <c r="BY1083" s="35"/>
    </row>
    <row r="1084" spans="77:77">
      <c r="BY1084" s="35"/>
    </row>
    <row r="1085" spans="77:77">
      <c r="BY1085" s="35"/>
    </row>
    <row r="1086" spans="77:77">
      <c r="BY1086" s="35"/>
    </row>
    <row r="1087" spans="77:77">
      <c r="BY1087" s="35"/>
    </row>
    <row r="1088" spans="77:77">
      <c r="BY1088" s="35"/>
    </row>
    <row r="1089" spans="77:77">
      <c r="BY1089" s="35"/>
    </row>
    <row r="1090" spans="77:77">
      <c r="BY1090" s="35"/>
    </row>
    <row r="1091" spans="77:77">
      <c r="BY1091" s="35"/>
    </row>
    <row r="1092" spans="77:77">
      <c r="BY1092" s="35"/>
    </row>
    <row r="1093" spans="77:77">
      <c r="BY1093" s="35"/>
    </row>
    <row r="1094" spans="77:77">
      <c r="BY1094" s="35"/>
    </row>
    <row r="1095" spans="77:77">
      <c r="BY1095" s="35"/>
    </row>
    <row r="1096" spans="77:77">
      <c r="BY1096" s="35"/>
    </row>
    <row r="1097" spans="77:77">
      <c r="BY1097" s="35"/>
    </row>
    <row r="1098" spans="77:77">
      <c r="BY1098" s="35"/>
    </row>
    <row r="1099" spans="77:77">
      <c r="BY1099" s="35"/>
    </row>
    <row r="1100" spans="77:77">
      <c r="BY1100" s="35"/>
    </row>
    <row r="1101" spans="77:77">
      <c r="BY1101" s="35"/>
    </row>
    <row r="1102" spans="77:77">
      <c r="BY1102" s="35"/>
    </row>
    <row r="1103" spans="77:77">
      <c r="BY1103" s="35"/>
    </row>
    <row r="1104" spans="77:77">
      <c r="BY1104" s="35"/>
    </row>
    <row r="1105" spans="77:77">
      <c r="BY1105" s="35"/>
    </row>
    <row r="1106" spans="77:77">
      <c r="BY1106" s="35"/>
    </row>
    <row r="1107" spans="77:77">
      <c r="BY1107" s="35"/>
    </row>
    <row r="1108" spans="77:77">
      <c r="BY1108" s="35"/>
    </row>
    <row r="1109" spans="77:77">
      <c r="BY1109" s="35"/>
    </row>
    <row r="1110" spans="77:77">
      <c r="BY1110" s="35"/>
    </row>
    <row r="1111" spans="77:77">
      <c r="BY1111" s="35"/>
    </row>
    <row r="1112" spans="77:77">
      <c r="BY1112" s="35"/>
    </row>
    <row r="1113" spans="77:77">
      <c r="BY1113" s="35"/>
    </row>
    <row r="1114" spans="77:77">
      <c r="BY1114" s="35"/>
    </row>
    <row r="1115" spans="77:77">
      <c r="BY1115" s="35"/>
    </row>
    <row r="1116" spans="77:77">
      <c r="BY1116" s="35"/>
    </row>
    <row r="1117" spans="77:77">
      <c r="BY1117" s="35"/>
    </row>
    <row r="1118" spans="77:77">
      <c r="BY1118" s="35"/>
    </row>
    <row r="1119" spans="77:77">
      <c r="BY1119" s="35"/>
    </row>
    <row r="1120" spans="77:77">
      <c r="BY1120" s="35"/>
    </row>
    <row r="1121" spans="77:77">
      <c r="BY1121" s="35"/>
    </row>
    <row r="1122" spans="77:77">
      <c r="BY1122" s="35"/>
    </row>
    <row r="1123" spans="77:77">
      <c r="BY1123" s="35"/>
    </row>
    <row r="1124" spans="77:77">
      <c r="BY1124" s="35"/>
    </row>
    <row r="1125" spans="77:77">
      <c r="BY1125" s="35"/>
    </row>
    <row r="1126" spans="77:77">
      <c r="BY1126" s="35"/>
    </row>
    <row r="1127" spans="77:77">
      <c r="BY1127" s="35"/>
    </row>
    <row r="1128" spans="77:77">
      <c r="BY1128" s="35"/>
    </row>
    <row r="1129" spans="77:77">
      <c r="BY1129" s="35"/>
    </row>
    <row r="1130" spans="77:77">
      <c r="BY1130" s="35"/>
    </row>
    <row r="1131" spans="77:77">
      <c r="BY1131" s="35"/>
    </row>
    <row r="1132" spans="77:77">
      <c r="BY1132" s="35"/>
    </row>
    <row r="1133" spans="77:77">
      <c r="BY1133" s="35"/>
    </row>
    <row r="1134" spans="77:77">
      <c r="BY1134" s="35"/>
    </row>
    <row r="1135" spans="77:77">
      <c r="BY1135" s="35"/>
    </row>
    <row r="1136" spans="77:77">
      <c r="BY1136" s="35"/>
    </row>
    <row r="1137" spans="77:77">
      <c r="BY1137" s="35"/>
    </row>
    <row r="1138" spans="77:77">
      <c r="BY1138" s="35"/>
    </row>
    <row r="1139" spans="77:77">
      <c r="BY1139" s="35"/>
    </row>
    <row r="1140" spans="77:77">
      <c r="BY1140" s="35"/>
    </row>
    <row r="1141" spans="77:77">
      <c r="BY1141" s="35"/>
    </row>
    <row r="1142" spans="77:77">
      <c r="BY1142" s="35"/>
    </row>
    <row r="1143" spans="77:77">
      <c r="BY1143" s="35"/>
    </row>
    <row r="1144" spans="77:77">
      <c r="BY1144" s="35"/>
    </row>
    <row r="1145" spans="77:77">
      <c r="BY1145" s="35"/>
    </row>
    <row r="1146" spans="77:77">
      <c r="BY1146" s="35"/>
    </row>
    <row r="1147" spans="77:77">
      <c r="BY1147" s="35"/>
    </row>
    <row r="1148" spans="77:77">
      <c r="BY1148" s="35"/>
    </row>
    <row r="1149" spans="77:77">
      <c r="BY1149" s="35"/>
    </row>
    <row r="1150" spans="77:77">
      <c r="BY1150" s="35"/>
    </row>
    <row r="1151" spans="77:77">
      <c r="BY1151" s="35"/>
    </row>
    <row r="1152" spans="77:77">
      <c r="BY1152" s="35"/>
    </row>
    <row r="1153" spans="77:77">
      <c r="BY1153" s="35"/>
    </row>
    <row r="1154" spans="77:77">
      <c r="BY1154" s="35"/>
    </row>
    <row r="1155" spans="77:77">
      <c r="BY1155" s="35"/>
    </row>
    <row r="1156" spans="77:77">
      <c r="BY1156" s="35"/>
    </row>
    <row r="1157" spans="77:77">
      <c r="BY1157" s="35"/>
    </row>
    <row r="1158" spans="77:77">
      <c r="BY1158" s="35"/>
    </row>
    <row r="1159" spans="77:77">
      <c r="BY1159" s="35"/>
    </row>
    <row r="1160" spans="77:77">
      <c r="BY1160" s="35"/>
    </row>
    <row r="1161" spans="77:77">
      <c r="BY1161" s="35"/>
    </row>
    <row r="1162" spans="77:77">
      <c r="BY1162" s="35"/>
    </row>
    <row r="1163" spans="77:77">
      <c r="BY1163" s="35"/>
    </row>
    <row r="1164" spans="77:77">
      <c r="BY1164" s="35"/>
    </row>
    <row r="1165" spans="77:77">
      <c r="BY1165" s="35"/>
    </row>
    <row r="1166" spans="77:77">
      <c r="BY1166" s="35"/>
    </row>
    <row r="1167" spans="77:77">
      <c r="BY1167" s="35"/>
    </row>
    <row r="1168" spans="77:77">
      <c r="BY1168" s="35"/>
    </row>
    <row r="1169" spans="77:77">
      <c r="BY1169" s="35"/>
    </row>
    <row r="1170" spans="77:77">
      <c r="BY1170" s="35"/>
    </row>
    <row r="1171" spans="77:77">
      <c r="BY1171" s="35"/>
    </row>
    <row r="1172" spans="77:77">
      <c r="BY1172" s="35"/>
    </row>
    <row r="1173" spans="77:77">
      <c r="BY1173" s="35"/>
    </row>
    <row r="1174" spans="77:77">
      <c r="BY1174" s="35"/>
    </row>
    <row r="1175" spans="77:77">
      <c r="BY1175" s="35"/>
    </row>
    <row r="1176" spans="77:77">
      <c r="BY1176" s="35"/>
    </row>
    <row r="1177" spans="77:77">
      <c r="BY1177" s="35"/>
    </row>
    <row r="1178" spans="77:77">
      <c r="BY1178" s="35"/>
    </row>
    <row r="1179" spans="77:77">
      <c r="BY1179" s="35"/>
    </row>
    <row r="1180" spans="77:77">
      <c r="BY1180" s="35"/>
    </row>
    <row r="1181" spans="77:77">
      <c r="BY1181" s="35"/>
    </row>
    <row r="1182" spans="77:77">
      <c r="BY1182" s="35"/>
    </row>
    <row r="1183" spans="77:77">
      <c r="BY1183" s="35"/>
    </row>
    <row r="1184" spans="77:77">
      <c r="BY1184" s="35"/>
    </row>
    <row r="1185" spans="77:77">
      <c r="BY1185" s="35"/>
    </row>
    <row r="1186" spans="77:77">
      <c r="BY1186" s="35"/>
    </row>
    <row r="1187" spans="77:77">
      <c r="BY1187" s="35"/>
    </row>
    <row r="1188" spans="77:77">
      <c r="BY1188" s="35"/>
    </row>
    <row r="1189" spans="77:77">
      <c r="BY1189" s="35"/>
    </row>
    <row r="1190" spans="77:77">
      <c r="BY1190" s="35"/>
    </row>
    <row r="1191" spans="77:77">
      <c r="BY1191" s="35"/>
    </row>
    <row r="1192" spans="77:77">
      <c r="BY1192" s="35"/>
    </row>
    <row r="1193" spans="77:77">
      <c r="BY1193" s="35"/>
    </row>
    <row r="1194" spans="77:77">
      <c r="BY1194" s="35"/>
    </row>
    <row r="1195" spans="77:77">
      <c r="BY1195" s="35"/>
    </row>
    <row r="1196" spans="77:77">
      <c r="BY1196" s="35"/>
    </row>
    <row r="1197" spans="77:77">
      <c r="BY1197" s="35"/>
    </row>
    <row r="1198" spans="77:77">
      <c r="BY1198" s="35"/>
    </row>
    <row r="1199" spans="77:77">
      <c r="BY1199" s="35"/>
    </row>
    <row r="1200" spans="77:77">
      <c r="BY1200" s="35"/>
    </row>
    <row r="1201" spans="77:77">
      <c r="BY1201" s="35"/>
    </row>
    <row r="1202" spans="77:77">
      <c r="BY1202" s="35"/>
    </row>
    <row r="1203" spans="77:77">
      <c r="BY1203" s="35"/>
    </row>
    <row r="1204" spans="77:77">
      <c r="BY1204" s="35"/>
    </row>
    <row r="1205" spans="77:77">
      <c r="BY1205" s="35"/>
    </row>
    <row r="1206" spans="77:77">
      <c r="BY1206" s="35"/>
    </row>
    <row r="1207" spans="77:77">
      <c r="BY1207" s="35"/>
    </row>
    <row r="1208" spans="77:77">
      <c r="BY1208" s="35"/>
    </row>
    <row r="1209" spans="77:77">
      <c r="BY1209" s="35"/>
    </row>
    <row r="1210" spans="77:77">
      <c r="BY1210" s="35"/>
    </row>
    <row r="1211" spans="77:77">
      <c r="BY1211" s="35"/>
    </row>
    <row r="1212" spans="77:77">
      <c r="BY1212" s="35"/>
    </row>
    <row r="1213" spans="77:77">
      <c r="BY1213" s="35"/>
    </row>
    <row r="1214" spans="77:77">
      <c r="BY1214" s="35"/>
    </row>
    <row r="1215" spans="77:77">
      <c r="BY1215" s="35"/>
    </row>
    <row r="1216" spans="77:77">
      <c r="BY1216" s="35"/>
    </row>
    <row r="1217" spans="77:77">
      <c r="BY1217" s="35"/>
    </row>
    <row r="1218" spans="77:77">
      <c r="BY1218" s="35"/>
    </row>
    <row r="1219" spans="77:77">
      <c r="BY1219" s="35"/>
    </row>
    <row r="1220" spans="77:77">
      <c r="BY1220" s="35"/>
    </row>
    <row r="1221" spans="77:77">
      <c r="BY1221" s="35"/>
    </row>
    <row r="1222" spans="77:77">
      <c r="BY1222" s="35"/>
    </row>
    <row r="1223" spans="77:77">
      <c r="BY1223" s="35"/>
    </row>
    <row r="1224" spans="77:77">
      <c r="BY1224" s="35"/>
    </row>
    <row r="1225" spans="77:77">
      <c r="BY1225" s="35"/>
    </row>
    <row r="1226" spans="77:77">
      <c r="BY1226" s="35"/>
    </row>
    <row r="1227" spans="77:77">
      <c r="BY1227" s="35"/>
    </row>
    <row r="1228" spans="77:77">
      <c r="BY1228" s="35"/>
    </row>
    <row r="1229" spans="77:77">
      <c r="BY1229" s="35"/>
    </row>
    <row r="1230" spans="77:77">
      <c r="BY1230" s="35"/>
    </row>
    <row r="1231" spans="77:77">
      <c r="BY1231" s="35"/>
    </row>
    <row r="1232" spans="77:77">
      <c r="BY1232" s="35"/>
    </row>
    <row r="1233" spans="77:77">
      <c r="BY1233" s="35"/>
    </row>
    <row r="1234" spans="77:77">
      <c r="BY1234" s="35"/>
    </row>
    <row r="1235" spans="77:77">
      <c r="BY1235" s="35"/>
    </row>
    <row r="1236" spans="77:77">
      <c r="BY1236" s="35"/>
    </row>
    <row r="1237" spans="77:77">
      <c r="BY1237" s="35"/>
    </row>
    <row r="1238" spans="77:77">
      <c r="BY1238" s="35"/>
    </row>
    <row r="1239" spans="77:77">
      <c r="BY1239" s="35"/>
    </row>
    <row r="1240" spans="77:77">
      <c r="BY1240" s="35"/>
    </row>
    <row r="1241" spans="77:77">
      <c r="BY1241" s="35"/>
    </row>
    <row r="1242" spans="77:77">
      <c r="BY1242" s="35"/>
    </row>
    <row r="1243" spans="77:77">
      <c r="BY1243" s="35"/>
    </row>
    <row r="1244" spans="77:77">
      <c r="BY1244" s="35"/>
    </row>
    <row r="1245" spans="77:77">
      <c r="BY1245" s="35"/>
    </row>
    <row r="1246" spans="77:77">
      <c r="BY1246" s="35"/>
    </row>
    <row r="1247" spans="77:77">
      <c r="BY1247" s="35"/>
    </row>
    <row r="1248" spans="77:77">
      <c r="BY1248" s="35"/>
    </row>
    <row r="1249" spans="77:77">
      <c r="BY1249" s="35"/>
    </row>
    <row r="1250" spans="77:77">
      <c r="BY1250" s="35"/>
    </row>
    <row r="1251" spans="77:77">
      <c r="BY1251" s="35"/>
    </row>
    <row r="1252" spans="77:77">
      <c r="BY1252" s="35"/>
    </row>
    <row r="1253" spans="77:77">
      <c r="BY1253" s="35"/>
    </row>
    <row r="1254" spans="77:77">
      <c r="BY1254" s="35"/>
    </row>
    <row r="1255" spans="77:77">
      <c r="BY1255" s="35"/>
    </row>
    <row r="1256" spans="77:77">
      <c r="BY1256" s="35"/>
    </row>
    <row r="1257" spans="77:77">
      <c r="BY1257" s="35"/>
    </row>
    <row r="1258" spans="77:77">
      <c r="BY1258" s="35"/>
    </row>
    <row r="1259" spans="77:77">
      <c r="BY1259" s="35"/>
    </row>
    <row r="1260" spans="77:77">
      <c r="BY1260" s="35"/>
    </row>
    <row r="1261" spans="77:77">
      <c r="BY1261" s="35"/>
    </row>
    <row r="1262" spans="77:77">
      <c r="BY1262" s="35"/>
    </row>
    <row r="1263" spans="77:77">
      <c r="BY1263" s="35"/>
    </row>
    <row r="1264" spans="77:77">
      <c r="BY1264" s="35"/>
    </row>
    <row r="1265" spans="77:77">
      <c r="BY1265" s="35"/>
    </row>
    <row r="1266" spans="77:77">
      <c r="BY1266" s="35"/>
    </row>
    <row r="1267" spans="77:77">
      <c r="BY1267" s="35"/>
    </row>
    <row r="1268" spans="77:77">
      <c r="BY1268" s="35"/>
    </row>
    <row r="1269" spans="77:77">
      <c r="BY1269" s="35"/>
    </row>
    <row r="1270" spans="77:77">
      <c r="BY1270" s="35"/>
    </row>
    <row r="1271" spans="77:77">
      <c r="BY1271" s="35"/>
    </row>
    <row r="1272" spans="77:77">
      <c r="BY1272" s="35"/>
    </row>
    <row r="1273" spans="77:77">
      <c r="BY1273" s="35"/>
    </row>
    <row r="1274" spans="77:77">
      <c r="BY1274" s="35"/>
    </row>
    <row r="1275" spans="77:77">
      <c r="BY1275" s="35"/>
    </row>
    <row r="1276" spans="77:77">
      <c r="BY1276" s="35"/>
    </row>
    <row r="1277" spans="77:77">
      <c r="BY1277" s="35"/>
    </row>
    <row r="1278" spans="77:77">
      <c r="BY1278" s="35"/>
    </row>
    <row r="1279" spans="77:77">
      <c r="BY1279" s="35"/>
    </row>
    <row r="1280" spans="77:77">
      <c r="BY1280" s="35"/>
    </row>
    <row r="1281" spans="77:77">
      <c r="BY1281" s="35"/>
    </row>
    <row r="1282" spans="77:77">
      <c r="BY1282" s="35"/>
    </row>
    <row r="1283" spans="77:77">
      <c r="BY1283" s="35"/>
    </row>
    <row r="1284" spans="77:77">
      <c r="BY1284" s="35"/>
    </row>
    <row r="1285" spans="77:77">
      <c r="BY1285" s="35"/>
    </row>
    <row r="1286" spans="77:77">
      <c r="BY1286" s="35"/>
    </row>
    <row r="1287" spans="77:77">
      <c r="BY1287" s="35"/>
    </row>
    <row r="1288" spans="77:77">
      <c r="BY1288" s="35"/>
    </row>
    <row r="1289" spans="77:77">
      <c r="BY1289" s="35"/>
    </row>
    <row r="1290" spans="77:77">
      <c r="BY1290" s="35"/>
    </row>
    <row r="1291" spans="77:77">
      <c r="BY1291" s="35"/>
    </row>
    <row r="1292" spans="77:77">
      <c r="BY1292" s="35"/>
    </row>
    <row r="1293" spans="77:77">
      <c r="BY1293" s="35"/>
    </row>
    <row r="1294" spans="77:77">
      <c r="BY1294" s="35"/>
    </row>
    <row r="1295" spans="77:77">
      <c r="BY1295" s="35"/>
    </row>
    <row r="1296" spans="77:77">
      <c r="BY1296" s="35"/>
    </row>
    <row r="1297" spans="77:77">
      <c r="BY1297" s="35"/>
    </row>
    <row r="1298" spans="77:77">
      <c r="BY1298" s="35"/>
    </row>
    <row r="1299" spans="77:77">
      <c r="BY1299" s="35"/>
    </row>
    <row r="1300" spans="77:77">
      <c r="BY1300" s="35"/>
    </row>
    <row r="1301" spans="77:77">
      <c r="BY1301" s="35"/>
    </row>
    <row r="1302" spans="77:77">
      <c r="BY1302" s="35"/>
    </row>
    <row r="1303" spans="77:77">
      <c r="BY1303" s="35"/>
    </row>
    <row r="1304" spans="77:77">
      <c r="BY1304" s="35"/>
    </row>
    <row r="1305" spans="77:77">
      <c r="BY1305" s="35"/>
    </row>
    <row r="1306" spans="77:77">
      <c r="BY1306" s="35"/>
    </row>
    <row r="1307" spans="77:77">
      <c r="BY1307" s="35"/>
    </row>
    <row r="1308" spans="77:77">
      <c r="BY1308" s="35"/>
    </row>
    <row r="1309" spans="77:77">
      <c r="BY1309" s="35"/>
    </row>
    <row r="1310" spans="77:77">
      <c r="BY1310" s="35"/>
    </row>
    <row r="1311" spans="77:77">
      <c r="BY1311" s="35"/>
    </row>
    <row r="1312" spans="77:77">
      <c r="BY1312" s="35"/>
    </row>
    <row r="1313" spans="77:77">
      <c r="BY1313" s="35"/>
    </row>
    <row r="1314" spans="77:77">
      <c r="BY1314" s="35"/>
    </row>
    <row r="1315" spans="77:77">
      <c r="BY1315" s="35"/>
    </row>
    <row r="1316" spans="77:77">
      <c r="BY1316" s="35"/>
    </row>
    <row r="1317" spans="77:77">
      <c r="BY1317" s="35"/>
    </row>
    <row r="1318" spans="77:77">
      <c r="BY1318" s="35"/>
    </row>
    <row r="1319" spans="77:77">
      <c r="BY1319" s="35"/>
    </row>
    <row r="1320" spans="77:77">
      <c r="BY1320" s="35"/>
    </row>
    <row r="1321" spans="77:77">
      <c r="BY1321" s="35"/>
    </row>
    <row r="1322" spans="77:77">
      <c r="BY1322" s="35"/>
    </row>
    <row r="1323" spans="77:77">
      <c r="BY1323" s="35"/>
    </row>
    <row r="1324" spans="77:77">
      <c r="BY1324" s="35"/>
    </row>
    <row r="1325" spans="77:77">
      <c r="BY1325" s="35"/>
    </row>
    <row r="1326" spans="77:77">
      <c r="BY1326" s="35"/>
    </row>
    <row r="1327" spans="77:77">
      <c r="BY1327" s="35"/>
    </row>
    <row r="1328" spans="77:77">
      <c r="BY1328" s="35"/>
    </row>
    <row r="1329" spans="77:77">
      <c r="BY1329" s="35"/>
    </row>
    <row r="1330" spans="77:77">
      <c r="BY1330" s="35"/>
    </row>
    <row r="1331" spans="77:77">
      <c r="BY1331" s="35"/>
    </row>
    <row r="1332" spans="77:77">
      <c r="BY1332" s="35"/>
    </row>
    <row r="1333" spans="77:77">
      <c r="BY1333" s="35"/>
    </row>
    <row r="1334" spans="77:77">
      <c r="BY1334" s="35"/>
    </row>
    <row r="1335" spans="77:77">
      <c r="BY1335" s="35"/>
    </row>
    <row r="1336" spans="77:77">
      <c r="BY1336" s="35"/>
    </row>
    <row r="1337" spans="77:77">
      <c r="BY1337" s="35"/>
    </row>
    <row r="1338" spans="77:77">
      <c r="BY1338" s="35"/>
    </row>
    <row r="1339" spans="77:77">
      <c r="BY1339" s="35"/>
    </row>
    <row r="1340" spans="77:77">
      <c r="BY1340" s="35"/>
    </row>
    <row r="1341" spans="77:77">
      <c r="BY1341" s="35"/>
    </row>
    <row r="1342" spans="77:77">
      <c r="BY1342" s="35"/>
    </row>
    <row r="1343" spans="77:77">
      <c r="BY1343" s="35"/>
    </row>
    <row r="1344" spans="77:77">
      <c r="BY1344" s="35"/>
    </row>
    <row r="1345" spans="77:77">
      <c r="BY1345" s="35"/>
    </row>
    <row r="1346" spans="77:77">
      <c r="BY1346" s="35"/>
    </row>
    <row r="1347" spans="77:77">
      <c r="BY1347" s="35"/>
    </row>
    <row r="1348" spans="77:77">
      <c r="BY1348" s="35"/>
    </row>
    <row r="1349" spans="77:77">
      <c r="BY1349" s="35"/>
    </row>
    <row r="1350" spans="77:77">
      <c r="BY1350" s="35"/>
    </row>
    <row r="1351" spans="77:77">
      <c r="BY1351" s="35"/>
    </row>
    <row r="1352" spans="77:77">
      <c r="BY1352" s="35"/>
    </row>
    <row r="1353" spans="77:77">
      <c r="BY1353" s="35"/>
    </row>
    <row r="1354" spans="77:77">
      <c r="BY1354" s="35"/>
    </row>
    <row r="1355" spans="77:77">
      <c r="BY1355" s="35"/>
    </row>
    <row r="1356" spans="77:77">
      <c r="BY1356" s="35"/>
    </row>
    <row r="1357" spans="77:77">
      <c r="BY1357" s="35"/>
    </row>
    <row r="1358" spans="77:77">
      <c r="BY1358" s="35"/>
    </row>
    <row r="1359" spans="77:77">
      <c r="BY1359" s="35"/>
    </row>
    <row r="1360" spans="77:77">
      <c r="BY1360" s="35"/>
    </row>
    <row r="1361" spans="77:77">
      <c r="BY1361" s="35"/>
    </row>
    <row r="1362" spans="77:77">
      <c r="BY1362" s="35"/>
    </row>
    <row r="1363" spans="77:77">
      <c r="BY1363" s="35"/>
    </row>
    <row r="1364" spans="77:77">
      <c r="BY1364" s="35"/>
    </row>
    <row r="1365" spans="77:77">
      <c r="BY1365" s="35"/>
    </row>
    <row r="1366" spans="77:77">
      <c r="BY1366" s="35"/>
    </row>
    <row r="1367" spans="77:77">
      <c r="BY1367" s="35"/>
    </row>
    <row r="1368" spans="77:77">
      <c r="BY1368" s="35"/>
    </row>
    <row r="1369" spans="77:77">
      <c r="BY1369" s="35"/>
    </row>
    <row r="1370" spans="77:77">
      <c r="BY1370" s="35"/>
    </row>
    <row r="1371" spans="77:77">
      <c r="BY1371" s="35"/>
    </row>
    <row r="1372" spans="77:77">
      <c r="BY1372" s="35"/>
    </row>
    <row r="1373" spans="77:77">
      <c r="BY1373" s="35"/>
    </row>
    <row r="1374" spans="77:77">
      <c r="BY1374" s="35"/>
    </row>
    <row r="1375" spans="77:77">
      <c r="BY1375" s="35"/>
    </row>
    <row r="1376" spans="77:77">
      <c r="BY1376" s="35"/>
    </row>
    <row r="1377" spans="77:77">
      <c r="BY1377" s="35"/>
    </row>
    <row r="1378" spans="77:77">
      <c r="BY1378" s="35"/>
    </row>
    <row r="1379" spans="77:77">
      <c r="BY1379" s="35"/>
    </row>
    <row r="1380" spans="77:77">
      <c r="BY1380" s="35"/>
    </row>
    <row r="1381" spans="77:77">
      <c r="BY1381" s="35"/>
    </row>
    <row r="1382" spans="77:77">
      <c r="BY1382" s="35"/>
    </row>
    <row r="1383" spans="77:77">
      <c r="BY1383" s="35"/>
    </row>
    <row r="1384" spans="77:77">
      <c r="BY1384" s="35"/>
    </row>
    <row r="1385" spans="77:77">
      <c r="BY1385" s="35"/>
    </row>
    <row r="1386" spans="77:77">
      <c r="BY1386" s="35"/>
    </row>
    <row r="1387" spans="77:77">
      <c r="BY1387" s="35"/>
    </row>
    <row r="1388" spans="77:77">
      <c r="BY1388" s="35"/>
    </row>
    <row r="1389" spans="77:77">
      <c r="BY1389" s="35"/>
    </row>
    <row r="1390" spans="77:77">
      <c r="BY1390" s="35"/>
    </row>
    <row r="1391" spans="77:77">
      <c r="BY1391" s="35"/>
    </row>
    <row r="1392" spans="77:77">
      <c r="BY1392" s="35"/>
    </row>
    <row r="1393" spans="77:77">
      <c r="BY1393" s="35"/>
    </row>
    <row r="1394" spans="77:77">
      <c r="BY1394" s="35"/>
    </row>
    <row r="1395" spans="77:77">
      <c r="BY1395" s="35"/>
    </row>
    <row r="1396" spans="77:77">
      <c r="BY1396" s="35"/>
    </row>
    <row r="1397" spans="77:77">
      <c r="BY1397" s="35"/>
    </row>
    <row r="1398" spans="77:77">
      <c r="BY1398" s="35"/>
    </row>
    <row r="1399" spans="77:77">
      <c r="BY1399" s="35"/>
    </row>
    <row r="1400" spans="77:77">
      <c r="BY1400" s="35"/>
    </row>
    <row r="1401" spans="77:77">
      <c r="BY1401" s="35"/>
    </row>
    <row r="1402" spans="77:77">
      <c r="BY1402" s="35"/>
    </row>
    <row r="1403" spans="77:77">
      <c r="BY1403" s="35"/>
    </row>
    <row r="1404" spans="77:77">
      <c r="BY1404" s="35"/>
    </row>
    <row r="1405" spans="77:77">
      <c r="BY1405" s="35"/>
    </row>
    <row r="1406" spans="77:77">
      <c r="BY1406" s="35"/>
    </row>
    <row r="1407" spans="77:77">
      <c r="BY1407" s="35"/>
    </row>
    <row r="1408" spans="77:77">
      <c r="BY1408" s="35"/>
    </row>
    <row r="1409" spans="77:77">
      <c r="BY1409" s="35"/>
    </row>
    <row r="1410" spans="77:77">
      <c r="BY1410" s="35"/>
    </row>
    <row r="1411" spans="77:77">
      <c r="BY1411" s="35"/>
    </row>
    <row r="1412" spans="77:77">
      <c r="BY1412" s="35"/>
    </row>
    <row r="1413" spans="77:77">
      <c r="BY1413" s="35"/>
    </row>
    <row r="1414" spans="77:77">
      <c r="BY1414" s="35"/>
    </row>
    <row r="1415" spans="77:77">
      <c r="BY1415" s="35"/>
    </row>
    <row r="1416" spans="77:77">
      <c r="BY1416" s="35"/>
    </row>
    <row r="1417" spans="77:77">
      <c r="BY1417" s="35"/>
    </row>
    <row r="1418" spans="77:77">
      <c r="BY1418" s="35"/>
    </row>
    <row r="1419" spans="77:77">
      <c r="BY1419" s="35"/>
    </row>
    <row r="1420" spans="77:77">
      <c r="BY1420" s="35"/>
    </row>
    <row r="1421" spans="77:77">
      <c r="BY1421" s="35"/>
    </row>
    <row r="1422" spans="77:77">
      <c r="BY1422" s="35"/>
    </row>
    <row r="1423" spans="77:77">
      <c r="BY1423" s="35"/>
    </row>
    <row r="1424" spans="77:77">
      <c r="BY1424" s="35"/>
    </row>
    <row r="1425" spans="77:77">
      <c r="BY1425" s="35"/>
    </row>
    <row r="1426" spans="77:77">
      <c r="BY1426" s="35"/>
    </row>
    <row r="1427" spans="77:77">
      <c r="BY1427" s="35"/>
    </row>
    <row r="1428" spans="77:77">
      <c r="BY1428" s="35"/>
    </row>
    <row r="1429" spans="77:77">
      <c r="BY1429" s="35"/>
    </row>
    <row r="1430" spans="77:77">
      <c r="BY1430" s="35"/>
    </row>
    <row r="1431" spans="77:77">
      <c r="BY1431" s="35"/>
    </row>
    <row r="1432" spans="77:77">
      <c r="BY1432" s="35"/>
    </row>
    <row r="1433" spans="77:77">
      <c r="BY1433" s="35"/>
    </row>
    <row r="1434" spans="77:77">
      <c r="BY1434" s="35"/>
    </row>
    <row r="1435" spans="77:77">
      <c r="BY1435" s="35"/>
    </row>
    <row r="1436" spans="77:77">
      <c r="BY1436" s="35"/>
    </row>
    <row r="1437" spans="77:77">
      <c r="BY1437" s="35"/>
    </row>
    <row r="1438" spans="77:77">
      <c r="BY1438" s="35"/>
    </row>
    <row r="1439" spans="77:77">
      <c r="BY1439" s="35"/>
    </row>
    <row r="1440" spans="77:77">
      <c r="BY1440" s="35"/>
    </row>
    <row r="1441" spans="77:77">
      <c r="BY1441" s="35"/>
    </row>
    <row r="1442" spans="77:77">
      <c r="BY1442" s="35"/>
    </row>
    <row r="1443" spans="77:77">
      <c r="BY1443" s="35"/>
    </row>
    <row r="1444" spans="77:77">
      <c r="BY1444" s="35"/>
    </row>
    <row r="1445" spans="77:77">
      <c r="BY1445" s="35"/>
    </row>
    <row r="1446" spans="77:77">
      <c r="BY1446" s="35"/>
    </row>
    <row r="1447" spans="77:77">
      <c r="BY1447" s="35"/>
    </row>
    <row r="1448" spans="77:77">
      <c r="BY1448" s="35"/>
    </row>
    <row r="1449" spans="77:77">
      <c r="BY1449" s="35"/>
    </row>
    <row r="1450" spans="77:77">
      <c r="BY1450" s="35"/>
    </row>
    <row r="1451" spans="77:77">
      <c r="BY1451" s="35"/>
    </row>
    <row r="1452" spans="77:77">
      <c r="BY1452" s="35"/>
    </row>
    <row r="1453" spans="77:77">
      <c r="BY1453" s="35"/>
    </row>
    <row r="1454" spans="77:77">
      <c r="BY1454" s="35"/>
    </row>
    <row r="1455" spans="77:77">
      <c r="BY1455" s="35"/>
    </row>
    <row r="1456" spans="77:77">
      <c r="BY1456" s="35"/>
    </row>
    <row r="1457" spans="77:77">
      <c r="BY1457" s="35"/>
    </row>
    <row r="1458" spans="77:77">
      <c r="BY1458" s="35"/>
    </row>
    <row r="1459" spans="77:77">
      <c r="BY1459" s="35"/>
    </row>
    <row r="1460" spans="77:77">
      <c r="BY1460" s="35"/>
    </row>
    <row r="1461" spans="77:77">
      <c r="BY1461" s="35"/>
    </row>
    <row r="1462" spans="77:77">
      <c r="BY1462" s="35"/>
    </row>
    <row r="1463" spans="77:77">
      <c r="BY1463" s="35"/>
    </row>
    <row r="1464" spans="77:77">
      <c r="BY1464" s="35"/>
    </row>
    <row r="1465" spans="77:77">
      <c r="BY1465" s="35"/>
    </row>
    <row r="1466" spans="77:77">
      <c r="BY1466" s="35"/>
    </row>
    <row r="1467" spans="77:77">
      <c r="BY1467" s="35"/>
    </row>
    <row r="1468" spans="77:77">
      <c r="BY1468" s="35"/>
    </row>
    <row r="1469" spans="77:77">
      <c r="BY1469" s="35"/>
    </row>
    <row r="1470" spans="77:77">
      <c r="BY1470" s="35"/>
    </row>
    <row r="1471" spans="77:77">
      <c r="BY1471" s="35"/>
    </row>
    <row r="1472" spans="77:77">
      <c r="BY1472" s="35"/>
    </row>
    <row r="1473" spans="77:77">
      <c r="BY1473" s="35"/>
    </row>
    <row r="1474" spans="77:77">
      <c r="BY1474" s="35"/>
    </row>
    <row r="1475" spans="77:77">
      <c r="BY1475" s="35"/>
    </row>
    <row r="1476" spans="77:77">
      <c r="BY1476" s="35"/>
    </row>
    <row r="1477" spans="77:77">
      <c r="BY1477" s="35"/>
    </row>
    <row r="1478" spans="77:77">
      <c r="BY1478" s="35"/>
    </row>
    <row r="1479" spans="77:77">
      <c r="BY1479" s="35"/>
    </row>
    <row r="1480" spans="77:77">
      <c r="BY1480" s="35"/>
    </row>
    <row r="1481" spans="77:77">
      <c r="BY1481" s="35"/>
    </row>
    <row r="1482" spans="77:77">
      <c r="BY1482" s="35"/>
    </row>
    <row r="1483" spans="77:77">
      <c r="BY1483" s="35"/>
    </row>
    <row r="1484" spans="77:77">
      <c r="BY1484" s="35"/>
    </row>
    <row r="1485" spans="77:77">
      <c r="BY1485" s="35"/>
    </row>
    <row r="1486" spans="77:77">
      <c r="BY1486" s="35"/>
    </row>
    <row r="1487" spans="77:77">
      <c r="BY1487" s="35"/>
    </row>
    <row r="1488" spans="77:77">
      <c r="BY1488" s="35"/>
    </row>
    <row r="1489" spans="77:77">
      <c r="BY1489" s="35"/>
    </row>
    <row r="1490" spans="77:77">
      <c r="BY1490" s="35"/>
    </row>
    <row r="1491" spans="77:77">
      <c r="BY1491" s="35"/>
    </row>
    <row r="1492" spans="77:77">
      <c r="BY1492" s="35"/>
    </row>
    <row r="1493" spans="77:77">
      <c r="BY1493" s="35"/>
    </row>
    <row r="1494" spans="77:77">
      <c r="BY1494" s="35"/>
    </row>
    <row r="1495" spans="77:77">
      <c r="BY1495" s="35"/>
    </row>
    <row r="1496" spans="77:77">
      <c r="BY1496" s="35"/>
    </row>
    <row r="1497" spans="77:77">
      <c r="BY1497" s="35"/>
    </row>
    <row r="1498" spans="77:77">
      <c r="BY1498" s="35"/>
    </row>
    <row r="1499" spans="77:77">
      <c r="BY1499" s="35"/>
    </row>
    <row r="1500" spans="77:77">
      <c r="BY1500" s="35"/>
    </row>
    <row r="1501" spans="77:77">
      <c r="BY1501" s="35"/>
    </row>
    <row r="1502" spans="77:77">
      <c r="BY1502" s="35"/>
    </row>
    <row r="1503" spans="77:77">
      <c r="BY1503" s="35"/>
    </row>
    <row r="1504" spans="77:77">
      <c r="BY1504" s="35"/>
    </row>
    <row r="1505" spans="77:77">
      <c r="BY1505" s="35"/>
    </row>
    <row r="1506" spans="77:77">
      <c r="BY1506" s="35"/>
    </row>
    <row r="1507" spans="77:77">
      <c r="BY1507" s="35"/>
    </row>
    <row r="1508" spans="77:77">
      <c r="BY1508" s="35"/>
    </row>
    <row r="1509" spans="77:77">
      <c r="BY1509" s="35"/>
    </row>
    <row r="1510" spans="77:77">
      <c r="BY1510" s="35"/>
    </row>
    <row r="1511" spans="77:77">
      <c r="BY1511" s="35"/>
    </row>
    <row r="1512" spans="77:77">
      <c r="BY1512" s="35"/>
    </row>
    <row r="1513" spans="77:77">
      <c r="BY1513" s="35"/>
    </row>
    <row r="1514" spans="77:77">
      <c r="BY1514" s="35"/>
    </row>
    <row r="1515" spans="77:77">
      <c r="BY1515" s="35"/>
    </row>
    <row r="1516" spans="77:77">
      <c r="BY1516" s="35"/>
    </row>
    <row r="1517" spans="77:77">
      <c r="BY1517" s="35"/>
    </row>
    <row r="1518" spans="77:77">
      <c r="BY1518" s="35"/>
    </row>
    <row r="1519" spans="77:77">
      <c r="BY1519" s="35"/>
    </row>
    <row r="1520" spans="77:77">
      <c r="BY1520" s="35"/>
    </row>
    <row r="1521" spans="77:77">
      <c r="BY1521" s="35"/>
    </row>
    <row r="1522" spans="77:77">
      <c r="BY1522" s="35"/>
    </row>
    <row r="1523" spans="77:77">
      <c r="BY1523" s="35"/>
    </row>
    <row r="1524" spans="77:77">
      <c r="BY1524" s="35"/>
    </row>
    <row r="1525" spans="77:77">
      <c r="BY1525" s="35"/>
    </row>
    <row r="1526" spans="77:77">
      <c r="BY1526" s="35"/>
    </row>
    <row r="1527" spans="77:77">
      <c r="BY1527" s="35"/>
    </row>
    <row r="1528" spans="77:77">
      <c r="BY1528" s="35"/>
    </row>
    <row r="1529" spans="77:77">
      <c r="BY1529" s="35"/>
    </row>
    <row r="1530" spans="77:77">
      <c r="BY1530" s="35"/>
    </row>
    <row r="1531" spans="77:77">
      <c r="BY1531" s="35"/>
    </row>
    <row r="1532" spans="77:77">
      <c r="BY1532" s="35"/>
    </row>
    <row r="1533" spans="77:77">
      <c r="BY1533" s="35"/>
    </row>
    <row r="1534" spans="77:77">
      <c r="BY1534" s="35"/>
    </row>
    <row r="1535" spans="77:77">
      <c r="BY1535" s="35"/>
    </row>
    <row r="1536" spans="77:77">
      <c r="BY1536" s="35"/>
    </row>
    <row r="1537" spans="77:77">
      <c r="BY1537" s="35"/>
    </row>
    <row r="1538" spans="77:77">
      <c r="BY1538" s="35"/>
    </row>
    <row r="1539" spans="77:77">
      <c r="BY1539" s="35"/>
    </row>
    <row r="1540" spans="77:77">
      <c r="BY1540" s="35"/>
    </row>
    <row r="1541" spans="77:77">
      <c r="BY1541" s="35"/>
    </row>
    <row r="1542" spans="77:77">
      <c r="BY1542" s="35"/>
    </row>
    <row r="1543" spans="77:77">
      <c r="BY1543" s="35"/>
    </row>
    <row r="1544" spans="77:77">
      <c r="BY1544" s="35"/>
    </row>
    <row r="1545" spans="77:77">
      <c r="BY1545" s="35"/>
    </row>
    <row r="1546" spans="77:77">
      <c r="BY1546" s="35"/>
    </row>
    <row r="1547" spans="77:77">
      <c r="BY1547" s="35"/>
    </row>
    <row r="1548" spans="77:77">
      <c r="BY1548" s="35"/>
    </row>
    <row r="1549" spans="77:77">
      <c r="BY1549" s="35"/>
    </row>
    <row r="1550" spans="77:77">
      <c r="BY1550" s="35"/>
    </row>
    <row r="1551" spans="77:77">
      <c r="BY1551" s="35"/>
    </row>
    <row r="1552" spans="77:77">
      <c r="BY1552" s="35"/>
    </row>
    <row r="1553" spans="77:77">
      <c r="BY1553" s="35"/>
    </row>
    <row r="1554" spans="77:77">
      <c r="BY1554" s="35"/>
    </row>
    <row r="1555" spans="77:77">
      <c r="BY1555" s="35"/>
    </row>
    <row r="1556" spans="77:77">
      <c r="BY1556" s="35"/>
    </row>
    <row r="1557" spans="77:77">
      <c r="BY1557" s="35"/>
    </row>
    <row r="1558" spans="77:77">
      <c r="BY1558" s="35"/>
    </row>
    <row r="1559" spans="77:77">
      <c r="BY1559" s="35"/>
    </row>
    <row r="1560" spans="77:77">
      <c r="BY1560" s="35"/>
    </row>
    <row r="1561" spans="77:77">
      <c r="BY1561" s="35"/>
    </row>
    <row r="1562" spans="77:77">
      <c r="BY1562" s="35"/>
    </row>
    <row r="1563" spans="77:77">
      <c r="BY1563" s="35"/>
    </row>
    <row r="1564" spans="77:77">
      <c r="BY1564" s="35"/>
    </row>
    <row r="1565" spans="77:77">
      <c r="BY1565" s="35"/>
    </row>
    <row r="1566" spans="77:77">
      <c r="BY1566" s="35"/>
    </row>
    <row r="1567" spans="77:77">
      <c r="BY1567" s="35"/>
    </row>
    <row r="1568" spans="77:77">
      <c r="BY1568" s="35"/>
    </row>
    <row r="1569" spans="77:77">
      <c r="BY1569" s="35"/>
    </row>
    <row r="1570" spans="77:77">
      <c r="BY1570" s="35"/>
    </row>
    <row r="1571" spans="77:77">
      <c r="BY1571" s="35"/>
    </row>
    <row r="1572" spans="77:77">
      <c r="BY1572" s="35"/>
    </row>
    <row r="1573" spans="77:77">
      <c r="BY1573" s="35"/>
    </row>
    <row r="1574" spans="77:77">
      <c r="BY1574" s="35"/>
    </row>
    <row r="1575" spans="77:77">
      <c r="BY1575" s="35"/>
    </row>
    <row r="1576" spans="77:77">
      <c r="BY1576" s="35"/>
    </row>
    <row r="1577" spans="77:77">
      <c r="BY1577" s="35"/>
    </row>
    <row r="1578" spans="77:77">
      <c r="BY1578" s="35"/>
    </row>
    <row r="1579" spans="77:77">
      <c r="BY1579" s="35"/>
    </row>
    <row r="1580" spans="77:77">
      <c r="BY1580" s="35"/>
    </row>
    <row r="1581" spans="77:77">
      <c r="BY1581" s="35"/>
    </row>
    <row r="1582" spans="77:77">
      <c r="BY1582" s="35"/>
    </row>
    <row r="1583" spans="77:77">
      <c r="BY1583" s="35"/>
    </row>
    <row r="1584" spans="77:77">
      <c r="BY1584" s="35"/>
    </row>
    <row r="1585" spans="77:77">
      <c r="BY1585" s="35"/>
    </row>
    <row r="1586" spans="77:77">
      <c r="BY1586" s="35"/>
    </row>
    <row r="1587" spans="77:77">
      <c r="BY1587" s="35"/>
    </row>
    <row r="1588" spans="77:77">
      <c r="BY1588" s="35"/>
    </row>
    <row r="1589" spans="77:77">
      <c r="BY1589" s="35"/>
    </row>
    <row r="1590" spans="77:77">
      <c r="BY1590" s="35"/>
    </row>
    <row r="1591" spans="77:77">
      <c r="BY1591" s="35"/>
    </row>
    <row r="1592" spans="77:77">
      <c r="BY1592" s="35"/>
    </row>
    <row r="1593" spans="77:77">
      <c r="BY1593" s="35"/>
    </row>
    <row r="1594" spans="77:77">
      <c r="BY1594" s="35"/>
    </row>
    <row r="1595" spans="77:77">
      <c r="BY1595" s="35"/>
    </row>
    <row r="1596" spans="77:77">
      <c r="BY1596" s="35"/>
    </row>
    <row r="1597" spans="77:77">
      <c r="BY1597" s="35"/>
    </row>
    <row r="1598" spans="77:77">
      <c r="BY1598" s="35"/>
    </row>
    <row r="1599" spans="77:77">
      <c r="BY1599" s="35"/>
    </row>
    <row r="1600" spans="77:77">
      <c r="BY1600" s="35"/>
    </row>
    <row r="1601" spans="77:77">
      <c r="BY1601" s="35"/>
    </row>
    <row r="1602" spans="77:77">
      <c r="BY1602" s="35"/>
    </row>
    <row r="1603" spans="77:77">
      <c r="BY1603" s="35"/>
    </row>
    <row r="1604" spans="77:77">
      <c r="BY1604" s="35"/>
    </row>
    <row r="1605" spans="77:77">
      <c r="BY1605" s="35"/>
    </row>
    <row r="1606" spans="77:77">
      <c r="BY1606" s="35"/>
    </row>
    <row r="1607" spans="77:77">
      <c r="BY1607" s="35"/>
    </row>
    <row r="1608" spans="77:77">
      <c r="BY1608" s="35"/>
    </row>
    <row r="1609" spans="77:77">
      <c r="BY1609" s="35"/>
    </row>
    <row r="1610" spans="77:77">
      <c r="BY1610" s="35"/>
    </row>
    <row r="1611" spans="77:77">
      <c r="BY1611" s="35"/>
    </row>
    <row r="1612" spans="77:77">
      <c r="BY1612" s="35"/>
    </row>
    <row r="1613" spans="77:77">
      <c r="BY1613" s="35"/>
    </row>
    <row r="1614" spans="77:77">
      <c r="BY1614" s="35"/>
    </row>
    <row r="1615" spans="77:77">
      <c r="BY1615" s="35"/>
    </row>
    <row r="1616" spans="77:77">
      <c r="BY1616" s="35"/>
    </row>
    <row r="1617" spans="77:77">
      <c r="BY1617" s="35"/>
    </row>
    <row r="1618" spans="77:77">
      <c r="BY1618" s="35"/>
    </row>
    <row r="1619" spans="77:77">
      <c r="BY1619" s="35"/>
    </row>
    <row r="1620" spans="77:77">
      <c r="BY1620" s="35"/>
    </row>
    <row r="1621" spans="77:77">
      <c r="BY1621" s="35"/>
    </row>
    <row r="1622" spans="77:77">
      <c r="BY1622" s="35"/>
    </row>
    <row r="1623" spans="77:77">
      <c r="BY1623" s="35"/>
    </row>
    <row r="1624" spans="77:77">
      <c r="BY1624" s="35"/>
    </row>
    <row r="1625" spans="77:77">
      <c r="BY1625" s="35"/>
    </row>
    <row r="1626" spans="77:77">
      <c r="BY1626" s="35"/>
    </row>
    <row r="1627" spans="77:77">
      <c r="BY1627" s="35"/>
    </row>
    <row r="1628" spans="77:77">
      <c r="BY1628" s="35"/>
    </row>
    <row r="1629" spans="77:77">
      <c r="BY1629" s="35"/>
    </row>
    <row r="1630" spans="77:77">
      <c r="BY1630" s="35"/>
    </row>
    <row r="1631" spans="77:77">
      <c r="BY1631" s="35"/>
    </row>
    <row r="1632" spans="77:77">
      <c r="BY1632" s="35"/>
    </row>
    <row r="1633" spans="77:77">
      <c r="BY1633" s="35"/>
    </row>
    <row r="1634" spans="77:77">
      <c r="BY1634" s="35"/>
    </row>
    <row r="1635" spans="77:77">
      <c r="BY1635" s="35"/>
    </row>
    <row r="1636" spans="77:77">
      <c r="BY1636" s="35"/>
    </row>
    <row r="1637" spans="77:77">
      <c r="BY1637" s="35"/>
    </row>
    <row r="1638" spans="77:77">
      <c r="BY1638" s="35"/>
    </row>
    <row r="1639" spans="77:77">
      <c r="BY1639" s="35"/>
    </row>
    <row r="1640" spans="77:77">
      <c r="BY1640" s="35"/>
    </row>
    <row r="1641" spans="77:77">
      <c r="BY1641" s="35"/>
    </row>
    <row r="1642" spans="77:77">
      <c r="BY1642" s="35"/>
    </row>
    <row r="1643" spans="77:77">
      <c r="BY1643" s="35"/>
    </row>
    <row r="1644" spans="77:77">
      <c r="BY1644" s="35"/>
    </row>
    <row r="1645" spans="77:77">
      <c r="BY1645" s="35"/>
    </row>
    <row r="1646" spans="77:77">
      <c r="BY1646" s="35"/>
    </row>
    <row r="1647" spans="77:77">
      <c r="BY1647" s="35"/>
    </row>
    <row r="1648" spans="77:77">
      <c r="BY1648" s="35"/>
    </row>
    <row r="1649" spans="77:77">
      <c r="BY1649" s="35"/>
    </row>
    <row r="1650" spans="77:77">
      <c r="BY1650" s="35"/>
    </row>
    <row r="1651" spans="77:77">
      <c r="BY1651" s="35"/>
    </row>
    <row r="1652" spans="77:77">
      <c r="BY1652" s="35"/>
    </row>
    <row r="1653" spans="77:77">
      <c r="BY1653" s="35"/>
    </row>
    <row r="1654" spans="77:77">
      <c r="BY1654" s="35"/>
    </row>
    <row r="1655" spans="77:77">
      <c r="BY1655" s="35"/>
    </row>
    <row r="1656" spans="77:77">
      <c r="BY1656" s="35"/>
    </row>
    <row r="1657" spans="77:77">
      <c r="BY1657" s="35"/>
    </row>
    <row r="1658" spans="77:77">
      <c r="BY1658" s="35"/>
    </row>
    <row r="1659" spans="77:77">
      <c r="BY1659" s="35"/>
    </row>
    <row r="1660" spans="77:77">
      <c r="BY1660" s="35"/>
    </row>
    <row r="1661" spans="77:77">
      <c r="BY1661" s="35"/>
    </row>
    <row r="1662" spans="77:77">
      <c r="BY1662" s="35"/>
    </row>
    <row r="1663" spans="77:77">
      <c r="BY1663" s="35"/>
    </row>
    <row r="1664" spans="77:77">
      <c r="BY1664" s="35"/>
    </row>
    <row r="1665" spans="77:77">
      <c r="BY1665" s="35"/>
    </row>
    <row r="1666" spans="77:77">
      <c r="BY1666" s="35"/>
    </row>
    <row r="1667" spans="77:77">
      <c r="BY1667" s="35"/>
    </row>
    <row r="1668" spans="77:77">
      <c r="BY1668" s="35"/>
    </row>
    <row r="1669" spans="77:77">
      <c r="BY1669" s="35"/>
    </row>
    <row r="1670" spans="77:77">
      <c r="BY1670" s="35"/>
    </row>
    <row r="1671" spans="77:77">
      <c r="BY1671" s="35"/>
    </row>
    <row r="1672" spans="77:77">
      <c r="BY1672" s="35"/>
    </row>
    <row r="1673" spans="77:77">
      <c r="BY1673" s="35"/>
    </row>
    <row r="1674" spans="77:77">
      <c r="BY1674" s="35"/>
    </row>
    <row r="1675" spans="77:77">
      <c r="BY1675" s="35"/>
    </row>
    <row r="1676" spans="77:77">
      <c r="BY1676" s="35"/>
    </row>
    <row r="1677" spans="77:77">
      <c r="BY1677" s="35"/>
    </row>
    <row r="1678" spans="77:77">
      <c r="BY1678" s="35"/>
    </row>
    <row r="1679" spans="77:77">
      <c r="BY1679" s="35"/>
    </row>
    <row r="1680" spans="77:77">
      <c r="BY1680" s="35"/>
    </row>
    <row r="1681" spans="77:77">
      <c r="BY1681" s="35"/>
    </row>
    <row r="1682" spans="77:77">
      <c r="BY1682" s="35"/>
    </row>
    <row r="1683" spans="77:77">
      <c r="BY1683" s="35"/>
    </row>
    <row r="1684" spans="77:77">
      <c r="BY1684" s="35"/>
    </row>
    <row r="1685" spans="77:77">
      <c r="BY1685" s="35"/>
    </row>
    <row r="1686" spans="77:77">
      <c r="BY1686" s="35"/>
    </row>
    <row r="1687" spans="77:77">
      <c r="BY1687" s="35"/>
    </row>
    <row r="1688" spans="77:77">
      <c r="BY1688" s="35"/>
    </row>
    <row r="1689" spans="77:77">
      <c r="BY1689" s="35"/>
    </row>
    <row r="1690" spans="77:77">
      <c r="BY1690" s="35"/>
    </row>
    <row r="1691" spans="77:77">
      <c r="BY1691" s="35"/>
    </row>
    <row r="1692" spans="77:77">
      <c r="BY1692" s="35"/>
    </row>
    <row r="1693" spans="77:77">
      <c r="BY1693" s="35"/>
    </row>
    <row r="1694" spans="77:77">
      <c r="BY1694" s="35"/>
    </row>
    <row r="1695" spans="77:77">
      <c r="BY1695" s="35"/>
    </row>
    <row r="1696" spans="77:77">
      <c r="BY1696" s="35"/>
    </row>
    <row r="1697" spans="77:77">
      <c r="BY1697" s="35"/>
    </row>
    <row r="1698" spans="77:77">
      <c r="BY1698" s="35"/>
    </row>
    <row r="1699" spans="77:77">
      <c r="BY1699" s="35"/>
    </row>
    <row r="1700" spans="77:77">
      <c r="BY1700" s="35"/>
    </row>
    <row r="1701" spans="77:77">
      <c r="BY1701" s="35"/>
    </row>
    <row r="1702" spans="77:77">
      <c r="BY1702" s="35"/>
    </row>
    <row r="1703" spans="77:77">
      <c r="BY1703" s="35"/>
    </row>
    <row r="1704" spans="77:77">
      <c r="BY1704" s="35"/>
    </row>
    <row r="1705" spans="77:77">
      <c r="BY1705" s="35"/>
    </row>
    <row r="1706" spans="77:77">
      <c r="BY1706" s="35"/>
    </row>
    <row r="1707" spans="77:77">
      <c r="BY1707" s="35"/>
    </row>
    <row r="1708" spans="77:77">
      <c r="BY1708" s="35"/>
    </row>
    <row r="1709" spans="77:77">
      <c r="BY1709" s="35"/>
    </row>
    <row r="1710" spans="77:77">
      <c r="BY1710" s="35"/>
    </row>
    <row r="1711" spans="77:77">
      <c r="BY1711" s="35"/>
    </row>
    <row r="1712" spans="77:77">
      <c r="BY1712" s="35"/>
    </row>
    <row r="1713" spans="77:77">
      <c r="BY1713" s="35"/>
    </row>
    <row r="1714" spans="77:77">
      <c r="BY1714" s="35"/>
    </row>
    <row r="1715" spans="77:77">
      <c r="BY1715" s="35"/>
    </row>
    <row r="1716" spans="77:77">
      <c r="BY1716" s="35"/>
    </row>
    <row r="1717" spans="77:77">
      <c r="BY1717" s="35"/>
    </row>
    <row r="1718" spans="77:77">
      <c r="BY1718" s="35"/>
    </row>
    <row r="1719" spans="77:77">
      <c r="BY1719" s="35"/>
    </row>
    <row r="1720" spans="77:77">
      <c r="BY1720" s="35"/>
    </row>
    <row r="1721" spans="77:77">
      <c r="BY1721" s="35"/>
    </row>
    <row r="1722" spans="77:77">
      <c r="BY1722" s="35"/>
    </row>
    <row r="1723" spans="77:77">
      <c r="BY1723" s="35"/>
    </row>
    <row r="1724" spans="77:77">
      <c r="BY1724" s="35"/>
    </row>
    <row r="1725" spans="77:77">
      <c r="BY1725" s="35"/>
    </row>
    <row r="1726" spans="77:77">
      <c r="BY1726" s="35"/>
    </row>
    <row r="1727" spans="77:77">
      <c r="BY1727" s="35"/>
    </row>
    <row r="1728" spans="77:77">
      <c r="BY1728" s="35"/>
    </row>
    <row r="1729" spans="77:77">
      <c r="BY1729" s="35"/>
    </row>
    <row r="1730" spans="77:77">
      <c r="BY1730" s="35"/>
    </row>
    <row r="1731" spans="77:77">
      <c r="BY1731" s="35"/>
    </row>
    <row r="1732" spans="77:77">
      <c r="BY1732" s="35"/>
    </row>
    <row r="1733" spans="77:77">
      <c r="BY1733" s="35"/>
    </row>
    <row r="1734" spans="77:77">
      <c r="BY1734" s="35"/>
    </row>
    <row r="1735" spans="77:77">
      <c r="BY1735" s="35"/>
    </row>
    <row r="1736" spans="77:77">
      <c r="BY1736" s="35"/>
    </row>
    <row r="1737" spans="77:77">
      <c r="BY1737" s="35"/>
    </row>
    <row r="1738" spans="77:77">
      <c r="BY1738" s="35"/>
    </row>
    <row r="1739" spans="77:77">
      <c r="BY1739" s="35"/>
    </row>
    <row r="1740" spans="77:77">
      <c r="BY1740" s="35"/>
    </row>
    <row r="1741" spans="77:77">
      <c r="BY1741" s="35"/>
    </row>
    <row r="1742" spans="77:77">
      <c r="BY1742" s="35"/>
    </row>
    <row r="1743" spans="77:77">
      <c r="BY1743" s="35"/>
    </row>
    <row r="1744" spans="77:77">
      <c r="BY1744" s="35"/>
    </row>
    <row r="1745" spans="77:77">
      <c r="BY1745" s="35"/>
    </row>
    <row r="1746" spans="77:77">
      <c r="BY1746" s="35"/>
    </row>
    <row r="1747" spans="77:77">
      <c r="BY1747" s="35"/>
    </row>
    <row r="1748" spans="77:77">
      <c r="BY1748" s="35"/>
    </row>
    <row r="1749" spans="77:77">
      <c r="BY1749" s="35"/>
    </row>
    <row r="1750" spans="77:77">
      <c r="BY1750" s="35"/>
    </row>
    <row r="1751" spans="77:77">
      <c r="BY1751" s="35"/>
    </row>
    <row r="1752" spans="77:77">
      <c r="BY1752" s="35"/>
    </row>
    <row r="1753" spans="77:77">
      <c r="BY1753" s="35"/>
    </row>
    <row r="1754" spans="77:77">
      <c r="BY1754" s="35"/>
    </row>
    <row r="1755" spans="77:77">
      <c r="BY1755" s="35"/>
    </row>
    <row r="1756" spans="77:77">
      <c r="BY1756" s="35"/>
    </row>
    <row r="1757" spans="77:77">
      <c r="BY1757" s="35"/>
    </row>
    <row r="1758" spans="77:77">
      <c r="BY1758" s="35"/>
    </row>
    <row r="1759" spans="77:77">
      <c r="BY1759" s="35"/>
    </row>
    <row r="1760" spans="77:77">
      <c r="BY1760" s="35"/>
    </row>
    <row r="1761" spans="77:77">
      <c r="BY1761" s="35"/>
    </row>
    <row r="1762" spans="77:77">
      <c r="BY1762" s="35"/>
    </row>
    <row r="1763" spans="77:77">
      <c r="BY1763" s="35"/>
    </row>
    <row r="1764" spans="77:77">
      <c r="BY1764" s="35"/>
    </row>
    <row r="1765" spans="77:77">
      <c r="BY1765" s="35"/>
    </row>
    <row r="1766" spans="77:77">
      <c r="BY1766" s="35"/>
    </row>
    <row r="1767" spans="77:77">
      <c r="BY1767" s="35"/>
    </row>
    <row r="1768" spans="77:77">
      <c r="BY1768" s="35"/>
    </row>
    <row r="1769" spans="77:77">
      <c r="BY1769" s="35"/>
    </row>
    <row r="1770" spans="77:77">
      <c r="BY1770" s="35"/>
    </row>
    <row r="1771" spans="77:77">
      <c r="BY1771" s="35"/>
    </row>
    <row r="1772" spans="77:77">
      <c r="BY1772" s="35"/>
    </row>
    <row r="1773" spans="77:77">
      <c r="BY1773" s="35"/>
    </row>
    <row r="1774" spans="77:77">
      <c r="BY1774" s="35"/>
    </row>
    <row r="1775" spans="77:77">
      <c r="BY1775" s="35"/>
    </row>
    <row r="1776" spans="77:77">
      <c r="BY1776" s="35"/>
    </row>
    <row r="1777" spans="77:77">
      <c r="BY1777" s="35"/>
    </row>
    <row r="1778" spans="77:77">
      <c r="BY1778" s="35"/>
    </row>
    <row r="1779" spans="77:77">
      <c r="BY1779" s="35"/>
    </row>
    <row r="1780" spans="77:77">
      <c r="BY1780" s="35"/>
    </row>
    <row r="1781" spans="77:77">
      <c r="BY1781" s="35"/>
    </row>
    <row r="1782" spans="77:77">
      <c r="BY1782" s="35"/>
    </row>
    <row r="1783" spans="77:77">
      <c r="BY1783" s="35"/>
    </row>
    <row r="1784" spans="77:77">
      <c r="BY1784" s="35"/>
    </row>
    <row r="1785" spans="77:77">
      <c r="BY1785" s="35"/>
    </row>
    <row r="1786" spans="77:77">
      <c r="BY1786" s="35"/>
    </row>
    <row r="1787" spans="77:77">
      <c r="BY1787" s="35"/>
    </row>
    <row r="1788" spans="77:77">
      <c r="BY1788" s="35"/>
    </row>
    <row r="1789" spans="77:77">
      <c r="BY1789" s="35"/>
    </row>
    <row r="1790" spans="77:77">
      <c r="BY1790" s="35"/>
    </row>
    <row r="1791" spans="77:77">
      <c r="BY1791" s="35"/>
    </row>
    <row r="1792" spans="77:77">
      <c r="BY1792" s="35"/>
    </row>
    <row r="1793" spans="77:77">
      <c r="BY1793" s="35"/>
    </row>
    <row r="1794" spans="77:77">
      <c r="BY1794" s="35"/>
    </row>
    <row r="1795" spans="77:77">
      <c r="BY1795" s="35"/>
    </row>
    <row r="1796" spans="77:77">
      <c r="BY1796" s="35"/>
    </row>
    <row r="1797" spans="77:77">
      <c r="BY1797" s="35"/>
    </row>
    <row r="1798" spans="77:77">
      <c r="BY1798" s="35"/>
    </row>
    <row r="1799" spans="77:77">
      <c r="BY1799" s="35"/>
    </row>
    <row r="1800" spans="77:77">
      <c r="BY1800" s="35"/>
    </row>
    <row r="1801" spans="77:77">
      <c r="BY1801" s="35"/>
    </row>
    <row r="1802" spans="77:77">
      <c r="BY1802" s="35"/>
    </row>
    <row r="1803" spans="77:77">
      <c r="BY1803" s="35"/>
    </row>
    <row r="1804" spans="77:77">
      <c r="BY1804" s="35"/>
    </row>
    <row r="1805" spans="77:77">
      <c r="BY1805" s="35"/>
    </row>
    <row r="1806" spans="77:77">
      <c r="BY1806" s="35"/>
    </row>
    <row r="1807" spans="77:77">
      <c r="BY1807" s="35"/>
    </row>
    <row r="1808" spans="77:77">
      <c r="BY1808" s="35"/>
    </row>
    <row r="1809" spans="77:77">
      <c r="BY1809" s="35"/>
    </row>
    <row r="1810" spans="77:77">
      <c r="BY1810" s="35"/>
    </row>
    <row r="1811" spans="77:77">
      <c r="BY1811" s="35"/>
    </row>
    <row r="1812" spans="77:77">
      <c r="BY1812" s="35"/>
    </row>
    <row r="1813" spans="77:77">
      <c r="BY1813" s="35"/>
    </row>
    <row r="1814" spans="77:77">
      <c r="BY1814" s="35"/>
    </row>
    <row r="1815" spans="77:77">
      <c r="BY1815" s="35"/>
    </row>
    <row r="1816" spans="77:77">
      <c r="BY1816" s="35"/>
    </row>
    <row r="1817" spans="77:77">
      <c r="BY1817" s="35"/>
    </row>
    <row r="1818" spans="77:77">
      <c r="BY1818" s="35"/>
    </row>
    <row r="1819" spans="77:77">
      <c r="BY1819" s="35"/>
    </row>
    <row r="1820" spans="77:77">
      <c r="BY1820" s="35"/>
    </row>
    <row r="1821" spans="77:77">
      <c r="BY1821" s="35"/>
    </row>
    <row r="1822" spans="77:77">
      <c r="BY1822" s="35"/>
    </row>
    <row r="1823" spans="77:77">
      <c r="BY1823" s="35"/>
    </row>
    <row r="1824" spans="77:77">
      <c r="BY1824" s="35"/>
    </row>
    <row r="1825" spans="77:77">
      <c r="BY1825" s="35"/>
    </row>
    <row r="1826" spans="77:77">
      <c r="BY1826" s="35"/>
    </row>
    <row r="1827" spans="77:77">
      <c r="BY1827" s="35"/>
    </row>
    <row r="1828" spans="77:77">
      <c r="BY1828" s="35"/>
    </row>
    <row r="1829" spans="77:77">
      <c r="BY1829" s="35"/>
    </row>
    <row r="1830" spans="77:77">
      <c r="BY1830" s="35"/>
    </row>
    <row r="1831" spans="77:77">
      <c r="BY1831" s="35"/>
    </row>
    <row r="1832" spans="77:77">
      <c r="BY1832" s="35"/>
    </row>
    <row r="1833" spans="77:77">
      <c r="BY1833" s="35"/>
    </row>
    <row r="1834" spans="77:77">
      <c r="BY1834" s="35"/>
    </row>
    <row r="1835" spans="77:77">
      <c r="BY1835" s="35"/>
    </row>
    <row r="1836" spans="77:77">
      <c r="BY1836" s="35"/>
    </row>
    <row r="1837" spans="77:77">
      <c r="BY1837" s="35"/>
    </row>
    <row r="1838" spans="77:77">
      <c r="BY1838" s="35"/>
    </row>
    <row r="1839" spans="77:77">
      <c r="BY1839" s="35"/>
    </row>
    <row r="1840" spans="77:77">
      <c r="BY1840" s="35"/>
    </row>
    <row r="1841" spans="77:77">
      <c r="BY1841" s="35"/>
    </row>
    <row r="1842" spans="77:77">
      <c r="BY1842" s="35"/>
    </row>
    <row r="1843" spans="77:77">
      <c r="BY1843" s="35"/>
    </row>
    <row r="1844" spans="77:77">
      <c r="BY1844" s="35"/>
    </row>
    <row r="1845" spans="77:77">
      <c r="BY1845" s="35"/>
    </row>
    <row r="1846" spans="77:77">
      <c r="BY1846" s="35"/>
    </row>
    <row r="1847" spans="77:77">
      <c r="BY1847" s="35"/>
    </row>
    <row r="1848" spans="77:77">
      <c r="BY1848" s="35"/>
    </row>
    <row r="1849" spans="77:77">
      <c r="BY1849" s="35"/>
    </row>
    <row r="1850" spans="77:77">
      <c r="BY1850" s="35"/>
    </row>
    <row r="1851" spans="77:77">
      <c r="BY1851" s="35"/>
    </row>
    <row r="1852" spans="77:77">
      <c r="BY1852" s="35"/>
    </row>
    <row r="1853" spans="77:77">
      <c r="BY1853" s="35"/>
    </row>
    <row r="1854" spans="77:77">
      <c r="BY1854" s="35"/>
    </row>
    <row r="1855" spans="77:77">
      <c r="BY1855" s="35"/>
    </row>
    <row r="1856" spans="77:77">
      <c r="BY1856" s="35"/>
    </row>
    <row r="1857" spans="77:77">
      <c r="BY1857" s="35"/>
    </row>
    <row r="1858" spans="77:77">
      <c r="BY1858" s="35"/>
    </row>
    <row r="1859" spans="77:77">
      <c r="BY1859" s="35"/>
    </row>
    <row r="1860" spans="77:77">
      <c r="BY1860" s="35"/>
    </row>
    <row r="1861" spans="77:77">
      <c r="BY1861" s="35"/>
    </row>
    <row r="1862" spans="77:77">
      <c r="BY1862" s="35"/>
    </row>
    <row r="1863" spans="77:77">
      <c r="BY1863" s="35"/>
    </row>
    <row r="1864" spans="77:77">
      <c r="BY1864" s="35"/>
    </row>
    <row r="1865" spans="77:77">
      <c r="BY1865" s="35"/>
    </row>
    <row r="1866" spans="77:77">
      <c r="BY1866" s="35"/>
    </row>
    <row r="1867" spans="77:77">
      <c r="BY1867" s="35"/>
    </row>
    <row r="1868" spans="77:77">
      <c r="BY1868" s="35"/>
    </row>
    <row r="1869" spans="77:77">
      <c r="BY1869" s="35"/>
    </row>
    <row r="1870" spans="77:77">
      <c r="BY1870" s="35"/>
    </row>
    <row r="1871" spans="77:77">
      <c r="BY1871" s="35"/>
    </row>
    <row r="1872" spans="77:77">
      <c r="BY1872" s="35"/>
    </row>
    <row r="1873" spans="77:77">
      <c r="BY1873" s="35"/>
    </row>
    <row r="1874" spans="77:77">
      <c r="BY1874" s="35"/>
    </row>
    <row r="1875" spans="77:77">
      <c r="BY1875" s="35"/>
    </row>
    <row r="1876" spans="77:77">
      <c r="BY1876" s="35"/>
    </row>
    <row r="1877" spans="77:77">
      <c r="BY1877" s="35"/>
    </row>
    <row r="1878" spans="77:77">
      <c r="BY1878" s="35"/>
    </row>
    <row r="1879" spans="77:77">
      <c r="BY1879" s="35"/>
    </row>
    <row r="1880" spans="77:77">
      <c r="BY1880" s="35"/>
    </row>
    <row r="1881" spans="77:77">
      <c r="BY1881" s="35"/>
    </row>
    <row r="1882" spans="77:77">
      <c r="BY1882" s="35"/>
    </row>
    <row r="1883" spans="77:77">
      <c r="BY1883" s="35"/>
    </row>
    <row r="1884" spans="77:77">
      <c r="BY1884" s="35"/>
    </row>
    <row r="1885" spans="77:77">
      <c r="BY1885" s="35"/>
    </row>
    <row r="1886" spans="77:77">
      <c r="BY1886" s="35"/>
    </row>
    <row r="1887" spans="77:77">
      <c r="BY1887" s="35"/>
    </row>
    <row r="1888" spans="77:77">
      <c r="BY1888" s="35"/>
    </row>
    <row r="1889" spans="77:77">
      <c r="BY1889" s="35"/>
    </row>
    <row r="1890" spans="77:77">
      <c r="BY1890" s="35"/>
    </row>
    <row r="1891" spans="77:77">
      <c r="BY1891" s="35"/>
    </row>
    <row r="1892" spans="77:77">
      <c r="BY1892" s="35"/>
    </row>
    <row r="1893" spans="77:77">
      <c r="BY1893" s="35"/>
    </row>
    <row r="1894" spans="77:77">
      <c r="BY1894" s="35"/>
    </row>
    <row r="1895" spans="77:77">
      <c r="BY1895" s="35"/>
    </row>
    <row r="1896" spans="77:77">
      <c r="BY1896" s="35"/>
    </row>
    <row r="1897" spans="77:77">
      <c r="BY1897" s="35"/>
    </row>
    <row r="1898" spans="77:77">
      <c r="BY1898" s="35"/>
    </row>
    <row r="1899" spans="77:77">
      <c r="BY1899" s="35"/>
    </row>
    <row r="1900" spans="77:77">
      <c r="BY1900" s="35"/>
    </row>
    <row r="1901" spans="77:77">
      <c r="BY1901" s="35"/>
    </row>
    <row r="1902" spans="77:77">
      <c r="BY1902" s="35"/>
    </row>
    <row r="1903" spans="77:77">
      <c r="BY1903" s="35"/>
    </row>
    <row r="1904" spans="77:77">
      <c r="BY1904" s="35"/>
    </row>
    <row r="1905" spans="77:77">
      <c r="BY1905" s="35"/>
    </row>
    <row r="1906" spans="77:77">
      <c r="BY1906" s="35"/>
    </row>
    <row r="1907" spans="77:77">
      <c r="BY1907" s="35"/>
    </row>
    <row r="1908" spans="77:77">
      <c r="BY1908" s="35"/>
    </row>
    <row r="1909" spans="77:77">
      <c r="BY1909" s="35"/>
    </row>
    <row r="1910" spans="77:77">
      <c r="BY1910" s="35"/>
    </row>
    <row r="1911" spans="77:77">
      <c r="BY1911" s="35"/>
    </row>
    <row r="1912" spans="77:77">
      <c r="BY1912" s="35"/>
    </row>
    <row r="1913" spans="77:77">
      <c r="BY1913" s="35"/>
    </row>
    <row r="1914" spans="77:77">
      <c r="BY1914" s="35"/>
    </row>
    <row r="1915" spans="77:77">
      <c r="BY1915" s="35"/>
    </row>
    <row r="1916" spans="77:77">
      <c r="BY1916" s="35"/>
    </row>
    <row r="1917" spans="77:77">
      <c r="BY1917" s="35"/>
    </row>
    <row r="1918" spans="77:77">
      <c r="BY1918" s="35"/>
    </row>
    <row r="1919" spans="77:77">
      <c r="BY1919" s="35"/>
    </row>
    <row r="1920" spans="77:77">
      <c r="BY1920" s="35"/>
    </row>
    <row r="1921" spans="77:77">
      <c r="BY1921" s="35"/>
    </row>
    <row r="1922" spans="77:77">
      <c r="BY1922" s="35"/>
    </row>
    <row r="1923" spans="77:77">
      <c r="BY1923" s="35"/>
    </row>
    <row r="1924" spans="77:77">
      <c r="BY1924" s="35"/>
    </row>
    <row r="1925" spans="77:77">
      <c r="BY1925" s="35"/>
    </row>
    <row r="1926" spans="77:77">
      <c r="BY1926" s="35"/>
    </row>
    <row r="1927" spans="77:77">
      <c r="BY1927" s="35"/>
    </row>
    <row r="1928" spans="77:77">
      <c r="BY1928" s="35"/>
    </row>
    <row r="1929" spans="77:77">
      <c r="BY1929" s="35"/>
    </row>
    <row r="1930" spans="77:77">
      <c r="BY1930" s="35"/>
    </row>
    <row r="1931" spans="77:77">
      <c r="BY1931" s="35"/>
    </row>
    <row r="1932" spans="77:77">
      <c r="BY1932" s="35"/>
    </row>
    <row r="1933" spans="77:77">
      <c r="BY1933" s="35"/>
    </row>
    <row r="1934" spans="77:77">
      <c r="BY1934" s="35"/>
    </row>
    <row r="1935" spans="77:77">
      <c r="BY1935" s="35"/>
    </row>
    <row r="1936" spans="77:77">
      <c r="BY1936" s="35"/>
    </row>
    <row r="1937" spans="77:77">
      <c r="BY1937" s="35"/>
    </row>
    <row r="1938" spans="77:77">
      <c r="BY1938" s="35"/>
    </row>
    <row r="1939" spans="77:77">
      <c r="BY1939" s="35"/>
    </row>
    <row r="1940" spans="77:77">
      <c r="BY1940" s="35"/>
    </row>
    <row r="1941" spans="77:77">
      <c r="BY1941" s="35"/>
    </row>
    <row r="1942" spans="77:77">
      <c r="BY1942" s="35"/>
    </row>
    <row r="1943" spans="77:77">
      <c r="BY1943" s="35"/>
    </row>
    <row r="1944" spans="77:77">
      <c r="BY1944" s="35"/>
    </row>
    <row r="1945" spans="77:77">
      <c r="BY1945" s="35"/>
    </row>
    <row r="1946" spans="77:77">
      <c r="BY1946" s="35"/>
    </row>
    <row r="1947" spans="77:77">
      <c r="BY1947" s="35"/>
    </row>
    <row r="1948" spans="77:77">
      <c r="BY1948" s="35"/>
    </row>
    <row r="1949" spans="77:77">
      <c r="BY1949" s="35"/>
    </row>
    <row r="1950" spans="77:77">
      <c r="BY1950" s="35"/>
    </row>
    <row r="1951" spans="77:77">
      <c r="BY1951" s="35"/>
    </row>
    <row r="1952" spans="77:77">
      <c r="BY1952" s="35"/>
    </row>
    <row r="1953" spans="77:77">
      <c r="BY1953" s="35"/>
    </row>
    <row r="1954" spans="77:77">
      <c r="BY1954" s="35"/>
    </row>
    <row r="1955" spans="77:77">
      <c r="BY1955" s="35"/>
    </row>
    <row r="1956" spans="77:77">
      <c r="BY1956" s="35"/>
    </row>
    <row r="1957" spans="77:77">
      <c r="BY1957" s="35"/>
    </row>
    <row r="1958" spans="77:77">
      <c r="BY1958" s="35"/>
    </row>
    <row r="1959" spans="77:77">
      <c r="BY1959" s="35"/>
    </row>
    <row r="1960" spans="77:77">
      <c r="BY1960" s="35"/>
    </row>
    <row r="1961" spans="77:77">
      <c r="BY1961" s="35"/>
    </row>
    <row r="1962" spans="77:77">
      <c r="BY1962" s="35"/>
    </row>
    <row r="1963" spans="77:77">
      <c r="BY1963" s="35"/>
    </row>
    <row r="1964" spans="77:77">
      <c r="BY1964" s="35"/>
    </row>
    <row r="1965" spans="77:77">
      <c r="BY1965" s="35"/>
    </row>
    <row r="1966" spans="77:77">
      <c r="BY1966" s="35"/>
    </row>
    <row r="1967" spans="77:77">
      <c r="BY1967" s="35"/>
    </row>
    <row r="1968" spans="77:77">
      <c r="BY1968" s="35"/>
    </row>
    <row r="1969" spans="77:77">
      <c r="BY1969" s="35"/>
    </row>
    <row r="1970" spans="77:77">
      <c r="BY1970" s="35"/>
    </row>
    <row r="1971" spans="77:77">
      <c r="BY1971" s="35"/>
    </row>
    <row r="1972" spans="77:77">
      <c r="BY1972" s="35"/>
    </row>
    <row r="1973" spans="77:77">
      <c r="BY1973" s="35"/>
    </row>
    <row r="1974" spans="77:77">
      <c r="BY1974" s="35"/>
    </row>
    <row r="1975" spans="77:77">
      <c r="BY1975" s="35"/>
    </row>
    <row r="1976" spans="77:77">
      <c r="BY1976" s="35"/>
    </row>
    <row r="1977" spans="77:77">
      <c r="BY1977" s="35"/>
    </row>
    <row r="1978" spans="77:77">
      <c r="BY1978" s="35"/>
    </row>
    <row r="1979" spans="77:77">
      <c r="BY1979" s="35"/>
    </row>
    <row r="1980" spans="77:77">
      <c r="BY1980" s="35"/>
    </row>
    <row r="1981" spans="77:77">
      <c r="BY1981" s="35"/>
    </row>
    <row r="1982" spans="77:77">
      <c r="BY1982" s="35"/>
    </row>
    <row r="1983" spans="77:77">
      <c r="BY1983" s="35"/>
    </row>
    <row r="1984" spans="77:77">
      <c r="BY1984" s="35"/>
    </row>
    <row r="1985" spans="77:77">
      <c r="BY1985" s="35"/>
    </row>
    <row r="1986" spans="77:77">
      <c r="BY1986" s="35"/>
    </row>
    <row r="1987" spans="77:77">
      <c r="BY1987" s="35"/>
    </row>
    <row r="1988" spans="77:77">
      <c r="BY1988" s="35"/>
    </row>
    <row r="1989" spans="77:77">
      <c r="BY1989" s="35"/>
    </row>
    <row r="1990" spans="77:77">
      <c r="BY1990" s="35"/>
    </row>
    <row r="1991" spans="77:77">
      <c r="BY1991" s="35"/>
    </row>
    <row r="1992" spans="77:77">
      <c r="BY1992" s="35"/>
    </row>
    <row r="1993" spans="77:77">
      <c r="BY1993" s="35"/>
    </row>
    <row r="1994" spans="77:77">
      <c r="BY1994" s="35"/>
    </row>
    <row r="1995" spans="77:77">
      <c r="BY1995" s="35"/>
    </row>
    <row r="1996" spans="77:77">
      <c r="BY1996" s="35"/>
    </row>
    <row r="1997" spans="77:77">
      <c r="BY1997" s="35"/>
    </row>
    <row r="1998" spans="77:77">
      <c r="BY1998" s="35"/>
    </row>
    <row r="1999" spans="77:77">
      <c r="BY1999" s="35"/>
    </row>
    <row r="2000" spans="77:77">
      <c r="BY2000" s="35"/>
    </row>
    <row r="2001" spans="77:77">
      <c r="BY2001" s="35"/>
    </row>
    <row r="2002" spans="77:77">
      <c r="BY2002" s="35"/>
    </row>
    <row r="2003" spans="77:77">
      <c r="BY2003" s="35"/>
    </row>
    <row r="2004" spans="77:77">
      <c r="BY2004" s="35"/>
    </row>
    <row r="2005" spans="77:77">
      <c r="BY2005" s="35"/>
    </row>
    <row r="2006" spans="77:77">
      <c r="BY2006" s="35"/>
    </row>
    <row r="2007" spans="77:77">
      <c r="BY2007" s="35"/>
    </row>
    <row r="2008" spans="77:77">
      <c r="BY2008" s="35"/>
    </row>
    <row r="2009" spans="77:77">
      <c r="BY2009" s="35"/>
    </row>
    <row r="2010" spans="77:77">
      <c r="BY2010" s="35"/>
    </row>
    <row r="2011" spans="77:77">
      <c r="BY2011" s="35"/>
    </row>
    <row r="2012" spans="77:77">
      <c r="BY2012" s="35"/>
    </row>
    <row r="2013" spans="77:77">
      <c r="BY2013" s="35"/>
    </row>
    <row r="2014" spans="77:77">
      <c r="BY2014" s="35"/>
    </row>
    <row r="2015" spans="77:77">
      <c r="BY2015" s="35"/>
    </row>
    <row r="2016" spans="77:77">
      <c r="BY2016" s="35"/>
    </row>
    <row r="2017" spans="77:77">
      <c r="BY2017" s="35"/>
    </row>
    <row r="2018" spans="77:77">
      <c r="BY2018" s="35"/>
    </row>
    <row r="2019" spans="77:77">
      <c r="BY2019" s="35"/>
    </row>
    <row r="2020" spans="77:77">
      <c r="BY2020" s="35"/>
    </row>
    <row r="2021" spans="77:77">
      <c r="BY2021" s="35"/>
    </row>
    <row r="2022" spans="77:77">
      <c r="BY2022" s="35"/>
    </row>
    <row r="2023" spans="77:77">
      <c r="BY2023" s="35"/>
    </row>
    <row r="2024" spans="77:77">
      <c r="BY2024" s="35"/>
    </row>
    <row r="2025" spans="77:77">
      <c r="BY2025" s="35"/>
    </row>
    <row r="2026" spans="77:77">
      <c r="BY2026" s="35"/>
    </row>
    <row r="2027" spans="77:77">
      <c r="BY2027" s="35"/>
    </row>
    <row r="2028" spans="77:77">
      <c r="BY2028" s="35"/>
    </row>
    <row r="2029" spans="77:77">
      <c r="BY2029" s="35"/>
    </row>
    <row r="2030" spans="77:77">
      <c r="BY2030" s="35"/>
    </row>
    <row r="2031" spans="77:77">
      <c r="BY2031" s="35"/>
    </row>
    <row r="2032" spans="77:77">
      <c r="BY2032" s="35"/>
    </row>
    <row r="2033" spans="77:77">
      <c r="BY2033" s="35"/>
    </row>
    <row r="2034" spans="77:77">
      <c r="BY2034" s="35"/>
    </row>
    <row r="2035" spans="77:77">
      <c r="BY2035" s="35"/>
    </row>
    <row r="2036" spans="77:77">
      <c r="BY2036" s="35"/>
    </row>
    <row r="2037" spans="77:77">
      <c r="BY2037" s="35"/>
    </row>
    <row r="2038" spans="77:77">
      <c r="BY2038" s="35"/>
    </row>
    <row r="2039" spans="77:77">
      <c r="BY2039" s="35"/>
    </row>
    <row r="2040" spans="77:77">
      <c r="BY2040" s="35"/>
    </row>
    <row r="2041" spans="77:77">
      <c r="BY2041" s="35"/>
    </row>
    <row r="2042" spans="77:77">
      <c r="BY2042" s="35"/>
    </row>
    <row r="2043" spans="77:77">
      <c r="BY2043" s="35"/>
    </row>
    <row r="2044" spans="77:77">
      <c r="BY2044" s="35"/>
    </row>
    <row r="2045" spans="77:77">
      <c r="BY2045" s="35"/>
    </row>
    <row r="2046" spans="77:77">
      <c r="BY2046" s="35"/>
    </row>
    <row r="2047" spans="77:77">
      <c r="BY2047" s="35"/>
    </row>
    <row r="2048" spans="77:77">
      <c r="BY2048" s="35"/>
    </row>
    <row r="2049" spans="77:77">
      <c r="BY2049" s="35"/>
    </row>
    <row r="2050" spans="77:77">
      <c r="BY2050" s="35"/>
    </row>
    <row r="2051" spans="77:77">
      <c r="BY2051" s="35"/>
    </row>
    <row r="2052" spans="77:77">
      <c r="BY2052" s="35"/>
    </row>
    <row r="2053" spans="77:77">
      <c r="BY2053" s="35"/>
    </row>
    <row r="2054" spans="77:77">
      <c r="BY2054" s="35"/>
    </row>
    <row r="2055" spans="77:77">
      <c r="BY2055" s="35"/>
    </row>
    <row r="2056" spans="77:77">
      <c r="BY2056" s="35"/>
    </row>
    <row r="2057" spans="77:77">
      <c r="BY2057" s="35"/>
    </row>
    <row r="2058" spans="77:77">
      <c r="BY2058" s="35"/>
    </row>
    <row r="2059" spans="77:77">
      <c r="BY2059" s="35"/>
    </row>
    <row r="2060" spans="77:77">
      <c r="BY2060" s="35"/>
    </row>
    <row r="2061" spans="77:77">
      <c r="BY2061" s="35"/>
    </row>
    <row r="2062" spans="77:77">
      <c r="BY2062" s="35"/>
    </row>
    <row r="2063" spans="77:77">
      <c r="BY2063" s="35"/>
    </row>
    <row r="2064" spans="77:77">
      <c r="BY2064" s="35"/>
    </row>
    <row r="2065" spans="77:77">
      <c r="BY2065" s="35"/>
    </row>
    <row r="2066" spans="77:77">
      <c r="BY2066" s="35"/>
    </row>
    <row r="2067" spans="77:77">
      <c r="BY2067" s="35"/>
    </row>
    <row r="2068" spans="77:77">
      <c r="BY2068" s="35"/>
    </row>
    <row r="2069" spans="77:77">
      <c r="BY2069" s="35"/>
    </row>
    <row r="2070" spans="77:77">
      <c r="BY2070" s="35"/>
    </row>
    <row r="2071" spans="77:77">
      <c r="BY2071" s="35"/>
    </row>
    <row r="2072" spans="77:77">
      <c r="BY2072" s="35"/>
    </row>
    <row r="2073" spans="77:77">
      <c r="BY2073" s="35"/>
    </row>
    <row r="2074" spans="77:77">
      <c r="BY2074" s="35"/>
    </row>
    <row r="2075" spans="77:77">
      <c r="BY2075" s="35"/>
    </row>
    <row r="2076" spans="77:77">
      <c r="BY2076" s="35"/>
    </row>
    <row r="2077" spans="77:77">
      <c r="BY2077" s="35"/>
    </row>
    <row r="2078" spans="77:77">
      <c r="BY2078" s="35"/>
    </row>
    <row r="2079" spans="77:77">
      <c r="BY2079" s="35"/>
    </row>
    <row r="2080" spans="77:77">
      <c r="BY2080" s="35"/>
    </row>
    <row r="2081" spans="77:77">
      <c r="BY2081" s="35"/>
    </row>
    <row r="2082" spans="77:77">
      <c r="BY2082" s="35"/>
    </row>
    <row r="2083" spans="77:77">
      <c r="BY2083" s="35"/>
    </row>
    <row r="2084" spans="77:77">
      <c r="BY2084" s="35"/>
    </row>
    <row r="2085" spans="77:77">
      <c r="BY2085" s="35"/>
    </row>
    <row r="2086" spans="77:77">
      <c r="BY2086" s="35"/>
    </row>
    <row r="2087" spans="77:77">
      <c r="BY2087" s="35"/>
    </row>
    <row r="2088" spans="77:77">
      <c r="BY2088" s="35"/>
    </row>
    <row r="2089" spans="77:77">
      <c r="BY2089" s="35"/>
    </row>
    <row r="2090" spans="77:77">
      <c r="BY2090" s="35"/>
    </row>
    <row r="2091" spans="77:77">
      <c r="BY2091" s="35"/>
    </row>
    <row r="2092" spans="77:77">
      <c r="BY2092" s="35"/>
    </row>
    <row r="2093" spans="77:77">
      <c r="BY2093" s="35"/>
    </row>
    <row r="2094" spans="77:77">
      <c r="BY2094" s="35"/>
    </row>
    <row r="2095" spans="77:77">
      <c r="BY2095" s="35"/>
    </row>
    <row r="2096" spans="77:77">
      <c r="BY2096" s="35"/>
    </row>
    <row r="2097" spans="77:77">
      <c r="BY2097" s="35"/>
    </row>
    <row r="2098" spans="77:77">
      <c r="BY2098" s="35"/>
    </row>
    <row r="2099" spans="77:77">
      <c r="BY2099" s="35"/>
    </row>
    <row r="2100" spans="77:77">
      <c r="BY2100" s="35"/>
    </row>
    <row r="2101" spans="77:77">
      <c r="BY2101" s="35"/>
    </row>
    <row r="2102" spans="77:77">
      <c r="BY2102" s="35"/>
    </row>
    <row r="2103" spans="77:77">
      <c r="BY2103" s="35"/>
    </row>
    <row r="2104" spans="77:77">
      <c r="BY2104" s="35"/>
    </row>
    <row r="2105" spans="77:77">
      <c r="BY2105" s="35"/>
    </row>
    <row r="2106" spans="77:77">
      <c r="BY2106" s="35"/>
    </row>
    <row r="2107" spans="77:77">
      <c r="BY2107" s="35"/>
    </row>
    <row r="2108" spans="77:77">
      <c r="BY2108" s="35"/>
    </row>
    <row r="2109" spans="77:77">
      <c r="BY2109" s="35"/>
    </row>
    <row r="2110" spans="77:77">
      <c r="BY2110" s="35"/>
    </row>
    <row r="2111" spans="77:77">
      <c r="BY2111" s="35"/>
    </row>
    <row r="2112" spans="77:77">
      <c r="BY2112" s="35"/>
    </row>
    <row r="2113" spans="77:77">
      <c r="BY2113" s="35"/>
    </row>
    <row r="2114" spans="77:77">
      <c r="BY2114" s="35"/>
    </row>
    <row r="2115" spans="77:77">
      <c r="BY2115" s="35"/>
    </row>
    <row r="2116" spans="77:77">
      <c r="BY2116" s="35"/>
    </row>
    <row r="2117" spans="77:77">
      <c r="BY2117" s="35"/>
    </row>
    <row r="2118" spans="77:77">
      <c r="BY2118" s="35"/>
    </row>
    <row r="2119" spans="77:77">
      <c r="BY2119" s="35"/>
    </row>
    <row r="2120" spans="77:77">
      <c r="BY2120" s="35"/>
    </row>
    <row r="2121" spans="77:77">
      <c r="BY2121" s="35"/>
    </row>
    <row r="2122" spans="77:77">
      <c r="BY2122" s="35"/>
    </row>
    <row r="2123" spans="77:77">
      <c r="BY2123" s="35"/>
    </row>
    <row r="2124" spans="77:77">
      <c r="BY2124" s="35"/>
    </row>
    <row r="2125" spans="77:77">
      <c r="BY2125" s="35"/>
    </row>
    <row r="2126" spans="77:77">
      <c r="BY2126" s="35"/>
    </row>
    <row r="2127" spans="77:77">
      <c r="BY2127" s="35"/>
    </row>
    <row r="2128" spans="77:77">
      <c r="BY2128" s="35"/>
    </row>
    <row r="2129" spans="77:77">
      <c r="BY2129" s="35"/>
    </row>
    <row r="2130" spans="77:77">
      <c r="BY2130" s="35"/>
    </row>
    <row r="2131" spans="77:77">
      <c r="BY2131" s="35"/>
    </row>
    <row r="2132" spans="77:77">
      <c r="BY2132" s="35"/>
    </row>
    <row r="2133" spans="77:77">
      <c r="BY2133" s="35"/>
    </row>
    <row r="2134" spans="77:77">
      <c r="BY2134" s="35"/>
    </row>
    <row r="2135" spans="77:77">
      <c r="BY2135" s="35"/>
    </row>
    <row r="2136" spans="77:77">
      <c r="BY2136" s="35"/>
    </row>
    <row r="2137" spans="77:77">
      <c r="BY2137" s="35"/>
    </row>
    <row r="2138" spans="77:77">
      <c r="BY2138" s="35"/>
    </row>
    <row r="2139" spans="77:77">
      <c r="BY2139" s="35"/>
    </row>
    <row r="2140" spans="77:77">
      <c r="BY2140" s="35"/>
    </row>
    <row r="2141" spans="77:77">
      <c r="BY2141" s="35"/>
    </row>
    <row r="2142" spans="77:77">
      <c r="BY2142" s="35"/>
    </row>
    <row r="2143" spans="77:77">
      <c r="BY2143" s="35"/>
    </row>
    <row r="2144" spans="77:77">
      <c r="BY2144" s="35"/>
    </row>
    <row r="2145" spans="77:77">
      <c r="BY2145" s="35"/>
    </row>
    <row r="2146" spans="77:77">
      <c r="BY2146" s="35"/>
    </row>
    <row r="2147" spans="77:77">
      <c r="BY2147" s="35"/>
    </row>
    <row r="2148" spans="77:77">
      <c r="BY2148" s="35"/>
    </row>
    <row r="2149" spans="77:77">
      <c r="BY2149" s="35"/>
    </row>
    <row r="2150" spans="77:77">
      <c r="BY2150" s="35"/>
    </row>
    <row r="2151" spans="77:77">
      <c r="BY2151" s="35"/>
    </row>
    <row r="2152" spans="77:77">
      <c r="BY2152" s="35"/>
    </row>
    <row r="2153" spans="77:77">
      <c r="BY2153" s="35"/>
    </row>
    <row r="2154" spans="77:77">
      <c r="BY2154" s="35"/>
    </row>
    <row r="2155" spans="77:77">
      <c r="BY2155" s="35"/>
    </row>
    <row r="2156" spans="77:77">
      <c r="BY2156" s="35"/>
    </row>
    <row r="2157" spans="77:77">
      <c r="BY2157" s="35"/>
    </row>
    <row r="2158" spans="77:77">
      <c r="BY2158" s="35"/>
    </row>
    <row r="2159" spans="77:77">
      <c r="BY2159" s="35"/>
    </row>
    <row r="2160" spans="77:77">
      <c r="BY2160" s="35"/>
    </row>
    <row r="2161" spans="77:77">
      <c r="BY2161" s="35"/>
    </row>
    <row r="2162" spans="77:77">
      <c r="BY2162" s="35"/>
    </row>
    <row r="2163" spans="77:77">
      <c r="BY2163" s="35"/>
    </row>
    <row r="2164" spans="77:77">
      <c r="BY2164" s="35"/>
    </row>
    <row r="2165" spans="77:77">
      <c r="BY2165" s="35"/>
    </row>
    <row r="2166" spans="77:77">
      <c r="BY2166" s="35"/>
    </row>
    <row r="2167" spans="77:77">
      <c r="BY2167" s="35"/>
    </row>
    <row r="2168" spans="77:77">
      <c r="BY2168" s="35"/>
    </row>
    <row r="2169" spans="77:77">
      <c r="BY2169" s="35"/>
    </row>
    <row r="2170" spans="77:77">
      <c r="BY2170" s="35"/>
    </row>
    <row r="2171" spans="77:77">
      <c r="BY2171" s="35"/>
    </row>
    <row r="2172" spans="77:77">
      <c r="BY2172" s="35"/>
    </row>
    <row r="2173" spans="77:77">
      <c r="BY2173" s="35"/>
    </row>
    <row r="2174" spans="77:77">
      <c r="BY2174" s="35"/>
    </row>
    <row r="2175" spans="77:77">
      <c r="BY2175" s="35"/>
    </row>
    <row r="2176" spans="77:77">
      <c r="BY2176" s="35"/>
    </row>
    <row r="2177" spans="77:77">
      <c r="BY2177" s="35"/>
    </row>
    <row r="2178" spans="77:77">
      <c r="BY2178" s="35"/>
    </row>
    <row r="2179" spans="77:77">
      <c r="BY2179" s="35"/>
    </row>
    <row r="2180" spans="77:77">
      <c r="BY2180" s="35"/>
    </row>
    <row r="2181" spans="77:77">
      <c r="BY2181" s="35"/>
    </row>
    <row r="2182" spans="77:77">
      <c r="BY2182" s="35"/>
    </row>
    <row r="2183" spans="77:77">
      <c r="BY2183" s="35"/>
    </row>
    <row r="2184" spans="77:77">
      <c r="BY2184" s="35"/>
    </row>
    <row r="2185" spans="77:77">
      <c r="BY2185" s="35"/>
    </row>
    <row r="2186" spans="77:77">
      <c r="BY2186" s="35"/>
    </row>
    <row r="2187" spans="77:77">
      <c r="BY2187" s="35"/>
    </row>
    <row r="2188" spans="77:77">
      <c r="BY2188" s="35"/>
    </row>
    <row r="2189" spans="77:77">
      <c r="BY2189" s="35"/>
    </row>
    <row r="2190" spans="77:77">
      <c r="BY2190" s="35"/>
    </row>
    <row r="2191" spans="77:77">
      <c r="BY2191" s="35"/>
    </row>
    <row r="2192" spans="77:77">
      <c r="BY2192" s="35"/>
    </row>
    <row r="2193" spans="77:77">
      <c r="BY2193" s="35"/>
    </row>
    <row r="2194" spans="77:77">
      <c r="BY2194" s="35"/>
    </row>
    <row r="2195" spans="77:77">
      <c r="BY2195" s="35"/>
    </row>
    <row r="2196" spans="77:77">
      <c r="BY2196" s="35"/>
    </row>
    <row r="2197" spans="77:77">
      <c r="BY2197" s="35"/>
    </row>
    <row r="2198" spans="77:77">
      <c r="BY2198" s="35"/>
    </row>
    <row r="2199" spans="77:77">
      <c r="BY2199" s="35"/>
    </row>
    <row r="2200" spans="77:77">
      <c r="BY2200" s="35"/>
    </row>
    <row r="2201" spans="77:77">
      <c r="BY2201" s="35"/>
    </row>
    <row r="2202" spans="77:77">
      <c r="BY2202" s="35"/>
    </row>
    <row r="2203" spans="77:77">
      <c r="BY2203" s="35"/>
    </row>
    <row r="2204" spans="77:77">
      <c r="BY2204" s="35"/>
    </row>
    <row r="2205" spans="77:77">
      <c r="BY2205" s="35"/>
    </row>
    <row r="2206" spans="77:77">
      <c r="BY2206" s="35"/>
    </row>
    <row r="2207" spans="77:77">
      <c r="BY2207" s="35"/>
    </row>
    <row r="2208" spans="77:77">
      <c r="BY2208" s="35"/>
    </row>
    <row r="2209" spans="77:77">
      <c r="BY2209" s="35"/>
    </row>
    <row r="2210" spans="77:77">
      <c r="BY2210" s="35"/>
    </row>
    <row r="2211" spans="77:77">
      <c r="BY2211" s="35"/>
    </row>
    <row r="2212" spans="77:77">
      <c r="BY2212" s="35"/>
    </row>
    <row r="2213" spans="77:77">
      <c r="BY2213" s="35"/>
    </row>
    <row r="2214" spans="77:77">
      <c r="BY2214" s="35"/>
    </row>
    <row r="2215" spans="77:77">
      <c r="BY2215" s="35"/>
    </row>
    <row r="2216" spans="77:77">
      <c r="BY2216" s="35"/>
    </row>
    <row r="2217" spans="77:77">
      <c r="BY2217" s="35"/>
    </row>
    <row r="2218" spans="77:77">
      <c r="BY2218" s="35"/>
    </row>
    <row r="2219" spans="77:77">
      <c r="BY2219" s="35"/>
    </row>
    <row r="2220" spans="77:77">
      <c r="BY2220" s="35"/>
    </row>
    <row r="2221" spans="77:77">
      <c r="BY2221" s="35"/>
    </row>
    <row r="2222" spans="77:77">
      <c r="BY2222" s="35"/>
    </row>
    <row r="2223" spans="77:77">
      <c r="BY2223" s="35"/>
    </row>
    <row r="2224" spans="77:77">
      <c r="BY2224" s="35"/>
    </row>
    <row r="2225" spans="77:77">
      <c r="BY2225" s="35"/>
    </row>
    <row r="2226" spans="77:77">
      <c r="BY2226" s="35"/>
    </row>
    <row r="2227" spans="77:77">
      <c r="BY2227" s="35"/>
    </row>
    <row r="2228" spans="77:77">
      <c r="BY2228" s="35"/>
    </row>
    <row r="2229" spans="77:77">
      <c r="BY2229" s="35"/>
    </row>
    <row r="2230" spans="77:77">
      <c r="BY2230" s="35"/>
    </row>
    <row r="2231" spans="77:77">
      <c r="BY2231" s="35"/>
    </row>
    <row r="2232" spans="77:77">
      <c r="BY2232" s="35"/>
    </row>
    <row r="2233" spans="77:77">
      <c r="BY2233" s="35"/>
    </row>
    <row r="2234" spans="77:77">
      <c r="BY2234" s="35"/>
    </row>
    <row r="2235" spans="77:77">
      <c r="BY2235" s="35"/>
    </row>
    <row r="2236" spans="77:77">
      <c r="BY2236" s="35"/>
    </row>
    <row r="2237" spans="77:77">
      <c r="BY2237" s="35"/>
    </row>
    <row r="2238" spans="77:77">
      <c r="BY2238" s="35"/>
    </row>
    <row r="2239" spans="77:77">
      <c r="BY2239" s="35"/>
    </row>
    <row r="2240" spans="77:77">
      <c r="BY2240" s="35"/>
    </row>
    <row r="2241" spans="77:77">
      <c r="BY2241" s="35"/>
    </row>
    <row r="2242" spans="77:77">
      <c r="BY2242" s="35"/>
    </row>
    <row r="2243" spans="77:77">
      <c r="BY2243" s="35"/>
    </row>
    <row r="2244" spans="77:77">
      <c r="BY2244" s="35"/>
    </row>
    <row r="2245" spans="77:77">
      <c r="BY2245" s="35"/>
    </row>
    <row r="2246" spans="77:77">
      <c r="BY2246" s="35"/>
    </row>
    <row r="2247" spans="77:77">
      <c r="BY2247" s="35"/>
    </row>
    <row r="2248" spans="77:77">
      <c r="BY2248" s="35"/>
    </row>
    <row r="2249" spans="77:77">
      <c r="BY2249" s="35"/>
    </row>
    <row r="2250" spans="77:77">
      <c r="BY2250" s="35"/>
    </row>
    <row r="2251" spans="77:77">
      <c r="BY2251" s="35"/>
    </row>
    <row r="2252" spans="77:77">
      <c r="BY2252" s="35"/>
    </row>
    <row r="2253" spans="77:77">
      <c r="BY2253" s="35"/>
    </row>
    <row r="2254" spans="77:77">
      <c r="BY2254" s="35"/>
    </row>
    <row r="2255" spans="77:77">
      <c r="BY2255" s="35"/>
    </row>
    <row r="2256" spans="77:77">
      <c r="BY2256" s="35"/>
    </row>
    <row r="2257" spans="77:77">
      <c r="BY2257" s="35"/>
    </row>
    <row r="2258" spans="77:77">
      <c r="BY2258" s="35"/>
    </row>
    <row r="2259" spans="77:77">
      <c r="BY2259" s="35"/>
    </row>
    <row r="2260" spans="77:77">
      <c r="BY2260" s="35"/>
    </row>
    <row r="2261" spans="77:77">
      <c r="BY2261" s="35"/>
    </row>
    <row r="2262" spans="77:77">
      <c r="BY2262" s="35"/>
    </row>
    <row r="2263" spans="77:77">
      <c r="BY2263" s="35"/>
    </row>
    <row r="2264" spans="77:77">
      <c r="BY2264" s="35"/>
    </row>
    <row r="2265" spans="77:77">
      <c r="BY2265" s="35"/>
    </row>
    <row r="2266" spans="77:77">
      <c r="BY2266" s="35"/>
    </row>
    <row r="2267" spans="77:77">
      <c r="BY2267" s="35"/>
    </row>
    <row r="2268" spans="77:77">
      <c r="BY2268" s="35"/>
    </row>
    <row r="2269" spans="77:77">
      <c r="BY2269" s="35"/>
    </row>
    <row r="2270" spans="77:77">
      <c r="BY2270" s="35"/>
    </row>
    <row r="2271" spans="77:77">
      <c r="BY2271" s="35"/>
    </row>
    <row r="2272" spans="77:77">
      <c r="BY2272" s="35"/>
    </row>
    <row r="2273" spans="77:77">
      <c r="BY2273" s="35"/>
    </row>
    <row r="2274" spans="77:77">
      <c r="BY2274" s="35"/>
    </row>
    <row r="2275" spans="77:77">
      <c r="BY2275" s="35"/>
    </row>
    <row r="2276" spans="77:77">
      <c r="BY2276" s="35"/>
    </row>
    <row r="2277" spans="77:77">
      <c r="BY2277" s="35"/>
    </row>
    <row r="2278" spans="77:77">
      <c r="BY2278" s="35"/>
    </row>
    <row r="2279" spans="77:77">
      <c r="BY2279" s="35"/>
    </row>
    <row r="2280" spans="77:77">
      <c r="BY2280" s="35"/>
    </row>
    <row r="2281" spans="77:77">
      <c r="BY2281" s="35"/>
    </row>
    <row r="2282" spans="77:77">
      <c r="BY2282" s="35"/>
    </row>
    <row r="2283" spans="77:77">
      <c r="BY2283" s="35"/>
    </row>
    <row r="2284" spans="77:77">
      <c r="BY2284" s="35"/>
    </row>
    <row r="2285" spans="77:77">
      <c r="BY2285" s="35"/>
    </row>
    <row r="2286" spans="77:77">
      <c r="BY2286" s="35"/>
    </row>
    <row r="2287" spans="77:77">
      <c r="BY2287" s="35"/>
    </row>
    <row r="2288" spans="77:77">
      <c r="BY2288" s="35"/>
    </row>
    <row r="2289" spans="77:77">
      <c r="BY2289" s="35"/>
    </row>
    <row r="2290" spans="77:77">
      <c r="BY2290" s="35"/>
    </row>
    <row r="2291" spans="77:77">
      <c r="BY2291" s="35"/>
    </row>
    <row r="2292" spans="77:77">
      <c r="BY2292" s="35"/>
    </row>
    <row r="2293" spans="77:77">
      <c r="BY2293" s="35"/>
    </row>
    <row r="2294" spans="77:77">
      <c r="BY2294" s="35"/>
    </row>
    <row r="2295" spans="77:77">
      <c r="BY2295" s="35"/>
    </row>
    <row r="2296" spans="77:77">
      <c r="BY2296" s="35"/>
    </row>
    <row r="2297" spans="77:77">
      <c r="BY2297" s="35"/>
    </row>
    <row r="2298" spans="77:77">
      <c r="BY2298" s="35"/>
    </row>
    <row r="2299" spans="77:77">
      <c r="BY2299" s="35"/>
    </row>
    <row r="2300" spans="77:77">
      <c r="BY2300" s="35"/>
    </row>
    <row r="2301" spans="77:77">
      <c r="BY2301" s="35"/>
    </row>
    <row r="2302" spans="77:77">
      <c r="BY2302" s="35"/>
    </row>
    <row r="2303" spans="77:77">
      <c r="BY2303" s="35"/>
    </row>
    <row r="2304" spans="77:77">
      <c r="BY2304" s="35"/>
    </row>
    <row r="2305" spans="77:77">
      <c r="BY2305" s="35"/>
    </row>
    <row r="2306" spans="77:77">
      <c r="BY2306" s="35"/>
    </row>
    <row r="2307" spans="77:77">
      <c r="BY2307" s="35"/>
    </row>
    <row r="2308" spans="77:77">
      <c r="BY2308" s="35"/>
    </row>
    <row r="2309" spans="77:77">
      <c r="BY2309" s="35"/>
    </row>
    <row r="2310" spans="77:77">
      <c r="BY2310" s="35"/>
    </row>
    <row r="2311" spans="77:77">
      <c r="BY2311" s="35"/>
    </row>
    <row r="2312" spans="77:77">
      <c r="BY2312" s="35"/>
    </row>
    <row r="2313" spans="77:77">
      <c r="BY2313" s="35"/>
    </row>
    <row r="2314" spans="77:77">
      <c r="BY2314" s="35"/>
    </row>
    <row r="2315" spans="77:77">
      <c r="BY2315" s="35"/>
    </row>
    <row r="2316" spans="77:77">
      <c r="BY2316" s="35"/>
    </row>
    <row r="2317" spans="77:77">
      <c r="BY2317" s="35"/>
    </row>
    <row r="2318" spans="77:77">
      <c r="BY2318" s="35"/>
    </row>
    <row r="2319" spans="77:77">
      <c r="BY2319" s="35"/>
    </row>
    <row r="2320" spans="77:77">
      <c r="BY2320" s="35"/>
    </row>
    <row r="2321" spans="77:77">
      <c r="BY2321" s="35"/>
    </row>
    <row r="2322" spans="77:77">
      <c r="BY2322" s="35"/>
    </row>
    <row r="2323" spans="77:77">
      <c r="BY2323" s="35"/>
    </row>
    <row r="2324" spans="77:77">
      <c r="BY2324" s="35"/>
    </row>
    <row r="2325" spans="77:77">
      <c r="BY2325" s="35"/>
    </row>
    <row r="2326" spans="77:77">
      <c r="BY2326" s="35"/>
    </row>
    <row r="2327" spans="77:77">
      <c r="BY2327" s="35"/>
    </row>
    <row r="2328" spans="77:77">
      <c r="BY2328" s="35"/>
    </row>
    <row r="2329" spans="77:77">
      <c r="BY2329" s="35"/>
    </row>
    <row r="2330" spans="77:77">
      <c r="BY2330" s="35"/>
    </row>
    <row r="2331" spans="77:77">
      <c r="BY2331" s="35"/>
    </row>
    <row r="2332" spans="77:77">
      <c r="BY2332" s="35"/>
    </row>
    <row r="2333" spans="77:77">
      <c r="BY2333" s="35"/>
    </row>
    <row r="2334" spans="77:77">
      <c r="BY2334" s="35"/>
    </row>
    <row r="2335" spans="77:77">
      <c r="BY2335" s="35"/>
    </row>
    <row r="2336" spans="77:77">
      <c r="BY2336" s="35"/>
    </row>
    <row r="2337" spans="77:77">
      <c r="BY2337" s="35"/>
    </row>
    <row r="2338" spans="77:77">
      <c r="BY2338" s="35"/>
    </row>
    <row r="2339" spans="77:77">
      <c r="BY2339" s="35"/>
    </row>
    <row r="2340" spans="77:77">
      <c r="BY2340" s="35"/>
    </row>
    <row r="2341" spans="77:77">
      <c r="BY2341" s="35"/>
    </row>
    <row r="2342" spans="77:77">
      <c r="BY2342" s="35"/>
    </row>
    <row r="2343" spans="77:77">
      <c r="BY2343" s="35"/>
    </row>
    <row r="2344" spans="77:77">
      <c r="BY2344" s="35"/>
    </row>
    <row r="2345" spans="77:77">
      <c r="BY2345" s="35"/>
    </row>
    <row r="2346" spans="77:77">
      <c r="BY2346" s="35"/>
    </row>
    <row r="2347" spans="77:77">
      <c r="BY2347" s="35"/>
    </row>
    <row r="2348" spans="77:77">
      <c r="BY2348" s="35"/>
    </row>
    <row r="2349" spans="77:77">
      <c r="BY2349" s="35"/>
    </row>
    <row r="2350" spans="77:77">
      <c r="BY2350" s="35"/>
    </row>
    <row r="2351" spans="77:77">
      <c r="BY2351" s="35"/>
    </row>
    <row r="2352" spans="77:77">
      <c r="BY2352" s="35"/>
    </row>
    <row r="2353" spans="77:77">
      <c r="BY2353" s="35"/>
    </row>
    <row r="2354" spans="77:77">
      <c r="BY2354" s="35"/>
    </row>
    <row r="2355" spans="77:77">
      <c r="BY2355" s="35"/>
    </row>
    <row r="2356" spans="77:77">
      <c r="BY2356" s="35"/>
    </row>
    <row r="2357" spans="77:77">
      <c r="BY2357" s="35"/>
    </row>
    <row r="2358" spans="77:77">
      <c r="BY2358" s="35"/>
    </row>
    <row r="2359" spans="77:77">
      <c r="BY2359" s="35"/>
    </row>
    <row r="2360" spans="77:77">
      <c r="BY2360" s="35"/>
    </row>
    <row r="2361" spans="77:77">
      <c r="BY2361" s="35"/>
    </row>
    <row r="2362" spans="77:77">
      <c r="BY2362" s="35"/>
    </row>
    <row r="2363" spans="77:77">
      <c r="BY2363" s="35"/>
    </row>
    <row r="2364" spans="77:77">
      <c r="BY2364" s="35"/>
    </row>
    <row r="2365" spans="77:77">
      <c r="BY2365" s="35"/>
    </row>
    <row r="2366" spans="77:77">
      <c r="BY2366" s="35"/>
    </row>
    <row r="2367" spans="77:77">
      <c r="BY2367" s="35"/>
    </row>
    <row r="2368" spans="77:77">
      <c r="BY2368" s="35"/>
    </row>
    <row r="2369" spans="77:77">
      <c r="BY2369" s="35"/>
    </row>
    <row r="2370" spans="77:77">
      <c r="BY2370" s="35"/>
    </row>
    <row r="2371" spans="77:77">
      <c r="BY2371" s="35"/>
    </row>
    <row r="2372" spans="77:77">
      <c r="BY2372" s="35"/>
    </row>
    <row r="2373" spans="77:77">
      <c r="BY2373" s="35"/>
    </row>
    <row r="2374" spans="77:77">
      <c r="BY2374" s="35"/>
    </row>
    <row r="2375" spans="77:77">
      <c r="BY2375" s="35"/>
    </row>
    <row r="2376" spans="77:77">
      <c r="BY2376" s="35"/>
    </row>
    <row r="2377" spans="77:77">
      <c r="BY2377" s="35"/>
    </row>
    <row r="2378" spans="77:77">
      <c r="BY2378" s="35"/>
    </row>
    <row r="2379" spans="77:77">
      <c r="BY2379" s="35"/>
    </row>
    <row r="2380" spans="77:77">
      <c r="BY2380" s="35"/>
    </row>
    <row r="2381" spans="77:77">
      <c r="BY2381" s="35"/>
    </row>
    <row r="2382" spans="77:77">
      <c r="BY2382" s="35"/>
    </row>
    <row r="2383" spans="77:77">
      <c r="BY2383" s="35"/>
    </row>
    <row r="2384" spans="77:77">
      <c r="BY2384" s="35"/>
    </row>
    <row r="2385" spans="77:77">
      <c r="BY2385" s="35"/>
    </row>
    <row r="2386" spans="77:77">
      <c r="BY2386" s="35"/>
    </row>
    <row r="2387" spans="77:77">
      <c r="BY2387" s="35"/>
    </row>
    <row r="2388" spans="77:77">
      <c r="BY2388" s="35"/>
    </row>
    <row r="2389" spans="77:77">
      <c r="BY2389" s="35"/>
    </row>
    <row r="2390" spans="77:77">
      <c r="BY2390" s="35"/>
    </row>
    <row r="2391" spans="77:77">
      <c r="BY2391" s="35"/>
    </row>
    <row r="2392" spans="77:77">
      <c r="BY2392" s="35"/>
    </row>
    <row r="2393" spans="77:77">
      <c r="BY2393" s="35"/>
    </row>
    <row r="2394" spans="77:77">
      <c r="BY2394" s="35"/>
    </row>
    <row r="2395" spans="77:77">
      <c r="BY2395" s="35"/>
    </row>
    <row r="2396" spans="77:77">
      <c r="BY2396" s="35"/>
    </row>
    <row r="2397" spans="77:77">
      <c r="BY2397" s="35"/>
    </row>
    <row r="2398" spans="77:77">
      <c r="BY2398" s="35"/>
    </row>
    <row r="2399" spans="77:77">
      <c r="BY2399" s="35"/>
    </row>
    <row r="2400" spans="77:77">
      <c r="BY2400" s="35"/>
    </row>
    <row r="2401" spans="77:77">
      <c r="BY2401" s="35"/>
    </row>
    <row r="2402" spans="77:77">
      <c r="BY2402" s="35"/>
    </row>
    <row r="2403" spans="77:77">
      <c r="BY2403" s="35"/>
    </row>
    <row r="2404" spans="77:77">
      <c r="BY2404" s="35"/>
    </row>
    <row r="2405" spans="77:77">
      <c r="BY2405" s="35"/>
    </row>
    <row r="2406" spans="77:77">
      <c r="BY2406" s="35"/>
    </row>
    <row r="2407" spans="77:77">
      <c r="BY2407" s="35"/>
    </row>
    <row r="2408" spans="77:77">
      <c r="BY2408" s="35"/>
    </row>
    <row r="2409" spans="77:77">
      <c r="BY2409" s="35"/>
    </row>
    <row r="2410" spans="77:77">
      <c r="BY2410" s="35"/>
    </row>
    <row r="2411" spans="77:77">
      <c r="BY2411" s="35"/>
    </row>
    <row r="2412" spans="77:77">
      <c r="BY2412" s="35"/>
    </row>
    <row r="2413" spans="77:77">
      <c r="BY2413" s="35"/>
    </row>
    <row r="2414" spans="77:77">
      <c r="BY2414" s="35"/>
    </row>
    <row r="2415" spans="77:77">
      <c r="BY2415" s="35"/>
    </row>
    <row r="2416" spans="77:77">
      <c r="BY2416" s="35"/>
    </row>
    <row r="2417" spans="77:77">
      <c r="BY2417" s="35"/>
    </row>
    <row r="2418" spans="77:77">
      <c r="BY2418" s="35"/>
    </row>
    <row r="2419" spans="77:77">
      <c r="BY2419" s="35"/>
    </row>
    <row r="2420" spans="77:77">
      <c r="BY2420" s="35"/>
    </row>
    <row r="2421" spans="77:77">
      <c r="BY2421" s="35"/>
    </row>
    <row r="2422" spans="77:77">
      <c r="BY2422" s="35"/>
    </row>
    <row r="2423" spans="77:77">
      <c r="BY2423" s="35"/>
    </row>
    <row r="2424" spans="77:77">
      <c r="BY2424" s="35"/>
    </row>
    <row r="2425" spans="77:77">
      <c r="BY2425" s="35"/>
    </row>
    <row r="2426" spans="77:77">
      <c r="BY2426" s="35"/>
    </row>
    <row r="2427" spans="77:77">
      <c r="BY2427" s="35"/>
    </row>
    <row r="2428" spans="77:77">
      <c r="BY2428" s="35"/>
    </row>
    <row r="2429" spans="77:77">
      <c r="BY2429" s="35"/>
    </row>
    <row r="2430" spans="77:77">
      <c r="BY2430" s="35"/>
    </row>
    <row r="2431" spans="77:77">
      <c r="BY2431" s="35"/>
    </row>
    <row r="2432" spans="77:77">
      <c r="BY2432" s="35"/>
    </row>
    <row r="2433" spans="77:77">
      <c r="BY2433" s="35"/>
    </row>
    <row r="2434" spans="77:77">
      <c r="BY2434" s="35"/>
    </row>
    <row r="2435" spans="77:77">
      <c r="BY2435" s="35"/>
    </row>
    <row r="2436" spans="77:77">
      <c r="BY2436" s="35"/>
    </row>
    <row r="2437" spans="77:77">
      <c r="BY2437" s="35"/>
    </row>
    <row r="2438" spans="77:77">
      <c r="BY2438" s="35"/>
    </row>
    <row r="2439" spans="77:77">
      <c r="BY2439" s="35"/>
    </row>
    <row r="2440" spans="77:77">
      <c r="BY2440" s="35"/>
    </row>
    <row r="2441" spans="77:77">
      <c r="BY2441" s="35"/>
    </row>
    <row r="2442" spans="77:77">
      <c r="BY2442" s="35"/>
    </row>
    <row r="2443" spans="77:77">
      <c r="BY2443" s="35"/>
    </row>
    <row r="2444" spans="77:77">
      <c r="BY2444" s="35"/>
    </row>
    <row r="2445" spans="77:77">
      <c r="BY2445" s="35"/>
    </row>
    <row r="2446" spans="77:77">
      <c r="BY2446" s="35"/>
    </row>
    <row r="2447" spans="77:77">
      <c r="BY2447" s="35"/>
    </row>
    <row r="2448" spans="77:77">
      <c r="BY2448" s="35"/>
    </row>
    <row r="2449" spans="77:77">
      <c r="BY2449" s="35"/>
    </row>
    <row r="2450" spans="77:77">
      <c r="BY2450" s="35"/>
    </row>
    <row r="2451" spans="77:77">
      <c r="BY2451" s="35"/>
    </row>
    <row r="2452" spans="77:77">
      <c r="BY2452" s="35"/>
    </row>
    <row r="2453" spans="77:77">
      <c r="BY2453" s="35"/>
    </row>
    <row r="2454" spans="77:77">
      <c r="BY2454" s="35"/>
    </row>
    <row r="2455" spans="77:77">
      <c r="BY2455" s="35"/>
    </row>
    <row r="2456" spans="77:77">
      <c r="BY2456" s="35"/>
    </row>
    <row r="2457" spans="77:77">
      <c r="BY2457" s="35"/>
    </row>
    <row r="2458" spans="77:77">
      <c r="BY2458" s="35"/>
    </row>
    <row r="2459" spans="77:77">
      <c r="BY2459" s="35"/>
    </row>
    <row r="2460" spans="77:77">
      <c r="BY2460" s="35"/>
    </row>
    <row r="2461" spans="77:77">
      <c r="BY2461" s="35"/>
    </row>
    <row r="2462" spans="77:77">
      <c r="BY2462" s="35"/>
    </row>
    <row r="2463" spans="77:77">
      <c r="BY2463" s="35"/>
    </row>
    <row r="2464" spans="77:77">
      <c r="BY2464" s="35"/>
    </row>
    <row r="2465" spans="77:77">
      <c r="BY2465" s="35"/>
    </row>
    <row r="2466" spans="77:77">
      <c r="BY2466" s="35"/>
    </row>
    <row r="2467" spans="77:77">
      <c r="BY2467" s="35"/>
    </row>
    <row r="2468" spans="77:77">
      <c r="BY2468" s="35"/>
    </row>
    <row r="2469" spans="77:77">
      <c r="BY2469" s="35"/>
    </row>
    <row r="2470" spans="77:77">
      <c r="BY2470" s="35"/>
    </row>
    <row r="2471" spans="77:77">
      <c r="BY2471" s="35"/>
    </row>
    <row r="2472" spans="77:77">
      <c r="BY2472" s="35"/>
    </row>
    <row r="2473" spans="77:77">
      <c r="BY2473" s="35"/>
    </row>
    <row r="2474" spans="77:77">
      <c r="BY2474" s="35"/>
    </row>
    <row r="2475" spans="77:77">
      <c r="BY2475" s="35"/>
    </row>
    <row r="2476" spans="77:77">
      <c r="BY2476" s="35"/>
    </row>
    <row r="2477" spans="77:77">
      <c r="BY2477" s="35"/>
    </row>
    <row r="2478" spans="77:77">
      <c r="BY2478" s="35"/>
    </row>
    <row r="2479" spans="77:77">
      <c r="BY2479" s="35"/>
    </row>
    <row r="2480" spans="77:77">
      <c r="BY2480" s="35"/>
    </row>
    <row r="2481" spans="77:77">
      <c r="BY2481" s="35"/>
    </row>
    <row r="2482" spans="77:77">
      <c r="BY2482" s="35"/>
    </row>
    <row r="2483" spans="77:77">
      <c r="BY2483" s="35"/>
    </row>
    <row r="2484" spans="77:77">
      <c r="BY2484" s="35"/>
    </row>
    <row r="2485" spans="77:77">
      <c r="BY2485" s="35"/>
    </row>
    <row r="2486" spans="77:77">
      <c r="BY2486" s="35"/>
    </row>
    <row r="2487" spans="77:77">
      <c r="BY2487" s="35"/>
    </row>
    <row r="2488" spans="77:77">
      <c r="BY2488" s="35"/>
    </row>
    <row r="2489" spans="77:77">
      <c r="BY2489" s="35"/>
    </row>
    <row r="2490" spans="77:77">
      <c r="BY2490" s="35"/>
    </row>
    <row r="2491" spans="77:77">
      <c r="BY2491" s="35"/>
    </row>
    <row r="2492" spans="77:77">
      <c r="BY2492" s="35"/>
    </row>
    <row r="2493" spans="77:77">
      <c r="BY2493" s="35"/>
    </row>
    <row r="2494" spans="77:77">
      <c r="BY2494" s="35"/>
    </row>
    <row r="2495" spans="77:77">
      <c r="BY2495" s="35"/>
    </row>
    <row r="2496" spans="77:77">
      <c r="BY2496" s="35"/>
    </row>
    <row r="2497" spans="77:77">
      <c r="BY2497" s="35"/>
    </row>
    <row r="2498" spans="77:77">
      <c r="BY2498" s="35"/>
    </row>
    <row r="2499" spans="77:77">
      <c r="BY2499" s="35"/>
    </row>
    <row r="2500" spans="77:77">
      <c r="BY2500" s="35"/>
    </row>
    <row r="2501" spans="77:77">
      <c r="BY2501" s="35"/>
    </row>
    <row r="2502" spans="77:77">
      <c r="BY2502" s="35"/>
    </row>
    <row r="2503" spans="77:77">
      <c r="BY2503" s="35"/>
    </row>
    <row r="2504" spans="77:77">
      <c r="BY2504" s="35"/>
    </row>
    <row r="2505" spans="77:77">
      <c r="BY2505" s="35"/>
    </row>
    <row r="2506" spans="77:77">
      <c r="BY2506" s="35"/>
    </row>
    <row r="2507" spans="77:77">
      <c r="BY2507" s="35"/>
    </row>
    <row r="2508" spans="77:77">
      <c r="BY2508" s="35"/>
    </row>
    <row r="2509" spans="77:77">
      <c r="BY2509" s="35"/>
    </row>
    <row r="2510" spans="77:77">
      <c r="BY2510" s="35"/>
    </row>
    <row r="2511" spans="77:77">
      <c r="BY2511" s="35"/>
    </row>
    <row r="2512" spans="77:77">
      <c r="BY2512" s="35"/>
    </row>
    <row r="2513" spans="77:77">
      <c r="BY2513" s="35"/>
    </row>
    <row r="2514" spans="77:77">
      <c r="BY2514" s="35"/>
    </row>
    <row r="2515" spans="77:77">
      <c r="BY2515" s="35"/>
    </row>
    <row r="2516" spans="77:77">
      <c r="BY2516" s="35"/>
    </row>
    <row r="2517" spans="77:77">
      <c r="BY2517" s="35"/>
    </row>
    <row r="2518" spans="77:77">
      <c r="BY2518" s="35"/>
    </row>
    <row r="2519" spans="77:77">
      <c r="BY2519" s="35"/>
    </row>
    <row r="2520" spans="77:77">
      <c r="BY2520" s="35"/>
    </row>
    <row r="2521" spans="77:77">
      <c r="BY2521" s="35"/>
    </row>
    <row r="2522" spans="77:77">
      <c r="BY2522" s="35"/>
    </row>
    <row r="2523" spans="77:77">
      <c r="BY2523" s="35"/>
    </row>
    <row r="2524" spans="77:77">
      <c r="BY2524" s="35"/>
    </row>
    <row r="2525" spans="77:77">
      <c r="BY2525" s="35"/>
    </row>
    <row r="2526" spans="77:77">
      <c r="BY2526" s="35"/>
    </row>
    <row r="2527" spans="77:77">
      <c r="BY2527" s="35"/>
    </row>
    <row r="2528" spans="77:77">
      <c r="BY2528" s="35"/>
    </row>
    <row r="2529" spans="77:77">
      <c r="BY2529" s="35"/>
    </row>
    <row r="2530" spans="77:77">
      <c r="BY2530" s="35"/>
    </row>
    <row r="2531" spans="77:77">
      <c r="BY2531" s="35"/>
    </row>
    <row r="2532" spans="77:77">
      <c r="BY2532" s="35"/>
    </row>
    <row r="2533" spans="77:77">
      <c r="BY2533" s="35"/>
    </row>
    <row r="2534" spans="77:77">
      <c r="BY2534" s="35"/>
    </row>
    <row r="2535" spans="77:77">
      <c r="BY2535" s="35"/>
    </row>
    <row r="2536" spans="77:77">
      <c r="BY2536" s="35"/>
    </row>
    <row r="2537" spans="77:77">
      <c r="BY2537" s="35"/>
    </row>
    <row r="2538" spans="77:77">
      <c r="BY2538" s="35"/>
    </row>
    <row r="2539" spans="77:77">
      <c r="BY2539" s="35"/>
    </row>
    <row r="2540" spans="77:77">
      <c r="BY2540" s="35"/>
    </row>
    <row r="2541" spans="77:77">
      <c r="BY2541" s="35"/>
    </row>
    <row r="2542" spans="77:77">
      <c r="BY2542" s="35"/>
    </row>
    <row r="2543" spans="77:77">
      <c r="BY2543" s="35"/>
    </row>
    <row r="2544" spans="77:77">
      <c r="BY2544" s="35"/>
    </row>
    <row r="2545" spans="77:77">
      <c r="BY2545" s="35"/>
    </row>
    <row r="2546" spans="77:77">
      <c r="BY2546" s="35"/>
    </row>
    <row r="2547" spans="77:77">
      <c r="BY2547" s="35"/>
    </row>
    <row r="2548" spans="77:77">
      <c r="BY2548" s="35"/>
    </row>
    <row r="2549" spans="77:77">
      <c r="BY2549" s="35"/>
    </row>
    <row r="2550" spans="77:77">
      <c r="BY2550" s="35"/>
    </row>
    <row r="2551" spans="77:77">
      <c r="BY2551" s="35"/>
    </row>
    <row r="2552" spans="77:77">
      <c r="BY2552" s="35"/>
    </row>
    <row r="2553" spans="77:77">
      <c r="BY2553" s="35"/>
    </row>
    <row r="2554" spans="77:77">
      <c r="BY2554" s="35"/>
    </row>
    <row r="2555" spans="77:77">
      <c r="BY2555" s="35"/>
    </row>
    <row r="2556" spans="77:77">
      <c r="BY2556" s="35"/>
    </row>
    <row r="2557" spans="77:77">
      <c r="BY2557" s="35"/>
    </row>
    <row r="2558" spans="77:77">
      <c r="BY2558" s="35"/>
    </row>
    <row r="2559" spans="77:77">
      <c r="BY2559" s="35"/>
    </row>
    <row r="2560" spans="77:77">
      <c r="BY2560" s="35"/>
    </row>
    <row r="2561" spans="77:77">
      <c r="BY2561" s="35"/>
    </row>
    <row r="2562" spans="77:77">
      <c r="BY2562" s="35"/>
    </row>
    <row r="2563" spans="77:77">
      <c r="BY2563" s="35"/>
    </row>
    <row r="2564" spans="77:77">
      <c r="BY2564" s="35"/>
    </row>
    <row r="2565" spans="77:77">
      <c r="BY2565" s="35"/>
    </row>
    <row r="2566" spans="77:77">
      <c r="BY2566" s="35"/>
    </row>
    <row r="2567" spans="77:77">
      <c r="BY2567" s="35"/>
    </row>
    <row r="2568" spans="77:77">
      <c r="BY2568" s="35"/>
    </row>
    <row r="2569" spans="77:77">
      <c r="BY2569" s="35"/>
    </row>
    <row r="2570" spans="77:77">
      <c r="BY2570" s="35"/>
    </row>
    <row r="2571" spans="77:77">
      <c r="BY2571" s="35"/>
    </row>
    <row r="2572" spans="77:77">
      <c r="BY2572" s="35"/>
    </row>
    <row r="2573" spans="77:77">
      <c r="BY2573" s="35"/>
    </row>
    <row r="2574" spans="77:77">
      <c r="BY2574" s="35"/>
    </row>
    <row r="2575" spans="77:77">
      <c r="BY2575" s="35"/>
    </row>
    <row r="2576" spans="77:77">
      <c r="BY2576" s="35"/>
    </row>
    <row r="2577" spans="77:77">
      <c r="BY2577" s="35"/>
    </row>
    <row r="2578" spans="77:77">
      <c r="BY2578" s="35"/>
    </row>
    <row r="2579" spans="77:77">
      <c r="BY2579" s="35"/>
    </row>
    <row r="2580" spans="77:77">
      <c r="BY2580" s="35"/>
    </row>
    <row r="2581" spans="77:77">
      <c r="BY2581" s="35"/>
    </row>
    <row r="2582" spans="77:77">
      <c r="BY2582" s="35"/>
    </row>
    <row r="2583" spans="77:77">
      <c r="BY2583" s="35"/>
    </row>
    <row r="2584" spans="77:77">
      <c r="BY2584" s="35"/>
    </row>
    <row r="2585" spans="77:77">
      <c r="BY2585" s="35"/>
    </row>
    <row r="2586" spans="77:77">
      <c r="BY2586" s="35"/>
    </row>
    <row r="2587" spans="77:77">
      <c r="BY2587" s="35"/>
    </row>
    <row r="2588" spans="77:77">
      <c r="BY2588" s="35"/>
    </row>
    <row r="2589" spans="77:77">
      <c r="BY2589" s="35"/>
    </row>
    <row r="2590" spans="77:77">
      <c r="BY2590" s="35"/>
    </row>
    <row r="2591" spans="77:77">
      <c r="BY2591" s="35"/>
    </row>
    <row r="2592" spans="77:77">
      <c r="BY2592" s="35"/>
    </row>
    <row r="2593" spans="77:77">
      <c r="BY2593" s="35"/>
    </row>
    <row r="2594" spans="77:77">
      <c r="BY2594" s="35"/>
    </row>
    <row r="2595" spans="77:77">
      <c r="BY2595" s="35"/>
    </row>
    <row r="2596" spans="77:77">
      <c r="BY2596" s="35"/>
    </row>
    <row r="2597" spans="77:77">
      <c r="BY2597" s="35"/>
    </row>
    <row r="2598" spans="77:77">
      <c r="BY2598" s="35"/>
    </row>
    <row r="2599" spans="77:77">
      <c r="BY2599" s="35"/>
    </row>
    <row r="2600" spans="77:77">
      <c r="BY2600" s="35"/>
    </row>
    <row r="2601" spans="77:77">
      <c r="BY2601" s="35"/>
    </row>
    <row r="2602" spans="77:77">
      <c r="BY2602" s="35"/>
    </row>
    <row r="2603" spans="77:77">
      <c r="BY2603" s="35"/>
    </row>
    <row r="2604" spans="77:77">
      <c r="BY2604" s="35"/>
    </row>
    <row r="2605" spans="77:77">
      <c r="BY2605" s="35"/>
    </row>
    <row r="2606" spans="77:77">
      <c r="BY2606" s="35"/>
    </row>
    <row r="2607" spans="77:77">
      <c r="BY2607" s="35"/>
    </row>
    <row r="2608" spans="77:77">
      <c r="BY2608" s="35"/>
    </row>
    <row r="2609" spans="77:77">
      <c r="BY2609" s="35"/>
    </row>
    <row r="2610" spans="77:77">
      <c r="BY2610" s="35"/>
    </row>
    <row r="2611" spans="77:77">
      <c r="BY2611" s="35"/>
    </row>
    <row r="2612" spans="77:77">
      <c r="BY2612" s="35"/>
    </row>
    <row r="2613" spans="77:77">
      <c r="BY2613" s="35"/>
    </row>
    <row r="2614" spans="77:77">
      <c r="BY2614" s="35"/>
    </row>
    <row r="2615" spans="77:77">
      <c r="BY2615" s="35"/>
    </row>
    <row r="2616" spans="77:77">
      <c r="BY2616" s="35"/>
    </row>
    <row r="2617" spans="77:77">
      <c r="BY2617" s="35"/>
    </row>
    <row r="2618" spans="77:77">
      <c r="BY2618" s="35"/>
    </row>
    <row r="2619" spans="77:77">
      <c r="BY2619" s="35"/>
    </row>
    <row r="2620" spans="77:77">
      <c r="BY2620" s="35"/>
    </row>
    <row r="2621" spans="77:77">
      <c r="BY2621" s="35"/>
    </row>
    <row r="2622" spans="77:77">
      <c r="BY2622" s="35"/>
    </row>
    <row r="2623" spans="77:77">
      <c r="BY2623" s="35"/>
    </row>
    <row r="2624" spans="77:77">
      <c r="BY2624" s="35"/>
    </row>
    <row r="2625" spans="77:77">
      <c r="BY2625" s="35"/>
    </row>
    <row r="2626" spans="77:77">
      <c r="BY2626" s="35"/>
    </row>
    <row r="2627" spans="77:77">
      <c r="BY2627" s="35"/>
    </row>
    <row r="2628" spans="77:77">
      <c r="BY2628" s="35"/>
    </row>
    <row r="2629" spans="77:77">
      <c r="BY2629" s="35"/>
    </row>
    <row r="2630" spans="77:77">
      <c r="BY2630" s="35"/>
    </row>
    <row r="2631" spans="77:77">
      <c r="BY2631" s="35"/>
    </row>
    <row r="2632" spans="77:77">
      <c r="BY2632" s="35"/>
    </row>
    <row r="2633" spans="77:77">
      <c r="BY2633" s="35"/>
    </row>
    <row r="2634" spans="77:77">
      <c r="BY2634" s="35"/>
    </row>
    <row r="2635" spans="77:77">
      <c r="BY2635" s="35"/>
    </row>
    <row r="2636" spans="77:77">
      <c r="BY2636" s="35"/>
    </row>
    <row r="2637" spans="77:77">
      <c r="BY2637" s="35"/>
    </row>
    <row r="2638" spans="77:77">
      <c r="BY2638" s="35"/>
    </row>
    <row r="2639" spans="77:77">
      <c r="BY2639" s="35"/>
    </row>
    <row r="2640" spans="77:77">
      <c r="BY2640" s="35"/>
    </row>
    <row r="2641" spans="77:77">
      <c r="BY2641" s="35"/>
    </row>
    <row r="2642" spans="77:77">
      <c r="BY2642" s="35"/>
    </row>
    <row r="2643" spans="77:77">
      <c r="BY2643" s="35"/>
    </row>
    <row r="2644" spans="77:77">
      <c r="BY2644" s="35"/>
    </row>
    <row r="2645" spans="77:77">
      <c r="BY2645" s="35"/>
    </row>
    <row r="2646" spans="77:77">
      <c r="BY2646" s="35"/>
    </row>
    <row r="2647" spans="77:77">
      <c r="BY2647" s="35"/>
    </row>
    <row r="2648" spans="77:77">
      <c r="BY2648" s="35"/>
    </row>
    <row r="2649" spans="77:77">
      <c r="BY2649" s="35"/>
    </row>
    <row r="2650" spans="77:77">
      <c r="BY2650" s="35"/>
    </row>
    <row r="2651" spans="77:77">
      <c r="BY2651" s="35"/>
    </row>
    <row r="2652" spans="77:77">
      <c r="BY2652" s="35"/>
    </row>
    <row r="2653" spans="77:77">
      <c r="BY2653" s="35"/>
    </row>
    <row r="2654" spans="77:77">
      <c r="BY2654" s="35"/>
    </row>
    <row r="2655" spans="77:77">
      <c r="BY2655" s="35"/>
    </row>
    <row r="2656" spans="77:77">
      <c r="BY2656" s="35"/>
    </row>
    <row r="2657" spans="77:77">
      <c r="BY2657" s="35"/>
    </row>
    <row r="2658" spans="77:77">
      <c r="BY2658" s="35"/>
    </row>
    <row r="2659" spans="77:77">
      <c r="BY2659" s="35"/>
    </row>
    <row r="2660" spans="77:77">
      <c r="BY2660" s="35"/>
    </row>
    <row r="2661" spans="77:77">
      <c r="BY2661" s="35"/>
    </row>
    <row r="2662" spans="77:77">
      <c r="BY2662" s="35"/>
    </row>
    <row r="2663" spans="77:77">
      <c r="BY2663" s="35"/>
    </row>
    <row r="2664" spans="77:77">
      <c r="BY2664" s="35"/>
    </row>
    <row r="2665" spans="77:77">
      <c r="BY2665" s="35"/>
    </row>
    <row r="2666" spans="77:77">
      <c r="BY2666" s="35"/>
    </row>
    <row r="2667" spans="77:77">
      <c r="BY2667" s="35"/>
    </row>
    <row r="2668" spans="77:77">
      <c r="BY2668" s="35"/>
    </row>
    <row r="2669" spans="77:77">
      <c r="BY2669" s="35"/>
    </row>
    <row r="2670" spans="77:77">
      <c r="BY2670" s="35"/>
    </row>
    <row r="2671" spans="77:77">
      <c r="BY2671" s="35"/>
    </row>
    <row r="2672" spans="77:77">
      <c r="BY2672" s="35"/>
    </row>
    <row r="2673" spans="77:77">
      <c r="BY2673" s="35"/>
    </row>
    <row r="2674" spans="77:77">
      <c r="BY2674" s="35"/>
    </row>
    <row r="2675" spans="77:77">
      <c r="BY2675" s="35"/>
    </row>
    <row r="2676" spans="77:77">
      <c r="BY2676" s="35"/>
    </row>
    <row r="2677" spans="77:77">
      <c r="BY2677" s="35"/>
    </row>
    <row r="2678" spans="77:77">
      <c r="BY2678" s="35"/>
    </row>
    <row r="2679" spans="77:77">
      <c r="BY2679" s="35"/>
    </row>
    <row r="2680" spans="77:77">
      <c r="BY2680" s="35"/>
    </row>
    <row r="2681" spans="77:77">
      <c r="BY2681" s="35"/>
    </row>
    <row r="2682" spans="77:77">
      <c r="BY2682" s="35"/>
    </row>
    <row r="2683" spans="77:77">
      <c r="BY2683" s="35"/>
    </row>
    <row r="2684" spans="77:77">
      <c r="BY2684" s="35"/>
    </row>
    <row r="2685" spans="77:77">
      <c r="BY2685" s="35"/>
    </row>
    <row r="2686" spans="77:77">
      <c r="BY2686" s="35"/>
    </row>
    <row r="2687" spans="77:77">
      <c r="BY2687" s="35"/>
    </row>
    <row r="2688" spans="77:77">
      <c r="BY2688" s="35"/>
    </row>
    <row r="2689" spans="77:77">
      <c r="BY2689" s="35"/>
    </row>
    <row r="2690" spans="77:77">
      <c r="BY2690" s="35"/>
    </row>
    <row r="2691" spans="77:77">
      <c r="BY2691" s="35"/>
    </row>
    <row r="2692" spans="77:77">
      <c r="BY2692" s="35"/>
    </row>
    <row r="2693" spans="77:77">
      <c r="BY2693" s="35"/>
    </row>
    <row r="2694" spans="77:77">
      <c r="BY2694" s="35"/>
    </row>
    <row r="2695" spans="77:77">
      <c r="BY2695" s="35"/>
    </row>
    <row r="2696" spans="77:77">
      <c r="BY2696" s="35"/>
    </row>
    <row r="2697" spans="77:77">
      <c r="BY2697" s="35"/>
    </row>
    <row r="2698" spans="77:77">
      <c r="BY2698" s="35"/>
    </row>
    <row r="2699" spans="77:77">
      <c r="BY2699" s="35"/>
    </row>
    <row r="2700" spans="77:77">
      <c r="BY2700" s="35"/>
    </row>
    <row r="2701" spans="77:77">
      <c r="BY2701" s="35"/>
    </row>
    <row r="2702" spans="77:77">
      <c r="BY2702" s="35"/>
    </row>
    <row r="2703" spans="77:77">
      <c r="BY2703" s="35"/>
    </row>
    <row r="2704" spans="77:77">
      <c r="BY2704" s="35"/>
    </row>
    <row r="2705" spans="77:77">
      <c r="BY2705" s="35"/>
    </row>
    <row r="2706" spans="77:77">
      <c r="BY2706" s="35"/>
    </row>
    <row r="2707" spans="77:77">
      <c r="BY2707" s="35"/>
    </row>
    <row r="2708" spans="77:77">
      <c r="BY2708" s="35"/>
    </row>
    <row r="2709" spans="77:77">
      <c r="BY2709" s="35"/>
    </row>
    <row r="2710" spans="77:77">
      <c r="BY2710" s="35"/>
    </row>
    <row r="2711" spans="77:77">
      <c r="BY2711" s="35"/>
    </row>
    <row r="2712" spans="77:77">
      <c r="BY2712" s="35"/>
    </row>
    <row r="2713" spans="77:77">
      <c r="BY2713" s="35"/>
    </row>
    <row r="2714" spans="77:77">
      <c r="BY2714" s="35"/>
    </row>
    <row r="2715" spans="77:77">
      <c r="BY2715" s="35"/>
    </row>
    <row r="2716" spans="77:77">
      <c r="BY2716" s="35"/>
    </row>
    <row r="2717" spans="77:77">
      <c r="BY2717" s="35"/>
    </row>
    <row r="2718" spans="77:77">
      <c r="BY2718" s="35"/>
    </row>
    <row r="2719" spans="77:77">
      <c r="BY2719" s="35"/>
    </row>
    <row r="2720" spans="77:77">
      <c r="BY2720" s="35"/>
    </row>
    <row r="2721" spans="77:77">
      <c r="BY2721" s="35"/>
    </row>
    <row r="2722" spans="77:77">
      <c r="BY2722" s="35"/>
    </row>
    <row r="2723" spans="77:77">
      <c r="BY2723" s="35"/>
    </row>
    <row r="2724" spans="77:77">
      <c r="BY2724" s="35"/>
    </row>
    <row r="2725" spans="77:77">
      <c r="BY2725" s="35"/>
    </row>
    <row r="2726" spans="77:77">
      <c r="BY2726" s="35"/>
    </row>
    <row r="2727" spans="77:77">
      <c r="BY2727" s="35"/>
    </row>
    <row r="2728" spans="77:77">
      <c r="BY2728" s="35"/>
    </row>
    <row r="2729" spans="77:77">
      <c r="BY2729" s="35"/>
    </row>
    <row r="2730" spans="77:77">
      <c r="BY2730" s="35"/>
    </row>
    <row r="2731" spans="77:77">
      <c r="BY2731" s="35"/>
    </row>
    <row r="2732" spans="77:77">
      <c r="BY2732" s="35"/>
    </row>
    <row r="2733" spans="77:77">
      <c r="BY2733" s="35"/>
    </row>
    <row r="2734" spans="77:77">
      <c r="BY2734" s="35"/>
    </row>
    <row r="2735" spans="77:77">
      <c r="BY2735" s="35"/>
    </row>
    <row r="2736" spans="77:77">
      <c r="BY2736" s="35"/>
    </row>
    <row r="2737" spans="77:77">
      <c r="BY2737" s="35"/>
    </row>
    <row r="2738" spans="77:77">
      <c r="BY2738" s="35"/>
    </row>
    <row r="2739" spans="77:77">
      <c r="BY2739" s="35"/>
    </row>
    <row r="2740" spans="77:77">
      <c r="BY2740" s="35"/>
    </row>
    <row r="2741" spans="77:77">
      <c r="BY2741" s="35"/>
    </row>
    <row r="2742" spans="77:77">
      <c r="BY2742" s="35"/>
    </row>
    <row r="2743" spans="77:77">
      <c r="BY2743" s="35"/>
    </row>
    <row r="2744" spans="77:77">
      <c r="BY2744" s="35"/>
    </row>
    <row r="2745" spans="77:77">
      <c r="BY2745" s="35"/>
    </row>
    <row r="2746" spans="77:77">
      <c r="BY2746" s="35"/>
    </row>
    <row r="2747" spans="77:77">
      <c r="BY2747" s="35"/>
    </row>
    <row r="2748" spans="77:77">
      <c r="BY2748" s="35"/>
    </row>
    <row r="2749" spans="77:77">
      <c r="BY2749" s="35"/>
    </row>
    <row r="2750" spans="77:77">
      <c r="BY2750" s="35"/>
    </row>
    <row r="2751" spans="77:77">
      <c r="BY2751" s="35"/>
    </row>
    <row r="2752" spans="77:77">
      <c r="BY2752" s="35"/>
    </row>
    <row r="2753" spans="77:77">
      <c r="BY2753" s="35"/>
    </row>
    <row r="2754" spans="77:77">
      <c r="BY2754" s="35"/>
    </row>
    <row r="2755" spans="77:77">
      <c r="BY2755" s="35"/>
    </row>
    <row r="2756" spans="77:77">
      <c r="BY2756" s="35"/>
    </row>
    <row r="2757" spans="77:77">
      <c r="BY2757" s="35"/>
    </row>
    <row r="2758" spans="77:77">
      <c r="BY2758" s="35"/>
    </row>
    <row r="2759" spans="77:77">
      <c r="BY2759" s="35"/>
    </row>
    <row r="2760" spans="77:77">
      <c r="BY2760" s="35"/>
    </row>
    <row r="2761" spans="77:77">
      <c r="BY2761" s="35"/>
    </row>
    <row r="2762" spans="77:77">
      <c r="BY2762" s="35"/>
    </row>
    <row r="2763" spans="77:77">
      <c r="BY2763" s="35"/>
    </row>
    <row r="2764" spans="77:77">
      <c r="BY2764" s="35"/>
    </row>
    <row r="2765" spans="77:77">
      <c r="BY2765" s="35"/>
    </row>
    <row r="2766" spans="77:77">
      <c r="BY2766" s="35"/>
    </row>
    <row r="2767" spans="77:77">
      <c r="BY2767" s="35"/>
    </row>
    <row r="2768" spans="77:77">
      <c r="BY2768" s="35"/>
    </row>
    <row r="2769" spans="77:77">
      <c r="BY2769" s="35"/>
    </row>
    <row r="2770" spans="77:77">
      <c r="BY2770" s="35"/>
    </row>
    <row r="2771" spans="77:77">
      <c r="BY2771" s="35"/>
    </row>
    <row r="2772" spans="77:77">
      <c r="BY2772" s="35"/>
    </row>
    <row r="2773" spans="77:77">
      <c r="BY2773" s="35"/>
    </row>
    <row r="2774" spans="77:77">
      <c r="BY2774" s="35"/>
    </row>
    <row r="2775" spans="77:77">
      <c r="BY2775" s="35"/>
    </row>
    <row r="2776" spans="77:77">
      <c r="BY2776" s="35"/>
    </row>
    <row r="2777" spans="77:77">
      <c r="BY2777" s="35"/>
    </row>
    <row r="2778" spans="77:77">
      <c r="BY2778" s="35"/>
    </row>
    <row r="2779" spans="77:77">
      <c r="BY2779" s="35"/>
    </row>
    <row r="2780" spans="77:77">
      <c r="BY2780" s="35"/>
    </row>
    <row r="2781" spans="77:77">
      <c r="BY2781" s="35"/>
    </row>
    <row r="2782" spans="77:77">
      <c r="BY2782" s="35"/>
    </row>
    <row r="2783" spans="77:77">
      <c r="BY2783" s="35"/>
    </row>
    <row r="2784" spans="77:77">
      <c r="BY2784" s="35"/>
    </row>
    <row r="2785" spans="77:77">
      <c r="BY2785" s="35"/>
    </row>
    <row r="2786" spans="77:77">
      <c r="BY2786" s="35"/>
    </row>
    <row r="2787" spans="77:77">
      <c r="BY2787" s="35"/>
    </row>
    <row r="2788" spans="77:77">
      <c r="BY2788" s="35"/>
    </row>
    <row r="2789" spans="77:77">
      <c r="BY2789" s="35"/>
    </row>
    <row r="2790" spans="77:77">
      <c r="BY2790" s="35"/>
    </row>
    <row r="2791" spans="77:77">
      <c r="BY2791" s="35"/>
    </row>
    <row r="2792" spans="77:77">
      <c r="BY2792" s="35"/>
    </row>
    <row r="2793" spans="77:77">
      <c r="BY2793" s="35"/>
    </row>
    <row r="2794" spans="77:77">
      <c r="BY2794" s="35"/>
    </row>
    <row r="2795" spans="77:77">
      <c r="BY2795" s="35"/>
    </row>
    <row r="2796" spans="77:77">
      <c r="BY2796" s="35"/>
    </row>
    <row r="2797" spans="77:77">
      <c r="BY2797" s="35"/>
    </row>
    <row r="2798" spans="77:77">
      <c r="BY2798" s="35"/>
    </row>
    <row r="2799" spans="77:77">
      <c r="BY2799" s="35"/>
    </row>
    <row r="2800" spans="77:77">
      <c r="BY2800" s="35"/>
    </row>
    <row r="2801" spans="77:77">
      <c r="BY2801" s="35"/>
    </row>
    <row r="2802" spans="77:77">
      <c r="BY2802" s="35"/>
    </row>
    <row r="2803" spans="77:77">
      <c r="BY2803" s="35"/>
    </row>
    <row r="2804" spans="77:77">
      <c r="BY2804" s="35"/>
    </row>
    <row r="2805" spans="77:77">
      <c r="BY2805" s="35"/>
    </row>
    <row r="2806" spans="77:77">
      <c r="BY2806" s="35"/>
    </row>
    <row r="2807" spans="77:77">
      <c r="BY2807" s="35"/>
    </row>
    <row r="2808" spans="77:77">
      <c r="BY2808" s="35"/>
    </row>
    <row r="2809" spans="77:77">
      <c r="BY2809" s="35"/>
    </row>
    <row r="2810" spans="77:77">
      <c r="BY2810" s="35"/>
    </row>
    <row r="2811" spans="77:77">
      <c r="BY2811" s="35"/>
    </row>
    <row r="2812" spans="77:77">
      <c r="BY2812" s="35"/>
    </row>
    <row r="2813" spans="77:77">
      <c r="BY2813" s="35"/>
    </row>
    <row r="2814" spans="77:77">
      <c r="BY2814" s="35"/>
    </row>
    <row r="2815" spans="77:77">
      <c r="BY2815" s="35"/>
    </row>
    <row r="2816" spans="77:77">
      <c r="BY2816" s="35"/>
    </row>
    <row r="2817" spans="77:77">
      <c r="BY2817" s="35"/>
    </row>
    <row r="2818" spans="77:77">
      <c r="BY2818" s="35"/>
    </row>
    <row r="2819" spans="77:77">
      <c r="BY2819" s="35"/>
    </row>
    <row r="2820" spans="77:77">
      <c r="BY2820" s="35"/>
    </row>
    <row r="2821" spans="77:77">
      <c r="BY2821" s="35"/>
    </row>
    <row r="2822" spans="77:77">
      <c r="BY2822" s="35"/>
    </row>
    <row r="2823" spans="77:77">
      <c r="BY2823" s="35"/>
    </row>
    <row r="2824" spans="77:77">
      <c r="BY2824" s="35"/>
    </row>
    <row r="2825" spans="77:77">
      <c r="BY2825" s="35"/>
    </row>
    <row r="2826" spans="77:77">
      <c r="BY2826" s="35"/>
    </row>
    <row r="2827" spans="77:77">
      <c r="BY2827" s="35"/>
    </row>
    <row r="2828" spans="77:77">
      <c r="BY2828" s="35"/>
    </row>
    <row r="2829" spans="77:77">
      <c r="BY2829" s="35"/>
    </row>
    <row r="2830" spans="77:77">
      <c r="BY2830" s="35"/>
    </row>
    <row r="2831" spans="77:77">
      <c r="BY2831" s="35"/>
    </row>
    <row r="2832" spans="77:77">
      <c r="BY2832" s="35"/>
    </row>
    <row r="2833" spans="77:77">
      <c r="BY2833" s="35"/>
    </row>
    <row r="2834" spans="77:77">
      <c r="BY2834" s="35"/>
    </row>
    <row r="2835" spans="77:77">
      <c r="BY2835" s="35"/>
    </row>
    <row r="2836" spans="77:77">
      <c r="BY2836" s="35"/>
    </row>
    <row r="2837" spans="77:77">
      <c r="BY2837" s="35"/>
    </row>
    <row r="2838" spans="77:77">
      <c r="BY2838" s="35"/>
    </row>
    <row r="2839" spans="77:77">
      <c r="BY2839" s="35"/>
    </row>
    <row r="2840" spans="77:77">
      <c r="BY2840" s="35"/>
    </row>
    <row r="2841" spans="77:77">
      <c r="BY2841" s="35"/>
    </row>
    <row r="2842" spans="77:77">
      <c r="BY2842" s="35"/>
    </row>
    <row r="2843" spans="77:77">
      <c r="BY2843" s="35"/>
    </row>
    <row r="2844" spans="77:77">
      <c r="BY2844" s="35"/>
    </row>
    <row r="2845" spans="77:77">
      <c r="BY2845" s="35"/>
    </row>
    <row r="2846" spans="77:77">
      <c r="BY2846" s="35"/>
    </row>
    <row r="2847" spans="77:77">
      <c r="BY2847" s="35"/>
    </row>
    <row r="2848" spans="77:77">
      <c r="BY2848" s="35"/>
    </row>
    <row r="2849" spans="77:77">
      <c r="BY2849" s="35"/>
    </row>
    <row r="2850" spans="77:77">
      <c r="BY2850" s="35"/>
    </row>
    <row r="2851" spans="77:77">
      <c r="BY2851" s="35"/>
    </row>
    <row r="2852" spans="77:77">
      <c r="BY2852" s="35"/>
    </row>
    <row r="2853" spans="77:77">
      <c r="BY2853" s="35"/>
    </row>
    <row r="2854" spans="77:77">
      <c r="BY2854" s="35"/>
    </row>
    <row r="2855" spans="77:77">
      <c r="BY2855" s="35"/>
    </row>
    <row r="2856" spans="77:77">
      <c r="BY2856" s="35"/>
    </row>
    <row r="2857" spans="77:77">
      <c r="BY2857" s="35"/>
    </row>
    <row r="2858" spans="77:77">
      <c r="BY2858" s="35"/>
    </row>
    <row r="2859" spans="77:77">
      <c r="BY2859" s="35"/>
    </row>
    <row r="2860" spans="77:77">
      <c r="BY2860" s="35"/>
    </row>
    <row r="2861" spans="77:77">
      <c r="BY2861" s="35"/>
    </row>
    <row r="2862" spans="77:77">
      <c r="BY2862" s="35"/>
    </row>
    <row r="2863" spans="77:77">
      <c r="BY2863" s="35"/>
    </row>
    <row r="2864" spans="77:77">
      <c r="BY2864" s="35"/>
    </row>
    <row r="2865" spans="77:77">
      <c r="BY2865" s="35"/>
    </row>
    <row r="2866" spans="77:77">
      <c r="BY2866" s="35"/>
    </row>
    <row r="2867" spans="77:77">
      <c r="BY2867" s="35"/>
    </row>
    <row r="2868" spans="77:77">
      <c r="BY2868" s="35"/>
    </row>
    <row r="2869" spans="77:77">
      <c r="BY2869" s="35"/>
    </row>
    <row r="2870" spans="77:77">
      <c r="BY2870" s="35"/>
    </row>
    <row r="2871" spans="77:77">
      <c r="BY2871" s="35"/>
    </row>
    <row r="2872" spans="77:77">
      <c r="BY2872" s="35"/>
    </row>
    <row r="2873" spans="77:77">
      <c r="BY2873" s="35"/>
    </row>
    <row r="2874" spans="77:77">
      <c r="BY2874" s="35"/>
    </row>
    <row r="2875" spans="77:77">
      <c r="BY2875" s="35"/>
    </row>
    <row r="2876" spans="77:77">
      <c r="BY2876" s="35"/>
    </row>
    <row r="2877" spans="77:77">
      <c r="BY2877" s="35"/>
    </row>
    <row r="2878" spans="77:77">
      <c r="BY2878" s="35"/>
    </row>
    <row r="2879" spans="77:77">
      <c r="BY2879" s="35"/>
    </row>
    <row r="2880" spans="77:77">
      <c r="BY2880" s="35"/>
    </row>
    <row r="2881" spans="77:77">
      <c r="BY2881" s="35"/>
    </row>
    <row r="2882" spans="77:77">
      <c r="BY2882" s="35"/>
    </row>
    <row r="2883" spans="77:77">
      <c r="BY2883" s="35"/>
    </row>
    <row r="2884" spans="77:77">
      <c r="BY2884" s="35"/>
    </row>
    <row r="2885" spans="77:77">
      <c r="BY2885" s="35"/>
    </row>
    <row r="2886" spans="77:77">
      <c r="BY2886" s="35"/>
    </row>
    <row r="2887" spans="77:77">
      <c r="BY2887" s="35"/>
    </row>
    <row r="2888" spans="77:77">
      <c r="BY2888" s="35"/>
    </row>
    <row r="2889" spans="77:77">
      <c r="BY2889" s="35"/>
    </row>
    <row r="2890" spans="77:77">
      <c r="BY2890" s="35"/>
    </row>
    <row r="2891" spans="77:77">
      <c r="BY2891" s="35"/>
    </row>
    <row r="2892" spans="77:77">
      <c r="BY2892" s="35"/>
    </row>
    <row r="2893" spans="77:77">
      <c r="BY2893" s="35"/>
    </row>
    <row r="2894" spans="77:77">
      <c r="BY2894" s="35"/>
    </row>
    <row r="2895" spans="77:77">
      <c r="BY2895" s="35"/>
    </row>
    <row r="2896" spans="77:77">
      <c r="BY2896" s="35"/>
    </row>
    <row r="2897" spans="77:77">
      <c r="BY2897" s="35"/>
    </row>
    <row r="2898" spans="77:77">
      <c r="BY2898" s="35"/>
    </row>
    <row r="2899" spans="77:77">
      <c r="BY2899" s="35"/>
    </row>
    <row r="2900" spans="77:77">
      <c r="BY2900" s="35"/>
    </row>
    <row r="2901" spans="77:77">
      <c r="BY2901" s="35"/>
    </row>
    <row r="2902" spans="77:77">
      <c r="BY2902" s="35"/>
    </row>
    <row r="2903" spans="77:77">
      <c r="BY2903" s="35"/>
    </row>
    <row r="2904" spans="77:77">
      <c r="BY2904" s="35"/>
    </row>
    <row r="2905" spans="77:77">
      <c r="BY2905" s="35"/>
    </row>
    <row r="2906" spans="77:77">
      <c r="BY2906" s="35"/>
    </row>
    <row r="2907" spans="77:77">
      <c r="BY2907" s="35"/>
    </row>
    <row r="2908" spans="77:77">
      <c r="BY2908" s="35"/>
    </row>
    <row r="2909" spans="77:77">
      <c r="BY2909" s="35"/>
    </row>
    <row r="2910" spans="77:77">
      <c r="BY2910" s="35"/>
    </row>
    <row r="2911" spans="77:77">
      <c r="BY2911" s="35"/>
    </row>
    <row r="2912" spans="77:77">
      <c r="BY2912" s="35"/>
    </row>
    <row r="2913" spans="77:77">
      <c r="BY2913" s="35"/>
    </row>
    <row r="2914" spans="77:77">
      <c r="BY2914" s="35"/>
    </row>
    <row r="2915" spans="77:77">
      <c r="BY2915" s="35"/>
    </row>
    <row r="2916" spans="77:77">
      <c r="BY2916" s="35"/>
    </row>
    <row r="2917" spans="77:77">
      <c r="BY2917" s="35"/>
    </row>
    <row r="2918" spans="77:77">
      <c r="BY2918" s="35"/>
    </row>
    <row r="2919" spans="77:77">
      <c r="BY2919" s="35"/>
    </row>
    <row r="2920" spans="77:77">
      <c r="BY2920" s="35"/>
    </row>
    <row r="2921" spans="77:77">
      <c r="BY2921" s="35"/>
    </row>
    <row r="2922" spans="77:77">
      <c r="BY2922" s="35"/>
    </row>
    <row r="2923" spans="77:77">
      <c r="BY2923" s="35"/>
    </row>
    <row r="2924" spans="77:77">
      <c r="BY2924" s="35"/>
    </row>
    <row r="2925" spans="77:77">
      <c r="BY2925" s="35"/>
    </row>
    <row r="2926" spans="77:77">
      <c r="BY2926" s="35"/>
    </row>
    <row r="2927" spans="77:77">
      <c r="BY2927" s="35"/>
    </row>
    <row r="2928" spans="77:77">
      <c r="BY2928" s="35"/>
    </row>
    <row r="2929" spans="77:77">
      <c r="BY2929" s="35"/>
    </row>
    <row r="2930" spans="77:77">
      <c r="BY2930" s="35"/>
    </row>
    <row r="2931" spans="77:77">
      <c r="BY2931" s="35"/>
    </row>
    <row r="2932" spans="77:77">
      <c r="BY2932" s="35"/>
    </row>
    <row r="2933" spans="77:77">
      <c r="BY2933" s="35"/>
    </row>
    <row r="2934" spans="77:77">
      <c r="BY2934" s="35"/>
    </row>
    <row r="2935" spans="77:77">
      <c r="BY2935" s="35"/>
    </row>
    <row r="2936" spans="77:77">
      <c r="BY2936" s="35"/>
    </row>
    <row r="2937" spans="77:77">
      <c r="BY2937" s="35"/>
    </row>
    <row r="2938" spans="77:77">
      <c r="BY2938" s="35"/>
    </row>
    <row r="2939" spans="77:77">
      <c r="BY2939" s="35"/>
    </row>
    <row r="2940" spans="77:77">
      <c r="BY2940" s="35"/>
    </row>
    <row r="2941" spans="77:77">
      <c r="BY2941" s="35"/>
    </row>
    <row r="2942" spans="77:77">
      <c r="BY2942" s="35"/>
    </row>
    <row r="2943" spans="77:77">
      <c r="BY2943" s="35"/>
    </row>
    <row r="2944" spans="77:77">
      <c r="BY2944" s="35"/>
    </row>
    <row r="2945" spans="77:77">
      <c r="BY2945" s="35"/>
    </row>
    <row r="2946" spans="77:77">
      <c r="BY2946" s="35"/>
    </row>
    <row r="2947" spans="77:77">
      <c r="BY2947" s="35"/>
    </row>
    <row r="2948" spans="77:77">
      <c r="BY2948" s="35"/>
    </row>
    <row r="2949" spans="77:77">
      <c r="BY2949" s="35"/>
    </row>
    <row r="2950" spans="77:77">
      <c r="BY2950" s="35"/>
    </row>
    <row r="2951" spans="77:77">
      <c r="BY2951" s="35"/>
    </row>
    <row r="2952" spans="77:77">
      <c r="BY2952" s="35"/>
    </row>
    <row r="2953" spans="77:77">
      <c r="BY2953" s="35"/>
    </row>
    <row r="2954" spans="77:77">
      <c r="BY2954" s="35"/>
    </row>
    <row r="2955" spans="77:77">
      <c r="BY2955" s="35"/>
    </row>
    <row r="2956" spans="77:77">
      <c r="BY2956" s="35"/>
    </row>
    <row r="2957" spans="77:77">
      <c r="BY2957" s="35"/>
    </row>
    <row r="2958" spans="77:77">
      <c r="BY2958" s="35"/>
    </row>
    <row r="2959" spans="77:77">
      <c r="BY2959" s="35"/>
    </row>
    <row r="2960" spans="77:77">
      <c r="BY2960" s="35"/>
    </row>
    <row r="2961" spans="77:77">
      <c r="BY2961" s="35"/>
    </row>
    <row r="2962" spans="77:77">
      <c r="BY2962" s="35"/>
    </row>
    <row r="2963" spans="77:77">
      <c r="BY2963" s="35"/>
    </row>
    <row r="2964" spans="77:77">
      <c r="BY2964" s="35"/>
    </row>
    <row r="2965" spans="77:77">
      <c r="BY2965" s="35"/>
    </row>
    <row r="2966" spans="77:77">
      <c r="BY2966" s="35"/>
    </row>
    <row r="2967" spans="77:77">
      <c r="BY2967" s="35"/>
    </row>
    <row r="2968" spans="77:77">
      <c r="BY2968" s="35"/>
    </row>
    <row r="2969" spans="77:77">
      <c r="BY2969" s="35"/>
    </row>
    <row r="2970" spans="77:77">
      <c r="BY2970" s="35"/>
    </row>
    <row r="2971" spans="77:77">
      <c r="BY2971" s="35"/>
    </row>
    <row r="2972" spans="77:77">
      <c r="BY2972" s="35"/>
    </row>
    <row r="2973" spans="77:77">
      <c r="BY2973" s="35"/>
    </row>
    <row r="2974" spans="77:77">
      <c r="BY2974" s="35"/>
    </row>
    <row r="2975" spans="77:77">
      <c r="BY2975" s="35"/>
    </row>
    <row r="2976" spans="77:77">
      <c r="BY2976" s="35"/>
    </row>
    <row r="2977" spans="77:77">
      <c r="BY2977" s="35"/>
    </row>
    <row r="2978" spans="77:77">
      <c r="BY2978" s="35"/>
    </row>
    <row r="2979" spans="77:77">
      <c r="BY2979" s="35"/>
    </row>
    <row r="2980" spans="77:77">
      <c r="BY2980" s="35"/>
    </row>
    <row r="2981" spans="77:77">
      <c r="BY2981" s="35"/>
    </row>
    <row r="2982" spans="77:77">
      <c r="BY2982" s="35"/>
    </row>
    <row r="2983" spans="77:77">
      <c r="BY2983" s="35"/>
    </row>
    <row r="2984" spans="77:77">
      <c r="BY2984" s="35"/>
    </row>
    <row r="2985" spans="77:77">
      <c r="BY2985" s="35"/>
    </row>
    <row r="2986" spans="77:77">
      <c r="BY2986" s="35"/>
    </row>
    <row r="2987" spans="77:77">
      <c r="BY2987" s="35"/>
    </row>
    <row r="2988" spans="77:77">
      <c r="BY2988" s="35"/>
    </row>
    <row r="2989" spans="77:77">
      <c r="BY2989" s="35"/>
    </row>
    <row r="2990" spans="77:77">
      <c r="BY2990" s="35"/>
    </row>
    <row r="2991" spans="77:77">
      <c r="BY2991" s="35"/>
    </row>
    <row r="2992" spans="77:77">
      <c r="BY2992" s="35"/>
    </row>
    <row r="2993" spans="77:77">
      <c r="BY2993" s="35"/>
    </row>
    <row r="2994" spans="77:77">
      <c r="BY2994" s="35"/>
    </row>
    <row r="2995" spans="77:77">
      <c r="BY2995" s="35"/>
    </row>
    <row r="2996" spans="77:77">
      <c r="BY2996" s="35"/>
    </row>
    <row r="2997" spans="77:77">
      <c r="BY2997" s="35"/>
    </row>
    <row r="2998" spans="77:77">
      <c r="BY2998" s="35"/>
    </row>
    <row r="2999" spans="77:77">
      <c r="BY2999" s="35"/>
    </row>
    <row r="3000" spans="77:77">
      <c r="BY3000" s="35"/>
    </row>
    <row r="3001" spans="77:77">
      <c r="BY3001" s="35"/>
    </row>
    <row r="3002" spans="77:77">
      <c r="BY3002" s="35"/>
    </row>
    <row r="3003" spans="77:77">
      <c r="BY3003" s="35"/>
    </row>
    <row r="3004" spans="77:77">
      <c r="BY3004" s="35"/>
    </row>
    <row r="3005" spans="77:77">
      <c r="BY3005" s="35"/>
    </row>
    <row r="3006" spans="77:77">
      <c r="BY3006" s="35"/>
    </row>
    <row r="3007" spans="77:77">
      <c r="BY3007" s="35"/>
    </row>
    <row r="3008" spans="77:77">
      <c r="BY3008" s="35"/>
    </row>
    <row r="3009" spans="77:77">
      <c r="BY3009" s="35"/>
    </row>
    <row r="3010" spans="77:77">
      <c r="BY3010" s="35"/>
    </row>
    <row r="3011" spans="77:77">
      <c r="BY3011" s="35"/>
    </row>
    <row r="3012" spans="77:77">
      <c r="BY3012" s="35"/>
    </row>
    <row r="3013" spans="77:77">
      <c r="BY3013" s="35"/>
    </row>
    <row r="3014" spans="77:77">
      <c r="BY3014" s="35"/>
    </row>
    <row r="3015" spans="77:77">
      <c r="BY3015" s="35"/>
    </row>
    <row r="3016" spans="77:77">
      <c r="BY3016" s="35"/>
    </row>
    <row r="3017" spans="77:77">
      <c r="BY3017" s="35"/>
    </row>
    <row r="3018" spans="77:77">
      <c r="BY3018" s="35"/>
    </row>
    <row r="3019" spans="77:77">
      <c r="BY3019" s="35"/>
    </row>
    <row r="3020" spans="77:77">
      <c r="BY3020" s="35"/>
    </row>
    <row r="3021" spans="77:77">
      <c r="BY3021" s="35"/>
    </row>
    <row r="3022" spans="77:77">
      <c r="BY3022" s="35"/>
    </row>
    <row r="3023" spans="77:77">
      <c r="BY3023" s="35"/>
    </row>
    <row r="3024" spans="77:77">
      <c r="BY3024" s="35"/>
    </row>
    <row r="3025" spans="77:77">
      <c r="BY3025" s="35"/>
    </row>
    <row r="3026" spans="77:77">
      <c r="BY3026" s="35"/>
    </row>
    <row r="3027" spans="77:77">
      <c r="BY3027" s="35"/>
    </row>
    <row r="3028" spans="77:77">
      <c r="BY3028" s="35"/>
    </row>
    <row r="3029" spans="77:77">
      <c r="BY3029" s="35"/>
    </row>
    <row r="3030" spans="77:77">
      <c r="BY3030" s="35"/>
    </row>
    <row r="3031" spans="77:77">
      <c r="BY3031" s="35"/>
    </row>
    <row r="3032" spans="77:77">
      <c r="BY3032" s="35"/>
    </row>
    <row r="3033" spans="77:77">
      <c r="BY3033" s="35"/>
    </row>
    <row r="3034" spans="77:77">
      <c r="BY3034" s="35"/>
    </row>
    <row r="3035" spans="77:77">
      <c r="BY3035" s="35"/>
    </row>
    <row r="3036" spans="77:77">
      <c r="BY3036" s="35"/>
    </row>
    <row r="3037" spans="77:77">
      <c r="BY3037" s="35"/>
    </row>
    <row r="3038" spans="77:77">
      <c r="BY3038" s="35"/>
    </row>
    <row r="3039" spans="77:77">
      <c r="BY3039" s="35"/>
    </row>
    <row r="3040" spans="77:77">
      <c r="BY3040" s="35"/>
    </row>
    <row r="3041" spans="77:77">
      <c r="BY3041" s="35"/>
    </row>
    <row r="3042" spans="77:77">
      <c r="BY3042" s="35"/>
    </row>
    <row r="3043" spans="77:77">
      <c r="BY3043" s="35"/>
    </row>
    <row r="3044" spans="77:77">
      <c r="BY3044" s="35"/>
    </row>
    <row r="3045" spans="77:77">
      <c r="BY3045" s="35"/>
    </row>
    <row r="3046" spans="77:77">
      <c r="BY3046" s="35"/>
    </row>
    <row r="3047" spans="77:77">
      <c r="BY3047" s="35"/>
    </row>
    <row r="3048" spans="77:77">
      <c r="BY3048" s="35"/>
    </row>
    <row r="3049" spans="77:77">
      <c r="BY3049" s="35"/>
    </row>
    <row r="3050" spans="77:77">
      <c r="BY3050" s="35"/>
    </row>
    <row r="3051" spans="77:77">
      <c r="BY3051" s="35"/>
    </row>
    <row r="3052" spans="77:77">
      <c r="BY3052" s="35"/>
    </row>
    <row r="3053" spans="77:77">
      <c r="BY3053" s="35"/>
    </row>
    <row r="3054" spans="77:77">
      <c r="BY3054" s="35"/>
    </row>
    <row r="3055" spans="77:77">
      <c r="BY3055" s="35"/>
    </row>
    <row r="3056" spans="77:77">
      <c r="BY3056" s="35"/>
    </row>
    <row r="3057" spans="77:77">
      <c r="BY3057" s="35"/>
    </row>
    <row r="3058" spans="77:77">
      <c r="BY3058" s="35"/>
    </row>
    <row r="3059" spans="77:77">
      <c r="BY3059" s="35"/>
    </row>
    <row r="3060" spans="77:77">
      <c r="BY3060" s="35"/>
    </row>
    <row r="3061" spans="77:77">
      <c r="BY3061" s="35"/>
    </row>
    <row r="3062" spans="77:77">
      <c r="BY3062" s="35"/>
    </row>
    <row r="3063" spans="77:77">
      <c r="BY3063" s="35"/>
    </row>
    <row r="3064" spans="77:77">
      <c r="BY3064" s="35"/>
    </row>
    <row r="3065" spans="77:77">
      <c r="BY3065" s="35"/>
    </row>
    <row r="3066" spans="77:77">
      <c r="BY3066" s="35"/>
    </row>
    <row r="3067" spans="77:77">
      <c r="BY3067" s="35"/>
    </row>
    <row r="3068" spans="77:77">
      <c r="BY3068" s="35"/>
    </row>
    <row r="3069" spans="77:77">
      <c r="BY3069" s="35"/>
    </row>
    <row r="3070" spans="77:77">
      <c r="BY3070" s="35"/>
    </row>
    <row r="3071" spans="77:77">
      <c r="BY3071" s="35"/>
    </row>
    <row r="3072" spans="77:77">
      <c r="BY3072" s="35"/>
    </row>
    <row r="3073" spans="77:77">
      <c r="BY3073" s="35"/>
    </row>
    <row r="3074" spans="77:77">
      <c r="BY3074" s="35"/>
    </row>
    <row r="3075" spans="77:77">
      <c r="BY3075" s="35"/>
    </row>
    <row r="3076" spans="77:77">
      <c r="BY3076" s="35"/>
    </row>
    <row r="3077" spans="77:77">
      <c r="BY3077" s="35"/>
    </row>
    <row r="3078" spans="77:77">
      <c r="BY3078" s="35"/>
    </row>
    <row r="3079" spans="77:77">
      <c r="BY3079" s="35"/>
    </row>
    <row r="3080" spans="77:77">
      <c r="BY3080" s="35"/>
    </row>
    <row r="3081" spans="77:77">
      <c r="BY3081" s="35"/>
    </row>
    <row r="3082" spans="77:77">
      <c r="BY3082" s="35"/>
    </row>
    <row r="3083" spans="77:77">
      <c r="BY3083" s="35"/>
    </row>
    <row r="3084" spans="77:77">
      <c r="BY3084" s="35"/>
    </row>
    <row r="3085" spans="77:77">
      <c r="BY3085" s="35"/>
    </row>
    <row r="3086" spans="77:77">
      <c r="BY3086" s="35"/>
    </row>
    <row r="3087" spans="77:77">
      <c r="BY3087" s="35"/>
    </row>
    <row r="3088" spans="77:77">
      <c r="BY3088" s="35"/>
    </row>
    <row r="3089" spans="77:77">
      <c r="BY3089" s="35"/>
    </row>
    <row r="3090" spans="77:77">
      <c r="BY3090" s="35"/>
    </row>
    <row r="3091" spans="77:77">
      <c r="BY3091" s="35"/>
    </row>
    <row r="3092" spans="77:77">
      <c r="BY3092" s="35"/>
    </row>
    <row r="3093" spans="77:77">
      <c r="BY3093" s="35"/>
    </row>
    <row r="3094" spans="77:77">
      <c r="BY3094" s="35"/>
    </row>
    <row r="3095" spans="77:77">
      <c r="BY3095" s="35"/>
    </row>
    <row r="3096" spans="77:77">
      <c r="BY3096" s="35"/>
    </row>
    <row r="3097" spans="77:77">
      <c r="BY3097" s="35"/>
    </row>
    <row r="3098" spans="77:77">
      <c r="BY3098" s="35"/>
    </row>
    <row r="3099" spans="77:77">
      <c r="BY3099" s="35"/>
    </row>
    <row r="3100" spans="77:77">
      <c r="BY3100" s="35"/>
    </row>
    <row r="3101" spans="77:77">
      <c r="BY3101" s="35"/>
    </row>
    <row r="3102" spans="77:77">
      <c r="BY3102" s="35"/>
    </row>
    <row r="3103" spans="77:77">
      <c r="BY3103" s="35"/>
    </row>
    <row r="3104" spans="77:77">
      <c r="BY3104" s="35"/>
    </row>
    <row r="3105" spans="77:77">
      <c r="BY3105" s="35"/>
    </row>
    <row r="3106" spans="77:77">
      <c r="BY3106" s="35"/>
    </row>
    <row r="3107" spans="77:77">
      <c r="BY3107" s="35"/>
    </row>
    <row r="3108" spans="77:77">
      <c r="BY3108" s="35"/>
    </row>
    <row r="3109" spans="77:77">
      <c r="BY3109" s="35"/>
    </row>
    <row r="3110" spans="77:77">
      <c r="BY3110" s="35"/>
    </row>
    <row r="3111" spans="77:77">
      <c r="BY3111" s="35"/>
    </row>
    <row r="3112" spans="77:77">
      <c r="BY3112" s="35"/>
    </row>
    <row r="3113" spans="77:77">
      <c r="BY3113" s="35"/>
    </row>
    <row r="3114" spans="77:77">
      <c r="BY3114" s="35"/>
    </row>
    <row r="3115" spans="77:77">
      <c r="BY3115" s="35"/>
    </row>
    <row r="3116" spans="77:77">
      <c r="BY3116" s="35"/>
    </row>
    <row r="3117" spans="77:77">
      <c r="BY3117" s="35"/>
    </row>
    <row r="3118" spans="77:77">
      <c r="BY3118" s="35"/>
    </row>
    <row r="3119" spans="77:77">
      <c r="BY3119" s="35"/>
    </row>
    <row r="3120" spans="77:77">
      <c r="BY3120" s="35"/>
    </row>
    <row r="3121" spans="77:77">
      <c r="BY3121" s="35"/>
    </row>
    <row r="3122" spans="77:77">
      <c r="BY3122" s="35"/>
    </row>
    <row r="3123" spans="77:77">
      <c r="BY3123" s="35"/>
    </row>
    <row r="3124" spans="77:77">
      <c r="BY3124" s="35"/>
    </row>
    <row r="3125" spans="77:77">
      <c r="BY3125" s="35"/>
    </row>
    <row r="3126" spans="77:77">
      <c r="BY3126" s="35"/>
    </row>
    <row r="3127" spans="77:77">
      <c r="BY3127" s="35"/>
    </row>
    <row r="3128" spans="77:77">
      <c r="BY3128" s="35"/>
    </row>
    <row r="3129" spans="77:77">
      <c r="BY3129" s="35"/>
    </row>
    <row r="3130" spans="77:77">
      <c r="BY3130" s="35"/>
    </row>
    <row r="3131" spans="77:77">
      <c r="BY3131" s="35"/>
    </row>
    <row r="3132" spans="77:77">
      <c r="BY3132" s="35"/>
    </row>
    <row r="3133" spans="77:77">
      <c r="BY3133" s="35"/>
    </row>
    <row r="3134" spans="77:77">
      <c r="BY3134" s="35"/>
    </row>
    <row r="3135" spans="77:77">
      <c r="BY3135" s="35"/>
    </row>
    <row r="3136" spans="77:77">
      <c r="BY3136" s="35"/>
    </row>
    <row r="3137" spans="77:77">
      <c r="BY3137" s="35"/>
    </row>
    <row r="3138" spans="77:77">
      <c r="BY3138" s="35"/>
    </row>
    <row r="3139" spans="77:77">
      <c r="BY3139" s="35"/>
    </row>
    <row r="3140" spans="77:77">
      <c r="BY3140" s="35"/>
    </row>
    <row r="3141" spans="77:77">
      <c r="BY3141" s="35"/>
    </row>
    <row r="3142" spans="77:77">
      <c r="BY3142" s="35"/>
    </row>
    <row r="3143" spans="77:77">
      <c r="BY3143" s="35"/>
    </row>
    <row r="3144" spans="77:77">
      <c r="BY3144" s="35"/>
    </row>
    <row r="3145" spans="77:77">
      <c r="BY3145" s="35"/>
    </row>
    <row r="3146" spans="77:77">
      <c r="BY3146" s="35"/>
    </row>
    <row r="3147" spans="77:77">
      <c r="BY3147" s="35"/>
    </row>
    <row r="3148" spans="77:77">
      <c r="BY3148" s="35"/>
    </row>
    <row r="3149" spans="77:77">
      <c r="BY3149" s="35"/>
    </row>
    <row r="3150" spans="77:77">
      <c r="BY3150" s="35"/>
    </row>
    <row r="3151" spans="77:77">
      <c r="BY3151" s="35"/>
    </row>
    <row r="3152" spans="77:77">
      <c r="BY3152" s="35"/>
    </row>
    <row r="3153" spans="77:77">
      <c r="BY3153" s="35"/>
    </row>
    <row r="3154" spans="77:77">
      <c r="BY3154" s="35"/>
    </row>
    <row r="3155" spans="77:77">
      <c r="BY3155" s="35"/>
    </row>
    <row r="3156" spans="77:77">
      <c r="BY3156" s="35"/>
    </row>
    <row r="3157" spans="77:77">
      <c r="BY3157" s="35"/>
    </row>
    <row r="3158" spans="77:77">
      <c r="BY3158" s="35"/>
    </row>
    <row r="3159" spans="77:77">
      <c r="BY3159" s="35"/>
    </row>
    <row r="3160" spans="77:77">
      <c r="BY3160" s="35"/>
    </row>
    <row r="3161" spans="77:77">
      <c r="BY3161" s="35"/>
    </row>
    <row r="3162" spans="77:77">
      <c r="BY3162" s="35"/>
    </row>
    <row r="3163" spans="77:77">
      <c r="BY3163" s="35"/>
    </row>
    <row r="3164" spans="77:77">
      <c r="BY3164" s="35"/>
    </row>
    <row r="3165" spans="77:77">
      <c r="BY3165" s="35"/>
    </row>
    <row r="3166" spans="77:77">
      <c r="BY3166" s="35"/>
    </row>
    <row r="3167" spans="77:77">
      <c r="BY3167" s="35"/>
    </row>
    <row r="3168" spans="77:77">
      <c r="BY3168" s="35"/>
    </row>
    <row r="3169" spans="77:77">
      <c r="BY3169" s="35"/>
    </row>
    <row r="3170" spans="77:77">
      <c r="BY3170" s="35"/>
    </row>
    <row r="3171" spans="77:77">
      <c r="BY3171" s="35"/>
    </row>
    <row r="3172" spans="77:77">
      <c r="BY3172" s="35"/>
    </row>
    <row r="3173" spans="77:77">
      <c r="BY3173" s="35"/>
    </row>
    <row r="3174" spans="77:77">
      <c r="BY3174" s="35"/>
    </row>
    <row r="3175" spans="77:77">
      <c r="BY3175" s="35"/>
    </row>
    <row r="3176" spans="77:77">
      <c r="BY3176" s="35"/>
    </row>
    <row r="3177" spans="77:77">
      <c r="BY3177" s="35"/>
    </row>
    <row r="3178" spans="77:77">
      <c r="BY3178" s="35"/>
    </row>
    <row r="3179" spans="77:77">
      <c r="BY3179" s="35"/>
    </row>
    <row r="3180" spans="77:77">
      <c r="BY3180" s="35"/>
    </row>
    <row r="3181" spans="77:77">
      <c r="BY3181" s="35"/>
    </row>
    <row r="3182" spans="77:77">
      <c r="BY3182" s="35"/>
    </row>
    <row r="3183" spans="77:77">
      <c r="BY3183" s="35"/>
    </row>
    <row r="3184" spans="77:77">
      <c r="BY3184" s="35"/>
    </row>
    <row r="3185" spans="77:77">
      <c r="BY3185" s="35"/>
    </row>
    <row r="3186" spans="77:77">
      <c r="BY3186" s="35"/>
    </row>
    <row r="3187" spans="77:77">
      <c r="BY3187" s="35"/>
    </row>
    <row r="3188" spans="77:77">
      <c r="BY3188" s="35"/>
    </row>
    <row r="3189" spans="77:77">
      <c r="BY3189" s="35"/>
    </row>
    <row r="3190" spans="77:77">
      <c r="BY3190" s="35"/>
    </row>
    <row r="3191" spans="77:77">
      <c r="BY3191" s="35"/>
    </row>
    <row r="3192" spans="77:77">
      <c r="BY3192" s="35"/>
    </row>
    <row r="3193" spans="77:77">
      <c r="BY3193" s="35"/>
    </row>
    <row r="3194" spans="77:77">
      <c r="BY3194" s="35"/>
    </row>
    <row r="3195" spans="77:77">
      <c r="BY3195" s="35"/>
    </row>
    <row r="3196" spans="77:77">
      <c r="BY3196" s="35"/>
    </row>
    <row r="3197" spans="77:77">
      <c r="BY3197" s="35"/>
    </row>
    <row r="3198" spans="77:77">
      <c r="BY3198" s="35"/>
    </row>
    <row r="3199" spans="77:77">
      <c r="BY3199" s="35"/>
    </row>
    <row r="3200" spans="77:77">
      <c r="BY3200" s="35"/>
    </row>
    <row r="3201" spans="77:77">
      <c r="BY3201" s="35"/>
    </row>
    <row r="3202" spans="77:77">
      <c r="BY3202" s="35"/>
    </row>
    <row r="3203" spans="77:77">
      <c r="BY3203" s="35"/>
    </row>
    <row r="3204" spans="77:77">
      <c r="BY3204" s="35"/>
    </row>
    <row r="3205" spans="77:77">
      <c r="BY3205" s="35"/>
    </row>
    <row r="3206" spans="77:77">
      <c r="BY3206" s="35"/>
    </row>
    <row r="3207" spans="77:77">
      <c r="BY3207" s="35"/>
    </row>
    <row r="3208" spans="77:77">
      <c r="BY3208" s="35"/>
    </row>
    <row r="3209" spans="77:77">
      <c r="BY3209" s="35"/>
    </row>
    <row r="3210" spans="77:77">
      <c r="BY3210" s="35"/>
    </row>
    <row r="3211" spans="77:77">
      <c r="BY3211" s="35"/>
    </row>
    <row r="3212" spans="77:77">
      <c r="BY3212" s="35"/>
    </row>
    <row r="3213" spans="77:77">
      <c r="BY3213" s="35"/>
    </row>
    <row r="3214" spans="77:77">
      <c r="BY3214" s="35"/>
    </row>
    <row r="3215" spans="77:77">
      <c r="BY3215" s="35"/>
    </row>
    <row r="3216" spans="77:77">
      <c r="BY3216" s="35"/>
    </row>
    <row r="3217" spans="77:77">
      <c r="BY3217" s="35"/>
    </row>
    <row r="3218" spans="77:77">
      <c r="BY3218" s="35"/>
    </row>
    <row r="3219" spans="77:77">
      <c r="BY3219" s="35"/>
    </row>
    <row r="3220" spans="77:77">
      <c r="BY3220" s="35"/>
    </row>
    <row r="3221" spans="77:77">
      <c r="BY3221" s="35"/>
    </row>
    <row r="3222" spans="77:77">
      <c r="BY3222" s="35"/>
    </row>
    <row r="3223" spans="77:77">
      <c r="BY3223" s="35"/>
    </row>
    <row r="3224" spans="77:77">
      <c r="BY3224" s="35"/>
    </row>
    <row r="3225" spans="77:77">
      <c r="BY3225" s="35"/>
    </row>
    <row r="3226" spans="77:77">
      <c r="BY3226" s="35"/>
    </row>
    <row r="3227" spans="77:77">
      <c r="BY3227" s="35"/>
    </row>
    <row r="3228" spans="77:77">
      <c r="BY3228" s="35"/>
    </row>
    <row r="3229" spans="77:77">
      <c r="BY3229" s="35"/>
    </row>
    <row r="3230" spans="77:77">
      <c r="BY3230" s="35"/>
    </row>
    <row r="3231" spans="77:77">
      <c r="BY3231" s="35"/>
    </row>
    <row r="3232" spans="77:77">
      <c r="BY3232" s="35"/>
    </row>
    <row r="3233" spans="77:77">
      <c r="BY3233" s="35"/>
    </row>
    <row r="3234" spans="77:77">
      <c r="BY3234" s="35"/>
    </row>
    <row r="3235" spans="77:77">
      <c r="BY3235" s="35"/>
    </row>
    <row r="3236" spans="77:77">
      <c r="BY3236" s="35"/>
    </row>
    <row r="3237" spans="77:77">
      <c r="BY3237" s="35"/>
    </row>
    <row r="3238" spans="77:77">
      <c r="BY3238" s="35"/>
    </row>
    <row r="3239" spans="77:77">
      <c r="BY3239" s="35"/>
    </row>
    <row r="3240" spans="77:77">
      <c r="BY3240" s="35"/>
    </row>
    <row r="3241" spans="77:77">
      <c r="BY3241" s="35"/>
    </row>
    <row r="3242" spans="77:77">
      <c r="BY3242" s="35"/>
    </row>
    <row r="3243" spans="77:77">
      <c r="BY3243" s="35"/>
    </row>
    <row r="3244" spans="77:77">
      <c r="BY3244" s="35"/>
    </row>
    <row r="3245" spans="77:77">
      <c r="BY3245" s="35"/>
    </row>
    <row r="3246" spans="77:77">
      <c r="BY3246" s="35"/>
    </row>
    <row r="3247" spans="77:77">
      <c r="BY3247" s="35"/>
    </row>
    <row r="3248" spans="77:77">
      <c r="BY3248" s="35"/>
    </row>
    <row r="3249" spans="77:77">
      <c r="BY3249" s="35"/>
    </row>
    <row r="3250" spans="77:77">
      <c r="BY3250" s="35"/>
    </row>
    <row r="3251" spans="77:77">
      <c r="BY3251" s="35"/>
    </row>
    <row r="3252" spans="77:77">
      <c r="BY3252" s="35"/>
    </row>
    <row r="3253" spans="77:77">
      <c r="BY3253" s="35"/>
    </row>
    <row r="3254" spans="77:77">
      <c r="BY3254" s="35"/>
    </row>
    <row r="3255" spans="77:77">
      <c r="BY3255" s="35"/>
    </row>
    <row r="3256" spans="77:77">
      <c r="BY3256" s="35"/>
    </row>
    <row r="3257" spans="77:77">
      <c r="BY3257" s="35"/>
    </row>
    <row r="3258" spans="77:77">
      <c r="BY3258" s="35"/>
    </row>
    <row r="3259" spans="77:77">
      <c r="BY3259" s="35"/>
    </row>
    <row r="3260" spans="77:77">
      <c r="BY3260" s="35"/>
    </row>
    <row r="3261" spans="77:77">
      <c r="BY3261" s="35"/>
    </row>
    <row r="3262" spans="77:77">
      <c r="BY3262" s="35"/>
    </row>
    <row r="3263" spans="77:77">
      <c r="BY3263" s="35"/>
    </row>
    <row r="3264" spans="77:77">
      <c r="BY3264" s="35"/>
    </row>
    <row r="3265" spans="77:77">
      <c r="BY3265" s="35"/>
    </row>
    <row r="3266" spans="77:77">
      <c r="BY3266" s="35"/>
    </row>
    <row r="3267" spans="77:77">
      <c r="BY3267" s="35"/>
    </row>
    <row r="3268" spans="77:77">
      <c r="BY3268" s="35"/>
    </row>
    <row r="3269" spans="77:77">
      <c r="BY3269" s="35"/>
    </row>
    <row r="3270" spans="77:77">
      <c r="BY3270" s="35"/>
    </row>
    <row r="3271" spans="77:77">
      <c r="BY3271" s="35"/>
    </row>
    <row r="3272" spans="77:77">
      <c r="BY3272" s="35"/>
    </row>
    <row r="3273" spans="77:77">
      <c r="BY3273" s="35"/>
    </row>
    <row r="3274" spans="77:77">
      <c r="BY3274" s="35"/>
    </row>
    <row r="3275" spans="77:77">
      <c r="BY3275" s="35"/>
    </row>
    <row r="3276" spans="77:77">
      <c r="BY3276" s="35"/>
    </row>
    <row r="3277" spans="77:77">
      <c r="BY3277" s="35"/>
    </row>
    <row r="3278" spans="77:77">
      <c r="BY3278" s="35"/>
    </row>
    <row r="3279" spans="77:77">
      <c r="BY3279" s="35"/>
    </row>
    <row r="3280" spans="77:77">
      <c r="BY3280" s="35"/>
    </row>
    <row r="3281" spans="77:77">
      <c r="BY3281" s="35"/>
    </row>
    <row r="3282" spans="77:77">
      <c r="BY3282" s="35"/>
    </row>
    <row r="3283" spans="77:77">
      <c r="BY3283" s="35"/>
    </row>
    <row r="3284" spans="77:77">
      <c r="BY3284" s="35"/>
    </row>
    <row r="3285" spans="77:77">
      <c r="BY3285" s="35"/>
    </row>
    <row r="3286" spans="77:77">
      <c r="BY3286" s="35"/>
    </row>
    <row r="3287" spans="77:77">
      <c r="BY3287" s="35"/>
    </row>
    <row r="3288" spans="77:77">
      <c r="BY3288" s="35"/>
    </row>
    <row r="3289" spans="77:77">
      <c r="BY3289" s="35"/>
    </row>
    <row r="3290" spans="77:77">
      <c r="BY3290" s="35"/>
    </row>
    <row r="3291" spans="77:77">
      <c r="BY3291" s="35"/>
    </row>
    <row r="3292" spans="77:77">
      <c r="BY3292" s="35"/>
    </row>
    <row r="3293" spans="77:77">
      <c r="BY3293" s="35"/>
    </row>
    <row r="3294" spans="77:77">
      <c r="BY3294" s="35"/>
    </row>
    <row r="3295" spans="77:77">
      <c r="BY3295" s="35"/>
    </row>
    <row r="3296" spans="77:77">
      <c r="BY3296" s="35"/>
    </row>
    <row r="3297" spans="77:77">
      <c r="BY3297" s="35"/>
    </row>
    <row r="3298" spans="77:77">
      <c r="BY3298" s="35"/>
    </row>
    <row r="3299" spans="77:77">
      <c r="BY3299" s="35"/>
    </row>
    <row r="3300" spans="77:77">
      <c r="BY3300" s="35"/>
    </row>
    <row r="3301" spans="77:77">
      <c r="BY3301" s="35"/>
    </row>
    <row r="3302" spans="77:77">
      <c r="BY3302" s="35"/>
    </row>
    <row r="3303" spans="77:77">
      <c r="BY3303" s="35"/>
    </row>
    <row r="3304" spans="77:77">
      <c r="BY3304" s="35"/>
    </row>
    <row r="3305" spans="77:77">
      <c r="BY3305" s="35"/>
    </row>
    <row r="3306" spans="77:77">
      <c r="BY3306" s="35"/>
    </row>
    <row r="3307" spans="77:77">
      <c r="BY3307" s="35"/>
    </row>
    <row r="3308" spans="77:77">
      <c r="BY3308" s="35"/>
    </row>
    <row r="3309" spans="77:77">
      <c r="BY3309" s="35"/>
    </row>
    <row r="3310" spans="77:77">
      <c r="BY3310" s="35"/>
    </row>
    <row r="3311" spans="77:77">
      <c r="BY3311" s="35"/>
    </row>
    <row r="3312" spans="77:77">
      <c r="BY3312" s="35"/>
    </row>
    <row r="3313" spans="77:77">
      <c r="BY3313" s="35"/>
    </row>
    <row r="3314" spans="77:77">
      <c r="BY3314" s="35"/>
    </row>
    <row r="3315" spans="77:77">
      <c r="BY3315" s="35"/>
    </row>
    <row r="3316" spans="77:77">
      <c r="BY3316" s="35"/>
    </row>
    <row r="3317" spans="77:77">
      <c r="BY3317" s="35"/>
    </row>
    <row r="3318" spans="77:77">
      <c r="BY3318" s="35"/>
    </row>
    <row r="3319" spans="77:77">
      <c r="BY3319" s="35"/>
    </row>
    <row r="3320" spans="77:77">
      <c r="BY3320" s="35"/>
    </row>
    <row r="3321" spans="77:77">
      <c r="BY3321" s="35"/>
    </row>
    <row r="3322" spans="77:77">
      <c r="BY3322" s="35"/>
    </row>
    <row r="3323" spans="77:77">
      <c r="BY3323" s="35"/>
    </row>
    <row r="3324" spans="77:77">
      <c r="BY3324" s="35"/>
    </row>
    <row r="3325" spans="77:77">
      <c r="BY3325" s="35"/>
    </row>
    <row r="3326" spans="77:77">
      <c r="BY3326" s="35"/>
    </row>
    <row r="3327" spans="77:77">
      <c r="BY3327" s="35"/>
    </row>
    <row r="3328" spans="77:77">
      <c r="BY3328" s="35"/>
    </row>
    <row r="3329" spans="77:77">
      <c r="BY3329" s="35"/>
    </row>
    <row r="3330" spans="77:77">
      <c r="BY3330" s="35"/>
    </row>
    <row r="3331" spans="77:77">
      <c r="BY3331" s="35"/>
    </row>
    <row r="3332" spans="77:77">
      <c r="BY3332" s="35"/>
    </row>
    <row r="3333" spans="77:77">
      <c r="BY3333" s="35"/>
    </row>
    <row r="3334" spans="77:77">
      <c r="BY3334" s="35"/>
    </row>
    <row r="3335" spans="77:77">
      <c r="BY3335" s="35"/>
    </row>
    <row r="3336" spans="77:77">
      <c r="BY3336" s="35"/>
    </row>
    <row r="3337" spans="77:77">
      <c r="BY3337" s="35"/>
    </row>
    <row r="3338" spans="77:77">
      <c r="BY3338" s="35"/>
    </row>
    <row r="3339" spans="77:77">
      <c r="BY3339" s="35"/>
    </row>
    <row r="3340" spans="77:77">
      <c r="BY3340" s="35"/>
    </row>
    <row r="3341" spans="77:77">
      <c r="BY3341" s="35"/>
    </row>
    <row r="3342" spans="77:77">
      <c r="BY3342" s="35"/>
    </row>
    <row r="3343" spans="77:77">
      <c r="BY3343" s="35"/>
    </row>
    <row r="3344" spans="77:77">
      <c r="BY3344" s="35"/>
    </row>
    <row r="3345" spans="77:77">
      <c r="BY3345" s="35"/>
    </row>
    <row r="3346" spans="77:77">
      <c r="BY3346" s="35"/>
    </row>
    <row r="3347" spans="77:77">
      <c r="BY3347" s="35"/>
    </row>
    <row r="3348" spans="77:77">
      <c r="BY3348" s="35"/>
    </row>
    <row r="3349" spans="77:77">
      <c r="BY3349" s="35"/>
    </row>
    <row r="3350" spans="77:77">
      <c r="BY3350" s="35"/>
    </row>
    <row r="3351" spans="77:77">
      <c r="BY3351" s="35"/>
    </row>
    <row r="3352" spans="77:77">
      <c r="BY3352" s="35"/>
    </row>
    <row r="3353" spans="77:77">
      <c r="BY3353" s="35"/>
    </row>
    <row r="3354" spans="77:77">
      <c r="BY3354" s="35"/>
    </row>
    <row r="3355" spans="77:77">
      <c r="BY3355" s="35"/>
    </row>
    <row r="3356" spans="77:77">
      <c r="BY3356" s="35"/>
    </row>
    <row r="3357" spans="77:77">
      <c r="BY3357" s="35"/>
    </row>
    <row r="3358" spans="77:77">
      <c r="BY3358" s="35"/>
    </row>
    <row r="3359" spans="77:77">
      <c r="BY3359" s="35"/>
    </row>
    <row r="3360" spans="77:77">
      <c r="BY3360" s="35"/>
    </row>
    <row r="3361" spans="77:77">
      <c r="BY3361" s="35"/>
    </row>
    <row r="3362" spans="77:77">
      <c r="BY3362" s="35"/>
    </row>
    <row r="3363" spans="77:77">
      <c r="BY3363" s="35"/>
    </row>
    <row r="3364" spans="77:77">
      <c r="BY3364" s="35"/>
    </row>
    <row r="3365" spans="77:77">
      <c r="BY3365" s="35"/>
    </row>
    <row r="3366" spans="77:77">
      <c r="BY3366" s="35"/>
    </row>
    <row r="3367" spans="77:77">
      <c r="BY3367" s="35"/>
    </row>
    <row r="3368" spans="77:77">
      <c r="BY3368" s="35"/>
    </row>
    <row r="3369" spans="77:77">
      <c r="BY3369" s="35"/>
    </row>
    <row r="3370" spans="77:77">
      <c r="BY3370" s="35"/>
    </row>
    <row r="3371" spans="77:77">
      <c r="BY3371" s="35"/>
    </row>
    <row r="3372" spans="77:77">
      <c r="BY3372" s="35"/>
    </row>
    <row r="3373" spans="77:77">
      <c r="BY3373" s="35"/>
    </row>
    <row r="3374" spans="77:77">
      <c r="BY3374" s="35"/>
    </row>
    <row r="3375" spans="77:77">
      <c r="BY3375" s="35"/>
    </row>
    <row r="3376" spans="77:77">
      <c r="BY3376" s="35"/>
    </row>
    <row r="3377" spans="77:77">
      <c r="BY3377" s="35"/>
    </row>
    <row r="3378" spans="77:77">
      <c r="BY3378" s="35"/>
    </row>
    <row r="3379" spans="77:77">
      <c r="BY3379" s="35"/>
    </row>
    <row r="3380" spans="77:77">
      <c r="BY3380" s="35"/>
    </row>
    <row r="3381" spans="77:77">
      <c r="BY3381" s="35"/>
    </row>
    <row r="3382" spans="77:77">
      <c r="BY3382" s="35"/>
    </row>
    <row r="3383" spans="77:77">
      <c r="BY3383" s="35"/>
    </row>
    <row r="3384" spans="77:77">
      <c r="BY3384" s="35"/>
    </row>
    <row r="3385" spans="77:77">
      <c r="BY3385" s="35"/>
    </row>
    <row r="3386" spans="77:77">
      <c r="BY3386" s="35"/>
    </row>
    <row r="3387" spans="77:77">
      <c r="BY3387" s="35"/>
    </row>
    <row r="3388" spans="77:77">
      <c r="BY3388" s="35"/>
    </row>
    <row r="3389" spans="77:77">
      <c r="BY3389" s="35"/>
    </row>
    <row r="3390" spans="77:77">
      <c r="BY3390" s="35"/>
    </row>
    <row r="3391" spans="77:77">
      <c r="BY3391" s="35"/>
    </row>
    <row r="3392" spans="77:77">
      <c r="BY3392" s="35"/>
    </row>
    <row r="3393" spans="77:77">
      <c r="BY3393" s="35"/>
    </row>
    <row r="3394" spans="77:77">
      <c r="BY3394" s="35"/>
    </row>
    <row r="3395" spans="77:77">
      <c r="BY3395" s="35"/>
    </row>
    <row r="3396" spans="77:77">
      <c r="BY3396" s="35"/>
    </row>
    <row r="3397" spans="77:77">
      <c r="BY3397" s="35"/>
    </row>
    <row r="3398" spans="77:77">
      <c r="BY3398" s="35"/>
    </row>
    <row r="3399" spans="77:77">
      <c r="BY3399" s="35"/>
    </row>
    <row r="3400" spans="77:77">
      <c r="BY3400" s="35"/>
    </row>
    <row r="3401" spans="77:77">
      <c r="BY3401" s="35"/>
    </row>
    <row r="3402" spans="77:77">
      <c r="BY3402" s="35"/>
    </row>
    <row r="3403" spans="77:77">
      <c r="BY3403" s="35"/>
    </row>
    <row r="3404" spans="77:77">
      <c r="BY3404" s="35"/>
    </row>
    <row r="3405" spans="77:77">
      <c r="BY3405" s="35"/>
    </row>
    <row r="3406" spans="77:77">
      <c r="BY3406" s="35"/>
    </row>
    <row r="3407" spans="77:77">
      <c r="BY3407" s="35"/>
    </row>
    <row r="3408" spans="77:77">
      <c r="BY3408" s="35"/>
    </row>
    <row r="3409" spans="77:77">
      <c r="BY3409" s="35"/>
    </row>
    <row r="3410" spans="77:77">
      <c r="BY3410" s="35"/>
    </row>
    <row r="3411" spans="77:77">
      <c r="BY3411" s="35"/>
    </row>
    <row r="3412" spans="77:77">
      <c r="BY3412" s="35"/>
    </row>
    <row r="3413" spans="77:77">
      <c r="BY3413" s="35"/>
    </row>
    <row r="3414" spans="77:77">
      <c r="BY3414" s="35"/>
    </row>
    <row r="3415" spans="77:77">
      <c r="BY3415" s="35"/>
    </row>
    <row r="3416" spans="77:77">
      <c r="BY3416" s="35"/>
    </row>
    <row r="3417" spans="77:77">
      <c r="BY3417" s="35"/>
    </row>
    <row r="3418" spans="77:77">
      <c r="BY3418" s="35"/>
    </row>
    <row r="3419" spans="77:77">
      <c r="BY3419" s="35"/>
    </row>
    <row r="3420" spans="77:77">
      <c r="BY3420" s="35"/>
    </row>
    <row r="3421" spans="77:77">
      <c r="BY3421" s="35"/>
    </row>
    <row r="3422" spans="77:77">
      <c r="BY3422" s="35"/>
    </row>
    <row r="3423" spans="77:77">
      <c r="BY3423" s="35"/>
    </row>
    <row r="3424" spans="77:77">
      <c r="BY3424" s="35"/>
    </row>
    <row r="3425" spans="77:77">
      <c r="BY3425" s="35"/>
    </row>
    <row r="3426" spans="77:77">
      <c r="BY3426" s="35"/>
    </row>
    <row r="3427" spans="77:77">
      <c r="BY3427" s="35"/>
    </row>
    <row r="3428" spans="77:77">
      <c r="BY3428" s="35"/>
    </row>
    <row r="3429" spans="77:77">
      <c r="BY3429" s="35"/>
    </row>
    <row r="3430" spans="77:77">
      <c r="BY3430" s="35"/>
    </row>
    <row r="3431" spans="77:77">
      <c r="BY3431" s="35"/>
    </row>
    <row r="3432" spans="77:77">
      <c r="BY3432" s="35"/>
    </row>
    <row r="3433" spans="77:77">
      <c r="BY3433" s="35"/>
    </row>
    <row r="3434" spans="77:77">
      <c r="BY3434" s="35"/>
    </row>
    <row r="3435" spans="77:77">
      <c r="BY3435" s="35"/>
    </row>
    <row r="3436" spans="77:77">
      <c r="BY3436" s="35"/>
    </row>
    <row r="3437" spans="77:77">
      <c r="BY3437" s="35"/>
    </row>
    <row r="3438" spans="77:77">
      <c r="BY3438" s="35"/>
    </row>
    <row r="3439" spans="77:77">
      <c r="BY3439" s="35"/>
    </row>
    <row r="3440" spans="77:77">
      <c r="BY3440" s="35"/>
    </row>
    <row r="3441" spans="77:77">
      <c r="BY3441" s="35"/>
    </row>
    <row r="3442" spans="77:77">
      <c r="BY3442" s="35"/>
    </row>
    <row r="3443" spans="77:77">
      <c r="BY3443" s="35"/>
    </row>
    <row r="3444" spans="77:77">
      <c r="BY3444" s="35"/>
    </row>
    <row r="3445" spans="77:77">
      <c r="BY3445" s="35"/>
    </row>
    <row r="3446" spans="77:77">
      <c r="BY3446" s="35"/>
    </row>
    <row r="3447" spans="77:77">
      <c r="BY3447" s="35"/>
    </row>
    <row r="3448" spans="77:77">
      <c r="BY3448" s="35"/>
    </row>
    <row r="3449" spans="77:77">
      <c r="BY3449" s="35"/>
    </row>
    <row r="3450" spans="77:77">
      <c r="BY3450" s="35"/>
    </row>
    <row r="3451" spans="77:77">
      <c r="BY3451" s="35"/>
    </row>
    <row r="3452" spans="77:77">
      <c r="BY3452" s="35"/>
    </row>
    <row r="3453" spans="77:77">
      <c r="BY3453" s="35"/>
    </row>
    <row r="3454" spans="77:77">
      <c r="BY3454" s="35"/>
    </row>
    <row r="3455" spans="77:77">
      <c r="BY3455" s="35"/>
    </row>
    <row r="3456" spans="77:77">
      <c r="BY3456" s="35"/>
    </row>
    <row r="3457" spans="77:77">
      <c r="BY3457" s="35"/>
    </row>
    <row r="3458" spans="77:77">
      <c r="BY3458" s="35"/>
    </row>
    <row r="3459" spans="77:77">
      <c r="BY3459" s="35"/>
    </row>
    <row r="3460" spans="77:77">
      <c r="BY3460" s="35"/>
    </row>
    <row r="3461" spans="77:77">
      <c r="BY3461" s="35"/>
    </row>
    <row r="3462" spans="77:77">
      <c r="BY3462" s="35"/>
    </row>
    <row r="3463" spans="77:77">
      <c r="BY3463" s="35"/>
    </row>
    <row r="3464" spans="77:77">
      <c r="BY3464" s="35"/>
    </row>
    <row r="3465" spans="77:77">
      <c r="BY3465" s="35"/>
    </row>
    <row r="3466" spans="77:77">
      <c r="BY3466" s="35"/>
    </row>
    <row r="3467" spans="77:77">
      <c r="BY3467" s="35"/>
    </row>
    <row r="3468" spans="77:77">
      <c r="BY3468" s="35"/>
    </row>
    <row r="3469" spans="77:77">
      <c r="BY3469" s="35"/>
    </row>
    <row r="3470" spans="77:77">
      <c r="BY3470" s="35"/>
    </row>
    <row r="3471" spans="77:77">
      <c r="BY3471" s="35"/>
    </row>
    <row r="3472" spans="77:77">
      <c r="BY3472" s="35"/>
    </row>
    <row r="3473" spans="77:77">
      <c r="BY3473" s="35"/>
    </row>
    <row r="3474" spans="77:77">
      <c r="BY3474" s="35"/>
    </row>
    <row r="3475" spans="77:77">
      <c r="BY3475" s="35"/>
    </row>
    <row r="3476" spans="77:77">
      <c r="BY3476" s="35"/>
    </row>
    <row r="3477" spans="77:77">
      <c r="BY3477" s="35"/>
    </row>
    <row r="3478" spans="77:77">
      <c r="BY3478" s="35"/>
    </row>
    <row r="3479" spans="77:77">
      <c r="BY3479" s="35"/>
    </row>
    <row r="3480" spans="77:77">
      <c r="BY3480" s="35"/>
    </row>
    <row r="3481" spans="77:77">
      <c r="BY3481" s="35"/>
    </row>
    <row r="3482" spans="77:77">
      <c r="BY3482" s="35"/>
    </row>
    <row r="3483" spans="77:77">
      <c r="BY3483" s="35"/>
    </row>
    <row r="3484" spans="77:77">
      <c r="BY3484" s="35"/>
    </row>
    <row r="3485" spans="77:77">
      <c r="BY3485" s="35"/>
    </row>
    <row r="3486" spans="77:77">
      <c r="BY3486" s="35"/>
    </row>
    <row r="3487" spans="77:77">
      <c r="BY3487" s="35"/>
    </row>
    <row r="3488" spans="77:77">
      <c r="BY3488" s="35"/>
    </row>
    <row r="3489" spans="77:77">
      <c r="BY3489" s="35"/>
    </row>
    <row r="3490" spans="77:77">
      <c r="BY3490" s="35"/>
    </row>
    <row r="3491" spans="77:77">
      <c r="BY3491" s="35"/>
    </row>
    <row r="3492" spans="77:77">
      <c r="BY3492" s="35"/>
    </row>
    <row r="3493" spans="77:77">
      <c r="BY3493" s="35"/>
    </row>
    <row r="3494" spans="77:77">
      <c r="BY3494" s="35"/>
    </row>
    <row r="3495" spans="77:77">
      <c r="BY3495" s="35"/>
    </row>
    <row r="3496" spans="77:77">
      <c r="BY3496" s="35"/>
    </row>
    <row r="3497" spans="77:77">
      <c r="BY3497" s="35"/>
    </row>
    <row r="3498" spans="77:77">
      <c r="BY3498" s="35"/>
    </row>
    <row r="3499" spans="77:77">
      <c r="BY3499" s="35"/>
    </row>
    <row r="3500" spans="77:77">
      <c r="BY3500" s="35"/>
    </row>
    <row r="3501" spans="77:77">
      <c r="BY3501" s="35"/>
    </row>
    <row r="3502" spans="77:77">
      <c r="BY3502" s="35"/>
    </row>
    <row r="3503" spans="77:77">
      <c r="BY3503" s="35"/>
    </row>
    <row r="3504" spans="77:77">
      <c r="BY3504" s="35"/>
    </row>
    <row r="3505" spans="77:77">
      <c r="BY3505" s="35"/>
    </row>
    <row r="3506" spans="77:77">
      <c r="BY3506" s="35"/>
    </row>
    <row r="3507" spans="77:77">
      <c r="BY3507" s="35"/>
    </row>
    <row r="3508" spans="77:77">
      <c r="BY3508" s="35"/>
    </row>
    <row r="3509" spans="77:77">
      <c r="BY3509" s="35"/>
    </row>
    <row r="3510" spans="77:77">
      <c r="BY3510" s="35"/>
    </row>
    <row r="3511" spans="77:77">
      <c r="BY3511" s="35"/>
    </row>
    <row r="3512" spans="77:77">
      <c r="BY3512" s="35"/>
    </row>
    <row r="3513" spans="77:77">
      <c r="BY3513" s="35"/>
    </row>
    <row r="3514" spans="77:77">
      <c r="BY3514" s="35"/>
    </row>
    <row r="3515" spans="77:77">
      <c r="BY3515" s="35"/>
    </row>
    <row r="3516" spans="77:77">
      <c r="BY3516" s="35"/>
    </row>
    <row r="3517" spans="77:77">
      <c r="BY3517" s="35"/>
    </row>
    <row r="3518" spans="77:77">
      <c r="BY3518" s="35"/>
    </row>
    <row r="3519" spans="77:77">
      <c r="BY3519" s="35"/>
    </row>
    <row r="3520" spans="77:77">
      <c r="BY3520" s="35"/>
    </row>
    <row r="3521" spans="77:77">
      <c r="BY3521" s="35"/>
    </row>
    <row r="3522" spans="77:77">
      <c r="BY3522" s="35"/>
    </row>
    <row r="3523" spans="77:77">
      <c r="BY3523" s="35"/>
    </row>
    <row r="3524" spans="77:77">
      <c r="BY3524" s="35"/>
    </row>
    <row r="3525" spans="77:77">
      <c r="BY3525" s="35"/>
    </row>
    <row r="3526" spans="77:77">
      <c r="BY3526" s="35"/>
    </row>
    <row r="3527" spans="77:77">
      <c r="BY3527" s="35"/>
    </row>
    <row r="3528" spans="77:77">
      <c r="BY3528" s="35"/>
    </row>
    <row r="3529" spans="77:77">
      <c r="BY3529" s="35"/>
    </row>
    <row r="3530" spans="77:77">
      <c r="BY3530" s="35"/>
    </row>
    <row r="3531" spans="77:77">
      <c r="BY3531" s="35"/>
    </row>
    <row r="3532" spans="77:77">
      <c r="BY3532" s="35"/>
    </row>
    <row r="3533" spans="77:77">
      <c r="BY3533" s="35"/>
    </row>
    <row r="3534" spans="77:77">
      <c r="BY3534" s="35"/>
    </row>
    <row r="3535" spans="77:77">
      <c r="BY3535" s="35"/>
    </row>
    <row r="3536" spans="77:77">
      <c r="BY3536" s="35"/>
    </row>
    <row r="3537" spans="77:77">
      <c r="BY3537" s="35"/>
    </row>
    <row r="3538" spans="77:77">
      <c r="BY3538" s="35"/>
    </row>
    <row r="3539" spans="77:77">
      <c r="BY3539" s="35"/>
    </row>
    <row r="3540" spans="77:77">
      <c r="BY3540" s="35"/>
    </row>
    <row r="3541" spans="77:77">
      <c r="BY3541" s="35"/>
    </row>
    <row r="3542" spans="77:77">
      <c r="BY3542" s="35"/>
    </row>
    <row r="3543" spans="77:77">
      <c r="BY3543" s="35"/>
    </row>
    <row r="3544" spans="77:77">
      <c r="BY3544" s="35"/>
    </row>
    <row r="3545" spans="77:77">
      <c r="BY3545" s="35"/>
    </row>
    <row r="3546" spans="77:77">
      <c r="BY3546" s="35"/>
    </row>
    <row r="3547" spans="77:77">
      <c r="BY3547" s="35"/>
    </row>
    <row r="3548" spans="77:77">
      <c r="BY3548" s="35"/>
    </row>
    <row r="3549" spans="77:77">
      <c r="BY3549" s="35"/>
    </row>
    <row r="3550" spans="77:77">
      <c r="BY3550" s="35"/>
    </row>
    <row r="3551" spans="77:77">
      <c r="BY3551" s="35"/>
    </row>
    <row r="3552" spans="77:77">
      <c r="BY3552" s="35"/>
    </row>
    <row r="3553" spans="77:77">
      <c r="BY3553" s="35"/>
    </row>
    <row r="3554" spans="77:77">
      <c r="BY3554" s="35"/>
    </row>
    <row r="3555" spans="77:77">
      <c r="BY3555" s="35"/>
    </row>
    <row r="3556" spans="77:77">
      <c r="BY3556" s="35"/>
    </row>
    <row r="3557" spans="77:77">
      <c r="BY3557" s="35"/>
    </row>
    <row r="3558" spans="77:77">
      <c r="BY3558" s="35"/>
    </row>
    <row r="3559" spans="77:77">
      <c r="BY3559" s="35"/>
    </row>
    <row r="3560" spans="77:77">
      <c r="BY3560" s="35"/>
    </row>
    <row r="3561" spans="77:77">
      <c r="BY3561" s="35"/>
    </row>
    <row r="3562" spans="77:77">
      <c r="BY3562" s="35"/>
    </row>
    <row r="3563" spans="77:77">
      <c r="BY3563" s="35"/>
    </row>
    <row r="3564" spans="77:77">
      <c r="BY3564" s="35"/>
    </row>
    <row r="3565" spans="77:77">
      <c r="BY3565" s="35"/>
    </row>
    <row r="3566" spans="77:77">
      <c r="BY3566" s="35"/>
    </row>
    <row r="3567" spans="77:77">
      <c r="BY3567" s="35"/>
    </row>
    <row r="3568" spans="77:77">
      <c r="BY3568" s="35"/>
    </row>
    <row r="3569" spans="77:77">
      <c r="BY3569" s="35"/>
    </row>
    <row r="3570" spans="77:77">
      <c r="BY3570" s="35"/>
    </row>
    <row r="3571" spans="77:77">
      <c r="BY3571" s="35"/>
    </row>
    <row r="3572" spans="77:77">
      <c r="BY3572" s="35"/>
    </row>
    <row r="3573" spans="77:77">
      <c r="BY3573" s="35"/>
    </row>
    <row r="3574" spans="77:77">
      <c r="BY3574" s="35"/>
    </row>
    <row r="3575" spans="77:77">
      <c r="BY3575" s="35"/>
    </row>
    <row r="3576" spans="77:77">
      <c r="BY3576" s="35"/>
    </row>
    <row r="3577" spans="77:77">
      <c r="BY3577" s="35"/>
    </row>
    <row r="3578" spans="77:77">
      <c r="BY3578" s="35"/>
    </row>
    <row r="3579" spans="77:77">
      <c r="BY3579" s="35"/>
    </row>
    <row r="3580" spans="77:77">
      <c r="BY3580" s="35"/>
    </row>
    <row r="3581" spans="77:77">
      <c r="BY3581" s="35"/>
    </row>
    <row r="3582" spans="77:77">
      <c r="BY3582" s="35"/>
    </row>
    <row r="3583" spans="77:77">
      <c r="BY3583" s="35"/>
    </row>
    <row r="3584" spans="77:77">
      <c r="BY3584" s="35"/>
    </row>
    <row r="3585" spans="77:77">
      <c r="BY3585" s="35"/>
    </row>
    <row r="3586" spans="77:77">
      <c r="BY3586" s="35"/>
    </row>
    <row r="3587" spans="77:77">
      <c r="BY3587" s="35"/>
    </row>
    <row r="3588" spans="77:77">
      <c r="BY3588" s="35"/>
    </row>
    <row r="3589" spans="77:77">
      <c r="BY3589" s="35"/>
    </row>
    <row r="3590" spans="77:77">
      <c r="BY3590" s="35"/>
    </row>
    <row r="3591" spans="77:77">
      <c r="BY3591" s="35"/>
    </row>
    <row r="3592" spans="77:77">
      <c r="BY3592" s="35"/>
    </row>
    <row r="3593" spans="77:77">
      <c r="BY3593" s="35"/>
    </row>
    <row r="3594" spans="77:77">
      <c r="BY3594" s="35"/>
    </row>
    <row r="3595" spans="77:77">
      <c r="BY3595" s="35"/>
    </row>
    <row r="3596" spans="77:77">
      <c r="BY3596" s="35"/>
    </row>
    <row r="3597" spans="77:77">
      <c r="BY3597" s="35"/>
    </row>
    <row r="3598" spans="77:77">
      <c r="BY3598" s="35"/>
    </row>
    <row r="3599" spans="77:77">
      <c r="BY3599" s="35"/>
    </row>
    <row r="3600" spans="77:77">
      <c r="BY3600" s="35"/>
    </row>
    <row r="3601" spans="77:77">
      <c r="BY3601" s="35"/>
    </row>
    <row r="3602" spans="77:77">
      <c r="BY3602" s="35"/>
    </row>
    <row r="3603" spans="77:77">
      <c r="BY3603" s="35"/>
    </row>
    <row r="3604" spans="77:77">
      <c r="BY3604" s="35"/>
    </row>
    <row r="3605" spans="77:77">
      <c r="BY3605" s="35"/>
    </row>
    <row r="3606" spans="77:77">
      <c r="BY3606" s="35"/>
    </row>
    <row r="3607" spans="77:77">
      <c r="BY3607" s="35"/>
    </row>
    <row r="3608" spans="77:77">
      <c r="BY3608" s="35"/>
    </row>
    <row r="3609" spans="77:77">
      <c r="BY3609" s="35"/>
    </row>
    <row r="3610" spans="77:77">
      <c r="BY3610" s="35"/>
    </row>
    <row r="3611" spans="77:77">
      <c r="BY3611" s="35"/>
    </row>
    <row r="3612" spans="77:77">
      <c r="BY3612" s="35"/>
    </row>
    <row r="3613" spans="77:77">
      <c r="BY3613" s="35"/>
    </row>
    <row r="3614" spans="77:77">
      <c r="BY3614" s="35"/>
    </row>
    <row r="3615" spans="77:77">
      <c r="BY3615" s="35"/>
    </row>
    <row r="3616" spans="77:77">
      <c r="BY3616" s="35"/>
    </row>
    <row r="3617" spans="77:77">
      <c r="BY3617" s="35"/>
    </row>
    <row r="3618" spans="77:77">
      <c r="BY3618" s="35"/>
    </row>
    <row r="3619" spans="77:77">
      <c r="BY3619" s="35"/>
    </row>
    <row r="3620" spans="77:77">
      <c r="BY3620" s="35"/>
    </row>
    <row r="3621" spans="77:77">
      <c r="BY3621" s="35"/>
    </row>
    <row r="3622" spans="77:77">
      <c r="BY3622" s="35"/>
    </row>
    <row r="3623" spans="77:77">
      <c r="BY3623" s="35"/>
    </row>
    <row r="3624" spans="77:77">
      <c r="BY3624" s="35"/>
    </row>
    <row r="3625" spans="77:77">
      <c r="BY3625" s="35"/>
    </row>
    <row r="3626" spans="77:77">
      <c r="BY3626" s="35"/>
    </row>
    <row r="3627" spans="77:77">
      <c r="BY3627" s="35"/>
    </row>
    <row r="3628" spans="77:77">
      <c r="BY3628" s="35"/>
    </row>
    <row r="3629" spans="77:77">
      <c r="BY3629" s="35"/>
    </row>
    <row r="3630" spans="77:77">
      <c r="BY3630" s="35"/>
    </row>
    <row r="3631" spans="77:77">
      <c r="BY3631" s="35"/>
    </row>
    <row r="3632" spans="77:77">
      <c r="BY3632" s="35"/>
    </row>
    <row r="3633" spans="77:77">
      <c r="BY3633" s="35"/>
    </row>
    <row r="3634" spans="77:77">
      <c r="BY3634" s="35"/>
    </row>
    <row r="3635" spans="77:77">
      <c r="BY3635" s="35"/>
    </row>
    <row r="3636" spans="77:77">
      <c r="BY3636" s="35"/>
    </row>
    <row r="3637" spans="77:77">
      <c r="BY3637" s="35"/>
    </row>
    <row r="3638" spans="77:77">
      <c r="BY3638" s="35"/>
    </row>
    <row r="3639" spans="77:77">
      <c r="BY3639" s="35"/>
    </row>
    <row r="3640" spans="77:77">
      <c r="BY3640" s="35"/>
    </row>
    <row r="3641" spans="77:77">
      <c r="BY3641" s="35"/>
    </row>
    <row r="3642" spans="77:77">
      <c r="BY3642" s="35"/>
    </row>
    <row r="3643" spans="77:77">
      <c r="BY3643" s="35"/>
    </row>
    <row r="3644" spans="77:77">
      <c r="BY3644" s="35"/>
    </row>
    <row r="3645" spans="77:77">
      <c r="BY3645" s="35"/>
    </row>
    <row r="3646" spans="77:77">
      <c r="BY3646" s="35"/>
    </row>
    <row r="3647" spans="77:77">
      <c r="BY3647" s="35"/>
    </row>
    <row r="3648" spans="77:77">
      <c r="BY3648" s="35"/>
    </row>
    <row r="3649" spans="77:77">
      <c r="BY3649" s="35"/>
    </row>
    <row r="3650" spans="77:77">
      <c r="BY3650" s="35"/>
    </row>
    <row r="3651" spans="77:77">
      <c r="BY3651" s="35"/>
    </row>
    <row r="3652" spans="77:77">
      <c r="BY3652" s="35"/>
    </row>
    <row r="3653" spans="77:77">
      <c r="BY3653" s="35"/>
    </row>
    <row r="3654" spans="77:77">
      <c r="BY3654" s="35"/>
    </row>
    <row r="3655" spans="77:77">
      <c r="BY3655" s="35"/>
    </row>
    <row r="3656" spans="77:77">
      <c r="BY3656" s="35"/>
    </row>
    <row r="3657" spans="77:77">
      <c r="BY3657" s="35"/>
    </row>
    <row r="3658" spans="77:77">
      <c r="BY3658" s="35"/>
    </row>
    <row r="3659" spans="77:77">
      <c r="BY3659" s="35"/>
    </row>
    <row r="3660" spans="77:77">
      <c r="BY3660" s="35"/>
    </row>
    <row r="3661" spans="77:77">
      <c r="BY3661" s="35"/>
    </row>
    <row r="3662" spans="77:77">
      <c r="BY3662" s="35"/>
    </row>
    <row r="3663" spans="77:77">
      <c r="BY3663" s="35"/>
    </row>
    <row r="3664" spans="77:77">
      <c r="BY3664" s="35"/>
    </row>
    <row r="3665" spans="77:77">
      <c r="BY3665" s="35"/>
    </row>
    <row r="3666" spans="77:77">
      <c r="BY3666" s="35"/>
    </row>
    <row r="3667" spans="77:77">
      <c r="BY3667" s="35"/>
    </row>
    <row r="3668" spans="77:77">
      <c r="BY3668" s="35"/>
    </row>
    <row r="3669" spans="77:77">
      <c r="BY3669" s="35"/>
    </row>
    <row r="3670" spans="77:77">
      <c r="BY3670" s="35"/>
    </row>
    <row r="3671" spans="77:77">
      <c r="BY3671" s="35"/>
    </row>
    <row r="3672" spans="77:77">
      <c r="BY3672" s="35"/>
    </row>
    <row r="3673" spans="77:77">
      <c r="BY3673" s="35"/>
    </row>
    <row r="3674" spans="77:77">
      <c r="BY3674" s="35"/>
    </row>
    <row r="3675" spans="77:77">
      <c r="BY3675" s="35"/>
    </row>
    <row r="3676" spans="77:77">
      <c r="BY3676" s="35"/>
    </row>
    <row r="3677" spans="77:77">
      <c r="BY3677" s="35"/>
    </row>
    <row r="3678" spans="77:77">
      <c r="BY3678" s="35"/>
    </row>
    <row r="3679" spans="77:77">
      <c r="BY3679" s="35"/>
    </row>
    <row r="3680" spans="77:77">
      <c r="BY3680" s="35"/>
    </row>
    <row r="3681" spans="77:77">
      <c r="BY3681" s="35"/>
    </row>
    <row r="3682" spans="77:77">
      <c r="BY3682" s="35"/>
    </row>
    <row r="3683" spans="77:77">
      <c r="BY3683" s="35"/>
    </row>
    <row r="3684" spans="77:77">
      <c r="BY3684" s="35"/>
    </row>
    <row r="3685" spans="77:77">
      <c r="BY3685" s="35"/>
    </row>
    <row r="3686" spans="77:77">
      <c r="BY3686" s="35"/>
    </row>
    <row r="3687" spans="77:77">
      <c r="BY3687" s="35"/>
    </row>
    <row r="3688" spans="77:77">
      <c r="BY3688" s="35"/>
    </row>
    <row r="3689" spans="77:77">
      <c r="BY3689" s="35"/>
    </row>
    <row r="3690" spans="77:77">
      <c r="BY3690" s="35"/>
    </row>
    <row r="3691" spans="77:77">
      <c r="BY3691" s="35"/>
    </row>
    <row r="3692" spans="77:77">
      <c r="BY3692" s="35"/>
    </row>
    <row r="3693" spans="77:77">
      <c r="BY3693" s="35"/>
    </row>
    <row r="3694" spans="77:77">
      <c r="BY3694" s="35"/>
    </row>
    <row r="3695" spans="77:77">
      <c r="BY3695" s="35"/>
    </row>
    <row r="3696" spans="77:77">
      <c r="BY3696" s="35"/>
    </row>
    <row r="3697" spans="77:77">
      <c r="BY3697" s="35"/>
    </row>
    <row r="3698" spans="77:77">
      <c r="BY3698" s="35"/>
    </row>
    <row r="3699" spans="77:77">
      <c r="BY3699" s="35"/>
    </row>
    <row r="3700" spans="77:77">
      <c r="BY3700" s="35"/>
    </row>
    <row r="3701" spans="77:77">
      <c r="BY3701" s="35"/>
    </row>
    <row r="3702" spans="77:77">
      <c r="BY3702" s="35"/>
    </row>
    <row r="3703" spans="77:77">
      <c r="BY3703" s="35"/>
    </row>
    <row r="3704" spans="77:77">
      <c r="BY3704" s="35"/>
    </row>
    <row r="3705" spans="77:77">
      <c r="BY3705" s="35"/>
    </row>
    <row r="3706" spans="77:77">
      <c r="BY3706" s="35"/>
    </row>
    <row r="3707" spans="77:77">
      <c r="BY3707" s="35"/>
    </row>
    <row r="3708" spans="77:77">
      <c r="BY3708" s="35"/>
    </row>
    <row r="3709" spans="77:77">
      <c r="BY3709" s="35"/>
    </row>
    <row r="3710" spans="77:77">
      <c r="BY3710" s="35"/>
    </row>
    <row r="3711" spans="77:77">
      <c r="BY3711" s="35"/>
    </row>
    <row r="3712" spans="77:77">
      <c r="BY3712" s="35"/>
    </row>
    <row r="3713" spans="77:77">
      <c r="BY3713" s="35"/>
    </row>
    <row r="3714" spans="77:77">
      <c r="BY3714" s="35"/>
    </row>
    <row r="3715" spans="77:77">
      <c r="BY3715" s="35"/>
    </row>
    <row r="3716" spans="77:77">
      <c r="BY3716" s="35"/>
    </row>
    <row r="3717" spans="77:77">
      <c r="BY3717" s="35"/>
    </row>
    <row r="3718" spans="77:77">
      <c r="BY3718" s="35"/>
    </row>
    <row r="3719" spans="77:77">
      <c r="BY3719" s="35"/>
    </row>
    <row r="3720" spans="77:77">
      <c r="BY3720" s="35"/>
    </row>
    <row r="3721" spans="77:77">
      <c r="BY3721" s="35"/>
    </row>
    <row r="3722" spans="77:77">
      <c r="BY3722" s="35"/>
    </row>
    <row r="3723" spans="77:77">
      <c r="BY3723" s="35"/>
    </row>
    <row r="3724" spans="77:77">
      <c r="BY3724" s="35"/>
    </row>
    <row r="3725" spans="77:77">
      <c r="BY3725" s="35"/>
    </row>
    <row r="3726" spans="77:77">
      <c r="BY3726" s="35"/>
    </row>
    <row r="3727" spans="77:77">
      <c r="BY3727" s="35"/>
    </row>
    <row r="3728" spans="77:77">
      <c r="BY3728" s="35"/>
    </row>
    <row r="3729" spans="77:77">
      <c r="BY3729" s="35"/>
    </row>
    <row r="3730" spans="77:77">
      <c r="BY3730" s="35"/>
    </row>
    <row r="3731" spans="77:77">
      <c r="BY3731" s="35"/>
    </row>
    <row r="3732" spans="77:77">
      <c r="BY3732" s="35"/>
    </row>
    <row r="3733" spans="77:77">
      <c r="BY3733" s="35"/>
    </row>
    <row r="3734" spans="77:77">
      <c r="BY3734" s="35"/>
    </row>
    <row r="3735" spans="77:77">
      <c r="BY3735" s="35"/>
    </row>
    <row r="3736" spans="77:77">
      <c r="BY3736" s="35"/>
    </row>
    <row r="3737" spans="77:77">
      <c r="BY3737" s="35"/>
    </row>
    <row r="3738" spans="77:77">
      <c r="BY3738" s="35"/>
    </row>
    <row r="3739" spans="77:77">
      <c r="BY3739" s="35"/>
    </row>
    <row r="3740" spans="77:77">
      <c r="BY3740" s="35"/>
    </row>
    <row r="3741" spans="77:77">
      <c r="BY3741" s="35"/>
    </row>
    <row r="3742" spans="77:77">
      <c r="BY3742" s="35"/>
    </row>
    <row r="3743" spans="77:77">
      <c r="BY3743" s="35"/>
    </row>
    <row r="3744" spans="77:77">
      <c r="BY3744" s="35"/>
    </row>
    <row r="3745" spans="77:77">
      <c r="BY3745" s="35"/>
    </row>
    <row r="3746" spans="77:77">
      <c r="BY3746" s="35"/>
    </row>
    <row r="3747" spans="77:77">
      <c r="BY3747" s="35"/>
    </row>
    <row r="3748" spans="77:77">
      <c r="BY3748" s="35"/>
    </row>
    <row r="3749" spans="77:77">
      <c r="BY3749" s="35"/>
    </row>
    <row r="3750" spans="77:77">
      <c r="BY3750" s="35"/>
    </row>
    <row r="3751" spans="77:77">
      <c r="BY3751" s="35"/>
    </row>
    <row r="3752" spans="77:77">
      <c r="BY3752" s="35"/>
    </row>
    <row r="3753" spans="77:77">
      <c r="BY3753" s="35"/>
    </row>
    <row r="3754" spans="77:77">
      <c r="BY3754" s="35"/>
    </row>
    <row r="3755" spans="77:77">
      <c r="BY3755" s="35"/>
    </row>
    <row r="3756" spans="77:77">
      <c r="BY3756" s="35"/>
    </row>
    <row r="3757" spans="77:77">
      <c r="BY3757" s="35"/>
    </row>
    <row r="3758" spans="77:77">
      <c r="BY3758" s="35"/>
    </row>
    <row r="3759" spans="77:77">
      <c r="BY3759" s="35"/>
    </row>
    <row r="3760" spans="77:77">
      <c r="BY3760" s="35"/>
    </row>
    <row r="3761" spans="77:77">
      <c r="BY3761" s="35"/>
    </row>
    <row r="3762" spans="77:77">
      <c r="BY3762" s="35"/>
    </row>
    <row r="3763" spans="77:77">
      <c r="BY3763" s="35"/>
    </row>
    <row r="3764" spans="77:77">
      <c r="BY3764" s="35"/>
    </row>
    <row r="3765" spans="77:77">
      <c r="BY3765" s="35"/>
    </row>
    <row r="3766" spans="77:77">
      <c r="BY3766" s="35"/>
    </row>
    <row r="3767" spans="77:77">
      <c r="BY3767" s="35"/>
    </row>
    <row r="3768" spans="77:77">
      <c r="BY3768" s="35"/>
    </row>
    <row r="3769" spans="77:77">
      <c r="BY3769" s="35"/>
    </row>
    <row r="3770" spans="77:77">
      <c r="BY3770" s="35"/>
    </row>
    <row r="3771" spans="77:77">
      <c r="BY3771" s="35"/>
    </row>
    <row r="3772" spans="77:77">
      <c r="BY3772" s="35"/>
    </row>
    <row r="3773" spans="77:77">
      <c r="BY3773" s="35"/>
    </row>
    <row r="3774" spans="77:77">
      <c r="BY3774" s="35"/>
    </row>
    <row r="3775" spans="77:77">
      <c r="BY3775" s="35"/>
    </row>
    <row r="3776" spans="77:77">
      <c r="BY3776" s="35"/>
    </row>
    <row r="3777" spans="77:77">
      <c r="BY3777" s="35"/>
    </row>
    <row r="3778" spans="77:77">
      <c r="BY3778" s="35"/>
    </row>
    <row r="3779" spans="77:77">
      <c r="BY3779" s="35"/>
    </row>
    <row r="3780" spans="77:77">
      <c r="BY3780" s="35"/>
    </row>
    <row r="3781" spans="77:77">
      <c r="BY3781" s="35"/>
    </row>
    <row r="3782" spans="77:77">
      <c r="BY3782" s="35"/>
    </row>
    <row r="3783" spans="77:77">
      <c r="BY3783" s="35"/>
    </row>
    <row r="3784" spans="77:77">
      <c r="BY3784" s="35"/>
    </row>
    <row r="3785" spans="77:77">
      <c r="BY3785" s="35"/>
    </row>
    <row r="3786" spans="77:77">
      <c r="BY3786" s="35"/>
    </row>
    <row r="3787" spans="77:77">
      <c r="BY3787" s="35"/>
    </row>
    <row r="3788" spans="77:77">
      <c r="BY3788" s="35"/>
    </row>
    <row r="3789" spans="77:77">
      <c r="BY3789" s="35"/>
    </row>
    <row r="3790" spans="77:77">
      <c r="BY3790" s="35"/>
    </row>
    <row r="3791" spans="77:77">
      <c r="BY3791" s="35"/>
    </row>
    <row r="3792" spans="77:77">
      <c r="BY3792" s="35"/>
    </row>
    <row r="3793" spans="77:77">
      <c r="BY3793" s="35"/>
    </row>
    <row r="3794" spans="77:77">
      <c r="BY3794" s="35"/>
    </row>
    <row r="3795" spans="77:77">
      <c r="BY3795" s="35"/>
    </row>
    <row r="3796" spans="77:77">
      <c r="BY3796" s="35"/>
    </row>
    <row r="3797" spans="77:77">
      <c r="BY3797" s="35"/>
    </row>
    <row r="3798" spans="77:77">
      <c r="BY3798" s="35"/>
    </row>
    <row r="3799" spans="77:77">
      <c r="BY3799" s="35"/>
    </row>
    <row r="3800" spans="77:77">
      <c r="BY3800" s="35"/>
    </row>
    <row r="3801" spans="77:77">
      <c r="BY3801" s="35"/>
    </row>
    <row r="3802" spans="77:77">
      <c r="BY3802" s="35"/>
    </row>
    <row r="3803" spans="77:77">
      <c r="BY3803" s="35"/>
    </row>
    <row r="3804" spans="77:77">
      <c r="BY3804" s="35"/>
    </row>
    <row r="3805" spans="77:77">
      <c r="BY3805" s="35"/>
    </row>
    <row r="3806" spans="77:77">
      <c r="BY3806" s="35"/>
    </row>
    <row r="3807" spans="77:77">
      <c r="BY3807" s="35"/>
    </row>
    <row r="3808" spans="77:77">
      <c r="BY3808" s="35"/>
    </row>
    <row r="3809" spans="77:77">
      <c r="BY3809" s="35"/>
    </row>
    <row r="3810" spans="77:77">
      <c r="BY3810" s="35"/>
    </row>
    <row r="3811" spans="77:77">
      <c r="BY3811" s="35"/>
    </row>
    <row r="3812" spans="77:77">
      <c r="BY3812" s="35"/>
    </row>
    <row r="3813" spans="77:77">
      <c r="BY3813" s="35"/>
    </row>
    <row r="3814" spans="77:77">
      <c r="BY3814" s="35"/>
    </row>
    <row r="3815" spans="77:77">
      <c r="BY3815" s="35"/>
    </row>
    <row r="3816" spans="77:77">
      <c r="BY3816" s="35"/>
    </row>
    <row r="3817" spans="77:77">
      <c r="BY3817" s="35"/>
    </row>
    <row r="3818" spans="77:77">
      <c r="BY3818" s="35"/>
    </row>
    <row r="3819" spans="77:77">
      <c r="BY3819" s="35"/>
    </row>
    <row r="3820" spans="77:77">
      <c r="BY3820" s="35"/>
    </row>
    <row r="3821" spans="77:77">
      <c r="BY3821" s="35"/>
    </row>
    <row r="3822" spans="77:77">
      <c r="BY3822" s="35"/>
    </row>
    <row r="3823" spans="77:77">
      <c r="BY3823" s="35"/>
    </row>
    <row r="3824" spans="77:77">
      <c r="BY3824" s="35"/>
    </row>
    <row r="3825" spans="77:77">
      <c r="BY3825" s="35"/>
    </row>
    <row r="3826" spans="77:77">
      <c r="BY3826" s="35"/>
    </row>
    <row r="3827" spans="77:77">
      <c r="BY3827" s="35"/>
    </row>
    <row r="3828" spans="77:77">
      <c r="BY3828" s="35"/>
    </row>
    <row r="3829" spans="77:77">
      <c r="BY3829" s="35"/>
    </row>
    <row r="3830" spans="77:77">
      <c r="BY3830" s="35"/>
    </row>
    <row r="3831" spans="77:77">
      <c r="BY3831" s="35"/>
    </row>
    <row r="3832" spans="77:77">
      <c r="BY3832" s="35"/>
    </row>
    <row r="3833" spans="77:77">
      <c r="BY3833" s="35"/>
    </row>
    <row r="3834" spans="77:77">
      <c r="BY3834" s="35"/>
    </row>
    <row r="3835" spans="77:77">
      <c r="BY3835" s="35"/>
    </row>
    <row r="3836" spans="77:77">
      <c r="BY3836" s="35"/>
    </row>
    <row r="3837" spans="77:77">
      <c r="BY3837" s="35"/>
    </row>
    <row r="3838" spans="77:77">
      <c r="BY3838" s="35"/>
    </row>
    <row r="3839" spans="77:77">
      <c r="BY3839" s="35"/>
    </row>
    <row r="3840" spans="77:77">
      <c r="BY3840" s="35"/>
    </row>
    <row r="3841" spans="77:77">
      <c r="BY3841" s="35"/>
    </row>
    <row r="3842" spans="77:77">
      <c r="BY3842" s="35"/>
    </row>
    <row r="3843" spans="77:77">
      <c r="BY3843" s="35"/>
    </row>
    <row r="3844" spans="77:77">
      <c r="BY3844" s="35"/>
    </row>
    <row r="3845" spans="77:77">
      <c r="BY3845" s="35"/>
    </row>
    <row r="3846" spans="77:77">
      <c r="BY3846" s="35"/>
    </row>
    <row r="3847" spans="77:77">
      <c r="BY3847" s="35"/>
    </row>
    <row r="3848" spans="77:77">
      <c r="BY3848" s="35"/>
    </row>
    <row r="3849" spans="77:77">
      <c r="BY3849" s="35"/>
    </row>
    <row r="3850" spans="77:77">
      <c r="BY3850" s="35"/>
    </row>
    <row r="3851" spans="77:77">
      <c r="BY3851" s="35"/>
    </row>
    <row r="3852" spans="77:77">
      <c r="BY3852" s="35"/>
    </row>
    <row r="3853" spans="77:77">
      <c r="BY3853" s="35"/>
    </row>
    <row r="3854" spans="77:77">
      <c r="BY3854" s="35"/>
    </row>
    <row r="3855" spans="77:77">
      <c r="BY3855" s="35"/>
    </row>
    <row r="3856" spans="77:77">
      <c r="BY3856" s="35"/>
    </row>
    <row r="3857" spans="77:77">
      <c r="BY3857" s="35"/>
    </row>
    <row r="3858" spans="77:77">
      <c r="BY3858" s="35"/>
    </row>
    <row r="3859" spans="77:77">
      <c r="BY3859" s="35"/>
    </row>
    <row r="3860" spans="77:77">
      <c r="BY3860" s="35"/>
    </row>
    <row r="3861" spans="77:77">
      <c r="BY3861" s="35"/>
    </row>
    <row r="3862" spans="77:77">
      <c r="BY3862" s="35"/>
    </row>
    <row r="3863" spans="77:77">
      <c r="BY3863" s="35"/>
    </row>
    <row r="3864" spans="77:77">
      <c r="BY3864" s="35"/>
    </row>
    <row r="3865" spans="77:77">
      <c r="BY3865" s="35"/>
    </row>
    <row r="3866" spans="77:77">
      <c r="BY3866" s="35"/>
    </row>
    <row r="3867" spans="77:77">
      <c r="BY3867" s="35"/>
    </row>
    <row r="3868" spans="77:77">
      <c r="BY3868" s="35"/>
    </row>
    <row r="3869" spans="77:77">
      <c r="BY3869" s="35"/>
    </row>
    <row r="3870" spans="77:77">
      <c r="BY3870" s="35"/>
    </row>
    <row r="3871" spans="77:77">
      <c r="BY3871" s="35"/>
    </row>
    <row r="3872" spans="77:77">
      <c r="BY3872" s="35"/>
    </row>
    <row r="3873" spans="77:77">
      <c r="BY3873" s="35"/>
    </row>
    <row r="3874" spans="77:77">
      <c r="BY3874" s="35"/>
    </row>
    <row r="3875" spans="77:77">
      <c r="BY3875" s="35"/>
    </row>
    <row r="3876" spans="77:77">
      <c r="BY3876" s="35"/>
    </row>
    <row r="3877" spans="77:77">
      <c r="BY3877" s="35"/>
    </row>
    <row r="3878" spans="77:77">
      <c r="BY3878" s="35"/>
    </row>
    <row r="3879" spans="77:77">
      <c r="BY3879" s="35"/>
    </row>
    <row r="3880" spans="77:77">
      <c r="BY3880" s="35"/>
    </row>
    <row r="3881" spans="77:77">
      <c r="BY3881" s="35"/>
    </row>
    <row r="3882" spans="77:77">
      <c r="BY3882" s="35"/>
    </row>
    <row r="3883" spans="77:77">
      <c r="BY3883" s="35"/>
    </row>
    <row r="3884" spans="77:77">
      <c r="BY3884" s="35"/>
    </row>
    <row r="3885" spans="77:77">
      <c r="BY3885" s="35"/>
    </row>
    <row r="3886" spans="77:77">
      <c r="BY3886" s="35"/>
    </row>
    <row r="3887" spans="77:77">
      <c r="BY3887" s="35"/>
    </row>
    <row r="3888" spans="77:77">
      <c r="BY3888" s="35"/>
    </row>
    <row r="3889" spans="77:77">
      <c r="BY3889" s="35"/>
    </row>
    <row r="3890" spans="77:77">
      <c r="BY3890" s="35"/>
    </row>
    <row r="3891" spans="77:77">
      <c r="BY3891" s="35"/>
    </row>
    <row r="3892" spans="77:77">
      <c r="BY3892" s="35"/>
    </row>
    <row r="3893" spans="77:77">
      <c r="BY3893" s="35"/>
    </row>
    <row r="3894" spans="77:77">
      <c r="BY3894" s="35"/>
    </row>
    <row r="3895" spans="77:77">
      <c r="BY3895" s="35"/>
    </row>
    <row r="3896" spans="77:77">
      <c r="BY3896" s="35"/>
    </row>
    <row r="3897" spans="77:77">
      <c r="BY3897" s="35"/>
    </row>
    <row r="3898" spans="77:77">
      <c r="BY3898" s="35"/>
    </row>
    <row r="3899" spans="77:77">
      <c r="BY3899" s="35"/>
    </row>
    <row r="3900" spans="77:77">
      <c r="BY3900" s="35"/>
    </row>
    <row r="3901" spans="77:77">
      <c r="BY3901" s="35"/>
    </row>
    <row r="3902" spans="77:77">
      <c r="BY3902" s="35"/>
    </row>
    <row r="3903" spans="77:77">
      <c r="BY3903" s="35"/>
    </row>
    <row r="3904" spans="77:77">
      <c r="BY3904" s="35"/>
    </row>
    <row r="3905" spans="77:77">
      <c r="BY3905" s="35"/>
    </row>
    <row r="3906" spans="77:77">
      <c r="BY3906" s="35"/>
    </row>
    <row r="3907" spans="77:77">
      <c r="BY3907" s="35"/>
    </row>
    <row r="3908" spans="77:77">
      <c r="BY3908" s="35"/>
    </row>
    <row r="3909" spans="77:77">
      <c r="BY3909" s="35"/>
    </row>
    <row r="3910" spans="77:77">
      <c r="BY3910" s="35"/>
    </row>
    <row r="3911" spans="77:77">
      <c r="BY3911" s="35"/>
    </row>
    <row r="3912" spans="77:77">
      <c r="BY3912" s="35"/>
    </row>
    <row r="3913" spans="77:77">
      <c r="BY3913" s="35"/>
    </row>
    <row r="3914" spans="77:77">
      <c r="BY3914" s="35"/>
    </row>
    <row r="3915" spans="77:77">
      <c r="BY3915" s="35"/>
    </row>
    <row r="3916" spans="77:77">
      <c r="BY3916" s="35"/>
    </row>
    <row r="3917" spans="77:77">
      <c r="BY3917" s="35"/>
    </row>
    <row r="3918" spans="77:77">
      <c r="BY3918" s="35"/>
    </row>
    <row r="3919" spans="77:77">
      <c r="BY3919" s="35"/>
    </row>
    <row r="3920" spans="77:77">
      <c r="BY3920" s="35"/>
    </row>
    <row r="3921" spans="77:77">
      <c r="BY3921" s="35"/>
    </row>
    <row r="3922" spans="77:77">
      <c r="BY3922" s="35"/>
    </row>
    <row r="3923" spans="77:77">
      <c r="BY3923" s="35"/>
    </row>
    <row r="3924" spans="77:77">
      <c r="BY3924" s="35"/>
    </row>
    <row r="3925" spans="77:77">
      <c r="BY3925" s="35"/>
    </row>
    <row r="3926" spans="77:77">
      <c r="BY3926" s="35"/>
    </row>
    <row r="3927" spans="77:77">
      <c r="BY3927" s="35"/>
    </row>
    <row r="3928" spans="77:77">
      <c r="BY3928" s="35"/>
    </row>
    <row r="3929" spans="77:77">
      <c r="BY3929" s="35"/>
    </row>
    <row r="3930" spans="77:77">
      <c r="BY3930" s="35"/>
    </row>
    <row r="3931" spans="77:77">
      <c r="BY3931" s="35"/>
    </row>
    <row r="3932" spans="77:77">
      <c r="BY3932" s="35"/>
    </row>
    <row r="3933" spans="77:77">
      <c r="BY3933" s="35"/>
    </row>
    <row r="3934" spans="77:77">
      <c r="BY3934" s="35"/>
    </row>
    <row r="3935" spans="77:77">
      <c r="BY3935" s="35"/>
    </row>
    <row r="3936" spans="77:77">
      <c r="BY3936" s="35"/>
    </row>
    <row r="3937" spans="77:77">
      <c r="BY3937" s="35"/>
    </row>
    <row r="3938" spans="77:77">
      <c r="BY3938" s="35"/>
    </row>
    <row r="3939" spans="77:77">
      <c r="BY3939" s="35"/>
    </row>
    <row r="3940" spans="77:77">
      <c r="BY3940" s="35"/>
    </row>
    <row r="3941" spans="77:77">
      <c r="BY3941" s="35"/>
    </row>
    <row r="3942" spans="77:77">
      <c r="BY3942" s="35"/>
    </row>
    <row r="3943" spans="77:77">
      <c r="BY3943" s="35"/>
    </row>
    <row r="3944" spans="77:77">
      <c r="BY3944" s="35"/>
    </row>
    <row r="3945" spans="77:77">
      <c r="BY3945" s="35"/>
    </row>
    <row r="3946" spans="77:77">
      <c r="BY3946" s="35"/>
    </row>
    <row r="3947" spans="77:77">
      <c r="BY3947" s="35"/>
    </row>
    <row r="3948" spans="77:77">
      <c r="BY3948" s="35"/>
    </row>
    <row r="3949" spans="77:77">
      <c r="BY3949" s="35"/>
    </row>
    <row r="3950" spans="77:77">
      <c r="BY3950" s="35"/>
    </row>
    <row r="3951" spans="77:77">
      <c r="BY3951" s="35"/>
    </row>
    <row r="3952" spans="77:77">
      <c r="BY3952" s="35"/>
    </row>
    <row r="3953" spans="77:77">
      <c r="BY3953" s="35"/>
    </row>
    <row r="3954" spans="77:77">
      <c r="BY3954" s="35"/>
    </row>
    <row r="3955" spans="77:77">
      <c r="BY3955" s="35"/>
    </row>
    <row r="3956" spans="77:77">
      <c r="BY3956" s="35"/>
    </row>
    <row r="3957" spans="77:77">
      <c r="BY3957" s="35"/>
    </row>
    <row r="3958" spans="77:77">
      <c r="BY3958" s="35"/>
    </row>
    <row r="3959" spans="77:77">
      <c r="BY3959" s="35"/>
    </row>
    <row r="3960" spans="77:77">
      <c r="BY3960" s="35"/>
    </row>
    <row r="3961" spans="77:77">
      <c r="BY3961" s="35"/>
    </row>
    <row r="3962" spans="77:77">
      <c r="BY3962" s="35"/>
    </row>
    <row r="3963" spans="77:77">
      <c r="BY3963" s="35"/>
    </row>
    <row r="3964" spans="77:77">
      <c r="BY3964" s="35"/>
    </row>
    <row r="3965" spans="77:77">
      <c r="BY3965" s="35"/>
    </row>
    <row r="3966" spans="77:77">
      <c r="BY3966" s="35"/>
    </row>
    <row r="3967" spans="77:77">
      <c r="BY3967" s="35"/>
    </row>
    <row r="3968" spans="77:77">
      <c r="BY3968" s="35"/>
    </row>
    <row r="3969" spans="77:77">
      <c r="BY3969" s="35"/>
    </row>
    <row r="3970" spans="77:77">
      <c r="BY3970" s="35"/>
    </row>
    <row r="3971" spans="77:77">
      <c r="BY3971" s="35"/>
    </row>
    <row r="3972" spans="77:77">
      <c r="BY3972" s="35"/>
    </row>
    <row r="3973" spans="77:77">
      <c r="BY3973" s="35"/>
    </row>
    <row r="3974" spans="77:77">
      <c r="BY3974" s="35"/>
    </row>
    <row r="3975" spans="77:77">
      <c r="BY3975" s="35"/>
    </row>
    <row r="3976" spans="77:77">
      <c r="BY3976" s="35"/>
    </row>
    <row r="3977" spans="77:77">
      <c r="BY3977" s="35"/>
    </row>
    <row r="3978" spans="77:77">
      <c r="BY3978" s="35"/>
    </row>
    <row r="3979" spans="77:77">
      <c r="BY3979" s="35"/>
    </row>
    <row r="3980" spans="77:77">
      <c r="BY3980" s="35"/>
    </row>
    <row r="3981" spans="77:77">
      <c r="BY3981" s="35"/>
    </row>
    <row r="3982" spans="77:77">
      <c r="BY3982" s="35"/>
    </row>
    <row r="3983" spans="77:77">
      <c r="BY3983" s="35"/>
    </row>
    <row r="3984" spans="77:77">
      <c r="BY3984" s="35"/>
    </row>
    <row r="3985" spans="77:77">
      <c r="BY3985" s="35"/>
    </row>
    <row r="3986" spans="77:77">
      <c r="BY3986" s="35"/>
    </row>
    <row r="3987" spans="77:77">
      <c r="BY3987" s="35"/>
    </row>
    <row r="3988" spans="77:77">
      <c r="BY3988" s="35"/>
    </row>
    <row r="3989" spans="77:77">
      <c r="BY3989" s="35"/>
    </row>
    <row r="3990" spans="77:77">
      <c r="BY3990" s="35"/>
    </row>
    <row r="3991" spans="77:77">
      <c r="BY3991" s="35"/>
    </row>
    <row r="3992" spans="77:77">
      <c r="BY3992" s="35"/>
    </row>
    <row r="3993" spans="77:77">
      <c r="BY3993" s="35"/>
    </row>
    <row r="3994" spans="77:77">
      <c r="BY3994" s="35"/>
    </row>
    <row r="3995" spans="77:77">
      <c r="BY3995" s="35"/>
    </row>
    <row r="3996" spans="77:77">
      <c r="BY3996" s="35"/>
    </row>
    <row r="3997" spans="77:77">
      <c r="BY3997" s="35"/>
    </row>
    <row r="3998" spans="77:77">
      <c r="BY3998" s="35"/>
    </row>
    <row r="3999" spans="77:77">
      <c r="BY3999" s="35"/>
    </row>
    <row r="4000" spans="77:77">
      <c r="BY4000" s="35"/>
    </row>
    <row r="4001" spans="77:77">
      <c r="BY4001" s="35"/>
    </row>
    <row r="4002" spans="77:77">
      <c r="BY4002" s="35"/>
    </row>
    <row r="4003" spans="77:77">
      <c r="BY4003" s="35"/>
    </row>
    <row r="4004" spans="77:77">
      <c r="BY4004" s="35"/>
    </row>
    <row r="4005" spans="77:77">
      <c r="BY4005" s="35"/>
    </row>
    <row r="4006" spans="77:77">
      <c r="BY4006" s="35"/>
    </row>
    <row r="4007" spans="77:77">
      <c r="BY4007" s="35"/>
    </row>
    <row r="4008" spans="77:77">
      <c r="BY4008" s="35"/>
    </row>
    <row r="4009" spans="77:77">
      <c r="BY4009" s="35"/>
    </row>
    <row r="4010" spans="77:77">
      <c r="BY4010" s="35"/>
    </row>
    <row r="4011" spans="77:77">
      <c r="BY4011" s="35"/>
    </row>
    <row r="4012" spans="77:77">
      <c r="BY4012" s="35"/>
    </row>
    <row r="4013" spans="77:77">
      <c r="BY4013" s="35"/>
    </row>
    <row r="4014" spans="77:77">
      <c r="BY4014" s="35"/>
    </row>
    <row r="4015" spans="77:77">
      <c r="BY4015" s="35"/>
    </row>
    <row r="4016" spans="77:77">
      <c r="BY4016" s="35"/>
    </row>
    <row r="4017" spans="77:77">
      <c r="BY4017" s="35"/>
    </row>
    <row r="4018" spans="77:77">
      <c r="BY4018" s="35"/>
    </row>
    <row r="4019" spans="77:77">
      <c r="BY4019" s="35"/>
    </row>
    <row r="4020" spans="77:77">
      <c r="BY4020" s="35"/>
    </row>
    <row r="4021" spans="77:77">
      <c r="BY4021" s="35"/>
    </row>
    <row r="4022" spans="77:77">
      <c r="BY4022" s="35"/>
    </row>
    <row r="4023" spans="77:77">
      <c r="BY4023" s="35"/>
    </row>
    <row r="4024" spans="77:77">
      <c r="BY4024" s="35"/>
    </row>
    <row r="4025" spans="77:77">
      <c r="BY4025" s="35"/>
    </row>
    <row r="4026" spans="77:77">
      <c r="BY4026" s="35"/>
    </row>
    <row r="4027" spans="77:77">
      <c r="BY4027" s="35"/>
    </row>
    <row r="4028" spans="77:77">
      <c r="BY4028" s="35"/>
    </row>
    <row r="4029" spans="77:77">
      <c r="BY4029" s="35"/>
    </row>
    <row r="4030" spans="77:77">
      <c r="BY4030" s="35"/>
    </row>
    <row r="4031" spans="77:77">
      <c r="BY4031" s="35"/>
    </row>
    <row r="4032" spans="77:77">
      <c r="BY4032" s="35"/>
    </row>
    <row r="4033" spans="77:77">
      <c r="BY4033" s="35"/>
    </row>
    <row r="4034" spans="77:77">
      <c r="BY4034" s="35"/>
    </row>
    <row r="4035" spans="77:77">
      <c r="BY4035" s="35"/>
    </row>
    <row r="4036" spans="77:77">
      <c r="BY4036" s="35"/>
    </row>
    <row r="4037" spans="77:77">
      <c r="BY4037" s="35"/>
    </row>
    <row r="4038" spans="77:77">
      <c r="BY4038" s="35"/>
    </row>
    <row r="4039" spans="77:77">
      <c r="BY4039" s="35"/>
    </row>
    <row r="4040" spans="77:77">
      <c r="BY4040" s="35"/>
    </row>
    <row r="4041" spans="77:77">
      <c r="BY4041" s="35"/>
    </row>
    <row r="4042" spans="77:77">
      <c r="BY4042" s="35"/>
    </row>
    <row r="4043" spans="77:77">
      <c r="BY4043" s="35"/>
    </row>
    <row r="4044" spans="77:77">
      <c r="BY4044" s="35"/>
    </row>
    <row r="4045" spans="77:77">
      <c r="BY4045" s="35"/>
    </row>
    <row r="4046" spans="77:77">
      <c r="BY4046" s="35"/>
    </row>
    <row r="4047" spans="77:77">
      <c r="BY4047" s="35"/>
    </row>
    <row r="4048" spans="77:77">
      <c r="BY4048" s="35"/>
    </row>
    <row r="4049" spans="77:77">
      <c r="BY4049" s="35"/>
    </row>
    <row r="4050" spans="77:77">
      <c r="BY4050" s="35"/>
    </row>
    <row r="4051" spans="77:77">
      <c r="BY4051" s="35"/>
    </row>
    <row r="4052" spans="77:77">
      <c r="BY4052" s="35"/>
    </row>
    <row r="4053" spans="77:77">
      <c r="BY4053" s="35"/>
    </row>
    <row r="4054" spans="77:77">
      <c r="BY4054" s="35"/>
    </row>
    <row r="4055" spans="77:77">
      <c r="BY4055" s="35"/>
    </row>
    <row r="4056" spans="77:77">
      <c r="BY4056" s="35"/>
    </row>
    <row r="4057" spans="77:77">
      <c r="BY4057" s="35"/>
    </row>
    <row r="4058" spans="77:77">
      <c r="BY4058" s="35"/>
    </row>
    <row r="4059" spans="77:77">
      <c r="BY4059" s="35"/>
    </row>
    <row r="4060" spans="77:77">
      <c r="BY4060" s="35"/>
    </row>
    <row r="4061" spans="77:77">
      <c r="BY4061" s="35"/>
    </row>
    <row r="4062" spans="77:77">
      <c r="BY4062" s="35"/>
    </row>
    <row r="4063" spans="77:77">
      <c r="BY4063" s="35"/>
    </row>
    <row r="4064" spans="77:77">
      <c r="BY4064" s="35"/>
    </row>
    <row r="4065" spans="77:77">
      <c r="BY4065" s="35"/>
    </row>
    <row r="4066" spans="77:77">
      <c r="BY4066" s="35"/>
    </row>
    <row r="4067" spans="77:77">
      <c r="BY4067" s="35"/>
    </row>
    <row r="4068" spans="77:77">
      <c r="BY4068" s="35"/>
    </row>
    <row r="4069" spans="77:77">
      <c r="BY4069" s="35"/>
    </row>
    <row r="4070" spans="77:77">
      <c r="BY4070" s="35"/>
    </row>
    <row r="4071" spans="77:77">
      <c r="BY4071" s="35"/>
    </row>
    <row r="4072" spans="77:77">
      <c r="BY4072" s="35"/>
    </row>
    <row r="4073" spans="77:77">
      <c r="BY4073" s="35"/>
    </row>
    <row r="4074" spans="77:77">
      <c r="BY4074" s="35"/>
    </row>
    <row r="4075" spans="77:77">
      <c r="BY4075" s="35"/>
    </row>
    <row r="4076" spans="77:77">
      <c r="BY4076" s="35"/>
    </row>
    <row r="4077" spans="77:77">
      <c r="BY4077" s="35"/>
    </row>
    <row r="4078" spans="77:77">
      <c r="BY4078" s="35"/>
    </row>
    <row r="4079" spans="77:77">
      <c r="BY4079" s="35"/>
    </row>
    <row r="4080" spans="77:77">
      <c r="BY4080" s="35"/>
    </row>
    <row r="4081" spans="77:77">
      <c r="BY4081" s="35"/>
    </row>
    <row r="4082" spans="77:77">
      <c r="BY4082" s="35"/>
    </row>
    <row r="4083" spans="77:77">
      <c r="BY4083" s="35"/>
    </row>
    <row r="4084" spans="77:77">
      <c r="BY4084" s="35"/>
    </row>
    <row r="4085" spans="77:77">
      <c r="BY4085" s="35"/>
    </row>
    <row r="4086" spans="77:77">
      <c r="BY4086" s="35"/>
    </row>
    <row r="4087" spans="77:77">
      <c r="BY4087" s="35"/>
    </row>
    <row r="4088" spans="77:77">
      <c r="BY4088" s="35"/>
    </row>
    <row r="4089" spans="77:77">
      <c r="BY4089" s="35"/>
    </row>
    <row r="4090" spans="77:77">
      <c r="BY4090" s="35"/>
    </row>
    <row r="4091" spans="77:77">
      <c r="BY4091" s="35"/>
    </row>
    <row r="4092" spans="77:77">
      <c r="BY4092" s="35"/>
    </row>
    <row r="4093" spans="77:77">
      <c r="BY4093" s="35"/>
    </row>
    <row r="4094" spans="77:77">
      <c r="BY4094" s="35"/>
    </row>
    <row r="4095" spans="77:77">
      <c r="BY4095" s="35"/>
    </row>
    <row r="4096" spans="77:77">
      <c r="BY4096" s="35"/>
    </row>
    <row r="4097" spans="77:77">
      <c r="BY4097" s="35"/>
    </row>
    <row r="4098" spans="77:77">
      <c r="BY4098" s="35"/>
    </row>
    <row r="4099" spans="77:77">
      <c r="BY4099" s="35"/>
    </row>
    <row r="4100" spans="77:77">
      <c r="BY4100" s="35"/>
    </row>
    <row r="4101" spans="77:77">
      <c r="BY4101" s="35"/>
    </row>
    <row r="4102" spans="77:77">
      <c r="BY4102" s="35"/>
    </row>
    <row r="4103" spans="77:77">
      <c r="BY4103" s="35"/>
    </row>
    <row r="4104" spans="77:77">
      <c r="BY4104" s="35"/>
    </row>
    <row r="4105" spans="77:77">
      <c r="BY4105" s="35"/>
    </row>
    <row r="4106" spans="77:77">
      <c r="BY4106" s="35"/>
    </row>
    <row r="4107" spans="77:77">
      <c r="BY4107" s="35"/>
    </row>
    <row r="4108" spans="77:77">
      <c r="BY4108" s="35"/>
    </row>
    <row r="4109" spans="77:77">
      <c r="BY4109" s="35"/>
    </row>
    <row r="4110" spans="77:77">
      <c r="BY4110" s="35"/>
    </row>
    <row r="4111" spans="77:77">
      <c r="BY4111" s="35"/>
    </row>
    <row r="4112" spans="77:77">
      <c r="BY4112" s="35"/>
    </row>
    <row r="4113" spans="77:77">
      <c r="BY4113" s="35"/>
    </row>
    <row r="4114" spans="77:77">
      <c r="BY4114" s="35"/>
    </row>
    <row r="4115" spans="77:77">
      <c r="BY4115" s="35"/>
    </row>
    <row r="4116" spans="77:77">
      <c r="BY4116" s="35"/>
    </row>
    <row r="4117" spans="77:77">
      <c r="BY4117" s="35"/>
    </row>
    <row r="4118" spans="77:77">
      <c r="BY4118" s="35"/>
    </row>
    <row r="4119" spans="77:77">
      <c r="BY4119" s="35"/>
    </row>
    <row r="4120" spans="77:77">
      <c r="BY4120" s="35"/>
    </row>
    <row r="4121" spans="77:77">
      <c r="BY4121" s="35"/>
    </row>
    <row r="4122" spans="77:77">
      <c r="BY4122" s="35"/>
    </row>
    <row r="4123" spans="77:77">
      <c r="BY4123" s="35"/>
    </row>
    <row r="4124" spans="77:77">
      <c r="BY4124" s="35"/>
    </row>
    <row r="4125" spans="77:77">
      <c r="BY4125" s="35"/>
    </row>
    <row r="4126" spans="77:77">
      <c r="BY4126" s="35"/>
    </row>
    <row r="4127" spans="77:77">
      <c r="BY4127" s="35"/>
    </row>
    <row r="4128" spans="77:77">
      <c r="BY4128" s="35"/>
    </row>
    <row r="4129" spans="77:77">
      <c r="BY4129" s="35"/>
    </row>
    <row r="4130" spans="77:77">
      <c r="BY4130" s="35"/>
    </row>
    <row r="4131" spans="77:77">
      <c r="BY4131" s="35"/>
    </row>
    <row r="4132" spans="77:77">
      <c r="BY4132" s="35"/>
    </row>
    <row r="4133" spans="77:77">
      <c r="BY4133" s="35"/>
    </row>
    <row r="4134" spans="77:77">
      <c r="BY4134" s="35"/>
    </row>
    <row r="4135" spans="77:77">
      <c r="BY4135" s="35"/>
    </row>
    <row r="4136" spans="77:77">
      <c r="BY4136" s="35"/>
    </row>
    <row r="4137" spans="77:77">
      <c r="BY4137" s="35"/>
    </row>
    <row r="4138" spans="77:77">
      <c r="BY4138" s="35"/>
    </row>
    <row r="4139" spans="77:77">
      <c r="BY4139" s="35"/>
    </row>
    <row r="4140" spans="77:77">
      <c r="BY4140" s="35"/>
    </row>
    <row r="4141" spans="77:77">
      <c r="BY4141" s="35"/>
    </row>
    <row r="4142" spans="77:77">
      <c r="BY4142" s="35"/>
    </row>
    <row r="4143" spans="77:77">
      <c r="BY4143" s="35"/>
    </row>
    <row r="4144" spans="77:77">
      <c r="BY4144" s="35"/>
    </row>
    <row r="4145" spans="77:77">
      <c r="BY4145" s="35"/>
    </row>
    <row r="4146" spans="77:77">
      <c r="BY4146" s="35"/>
    </row>
    <row r="4147" spans="77:77">
      <c r="BY4147" s="35"/>
    </row>
    <row r="4148" spans="77:77">
      <c r="BY4148" s="35"/>
    </row>
    <row r="4149" spans="77:77">
      <c r="BY4149" s="35"/>
    </row>
    <row r="4150" spans="77:77">
      <c r="BY4150" s="35"/>
    </row>
    <row r="4151" spans="77:77">
      <c r="BY4151" s="35"/>
    </row>
    <row r="4152" spans="77:77">
      <c r="BY4152" s="35"/>
    </row>
    <row r="4153" spans="77:77">
      <c r="BY4153" s="35"/>
    </row>
    <row r="4154" spans="77:77">
      <c r="BY4154" s="35"/>
    </row>
    <row r="4155" spans="77:77">
      <c r="BY4155" s="35"/>
    </row>
    <row r="4156" spans="77:77">
      <c r="BY4156" s="35"/>
    </row>
    <row r="4157" spans="77:77">
      <c r="BY4157" s="35"/>
    </row>
    <row r="4158" spans="77:77">
      <c r="BY4158" s="35"/>
    </row>
    <row r="4159" spans="77:77">
      <c r="BY4159" s="35"/>
    </row>
    <row r="4160" spans="77:77">
      <c r="BY4160" s="35"/>
    </row>
    <row r="4161" spans="77:77">
      <c r="BY4161" s="35"/>
    </row>
    <row r="4162" spans="77:77">
      <c r="BY4162" s="35"/>
    </row>
    <row r="4163" spans="77:77">
      <c r="BY4163" s="35"/>
    </row>
    <row r="4164" spans="77:77">
      <c r="BY4164" s="35"/>
    </row>
    <row r="4165" spans="77:77">
      <c r="BY4165" s="35"/>
    </row>
    <row r="4166" spans="77:77">
      <c r="BY4166" s="35"/>
    </row>
    <row r="4167" spans="77:77">
      <c r="BY4167" s="35"/>
    </row>
    <row r="4168" spans="77:77">
      <c r="BY4168" s="35"/>
    </row>
    <row r="4169" spans="77:77">
      <c r="BY4169" s="35"/>
    </row>
    <row r="4170" spans="77:77">
      <c r="BY4170" s="35"/>
    </row>
    <row r="4171" spans="77:77">
      <c r="BY4171" s="35"/>
    </row>
    <row r="4172" spans="77:77">
      <c r="BY4172" s="35"/>
    </row>
    <row r="4173" spans="77:77">
      <c r="BY4173" s="35"/>
    </row>
    <row r="4174" spans="77:77">
      <c r="BY4174" s="35"/>
    </row>
    <row r="4175" spans="77:77">
      <c r="BY4175" s="35"/>
    </row>
    <row r="4176" spans="77:77">
      <c r="BY4176" s="35"/>
    </row>
    <row r="4177" spans="77:77">
      <c r="BY4177" s="35"/>
    </row>
    <row r="4178" spans="77:77">
      <c r="BY4178" s="35"/>
    </row>
    <row r="4179" spans="77:77">
      <c r="BY4179" s="35"/>
    </row>
    <row r="4180" spans="77:77">
      <c r="BY4180" s="35"/>
    </row>
    <row r="4181" spans="77:77">
      <c r="BY4181" s="35"/>
    </row>
    <row r="4182" spans="77:77">
      <c r="BY4182" s="35"/>
    </row>
    <row r="4183" spans="77:77">
      <c r="BY4183" s="35"/>
    </row>
    <row r="4184" spans="77:77">
      <c r="BY4184" s="35"/>
    </row>
    <row r="4185" spans="77:77">
      <c r="BY4185" s="35"/>
    </row>
    <row r="4186" spans="77:77">
      <c r="BY4186" s="35"/>
    </row>
    <row r="4187" spans="77:77">
      <c r="BY4187" s="35"/>
    </row>
    <row r="4188" spans="77:77">
      <c r="BY4188" s="35"/>
    </row>
    <row r="4189" spans="77:77">
      <c r="BY4189" s="35"/>
    </row>
    <row r="4190" spans="77:77">
      <c r="BY4190" s="35"/>
    </row>
    <row r="4191" spans="77:77">
      <c r="BY4191" s="35"/>
    </row>
    <row r="4192" spans="77:77">
      <c r="BY4192" s="35"/>
    </row>
    <row r="4193" spans="77:77">
      <c r="BY4193" s="35"/>
    </row>
    <row r="4194" spans="77:77">
      <c r="BY4194" s="35"/>
    </row>
    <row r="4195" spans="77:77">
      <c r="BY4195" s="35"/>
    </row>
    <row r="4196" spans="77:77">
      <c r="BY4196" s="35"/>
    </row>
    <row r="4197" spans="77:77">
      <c r="BY4197" s="35"/>
    </row>
    <row r="4198" spans="77:77">
      <c r="BY4198" s="35"/>
    </row>
    <row r="4199" spans="77:77">
      <c r="BY4199" s="35"/>
    </row>
    <row r="4200" spans="77:77">
      <c r="BY4200" s="35"/>
    </row>
    <row r="4201" spans="77:77">
      <c r="BY4201" s="35"/>
    </row>
    <row r="4202" spans="77:77">
      <c r="BY4202" s="35"/>
    </row>
    <row r="4203" spans="77:77">
      <c r="BY4203" s="35"/>
    </row>
    <row r="4204" spans="77:77">
      <c r="BY4204" s="35"/>
    </row>
    <row r="4205" spans="77:77">
      <c r="BY4205" s="35"/>
    </row>
    <row r="4206" spans="77:77">
      <c r="BY4206" s="35"/>
    </row>
    <row r="4207" spans="77:77">
      <c r="BY4207" s="35"/>
    </row>
    <row r="4208" spans="77:77">
      <c r="BY4208" s="35"/>
    </row>
    <row r="4209" spans="77:77">
      <c r="BY4209" s="35"/>
    </row>
    <row r="4210" spans="77:77">
      <c r="BY4210" s="35"/>
    </row>
    <row r="4211" spans="77:77">
      <c r="BY4211" s="35"/>
    </row>
    <row r="4212" spans="77:77">
      <c r="BY4212" s="35"/>
    </row>
    <row r="4213" spans="77:77">
      <c r="BY4213" s="35"/>
    </row>
    <row r="4214" spans="77:77">
      <c r="BY4214" s="35"/>
    </row>
    <row r="4215" spans="77:77">
      <c r="BY4215" s="35"/>
    </row>
    <row r="4216" spans="77:77">
      <c r="BY4216" s="35"/>
    </row>
    <row r="4217" spans="77:77">
      <c r="BY4217" s="35"/>
    </row>
    <row r="4218" spans="77:77">
      <c r="BY4218" s="35"/>
    </row>
    <row r="4219" spans="77:77">
      <c r="BY4219" s="35"/>
    </row>
    <row r="4220" spans="77:77">
      <c r="BY4220" s="35"/>
    </row>
    <row r="4221" spans="77:77">
      <c r="BY4221" s="35"/>
    </row>
    <row r="4222" spans="77:77">
      <c r="BY4222" s="35"/>
    </row>
    <row r="4223" spans="77:77">
      <c r="BY4223" s="35"/>
    </row>
    <row r="4224" spans="77:77">
      <c r="BY4224" s="35"/>
    </row>
    <row r="4225" spans="77:77">
      <c r="BY4225" s="35"/>
    </row>
    <row r="4226" spans="77:77">
      <c r="BY4226" s="35"/>
    </row>
    <row r="4227" spans="77:77">
      <c r="BY4227" s="35"/>
    </row>
    <row r="4228" spans="77:77">
      <c r="BY4228" s="35"/>
    </row>
    <row r="4229" spans="77:77">
      <c r="BY4229" s="35"/>
    </row>
    <row r="4230" spans="77:77">
      <c r="BY4230" s="35"/>
    </row>
    <row r="4231" spans="77:77">
      <c r="BY4231" s="35"/>
    </row>
    <row r="4232" spans="77:77">
      <c r="BY4232" s="35"/>
    </row>
    <row r="4233" spans="77:77">
      <c r="BY4233" s="35"/>
    </row>
    <row r="4234" spans="77:77">
      <c r="BY4234" s="35"/>
    </row>
    <row r="4235" spans="77:77">
      <c r="BY4235" s="35"/>
    </row>
    <row r="4236" spans="77:77">
      <c r="BY4236" s="35"/>
    </row>
    <row r="4237" spans="77:77">
      <c r="BY4237" s="35"/>
    </row>
    <row r="4238" spans="77:77">
      <c r="BY4238" s="35"/>
    </row>
    <row r="4239" spans="77:77">
      <c r="BY4239" s="35"/>
    </row>
    <row r="4240" spans="77:77">
      <c r="BY4240" s="35"/>
    </row>
    <row r="4241" spans="77:77">
      <c r="BY4241" s="35"/>
    </row>
    <row r="4242" spans="77:77">
      <c r="BY4242" s="35"/>
    </row>
    <row r="4243" spans="77:77">
      <c r="BY4243" s="35"/>
    </row>
    <row r="4244" spans="77:77">
      <c r="BY4244" s="35"/>
    </row>
    <row r="4245" spans="77:77">
      <c r="BY4245" s="35"/>
    </row>
    <row r="4246" spans="77:77">
      <c r="BY4246" s="35"/>
    </row>
    <row r="4247" spans="77:77">
      <c r="BY4247" s="35"/>
    </row>
    <row r="4248" spans="77:77">
      <c r="BY4248" s="35"/>
    </row>
    <row r="4249" spans="77:77">
      <c r="BY4249" s="35"/>
    </row>
    <row r="4250" spans="77:77">
      <c r="BY4250" s="35"/>
    </row>
    <row r="4251" spans="77:77">
      <c r="BY4251" s="35"/>
    </row>
    <row r="4252" spans="77:77">
      <c r="BY4252" s="35"/>
    </row>
    <row r="4253" spans="77:77">
      <c r="BY4253" s="35"/>
    </row>
    <row r="4254" spans="77:77">
      <c r="BY4254" s="35"/>
    </row>
    <row r="4255" spans="77:77">
      <c r="BY4255" s="35"/>
    </row>
    <row r="4256" spans="77:77">
      <c r="BY4256" s="35"/>
    </row>
    <row r="4257" spans="77:77">
      <c r="BY4257" s="35"/>
    </row>
    <row r="4258" spans="77:77">
      <c r="BY4258" s="35"/>
    </row>
    <row r="4259" spans="77:77">
      <c r="BY4259" s="35"/>
    </row>
    <row r="4260" spans="77:77">
      <c r="BY4260" s="35"/>
    </row>
    <row r="4261" spans="77:77">
      <c r="BY4261" s="35"/>
    </row>
    <row r="4262" spans="77:77">
      <c r="BY4262" s="35"/>
    </row>
    <row r="4263" spans="77:77">
      <c r="BY4263" s="35"/>
    </row>
    <row r="4264" spans="77:77">
      <c r="BY4264" s="35"/>
    </row>
    <row r="4265" spans="77:77">
      <c r="BY4265" s="35"/>
    </row>
    <row r="4266" spans="77:77">
      <c r="BY4266" s="35"/>
    </row>
    <row r="4267" spans="77:77">
      <c r="BY4267" s="35"/>
    </row>
    <row r="4268" spans="77:77">
      <c r="BY4268" s="35"/>
    </row>
    <row r="4269" spans="77:77">
      <c r="BY4269" s="35"/>
    </row>
    <row r="4270" spans="77:77">
      <c r="BY4270" s="35"/>
    </row>
    <row r="4271" spans="77:77">
      <c r="BY4271" s="35"/>
    </row>
    <row r="4272" spans="77:77">
      <c r="BY4272" s="35"/>
    </row>
    <row r="4273" spans="77:77">
      <c r="BY4273" s="35"/>
    </row>
    <row r="4274" spans="77:77">
      <c r="BY4274" s="35"/>
    </row>
    <row r="4275" spans="77:77">
      <c r="BY4275" s="35"/>
    </row>
    <row r="4276" spans="77:77">
      <c r="BY4276" s="35"/>
    </row>
    <row r="4277" spans="77:77">
      <c r="BY4277" s="35"/>
    </row>
    <row r="4278" spans="77:77">
      <c r="BY4278" s="35"/>
    </row>
    <row r="4279" spans="77:77">
      <c r="BY4279" s="35"/>
    </row>
    <row r="4280" spans="77:77">
      <c r="BY4280" s="35"/>
    </row>
    <row r="4281" spans="77:77">
      <c r="BY4281" s="35"/>
    </row>
    <row r="4282" spans="77:77">
      <c r="BY4282" s="35"/>
    </row>
    <row r="4283" spans="77:77">
      <c r="BY4283" s="35"/>
    </row>
    <row r="4284" spans="77:77">
      <c r="BY4284" s="35"/>
    </row>
    <row r="4285" spans="77:77">
      <c r="BY4285" s="35"/>
    </row>
    <row r="4286" spans="77:77">
      <c r="BY4286" s="35"/>
    </row>
    <row r="4287" spans="77:77">
      <c r="BY4287" s="35"/>
    </row>
    <row r="4288" spans="77:77">
      <c r="BY4288" s="35"/>
    </row>
    <row r="4289" spans="77:77">
      <c r="BY4289" s="35"/>
    </row>
    <row r="4290" spans="77:77">
      <c r="BY4290" s="35"/>
    </row>
    <row r="4291" spans="77:77">
      <c r="BY4291" s="35"/>
    </row>
    <row r="4292" spans="77:77">
      <c r="BY4292" s="35"/>
    </row>
    <row r="4293" spans="77:77">
      <c r="BY4293" s="35"/>
    </row>
    <row r="4294" spans="77:77">
      <c r="BY4294" s="35"/>
    </row>
    <row r="4295" spans="77:77">
      <c r="BY4295" s="35"/>
    </row>
    <row r="4296" spans="77:77">
      <c r="BY4296" s="35"/>
    </row>
    <row r="4297" spans="77:77">
      <c r="BY4297" s="35"/>
    </row>
    <row r="4298" spans="77:77">
      <c r="BY4298" s="35"/>
    </row>
    <row r="4299" spans="77:77">
      <c r="BY4299" s="35"/>
    </row>
    <row r="4300" spans="77:77">
      <c r="BY4300" s="35"/>
    </row>
    <row r="4301" spans="77:77">
      <c r="BY4301" s="35"/>
    </row>
    <row r="4302" spans="77:77">
      <c r="BY4302" s="35"/>
    </row>
    <row r="4303" spans="77:77">
      <c r="BY4303" s="35"/>
    </row>
    <row r="4304" spans="77:77">
      <c r="BY4304" s="35"/>
    </row>
    <row r="4305" spans="77:77">
      <c r="BY4305" s="35"/>
    </row>
    <row r="4306" spans="77:77">
      <c r="BY4306" s="35"/>
    </row>
    <row r="4307" spans="77:77">
      <c r="BY4307" s="35"/>
    </row>
    <row r="4308" spans="77:77">
      <c r="BY4308" s="35"/>
    </row>
    <row r="4309" spans="77:77">
      <c r="BY4309" s="35"/>
    </row>
    <row r="4310" spans="77:77">
      <c r="BY4310" s="35"/>
    </row>
    <row r="4311" spans="77:77">
      <c r="BY4311" s="35"/>
    </row>
    <row r="4312" spans="77:77">
      <c r="BY4312" s="35"/>
    </row>
    <row r="4313" spans="77:77">
      <c r="BY4313" s="35"/>
    </row>
    <row r="4314" spans="77:77">
      <c r="BY4314" s="35"/>
    </row>
    <row r="4315" spans="77:77">
      <c r="BY4315" s="35"/>
    </row>
    <row r="4316" spans="77:77">
      <c r="BY4316" s="35"/>
    </row>
    <row r="4317" spans="77:77">
      <c r="BY4317" s="35"/>
    </row>
    <row r="4318" spans="77:77">
      <c r="BY4318" s="35"/>
    </row>
    <row r="4319" spans="77:77">
      <c r="BY4319" s="35"/>
    </row>
    <row r="4320" spans="77:77">
      <c r="BY4320" s="35"/>
    </row>
    <row r="4321" spans="77:77">
      <c r="BY4321" s="35"/>
    </row>
    <row r="4322" spans="77:77">
      <c r="BY4322" s="35"/>
    </row>
  </sheetData>
  <mergeCells count="60"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  <mergeCell ref="R10:R50"/>
    <mergeCell ref="AB10:AB50"/>
    <mergeCell ref="AI10:AI50"/>
    <mergeCell ref="AP10:AP50"/>
    <mergeCell ref="AV10:AV50"/>
    <mergeCell ref="BR10:BR50"/>
    <mergeCell ref="BQ8:BQ9"/>
    <mergeCell ref="BJ10:BJ50"/>
    <mergeCell ref="BC10:BC50"/>
    <mergeCell ref="BC8:BC9"/>
    <mergeCell ref="BZ8:BZ9"/>
    <mergeCell ref="BU8:BU9"/>
    <mergeCell ref="BT8:BT9"/>
    <mergeCell ref="BW8:BW9"/>
    <mergeCell ref="BV8:BV9"/>
    <mergeCell ref="AI8:AI9"/>
    <mergeCell ref="AK8:AN8"/>
    <mergeCell ref="AB8:AB9"/>
    <mergeCell ref="AC8:AC9"/>
    <mergeCell ref="AH8:AH9"/>
    <mergeCell ref="AD8:AG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</mergeCells>
  <pageMargins left="0.19685039370078741" right="0.19685039370078741" top="0.19685039370078741" bottom="0.19685039370078741" header="0.19685039370078741" footer="0.19685039370078741"/>
  <pageSetup paperSize="5" scale="44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topLeftCell="A22" workbookViewId="0">
      <selection activeCell="B5" sqref="B5:C5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2"/>
    <col min="6" max="6" width="7.42578125" customWidth="1"/>
    <col min="7" max="7" width="6.42578125" style="2" bestFit="1" customWidth="1"/>
    <col min="8" max="8" width="7.42578125" customWidth="1"/>
    <col min="9" max="9" width="10.140625" customWidth="1"/>
    <col min="10" max="10" width="9.42578125" customWidth="1"/>
    <col min="11" max="11" width="9.42578125" style="2" customWidth="1"/>
    <col min="12" max="12" width="9.140625" customWidth="1"/>
    <col min="13" max="13" width="10.140625" customWidth="1"/>
  </cols>
  <sheetData>
    <row r="1" spans="2:16" ht="24.95" customHeight="1">
      <c r="B1" s="64" t="s">
        <v>146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2:16" ht="24.9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2:16" ht="24.95" customHeight="1"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P3" s="1"/>
    </row>
    <row r="4" spans="2:16" ht="24.95" customHeight="1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</row>
    <row r="5" spans="2:16" ht="24.95" customHeight="1">
      <c r="B5" s="61" t="s">
        <v>35</v>
      </c>
      <c r="C5" s="61"/>
      <c r="D5" s="62" t="e">
        <f>VLOOKUP($K$5,'1ST_SEMESTER'!$B$8:$BZ$50,2,0)</f>
        <v>#N/A</v>
      </c>
      <c r="E5" s="62"/>
      <c r="F5" s="62"/>
      <c r="G5" s="62"/>
      <c r="H5" s="63" t="s">
        <v>0</v>
      </c>
      <c r="I5" s="63"/>
      <c r="J5" s="12" t="s">
        <v>55</v>
      </c>
      <c r="K5" s="62">
        <v>2</v>
      </c>
      <c r="L5" s="62"/>
      <c r="M5" s="62"/>
    </row>
    <row r="6" spans="2:16" ht="24.95" customHeight="1">
      <c r="B6" s="61" t="s">
        <v>36</v>
      </c>
      <c r="C6" s="61"/>
      <c r="D6" s="62" t="e">
        <f>VLOOKUP($K$5,'1ST_SEMESTER'!$B$8:$BZ$50,3,0)</f>
        <v>#N/A</v>
      </c>
      <c r="E6" s="62"/>
      <c r="F6" s="62"/>
      <c r="G6" s="62"/>
      <c r="H6" s="63" t="s">
        <v>56</v>
      </c>
      <c r="I6" s="63"/>
      <c r="J6" s="12" t="s">
        <v>55</v>
      </c>
      <c r="K6" s="62" t="str">
        <f>'1ST_SEMESTER'!H7</f>
        <v>EIGHT</v>
      </c>
      <c r="L6" s="62"/>
      <c r="M6" s="62"/>
    </row>
    <row r="7" spans="2:16" ht="24.95" customHeight="1">
      <c r="B7" s="61" t="s">
        <v>37</v>
      </c>
      <c r="C7" s="61"/>
      <c r="D7" s="62" t="e">
        <f>VLOOKUP($K$5,'1ST_SEMESTER'!$B$8:$BZ$50,4,0)</f>
        <v>#N/A</v>
      </c>
      <c r="E7" s="62"/>
      <c r="F7" s="62"/>
      <c r="G7" s="62"/>
      <c r="H7" s="63" t="s">
        <v>57</v>
      </c>
      <c r="I7" s="63"/>
      <c r="J7" s="12" t="s">
        <v>55</v>
      </c>
      <c r="K7" s="62" t="str">
        <f>'1ST_SEMESTER'!J7</f>
        <v>PADMA</v>
      </c>
      <c r="L7" s="62"/>
      <c r="M7" s="62"/>
    </row>
    <row r="8" spans="2:16" ht="24.95" customHeight="1">
      <c r="B8" s="61" t="s">
        <v>38</v>
      </c>
      <c r="C8" s="61"/>
      <c r="D8" s="65" t="str">
        <f>'1ST_SEMESTER'!D7</f>
        <v>ABDUL KADER</v>
      </c>
      <c r="E8" s="65"/>
      <c r="F8" s="65"/>
      <c r="G8" s="65"/>
      <c r="H8" s="67" t="s">
        <v>58</v>
      </c>
      <c r="I8" s="67"/>
      <c r="J8" s="13" t="s">
        <v>55</v>
      </c>
      <c r="K8" s="66">
        <f>'1ST_SEMESTER'!M7</f>
        <v>39</v>
      </c>
      <c r="L8" s="66"/>
      <c r="M8" s="66"/>
    </row>
    <row r="9" spans="2:16" ht="24.95" customHeight="1">
      <c r="B9" s="61" t="s">
        <v>39</v>
      </c>
      <c r="C9" s="61"/>
      <c r="D9" s="68" t="str">
        <f>'1ST_SEMESTER'!F7</f>
        <v>01595-203572</v>
      </c>
      <c r="E9" s="68"/>
      <c r="F9" s="68"/>
      <c r="G9" s="68"/>
      <c r="H9" s="63" t="s">
        <v>59</v>
      </c>
      <c r="I9" s="63"/>
      <c r="J9" s="13" t="s">
        <v>55</v>
      </c>
      <c r="K9" s="66" t="e">
        <f>VLOOKUP($K$5,'1ST_SEMESTER'!$B$8:$BZ$50,77,0)</f>
        <v>#N/A</v>
      </c>
      <c r="L9" s="66"/>
      <c r="M9" s="66" t="e">
        <f>VLOOKUP($K$5,'1ST_SEMESTER'!$B$8:$BZ$23,10,0)</f>
        <v>#N/A</v>
      </c>
    </row>
    <row r="10" spans="2:16" ht="12.75" customHeight="1">
      <c r="B10" s="24"/>
      <c r="C10" s="24"/>
      <c r="D10" s="25"/>
      <c r="E10" s="25"/>
      <c r="F10" s="25"/>
      <c r="G10" s="25"/>
      <c r="H10" s="27"/>
      <c r="I10" s="27"/>
      <c r="J10" s="13"/>
      <c r="K10" s="26"/>
      <c r="L10" s="26"/>
      <c r="M10" s="26"/>
    </row>
    <row r="11" spans="2:16" ht="24.95" customHeight="1">
      <c r="B11" s="69" t="s">
        <v>20</v>
      </c>
      <c r="C11" s="69"/>
      <c r="D11" s="69"/>
      <c r="E11" s="70" t="s">
        <v>21</v>
      </c>
      <c r="F11" s="73" t="s">
        <v>24</v>
      </c>
      <c r="G11" s="74" t="s">
        <v>25</v>
      </c>
      <c r="H11" s="73" t="s">
        <v>26</v>
      </c>
      <c r="I11" s="71" t="s">
        <v>22</v>
      </c>
      <c r="J11" s="71" t="s">
        <v>23</v>
      </c>
      <c r="K11" s="72" t="s">
        <v>2</v>
      </c>
      <c r="L11" s="71" t="s">
        <v>54</v>
      </c>
      <c r="M11" s="71" t="s">
        <v>6</v>
      </c>
    </row>
    <row r="12" spans="2:16" ht="24.95" customHeight="1">
      <c r="B12" s="69"/>
      <c r="C12" s="69"/>
      <c r="D12" s="69"/>
      <c r="E12" s="70"/>
      <c r="F12" s="73"/>
      <c r="G12" s="74"/>
      <c r="H12" s="73"/>
      <c r="I12" s="71"/>
      <c r="J12" s="71"/>
      <c r="K12" s="72"/>
      <c r="L12" s="71"/>
      <c r="M12" s="71"/>
    </row>
    <row r="13" spans="2:16" ht="24.95" customHeight="1">
      <c r="B13" s="69"/>
      <c r="C13" s="69"/>
      <c r="D13" s="69"/>
      <c r="E13" s="70"/>
      <c r="F13" s="73"/>
      <c r="G13" s="74"/>
      <c r="H13" s="73"/>
      <c r="I13" s="71"/>
      <c r="J13" s="71"/>
      <c r="K13" s="72"/>
      <c r="L13" s="71"/>
      <c r="M13" s="71"/>
    </row>
    <row r="14" spans="2:16" ht="24.95" customHeight="1">
      <c r="B14" s="69"/>
      <c r="C14" s="69"/>
      <c r="D14" s="69"/>
      <c r="E14" s="70"/>
      <c r="F14" s="73"/>
      <c r="G14" s="74"/>
      <c r="H14" s="73"/>
      <c r="I14" s="71"/>
      <c r="J14" s="71"/>
      <c r="K14" s="72"/>
      <c r="L14" s="71"/>
      <c r="M14" s="71"/>
    </row>
    <row r="15" spans="2:16" ht="24.95" customHeight="1">
      <c r="B15" s="69"/>
      <c r="C15" s="69"/>
      <c r="D15" s="69"/>
      <c r="E15" s="70"/>
      <c r="F15" s="73"/>
      <c r="G15" s="74"/>
      <c r="H15" s="73"/>
      <c r="I15" s="71"/>
      <c r="J15" s="71"/>
      <c r="K15" s="72"/>
      <c r="L15" s="71"/>
      <c r="M15" s="71"/>
    </row>
    <row r="16" spans="2:16" ht="24.95" customHeight="1">
      <c r="B16" s="69"/>
      <c r="C16" s="69"/>
      <c r="D16" s="69"/>
      <c r="E16" s="70"/>
      <c r="F16" s="73"/>
      <c r="G16" s="74"/>
      <c r="H16" s="73"/>
      <c r="I16" s="71"/>
      <c r="J16" s="71"/>
      <c r="K16" s="72"/>
      <c r="L16" s="71"/>
      <c r="M16" s="71"/>
    </row>
    <row r="17" spans="2:16" ht="30" customHeight="1">
      <c r="B17" s="76" t="s">
        <v>27</v>
      </c>
      <c r="C17" s="76"/>
      <c r="D17" s="76"/>
      <c r="E17" s="3" t="e">
        <f>VLOOKUP($K$5,'1ST_SEMESTER'!$B$8:$BZ$50,6,0)</f>
        <v>#N/A</v>
      </c>
      <c r="F17" s="3" t="e">
        <f>VLOOKUP($K$5,'1ST_SEMESTER'!$B$8:$BZ$50,7,0)</f>
        <v>#N/A</v>
      </c>
      <c r="G17" s="3" t="e">
        <f>VLOOKUP($K$5,'1ST_SEMESTER'!$B$8:$BZ$50,9,0)</f>
        <v>#N/A</v>
      </c>
      <c r="H17" s="82"/>
      <c r="I17" s="77" t="e">
        <f>VLOOKUP($K$5,'1ST_SEMESTER'!$B$8:$BZ$50,16,0)</f>
        <v>#N/A</v>
      </c>
      <c r="J17" s="77">
        <f>'1ST_SEMESTER'!R10</f>
        <v>123</v>
      </c>
      <c r="K17" s="77" t="e">
        <f>VLOOKUP($K$5,'1ST_SEMESTER'!$B$8:$BZ$50,18,0)</f>
        <v>#N/A</v>
      </c>
      <c r="L17" s="77" t="e">
        <f t="shared" ref="L17:L25" si="0">IF(K17="F","F",IF(K17&lt;2.5,"D",IF(K17&lt;3,"C",IF(K17&lt;3.5,"B",IF(K17&lt;4,"A-",IF(K17&lt;5,"A","A+"))))))</f>
        <v>#N/A</v>
      </c>
      <c r="M17" s="75" t="str">
        <f>IFERROR(VLOOKUP($K$5,'1ST_SEMESTER'!$B$8:$BZ$50,73,0),"")</f>
        <v/>
      </c>
    </row>
    <row r="18" spans="2:16" ht="30" customHeight="1">
      <c r="B18" s="76" t="s">
        <v>28</v>
      </c>
      <c r="C18" s="76"/>
      <c r="D18" s="76"/>
      <c r="E18" s="3" t="e">
        <f>VLOOKUP($K$5,'1ST_SEMESTER'!$B$8:$BZ$50,11,0)</f>
        <v>#N/A</v>
      </c>
      <c r="F18" s="3" t="e">
        <f>VLOOKUP($K$5,'1ST_SEMESTER'!$B$8:$BZ$50,12,0)</f>
        <v>#N/A</v>
      </c>
      <c r="G18" s="3" t="e">
        <f>VLOOKUP($K$5,'1ST_SEMESTER'!$B$8:$BZ$50,14,0)</f>
        <v>#N/A</v>
      </c>
      <c r="H18" s="83"/>
      <c r="I18" s="78"/>
      <c r="J18" s="78"/>
      <c r="K18" s="78"/>
      <c r="L18" s="78" t="str">
        <f t="shared" si="0"/>
        <v>D</v>
      </c>
      <c r="M18" s="75" t="e">
        <f>VLOOKUP($K$5,'1ST_SEMESTER'!$B$8:$BZ$23,47,0)</f>
        <v>#N/A</v>
      </c>
    </row>
    <row r="19" spans="2:16" ht="30" customHeight="1">
      <c r="B19" s="76" t="s">
        <v>29</v>
      </c>
      <c r="C19" s="76"/>
      <c r="D19" s="76"/>
      <c r="E19" s="3" t="e">
        <f>VLOOKUP($K$5,'1ST_SEMESTER'!$B$8:$BZ$50,19,0)</f>
        <v>#N/A</v>
      </c>
      <c r="F19" s="3" t="e">
        <f>VLOOKUP($K$5,'1ST_SEMESTER'!$B$8:$BZ$50,20,0)</f>
        <v>#N/A</v>
      </c>
      <c r="G19" s="5"/>
      <c r="H19" s="83"/>
      <c r="I19" s="77" t="e">
        <f>VLOOKUP($K$5,'1ST_SEMESTER'!$B$8:$BZ$50,26,0)</f>
        <v>#N/A</v>
      </c>
      <c r="J19" s="77">
        <f>'1ST_SEMESTER'!AB10</f>
        <v>117</v>
      </c>
      <c r="K19" s="77" t="e">
        <f>VLOOKUP($K$5,'1ST_SEMESTER'!$B$8:$BZ$50,28,0)</f>
        <v>#N/A</v>
      </c>
      <c r="L19" s="77" t="e">
        <f t="shared" si="0"/>
        <v>#N/A</v>
      </c>
      <c r="M19" s="75" t="e">
        <f>VLOOKUP($K$5,'1ST_SEMESTER'!$B$8:$BZ$23,47,0)</f>
        <v>#N/A</v>
      </c>
      <c r="P19" s="1"/>
    </row>
    <row r="20" spans="2:16" ht="30" customHeight="1">
      <c r="B20" s="76" t="s">
        <v>30</v>
      </c>
      <c r="C20" s="76"/>
      <c r="D20" s="76"/>
      <c r="E20" s="3" t="e">
        <f>VLOOKUP($K$5,'1ST_SEMESTER'!$B$8:$BZ$50,22,0)</f>
        <v>#N/A</v>
      </c>
      <c r="F20" s="3" t="e">
        <f>VLOOKUP($K$5,'1ST_SEMESTER'!$B$8:$BZ$50,23,0)</f>
        <v>#N/A</v>
      </c>
      <c r="G20" s="6"/>
      <c r="H20" s="83"/>
      <c r="I20" s="78"/>
      <c r="J20" s="78"/>
      <c r="K20" s="78"/>
      <c r="L20" s="78" t="str">
        <f t="shared" si="0"/>
        <v>D</v>
      </c>
      <c r="M20" s="75" t="e">
        <f>VLOOKUP($K$5,'1ST_SEMESTER'!$B$8:$BZ$23,47,0)</f>
        <v>#N/A</v>
      </c>
    </row>
    <row r="21" spans="2:16" ht="30" customHeight="1">
      <c r="B21" s="76" t="s">
        <v>31</v>
      </c>
      <c r="C21" s="76"/>
      <c r="D21" s="76"/>
      <c r="E21" s="3" t="e">
        <f>VLOOKUP($K$5,'1ST_SEMESTER'!$B$8:$BZ$50,29,0)</f>
        <v>#N/A</v>
      </c>
      <c r="F21" s="3" t="e">
        <f>VLOOKUP($K$5,'1ST_SEMESTER'!$B$8:$BZ$50,30,0)</f>
        <v>#N/A</v>
      </c>
      <c r="G21" s="3" t="e">
        <f>VLOOKUP($K$5,'1ST_SEMESTER'!$B$8:$BZ$50,32,0)</f>
        <v>#N/A</v>
      </c>
      <c r="H21" s="83"/>
      <c r="I21" s="3" t="e">
        <f>VLOOKUP($K$5,'1ST_SEMESTER'!$B$8:$BZ$50,33,0)</f>
        <v>#N/A</v>
      </c>
      <c r="J21" s="3">
        <f>'1ST_SEMESTER'!AI10</f>
        <v>67</v>
      </c>
      <c r="K21" s="3" t="e">
        <f>VLOOKUP($K$5,'1ST_SEMESTER'!$B$8:$BZ$50,35,0)</f>
        <v>#N/A</v>
      </c>
      <c r="L21" s="3" t="e">
        <f t="shared" si="0"/>
        <v>#N/A</v>
      </c>
      <c r="M21" s="75" t="e">
        <f>VLOOKUP($K$5,'1ST_SEMESTER'!$B$8:$BZ$23,47,0)</f>
        <v>#N/A</v>
      </c>
    </row>
    <row r="22" spans="2:16" ht="30" customHeight="1">
      <c r="B22" s="76" t="s">
        <v>32</v>
      </c>
      <c r="C22" s="76"/>
      <c r="D22" s="76"/>
      <c r="E22" s="3" t="e">
        <f>VLOOKUP($K$5,'1ST_SEMESTER'!$B$8:$BZ$50,36,0)</f>
        <v>#N/A</v>
      </c>
      <c r="F22" s="3" t="e">
        <f>VLOOKUP($K$5,'1ST_SEMESTER'!$B$8:$BZ$50,37,0)</f>
        <v>#N/A</v>
      </c>
      <c r="G22" s="3" t="e">
        <f>VLOOKUP($K$5,'1ST_SEMESTER'!$B$8:$BZ$50,39,0)</f>
        <v>#N/A</v>
      </c>
      <c r="H22" s="84"/>
      <c r="I22" s="3" t="e">
        <f>VLOOKUP($K$5,'1ST_SEMESTER'!$B$8:$BZ$50,40,0)</f>
        <v>#N/A</v>
      </c>
      <c r="J22" s="3">
        <f>'1ST_SEMESTER'!AP10</f>
        <v>81</v>
      </c>
      <c r="K22" s="3" t="e">
        <f>VLOOKUP($K$5,'1ST_SEMESTER'!$B$8:$BZ$50,42,0)</f>
        <v>#N/A</v>
      </c>
      <c r="L22" s="3" t="e">
        <f t="shared" si="0"/>
        <v>#N/A</v>
      </c>
      <c r="M22" s="75" t="e">
        <f>VLOOKUP($K$5,'1ST_SEMESTER'!$B$8:$BZ$23,47,0)</f>
        <v>#N/A</v>
      </c>
    </row>
    <row r="23" spans="2:16" ht="30" customHeight="1">
      <c r="B23" s="76" t="s">
        <v>4</v>
      </c>
      <c r="C23" s="76"/>
      <c r="D23" s="76"/>
      <c r="E23" s="3" t="e">
        <f>VLOOKUP($K$5,'1ST_SEMESTER'!$B$8:$BZ$50,43,0)</f>
        <v>#N/A</v>
      </c>
      <c r="F23" s="7"/>
      <c r="G23" s="3" t="e">
        <f>VLOOKUP($K$5,'1ST_SEMESTER'!$B$8:$BZ$50,44,0)</f>
        <v>#N/A</v>
      </c>
      <c r="H23" s="8" t="e">
        <f>VLOOKUP($K$5,'1ST_SEMESTER'!$B$8:$BZ$50,45,0)</f>
        <v>#N/A</v>
      </c>
      <c r="I23" s="3" t="e">
        <f>VLOOKUP($K$5,'1ST_SEMESTER'!$B$8:$BZ$50,46,0)</f>
        <v>#N/A</v>
      </c>
      <c r="J23" s="3">
        <f>'1ST_SEMESTER'!AV10</f>
        <v>46</v>
      </c>
      <c r="K23" s="3" t="e">
        <f>VLOOKUP($K$5,'1ST_SEMESTER'!$B$8:$BZ$50,48,0)</f>
        <v>#N/A</v>
      </c>
      <c r="L23" s="3" t="e">
        <f t="shared" si="0"/>
        <v>#N/A</v>
      </c>
      <c r="M23" s="75" t="e">
        <f>VLOOKUP($K$5,'1ST_SEMESTER'!$B$8:$BZ$23,47,0)</f>
        <v>#N/A</v>
      </c>
    </row>
    <row r="24" spans="2:16" ht="30" customHeight="1">
      <c r="B24" s="76" t="s">
        <v>70</v>
      </c>
      <c r="C24" s="76"/>
      <c r="D24" s="76"/>
      <c r="E24" s="3" t="e">
        <f>VLOOKUP($K$5,'1ST_SEMESTER'!$B$8:$BZ$50,49,0)</f>
        <v>#N/A</v>
      </c>
      <c r="F24" s="3" t="e">
        <f>VLOOKUP($K$5,'1ST_SEMESTER'!$B$8:$BZ$50,50,0)</f>
        <v>#N/A</v>
      </c>
      <c r="G24" s="3" t="e">
        <f>VLOOKUP($K$5,'1ST_SEMESTER'!$B$8:$BZ$50,52,0)</f>
        <v>#N/A</v>
      </c>
      <c r="H24" s="9"/>
      <c r="I24" s="3" t="e">
        <f>VLOOKUP($K$5,'1ST_SEMESTER'!$B$8:$BZ$50,53,0)</f>
        <v>#N/A</v>
      </c>
      <c r="J24" s="3">
        <f>'1ST_SEMESTER'!BC10</f>
        <v>87</v>
      </c>
      <c r="K24" s="3" t="e">
        <f>VLOOKUP($K$5,'1ST_SEMESTER'!$B$8:$BZ$50,55,0)</f>
        <v>#N/A</v>
      </c>
      <c r="L24" s="3" t="e">
        <f t="shared" si="0"/>
        <v>#N/A</v>
      </c>
      <c r="M24" s="75" t="e">
        <f>VLOOKUP($K$5,'1ST_SEMESTER'!$B$8:$BZ$23,47,0)</f>
        <v>#N/A</v>
      </c>
    </row>
    <row r="25" spans="2:16" ht="30" customHeight="1">
      <c r="B25" s="76" t="s">
        <v>49</v>
      </c>
      <c r="C25" s="76"/>
      <c r="D25" s="76"/>
      <c r="E25" s="3" t="e">
        <f>VLOOKUP($K$5,'1ST_SEMESTER'!$B$8:$BZ$50,56,0)</f>
        <v>#N/A</v>
      </c>
      <c r="F25" s="3" t="e">
        <f>VLOOKUP($K$5,'1ST_SEMESTER'!$B$8:$BZ$50,57,0)</f>
        <v>#N/A</v>
      </c>
      <c r="G25" s="3" t="e">
        <f>VLOOKUP($K$5,'1ST_SEMESTER'!$B$8:$BZ$50,59,0)</f>
        <v>#N/A</v>
      </c>
      <c r="H25" s="8"/>
      <c r="I25" s="3" t="e">
        <f>VLOOKUP($K$5,'1ST_SEMESTER'!$B$8:$BZ$50,60,0)</f>
        <v>#N/A</v>
      </c>
      <c r="J25" s="3">
        <f>'1ST_SEMESTER'!BJ10</f>
        <v>61</v>
      </c>
      <c r="K25" s="3" t="e">
        <f>VLOOKUP($K$5,'1ST_SEMESTER'!$B$8:$BZ$50,62,0)</f>
        <v>#N/A</v>
      </c>
      <c r="L25" s="3" t="e">
        <f t="shared" si="0"/>
        <v>#N/A</v>
      </c>
      <c r="M25" s="75" t="e">
        <f>VLOOKUP($K$5,'1ST_SEMESTER'!$B$8:$BZ$23,47,0)</f>
        <v>#N/A</v>
      </c>
    </row>
    <row r="26" spans="2:16" ht="30" customHeight="1">
      <c r="B26" s="95" t="s">
        <v>33</v>
      </c>
      <c r="C26" s="96"/>
      <c r="D26" s="96"/>
      <c r="E26" s="96"/>
      <c r="F26" s="96"/>
      <c r="G26" s="96"/>
      <c r="H26" s="96"/>
      <c r="I26" s="96"/>
      <c r="J26" s="97"/>
      <c r="K26" s="87"/>
      <c r="L26" s="88"/>
      <c r="M26" s="75" t="e">
        <f>VLOOKUP($K$5,'1ST_SEMESTER'!$B$8:$BZ$23,47,0)</f>
        <v>#N/A</v>
      </c>
    </row>
    <row r="27" spans="2:16" ht="30" customHeight="1">
      <c r="B27" s="76" t="s">
        <v>71</v>
      </c>
      <c r="C27" s="76"/>
      <c r="D27" s="76"/>
      <c r="E27" s="3" t="e">
        <f>VLOOKUP($K$5,'1ST_SEMESTER'!$B$8:$BZ$50,64,0)</f>
        <v>#N/A</v>
      </c>
      <c r="F27" s="3" t="e">
        <f>VLOOKUP($K$5,'1ST_SEMESTER'!$B$8:$BZ$50,65,0)</f>
        <v>#N/A</v>
      </c>
      <c r="G27" s="3" t="e">
        <f>VLOOKUP($K$5,'1ST_SEMESTER'!$B$8:$BZ$50,66,0)</f>
        <v>#N/A</v>
      </c>
      <c r="H27" s="8" t="e">
        <f>VLOOKUP($K$5,'1ST_SEMESTER'!$B$8:$BZ$50,67,0)</f>
        <v>#N/A</v>
      </c>
      <c r="I27" s="3" t="e">
        <f>VLOOKUP($K$5,'1ST_SEMESTER'!$B$8:$BZ$50,68,0)</f>
        <v>#N/A</v>
      </c>
      <c r="J27" s="4">
        <f>'1ST_SEMESTER'!BR10</f>
        <v>50</v>
      </c>
      <c r="K27" s="4" t="e">
        <f>VLOOKUP($K$5,'1ST_SEMESTER'!$B$8:$BZ$50,70,0)</f>
        <v>#N/A</v>
      </c>
      <c r="L27" s="4" t="e">
        <f>IF(K27="F","F",IF(K27&lt;2.5,"D",IF(K27&lt;3,"C",IF(K27&lt;3.5,"B",IF(K27&lt;4,"A-",IF(K27&lt;5,"A","A+"))))))</f>
        <v>#N/A</v>
      </c>
      <c r="M27" s="75" t="e">
        <f>VLOOKUP($K$5,'1ST_SEMESTER'!$B$8:$BZ$23,47,0)</f>
        <v>#N/A</v>
      </c>
    </row>
    <row r="28" spans="2:16" ht="30" customHeight="1">
      <c r="B28" s="89" t="s">
        <v>34</v>
      </c>
      <c r="C28" s="90"/>
      <c r="D28" s="91"/>
      <c r="E28" s="18"/>
      <c r="F28" s="19"/>
      <c r="G28" s="20"/>
      <c r="H28" s="19"/>
      <c r="I28" s="21" t="e">
        <f>I17+I19+I21+I22+I23+I24+I25</f>
        <v>#N/A</v>
      </c>
      <c r="J28" s="79"/>
      <c r="K28" s="80"/>
      <c r="L28" s="81"/>
      <c r="M28" s="75" t="e">
        <f>VLOOKUP($K$5,'1ST_SEMESTER'!$B$8:$BZ$23,47,0)</f>
        <v>#N/A</v>
      </c>
    </row>
    <row r="29" spans="2:16" ht="21" customHeight="1">
      <c r="B29" s="10"/>
      <c r="C29" s="10"/>
      <c r="D29" s="10"/>
      <c r="E29" s="11"/>
      <c r="F29" s="10"/>
      <c r="G29" s="11"/>
      <c r="H29" s="10"/>
      <c r="I29" s="10"/>
      <c r="J29" s="10"/>
      <c r="K29" s="11"/>
      <c r="L29" s="10"/>
      <c r="M29" s="10"/>
    </row>
    <row r="30" spans="2:16" ht="19.5" customHeight="1">
      <c r="B30" s="92" t="s">
        <v>62</v>
      </c>
      <c r="C30" s="92"/>
      <c r="D30" s="92"/>
      <c r="E30" s="92"/>
      <c r="F30" s="17" t="str">
        <f>IFERROR(VLOOKUP($K$5,'1ST_SEMESTER'!$B$8:$BZ$50,74,0),"")</f>
        <v/>
      </c>
      <c r="G30" s="17"/>
      <c r="H30" s="17"/>
      <c r="I30" s="17"/>
      <c r="J30" s="14"/>
      <c r="K30" s="15"/>
      <c r="L30" s="14"/>
      <c r="M30" s="14"/>
    </row>
    <row r="31" spans="2:16">
      <c r="B31" s="14"/>
      <c r="C31" s="14"/>
      <c r="D31" s="14"/>
      <c r="E31" s="15"/>
      <c r="F31" s="14"/>
      <c r="G31" s="15"/>
      <c r="H31" s="14"/>
      <c r="I31" s="14"/>
      <c r="J31" s="14"/>
      <c r="K31" s="15"/>
      <c r="L31" s="14"/>
      <c r="M31" s="14"/>
    </row>
    <row r="32" spans="2:16" ht="19.5" customHeight="1">
      <c r="B32" s="93" t="s">
        <v>61</v>
      </c>
      <c r="C32" s="93"/>
      <c r="D32" s="93"/>
      <c r="E32" s="93"/>
      <c r="F32" s="94" t="str">
        <f>IFERROR(VLOOKUP($K$5,'1ST_SEMESTER'!$B$8:$BZ$50,76,0),"")</f>
        <v/>
      </c>
      <c r="G32" s="94" t="e">
        <f>VLOOKUP($K$5,'1ST_SEMESTER'!$B$8:$BZ$23,101,0)</f>
        <v>#N/A</v>
      </c>
      <c r="H32" s="14"/>
      <c r="I32" s="14"/>
      <c r="J32" s="14"/>
      <c r="K32" s="15"/>
      <c r="L32" s="14"/>
      <c r="M32" s="16"/>
    </row>
    <row r="33" spans="2:13">
      <c r="B33" s="14"/>
      <c r="C33" s="14"/>
      <c r="D33" s="14"/>
      <c r="E33" s="15"/>
      <c r="F33" s="14"/>
      <c r="G33" s="15"/>
      <c r="H33" s="14"/>
      <c r="I33" s="14"/>
      <c r="J33" s="14"/>
      <c r="K33" s="15"/>
      <c r="L33" s="14"/>
      <c r="M33" s="14"/>
    </row>
    <row r="34" spans="2:13">
      <c r="B34" s="14"/>
      <c r="C34" s="14"/>
      <c r="D34" s="14"/>
      <c r="E34" s="15"/>
      <c r="F34" s="14"/>
      <c r="G34" s="15"/>
      <c r="H34" s="14"/>
      <c r="I34" s="14"/>
      <c r="J34" s="14"/>
      <c r="K34" s="15"/>
      <c r="L34" s="14"/>
      <c r="M34" s="14"/>
    </row>
    <row r="35" spans="2:13">
      <c r="B35" s="14"/>
      <c r="C35" s="14"/>
      <c r="D35" s="14"/>
      <c r="E35" s="15"/>
      <c r="F35" s="14"/>
      <c r="G35" s="15"/>
      <c r="H35" s="14"/>
      <c r="I35" s="14"/>
      <c r="J35" s="14"/>
      <c r="K35" s="15"/>
      <c r="L35" s="14"/>
      <c r="M35" s="14"/>
    </row>
    <row r="36" spans="2:13">
      <c r="B36" s="14"/>
      <c r="C36" s="14"/>
      <c r="D36" s="14"/>
      <c r="E36" s="15"/>
      <c r="F36" s="14"/>
      <c r="G36" s="15"/>
      <c r="H36" s="14"/>
      <c r="I36" s="14"/>
      <c r="J36" s="14"/>
      <c r="K36" s="15"/>
      <c r="L36" s="14"/>
      <c r="M36" s="14"/>
    </row>
    <row r="37" spans="2:13" ht="15.75">
      <c r="B37" s="14"/>
      <c r="C37" s="86" t="s">
        <v>63</v>
      </c>
      <c r="D37" s="86"/>
      <c r="E37" s="15"/>
      <c r="F37" s="14"/>
      <c r="G37" s="85" t="s">
        <v>64</v>
      </c>
      <c r="H37" s="85"/>
      <c r="I37" s="14"/>
      <c r="J37" s="14"/>
      <c r="K37" s="22"/>
      <c r="L37" s="23" t="s">
        <v>65</v>
      </c>
      <c r="M37" s="14"/>
    </row>
    <row r="38" spans="2:13">
      <c r="B38" s="14"/>
      <c r="C38" s="14"/>
      <c r="D38" s="14"/>
      <c r="E38" s="15"/>
      <c r="F38" s="14"/>
      <c r="G38" s="15"/>
      <c r="H38" s="14"/>
      <c r="I38" s="14"/>
      <c r="J38" s="14"/>
      <c r="K38" s="15"/>
      <c r="L38" s="14"/>
      <c r="M38" s="14"/>
    </row>
    <row r="39" spans="2:13">
      <c r="B39" s="14"/>
      <c r="C39" s="14"/>
      <c r="D39" s="14"/>
      <c r="E39" s="15"/>
      <c r="F39" s="14"/>
      <c r="G39" s="15"/>
      <c r="H39" s="14"/>
      <c r="I39" s="14"/>
      <c r="J39" s="14"/>
      <c r="K39" s="15"/>
      <c r="L39" s="14"/>
      <c r="M39" s="14"/>
    </row>
  </sheetData>
  <mergeCells count="60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ACRA</cp:lastModifiedBy>
  <cp:lastPrinted>2025-05-15T12:34:48Z</cp:lastPrinted>
  <dcterms:created xsi:type="dcterms:W3CDTF">2020-11-16T04:30:11Z</dcterms:created>
  <dcterms:modified xsi:type="dcterms:W3CDTF">2025-09-16T09:11:58Z</dcterms:modified>
</cp:coreProperties>
</file>