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5"/>
  <workbookPr defaultThemeVersion="124226"/>
  <bookViews>
    <workbookView xWindow="-120" yWindow="-120" windowWidth="24240" windowHeight="13740" tabRatio="632"/>
  </bookViews>
  <sheets>
    <sheet name="1ST_SEMESTER" sheetId="4" r:id="rId1"/>
    <sheet name="PROGRASIVE SCI" sheetId="2" r:id="rId2"/>
  </sheets>
  <calcPr calcId="12451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0" i="2"/>
  <c r="D8"/>
  <c r="D7"/>
  <c r="D6"/>
  <c r="F36"/>
  <c r="K27"/>
  <c r="I29"/>
  <c r="I27"/>
  <c r="I25"/>
  <c r="I24"/>
  <c r="H29"/>
  <c r="H28"/>
  <c r="H27"/>
  <c r="H25"/>
  <c r="G29"/>
  <c r="G28"/>
  <c r="G27"/>
  <c r="G26"/>
  <c r="G25"/>
  <c r="G24"/>
  <c r="G23"/>
  <c r="G20"/>
  <c r="G19"/>
  <c r="F29"/>
  <c r="F28"/>
  <c r="F27"/>
  <c r="F26"/>
  <c r="F24"/>
  <c r="F23"/>
  <c r="F22"/>
  <c r="F21"/>
  <c r="F20"/>
  <c r="F19"/>
  <c r="H31"/>
  <c r="G31"/>
  <c r="F31"/>
  <c r="E31"/>
  <c r="E29"/>
  <c r="E28"/>
  <c r="E27"/>
  <c r="E26"/>
  <c r="E25"/>
  <c r="E24"/>
  <c r="E23"/>
  <c r="E22"/>
  <c r="E21"/>
  <c r="E20"/>
  <c r="E19"/>
  <c r="CE33" i="4"/>
  <c r="CH33" s="1"/>
  <c r="I31" i="2" s="1"/>
  <c r="CB33" i="4"/>
  <c r="K29" i="2" s="1"/>
  <c r="BW33" i="4"/>
  <c r="BZ33" s="1"/>
  <c r="BO33"/>
  <c r="BR33" s="1"/>
  <c r="I28" i="2" s="1"/>
  <c r="BL33" i="4"/>
  <c r="BG33"/>
  <c r="BJ33" s="1"/>
  <c r="AZ33"/>
  <c r="BB33" s="1"/>
  <c r="I26" i="2" s="1"/>
  <c r="AW33" i="4"/>
  <c r="K25" i="2" s="1"/>
  <c r="AU33" i="4"/>
  <c r="AM33"/>
  <c r="AO33" s="1"/>
  <c r="AF33"/>
  <c r="AH33" s="1"/>
  <c r="AJ33" s="1"/>
  <c r="K23" i="2" s="1"/>
  <c r="Y33" i="4"/>
  <c r="Z33" s="1"/>
  <c r="AA33" s="1"/>
  <c r="I21" i="2" s="1"/>
  <c r="V33" i="4"/>
  <c r="N33"/>
  <c r="P33" s="1"/>
  <c r="I33"/>
  <c r="K33" s="1"/>
  <c r="CE30"/>
  <c r="CJ30" s="1"/>
  <c r="CE31"/>
  <c r="CE32"/>
  <c r="CJ32" s="1"/>
  <c r="BW30"/>
  <c r="BW31"/>
  <c r="BZ31" s="1"/>
  <c r="BW32"/>
  <c r="BO30"/>
  <c r="BO31"/>
  <c r="BO32"/>
  <c r="BR32" s="1"/>
  <c r="BG30"/>
  <c r="BJ30" s="1"/>
  <c r="BG31"/>
  <c r="BJ31" s="1"/>
  <c r="BG32"/>
  <c r="BL32" s="1"/>
  <c r="AW30"/>
  <c r="AZ30"/>
  <c r="BB30" s="1"/>
  <c r="AZ31"/>
  <c r="BB31" s="1"/>
  <c r="AZ32"/>
  <c r="BB32" s="1"/>
  <c r="AU30"/>
  <c r="AU31"/>
  <c r="AW31" s="1"/>
  <c r="AU32"/>
  <c r="AW32" s="1"/>
  <c r="AM30"/>
  <c r="AO30" s="1"/>
  <c r="AM31"/>
  <c r="AO31" s="1"/>
  <c r="AM32"/>
  <c r="AO32" s="1"/>
  <c r="AF30"/>
  <c r="AH30" s="1"/>
  <c r="AF31"/>
  <c r="AF32"/>
  <c r="AH32" s="1"/>
  <c r="V30"/>
  <c r="Y30"/>
  <c r="V31"/>
  <c r="Y31"/>
  <c r="V32"/>
  <c r="Y32"/>
  <c r="I30"/>
  <c r="K30" s="1"/>
  <c r="N30"/>
  <c r="P30" s="1"/>
  <c r="I31"/>
  <c r="K31" s="1"/>
  <c r="N31"/>
  <c r="P31" s="1"/>
  <c r="I32"/>
  <c r="K32" s="1"/>
  <c r="N32"/>
  <c r="P32" s="1"/>
  <c r="AW11"/>
  <c r="CE18"/>
  <c r="AM29"/>
  <c r="AM28"/>
  <c r="AM27"/>
  <c r="AM26"/>
  <c r="AM25"/>
  <c r="AO25" s="1"/>
  <c r="AM24"/>
  <c r="AM23"/>
  <c r="AO23" s="1"/>
  <c r="AM22"/>
  <c r="AO22" s="1"/>
  <c r="AM21"/>
  <c r="AO21" s="1"/>
  <c r="AM20"/>
  <c r="AM19"/>
  <c r="AQ19" s="1"/>
  <c r="AM18"/>
  <c r="AO18" s="1"/>
  <c r="AM17"/>
  <c r="AM16"/>
  <c r="AM15"/>
  <c r="AO15" s="1"/>
  <c r="AQ15" s="1"/>
  <c r="AM14"/>
  <c r="AO14" s="1"/>
  <c r="AM13"/>
  <c r="AM12"/>
  <c r="AM11"/>
  <c r="AM10"/>
  <c r="AF29"/>
  <c r="AH29" s="1"/>
  <c r="AF28"/>
  <c r="AF27"/>
  <c r="AH27" s="1"/>
  <c r="AF26"/>
  <c r="AH26" s="1"/>
  <c r="AF25"/>
  <c r="AH25" s="1"/>
  <c r="AF24"/>
  <c r="AF23"/>
  <c r="AH23" s="1"/>
  <c r="AF22"/>
  <c r="AF21"/>
  <c r="AH21" s="1"/>
  <c r="AF20"/>
  <c r="AF19"/>
  <c r="AJ19" s="1"/>
  <c r="AF18"/>
  <c r="AF17"/>
  <c r="AH17" s="1"/>
  <c r="AF16"/>
  <c r="AF15"/>
  <c r="AH15" s="1"/>
  <c r="AF14"/>
  <c r="AF13"/>
  <c r="AH13" s="1"/>
  <c r="AF12"/>
  <c r="AF11"/>
  <c r="AF10"/>
  <c r="N16"/>
  <c r="P16" s="1"/>
  <c r="N17"/>
  <c r="P17" s="1"/>
  <c r="N18"/>
  <c r="P18" s="1"/>
  <c r="N19"/>
  <c r="P19" s="1"/>
  <c r="N20"/>
  <c r="P20" s="1"/>
  <c r="N21"/>
  <c r="P21" s="1"/>
  <c r="N22"/>
  <c r="P22" s="1"/>
  <c r="N23"/>
  <c r="P23" s="1"/>
  <c r="N24"/>
  <c r="P24" s="1"/>
  <c r="N25"/>
  <c r="P25" s="1"/>
  <c r="N26"/>
  <c r="P26" s="1"/>
  <c r="N27"/>
  <c r="P27" s="1"/>
  <c r="N28"/>
  <c r="P28" s="1"/>
  <c r="N29"/>
  <c r="P29" s="1"/>
  <c r="N11"/>
  <c r="P11" s="1"/>
  <c r="N12"/>
  <c r="P12" s="1"/>
  <c r="N13"/>
  <c r="N14"/>
  <c r="P14" s="1"/>
  <c r="N15"/>
  <c r="P15" s="1"/>
  <c r="N10"/>
  <c r="CE11"/>
  <c r="CH11" s="1"/>
  <c r="CE12"/>
  <c r="CH12" s="1"/>
  <c r="CE13"/>
  <c r="CE14"/>
  <c r="CE15"/>
  <c r="CH15" s="1"/>
  <c r="CE16"/>
  <c r="CH16" s="1"/>
  <c r="CE17"/>
  <c r="CE19"/>
  <c r="CH19" s="1"/>
  <c r="CE20"/>
  <c r="CH20" s="1"/>
  <c r="CE21"/>
  <c r="CE22"/>
  <c r="CJ22" s="1"/>
  <c r="CE23"/>
  <c r="CH23" s="1"/>
  <c r="CE24"/>
  <c r="CH24" s="1"/>
  <c r="CE25"/>
  <c r="CH25" s="1"/>
  <c r="CE26"/>
  <c r="CH26" s="1"/>
  <c r="CE27"/>
  <c r="CH27" s="1"/>
  <c r="CE28"/>
  <c r="CH28" s="1"/>
  <c r="CE29"/>
  <c r="CJ29" s="1"/>
  <c r="BW11"/>
  <c r="BZ11" s="1"/>
  <c r="BW12"/>
  <c r="BZ12" s="1"/>
  <c r="BW13"/>
  <c r="BZ13" s="1"/>
  <c r="BW14"/>
  <c r="BW15"/>
  <c r="BZ15" s="1"/>
  <c r="BW16"/>
  <c r="BZ16" s="1"/>
  <c r="BW17"/>
  <c r="BW18"/>
  <c r="BW19"/>
  <c r="BZ19" s="1"/>
  <c r="BW20"/>
  <c r="BZ20" s="1"/>
  <c r="BW21"/>
  <c r="BW22"/>
  <c r="BW23"/>
  <c r="BZ23" s="1"/>
  <c r="BW24"/>
  <c r="BZ24" s="1"/>
  <c r="BW25"/>
  <c r="BW26"/>
  <c r="CB26" s="1"/>
  <c r="BW27"/>
  <c r="BZ27" s="1"/>
  <c r="BW28"/>
  <c r="BZ28" s="1"/>
  <c r="BW29"/>
  <c r="CB29" s="1"/>
  <c r="BO11"/>
  <c r="BR11" s="1"/>
  <c r="BO12"/>
  <c r="BR12" s="1"/>
  <c r="BO13"/>
  <c r="BR13" s="1"/>
  <c r="BO14"/>
  <c r="BR14" s="1"/>
  <c r="BO15"/>
  <c r="BR15" s="1"/>
  <c r="BO16"/>
  <c r="BO17"/>
  <c r="BR17" s="1"/>
  <c r="BO18"/>
  <c r="BR18" s="1"/>
  <c r="BO19"/>
  <c r="BR19" s="1"/>
  <c r="BO20"/>
  <c r="BO21"/>
  <c r="BR21" s="1"/>
  <c r="BO22"/>
  <c r="BR22" s="1"/>
  <c r="BO23"/>
  <c r="BR23" s="1"/>
  <c r="BO24"/>
  <c r="BR24" s="1"/>
  <c r="BO25"/>
  <c r="BR25" s="1"/>
  <c r="BO26"/>
  <c r="BR26" s="1"/>
  <c r="BO27"/>
  <c r="BR27" s="1"/>
  <c r="BO28"/>
  <c r="BO29"/>
  <c r="BR29" s="1"/>
  <c r="BG11"/>
  <c r="BJ11" s="1"/>
  <c r="BG12"/>
  <c r="BG13"/>
  <c r="BJ13" s="1"/>
  <c r="BG14"/>
  <c r="BJ14" s="1"/>
  <c r="BG15"/>
  <c r="BJ15" s="1"/>
  <c r="BG16"/>
  <c r="BG17"/>
  <c r="BJ17" s="1"/>
  <c r="BG18"/>
  <c r="BJ18" s="1"/>
  <c r="BG19"/>
  <c r="BJ19" s="1"/>
  <c r="BG20"/>
  <c r="BG21"/>
  <c r="BJ21" s="1"/>
  <c r="BG22"/>
  <c r="BJ22" s="1"/>
  <c r="BG23"/>
  <c r="BJ23" s="1"/>
  <c r="BG24"/>
  <c r="BG25"/>
  <c r="BJ25" s="1"/>
  <c r="BG26"/>
  <c r="BJ26" s="1"/>
  <c r="BG27"/>
  <c r="BJ27" s="1"/>
  <c r="BG28"/>
  <c r="BG29"/>
  <c r="BJ29" s="1"/>
  <c r="AZ11"/>
  <c r="BB11" s="1"/>
  <c r="AZ12"/>
  <c r="AZ13"/>
  <c r="BB13" s="1"/>
  <c r="AZ14"/>
  <c r="BB14" s="1"/>
  <c r="AZ15"/>
  <c r="BB15" s="1"/>
  <c r="AZ16"/>
  <c r="BB16" s="1"/>
  <c r="AZ17"/>
  <c r="BB17" s="1"/>
  <c r="AZ18"/>
  <c r="BB18" s="1"/>
  <c r="AZ19"/>
  <c r="BB19" s="1"/>
  <c r="AZ20"/>
  <c r="AZ21"/>
  <c r="BB21" s="1"/>
  <c r="AZ22"/>
  <c r="BB22" s="1"/>
  <c r="AZ23"/>
  <c r="BB23" s="1"/>
  <c r="AZ24"/>
  <c r="AZ25"/>
  <c r="BB25" s="1"/>
  <c r="AZ26"/>
  <c r="BB26" s="1"/>
  <c r="AZ27"/>
  <c r="BB27" s="1"/>
  <c r="AZ28"/>
  <c r="AZ29"/>
  <c r="BB29" s="1"/>
  <c r="AU11"/>
  <c r="AU12"/>
  <c r="AW12" s="1"/>
  <c r="AU13"/>
  <c r="AW13" s="1"/>
  <c r="AU14"/>
  <c r="AW14" s="1"/>
  <c r="AU15"/>
  <c r="AW15" s="1"/>
  <c r="AU16"/>
  <c r="AW16" s="1"/>
  <c r="AU17"/>
  <c r="AW17" s="1"/>
  <c r="AU18"/>
  <c r="AW18" s="1"/>
  <c r="AU19"/>
  <c r="AW19" s="1"/>
  <c r="AU20"/>
  <c r="AW20" s="1"/>
  <c r="AU21"/>
  <c r="AW21" s="1"/>
  <c r="AU22"/>
  <c r="AW22" s="1"/>
  <c r="AU23"/>
  <c r="AW23" s="1"/>
  <c r="AU24"/>
  <c r="AW24" s="1"/>
  <c r="AU25"/>
  <c r="AW25" s="1"/>
  <c r="AU26"/>
  <c r="AW26" s="1"/>
  <c r="AU27"/>
  <c r="AW27" s="1"/>
  <c r="AU28"/>
  <c r="AW28" s="1"/>
  <c r="AU29"/>
  <c r="AW29" s="1"/>
  <c r="AO11"/>
  <c r="AO27"/>
  <c r="AQ27" s="1"/>
  <c r="V11"/>
  <c r="Y11"/>
  <c r="V12"/>
  <c r="Y12"/>
  <c r="V13"/>
  <c r="Y13"/>
  <c r="V14"/>
  <c r="Y14"/>
  <c r="V15"/>
  <c r="Y15"/>
  <c r="V16"/>
  <c r="Y16"/>
  <c r="V17"/>
  <c r="Y17"/>
  <c r="V18"/>
  <c r="Y18"/>
  <c r="V19"/>
  <c r="Y19"/>
  <c r="V20"/>
  <c r="Y20"/>
  <c r="V21"/>
  <c r="Y21"/>
  <c r="V22"/>
  <c r="Y22"/>
  <c r="V23"/>
  <c r="Y23"/>
  <c r="V24"/>
  <c r="Y24"/>
  <c r="V25"/>
  <c r="Y25"/>
  <c r="V26"/>
  <c r="Y26"/>
  <c r="V27"/>
  <c r="Y27"/>
  <c r="V28"/>
  <c r="Y28"/>
  <c r="V29"/>
  <c r="Y29"/>
  <c r="I12"/>
  <c r="I13"/>
  <c r="K13" s="1"/>
  <c r="I14"/>
  <c r="I15"/>
  <c r="I16"/>
  <c r="I17"/>
  <c r="K17" s="1"/>
  <c r="I18"/>
  <c r="K18" s="1"/>
  <c r="I19"/>
  <c r="I20"/>
  <c r="I21"/>
  <c r="K21" s="1"/>
  <c r="I22"/>
  <c r="I23"/>
  <c r="K23" s="1"/>
  <c r="I24"/>
  <c r="I25"/>
  <c r="I26"/>
  <c r="I27"/>
  <c r="I28"/>
  <c r="K28" s="1"/>
  <c r="I29"/>
  <c r="I11"/>
  <c r="K11" s="1"/>
  <c r="I10"/>
  <c r="I23" i="2" l="1"/>
  <c r="BT33" i="4"/>
  <c r="K28" i="2" s="1"/>
  <c r="AC33" i="4"/>
  <c r="K21" i="2" s="1"/>
  <c r="BD33" i="4"/>
  <c r="K26" i="2" s="1"/>
  <c r="AQ11" i="4"/>
  <c r="AQ33"/>
  <c r="K24" i="2" s="1"/>
  <c r="AQ31" i="4"/>
  <c r="AJ32"/>
  <c r="Z32"/>
  <c r="AA32" s="1"/>
  <c r="Z31"/>
  <c r="AA31" s="1"/>
  <c r="AC31" s="1"/>
  <c r="Q33"/>
  <c r="S33"/>
  <c r="K19" i="2" s="1"/>
  <c r="CJ33" i="4"/>
  <c r="K31" i="2" s="1"/>
  <c r="BZ32" i="4"/>
  <c r="CB32" s="1"/>
  <c r="BZ30"/>
  <c r="CB30" s="1"/>
  <c r="BR31"/>
  <c r="BT31" s="1"/>
  <c r="BR30"/>
  <c r="BT30" s="1"/>
  <c r="BJ32"/>
  <c r="BL31"/>
  <c r="S19"/>
  <c r="CK19" s="1"/>
  <c r="CL19" s="1"/>
  <c r="CN19" s="1"/>
  <c r="CH32"/>
  <c r="CH31"/>
  <c r="CJ31" s="1"/>
  <c r="CH30"/>
  <c r="CB31"/>
  <c r="BT32"/>
  <c r="BL30"/>
  <c r="BD32"/>
  <c r="BD31"/>
  <c r="BD30"/>
  <c r="AQ30"/>
  <c r="AQ32"/>
  <c r="AH31"/>
  <c r="AJ31" s="1"/>
  <c r="AH11"/>
  <c r="AJ11" s="1"/>
  <c r="AJ30"/>
  <c r="Z30"/>
  <c r="AA30" s="1"/>
  <c r="AC30" s="1"/>
  <c r="AC32"/>
  <c r="Q31"/>
  <c r="S31" s="1"/>
  <c r="Q30"/>
  <c r="S30" s="1"/>
  <c r="Q32"/>
  <c r="S32" s="1"/>
  <c r="Z19"/>
  <c r="AA19" s="1"/>
  <c r="AC11"/>
  <c r="Z21"/>
  <c r="AA21" s="1"/>
  <c r="BT18"/>
  <c r="CJ27"/>
  <c r="CJ23"/>
  <c r="CJ15"/>
  <c r="CJ11"/>
  <c r="AC21"/>
  <c r="AO26"/>
  <c r="AQ26" s="1"/>
  <c r="AJ23"/>
  <c r="Q11"/>
  <c r="S11" s="1"/>
  <c r="AJ17"/>
  <c r="CJ20"/>
  <c r="BT12"/>
  <c r="AQ22"/>
  <c r="CJ19"/>
  <c r="AO19"/>
  <c r="CH14"/>
  <c r="CJ14" s="1"/>
  <c r="AQ23"/>
  <c r="AQ25"/>
  <c r="K20"/>
  <c r="Q20" s="1"/>
  <c r="S20" s="1"/>
  <c r="CJ28"/>
  <c r="CJ16"/>
  <c r="AQ14"/>
  <c r="Z29"/>
  <c r="AA29" s="1"/>
  <c r="AC29" s="1"/>
  <c r="Z17"/>
  <c r="AA17" s="1"/>
  <c r="CJ26"/>
  <c r="AC17"/>
  <c r="BL22"/>
  <c r="CJ25"/>
  <c r="CJ24"/>
  <c r="CJ12"/>
  <c r="AJ29"/>
  <c r="Z20"/>
  <c r="AA20" s="1"/>
  <c r="AC20" s="1"/>
  <c r="BZ17"/>
  <c r="CB17" s="1"/>
  <c r="BZ25"/>
  <c r="CB25" s="1"/>
  <c r="AQ18"/>
  <c r="BD25"/>
  <c r="BD13"/>
  <c r="BL21"/>
  <c r="BT29"/>
  <c r="BT17"/>
  <c r="CB13"/>
  <c r="AC19"/>
  <c r="Z27"/>
  <c r="AA27" s="1"/>
  <c r="AC27" s="1"/>
  <c r="AJ21"/>
  <c r="CB24"/>
  <c r="CB12"/>
  <c r="BD26"/>
  <c r="Q28"/>
  <c r="S28" s="1"/>
  <c r="Z26"/>
  <c r="AA26" s="1"/>
  <c r="AC26" s="1"/>
  <c r="BD23"/>
  <c r="BD11"/>
  <c r="BL19"/>
  <c r="BT27"/>
  <c r="BT15"/>
  <c r="CB23"/>
  <c r="CB11"/>
  <c r="BD22"/>
  <c r="BL18"/>
  <c r="BT26"/>
  <c r="BT14"/>
  <c r="K27"/>
  <c r="Q27" s="1"/>
  <c r="S27" s="1"/>
  <c r="AO24"/>
  <c r="AQ24" s="1"/>
  <c r="BD21"/>
  <c r="BL29"/>
  <c r="BL17"/>
  <c r="BT25"/>
  <c r="BT13"/>
  <c r="BT24"/>
  <c r="CB20"/>
  <c r="BD19"/>
  <c r="BL27"/>
  <c r="BL15"/>
  <c r="BT23"/>
  <c r="BT11"/>
  <c r="CB19"/>
  <c r="AJ27"/>
  <c r="AJ15"/>
  <c r="BD18"/>
  <c r="BL26"/>
  <c r="BL14"/>
  <c r="BT22"/>
  <c r="AJ26"/>
  <c r="BD29"/>
  <c r="BD17"/>
  <c r="BL25"/>
  <c r="BL13"/>
  <c r="BT21"/>
  <c r="BD14"/>
  <c r="BJ24"/>
  <c r="BL24" s="1"/>
  <c r="CH29"/>
  <c r="AJ25"/>
  <c r="AJ13"/>
  <c r="AQ21"/>
  <c r="BD16"/>
  <c r="CB28"/>
  <c r="CB16"/>
  <c r="BD27"/>
  <c r="BD15"/>
  <c r="BL23"/>
  <c r="BL11"/>
  <c r="BT19"/>
  <c r="CB27"/>
  <c r="CB15"/>
  <c r="Z22"/>
  <c r="AA22" s="1"/>
  <c r="AC22" s="1"/>
  <c r="Z25"/>
  <c r="AA25" s="1"/>
  <c r="AC25" s="1"/>
  <c r="Z18"/>
  <c r="AA18" s="1"/>
  <c r="AC18" s="1"/>
  <c r="Z14"/>
  <c r="AA14" s="1"/>
  <c r="AC14" s="1"/>
  <c r="Z13"/>
  <c r="AA13" s="1"/>
  <c r="AC13" s="1"/>
  <c r="CH18"/>
  <c r="CJ18" s="1"/>
  <c r="CH13"/>
  <c r="CJ13" s="1"/>
  <c r="BZ29"/>
  <c r="BZ26"/>
  <c r="BZ22"/>
  <c r="CB22" s="1"/>
  <c r="BZ21"/>
  <c r="CB21" s="1"/>
  <c r="BZ18"/>
  <c r="CB18" s="1"/>
  <c r="BZ14"/>
  <c r="CB14" s="1"/>
  <c r="CH17"/>
  <c r="CJ17" s="1"/>
  <c r="CH22"/>
  <c r="CH21"/>
  <c r="CJ21" s="1"/>
  <c r="BJ28"/>
  <c r="BL28" s="1"/>
  <c r="BJ20"/>
  <c r="BL20" s="1"/>
  <c r="BJ16"/>
  <c r="BL16" s="1"/>
  <c r="BJ12"/>
  <c r="BL12" s="1"/>
  <c r="BB28"/>
  <c r="BD28" s="1"/>
  <c r="BB24"/>
  <c r="BD24" s="1"/>
  <c r="BB20"/>
  <c r="BD20" s="1"/>
  <c r="BB12"/>
  <c r="BD12" s="1"/>
  <c r="Z15"/>
  <c r="AA15" s="1"/>
  <c r="AC15" s="1"/>
  <c r="Z12"/>
  <c r="AA12" s="1"/>
  <c r="AC12" s="1"/>
  <c r="Z11"/>
  <c r="AA11" s="1"/>
  <c r="Z28"/>
  <c r="AA28" s="1"/>
  <c r="AC28" s="1"/>
  <c r="Z24"/>
  <c r="AA24" s="1"/>
  <c r="AC24" s="1"/>
  <c r="Z23"/>
  <c r="AA23" s="1"/>
  <c r="AC23" s="1"/>
  <c r="Z16"/>
  <c r="AA16" s="1"/>
  <c r="AC16" s="1"/>
  <c r="BR28"/>
  <c r="BT28" s="1"/>
  <c r="BR20"/>
  <c r="BT20" s="1"/>
  <c r="BR16"/>
  <c r="BT16" s="1"/>
  <c r="AO20"/>
  <c r="AQ20" s="1"/>
  <c r="AO17"/>
  <c r="AQ17" s="1"/>
  <c r="AH22"/>
  <c r="AJ22" s="1"/>
  <c r="AH19"/>
  <c r="AH18"/>
  <c r="AJ18" s="1"/>
  <c r="AH14"/>
  <c r="AJ14" s="1"/>
  <c r="AO29"/>
  <c r="AQ29" s="1"/>
  <c r="AO13"/>
  <c r="AQ13" s="1"/>
  <c r="AO16"/>
  <c r="AQ16" s="1"/>
  <c r="AO28"/>
  <c r="AQ28" s="1"/>
  <c r="AO12"/>
  <c r="AQ12" s="1"/>
  <c r="AH28"/>
  <c r="AJ28" s="1"/>
  <c r="AH24"/>
  <c r="AJ24" s="1"/>
  <c r="AH20"/>
  <c r="AJ20" s="1"/>
  <c r="AH16"/>
  <c r="AJ16" s="1"/>
  <c r="AH12"/>
  <c r="AJ12" s="1"/>
  <c r="Q23"/>
  <c r="S23" s="1"/>
  <c r="Q17"/>
  <c r="S17" s="1"/>
  <c r="Q21"/>
  <c r="S21" s="1"/>
  <c r="Q18"/>
  <c r="S18" s="1"/>
  <c r="P13"/>
  <c r="Q13" s="1"/>
  <c r="S13" s="1"/>
  <c r="K26"/>
  <c r="Q26" s="1"/>
  <c r="S26" s="1"/>
  <c r="K22"/>
  <c r="Q22" s="1"/>
  <c r="S22" s="1"/>
  <c r="K16"/>
  <c r="Q16" s="1"/>
  <c r="S16" s="1"/>
  <c r="K29"/>
  <c r="Q29" s="1"/>
  <c r="S29" s="1"/>
  <c r="K25"/>
  <c r="Q25" s="1"/>
  <c r="S25" s="1"/>
  <c r="K24"/>
  <c r="Q24" s="1"/>
  <c r="S24" s="1"/>
  <c r="K19"/>
  <c r="Q19" s="1"/>
  <c r="K15"/>
  <c r="Q15" s="1"/>
  <c r="S15" s="1"/>
  <c r="K14"/>
  <c r="Q14" s="1"/>
  <c r="S14" s="1"/>
  <c r="K12"/>
  <c r="Q12" s="1"/>
  <c r="S12" s="1"/>
  <c r="V10"/>
  <c r="CO33" l="1"/>
  <c r="I19" i="2"/>
  <c r="CK11" i="4"/>
  <c r="CL11" s="1"/>
  <c r="CN11" s="1"/>
  <c r="CK33"/>
  <c r="CL33" s="1"/>
  <c r="CK32"/>
  <c r="CL32" s="1"/>
  <c r="CM32" s="1"/>
  <c r="CK31"/>
  <c r="CL31" s="1"/>
  <c r="CM31" s="1"/>
  <c r="CK30"/>
  <c r="CL30" s="1"/>
  <c r="CM30" s="1"/>
  <c r="CK24"/>
  <c r="CL24" s="1"/>
  <c r="CN24" s="1"/>
  <c r="CK20"/>
  <c r="CL20" s="1"/>
  <c r="CN20" s="1"/>
  <c r="CK26"/>
  <c r="CL26" s="1"/>
  <c r="CN26" s="1"/>
  <c r="CK25"/>
  <c r="CL25" s="1"/>
  <c r="CM25" s="1"/>
  <c r="CK23"/>
  <c r="CL23" s="1"/>
  <c r="CN23" s="1"/>
  <c r="CK13"/>
  <c r="CL13" s="1"/>
  <c r="CM13" s="1"/>
  <c r="CO30"/>
  <c r="CO32"/>
  <c r="CO31"/>
  <c r="CM11"/>
  <c r="CO11"/>
  <c r="CK29"/>
  <c r="CL29" s="1"/>
  <c r="CM29" s="1"/>
  <c r="CK12"/>
  <c r="CL12" s="1"/>
  <c r="CN12" s="1"/>
  <c r="CO23"/>
  <c r="CO27"/>
  <c r="CM19"/>
  <c r="CK28"/>
  <c r="CL28" s="1"/>
  <c r="CN28" s="1"/>
  <c r="CO29"/>
  <c r="CO26"/>
  <c r="CO25"/>
  <c r="CO14"/>
  <c r="CO22"/>
  <c r="CO21"/>
  <c r="CO16"/>
  <c r="CO15"/>
  <c r="CO28"/>
  <c r="CO17"/>
  <c r="CO13"/>
  <c r="CO20"/>
  <c r="CO19"/>
  <c r="CO12"/>
  <c r="CO24"/>
  <c r="CK27"/>
  <c r="CL27" s="1"/>
  <c r="CO18"/>
  <c r="CK18"/>
  <c r="CL18" s="1"/>
  <c r="CK17"/>
  <c r="CL17" s="1"/>
  <c r="CN17" s="1"/>
  <c r="CK15"/>
  <c r="CL15" s="1"/>
  <c r="CK22"/>
  <c r="CL22" s="1"/>
  <c r="CK21"/>
  <c r="CL21" s="1"/>
  <c r="CK16"/>
  <c r="CL16" s="1"/>
  <c r="CK14"/>
  <c r="CL14" s="1"/>
  <c r="CE10"/>
  <c r="BW10"/>
  <c r="BO10"/>
  <c r="BG10"/>
  <c r="AO10"/>
  <c r="AQ10" s="1"/>
  <c r="AZ10"/>
  <c r="BB10" s="1"/>
  <c r="AU10"/>
  <c r="AW10" s="1"/>
  <c r="Y10"/>
  <c r="CM33" l="1"/>
  <c r="M19" i="2"/>
  <c r="CN30" i="4"/>
  <c r="CN33"/>
  <c r="F34" i="2" s="1"/>
  <c r="CM20" i="4"/>
  <c r="CN13"/>
  <c r="CN32"/>
  <c r="CN31"/>
  <c r="CM26"/>
  <c r="CN25"/>
  <c r="CM24"/>
  <c r="CM23"/>
  <c r="CM12"/>
  <c r="CN29"/>
  <c r="CM28"/>
  <c r="CM27"/>
  <c r="CN27"/>
  <c r="CM21"/>
  <c r="CN21"/>
  <c r="CM18"/>
  <c r="CN18"/>
  <c r="CM17"/>
  <c r="CN15"/>
  <c r="CM15"/>
  <c r="CM22"/>
  <c r="CN22"/>
  <c r="CM16"/>
  <c r="CN16"/>
  <c r="CM14"/>
  <c r="CN14"/>
  <c r="CH10"/>
  <c r="CJ10" s="1"/>
  <c r="BZ10"/>
  <c r="CA10" s="1"/>
  <c r="BR10"/>
  <c r="BJ10"/>
  <c r="BD10"/>
  <c r="BT10" l="1"/>
  <c r="BL10"/>
  <c r="CI10"/>
  <c r="L31" i="2"/>
  <c r="CB10" i="4"/>
  <c r="BS10"/>
  <c r="P10" l="1"/>
  <c r="AH10" l="1"/>
  <c r="AJ10" s="1"/>
  <c r="K10"/>
  <c r="Z10"/>
  <c r="AA10" s="1"/>
  <c r="AC10" s="1"/>
  <c r="Q10" l="1"/>
  <c r="S10" s="1"/>
  <c r="CK10" s="1"/>
  <c r="BK10"/>
  <c r="AV10"/>
  <c r="AP10"/>
  <c r="AB10" l="1"/>
  <c r="I32" i="2"/>
  <c r="CO10" i="4"/>
  <c r="BC10"/>
  <c r="AI10"/>
  <c r="R10"/>
  <c r="L22" i="2"/>
  <c r="L20"/>
  <c r="CL10" i="4" l="1"/>
  <c r="CM10" l="1"/>
  <c r="CN10"/>
  <c r="K8" i="2" l="1"/>
  <c r="K9"/>
  <c r="D9" l="1"/>
  <c r="K7"/>
  <c r="D10" l="1"/>
  <c r="M10" l="1"/>
  <c r="G36"/>
  <c r="J25" l="1"/>
  <c r="J27"/>
  <c r="J24"/>
  <c r="J26"/>
  <c r="L21" l="1"/>
  <c r="L28"/>
  <c r="L27"/>
  <c r="L29"/>
  <c r="L26"/>
  <c r="L25"/>
  <c r="J21"/>
  <c r="J31"/>
  <c r="L24"/>
  <c r="M28"/>
  <c r="M20"/>
  <c r="M29"/>
  <c r="M27"/>
  <c r="M24"/>
  <c r="M21"/>
  <c r="M25"/>
  <c r="M32"/>
  <c r="M22"/>
  <c r="M30"/>
  <c r="M23"/>
  <c r="M31"/>
  <c r="J29"/>
  <c r="J28"/>
  <c r="M26"/>
  <c r="J19"/>
  <c r="L23" l="1"/>
  <c r="J23"/>
  <c r="L19"/>
</calcChain>
</file>

<file path=xl/sharedStrings.xml><?xml version="1.0" encoding="utf-8"?>
<sst xmlns="http://schemas.openxmlformats.org/spreadsheetml/2006/main" count="276" uniqueCount="184">
  <si>
    <t>ROLL</t>
  </si>
  <si>
    <t>TOTAL</t>
  </si>
  <si>
    <t>GP</t>
  </si>
  <si>
    <t>RELIGION</t>
  </si>
  <si>
    <t>ICT</t>
  </si>
  <si>
    <t>T-GP</t>
  </si>
  <si>
    <t>GPA</t>
  </si>
  <si>
    <t>CR</t>
  </si>
  <si>
    <t>OB</t>
  </si>
  <si>
    <t>PR</t>
  </si>
  <si>
    <t>S.L</t>
  </si>
  <si>
    <t>ENGLISH</t>
  </si>
  <si>
    <t>1st</t>
  </si>
  <si>
    <t>2nd</t>
  </si>
  <si>
    <t>Mother's Name</t>
  </si>
  <si>
    <t>Student's Name</t>
  </si>
  <si>
    <t>MT</t>
  </si>
  <si>
    <t>Mobile No.</t>
  </si>
  <si>
    <t>BANGLA- 2ND</t>
  </si>
  <si>
    <t>BANGLA -1ST</t>
  </si>
  <si>
    <t>NAME OF SUBJECT</t>
  </si>
  <si>
    <t>CONTINUOUS
ASSESSMENT-20</t>
  </si>
  <si>
    <t>TOTAL MARKS -100</t>
  </si>
  <si>
    <t>HIGHEST MARKS</t>
  </si>
  <si>
    <t>CREATIVE</t>
  </si>
  <si>
    <t>OBJECTIVE</t>
  </si>
  <si>
    <t>PRACTICAL</t>
  </si>
  <si>
    <t>BANGLA 1ST PAPER</t>
  </si>
  <si>
    <t>BANGLA 2ND PAPER</t>
  </si>
  <si>
    <t>ENGLISH 1ST PAPER</t>
  </si>
  <si>
    <t>ENGLISH 2ND PAPER</t>
  </si>
  <si>
    <t>G. MATHEMATICS</t>
  </si>
  <si>
    <t>RELIGION (ISL/HIN/CH/BU)</t>
  </si>
  <si>
    <t>OPTIONAL SUBJECT</t>
  </si>
  <si>
    <t>G. TOTAL / TOTAL MARKS</t>
  </si>
  <si>
    <t>ABOVE - 2</t>
  </si>
  <si>
    <t>STUDENT'S NAME :</t>
  </si>
  <si>
    <t>FATHER'S NAME :</t>
  </si>
  <si>
    <t>MOTHER'S NAME :</t>
  </si>
  <si>
    <t>CLASS TEACHER :</t>
  </si>
  <si>
    <t>MOBILE NUMBER :</t>
  </si>
  <si>
    <t>TOTAL STUDENT :</t>
  </si>
  <si>
    <t>PHYSICS</t>
  </si>
  <si>
    <t>CHEMISTRY</t>
  </si>
  <si>
    <t>MATHEMATICS</t>
  </si>
  <si>
    <t>BEHABIOUR</t>
  </si>
  <si>
    <t>GRAND TOTAL 
MARKS</t>
  </si>
  <si>
    <t>WORKING 
DAYS</t>
  </si>
  <si>
    <t xml:space="preserve">SECTION: </t>
  </si>
  <si>
    <t xml:space="preserve">CLASS: </t>
  </si>
  <si>
    <t>MOBILE NO:</t>
  </si>
  <si>
    <t>RANK OF STUDENT</t>
  </si>
  <si>
    <t>BGS</t>
  </si>
  <si>
    <t>BIOLOGY / H-MATH / AG</t>
  </si>
  <si>
    <t>Fahther`s Name</t>
  </si>
  <si>
    <t>H
MARK</t>
  </si>
  <si>
    <t>TOTAL 100%</t>
  </si>
  <si>
    <t>BIOLOGY /H-MATH /AG</t>
  </si>
  <si>
    <t>MT+CR</t>
  </si>
  <si>
    <t>GRADE</t>
  </si>
  <si>
    <t>:</t>
  </si>
  <si>
    <t>CLASS</t>
  </si>
  <si>
    <t>SECTION</t>
  </si>
  <si>
    <t>TOTAL STUDENT'S</t>
  </si>
  <si>
    <t>WORKING DAYS</t>
  </si>
  <si>
    <t>BIOLOGY / H.MATH</t>
  </si>
  <si>
    <t>MT+80%</t>
  </si>
  <si>
    <t>TEN</t>
  </si>
  <si>
    <t>Science -B</t>
  </si>
  <si>
    <t>POSITION OF THE EXAMINEE                :</t>
  </si>
  <si>
    <t>STUDENT'S BEHAVIOUR AND SKILL   :</t>
  </si>
  <si>
    <t>NADIRA FERDOUSI</t>
  </si>
  <si>
    <t>01729-449690</t>
  </si>
  <si>
    <t xml:space="preserve">        Class Teacher</t>
  </si>
  <si>
    <t>Co-Ordinator</t>
  </si>
  <si>
    <t>Principal (Acting)</t>
  </si>
  <si>
    <t>Sabbir Mahmud</t>
  </si>
  <si>
    <t xml:space="preserve">Md. Sumon </t>
  </si>
  <si>
    <t xml:space="preserve">Soniya Akter </t>
  </si>
  <si>
    <t xml:space="preserve">Ananya Rahman Protikkha </t>
  </si>
  <si>
    <t xml:space="preserve">Md. Mizanur Rahman </t>
  </si>
  <si>
    <t xml:space="preserve">Rekha Khan </t>
  </si>
  <si>
    <t xml:space="preserve">Abu Saleh Md Jubayer </t>
  </si>
  <si>
    <t>A.F.M Sayadullah</t>
  </si>
  <si>
    <t xml:space="preserve">Kohinoor Begum </t>
  </si>
  <si>
    <t>Sayada Riham</t>
  </si>
  <si>
    <t>Abdul Hasan</t>
  </si>
  <si>
    <t>Mousumi Begum</t>
  </si>
  <si>
    <t xml:space="preserve">F.A Alif </t>
  </si>
  <si>
    <t xml:space="preserve">Md. Rabiul Awal </t>
  </si>
  <si>
    <t xml:space="preserve">Mst. Shamoli Akter </t>
  </si>
  <si>
    <t>Protik Chandro Shil Akash</t>
  </si>
  <si>
    <t>Anando Shil</t>
  </si>
  <si>
    <t>Runa Rani Shil</t>
  </si>
  <si>
    <t xml:space="preserve">Sumaya </t>
  </si>
  <si>
    <t>A. Baten</t>
  </si>
  <si>
    <t>Mst. Nurzahan Begum</t>
  </si>
  <si>
    <t>Saiyod Fahim Munaim</t>
  </si>
  <si>
    <t>Omor Faruk</t>
  </si>
  <si>
    <t>Kulsuma Begum</t>
  </si>
  <si>
    <t>Sabbir Hasan Ontor</t>
  </si>
  <si>
    <t>Md. Ramzan</t>
  </si>
  <si>
    <t xml:space="preserve">Mst. Moslema Akter </t>
  </si>
  <si>
    <t xml:space="preserve">Syed Tanvir Islam </t>
  </si>
  <si>
    <t xml:space="preserve">Syed Majharul Islam </t>
  </si>
  <si>
    <t xml:space="preserve">Shamima Akter </t>
  </si>
  <si>
    <t xml:space="preserve">Md. Farhan Sarker </t>
  </si>
  <si>
    <t xml:space="preserve">Md. Abdul Kader Sarker </t>
  </si>
  <si>
    <t xml:space="preserve">Mrs. Afroja Nasrin </t>
  </si>
  <si>
    <t xml:space="preserve">Ratan Al Mubin </t>
  </si>
  <si>
    <t xml:space="preserve">Md. Arif Hossain </t>
  </si>
  <si>
    <t xml:space="preserve">Mst. Moriom Begum </t>
  </si>
  <si>
    <t xml:space="preserve">Jannatul Ferdous Ema </t>
  </si>
  <si>
    <t xml:space="preserve">Dikder Delowar Hossain </t>
  </si>
  <si>
    <t xml:space="preserve">Mrs. Sharifa Yesmin </t>
  </si>
  <si>
    <t xml:space="preserve">H.M Jesan </t>
  </si>
  <si>
    <t xml:space="preserve">Md Jewel Howlader </t>
  </si>
  <si>
    <t>Mst. Kanis Fathama Juthy</t>
  </si>
  <si>
    <t>01729-820132                     01736-806152</t>
  </si>
  <si>
    <t>01742-434649      01742-434648</t>
  </si>
  <si>
    <t xml:space="preserve">01742-892981                  </t>
  </si>
  <si>
    <t>01939-331341</t>
  </si>
  <si>
    <t>01717-487598</t>
  </si>
  <si>
    <t>01723-582880   01677-809763</t>
  </si>
  <si>
    <t>01620-993579</t>
  </si>
  <si>
    <t>01720-165569   01308-639123</t>
  </si>
  <si>
    <t>01760-300419</t>
  </si>
  <si>
    <t>01606-084387    01710-236228</t>
  </si>
  <si>
    <t xml:space="preserve">01718-229939         </t>
  </si>
  <si>
    <t xml:space="preserve">01757-259827                       </t>
  </si>
  <si>
    <t>01966-322337                   01712-967371</t>
  </si>
  <si>
    <t>01303-205901</t>
  </si>
  <si>
    <t>BIOLOGY</t>
  </si>
  <si>
    <r>
      <t xml:space="preserve">   </t>
    </r>
    <r>
      <rPr>
        <sz val="18"/>
        <rFont val="Times New Roman"/>
        <family val="1"/>
      </rPr>
      <t xml:space="preserve">  AMIN CADET RESIDENTIAL ACADEMY</t>
    </r>
    <r>
      <rPr>
        <sz val="12"/>
        <rFont val="Times New Roman"/>
        <family val="1"/>
      </rPr>
      <t xml:space="preserve">
Amin Model Town, Savar Cantonment, Ashulia, Dhaka-1344.
Pre-Test Examination -2025</t>
    </r>
    <r>
      <rPr>
        <sz val="11"/>
        <color theme="1"/>
        <rFont val="Times New Roman"/>
        <family val="1"/>
      </rPr>
      <t xml:space="preserve">
    </t>
    </r>
    <r>
      <rPr>
        <sz val="11"/>
        <rFont val="Times New Roman"/>
        <family val="1"/>
      </rPr>
      <t xml:space="preserve"> </t>
    </r>
    <r>
      <rPr>
        <sz val="15"/>
        <rFont val="Times New Roman"/>
        <family val="1"/>
      </rPr>
      <t xml:space="preserve">  Progressive Report </t>
    </r>
  </si>
  <si>
    <r>
      <rPr>
        <b/>
        <sz val="28"/>
        <color theme="1"/>
        <rFont val="Algerian"/>
        <family val="5"/>
      </rPr>
      <t>AMIN CADET RESIDENTIAL ACADEMY</t>
    </r>
    <r>
      <rPr>
        <sz val="28"/>
        <color theme="1"/>
        <rFont val="Algerian"/>
        <family val="5"/>
      </rPr>
      <t xml:space="preserve">
</t>
    </r>
    <r>
      <rPr>
        <sz val="11"/>
        <rFont val="Algerian"/>
        <family val="5"/>
      </rPr>
      <t>Amin Model Town, Savar Cantonment, Ashulia, Dhaka - 1344.</t>
    </r>
    <r>
      <rPr>
        <sz val="15"/>
        <rFont val="Algerian"/>
        <family val="5"/>
      </rPr>
      <t xml:space="preserve">
PRE-TESR EXAMINATION TABULATION SHEET-2025
CLASS-TEN (SCIENCE-B)</t>
    </r>
  </si>
  <si>
    <t xml:space="preserve">Sumaya Gias Prova </t>
  </si>
  <si>
    <t>Md. Gias Uddin Howladar</t>
  </si>
  <si>
    <t xml:space="preserve">Mst Silpe </t>
  </si>
  <si>
    <t>01712-064633                 01743-052711</t>
  </si>
  <si>
    <t>Mst. Marjia</t>
  </si>
  <si>
    <t>Mohammad Younus Bepary</t>
  </si>
  <si>
    <t xml:space="preserve">Mst. Sharmila </t>
  </si>
  <si>
    <t xml:space="preserve">Momo Binte Monir </t>
  </si>
  <si>
    <t xml:space="preserve">Monirul Islam </t>
  </si>
  <si>
    <t xml:space="preserve">Lipi Jamader </t>
  </si>
  <si>
    <t xml:space="preserve">Hasina Akter Nirala </t>
  </si>
  <si>
    <t>Md. Abul Hasnat</t>
  </si>
  <si>
    <t xml:space="preserve">Mst. Kahinur </t>
  </si>
  <si>
    <t>01923-151914          01608-226256</t>
  </si>
  <si>
    <t>01862-918915      01727-197692</t>
  </si>
  <si>
    <t>01850-170463       01923-317063</t>
  </si>
  <si>
    <t>Md. Hamim Islam</t>
  </si>
  <si>
    <t>Md. Sohel Rana</t>
  </si>
  <si>
    <t>Mst Kadiza Aktar</t>
  </si>
  <si>
    <t>01731-293328
01770-333268</t>
  </si>
  <si>
    <t>Md. Al Arafat Apon</t>
  </si>
  <si>
    <t>Md. Khalequzzaman</t>
  </si>
  <si>
    <t>Mst. Alpona Aktar</t>
  </si>
  <si>
    <t>01713-794014   01758-520147</t>
  </si>
  <si>
    <t>Hojaifa Ibne Hanun</t>
  </si>
  <si>
    <t xml:space="preserve">Md. Harun Or Rashid </t>
  </si>
  <si>
    <t xml:space="preserve">Mst. Sobaraton Nessa </t>
  </si>
  <si>
    <t>01816-883062</t>
  </si>
  <si>
    <t>Md. Omor Faruk</t>
  </si>
  <si>
    <t>A.K.M Milon Hossain</t>
  </si>
  <si>
    <t>Mst. Fazila Khatun</t>
  </si>
  <si>
    <t>01728-657499</t>
  </si>
  <si>
    <t>Md. Fardin</t>
  </si>
  <si>
    <t>18th</t>
  </si>
  <si>
    <t>F2</t>
  </si>
  <si>
    <t>Ab</t>
  </si>
  <si>
    <t>20th</t>
  </si>
  <si>
    <t>12th</t>
  </si>
  <si>
    <t>17th</t>
  </si>
  <si>
    <t>F1</t>
  </si>
  <si>
    <t>13th</t>
  </si>
  <si>
    <t>16th</t>
  </si>
  <si>
    <t>26th</t>
  </si>
  <si>
    <t>F7</t>
  </si>
  <si>
    <t>21st</t>
  </si>
  <si>
    <t>24th</t>
  </si>
  <si>
    <t>F4</t>
  </si>
  <si>
    <t>27th</t>
  </si>
  <si>
    <t>22nd</t>
  </si>
</sst>
</file>

<file path=xl/styles.xml><?xml version="1.0" encoding="utf-8"?>
<styleSheet xmlns="http://schemas.openxmlformats.org/spreadsheetml/2006/main">
  <numFmts count="1">
    <numFmt numFmtId="164" formatCode="00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Algerian"/>
      <family val="5"/>
    </font>
    <font>
      <b/>
      <sz val="9"/>
      <color theme="1"/>
      <name val="Calibri"/>
      <family val="2"/>
      <scheme val="minor"/>
    </font>
    <font>
      <b/>
      <sz val="11"/>
      <color theme="1"/>
      <name val="Algerian"/>
      <family val="5"/>
    </font>
    <font>
      <b/>
      <sz val="11"/>
      <color theme="1"/>
      <name val="Cambria"/>
      <family val="1"/>
      <scheme val="major"/>
    </font>
    <font>
      <sz val="11"/>
      <color theme="1"/>
      <name val="Cambria"/>
      <family val="1"/>
      <scheme val="major"/>
    </font>
    <font>
      <sz val="10"/>
      <color theme="1"/>
      <name val="Algerian"/>
      <family val="5"/>
    </font>
    <font>
      <sz val="14"/>
      <color theme="3" tint="-0.249977111117893"/>
      <name val="Algerian"/>
      <family val="5"/>
    </font>
    <font>
      <u/>
      <sz val="11"/>
      <color theme="1"/>
      <name val="Calibri"/>
      <family val="2"/>
      <scheme val="minor"/>
    </font>
    <font>
      <sz val="8"/>
      <color theme="1"/>
      <name val="Times New Roman"/>
      <family val="1"/>
    </font>
    <font>
      <b/>
      <sz val="8"/>
      <color theme="1"/>
      <name val="Times New Roman"/>
      <family val="1"/>
    </font>
    <font>
      <b/>
      <sz val="12"/>
      <color theme="1"/>
      <name val="Cambria"/>
      <family val="1"/>
      <scheme val="major"/>
    </font>
    <font>
      <sz val="12"/>
      <color theme="1"/>
      <name val="Algerian"/>
      <family val="5"/>
    </font>
    <font>
      <sz val="12"/>
      <color theme="1"/>
      <name val="Lucida Handwriting"/>
      <family val="4"/>
    </font>
    <font>
      <b/>
      <sz val="11"/>
      <name val="Lucida Handwriting"/>
      <family val="4"/>
    </font>
    <font>
      <sz val="11"/>
      <name val="Lucida Handwriting"/>
      <family val="4"/>
    </font>
    <font>
      <sz val="10"/>
      <color theme="1"/>
      <name val="Arial Narrow"/>
      <family val="2"/>
    </font>
    <font>
      <sz val="9"/>
      <color theme="1"/>
      <name val="Times New Roman"/>
      <family val="1"/>
    </font>
    <font>
      <u/>
      <sz val="9"/>
      <color theme="1"/>
      <name val="Times New Roman"/>
      <family val="1"/>
    </font>
    <font>
      <sz val="10"/>
      <color theme="1"/>
      <name val="Times New Roman"/>
      <family val="1"/>
    </font>
    <font>
      <b/>
      <sz val="28"/>
      <color theme="1"/>
      <name val="Algerian"/>
      <family val="5"/>
    </font>
    <font>
      <sz val="14"/>
      <color theme="1"/>
      <name val="Algerian"/>
      <family val="5"/>
    </font>
    <font>
      <b/>
      <sz val="10"/>
      <color theme="1"/>
      <name val="Times New Roman"/>
      <family val="1"/>
    </font>
    <font>
      <sz val="15"/>
      <color theme="1"/>
      <name val="Algerian"/>
      <family val="5"/>
    </font>
    <font>
      <sz val="28"/>
      <color theme="1"/>
      <name val="Algerian"/>
      <family val="5"/>
    </font>
    <font>
      <sz val="11"/>
      <name val="Algerian"/>
      <family val="5"/>
    </font>
    <font>
      <sz val="15"/>
      <name val="Algerian"/>
      <family val="5"/>
    </font>
    <font>
      <b/>
      <sz val="6"/>
      <color theme="1"/>
      <name val="Times New Roman"/>
      <family val="1"/>
    </font>
    <font>
      <sz val="6"/>
      <color theme="1"/>
      <name val="Times New Roman"/>
      <family val="1"/>
    </font>
    <font>
      <sz val="11"/>
      <color theme="1"/>
      <name val="Lucida Handwriting"/>
      <family val="4"/>
    </font>
    <font>
      <sz val="12"/>
      <color rgb="FF00B0F0"/>
      <name val="Times New Roman"/>
      <family val="1"/>
    </font>
    <font>
      <sz val="18"/>
      <name val="Times New Roman"/>
      <family val="1"/>
    </font>
    <font>
      <sz val="12"/>
      <name val="Times New Roman"/>
      <family val="1"/>
    </font>
    <font>
      <sz val="11"/>
      <color theme="1"/>
      <name val="Times New Roman"/>
      <family val="1"/>
    </font>
    <font>
      <sz val="11"/>
      <name val="Times New Roman"/>
      <family val="1"/>
    </font>
    <font>
      <sz val="15"/>
      <name val="Times New Roman"/>
      <family val="1"/>
    </font>
    <font>
      <sz val="11"/>
      <name val="Cambria"/>
      <family val="1"/>
      <scheme val="major"/>
    </font>
    <font>
      <sz val="12"/>
      <color theme="1"/>
      <name val="Calibri"/>
      <family val="2"/>
      <scheme val="minor"/>
    </font>
    <font>
      <b/>
      <sz val="12"/>
      <color theme="1"/>
      <name val="Times New Roman"/>
      <family val="1"/>
    </font>
    <font>
      <sz val="13"/>
      <name val="Times New Roman"/>
      <family val="1"/>
    </font>
    <font>
      <sz val="10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4"/>
      <color theme="1"/>
      <name val="Arial"/>
      <family val="2"/>
    </font>
    <font>
      <sz val="11"/>
      <color theme="1"/>
      <name val="Arial"/>
      <family val="2"/>
    </font>
    <font>
      <sz val="14"/>
      <color theme="1"/>
      <name val="Times New Roman"/>
      <family val="1"/>
    </font>
    <font>
      <b/>
      <sz val="9"/>
      <color theme="1"/>
      <name val="Times New Roman"/>
      <family val="1"/>
    </font>
    <font>
      <b/>
      <sz val="9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42" fillId="0" borderId="0"/>
  </cellStyleXfs>
  <cellXfs count="154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" fontId="0" fillId="0" borderId="0" xfId="0" applyNumberFormat="1"/>
    <xf numFmtId="0" fontId="19" fillId="0" borderId="0" xfId="0" applyFont="1"/>
    <xf numFmtId="0" fontId="19" fillId="0" borderId="0" xfId="0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0" fontId="11" fillId="0" borderId="0" xfId="0" applyFont="1"/>
    <xf numFmtId="0" fontId="2" fillId="0" borderId="0" xfId="0" applyFont="1"/>
    <xf numFmtId="0" fontId="2" fillId="0" borderId="0" xfId="0" applyFont="1" applyAlignment="1">
      <alignment horizontal="center"/>
    </xf>
    <xf numFmtId="0" fontId="10" fillId="0" borderId="0" xfId="0" applyFont="1" applyAlignment="1">
      <alignment vertical="center"/>
    </xf>
    <xf numFmtId="0" fontId="20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0" fontId="21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 wrapText="1"/>
    </xf>
    <xf numFmtId="0" fontId="14" fillId="2" borderId="14" xfId="0" applyFont="1" applyFill="1" applyBorder="1" applyAlignment="1">
      <alignment horizontal="right" vertical="center"/>
    </xf>
    <xf numFmtId="1" fontId="7" fillId="2" borderId="1" xfId="0" applyNumberFormat="1" applyFont="1" applyFill="1" applyBorder="1" applyAlignment="1">
      <alignment horizontal="center" vertical="center"/>
    </xf>
    <xf numFmtId="1" fontId="7" fillId="2" borderId="2" xfId="0" applyNumberFormat="1" applyFont="1" applyFill="1" applyBorder="1" applyAlignment="1">
      <alignment horizontal="center" vertical="center"/>
    </xf>
    <xf numFmtId="1" fontId="7" fillId="2" borderId="8" xfId="0" applyNumberFormat="1" applyFont="1" applyFill="1" applyBorder="1" applyAlignment="1">
      <alignment vertical="center"/>
    </xf>
    <xf numFmtId="1" fontId="7" fillId="2" borderId="11" xfId="0" applyNumberFormat="1" applyFont="1" applyFill="1" applyBorder="1" applyAlignment="1">
      <alignment vertical="center"/>
    </xf>
    <xf numFmtId="0" fontId="7" fillId="2" borderId="5" xfId="0" applyFont="1" applyFill="1" applyBorder="1"/>
    <xf numFmtId="0" fontId="7" fillId="2" borderId="1" xfId="0" applyFont="1" applyFill="1" applyBorder="1" applyAlignment="1">
      <alignment horizontal="center" vertical="center"/>
    </xf>
    <xf numFmtId="0" fontId="7" fillId="2" borderId="1" xfId="0" applyFont="1" applyFill="1" applyBorder="1"/>
    <xf numFmtId="0" fontId="0" fillId="2" borderId="9" xfId="0" applyFill="1" applyBorder="1"/>
    <xf numFmtId="1" fontId="0" fillId="2" borderId="9" xfId="0" applyNumberFormat="1" applyFill="1" applyBorder="1"/>
    <xf numFmtId="0" fontId="14" fillId="2" borderId="0" xfId="0" applyFont="1" applyFill="1" applyAlignment="1">
      <alignment horizontal="right"/>
    </xf>
    <xf numFmtId="0" fontId="14" fillId="2" borderId="0" xfId="0" applyFont="1" applyFill="1" applyAlignment="1">
      <alignment horizontal="right" vertical="center"/>
    </xf>
    <xf numFmtId="0" fontId="0" fillId="2" borderId="0" xfId="0" applyFill="1"/>
    <xf numFmtId="1" fontId="0" fillId="2" borderId="0" xfId="0" applyNumberFormat="1" applyFill="1"/>
    <xf numFmtId="1" fontId="0" fillId="2" borderId="0" xfId="0" applyNumberFormat="1" applyFill="1" applyAlignment="1">
      <alignment horizontal="center" vertical="center"/>
    </xf>
    <xf numFmtId="0" fontId="18" fillId="2" borderId="0" xfId="0" applyFont="1" applyFill="1" applyAlignment="1">
      <alignment vertical="center"/>
    </xf>
    <xf numFmtId="0" fontId="8" fillId="2" borderId="0" xfId="0" applyFont="1" applyFill="1" applyAlignment="1">
      <alignment vertical="center"/>
    </xf>
    <xf numFmtId="0" fontId="16" fillId="2" borderId="0" xfId="0" applyFont="1" applyFill="1" applyAlignment="1">
      <alignment vertical="center"/>
    </xf>
    <xf numFmtId="1" fontId="0" fillId="2" borderId="5" xfId="0" applyNumberFormat="1" applyFill="1" applyBorder="1"/>
    <xf numFmtId="0" fontId="0" fillId="2" borderId="6" xfId="0" applyFill="1" applyBorder="1"/>
    <xf numFmtId="1" fontId="0" fillId="2" borderId="6" xfId="0" applyNumberFormat="1" applyFill="1" applyBorder="1"/>
    <xf numFmtId="1" fontId="0" fillId="2" borderId="1" xfId="0" applyNumberFormat="1" applyFill="1" applyBorder="1" applyAlignment="1">
      <alignment horizontal="center" vertical="center"/>
    </xf>
    <xf numFmtId="0" fontId="7" fillId="2" borderId="0" xfId="0" applyFont="1" applyFill="1"/>
    <xf numFmtId="0" fontId="38" fillId="2" borderId="0" xfId="0" applyFont="1" applyFill="1" applyAlignment="1">
      <alignment vertical="center"/>
    </xf>
    <xf numFmtId="0" fontId="40" fillId="0" borderId="0" xfId="0" applyFont="1"/>
    <xf numFmtId="0" fontId="40" fillId="2" borderId="0" xfId="0" applyFont="1" applyFill="1"/>
    <xf numFmtId="0" fontId="34" fillId="0" borderId="1" xfId="0" applyFont="1" applyBorder="1" applyAlignment="1">
      <alignment horizontal="center" vertical="center"/>
    </xf>
    <xf numFmtId="0" fontId="34" fillId="2" borderId="1" xfId="0" applyFont="1" applyFill="1" applyBorder="1" applyAlignment="1">
      <alignment horizontal="center" vertical="center"/>
    </xf>
    <xf numFmtId="0" fontId="34" fillId="2" borderId="1" xfId="0" applyFont="1" applyFill="1" applyBorder="1" applyAlignment="1">
      <alignment horizontal="center" vertical="center" wrapText="1"/>
    </xf>
    <xf numFmtId="0" fontId="41" fillId="0" borderId="1" xfId="0" applyFont="1" applyBorder="1" applyAlignment="1">
      <alignment horizontal="left" vertical="center"/>
    </xf>
    <xf numFmtId="0" fontId="34" fillId="0" borderId="1" xfId="0" applyFont="1" applyBorder="1" applyAlignment="1">
      <alignment horizontal="center" vertical="center" wrapText="1"/>
    </xf>
    <xf numFmtId="0" fontId="41" fillId="2" borderId="1" xfId="0" applyFont="1" applyFill="1" applyBorder="1" applyAlignment="1">
      <alignment horizontal="left" vertical="center"/>
    </xf>
    <xf numFmtId="0" fontId="41" fillId="2" borderId="1" xfId="0" applyFont="1" applyFill="1" applyBorder="1" applyAlignment="1">
      <alignment horizontal="left" vertical="center" wrapText="1"/>
    </xf>
    <xf numFmtId="164" fontId="43" fillId="0" borderId="7" xfId="2" applyNumberFormat="1" applyFont="1" applyBorder="1" applyAlignment="1">
      <alignment horizontal="center" vertical="center"/>
    </xf>
    <xf numFmtId="164" fontId="43" fillId="0" borderId="1" xfId="2" applyNumberFormat="1" applyFont="1" applyBorder="1" applyAlignment="1">
      <alignment horizontal="center" vertical="center"/>
    </xf>
    <xf numFmtId="164" fontId="44" fillId="0" borderId="7" xfId="2" applyNumberFormat="1" applyFont="1" applyBorder="1" applyAlignment="1">
      <alignment horizontal="center" vertical="center"/>
    </xf>
    <xf numFmtId="0" fontId="45" fillId="0" borderId="1" xfId="0" applyFont="1" applyBorder="1" applyAlignment="1">
      <alignment horizontal="center" vertical="center"/>
    </xf>
    <xf numFmtId="1" fontId="45" fillId="0" borderId="1" xfId="0" applyNumberFormat="1" applyFont="1" applyBorder="1" applyAlignment="1">
      <alignment horizontal="center" vertical="center"/>
    </xf>
    <xf numFmtId="0" fontId="43" fillId="0" borderId="1" xfId="0" applyFont="1" applyBorder="1" applyAlignment="1">
      <alignment horizontal="center" vertical="center"/>
    </xf>
    <xf numFmtId="2" fontId="45" fillId="0" borderId="1" xfId="1" applyNumberFormat="1" applyFont="1" applyFill="1" applyBorder="1" applyAlignment="1">
      <alignment horizontal="center" vertical="center"/>
    </xf>
    <xf numFmtId="2" fontId="45" fillId="0" borderId="2" xfId="1" applyNumberFormat="1" applyFont="1" applyFill="1" applyBorder="1" applyAlignment="1">
      <alignment horizontal="center" vertical="center"/>
    </xf>
    <xf numFmtId="0" fontId="45" fillId="2" borderId="1" xfId="0" applyFont="1" applyFill="1" applyBorder="1" applyAlignment="1">
      <alignment horizontal="center" vertical="center"/>
    </xf>
    <xf numFmtId="1" fontId="45" fillId="2" borderId="1" xfId="0" applyNumberFormat="1" applyFont="1" applyFill="1" applyBorder="1" applyAlignment="1">
      <alignment horizontal="center" vertical="center"/>
    </xf>
    <xf numFmtId="0" fontId="43" fillId="2" borderId="1" xfId="0" applyFont="1" applyFill="1" applyBorder="1" applyAlignment="1">
      <alignment horizontal="center" vertical="center"/>
    </xf>
    <xf numFmtId="2" fontId="45" fillId="2" borderId="1" xfId="1" applyNumberFormat="1" applyFont="1" applyFill="1" applyBorder="1" applyAlignment="1">
      <alignment horizontal="center" vertical="center"/>
    </xf>
    <xf numFmtId="2" fontId="45" fillId="2" borderId="2" xfId="1" applyNumberFormat="1" applyFont="1" applyFill="1" applyBorder="1" applyAlignment="1">
      <alignment horizontal="center" vertical="center"/>
    </xf>
    <xf numFmtId="0" fontId="45" fillId="0" borderId="14" xfId="0" applyFont="1" applyBorder="1" applyAlignment="1">
      <alignment vertical="center"/>
    </xf>
    <xf numFmtId="0" fontId="45" fillId="0" borderId="14" xfId="0" applyFont="1" applyBorder="1"/>
    <xf numFmtId="0" fontId="46" fillId="0" borderId="15" xfId="0" applyFont="1" applyBorder="1" applyAlignment="1">
      <alignment horizontal="center" vertical="center"/>
    </xf>
    <xf numFmtId="0" fontId="46" fillId="2" borderId="15" xfId="0" applyFont="1" applyFill="1" applyBorder="1" applyAlignment="1">
      <alignment horizontal="center" vertical="center"/>
    </xf>
    <xf numFmtId="0" fontId="46" fillId="0" borderId="5" xfId="0" applyFont="1" applyBorder="1" applyAlignment="1">
      <alignment horizontal="center" vertical="center"/>
    </xf>
    <xf numFmtId="0" fontId="47" fillId="0" borderId="1" xfId="0" applyFont="1" applyBorder="1" applyAlignment="1">
      <alignment horizontal="center" vertical="center"/>
    </xf>
    <xf numFmtId="0" fontId="47" fillId="2" borderId="1" xfId="0" applyFont="1" applyFill="1" applyBorder="1" applyAlignment="1">
      <alignment horizontal="center" vertical="center"/>
    </xf>
    <xf numFmtId="0" fontId="48" fillId="0" borderId="0" xfId="0" applyFont="1"/>
    <xf numFmtId="0" fontId="49" fillId="0" borderId="1" xfId="0" applyFont="1" applyBorder="1" applyAlignment="1">
      <alignment horizontal="center" vertical="center" wrapText="1"/>
    </xf>
    <xf numFmtId="0" fontId="48" fillId="0" borderId="1" xfId="0" applyFont="1" applyBorder="1" applyAlignment="1">
      <alignment horizontal="center" vertical="center" wrapText="1"/>
    </xf>
    <xf numFmtId="2" fontId="0" fillId="0" borderId="0" xfId="0" applyNumberFormat="1"/>
    <xf numFmtId="2" fontId="7" fillId="2" borderId="1" xfId="0" applyNumberFormat="1" applyFont="1" applyFill="1" applyBorder="1" applyAlignment="1">
      <alignment horizontal="center" vertical="center"/>
    </xf>
    <xf numFmtId="2" fontId="7" fillId="2" borderId="2" xfId="0" applyNumberFormat="1" applyFont="1" applyFill="1" applyBorder="1" applyAlignment="1">
      <alignment horizontal="center" vertical="center"/>
    </xf>
    <xf numFmtId="2" fontId="0" fillId="2" borderId="9" xfId="0" applyNumberFormat="1" applyFill="1" applyBorder="1"/>
    <xf numFmtId="2" fontId="0" fillId="2" borderId="0" xfId="0" applyNumberFormat="1" applyFill="1"/>
    <xf numFmtId="2" fontId="39" fillId="0" borderId="0" xfId="0" applyNumberFormat="1" applyFont="1"/>
    <xf numFmtId="0" fontId="10" fillId="0" borderId="0" xfId="0" applyFont="1" applyAlignment="1">
      <alignment horizontal="center" vertical="center"/>
    </xf>
    <xf numFmtId="0" fontId="12" fillId="0" borderId="1" xfId="0" applyFont="1" applyBorder="1" applyAlignment="1">
      <alignment horizontal="center" vertical="center" wrapText="1"/>
    </xf>
    <xf numFmtId="0" fontId="48" fillId="0" borderId="1" xfId="0" applyFont="1" applyBorder="1" applyAlignment="1">
      <alignment horizontal="center" vertical="center" wrapText="1"/>
    </xf>
    <xf numFmtId="0" fontId="29" fillId="0" borderId="2" xfId="0" applyFont="1" applyBorder="1" applyAlignment="1">
      <alignment horizontal="center" vertical="center" wrapText="1"/>
    </xf>
    <xf numFmtId="0" fontId="29" fillId="0" borderId="3" xfId="0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 vertical="center" wrapText="1"/>
    </xf>
    <xf numFmtId="0" fontId="12" fillId="0" borderId="3" xfId="0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0" fontId="19" fillId="0" borderId="14" xfId="0" applyFont="1" applyBorder="1" applyAlignment="1">
      <alignment horizontal="center" vertical="center" wrapText="1"/>
    </xf>
    <xf numFmtId="1" fontId="45" fillId="0" borderId="2" xfId="0" applyNumberFormat="1" applyFont="1" applyBorder="1" applyAlignment="1">
      <alignment horizontal="center" vertical="center"/>
    </xf>
    <xf numFmtId="1" fontId="45" fillId="0" borderId="4" xfId="0" applyNumberFormat="1" applyFont="1" applyBorder="1" applyAlignment="1">
      <alignment horizontal="center" vertical="center"/>
    </xf>
    <xf numFmtId="0" fontId="45" fillId="0" borderId="3" xfId="0" applyFont="1" applyBorder="1" applyAlignment="1"/>
    <xf numFmtId="0" fontId="45" fillId="0" borderId="4" xfId="0" applyFont="1" applyBorder="1" applyAlignment="1">
      <alignment horizontal="center" vertical="center"/>
    </xf>
    <xf numFmtId="1" fontId="45" fillId="0" borderId="16" xfId="0" applyNumberFormat="1" applyFont="1" applyBorder="1" applyAlignment="1">
      <alignment horizontal="center" vertical="center"/>
    </xf>
    <xf numFmtId="1" fontId="45" fillId="0" borderId="12" xfId="0" applyNumberFormat="1" applyFont="1" applyBorder="1" applyAlignment="1">
      <alignment horizontal="center" vertical="center"/>
    </xf>
    <xf numFmtId="0" fontId="45" fillId="0" borderId="13" xfId="0" applyFont="1" applyBorder="1" applyAlignment="1"/>
    <xf numFmtId="0" fontId="45" fillId="0" borderId="2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 wrapText="1"/>
    </xf>
    <xf numFmtId="0" fontId="24" fillId="0" borderId="1" xfId="0" applyFont="1" applyBorder="1" applyAlignment="1">
      <alignment horizontal="center" vertical="center" wrapText="1"/>
    </xf>
    <xf numFmtId="0" fontId="8" fillId="2" borderId="0" xfId="0" applyFont="1" applyFill="1" applyAlignment="1">
      <alignment horizontal="center"/>
    </xf>
    <xf numFmtId="1" fontId="4" fillId="2" borderId="5" xfId="0" applyNumberFormat="1" applyFont="1" applyFill="1" applyBorder="1" applyAlignment="1">
      <alignment horizontal="center" vertical="center"/>
    </xf>
    <xf numFmtId="1" fontId="4" fillId="2" borderId="7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/>
    </xf>
    <xf numFmtId="0" fontId="17" fillId="2" borderId="0" xfId="0" applyFont="1" applyFill="1" applyAlignment="1">
      <alignment horizontal="left" vertical="center"/>
    </xf>
    <xf numFmtId="0" fontId="5" fillId="2" borderId="5" xfId="0" applyFont="1" applyFill="1" applyBorder="1" applyAlignment="1">
      <alignment horizontal="center"/>
    </xf>
    <xf numFmtId="0" fontId="5" fillId="2" borderId="6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38" fillId="2" borderId="0" xfId="0" applyFont="1" applyFill="1" applyAlignment="1">
      <alignment horizontal="center" vertical="center"/>
    </xf>
    <xf numFmtId="1" fontId="7" fillId="2" borderId="2" xfId="0" applyNumberFormat="1" applyFont="1" applyFill="1" applyBorder="1" applyAlignment="1">
      <alignment horizontal="center" vertical="center"/>
    </xf>
    <xf numFmtId="1" fontId="7" fillId="2" borderId="3" xfId="0" applyNumberFormat="1" applyFont="1" applyFill="1" applyBorder="1" applyAlignment="1">
      <alignment horizontal="center" vertical="center"/>
    </xf>
    <xf numFmtId="2" fontId="7" fillId="2" borderId="2" xfId="0" applyNumberFormat="1" applyFont="1" applyFill="1" applyBorder="1" applyAlignment="1">
      <alignment horizontal="center" vertical="center"/>
    </xf>
    <xf numFmtId="2" fontId="7" fillId="2" borderId="3" xfId="0" applyNumberFormat="1" applyFont="1" applyFill="1" applyBorder="1" applyAlignment="1">
      <alignment horizontal="center" vertical="center"/>
    </xf>
    <xf numFmtId="2" fontId="23" fillId="2" borderId="1" xfId="0" applyNumberFormat="1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14" fillId="2" borderId="14" xfId="0" applyFont="1" applyFill="1" applyBorder="1" applyAlignment="1">
      <alignment horizontal="center"/>
    </xf>
    <xf numFmtId="1" fontId="15" fillId="2" borderId="14" xfId="0" applyNumberFormat="1" applyFont="1" applyFill="1" applyBorder="1" applyAlignment="1">
      <alignment horizontal="left"/>
    </xf>
    <xf numFmtId="0" fontId="15" fillId="2" borderId="14" xfId="0" applyFont="1" applyFill="1" applyBorder="1" applyAlignment="1">
      <alignment horizontal="left" vertical="center"/>
    </xf>
    <xf numFmtId="0" fontId="9" fillId="2" borderId="12" xfId="0" applyFont="1" applyFill="1" applyBorder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0" fontId="9" fillId="2" borderId="10" xfId="0" applyFont="1" applyFill="1" applyBorder="1" applyAlignment="1">
      <alignment horizontal="center" vertical="center"/>
    </xf>
    <xf numFmtId="0" fontId="9" fillId="2" borderId="13" xfId="0" applyFont="1" applyFill="1" applyBorder="1" applyAlignment="1">
      <alignment horizontal="center" vertical="center"/>
    </xf>
    <xf numFmtId="0" fontId="9" fillId="2" borderId="14" xfId="0" applyFont="1" applyFill="1" applyBorder="1" applyAlignment="1">
      <alignment horizontal="center" vertical="center"/>
    </xf>
    <xf numFmtId="0" fontId="9" fillId="2" borderId="11" xfId="0" applyFont="1" applyFill="1" applyBorder="1" applyAlignment="1">
      <alignment horizontal="center" vertical="center"/>
    </xf>
    <xf numFmtId="1" fontId="6" fillId="2" borderId="4" xfId="0" applyNumberFormat="1" applyFont="1" applyFill="1" applyBorder="1" applyAlignment="1">
      <alignment horizontal="center" vertical="center" textRotation="90" wrapText="1"/>
    </xf>
    <xf numFmtId="1" fontId="6" fillId="2" borderId="3" xfId="0" applyNumberFormat="1" applyFont="1" applyFill="1" applyBorder="1" applyAlignment="1">
      <alignment horizontal="center" vertical="center" textRotation="90" wrapText="1"/>
    </xf>
    <xf numFmtId="0" fontId="6" fillId="2" borderId="3" xfId="0" applyFont="1" applyFill="1" applyBorder="1" applyAlignment="1">
      <alignment horizontal="center" vertical="center" textRotation="90"/>
    </xf>
    <xf numFmtId="0" fontId="6" fillId="2" borderId="1" xfId="0" applyFont="1" applyFill="1" applyBorder="1" applyAlignment="1">
      <alignment horizontal="center" vertical="center" textRotation="90"/>
    </xf>
    <xf numFmtId="2" fontId="6" fillId="2" borderId="4" xfId="0" applyNumberFormat="1" applyFont="1" applyFill="1" applyBorder="1" applyAlignment="1">
      <alignment horizontal="center" vertical="center" textRotation="90"/>
    </xf>
    <xf numFmtId="2" fontId="6" fillId="2" borderId="3" xfId="0" applyNumberFormat="1" applyFont="1" applyFill="1" applyBorder="1" applyAlignment="1">
      <alignment horizontal="center" vertical="center" textRotation="90"/>
    </xf>
    <xf numFmtId="0" fontId="14" fillId="2" borderId="14" xfId="0" applyFont="1" applyFill="1" applyBorder="1" applyAlignment="1">
      <alignment horizontal="left"/>
    </xf>
    <xf numFmtId="0" fontId="6" fillId="2" borderId="4" xfId="0" applyFont="1" applyFill="1" applyBorder="1" applyAlignment="1">
      <alignment horizontal="center" vertical="center" textRotation="90"/>
    </xf>
    <xf numFmtId="0" fontId="14" fillId="2" borderId="0" xfId="0" applyFont="1" applyFill="1" applyAlignment="1">
      <alignment horizontal="center"/>
    </xf>
    <xf numFmtId="0" fontId="15" fillId="2" borderId="0" xfId="0" applyFont="1" applyFill="1" applyAlignment="1">
      <alignment horizontal="left"/>
    </xf>
    <xf numFmtId="0" fontId="14" fillId="2" borderId="0" xfId="0" applyFont="1" applyFill="1" applyAlignment="1">
      <alignment horizontal="left"/>
    </xf>
    <xf numFmtId="0" fontId="31" fillId="2" borderId="0" xfId="0" applyFont="1" applyFill="1" applyAlignment="1">
      <alignment horizontal="left"/>
    </xf>
    <xf numFmtId="0" fontId="15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2" fillId="2" borderId="0" xfId="0" applyFont="1" applyFill="1" applyAlignment="1">
      <alignment horizontal="center" vertical="center" wrapText="1"/>
    </xf>
    <xf numFmtId="0" fontId="13" fillId="2" borderId="3" xfId="0" applyFont="1" applyFill="1" applyBorder="1" applyAlignment="1">
      <alignment horizontal="center" vertical="center" textRotation="90"/>
    </xf>
    <xf numFmtId="0" fontId="13" fillId="2" borderId="1" xfId="0" applyFont="1" applyFill="1" applyBorder="1" applyAlignment="1">
      <alignment horizontal="center" vertical="center" textRotation="90"/>
    </xf>
    <xf numFmtId="1" fontId="13" fillId="2" borderId="3" xfId="0" applyNumberFormat="1" applyFont="1" applyFill="1" applyBorder="1" applyAlignment="1">
      <alignment horizontal="center" vertical="center" textRotation="90"/>
    </xf>
    <xf numFmtId="1" fontId="13" fillId="2" borderId="1" xfId="0" applyNumberFormat="1" applyFont="1" applyFill="1" applyBorder="1" applyAlignment="1">
      <alignment horizontal="center" vertical="center" textRotation="90"/>
    </xf>
  </cellXfs>
  <cellStyles count="3">
    <cellStyle name="Normal" xfId="0" builtinId="0"/>
    <cellStyle name="Normal 2" xfId="2"/>
    <cellStyle name="Percent" xfId="1" builtinId="5"/>
  </cellStyles>
  <dxfs count="0"/>
  <tableStyles count="0" defaultTableStyle="TableStyleMedium9" defaultPivotStyle="PivotStyleLight16"/>
  <colors>
    <mruColors>
      <color rgb="FF9ABB59"/>
      <color rgb="FF87FD6B"/>
      <color rgb="FFFF99FF"/>
      <color rgb="FF00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1.png"/><Relationship Id="rId1" Type="http://schemas.openxmlformats.org/officeDocument/2006/relationships/image" Target="../media/image2.jpe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29</xdr:col>
      <xdr:colOff>260698</xdr:colOff>
      <xdr:row>1</xdr:row>
      <xdr:rowOff>8486</xdr:rowOff>
    </xdr:from>
    <xdr:to>
      <xdr:col>32</xdr:col>
      <xdr:colOff>101891</xdr:colOff>
      <xdr:row>5</xdr:row>
      <xdr:rowOff>65686</xdr:rowOff>
    </xdr:to>
    <xdr:pic>
      <xdr:nvPicPr>
        <xdr:cNvPr id="2" name="Picture 1" descr="ACA-LOGO.png">
          <a:extLst>
            <a:ext uri="{FF2B5EF4-FFF2-40B4-BE49-F238E27FC236}">
              <a16:creationId xmlns="" xmlns:a16="http://schemas.microsoft.com/office/drawing/2014/main" id="{941644C3-6904-4BEF-988B-7D88F4451B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12241" b="9307"/>
        <a:stretch>
          <a:fillRect/>
        </a:stretch>
      </xdr:blipFill>
      <xdr:spPr>
        <a:xfrm>
          <a:off x="16698127" y="8486"/>
          <a:ext cx="984193" cy="1091343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19056</xdr:colOff>
      <xdr:row>38</xdr:row>
      <xdr:rowOff>0</xdr:rowOff>
    </xdr:from>
    <xdr:to>
      <xdr:col>12</xdr:col>
      <xdr:colOff>444010</xdr:colOff>
      <xdr:row>40</xdr:row>
      <xdr:rowOff>6097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629149DE-2396-41D2-BE13-8A3AE84FB1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6400684" y="9868022"/>
          <a:ext cx="387097" cy="1034554"/>
        </a:xfrm>
        <a:prstGeom prst="rect">
          <a:avLst/>
        </a:prstGeom>
      </xdr:spPr>
    </xdr:pic>
    <xdr:clientData/>
  </xdr:twoCellAnchor>
  <xdr:twoCellAnchor editAs="oneCell">
    <xdr:from>
      <xdr:col>2</xdr:col>
      <xdr:colOff>15551</xdr:colOff>
      <xdr:row>1</xdr:row>
      <xdr:rowOff>171644</xdr:rowOff>
    </xdr:from>
    <xdr:to>
      <xdr:col>3</xdr:col>
      <xdr:colOff>256075</xdr:colOff>
      <xdr:row>4</xdr:row>
      <xdr:rowOff>241784</xdr:rowOff>
    </xdr:to>
    <xdr:pic>
      <xdr:nvPicPr>
        <xdr:cNvPr id="2" name="Picture 1" descr="ACA-LOGO.png">
          <a:extLst>
            <a:ext uri="{FF2B5EF4-FFF2-40B4-BE49-F238E27FC236}">
              <a16:creationId xmlns="" xmlns:a16="http://schemas.microsoft.com/office/drawing/2014/main" id="{C721E734-7139-4D82-BE16-071769826D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 t="12241" b="9307"/>
        <a:stretch>
          <a:fillRect/>
        </a:stretch>
      </xdr:blipFill>
      <xdr:spPr>
        <a:xfrm>
          <a:off x="806126" y="505019"/>
          <a:ext cx="897749" cy="101311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190500</xdr:colOff>
      <xdr:row>38</xdr:row>
      <xdr:rowOff>104775</xdr:rowOff>
    </xdr:from>
    <xdr:to>
      <xdr:col>3</xdr:col>
      <xdr:colOff>446631</xdr:colOff>
      <xdr:row>40</xdr:row>
      <xdr:rowOff>57150</xdr:rowOff>
    </xdr:to>
    <xdr:pic>
      <xdr:nvPicPr>
        <xdr:cNvPr id="6" name="Picture 5" descr="Nadira.jpg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81075" y="10296525"/>
          <a:ext cx="913356" cy="333375"/>
        </a:xfrm>
        <a:prstGeom prst="rect">
          <a:avLst/>
        </a:prstGeom>
      </xdr:spPr>
    </xdr:pic>
    <xdr:clientData/>
  </xdr:twoCellAnchor>
  <xdr:twoCellAnchor editAs="oneCell">
    <xdr:from>
      <xdr:col>6</xdr:col>
      <xdr:colOff>57150</xdr:colOff>
      <xdr:row>38</xdr:row>
      <xdr:rowOff>123469</xdr:rowOff>
    </xdr:from>
    <xdr:to>
      <xdr:col>8</xdr:col>
      <xdr:colOff>85725</xdr:colOff>
      <xdr:row>40</xdr:row>
      <xdr:rowOff>9525</xdr:rowOff>
    </xdr:to>
    <xdr:pic>
      <xdr:nvPicPr>
        <xdr:cNvPr id="7" name="Picture 6" descr="v¦v¦.jpg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257550" y="10315219"/>
          <a:ext cx="952500" cy="26705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>
    <pageSetUpPr fitToPage="1"/>
  </sheetPr>
  <dimension ref="A1:CQ4303"/>
  <sheetViews>
    <sheetView tabSelected="1" topLeftCell="D2" zoomScale="70" zoomScaleNormal="70" workbookViewId="0">
      <selection activeCell="K41" sqref="K41"/>
    </sheetView>
  </sheetViews>
  <sheetFormatPr defaultColWidth="5.7109375" defaultRowHeight="15"/>
  <cols>
    <col min="3" max="3" width="29.140625" style="11" bestFit="1" customWidth="1"/>
    <col min="4" max="4" width="30" style="11" bestFit="1" customWidth="1"/>
    <col min="5" max="5" width="28.5703125" style="11" bestFit="1" customWidth="1"/>
    <col min="6" max="6" width="15.7109375" style="11" bestFit="1" customWidth="1"/>
    <col min="7" max="7" width="5.85546875" bestFit="1" customWidth="1"/>
    <col min="78" max="78" width="9" bestFit="1" customWidth="1"/>
    <col min="79" max="79" width="6" customWidth="1"/>
    <col min="90" max="90" width="7.5703125" customWidth="1"/>
    <col min="92" max="92" width="24.28515625" bestFit="1" customWidth="1"/>
    <col min="94" max="94" width="7" style="13" customWidth="1"/>
  </cols>
  <sheetData>
    <row r="1" spans="1:95" hidden="1"/>
    <row r="2" spans="1:95" ht="14.45" customHeight="1">
      <c r="A2" s="88" t="s">
        <v>134</v>
      </c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88"/>
      <c r="BJ2" s="88"/>
      <c r="BK2" s="88"/>
      <c r="BL2" s="88"/>
      <c r="BM2" s="88"/>
      <c r="BN2" s="88"/>
      <c r="BO2" s="88"/>
      <c r="BP2" s="88"/>
      <c r="BQ2" s="88"/>
      <c r="BR2" s="88"/>
      <c r="BS2" s="88"/>
      <c r="BT2" s="88"/>
      <c r="BU2" s="88"/>
      <c r="BV2" s="88"/>
      <c r="BW2" s="88"/>
      <c r="BX2" s="88"/>
      <c r="BY2" s="88"/>
      <c r="BZ2" s="88"/>
      <c r="CA2" s="88"/>
      <c r="CB2" s="88"/>
      <c r="CC2" s="88"/>
      <c r="CD2" s="88"/>
      <c r="CE2" s="88"/>
      <c r="CF2" s="88"/>
      <c r="CG2" s="88"/>
      <c r="CH2" s="88"/>
      <c r="CI2" s="88"/>
      <c r="CJ2" s="88"/>
      <c r="CK2" s="88"/>
      <c r="CL2" s="88"/>
      <c r="CM2" s="88"/>
      <c r="CN2" s="88"/>
      <c r="CO2" s="88"/>
    </row>
    <row r="3" spans="1:95" ht="20.45" customHeight="1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88"/>
      <c r="BJ3" s="88"/>
      <c r="BK3" s="88"/>
      <c r="BL3" s="88"/>
      <c r="BM3" s="88"/>
      <c r="BN3" s="88"/>
      <c r="BO3" s="88"/>
      <c r="BP3" s="88"/>
      <c r="BQ3" s="88"/>
      <c r="BR3" s="88"/>
      <c r="BS3" s="88"/>
      <c r="BT3" s="88"/>
      <c r="BU3" s="88"/>
      <c r="BV3" s="88"/>
      <c r="BW3" s="88"/>
      <c r="BX3" s="88"/>
      <c r="BY3" s="88"/>
      <c r="BZ3" s="88"/>
      <c r="CA3" s="88"/>
      <c r="CB3" s="88"/>
      <c r="CC3" s="88"/>
      <c r="CD3" s="88"/>
      <c r="CE3" s="88"/>
      <c r="CF3" s="88"/>
      <c r="CG3" s="88"/>
      <c r="CH3" s="88"/>
      <c r="CI3" s="88"/>
      <c r="CJ3" s="88"/>
      <c r="CK3" s="88"/>
      <c r="CL3" s="88"/>
      <c r="CM3" s="88"/>
      <c r="CN3" s="88"/>
      <c r="CO3" s="88"/>
    </row>
    <row r="4" spans="1:95" ht="24.6" customHeight="1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88"/>
      <c r="BJ4" s="88"/>
      <c r="BK4" s="88"/>
      <c r="BL4" s="88"/>
      <c r="BM4" s="88"/>
      <c r="BN4" s="88"/>
      <c r="BO4" s="88"/>
      <c r="BP4" s="88"/>
      <c r="BQ4" s="88"/>
      <c r="BR4" s="88"/>
      <c r="BS4" s="88"/>
      <c r="BT4" s="88"/>
      <c r="BU4" s="88"/>
      <c r="BV4" s="88"/>
      <c r="BW4" s="88"/>
      <c r="BX4" s="88"/>
      <c r="BY4" s="88"/>
      <c r="BZ4" s="88"/>
      <c r="CA4" s="88"/>
      <c r="CB4" s="88"/>
      <c r="CC4" s="88"/>
      <c r="CD4" s="88"/>
      <c r="CE4" s="88"/>
      <c r="CF4" s="88"/>
      <c r="CG4" s="88"/>
      <c r="CH4" s="88"/>
      <c r="CI4" s="88"/>
      <c r="CJ4" s="88"/>
      <c r="CK4" s="88"/>
      <c r="CL4" s="88"/>
      <c r="CM4" s="88"/>
      <c r="CN4" s="88"/>
      <c r="CO4" s="88"/>
      <c r="CP4" s="81"/>
    </row>
    <row r="5" spans="1:95" ht="24.6" customHeight="1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88"/>
      <c r="BJ5" s="88"/>
      <c r="BK5" s="88"/>
      <c r="BL5" s="88"/>
      <c r="BM5" s="88"/>
      <c r="BN5" s="88"/>
      <c r="BO5" s="88"/>
      <c r="BP5" s="88"/>
      <c r="BQ5" s="88"/>
      <c r="BR5" s="88"/>
      <c r="BS5" s="88"/>
      <c r="BT5" s="88"/>
      <c r="BU5" s="88"/>
      <c r="BV5" s="88"/>
      <c r="BW5" s="88"/>
      <c r="BX5" s="88"/>
      <c r="BY5" s="88"/>
      <c r="BZ5" s="88"/>
      <c r="CA5" s="88"/>
      <c r="CB5" s="88"/>
      <c r="CC5" s="88"/>
      <c r="CD5" s="88"/>
      <c r="CE5" s="88"/>
      <c r="CF5" s="88"/>
      <c r="CG5" s="88"/>
      <c r="CH5" s="88"/>
      <c r="CI5" s="88"/>
      <c r="CJ5" s="88"/>
      <c r="CK5" s="88"/>
      <c r="CL5" s="88"/>
      <c r="CM5" s="88"/>
      <c r="CN5" s="88"/>
      <c r="CO5" s="88"/>
      <c r="CP5" s="81"/>
    </row>
    <row r="6" spans="1:95" ht="15" customHeight="1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88"/>
      <c r="BJ6" s="88"/>
      <c r="BK6" s="88"/>
      <c r="BL6" s="88"/>
      <c r="BM6" s="88"/>
      <c r="BN6" s="88"/>
      <c r="BO6" s="88"/>
      <c r="BP6" s="88"/>
      <c r="BQ6" s="88"/>
      <c r="BR6" s="88"/>
      <c r="BS6" s="88"/>
      <c r="BT6" s="88"/>
      <c r="BU6" s="88"/>
      <c r="BV6" s="88"/>
      <c r="BW6" s="88"/>
      <c r="BX6" s="88"/>
      <c r="BY6" s="88"/>
      <c r="BZ6" s="88"/>
      <c r="CA6" s="88"/>
      <c r="CB6" s="88"/>
      <c r="CC6" s="88"/>
      <c r="CD6" s="88"/>
      <c r="CE6" s="88"/>
      <c r="CF6" s="88"/>
      <c r="CG6" s="88"/>
      <c r="CH6" s="88"/>
      <c r="CI6" s="88"/>
      <c r="CJ6" s="88"/>
      <c r="CK6" s="88"/>
      <c r="CL6" s="88"/>
      <c r="CM6" s="88"/>
      <c r="CN6" s="88"/>
      <c r="CO6" s="88"/>
      <c r="CP6" s="81"/>
    </row>
    <row r="7" spans="1:95" s="6" customFormat="1" ht="24">
      <c r="B7" s="7"/>
      <c r="C7" s="9" t="s">
        <v>39</v>
      </c>
      <c r="D7" s="9" t="s">
        <v>71</v>
      </c>
      <c r="E7" s="9" t="s">
        <v>50</v>
      </c>
      <c r="F7" s="16" t="s">
        <v>72</v>
      </c>
      <c r="G7" s="7" t="s">
        <v>49</v>
      </c>
      <c r="H7" s="7" t="s">
        <v>67</v>
      </c>
      <c r="I7" s="17" t="s">
        <v>48</v>
      </c>
      <c r="J7" s="18" t="s">
        <v>68</v>
      </c>
      <c r="K7" s="89" t="s">
        <v>41</v>
      </c>
      <c r="L7" s="89"/>
      <c r="M7" s="7">
        <v>44</v>
      </c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14"/>
    </row>
    <row r="8" spans="1:95" s="72" customFormat="1" ht="23.1" customHeight="1">
      <c r="A8" s="98" t="s">
        <v>10</v>
      </c>
      <c r="B8" s="98" t="s">
        <v>0</v>
      </c>
      <c r="C8" s="99" t="s">
        <v>15</v>
      </c>
      <c r="D8" s="100" t="s">
        <v>54</v>
      </c>
      <c r="E8" s="100" t="s">
        <v>14</v>
      </c>
      <c r="F8" s="99" t="s">
        <v>17</v>
      </c>
      <c r="G8" s="83" t="s">
        <v>19</v>
      </c>
      <c r="H8" s="83"/>
      <c r="I8" s="83"/>
      <c r="J8" s="83"/>
      <c r="K8" s="86" t="s">
        <v>56</v>
      </c>
      <c r="L8" s="83" t="s">
        <v>18</v>
      </c>
      <c r="M8" s="83"/>
      <c r="N8" s="83"/>
      <c r="O8" s="83"/>
      <c r="P8" s="86" t="s">
        <v>56</v>
      </c>
      <c r="Q8" s="82" t="s">
        <v>1</v>
      </c>
      <c r="R8" s="82" t="s">
        <v>55</v>
      </c>
      <c r="S8" s="82" t="s">
        <v>2</v>
      </c>
      <c r="T8" s="83" t="s">
        <v>11</v>
      </c>
      <c r="U8" s="83"/>
      <c r="V8" s="83"/>
      <c r="W8" s="83"/>
      <c r="X8" s="83"/>
      <c r="Y8" s="83"/>
      <c r="Z8" s="86" t="s">
        <v>56</v>
      </c>
      <c r="AA8" s="86" t="s">
        <v>1</v>
      </c>
      <c r="AB8" s="82" t="s">
        <v>55</v>
      </c>
      <c r="AC8" s="82" t="s">
        <v>2</v>
      </c>
      <c r="AD8" s="83" t="s">
        <v>44</v>
      </c>
      <c r="AE8" s="83"/>
      <c r="AF8" s="83"/>
      <c r="AG8" s="83"/>
      <c r="AH8" s="82" t="s">
        <v>1</v>
      </c>
      <c r="AI8" s="82" t="s">
        <v>55</v>
      </c>
      <c r="AJ8" s="82" t="s">
        <v>2</v>
      </c>
      <c r="AK8" s="83" t="s">
        <v>3</v>
      </c>
      <c r="AL8" s="83"/>
      <c r="AM8" s="83"/>
      <c r="AN8" s="83"/>
      <c r="AO8" s="82" t="s">
        <v>1</v>
      </c>
      <c r="AP8" s="82" t="s">
        <v>55</v>
      </c>
      <c r="AQ8" s="82" t="s">
        <v>2</v>
      </c>
      <c r="AR8" s="83" t="s">
        <v>4</v>
      </c>
      <c r="AS8" s="83"/>
      <c r="AT8" s="83"/>
      <c r="AU8" s="82" t="s">
        <v>1</v>
      </c>
      <c r="AV8" s="82" t="s">
        <v>55</v>
      </c>
      <c r="AW8" s="82" t="s">
        <v>2</v>
      </c>
      <c r="AX8" s="83" t="s">
        <v>52</v>
      </c>
      <c r="AY8" s="83"/>
      <c r="AZ8" s="83"/>
      <c r="BA8" s="83"/>
      <c r="BB8" s="82" t="s">
        <v>1</v>
      </c>
      <c r="BC8" s="82" t="s">
        <v>55</v>
      </c>
      <c r="BD8" s="82" t="s">
        <v>2</v>
      </c>
      <c r="BE8" s="83" t="s">
        <v>42</v>
      </c>
      <c r="BF8" s="83"/>
      <c r="BG8" s="83"/>
      <c r="BH8" s="83"/>
      <c r="BI8" s="83"/>
      <c r="BJ8" s="82" t="s">
        <v>1</v>
      </c>
      <c r="BK8" s="82" t="s">
        <v>55</v>
      </c>
      <c r="BL8" s="82" t="s">
        <v>2</v>
      </c>
      <c r="BM8" s="83" t="s">
        <v>43</v>
      </c>
      <c r="BN8" s="83"/>
      <c r="BO8" s="83"/>
      <c r="BP8" s="83"/>
      <c r="BQ8" s="83"/>
      <c r="BR8" s="82" t="s">
        <v>1</v>
      </c>
      <c r="BS8" s="82" t="s">
        <v>55</v>
      </c>
      <c r="BT8" s="82" t="s">
        <v>2</v>
      </c>
      <c r="BU8" s="83" t="s">
        <v>132</v>
      </c>
      <c r="BV8" s="83"/>
      <c r="BW8" s="83"/>
      <c r="BX8" s="83"/>
      <c r="BY8" s="83"/>
      <c r="BZ8" s="82" t="s">
        <v>1</v>
      </c>
      <c r="CA8" s="82" t="s">
        <v>55</v>
      </c>
      <c r="CB8" s="82" t="s">
        <v>2</v>
      </c>
      <c r="CC8" s="83" t="s">
        <v>57</v>
      </c>
      <c r="CD8" s="83"/>
      <c r="CE8" s="83"/>
      <c r="CF8" s="83"/>
      <c r="CG8" s="83"/>
      <c r="CH8" s="82" t="s">
        <v>1</v>
      </c>
      <c r="CI8" s="82" t="s">
        <v>55</v>
      </c>
      <c r="CJ8" s="86" t="s">
        <v>2</v>
      </c>
      <c r="CK8" s="82" t="s">
        <v>5</v>
      </c>
      <c r="CL8" s="82" t="s">
        <v>6</v>
      </c>
      <c r="CM8" s="86" t="s">
        <v>59</v>
      </c>
      <c r="CN8" s="86" t="s">
        <v>45</v>
      </c>
      <c r="CO8" s="84" t="s">
        <v>46</v>
      </c>
      <c r="CP8" s="86" t="s">
        <v>51</v>
      </c>
      <c r="CQ8" s="86" t="s">
        <v>47</v>
      </c>
    </row>
    <row r="9" spans="1:95" s="72" customFormat="1" ht="24">
      <c r="A9" s="98"/>
      <c r="B9" s="98"/>
      <c r="C9" s="99"/>
      <c r="D9" s="100"/>
      <c r="E9" s="100"/>
      <c r="F9" s="99"/>
      <c r="G9" s="73" t="s">
        <v>16</v>
      </c>
      <c r="H9" s="74" t="s">
        <v>7</v>
      </c>
      <c r="I9" s="74" t="s">
        <v>58</v>
      </c>
      <c r="J9" s="74" t="s">
        <v>8</v>
      </c>
      <c r="K9" s="87"/>
      <c r="L9" s="73" t="s">
        <v>16</v>
      </c>
      <c r="M9" s="74" t="s">
        <v>7</v>
      </c>
      <c r="N9" s="74" t="s">
        <v>58</v>
      </c>
      <c r="O9" s="74" t="s">
        <v>8</v>
      </c>
      <c r="P9" s="87"/>
      <c r="Q9" s="82"/>
      <c r="R9" s="82"/>
      <c r="S9" s="82"/>
      <c r="T9" s="73" t="s">
        <v>16</v>
      </c>
      <c r="U9" s="74" t="s">
        <v>12</v>
      </c>
      <c r="V9" s="74" t="s">
        <v>66</v>
      </c>
      <c r="W9" s="74" t="s">
        <v>16</v>
      </c>
      <c r="X9" s="74" t="s">
        <v>13</v>
      </c>
      <c r="Y9" s="74" t="s">
        <v>66</v>
      </c>
      <c r="Z9" s="87"/>
      <c r="AA9" s="87"/>
      <c r="AB9" s="82"/>
      <c r="AC9" s="82"/>
      <c r="AD9" s="73" t="s">
        <v>16</v>
      </c>
      <c r="AE9" s="74" t="s">
        <v>7</v>
      </c>
      <c r="AF9" s="74" t="s">
        <v>58</v>
      </c>
      <c r="AG9" s="74" t="s">
        <v>8</v>
      </c>
      <c r="AH9" s="82"/>
      <c r="AI9" s="82"/>
      <c r="AJ9" s="82"/>
      <c r="AK9" s="73" t="s">
        <v>16</v>
      </c>
      <c r="AL9" s="74" t="s">
        <v>7</v>
      </c>
      <c r="AM9" s="74" t="s">
        <v>58</v>
      </c>
      <c r="AN9" s="74" t="s">
        <v>8</v>
      </c>
      <c r="AO9" s="82"/>
      <c r="AP9" s="82"/>
      <c r="AQ9" s="82"/>
      <c r="AR9" s="73" t="s">
        <v>16</v>
      </c>
      <c r="AS9" s="74" t="s">
        <v>8</v>
      </c>
      <c r="AT9" s="74" t="s">
        <v>9</v>
      </c>
      <c r="AU9" s="82"/>
      <c r="AV9" s="82"/>
      <c r="AW9" s="82"/>
      <c r="AX9" s="73" t="s">
        <v>16</v>
      </c>
      <c r="AY9" s="74" t="s">
        <v>7</v>
      </c>
      <c r="AZ9" s="74" t="s">
        <v>58</v>
      </c>
      <c r="BA9" s="74" t="s">
        <v>8</v>
      </c>
      <c r="BB9" s="82"/>
      <c r="BC9" s="82"/>
      <c r="BD9" s="82"/>
      <c r="BE9" s="73" t="s">
        <v>16</v>
      </c>
      <c r="BF9" s="74" t="s">
        <v>7</v>
      </c>
      <c r="BG9" s="74" t="s">
        <v>58</v>
      </c>
      <c r="BH9" s="74" t="s">
        <v>8</v>
      </c>
      <c r="BI9" s="74" t="s">
        <v>9</v>
      </c>
      <c r="BJ9" s="82"/>
      <c r="BK9" s="82"/>
      <c r="BL9" s="82"/>
      <c r="BM9" s="73" t="s">
        <v>16</v>
      </c>
      <c r="BN9" s="74" t="s">
        <v>7</v>
      </c>
      <c r="BO9" s="74" t="s">
        <v>58</v>
      </c>
      <c r="BP9" s="74" t="s">
        <v>8</v>
      </c>
      <c r="BQ9" s="74" t="s">
        <v>9</v>
      </c>
      <c r="BR9" s="82"/>
      <c r="BS9" s="82"/>
      <c r="BT9" s="82"/>
      <c r="BU9" s="73" t="s">
        <v>16</v>
      </c>
      <c r="BV9" s="74" t="s">
        <v>7</v>
      </c>
      <c r="BW9" s="74" t="s">
        <v>58</v>
      </c>
      <c r="BX9" s="74" t="s">
        <v>8</v>
      </c>
      <c r="BY9" s="74" t="s">
        <v>9</v>
      </c>
      <c r="BZ9" s="82"/>
      <c r="CA9" s="82"/>
      <c r="CB9" s="82"/>
      <c r="CC9" s="73" t="s">
        <v>16</v>
      </c>
      <c r="CD9" s="74" t="s">
        <v>7</v>
      </c>
      <c r="CE9" s="74" t="s">
        <v>58</v>
      </c>
      <c r="CF9" s="74" t="s">
        <v>8</v>
      </c>
      <c r="CG9" s="74" t="s">
        <v>9</v>
      </c>
      <c r="CH9" s="82"/>
      <c r="CI9" s="82"/>
      <c r="CJ9" s="87"/>
      <c r="CK9" s="82"/>
      <c r="CL9" s="82"/>
      <c r="CM9" s="87"/>
      <c r="CN9" s="87"/>
      <c r="CO9" s="85"/>
      <c r="CP9" s="87"/>
      <c r="CQ9" s="87"/>
    </row>
    <row r="10" spans="1:95" s="43" customFormat="1" ht="33.75" customHeight="1">
      <c r="A10" s="70">
        <v>1</v>
      </c>
      <c r="B10" s="45">
        <v>22</v>
      </c>
      <c r="C10" s="48" t="s">
        <v>135</v>
      </c>
      <c r="D10" s="48" t="s">
        <v>136</v>
      </c>
      <c r="E10" s="48" t="s">
        <v>137</v>
      </c>
      <c r="F10" s="49" t="s">
        <v>138</v>
      </c>
      <c r="G10" s="52">
        <v>19</v>
      </c>
      <c r="H10" s="55">
        <v>31</v>
      </c>
      <c r="I10" s="56">
        <f>H10+G10</f>
        <v>50</v>
      </c>
      <c r="J10" s="55">
        <v>15</v>
      </c>
      <c r="K10" s="56">
        <f>I10+J10</f>
        <v>65</v>
      </c>
      <c r="L10" s="53">
        <v>19</v>
      </c>
      <c r="M10" s="55">
        <v>36</v>
      </c>
      <c r="N10" s="56">
        <f>M10+L10</f>
        <v>55</v>
      </c>
      <c r="O10" s="55">
        <v>24</v>
      </c>
      <c r="P10" s="56">
        <f>N10+O10</f>
        <v>79</v>
      </c>
      <c r="Q10" s="56">
        <f t="shared" ref="Q10" si="0">K10+P10</f>
        <v>144</v>
      </c>
      <c r="R10" s="90">
        <f>MAX(Q10:Q32)</f>
        <v>150</v>
      </c>
      <c r="S10" s="55">
        <f>IF(I10+N10&lt;=56,"F",IF(J10+O10&lt;=24,"F",IF(Q10&lt;80,"F",IF(Q10&lt;100,2,IF(Q10&lt;120,3,IF(Q10&lt;140,3.5,IF(Q10&lt;160,4,5)))))))</f>
        <v>4</v>
      </c>
      <c r="T10" s="53">
        <v>19</v>
      </c>
      <c r="U10" s="55">
        <v>62</v>
      </c>
      <c r="V10" s="56">
        <f>U10+T10</f>
        <v>81</v>
      </c>
      <c r="W10" s="53">
        <v>19</v>
      </c>
      <c r="X10" s="55">
        <v>36</v>
      </c>
      <c r="Y10" s="56">
        <f>X10+W10</f>
        <v>55</v>
      </c>
      <c r="Z10" s="56">
        <f t="shared" ref="Z10" si="1">V10+Y10</f>
        <v>136</v>
      </c>
      <c r="AA10" s="56">
        <f t="shared" ref="AA10" si="2">Z10</f>
        <v>136</v>
      </c>
      <c r="AB10" s="90">
        <f>MAX(AA10:AA32)</f>
        <v>145</v>
      </c>
      <c r="AC10" s="55">
        <f>IF(V10+Y10&lt;80,"F",IF(AA10&lt;100,2,IF(AA10&lt;120,3,IF(AA10&lt;140,3.5,IF(AA10&lt;160,4,5)))))</f>
        <v>3.5</v>
      </c>
      <c r="AD10" s="53">
        <v>18</v>
      </c>
      <c r="AE10" s="55">
        <v>12</v>
      </c>
      <c r="AF10" s="56">
        <f>AE10+AD10</f>
        <v>30</v>
      </c>
      <c r="AG10" s="55">
        <v>14</v>
      </c>
      <c r="AH10" s="56">
        <f>AF10+AG10</f>
        <v>44</v>
      </c>
      <c r="AI10" s="90">
        <f>MAX(AH10:AH32)</f>
        <v>71</v>
      </c>
      <c r="AJ10" s="55">
        <f>IF(AF10&lt;28,"F",IF(AG10&lt;12,"F",IF(AH10&lt;40,"F",IF(AH10&lt;50,2,IF(AH10&lt;60,3,IF(AH10&lt;70,3.5,IF(AH10&lt;80,4,5)))))))</f>
        <v>2</v>
      </c>
      <c r="AK10" s="53">
        <v>18</v>
      </c>
      <c r="AL10" s="55">
        <v>40</v>
      </c>
      <c r="AM10" s="56">
        <f>AL10+AK10</f>
        <v>58</v>
      </c>
      <c r="AN10" s="55">
        <v>25</v>
      </c>
      <c r="AO10" s="56">
        <f>+AM10+AN10</f>
        <v>83</v>
      </c>
      <c r="AP10" s="94">
        <f>MAX(AO10:AO32)</f>
        <v>90</v>
      </c>
      <c r="AQ10" s="55">
        <f>IF(AM10&lt;28,"F",IF(AN10&lt;12,"F",IF(AO10&lt;40,"F",IF(AO10&lt;50,2,IF(AO10&lt;60,3,IF(AO10&lt;70,3.5,IF(AO10&lt;80,4,5)))))))</f>
        <v>5</v>
      </c>
      <c r="AR10" s="57"/>
      <c r="AS10" s="55">
        <v>22</v>
      </c>
      <c r="AT10" s="55">
        <v>25</v>
      </c>
      <c r="AU10" s="55">
        <f>AR10+AS10+AT10</f>
        <v>47</v>
      </c>
      <c r="AV10" s="97">
        <f>MAX(AU10:AU32)</f>
        <v>47</v>
      </c>
      <c r="AW10" s="55">
        <f>IF(AS10&lt;10,"F",IF(AT10&lt;10,"F",IF(AU10&lt;20,"F",IF(AU10&lt;25,2,IF(AU10&lt;30,3,IF(AU10&lt;35,3.5,IF(AU10&lt;40,4,5)))))))</f>
        <v>5</v>
      </c>
      <c r="AX10" s="53">
        <v>17</v>
      </c>
      <c r="AY10" s="55">
        <v>31</v>
      </c>
      <c r="AZ10" s="56">
        <f>AY10+AX10</f>
        <v>48</v>
      </c>
      <c r="BA10" s="55">
        <v>17</v>
      </c>
      <c r="BB10" s="56">
        <f>AZ10+BA10</f>
        <v>65</v>
      </c>
      <c r="BC10" s="90">
        <f>MAX(BB10:BB32)</f>
        <v>78</v>
      </c>
      <c r="BD10" s="55">
        <f>IF(AZ10&lt;28,"F",IF(BA10&lt;12,"F",IF(BB10&lt;40,"F",IF(BB10&lt;50,2,IF(BB10&lt;60,3,IF(BB10&lt;70,3.5,IF(BB10&lt;80,4,5)))))))</f>
        <v>3.5</v>
      </c>
      <c r="BE10" s="53">
        <v>9</v>
      </c>
      <c r="BF10" s="55">
        <v>16</v>
      </c>
      <c r="BG10" s="56">
        <f>BF10+BE10</f>
        <v>25</v>
      </c>
      <c r="BH10" s="55">
        <v>10</v>
      </c>
      <c r="BI10" s="55">
        <v>22</v>
      </c>
      <c r="BJ10" s="56">
        <f>BG10+BH10+BI10</f>
        <v>57</v>
      </c>
      <c r="BK10" s="90">
        <f>MAX(BJ10:BJ32)</f>
        <v>70</v>
      </c>
      <c r="BL10" s="55">
        <f>IF(BG10&lt;20,"F",IF(BH10&lt;10,"F",IF(BI10&lt;10,"F",IF(BJ10&lt;40,"F",IF(BJ10&lt;50,2,IF(BJ10&lt;60,3,IF(BJ10&lt;70,3.5,IF(BJ10&lt;80,4,5))))))))</f>
        <v>3</v>
      </c>
      <c r="BM10" s="53">
        <v>7</v>
      </c>
      <c r="BN10" s="55">
        <v>16</v>
      </c>
      <c r="BO10" s="56">
        <f>BN10+BM10</f>
        <v>23</v>
      </c>
      <c r="BP10" s="55">
        <v>10</v>
      </c>
      <c r="BQ10" s="55">
        <v>22</v>
      </c>
      <c r="BR10" s="56">
        <f>BO10+BP10+BQ10</f>
        <v>55</v>
      </c>
      <c r="BS10" s="90">
        <f>MAX(BR10:BR32)</f>
        <v>70</v>
      </c>
      <c r="BT10" s="55">
        <f>IF(BO10&lt;20,"F",IF(BP10&lt;10,"F",IF(BQ10&lt;10,"F",IF(BR10&lt;40,"F",IF(BR10&lt;50,2,IF(BR10&lt;60,3,IF(BR10&lt;70,3.5,IF(BR10&lt;80,4,5))))))))</f>
        <v>3</v>
      </c>
      <c r="BU10" s="53">
        <v>8</v>
      </c>
      <c r="BV10" s="55">
        <v>23</v>
      </c>
      <c r="BW10" s="56">
        <f>BV10+BU10</f>
        <v>31</v>
      </c>
      <c r="BX10" s="55">
        <v>15</v>
      </c>
      <c r="BY10" s="55">
        <v>22</v>
      </c>
      <c r="BZ10" s="56">
        <f>BW10+BX10+BY10</f>
        <v>68</v>
      </c>
      <c r="CA10" s="90">
        <f>MAX(BZ10:BZ32)</f>
        <v>76</v>
      </c>
      <c r="CB10" s="55">
        <f>IF(BW10&lt;20,"F",IF(BX10&lt;10,"F",IF(BY10&lt;10,"F",IF(BZ10&lt;40,"F",IF(BZ10&lt;50,2,IF(BZ10&lt;60,3,IF(BZ10&lt;70,3.5,IF(BZ10&lt;80,4,5))))))))</f>
        <v>3.5</v>
      </c>
      <c r="CC10" s="53">
        <v>7</v>
      </c>
      <c r="CD10" s="55">
        <v>14</v>
      </c>
      <c r="CE10" s="56">
        <f>CD10+CC10</f>
        <v>21</v>
      </c>
      <c r="CF10" s="55">
        <v>17</v>
      </c>
      <c r="CG10" s="55">
        <v>23</v>
      </c>
      <c r="CH10" s="56">
        <f>CE10+CF10+CG10</f>
        <v>61</v>
      </c>
      <c r="CI10" s="90">
        <f>MAX(CH10:CH32)</f>
        <v>87</v>
      </c>
      <c r="CJ10" s="55">
        <f>IF(CE10&lt;20,"0",IF(CF10&lt;10,"0",IF(CG10&lt;10,"0",IF(CH10&lt;40,"F",IF(CH10&lt;50,2,IF(CH10&lt;60,3,IF(CH10&lt;70,3.5,IF(CH10&lt;80,4,5))))))))</f>
        <v>3.5</v>
      </c>
      <c r="CK10" s="55">
        <f>IF(S10="F","F",IF(AC10="F","F",IF(AJ10="F","F",IF(AQ10="F","F",IF(BD10="F","F",IF(BL10="F","F",IF(BT10="F","F",IF(CB10="F","F",IF(CJ10="F","F",IF(AW10="F","F", IF(CJ10&lt;=2,SUM(S10,AC10,AJ10,AQ10,AW10,BD10,BL10,BT10,CB10,CJ10),IF(CJ10&gt;=2,SUM(S10,AC10,AJ10,AQ10,BD10,BL10,AW10,BT10,CB10,CJ10-2)))))))))))))</f>
        <v>34</v>
      </c>
      <c r="CL10" s="58">
        <f>IF(CK10="F","F",IF(CK10&gt;=45,5,IF(CK10&lt;45,CK10/9)))</f>
        <v>3.7777777777777777</v>
      </c>
      <c r="CM10" s="59" t="str">
        <f>IF(CL10="F","F",IF(CL10&lt;2.5,"D",IF(CL10&lt;3,"C",IF(CL10&lt;3.5,"B",IF(CL10&lt;4,"A-",IF(CL10&lt;5,"A","A+"))))))</f>
        <v>A-</v>
      </c>
      <c r="CN10" s="67" t="str">
        <f t="shared" ref="CN10" si="3">IF(CL10="F","NEED TO PROGRESS",IF(CL10&gt;=5,"BEST",IF(CL10&gt;=4,"BETTER",IF(CL10&gt;=2,"GOOD"))))</f>
        <v>GOOD</v>
      </c>
      <c r="CO10" s="56">
        <f t="shared" ref="CO10" si="4">Q10+AA10+AH10+AO10+AU10+BB10+BJ10+BR10+BZ10+CH10</f>
        <v>760</v>
      </c>
      <c r="CP10" s="55" t="s">
        <v>168</v>
      </c>
      <c r="CQ10" s="55"/>
    </row>
    <row r="11" spans="1:95" s="43" customFormat="1" ht="33.75" customHeight="1">
      <c r="A11" s="70">
        <v>2</v>
      </c>
      <c r="B11" s="45">
        <v>24</v>
      </c>
      <c r="C11" s="48" t="s">
        <v>139</v>
      </c>
      <c r="D11" s="48" t="s">
        <v>140</v>
      </c>
      <c r="E11" s="48" t="s">
        <v>141</v>
      </c>
      <c r="F11" s="49" t="s">
        <v>148</v>
      </c>
      <c r="G11" s="52">
        <v>16</v>
      </c>
      <c r="H11" s="55">
        <v>29</v>
      </c>
      <c r="I11" s="56">
        <f>H11+G11</f>
        <v>45</v>
      </c>
      <c r="J11" s="55">
        <v>27</v>
      </c>
      <c r="K11" s="56">
        <f>I11+J11</f>
        <v>72</v>
      </c>
      <c r="L11" s="53">
        <v>18</v>
      </c>
      <c r="M11" s="55">
        <v>26</v>
      </c>
      <c r="N11" s="56">
        <f t="shared" ref="N11:N29" si="5">M11+L11</f>
        <v>44</v>
      </c>
      <c r="O11" s="55">
        <v>27</v>
      </c>
      <c r="P11" s="56">
        <f>N11+O11</f>
        <v>71</v>
      </c>
      <c r="Q11" s="56">
        <f t="shared" ref="Q11:Q12" si="6">K11+P11</f>
        <v>143</v>
      </c>
      <c r="R11" s="91"/>
      <c r="S11" s="55">
        <f t="shared" ref="S11:S29" si="7">IF(I11+N11&lt;=56,"F",IF(J11+O11&lt;=24,"F",IF(Q11&lt;80,"F",IF(Q11&lt;100,2,IF(Q11&lt;120,3,IF(Q11&lt;140,3.5,IF(Q11&lt;160,4,5)))))))</f>
        <v>4</v>
      </c>
      <c r="T11" s="53">
        <v>19</v>
      </c>
      <c r="U11" s="55">
        <v>32</v>
      </c>
      <c r="V11" s="56">
        <f t="shared" ref="V11:V29" si="8">U11+T11</f>
        <v>51</v>
      </c>
      <c r="W11" s="53">
        <v>12</v>
      </c>
      <c r="X11" s="55">
        <v>14</v>
      </c>
      <c r="Y11" s="56">
        <f t="shared" ref="Y11:Y29" si="9">X11+W11</f>
        <v>26</v>
      </c>
      <c r="Z11" s="56">
        <f t="shared" ref="Z11:Z29" si="10">V11+Y11</f>
        <v>77</v>
      </c>
      <c r="AA11" s="56">
        <f t="shared" ref="AA11:AA29" si="11">Z11</f>
        <v>77</v>
      </c>
      <c r="AB11" s="91"/>
      <c r="AC11" s="55" t="str">
        <f t="shared" ref="AC11:AC29" si="12">IF(V11+Y11&lt;80,"F",IF(AA11&lt;100,2,IF(AA11&lt;120,3,IF(AA11&lt;140,3.5,IF(AA11&lt;160,4,5)))))</f>
        <v>F</v>
      </c>
      <c r="AD11" s="53">
        <v>16</v>
      </c>
      <c r="AE11" s="55">
        <v>25</v>
      </c>
      <c r="AF11" s="56">
        <f t="shared" ref="AF11:AF29" si="13">AE11+AD11</f>
        <v>41</v>
      </c>
      <c r="AG11" s="55">
        <v>14</v>
      </c>
      <c r="AH11" s="56">
        <f t="shared" ref="AH11:AH29" si="14">AF11+AG11</f>
        <v>55</v>
      </c>
      <c r="AI11" s="91"/>
      <c r="AJ11" s="55">
        <f t="shared" ref="AJ11:AJ29" si="15">IF(AF11&lt;28,"F",IF(AG11&lt;12,"F",IF(AH11&lt;40,"F",IF(AH11&lt;50,2,IF(AH11&lt;60,3,IF(AH11&lt;70,3.5,IF(AH11&lt;80,4,5)))))))</f>
        <v>3</v>
      </c>
      <c r="AK11" s="53">
        <v>17</v>
      </c>
      <c r="AL11" s="55">
        <v>36</v>
      </c>
      <c r="AM11" s="56">
        <f t="shared" ref="AM11:AM29" si="16">AL11+AK11</f>
        <v>53</v>
      </c>
      <c r="AN11" s="55">
        <v>23</v>
      </c>
      <c r="AO11" s="56">
        <f t="shared" ref="AO11:AO29" si="17">+AM11+AN11</f>
        <v>76</v>
      </c>
      <c r="AP11" s="95"/>
      <c r="AQ11" s="55">
        <f t="shared" ref="AQ11:AQ29" si="18">IF(AM11&lt;28,"F",IF(AN11&lt;12,"F",IF(AO11&lt;40,"F",IF(AO11&lt;50,2,IF(AO11&lt;60,3,IF(AO11&lt;70,3.5,IF(AO11&lt;80,4,5)))))))</f>
        <v>4</v>
      </c>
      <c r="AR11" s="57"/>
      <c r="AS11" s="55">
        <v>22</v>
      </c>
      <c r="AT11" s="55">
        <v>25</v>
      </c>
      <c r="AU11" s="55">
        <f t="shared" ref="AU11:AU29" si="19">AR11+AS11+AT11</f>
        <v>47</v>
      </c>
      <c r="AV11" s="93"/>
      <c r="AW11" s="55">
        <f t="shared" ref="AW11:AW29" si="20">IF(AS11&lt;10,"F",IF(AT11&lt;10,"F",IF(AU11&lt;20,"F",IF(AU11&lt;25,2,IF(AU11&lt;30,3,IF(AU11&lt;35,3.5,IF(AU11&lt;40,4,5)))))))</f>
        <v>5</v>
      </c>
      <c r="AX11" s="53">
        <v>16</v>
      </c>
      <c r="AY11" s="55">
        <v>20</v>
      </c>
      <c r="AZ11" s="56">
        <f t="shared" ref="AZ11:AZ29" si="21">AY11+AX11</f>
        <v>36</v>
      </c>
      <c r="BA11" s="55">
        <v>22</v>
      </c>
      <c r="BB11" s="56">
        <f t="shared" ref="BB11:BB29" si="22">AZ11+BA11</f>
        <v>58</v>
      </c>
      <c r="BC11" s="91"/>
      <c r="BD11" s="55">
        <f t="shared" ref="BD11:BD29" si="23">IF(AZ11&lt;28,"F",IF(BA11&lt;12,"F",IF(BB11&lt;40,"F",IF(BB11&lt;50,2,IF(BB11&lt;60,3,IF(BB11&lt;70,3.5,IF(BB11&lt;80,4,5)))))))</f>
        <v>3</v>
      </c>
      <c r="BE11" s="53">
        <v>8</v>
      </c>
      <c r="BF11" s="55">
        <v>7</v>
      </c>
      <c r="BG11" s="56">
        <f t="shared" ref="BG11:BG29" si="24">BF11+BE11</f>
        <v>15</v>
      </c>
      <c r="BH11" s="55">
        <v>10</v>
      </c>
      <c r="BI11" s="55">
        <v>22</v>
      </c>
      <c r="BJ11" s="56">
        <f t="shared" ref="BJ11:BJ29" si="25">BG11+BH11+BI11</f>
        <v>47</v>
      </c>
      <c r="BK11" s="93"/>
      <c r="BL11" s="55" t="str">
        <f t="shared" ref="BL11:BL29" si="26">IF(BG11&lt;20,"F",IF(BH11&lt;10,"F",IF(BI11&lt;10,"F",IF(BJ11&lt;40,"F",IF(BJ11&lt;50,2,IF(BJ11&lt;60,3,IF(BJ11&lt;70,3.5,IF(BJ11&lt;80,4,5))))))))</f>
        <v>F</v>
      </c>
      <c r="BM11" s="53">
        <v>5</v>
      </c>
      <c r="BN11" s="55">
        <v>18</v>
      </c>
      <c r="BO11" s="56">
        <f t="shared" ref="BO11:BO29" si="27">BN11+BM11</f>
        <v>23</v>
      </c>
      <c r="BP11" s="55">
        <v>10</v>
      </c>
      <c r="BQ11" s="55">
        <v>22</v>
      </c>
      <c r="BR11" s="56">
        <f t="shared" ref="BR11:BR29" si="28">BO11+BP11+BQ11</f>
        <v>55</v>
      </c>
      <c r="BS11" s="93"/>
      <c r="BT11" s="55">
        <f t="shared" ref="BT11:BT29" si="29">IF(BO11&lt;20,"F",IF(BP11&lt;10,"F",IF(BQ11&lt;10,"F",IF(BR11&lt;40,"F",IF(BR11&lt;50,2,IF(BR11&lt;60,3,IF(BR11&lt;70,3.5,IF(BR11&lt;80,4,5))))))))</f>
        <v>3</v>
      </c>
      <c r="BU11" s="53">
        <v>8</v>
      </c>
      <c r="BV11" s="55">
        <v>20</v>
      </c>
      <c r="BW11" s="56">
        <f t="shared" ref="BW11:BW29" si="30">BV11+BU11</f>
        <v>28</v>
      </c>
      <c r="BX11" s="55">
        <v>12</v>
      </c>
      <c r="BY11" s="55">
        <v>22</v>
      </c>
      <c r="BZ11" s="56">
        <f t="shared" ref="BZ11:BZ29" si="31">BW11+BX11+BY11</f>
        <v>62</v>
      </c>
      <c r="CA11" s="93"/>
      <c r="CB11" s="55">
        <f t="shared" ref="CB11:CB29" si="32">IF(BW11&lt;20,"F",IF(BX11&lt;10,"F",IF(BY11&lt;10,"F",IF(BZ11&lt;40,"F",IF(BZ11&lt;50,2,IF(BZ11&lt;60,3,IF(BZ11&lt;70,3.5,IF(BZ11&lt;80,4,5))))))))</f>
        <v>3.5</v>
      </c>
      <c r="CC11" s="53">
        <v>9</v>
      </c>
      <c r="CD11" s="55">
        <v>13</v>
      </c>
      <c r="CE11" s="56">
        <f t="shared" ref="CE11:CE29" si="33">CD11+CC11</f>
        <v>22</v>
      </c>
      <c r="CF11" s="55">
        <v>17</v>
      </c>
      <c r="CG11" s="55">
        <v>23</v>
      </c>
      <c r="CH11" s="56">
        <f t="shared" ref="CH11:CH29" si="34">CE11+CF11+CG11</f>
        <v>62</v>
      </c>
      <c r="CI11" s="93"/>
      <c r="CJ11" s="55">
        <f t="shared" ref="CJ11:CJ29" si="35">IF(CE11&lt;20,"0",IF(CF11&lt;10,"0",IF(CG11&lt;10,"0",IF(CH11&lt;40,"F",IF(CH11&lt;50,2,IF(CH11&lt;60,3,IF(CH11&lt;70,3.5,IF(CH11&lt;80,4,5))))))))</f>
        <v>3.5</v>
      </c>
      <c r="CK11" s="55" t="str">
        <f t="shared" ref="CK11:CK29" si="36">IF(S11="F","F",IF(AC11="F","F",IF(AJ11="F","F",IF(AQ11="F","F",IF(BD11="F","F",IF(BL11="F","F",IF(BT11="F","F",IF(CB11="F","F",IF(CJ11="F","F",IF(AW11="F","F", IF(CJ11&lt;=2,SUM(S11,AC11,AJ11,AQ11,AW11,BD11,BL11,BT11,CB11,CJ11),IF(CJ11&gt;=2,SUM(S11,AC11,AJ11,AQ11,BD11,BL11,AW11,BT11,CB11,CJ11-2)))))))))))))</f>
        <v>F</v>
      </c>
      <c r="CL11" s="58" t="str">
        <f t="shared" ref="CL11:CL29" si="37">IF(CK11="F","F",IF(CK11&gt;=45,5,IF(CK11&lt;45,CK11/9)))</f>
        <v>F</v>
      </c>
      <c r="CM11" s="59" t="str">
        <f t="shared" ref="CM11:CM29" si="38">IF(CL11="F","F",IF(CL11&lt;2.5,"D",IF(CL11&lt;3,"C",IF(CL11&lt;3.5,"B",IF(CL11&lt;4,"A-",IF(CL11&lt;5,"A","A+"))))))</f>
        <v>F</v>
      </c>
      <c r="CN11" s="67" t="str">
        <f t="shared" ref="CN11:CN29" si="39">IF(CL11="F","NEED TO PROGRESS",IF(CL11&gt;=5,"BEST",IF(CL11&gt;=4,"BETTER",IF(CL11&gt;=2,"GOOD"))))</f>
        <v>NEED TO PROGRESS</v>
      </c>
      <c r="CO11" s="56">
        <f t="shared" ref="CO11:CO29" si="40">Q11+AA11+AH11+AO11+AU11+BB11+BJ11+BR11+BZ11+CH11</f>
        <v>682</v>
      </c>
      <c r="CP11" s="55" t="s">
        <v>169</v>
      </c>
      <c r="CQ11" s="55"/>
    </row>
    <row r="12" spans="1:95" s="43" customFormat="1" ht="33.75" customHeight="1">
      <c r="A12" s="70">
        <v>3</v>
      </c>
      <c r="B12" s="45">
        <v>25</v>
      </c>
      <c r="C12" s="48" t="s">
        <v>142</v>
      </c>
      <c r="D12" s="48" t="s">
        <v>143</v>
      </c>
      <c r="E12" s="48" t="s">
        <v>144</v>
      </c>
      <c r="F12" s="49" t="s">
        <v>149</v>
      </c>
      <c r="G12" s="54">
        <v>0</v>
      </c>
      <c r="H12" s="55">
        <v>0</v>
      </c>
      <c r="I12" s="56">
        <f t="shared" ref="I12:I29" si="41">H12+G12</f>
        <v>0</v>
      </c>
      <c r="J12" s="55">
        <v>0</v>
      </c>
      <c r="K12" s="56">
        <f t="shared" ref="K12:K29" si="42">I12+J12</f>
        <v>0</v>
      </c>
      <c r="L12" s="54">
        <v>0</v>
      </c>
      <c r="M12" s="55">
        <v>0</v>
      </c>
      <c r="N12" s="56">
        <f t="shared" si="5"/>
        <v>0</v>
      </c>
      <c r="O12" s="55">
        <v>0</v>
      </c>
      <c r="P12" s="56">
        <f t="shared" ref="P12:P29" si="43">N12+O12</f>
        <v>0</v>
      </c>
      <c r="Q12" s="56">
        <f t="shared" si="6"/>
        <v>0</v>
      </c>
      <c r="R12" s="91"/>
      <c r="S12" s="55" t="str">
        <f t="shared" si="7"/>
        <v>F</v>
      </c>
      <c r="T12" s="54">
        <v>0</v>
      </c>
      <c r="U12" s="55">
        <v>0</v>
      </c>
      <c r="V12" s="56">
        <f t="shared" si="8"/>
        <v>0</v>
      </c>
      <c r="W12" s="54">
        <v>0</v>
      </c>
      <c r="X12" s="55">
        <v>0</v>
      </c>
      <c r="Y12" s="56">
        <f t="shared" si="9"/>
        <v>0</v>
      </c>
      <c r="Z12" s="56">
        <f t="shared" si="10"/>
        <v>0</v>
      </c>
      <c r="AA12" s="56">
        <f t="shared" si="11"/>
        <v>0</v>
      </c>
      <c r="AB12" s="91"/>
      <c r="AC12" s="55" t="str">
        <f t="shared" si="12"/>
        <v>F</v>
      </c>
      <c r="AD12" s="54">
        <v>0</v>
      </c>
      <c r="AE12" s="55">
        <v>0</v>
      </c>
      <c r="AF12" s="56">
        <f t="shared" si="13"/>
        <v>0</v>
      </c>
      <c r="AG12" s="55">
        <v>0</v>
      </c>
      <c r="AH12" s="56">
        <f t="shared" si="14"/>
        <v>0</v>
      </c>
      <c r="AI12" s="91"/>
      <c r="AJ12" s="55" t="str">
        <f t="shared" si="15"/>
        <v>F</v>
      </c>
      <c r="AK12" s="54">
        <v>0</v>
      </c>
      <c r="AL12" s="55">
        <v>0</v>
      </c>
      <c r="AM12" s="56">
        <f t="shared" si="16"/>
        <v>0</v>
      </c>
      <c r="AN12" s="55">
        <v>0</v>
      </c>
      <c r="AO12" s="56">
        <f t="shared" si="17"/>
        <v>0</v>
      </c>
      <c r="AP12" s="95"/>
      <c r="AQ12" s="55" t="str">
        <f t="shared" si="18"/>
        <v>F</v>
      </c>
      <c r="AR12" s="57"/>
      <c r="AS12" s="55">
        <v>22</v>
      </c>
      <c r="AT12" s="55">
        <v>25</v>
      </c>
      <c r="AU12" s="55">
        <f t="shared" si="19"/>
        <v>47</v>
      </c>
      <c r="AV12" s="93"/>
      <c r="AW12" s="55">
        <f t="shared" si="20"/>
        <v>5</v>
      </c>
      <c r="AX12" s="54">
        <v>0</v>
      </c>
      <c r="AY12" s="55">
        <v>0</v>
      </c>
      <c r="AZ12" s="56">
        <f t="shared" si="21"/>
        <v>0</v>
      </c>
      <c r="BA12" s="55">
        <v>0</v>
      </c>
      <c r="BB12" s="56">
        <f t="shared" si="22"/>
        <v>0</v>
      </c>
      <c r="BC12" s="91"/>
      <c r="BD12" s="55" t="str">
        <f t="shared" si="23"/>
        <v>F</v>
      </c>
      <c r="BE12" s="54">
        <v>0</v>
      </c>
      <c r="BF12" s="55">
        <v>0</v>
      </c>
      <c r="BG12" s="56">
        <f t="shared" si="24"/>
        <v>0</v>
      </c>
      <c r="BH12" s="55">
        <v>0</v>
      </c>
      <c r="BI12" s="55">
        <v>22</v>
      </c>
      <c r="BJ12" s="56">
        <f t="shared" si="25"/>
        <v>22</v>
      </c>
      <c r="BK12" s="93"/>
      <c r="BL12" s="55" t="str">
        <f t="shared" si="26"/>
        <v>F</v>
      </c>
      <c r="BM12" s="54">
        <v>0</v>
      </c>
      <c r="BN12" s="55">
        <v>0</v>
      </c>
      <c r="BO12" s="56">
        <f t="shared" si="27"/>
        <v>0</v>
      </c>
      <c r="BP12" s="55">
        <v>0</v>
      </c>
      <c r="BQ12" s="55">
        <v>22</v>
      </c>
      <c r="BR12" s="56">
        <f t="shared" si="28"/>
        <v>22</v>
      </c>
      <c r="BS12" s="93"/>
      <c r="BT12" s="55" t="str">
        <f t="shared" si="29"/>
        <v>F</v>
      </c>
      <c r="BU12" s="54">
        <v>0</v>
      </c>
      <c r="BV12" s="55">
        <v>0</v>
      </c>
      <c r="BW12" s="56">
        <f t="shared" si="30"/>
        <v>0</v>
      </c>
      <c r="BX12" s="55">
        <v>0</v>
      </c>
      <c r="BY12" s="55">
        <v>22</v>
      </c>
      <c r="BZ12" s="56">
        <f t="shared" si="31"/>
        <v>22</v>
      </c>
      <c r="CA12" s="93"/>
      <c r="CB12" s="55" t="str">
        <f t="shared" si="32"/>
        <v>F</v>
      </c>
      <c r="CC12" s="54">
        <v>0</v>
      </c>
      <c r="CD12" s="55">
        <v>0</v>
      </c>
      <c r="CE12" s="56">
        <f t="shared" si="33"/>
        <v>0</v>
      </c>
      <c r="CF12" s="55">
        <v>0</v>
      </c>
      <c r="CG12" s="55">
        <v>23</v>
      </c>
      <c r="CH12" s="56">
        <f t="shared" si="34"/>
        <v>23</v>
      </c>
      <c r="CI12" s="93"/>
      <c r="CJ12" s="55" t="str">
        <f t="shared" si="35"/>
        <v>0</v>
      </c>
      <c r="CK12" s="55" t="str">
        <f t="shared" si="36"/>
        <v>F</v>
      </c>
      <c r="CL12" s="58" t="str">
        <f t="shared" si="37"/>
        <v>F</v>
      </c>
      <c r="CM12" s="59" t="str">
        <f t="shared" si="38"/>
        <v>F</v>
      </c>
      <c r="CN12" s="67" t="str">
        <f t="shared" si="39"/>
        <v>NEED TO PROGRESS</v>
      </c>
      <c r="CO12" s="56">
        <f t="shared" si="40"/>
        <v>136</v>
      </c>
      <c r="CP12" s="55" t="s">
        <v>170</v>
      </c>
      <c r="CQ12" s="55"/>
    </row>
    <row r="13" spans="1:95" s="44" customFormat="1" ht="33.75" customHeight="1">
      <c r="A13" s="71">
        <v>4</v>
      </c>
      <c r="B13" s="45">
        <v>26</v>
      </c>
      <c r="C13" s="48" t="s">
        <v>145</v>
      </c>
      <c r="D13" s="48" t="s">
        <v>146</v>
      </c>
      <c r="E13" s="48" t="s">
        <v>147</v>
      </c>
      <c r="F13" s="49" t="s">
        <v>150</v>
      </c>
      <c r="G13" s="52">
        <v>19</v>
      </c>
      <c r="H13" s="60">
        <v>31</v>
      </c>
      <c r="I13" s="61">
        <f t="shared" si="41"/>
        <v>50</v>
      </c>
      <c r="J13" s="60">
        <v>24</v>
      </c>
      <c r="K13" s="61">
        <f t="shared" si="42"/>
        <v>74</v>
      </c>
      <c r="L13" s="53">
        <v>17</v>
      </c>
      <c r="M13" s="60">
        <v>39</v>
      </c>
      <c r="N13" s="61">
        <f t="shared" si="5"/>
        <v>56</v>
      </c>
      <c r="O13" s="55">
        <v>20</v>
      </c>
      <c r="P13" s="61">
        <f t="shared" si="43"/>
        <v>76</v>
      </c>
      <c r="Q13" s="61">
        <f t="shared" ref="Q13:Q29" si="44">K13+P13</f>
        <v>150</v>
      </c>
      <c r="R13" s="91"/>
      <c r="S13" s="60">
        <f t="shared" si="7"/>
        <v>4</v>
      </c>
      <c r="T13" s="53">
        <v>19</v>
      </c>
      <c r="U13" s="60">
        <v>33</v>
      </c>
      <c r="V13" s="61">
        <f t="shared" si="8"/>
        <v>52</v>
      </c>
      <c r="W13" s="53">
        <v>19</v>
      </c>
      <c r="X13" s="60">
        <v>41</v>
      </c>
      <c r="Y13" s="61">
        <f t="shared" si="9"/>
        <v>60</v>
      </c>
      <c r="Z13" s="61">
        <f t="shared" si="10"/>
        <v>112</v>
      </c>
      <c r="AA13" s="61">
        <f t="shared" si="11"/>
        <v>112</v>
      </c>
      <c r="AB13" s="91"/>
      <c r="AC13" s="60">
        <f t="shared" si="12"/>
        <v>3</v>
      </c>
      <c r="AD13" s="53">
        <v>6</v>
      </c>
      <c r="AE13" s="60">
        <v>26</v>
      </c>
      <c r="AF13" s="61">
        <f t="shared" si="13"/>
        <v>32</v>
      </c>
      <c r="AG13" s="60">
        <v>13</v>
      </c>
      <c r="AH13" s="61">
        <f t="shared" si="14"/>
        <v>45</v>
      </c>
      <c r="AI13" s="91"/>
      <c r="AJ13" s="60">
        <f t="shared" si="15"/>
        <v>2</v>
      </c>
      <c r="AK13" s="53">
        <v>19</v>
      </c>
      <c r="AL13" s="60">
        <v>34</v>
      </c>
      <c r="AM13" s="61">
        <f t="shared" si="16"/>
        <v>53</v>
      </c>
      <c r="AN13" s="60">
        <v>22</v>
      </c>
      <c r="AO13" s="61">
        <f t="shared" si="17"/>
        <v>75</v>
      </c>
      <c r="AP13" s="95"/>
      <c r="AQ13" s="60">
        <f t="shared" si="18"/>
        <v>4</v>
      </c>
      <c r="AR13" s="62"/>
      <c r="AS13" s="55">
        <v>22</v>
      </c>
      <c r="AT13" s="55">
        <v>25</v>
      </c>
      <c r="AU13" s="60">
        <f t="shared" si="19"/>
        <v>47</v>
      </c>
      <c r="AV13" s="93"/>
      <c r="AW13" s="60">
        <f t="shared" si="20"/>
        <v>5</v>
      </c>
      <c r="AX13" s="53">
        <v>14</v>
      </c>
      <c r="AY13" s="60">
        <v>24</v>
      </c>
      <c r="AZ13" s="61">
        <f t="shared" si="21"/>
        <v>38</v>
      </c>
      <c r="BA13" s="60">
        <v>12</v>
      </c>
      <c r="BB13" s="61">
        <f t="shared" si="22"/>
        <v>50</v>
      </c>
      <c r="BC13" s="91"/>
      <c r="BD13" s="60">
        <f t="shared" si="23"/>
        <v>3</v>
      </c>
      <c r="BE13" s="53">
        <v>8</v>
      </c>
      <c r="BF13" s="60">
        <v>16</v>
      </c>
      <c r="BG13" s="61">
        <f t="shared" si="24"/>
        <v>24</v>
      </c>
      <c r="BH13" s="60">
        <v>10</v>
      </c>
      <c r="BI13" s="55">
        <v>22</v>
      </c>
      <c r="BJ13" s="61">
        <f t="shared" si="25"/>
        <v>56</v>
      </c>
      <c r="BK13" s="93"/>
      <c r="BL13" s="60">
        <f t="shared" si="26"/>
        <v>3</v>
      </c>
      <c r="BM13" s="53">
        <v>5</v>
      </c>
      <c r="BN13" s="60">
        <v>16</v>
      </c>
      <c r="BO13" s="61">
        <f t="shared" si="27"/>
        <v>21</v>
      </c>
      <c r="BP13" s="60">
        <v>10</v>
      </c>
      <c r="BQ13" s="55">
        <v>22</v>
      </c>
      <c r="BR13" s="61">
        <f t="shared" si="28"/>
        <v>53</v>
      </c>
      <c r="BS13" s="93"/>
      <c r="BT13" s="60">
        <f t="shared" si="29"/>
        <v>3</v>
      </c>
      <c r="BU13" s="53">
        <v>7</v>
      </c>
      <c r="BV13" s="60">
        <v>26</v>
      </c>
      <c r="BW13" s="61">
        <f t="shared" si="30"/>
        <v>33</v>
      </c>
      <c r="BX13" s="60">
        <v>15</v>
      </c>
      <c r="BY13" s="55">
        <v>22</v>
      </c>
      <c r="BZ13" s="61">
        <f t="shared" si="31"/>
        <v>70</v>
      </c>
      <c r="CA13" s="93"/>
      <c r="CB13" s="60">
        <f t="shared" si="32"/>
        <v>4</v>
      </c>
      <c r="CC13" s="53">
        <v>8</v>
      </c>
      <c r="CD13" s="60">
        <v>33</v>
      </c>
      <c r="CE13" s="61">
        <f t="shared" si="33"/>
        <v>41</v>
      </c>
      <c r="CF13" s="60">
        <v>17</v>
      </c>
      <c r="CG13" s="55">
        <v>23</v>
      </c>
      <c r="CH13" s="61">
        <f t="shared" si="34"/>
        <v>81</v>
      </c>
      <c r="CI13" s="93"/>
      <c r="CJ13" s="55">
        <f t="shared" si="35"/>
        <v>5</v>
      </c>
      <c r="CK13" s="60">
        <f t="shared" si="36"/>
        <v>34</v>
      </c>
      <c r="CL13" s="63">
        <f t="shared" si="37"/>
        <v>3.7777777777777777</v>
      </c>
      <c r="CM13" s="64" t="str">
        <f t="shared" si="38"/>
        <v>A-</v>
      </c>
      <c r="CN13" s="68" t="str">
        <f t="shared" si="39"/>
        <v>GOOD</v>
      </c>
      <c r="CO13" s="61">
        <f t="shared" si="40"/>
        <v>739</v>
      </c>
      <c r="CP13" s="60" t="s">
        <v>171</v>
      </c>
      <c r="CQ13" s="60"/>
    </row>
    <row r="14" spans="1:95" s="44" customFormat="1" ht="33.75" customHeight="1">
      <c r="A14" s="71">
        <v>5</v>
      </c>
      <c r="B14" s="45">
        <v>29</v>
      </c>
      <c r="C14" s="48" t="s">
        <v>151</v>
      </c>
      <c r="D14" s="48" t="s">
        <v>152</v>
      </c>
      <c r="E14" s="48" t="s">
        <v>153</v>
      </c>
      <c r="F14" s="49" t="s">
        <v>154</v>
      </c>
      <c r="G14" s="52">
        <v>16</v>
      </c>
      <c r="H14" s="60">
        <v>28</v>
      </c>
      <c r="I14" s="61">
        <f t="shared" si="41"/>
        <v>44</v>
      </c>
      <c r="J14" s="60">
        <v>25</v>
      </c>
      <c r="K14" s="61">
        <f t="shared" si="42"/>
        <v>69</v>
      </c>
      <c r="L14" s="53">
        <v>19</v>
      </c>
      <c r="M14" s="60">
        <v>31</v>
      </c>
      <c r="N14" s="61">
        <f t="shared" si="5"/>
        <v>50</v>
      </c>
      <c r="O14" s="60">
        <v>28</v>
      </c>
      <c r="P14" s="61">
        <f t="shared" si="43"/>
        <v>78</v>
      </c>
      <c r="Q14" s="61">
        <f t="shared" si="44"/>
        <v>147</v>
      </c>
      <c r="R14" s="91"/>
      <c r="S14" s="60">
        <f t="shared" si="7"/>
        <v>4</v>
      </c>
      <c r="T14" s="53">
        <v>20</v>
      </c>
      <c r="U14" s="60">
        <v>54</v>
      </c>
      <c r="V14" s="61">
        <f t="shared" si="8"/>
        <v>74</v>
      </c>
      <c r="W14" s="53">
        <v>19</v>
      </c>
      <c r="X14" s="60">
        <v>49</v>
      </c>
      <c r="Y14" s="61">
        <f t="shared" si="9"/>
        <v>68</v>
      </c>
      <c r="Z14" s="61">
        <f t="shared" si="10"/>
        <v>142</v>
      </c>
      <c r="AA14" s="61">
        <f t="shared" si="11"/>
        <v>142</v>
      </c>
      <c r="AB14" s="91"/>
      <c r="AC14" s="60">
        <f t="shared" si="12"/>
        <v>4</v>
      </c>
      <c r="AD14" s="53">
        <v>18</v>
      </c>
      <c r="AE14" s="60">
        <v>33</v>
      </c>
      <c r="AF14" s="61">
        <f t="shared" si="13"/>
        <v>51</v>
      </c>
      <c r="AG14" s="60">
        <v>15</v>
      </c>
      <c r="AH14" s="61">
        <f t="shared" si="14"/>
        <v>66</v>
      </c>
      <c r="AI14" s="91"/>
      <c r="AJ14" s="60">
        <f t="shared" si="15"/>
        <v>3.5</v>
      </c>
      <c r="AK14" s="53">
        <v>18</v>
      </c>
      <c r="AL14" s="60">
        <v>41</v>
      </c>
      <c r="AM14" s="61">
        <f t="shared" si="16"/>
        <v>59</v>
      </c>
      <c r="AN14" s="60">
        <v>25</v>
      </c>
      <c r="AO14" s="61">
        <f t="shared" si="17"/>
        <v>84</v>
      </c>
      <c r="AP14" s="95"/>
      <c r="AQ14" s="60">
        <f t="shared" si="18"/>
        <v>5</v>
      </c>
      <c r="AR14" s="62"/>
      <c r="AS14" s="55">
        <v>22</v>
      </c>
      <c r="AT14" s="55">
        <v>25</v>
      </c>
      <c r="AU14" s="60">
        <f t="shared" si="19"/>
        <v>47</v>
      </c>
      <c r="AV14" s="93"/>
      <c r="AW14" s="60">
        <f t="shared" si="20"/>
        <v>5</v>
      </c>
      <c r="AX14" s="53">
        <v>17</v>
      </c>
      <c r="AY14" s="60">
        <v>37</v>
      </c>
      <c r="AZ14" s="61">
        <f t="shared" si="21"/>
        <v>54</v>
      </c>
      <c r="BA14" s="60">
        <v>24</v>
      </c>
      <c r="BB14" s="61">
        <f t="shared" si="22"/>
        <v>78</v>
      </c>
      <c r="BC14" s="91"/>
      <c r="BD14" s="60">
        <f t="shared" si="23"/>
        <v>4</v>
      </c>
      <c r="BE14" s="53">
        <v>10</v>
      </c>
      <c r="BF14" s="60">
        <v>25</v>
      </c>
      <c r="BG14" s="61">
        <f t="shared" si="24"/>
        <v>35</v>
      </c>
      <c r="BH14" s="60">
        <v>13</v>
      </c>
      <c r="BI14" s="55">
        <v>22</v>
      </c>
      <c r="BJ14" s="61">
        <f t="shared" si="25"/>
        <v>70</v>
      </c>
      <c r="BK14" s="93"/>
      <c r="BL14" s="60">
        <f t="shared" si="26"/>
        <v>4</v>
      </c>
      <c r="BM14" s="53">
        <v>8</v>
      </c>
      <c r="BN14" s="60">
        <v>24</v>
      </c>
      <c r="BO14" s="61">
        <f t="shared" si="27"/>
        <v>32</v>
      </c>
      <c r="BP14" s="60">
        <v>13</v>
      </c>
      <c r="BQ14" s="55">
        <v>22</v>
      </c>
      <c r="BR14" s="61">
        <f t="shared" si="28"/>
        <v>67</v>
      </c>
      <c r="BS14" s="93"/>
      <c r="BT14" s="60">
        <f t="shared" si="29"/>
        <v>3.5</v>
      </c>
      <c r="BU14" s="53">
        <v>7</v>
      </c>
      <c r="BV14" s="60">
        <v>24</v>
      </c>
      <c r="BW14" s="61">
        <f t="shared" si="30"/>
        <v>31</v>
      </c>
      <c r="BX14" s="60">
        <v>10</v>
      </c>
      <c r="BY14" s="55">
        <v>22</v>
      </c>
      <c r="BZ14" s="61">
        <f t="shared" si="31"/>
        <v>63</v>
      </c>
      <c r="CA14" s="93"/>
      <c r="CB14" s="60">
        <f t="shared" si="32"/>
        <v>3.5</v>
      </c>
      <c r="CC14" s="53">
        <v>9</v>
      </c>
      <c r="CD14" s="60">
        <v>12</v>
      </c>
      <c r="CE14" s="61">
        <f t="shared" si="33"/>
        <v>21</v>
      </c>
      <c r="CF14" s="60">
        <v>12</v>
      </c>
      <c r="CG14" s="55">
        <v>23</v>
      </c>
      <c r="CH14" s="61">
        <f t="shared" si="34"/>
        <v>56</v>
      </c>
      <c r="CI14" s="93"/>
      <c r="CJ14" s="55">
        <f t="shared" si="35"/>
        <v>3</v>
      </c>
      <c r="CK14" s="60">
        <f t="shared" si="36"/>
        <v>37.5</v>
      </c>
      <c r="CL14" s="63">
        <f t="shared" si="37"/>
        <v>4.166666666666667</v>
      </c>
      <c r="CM14" s="64" t="str">
        <f t="shared" si="38"/>
        <v>A</v>
      </c>
      <c r="CN14" s="68" t="str">
        <f t="shared" si="39"/>
        <v>BETTER</v>
      </c>
      <c r="CO14" s="61">
        <f t="shared" si="40"/>
        <v>820</v>
      </c>
      <c r="CP14" s="60" t="s">
        <v>172</v>
      </c>
      <c r="CQ14" s="60"/>
    </row>
    <row r="15" spans="1:95" s="44" customFormat="1" ht="33.75" customHeight="1">
      <c r="A15" s="71">
        <v>6</v>
      </c>
      <c r="B15" s="45">
        <v>31</v>
      </c>
      <c r="C15" s="48" t="s">
        <v>155</v>
      </c>
      <c r="D15" s="48" t="s">
        <v>156</v>
      </c>
      <c r="E15" s="48" t="s">
        <v>157</v>
      </c>
      <c r="F15" s="49" t="s">
        <v>158</v>
      </c>
      <c r="G15" s="52">
        <v>14</v>
      </c>
      <c r="H15" s="60">
        <v>26</v>
      </c>
      <c r="I15" s="61">
        <f t="shared" si="41"/>
        <v>40</v>
      </c>
      <c r="J15" s="60">
        <v>23</v>
      </c>
      <c r="K15" s="61">
        <f t="shared" si="42"/>
        <v>63</v>
      </c>
      <c r="L15" s="53">
        <v>16</v>
      </c>
      <c r="M15" s="60">
        <v>32</v>
      </c>
      <c r="N15" s="61">
        <f t="shared" si="5"/>
        <v>48</v>
      </c>
      <c r="O15" s="60">
        <v>24</v>
      </c>
      <c r="P15" s="61">
        <f t="shared" si="43"/>
        <v>72</v>
      </c>
      <c r="Q15" s="61">
        <f t="shared" si="44"/>
        <v>135</v>
      </c>
      <c r="R15" s="91"/>
      <c r="S15" s="60">
        <f t="shared" si="7"/>
        <v>3.5</v>
      </c>
      <c r="T15" s="53">
        <v>15</v>
      </c>
      <c r="U15" s="60">
        <v>52</v>
      </c>
      <c r="V15" s="61">
        <f t="shared" si="8"/>
        <v>67</v>
      </c>
      <c r="W15" s="53">
        <v>19</v>
      </c>
      <c r="X15" s="60">
        <v>45</v>
      </c>
      <c r="Y15" s="61">
        <f t="shared" si="9"/>
        <v>64</v>
      </c>
      <c r="Z15" s="61">
        <f t="shared" si="10"/>
        <v>131</v>
      </c>
      <c r="AA15" s="61">
        <f t="shared" si="11"/>
        <v>131</v>
      </c>
      <c r="AB15" s="91"/>
      <c r="AC15" s="60">
        <f t="shared" si="12"/>
        <v>3.5</v>
      </c>
      <c r="AD15" s="53">
        <v>16</v>
      </c>
      <c r="AE15" s="60">
        <v>35</v>
      </c>
      <c r="AF15" s="61">
        <f t="shared" si="13"/>
        <v>51</v>
      </c>
      <c r="AG15" s="60">
        <v>16</v>
      </c>
      <c r="AH15" s="61">
        <f t="shared" si="14"/>
        <v>67</v>
      </c>
      <c r="AI15" s="91"/>
      <c r="AJ15" s="60">
        <f t="shared" si="15"/>
        <v>3.5</v>
      </c>
      <c r="AK15" s="53">
        <v>18</v>
      </c>
      <c r="AL15" s="60">
        <v>41</v>
      </c>
      <c r="AM15" s="61">
        <f t="shared" si="16"/>
        <v>59</v>
      </c>
      <c r="AN15" s="60">
        <v>22</v>
      </c>
      <c r="AO15" s="61">
        <f t="shared" si="17"/>
        <v>81</v>
      </c>
      <c r="AP15" s="95"/>
      <c r="AQ15" s="60">
        <f t="shared" si="18"/>
        <v>5</v>
      </c>
      <c r="AR15" s="62"/>
      <c r="AS15" s="55">
        <v>22</v>
      </c>
      <c r="AT15" s="55">
        <v>25</v>
      </c>
      <c r="AU15" s="60">
        <f t="shared" si="19"/>
        <v>47</v>
      </c>
      <c r="AV15" s="93"/>
      <c r="AW15" s="60">
        <f t="shared" si="20"/>
        <v>5</v>
      </c>
      <c r="AX15" s="53">
        <v>16</v>
      </c>
      <c r="AY15" s="60">
        <v>35</v>
      </c>
      <c r="AZ15" s="61">
        <f t="shared" si="21"/>
        <v>51</v>
      </c>
      <c r="BA15" s="60">
        <v>16</v>
      </c>
      <c r="BB15" s="61">
        <f t="shared" si="22"/>
        <v>67</v>
      </c>
      <c r="BC15" s="91"/>
      <c r="BD15" s="60">
        <f t="shared" si="23"/>
        <v>3.5</v>
      </c>
      <c r="BE15" s="53">
        <v>10</v>
      </c>
      <c r="BF15" s="60">
        <v>18</v>
      </c>
      <c r="BG15" s="61">
        <f t="shared" si="24"/>
        <v>28</v>
      </c>
      <c r="BH15" s="60">
        <v>12</v>
      </c>
      <c r="BI15" s="55">
        <v>22</v>
      </c>
      <c r="BJ15" s="61">
        <f t="shared" si="25"/>
        <v>62</v>
      </c>
      <c r="BK15" s="93"/>
      <c r="BL15" s="60">
        <f t="shared" si="26"/>
        <v>3.5</v>
      </c>
      <c r="BM15" s="53">
        <v>8</v>
      </c>
      <c r="BN15" s="60">
        <v>26</v>
      </c>
      <c r="BO15" s="61">
        <f t="shared" si="27"/>
        <v>34</v>
      </c>
      <c r="BP15" s="60">
        <v>13</v>
      </c>
      <c r="BQ15" s="55">
        <v>22</v>
      </c>
      <c r="BR15" s="61">
        <f t="shared" si="28"/>
        <v>69</v>
      </c>
      <c r="BS15" s="93"/>
      <c r="BT15" s="60">
        <f t="shared" si="29"/>
        <v>3.5</v>
      </c>
      <c r="BU15" s="53">
        <v>9</v>
      </c>
      <c r="BV15" s="60">
        <v>24</v>
      </c>
      <c r="BW15" s="61">
        <f t="shared" si="30"/>
        <v>33</v>
      </c>
      <c r="BX15" s="60">
        <v>13</v>
      </c>
      <c r="BY15" s="55">
        <v>22</v>
      </c>
      <c r="BZ15" s="61">
        <f t="shared" si="31"/>
        <v>68</v>
      </c>
      <c r="CA15" s="93"/>
      <c r="CB15" s="60">
        <f t="shared" si="32"/>
        <v>3.5</v>
      </c>
      <c r="CC15" s="53">
        <v>9</v>
      </c>
      <c r="CD15" s="60">
        <v>11</v>
      </c>
      <c r="CE15" s="61">
        <f t="shared" si="33"/>
        <v>20</v>
      </c>
      <c r="CF15" s="60">
        <v>13</v>
      </c>
      <c r="CG15" s="55">
        <v>23</v>
      </c>
      <c r="CH15" s="61">
        <f t="shared" si="34"/>
        <v>56</v>
      </c>
      <c r="CI15" s="93"/>
      <c r="CJ15" s="55">
        <f t="shared" si="35"/>
        <v>3</v>
      </c>
      <c r="CK15" s="60">
        <f t="shared" si="36"/>
        <v>35.5</v>
      </c>
      <c r="CL15" s="63">
        <f t="shared" si="37"/>
        <v>3.9444444444444446</v>
      </c>
      <c r="CM15" s="64" t="str">
        <f t="shared" si="38"/>
        <v>A-</v>
      </c>
      <c r="CN15" s="68" t="str">
        <f t="shared" si="39"/>
        <v>GOOD</v>
      </c>
      <c r="CO15" s="61">
        <f t="shared" si="40"/>
        <v>783</v>
      </c>
      <c r="CP15" s="60" t="s">
        <v>173</v>
      </c>
      <c r="CQ15" s="60"/>
    </row>
    <row r="16" spans="1:95" s="44" customFormat="1" ht="33.75" customHeight="1">
      <c r="A16" s="71">
        <v>7</v>
      </c>
      <c r="B16" s="45">
        <v>33</v>
      </c>
      <c r="C16" s="48" t="s">
        <v>159</v>
      </c>
      <c r="D16" s="48" t="s">
        <v>160</v>
      </c>
      <c r="E16" s="48" t="s">
        <v>161</v>
      </c>
      <c r="F16" s="49" t="s">
        <v>162</v>
      </c>
      <c r="G16" s="52">
        <v>17</v>
      </c>
      <c r="H16" s="60">
        <v>32</v>
      </c>
      <c r="I16" s="61">
        <f t="shared" si="41"/>
        <v>49</v>
      </c>
      <c r="J16" s="60">
        <v>24</v>
      </c>
      <c r="K16" s="61">
        <f t="shared" si="42"/>
        <v>73</v>
      </c>
      <c r="L16" s="53">
        <v>17</v>
      </c>
      <c r="M16" s="60">
        <v>29</v>
      </c>
      <c r="N16" s="61">
        <f t="shared" si="5"/>
        <v>46</v>
      </c>
      <c r="O16" s="60">
        <v>18</v>
      </c>
      <c r="P16" s="61">
        <f t="shared" si="43"/>
        <v>64</v>
      </c>
      <c r="Q16" s="61">
        <f t="shared" si="44"/>
        <v>137</v>
      </c>
      <c r="R16" s="91"/>
      <c r="S16" s="60">
        <f t="shared" si="7"/>
        <v>3.5</v>
      </c>
      <c r="T16" s="53">
        <v>18</v>
      </c>
      <c r="U16" s="60">
        <v>58</v>
      </c>
      <c r="V16" s="61">
        <f t="shared" si="8"/>
        <v>76</v>
      </c>
      <c r="W16" s="53">
        <v>16</v>
      </c>
      <c r="X16" s="60">
        <v>53</v>
      </c>
      <c r="Y16" s="61">
        <f t="shared" si="9"/>
        <v>69</v>
      </c>
      <c r="Z16" s="61">
        <f t="shared" si="10"/>
        <v>145</v>
      </c>
      <c r="AA16" s="61">
        <f t="shared" si="11"/>
        <v>145</v>
      </c>
      <c r="AB16" s="91"/>
      <c r="AC16" s="60">
        <f t="shared" si="12"/>
        <v>4</v>
      </c>
      <c r="AD16" s="53">
        <v>11</v>
      </c>
      <c r="AE16" s="60">
        <v>20</v>
      </c>
      <c r="AF16" s="61">
        <f t="shared" si="13"/>
        <v>31</v>
      </c>
      <c r="AG16" s="60">
        <v>9</v>
      </c>
      <c r="AH16" s="61">
        <f t="shared" si="14"/>
        <v>40</v>
      </c>
      <c r="AI16" s="91"/>
      <c r="AJ16" s="60" t="str">
        <f t="shared" si="15"/>
        <v>F</v>
      </c>
      <c r="AK16" s="53">
        <v>18</v>
      </c>
      <c r="AL16" s="60">
        <v>40</v>
      </c>
      <c r="AM16" s="61">
        <f t="shared" si="16"/>
        <v>58</v>
      </c>
      <c r="AN16" s="60">
        <v>22</v>
      </c>
      <c r="AO16" s="61">
        <f t="shared" si="17"/>
        <v>80</v>
      </c>
      <c r="AP16" s="95"/>
      <c r="AQ16" s="60">
        <f t="shared" si="18"/>
        <v>5</v>
      </c>
      <c r="AR16" s="62"/>
      <c r="AS16" s="55">
        <v>22</v>
      </c>
      <c r="AT16" s="55">
        <v>25</v>
      </c>
      <c r="AU16" s="60">
        <f t="shared" si="19"/>
        <v>47</v>
      </c>
      <c r="AV16" s="93"/>
      <c r="AW16" s="60">
        <f t="shared" si="20"/>
        <v>5</v>
      </c>
      <c r="AX16" s="53">
        <v>17</v>
      </c>
      <c r="AY16" s="60">
        <v>27</v>
      </c>
      <c r="AZ16" s="61">
        <f t="shared" si="21"/>
        <v>44</v>
      </c>
      <c r="BA16" s="60">
        <v>19</v>
      </c>
      <c r="BB16" s="61">
        <f t="shared" si="22"/>
        <v>63</v>
      </c>
      <c r="BC16" s="91"/>
      <c r="BD16" s="60">
        <f t="shared" si="23"/>
        <v>3.5</v>
      </c>
      <c r="BE16" s="53">
        <v>8</v>
      </c>
      <c r="BF16" s="60">
        <v>20</v>
      </c>
      <c r="BG16" s="61">
        <f t="shared" si="24"/>
        <v>28</v>
      </c>
      <c r="BH16" s="60">
        <v>13</v>
      </c>
      <c r="BI16" s="55">
        <v>22</v>
      </c>
      <c r="BJ16" s="61">
        <f t="shared" si="25"/>
        <v>63</v>
      </c>
      <c r="BK16" s="93"/>
      <c r="BL16" s="60">
        <f t="shared" si="26"/>
        <v>3.5</v>
      </c>
      <c r="BM16" s="53">
        <v>8</v>
      </c>
      <c r="BN16" s="60">
        <v>30</v>
      </c>
      <c r="BO16" s="61">
        <f t="shared" si="27"/>
        <v>38</v>
      </c>
      <c r="BP16" s="60">
        <v>10</v>
      </c>
      <c r="BQ16" s="55">
        <v>22</v>
      </c>
      <c r="BR16" s="61">
        <f t="shared" si="28"/>
        <v>70</v>
      </c>
      <c r="BS16" s="93"/>
      <c r="BT16" s="60">
        <f t="shared" si="29"/>
        <v>4</v>
      </c>
      <c r="BU16" s="53">
        <v>7</v>
      </c>
      <c r="BV16" s="60">
        <v>30</v>
      </c>
      <c r="BW16" s="61">
        <f t="shared" si="30"/>
        <v>37</v>
      </c>
      <c r="BX16" s="60">
        <v>12</v>
      </c>
      <c r="BY16" s="55">
        <v>22</v>
      </c>
      <c r="BZ16" s="61">
        <f t="shared" si="31"/>
        <v>71</v>
      </c>
      <c r="CA16" s="93"/>
      <c r="CB16" s="60">
        <f t="shared" si="32"/>
        <v>4</v>
      </c>
      <c r="CC16" s="53">
        <v>5</v>
      </c>
      <c r="CD16" s="60">
        <v>15</v>
      </c>
      <c r="CE16" s="61">
        <f t="shared" si="33"/>
        <v>20</v>
      </c>
      <c r="CF16" s="60">
        <v>10</v>
      </c>
      <c r="CG16" s="55">
        <v>23</v>
      </c>
      <c r="CH16" s="61">
        <f t="shared" si="34"/>
        <v>53</v>
      </c>
      <c r="CI16" s="93"/>
      <c r="CJ16" s="55">
        <f t="shared" si="35"/>
        <v>3</v>
      </c>
      <c r="CK16" s="60" t="str">
        <f t="shared" si="36"/>
        <v>F</v>
      </c>
      <c r="CL16" s="63" t="str">
        <f t="shared" si="37"/>
        <v>F</v>
      </c>
      <c r="CM16" s="64" t="str">
        <f t="shared" si="38"/>
        <v>F</v>
      </c>
      <c r="CN16" s="68" t="str">
        <f t="shared" si="39"/>
        <v>NEED TO PROGRESS</v>
      </c>
      <c r="CO16" s="61">
        <f t="shared" si="40"/>
        <v>769</v>
      </c>
      <c r="CP16" s="60" t="s">
        <v>174</v>
      </c>
      <c r="CQ16" s="60"/>
    </row>
    <row r="17" spans="1:95" s="44" customFormat="1" ht="33.75" customHeight="1">
      <c r="A17" s="71">
        <v>8</v>
      </c>
      <c r="B17" s="45">
        <v>35</v>
      </c>
      <c r="C17" s="48" t="s">
        <v>163</v>
      </c>
      <c r="D17" s="48" t="s">
        <v>164</v>
      </c>
      <c r="E17" s="48" t="s">
        <v>165</v>
      </c>
      <c r="F17" s="49" t="s">
        <v>166</v>
      </c>
      <c r="G17" s="52">
        <v>16</v>
      </c>
      <c r="H17" s="60">
        <v>24</v>
      </c>
      <c r="I17" s="61">
        <f t="shared" si="41"/>
        <v>40</v>
      </c>
      <c r="J17" s="60">
        <v>24</v>
      </c>
      <c r="K17" s="61">
        <f t="shared" si="42"/>
        <v>64</v>
      </c>
      <c r="L17" s="53">
        <v>19</v>
      </c>
      <c r="M17" s="60">
        <v>33</v>
      </c>
      <c r="N17" s="61">
        <f t="shared" si="5"/>
        <v>52</v>
      </c>
      <c r="O17" s="60">
        <v>26</v>
      </c>
      <c r="P17" s="61">
        <f t="shared" si="43"/>
        <v>78</v>
      </c>
      <c r="Q17" s="61">
        <f t="shared" si="44"/>
        <v>142</v>
      </c>
      <c r="R17" s="91"/>
      <c r="S17" s="60">
        <f t="shared" si="7"/>
        <v>4</v>
      </c>
      <c r="T17" s="53">
        <v>16</v>
      </c>
      <c r="U17" s="60">
        <v>47</v>
      </c>
      <c r="V17" s="61">
        <f t="shared" si="8"/>
        <v>63</v>
      </c>
      <c r="W17" s="53">
        <v>19</v>
      </c>
      <c r="X17" s="60">
        <v>25</v>
      </c>
      <c r="Y17" s="61">
        <f t="shared" si="9"/>
        <v>44</v>
      </c>
      <c r="Z17" s="61">
        <f t="shared" si="10"/>
        <v>107</v>
      </c>
      <c r="AA17" s="61">
        <f t="shared" si="11"/>
        <v>107</v>
      </c>
      <c r="AB17" s="91"/>
      <c r="AC17" s="60">
        <f t="shared" si="12"/>
        <v>3</v>
      </c>
      <c r="AD17" s="53">
        <v>15</v>
      </c>
      <c r="AE17" s="60">
        <v>38</v>
      </c>
      <c r="AF17" s="61">
        <f t="shared" si="13"/>
        <v>53</v>
      </c>
      <c r="AG17" s="60">
        <v>12</v>
      </c>
      <c r="AH17" s="61">
        <f t="shared" si="14"/>
        <v>65</v>
      </c>
      <c r="AI17" s="91"/>
      <c r="AJ17" s="60">
        <f t="shared" si="15"/>
        <v>3.5</v>
      </c>
      <c r="AK17" s="53">
        <v>19</v>
      </c>
      <c r="AL17" s="60">
        <v>38</v>
      </c>
      <c r="AM17" s="61">
        <f t="shared" si="16"/>
        <v>57</v>
      </c>
      <c r="AN17" s="60">
        <v>21</v>
      </c>
      <c r="AO17" s="61">
        <f t="shared" si="17"/>
        <v>78</v>
      </c>
      <c r="AP17" s="95"/>
      <c r="AQ17" s="60">
        <f t="shared" si="18"/>
        <v>4</v>
      </c>
      <c r="AR17" s="62"/>
      <c r="AS17" s="55">
        <v>22</v>
      </c>
      <c r="AT17" s="55">
        <v>25</v>
      </c>
      <c r="AU17" s="60">
        <f t="shared" si="19"/>
        <v>47</v>
      </c>
      <c r="AV17" s="93"/>
      <c r="AW17" s="60">
        <f t="shared" si="20"/>
        <v>5</v>
      </c>
      <c r="AX17" s="53">
        <v>18</v>
      </c>
      <c r="AY17" s="60">
        <v>27</v>
      </c>
      <c r="AZ17" s="61">
        <f t="shared" si="21"/>
        <v>45</v>
      </c>
      <c r="BA17" s="60">
        <v>19</v>
      </c>
      <c r="BB17" s="61">
        <f t="shared" si="22"/>
        <v>64</v>
      </c>
      <c r="BC17" s="91"/>
      <c r="BD17" s="60">
        <f t="shared" si="23"/>
        <v>3.5</v>
      </c>
      <c r="BE17" s="53">
        <v>8</v>
      </c>
      <c r="BF17" s="60">
        <v>27</v>
      </c>
      <c r="BG17" s="61">
        <f t="shared" si="24"/>
        <v>35</v>
      </c>
      <c r="BH17" s="60">
        <v>12</v>
      </c>
      <c r="BI17" s="55">
        <v>22</v>
      </c>
      <c r="BJ17" s="61">
        <f t="shared" si="25"/>
        <v>69</v>
      </c>
      <c r="BK17" s="93"/>
      <c r="BL17" s="60">
        <f t="shared" si="26"/>
        <v>3.5</v>
      </c>
      <c r="BM17" s="53">
        <v>8</v>
      </c>
      <c r="BN17" s="60">
        <v>30</v>
      </c>
      <c r="BO17" s="61">
        <f t="shared" si="27"/>
        <v>38</v>
      </c>
      <c r="BP17" s="60">
        <v>10</v>
      </c>
      <c r="BQ17" s="55">
        <v>22</v>
      </c>
      <c r="BR17" s="61">
        <f t="shared" si="28"/>
        <v>70</v>
      </c>
      <c r="BS17" s="93"/>
      <c r="BT17" s="60">
        <f t="shared" si="29"/>
        <v>4</v>
      </c>
      <c r="BU17" s="53">
        <v>8</v>
      </c>
      <c r="BV17" s="60">
        <v>36</v>
      </c>
      <c r="BW17" s="61">
        <f t="shared" si="30"/>
        <v>44</v>
      </c>
      <c r="BX17" s="60">
        <v>10</v>
      </c>
      <c r="BY17" s="55">
        <v>22</v>
      </c>
      <c r="BZ17" s="61">
        <f t="shared" si="31"/>
        <v>76</v>
      </c>
      <c r="CA17" s="93"/>
      <c r="CB17" s="60">
        <f t="shared" si="32"/>
        <v>4</v>
      </c>
      <c r="CC17" s="53">
        <v>9</v>
      </c>
      <c r="CD17" s="60">
        <v>37</v>
      </c>
      <c r="CE17" s="61">
        <f t="shared" si="33"/>
        <v>46</v>
      </c>
      <c r="CF17" s="60">
        <v>18</v>
      </c>
      <c r="CG17" s="55">
        <v>23</v>
      </c>
      <c r="CH17" s="61">
        <f t="shared" si="34"/>
        <v>87</v>
      </c>
      <c r="CI17" s="93"/>
      <c r="CJ17" s="55">
        <f t="shared" si="35"/>
        <v>5</v>
      </c>
      <c r="CK17" s="60">
        <f t="shared" si="36"/>
        <v>37.5</v>
      </c>
      <c r="CL17" s="63">
        <f t="shared" si="37"/>
        <v>4.166666666666667</v>
      </c>
      <c r="CM17" s="64" t="str">
        <f t="shared" si="38"/>
        <v>A</v>
      </c>
      <c r="CN17" s="68" t="str">
        <f t="shared" si="39"/>
        <v>BETTER</v>
      </c>
      <c r="CO17" s="61">
        <f t="shared" si="40"/>
        <v>805</v>
      </c>
      <c r="CP17" s="60" t="s">
        <v>175</v>
      </c>
      <c r="CQ17" s="60"/>
    </row>
    <row r="18" spans="1:95" s="44" customFormat="1" ht="33.75" customHeight="1">
      <c r="A18" s="71">
        <v>9</v>
      </c>
      <c r="B18" s="45">
        <v>37</v>
      </c>
      <c r="C18" s="48" t="s">
        <v>76</v>
      </c>
      <c r="D18" s="48" t="s">
        <v>77</v>
      </c>
      <c r="E18" s="48" t="s">
        <v>78</v>
      </c>
      <c r="F18" s="49" t="s">
        <v>118</v>
      </c>
      <c r="G18" s="52">
        <v>16</v>
      </c>
      <c r="H18" s="60">
        <v>25</v>
      </c>
      <c r="I18" s="61">
        <f t="shared" si="41"/>
        <v>41</v>
      </c>
      <c r="J18" s="60">
        <v>21</v>
      </c>
      <c r="K18" s="61">
        <f t="shared" si="42"/>
        <v>62</v>
      </c>
      <c r="L18" s="53">
        <v>19</v>
      </c>
      <c r="M18" s="60">
        <v>36</v>
      </c>
      <c r="N18" s="61">
        <f t="shared" si="5"/>
        <v>55</v>
      </c>
      <c r="O18" s="60">
        <v>24</v>
      </c>
      <c r="P18" s="61">
        <f t="shared" si="43"/>
        <v>79</v>
      </c>
      <c r="Q18" s="61">
        <f t="shared" si="44"/>
        <v>141</v>
      </c>
      <c r="R18" s="91"/>
      <c r="S18" s="60">
        <f t="shared" si="7"/>
        <v>4</v>
      </c>
      <c r="T18" s="53">
        <v>19</v>
      </c>
      <c r="U18" s="60">
        <v>39</v>
      </c>
      <c r="V18" s="61">
        <f t="shared" si="8"/>
        <v>58</v>
      </c>
      <c r="W18" s="53">
        <v>19</v>
      </c>
      <c r="X18" s="60">
        <v>41</v>
      </c>
      <c r="Y18" s="61">
        <f t="shared" si="9"/>
        <v>60</v>
      </c>
      <c r="Z18" s="61">
        <f t="shared" si="10"/>
        <v>118</v>
      </c>
      <c r="AA18" s="61">
        <f t="shared" si="11"/>
        <v>118</v>
      </c>
      <c r="AB18" s="91"/>
      <c r="AC18" s="60">
        <f t="shared" si="12"/>
        <v>3</v>
      </c>
      <c r="AD18" s="53">
        <v>16</v>
      </c>
      <c r="AE18" s="60">
        <v>27</v>
      </c>
      <c r="AF18" s="61">
        <f t="shared" si="13"/>
        <v>43</v>
      </c>
      <c r="AG18" s="60">
        <v>15</v>
      </c>
      <c r="AH18" s="61">
        <f t="shared" si="14"/>
        <v>58</v>
      </c>
      <c r="AI18" s="91"/>
      <c r="AJ18" s="60">
        <f t="shared" si="15"/>
        <v>3</v>
      </c>
      <c r="AK18" s="53">
        <v>17</v>
      </c>
      <c r="AL18" s="60">
        <v>38</v>
      </c>
      <c r="AM18" s="61">
        <f t="shared" si="16"/>
        <v>55</v>
      </c>
      <c r="AN18" s="60">
        <v>22</v>
      </c>
      <c r="AO18" s="61">
        <f t="shared" si="17"/>
        <v>77</v>
      </c>
      <c r="AP18" s="95"/>
      <c r="AQ18" s="60">
        <f t="shared" si="18"/>
        <v>4</v>
      </c>
      <c r="AR18" s="62"/>
      <c r="AS18" s="55">
        <v>22</v>
      </c>
      <c r="AT18" s="55">
        <v>25</v>
      </c>
      <c r="AU18" s="60">
        <f t="shared" si="19"/>
        <v>47</v>
      </c>
      <c r="AV18" s="93"/>
      <c r="AW18" s="60">
        <f t="shared" si="20"/>
        <v>5</v>
      </c>
      <c r="AX18" s="53">
        <v>17</v>
      </c>
      <c r="AY18" s="60">
        <v>29</v>
      </c>
      <c r="AZ18" s="61">
        <f t="shared" si="21"/>
        <v>46</v>
      </c>
      <c r="BA18" s="60">
        <v>24</v>
      </c>
      <c r="BB18" s="61">
        <f t="shared" si="22"/>
        <v>70</v>
      </c>
      <c r="BC18" s="91"/>
      <c r="BD18" s="60">
        <f t="shared" si="23"/>
        <v>4</v>
      </c>
      <c r="BE18" s="53">
        <v>7</v>
      </c>
      <c r="BF18" s="60">
        <v>19</v>
      </c>
      <c r="BG18" s="61">
        <f t="shared" si="24"/>
        <v>26</v>
      </c>
      <c r="BH18" s="60">
        <v>15</v>
      </c>
      <c r="BI18" s="55">
        <v>22</v>
      </c>
      <c r="BJ18" s="61">
        <f t="shared" si="25"/>
        <v>63</v>
      </c>
      <c r="BK18" s="93"/>
      <c r="BL18" s="60">
        <f t="shared" si="26"/>
        <v>3.5</v>
      </c>
      <c r="BM18" s="53">
        <v>6</v>
      </c>
      <c r="BN18" s="60">
        <v>24</v>
      </c>
      <c r="BO18" s="61">
        <f t="shared" si="27"/>
        <v>30</v>
      </c>
      <c r="BP18" s="60">
        <v>18</v>
      </c>
      <c r="BQ18" s="55">
        <v>22</v>
      </c>
      <c r="BR18" s="61">
        <f t="shared" si="28"/>
        <v>70</v>
      </c>
      <c r="BS18" s="93"/>
      <c r="BT18" s="60">
        <f t="shared" si="29"/>
        <v>4</v>
      </c>
      <c r="BU18" s="53">
        <v>8</v>
      </c>
      <c r="BV18" s="60">
        <v>22</v>
      </c>
      <c r="BW18" s="61">
        <f t="shared" si="30"/>
        <v>30</v>
      </c>
      <c r="BX18" s="60">
        <v>13</v>
      </c>
      <c r="BY18" s="55">
        <v>22</v>
      </c>
      <c r="BZ18" s="61">
        <f t="shared" si="31"/>
        <v>65</v>
      </c>
      <c r="CA18" s="93"/>
      <c r="CB18" s="60">
        <f t="shared" si="32"/>
        <v>3.5</v>
      </c>
      <c r="CC18" s="53">
        <v>9</v>
      </c>
      <c r="CD18" s="60">
        <v>38</v>
      </c>
      <c r="CE18" s="61">
        <f>CD18+CC18</f>
        <v>47</v>
      </c>
      <c r="CF18" s="60">
        <v>16</v>
      </c>
      <c r="CG18" s="55">
        <v>23</v>
      </c>
      <c r="CH18" s="61">
        <f t="shared" si="34"/>
        <v>86</v>
      </c>
      <c r="CI18" s="93"/>
      <c r="CJ18" s="55">
        <f t="shared" si="35"/>
        <v>5</v>
      </c>
      <c r="CK18" s="60">
        <f t="shared" si="36"/>
        <v>37</v>
      </c>
      <c r="CL18" s="63">
        <f t="shared" si="37"/>
        <v>4.1111111111111107</v>
      </c>
      <c r="CM18" s="64" t="str">
        <f t="shared" si="38"/>
        <v>A</v>
      </c>
      <c r="CN18" s="68" t="str">
        <f t="shared" si="39"/>
        <v>BETTER</v>
      </c>
      <c r="CO18" s="61">
        <f t="shared" si="40"/>
        <v>795</v>
      </c>
      <c r="CP18" s="60" t="s">
        <v>176</v>
      </c>
      <c r="CQ18" s="60"/>
    </row>
    <row r="19" spans="1:95" s="44" customFormat="1" ht="33.75" customHeight="1">
      <c r="A19" s="71">
        <v>10</v>
      </c>
      <c r="B19" s="45">
        <v>39</v>
      </c>
      <c r="C19" s="48" t="s">
        <v>79</v>
      </c>
      <c r="D19" s="48" t="s">
        <v>80</v>
      </c>
      <c r="E19" s="48" t="s">
        <v>81</v>
      </c>
      <c r="F19" s="49" t="s">
        <v>119</v>
      </c>
      <c r="G19" s="54">
        <v>0</v>
      </c>
      <c r="H19" s="60">
        <v>0</v>
      </c>
      <c r="I19" s="61">
        <f t="shared" si="41"/>
        <v>0</v>
      </c>
      <c r="J19" s="60">
        <v>0</v>
      </c>
      <c r="K19" s="61">
        <f t="shared" si="42"/>
        <v>0</v>
      </c>
      <c r="L19" s="54">
        <v>0</v>
      </c>
      <c r="M19" s="60">
        <v>0</v>
      </c>
      <c r="N19" s="61">
        <f t="shared" si="5"/>
        <v>0</v>
      </c>
      <c r="O19" s="60">
        <v>0</v>
      </c>
      <c r="P19" s="61">
        <f t="shared" si="43"/>
        <v>0</v>
      </c>
      <c r="Q19" s="61">
        <f t="shared" si="44"/>
        <v>0</v>
      </c>
      <c r="R19" s="91"/>
      <c r="S19" s="60" t="str">
        <f t="shared" si="7"/>
        <v>F</v>
      </c>
      <c r="T19" s="54">
        <v>0</v>
      </c>
      <c r="U19" s="60">
        <v>0</v>
      </c>
      <c r="V19" s="61">
        <f t="shared" si="8"/>
        <v>0</v>
      </c>
      <c r="W19" s="54">
        <v>0</v>
      </c>
      <c r="X19" s="60">
        <v>0</v>
      </c>
      <c r="Y19" s="61">
        <f t="shared" si="9"/>
        <v>0</v>
      </c>
      <c r="Z19" s="61">
        <f t="shared" si="10"/>
        <v>0</v>
      </c>
      <c r="AA19" s="61">
        <f t="shared" si="11"/>
        <v>0</v>
      </c>
      <c r="AB19" s="91"/>
      <c r="AC19" s="60" t="str">
        <f t="shared" si="12"/>
        <v>F</v>
      </c>
      <c r="AD19" s="54">
        <v>0</v>
      </c>
      <c r="AE19" s="60">
        <v>0</v>
      </c>
      <c r="AF19" s="61">
        <f t="shared" si="13"/>
        <v>0</v>
      </c>
      <c r="AG19" s="60">
        <v>0</v>
      </c>
      <c r="AH19" s="61">
        <f t="shared" si="14"/>
        <v>0</v>
      </c>
      <c r="AI19" s="91"/>
      <c r="AJ19" s="60" t="str">
        <f t="shared" si="15"/>
        <v>F</v>
      </c>
      <c r="AK19" s="54">
        <v>0</v>
      </c>
      <c r="AL19" s="60">
        <v>0</v>
      </c>
      <c r="AM19" s="61">
        <f t="shared" si="16"/>
        <v>0</v>
      </c>
      <c r="AN19" s="60">
        <v>0</v>
      </c>
      <c r="AO19" s="61">
        <f t="shared" si="17"/>
        <v>0</v>
      </c>
      <c r="AP19" s="95"/>
      <c r="AQ19" s="60" t="str">
        <f t="shared" si="18"/>
        <v>F</v>
      </c>
      <c r="AR19" s="62"/>
      <c r="AS19" s="55">
        <v>22</v>
      </c>
      <c r="AT19" s="55">
        <v>25</v>
      </c>
      <c r="AU19" s="60">
        <f t="shared" si="19"/>
        <v>47</v>
      </c>
      <c r="AV19" s="93"/>
      <c r="AW19" s="60">
        <f t="shared" si="20"/>
        <v>5</v>
      </c>
      <c r="AX19" s="54">
        <v>0</v>
      </c>
      <c r="AY19" s="60">
        <v>0</v>
      </c>
      <c r="AZ19" s="61">
        <f t="shared" si="21"/>
        <v>0</v>
      </c>
      <c r="BA19" s="60">
        <v>0</v>
      </c>
      <c r="BB19" s="61">
        <f t="shared" si="22"/>
        <v>0</v>
      </c>
      <c r="BC19" s="91"/>
      <c r="BD19" s="60" t="str">
        <f t="shared" si="23"/>
        <v>F</v>
      </c>
      <c r="BE19" s="54">
        <v>0</v>
      </c>
      <c r="BF19" s="60">
        <v>0</v>
      </c>
      <c r="BG19" s="61">
        <f t="shared" si="24"/>
        <v>0</v>
      </c>
      <c r="BH19" s="60">
        <v>0</v>
      </c>
      <c r="BI19" s="55">
        <v>22</v>
      </c>
      <c r="BJ19" s="61">
        <f t="shared" si="25"/>
        <v>22</v>
      </c>
      <c r="BK19" s="93"/>
      <c r="BL19" s="60" t="str">
        <f t="shared" si="26"/>
        <v>F</v>
      </c>
      <c r="BM19" s="54">
        <v>0</v>
      </c>
      <c r="BN19" s="60">
        <v>0</v>
      </c>
      <c r="BO19" s="61">
        <f t="shared" si="27"/>
        <v>0</v>
      </c>
      <c r="BP19" s="60">
        <v>0</v>
      </c>
      <c r="BQ19" s="55">
        <v>22</v>
      </c>
      <c r="BR19" s="61">
        <f t="shared" si="28"/>
        <v>22</v>
      </c>
      <c r="BS19" s="93"/>
      <c r="BT19" s="60" t="str">
        <f t="shared" si="29"/>
        <v>F</v>
      </c>
      <c r="BU19" s="54">
        <v>0</v>
      </c>
      <c r="BV19" s="60">
        <v>0</v>
      </c>
      <c r="BW19" s="61">
        <f t="shared" si="30"/>
        <v>0</v>
      </c>
      <c r="BX19" s="60">
        <v>0</v>
      </c>
      <c r="BY19" s="55">
        <v>22</v>
      </c>
      <c r="BZ19" s="61">
        <f t="shared" si="31"/>
        <v>22</v>
      </c>
      <c r="CA19" s="93"/>
      <c r="CB19" s="60" t="str">
        <f t="shared" si="32"/>
        <v>F</v>
      </c>
      <c r="CC19" s="54">
        <v>0</v>
      </c>
      <c r="CD19" s="60">
        <v>0</v>
      </c>
      <c r="CE19" s="61">
        <f t="shared" si="33"/>
        <v>0</v>
      </c>
      <c r="CF19" s="60">
        <v>0</v>
      </c>
      <c r="CG19" s="55">
        <v>23</v>
      </c>
      <c r="CH19" s="61">
        <f t="shared" si="34"/>
        <v>23</v>
      </c>
      <c r="CI19" s="93"/>
      <c r="CJ19" s="55" t="str">
        <f t="shared" si="35"/>
        <v>0</v>
      </c>
      <c r="CK19" s="60" t="str">
        <f t="shared" si="36"/>
        <v>F</v>
      </c>
      <c r="CL19" s="63" t="str">
        <f t="shared" si="37"/>
        <v>F</v>
      </c>
      <c r="CM19" s="64" t="str">
        <f t="shared" si="38"/>
        <v>F</v>
      </c>
      <c r="CN19" s="68" t="str">
        <f t="shared" si="39"/>
        <v>NEED TO PROGRESS</v>
      </c>
      <c r="CO19" s="61">
        <f t="shared" si="40"/>
        <v>136</v>
      </c>
      <c r="CP19" s="60" t="s">
        <v>170</v>
      </c>
      <c r="CQ19" s="60"/>
    </row>
    <row r="20" spans="1:95" s="43" customFormat="1" ht="33.75" customHeight="1">
      <c r="A20" s="70">
        <v>11</v>
      </c>
      <c r="B20" s="45">
        <v>47</v>
      </c>
      <c r="C20" s="48" t="s">
        <v>82</v>
      </c>
      <c r="D20" s="48" t="s">
        <v>83</v>
      </c>
      <c r="E20" s="48" t="s">
        <v>84</v>
      </c>
      <c r="F20" s="49" t="s">
        <v>120</v>
      </c>
      <c r="G20" s="52">
        <v>11</v>
      </c>
      <c r="H20" s="55">
        <v>22</v>
      </c>
      <c r="I20" s="56">
        <f t="shared" si="41"/>
        <v>33</v>
      </c>
      <c r="J20" s="55">
        <v>26</v>
      </c>
      <c r="K20" s="56">
        <f t="shared" si="42"/>
        <v>59</v>
      </c>
      <c r="L20" s="53">
        <v>14</v>
      </c>
      <c r="M20" s="55">
        <v>26</v>
      </c>
      <c r="N20" s="56">
        <f t="shared" si="5"/>
        <v>40</v>
      </c>
      <c r="O20" s="60">
        <v>27</v>
      </c>
      <c r="P20" s="56">
        <f t="shared" si="43"/>
        <v>67</v>
      </c>
      <c r="Q20" s="56">
        <f t="shared" si="44"/>
        <v>126</v>
      </c>
      <c r="R20" s="91"/>
      <c r="S20" s="55">
        <f t="shared" si="7"/>
        <v>3.5</v>
      </c>
      <c r="T20" s="53">
        <v>19</v>
      </c>
      <c r="U20" s="55">
        <v>43</v>
      </c>
      <c r="V20" s="56">
        <f t="shared" si="8"/>
        <v>62</v>
      </c>
      <c r="W20" s="53">
        <v>18</v>
      </c>
      <c r="X20" s="55">
        <v>37</v>
      </c>
      <c r="Y20" s="56">
        <f t="shared" si="9"/>
        <v>55</v>
      </c>
      <c r="Z20" s="56">
        <f t="shared" si="10"/>
        <v>117</v>
      </c>
      <c r="AA20" s="56">
        <f t="shared" si="11"/>
        <v>117</v>
      </c>
      <c r="AB20" s="91"/>
      <c r="AC20" s="55">
        <f t="shared" si="12"/>
        <v>3</v>
      </c>
      <c r="AD20" s="53">
        <v>9</v>
      </c>
      <c r="AE20" s="55">
        <v>23</v>
      </c>
      <c r="AF20" s="56">
        <f t="shared" si="13"/>
        <v>32</v>
      </c>
      <c r="AG20" s="55">
        <v>15</v>
      </c>
      <c r="AH20" s="56">
        <f t="shared" si="14"/>
        <v>47</v>
      </c>
      <c r="AI20" s="91"/>
      <c r="AJ20" s="55">
        <f t="shared" si="15"/>
        <v>2</v>
      </c>
      <c r="AK20" s="53">
        <v>11</v>
      </c>
      <c r="AL20" s="55">
        <v>27</v>
      </c>
      <c r="AM20" s="56">
        <f t="shared" si="16"/>
        <v>38</v>
      </c>
      <c r="AN20" s="55">
        <v>20</v>
      </c>
      <c r="AO20" s="56">
        <f t="shared" si="17"/>
        <v>58</v>
      </c>
      <c r="AP20" s="95"/>
      <c r="AQ20" s="55">
        <f t="shared" si="18"/>
        <v>3</v>
      </c>
      <c r="AR20" s="57"/>
      <c r="AS20" s="55">
        <v>22</v>
      </c>
      <c r="AT20" s="55">
        <v>25</v>
      </c>
      <c r="AU20" s="55">
        <f t="shared" si="19"/>
        <v>47</v>
      </c>
      <c r="AV20" s="93"/>
      <c r="AW20" s="55">
        <f t="shared" si="20"/>
        <v>5</v>
      </c>
      <c r="AX20" s="53">
        <v>12</v>
      </c>
      <c r="AY20" s="55">
        <v>26</v>
      </c>
      <c r="AZ20" s="56">
        <f t="shared" si="21"/>
        <v>38</v>
      </c>
      <c r="BA20" s="55">
        <v>19</v>
      </c>
      <c r="BB20" s="56">
        <f t="shared" si="22"/>
        <v>57</v>
      </c>
      <c r="BC20" s="91"/>
      <c r="BD20" s="55">
        <f t="shared" si="23"/>
        <v>3</v>
      </c>
      <c r="BE20" s="53">
        <v>5</v>
      </c>
      <c r="BF20" s="55">
        <v>17</v>
      </c>
      <c r="BG20" s="56">
        <f t="shared" si="24"/>
        <v>22</v>
      </c>
      <c r="BH20" s="55">
        <v>13</v>
      </c>
      <c r="BI20" s="55">
        <v>22</v>
      </c>
      <c r="BJ20" s="56">
        <f t="shared" si="25"/>
        <v>57</v>
      </c>
      <c r="BK20" s="93"/>
      <c r="BL20" s="55">
        <f t="shared" si="26"/>
        <v>3</v>
      </c>
      <c r="BM20" s="53">
        <v>5</v>
      </c>
      <c r="BN20" s="55">
        <v>16</v>
      </c>
      <c r="BO20" s="56">
        <f t="shared" si="27"/>
        <v>21</v>
      </c>
      <c r="BP20" s="55">
        <v>16</v>
      </c>
      <c r="BQ20" s="55">
        <v>22</v>
      </c>
      <c r="BR20" s="56">
        <f t="shared" si="28"/>
        <v>59</v>
      </c>
      <c r="BS20" s="93"/>
      <c r="BT20" s="55">
        <f t="shared" si="29"/>
        <v>3</v>
      </c>
      <c r="BU20" s="53">
        <v>7</v>
      </c>
      <c r="BV20" s="55">
        <v>26</v>
      </c>
      <c r="BW20" s="56">
        <f t="shared" si="30"/>
        <v>33</v>
      </c>
      <c r="BX20" s="55">
        <v>12</v>
      </c>
      <c r="BY20" s="55">
        <v>22</v>
      </c>
      <c r="BZ20" s="56">
        <f t="shared" si="31"/>
        <v>67</v>
      </c>
      <c r="CA20" s="93"/>
      <c r="CB20" s="55">
        <f t="shared" si="32"/>
        <v>3.5</v>
      </c>
      <c r="CC20" s="53">
        <v>7</v>
      </c>
      <c r="CD20" s="55">
        <v>30</v>
      </c>
      <c r="CE20" s="56">
        <f t="shared" si="33"/>
        <v>37</v>
      </c>
      <c r="CF20" s="55">
        <v>17</v>
      </c>
      <c r="CG20" s="55">
        <v>23</v>
      </c>
      <c r="CH20" s="56">
        <f t="shared" si="34"/>
        <v>77</v>
      </c>
      <c r="CI20" s="93"/>
      <c r="CJ20" s="55">
        <f t="shared" si="35"/>
        <v>4</v>
      </c>
      <c r="CK20" s="55">
        <f t="shared" si="36"/>
        <v>31</v>
      </c>
      <c r="CL20" s="58">
        <f t="shared" si="37"/>
        <v>3.4444444444444446</v>
      </c>
      <c r="CM20" s="59" t="str">
        <f t="shared" si="38"/>
        <v>B</v>
      </c>
      <c r="CN20" s="67" t="str">
        <f t="shared" si="39"/>
        <v>GOOD</v>
      </c>
      <c r="CO20" s="56">
        <f t="shared" si="40"/>
        <v>712</v>
      </c>
      <c r="CP20" s="55" t="s">
        <v>177</v>
      </c>
      <c r="CQ20" s="55"/>
    </row>
    <row r="21" spans="1:95" s="43" customFormat="1" ht="33.75" customHeight="1">
      <c r="A21" s="70">
        <v>12</v>
      </c>
      <c r="B21" s="45">
        <v>49</v>
      </c>
      <c r="C21" s="48" t="s">
        <v>85</v>
      </c>
      <c r="D21" s="48" t="s">
        <v>86</v>
      </c>
      <c r="E21" s="48" t="s">
        <v>87</v>
      </c>
      <c r="F21" s="49" t="s">
        <v>121</v>
      </c>
      <c r="G21" s="54">
        <v>3</v>
      </c>
      <c r="H21" s="55">
        <v>20</v>
      </c>
      <c r="I21" s="56">
        <f t="shared" si="41"/>
        <v>23</v>
      </c>
      <c r="J21" s="55">
        <v>20</v>
      </c>
      <c r="K21" s="56">
        <f t="shared" si="42"/>
        <v>43</v>
      </c>
      <c r="L21" s="54">
        <v>5</v>
      </c>
      <c r="M21" s="55">
        <v>24</v>
      </c>
      <c r="N21" s="56">
        <f t="shared" si="5"/>
        <v>29</v>
      </c>
      <c r="O21" s="55">
        <v>17</v>
      </c>
      <c r="P21" s="56">
        <f t="shared" si="43"/>
        <v>46</v>
      </c>
      <c r="Q21" s="56">
        <f t="shared" si="44"/>
        <v>89</v>
      </c>
      <c r="R21" s="91"/>
      <c r="S21" s="55" t="str">
        <f t="shared" si="7"/>
        <v>F</v>
      </c>
      <c r="T21" s="54">
        <v>0</v>
      </c>
      <c r="U21" s="55">
        <v>34</v>
      </c>
      <c r="V21" s="56">
        <f t="shared" si="8"/>
        <v>34</v>
      </c>
      <c r="W21" s="54">
        <v>0</v>
      </c>
      <c r="X21" s="55">
        <v>27</v>
      </c>
      <c r="Y21" s="56">
        <f t="shared" si="9"/>
        <v>27</v>
      </c>
      <c r="Z21" s="56">
        <f t="shared" si="10"/>
        <v>61</v>
      </c>
      <c r="AA21" s="56">
        <f t="shared" si="11"/>
        <v>61</v>
      </c>
      <c r="AB21" s="91"/>
      <c r="AC21" s="55" t="str">
        <f t="shared" si="12"/>
        <v>F</v>
      </c>
      <c r="AD21" s="54">
        <v>0</v>
      </c>
      <c r="AE21" s="55">
        <v>20</v>
      </c>
      <c r="AF21" s="56">
        <f t="shared" si="13"/>
        <v>20</v>
      </c>
      <c r="AG21" s="55">
        <v>12</v>
      </c>
      <c r="AH21" s="56">
        <f t="shared" si="14"/>
        <v>32</v>
      </c>
      <c r="AI21" s="91"/>
      <c r="AJ21" s="55" t="str">
        <f t="shared" si="15"/>
        <v>F</v>
      </c>
      <c r="AK21" s="54">
        <v>0</v>
      </c>
      <c r="AL21" s="55">
        <v>30</v>
      </c>
      <c r="AM21" s="56">
        <f t="shared" si="16"/>
        <v>30</v>
      </c>
      <c r="AN21" s="55">
        <v>19</v>
      </c>
      <c r="AO21" s="56">
        <f t="shared" si="17"/>
        <v>49</v>
      </c>
      <c r="AP21" s="95"/>
      <c r="AQ21" s="55">
        <f t="shared" si="18"/>
        <v>2</v>
      </c>
      <c r="AR21" s="57"/>
      <c r="AS21" s="55">
        <v>22</v>
      </c>
      <c r="AT21" s="55">
        <v>25</v>
      </c>
      <c r="AU21" s="55">
        <f t="shared" si="19"/>
        <v>47</v>
      </c>
      <c r="AV21" s="93"/>
      <c r="AW21" s="55">
        <f t="shared" si="20"/>
        <v>5</v>
      </c>
      <c r="AX21" s="54">
        <v>0</v>
      </c>
      <c r="AY21" s="55">
        <v>24</v>
      </c>
      <c r="AZ21" s="56">
        <f t="shared" si="21"/>
        <v>24</v>
      </c>
      <c r="BA21" s="55">
        <v>15</v>
      </c>
      <c r="BB21" s="56">
        <f t="shared" si="22"/>
        <v>39</v>
      </c>
      <c r="BC21" s="91"/>
      <c r="BD21" s="55" t="str">
        <f t="shared" si="23"/>
        <v>F</v>
      </c>
      <c r="BE21" s="54">
        <v>0</v>
      </c>
      <c r="BF21" s="55">
        <v>10</v>
      </c>
      <c r="BG21" s="56">
        <f t="shared" si="24"/>
        <v>10</v>
      </c>
      <c r="BH21" s="55">
        <v>8</v>
      </c>
      <c r="BI21" s="55">
        <v>22</v>
      </c>
      <c r="BJ21" s="56">
        <f t="shared" si="25"/>
        <v>40</v>
      </c>
      <c r="BK21" s="93"/>
      <c r="BL21" s="55" t="str">
        <f t="shared" si="26"/>
        <v>F</v>
      </c>
      <c r="BM21" s="54">
        <v>0</v>
      </c>
      <c r="BN21" s="55">
        <v>2</v>
      </c>
      <c r="BO21" s="56">
        <f t="shared" si="27"/>
        <v>2</v>
      </c>
      <c r="BP21" s="55">
        <v>10</v>
      </c>
      <c r="BQ21" s="55">
        <v>22</v>
      </c>
      <c r="BR21" s="56">
        <f t="shared" si="28"/>
        <v>34</v>
      </c>
      <c r="BS21" s="93"/>
      <c r="BT21" s="55" t="str">
        <f t="shared" si="29"/>
        <v>F</v>
      </c>
      <c r="BU21" s="54">
        <v>0</v>
      </c>
      <c r="BV21" s="55">
        <v>16</v>
      </c>
      <c r="BW21" s="56">
        <f t="shared" si="30"/>
        <v>16</v>
      </c>
      <c r="BX21" s="55">
        <v>10</v>
      </c>
      <c r="BY21" s="55">
        <v>22</v>
      </c>
      <c r="BZ21" s="56">
        <f t="shared" si="31"/>
        <v>48</v>
      </c>
      <c r="CA21" s="93"/>
      <c r="CB21" s="55" t="str">
        <f t="shared" si="32"/>
        <v>F</v>
      </c>
      <c r="CC21" s="54">
        <v>0</v>
      </c>
      <c r="CD21" s="55">
        <v>29</v>
      </c>
      <c r="CE21" s="56">
        <f t="shared" si="33"/>
        <v>29</v>
      </c>
      <c r="CF21" s="55">
        <v>13</v>
      </c>
      <c r="CG21" s="55">
        <v>23</v>
      </c>
      <c r="CH21" s="56">
        <f t="shared" si="34"/>
        <v>65</v>
      </c>
      <c r="CI21" s="93"/>
      <c r="CJ21" s="55">
        <f t="shared" si="35"/>
        <v>3.5</v>
      </c>
      <c r="CK21" s="55" t="str">
        <f t="shared" si="36"/>
        <v>F</v>
      </c>
      <c r="CL21" s="58" t="str">
        <f t="shared" si="37"/>
        <v>F</v>
      </c>
      <c r="CM21" s="59" t="str">
        <f t="shared" si="38"/>
        <v>F</v>
      </c>
      <c r="CN21" s="67" t="str">
        <f t="shared" si="39"/>
        <v>NEED TO PROGRESS</v>
      </c>
      <c r="CO21" s="56">
        <f t="shared" si="40"/>
        <v>504</v>
      </c>
      <c r="CP21" s="55" t="s">
        <v>178</v>
      </c>
      <c r="CQ21" s="55"/>
    </row>
    <row r="22" spans="1:95" s="43" customFormat="1" ht="33.75" customHeight="1">
      <c r="A22" s="70">
        <v>13</v>
      </c>
      <c r="B22" s="45">
        <v>52</v>
      </c>
      <c r="C22" s="48" t="s">
        <v>88</v>
      </c>
      <c r="D22" s="48" t="s">
        <v>89</v>
      </c>
      <c r="E22" s="48" t="s">
        <v>90</v>
      </c>
      <c r="F22" s="49" t="s">
        <v>122</v>
      </c>
      <c r="G22" s="52">
        <v>14</v>
      </c>
      <c r="H22" s="55">
        <v>26</v>
      </c>
      <c r="I22" s="56">
        <f t="shared" si="41"/>
        <v>40</v>
      </c>
      <c r="J22" s="55">
        <v>26</v>
      </c>
      <c r="K22" s="56">
        <f t="shared" si="42"/>
        <v>66</v>
      </c>
      <c r="L22" s="53">
        <v>17</v>
      </c>
      <c r="M22" s="55">
        <v>34</v>
      </c>
      <c r="N22" s="56">
        <f t="shared" si="5"/>
        <v>51</v>
      </c>
      <c r="O22" s="55">
        <v>20</v>
      </c>
      <c r="P22" s="56">
        <f t="shared" si="43"/>
        <v>71</v>
      </c>
      <c r="Q22" s="56">
        <f t="shared" si="44"/>
        <v>137</v>
      </c>
      <c r="R22" s="91"/>
      <c r="S22" s="55">
        <f t="shared" si="7"/>
        <v>3.5</v>
      </c>
      <c r="T22" s="53">
        <v>18</v>
      </c>
      <c r="U22" s="55">
        <v>46</v>
      </c>
      <c r="V22" s="56">
        <f t="shared" si="8"/>
        <v>64</v>
      </c>
      <c r="W22" s="53">
        <v>19</v>
      </c>
      <c r="X22" s="55">
        <v>43</v>
      </c>
      <c r="Y22" s="56">
        <f t="shared" si="9"/>
        <v>62</v>
      </c>
      <c r="Z22" s="56">
        <f t="shared" si="10"/>
        <v>126</v>
      </c>
      <c r="AA22" s="56">
        <f t="shared" si="11"/>
        <v>126</v>
      </c>
      <c r="AB22" s="91"/>
      <c r="AC22" s="55">
        <f t="shared" si="12"/>
        <v>3.5</v>
      </c>
      <c r="AD22" s="53">
        <v>17</v>
      </c>
      <c r="AE22" s="55">
        <v>38</v>
      </c>
      <c r="AF22" s="56">
        <f t="shared" si="13"/>
        <v>55</v>
      </c>
      <c r="AG22" s="55">
        <v>16</v>
      </c>
      <c r="AH22" s="56">
        <f t="shared" si="14"/>
        <v>71</v>
      </c>
      <c r="AI22" s="91"/>
      <c r="AJ22" s="55">
        <f t="shared" si="15"/>
        <v>4</v>
      </c>
      <c r="AK22" s="53">
        <v>12</v>
      </c>
      <c r="AL22" s="55">
        <v>30</v>
      </c>
      <c r="AM22" s="56">
        <f t="shared" si="16"/>
        <v>42</v>
      </c>
      <c r="AN22" s="55">
        <v>20</v>
      </c>
      <c r="AO22" s="56">
        <f t="shared" si="17"/>
        <v>62</v>
      </c>
      <c r="AP22" s="95"/>
      <c r="AQ22" s="55">
        <f t="shared" si="18"/>
        <v>3.5</v>
      </c>
      <c r="AR22" s="57"/>
      <c r="AS22" s="55">
        <v>22</v>
      </c>
      <c r="AT22" s="55">
        <v>25</v>
      </c>
      <c r="AU22" s="55">
        <f t="shared" si="19"/>
        <v>47</v>
      </c>
      <c r="AV22" s="93"/>
      <c r="AW22" s="55">
        <f t="shared" si="20"/>
        <v>5</v>
      </c>
      <c r="AX22" s="53">
        <v>16</v>
      </c>
      <c r="AY22" s="55">
        <v>27</v>
      </c>
      <c r="AZ22" s="56">
        <f t="shared" si="21"/>
        <v>43</v>
      </c>
      <c r="BA22" s="55">
        <v>17</v>
      </c>
      <c r="BB22" s="56">
        <f t="shared" si="22"/>
        <v>60</v>
      </c>
      <c r="BC22" s="91"/>
      <c r="BD22" s="55">
        <f t="shared" si="23"/>
        <v>3.5</v>
      </c>
      <c r="BE22" s="53">
        <v>7</v>
      </c>
      <c r="BF22" s="55">
        <v>8</v>
      </c>
      <c r="BG22" s="56">
        <f t="shared" si="24"/>
        <v>15</v>
      </c>
      <c r="BH22" s="55">
        <v>16</v>
      </c>
      <c r="BI22" s="55">
        <v>22</v>
      </c>
      <c r="BJ22" s="56">
        <f t="shared" si="25"/>
        <v>53</v>
      </c>
      <c r="BK22" s="93"/>
      <c r="BL22" s="55" t="str">
        <f t="shared" si="26"/>
        <v>F</v>
      </c>
      <c r="BM22" s="53">
        <v>5</v>
      </c>
      <c r="BN22" s="55">
        <v>18</v>
      </c>
      <c r="BO22" s="56">
        <f t="shared" si="27"/>
        <v>23</v>
      </c>
      <c r="BP22" s="55">
        <v>19</v>
      </c>
      <c r="BQ22" s="55">
        <v>22</v>
      </c>
      <c r="BR22" s="56">
        <f t="shared" si="28"/>
        <v>64</v>
      </c>
      <c r="BS22" s="93"/>
      <c r="BT22" s="55">
        <f t="shared" si="29"/>
        <v>3.5</v>
      </c>
      <c r="BU22" s="53">
        <v>8</v>
      </c>
      <c r="BV22" s="55">
        <v>24</v>
      </c>
      <c r="BW22" s="56">
        <f t="shared" si="30"/>
        <v>32</v>
      </c>
      <c r="BX22" s="55">
        <v>13</v>
      </c>
      <c r="BY22" s="55">
        <v>22</v>
      </c>
      <c r="BZ22" s="56">
        <f t="shared" si="31"/>
        <v>67</v>
      </c>
      <c r="CA22" s="93"/>
      <c r="CB22" s="55">
        <f t="shared" si="32"/>
        <v>3.5</v>
      </c>
      <c r="CC22" s="53">
        <v>8</v>
      </c>
      <c r="CD22" s="55">
        <v>10</v>
      </c>
      <c r="CE22" s="56">
        <f t="shared" si="33"/>
        <v>18</v>
      </c>
      <c r="CF22" s="55">
        <v>11</v>
      </c>
      <c r="CG22" s="55">
        <v>23</v>
      </c>
      <c r="CH22" s="56">
        <f t="shared" si="34"/>
        <v>52</v>
      </c>
      <c r="CI22" s="93"/>
      <c r="CJ22" s="55" t="str">
        <f t="shared" si="35"/>
        <v>0</v>
      </c>
      <c r="CK22" s="55" t="str">
        <f t="shared" si="36"/>
        <v>F</v>
      </c>
      <c r="CL22" s="58" t="str">
        <f t="shared" si="37"/>
        <v>F</v>
      </c>
      <c r="CM22" s="59" t="str">
        <f t="shared" si="38"/>
        <v>F</v>
      </c>
      <c r="CN22" s="67" t="str">
        <f t="shared" si="39"/>
        <v>NEED TO PROGRESS</v>
      </c>
      <c r="CO22" s="56">
        <f t="shared" si="40"/>
        <v>739</v>
      </c>
      <c r="CP22" s="55" t="s">
        <v>174</v>
      </c>
      <c r="CQ22" s="55"/>
    </row>
    <row r="23" spans="1:95" s="43" customFormat="1" ht="33.75" customHeight="1">
      <c r="A23" s="70">
        <v>14</v>
      </c>
      <c r="B23" s="45">
        <v>54</v>
      </c>
      <c r="C23" s="48" t="s">
        <v>91</v>
      </c>
      <c r="D23" s="48" t="s">
        <v>92</v>
      </c>
      <c r="E23" s="48" t="s">
        <v>93</v>
      </c>
      <c r="F23" s="49" t="s">
        <v>123</v>
      </c>
      <c r="G23" s="52">
        <v>17</v>
      </c>
      <c r="H23" s="55">
        <v>24</v>
      </c>
      <c r="I23" s="56">
        <f t="shared" si="41"/>
        <v>41</v>
      </c>
      <c r="J23" s="55">
        <v>26</v>
      </c>
      <c r="K23" s="56">
        <f t="shared" si="42"/>
        <v>67</v>
      </c>
      <c r="L23" s="53">
        <v>18</v>
      </c>
      <c r="M23" s="55">
        <v>26</v>
      </c>
      <c r="N23" s="56">
        <f t="shared" si="5"/>
        <v>44</v>
      </c>
      <c r="O23" s="55">
        <v>25</v>
      </c>
      <c r="P23" s="56">
        <f t="shared" si="43"/>
        <v>69</v>
      </c>
      <c r="Q23" s="56">
        <f t="shared" si="44"/>
        <v>136</v>
      </c>
      <c r="R23" s="91"/>
      <c r="S23" s="55">
        <f t="shared" si="7"/>
        <v>3.5</v>
      </c>
      <c r="T23" s="53">
        <v>18</v>
      </c>
      <c r="U23" s="55">
        <v>40</v>
      </c>
      <c r="V23" s="56">
        <f t="shared" si="8"/>
        <v>58</v>
      </c>
      <c r="W23" s="53">
        <v>17</v>
      </c>
      <c r="X23" s="55">
        <v>37</v>
      </c>
      <c r="Y23" s="56">
        <f t="shared" si="9"/>
        <v>54</v>
      </c>
      <c r="Z23" s="56">
        <f t="shared" si="10"/>
        <v>112</v>
      </c>
      <c r="AA23" s="56">
        <f t="shared" si="11"/>
        <v>112</v>
      </c>
      <c r="AB23" s="91"/>
      <c r="AC23" s="55">
        <f t="shared" si="12"/>
        <v>3</v>
      </c>
      <c r="AD23" s="53">
        <v>13</v>
      </c>
      <c r="AE23" s="55">
        <v>20</v>
      </c>
      <c r="AF23" s="56">
        <f t="shared" si="13"/>
        <v>33</v>
      </c>
      <c r="AG23" s="55">
        <v>16</v>
      </c>
      <c r="AH23" s="56">
        <f t="shared" si="14"/>
        <v>49</v>
      </c>
      <c r="AI23" s="91"/>
      <c r="AJ23" s="55">
        <f t="shared" si="15"/>
        <v>2</v>
      </c>
      <c r="AK23" s="53">
        <v>19</v>
      </c>
      <c r="AL23" s="55">
        <v>46</v>
      </c>
      <c r="AM23" s="56">
        <f t="shared" si="16"/>
        <v>65</v>
      </c>
      <c r="AN23" s="55">
        <v>25</v>
      </c>
      <c r="AO23" s="56">
        <f t="shared" si="17"/>
        <v>90</v>
      </c>
      <c r="AP23" s="95"/>
      <c r="AQ23" s="55">
        <f t="shared" si="18"/>
        <v>5</v>
      </c>
      <c r="AR23" s="57"/>
      <c r="AS23" s="55">
        <v>22</v>
      </c>
      <c r="AT23" s="55">
        <v>25</v>
      </c>
      <c r="AU23" s="55">
        <f t="shared" si="19"/>
        <v>47</v>
      </c>
      <c r="AV23" s="93"/>
      <c r="AW23" s="55">
        <f t="shared" si="20"/>
        <v>5</v>
      </c>
      <c r="AX23" s="53">
        <v>13</v>
      </c>
      <c r="AY23" s="55">
        <v>27</v>
      </c>
      <c r="AZ23" s="56">
        <f t="shared" si="21"/>
        <v>40</v>
      </c>
      <c r="BA23" s="55">
        <v>19</v>
      </c>
      <c r="BB23" s="56">
        <f t="shared" si="22"/>
        <v>59</v>
      </c>
      <c r="BC23" s="91"/>
      <c r="BD23" s="55">
        <f t="shared" si="23"/>
        <v>3</v>
      </c>
      <c r="BE23" s="53">
        <v>7</v>
      </c>
      <c r="BF23" s="55">
        <v>18</v>
      </c>
      <c r="BG23" s="56">
        <f t="shared" si="24"/>
        <v>25</v>
      </c>
      <c r="BH23" s="55">
        <v>13</v>
      </c>
      <c r="BI23" s="55">
        <v>22</v>
      </c>
      <c r="BJ23" s="56">
        <f t="shared" si="25"/>
        <v>60</v>
      </c>
      <c r="BK23" s="93"/>
      <c r="BL23" s="55">
        <f t="shared" si="26"/>
        <v>3.5</v>
      </c>
      <c r="BM23" s="53">
        <v>6</v>
      </c>
      <c r="BN23" s="55">
        <v>22</v>
      </c>
      <c r="BO23" s="56">
        <f t="shared" si="27"/>
        <v>28</v>
      </c>
      <c r="BP23" s="55">
        <v>18</v>
      </c>
      <c r="BQ23" s="55">
        <v>22</v>
      </c>
      <c r="BR23" s="56">
        <f t="shared" si="28"/>
        <v>68</v>
      </c>
      <c r="BS23" s="93"/>
      <c r="BT23" s="55">
        <f t="shared" si="29"/>
        <v>3.5</v>
      </c>
      <c r="BU23" s="53">
        <v>7</v>
      </c>
      <c r="BV23" s="55">
        <v>14</v>
      </c>
      <c r="BW23" s="56">
        <f t="shared" si="30"/>
        <v>21</v>
      </c>
      <c r="BX23" s="55">
        <v>13</v>
      </c>
      <c r="BY23" s="55">
        <v>22</v>
      </c>
      <c r="BZ23" s="56">
        <f t="shared" si="31"/>
        <v>56</v>
      </c>
      <c r="CA23" s="93"/>
      <c r="CB23" s="55">
        <f t="shared" si="32"/>
        <v>3</v>
      </c>
      <c r="CC23" s="53">
        <v>8</v>
      </c>
      <c r="CD23" s="55">
        <v>22</v>
      </c>
      <c r="CE23" s="56">
        <f t="shared" si="33"/>
        <v>30</v>
      </c>
      <c r="CF23" s="55">
        <v>19</v>
      </c>
      <c r="CG23" s="55">
        <v>23</v>
      </c>
      <c r="CH23" s="56">
        <f t="shared" si="34"/>
        <v>72</v>
      </c>
      <c r="CI23" s="93"/>
      <c r="CJ23" s="55">
        <f t="shared" si="35"/>
        <v>4</v>
      </c>
      <c r="CK23" s="55">
        <f t="shared" si="36"/>
        <v>33.5</v>
      </c>
      <c r="CL23" s="58">
        <f t="shared" si="37"/>
        <v>3.7222222222222223</v>
      </c>
      <c r="CM23" s="59" t="str">
        <f t="shared" si="38"/>
        <v>A-</v>
      </c>
      <c r="CN23" s="67" t="str">
        <f t="shared" si="39"/>
        <v>GOOD</v>
      </c>
      <c r="CO23" s="56">
        <f t="shared" si="40"/>
        <v>749</v>
      </c>
      <c r="CP23" s="55" t="s">
        <v>179</v>
      </c>
      <c r="CQ23" s="55"/>
    </row>
    <row r="24" spans="1:95" s="44" customFormat="1" ht="33.75" customHeight="1">
      <c r="A24" s="71">
        <v>15</v>
      </c>
      <c r="B24" s="45">
        <v>55</v>
      </c>
      <c r="C24" s="48" t="s">
        <v>94</v>
      </c>
      <c r="D24" s="48" t="s">
        <v>95</v>
      </c>
      <c r="E24" s="48" t="s">
        <v>96</v>
      </c>
      <c r="F24" s="49" t="s">
        <v>124</v>
      </c>
      <c r="G24" s="52">
        <v>16</v>
      </c>
      <c r="H24" s="55">
        <v>27</v>
      </c>
      <c r="I24" s="56">
        <f t="shared" si="41"/>
        <v>43</v>
      </c>
      <c r="J24" s="55">
        <v>23</v>
      </c>
      <c r="K24" s="56">
        <f t="shared" si="42"/>
        <v>66</v>
      </c>
      <c r="L24" s="53">
        <v>16</v>
      </c>
      <c r="M24" s="55">
        <v>34</v>
      </c>
      <c r="N24" s="56">
        <f t="shared" si="5"/>
        <v>50</v>
      </c>
      <c r="O24" s="55">
        <v>21</v>
      </c>
      <c r="P24" s="56">
        <f t="shared" si="43"/>
        <v>71</v>
      </c>
      <c r="Q24" s="56">
        <f t="shared" si="44"/>
        <v>137</v>
      </c>
      <c r="R24" s="91"/>
      <c r="S24" s="55">
        <f t="shared" si="7"/>
        <v>3.5</v>
      </c>
      <c r="T24" s="53">
        <v>17</v>
      </c>
      <c r="U24" s="55">
        <v>37</v>
      </c>
      <c r="V24" s="56">
        <f t="shared" si="8"/>
        <v>54</v>
      </c>
      <c r="W24" s="53">
        <v>16</v>
      </c>
      <c r="X24" s="55">
        <v>39</v>
      </c>
      <c r="Y24" s="56">
        <f t="shared" si="9"/>
        <v>55</v>
      </c>
      <c r="Z24" s="56">
        <f t="shared" si="10"/>
        <v>109</v>
      </c>
      <c r="AA24" s="56">
        <f t="shared" si="11"/>
        <v>109</v>
      </c>
      <c r="AB24" s="91"/>
      <c r="AC24" s="55">
        <f t="shared" si="12"/>
        <v>3</v>
      </c>
      <c r="AD24" s="53">
        <v>16</v>
      </c>
      <c r="AE24" s="55">
        <v>35</v>
      </c>
      <c r="AF24" s="56">
        <f t="shared" si="13"/>
        <v>51</v>
      </c>
      <c r="AG24" s="55">
        <v>17</v>
      </c>
      <c r="AH24" s="56">
        <f t="shared" si="14"/>
        <v>68</v>
      </c>
      <c r="AI24" s="91"/>
      <c r="AJ24" s="55">
        <f t="shared" si="15"/>
        <v>3.5</v>
      </c>
      <c r="AK24" s="53">
        <v>16</v>
      </c>
      <c r="AL24" s="55">
        <v>36</v>
      </c>
      <c r="AM24" s="56">
        <f t="shared" si="16"/>
        <v>52</v>
      </c>
      <c r="AN24" s="55">
        <v>20</v>
      </c>
      <c r="AO24" s="56">
        <f t="shared" si="17"/>
        <v>72</v>
      </c>
      <c r="AP24" s="95"/>
      <c r="AQ24" s="55">
        <f t="shared" si="18"/>
        <v>4</v>
      </c>
      <c r="AR24" s="57"/>
      <c r="AS24" s="55">
        <v>22</v>
      </c>
      <c r="AT24" s="55">
        <v>25</v>
      </c>
      <c r="AU24" s="55">
        <f t="shared" si="19"/>
        <v>47</v>
      </c>
      <c r="AV24" s="93"/>
      <c r="AW24" s="55">
        <f t="shared" si="20"/>
        <v>5</v>
      </c>
      <c r="AX24" s="53">
        <v>14</v>
      </c>
      <c r="AY24" s="55">
        <v>22</v>
      </c>
      <c r="AZ24" s="56">
        <f t="shared" si="21"/>
        <v>36</v>
      </c>
      <c r="BA24" s="55">
        <v>20</v>
      </c>
      <c r="BB24" s="56">
        <f t="shared" si="22"/>
        <v>56</v>
      </c>
      <c r="BC24" s="91"/>
      <c r="BD24" s="55">
        <f t="shared" si="23"/>
        <v>3</v>
      </c>
      <c r="BE24" s="53">
        <v>9</v>
      </c>
      <c r="BF24" s="55">
        <v>11</v>
      </c>
      <c r="BG24" s="56">
        <f t="shared" si="24"/>
        <v>20</v>
      </c>
      <c r="BH24" s="55">
        <v>10</v>
      </c>
      <c r="BI24" s="55">
        <v>22</v>
      </c>
      <c r="BJ24" s="56">
        <f t="shared" si="25"/>
        <v>52</v>
      </c>
      <c r="BK24" s="93"/>
      <c r="BL24" s="55">
        <f t="shared" si="26"/>
        <v>3</v>
      </c>
      <c r="BM24" s="53">
        <v>5</v>
      </c>
      <c r="BN24" s="55">
        <v>28</v>
      </c>
      <c r="BO24" s="56">
        <f t="shared" si="27"/>
        <v>33</v>
      </c>
      <c r="BP24" s="55">
        <v>11</v>
      </c>
      <c r="BQ24" s="55">
        <v>22</v>
      </c>
      <c r="BR24" s="56">
        <f t="shared" si="28"/>
        <v>66</v>
      </c>
      <c r="BS24" s="93"/>
      <c r="BT24" s="55">
        <f t="shared" si="29"/>
        <v>3.5</v>
      </c>
      <c r="BU24" s="53">
        <v>8</v>
      </c>
      <c r="BV24" s="55">
        <v>22</v>
      </c>
      <c r="BW24" s="56">
        <f t="shared" si="30"/>
        <v>30</v>
      </c>
      <c r="BX24" s="55">
        <v>12</v>
      </c>
      <c r="BY24" s="55">
        <v>22</v>
      </c>
      <c r="BZ24" s="56">
        <f t="shared" si="31"/>
        <v>64</v>
      </c>
      <c r="CA24" s="93"/>
      <c r="CB24" s="55">
        <f t="shared" si="32"/>
        <v>3.5</v>
      </c>
      <c r="CC24" s="53">
        <v>8</v>
      </c>
      <c r="CD24" s="55">
        <v>14</v>
      </c>
      <c r="CE24" s="56">
        <f t="shared" si="33"/>
        <v>22</v>
      </c>
      <c r="CF24" s="55">
        <v>12</v>
      </c>
      <c r="CG24" s="55">
        <v>23</v>
      </c>
      <c r="CH24" s="56">
        <f t="shared" si="34"/>
        <v>57</v>
      </c>
      <c r="CI24" s="93"/>
      <c r="CJ24" s="55">
        <f t="shared" si="35"/>
        <v>3</v>
      </c>
      <c r="CK24" s="55">
        <f t="shared" si="36"/>
        <v>33</v>
      </c>
      <c r="CL24" s="58">
        <f t="shared" si="37"/>
        <v>3.6666666666666665</v>
      </c>
      <c r="CM24" s="59" t="str">
        <f t="shared" si="38"/>
        <v>A-</v>
      </c>
      <c r="CN24" s="67" t="str">
        <f t="shared" si="39"/>
        <v>GOOD</v>
      </c>
      <c r="CO24" s="56">
        <f t="shared" si="40"/>
        <v>728</v>
      </c>
      <c r="CP24" s="55" t="s">
        <v>180</v>
      </c>
      <c r="CQ24" s="55"/>
    </row>
    <row r="25" spans="1:95" s="44" customFormat="1" ht="33.75" customHeight="1">
      <c r="A25" s="71">
        <v>16</v>
      </c>
      <c r="B25" s="45">
        <v>59</v>
      </c>
      <c r="C25" s="48" t="s">
        <v>97</v>
      </c>
      <c r="D25" s="48" t="s">
        <v>98</v>
      </c>
      <c r="E25" s="48" t="s">
        <v>99</v>
      </c>
      <c r="F25" s="49" t="s">
        <v>125</v>
      </c>
      <c r="G25" s="52">
        <v>8</v>
      </c>
      <c r="H25" s="55">
        <v>21</v>
      </c>
      <c r="I25" s="56">
        <f t="shared" si="41"/>
        <v>29</v>
      </c>
      <c r="J25" s="55">
        <v>25</v>
      </c>
      <c r="K25" s="56">
        <f t="shared" si="42"/>
        <v>54</v>
      </c>
      <c r="L25" s="53">
        <v>14</v>
      </c>
      <c r="M25" s="55">
        <v>21</v>
      </c>
      <c r="N25" s="56">
        <f t="shared" si="5"/>
        <v>35</v>
      </c>
      <c r="O25" s="55">
        <v>18</v>
      </c>
      <c r="P25" s="56">
        <f t="shared" si="43"/>
        <v>53</v>
      </c>
      <c r="Q25" s="56">
        <f t="shared" si="44"/>
        <v>107</v>
      </c>
      <c r="R25" s="91"/>
      <c r="S25" s="55">
        <f t="shared" si="7"/>
        <v>3</v>
      </c>
      <c r="T25" s="53">
        <v>17</v>
      </c>
      <c r="U25" s="55">
        <v>41</v>
      </c>
      <c r="V25" s="56">
        <f t="shared" si="8"/>
        <v>58</v>
      </c>
      <c r="W25" s="53">
        <v>18</v>
      </c>
      <c r="X25" s="55">
        <v>32</v>
      </c>
      <c r="Y25" s="56">
        <f t="shared" si="9"/>
        <v>50</v>
      </c>
      <c r="Z25" s="56">
        <f t="shared" si="10"/>
        <v>108</v>
      </c>
      <c r="AA25" s="56">
        <f t="shared" si="11"/>
        <v>108</v>
      </c>
      <c r="AB25" s="91"/>
      <c r="AC25" s="55">
        <f t="shared" si="12"/>
        <v>3</v>
      </c>
      <c r="AD25" s="53">
        <v>11</v>
      </c>
      <c r="AE25" s="55">
        <v>9</v>
      </c>
      <c r="AF25" s="56">
        <f t="shared" si="13"/>
        <v>20</v>
      </c>
      <c r="AG25" s="55">
        <v>14</v>
      </c>
      <c r="AH25" s="56">
        <f t="shared" si="14"/>
        <v>34</v>
      </c>
      <c r="AI25" s="91"/>
      <c r="AJ25" s="55" t="str">
        <f t="shared" si="15"/>
        <v>F</v>
      </c>
      <c r="AK25" s="53">
        <v>11</v>
      </c>
      <c r="AL25" s="55">
        <v>42</v>
      </c>
      <c r="AM25" s="56">
        <f t="shared" si="16"/>
        <v>53</v>
      </c>
      <c r="AN25" s="55">
        <v>23</v>
      </c>
      <c r="AO25" s="56">
        <f t="shared" si="17"/>
        <v>76</v>
      </c>
      <c r="AP25" s="95"/>
      <c r="AQ25" s="55">
        <f t="shared" si="18"/>
        <v>4</v>
      </c>
      <c r="AR25" s="57"/>
      <c r="AS25" s="55">
        <v>22</v>
      </c>
      <c r="AT25" s="55">
        <v>25</v>
      </c>
      <c r="AU25" s="55">
        <f t="shared" si="19"/>
        <v>47</v>
      </c>
      <c r="AV25" s="93"/>
      <c r="AW25" s="55">
        <f t="shared" si="20"/>
        <v>5</v>
      </c>
      <c r="AX25" s="53">
        <v>12</v>
      </c>
      <c r="AY25" s="55">
        <v>20</v>
      </c>
      <c r="AZ25" s="56">
        <f t="shared" si="21"/>
        <v>32</v>
      </c>
      <c r="BA25" s="55">
        <v>19</v>
      </c>
      <c r="BB25" s="56">
        <f t="shared" si="22"/>
        <v>51</v>
      </c>
      <c r="BC25" s="91"/>
      <c r="BD25" s="55">
        <f t="shared" si="23"/>
        <v>3</v>
      </c>
      <c r="BE25" s="53">
        <v>7</v>
      </c>
      <c r="BF25" s="55">
        <v>5</v>
      </c>
      <c r="BG25" s="56">
        <f t="shared" si="24"/>
        <v>12</v>
      </c>
      <c r="BH25" s="55">
        <v>12</v>
      </c>
      <c r="BI25" s="55">
        <v>22</v>
      </c>
      <c r="BJ25" s="56">
        <f t="shared" si="25"/>
        <v>46</v>
      </c>
      <c r="BK25" s="93"/>
      <c r="BL25" s="55" t="str">
        <f t="shared" si="26"/>
        <v>F</v>
      </c>
      <c r="BM25" s="53">
        <v>6</v>
      </c>
      <c r="BN25" s="55">
        <v>14</v>
      </c>
      <c r="BO25" s="56">
        <f t="shared" si="27"/>
        <v>20</v>
      </c>
      <c r="BP25" s="55">
        <v>18</v>
      </c>
      <c r="BQ25" s="55">
        <v>22</v>
      </c>
      <c r="BR25" s="56">
        <f t="shared" si="28"/>
        <v>60</v>
      </c>
      <c r="BS25" s="93"/>
      <c r="BT25" s="55">
        <f t="shared" si="29"/>
        <v>3.5</v>
      </c>
      <c r="BU25" s="53">
        <v>5</v>
      </c>
      <c r="BV25" s="55">
        <v>16</v>
      </c>
      <c r="BW25" s="56">
        <f t="shared" si="30"/>
        <v>21</v>
      </c>
      <c r="BX25" s="55">
        <v>10</v>
      </c>
      <c r="BY25" s="55">
        <v>22</v>
      </c>
      <c r="BZ25" s="56">
        <f>BW25+BX25+BY25</f>
        <v>53</v>
      </c>
      <c r="CA25" s="93"/>
      <c r="CB25" s="55">
        <f t="shared" si="32"/>
        <v>3</v>
      </c>
      <c r="CC25" s="53">
        <v>7</v>
      </c>
      <c r="CD25" s="55">
        <v>2</v>
      </c>
      <c r="CE25" s="56">
        <f t="shared" si="33"/>
        <v>9</v>
      </c>
      <c r="CF25" s="55">
        <v>20</v>
      </c>
      <c r="CG25" s="55">
        <v>23</v>
      </c>
      <c r="CH25" s="56">
        <f t="shared" si="34"/>
        <v>52</v>
      </c>
      <c r="CI25" s="93"/>
      <c r="CJ25" s="55" t="str">
        <f t="shared" si="35"/>
        <v>0</v>
      </c>
      <c r="CK25" s="55" t="str">
        <f t="shared" si="36"/>
        <v>F</v>
      </c>
      <c r="CL25" s="58" t="str">
        <f t="shared" si="37"/>
        <v>F</v>
      </c>
      <c r="CM25" s="59" t="str">
        <f t="shared" si="38"/>
        <v>F</v>
      </c>
      <c r="CN25" s="67" t="str">
        <f t="shared" si="39"/>
        <v>NEED TO PROGRESS</v>
      </c>
      <c r="CO25" s="56">
        <f t="shared" si="40"/>
        <v>634</v>
      </c>
      <c r="CP25" s="55" t="s">
        <v>174</v>
      </c>
      <c r="CQ25" s="55"/>
    </row>
    <row r="26" spans="1:95" s="44" customFormat="1" ht="33.75" customHeight="1">
      <c r="A26" s="71">
        <v>17</v>
      </c>
      <c r="B26" s="45">
        <v>63</v>
      </c>
      <c r="C26" s="48" t="s">
        <v>100</v>
      </c>
      <c r="D26" s="48" t="s">
        <v>101</v>
      </c>
      <c r="E26" s="48" t="s">
        <v>102</v>
      </c>
      <c r="F26" s="49" t="s">
        <v>126</v>
      </c>
      <c r="G26" s="52">
        <v>9</v>
      </c>
      <c r="H26" s="55">
        <v>20</v>
      </c>
      <c r="I26" s="56">
        <f t="shared" si="41"/>
        <v>29</v>
      </c>
      <c r="J26" s="55">
        <v>26</v>
      </c>
      <c r="K26" s="56">
        <f t="shared" si="42"/>
        <v>55</v>
      </c>
      <c r="L26" s="53">
        <v>15</v>
      </c>
      <c r="M26" s="55">
        <v>22</v>
      </c>
      <c r="N26" s="56">
        <f t="shared" si="5"/>
        <v>37</v>
      </c>
      <c r="O26" s="55">
        <v>20</v>
      </c>
      <c r="P26" s="56">
        <f t="shared" si="43"/>
        <v>57</v>
      </c>
      <c r="Q26" s="56">
        <f t="shared" si="44"/>
        <v>112</v>
      </c>
      <c r="R26" s="91"/>
      <c r="S26" s="55">
        <f t="shared" si="7"/>
        <v>3</v>
      </c>
      <c r="T26" s="53">
        <v>19</v>
      </c>
      <c r="U26" s="55">
        <v>34</v>
      </c>
      <c r="V26" s="56">
        <f t="shared" si="8"/>
        <v>53</v>
      </c>
      <c r="W26" s="53">
        <v>16</v>
      </c>
      <c r="X26" s="55">
        <v>26</v>
      </c>
      <c r="Y26" s="56">
        <f t="shared" si="9"/>
        <v>42</v>
      </c>
      <c r="Z26" s="56">
        <f t="shared" si="10"/>
        <v>95</v>
      </c>
      <c r="AA26" s="56">
        <f t="shared" si="11"/>
        <v>95</v>
      </c>
      <c r="AB26" s="91"/>
      <c r="AC26" s="55">
        <f t="shared" si="12"/>
        <v>2</v>
      </c>
      <c r="AD26" s="53">
        <v>12</v>
      </c>
      <c r="AE26" s="55">
        <v>12</v>
      </c>
      <c r="AF26" s="56">
        <f t="shared" si="13"/>
        <v>24</v>
      </c>
      <c r="AG26" s="55">
        <v>12</v>
      </c>
      <c r="AH26" s="56">
        <f t="shared" si="14"/>
        <v>36</v>
      </c>
      <c r="AI26" s="91"/>
      <c r="AJ26" s="55" t="str">
        <f t="shared" si="15"/>
        <v>F</v>
      </c>
      <c r="AK26" s="53">
        <v>12</v>
      </c>
      <c r="AL26" s="55">
        <v>20</v>
      </c>
      <c r="AM26" s="56">
        <f t="shared" si="16"/>
        <v>32</v>
      </c>
      <c r="AN26" s="55">
        <v>22</v>
      </c>
      <c r="AO26" s="56">
        <f t="shared" si="17"/>
        <v>54</v>
      </c>
      <c r="AP26" s="95"/>
      <c r="AQ26" s="55">
        <f t="shared" si="18"/>
        <v>3</v>
      </c>
      <c r="AR26" s="57"/>
      <c r="AS26" s="55">
        <v>22</v>
      </c>
      <c r="AT26" s="55">
        <v>25</v>
      </c>
      <c r="AU26" s="55">
        <f t="shared" si="19"/>
        <v>47</v>
      </c>
      <c r="AV26" s="93"/>
      <c r="AW26" s="55">
        <f t="shared" si="20"/>
        <v>5</v>
      </c>
      <c r="AX26" s="53">
        <v>9</v>
      </c>
      <c r="AY26" s="55">
        <v>20</v>
      </c>
      <c r="AZ26" s="56">
        <f t="shared" si="21"/>
        <v>29</v>
      </c>
      <c r="BA26" s="55">
        <v>18</v>
      </c>
      <c r="BB26" s="56">
        <f t="shared" si="22"/>
        <v>47</v>
      </c>
      <c r="BC26" s="91"/>
      <c r="BD26" s="55">
        <f t="shared" si="23"/>
        <v>2</v>
      </c>
      <c r="BE26" s="53">
        <v>5</v>
      </c>
      <c r="BF26" s="55">
        <v>16</v>
      </c>
      <c r="BG26" s="56">
        <f t="shared" si="24"/>
        <v>21</v>
      </c>
      <c r="BH26" s="55">
        <v>10</v>
      </c>
      <c r="BI26" s="55">
        <v>22</v>
      </c>
      <c r="BJ26" s="56">
        <f t="shared" si="25"/>
        <v>53</v>
      </c>
      <c r="BK26" s="93"/>
      <c r="BL26" s="55">
        <f t="shared" si="26"/>
        <v>3</v>
      </c>
      <c r="BM26" s="53">
        <v>7</v>
      </c>
      <c r="BN26" s="55">
        <v>16</v>
      </c>
      <c r="BO26" s="56">
        <f t="shared" si="27"/>
        <v>23</v>
      </c>
      <c r="BP26" s="55">
        <v>15</v>
      </c>
      <c r="BQ26" s="55">
        <v>22</v>
      </c>
      <c r="BR26" s="56">
        <f t="shared" si="28"/>
        <v>60</v>
      </c>
      <c r="BS26" s="93"/>
      <c r="BT26" s="55">
        <f t="shared" si="29"/>
        <v>3.5</v>
      </c>
      <c r="BU26" s="53">
        <v>7</v>
      </c>
      <c r="BV26" s="55">
        <v>10</v>
      </c>
      <c r="BW26" s="56">
        <f t="shared" si="30"/>
        <v>17</v>
      </c>
      <c r="BX26" s="55">
        <v>13</v>
      </c>
      <c r="BY26" s="55">
        <v>22</v>
      </c>
      <c r="BZ26" s="56">
        <f t="shared" si="31"/>
        <v>52</v>
      </c>
      <c r="CA26" s="93"/>
      <c r="CB26" s="55" t="str">
        <f t="shared" si="32"/>
        <v>F</v>
      </c>
      <c r="CC26" s="53">
        <v>6</v>
      </c>
      <c r="CD26" s="55">
        <v>0</v>
      </c>
      <c r="CE26" s="56">
        <f t="shared" si="33"/>
        <v>6</v>
      </c>
      <c r="CF26" s="55">
        <v>11</v>
      </c>
      <c r="CG26" s="55">
        <v>23</v>
      </c>
      <c r="CH26" s="56">
        <f t="shared" si="34"/>
        <v>40</v>
      </c>
      <c r="CI26" s="93"/>
      <c r="CJ26" s="55" t="str">
        <f t="shared" si="35"/>
        <v>0</v>
      </c>
      <c r="CK26" s="55" t="str">
        <f t="shared" si="36"/>
        <v>F</v>
      </c>
      <c r="CL26" s="58" t="str">
        <f t="shared" si="37"/>
        <v>F</v>
      </c>
      <c r="CM26" s="59" t="str">
        <f t="shared" si="38"/>
        <v>F</v>
      </c>
      <c r="CN26" s="67" t="str">
        <f t="shared" si="39"/>
        <v>NEED TO PROGRESS</v>
      </c>
      <c r="CO26" s="56">
        <f t="shared" si="40"/>
        <v>596</v>
      </c>
      <c r="CP26" s="55" t="s">
        <v>169</v>
      </c>
      <c r="CQ26" s="55"/>
    </row>
    <row r="27" spans="1:95" s="44" customFormat="1" ht="33.75" customHeight="1">
      <c r="A27" s="71">
        <v>18</v>
      </c>
      <c r="B27" s="45">
        <v>71</v>
      </c>
      <c r="C27" s="48" t="s">
        <v>103</v>
      </c>
      <c r="D27" s="48" t="s">
        <v>104</v>
      </c>
      <c r="E27" s="48" t="s">
        <v>105</v>
      </c>
      <c r="F27" s="49" t="s">
        <v>127</v>
      </c>
      <c r="G27" s="52">
        <v>8</v>
      </c>
      <c r="H27" s="55">
        <v>21</v>
      </c>
      <c r="I27" s="56">
        <f t="shared" si="41"/>
        <v>29</v>
      </c>
      <c r="J27" s="55">
        <v>26</v>
      </c>
      <c r="K27" s="56">
        <f t="shared" si="42"/>
        <v>55</v>
      </c>
      <c r="L27" s="53">
        <v>17</v>
      </c>
      <c r="M27" s="55">
        <v>22</v>
      </c>
      <c r="N27" s="56">
        <f t="shared" si="5"/>
        <v>39</v>
      </c>
      <c r="O27" s="55">
        <v>23</v>
      </c>
      <c r="P27" s="56">
        <f t="shared" si="43"/>
        <v>62</v>
      </c>
      <c r="Q27" s="56">
        <f t="shared" si="44"/>
        <v>117</v>
      </c>
      <c r="R27" s="91"/>
      <c r="S27" s="55">
        <f t="shared" si="7"/>
        <v>3</v>
      </c>
      <c r="T27" s="53">
        <v>20</v>
      </c>
      <c r="U27" s="55">
        <v>38</v>
      </c>
      <c r="V27" s="56">
        <f t="shared" si="8"/>
        <v>58</v>
      </c>
      <c r="W27" s="53">
        <v>16</v>
      </c>
      <c r="X27" s="55">
        <v>27</v>
      </c>
      <c r="Y27" s="56">
        <f t="shared" si="9"/>
        <v>43</v>
      </c>
      <c r="Z27" s="56">
        <f t="shared" si="10"/>
        <v>101</v>
      </c>
      <c r="AA27" s="56">
        <f t="shared" si="11"/>
        <v>101</v>
      </c>
      <c r="AB27" s="91"/>
      <c r="AC27" s="55">
        <f t="shared" si="12"/>
        <v>3</v>
      </c>
      <c r="AD27" s="53">
        <v>11</v>
      </c>
      <c r="AE27" s="55">
        <v>21</v>
      </c>
      <c r="AF27" s="56">
        <f t="shared" si="13"/>
        <v>32</v>
      </c>
      <c r="AG27" s="55">
        <v>12</v>
      </c>
      <c r="AH27" s="56">
        <f t="shared" si="14"/>
        <v>44</v>
      </c>
      <c r="AI27" s="91"/>
      <c r="AJ27" s="55">
        <f t="shared" si="15"/>
        <v>2</v>
      </c>
      <c r="AK27" s="53">
        <v>13</v>
      </c>
      <c r="AL27" s="55">
        <v>25</v>
      </c>
      <c r="AM27" s="56">
        <f t="shared" si="16"/>
        <v>38</v>
      </c>
      <c r="AN27" s="55">
        <v>21</v>
      </c>
      <c r="AO27" s="56">
        <f t="shared" si="17"/>
        <v>59</v>
      </c>
      <c r="AP27" s="95"/>
      <c r="AQ27" s="55">
        <f t="shared" si="18"/>
        <v>3</v>
      </c>
      <c r="AR27" s="57"/>
      <c r="AS27" s="55">
        <v>22</v>
      </c>
      <c r="AT27" s="55">
        <v>25</v>
      </c>
      <c r="AU27" s="55">
        <f t="shared" si="19"/>
        <v>47</v>
      </c>
      <c r="AV27" s="93"/>
      <c r="AW27" s="55">
        <f t="shared" si="20"/>
        <v>5</v>
      </c>
      <c r="AX27" s="53">
        <v>13</v>
      </c>
      <c r="AY27" s="55">
        <v>22</v>
      </c>
      <c r="AZ27" s="56">
        <f t="shared" si="21"/>
        <v>35</v>
      </c>
      <c r="BA27" s="55">
        <v>18</v>
      </c>
      <c r="BB27" s="56">
        <f t="shared" si="22"/>
        <v>53</v>
      </c>
      <c r="BC27" s="91"/>
      <c r="BD27" s="55">
        <f t="shared" si="23"/>
        <v>3</v>
      </c>
      <c r="BE27" s="53">
        <v>5</v>
      </c>
      <c r="BF27" s="55">
        <v>16</v>
      </c>
      <c r="BG27" s="56">
        <f t="shared" si="24"/>
        <v>21</v>
      </c>
      <c r="BH27" s="55">
        <v>10</v>
      </c>
      <c r="BI27" s="55">
        <v>22</v>
      </c>
      <c r="BJ27" s="56">
        <f t="shared" si="25"/>
        <v>53</v>
      </c>
      <c r="BK27" s="93"/>
      <c r="BL27" s="55">
        <f t="shared" si="26"/>
        <v>3</v>
      </c>
      <c r="BM27" s="53">
        <v>5</v>
      </c>
      <c r="BN27" s="55">
        <v>16</v>
      </c>
      <c r="BO27" s="56">
        <f t="shared" si="27"/>
        <v>21</v>
      </c>
      <c r="BP27" s="55">
        <v>12</v>
      </c>
      <c r="BQ27" s="55">
        <v>22</v>
      </c>
      <c r="BR27" s="56">
        <f t="shared" si="28"/>
        <v>55</v>
      </c>
      <c r="BS27" s="93"/>
      <c r="BT27" s="55">
        <f t="shared" si="29"/>
        <v>3</v>
      </c>
      <c r="BU27" s="53">
        <v>6</v>
      </c>
      <c r="BV27" s="55">
        <v>10</v>
      </c>
      <c r="BW27" s="56">
        <f t="shared" si="30"/>
        <v>16</v>
      </c>
      <c r="BX27" s="55">
        <v>12</v>
      </c>
      <c r="BY27" s="55">
        <v>22</v>
      </c>
      <c r="BZ27" s="56">
        <f t="shared" si="31"/>
        <v>50</v>
      </c>
      <c r="CA27" s="93"/>
      <c r="CB27" s="55" t="str">
        <f t="shared" si="32"/>
        <v>F</v>
      </c>
      <c r="CC27" s="53">
        <v>6</v>
      </c>
      <c r="CD27" s="55">
        <v>0</v>
      </c>
      <c r="CE27" s="56">
        <f t="shared" si="33"/>
        <v>6</v>
      </c>
      <c r="CF27" s="55">
        <v>12</v>
      </c>
      <c r="CG27" s="55">
        <v>23</v>
      </c>
      <c r="CH27" s="56">
        <f t="shared" si="34"/>
        <v>41</v>
      </c>
      <c r="CI27" s="93"/>
      <c r="CJ27" s="55" t="str">
        <f t="shared" si="35"/>
        <v>0</v>
      </c>
      <c r="CK27" s="55" t="str">
        <f t="shared" si="36"/>
        <v>F</v>
      </c>
      <c r="CL27" s="58" t="str">
        <f t="shared" si="37"/>
        <v>F</v>
      </c>
      <c r="CM27" s="59" t="str">
        <f t="shared" si="38"/>
        <v>F</v>
      </c>
      <c r="CN27" s="67" t="str">
        <f t="shared" si="39"/>
        <v>NEED TO PROGRESS</v>
      </c>
      <c r="CO27" s="56">
        <f t="shared" si="40"/>
        <v>620</v>
      </c>
      <c r="CP27" s="55" t="s">
        <v>174</v>
      </c>
      <c r="CQ27" s="55"/>
    </row>
    <row r="28" spans="1:95" s="44" customFormat="1" ht="33.75" customHeight="1">
      <c r="A28" s="71">
        <v>19</v>
      </c>
      <c r="B28" s="45">
        <v>77</v>
      </c>
      <c r="C28" s="48" t="s">
        <v>106</v>
      </c>
      <c r="D28" s="48" t="s">
        <v>107</v>
      </c>
      <c r="E28" s="48" t="s">
        <v>108</v>
      </c>
      <c r="F28" s="49" t="s">
        <v>128</v>
      </c>
      <c r="G28" s="52">
        <v>8</v>
      </c>
      <c r="H28" s="55">
        <v>20</v>
      </c>
      <c r="I28" s="56">
        <f t="shared" si="41"/>
        <v>28</v>
      </c>
      <c r="J28" s="55">
        <v>28</v>
      </c>
      <c r="K28" s="56">
        <f t="shared" si="42"/>
        <v>56</v>
      </c>
      <c r="L28" s="53">
        <v>13</v>
      </c>
      <c r="M28" s="55">
        <v>21</v>
      </c>
      <c r="N28" s="56">
        <f t="shared" si="5"/>
        <v>34</v>
      </c>
      <c r="O28" s="55">
        <v>21</v>
      </c>
      <c r="P28" s="56">
        <f t="shared" si="43"/>
        <v>55</v>
      </c>
      <c r="Q28" s="56">
        <f t="shared" si="44"/>
        <v>111</v>
      </c>
      <c r="R28" s="91"/>
      <c r="S28" s="55">
        <f t="shared" si="7"/>
        <v>3</v>
      </c>
      <c r="T28" s="53">
        <v>18</v>
      </c>
      <c r="U28" s="55">
        <v>22</v>
      </c>
      <c r="V28" s="56">
        <f t="shared" si="8"/>
        <v>40</v>
      </c>
      <c r="W28" s="53">
        <v>17</v>
      </c>
      <c r="X28" s="55">
        <v>13</v>
      </c>
      <c r="Y28" s="56">
        <f t="shared" si="9"/>
        <v>30</v>
      </c>
      <c r="Z28" s="56">
        <f t="shared" si="10"/>
        <v>70</v>
      </c>
      <c r="AA28" s="56">
        <f t="shared" si="11"/>
        <v>70</v>
      </c>
      <c r="AB28" s="91"/>
      <c r="AC28" s="55" t="str">
        <f t="shared" si="12"/>
        <v>F</v>
      </c>
      <c r="AD28" s="53">
        <v>6</v>
      </c>
      <c r="AE28" s="55">
        <v>9</v>
      </c>
      <c r="AF28" s="56">
        <f t="shared" si="13"/>
        <v>15</v>
      </c>
      <c r="AG28" s="55">
        <v>4</v>
      </c>
      <c r="AH28" s="56">
        <f t="shared" si="14"/>
        <v>19</v>
      </c>
      <c r="AI28" s="91"/>
      <c r="AJ28" s="55" t="str">
        <f t="shared" si="15"/>
        <v>F</v>
      </c>
      <c r="AK28" s="53">
        <v>14</v>
      </c>
      <c r="AL28" s="55">
        <v>25</v>
      </c>
      <c r="AM28" s="56">
        <f t="shared" si="16"/>
        <v>39</v>
      </c>
      <c r="AN28" s="55">
        <v>19</v>
      </c>
      <c r="AO28" s="56">
        <f t="shared" si="17"/>
        <v>58</v>
      </c>
      <c r="AP28" s="95"/>
      <c r="AQ28" s="55">
        <f t="shared" si="18"/>
        <v>3</v>
      </c>
      <c r="AR28" s="57"/>
      <c r="AS28" s="55">
        <v>22</v>
      </c>
      <c r="AT28" s="55">
        <v>25</v>
      </c>
      <c r="AU28" s="55">
        <f t="shared" si="19"/>
        <v>47</v>
      </c>
      <c r="AV28" s="93"/>
      <c r="AW28" s="55">
        <f t="shared" si="20"/>
        <v>5</v>
      </c>
      <c r="AX28" s="53">
        <v>9</v>
      </c>
      <c r="AY28" s="55">
        <v>20</v>
      </c>
      <c r="AZ28" s="56">
        <f t="shared" si="21"/>
        <v>29</v>
      </c>
      <c r="BA28" s="55">
        <v>16</v>
      </c>
      <c r="BB28" s="56">
        <f t="shared" si="22"/>
        <v>45</v>
      </c>
      <c r="BC28" s="91"/>
      <c r="BD28" s="55">
        <f t="shared" si="23"/>
        <v>2</v>
      </c>
      <c r="BE28" s="53">
        <v>5</v>
      </c>
      <c r="BF28" s="55">
        <v>3</v>
      </c>
      <c r="BG28" s="56">
        <f t="shared" si="24"/>
        <v>8</v>
      </c>
      <c r="BH28" s="55">
        <v>13</v>
      </c>
      <c r="BI28" s="55">
        <v>22</v>
      </c>
      <c r="BJ28" s="56">
        <f t="shared" si="25"/>
        <v>43</v>
      </c>
      <c r="BK28" s="93"/>
      <c r="BL28" s="55" t="str">
        <f t="shared" si="26"/>
        <v>F</v>
      </c>
      <c r="BM28" s="53">
        <v>5</v>
      </c>
      <c r="BN28" s="55">
        <v>22</v>
      </c>
      <c r="BO28" s="56">
        <f t="shared" si="27"/>
        <v>27</v>
      </c>
      <c r="BP28" s="55">
        <v>15</v>
      </c>
      <c r="BQ28" s="55">
        <v>22</v>
      </c>
      <c r="BR28" s="56">
        <f t="shared" si="28"/>
        <v>64</v>
      </c>
      <c r="BS28" s="93"/>
      <c r="BT28" s="55">
        <f t="shared" si="29"/>
        <v>3.5</v>
      </c>
      <c r="BU28" s="53">
        <v>5</v>
      </c>
      <c r="BV28" s="55">
        <v>6</v>
      </c>
      <c r="BW28" s="56">
        <f t="shared" si="30"/>
        <v>11</v>
      </c>
      <c r="BX28" s="55">
        <v>12</v>
      </c>
      <c r="BY28" s="55">
        <v>22</v>
      </c>
      <c r="BZ28" s="56">
        <f t="shared" si="31"/>
        <v>45</v>
      </c>
      <c r="CA28" s="93"/>
      <c r="CB28" s="55" t="str">
        <f t="shared" si="32"/>
        <v>F</v>
      </c>
      <c r="CC28" s="53">
        <v>6</v>
      </c>
      <c r="CD28" s="55">
        <v>2</v>
      </c>
      <c r="CE28" s="56">
        <f t="shared" si="33"/>
        <v>8</v>
      </c>
      <c r="CF28" s="55">
        <v>15</v>
      </c>
      <c r="CG28" s="55">
        <v>23</v>
      </c>
      <c r="CH28" s="56">
        <f t="shared" si="34"/>
        <v>46</v>
      </c>
      <c r="CI28" s="93"/>
      <c r="CJ28" s="55" t="str">
        <f t="shared" si="35"/>
        <v>0</v>
      </c>
      <c r="CK28" s="55" t="str">
        <f t="shared" si="36"/>
        <v>F</v>
      </c>
      <c r="CL28" s="58" t="str">
        <f t="shared" si="37"/>
        <v>F</v>
      </c>
      <c r="CM28" s="59" t="str">
        <f t="shared" si="38"/>
        <v>F</v>
      </c>
      <c r="CN28" s="67" t="str">
        <f t="shared" si="39"/>
        <v>NEED TO PROGRESS</v>
      </c>
      <c r="CO28" s="56">
        <f t="shared" si="40"/>
        <v>548</v>
      </c>
      <c r="CP28" s="55" t="s">
        <v>181</v>
      </c>
      <c r="CQ28" s="55"/>
    </row>
    <row r="29" spans="1:95" s="44" customFormat="1" ht="33.75" customHeight="1">
      <c r="A29" s="71">
        <v>20</v>
      </c>
      <c r="B29" s="46">
        <v>79</v>
      </c>
      <c r="C29" s="50" t="s">
        <v>109</v>
      </c>
      <c r="D29" s="50" t="s">
        <v>110</v>
      </c>
      <c r="E29" s="50" t="s">
        <v>111</v>
      </c>
      <c r="F29" s="47" t="s">
        <v>129</v>
      </c>
      <c r="G29" s="52">
        <v>6</v>
      </c>
      <c r="H29" s="55">
        <v>3</v>
      </c>
      <c r="I29" s="56">
        <f t="shared" si="41"/>
        <v>9</v>
      </c>
      <c r="J29" s="55">
        <v>27</v>
      </c>
      <c r="K29" s="56">
        <f t="shared" si="42"/>
        <v>36</v>
      </c>
      <c r="L29" s="53">
        <v>6</v>
      </c>
      <c r="M29" s="55">
        <v>6</v>
      </c>
      <c r="N29" s="56">
        <f t="shared" si="5"/>
        <v>12</v>
      </c>
      <c r="O29" s="55">
        <v>17</v>
      </c>
      <c r="P29" s="56">
        <f t="shared" si="43"/>
        <v>29</v>
      </c>
      <c r="Q29" s="56">
        <f t="shared" si="44"/>
        <v>65</v>
      </c>
      <c r="R29" s="91"/>
      <c r="S29" s="55" t="str">
        <f t="shared" si="7"/>
        <v>F</v>
      </c>
      <c r="T29" s="53">
        <v>16</v>
      </c>
      <c r="U29" s="55">
        <v>11</v>
      </c>
      <c r="V29" s="56">
        <f t="shared" si="8"/>
        <v>27</v>
      </c>
      <c r="W29" s="53">
        <v>8</v>
      </c>
      <c r="X29" s="55">
        <v>9</v>
      </c>
      <c r="Y29" s="56">
        <f t="shared" si="9"/>
        <v>17</v>
      </c>
      <c r="Z29" s="56">
        <f t="shared" si="10"/>
        <v>44</v>
      </c>
      <c r="AA29" s="56">
        <f t="shared" si="11"/>
        <v>44</v>
      </c>
      <c r="AB29" s="91"/>
      <c r="AC29" s="55" t="str">
        <f t="shared" si="12"/>
        <v>F</v>
      </c>
      <c r="AD29" s="53">
        <v>2</v>
      </c>
      <c r="AE29" s="55">
        <v>0</v>
      </c>
      <c r="AF29" s="56">
        <f t="shared" si="13"/>
        <v>2</v>
      </c>
      <c r="AG29" s="55">
        <v>7</v>
      </c>
      <c r="AH29" s="56">
        <f t="shared" si="14"/>
        <v>9</v>
      </c>
      <c r="AI29" s="91"/>
      <c r="AJ29" s="55" t="str">
        <f t="shared" si="15"/>
        <v>F</v>
      </c>
      <c r="AK29" s="54">
        <v>0</v>
      </c>
      <c r="AL29" s="55">
        <v>9</v>
      </c>
      <c r="AM29" s="56">
        <f t="shared" si="16"/>
        <v>9</v>
      </c>
      <c r="AN29" s="55">
        <v>24</v>
      </c>
      <c r="AO29" s="56">
        <f t="shared" si="17"/>
        <v>33</v>
      </c>
      <c r="AP29" s="95"/>
      <c r="AQ29" s="55" t="str">
        <f t="shared" si="18"/>
        <v>F</v>
      </c>
      <c r="AR29" s="57"/>
      <c r="AS29" s="55">
        <v>22</v>
      </c>
      <c r="AT29" s="55">
        <v>25</v>
      </c>
      <c r="AU29" s="55">
        <f t="shared" si="19"/>
        <v>47</v>
      </c>
      <c r="AV29" s="93"/>
      <c r="AW29" s="55">
        <f t="shared" si="20"/>
        <v>5</v>
      </c>
      <c r="AX29" s="54">
        <v>0</v>
      </c>
      <c r="AY29" s="55">
        <v>12</v>
      </c>
      <c r="AZ29" s="56">
        <f t="shared" si="21"/>
        <v>12</v>
      </c>
      <c r="BA29" s="55">
        <v>15</v>
      </c>
      <c r="BB29" s="56">
        <f t="shared" si="22"/>
        <v>27</v>
      </c>
      <c r="BC29" s="91"/>
      <c r="BD29" s="55" t="str">
        <f t="shared" si="23"/>
        <v>F</v>
      </c>
      <c r="BE29" s="53">
        <v>4</v>
      </c>
      <c r="BF29" s="55">
        <v>9</v>
      </c>
      <c r="BG29" s="56">
        <f t="shared" si="24"/>
        <v>13</v>
      </c>
      <c r="BH29" s="55">
        <v>8</v>
      </c>
      <c r="BI29" s="55">
        <v>22</v>
      </c>
      <c r="BJ29" s="56">
        <f t="shared" si="25"/>
        <v>43</v>
      </c>
      <c r="BK29" s="93"/>
      <c r="BL29" s="55" t="str">
        <f t="shared" si="26"/>
        <v>F</v>
      </c>
      <c r="BM29" s="53">
        <v>1</v>
      </c>
      <c r="BN29" s="55">
        <v>0</v>
      </c>
      <c r="BO29" s="56">
        <f t="shared" si="27"/>
        <v>1</v>
      </c>
      <c r="BP29" s="55">
        <v>14</v>
      </c>
      <c r="BQ29" s="55">
        <v>22</v>
      </c>
      <c r="BR29" s="56">
        <f t="shared" si="28"/>
        <v>37</v>
      </c>
      <c r="BS29" s="93"/>
      <c r="BT29" s="55" t="str">
        <f t="shared" si="29"/>
        <v>F</v>
      </c>
      <c r="BU29" s="53">
        <v>4</v>
      </c>
      <c r="BV29" s="55">
        <v>0</v>
      </c>
      <c r="BW29" s="56">
        <f t="shared" si="30"/>
        <v>4</v>
      </c>
      <c r="BX29" s="55">
        <v>0</v>
      </c>
      <c r="BY29" s="55">
        <v>22</v>
      </c>
      <c r="BZ29" s="56">
        <f t="shared" si="31"/>
        <v>26</v>
      </c>
      <c r="CA29" s="93"/>
      <c r="CB29" s="55" t="str">
        <f t="shared" si="32"/>
        <v>F</v>
      </c>
      <c r="CC29" s="53">
        <v>5</v>
      </c>
      <c r="CD29" s="55">
        <v>2</v>
      </c>
      <c r="CE29" s="56">
        <f t="shared" si="33"/>
        <v>7</v>
      </c>
      <c r="CF29" s="55">
        <v>17</v>
      </c>
      <c r="CG29" s="55">
        <v>23</v>
      </c>
      <c r="CH29" s="56">
        <f t="shared" si="34"/>
        <v>47</v>
      </c>
      <c r="CI29" s="93"/>
      <c r="CJ29" s="55" t="str">
        <f t="shared" si="35"/>
        <v>0</v>
      </c>
      <c r="CK29" s="55" t="str">
        <f t="shared" si="36"/>
        <v>F</v>
      </c>
      <c r="CL29" s="58" t="str">
        <f t="shared" si="37"/>
        <v>F</v>
      </c>
      <c r="CM29" s="59" t="str">
        <f t="shared" si="38"/>
        <v>F</v>
      </c>
      <c r="CN29" s="67" t="str">
        <f t="shared" si="39"/>
        <v>NEED TO PROGRESS</v>
      </c>
      <c r="CO29" s="56">
        <f t="shared" si="40"/>
        <v>378</v>
      </c>
      <c r="CP29" s="55" t="s">
        <v>170</v>
      </c>
      <c r="CQ29" s="55"/>
    </row>
    <row r="30" spans="1:95" s="44" customFormat="1" ht="33.75" customHeight="1">
      <c r="A30" s="71">
        <v>21</v>
      </c>
      <c r="B30" s="47">
        <v>81</v>
      </c>
      <c r="C30" s="51" t="s">
        <v>112</v>
      </c>
      <c r="D30" s="51" t="s">
        <v>113</v>
      </c>
      <c r="E30" s="51" t="s">
        <v>114</v>
      </c>
      <c r="F30" s="47" t="s">
        <v>130</v>
      </c>
      <c r="G30" s="52">
        <v>14</v>
      </c>
      <c r="H30" s="55">
        <v>24</v>
      </c>
      <c r="I30" s="56">
        <f t="shared" ref="I30:I33" si="45">H30+G30</f>
        <v>38</v>
      </c>
      <c r="J30" s="55">
        <v>17</v>
      </c>
      <c r="K30" s="56">
        <f t="shared" ref="K30:K32" si="46">I30+J30</f>
        <v>55</v>
      </c>
      <c r="L30" s="53">
        <v>18</v>
      </c>
      <c r="M30" s="55">
        <v>32</v>
      </c>
      <c r="N30" s="56">
        <f t="shared" ref="N30:N32" si="47">M30+L30</f>
        <v>50</v>
      </c>
      <c r="O30" s="55">
        <v>23</v>
      </c>
      <c r="P30" s="56">
        <f t="shared" ref="P30:P32" si="48">N30+O30</f>
        <v>73</v>
      </c>
      <c r="Q30" s="56">
        <f t="shared" ref="Q30:Q32" si="49">K30+P30</f>
        <v>128</v>
      </c>
      <c r="R30" s="91"/>
      <c r="S30" s="55">
        <f t="shared" ref="S30:S33" si="50">IF(I30+N30&lt;=56,"F",IF(J30+O30&lt;=24,"F",IF(Q30&lt;80,"F",IF(Q30&lt;100,2,IF(Q30&lt;120,3,IF(Q30&lt;140,3.5,IF(Q30&lt;160,4,5)))))))</f>
        <v>3.5</v>
      </c>
      <c r="T30" s="53">
        <v>19</v>
      </c>
      <c r="U30" s="55">
        <v>45</v>
      </c>
      <c r="V30" s="56">
        <f t="shared" ref="V30:V32" si="51">U30+T30</f>
        <v>64</v>
      </c>
      <c r="W30" s="53">
        <v>9</v>
      </c>
      <c r="X30" s="55">
        <v>40</v>
      </c>
      <c r="Y30" s="56">
        <f t="shared" ref="Y30:Y32" si="52">X30+W30</f>
        <v>49</v>
      </c>
      <c r="Z30" s="56">
        <f t="shared" ref="Z30:Z32" si="53">V30+Y30</f>
        <v>113</v>
      </c>
      <c r="AA30" s="56">
        <f t="shared" ref="AA30:AA32" si="54">Z30</f>
        <v>113</v>
      </c>
      <c r="AB30" s="91"/>
      <c r="AC30" s="55">
        <f t="shared" ref="AC30:AC33" si="55">IF(V30+Y30&lt;80,"F",IF(AA30&lt;100,2,IF(AA30&lt;120,3,IF(AA30&lt;140,3.5,IF(AA30&lt;160,4,5)))))</f>
        <v>3</v>
      </c>
      <c r="AD30" s="53">
        <v>12</v>
      </c>
      <c r="AE30" s="55">
        <v>20</v>
      </c>
      <c r="AF30" s="56">
        <f t="shared" ref="AF30:AF32" si="56">AE30+AD30</f>
        <v>32</v>
      </c>
      <c r="AG30" s="55">
        <v>12</v>
      </c>
      <c r="AH30" s="56">
        <f t="shared" ref="AH30:AH32" si="57">AF30+AG30</f>
        <v>44</v>
      </c>
      <c r="AI30" s="91"/>
      <c r="AJ30" s="55">
        <f t="shared" ref="AJ30:AJ33" si="58">IF(AF30&lt;28,"F",IF(AG30&lt;12,"F",IF(AH30&lt;40,"F",IF(AH30&lt;50,2,IF(AH30&lt;60,3,IF(AH30&lt;70,3.5,IF(AH30&lt;80,4,5)))))))</f>
        <v>2</v>
      </c>
      <c r="AK30" s="53">
        <v>16</v>
      </c>
      <c r="AL30" s="55">
        <v>27</v>
      </c>
      <c r="AM30" s="56">
        <f t="shared" ref="AM30:AM32" si="59">AL30+AK30</f>
        <v>43</v>
      </c>
      <c r="AN30" s="55">
        <v>20</v>
      </c>
      <c r="AO30" s="56">
        <f t="shared" ref="AO30:AO32" si="60">+AM30+AN30</f>
        <v>63</v>
      </c>
      <c r="AP30" s="95"/>
      <c r="AQ30" s="55">
        <f t="shared" ref="AQ30:AQ32" si="61">IF(AM30&lt;28,"F",IF(AN30&lt;12,"F",IF(AO30&lt;40,"F",IF(AO30&lt;50,2,IF(AO30&lt;60,3,IF(AO30&lt;70,3.5,IF(AO30&lt;80,4,5)))))))</f>
        <v>3.5</v>
      </c>
      <c r="AR30" s="57"/>
      <c r="AS30" s="55">
        <v>22</v>
      </c>
      <c r="AT30" s="55">
        <v>25</v>
      </c>
      <c r="AU30" s="55">
        <f t="shared" ref="AU30:AU32" si="62">AR30+AS30+AT30</f>
        <v>47</v>
      </c>
      <c r="AV30" s="93"/>
      <c r="AW30" s="55">
        <f t="shared" ref="AW30:AW33" si="63">IF(AS30&lt;10,"F",IF(AT30&lt;10,"F",IF(AU30&lt;20,"F",IF(AU30&lt;25,2,IF(AU30&lt;30,3,IF(AU30&lt;35,3.5,IF(AU30&lt;40,4,5)))))))</f>
        <v>5</v>
      </c>
      <c r="AX30" s="53">
        <v>11</v>
      </c>
      <c r="AY30" s="55">
        <v>22</v>
      </c>
      <c r="AZ30" s="56">
        <f t="shared" ref="AZ30:AZ32" si="64">AY30+AX30</f>
        <v>33</v>
      </c>
      <c r="BA30" s="55">
        <v>20</v>
      </c>
      <c r="BB30" s="56">
        <f t="shared" ref="BB30:BB32" si="65">AZ30+BA30</f>
        <v>53</v>
      </c>
      <c r="BC30" s="91"/>
      <c r="BD30" s="55">
        <f t="shared" ref="BD30:BD33" si="66">IF(AZ30&lt;28,"F",IF(BA30&lt;12,"F",IF(BB30&lt;40,"F",IF(BB30&lt;50,2,IF(BB30&lt;60,3,IF(BB30&lt;70,3.5,IF(BB30&lt;80,4,5)))))))</f>
        <v>3</v>
      </c>
      <c r="BE30" s="53">
        <v>7</v>
      </c>
      <c r="BF30" s="55">
        <v>16</v>
      </c>
      <c r="BG30" s="56">
        <f t="shared" ref="BG30:BG32" si="67">BF30+BE30</f>
        <v>23</v>
      </c>
      <c r="BH30" s="55">
        <v>10</v>
      </c>
      <c r="BI30" s="55">
        <v>22</v>
      </c>
      <c r="BJ30" s="56">
        <f t="shared" ref="BJ30:BJ32" si="68">BG30+BH30+BI30</f>
        <v>55</v>
      </c>
      <c r="BK30" s="93"/>
      <c r="BL30" s="55">
        <f t="shared" ref="BL30:BL33" si="69">IF(BG30&lt;20,"F",IF(BH30&lt;10,"F",IF(BI30&lt;10,"F",IF(BJ30&lt;40,"F",IF(BJ30&lt;50,2,IF(BJ30&lt;60,3,IF(BJ30&lt;70,3.5,IF(BJ30&lt;80,4,5))))))))</f>
        <v>3</v>
      </c>
      <c r="BM30" s="53">
        <v>5</v>
      </c>
      <c r="BN30" s="55">
        <v>18</v>
      </c>
      <c r="BO30" s="56">
        <f t="shared" ref="BO30:BO32" si="70">BN30+BM30</f>
        <v>23</v>
      </c>
      <c r="BP30" s="55">
        <v>11</v>
      </c>
      <c r="BQ30" s="55">
        <v>22</v>
      </c>
      <c r="BR30" s="56">
        <f t="shared" ref="BR30:BR32" si="71">BO30+BP30+BQ30</f>
        <v>56</v>
      </c>
      <c r="BS30" s="93"/>
      <c r="BT30" s="55">
        <f t="shared" ref="BT30:BT33" si="72">IF(BO30&lt;20,"F",IF(BP30&lt;10,"F",IF(BQ30&lt;10,"F",IF(BR30&lt;40,"F",IF(BR30&lt;50,2,IF(BR30&lt;60,3,IF(BR30&lt;70,3.5,IF(BR30&lt;80,4,5))))))))</f>
        <v>3</v>
      </c>
      <c r="BU30" s="53">
        <v>7</v>
      </c>
      <c r="BV30" s="55">
        <v>22</v>
      </c>
      <c r="BW30" s="56">
        <f t="shared" ref="BW30:BW32" si="73">BV30+BU30</f>
        <v>29</v>
      </c>
      <c r="BX30" s="55">
        <v>10</v>
      </c>
      <c r="BY30" s="55">
        <v>22</v>
      </c>
      <c r="BZ30" s="56">
        <f t="shared" ref="BZ30:BZ32" si="74">BW30+BX30+BY30</f>
        <v>61</v>
      </c>
      <c r="CA30" s="93"/>
      <c r="CB30" s="55">
        <f t="shared" ref="CB30:CB33" si="75">IF(BW30&lt;20,"F",IF(BX30&lt;10,"F",IF(BY30&lt;10,"F",IF(BZ30&lt;40,"F",IF(BZ30&lt;50,2,IF(BZ30&lt;60,3,IF(BZ30&lt;70,3.5,IF(BZ30&lt;80,4,5))))))))</f>
        <v>3.5</v>
      </c>
      <c r="CC30" s="53">
        <v>4</v>
      </c>
      <c r="CD30" s="55">
        <v>9</v>
      </c>
      <c r="CE30" s="56">
        <f t="shared" ref="CE30:CE32" si="76">CD30+CC30</f>
        <v>13</v>
      </c>
      <c r="CF30" s="55">
        <v>11</v>
      </c>
      <c r="CG30" s="55">
        <v>23</v>
      </c>
      <c r="CH30" s="56">
        <f t="shared" ref="CH30:CH32" si="77">CE30+CF30+CG30</f>
        <v>47</v>
      </c>
      <c r="CI30" s="93"/>
      <c r="CJ30" s="55" t="str">
        <f t="shared" ref="CJ30:CJ32" si="78">IF(CE30&lt;20,"0",IF(CF30&lt;10,"0",IF(CG30&lt;10,"0",IF(CH30&lt;40,"F",IF(CH30&lt;50,2,IF(CH30&lt;60,3,IF(CH30&lt;70,3.5,IF(CH30&lt;80,4,5))))))))</f>
        <v>0</v>
      </c>
      <c r="CK30" s="55">
        <f t="shared" ref="CK30:CK32" si="79">IF(S30="F","F",IF(AC30="F","F",IF(AJ30="F","F",IF(AQ30="F","F",IF(BD30="F","F",IF(BL30="F","F",IF(BT30="F","F",IF(CB30="F","F",IF(CJ30="F","F",IF(AW30="F","F", IF(CJ30&lt;=2,SUM(S30,AC30,AJ30,AQ30,AW30,BD30,BL30,BT30,CB30,CJ30),IF(CJ30&gt;=2,SUM(S30,AC30,AJ30,AQ30,BD30,BL30,AW30,BT30,CB30,CJ30-2)))))))))))))</f>
        <v>27.5</v>
      </c>
      <c r="CL30" s="58">
        <f t="shared" ref="CL30:CL32" si="80">IF(CK30="F","F",IF(CK30&gt;=45,5,IF(CK30&lt;45,CK30/9)))</f>
        <v>3.0555555555555554</v>
      </c>
      <c r="CM30" s="59" t="str">
        <f t="shared" ref="CM30:CM32" si="81">IF(CL30="F","F",IF(CL30&lt;2.5,"D",IF(CL30&lt;3,"C",IF(CL30&lt;3.5,"B",IF(CL30&lt;4,"A-",IF(CL30&lt;5,"A","A+"))))))</f>
        <v>B</v>
      </c>
      <c r="CN30" s="67" t="str">
        <f t="shared" ref="CN30:CN32" si="82">IF(CL30="F","NEED TO PROGRESS",IF(CL30&gt;=5,"BEST",IF(CL30&gt;=4,"BETTER",IF(CL30&gt;=2,"GOOD"))))</f>
        <v>GOOD</v>
      </c>
      <c r="CO30" s="56">
        <f t="shared" ref="CO30:CO32" si="83">Q30+AA30+AH30+AO30+AU30+BB30+BJ30+BR30+BZ30+CH30</f>
        <v>667</v>
      </c>
      <c r="CP30" s="55" t="s">
        <v>182</v>
      </c>
      <c r="CQ30" s="55"/>
    </row>
    <row r="31" spans="1:95" s="44" customFormat="1" ht="33.75" customHeight="1">
      <c r="A31" s="71">
        <v>22</v>
      </c>
      <c r="B31" s="47">
        <v>85</v>
      </c>
      <c r="C31" s="50" t="s">
        <v>115</v>
      </c>
      <c r="D31" s="51" t="s">
        <v>116</v>
      </c>
      <c r="E31" s="50" t="s">
        <v>117</v>
      </c>
      <c r="F31" s="47" t="s">
        <v>131</v>
      </c>
      <c r="G31" s="52">
        <v>12</v>
      </c>
      <c r="H31" s="55">
        <v>21</v>
      </c>
      <c r="I31" s="56">
        <f t="shared" si="45"/>
        <v>33</v>
      </c>
      <c r="J31" s="55">
        <v>21</v>
      </c>
      <c r="K31" s="56">
        <f t="shared" si="46"/>
        <v>54</v>
      </c>
      <c r="L31" s="53">
        <v>16</v>
      </c>
      <c r="M31" s="55">
        <v>21</v>
      </c>
      <c r="N31" s="56">
        <f t="shared" si="47"/>
        <v>37</v>
      </c>
      <c r="O31" s="55">
        <v>22</v>
      </c>
      <c r="P31" s="56">
        <f t="shared" si="48"/>
        <v>59</v>
      </c>
      <c r="Q31" s="56">
        <f t="shared" si="49"/>
        <v>113</v>
      </c>
      <c r="R31" s="91"/>
      <c r="S31" s="55">
        <f t="shared" si="50"/>
        <v>3</v>
      </c>
      <c r="T31" s="53">
        <v>19</v>
      </c>
      <c r="U31" s="55">
        <v>51</v>
      </c>
      <c r="V31" s="56">
        <f t="shared" si="51"/>
        <v>70</v>
      </c>
      <c r="W31" s="53">
        <v>18</v>
      </c>
      <c r="X31" s="55">
        <v>54</v>
      </c>
      <c r="Y31" s="56">
        <f t="shared" si="52"/>
        <v>72</v>
      </c>
      <c r="Z31" s="56">
        <f t="shared" si="53"/>
        <v>142</v>
      </c>
      <c r="AA31" s="56">
        <f t="shared" si="54"/>
        <v>142</v>
      </c>
      <c r="AB31" s="91"/>
      <c r="AC31" s="55">
        <f t="shared" si="55"/>
        <v>4</v>
      </c>
      <c r="AD31" s="53">
        <v>12</v>
      </c>
      <c r="AE31" s="55">
        <v>34</v>
      </c>
      <c r="AF31" s="56">
        <f t="shared" si="56"/>
        <v>46</v>
      </c>
      <c r="AG31" s="55">
        <v>12</v>
      </c>
      <c r="AH31" s="56">
        <f t="shared" si="57"/>
        <v>58</v>
      </c>
      <c r="AI31" s="91"/>
      <c r="AJ31" s="55">
        <f t="shared" si="58"/>
        <v>3</v>
      </c>
      <c r="AK31" s="53">
        <v>16</v>
      </c>
      <c r="AL31" s="55">
        <v>34</v>
      </c>
      <c r="AM31" s="56">
        <f t="shared" si="59"/>
        <v>50</v>
      </c>
      <c r="AN31" s="55">
        <v>21</v>
      </c>
      <c r="AO31" s="56">
        <f t="shared" si="60"/>
        <v>71</v>
      </c>
      <c r="AP31" s="95"/>
      <c r="AQ31" s="55">
        <f t="shared" si="61"/>
        <v>4</v>
      </c>
      <c r="AR31" s="57"/>
      <c r="AS31" s="55">
        <v>22</v>
      </c>
      <c r="AT31" s="55">
        <v>25</v>
      </c>
      <c r="AU31" s="55">
        <f t="shared" si="62"/>
        <v>47</v>
      </c>
      <c r="AV31" s="93"/>
      <c r="AW31" s="55">
        <f t="shared" si="63"/>
        <v>5</v>
      </c>
      <c r="AX31" s="53">
        <v>12</v>
      </c>
      <c r="AY31" s="55">
        <v>27</v>
      </c>
      <c r="AZ31" s="56">
        <f t="shared" si="64"/>
        <v>39</v>
      </c>
      <c r="BA31" s="55">
        <v>23</v>
      </c>
      <c r="BB31" s="56">
        <f t="shared" si="65"/>
        <v>62</v>
      </c>
      <c r="BC31" s="91"/>
      <c r="BD31" s="55">
        <f t="shared" si="66"/>
        <v>3.5</v>
      </c>
      <c r="BE31" s="53">
        <v>8</v>
      </c>
      <c r="BF31" s="55">
        <v>16</v>
      </c>
      <c r="BG31" s="56">
        <f t="shared" si="67"/>
        <v>24</v>
      </c>
      <c r="BH31" s="55">
        <v>12</v>
      </c>
      <c r="BI31" s="55">
        <v>22</v>
      </c>
      <c r="BJ31" s="56">
        <f t="shared" si="68"/>
        <v>58</v>
      </c>
      <c r="BK31" s="93"/>
      <c r="BL31" s="55">
        <f t="shared" si="69"/>
        <v>3</v>
      </c>
      <c r="BM31" s="53">
        <v>7</v>
      </c>
      <c r="BN31" s="55">
        <v>24</v>
      </c>
      <c r="BO31" s="56">
        <f t="shared" si="70"/>
        <v>31</v>
      </c>
      <c r="BP31" s="55">
        <v>13</v>
      </c>
      <c r="BQ31" s="55">
        <v>22</v>
      </c>
      <c r="BR31" s="56">
        <f t="shared" si="71"/>
        <v>66</v>
      </c>
      <c r="BS31" s="93"/>
      <c r="BT31" s="55">
        <f t="shared" si="72"/>
        <v>3.5</v>
      </c>
      <c r="BU31" s="53">
        <v>6</v>
      </c>
      <c r="BV31" s="55">
        <v>26</v>
      </c>
      <c r="BW31" s="56">
        <f t="shared" si="73"/>
        <v>32</v>
      </c>
      <c r="BX31" s="55">
        <v>10</v>
      </c>
      <c r="BY31" s="55">
        <v>22</v>
      </c>
      <c r="BZ31" s="56">
        <f t="shared" si="74"/>
        <v>64</v>
      </c>
      <c r="CA31" s="93"/>
      <c r="CB31" s="55">
        <f t="shared" si="75"/>
        <v>3.5</v>
      </c>
      <c r="CC31" s="53">
        <v>7</v>
      </c>
      <c r="CD31" s="55">
        <v>14</v>
      </c>
      <c r="CE31" s="56">
        <f t="shared" si="76"/>
        <v>21</v>
      </c>
      <c r="CF31" s="55">
        <v>10</v>
      </c>
      <c r="CG31" s="55">
        <v>23</v>
      </c>
      <c r="CH31" s="56">
        <f t="shared" si="77"/>
        <v>54</v>
      </c>
      <c r="CI31" s="93"/>
      <c r="CJ31" s="55">
        <f t="shared" si="78"/>
        <v>3</v>
      </c>
      <c r="CK31" s="55">
        <f t="shared" si="79"/>
        <v>33.5</v>
      </c>
      <c r="CL31" s="58">
        <f t="shared" si="80"/>
        <v>3.7222222222222223</v>
      </c>
      <c r="CM31" s="59" t="str">
        <f t="shared" si="81"/>
        <v>A-</v>
      </c>
      <c r="CN31" s="67" t="str">
        <f t="shared" si="82"/>
        <v>GOOD</v>
      </c>
      <c r="CO31" s="56">
        <f t="shared" si="83"/>
        <v>735</v>
      </c>
      <c r="CP31" s="55" t="s">
        <v>183</v>
      </c>
      <c r="CQ31" s="55"/>
    </row>
    <row r="32" spans="1:95" s="44" customFormat="1" ht="28.5" customHeight="1">
      <c r="A32" s="71">
        <v>23</v>
      </c>
      <c r="B32" s="47">
        <v>87</v>
      </c>
      <c r="C32" s="50" t="s">
        <v>98</v>
      </c>
      <c r="D32" s="51"/>
      <c r="E32" s="50"/>
      <c r="F32" s="47"/>
      <c r="G32" s="52">
        <v>14</v>
      </c>
      <c r="H32" s="60">
        <v>20</v>
      </c>
      <c r="I32" s="56">
        <f t="shared" si="45"/>
        <v>34</v>
      </c>
      <c r="J32" s="55">
        <v>24</v>
      </c>
      <c r="K32" s="56">
        <f t="shared" si="46"/>
        <v>58</v>
      </c>
      <c r="L32" s="53">
        <v>16</v>
      </c>
      <c r="M32" s="55">
        <v>21</v>
      </c>
      <c r="N32" s="56">
        <f t="shared" si="47"/>
        <v>37</v>
      </c>
      <c r="O32" s="55">
        <v>12</v>
      </c>
      <c r="P32" s="56">
        <f t="shared" si="48"/>
        <v>49</v>
      </c>
      <c r="Q32" s="56">
        <f t="shared" si="49"/>
        <v>107</v>
      </c>
      <c r="R32" s="91"/>
      <c r="S32" s="55">
        <f t="shared" si="50"/>
        <v>3</v>
      </c>
      <c r="T32" s="53">
        <v>16</v>
      </c>
      <c r="U32" s="55">
        <v>28</v>
      </c>
      <c r="V32" s="56">
        <f t="shared" si="51"/>
        <v>44</v>
      </c>
      <c r="W32" s="53">
        <v>15</v>
      </c>
      <c r="X32" s="55">
        <v>28</v>
      </c>
      <c r="Y32" s="56">
        <f t="shared" si="52"/>
        <v>43</v>
      </c>
      <c r="Z32" s="56">
        <f t="shared" si="53"/>
        <v>87</v>
      </c>
      <c r="AA32" s="56">
        <f t="shared" si="54"/>
        <v>87</v>
      </c>
      <c r="AB32" s="91"/>
      <c r="AC32" s="55">
        <f t="shared" si="55"/>
        <v>2</v>
      </c>
      <c r="AD32" s="53">
        <v>8</v>
      </c>
      <c r="AE32" s="55">
        <v>5</v>
      </c>
      <c r="AF32" s="56">
        <f t="shared" si="56"/>
        <v>13</v>
      </c>
      <c r="AG32" s="55">
        <v>12</v>
      </c>
      <c r="AH32" s="56">
        <f t="shared" si="57"/>
        <v>25</v>
      </c>
      <c r="AI32" s="91"/>
      <c r="AJ32" s="55" t="str">
        <f t="shared" si="58"/>
        <v>F</v>
      </c>
      <c r="AK32" s="53">
        <v>15</v>
      </c>
      <c r="AL32" s="55">
        <v>25</v>
      </c>
      <c r="AM32" s="56">
        <f t="shared" si="59"/>
        <v>40</v>
      </c>
      <c r="AN32" s="55">
        <v>20</v>
      </c>
      <c r="AO32" s="56">
        <f t="shared" si="60"/>
        <v>60</v>
      </c>
      <c r="AP32" s="95"/>
      <c r="AQ32" s="55">
        <f t="shared" si="61"/>
        <v>3.5</v>
      </c>
      <c r="AR32" s="57"/>
      <c r="AS32" s="55">
        <v>22</v>
      </c>
      <c r="AT32" s="55">
        <v>25</v>
      </c>
      <c r="AU32" s="55">
        <f t="shared" si="62"/>
        <v>47</v>
      </c>
      <c r="AV32" s="93"/>
      <c r="AW32" s="55">
        <f t="shared" si="63"/>
        <v>5</v>
      </c>
      <c r="AX32" s="53">
        <v>12</v>
      </c>
      <c r="AY32" s="55">
        <v>20</v>
      </c>
      <c r="AZ32" s="56">
        <f t="shared" si="64"/>
        <v>32</v>
      </c>
      <c r="BA32" s="55">
        <v>17</v>
      </c>
      <c r="BB32" s="56">
        <f t="shared" si="65"/>
        <v>49</v>
      </c>
      <c r="BC32" s="91"/>
      <c r="BD32" s="55">
        <f t="shared" si="66"/>
        <v>2</v>
      </c>
      <c r="BE32" s="53">
        <v>6</v>
      </c>
      <c r="BF32" s="55">
        <v>6</v>
      </c>
      <c r="BG32" s="56">
        <f t="shared" si="67"/>
        <v>12</v>
      </c>
      <c r="BH32" s="55">
        <v>10</v>
      </c>
      <c r="BI32" s="55">
        <v>22</v>
      </c>
      <c r="BJ32" s="56">
        <f t="shared" si="68"/>
        <v>44</v>
      </c>
      <c r="BK32" s="93"/>
      <c r="BL32" s="55" t="str">
        <f t="shared" si="69"/>
        <v>F</v>
      </c>
      <c r="BM32" s="53">
        <v>5</v>
      </c>
      <c r="BN32" s="55">
        <v>24</v>
      </c>
      <c r="BO32" s="56">
        <f t="shared" si="70"/>
        <v>29</v>
      </c>
      <c r="BP32" s="55">
        <v>12</v>
      </c>
      <c r="BQ32" s="55">
        <v>22</v>
      </c>
      <c r="BR32" s="56">
        <f t="shared" si="71"/>
        <v>63</v>
      </c>
      <c r="BS32" s="93"/>
      <c r="BT32" s="55">
        <f t="shared" si="72"/>
        <v>3.5</v>
      </c>
      <c r="BU32" s="53">
        <v>6</v>
      </c>
      <c r="BV32" s="55">
        <v>14</v>
      </c>
      <c r="BW32" s="56">
        <f t="shared" si="73"/>
        <v>20</v>
      </c>
      <c r="BX32" s="55">
        <v>12</v>
      </c>
      <c r="BY32" s="55">
        <v>22</v>
      </c>
      <c r="BZ32" s="56">
        <f t="shared" si="74"/>
        <v>54</v>
      </c>
      <c r="CA32" s="93"/>
      <c r="CB32" s="55">
        <f t="shared" si="75"/>
        <v>3</v>
      </c>
      <c r="CC32" s="53">
        <v>7</v>
      </c>
      <c r="CD32" s="55">
        <v>8</v>
      </c>
      <c r="CE32" s="56">
        <f t="shared" si="76"/>
        <v>15</v>
      </c>
      <c r="CF32" s="55">
        <v>13</v>
      </c>
      <c r="CG32" s="55">
        <v>23</v>
      </c>
      <c r="CH32" s="56">
        <f t="shared" si="77"/>
        <v>51</v>
      </c>
      <c r="CI32" s="93"/>
      <c r="CJ32" s="55" t="str">
        <f t="shared" si="78"/>
        <v>0</v>
      </c>
      <c r="CK32" s="55" t="str">
        <f t="shared" si="79"/>
        <v>F</v>
      </c>
      <c r="CL32" s="58" t="str">
        <f t="shared" si="80"/>
        <v>F</v>
      </c>
      <c r="CM32" s="59" t="str">
        <f t="shared" si="81"/>
        <v>F</v>
      </c>
      <c r="CN32" s="67" t="str">
        <f t="shared" si="82"/>
        <v>NEED TO PROGRESS</v>
      </c>
      <c r="CO32" s="56">
        <f t="shared" si="83"/>
        <v>587</v>
      </c>
      <c r="CP32" s="60" t="s">
        <v>169</v>
      </c>
      <c r="CQ32" s="60"/>
    </row>
    <row r="33" spans="1:95" s="10" customFormat="1" ht="33" customHeight="1">
      <c r="A33" s="71">
        <v>24</v>
      </c>
      <c r="B33" s="47">
        <v>88</v>
      </c>
      <c r="C33" s="50" t="s">
        <v>167</v>
      </c>
      <c r="D33" s="51"/>
      <c r="E33" s="50"/>
      <c r="F33" s="47"/>
      <c r="G33" s="52">
        <v>10</v>
      </c>
      <c r="H33" s="60">
        <v>24</v>
      </c>
      <c r="I33" s="56">
        <f t="shared" si="45"/>
        <v>34</v>
      </c>
      <c r="J33" s="55">
        <v>22</v>
      </c>
      <c r="K33" s="56">
        <f t="shared" ref="K33" si="84">I33+J33</f>
        <v>56</v>
      </c>
      <c r="L33" s="53">
        <v>16</v>
      </c>
      <c r="M33" s="55">
        <v>27</v>
      </c>
      <c r="N33" s="56">
        <f t="shared" ref="N33" si="85">M33+L33</f>
        <v>43</v>
      </c>
      <c r="O33" s="55">
        <v>20</v>
      </c>
      <c r="P33" s="56">
        <f t="shared" ref="P33" si="86">N33+O33</f>
        <v>63</v>
      </c>
      <c r="Q33" s="56">
        <f t="shared" ref="Q33" si="87">K33+P33</f>
        <v>119</v>
      </c>
      <c r="R33" s="92"/>
      <c r="S33" s="55">
        <f t="shared" si="50"/>
        <v>3</v>
      </c>
      <c r="T33" s="53">
        <v>18</v>
      </c>
      <c r="U33" s="55">
        <v>44</v>
      </c>
      <c r="V33" s="56">
        <f t="shared" ref="V33" si="88">U33+T33</f>
        <v>62</v>
      </c>
      <c r="W33" s="53">
        <v>17</v>
      </c>
      <c r="X33" s="55">
        <v>48</v>
      </c>
      <c r="Y33" s="56">
        <f t="shared" ref="Y33" si="89">X33+W33</f>
        <v>65</v>
      </c>
      <c r="Z33" s="56">
        <f t="shared" ref="Z33" si="90">V33+Y33</f>
        <v>127</v>
      </c>
      <c r="AA33" s="56">
        <f t="shared" ref="AA33" si="91">Z33</f>
        <v>127</v>
      </c>
      <c r="AB33" s="92"/>
      <c r="AC33" s="55">
        <f t="shared" si="55"/>
        <v>3.5</v>
      </c>
      <c r="AD33" s="53">
        <v>5</v>
      </c>
      <c r="AE33" s="55">
        <v>25</v>
      </c>
      <c r="AF33" s="56">
        <f t="shared" ref="AF33" si="92">AE33+AD33</f>
        <v>30</v>
      </c>
      <c r="AG33" s="55">
        <v>12</v>
      </c>
      <c r="AH33" s="56">
        <f t="shared" ref="AH33" si="93">AF33+AG33</f>
        <v>42</v>
      </c>
      <c r="AI33" s="92"/>
      <c r="AJ33" s="55">
        <f t="shared" si="58"/>
        <v>2</v>
      </c>
      <c r="AK33" s="53">
        <v>14</v>
      </c>
      <c r="AL33" s="55">
        <v>31</v>
      </c>
      <c r="AM33" s="56">
        <f t="shared" ref="AM33" si="94">AL33+AK33</f>
        <v>45</v>
      </c>
      <c r="AN33" s="55">
        <v>18</v>
      </c>
      <c r="AO33" s="56">
        <f t="shared" ref="AO33" si="95">+AM33+AN33</f>
        <v>63</v>
      </c>
      <c r="AP33" s="96"/>
      <c r="AQ33" s="55">
        <f t="shared" ref="AQ33" si="96">IF(AM33&lt;28,"F",IF(AN33&lt;12,"F",IF(AO33&lt;40,"F",IF(AO33&lt;50,2,IF(AO33&lt;60,3,IF(AO33&lt;70,3.5,IF(AO33&lt;80,4,5)))))))</f>
        <v>3.5</v>
      </c>
      <c r="AR33" s="57"/>
      <c r="AS33" s="55">
        <v>22</v>
      </c>
      <c r="AT33" s="55">
        <v>25</v>
      </c>
      <c r="AU33" s="55">
        <f t="shared" ref="AU33" si="97">AR33+AS33+AT33</f>
        <v>47</v>
      </c>
      <c r="AV33" s="92"/>
      <c r="AW33" s="55">
        <f t="shared" si="63"/>
        <v>5</v>
      </c>
      <c r="AX33" s="53">
        <v>13</v>
      </c>
      <c r="AY33" s="55">
        <v>29</v>
      </c>
      <c r="AZ33" s="56">
        <f t="shared" ref="AZ33" si="98">AY33+AX33</f>
        <v>42</v>
      </c>
      <c r="BA33" s="55">
        <v>18</v>
      </c>
      <c r="BB33" s="56">
        <f t="shared" ref="BB33" si="99">AZ33+BA33</f>
        <v>60</v>
      </c>
      <c r="BC33" s="92"/>
      <c r="BD33" s="55">
        <f t="shared" si="66"/>
        <v>3.5</v>
      </c>
      <c r="BE33" s="53">
        <v>7</v>
      </c>
      <c r="BF33" s="55">
        <v>2</v>
      </c>
      <c r="BG33" s="56">
        <f t="shared" ref="BG33" si="100">BF33+BE33</f>
        <v>9</v>
      </c>
      <c r="BH33" s="55">
        <v>10</v>
      </c>
      <c r="BI33" s="55">
        <v>22</v>
      </c>
      <c r="BJ33" s="56">
        <f t="shared" ref="BJ33" si="101">BG33+BH33+BI33</f>
        <v>41</v>
      </c>
      <c r="BK33" s="92"/>
      <c r="BL33" s="55" t="str">
        <f t="shared" si="69"/>
        <v>F</v>
      </c>
      <c r="BM33" s="53">
        <v>5</v>
      </c>
      <c r="BN33" s="55">
        <v>24</v>
      </c>
      <c r="BO33" s="56">
        <f t="shared" ref="BO33" si="102">BN33+BM33</f>
        <v>29</v>
      </c>
      <c r="BP33" s="55">
        <v>14</v>
      </c>
      <c r="BQ33" s="55">
        <v>22</v>
      </c>
      <c r="BR33" s="56">
        <f t="shared" ref="BR33" si="103">BO33+BP33+BQ33</f>
        <v>65</v>
      </c>
      <c r="BS33" s="92"/>
      <c r="BT33" s="55">
        <f t="shared" si="72"/>
        <v>3.5</v>
      </c>
      <c r="BU33" s="53">
        <v>0</v>
      </c>
      <c r="BV33" s="55">
        <v>22</v>
      </c>
      <c r="BW33" s="56">
        <f t="shared" ref="BW33" si="104">BV33+BU33</f>
        <v>22</v>
      </c>
      <c r="BX33" s="55">
        <v>12</v>
      </c>
      <c r="BY33" s="55">
        <v>22</v>
      </c>
      <c r="BZ33" s="56">
        <f t="shared" ref="BZ33" si="105">BW33+BX33+BY33</f>
        <v>56</v>
      </c>
      <c r="CA33" s="92"/>
      <c r="CB33" s="55">
        <f t="shared" si="75"/>
        <v>3</v>
      </c>
      <c r="CC33" s="53">
        <v>9</v>
      </c>
      <c r="CD33" s="55">
        <v>9</v>
      </c>
      <c r="CE33" s="56">
        <f t="shared" ref="CE33" si="106">CD33+CC33</f>
        <v>18</v>
      </c>
      <c r="CF33" s="55">
        <v>10</v>
      </c>
      <c r="CG33" s="55">
        <v>23</v>
      </c>
      <c r="CH33" s="56">
        <f t="shared" ref="CH33" si="107">CE33+CF33+CG33</f>
        <v>51</v>
      </c>
      <c r="CI33" s="92"/>
      <c r="CJ33" s="55" t="str">
        <f t="shared" ref="CJ33" si="108">IF(CE33&lt;20,"0",IF(CF33&lt;10,"0",IF(CG33&lt;10,"0",IF(CH33&lt;40,"F",IF(CH33&lt;50,2,IF(CH33&lt;60,3,IF(CH33&lt;70,3.5,IF(CH33&lt;80,4,5))))))))</f>
        <v>0</v>
      </c>
      <c r="CK33" s="55" t="str">
        <f t="shared" ref="CK33" si="109">IF(S33="F","F",IF(AC33="F","F",IF(AJ33="F","F",IF(AQ33="F","F",IF(BD33="F","F",IF(BL33="F","F",IF(BT33="F","F",IF(CB33="F","F",IF(CJ33="F","F",IF(AW33="F","F", IF(CJ33&lt;=2,SUM(S33,AC33,AJ33,AQ33,AW33,BD33,BL33,BT33,CB33,CJ33),IF(CJ33&gt;=2,SUM(S33,AC33,AJ33,AQ33,BD33,BL33,AW33,BT33,CB33,CJ33-2)))))))))))))</f>
        <v>F</v>
      </c>
      <c r="CL33" s="58" t="str">
        <f t="shared" ref="CL33" si="110">IF(CK33="F","F",IF(CK33&gt;=45,5,IF(CK33&lt;45,CK33/9)))</f>
        <v>F</v>
      </c>
      <c r="CM33" s="58" t="str">
        <f t="shared" ref="CM33" si="111">IF(CL33="F","F",IF(CL33&lt;2.5,"D",IF(CL33&lt;3,"C",IF(CL33&lt;3.5,"B",IF(CL33&lt;4,"A-",IF(CL33&lt;5,"A","A+"))))))</f>
        <v>F</v>
      </c>
      <c r="CN33" s="69" t="str">
        <f t="shared" ref="CN33" si="112">IF(CL33="F","NEED TO PROGRESS",IF(CL33&gt;=5,"BEST",IF(CL33&gt;=4,"BETTER",IF(CL33&gt;=2,"GOOD"))))</f>
        <v>NEED TO PROGRESS</v>
      </c>
      <c r="CO33" s="56">
        <f t="shared" ref="CO33" si="113">Q33+AA33+AH33+AO33+AU33+BB33+BJ33+BR33+BZ33+CH33</f>
        <v>671</v>
      </c>
      <c r="CP33" s="65" t="s">
        <v>174</v>
      </c>
      <c r="CQ33" s="66"/>
    </row>
    <row r="34" spans="1:95" s="10" customFormat="1">
      <c r="A34" s="8"/>
      <c r="B34"/>
      <c r="C34" s="11"/>
      <c r="D34" s="11"/>
      <c r="E34" s="11"/>
      <c r="F34" s="11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 s="4"/>
      <c r="CQ34"/>
    </row>
    <row r="35" spans="1:95" s="10" customFormat="1">
      <c r="A35" s="2">
        <v>0</v>
      </c>
      <c r="B35" s="1">
        <v>1</v>
      </c>
      <c r="C35" s="2">
        <v>2</v>
      </c>
      <c r="D35" s="1">
        <v>3</v>
      </c>
      <c r="E35" s="2">
        <v>4</v>
      </c>
      <c r="F35" s="1">
        <v>5</v>
      </c>
      <c r="G35" s="2">
        <v>6</v>
      </c>
      <c r="H35" s="1">
        <v>7</v>
      </c>
      <c r="I35" s="2">
        <v>8</v>
      </c>
      <c r="J35" s="1">
        <v>9</v>
      </c>
      <c r="K35" s="2">
        <v>10</v>
      </c>
      <c r="L35" s="1">
        <v>11</v>
      </c>
      <c r="M35" s="2">
        <v>12</v>
      </c>
      <c r="N35" s="1">
        <v>13</v>
      </c>
      <c r="O35" s="2">
        <v>14</v>
      </c>
      <c r="P35" s="1">
        <v>15</v>
      </c>
      <c r="Q35" s="2">
        <v>16</v>
      </c>
      <c r="R35" s="1">
        <v>17</v>
      </c>
      <c r="S35" s="2">
        <v>18</v>
      </c>
      <c r="T35" s="1">
        <v>19</v>
      </c>
      <c r="U35" s="2">
        <v>20</v>
      </c>
      <c r="V35" s="1">
        <v>21</v>
      </c>
      <c r="W35" s="2">
        <v>22</v>
      </c>
      <c r="X35" s="1">
        <v>23</v>
      </c>
      <c r="Y35" s="2">
        <v>24</v>
      </c>
      <c r="Z35" s="1">
        <v>25</v>
      </c>
      <c r="AA35" s="2">
        <v>26</v>
      </c>
      <c r="AB35" s="1">
        <v>27</v>
      </c>
      <c r="AC35" s="2">
        <v>28</v>
      </c>
      <c r="AD35" s="1">
        <v>29</v>
      </c>
      <c r="AE35" s="2">
        <v>30</v>
      </c>
      <c r="AF35" s="1">
        <v>31</v>
      </c>
      <c r="AG35" s="2">
        <v>32</v>
      </c>
      <c r="AH35" s="1">
        <v>33</v>
      </c>
      <c r="AI35" s="2">
        <v>34</v>
      </c>
      <c r="AJ35" s="1">
        <v>35</v>
      </c>
      <c r="AK35" s="2">
        <v>36</v>
      </c>
      <c r="AL35" s="1">
        <v>37</v>
      </c>
      <c r="AM35" s="2">
        <v>38</v>
      </c>
      <c r="AN35" s="1">
        <v>39</v>
      </c>
      <c r="AO35" s="2">
        <v>40</v>
      </c>
      <c r="AP35" s="1">
        <v>41</v>
      </c>
      <c r="AQ35" s="2">
        <v>42</v>
      </c>
      <c r="AR35" s="1">
        <v>43</v>
      </c>
      <c r="AS35" s="2">
        <v>44</v>
      </c>
      <c r="AT35" s="1">
        <v>45</v>
      </c>
      <c r="AU35" s="2">
        <v>46</v>
      </c>
      <c r="AV35" s="1">
        <v>47</v>
      </c>
      <c r="AW35" s="2">
        <v>48</v>
      </c>
      <c r="AX35" s="1">
        <v>49</v>
      </c>
      <c r="AY35" s="2">
        <v>50</v>
      </c>
      <c r="AZ35" s="1">
        <v>51</v>
      </c>
      <c r="BA35" s="2">
        <v>52</v>
      </c>
      <c r="BB35" s="1">
        <v>53</v>
      </c>
      <c r="BC35" s="2">
        <v>54</v>
      </c>
      <c r="BD35" s="1">
        <v>55</v>
      </c>
      <c r="BE35" s="2">
        <v>56</v>
      </c>
      <c r="BF35" s="1">
        <v>57</v>
      </c>
      <c r="BG35" s="2">
        <v>58</v>
      </c>
      <c r="BH35" s="1">
        <v>59</v>
      </c>
      <c r="BI35" s="2">
        <v>60</v>
      </c>
      <c r="BJ35" s="1">
        <v>61</v>
      </c>
      <c r="BK35" s="2">
        <v>62</v>
      </c>
      <c r="BL35" s="1">
        <v>63</v>
      </c>
      <c r="BM35" s="2">
        <v>64</v>
      </c>
      <c r="BN35" s="1">
        <v>65</v>
      </c>
      <c r="BO35" s="2">
        <v>66</v>
      </c>
      <c r="BP35" s="1">
        <v>67</v>
      </c>
      <c r="BQ35" s="2">
        <v>68</v>
      </c>
      <c r="BR35" s="1">
        <v>69</v>
      </c>
      <c r="BS35" s="2">
        <v>70</v>
      </c>
      <c r="BT35" s="1">
        <v>71</v>
      </c>
      <c r="BU35" s="2">
        <v>72</v>
      </c>
      <c r="BV35" s="1">
        <v>73</v>
      </c>
      <c r="BW35" s="2">
        <v>74</v>
      </c>
      <c r="BX35" s="1">
        <v>75</v>
      </c>
      <c r="BY35" s="2">
        <v>76</v>
      </c>
      <c r="BZ35" s="1">
        <v>77</v>
      </c>
      <c r="CA35" s="2">
        <v>78</v>
      </c>
      <c r="CB35" s="1">
        <v>79</v>
      </c>
      <c r="CC35" s="2">
        <v>80</v>
      </c>
      <c r="CD35" s="1">
        <v>81</v>
      </c>
      <c r="CE35" s="2">
        <v>82</v>
      </c>
      <c r="CF35" s="1">
        <v>83</v>
      </c>
      <c r="CG35" s="2">
        <v>84</v>
      </c>
      <c r="CH35" s="1">
        <v>85</v>
      </c>
      <c r="CI35" s="2">
        <v>86</v>
      </c>
      <c r="CJ35" s="1">
        <v>87</v>
      </c>
      <c r="CK35" s="2">
        <v>88</v>
      </c>
      <c r="CL35" s="1">
        <v>89</v>
      </c>
      <c r="CM35" s="2">
        <v>90</v>
      </c>
      <c r="CN35" s="1">
        <v>91</v>
      </c>
      <c r="CO35" s="2">
        <v>92</v>
      </c>
      <c r="CP35" s="1">
        <v>93</v>
      </c>
      <c r="CQ35" s="2">
        <v>94</v>
      </c>
    </row>
    <row r="36" spans="1:95" s="10" customFormat="1">
      <c r="A36" s="8"/>
      <c r="B36" s="2"/>
      <c r="C36" s="12"/>
      <c r="D36" s="12"/>
      <c r="E36" s="12"/>
      <c r="F36" s="12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 s="4"/>
      <c r="CQ36"/>
    </row>
    <row r="37" spans="1:95" s="10" customFormat="1">
      <c r="A37" s="8"/>
      <c r="B37"/>
      <c r="C37" s="11"/>
      <c r="D37" s="11"/>
      <c r="E37" s="11"/>
      <c r="F37" s="11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 s="4"/>
      <c r="CQ37"/>
    </row>
    <row r="38" spans="1:95" s="10" customFormat="1">
      <c r="A38" s="8"/>
      <c r="B38"/>
      <c r="C38" s="11"/>
      <c r="D38" s="11"/>
      <c r="E38" s="11"/>
      <c r="F38" s="11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 s="4"/>
      <c r="CQ38"/>
    </row>
    <row r="39" spans="1:95" s="10" customFormat="1">
      <c r="A39" s="8"/>
      <c r="B39"/>
      <c r="C39" s="11"/>
      <c r="D39" s="11"/>
      <c r="E39" s="11"/>
      <c r="F39" s="11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 s="4"/>
      <c r="CQ39"/>
    </row>
    <row r="40" spans="1:95" s="10" customFormat="1">
      <c r="A40" s="8"/>
      <c r="B40"/>
      <c r="C40" s="11"/>
      <c r="D40" s="11"/>
      <c r="E40" s="11"/>
      <c r="F40" s="11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 s="4"/>
      <c r="CQ40"/>
    </row>
    <row r="41" spans="1:95" s="10" customFormat="1">
      <c r="A41" s="8"/>
      <c r="B41"/>
      <c r="C41" s="11"/>
      <c r="D41" s="11"/>
      <c r="E41" s="11"/>
      <c r="F41" s="1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 s="2"/>
      <c r="CN41"/>
      <c r="CO41"/>
      <c r="CP41" s="4"/>
      <c r="CQ41"/>
    </row>
    <row r="42" spans="1:95" s="10" customFormat="1">
      <c r="A42" s="8"/>
      <c r="B42"/>
      <c r="C42" s="11"/>
      <c r="D42" s="11"/>
      <c r="E42" s="11"/>
      <c r="F42" s="11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 s="4"/>
      <c r="CQ42"/>
    </row>
    <row r="43" spans="1:95" s="10" customFormat="1">
      <c r="A43" s="8"/>
      <c r="B43"/>
      <c r="C43" s="11"/>
      <c r="D43" s="11"/>
      <c r="E43" s="11"/>
      <c r="F43" s="11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 s="4"/>
      <c r="CQ43"/>
    </row>
    <row r="44" spans="1:95" s="10" customFormat="1" ht="14.45" customHeight="1">
      <c r="A44" s="8"/>
      <c r="B44"/>
      <c r="C44" s="11"/>
      <c r="D44" s="11"/>
      <c r="E44" s="11"/>
      <c r="F44" s="11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 s="4"/>
      <c r="CQ44"/>
    </row>
    <row r="45" spans="1:95" s="10" customFormat="1">
      <c r="A45" s="8"/>
      <c r="B45"/>
      <c r="C45" s="11"/>
      <c r="D45" s="11"/>
      <c r="E45" s="11"/>
      <c r="F45" s="11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 s="4"/>
      <c r="CQ45"/>
    </row>
    <row r="46" spans="1:95" s="10" customFormat="1" ht="11.45" customHeight="1">
      <c r="A46"/>
      <c r="B46" s="2"/>
      <c r="C46" s="12"/>
      <c r="D46" s="12"/>
      <c r="E46" s="12"/>
      <c r="F46" s="12"/>
      <c r="G46"/>
      <c r="H46"/>
      <c r="I46"/>
      <c r="J46"/>
      <c r="K46" s="4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CP46" s="15"/>
    </row>
    <row r="47" spans="1:95" s="10" customFormat="1">
      <c r="A47" s="2"/>
      <c r="B47"/>
      <c r="C47" s="11"/>
      <c r="D47" s="11"/>
      <c r="E47" s="11"/>
      <c r="F47" s="11"/>
      <c r="G47" s="2"/>
      <c r="H47" s="2"/>
      <c r="I47" s="2"/>
      <c r="J47" s="2"/>
      <c r="K47" s="1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/>
      <c r="BX47"/>
      <c r="CP47" s="15"/>
    </row>
    <row r="48" spans="1:95" s="10" customFormat="1">
      <c r="A48"/>
      <c r="B48"/>
      <c r="C48" s="11"/>
      <c r="D48" s="11"/>
      <c r="E48" s="11"/>
      <c r="F48" s="11"/>
      <c r="G48"/>
      <c r="H48"/>
      <c r="I48"/>
      <c r="J48"/>
      <c r="K48" s="4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CP48" s="15"/>
    </row>
    <row r="49" spans="1:94" s="10" customFormat="1">
      <c r="A49"/>
      <c r="B49"/>
      <c r="C49" s="11"/>
      <c r="D49" s="11"/>
      <c r="E49" s="11"/>
      <c r="F49" s="11"/>
      <c r="G49"/>
      <c r="H49"/>
      <c r="I49"/>
      <c r="J49"/>
      <c r="K49" s="4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CP49" s="15"/>
    </row>
    <row r="50" spans="1:94" s="10" customFormat="1">
      <c r="A50"/>
      <c r="B50"/>
      <c r="C50" s="11"/>
      <c r="D50" s="11"/>
      <c r="E50" s="11"/>
      <c r="F50" s="11"/>
      <c r="G50"/>
      <c r="H50"/>
      <c r="I50"/>
      <c r="J50"/>
      <c r="K50" s="4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CP50" s="15"/>
    </row>
    <row r="51" spans="1:94" s="10" customFormat="1">
      <c r="A51"/>
      <c r="B51"/>
      <c r="C51" s="11"/>
      <c r="D51" s="11"/>
      <c r="E51" s="11"/>
      <c r="F51" s="11"/>
      <c r="G51"/>
      <c r="H51"/>
      <c r="I51"/>
      <c r="J51"/>
      <c r="K51" s="4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CP51" s="15"/>
    </row>
    <row r="52" spans="1:94">
      <c r="K52" s="4"/>
      <c r="CP52" s="4"/>
    </row>
    <row r="53" spans="1:94">
      <c r="K53" s="4"/>
      <c r="BY53" s="3"/>
      <c r="CP53" s="4"/>
    </row>
    <row r="54" spans="1:94">
      <c r="K54" s="4"/>
      <c r="CP54" s="4"/>
    </row>
    <row r="55" spans="1:94">
      <c r="K55" s="4"/>
      <c r="CP55" s="4"/>
    </row>
    <row r="56" spans="1:94">
      <c r="K56" s="4"/>
      <c r="CP56" s="4"/>
    </row>
    <row r="57" spans="1:94">
      <c r="K57" s="4"/>
      <c r="CP57" s="4"/>
    </row>
    <row r="58" spans="1:94">
      <c r="K58" s="4"/>
      <c r="CP58" s="4"/>
    </row>
    <row r="59" spans="1:94">
      <c r="K59" s="4"/>
      <c r="CP59" s="4"/>
    </row>
    <row r="60" spans="1:94">
      <c r="K60" s="4"/>
      <c r="CP60" s="4"/>
    </row>
    <row r="61" spans="1:94" ht="15" customHeight="1">
      <c r="K61" s="4"/>
      <c r="CP61" s="4"/>
    </row>
    <row r="62" spans="1:94" ht="17.45" customHeight="1">
      <c r="K62" s="4"/>
      <c r="CP62" s="4"/>
    </row>
    <row r="63" spans="1:94">
      <c r="K63" s="4"/>
      <c r="CP63" s="4"/>
    </row>
    <row r="64" spans="1:94">
      <c r="K64" s="4"/>
      <c r="CP64" s="4"/>
    </row>
    <row r="65" spans="11:94">
      <c r="K65" s="4"/>
      <c r="CP65" s="4"/>
    </row>
    <row r="66" spans="11:94">
      <c r="K66" s="4"/>
      <c r="CP66" s="4"/>
    </row>
    <row r="67" spans="11:94">
      <c r="K67" s="4"/>
      <c r="CP67" s="4"/>
    </row>
    <row r="68" spans="11:94">
      <c r="K68" s="4"/>
      <c r="CP68" s="4"/>
    </row>
    <row r="69" spans="11:94">
      <c r="K69" s="4"/>
      <c r="CP69" s="4"/>
    </row>
    <row r="70" spans="11:94">
      <c r="K70" s="4"/>
      <c r="CP70" s="4"/>
    </row>
    <row r="71" spans="11:94">
      <c r="K71" s="4"/>
      <c r="CP71" s="4"/>
    </row>
    <row r="72" spans="11:94">
      <c r="K72" s="4"/>
      <c r="CP72" s="4"/>
    </row>
    <row r="73" spans="11:94">
      <c r="K73" s="4"/>
      <c r="CP73" s="4"/>
    </row>
    <row r="74" spans="11:94">
      <c r="K74" s="4"/>
      <c r="CP74" s="4"/>
    </row>
    <row r="75" spans="11:94">
      <c r="K75" s="4"/>
      <c r="CP75" s="4"/>
    </row>
    <row r="76" spans="11:94">
      <c r="K76" s="4"/>
      <c r="CP76" s="4"/>
    </row>
    <row r="77" spans="11:94">
      <c r="K77" s="4"/>
      <c r="CP77" s="4"/>
    </row>
    <row r="78" spans="11:94">
      <c r="K78" s="4"/>
      <c r="CP78" s="4"/>
    </row>
    <row r="79" spans="11:94">
      <c r="K79" s="4"/>
      <c r="CP79" s="4"/>
    </row>
    <row r="80" spans="11:94">
      <c r="K80" s="4"/>
      <c r="CP80" s="4"/>
    </row>
    <row r="81" spans="11:94">
      <c r="K81" s="4"/>
      <c r="CP81" s="4"/>
    </row>
    <row r="82" spans="11:94">
      <c r="K82" s="4"/>
      <c r="CP82" s="4"/>
    </row>
    <row r="83" spans="11:94">
      <c r="K83" s="4"/>
      <c r="CP83" s="4"/>
    </row>
    <row r="84" spans="11:94">
      <c r="K84" s="4"/>
      <c r="CP84" s="4"/>
    </row>
    <row r="85" spans="11:94">
      <c r="K85" s="4"/>
      <c r="CP85" s="4"/>
    </row>
    <row r="86" spans="11:94">
      <c r="K86" s="4"/>
      <c r="CP86" s="4"/>
    </row>
    <row r="87" spans="11:94">
      <c r="K87" s="4"/>
      <c r="CP87" s="4"/>
    </row>
    <row r="88" spans="11:94">
      <c r="K88" s="4"/>
      <c r="CP88" s="4"/>
    </row>
    <row r="89" spans="11:94">
      <c r="K89" s="4"/>
      <c r="CP89" s="4"/>
    </row>
    <row r="90" spans="11:94">
      <c r="K90" s="4"/>
      <c r="CP90" s="4"/>
    </row>
    <row r="91" spans="11:94">
      <c r="K91" s="4"/>
      <c r="CP91" s="4"/>
    </row>
    <row r="92" spans="11:94">
      <c r="K92" s="4"/>
      <c r="CP92" s="4"/>
    </row>
    <row r="93" spans="11:94">
      <c r="K93" s="4"/>
      <c r="CP93" s="4"/>
    </row>
    <row r="94" spans="11:94">
      <c r="K94" s="4"/>
      <c r="CP94" s="4"/>
    </row>
    <row r="95" spans="11:94">
      <c r="K95" s="4"/>
      <c r="CP95" s="4"/>
    </row>
    <row r="96" spans="11:94">
      <c r="K96" s="4"/>
      <c r="CP96" s="4"/>
    </row>
    <row r="97" spans="11:94">
      <c r="K97" s="4"/>
      <c r="CP97" s="4"/>
    </row>
    <row r="98" spans="11:94">
      <c r="K98" s="4"/>
      <c r="CP98" s="4"/>
    </row>
    <row r="99" spans="11:94">
      <c r="K99" s="4"/>
      <c r="CP99" s="4"/>
    </row>
    <row r="100" spans="11:94">
      <c r="K100" s="4"/>
      <c r="CP100" s="4"/>
    </row>
    <row r="101" spans="11:94">
      <c r="K101" s="4"/>
      <c r="CP101" s="4"/>
    </row>
    <row r="102" spans="11:94">
      <c r="K102" s="4"/>
      <c r="CP102" s="4"/>
    </row>
    <row r="103" spans="11:94">
      <c r="K103" s="4"/>
      <c r="CP103" s="4"/>
    </row>
    <row r="104" spans="11:94">
      <c r="K104" s="4"/>
      <c r="CP104" s="4"/>
    </row>
    <row r="105" spans="11:94">
      <c r="K105" s="4"/>
      <c r="CP105" s="4"/>
    </row>
    <row r="106" spans="11:94">
      <c r="K106" s="4"/>
      <c r="CP106" s="4"/>
    </row>
    <row r="107" spans="11:94">
      <c r="K107" s="4"/>
      <c r="CP107" s="4"/>
    </row>
    <row r="108" spans="11:94">
      <c r="K108" s="4"/>
      <c r="CP108" s="4"/>
    </row>
    <row r="109" spans="11:94">
      <c r="K109" s="4"/>
      <c r="CP109" s="4"/>
    </row>
    <row r="110" spans="11:94">
      <c r="K110" s="4"/>
      <c r="CP110" s="4"/>
    </row>
    <row r="111" spans="11:94">
      <c r="K111" s="4"/>
      <c r="CP111" s="4"/>
    </row>
    <row r="112" spans="11:94">
      <c r="K112" s="4"/>
      <c r="CP112" s="4"/>
    </row>
    <row r="113" spans="11:94">
      <c r="K113" s="4"/>
      <c r="CP113" s="4"/>
    </row>
    <row r="114" spans="11:94">
      <c r="K114" s="4"/>
      <c r="CP114" s="4"/>
    </row>
    <row r="115" spans="11:94">
      <c r="K115" s="4"/>
      <c r="CP115" s="4"/>
    </row>
    <row r="116" spans="11:94">
      <c r="K116" s="4"/>
      <c r="CP116" s="4"/>
    </row>
    <row r="117" spans="11:94">
      <c r="K117" s="4"/>
      <c r="CP117" s="4"/>
    </row>
    <row r="118" spans="11:94">
      <c r="K118" s="4"/>
      <c r="CP118" s="4"/>
    </row>
    <row r="119" spans="11:94">
      <c r="K119" s="4"/>
      <c r="CP119" s="4"/>
    </row>
    <row r="120" spans="11:94">
      <c r="K120" s="4"/>
      <c r="CP120" s="4"/>
    </row>
    <row r="121" spans="11:94">
      <c r="K121" s="4"/>
      <c r="CP121" s="4"/>
    </row>
    <row r="122" spans="11:94">
      <c r="K122" s="4"/>
      <c r="CP122" s="4"/>
    </row>
    <row r="123" spans="11:94">
      <c r="K123" s="4"/>
      <c r="CP123" s="4"/>
    </row>
    <row r="124" spans="11:94">
      <c r="K124" s="4"/>
      <c r="CP124" s="4"/>
    </row>
    <row r="125" spans="11:94">
      <c r="K125" s="4"/>
      <c r="CP125" s="4"/>
    </row>
    <row r="126" spans="11:94">
      <c r="K126" s="4"/>
      <c r="CP126" s="4"/>
    </row>
    <row r="127" spans="11:94">
      <c r="K127" s="4"/>
      <c r="CP127" s="4"/>
    </row>
    <row r="128" spans="11:94">
      <c r="K128" s="4"/>
      <c r="CP128" s="4"/>
    </row>
    <row r="129" spans="11:94">
      <c r="K129" s="4"/>
      <c r="CP129" s="4"/>
    </row>
    <row r="130" spans="11:94">
      <c r="K130" s="4"/>
      <c r="CP130" s="4"/>
    </row>
    <row r="131" spans="11:94">
      <c r="K131" s="4"/>
      <c r="CP131" s="4"/>
    </row>
    <row r="132" spans="11:94">
      <c r="K132" s="4"/>
      <c r="CP132" s="4"/>
    </row>
    <row r="133" spans="11:94">
      <c r="K133" s="4"/>
      <c r="CP133" s="4"/>
    </row>
    <row r="134" spans="11:94">
      <c r="K134" s="4"/>
      <c r="CP134" s="4"/>
    </row>
    <row r="135" spans="11:94">
      <c r="K135" s="4"/>
      <c r="CP135" s="4"/>
    </row>
    <row r="136" spans="11:94">
      <c r="K136" s="4"/>
      <c r="CP136" s="4"/>
    </row>
    <row r="137" spans="11:94">
      <c r="K137" s="4"/>
      <c r="CP137" s="4"/>
    </row>
    <row r="138" spans="11:94">
      <c r="K138" s="4"/>
      <c r="CP138" s="4"/>
    </row>
    <row r="139" spans="11:94">
      <c r="K139" s="4"/>
      <c r="CP139" s="4"/>
    </row>
    <row r="140" spans="11:94">
      <c r="K140" s="4"/>
      <c r="CP140" s="4"/>
    </row>
    <row r="141" spans="11:94">
      <c r="K141" s="4"/>
      <c r="CP141" s="4"/>
    </row>
    <row r="142" spans="11:94">
      <c r="K142" s="4"/>
      <c r="CP142" s="4"/>
    </row>
    <row r="143" spans="11:94">
      <c r="K143" s="4"/>
      <c r="CP143" s="4"/>
    </row>
    <row r="144" spans="11:94">
      <c r="K144" s="4"/>
      <c r="CP144" s="4"/>
    </row>
    <row r="145" spans="94:94">
      <c r="CP145" s="4"/>
    </row>
    <row r="146" spans="94:94">
      <c r="CP146" s="4"/>
    </row>
    <row r="147" spans="94:94">
      <c r="CP147" s="4"/>
    </row>
    <row r="148" spans="94:94">
      <c r="CP148" s="4"/>
    </row>
    <row r="149" spans="94:94">
      <c r="CP149" s="4"/>
    </row>
    <row r="150" spans="94:94">
      <c r="CP150" s="4"/>
    </row>
    <row r="151" spans="94:94">
      <c r="CP151" s="4"/>
    </row>
    <row r="152" spans="94:94">
      <c r="CP152" s="4"/>
    </row>
    <row r="153" spans="94:94">
      <c r="CP153" s="4"/>
    </row>
    <row r="154" spans="94:94">
      <c r="CP154" s="4"/>
    </row>
    <row r="155" spans="94:94">
      <c r="CP155" s="4"/>
    </row>
    <row r="156" spans="94:94">
      <c r="CP156" s="4"/>
    </row>
    <row r="157" spans="94:94">
      <c r="CP157" s="4"/>
    </row>
    <row r="158" spans="94:94">
      <c r="CP158" s="4"/>
    </row>
    <row r="159" spans="94:94">
      <c r="CP159" s="4"/>
    </row>
    <row r="160" spans="94:94">
      <c r="CP160" s="4"/>
    </row>
    <row r="161" spans="94:94">
      <c r="CP161" s="4"/>
    </row>
    <row r="162" spans="94:94">
      <c r="CP162" s="4"/>
    </row>
    <row r="163" spans="94:94">
      <c r="CP163" s="4"/>
    </row>
    <row r="164" spans="94:94">
      <c r="CP164" s="4"/>
    </row>
    <row r="165" spans="94:94">
      <c r="CP165" s="4"/>
    </row>
    <row r="166" spans="94:94">
      <c r="CP166" s="4"/>
    </row>
    <row r="167" spans="94:94">
      <c r="CP167" s="4"/>
    </row>
    <row r="168" spans="94:94">
      <c r="CP168" s="4"/>
    </row>
    <row r="169" spans="94:94">
      <c r="CP169" s="4"/>
    </row>
    <row r="170" spans="94:94">
      <c r="CP170" s="4"/>
    </row>
    <row r="171" spans="94:94">
      <c r="CP171" s="4"/>
    </row>
    <row r="172" spans="94:94">
      <c r="CP172" s="4"/>
    </row>
    <row r="173" spans="94:94">
      <c r="CP173" s="4"/>
    </row>
    <row r="174" spans="94:94">
      <c r="CP174" s="4"/>
    </row>
    <row r="175" spans="94:94">
      <c r="CP175" s="4"/>
    </row>
    <row r="176" spans="94:94">
      <c r="CP176" s="4"/>
    </row>
    <row r="177" spans="94:94">
      <c r="CP177" s="4"/>
    </row>
    <row r="178" spans="94:94">
      <c r="CP178" s="4"/>
    </row>
    <row r="179" spans="94:94">
      <c r="CP179" s="4"/>
    </row>
    <row r="180" spans="94:94">
      <c r="CP180" s="4"/>
    </row>
    <row r="181" spans="94:94">
      <c r="CP181" s="4"/>
    </row>
    <row r="182" spans="94:94">
      <c r="CP182" s="4"/>
    </row>
    <row r="183" spans="94:94">
      <c r="CP183" s="4"/>
    </row>
    <row r="184" spans="94:94">
      <c r="CP184" s="4"/>
    </row>
    <row r="185" spans="94:94">
      <c r="CP185" s="4"/>
    </row>
    <row r="186" spans="94:94">
      <c r="CP186" s="4"/>
    </row>
    <row r="187" spans="94:94">
      <c r="CP187" s="4"/>
    </row>
    <row r="188" spans="94:94">
      <c r="CP188" s="4"/>
    </row>
    <row r="189" spans="94:94">
      <c r="CP189" s="4"/>
    </row>
    <row r="190" spans="94:94">
      <c r="CP190" s="4"/>
    </row>
    <row r="191" spans="94:94">
      <c r="CP191" s="4"/>
    </row>
    <row r="192" spans="94:94">
      <c r="CP192" s="4"/>
    </row>
    <row r="193" spans="94:94">
      <c r="CP193" s="4"/>
    </row>
    <row r="194" spans="94:94">
      <c r="CP194" s="4"/>
    </row>
    <row r="195" spans="94:94">
      <c r="CP195" s="4"/>
    </row>
    <row r="196" spans="94:94">
      <c r="CP196" s="4"/>
    </row>
    <row r="197" spans="94:94">
      <c r="CP197" s="4"/>
    </row>
    <row r="198" spans="94:94">
      <c r="CP198" s="4"/>
    </row>
    <row r="199" spans="94:94">
      <c r="CP199" s="4"/>
    </row>
    <row r="200" spans="94:94">
      <c r="CP200" s="4"/>
    </row>
    <row r="201" spans="94:94">
      <c r="CP201" s="4"/>
    </row>
    <row r="202" spans="94:94">
      <c r="CP202" s="4"/>
    </row>
    <row r="203" spans="94:94">
      <c r="CP203" s="4"/>
    </row>
    <row r="204" spans="94:94">
      <c r="CP204" s="4"/>
    </row>
    <row r="205" spans="94:94">
      <c r="CP205" s="4"/>
    </row>
    <row r="206" spans="94:94">
      <c r="CP206" s="4"/>
    </row>
    <row r="207" spans="94:94">
      <c r="CP207" s="4"/>
    </row>
    <row r="208" spans="94:94">
      <c r="CP208" s="4"/>
    </row>
    <row r="209" spans="94:94">
      <c r="CP209" s="4"/>
    </row>
    <row r="210" spans="94:94">
      <c r="CP210" s="4"/>
    </row>
    <row r="211" spans="94:94">
      <c r="CP211" s="4"/>
    </row>
    <row r="212" spans="94:94">
      <c r="CP212" s="4"/>
    </row>
    <row r="213" spans="94:94">
      <c r="CP213" s="4"/>
    </row>
    <row r="214" spans="94:94">
      <c r="CP214" s="4"/>
    </row>
    <row r="215" spans="94:94">
      <c r="CP215" s="4"/>
    </row>
    <row r="216" spans="94:94">
      <c r="CP216" s="4"/>
    </row>
    <row r="217" spans="94:94">
      <c r="CP217" s="4"/>
    </row>
    <row r="218" spans="94:94">
      <c r="CP218" s="4"/>
    </row>
    <row r="219" spans="94:94">
      <c r="CP219" s="4"/>
    </row>
    <row r="220" spans="94:94">
      <c r="CP220" s="4"/>
    </row>
    <row r="221" spans="94:94">
      <c r="CP221" s="4"/>
    </row>
    <row r="222" spans="94:94">
      <c r="CP222" s="4"/>
    </row>
    <row r="223" spans="94:94">
      <c r="CP223" s="4"/>
    </row>
    <row r="224" spans="94:94">
      <c r="CP224" s="4"/>
    </row>
    <row r="225" spans="94:94">
      <c r="CP225" s="4"/>
    </row>
    <row r="226" spans="94:94">
      <c r="CP226" s="4"/>
    </row>
    <row r="227" spans="94:94">
      <c r="CP227" s="4"/>
    </row>
    <row r="228" spans="94:94">
      <c r="CP228" s="4"/>
    </row>
    <row r="229" spans="94:94">
      <c r="CP229" s="4"/>
    </row>
    <row r="230" spans="94:94">
      <c r="CP230" s="4"/>
    </row>
    <row r="231" spans="94:94">
      <c r="CP231" s="4"/>
    </row>
    <row r="232" spans="94:94">
      <c r="CP232" s="4"/>
    </row>
    <row r="233" spans="94:94">
      <c r="CP233" s="4"/>
    </row>
    <row r="234" spans="94:94">
      <c r="CP234" s="4"/>
    </row>
    <row r="235" spans="94:94">
      <c r="CP235" s="4"/>
    </row>
    <row r="236" spans="94:94">
      <c r="CP236" s="4"/>
    </row>
    <row r="237" spans="94:94">
      <c r="CP237" s="4"/>
    </row>
    <row r="238" spans="94:94">
      <c r="CP238" s="4"/>
    </row>
    <row r="239" spans="94:94">
      <c r="CP239" s="4"/>
    </row>
    <row r="240" spans="94:94">
      <c r="CP240" s="4"/>
    </row>
    <row r="241" spans="94:94">
      <c r="CP241" s="4"/>
    </row>
    <row r="242" spans="94:94">
      <c r="CP242" s="4"/>
    </row>
    <row r="243" spans="94:94">
      <c r="CP243" s="4"/>
    </row>
    <row r="244" spans="94:94">
      <c r="CP244" s="4"/>
    </row>
    <row r="245" spans="94:94">
      <c r="CP245" s="4"/>
    </row>
    <row r="246" spans="94:94">
      <c r="CP246" s="4"/>
    </row>
    <row r="247" spans="94:94">
      <c r="CP247" s="4"/>
    </row>
    <row r="248" spans="94:94">
      <c r="CP248" s="4"/>
    </row>
    <row r="249" spans="94:94">
      <c r="CP249" s="4"/>
    </row>
    <row r="250" spans="94:94">
      <c r="CP250" s="4"/>
    </row>
    <row r="251" spans="94:94">
      <c r="CP251" s="4"/>
    </row>
    <row r="252" spans="94:94">
      <c r="CP252" s="4"/>
    </row>
    <row r="253" spans="94:94">
      <c r="CP253" s="4"/>
    </row>
    <row r="254" spans="94:94">
      <c r="CP254" s="4"/>
    </row>
    <row r="255" spans="94:94">
      <c r="CP255" s="4"/>
    </row>
    <row r="256" spans="94:94">
      <c r="CP256" s="4"/>
    </row>
    <row r="257" spans="94:94">
      <c r="CP257" s="4"/>
    </row>
    <row r="258" spans="94:94">
      <c r="CP258" s="4"/>
    </row>
    <row r="259" spans="94:94">
      <c r="CP259" s="4"/>
    </row>
    <row r="260" spans="94:94">
      <c r="CP260" s="4"/>
    </row>
    <row r="261" spans="94:94">
      <c r="CP261" s="4"/>
    </row>
    <row r="262" spans="94:94">
      <c r="CP262" s="4"/>
    </row>
    <row r="263" spans="94:94">
      <c r="CP263" s="4"/>
    </row>
    <row r="264" spans="94:94">
      <c r="CP264" s="4"/>
    </row>
    <row r="265" spans="94:94">
      <c r="CP265" s="4"/>
    </row>
    <row r="266" spans="94:94">
      <c r="CP266" s="4"/>
    </row>
    <row r="267" spans="94:94">
      <c r="CP267" s="4"/>
    </row>
    <row r="268" spans="94:94">
      <c r="CP268" s="4"/>
    </row>
    <row r="269" spans="94:94">
      <c r="CP269" s="4"/>
    </row>
    <row r="270" spans="94:94">
      <c r="CP270" s="4"/>
    </row>
    <row r="271" spans="94:94">
      <c r="CP271" s="4"/>
    </row>
    <row r="272" spans="94:94">
      <c r="CP272" s="4"/>
    </row>
    <row r="273" spans="94:94">
      <c r="CP273" s="4"/>
    </row>
    <row r="274" spans="94:94">
      <c r="CP274" s="4"/>
    </row>
    <row r="275" spans="94:94">
      <c r="CP275" s="4"/>
    </row>
    <row r="276" spans="94:94">
      <c r="CP276" s="4"/>
    </row>
    <row r="277" spans="94:94">
      <c r="CP277" s="4"/>
    </row>
    <row r="278" spans="94:94">
      <c r="CP278" s="4"/>
    </row>
    <row r="279" spans="94:94">
      <c r="CP279" s="4"/>
    </row>
    <row r="280" spans="94:94">
      <c r="CP280" s="4"/>
    </row>
    <row r="281" spans="94:94">
      <c r="CP281" s="4"/>
    </row>
    <row r="282" spans="94:94">
      <c r="CP282" s="4"/>
    </row>
    <row r="283" spans="94:94">
      <c r="CP283" s="4"/>
    </row>
    <row r="284" spans="94:94">
      <c r="CP284" s="4"/>
    </row>
    <row r="285" spans="94:94">
      <c r="CP285" s="4"/>
    </row>
    <row r="286" spans="94:94">
      <c r="CP286" s="4"/>
    </row>
    <row r="287" spans="94:94">
      <c r="CP287" s="4"/>
    </row>
    <row r="288" spans="94:94">
      <c r="CP288" s="4"/>
    </row>
    <row r="289" spans="94:94">
      <c r="CP289" s="4"/>
    </row>
    <row r="290" spans="94:94">
      <c r="CP290" s="4"/>
    </row>
    <row r="291" spans="94:94">
      <c r="CP291" s="4"/>
    </row>
    <row r="292" spans="94:94">
      <c r="CP292" s="4"/>
    </row>
    <row r="293" spans="94:94">
      <c r="CP293" s="4"/>
    </row>
    <row r="294" spans="94:94">
      <c r="CP294" s="4"/>
    </row>
    <row r="295" spans="94:94">
      <c r="CP295" s="4"/>
    </row>
    <row r="296" spans="94:94">
      <c r="CP296" s="4"/>
    </row>
    <row r="297" spans="94:94">
      <c r="CP297" s="4"/>
    </row>
    <row r="298" spans="94:94">
      <c r="CP298" s="4"/>
    </row>
    <row r="299" spans="94:94">
      <c r="CP299" s="4"/>
    </row>
    <row r="300" spans="94:94">
      <c r="CP300" s="4"/>
    </row>
    <row r="301" spans="94:94">
      <c r="CP301" s="4"/>
    </row>
    <row r="302" spans="94:94">
      <c r="CP302" s="4"/>
    </row>
    <row r="303" spans="94:94">
      <c r="CP303" s="4"/>
    </row>
    <row r="304" spans="94:94">
      <c r="CP304" s="4"/>
    </row>
    <row r="305" spans="94:94">
      <c r="CP305" s="4"/>
    </row>
    <row r="306" spans="94:94">
      <c r="CP306" s="4"/>
    </row>
    <row r="307" spans="94:94">
      <c r="CP307" s="4"/>
    </row>
    <row r="308" spans="94:94">
      <c r="CP308" s="4"/>
    </row>
    <row r="309" spans="94:94">
      <c r="CP309" s="4"/>
    </row>
    <row r="310" spans="94:94">
      <c r="CP310" s="4"/>
    </row>
    <row r="311" spans="94:94">
      <c r="CP311" s="4"/>
    </row>
    <row r="312" spans="94:94">
      <c r="CP312" s="4"/>
    </row>
    <row r="313" spans="94:94">
      <c r="CP313" s="4"/>
    </row>
    <row r="314" spans="94:94">
      <c r="CP314" s="4"/>
    </row>
    <row r="315" spans="94:94">
      <c r="CP315" s="4"/>
    </row>
    <row r="316" spans="94:94">
      <c r="CP316" s="4"/>
    </row>
    <row r="317" spans="94:94">
      <c r="CP317" s="4"/>
    </row>
    <row r="318" spans="94:94">
      <c r="CP318" s="4"/>
    </row>
    <row r="319" spans="94:94">
      <c r="CP319" s="4"/>
    </row>
    <row r="320" spans="94:94">
      <c r="CP320" s="4"/>
    </row>
    <row r="321" spans="94:94">
      <c r="CP321" s="4"/>
    </row>
    <row r="322" spans="94:94">
      <c r="CP322" s="4"/>
    </row>
    <row r="323" spans="94:94">
      <c r="CP323" s="4"/>
    </row>
    <row r="324" spans="94:94">
      <c r="CP324" s="4"/>
    </row>
    <row r="325" spans="94:94">
      <c r="CP325" s="4"/>
    </row>
    <row r="326" spans="94:94">
      <c r="CP326" s="4"/>
    </row>
    <row r="327" spans="94:94">
      <c r="CP327" s="4"/>
    </row>
    <row r="328" spans="94:94">
      <c r="CP328" s="4"/>
    </row>
    <row r="329" spans="94:94">
      <c r="CP329" s="4"/>
    </row>
    <row r="330" spans="94:94">
      <c r="CP330" s="4"/>
    </row>
    <row r="331" spans="94:94">
      <c r="CP331" s="4"/>
    </row>
    <row r="332" spans="94:94">
      <c r="CP332" s="4"/>
    </row>
    <row r="333" spans="94:94">
      <c r="CP333" s="4"/>
    </row>
    <row r="334" spans="94:94">
      <c r="CP334" s="4"/>
    </row>
    <row r="335" spans="94:94">
      <c r="CP335" s="4"/>
    </row>
    <row r="336" spans="94:94">
      <c r="CP336" s="4"/>
    </row>
    <row r="337" spans="94:94">
      <c r="CP337" s="4"/>
    </row>
    <row r="338" spans="94:94">
      <c r="CP338" s="4"/>
    </row>
    <row r="339" spans="94:94">
      <c r="CP339" s="4"/>
    </row>
    <row r="340" spans="94:94">
      <c r="CP340" s="4"/>
    </row>
    <row r="341" spans="94:94">
      <c r="CP341" s="4"/>
    </row>
    <row r="342" spans="94:94">
      <c r="CP342" s="4"/>
    </row>
    <row r="343" spans="94:94">
      <c r="CP343" s="4"/>
    </row>
    <row r="344" spans="94:94">
      <c r="CP344" s="4"/>
    </row>
    <row r="345" spans="94:94">
      <c r="CP345" s="4"/>
    </row>
    <row r="346" spans="94:94">
      <c r="CP346" s="4"/>
    </row>
    <row r="347" spans="94:94">
      <c r="CP347" s="4"/>
    </row>
    <row r="348" spans="94:94">
      <c r="CP348" s="4"/>
    </row>
    <row r="349" spans="94:94">
      <c r="CP349" s="4"/>
    </row>
    <row r="350" spans="94:94">
      <c r="CP350" s="4"/>
    </row>
    <row r="351" spans="94:94">
      <c r="CP351" s="4"/>
    </row>
    <row r="352" spans="94:94">
      <c r="CP352" s="4"/>
    </row>
    <row r="353" spans="94:94">
      <c r="CP353" s="4"/>
    </row>
    <row r="354" spans="94:94">
      <c r="CP354" s="4"/>
    </row>
    <row r="355" spans="94:94">
      <c r="CP355" s="4"/>
    </row>
    <row r="356" spans="94:94">
      <c r="CP356" s="4"/>
    </row>
    <row r="357" spans="94:94">
      <c r="CP357" s="4"/>
    </row>
    <row r="358" spans="94:94">
      <c r="CP358" s="4"/>
    </row>
    <row r="359" spans="94:94">
      <c r="CP359" s="4"/>
    </row>
    <row r="360" spans="94:94">
      <c r="CP360" s="4"/>
    </row>
    <row r="361" spans="94:94">
      <c r="CP361" s="4"/>
    </row>
    <row r="362" spans="94:94">
      <c r="CP362" s="4"/>
    </row>
    <row r="363" spans="94:94">
      <c r="CP363" s="4"/>
    </row>
    <row r="364" spans="94:94">
      <c r="CP364" s="4"/>
    </row>
    <row r="365" spans="94:94">
      <c r="CP365" s="4"/>
    </row>
    <row r="366" spans="94:94">
      <c r="CP366" s="4"/>
    </row>
    <row r="367" spans="94:94">
      <c r="CP367" s="4"/>
    </row>
    <row r="368" spans="94:94">
      <c r="CP368" s="4"/>
    </row>
    <row r="369" spans="94:94">
      <c r="CP369" s="4"/>
    </row>
    <row r="370" spans="94:94">
      <c r="CP370" s="4"/>
    </row>
    <row r="371" spans="94:94">
      <c r="CP371" s="4"/>
    </row>
    <row r="372" spans="94:94">
      <c r="CP372" s="4"/>
    </row>
    <row r="373" spans="94:94">
      <c r="CP373" s="4"/>
    </row>
    <row r="374" spans="94:94">
      <c r="CP374" s="4"/>
    </row>
    <row r="375" spans="94:94">
      <c r="CP375" s="4"/>
    </row>
    <row r="376" spans="94:94">
      <c r="CP376" s="4"/>
    </row>
    <row r="377" spans="94:94">
      <c r="CP377" s="4"/>
    </row>
    <row r="378" spans="94:94">
      <c r="CP378" s="4"/>
    </row>
    <row r="379" spans="94:94">
      <c r="CP379" s="4"/>
    </row>
    <row r="380" spans="94:94">
      <c r="CP380" s="4"/>
    </row>
    <row r="381" spans="94:94">
      <c r="CP381" s="4"/>
    </row>
    <row r="382" spans="94:94">
      <c r="CP382" s="4"/>
    </row>
    <row r="383" spans="94:94">
      <c r="CP383" s="4"/>
    </row>
    <row r="384" spans="94:94">
      <c r="CP384" s="4"/>
    </row>
    <row r="385" spans="94:94">
      <c r="CP385" s="4"/>
    </row>
    <row r="386" spans="94:94">
      <c r="CP386" s="4"/>
    </row>
    <row r="387" spans="94:94">
      <c r="CP387" s="4"/>
    </row>
    <row r="388" spans="94:94">
      <c r="CP388" s="4"/>
    </row>
    <row r="389" spans="94:94">
      <c r="CP389" s="4"/>
    </row>
    <row r="390" spans="94:94">
      <c r="CP390" s="4"/>
    </row>
    <row r="391" spans="94:94">
      <c r="CP391" s="4"/>
    </row>
    <row r="392" spans="94:94">
      <c r="CP392" s="4"/>
    </row>
    <row r="393" spans="94:94">
      <c r="CP393" s="4"/>
    </row>
    <row r="394" spans="94:94">
      <c r="CP394" s="4"/>
    </row>
    <row r="395" spans="94:94">
      <c r="CP395" s="4"/>
    </row>
    <row r="396" spans="94:94">
      <c r="CP396" s="4"/>
    </row>
    <row r="397" spans="94:94">
      <c r="CP397" s="4"/>
    </row>
    <row r="398" spans="94:94">
      <c r="CP398" s="4"/>
    </row>
    <row r="399" spans="94:94">
      <c r="CP399" s="4"/>
    </row>
    <row r="400" spans="94:94">
      <c r="CP400" s="4"/>
    </row>
    <row r="401" spans="94:94">
      <c r="CP401" s="4"/>
    </row>
    <row r="402" spans="94:94">
      <c r="CP402" s="4"/>
    </row>
    <row r="403" spans="94:94">
      <c r="CP403" s="4"/>
    </row>
    <row r="404" spans="94:94">
      <c r="CP404" s="4"/>
    </row>
    <row r="405" spans="94:94">
      <c r="CP405" s="4"/>
    </row>
    <row r="406" spans="94:94">
      <c r="CP406" s="4"/>
    </row>
    <row r="407" spans="94:94">
      <c r="CP407" s="4"/>
    </row>
    <row r="408" spans="94:94">
      <c r="CP408" s="4"/>
    </row>
    <row r="409" spans="94:94">
      <c r="CP409" s="4"/>
    </row>
    <row r="410" spans="94:94">
      <c r="CP410" s="4"/>
    </row>
    <row r="411" spans="94:94">
      <c r="CP411" s="4"/>
    </row>
    <row r="412" spans="94:94">
      <c r="CP412" s="4"/>
    </row>
    <row r="413" spans="94:94">
      <c r="CP413" s="4"/>
    </row>
    <row r="414" spans="94:94">
      <c r="CP414" s="4"/>
    </row>
    <row r="415" spans="94:94">
      <c r="CP415" s="4"/>
    </row>
    <row r="416" spans="94:94">
      <c r="CP416" s="4"/>
    </row>
    <row r="417" spans="94:94">
      <c r="CP417" s="4"/>
    </row>
    <row r="418" spans="94:94">
      <c r="CP418" s="4"/>
    </row>
    <row r="419" spans="94:94">
      <c r="CP419" s="4"/>
    </row>
    <row r="420" spans="94:94">
      <c r="CP420" s="4"/>
    </row>
    <row r="421" spans="94:94">
      <c r="CP421" s="4"/>
    </row>
    <row r="422" spans="94:94">
      <c r="CP422" s="4"/>
    </row>
    <row r="423" spans="94:94">
      <c r="CP423" s="4"/>
    </row>
    <row r="424" spans="94:94">
      <c r="CP424" s="4"/>
    </row>
    <row r="425" spans="94:94">
      <c r="CP425" s="4"/>
    </row>
    <row r="426" spans="94:94">
      <c r="CP426" s="4"/>
    </row>
    <row r="427" spans="94:94">
      <c r="CP427" s="4"/>
    </row>
    <row r="428" spans="94:94">
      <c r="CP428" s="4"/>
    </row>
    <row r="429" spans="94:94">
      <c r="CP429" s="4"/>
    </row>
    <row r="430" spans="94:94">
      <c r="CP430" s="4"/>
    </row>
    <row r="431" spans="94:94">
      <c r="CP431" s="4"/>
    </row>
    <row r="432" spans="94:94">
      <c r="CP432" s="4"/>
    </row>
    <row r="433" spans="94:94">
      <c r="CP433" s="4"/>
    </row>
    <row r="434" spans="94:94">
      <c r="CP434" s="4"/>
    </row>
    <row r="435" spans="94:94">
      <c r="CP435" s="4"/>
    </row>
    <row r="436" spans="94:94">
      <c r="CP436" s="4"/>
    </row>
    <row r="437" spans="94:94">
      <c r="CP437" s="4"/>
    </row>
    <row r="438" spans="94:94">
      <c r="CP438" s="4"/>
    </row>
    <row r="439" spans="94:94">
      <c r="CP439" s="4"/>
    </row>
    <row r="440" spans="94:94">
      <c r="CP440" s="4"/>
    </row>
    <row r="441" spans="94:94">
      <c r="CP441" s="4"/>
    </row>
    <row r="442" spans="94:94">
      <c r="CP442" s="4"/>
    </row>
    <row r="443" spans="94:94">
      <c r="CP443" s="4"/>
    </row>
    <row r="444" spans="94:94">
      <c r="CP444" s="4"/>
    </row>
    <row r="445" spans="94:94">
      <c r="CP445" s="4"/>
    </row>
    <row r="446" spans="94:94">
      <c r="CP446" s="4"/>
    </row>
    <row r="447" spans="94:94">
      <c r="CP447" s="4"/>
    </row>
    <row r="448" spans="94:94">
      <c r="CP448" s="4"/>
    </row>
    <row r="449" spans="94:94">
      <c r="CP449" s="4"/>
    </row>
    <row r="450" spans="94:94">
      <c r="CP450" s="4"/>
    </row>
    <row r="451" spans="94:94">
      <c r="CP451" s="4"/>
    </row>
    <row r="452" spans="94:94">
      <c r="CP452" s="4"/>
    </row>
    <row r="453" spans="94:94">
      <c r="CP453" s="4"/>
    </row>
    <row r="454" spans="94:94">
      <c r="CP454" s="4"/>
    </row>
    <row r="455" spans="94:94">
      <c r="CP455" s="4"/>
    </row>
    <row r="456" spans="94:94">
      <c r="CP456" s="4"/>
    </row>
    <row r="457" spans="94:94">
      <c r="CP457" s="4"/>
    </row>
    <row r="458" spans="94:94">
      <c r="CP458" s="4"/>
    </row>
    <row r="459" spans="94:94">
      <c r="CP459" s="4"/>
    </row>
    <row r="460" spans="94:94">
      <c r="CP460" s="4"/>
    </row>
    <row r="461" spans="94:94">
      <c r="CP461" s="4"/>
    </row>
    <row r="462" spans="94:94">
      <c r="CP462" s="4"/>
    </row>
    <row r="463" spans="94:94">
      <c r="CP463" s="4"/>
    </row>
    <row r="464" spans="94:94">
      <c r="CP464" s="4"/>
    </row>
    <row r="465" spans="94:94">
      <c r="CP465" s="4"/>
    </row>
    <row r="466" spans="94:94">
      <c r="CP466" s="4"/>
    </row>
    <row r="467" spans="94:94">
      <c r="CP467" s="4"/>
    </row>
    <row r="468" spans="94:94">
      <c r="CP468" s="4"/>
    </row>
    <row r="469" spans="94:94">
      <c r="CP469" s="4"/>
    </row>
    <row r="470" spans="94:94">
      <c r="CP470" s="4"/>
    </row>
    <row r="471" spans="94:94">
      <c r="CP471" s="4"/>
    </row>
    <row r="472" spans="94:94">
      <c r="CP472" s="4"/>
    </row>
    <row r="473" spans="94:94">
      <c r="CP473" s="4"/>
    </row>
    <row r="474" spans="94:94">
      <c r="CP474" s="4"/>
    </row>
    <row r="475" spans="94:94">
      <c r="CP475" s="4"/>
    </row>
    <row r="476" spans="94:94">
      <c r="CP476" s="4"/>
    </row>
    <row r="477" spans="94:94">
      <c r="CP477" s="4"/>
    </row>
    <row r="478" spans="94:94">
      <c r="CP478" s="4"/>
    </row>
    <row r="479" spans="94:94">
      <c r="CP479" s="4"/>
    </row>
    <row r="480" spans="94:94">
      <c r="CP480" s="4"/>
    </row>
    <row r="481" spans="94:94">
      <c r="CP481" s="4"/>
    </row>
    <row r="482" spans="94:94">
      <c r="CP482" s="4"/>
    </row>
    <row r="483" spans="94:94">
      <c r="CP483" s="4"/>
    </row>
    <row r="484" spans="94:94">
      <c r="CP484" s="4"/>
    </row>
    <row r="485" spans="94:94">
      <c r="CP485" s="4"/>
    </row>
    <row r="486" spans="94:94">
      <c r="CP486" s="4"/>
    </row>
    <row r="487" spans="94:94">
      <c r="CP487" s="4"/>
    </row>
    <row r="488" spans="94:94">
      <c r="CP488" s="4"/>
    </row>
    <row r="489" spans="94:94">
      <c r="CP489" s="4"/>
    </row>
    <row r="490" spans="94:94">
      <c r="CP490" s="4"/>
    </row>
    <row r="491" spans="94:94">
      <c r="CP491" s="4"/>
    </row>
    <row r="492" spans="94:94">
      <c r="CP492" s="4"/>
    </row>
    <row r="493" spans="94:94">
      <c r="CP493" s="4"/>
    </row>
    <row r="494" spans="94:94">
      <c r="CP494" s="4"/>
    </row>
    <row r="495" spans="94:94">
      <c r="CP495" s="4"/>
    </row>
    <row r="496" spans="94:94">
      <c r="CP496" s="4"/>
    </row>
    <row r="497" spans="94:94">
      <c r="CP497" s="4"/>
    </row>
    <row r="498" spans="94:94">
      <c r="CP498" s="4"/>
    </row>
    <row r="499" spans="94:94">
      <c r="CP499" s="4"/>
    </row>
    <row r="500" spans="94:94">
      <c r="CP500" s="4"/>
    </row>
    <row r="501" spans="94:94">
      <c r="CP501" s="4"/>
    </row>
    <row r="502" spans="94:94">
      <c r="CP502" s="4"/>
    </row>
    <row r="503" spans="94:94">
      <c r="CP503" s="4"/>
    </row>
    <row r="504" spans="94:94">
      <c r="CP504" s="4"/>
    </row>
    <row r="505" spans="94:94">
      <c r="CP505" s="4"/>
    </row>
    <row r="506" spans="94:94">
      <c r="CP506" s="4"/>
    </row>
    <row r="507" spans="94:94">
      <c r="CP507" s="4"/>
    </row>
    <row r="508" spans="94:94">
      <c r="CP508" s="4"/>
    </row>
    <row r="509" spans="94:94">
      <c r="CP509" s="4"/>
    </row>
    <row r="510" spans="94:94">
      <c r="CP510" s="4"/>
    </row>
    <row r="511" spans="94:94">
      <c r="CP511" s="4"/>
    </row>
    <row r="512" spans="94:94">
      <c r="CP512" s="4"/>
    </row>
    <row r="513" spans="94:94">
      <c r="CP513" s="4"/>
    </row>
    <row r="514" spans="94:94">
      <c r="CP514" s="4"/>
    </row>
    <row r="515" spans="94:94">
      <c r="CP515" s="4"/>
    </row>
    <row r="516" spans="94:94">
      <c r="CP516" s="4"/>
    </row>
    <row r="517" spans="94:94">
      <c r="CP517" s="4"/>
    </row>
    <row r="518" spans="94:94">
      <c r="CP518" s="4"/>
    </row>
    <row r="519" spans="94:94">
      <c r="CP519" s="4"/>
    </row>
    <row r="520" spans="94:94">
      <c r="CP520" s="4"/>
    </row>
    <row r="521" spans="94:94">
      <c r="CP521" s="4"/>
    </row>
    <row r="522" spans="94:94">
      <c r="CP522" s="4"/>
    </row>
    <row r="523" spans="94:94">
      <c r="CP523" s="4"/>
    </row>
    <row r="524" spans="94:94">
      <c r="CP524" s="4"/>
    </row>
    <row r="525" spans="94:94">
      <c r="CP525" s="4"/>
    </row>
    <row r="526" spans="94:94">
      <c r="CP526" s="4"/>
    </row>
    <row r="527" spans="94:94">
      <c r="CP527" s="4"/>
    </row>
    <row r="528" spans="94:94">
      <c r="CP528" s="4"/>
    </row>
    <row r="529" spans="94:94">
      <c r="CP529" s="4"/>
    </row>
    <row r="530" spans="94:94">
      <c r="CP530" s="4"/>
    </row>
    <row r="531" spans="94:94">
      <c r="CP531" s="4"/>
    </row>
    <row r="532" spans="94:94">
      <c r="CP532" s="4"/>
    </row>
    <row r="533" spans="94:94">
      <c r="CP533" s="4"/>
    </row>
    <row r="534" spans="94:94">
      <c r="CP534" s="4"/>
    </row>
    <row r="535" spans="94:94">
      <c r="CP535" s="4"/>
    </row>
    <row r="536" spans="94:94">
      <c r="CP536" s="4"/>
    </row>
    <row r="537" spans="94:94">
      <c r="CP537" s="4"/>
    </row>
    <row r="538" spans="94:94">
      <c r="CP538" s="4"/>
    </row>
    <row r="539" spans="94:94">
      <c r="CP539" s="4"/>
    </row>
    <row r="540" spans="94:94">
      <c r="CP540" s="4"/>
    </row>
    <row r="541" spans="94:94">
      <c r="CP541" s="4"/>
    </row>
    <row r="542" spans="94:94">
      <c r="CP542" s="4"/>
    </row>
    <row r="543" spans="94:94">
      <c r="CP543" s="4"/>
    </row>
    <row r="544" spans="94:94">
      <c r="CP544" s="4"/>
    </row>
    <row r="545" spans="94:94">
      <c r="CP545" s="4"/>
    </row>
    <row r="546" spans="94:94">
      <c r="CP546" s="4"/>
    </row>
    <row r="547" spans="94:94">
      <c r="CP547" s="4"/>
    </row>
    <row r="548" spans="94:94">
      <c r="CP548" s="4"/>
    </row>
    <row r="549" spans="94:94">
      <c r="CP549" s="4"/>
    </row>
    <row r="550" spans="94:94">
      <c r="CP550" s="4"/>
    </row>
    <row r="551" spans="94:94">
      <c r="CP551" s="4"/>
    </row>
    <row r="552" spans="94:94">
      <c r="CP552" s="4"/>
    </row>
    <row r="553" spans="94:94">
      <c r="CP553" s="4"/>
    </row>
    <row r="554" spans="94:94">
      <c r="CP554" s="4"/>
    </row>
    <row r="555" spans="94:94">
      <c r="CP555" s="4"/>
    </row>
    <row r="556" spans="94:94">
      <c r="CP556" s="4"/>
    </row>
    <row r="557" spans="94:94">
      <c r="CP557" s="4"/>
    </row>
    <row r="558" spans="94:94">
      <c r="CP558" s="4"/>
    </row>
    <row r="559" spans="94:94">
      <c r="CP559" s="4"/>
    </row>
    <row r="560" spans="94:94">
      <c r="CP560" s="4"/>
    </row>
    <row r="561" spans="94:94">
      <c r="CP561" s="4"/>
    </row>
    <row r="562" spans="94:94">
      <c r="CP562" s="4"/>
    </row>
    <row r="563" spans="94:94">
      <c r="CP563" s="4"/>
    </row>
    <row r="564" spans="94:94">
      <c r="CP564" s="4"/>
    </row>
    <row r="565" spans="94:94">
      <c r="CP565" s="4"/>
    </row>
    <row r="566" spans="94:94">
      <c r="CP566" s="4"/>
    </row>
    <row r="567" spans="94:94">
      <c r="CP567" s="4"/>
    </row>
    <row r="568" spans="94:94">
      <c r="CP568" s="4"/>
    </row>
    <row r="569" spans="94:94">
      <c r="CP569" s="4"/>
    </row>
    <row r="570" spans="94:94">
      <c r="CP570" s="4"/>
    </row>
    <row r="571" spans="94:94">
      <c r="CP571" s="4"/>
    </row>
    <row r="572" spans="94:94">
      <c r="CP572" s="4"/>
    </row>
    <row r="573" spans="94:94">
      <c r="CP573" s="4"/>
    </row>
    <row r="574" spans="94:94">
      <c r="CP574" s="4"/>
    </row>
    <row r="575" spans="94:94">
      <c r="CP575" s="4"/>
    </row>
    <row r="576" spans="94:94">
      <c r="CP576" s="4"/>
    </row>
    <row r="577" spans="94:94">
      <c r="CP577" s="4"/>
    </row>
    <row r="578" spans="94:94">
      <c r="CP578" s="4"/>
    </row>
    <row r="579" spans="94:94">
      <c r="CP579" s="4"/>
    </row>
    <row r="580" spans="94:94">
      <c r="CP580" s="4"/>
    </row>
    <row r="581" spans="94:94">
      <c r="CP581" s="4"/>
    </row>
    <row r="582" spans="94:94">
      <c r="CP582" s="4"/>
    </row>
    <row r="583" spans="94:94">
      <c r="CP583" s="4"/>
    </row>
    <row r="584" spans="94:94">
      <c r="CP584" s="4"/>
    </row>
    <row r="585" spans="94:94">
      <c r="CP585" s="4"/>
    </row>
    <row r="586" spans="94:94">
      <c r="CP586" s="4"/>
    </row>
    <row r="587" spans="94:94">
      <c r="CP587" s="4"/>
    </row>
    <row r="588" spans="94:94">
      <c r="CP588" s="4"/>
    </row>
    <row r="589" spans="94:94">
      <c r="CP589" s="4"/>
    </row>
    <row r="590" spans="94:94">
      <c r="CP590" s="4"/>
    </row>
    <row r="591" spans="94:94">
      <c r="CP591" s="4"/>
    </row>
    <row r="592" spans="94:94">
      <c r="CP592" s="4"/>
    </row>
    <row r="593" spans="94:94">
      <c r="CP593" s="4"/>
    </row>
    <row r="594" spans="94:94">
      <c r="CP594" s="4"/>
    </row>
    <row r="595" spans="94:94">
      <c r="CP595" s="4"/>
    </row>
    <row r="596" spans="94:94">
      <c r="CP596" s="4"/>
    </row>
    <row r="597" spans="94:94">
      <c r="CP597" s="4"/>
    </row>
    <row r="598" spans="94:94">
      <c r="CP598" s="4"/>
    </row>
    <row r="599" spans="94:94">
      <c r="CP599" s="4"/>
    </row>
    <row r="600" spans="94:94">
      <c r="CP600" s="4"/>
    </row>
    <row r="601" spans="94:94">
      <c r="CP601" s="4"/>
    </row>
    <row r="602" spans="94:94">
      <c r="CP602" s="4"/>
    </row>
    <row r="603" spans="94:94">
      <c r="CP603" s="4"/>
    </row>
    <row r="604" spans="94:94">
      <c r="CP604" s="4"/>
    </row>
    <row r="605" spans="94:94">
      <c r="CP605" s="4"/>
    </row>
    <row r="606" spans="94:94">
      <c r="CP606" s="4"/>
    </row>
    <row r="607" spans="94:94">
      <c r="CP607" s="4"/>
    </row>
    <row r="608" spans="94:94">
      <c r="CP608" s="4"/>
    </row>
    <row r="609" spans="94:94">
      <c r="CP609" s="4"/>
    </row>
    <row r="610" spans="94:94">
      <c r="CP610" s="4"/>
    </row>
    <row r="611" spans="94:94">
      <c r="CP611" s="4"/>
    </row>
    <row r="612" spans="94:94">
      <c r="CP612" s="4"/>
    </row>
    <row r="613" spans="94:94">
      <c r="CP613" s="4"/>
    </row>
    <row r="614" spans="94:94">
      <c r="CP614" s="4"/>
    </row>
    <row r="615" spans="94:94">
      <c r="CP615" s="4"/>
    </row>
    <row r="616" spans="94:94">
      <c r="CP616" s="4"/>
    </row>
    <row r="617" spans="94:94">
      <c r="CP617" s="4"/>
    </row>
    <row r="618" spans="94:94">
      <c r="CP618" s="4"/>
    </row>
    <row r="619" spans="94:94">
      <c r="CP619" s="4"/>
    </row>
    <row r="620" spans="94:94">
      <c r="CP620" s="4"/>
    </row>
    <row r="621" spans="94:94">
      <c r="CP621" s="4"/>
    </row>
    <row r="622" spans="94:94">
      <c r="CP622" s="4"/>
    </row>
    <row r="623" spans="94:94">
      <c r="CP623" s="4"/>
    </row>
    <row r="624" spans="94:94">
      <c r="CP624" s="4"/>
    </row>
    <row r="625" spans="94:94">
      <c r="CP625" s="4"/>
    </row>
    <row r="626" spans="94:94">
      <c r="CP626" s="4"/>
    </row>
    <row r="627" spans="94:94">
      <c r="CP627" s="4"/>
    </row>
    <row r="628" spans="94:94">
      <c r="CP628" s="4"/>
    </row>
    <row r="629" spans="94:94">
      <c r="CP629" s="4"/>
    </row>
    <row r="630" spans="94:94">
      <c r="CP630" s="4"/>
    </row>
    <row r="631" spans="94:94">
      <c r="CP631" s="4"/>
    </row>
    <row r="632" spans="94:94">
      <c r="CP632" s="4"/>
    </row>
    <row r="633" spans="94:94">
      <c r="CP633" s="4"/>
    </row>
    <row r="634" spans="94:94">
      <c r="CP634" s="4"/>
    </row>
    <row r="635" spans="94:94">
      <c r="CP635" s="4"/>
    </row>
    <row r="636" spans="94:94">
      <c r="CP636" s="4"/>
    </row>
    <row r="637" spans="94:94">
      <c r="CP637" s="4"/>
    </row>
    <row r="638" spans="94:94">
      <c r="CP638" s="4"/>
    </row>
    <row r="639" spans="94:94">
      <c r="CP639" s="4"/>
    </row>
    <row r="640" spans="94:94">
      <c r="CP640" s="4"/>
    </row>
    <row r="641" spans="94:94">
      <c r="CP641" s="4"/>
    </row>
    <row r="642" spans="94:94">
      <c r="CP642" s="4"/>
    </row>
    <row r="643" spans="94:94">
      <c r="CP643" s="4"/>
    </row>
    <row r="644" spans="94:94">
      <c r="CP644" s="4"/>
    </row>
    <row r="645" spans="94:94">
      <c r="CP645" s="4"/>
    </row>
    <row r="646" spans="94:94">
      <c r="CP646" s="4"/>
    </row>
    <row r="647" spans="94:94">
      <c r="CP647" s="4"/>
    </row>
    <row r="648" spans="94:94">
      <c r="CP648" s="4"/>
    </row>
    <row r="649" spans="94:94">
      <c r="CP649" s="4"/>
    </row>
    <row r="650" spans="94:94">
      <c r="CP650" s="4"/>
    </row>
    <row r="651" spans="94:94">
      <c r="CP651" s="4"/>
    </row>
    <row r="652" spans="94:94">
      <c r="CP652" s="4"/>
    </row>
    <row r="653" spans="94:94">
      <c r="CP653" s="4"/>
    </row>
    <row r="654" spans="94:94">
      <c r="CP654" s="4"/>
    </row>
    <row r="655" spans="94:94">
      <c r="CP655" s="4"/>
    </row>
    <row r="656" spans="94:94">
      <c r="CP656" s="4"/>
    </row>
    <row r="657" spans="94:94">
      <c r="CP657" s="4"/>
    </row>
    <row r="658" spans="94:94">
      <c r="CP658" s="4"/>
    </row>
    <row r="659" spans="94:94">
      <c r="CP659" s="4"/>
    </row>
    <row r="660" spans="94:94">
      <c r="CP660" s="4"/>
    </row>
    <row r="661" spans="94:94">
      <c r="CP661" s="4"/>
    </row>
    <row r="662" spans="94:94">
      <c r="CP662" s="4"/>
    </row>
    <row r="663" spans="94:94">
      <c r="CP663" s="4"/>
    </row>
    <row r="664" spans="94:94">
      <c r="CP664" s="4"/>
    </row>
    <row r="665" spans="94:94">
      <c r="CP665" s="4"/>
    </row>
    <row r="666" spans="94:94">
      <c r="CP666" s="4"/>
    </row>
    <row r="667" spans="94:94">
      <c r="CP667" s="4"/>
    </row>
    <row r="668" spans="94:94">
      <c r="CP668" s="4"/>
    </row>
    <row r="669" spans="94:94">
      <c r="CP669" s="4"/>
    </row>
    <row r="670" spans="94:94">
      <c r="CP670" s="4"/>
    </row>
    <row r="671" spans="94:94">
      <c r="CP671" s="4"/>
    </row>
    <row r="672" spans="94:94">
      <c r="CP672" s="4"/>
    </row>
    <row r="673" spans="94:94">
      <c r="CP673" s="4"/>
    </row>
    <row r="674" spans="94:94">
      <c r="CP674" s="4"/>
    </row>
    <row r="675" spans="94:94">
      <c r="CP675" s="4"/>
    </row>
    <row r="676" spans="94:94">
      <c r="CP676" s="4"/>
    </row>
    <row r="677" spans="94:94">
      <c r="CP677" s="4"/>
    </row>
    <row r="678" spans="94:94">
      <c r="CP678" s="4"/>
    </row>
    <row r="679" spans="94:94">
      <c r="CP679" s="4"/>
    </row>
    <row r="680" spans="94:94">
      <c r="CP680" s="4"/>
    </row>
    <row r="681" spans="94:94">
      <c r="CP681" s="4"/>
    </row>
    <row r="682" spans="94:94">
      <c r="CP682" s="4"/>
    </row>
    <row r="683" spans="94:94">
      <c r="CP683" s="4"/>
    </row>
    <row r="684" spans="94:94">
      <c r="CP684" s="4"/>
    </row>
    <row r="685" spans="94:94">
      <c r="CP685" s="4"/>
    </row>
    <row r="686" spans="94:94">
      <c r="CP686" s="4"/>
    </row>
    <row r="687" spans="94:94">
      <c r="CP687" s="4"/>
    </row>
    <row r="688" spans="94:94">
      <c r="CP688" s="4"/>
    </row>
    <row r="689" spans="94:94">
      <c r="CP689" s="4"/>
    </row>
    <row r="690" spans="94:94">
      <c r="CP690" s="4"/>
    </row>
    <row r="691" spans="94:94">
      <c r="CP691" s="4"/>
    </row>
    <row r="692" spans="94:94">
      <c r="CP692" s="4"/>
    </row>
    <row r="693" spans="94:94">
      <c r="CP693" s="4"/>
    </row>
    <row r="694" spans="94:94">
      <c r="CP694" s="4"/>
    </row>
    <row r="695" spans="94:94">
      <c r="CP695" s="4"/>
    </row>
    <row r="696" spans="94:94">
      <c r="CP696" s="4"/>
    </row>
    <row r="697" spans="94:94">
      <c r="CP697" s="4"/>
    </row>
    <row r="698" spans="94:94">
      <c r="CP698" s="4"/>
    </row>
    <row r="699" spans="94:94">
      <c r="CP699" s="4"/>
    </row>
    <row r="700" spans="94:94">
      <c r="CP700" s="4"/>
    </row>
    <row r="701" spans="94:94">
      <c r="CP701" s="4"/>
    </row>
    <row r="702" spans="94:94">
      <c r="CP702" s="4"/>
    </row>
    <row r="703" spans="94:94">
      <c r="CP703" s="4"/>
    </row>
    <row r="704" spans="94:94">
      <c r="CP704" s="4"/>
    </row>
    <row r="705" spans="94:94">
      <c r="CP705" s="4"/>
    </row>
    <row r="706" spans="94:94">
      <c r="CP706" s="4"/>
    </row>
    <row r="707" spans="94:94">
      <c r="CP707" s="4"/>
    </row>
    <row r="708" spans="94:94">
      <c r="CP708" s="4"/>
    </row>
    <row r="709" spans="94:94">
      <c r="CP709" s="4"/>
    </row>
    <row r="710" spans="94:94">
      <c r="CP710" s="4"/>
    </row>
    <row r="711" spans="94:94">
      <c r="CP711" s="4"/>
    </row>
    <row r="712" spans="94:94">
      <c r="CP712" s="4"/>
    </row>
    <row r="713" spans="94:94">
      <c r="CP713" s="4"/>
    </row>
    <row r="714" spans="94:94">
      <c r="CP714" s="4"/>
    </row>
    <row r="715" spans="94:94">
      <c r="CP715" s="4"/>
    </row>
    <row r="716" spans="94:94">
      <c r="CP716" s="4"/>
    </row>
    <row r="717" spans="94:94">
      <c r="CP717" s="4"/>
    </row>
    <row r="718" spans="94:94">
      <c r="CP718" s="4"/>
    </row>
    <row r="719" spans="94:94">
      <c r="CP719" s="4"/>
    </row>
    <row r="720" spans="94:94">
      <c r="CP720" s="4"/>
    </row>
    <row r="721" spans="94:94">
      <c r="CP721" s="4"/>
    </row>
    <row r="722" spans="94:94">
      <c r="CP722" s="4"/>
    </row>
    <row r="723" spans="94:94">
      <c r="CP723" s="4"/>
    </row>
    <row r="724" spans="94:94">
      <c r="CP724" s="4"/>
    </row>
    <row r="725" spans="94:94">
      <c r="CP725" s="4"/>
    </row>
    <row r="726" spans="94:94">
      <c r="CP726" s="4"/>
    </row>
    <row r="727" spans="94:94">
      <c r="CP727" s="4"/>
    </row>
    <row r="728" spans="94:94">
      <c r="CP728" s="4"/>
    </row>
    <row r="729" spans="94:94">
      <c r="CP729" s="4"/>
    </row>
    <row r="730" spans="94:94">
      <c r="CP730" s="4"/>
    </row>
    <row r="731" spans="94:94">
      <c r="CP731" s="4"/>
    </row>
    <row r="732" spans="94:94">
      <c r="CP732" s="4"/>
    </row>
    <row r="733" spans="94:94">
      <c r="CP733" s="4"/>
    </row>
    <row r="734" spans="94:94">
      <c r="CP734" s="4"/>
    </row>
    <row r="735" spans="94:94">
      <c r="CP735" s="4"/>
    </row>
    <row r="736" spans="94:94">
      <c r="CP736" s="4"/>
    </row>
    <row r="737" spans="94:94">
      <c r="CP737" s="4"/>
    </row>
    <row r="738" spans="94:94">
      <c r="CP738" s="4"/>
    </row>
    <row r="739" spans="94:94">
      <c r="CP739" s="4"/>
    </row>
    <row r="740" spans="94:94">
      <c r="CP740" s="4"/>
    </row>
    <row r="741" spans="94:94">
      <c r="CP741" s="4"/>
    </row>
    <row r="742" spans="94:94">
      <c r="CP742" s="4"/>
    </row>
    <row r="743" spans="94:94">
      <c r="CP743" s="4"/>
    </row>
    <row r="744" spans="94:94">
      <c r="CP744" s="4"/>
    </row>
    <row r="745" spans="94:94">
      <c r="CP745" s="4"/>
    </row>
    <row r="746" spans="94:94">
      <c r="CP746" s="4"/>
    </row>
    <row r="747" spans="94:94">
      <c r="CP747" s="4"/>
    </row>
    <row r="748" spans="94:94">
      <c r="CP748" s="4"/>
    </row>
    <row r="749" spans="94:94">
      <c r="CP749" s="4"/>
    </row>
    <row r="750" spans="94:94">
      <c r="CP750" s="4"/>
    </row>
    <row r="751" spans="94:94">
      <c r="CP751" s="4"/>
    </row>
    <row r="752" spans="94:94">
      <c r="CP752" s="4"/>
    </row>
    <row r="753" spans="94:94">
      <c r="CP753" s="4"/>
    </row>
    <row r="754" spans="94:94">
      <c r="CP754" s="4"/>
    </row>
    <row r="755" spans="94:94">
      <c r="CP755" s="4"/>
    </row>
    <row r="756" spans="94:94">
      <c r="CP756" s="4"/>
    </row>
    <row r="757" spans="94:94">
      <c r="CP757" s="4"/>
    </row>
    <row r="758" spans="94:94">
      <c r="CP758" s="4"/>
    </row>
    <row r="759" spans="94:94">
      <c r="CP759" s="4"/>
    </row>
    <row r="760" spans="94:94">
      <c r="CP760" s="4"/>
    </row>
    <row r="761" spans="94:94">
      <c r="CP761" s="4"/>
    </row>
    <row r="762" spans="94:94">
      <c r="CP762" s="4"/>
    </row>
    <row r="763" spans="94:94">
      <c r="CP763" s="4"/>
    </row>
    <row r="764" spans="94:94">
      <c r="CP764" s="4"/>
    </row>
    <row r="765" spans="94:94">
      <c r="CP765" s="4"/>
    </row>
    <row r="766" spans="94:94">
      <c r="CP766" s="4"/>
    </row>
    <row r="767" spans="94:94">
      <c r="CP767" s="4"/>
    </row>
    <row r="768" spans="94:94">
      <c r="CP768" s="4"/>
    </row>
    <row r="769" spans="94:94">
      <c r="CP769" s="4"/>
    </row>
    <row r="770" spans="94:94">
      <c r="CP770" s="4"/>
    </row>
    <row r="771" spans="94:94">
      <c r="CP771" s="4"/>
    </row>
    <row r="772" spans="94:94">
      <c r="CP772" s="4"/>
    </row>
    <row r="773" spans="94:94">
      <c r="CP773" s="4"/>
    </row>
    <row r="774" spans="94:94">
      <c r="CP774" s="4"/>
    </row>
    <row r="775" spans="94:94">
      <c r="CP775" s="4"/>
    </row>
    <row r="776" spans="94:94">
      <c r="CP776" s="4"/>
    </row>
    <row r="777" spans="94:94">
      <c r="CP777" s="4"/>
    </row>
    <row r="778" spans="94:94">
      <c r="CP778" s="4"/>
    </row>
    <row r="779" spans="94:94">
      <c r="CP779" s="4"/>
    </row>
    <row r="780" spans="94:94">
      <c r="CP780" s="4"/>
    </row>
    <row r="781" spans="94:94">
      <c r="CP781" s="4"/>
    </row>
    <row r="782" spans="94:94">
      <c r="CP782" s="4"/>
    </row>
    <row r="783" spans="94:94">
      <c r="CP783" s="4"/>
    </row>
    <row r="784" spans="94:94">
      <c r="CP784" s="4"/>
    </row>
    <row r="785" spans="94:94">
      <c r="CP785" s="4"/>
    </row>
    <row r="786" spans="94:94">
      <c r="CP786" s="4"/>
    </row>
    <row r="787" spans="94:94">
      <c r="CP787" s="4"/>
    </row>
    <row r="788" spans="94:94">
      <c r="CP788" s="4"/>
    </row>
    <row r="789" spans="94:94">
      <c r="CP789" s="4"/>
    </row>
    <row r="790" spans="94:94">
      <c r="CP790" s="4"/>
    </row>
    <row r="791" spans="94:94">
      <c r="CP791" s="4"/>
    </row>
    <row r="792" spans="94:94">
      <c r="CP792" s="4"/>
    </row>
    <row r="793" spans="94:94">
      <c r="CP793" s="4"/>
    </row>
    <row r="794" spans="94:94">
      <c r="CP794" s="4"/>
    </row>
    <row r="795" spans="94:94">
      <c r="CP795" s="4"/>
    </row>
    <row r="796" spans="94:94">
      <c r="CP796" s="4"/>
    </row>
    <row r="797" spans="94:94">
      <c r="CP797" s="4"/>
    </row>
    <row r="798" spans="94:94">
      <c r="CP798" s="4"/>
    </row>
    <row r="799" spans="94:94">
      <c r="CP799" s="4"/>
    </row>
    <row r="800" spans="94:94">
      <c r="CP800" s="4"/>
    </row>
    <row r="801" spans="94:94">
      <c r="CP801" s="4"/>
    </row>
    <row r="802" spans="94:94">
      <c r="CP802" s="4"/>
    </row>
    <row r="803" spans="94:94">
      <c r="CP803" s="4"/>
    </row>
    <row r="804" spans="94:94">
      <c r="CP804" s="4"/>
    </row>
    <row r="805" spans="94:94">
      <c r="CP805" s="4"/>
    </row>
    <row r="806" spans="94:94">
      <c r="CP806" s="4"/>
    </row>
    <row r="807" spans="94:94">
      <c r="CP807" s="4"/>
    </row>
    <row r="808" spans="94:94">
      <c r="CP808" s="4"/>
    </row>
    <row r="809" spans="94:94">
      <c r="CP809" s="4"/>
    </row>
    <row r="810" spans="94:94">
      <c r="CP810" s="4"/>
    </row>
    <row r="811" spans="94:94">
      <c r="CP811" s="4"/>
    </row>
    <row r="812" spans="94:94">
      <c r="CP812" s="4"/>
    </row>
    <row r="813" spans="94:94">
      <c r="CP813" s="4"/>
    </row>
    <row r="814" spans="94:94">
      <c r="CP814" s="4"/>
    </row>
    <row r="815" spans="94:94">
      <c r="CP815" s="4"/>
    </row>
    <row r="816" spans="94:94">
      <c r="CP816" s="4"/>
    </row>
    <row r="817" spans="94:94">
      <c r="CP817" s="4"/>
    </row>
    <row r="818" spans="94:94">
      <c r="CP818" s="4"/>
    </row>
    <row r="819" spans="94:94">
      <c r="CP819" s="4"/>
    </row>
    <row r="820" spans="94:94">
      <c r="CP820" s="4"/>
    </row>
    <row r="821" spans="94:94">
      <c r="CP821" s="4"/>
    </row>
    <row r="822" spans="94:94">
      <c r="CP822" s="4"/>
    </row>
    <row r="823" spans="94:94">
      <c r="CP823" s="4"/>
    </row>
    <row r="824" spans="94:94">
      <c r="CP824" s="4"/>
    </row>
    <row r="825" spans="94:94">
      <c r="CP825" s="4"/>
    </row>
    <row r="826" spans="94:94">
      <c r="CP826" s="4"/>
    </row>
    <row r="827" spans="94:94">
      <c r="CP827" s="4"/>
    </row>
    <row r="828" spans="94:94">
      <c r="CP828" s="4"/>
    </row>
    <row r="829" spans="94:94">
      <c r="CP829" s="4"/>
    </row>
    <row r="830" spans="94:94">
      <c r="CP830" s="4"/>
    </row>
    <row r="831" spans="94:94">
      <c r="CP831" s="4"/>
    </row>
    <row r="832" spans="94:94">
      <c r="CP832" s="4"/>
    </row>
    <row r="833" spans="94:94">
      <c r="CP833" s="4"/>
    </row>
    <row r="834" spans="94:94">
      <c r="CP834" s="4"/>
    </row>
    <row r="835" spans="94:94">
      <c r="CP835" s="4"/>
    </row>
    <row r="836" spans="94:94">
      <c r="CP836" s="4"/>
    </row>
    <row r="837" spans="94:94">
      <c r="CP837" s="4"/>
    </row>
    <row r="838" spans="94:94">
      <c r="CP838" s="4"/>
    </row>
    <row r="839" spans="94:94">
      <c r="CP839" s="4"/>
    </row>
    <row r="840" spans="94:94">
      <c r="CP840" s="4"/>
    </row>
    <row r="841" spans="94:94">
      <c r="CP841" s="4"/>
    </row>
    <row r="842" spans="94:94">
      <c r="CP842" s="4"/>
    </row>
    <row r="843" spans="94:94">
      <c r="CP843" s="4"/>
    </row>
    <row r="844" spans="94:94">
      <c r="CP844" s="4"/>
    </row>
    <row r="845" spans="94:94">
      <c r="CP845" s="4"/>
    </row>
    <row r="846" spans="94:94">
      <c r="CP846" s="4"/>
    </row>
    <row r="847" spans="94:94">
      <c r="CP847" s="4"/>
    </row>
    <row r="848" spans="94:94">
      <c r="CP848" s="4"/>
    </row>
    <row r="849" spans="94:94">
      <c r="CP849" s="4"/>
    </row>
    <row r="850" spans="94:94">
      <c r="CP850" s="4"/>
    </row>
    <row r="851" spans="94:94">
      <c r="CP851" s="4"/>
    </row>
    <row r="852" spans="94:94">
      <c r="CP852" s="4"/>
    </row>
    <row r="853" spans="94:94">
      <c r="CP853" s="4"/>
    </row>
    <row r="854" spans="94:94">
      <c r="CP854" s="4"/>
    </row>
    <row r="855" spans="94:94">
      <c r="CP855" s="4"/>
    </row>
    <row r="856" spans="94:94">
      <c r="CP856" s="4"/>
    </row>
    <row r="857" spans="94:94">
      <c r="CP857" s="4"/>
    </row>
    <row r="858" spans="94:94">
      <c r="CP858" s="4"/>
    </row>
    <row r="859" spans="94:94">
      <c r="CP859" s="4"/>
    </row>
    <row r="860" spans="94:94">
      <c r="CP860" s="4"/>
    </row>
    <row r="861" spans="94:94">
      <c r="CP861" s="4"/>
    </row>
    <row r="862" spans="94:94">
      <c r="CP862" s="4"/>
    </row>
    <row r="863" spans="94:94">
      <c r="CP863" s="4"/>
    </row>
    <row r="864" spans="94:94">
      <c r="CP864" s="4"/>
    </row>
    <row r="865" spans="94:94">
      <c r="CP865" s="4"/>
    </row>
    <row r="866" spans="94:94">
      <c r="CP866" s="4"/>
    </row>
    <row r="867" spans="94:94">
      <c r="CP867" s="4"/>
    </row>
    <row r="868" spans="94:94">
      <c r="CP868" s="4"/>
    </row>
    <row r="869" spans="94:94">
      <c r="CP869" s="4"/>
    </row>
    <row r="870" spans="94:94">
      <c r="CP870" s="4"/>
    </row>
    <row r="871" spans="94:94">
      <c r="CP871" s="4"/>
    </row>
    <row r="872" spans="94:94">
      <c r="CP872" s="4"/>
    </row>
    <row r="873" spans="94:94">
      <c r="CP873" s="4"/>
    </row>
    <row r="874" spans="94:94">
      <c r="CP874" s="4"/>
    </row>
    <row r="875" spans="94:94">
      <c r="CP875" s="4"/>
    </row>
    <row r="876" spans="94:94">
      <c r="CP876" s="4"/>
    </row>
    <row r="877" spans="94:94">
      <c r="CP877" s="4"/>
    </row>
    <row r="878" spans="94:94">
      <c r="CP878" s="4"/>
    </row>
    <row r="879" spans="94:94">
      <c r="CP879" s="4"/>
    </row>
    <row r="880" spans="94:94">
      <c r="CP880" s="4"/>
    </row>
    <row r="881" spans="94:94">
      <c r="CP881" s="4"/>
    </row>
    <row r="882" spans="94:94">
      <c r="CP882" s="4"/>
    </row>
    <row r="883" spans="94:94">
      <c r="CP883" s="4"/>
    </row>
    <row r="884" spans="94:94">
      <c r="CP884" s="4"/>
    </row>
    <row r="885" spans="94:94">
      <c r="CP885" s="4"/>
    </row>
    <row r="886" spans="94:94">
      <c r="CP886" s="4"/>
    </row>
    <row r="887" spans="94:94">
      <c r="CP887" s="4"/>
    </row>
    <row r="888" spans="94:94">
      <c r="CP888" s="4"/>
    </row>
    <row r="889" spans="94:94">
      <c r="CP889" s="4"/>
    </row>
    <row r="890" spans="94:94">
      <c r="CP890" s="4"/>
    </row>
    <row r="891" spans="94:94">
      <c r="CP891" s="4"/>
    </row>
    <row r="892" spans="94:94">
      <c r="CP892" s="4"/>
    </row>
    <row r="893" spans="94:94">
      <c r="CP893" s="4"/>
    </row>
    <row r="894" spans="94:94">
      <c r="CP894" s="4"/>
    </row>
    <row r="895" spans="94:94">
      <c r="CP895" s="4"/>
    </row>
    <row r="896" spans="94:94">
      <c r="CP896" s="4"/>
    </row>
    <row r="897" spans="94:94">
      <c r="CP897" s="4"/>
    </row>
    <row r="898" spans="94:94">
      <c r="CP898" s="4"/>
    </row>
    <row r="899" spans="94:94">
      <c r="CP899" s="4"/>
    </row>
    <row r="900" spans="94:94">
      <c r="CP900" s="4"/>
    </row>
    <row r="901" spans="94:94">
      <c r="CP901" s="4"/>
    </row>
    <row r="902" spans="94:94">
      <c r="CP902" s="4"/>
    </row>
    <row r="903" spans="94:94">
      <c r="CP903" s="4"/>
    </row>
    <row r="904" spans="94:94">
      <c r="CP904" s="4"/>
    </row>
    <row r="905" spans="94:94">
      <c r="CP905" s="4"/>
    </row>
    <row r="906" spans="94:94">
      <c r="CP906" s="4"/>
    </row>
    <row r="907" spans="94:94">
      <c r="CP907" s="4"/>
    </row>
    <row r="908" spans="94:94">
      <c r="CP908" s="4"/>
    </row>
    <row r="909" spans="94:94">
      <c r="CP909" s="4"/>
    </row>
    <row r="910" spans="94:94">
      <c r="CP910" s="4"/>
    </row>
    <row r="911" spans="94:94">
      <c r="CP911" s="4"/>
    </row>
    <row r="912" spans="94:94">
      <c r="CP912" s="4"/>
    </row>
    <row r="913" spans="94:94">
      <c r="CP913" s="4"/>
    </row>
    <row r="914" spans="94:94">
      <c r="CP914" s="4"/>
    </row>
    <row r="915" spans="94:94">
      <c r="CP915" s="4"/>
    </row>
    <row r="916" spans="94:94">
      <c r="CP916" s="4"/>
    </row>
    <row r="917" spans="94:94">
      <c r="CP917" s="4"/>
    </row>
    <row r="918" spans="94:94">
      <c r="CP918" s="4"/>
    </row>
    <row r="919" spans="94:94">
      <c r="CP919" s="4"/>
    </row>
    <row r="920" spans="94:94">
      <c r="CP920" s="4"/>
    </row>
    <row r="921" spans="94:94">
      <c r="CP921" s="4"/>
    </row>
    <row r="922" spans="94:94">
      <c r="CP922" s="4"/>
    </row>
    <row r="923" spans="94:94">
      <c r="CP923" s="4"/>
    </row>
    <row r="924" spans="94:94">
      <c r="CP924" s="4"/>
    </row>
    <row r="925" spans="94:94">
      <c r="CP925" s="4"/>
    </row>
    <row r="926" spans="94:94">
      <c r="CP926" s="4"/>
    </row>
    <row r="927" spans="94:94">
      <c r="CP927" s="4"/>
    </row>
    <row r="928" spans="94:94">
      <c r="CP928" s="4"/>
    </row>
    <row r="929" spans="94:94">
      <c r="CP929" s="4"/>
    </row>
    <row r="930" spans="94:94">
      <c r="CP930" s="4"/>
    </row>
    <row r="931" spans="94:94">
      <c r="CP931" s="4"/>
    </row>
    <row r="932" spans="94:94">
      <c r="CP932" s="4"/>
    </row>
    <row r="933" spans="94:94">
      <c r="CP933" s="4"/>
    </row>
    <row r="934" spans="94:94">
      <c r="CP934" s="4"/>
    </row>
    <row r="935" spans="94:94">
      <c r="CP935" s="4"/>
    </row>
    <row r="936" spans="94:94">
      <c r="CP936" s="4"/>
    </row>
    <row r="937" spans="94:94">
      <c r="CP937" s="4"/>
    </row>
    <row r="938" spans="94:94">
      <c r="CP938" s="4"/>
    </row>
    <row r="939" spans="94:94">
      <c r="CP939" s="4"/>
    </row>
    <row r="940" spans="94:94">
      <c r="CP940" s="4"/>
    </row>
    <row r="941" spans="94:94">
      <c r="CP941" s="4"/>
    </row>
    <row r="942" spans="94:94">
      <c r="CP942" s="4"/>
    </row>
    <row r="943" spans="94:94">
      <c r="CP943" s="4"/>
    </row>
    <row r="944" spans="94:94">
      <c r="CP944" s="4"/>
    </row>
    <row r="945" spans="94:94">
      <c r="CP945" s="4"/>
    </row>
    <row r="946" spans="94:94">
      <c r="CP946" s="4"/>
    </row>
    <row r="947" spans="94:94">
      <c r="CP947" s="4"/>
    </row>
    <row r="948" spans="94:94">
      <c r="CP948" s="4"/>
    </row>
    <row r="949" spans="94:94">
      <c r="CP949" s="4"/>
    </row>
    <row r="950" spans="94:94">
      <c r="CP950" s="4"/>
    </row>
    <row r="951" spans="94:94">
      <c r="CP951" s="4"/>
    </row>
    <row r="952" spans="94:94">
      <c r="CP952" s="4"/>
    </row>
    <row r="953" spans="94:94">
      <c r="CP953" s="4"/>
    </row>
    <row r="954" spans="94:94">
      <c r="CP954" s="4"/>
    </row>
    <row r="955" spans="94:94">
      <c r="CP955" s="4"/>
    </row>
    <row r="956" spans="94:94">
      <c r="CP956" s="4"/>
    </row>
    <row r="957" spans="94:94">
      <c r="CP957" s="4"/>
    </row>
    <row r="958" spans="94:94">
      <c r="CP958" s="4"/>
    </row>
    <row r="959" spans="94:94">
      <c r="CP959" s="4"/>
    </row>
    <row r="960" spans="94:94">
      <c r="CP960" s="4"/>
    </row>
    <row r="961" spans="94:94">
      <c r="CP961" s="4"/>
    </row>
    <row r="962" spans="94:94">
      <c r="CP962" s="4"/>
    </row>
    <row r="963" spans="94:94">
      <c r="CP963" s="4"/>
    </row>
    <row r="964" spans="94:94">
      <c r="CP964" s="4"/>
    </row>
    <row r="965" spans="94:94">
      <c r="CP965" s="4"/>
    </row>
    <row r="966" spans="94:94">
      <c r="CP966" s="4"/>
    </row>
    <row r="967" spans="94:94">
      <c r="CP967" s="4"/>
    </row>
    <row r="968" spans="94:94">
      <c r="CP968" s="4"/>
    </row>
    <row r="969" spans="94:94">
      <c r="CP969" s="4"/>
    </row>
    <row r="970" spans="94:94">
      <c r="CP970" s="4"/>
    </row>
    <row r="971" spans="94:94">
      <c r="CP971" s="4"/>
    </row>
    <row r="972" spans="94:94">
      <c r="CP972" s="4"/>
    </row>
    <row r="973" spans="94:94">
      <c r="CP973" s="4"/>
    </row>
    <row r="974" spans="94:94">
      <c r="CP974" s="4"/>
    </row>
    <row r="975" spans="94:94">
      <c r="CP975" s="4"/>
    </row>
    <row r="976" spans="94:94">
      <c r="CP976" s="4"/>
    </row>
    <row r="977" spans="94:94">
      <c r="CP977" s="4"/>
    </row>
    <row r="978" spans="94:94">
      <c r="CP978" s="4"/>
    </row>
    <row r="979" spans="94:94">
      <c r="CP979" s="4"/>
    </row>
    <row r="980" spans="94:94">
      <c r="CP980" s="4"/>
    </row>
    <row r="981" spans="94:94">
      <c r="CP981" s="4"/>
    </row>
    <row r="982" spans="94:94">
      <c r="CP982" s="4"/>
    </row>
    <row r="983" spans="94:94">
      <c r="CP983" s="4"/>
    </row>
    <row r="984" spans="94:94">
      <c r="CP984" s="4"/>
    </row>
    <row r="985" spans="94:94">
      <c r="CP985" s="4"/>
    </row>
    <row r="986" spans="94:94">
      <c r="CP986" s="4"/>
    </row>
    <row r="987" spans="94:94">
      <c r="CP987" s="4"/>
    </row>
    <row r="988" spans="94:94">
      <c r="CP988" s="4"/>
    </row>
    <row r="989" spans="94:94">
      <c r="CP989" s="4"/>
    </row>
    <row r="990" spans="94:94">
      <c r="CP990" s="4"/>
    </row>
    <row r="991" spans="94:94">
      <c r="CP991" s="4"/>
    </row>
    <row r="992" spans="94:94">
      <c r="CP992" s="4"/>
    </row>
    <row r="993" spans="94:94">
      <c r="CP993" s="4"/>
    </row>
    <row r="994" spans="94:94">
      <c r="CP994" s="4"/>
    </row>
    <row r="995" spans="94:94">
      <c r="CP995" s="4"/>
    </row>
    <row r="996" spans="94:94">
      <c r="CP996" s="4"/>
    </row>
    <row r="997" spans="94:94">
      <c r="CP997" s="4"/>
    </row>
    <row r="998" spans="94:94">
      <c r="CP998" s="4"/>
    </row>
    <row r="999" spans="94:94">
      <c r="CP999" s="4"/>
    </row>
    <row r="1000" spans="94:94">
      <c r="CP1000" s="4"/>
    </row>
    <row r="1001" spans="94:94">
      <c r="CP1001" s="4"/>
    </row>
    <row r="1002" spans="94:94">
      <c r="CP1002" s="4"/>
    </row>
    <row r="1003" spans="94:94">
      <c r="CP1003" s="4"/>
    </row>
    <row r="1004" spans="94:94">
      <c r="CP1004" s="4"/>
    </row>
    <row r="1005" spans="94:94">
      <c r="CP1005" s="4"/>
    </row>
    <row r="1006" spans="94:94">
      <c r="CP1006" s="4"/>
    </row>
    <row r="1007" spans="94:94">
      <c r="CP1007" s="4"/>
    </row>
    <row r="1008" spans="94:94">
      <c r="CP1008" s="4"/>
    </row>
    <row r="1009" spans="94:94">
      <c r="CP1009" s="4"/>
    </row>
    <row r="1010" spans="94:94">
      <c r="CP1010" s="4"/>
    </row>
    <row r="1011" spans="94:94">
      <c r="CP1011" s="4"/>
    </row>
    <row r="1012" spans="94:94">
      <c r="CP1012" s="4"/>
    </row>
    <row r="1013" spans="94:94">
      <c r="CP1013" s="4"/>
    </row>
    <row r="1014" spans="94:94">
      <c r="CP1014" s="4"/>
    </row>
    <row r="1015" spans="94:94">
      <c r="CP1015" s="4"/>
    </row>
    <row r="1016" spans="94:94">
      <c r="CP1016" s="4"/>
    </row>
    <row r="1017" spans="94:94">
      <c r="CP1017" s="4"/>
    </row>
    <row r="1018" spans="94:94">
      <c r="CP1018" s="4"/>
    </row>
    <row r="1019" spans="94:94">
      <c r="CP1019" s="4"/>
    </row>
    <row r="1020" spans="94:94">
      <c r="CP1020" s="4"/>
    </row>
    <row r="1021" spans="94:94">
      <c r="CP1021" s="4"/>
    </row>
    <row r="1022" spans="94:94">
      <c r="CP1022" s="4"/>
    </row>
    <row r="1023" spans="94:94">
      <c r="CP1023" s="4"/>
    </row>
    <row r="1024" spans="94:94">
      <c r="CP1024" s="4"/>
    </row>
    <row r="1025" spans="94:94">
      <c r="CP1025" s="4"/>
    </row>
    <row r="1026" spans="94:94">
      <c r="CP1026" s="4"/>
    </row>
    <row r="1027" spans="94:94">
      <c r="CP1027" s="4"/>
    </row>
    <row r="1028" spans="94:94">
      <c r="CP1028" s="4"/>
    </row>
    <row r="1029" spans="94:94">
      <c r="CP1029" s="4"/>
    </row>
    <row r="1030" spans="94:94">
      <c r="CP1030" s="4"/>
    </row>
    <row r="1031" spans="94:94">
      <c r="CP1031" s="4"/>
    </row>
    <row r="1032" spans="94:94">
      <c r="CP1032" s="4"/>
    </row>
    <row r="1033" spans="94:94">
      <c r="CP1033" s="4"/>
    </row>
    <row r="1034" spans="94:94">
      <c r="CP1034" s="4"/>
    </row>
    <row r="1035" spans="94:94">
      <c r="CP1035" s="4"/>
    </row>
    <row r="1036" spans="94:94">
      <c r="CP1036" s="4"/>
    </row>
    <row r="1037" spans="94:94">
      <c r="CP1037" s="4"/>
    </row>
    <row r="1038" spans="94:94">
      <c r="CP1038" s="4"/>
    </row>
    <row r="1039" spans="94:94">
      <c r="CP1039" s="4"/>
    </row>
    <row r="1040" spans="94:94">
      <c r="CP1040" s="4"/>
    </row>
    <row r="1041" spans="94:94">
      <c r="CP1041" s="4"/>
    </row>
    <row r="1042" spans="94:94">
      <c r="CP1042" s="4"/>
    </row>
    <row r="1043" spans="94:94">
      <c r="CP1043" s="4"/>
    </row>
    <row r="1044" spans="94:94">
      <c r="CP1044" s="4"/>
    </row>
    <row r="1045" spans="94:94">
      <c r="CP1045" s="4"/>
    </row>
    <row r="1046" spans="94:94">
      <c r="CP1046" s="4"/>
    </row>
    <row r="1047" spans="94:94">
      <c r="CP1047" s="4"/>
    </row>
    <row r="1048" spans="94:94">
      <c r="CP1048" s="4"/>
    </row>
    <row r="1049" spans="94:94">
      <c r="CP1049" s="4"/>
    </row>
    <row r="1050" spans="94:94">
      <c r="CP1050" s="4"/>
    </row>
    <row r="1051" spans="94:94">
      <c r="CP1051" s="4"/>
    </row>
    <row r="1052" spans="94:94">
      <c r="CP1052" s="4"/>
    </row>
    <row r="1053" spans="94:94">
      <c r="CP1053" s="4"/>
    </row>
    <row r="1054" spans="94:94">
      <c r="CP1054" s="4"/>
    </row>
    <row r="1055" spans="94:94">
      <c r="CP1055" s="4"/>
    </row>
    <row r="1056" spans="94:94">
      <c r="CP1056" s="4"/>
    </row>
    <row r="1057" spans="94:94">
      <c r="CP1057" s="4"/>
    </row>
    <row r="1058" spans="94:94">
      <c r="CP1058" s="4"/>
    </row>
    <row r="1059" spans="94:94">
      <c r="CP1059" s="4"/>
    </row>
    <row r="1060" spans="94:94">
      <c r="CP1060" s="4"/>
    </row>
    <row r="1061" spans="94:94">
      <c r="CP1061" s="4"/>
    </row>
    <row r="1062" spans="94:94">
      <c r="CP1062" s="4"/>
    </row>
    <row r="1063" spans="94:94">
      <c r="CP1063" s="4"/>
    </row>
    <row r="1064" spans="94:94">
      <c r="CP1064" s="4"/>
    </row>
    <row r="1065" spans="94:94">
      <c r="CP1065" s="4"/>
    </row>
    <row r="1066" spans="94:94">
      <c r="CP1066" s="4"/>
    </row>
    <row r="1067" spans="94:94">
      <c r="CP1067" s="4"/>
    </row>
    <row r="1068" spans="94:94">
      <c r="CP1068" s="4"/>
    </row>
    <row r="1069" spans="94:94">
      <c r="CP1069" s="4"/>
    </row>
    <row r="1070" spans="94:94">
      <c r="CP1070" s="4"/>
    </row>
    <row r="1071" spans="94:94">
      <c r="CP1071" s="4"/>
    </row>
    <row r="1072" spans="94:94">
      <c r="CP1072" s="4"/>
    </row>
    <row r="1073" spans="94:94">
      <c r="CP1073" s="4"/>
    </row>
    <row r="1074" spans="94:94">
      <c r="CP1074" s="4"/>
    </row>
    <row r="1075" spans="94:94">
      <c r="CP1075" s="4"/>
    </row>
    <row r="1076" spans="94:94">
      <c r="CP1076" s="4"/>
    </row>
    <row r="1077" spans="94:94">
      <c r="CP1077" s="4"/>
    </row>
    <row r="1078" spans="94:94">
      <c r="CP1078" s="4"/>
    </row>
    <row r="1079" spans="94:94">
      <c r="CP1079" s="4"/>
    </row>
    <row r="1080" spans="94:94">
      <c r="CP1080" s="4"/>
    </row>
    <row r="1081" spans="94:94">
      <c r="CP1081" s="4"/>
    </row>
    <row r="1082" spans="94:94">
      <c r="CP1082" s="4"/>
    </row>
    <row r="1083" spans="94:94">
      <c r="CP1083" s="4"/>
    </row>
    <row r="1084" spans="94:94">
      <c r="CP1084" s="4"/>
    </row>
    <row r="1085" spans="94:94">
      <c r="CP1085" s="4"/>
    </row>
    <row r="1086" spans="94:94">
      <c r="CP1086" s="4"/>
    </row>
    <row r="1087" spans="94:94">
      <c r="CP1087" s="4"/>
    </row>
    <row r="1088" spans="94:94">
      <c r="CP1088" s="4"/>
    </row>
    <row r="1089" spans="94:94">
      <c r="CP1089" s="4"/>
    </row>
    <row r="1090" spans="94:94">
      <c r="CP1090" s="4"/>
    </row>
    <row r="1091" spans="94:94">
      <c r="CP1091" s="4"/>
    </row>
    <row r="1092" spans="94:94">
      <c r="CP1092" s="4"/>
    </row>
    <row r="1093" spans="94:94">
      <c r="CP1093" s="4"/>
    </row>
    <row r="1094" spans="94:94">
      <c r="CP1094" s="4"/>
    </row>
    <row r="1095" spans="94:94">
      <c r="CP1095" s="4"/>
    </row>
    <row r="1096" spans="94:94">
      <c r="CP1096" s="4"/>
    </row>
    <row r="1097" spans="94:94">
      <c r="CP1097" s="4"/>
    </row>
    <row r="1098" spans="94:94">
      <c r="CP1098" s="4"/>
    </row>
    <row r="1099" spans="94:94">
      <c r="CP1099" s="4"/>
    </row>
    <row r="1100" spans="94:94">
      <c r="CP1100" s="4"/>
    </row>
    <row r="1101" spans="94:94">
      <c r="CP1101" s="4"/>
    </row>
    <row r="1102" spans="94:94">
      <c r="CP1102" s="4"/>
    </row>
    <row r="1103" spans="94:94">
      <c r="CP1103" s="4"/>
    </row>
    <row r="1104" spans="94:94">
      <c r="CP1104" s="4"/>
    </row>
    <row r="1105" spans="94:94">
      <c r="CP1105" s="4"/>
    </row>
    <row r="1106" spans="94:94">
      <c r="CP1106" s="4"/>
    </row>
    <row r="1107" spans="94:94">
      <c r="CP1107" s="4"/>
    </row>
    <row r="1108" spans="94:94">
      <c r="CP1108" s="4"/>
    </row>
    <row r="1109" spans="94:94">
      <c r="CP1109" s="4"/>
    </row>
    <row r="1110" spans="94:94">
      <c r="CP1110" s="4"/>
    </row>
    <row r="1111" spans="94:94">
      <c r="CP1111" s="4"/>
    </row>
    <row r="1112" spans="94:94">
      <c r="CP1112" s="4"/>
    </row>
    <row r="1113" spans="94:94">
      <c r="CP1113" s="4"/>
    </row>
    <row r="1114" spans="94:94">
      <c r="CP1114" s="4"/>
    </row>
    <row r="1115" spans="94:94">
      <c r="CP1115" s="4"/>
    </row>
    <row r="1116" spans="94:94">
      <c r="CP1116" s="4"/>
    </row>
    <row r="1117" spans="94:94">
      <c r="CP1117" s="4"/>
    </row>
    <row r="1118" spans="94:94">
      <c r="CP1118" s="4"/>
    </row>
    <row r="1119" spans="94:94">
      <c r="CP1119" s="4"/>
    </row>
    <row r="1120" spans="94:94">
      <c r="CP1120" s="4"/>
    </row>
    <row r="1121" spans="94:94">
      <c r="CP1121" s="4"/>
    </row>
    <row r="1122" spans="94:94">
      <c r="CP1122" s="4"/>
    </row>
    <row r="1123" spans="94:94">
      <c r="CP1123" s="4"/>
    </row>
    <row r="1124" spans="94:94">
      <c r="CP1124" s="4"/>
    </row>
    <row r="1125" spans="94:94">
      <c r="CP1125" s="4"/>
    </row>
    <row r="1126" spans="94:94">
      <c r="CP1126" s="4"/>
    </row>
    <row r="1127" spans="94:94">
      <c r="CP1127" s="4"/>
    </row>
    <row r="1128" spans="94:94">
      <c r="CP1128" s="4"/>
    </row>
    <row r="1129" spans="94:94">
      <c r="CP1129" s="4"/>
    </row>
    <row r="1130" spans="94:94">
      <c r="CP1130" s="4"/>
    </row>
    <row r="1131" spans="94:94">
      <c r="CP1131" s="4"/>
    </row>
    <row r="1132" spans="94:94">
      <c r="CP1132" s="4"/>
    </row>
    <row r="1133" spans="94:94">
      <c r="CP1133" s="4"/>
    </row>
    <row r="1134" spans="94:94">
      <c r="CP1134" s="4"/>
    </row>
    <row r="1135" spans="94:94">
      <c r="CP1135" s="4"/>
    </row>
    <row r="1136" spans="94:94">
      <c r="CP1136" s="4"/>
    </row>
    <row r="1137" spans="94:94">
      <c r="CP1137" s="4"/>
    </row>
    <row r="1138" spans="94:94">
      <c r="CP1138" s="4"/>
    </row>
    <row r="1139" spans="94:94">
      <c r="CP1139" s="4"/>
    </row>
    <row r="1140" spans="94:94">
      <c r="CP1140" s="4"/>
    </row>
    <row r="1141" spans="94:94">
      <c r="CP1141" s="4"/>
    </row>
    <row r="1142" spans="94:94">
      <c r="CP1142" s="4"/>
    </row>
    <row r="1143" spans="94:94">
      <c r="CP1143" s="4"/>
    </row>
    <row r="1144" spans="94:94">
      <c r="CP1144" s="4"/>
    </row>
    <row r="1145" spans="94:94">
      <c r="CP1145" s="4"/>
    </row>
    <row r="1146" spans="94:94">
      <c r="CP1146" s="4"/>
    </row>
    <row r="1147" spans="94:94">
      <c r="CP1147" s="4"/>
    </row>
    <row r="1148" spans="94:94">
      <c r="CP1148" s="4"/>
    </row>
    <row r="1149" spans="94:94">
      <c r="CP1149" s="4"/>
    </row>
    <row r="1150" spans="94:94">
      <c r="CP1150" s="4"/>
    </row>
    <row r="1151" spans="94:94">
      <c r="CP1151" s="4"/>
    </row>
    <row r="1152" spans="94:94">
      <c r="CP1152" s="4"/>
    </row>
    <row r="1153" spans="94:94">
      <c r="CP1153" s="4"/>
    </row>
    <row r="1154" spans="94:94">
      <c r="CP1154" s="4"/>
    </row>
    <row r="1155" spans="94:94">
      <c r="CP1155" s="4"/>
    </row>
    <row r="1156" spans="94:94">
      <c r="CP1156" s="4"/>
    </row>
    <row r="1157" spans="94:94">
      <c r="CP1157" s="4"/>
    </row>
    <row r="1158" spans="94:94">
      <c r="CP1158" s="4"/>
    </row>
    <row r="1159" spans="94:94">
      <c r="CP1159" s="4"/>
    </row>
    <row r="1160" spans="94:94">
      <c r="CP1160" s="4"/>
    </row>
    <row r="1161" spans="94:94">
      <c r="CP1161" s="4"/>
    </row>
    <row r="1162" spans="94:94">
      <c r="CP1162" s="4"/>
    </row>
    <row r="1163" spans="94:94">
      <c r="CP1163" s="4"/>
    </row>
    <row r="1164" spans="94:94">
      <c r="CP1164" s="4"/>
    </row>
    <row r="1165" spans="94:94">
      <c r="CP1165" s="4"/>
    </row>
    <row r="1166" spans="94:94">
      <c r="CP1166" s="4"/>
    </row>
    <row r="1167" spans="94:94">
      <c r="CP1167" s="4"/>
    </row>
    <row r="1168" spans="94:94">
      <c r="CP1168" s="4"/>
    </row>
    <row r="1169" spans="94:94">
      <c r="CP1169" s="4"/>
    </row>
    <row r="1170" spans="94:94">
      <c r="CP1170" s="4"/>
    </row>
    <row r="1171" spans="94:94">
      <c r="CP1171" s="4"/>
    </row>
    <row r="1172" spans="94:94">
      <c r="CP1172" s="4"/>
    </row>
    <row r="1173" spans="94:94">
      <c r="CP1173" s="4"/>
    </row>
    <row r="1174" spans="94:94">
      <c r="CP1174" s="4"/>
    </row>
    <row r="1175" spans="94:94">
      <c r="CP1175" s="4"/>
    </row>
    <row r="1176" spans="94:94">
      <c r="CP1176" s="4"/>
    </row>
    <row r="1177" spans="94:94">
      <c r="CP1177" s="4"/>
    </row>
    <row r="1178" spans="94:94">
      <c r="CP1178" s="4"/>
    </row>
    <row r="1179" spans="94:94">
      <c r="CP1179" s="4"/>
    </row>
    <row r="1180" spans="94:94">
      <c r="CP1180" s="4"/>
    </row>
    <row r="1181" spans="94:94">
      <c r="CP1181" s="4"/>
    </row>
    <row r="1182" spans="94:94">
      <c r="CP1182" s="4"/>
    </row>
    <row r="1183" spans="94:94">
      <c r="CP1183" s="4"/>
    </row>
    <row r="1184" spans="94:94">
      <c r="CP1184" s="4"/>
    </row>
    <row r="1185" spans="94:94">
      <c r="CP1185" s="4"/>
    </row>
    <row r="1186" spans="94:94">
      <c r="CP1186" s="4"/>
    </row>
    <row r="1187" spans="94:94">
      <c r="CP1187" s="4"/>
    </row>
    <row r="1188" spans="94:94">
      <c r="CP1188" s="4"/>
    </row>
    <row r="1189" spans="94:94">
      <c r="CP1189" s="4"/>
    </row>
    <row r="1190" spans="94:94">
      <c r="CP1190" s="4"/>
    </row>
    <row r="1191" spans="94:94">
      <c r="CP1191" s="4"/>
    </row>
    <row r="1192" spans="94:94">
      <c r="CP1192" s="4"/>
    </row>
    <row r="1193" spans="94:94">
      <c r="CP1193" s="4"/>
    </row>
    <row r="1194" spans="94:94">
      <c r="CP1194" s="4"/>
    </row>
    <row r="1195" spans="94:94">
      <c r="CP1195" s="4"/>
    </row>
    <row r="1196" spans="94:94">
      <c r="CP1196" s="4"/>
    </row>
    <row r="1197" spans="94:94">
      <c r="CP1197" s="4"/>
    </row>
    <row r="1198" spans="94:94">
      <c r="CP1198" s="4"/>
    </row>
    <row r="1199" spans="94:94">
      <c r="CP1199" s="4"/>
    </row>
    <row r="1200" spans="94:94">
      <c r="CP1200" s="4"/>
    </row>
    <row r="1201" spans="94:94">
      <c r="CP1201" s="4"/>
    </row>
    <row r="1202" spans="94:94">
      <c r="CP1202" s="4"/>
    </row>
    <row r="1203" spans="94:94">
      <c r="CP1203" s="4"/>
    </row>
    <row r="1204" spans="94:94">
      <c r="CP1204" s="4"/>
    </row>
    <row r="1205" spans="94:94">
      <c r="CP1205" s="4"/>
    </row>
    <row r="1206" spans="94:94">
      <c r="CP1206" s="4"/>
    </row>
    <row r="1207" spans="94:94">
      <c r="CP1207" s="4"/>
    </row>
    <row r="1208" spans="94:94">
      <c r="CP1208" s="4"/>
    </row>
    <row r="1209" spans="94:94">
      <c r="CP1209" s="4"/>
    </row>
    <row r="1210" spans="94:94">
      <c r="CP1210" s="4"/>
    </row>
    <row r="1211" spans="94:94">
      <c r="CP1211" s="4"/>
    </row>
    <row r="1212" spans="94:94">
      <c r="CP1212" s="4"/>
    </row>
    <row r="1213" spans="94:94">
      <c r="CP1213" s="4"/>
    </row>
    <row r="1214" spans="94:94">
      <c r="CP1214" s="4"/>
    </row>
    <row r="1215" spans="94:94">
      <c r="CP1215" s="4"/>
    </row>
    <row r="1216" spans="94:94">
      <c r="CP1216" s="4"/>
    </row>
    <row r="1217" spans="94:94">
      <c r="CP1217" s="4"/>
    </row>
    <row r="1218" spans="94:94">
      <c r="CP1218" s="4"/>
    </row>
    <row r="1219" spans="94:94">
      <c r="CP1219" s="4"/>
    </row>
    <row r="1220" spans="94:94">
      <c r="CP1220" s="4"/>
    </row>
    <row r="1221" spans="94:94">
      <c r="CP1221" s="4"/>
    </row>
    <row r="1222" spans="94:94">
      <c r="CP1222" s="4"/>
    </row>
    <row r="1223" spans="94:94">
      <c r="CP1223" s="4"/>
    </row>
    <row r="1224" spans="94:94">
      <c r="CP1224" s="4"/>
    </row>
    <row r="1225" spans="94:94">
      <c r="CP1225" s="4"/>
    </row>
    <row r="1226" spans="94:94">
      <c r="CP1226" s="4"/>
    </row>
    <row r="1227" spans="94:94">
      <c r="CP1227" s="4"/>
    </row>
    <row r="1228" spans="94:94">
      <c r="CP1228" s="4"/>
    </row>
    <row r="1229" spans="94:94">
      <c r="CP1229" s="4"/>
    </row>
    <row r="1230" spans="94:94">
      <c r="CP1230" s="4"/>
    </row>
    <row r="1231" spans="94:94">
      <c r="CP1231" s="4"/>
    </row>
    <row r="1232" spans="94:94">
      <c r="CP1232" s="4"/>
    </row>
    <row r="1233" spans="94:94">
      <c r="CP1233" s="4"/>
    </row>
    <row r="1234" spans="94:94">
      <c r="CP1234" s="4"/>
    </row>
    <row r="1235" spans="94:94">
      <c r="CP1235" s="4"/>
    </row>
    <row r="1236" spans="94:94">
      <c r="CP1236" s="4"/>
    </row>
    <row r="1237" spans="94:94">
      <c r="CP1237" s="4"/>
    </row>
    <row r="1238" spans="94:94">
      <c r="CP1238" s="4"/>
    </row>
    <row r="1239" spans="94:94">
      <c r="CP1239" s="4"/>
    </row>
    <row r="1240" spans="94:94">
      <c r="CP1240" s="4"/>
    </row>
    <row r="1241" spans="94:94">
      <c r="CP1241" s="4"/>
    </row>
    <row r="1242" spans="94:94">
      <c r="CP1242" s="4"/>
    </row>
    <row r="1243" spans="94:94">
      <c r="CP1243" s="4"/>
    </row>
    <row r="1244" spans="94:94">
      <c r="CP1244" s="4"/>
    </row>
    <row r="1245" spans="94:94">
      <c r="CP1245" s="4"/>
    </row>
    <row r="1246" spans="94:94">
      <c r="CP1246" s="4"/>
    </row>
    <row r="1247" spans="94:94">
      <c r="CP1247" s="4"/>
    </row>
    <row r="1248" spans="94:94">
      <c r="CP1248" s="4"/>
    </row>
    <row r="1249" spans="94:94">
      <c r="CP1249" s="4"/>
    </row>
    <row r="1250" spans="94:94">
      <c r="CP1250" s="4"/>
    </row>
    <row r="1251" spans="94:94">
      <c r="CP1251" s="4"/>
    </row>
    <row r="1252" spans="94:94">
      <c r="CP1252" s="4"/>
    </row>
    <row r="1253" spans="94:94">
      <c r="CP1253" s="4"/>
    </row>
    <row r="1254" spans="94:94">
      <c r="CP1254" s="4"/>
    </row>
    <row r="1255" spans="94:94">
      <c r="CP1255" s="4"/>
    </row>
    <row r="1256" spans="94:94">
      <c r="CP1256" s="4"/>
    </row>
    <row r="1257" spans="94:94">
      <c r="CP1257" s="4"/>
    </row>
    <row r="1258" spans="94:94">
      <c r="CP1258" s="4"/>
    </row>
    <row r="1259" spans="94:94">
      <c r="CP1259" s="4"/>
    </row>
    <row r="1260" spans="94:94">
      <c r="CP1260" s="4"/>
    </row>
    <row r="1261" spans="94:94">
      <c r="CP1261" s="4"/>
    </row>
    <row r="1262" spans="94:94">
      <c r="CP1262" s="4"/>
    </row>
    <row r="1263" spans="94:94">
      <c r="CP1263" s="4"/>
    </row>
    <row r="1264" spans="94:94">
      <c r="CP1264" s="4"/>
    </row>
    <row r="1265" spans="94:94">
      <c r="CP1265" s="4"/>
    </row>
    <row r="1266" spans="94:94">
      <c r="CP1266" s="4"/>
    </row>
    <row r="1267" spans="94:94">
      <c r="CP1267" s="4"/>
    </row>
    <row r="1268" spans="94:94">
      <c r="CP1268" s="4"/>
    </row>
    <row r="1269" spans="94:94">
      <c r="CP1269" s="4"/>
    </row>
    <row r="1270" spans="94:94">
      <c r="CP1270" s="4"/>
    </row>
    <row r="1271" spans="94:94">
      <c r="CP1271" s="4"/>
    </row>
    <row r="1272" spans="94:94">
      <c r="CP1272" s="4"/>
    </row>
    <row r="1273" spans="94:94">
      <c r="CP1273" s="4"/>
    </row>
    <row r="1274" spans="94:94">
      <c r="CP1274" s="4"/>
    </row>
    <row r="1275" spans="94:94">
      <c r="CP1275" s="4"/>
    </row>
    <row r="1276" spans="94:94">
      <c r="CP1276" s="4"/>
    </row>
    <row r="1277" spans="94:94">
      <c r="CP1277" s="4"/>
    </row>
    <row r="1278" spans="94:94">
      <c r="CP1278" s="4"/>
    </row>
    <row r="1279" spans="94:94">
      <c r="CP1279" s="4"/>
    </row>
    <row r="1280" spans="94:94">
      <c r="CP1280" s="4"/>
    </row>
    <row r="1281" spans="94:94">
      <c r="CP1281" s="4"/>
    </row>
    <row r="1282" spans="94:94">
      <c r="CP1282" s="4"/>
    </row>
    <row r="1283" spans="94:94">
      <c r="CP1283" s="4"/>
    </row>
    <row r="1284" spans="94:94">
      <c r="CP1284" s="4"/>
    </row>
    <row r="1285" spans="94:94">
      <c r="CP1285" s="4"/>
    </row>
    <row r="1286" spans="94:94">
      <c r="CP1286" s="4"/>
    </row>
    <row r="1287" spans="94:94">
      <c r="CP1287" s="4"/>
    </row>
    <row r="1288" spans="94:94">
      <c r="CP1288" s="4"/>
    </row>
    <row r="1289" spans="94:94">
      <c r="CP1289" s="4"/>
    </row>
    <row r="1290" spans="94:94">
      <c r="CP1290" s="4"/>
    </row>
    <row r="1291" spans="94:94">
      <c r="CP1291" s="4"/>
    </row>
    <row r="1292" spans="94:94">
      <c r="CP1292" s="4"/>
    </row>
    <row r="1293" spans="94:94">
      <c r="CP1293" s="4"/>
    </row>
    <row r="1294" spans="94:94">
      <c r="CP1294" s="4"/>
    </row>
    <row r="1295" spans="94:94">
      <c r="CP1295" s="4"/>
    </row>
    <row r="1296" spans="94:94">
      <c r="CP1296" s="4"/>
    </row>
    <row r="1297" spans="94:94">
      <c r="CP1297" s="4"/>
    </row>
    <row r="1298" spans="94:94">
      <c r="CP1298" s="4"/>
    </row>
    <row r="1299" spans="94:94">
      <c r="CP1299" s="4"/>
    </row>
    <row r="1300" spans="94:94">
      <c r="CP1300" s="4"/>
    </row>
    <row r="1301" spans="94:94">
      <c r="CP1301" s="4"/>
    </row>
    <row r="1302" spans="94:94">
      <c r="CP1302" s="4"/>
    </row>
    <row r="1303" spans="94:94">
      <c r="CP1303" s="4"/>
    </row>
    <row r="1304" spans="94:94">
      <c r="CP1304" s="4"/>
    </row>
    <row r="1305" spans="94:94">
      <c r="CP1305" s="4"/>
    </row>
    <row r="1306" spans="94:94">
      <c r="CP1306" s="4"/>
    </row>
    <row r="1307" spans="94:94">
      <c r="CP1307" s="4"/>
    </row>
    <row r="1308" spans="94:94">
      <c r="CP1308" s="4"/>
    </row>
    <row r="1309" spans="94:94">
      <c r="CP1309" s="4"/>
    </row>
    <row r="1310" spans="94:94">
      <c r="CP1310" s="4"/>
    </row>
    <row r="1311" spans="94:94">
      <c r="CP1311" s="4"/>
    </row>
    <row r="1312" spans="94:94">
      <c r="CP1312" s="4"/>
    </row>
    <row r="1313" spans="94:94">
      <c r="CP1313" s="4"/>
    </row>
    <row r="1314" spans="94:94">
      <c r="CP1314" s="4"/>
    </row>
    <row r="1315" spans="94:94">
      <c r="CP1315" s="4"/>
    </row>
    <row r="1316" spans="94:94">
      <c r="CP1316" s="4"/>
    </row>
    <row r="1317" spans="94:94">
      <c r="CP1317" s="4"/>
    </row>
    <row r="1318" spans="94:94">
      <c r="CP1318" s="4"/>
    </row>
    <row r="1319" spans="94:94">
      <c r="CP1319" s="4"/>
    </row>
    <row r="1320" spans="94:94">
      <c r="CP1320" s="4"/>
    </row>
    <row r="1321" spans="94:94">
      <c r="CP1321" s="4"/>
    </row>
    <row r="1322" spans="94:94">
      <c r="CP1322" s="4"/>
    </row>
    <row r="1323" spans="94:94">
      <c r="CP1323" s="4"/>
    </row>
    <row r="1324" spans="94:94">
      <c r="CP1324" s="4"/>
    </row>
    <row r="1325" spans="94:94">
      <c r="CP1325" s="4"/>
    </row>
    <row r="1326" spans="94:94">
      <c r="CP1326" s="4"/>
    </row>
    <row r="1327" spans="94:94">
      <c r="CP1327" s="4"/>
    </row>
    <row r="1328" spans="94:94">
      <c r="CP1328" s="4"/>
    </row>
    <row r="1329" spans="94:94">
      <c r="CP1329" s="4"/>
    </row>
    <row r="1330" spans="94:94">
      <c r="CP1330" s="4"/>
    </row>
    <row r="1331" spans="94:94">
      <c r="CP1331" s="4"/>
    </row>
    <row r="1332" spans="94:94">
      <c r="CP1332" s="4"/>
    </row>
    <row r="1333" spans="94:94">
      <c r="CP1333" s="4"/>
    </row>
    <row r="1334" spans="94:94">
      <c r="CP1334" s="4"/>
    </row>
    <row r="1335" spans="94:94">
      <c r="CP1335" s="4"/>
    </row>
    <row r="1336" spans="94:94">
      <c r="CP1336" s="4"/>
    </row>
    <row r="1337" spans="94:94">
      <c r="CP1337" s="4"/>
    </row>
    <row r="1338" spans="94:94">
      <c r="CP1338" s="4"/>
    </row>
    <row r="1339" spans="94:94">
      <c r="CP1339" s="4"/>
    </row>
    <row r="1340" spans="94:94">
      <c r="CP1340" s="4"/>
    </row>
    <row r="1341" spans="94:94">
      <c r="CP1341" s="4"/>
    </row>
    <row r="1342" spans="94:94">
      <c r="CP1342" s="4"/>
    </row>
    <row r="1343" spans="94:94">
      <c r="CP1343" s="4"/>
    </row>
    <row r="1344" spans="94:94">
      <c r="CP1344" s="4"/>
    </row>
    <row r="1345" spans="94:94">
      <c r="CP1345" s="4"/>
    </row>
    <row r="1346" spans="94:94">
      <c r="CP1346" s="4"/>
    </row>
    <row r="1347" spans="94:94">
      <c r="CP1347" s="4"/>
    </row>
    <row r="1348" spans="94:94">
      <c r="CP1348" s="4"/>
    </row>
    <row r="1349" spans="94:94">
      <c r="CP1349" s="4"/>
    </row>
    <row r="1350" spans="94:94">
      <c r="CP1350" s="4"/>
    </row>
    <row r="1351" spans="94:94">
      <c r="CP1351" s="4"/>
    </row>
    <row r="1352" spans="94:94">
      <c r="CP1352" s="4"/>
    </row>
    <row r="1353" spans="94:94">
      <c r="CP1353" s="4"/>
    </row>
    <row r="1354" spans="94:94">
      <c r="CP1354" s="4"/>
    </row>
    <row r="1355" spans="94:94">
      <c r="CP1355" s="4"/>
    </row>
    <row r="1356" spans="94:94">
      <c r="CP1356" s="4"/>
    </row>
    <row r="1357" spans="94:94">
      <c r="CP1357" s="4"/>
    </row>
    <row r="1358" spans="94:94">
      <c r="CP1358" s="4"/>
    </row>
    <row r="1359" spans="94:94">
      <c r="CP1359" s="4"/>
    </row>
    <row r="1360" spans="94:94">
      <c r="CP1360" s="4"/>
    </row>
    <row r="1361" spans="94:94">
      <c r="CP1361" s="4"/>
    </row>
    <row r="1362" spans="94:94">
      <c r="CP1362" s="4"/>
    </row>
    <row r="1363" spans="94:94">
      <c r="CP1363" s="4"/>
    </row>
    <row r="1364" spans="94:94">
      <c r="CP1364" s="4"/>
    </row>
    <row r="1365" spans="94:94">
      <c r="CP1365" s="4"/>
    </row>
    <row r="1366" spans="94:94">
      <c r="CP1366" s="4"/>
    </row>
    <row r="1367" spans="94:94">
      <c r="CP1367" s="4"/>
    </row>
    <row r="1368" spans="94:94">
      <c r="CP1368" s="4"/>
    </row>
    <row r="1369" spans="94:94">
      <c r="CP1369" s="4"/>
    </row>
    <row r="1370" spans="94:94">
      <c r="CP1370" s="4"/>
    </row>
    <row r="1371" spans="94:94">
      <c r="CP1371" s="4"/>
    </row>
    <row r="1372" spans="94:94">
      <c r="CP1372" s="4"/>
    </row>
    <row r="1373" spans="94:94">
      <c r="CP1373" s="4"/>
    </row>
    <row r="1374" spans="94:94">
      <c r="CP1374" s="4"/>
    </row>
    <row r="1375" spans="94:94">
      <c r="CP1375" s="4"/>
    </row>
    <row r="1376" spans="94:94">
      <c r="CP1376" s="4"/>
    </row>
    <row r="1377" spans="94:94">
      <c r="CP1377" s="4"/>
    </row>
    <row r="1378" spans="94:94">
      <c r="CP1378" s="4"/>
    </row>
    <row r="1379" spans="94:94">
      <c r="CP1379" s="4"/>
    </row>
    <row r="1380" spans="94:94">
      <c r="CP1380" s="4"/>
    </row>
    <row r="1381" spans="94:94">
      <c r="CP1381" s="4"/>
    </row>
    <row r="1382" spans="94:94">
      <c r="CP1382" s="4"/>
    </row>
    <row r="1383" spans="94:94">
      <c r="CP1383" s="4"/>
    </row>
    <row r="1384" spans="94:94">
      <c r="CP1384" s="4"/>
    </row>
    <row r="1385" spans="94:94">
      <c r="CP1385" s="4"/>
    </row>
    <row r="1386" spans="94:94">
      <c r="CP1386" s="4"/>
    </row>
    <row r="1387" spans="94:94">
      <c r="CP1387" s="4"/>
    </row>
    <row r="1388" spans="94:94">
      <c r="CP1388" s="4"/>
    </row>
    <row r="1389" spans="94:94">
      <c r="CP1389" s="4"/>
    </row>
    <row r="1390" spans="94:94">
      <c r="CP1390" s="4"/>
    </row>
    <row r="1391" spans="94:94">
      <c r="CP1391" s="4"/>
    </row>
    <row r="1392" spans="94:94">
      <c r="CP1392" s="4"/>
    </row>
    <row r="1393" spans="94:94">
      <c r="CP1393" s="4"/>
    </row>
    <row r="1394" spans="94:94">
      <c r="CP1394" s="4"/>
    </row>
    <row r="1395" spans="94:94">
      <c r="CP1395" s="4"/>
    </row>
    <row r="1396" spans="94:94">
      <c r="CP1396" s="4"/>
    </row>
    <row r="1397" spans="94:94">
      <c r="CP1397" s="4"/>
    </row>
    <row r="1398" spans="94:94">
      <c r="CP1398" s="4"/>
    </row>
    <row r="1399" spans="94:94">
      <c r="CP1399" s="4"/>
    </row>
    <row r="1400" spans="94:94">
      <c r="CP1400" s="4"/>
    </row>
    <row r="1401" spans="94:94">
      <c r="CP1401" s="4"/>
    </row>
    <row r="1402" spans="94:94">
      <c r="CP1402" s="4"/>
    </row>
    <row r="1403" spans="94:94">
      <c r="CP1403" s="4"/>
    </row>
    <row r="1404" spans="94:94">
      <c r="CP1404" s="4"/>
    </row>
    <row r="1405" spans="94:94">
      <c r="CP1405" s="4"/>
    </row>
    <row r="1406" spans="94:94">
      <c r="CP1406" s="4"/>
    </row>
    <row r="1407" spans="94:94">
      <c r="CP1407" s="4"/>
    </row>
    <row r="1408" spans="94:94">
      <c r="CP1408" s="4"/>
    </row>
    <row r="1409" spans="94:94">
      <c r="CP1409" s="4"/>
    </row>
    <row r="1410" spans="94:94">
      <c r="CP1410" s="4"/>
    </row>
    <row r="1411" spans="94:94">
      <c r="CP1411" s="4"/>
    </row>
    <row r="1412" spans="94:94">
      <c r="CP1412" s="4"/>
    </row>
    <row r="1413" spans="94:94">
      <c r="CP1413" s="4"/>
    </row>
    <row r="1414" spans="94:94">
      <c r="CP1414" s="4"/>
    </row>
    <row r="1415" spans="94:94">
      <c r="CP1415" s="4"/>
    </row>
    <row r="1416" spans="94:94">
      <c r="CP1416" s="4"/>
    </row>
    <row r="1417" spans="94:94">
      <c r="CP1417" s="4"/>
    </row>
    <row r="1418" spans="94:94">
      <c r="CP1418" s="4"/>
    </row>
    <row r="1419" spans="94:94">
      <c r="CP1419" s="4"/>
    </row>
    <row r="1420" spans="94:94">
      <c r="CP1420" s="4"/>
    </row>
    <row r="1421" spans="94:94">
      <c r="CP1421" s="4"/>
    </row>
    <row r="1422" spans="94:94">
      <c r="CP1422" s="4"/>
    </row>
    <row r="1423" spans="94:94">
      <c r="CP1423" s="4"/>
    </row>
    <row r="1424" spans="94:94">
      <c r="CP1424" s="4"/>
    </row>
    <row r="1425" spans="94:94">
      <c r="CP1425" s="4"/>
    </row>
    <row r="1426" spans="94:94">
      <c r="CP1426" s="4"/>
    </row>
    <row r="1427" spans="94:94">
      <c r="CP1427" s="4"/>
    </row>
    <row r="1428" spans="94:94">
      <c r="CP1428" s="4"/>
    </row>
    <row r="1429" spans="94:94">
      <c r="CP1429" s="4"/>
    </row>
    <row r="1430" spans="94:94">
      <c r="CP1430" s="4"/>
    </row>
    <row r="1431" spans="94:94">
      <c r="CP1431" s="4"/>
    </row>
    <row r="1432" spans="94:94">
      <c r="CP1432" s="4"/>
    </row>
    <row r="1433" spans="94:94">
      <c r="CP1433" s="4"/>
    </row>
    <row r="1434" spans="94:94">
      <c r="CP1434" s="4"/>
    </row>
    <row r="1435" spans="94:94">
      <c r="CP1435" s="4"/>
    </row>
    <row r="1436" spans="94:94">
      <c r="CP1436" s="4"/>
    </row>
    <row r="1437" spans="94:94">
      <c r="CP1437" s="4"/>
    </row>
    <row r="1438" spans="94:94">
      <c r="CP1438" s="4"/>
    </row>
    <row r="1439" spans="94:94">
      <c r="CP1439" s="4"/>
    </row>
    <row r="1440" spans="94:94">
      <c r="CP1440" s="4"/>
    </row>
    <row r="1441" spans="94:94">
      <c r="CP1441" s="4"/>
    </row>
    <row r="1442" spans="94:94">
      <c r="CP1442" s="4"/>
    </row>
    <row r="1443" spans="94:94">
      <c r="CP1443" s="4"/>
    </row>
    <row r="1444" spans="94:94">
      <c r="CP1444" s="4"/>
    </row>
    <row r="1445" spans="94:94">
      <c r="CP1445" s="4"/>
    </row>
    <row r="1446" spans="94:94">
      <c r="CP1446" s="4"/>
    </row>
    <row r="1447" spans="94:94">
      <c r="CP1447" s="4"/>
    </row>
    <row r="1448" spans="94:94">
      <c r="CP1448" s="4"/>
    </row>
    <row r="1449" spans="94:94">
      <c r="CP1449" s="4"/>
    </row>
    <row r="1450" spans="94:94">
      <c r="CP1450" s="4"/>
    </row>
    <row r="1451" spans="94:94">
      <c r="CP1451" s="4"/>
    </row>
    <row r="1452" spans="94:94">
      <c r="CP1452" s="4"/>
    </row>
    <row r="1453" spans="94:94">
      <c r="CP1453" s="4"/>
    </row>
    <row r="1454" spans="94:94">
      <c r="CP1454" s="4"/>
    </row>
    <row r="1455" spans="94:94">
      <c r="CP1455" s="4"/>
    </row>
    <row r="1456" spans="94:94">
      <c r="CP1456" s="4"/>
    </row>
    <row r="1457" spans="94:94">
      <c r="CP1457" s="4"/>
    </row>
    <row r="1458" spans="94:94">
      <c r="CP1458" s="4"/>
    </row>
    <row r="1459" spans="94:94">
      <c r="CP1459" s="4"/>
    </row>
    <row r="1460" spans="94:94">
      <c r="CP1460" s="4"/>
    </row>
    <row r="1461" spans="94:94">
      <c r="CP1461" s="4"/>
    </row>
    <row r="1462" spans="94:94">
      <c r="CP1462" s="4"/>
    </row>
    <row r="1463" spans="94:94">
      <c r="CP1463" s="4"/>
    </row>
    <row r="1464" spans="94:94">
      <c r="CP1464" s="4"/>
    </row>
    <row r="1465" spans="94:94">
      <c r="CP1465" s="4"/>
    </row>
    <row r="1466" spans="94:94">
      <c r="CP1466" s="4"/>
    </row>
    <row r="1467" spans="94:94">
      <c r="CP1467" s="4"/>
    </row>
    <row r="1468" spans="94:94">
      <c r="CP1468" s="4"/>
    </row>
    <row r="1469" spans="94:94">
      <c r="CP1469" s="4"/>
    </row>
    <row r="1470" spans="94:94">
      <c r="CP1470" s="4"/>
    </row>
    <row r="1471" spans="94:94">
      <c r="CP1471" s="4"/>
    </row>
    <row r="1472" spans="94:94">
      <c r="CP1472" s="4"/>
    </row>
    <row r="1473" spans="94:94">
      <c r="CP1473" s="4"/>
    </row>
    <row r="1474" spans="94:94">
      <c r="CP1474" s="4"/>
    </row>
    <row r="1475" spans="94:94">
      <c r="CP1475" s="4"/>
    </row>
    <row r="1476" spans="94:94">
      <c r="CP1476" s="4"/>
    </row>
    <row r="1477" spans="94:94">
      <c r="CP1477" s="4"/>
    </row>
    <row r="1478" spans="94:94">
      <c r="CP1478" s="4"/>
    </row>
    <row r="1479" spans="94:94">
      <c r="CP1479" s="4"/>
    </row>
    <row r="1480" spans="94:94">
      <c r="CP1480" s="4"/>
    </row>
    <row r="1481" spans="94:94">
      <c r="CP1481" s="4"/>
    </row>
    <row r="1482" spans="94:94">
      <c r="CP1482" s="4"/>
    </row>
    <row r="1483" spans="94:94">
      <c r="CP1483" s="4"/>
    </row>
    <row r="1484" spans="94:94">
      <c r="CP1484" s="4"/>
    </row>
    <row r="1485" spans="94:94">
      <c r="CP1485" s="4"/>
    </row>
    <row r="1486" spans="94:94">
      <c r="CP1486" s="4"/>
    </row>
    <row r="1487" spans="94:94">
      <c r="CP1487" s="4"/>
    </row>
    <row r="1488" spans="94:94">
      <c r="CP1488" s="4"/>
    </row>
    <row r="1489" spans="94:94">
      <c r="CP1489" s="4"/>
    </row>
    <row r="1490" spans="94:94">
      <c r="CP1490" s="4"/>
    </row>
    <row r="1491" spans="94:94">
      <c r="CP1491" s="4"/>
    </row>
    <row r="1492" spans="94:94">
      <c r="CP1492" s="4"/>
    </row>
    <row r="1493" spans="94:94">
      <c r="CP1493" s="4"/>
    </row>
    <row r="1494" spans="94:94">
      <c r="CP1494" s="4"/>
    </row>
    <row r="1495" spans="94:94">
      <c r="CP1495" s="4"/>
    </row>
    <row r="1496" spans="94:94">
      <c r="CP1496" s="4"/>
    </row>
    <row r="1497" spans="94:94">
      <c r="CP1497" s="4"/>
    </row>
    <row r="1498" spans="94:94">
      <c r="CP1498" s="4"/>
    </row>
    <row r="1499" spans="94:94">
      <c r="CP1499" s="4"/>
    </row>
    <row r="1500" spans="94:94">
      <c r="CP1500" s="4"/>
    </row>
    <row r="1501" spans="94:94">
      <c r="CP1501" s="4"/>
    </row>
    <row r="1502" spans="94:94">
      <c r="CP1502" s="4"/>
    </row>
    <row r="1503" spans="94:94">
      <c r="CP1503" s="4"/>
    </row>
    <row r="1504" spans="94:94">
      <c r="CP1504" s="4"/>
    </row>
    <row r="1505" spans="94:94">
      <c r="CP1505" s="4"/>
    </row>
    <row r="1506" spans="94:94">
      <c r="CP1506" s="4"/>
    </row>
    <row r="1507" spans="94:94">
      <c r="CP1507" s="4"/>
    </row>
    <row r="1508" spans="94:94">
      <c r="CP1508" s="4"/>
    </row>
    <row r="1509" spans="94:94">
      <c r="CP1509" s="4"/>
    </row>
    <row r="1510" spans="94:94">
      <c r="CP1510" s="4"/>
    </row>
    <row r="1511" spans="94:94">
      <c r="CP1511" s="4"/>
    </row>
    <row r="1512" spans="94:94">
      <c r="CP1512" s="4"/>
    </row>
    <row r="1513" spans="94:94">
      <c r="CP1513" s="4"/>
    </row>
    <row r="1514" spans="94:94">
      <c r="CP1514" s="4"/>
    </row>
    <row r="1515" spans="94:94">
      <c r="CP1515" s="4"/>
    </row>
    <row r="1516" spans="94:94">
      <c r="CP1516" s="4"/>
    </row>
    <row r="1517" spans="94:94">
      <c r="CP1517" s="4"/>
    </row>
    <row r="1518" spans="94:94">
      <c r="CP1518" s="4"/>
    </row>
    <row r="1519" spans="94:94">
      <c r="CP1519" s="4"/>
    </row>
    <row r="1520" spans="94:94">
      <c r="CP1520" s="4"/>
    </row>
    <row r="1521" spans="94:94">
      <c r="CP1521" s="4"/>
    </row>
    <row r="1522" spans="94:94">
      <c r="CP1522" s="4"/>
    </row>
    <row r="1523" spans="94:94">
      <c r="CP1523" s="4"/>
    </row>
    <row r="1524" spans="94:94">
      <c r="CP1524" s="4"/>
    </row>
    <row r="1525" spans="94:94">
      <c r="CP1525" s="4"/>
    </row>
    <row r="1526" spans="94:94">
      <c r="CP1526" s="4"/>
    </row>
    <row r="1527" spans="94:94">
      <c r="CP1527" s="4"/>
    </row>
    <row r="1528" spans="94:94">
      <c r="CP1528" s="4"/>
    </row>
    <row r="1529" spans="94:94">
      <c r="CP1529" s="4"/>
    </row>
    <row r="1530" spans="94:94">
      <c r="CP1530" s="4"/>
    </row>
    <row r="1531" spans="94:94">
      <c r="CP1531" s="4"/>
    </row>
    <row r="1532" spans="94:94">
      <c r="CP1532" s="4"/>
    </row>
    <row r="1533" spans="94:94">
      <c r="CP1533" s="4"/>
    </row>
    <row r="1534" spans="94:94">
      <c r="CP1534" s="4"/>
    </row>
    <row r="1535" spans="94:94">
      <c r="CP1535" s="4"/>
    </row>
    <row r="1536" spans="94:94">
      <c r="CP1536" s="4"/>
    </row>
    <row r="1537" spans="94:94">
      <c r="CP1537" s="4"/>
    </row>
    <row r="1538" spans="94:94">
      <c r="CP1538" s="4"/>
    </row>
    <row r="1539" spans="94:94">
      <c r="CP1539" s="4"/>
    </row>
    <row r="1540" spans="94:94">
      <c r="CP1540" s="4"/>
    </row>
    <row r="1541" spans="94:94">
      <c r="CP1541" s="4"/>
    </row>
    <row r="1542" spans="94:94">
      <c r="CP1542" s="4"/>
    </row>
    <row r="1543" spans="94:94">
      <c r="CP1543" s="4"/>
    </row>
    <row r="1544" spans="94:94">
      <c r="CP1544" s="4"/>
    </row>
    <row r="1545" spans="94:94">
      <c r="CP1545" s="4"/>
    </row>
    <row r="1546" spans="94:94">
      <c r="CP1546" s="4"/>
    </row>
    <row r="1547" spans="94:94">
      <c r="CP1547" s="4"/>
    </row>
    <row r="1548" spans="94:94">
      <c r="CP1548" s="4"/>
    </row>
    <row r="1549" spans="94:94">
      <c r="CP1549" s="4"/>
    </row>
    <row r="1550" spans="94:94">
      <c r="CP1550" s="4"/>
    </row>
    <row r="1551" spans="94:94">
      <c r="CP1551" s="4"/>
    </row>
    <row r="1552" spans="94:94">
      <c r="CP1552" s="4"/>
    </row>
    <row r="1553" spans="94:94">
      <c r="CP1553" s="4"/>
    </row>
    <row r="1554" spans="94:94">
      <c r="CP1554" s="4"/>
    </row>
    <row r="1555" spans="94:94">
      <c r="CP1555" s="4"/>
    </row>
    <row r="1556" spans="94:94">
      <c r="CP1556" s="4"/>
    </row>
    <row r="1557" spans="94:94">
      <c r="CP1557" s="4"/>
    </row>
    <row r="1558" spans="94:94">
      <c r="CP1558" s="4"/>
    </row>
    <row r="1559" spans="94:94">
      <c r="CP1559" s="4"/>
    </row>
    <row r="1560" spans="94:94">
      <c r="CP1560" s="4"/>
    </row>
    <row r="1561" spans="94:94">
      <c r="CP1561" s="4"/>
    </row>
    <row r="1562" spans="94:94">
      <c r="CP1562" s="4"/>
    </row>
    <row r="1563" spans="94:94">
      <c r="CP1563" s="4"/>
    </row>
    <row r="1564" spans="94:94">
      <c r="CP1564" s="4"/>
    </row>
    <row r="1565" spans="94:94">
      <c r="CP1565" s="4"/>
    </row>
    <row r="1566" spans="94:94">
      <c r="CP1566" s="4"/>
    </row>
    <row r="1567" spans="94:94">
      <c r="CP1567" s="4"/>
    </row>
    <row r="1568" spans="94:94">
      <c r="CP1568" s="4"/>
    </row>
    <row r="1569" spans="94:94">
      <c r="CP1569" s="4"/>
    </row>
    <row r="1570" spans="94:94">
      <c r="CP1570" s="4"/>
    </row>
    <row r="1571" spans="94:94">
      <c r="CP1571" s="4"/>
    </row>
    <row r="1572" spans="94:94">
      <c r="CP1572" s="4"/>
    </row>
    <row r="1573" spans="94:94">
      <c r="CP1573" s="4"/>
    </row>
    <row r="1574" spans="94:94">
      <c r="CP1574" s="4"/>
    </row>
    <row r="1575" spans="94:94">
      <c r="CP1575" s="4"/>
    </row>
    <row r="1576" spans="94:94">
      <c r="CP1576" s="4"/>
    </row>
    <row r="1577" spans="94:94">
      <c r="CP1577" s="4"/>
    </row>
    <row r="1578" spans="94:94">
      <c r="CP1578" s="4"/>
    </row>
    <row r="1579" spans="94:94">
      <c r="CP1579" s="4"/>
    </row>
    <row r="1580" spans="94:94">
      <c r="CP1580" s="4"/>
    </row>
    <row r="1581" spans="94:94">
      <c r="CP1581" s="4"/>
    </row>
    <row r="1582" spans="94:94">
      <c r="CP1582" s="4"/>
    </row>
    <row r="1583" spans="94:94">
      <c r="CP1583" s="4"/>
    </row>
    <row r="1584" spans="94:94">
      <c r="CP1584" s="4"/>
    </row>
    <row r="1585" spans="94:94">
      <c r="CP1585" s="4"/>
    </row>
    <row r="1586" spans="94:94">
      <c r="CP1586" s="4"/>
    </row>
    <row r="1587" spans="94:94">
      <c r="CP1587" s="4"/>
    </row>
    <row r="1588" spans="94:94">
      <c r="CP1588" s="4"/>
    </row>
    <row r="1589" spans="94:94">
      <c r="CP1589" s="4"/>
    </row>
    <row r="1590" spans="94:94">
      <c r="CP1590" s="4"/>
    </row>
    <row r="1591" spans="94:94">
      <c r="CP1591" s="4"/>
    </row>
    <row r="1592" spans="94:94">
      <c r="CP1592" s="4"/>
    </row>
    <row r="1593" spans="94:94">
      <c r="CP1593" s="4"/>
    </row>
    <row r="1594" spans="94:94">
      <c r="CP1594" s="4"/>
    </row>
    <row r="1595" spans="94:94">
      <c r="CP1595" s="4"/>
    </row>
    <row r="1596" spans="94:94">
      <c r="CP1596" s="4"/>
    </row>
    <row r="1597" spans="94:94">
      <c r="CP1597" s="4"/>
    </row>
    <row r="1598" spans="94:94">
      <c r="CP1598" s="4"/>
    </row>
    <row r="1599" spans="94:94">
      <c r="CP1599" s="4"/>
    </row>
    <row r="1600" spans="94:94">
      <c r="CP1600" s="4"/>
    </row>
    <row r="1601" spans="94:94">
      <c r="CP1601" s="4"/>
    </row>
    <row r="1602" spans="94:94">
      <c r="CP1602" s="4"/>
    </row>
    <row r="1603" spans="94:94">
      <c r="CP1603" s="4"/>
    </row>
    <row r="1604" spans="94:94">
      <c r="CP1604" s="4"/>
    </row>
    <row r="1605" spans="94:94">
      <c r="CP1605" s="4"/>
    </row>
    <row r="1606" spans="94:94">
      <c r="CP1606" s="4"/>
    </row>
    <row r="1607" spans="94:94">
      <c r="CP1607" s="4"/>
    </row>
    <row r="1608" spans="94:94">
      <c r="CP1608" s="4"/>
    </row>
    <row r="1609" spans="94:94">
      <c r="CP1609" s="4"/>
    </row>
    <row r="1610" spans="94:94">
      <c r="CP1610" s="4"/>
    </row>
    <row r="1611" spans="94:94">
      <c r="CP1611" s="4"/>
    </row>
    <row r="1612" spans="94:94">
      <c r="CP1612" s="4"/>
    </row>
    <row r="1613" spans="94:94">
      <c r="CP1613" s="4"/>
    </row>
    <row r="1614" spans="94:94">
      <c r="CP1614" s="4"/>
    </row>
    <row r="1615" spans="94:94">
      <c r="CP1615" s="4"/>
    </row>
    <row r="1616" spans="94:94">
      <c r="CP1616" s="4"/>
    </row>
    <row r="1617" spans="94:94">
      <c r="CP1617" s="4"/>
    </row>
    <row r="1618" spans="94:94">
      <c r="CP1618" s="4"/>
    </row>
    <row r="1619" spans="94:94">
      <c r="CP1619" s="4"/>
    </row>
    <row r="1620" spans="94:94">
      <c r="CP1620" s="4"/>
    </row>
    <row r="1621" spans="94:94">
      <c r="CP1621" s="4"/>
    </row>
    <row r="1622" spans="94:94">
      <c r="CP1622" s="4"/>
    </row>
    <row r="1623" spans="94:94">
      <c r="CP1623" s="4"/>
    </row>
    <row r="1624" spans="94:94">
      <c r="CP1624" s="4"/>
    </row>
    <row r="1625" spans="94:94">
      <c r="CP1625" s="4"/>
    </row>
    <row r="1626" spans="94:94">
      <c r="CP1626" s="4"/>
    </row>
    <row r="1627" spans="94:94">
      <c r="CP1627" s="4"/>
    </row>
    <row r="1628" spans="94:94">
      <c r="CP1628" s="4"/>
    </row>
    <row r="1629" spans="94:94">
      <c r="CP1629" s="4"/>
    </row>
    <row r="1630" spans="94:94">
      <c r="CP1630" s="4"/>
    </row>
    <row r="1631" spans="94:94">
      <c r="CP1631" s="4"/>
    </row>
    <row r="1632" spans="94:94">
      <c r="CP1632" s="4"/>
    </row>
    <row r="1633" spans="94:94">
      <c r="CP1633" s="4"/>
    </row>
    <row r="1634" spans="94:94">
      <c r="CP1634" s="4"/>
    </row>
    <row r="1635" spans="94:94">
      <c r="CP1635" s="4"/>
    </row>
    <row r="1636" spans="94:94">
      <c r="CP1636" s="4"/>
    </row>
    <row r="1637" spans="94:94">
      <c r="CP1637" s="4"/>
    </row>
    <row r="1638" spans="94:94">
      <c r="CP1638" s="4"/>
    </row>
    <row r="1639" spans="94:94">
      <c r="CP1639" s="4"/>
    </row>
    <row r="1640" spans="94:94">
      <c r="CP1640" s="4"/>
    </row>
    <row r="1641" spans="94:94">
      <c r="CP1641" s="4"/>
    </row>
    <row r="1642" spans="94:94">
      <c r="CP1642" s="4"/>
    </row>
    <row r="1643" spans="94:94">
      <c r="CP1643" s="4"/>
    </row>
    <row r="1644" spans="94:94">
      <c r="CP1644" s="4"/>
    </row>
    <row r="1645" spans="94:94">
      <c r="CP1645" s="4"/>
    </row>
    <row r="1646" spans="94:94">
      <c r="CP1646" s="4"/>
    </row>
    <row r="1647" spans="94:94">
      <c r="CP1647" s="4"/>
    </row>
    <row r="1648" spans="94:94">
      <c r="CP1648" s="4"/>
    </row>
    <row r="1649" spans="94:94">
      <c r="CP1649" s="4"/>
    </row>
    <row r="1650" spans="94:94">
      <c r="CP1650" s="4"/>
    </row>
    <row r="1651" spans="94:94">
      <c r="CP1651" s="4"/>
    </row>
    <row r="1652" spans="94:94">
      <c r="CP1652" s="4"/>
    </row>
    <row r="1653" spans="94:94">
      <c r="CP1653" s="4"/>
    </row>
    <row r="1654" spans="94:94">
      <c r="CP1654" s="4"/>
    </row>
    <row r="1655" spans="94:94">
      <c r="CP1655" s="4"/>
    </row>
    <row r="1656" spans="94:94">
      <c r="CP1656" s="4"/>
    </row>
    <row r="1657" spans="94:94">
      <c r="CP1657" s="4"/>
    </row>
    <row r="1658" spans="94:94">
      <c r="CP1658" s="4"/>
    </row>
    <row r="1659" spans="94:94">
      <c r="CP1659" s="4"/>
    </row>
    <row r="1660" spans="94:94">
      <c r="CP1660" s="4"/>
    </row>
    <row r="1661" spans="94:94">
      <c r="CP1661" s="4"/>
    </row>
    <row r="1662" spans="94:94">
      <c r="CP1662" s="4"/>
    </row>
    <row r="1663" spans="94:94">
      <c r="CP1663" s="4"/>
    </row>
    <row r="1664" spans="94:94">
      <c r="CP1664" s="4"/>
    </row>
    <row r="1665" spans="94:94">
      <c r="CP1665" s="4"/>
    </row>
    <row r="1666" spans="94:94">
      <c r="CP1666" s="4"/>
    </row>
    <row r="1667" spans="94:94">
      <c r="CP1667" s="4"/>
    </row>
    <row r="1668" spans="94:94">
      <c r="CP1668" s="4"/>
    </row>
    <row r="1669" spans="94:94">
      <c r="CP1669" s="4"/>
    </row>
    <row r="1670" spans="94:94">
      <c r="CP1670" s="4"/>
    </row>
    <row r="1671" spans="94:94">
      <c r="CP1671" s="4"/>
    </row>
    <row r="1672" spans="94:94">
      <c r="CP1672" s="4"/>
    </row>
    <row r="1673" spans="94:94">
      <c r="CP1673" s="4"/>
    </row>
    <row r="1674" spans="94:94">
      <c r="CP1674" s="4"/>
    </row>
    <row r="1675" spans="94:94">
      <c r="CP1675" s="4"/>
    </row>
    <row r="1676" spans="94:94">
      <c r="CP1676" s="4"/>
    </row>
    <row r="1677" spans="94:94">
      <c r="CP1677" s="4"/>
    </row>
    <row r="1678" spans="94:94">
      <c r="CP1678" s="4"/>
    </row>
    <row r="1679" spans="94:94">
      <c r="CP1679" s="4"/>
    </row>
    <row r="1680" spans="94:94">
      <c r="CP1680" s="4"/>
    </row>
    <row r="1681" spans="94:94">
      <c r="CP1681" s="4"/>
    </row>
    <row r="1682" spans="94:94">
      <c r="CP1682" s="4"/>
    </row>
    <row r="1683" spans="94:94">
      <c r="CP1683" s="4"/>
    </row>
    <row r="1684" spans="94:94">
      <c r="CP1684" s="4"/>
    </row>
    <row r="1685" spans="94:94">
      <c r="CP1685" s="4"/>
    </row>
    <row r="1686" spans="94:94">
      <c r="CP1686" s="4"/>
    </row>
    <row r="1687" spans="94:94">
      <c r="CP1687" s="4"/>
    </row>
    <row r="1688" spans="94:94">
      <c r="CP1688" s="4"/>
    </row>
    <row r="1689" spans="94:94">
      <c r="CP1689" s="4"/>
    </row>
    <row r="1690" spans="94:94">
      <c r="CP1690" s="4"/>
    </row>
    <row r="1691" spans="94:94">
      <c r="CP1691" s="4"/>
    </row>
    <row r="1692" spans="94:94">
      <c r="CP1692" s="4"/>
    </row>
    <row r="1693" spans="94:94">
      <c r="CP1693" s="4"/>
    </row>
    <row r="1694" spans="94:94">
      <c r="CP1694" s="4"/>
    </row>
    <row r="1695" spans="94:94">
      <c r="CP1695" s="4"/>
    </row>
    <row r="1696" spans="94:94">
      <c r="CP1696" s="4"/>
    </row>
    <row r="1697" spans="94:94">
      <c r="CP1697" s="4"/>
    </row>
    <row r="1698" spans="94:94">
      <c r="CP1698" s="4"/>
    </row>
    <row r="1699" spans="94:94">
      <c r="CP1699" s="4"/>
    </row>
    <row r="1700" spans="94:94">
      <c r="CP1700" s="4"/>
    </row>
    <row r="1701" spans="94:94">
      <c r="CP1701" s="4"/>
    </row>
    <row r="1702" spans="94:94">
      <c r="CP1702" s="4"/>
    </row>
    <row r="1703" spans="94:94">
      <c r="CP1703" s="4"/>
    </row>
    <row r="1704" spans="94:94">
      <c r="CP1704" s="4"/>
    </row>
    <row r="1705" spans="94:94">
      <c r="CP1705" s="4"/>
    </row>
    <row r="1706" spans="94:94">
      <c r="CP1706" s="4"/>
    </row>
    <row r="1707" spans="94:94">
      <c r="CP1707" s="4"/>
    </row>
    <row r="1708" spans="94:94">
      <c r="CP1708" s="4"/>
    </row>
    <row r="1709" spans="94:94">
      <c r="CP1709" s="4"/>
    </row>
    <row r="1710" spans="94:94">
      <c r="CP1710" s="4"/>
    </row>
    <row r="1711" spans="94:94">
      <c r="CP1711" s="4"/>
    </row>
    <row r="1712" spans="94:94">
      <c r="CP1712" s="4"/>
    </row>
    <row r="1713" spans="94:94">
      <c r="CP1713" s="4"/>
    </row>
    <row r="1714" spans="94:94">
      <c r="CP1714" s="4"/>
    </row>
    <row r="1715" spans="94:94">
      <c r="CP1715" s="4"/>
    </row>
    <row r="1716" spans="94:94">
      <c r="CP1716" s="4"/>
    </row>
    <row r="1717" spans="94:94">
      <c r="CP1717" s="4"/>
    </row>
    <row r="1718" spans="94:94">
      <c r="CP1718" s="4"/>
    </row>
    <row r="1719" spans="94:94">
      <c r="CP1719" s="4"/>
    </row>
    <row r="1720" spans="94:94">
      <c r="CP1720" s="4"/>
    </row>
    <row r="1721" spans="94:94">
      <c r="CP1721" s="4"/>
    </row>
    <row r="1722" spans="94:94">
      <c r="CP1722" s="4"/>
    </row>
    <row r="1723" spans="94:94">
      <c r="CP1723" s="4"/>
    </row>
    <row r="1724" spans="94:94">
      <c r="CP1724" s="4"/>
    </row>
    <row r="1725" spans="94:94">
      <c r="CP1725" s="4"/>
    </row>
    <row r="1726" spans="94:94">
      <c r="CP1726" s="4"/>
    </row>
    <row r="1727" spans="94:94">
      <c r="CP1727" s="4"/>
    </row>
    <row r="1728" spans="94:94">
      <c r="CP1728" s="4"/>
    </row>
    <row r="1729" spans="94:94">
      <c r="CP1729" s="4"/>
    </row>
    <row r="1730" spans="94:94">
      <c r="CP1730" s="4"/>
    </row>
    <row r="1731" spans="94:94">
      <c r="CP1731" s="4"/>
    </row>
    <row r="1732" spans="94:94">
      <c r="CP1732" s="4"/>
    </row>
    <row r="1733" spans="94:94">
      <c r="CP1733" s="4"/>
    </row>
    <row r="1734" spans="94:94">
      <c r="CP1734" s="4"/>
    </row>
    <row r="1735" spans="94:94">
      <c r="CP1735" s="4"/>
    </row>
    <row r="1736" spans="94:94">
      <c r="CP1736" s="4"/>
    </row>
    <row r="1737" spans="94:94">
      <c r="CP1737" s="4"/>
    </row>
    <row r="1738" spans="94:94">
      <c r="CP1738" s="4"/>
    </row>
    <row r="1739" spans="94:94">
      <c r="CP1739" s="4"/>
    </row>
    <row r="1740" spans="94:94">
      <c r="CP1740" s="4"/>
    </row>
    <row r="1741" spans="94:94">
      <c r="CP1741" s="4"/>
    </row>
    <row r="1742" spans="94:94">
      <c r="CP1742" s="4"/>
    </row>
    <row r="1743" spans="94:94">
      <c r="CP1743" s="4"/>
    </row>
    <row r="1744" spans="94:94">
      <c r="CP1744" s="4"/>
    </row>
    <row r="1745" spans="94:94">
      <c r="CP1745" s="4"/>
    </row>
    <row r="1746" spans="94:94">
      <c r="CP1746" s="4"/>
    </row>
    <row r="1747" spans="94:94">
      <c r="CP1747" s="4"/>
    </row>
    <row r="1748" spans="94:94">
      <c r="CP1748" s="4"/>
    </row>
    <row r="1749" spans="94:94">
      <c r="CP1749" s="4"/>
    </row>
    <row r="1750" spans="94:94">
      <c r="CP1750" s="4"/>
    </row>
    <row r="1751" spans="94:94">
      <c r="CP1751" s="4"/>
    </row>
    <row r="1752" spans="94:94">
      <c r="CP1752" s="4"/>
    </row>
    <row r="1753" spans="94:94">
      <c r="CP1753" s="4"/>
    </row>
    <row r="1754" spans="94:94">
      <c r="CP1754" s="4"/>
    </row>
    <row r="1755" spans="94:94">
      <c r="CP1755" s="4"/>
    </row>
    <row r="1756" spans="94:94">
      <c r="CP1756" s="4"/>
    </row>
    <row r="1757" spans="94:94">
      <c r="CP1757" s="4"/>
    </row>
    <row r="1758" spans="94:94">
      <c r="CP1758" s="4"/>
    </row>
    <row r="1759" spans="94:94">
      <c r="CP1759" s="4"/>
    </row>
    <row r="1760" spans="94:94">
      <c r="CP1760" s="4"/>
    </row>
    <row r="1761" spans="94:94">
      <c r="CP1761" s="4"/>
    </row>
    <row r="1762" spans="94:94">
      <c r="CP1762" s="4"/>
    </row>
    <row r="1763" spans="94:94">
      <c r="CP1763" s="4"/>
    </row>
    <row r="1764" spans="94:94">
      <c r="CP1764" s="4"/>
    </row>
    <row r="1765" spans="94:94">
      <c r="CP1765" s="4"/>
    </row>
    <row r="1766" spans="94:94">
      <c r="CP1766" s="4"/>
    </row>
    <row r="1767" spans="94:94">
      <c r="CP1767" s="4"/>
    </row>
    <row r="1768" spans="94:94">
      <c r="CP1768" s="4"/>
    </row>
    <row r="1769" spans="94:94">
      <c r="CP1769" s="4"/>
    </row>
    <row r="1770" spans="94:94">
      <c r="CP1770" s="4"/>
    </row>
    <row r="1771" spans="94:94">
      <c r="CP1771" s="4"/>
    </row>
    <row r="1772" spans="94:94">
      <c r="CP1772" s="4"/>
    </row>
    <row r="1773" spans="94:94">
      <c r="CP1773" s="4"/>
    </row>
    <row r="1774" spans="94:94">
      <c r="CP1774" s="4"/>
    </row>
    <row r="1775" spans="94:94">
      <c r="CP1775" s="4"/>
    </row>
    <row r="1776" spans="94:94">
      <c r="CP1776" s="4"/>
    </row>
    <row r="1777" spans="94:94">
      <c r="CP1777" s="4"/>
    </row>
    <row r="1778" spans="94:94">
      <c r="CP1778" s="4"/>
    </row>
    <row r="1779" spans="94:94">
      <c r="CP1779" s="4"/>
    </row>
    <row r="1780" spans="94:94">
      <c r="CP1780" s="4"/>
    </row>
    <row r="1781" spans="94:94">
      <c r="CP1781" s="4"/>
    </row>
    <row r="1782" spans="94:94">
      <c r="CP1782" s="4"/>
    </row>
    <row r="1783" spans="94:94">
      <c r="CP1783" s="4"/>
    </row>
    <row r="1784" spans="94:94">
      <c r="CP1784" s="4"/>
    </row>
    <row r="1785" spans="94:94">
      <c r="CP1785" s="4"/>
    </row>
    <row r="1786" spans="94:94">
      <c r="CP1786" s="4"/>
    </row>
    <row r="1787" spans="94:94">
      <c r="CP1787" s="4"/>
    </row>
    <row r="1788" spans="94:94">
      <c r="CP1788" s="4"/>
    </row>
    <row r="1789" spans="94:94">
      <c r="CP1789" s="4"/>
    </row>
    <row r="1790" spans="94:94">
      <c r="CP1790" s="4"/>
    </row>
    <row r="1791" spans="94:94">
      <c r="CP1791" s="4"/>
    </row>
    <row r="1792" spans="94:94">
      <c r="CP1792" s="4"/>
    </row>
    <row r="1793" spans="94:94">
      <c r="CP1793" s="4"/>
    </row>
    <row r="1794" spans="94:94">
      <c r="CP1794" s="4"/>
    </row>
    <row r="1795" spans="94:94">
      <c r="CP1795" s="4"/>
    </row>
    <row r="1796" spans="94:94">
      <c r="CP1796" s="4"/>
    </row>
    <row r="1797" spans="94:94">
      <c r="CP1797" s="4"/>
    </row>
    <row r="1798" spans="94:94">
      <c r="CP1798" s="4"/>
    </row>
    <row r="1799" spans="94:94">
      <c r="CP1799" s="4"/>
    </row>
    <row r="1800" spans="94:94">
      <c r="CP1800" s="4"/>
    </row>
    <row r="1801" spans="94:94">
      <c r="CP1801" s="4"/>
    </row>
    <row r="1802" spans="94:94">
      <c r="CP1802" s="4"/>
    </row>
    <row r="1803" spans="94:94">
      <c r="CP1803" s="4"/>
    </row>
    <row r="1804" spans="94:94">
      <c r="CP1804" s="4"/>
    </row>
    <row r="1805" spans="94:94">
      <c r="CP1805" s="4"/>
    </row>
    <row r="1806" spans="94:94">
      <c r="CP1806" s="4"/>
    </row>
    <row r="1807" spans="94:94">
      <c r="CP1807" s="4"/>
    </row>
    <row r="1808" spans="94:94">
      <c r="CP1808" s="4"/>
    </row>
    <row r="1809" spans="94:94">
      <c r="CP1809" s="4"/>
    </row>
    <row r="1810" spans="94:94">
      <c r="CP1810" s="4"/>
    </row>
    <row r="1811" spans="94:94">
      <c r="CP1811" s="4"/>
    </row>
    <row r="1812" spans="94:94">
      <c r="CP1812" s="4"/>
    </row>
    <row r="1813" spans="94:94">
      <c r="CP1813" s="4"/>
    </row>
    <row r="1814" spans="94:94">
      <c r="CP1814" s="4"/>
    </row>
    <row r="1815" spans="94:94">
      <c r="CP1815" s="4"/>
    </row>
    <row r="1816" spans="94:94">
      <c r="CP1816" s="4"/>
    </row>
    <row r="1817" spans="94:94">
      <c r="CP1817" s="4"/>
    </row>
    <row r="1818" spans="94:94">
      <c r="CP1818" s="4"/>
    </row>
    <row r="1819" spans="94:94">
      <c r="CP1819" s="4"/>
    </row>
    <row r="1820" spans="94:94">
      <c r="CP1820" s="4"/>
    </row>
    <row r="1821" spans="94:94">
      <c r="CP1821" s="4"/>
    </row>
    <row r="1822" spans="94:94">
      <c r="CP1822" s="4"/>
    </row>
    <row r="1823" spans="94:94">
      <c r="CP1823" s="4"/>
    </row>
    <row r="1824" spans="94:94">
      <c r="CP1824" s="4"/>
    </row>
    <row r="1825" spans="94:94">
      <c r="CP1825" s="4"/>
    </row>
    <row r="1826" spans="94:94">
      <c r="CP1826" s="4"/>
    </row>
    <row r="1827" spans="94:94">
      <c r="CP1827" s="4"/>
    </row>
    <row r="1828" spans="94:94">
      <c r="CP1828" s="4"/>
    </row>
    <row r="1829" spans="94:94">
      <c r="CP1829" s="4"/>
    </row>
    <row r="1830" spans="94:94">
      <c r="CP1830" s="4"/>
    </row>
    <row r="1831" spans="94:94">
      <c r="CP1831" s="4"/>
    </row>
    <row r="1832" spans="94:94">
      <c r="CP1832" s="4"/>
    </row>
    <row r="1833" spans="94:94">
      <c r="CP1833" s="4"/>
    </row>
    <row r="1834" spans="94:94">
      <c r="CP1834" s="4"/>
    </row>
    <row r="1835" spans="94:94">
      <c r="CP1835" s="4"/>
    </row>
    <row r="1836" spans="94:94">
      <c r="CP1836" s="4"/>
    </row>
    <row r="1837" spans="94:94">
      <c r="CP1837" s="4"/>
    </row>
    <row r="1838" spans="94:94">
      <c r="CP1838" s="4"/>
    </row>
    <row r="1839" spans="94:94">
      <c r="CP1839" s="4"/>
    </row>
    <row r="1840" spans="94:94">
      <c r="CP1840" s="4"/>
    </row>
    <row r="1841" spans="94:94">
      <c r="CP1841" s="4"/>
    </row>
    <row r="1842" spans="94:94">
      <c r="CP1842" s="4"/>
    </row>
    <row r="1843" spans="94:94">
      <c r="CP1843" s="4"/>
    </row>
    <row r="1844" spans="94:94">
      <c r="CP1844" s="4"/>
    </row>
    <row r="1845" spans="94:94">
      <c r="CP1845" s="4"/>
    </row>
    <row r="1846" spans="94:94">
      <c r="CP1846" s="4"/>
    </row>
    <row r="1847" spans="94:94">
      <c r="CP1847" s="4"/>
    </row>
    <row r="1848" spans="94:94">
      <c r="CP1848" s="4"/>
    </row>
    <row r="1849" spans="94:94">
      <c r="CP1849" s="4"/>
    </row>
    <row r="1850" spans="94:94">
      <c r="CP1850" s="4"/>
    </row>
    <row r="1851" spans="94:94">
      <c r="CP1851" s="4"/>
    </row>
    <row r="1852" spans="94:94">
      <c r="CP1852" s="4"/>
    </row>
    <row r="1853" spans="94:94">
      <c r="CP1853" s="4"/>
    </row>
    <row r="1854" spans="94:94">
      <c r="CP1854" s="4"/>
    </row>
    <row r="1855" spans="94:94">
      <c r="CP1855" s="4"/>
    </row>
    <row r="1856" spans="94:94">
      <c r="CP1856" s="4"/>
    </row>
    <row r="1857" spans="94:94">
      <c r="CP1857" s="4"/>
    </row>
    <row r="1858" spans="94:94">
      <c r="CP1858" s="4"/>
    </row>
    <row r="1859" spans="94:94">
      <c r="CP1859" s="4"/>
    </row>
    <row r="1860" spans="94:94">
      <c r="CP1860" s="4"/>
    </row>
    <row r="1861" spans="94:94">
      <c r="CP1861" s="4"/>
    </row>
    <row r="1862" spans="94:94">
      <c r="CP1862" s="4"/>
    </row>
    <row r="1863" spans="94:94">
      <c r="CP1863" s="4"/>
    </row>
    <row r="1864" spans="94:94">
      <c r="CP1864" s="4"/>
    </row>
    <row r="1865" spans="94:94">
      <c r="CP1865" s="4"/>
    </row>
    <row r="1866" spans="94:94">
      <c r="CP1866" s="4"/>
    </row>
    <row r="1867" spans="94:94">
      <c r="CP1867" s="4"/>
    </row>
    <row r="1868" spans="94:94">
      <c r="CP1868" s="4"/>
    </row>
    <row r="1869" spans="94:94">
      <c r="CP1869" s="4"/>
    </row>
    <row r="1870" spans="94:94">
      <c r="CP1870" s="4"/>
    </row>
    <row r="1871" spans="94:94">
      <c r="CP1871" s="4"/>
    </row>
    <row r="1872" spans="94:94">
      <c r="CP1872" s="4"/>
    </row>
    <row r="1873" spans="94:94">
      <c r="CP1873" s="4"/>
    </row>
    <row r="1874" spans="94:94">
      <c r="CP1874" s="4"/>
    </row>
    <row r="1875" spans="94:94">
      <c r="CP1875" s="4"/>
    </row>
    <row r="1876" spans="94:94">
      <c r="CP1876" s="4"/>
    </row>
    <row r="1877" spans="94:94">
      <c r="CP1877" s="4"/>
    </row>
    <row r="1878" spans="94:94">
      <c r="CP1878" s="4"/>
    </row>
    <row r="1879" spans="94:94">
      <c r="CP1879" s="4"/>
    </row>
    <row r="1880" spans="94:94">
      <c r="CP1880" s="4"/>
    </row>
    <row r="1881" spans="94:94">
      <c r="CP1881" s="4"/>
    </row>
    <row r="1882" spans="94:94">
      <c r="CP1882" s="4"/>
    </row>
    <row r="1883" spans="94:94">
      <c r="CP1883" s="4"/>
    </row>
    <row r="1884" spans="94:94">
      <c r="CP1884" s="4"/>
    </row>
    <row r="1885" spans="94:94">
      <c r="CP1885" s="4"/>
    </row>
    <row r="1886" spans="94:94">
      <c r="CP1886" s="4"/>
    </row>
    <row r="1887" spans="94:94">
      <c r="CP1887" s="4"/>
    </row>
    <row r="1888" spans="94:94">
      <c r="CP1888" s="4"/>
    </row>
    <row r="1889" spans="94:94">
      <c r="CP1889" s="4"/>
    </row>
    <row r="1890" spans="94:94">
      <c r="CP1890" s="4"/>
    </row>
    <row r="1891" spans="94:94">
      <c r="CP1891" s="4"/>
    </row>
    <row r="1892" spans="94:94">
      <c r="CP1892" s="4"/>
    </row>
    <row r="1893" spans="94:94">
      <c r="CP1893" s="4"/>
    </row>
    <row r="1894" spans="94:94">
      <c r="CP1894" s="4"/>
    </row>
    <row r="1895" spans="94:94">
      <c r="CP1895" s="4"/>
    </row>
    <row r="1896" spans="94:94">
      <c r="CP1896" s="4"/>
    </row>
    <row r="1897" spans="94:94">
      <c r="CP1897" s="4"/>
    </row>
    <row r="1898" spans="94:94">
      <c r="CP1898" s="4"/>
    </row>
    <row r="1899" spans="94:94">
      <c r="CP1899" s="4"/>
    </row>
    <row r="1900" spans="94:94">
      <c r="CP1900" s="4"/>
    </row>
    <row r="1901" spans="94:94">
      <c r="CP1901" s="4"/>
    </row>
    <row r="1902" spans="94:94">
      <c r="CP1902" s="4"/>
    </row>
    <row r="1903" spans="94:94">
      <c r="CP1903" s="4"/>
    </row>
    <row r="1904" spans="94:94">
      <c r="CP1904" s="4"/>
    </row>
    <row r="1905" spans="94:94">
      <c r="CP1905" s="4"/>
    </row>
    <row r="1906" spans="94:94">
      <c r="CP1906" s="4"/>
    </row>
    <row r="1907" spans="94:94">
      <c r="CP1907" s="4"/>
    </row>
    <row r="1908" spans="94:94">
      <c r="CP1908" s="4"/>
    </row>
    <row r="1909" spans="94:94">
      <c r="CP1909" s="4"/>
    </row>
    <row r="1910" spans="94:94">
      <c r="CP1910" s="4"/>
    </row>
    <row r="1911" spans="94:94">
      <c r="CP1911" s="4"/>
    </row>
    <row r="1912" spans="94:94">
      <c r="CP1912" s="4"/>
    </row>
    <row r="1913" spans="94:94">
      <c r="CP1913" s="4"/>
    </row>
    <row r="1914" spans="94:94">
      <c r="CP1914" s="4"/>
    </row>
    <row r="1915" spans="94:94">
      <c r="CP1915" s="4"/>
    </row>
    <row r="1916" spans="94:94">
      <c r="CP1916" s="4"/>
    </row>
    <row r="1917" spans="94:94">
      <c r="CP1917" s="4"/>
    </row>
    <row r="1918" spans="94:94">
      <c r="CP1918" s="4"/>
    </row>
    <row r="1919" spans="94:94">
      <c r="CP1919" s="4"/>
    </row>
    <row r="1920" spans="94:94">
      <c r="CP1920" s="4"/>
    </row>
    <row r="1921" spans="94:94">
      <c r="CP1921" s="4"/>
    </row>
    <row r="1922" spans="94:94">
      <c r="CP1922" s="4"/>
    </row>
    <row r="1923" spans="94:94">
      <c r="CP1923" s="4"/>
    </row>
    <row r="1924" spans="94:94">
      <c r="CP1924" s="4"/>
    </row>
    <row r="1925" spans="94:94">
      <c r="CP1925" s="4"/>
    </row>
    <row r="1926" spans="94:94">
      <c r="CP1926" s="4"/>
    </row>
    <row r="1927" spans="94:94">
      <c r="CP1927" s="4"/>
    </row>
    <row r="1928" spans="94:94">
      <c r="CP1928" s="4"/>
    </row>
    <row r="1929" spans="94:94">
      <c r="CP1929" s="4"/>
    </row>
    <row r="1930" spans="94:94">
      <c r="CP1930" s="4"/>
    </row>
    <row r="1931" spans="94:94">
      <c r="CP1931" s="4"/>
    </row>
    <row r="1932" spans="94:94">
      <c r="CP1932" s="4"/>
    </row>
    <row r="1933" spans="94:94">
      <c r="CP1933" s="4"/>
    </row>
    <row r="1934" spans="94:94">
      <c r="CP1934" s="4"/>
    </row>
    <row r="1935" spans="94:94">
      <c r="CP1935" s="4"/>
    </row>
    <row r="1936" spans="94:94">
      <c r="CP1936" s="4"/>
    </row>
    <row r="1937" spans="94:94">
      <c r="CP1937" s="4"/>
    </row>
    <row r="1938" spans="94:94">
      <c r="CP1938" s="4"/>
    </row>
    <row r="1939" spans="94:94">
      <c r="CP1939" s="4"/>
    </row>
    <row r="1940" spans="94:94">
      <c r="CP1940" s="4"/>
    </row>
    <row r="1941" spans="94:94">
      <c r="CP1941" s="4"/>
    </row>
    <row r="1942" spans="94:94">
      <c r="CP1942" s="4"/>
    </row>
    <row r="1943" spans="94:94">
      <c r="CP1943" s="4"/>
    </row>
    <row r="1944" spans="94:94">
      <c r="CP1944" s="4"/>
    </row>
    <row r="1945" spans="94:94">
      <c r="CP1945" s="4"/>
    </row>
    <row r="1946" spans="94:94">
      <c r="CP1946" s="4"/>
    </row>
    <row r="1947" spans="94:94">
      <c r="CP1947" s="4"/>
    </row>
    <row r="1948" spans="94:94">
      <c r="CP1948" s="4"/>
    </row>
    <row r="1949" spans="94:94">
      <c r="CP1949" s="4"/>
    </row>
    <row r="1950" spans="94:94">
      <c r="CP1950" s="4"/>
    </row>
    <row r="1951" spans="94:94">
      <c r="CP1951" s="4"/>
    </row>
    <row r="1952" spans="94:94">
      <c r="CP1952" s="4"/>
    </row>
    <row r="1953" spans="94:94">
      <c r="CP1953" s="4"/>
    </row>
    <row r="1954" spans="94:94">
      <c r="CP1954" s="4"/>
    </row>
    <row r="1955" spans="94:94">
      <c r="CP1955" s="4"/>
    </row>
    <row r="1956" spans="94:94">
      <c r="CP1956" s="4"/>
    </row>
    <row r="1957" spans="94:94">
      <c r="CP1957" s="4"/>
    </row>
    <row r="1958" spans="94:94">
      <c r="CP1958" s="4"/>
    </row>
    <row r="1959" spans="94:94">
      <c r="CP1959" s="4"/>
    </row>
    <row r="1960" spans="94:94">
      <c r="CP1960" s="4"/>
    </row>
    <row r="1961" spans="94:94">
      <c r="CP1961" s="4"/>
    </row>
    <row r="1962" spans="94:94">
      <c r="CP1962" s="4"/>
    </row>
    <row r="1963" spans="94:94">
      <c r="CP1963" s="4"/>
    </row>
    <row r="1964" spans="94:94">
      <c r="CP1964" s="4"/>
    </row>
    <row r="1965" spans="94:94">
      <c r="CP1965" s="4"/>
    </row>
    <row r="1966" spans="94:94">
      <c r="CP1966" s="4"/>
    </row>
    <row r="1967" spans="94:94">
      <c r="CP1967" s="4"/>
    </row>
    <row r="1968" spans="94:94">
      <c r="CP1968" s="4"/>
    </row>
    <row r="1969" spans="94:94">
      <c r="CP1969" s="4"/>
    </row>
    <row r="1970" spans="94:94">
      <c r="CP1970" s="4"/>
    </row>
    <row r="1971" spans="94:94">
      <c r="CP1971" s="4"/>
    </row>
    <row r="1972" spans="94:94">
      <c r="CP1972" s="4"/>
    </row>
    <row r="1973" spans="94:94">
      <c r="CP1973" s="4"/>
    </row>
    <row r="1974" spans="94:94">
      <c r="CP1974" s="4"/>
    </row>
    <row r="1975" spans="94:94">
      <c r="CP1975" s="4"/>
    </row>
    <row r="1976" spans="94:94">
      <c r="CP1976" s="4"/>
    </row>
    <row r="1977" spans="94:94">
      <c r="CP1977" s="4"/>
    </row>
    <row r="1978" spans="94:94">
      <c r="CP1978" s="4"/>
    </row>
    <row r="1979" spans="94:94">
      <c r="CP1979" s="4"/>
    </row>
    <row r="1980" spans="94:94">
      <c r="CP1980" s="4"/>
    </row>
    <row r="1981" spans="94:94">
      <c r="CP1981" s="4"/>
    </row>
    <row r="1982" spans="94:94">
      <c r="CP1982" s="4"/>
    </row>
    <row r="1983" spans="94:94">
      <c r="CP1983" s="4"/>
    </row>
    <row r="1984" spans="94:94">
      <c r="CP1984" s="4"/>
    </row>
    <row r="1985" spans="94:94">
      <c r="CP1985" s="4"/>
    </row>
    <row r="1986" spans="94:94">
      <c r="CP1986" s="4"/>
    </row>
    <row r="1987" spans="94:94">
      <c r="CP1987" s="4"/>
    </row>
    <row r="1988" spans="94:94">
      <c r="CP1988" s="4"/>
    </row>
    <row r="1989" spans="94:94">
      <c r="CP1989" s="4"/>
    </row>
    <row r="1990" spans="94:94">
      <c r="CP1990" s="4"/>
    </row>
    <row r="1991" spans="94:94">
      <c r="CP1991" s="4"/>
    </row>
    <row r="1992" spans="94:94">
      <c r="CP1992" s="4"/>
    </row>
    <row r="1993" spans="94:94">
      <c r="CP1993" s="4"/>
    </row>
    <row r="1994" spans="94:94">
      <c r="CP1994" s="4"/>
    </row>
    <row r="1995" spans="94:94">
      <c r="CP1995" s="4"/>
    </row>
    <row r="1996" spans="94:94">
      <c r="CP1996" s="4"/>
    </row>
    <row r="1997" spans="94:94">
      <c r="CP1997" s="4"/>
    </row>
    <row r="1998" spans="94:94">
      <c r="CP1998" s="4"/>
    </row>
    <row r="1999" spans="94:94">
      <c r="CP1999" s="4"/>
    </row>
    <row r="2000" spans="94:94">
      <c r="CP2000" s="4"/>
    </row>
    <row r="2001" spans="94:94">
      <c r="CP2001" s="4"/>
    </row>
    <row r="2002" spans="94:94">
      <c r="CP2002" s="4"/>
    </row>
    <row r="2003" spans="94:94">
      <c r="CP2003" s="4"/>
    </row>
    <row r="2004" spans="94:94">
      <c r="CP2004" s="4"/>
    </row>
    <row r="2005" spans="94:94">
      <c r="CP2005" s="4"/>
    </row>
    <row r="2006" spans="94:94">
      <c r="CP2006" s="4"/>
    </row>
    <row r="2007" spans="94:94">
      <c r="CP2007" s="4"/>
    </row>
    <row r="2008" spans="94:94">
      <c r="CP2008" s="4"/>
    </row>
    <row r="2009" spans="94:94">
      <c r="CP2009" s="4"/>
    </row>
    <row r="2010" spans="94:94">
      <c r="CP2010" s="4"/>
    </row>
    <row r="2011" spans="94:94">
      <c r="CP2011" s="4"/>
    </row>
    <row r="2012" spans="94:94">
      <c r="CP2012" s="4"/>
    </row>
    <row r="2013" spans="94:94">
      <c r="CP2013" s="4"/>
    </row>
    <row r="2014" spans="94:94">
      <c r="CP2014" s="4"/>
    </row>
    <row r="2015" spans="94:94">
      <c r="CP2015" s="4"/>
    </row>
    <row r="2016" spans="94:94">
      <c r="CP2016" s="4"/>
    </row>
    <row r="2017" spans="94:94">
      <c r="CP2017" s="4"/>
    </row>
    <row r="2018" spans="94:94">
      <c r="CP2018" s="4"/>
    </row>
    <row r="2019" spans="94:94">
      <c r="CP2019" s="4"/>
    </row>
    <row r="2020" spans="94:94">
      <c r="CP2020" s="4"/>
    </row>
    <row r="2021" spans="94:94">
      <c r="CP2021" s="4"/>
    </row>
    <row r="2022" spans="94:94">
      <c r="CP2022" s="4"/>
    </row>
    <row r="2023" spans="94:94">
      <c r="CP2023" s="4"/>
    </row>
    <row r="2024" spans="94:94">
      <c r="CP2024" s="4"/>
    </row>
    <row r="2025" spans="94:94">
      <c r="CP2025" s="4"/>
    </row>
    <row r="2026" spans="94:94">
      <c r="CP2026" s="4"/>
    </row>
    <row r="2027" spans="94:94">
      <c r="CP2027" s="4"/>
    </row>
    <row r="2028" spans="94:94">
      <c r="CP2028" s="4"/>
    </row>
    <row r="2029" spans="94:94">
      <c r="CP2029" s="4"/>
    </row>
    <row r="2030" spans="94:94">
      <c r="CP2030" s="4"/>
    </row>
    <row r="2031" spans="94:94">
      <c r="CP2031" s="4"/>
    </row>
    <row r="2032" spans="94:94">
      <c r="CP2032" s="4"/>
    </row>
    <row r="2033" spans="94:94">
      <c r="CP2033" s="4"/>
    </row>
    <row r="2034" spans="94:94">
      <c r="CP2034" s="4"/>
    </row>
    <row r="2035" spans="94:94">
      <c r="CP2035" s="4"/>
    </row>
    <row r="2036" spans="94:94">
      <c r="CP2036" s="4"/>
    </row>
    <row r="2037" spans="94:94">
      <c r="CP2037" s="4"/>
    </row>
    <row r="2038" spans="94:94">
      <c r="CP2038" s="4"/>
    </row>
    <row r="2039" spans="94:94">
      <c r="CP2039" s="4"/>
    </row>
    <row r="2040" spans="94:94">
      <c r="CP2040" s="4"/>
    </row>
    <row r="2041" spans="94:94">
      <c r="CP2041" s="4"/>
    </row>
    <row r="2042" spans="94:94">
      <c r="CP2042" s="4"/>
    </row>
    <row r="2043" spans="94:94">
      <c r="CP2043" s="4"/>
    </row>
    <row r="2044" spans="94:94">
      <c r="CP2044" s="4"/>
    </row>
    <row r="2045" spans="94:94">
      <c r="CP2045" s="4"/>
    </row>
    <row r="2046" spans="94:94">
      <c r="CP2046" s="4"/>
    </row>
    <row r="2047" spans="94:94">
      <c r="CP2047" s="4"/>
    </row>
    <row r="2048" spans="94:94">
      <c r="CP2048" s="4"/>
    </row>
    <row r="2049" spans="94:94">
      <c r="CP2049" s="4"/>
    </row>
    <row r="2050" spans="94:94">
      <c r="CP2050" s="4"/>
    </row>
    <row r="2051" spans="94:94">
      <c r="CP2051" s="4"/>
    </row>
    <row r="2052" spans="94:94">
      <c r="CP2052" s="4"/>
    </row>
    <row r="2053" spans="94:94">
      <c r="CP2053" s="4"/>
    </row>
    <row r="2054" spans="94:94">
      <c r="CP2054" s="4"/>
    </row>
    <row r="2055" spans="94:94">
      <c r="CP2055" s="4"/>
    </row>
    <row r="2056" spans="94:94">
      <c r="CP2056" s="4"/>
    </row>
    <row r="2057" spans="94:94">
      <c r="CP2057" s="4"/>
    </row>
    <row r="2058" spans="94:94">
      <c r="CP2058" s="4"/>
    </row>
    <row r="2059" spans="94:94">
      <c r="CP2059" s="4"/>
    </row>
    <row r="2060" spans="94:94">
      <c r="CP2060" s="4"/>
    </row>
    <row r="2061" spans="94:94">
      <c r="CP2061" s="4"/>
    </row>
    <row r="2062" spans="94:94">
      <c r="CP2062" s="4"/>
    </row>
    <row r="2063" spans="94:94">
      <c r="CP2063" s="4"/>
    </row>
    <row r="2064" spans="94:94">
      <c r="CP2064" s="4"/>
    </row>
    <row r="2065" spans="94:94">
      <c r="CP2065" s="4"/>
    </row>
    <row r="2066" spans="94:94">
      <c r="CP2066" s="4"/>
    </row>
    <row r="2067" spans="94:94">
      <c r="CP2067" s="4"/>
    </row>
    <row r="2068" spans="94:94">
      <c r="CP2068" s="4"/>
    </row>
    <row r="2069" spans="94:94">
      <c r="CP2069" s="4"/>
    </row>
    <row r="2070" spans="94:94">
      <c r="CP2070" s="4"/>
    </row>
    <row r="2071" spans="94:94">
      <c r="CP2071" s="4"/>
    </row>
    <row r="2072" spans="94:94">
      <c r="CP2072" s="4"/>
    </row>
    <row r="2073" spans="94:94">
      <c r="CP2073" s="4"/>
    </row>
    <row r="2074" spans="94:94">
      <c r="CP2074" s="4"/>
    </row>
    <row r="2075" spans="94:94">
      <c r="CP2075" s="4"/>
    </row>
    <row r="2076" spans="94:94">
      <c r="CP2076" s="4"/>
    </row>
    <row r="2077" spans="94:94">
      <c r="CP2077" s="4"/>
    </row>
    <row r="2078" spans="94:94">
      <c r="CP2078" s="4"/>
    </row>
    <row r="2079" spans="94:94">
      <c r="CP2079" s="4"/>
    </row>
    <row r="2080" spans="94:94">
      <c r="CP2080" s="4"/>
    </row>
    <row r="2081" spans="94:94">
      <c r="CP2081" s="4"/>
    </row>
    <row r="2082" spans="94:94">
      <c r="CP2082" s="4"/>
    </row>
    <row r="2083" spans="94:94">
      <c r="CP2083" s="4"/>
    </row>
    <row r="2084" spans="94:94">
      <c r="CP2084" s="4"/>
    </row>
    <row r="2085" spans="94:94">
      <c r="CP2085" s="4"/>
    </row>
    <row r="2086" spans="94:94">
      <c r="CP2086" s="4"/>
    </row>
    <row r="2087" spans="94:94">
      <c r="CP2087" s="4"/>
    </row>
    <row r="2088" spans="94:94">
      <c r="CP2088" s="4"/>
    </row>
    <row r="2089" spans="94:94">
      <c r="CP2089" s="4"/>
    </row>
    <row r="2090" spans="94:94">
      <c r="CP2090" s="4"/>
    </row>
    <row r="2091" spans="94:94">
      <c r="CP2091" s="4"/>
    </row>
    <row r="2092" spans="94:94">
      <c r="CP2092" s="4"/>
    </row>
    <row r="2093" spans="94:94">
      <c r="CP2093" s="4"/>
    </row>
    <row r="2094" spans="94:94">
      <c r="CP2094" s="4"/>
    </row>
    <row r="2095" spans="94:94">
      <c r="CP2095" s="4"/>
    </row>
    <row r="2096" spans="94:94">
      <c r="CP2096" s="4"/>
    </row>
    <row r="2097" spans="94:94">
      <c r="CP2097" s="4"/>
    </row>
    <row r="2098" spans="94:94">
      <c r="CP2098" s="4"/>
    </row>
    <row r="2099" spans="94:94">
      <c r="CP2099" s="4"/>
    </row>
    <row r="2100" spans="94:94">
      <c r="CP2100" s="4"/>
    </row>
    <row r="2101" spans="94:94">
      <c r="CP2101" s="4"/>
    </row>
    <row r="2102" spans="94:94">
      <c r="CP2102" s="4"/>
    </row>
    <row r="2103" spans="94:94">
      <c r="CP2103" s="4"/>
    </row>
    <row r="2104" spans="94:94">
      <c r="CP2104" s="4"/>
    </row>
    <row r="2105" spans="94:94">
      <c r="CP2105" s="4"/>
    </row>
    <row r="2106" spans="94:94">
      <c r="CP2106" s="4"/>
    </row>
    <row r="2107" spans="94:94">
      <c r="CP2107" s="4"/>
    </row>
    <row r="2108" spans="94:94">
      <c r="CP2108" s="4"/>
    </row>
    <row r="2109" spans="94:94">
      <c r="CP2109" s="4"/>
    </row>
    <row r="2110" spans="94:94">
      <c r="CP2110" s="4"/>
    </row>
    <row r="2111" spans="94:94">
      <c r="CP2111" s="4"/>
    </row>
    <row r="2112" spans="94:94">
      <c r="CP2112" s="4"/>
    </row>
    <row r="2113" spans="94:94">
      <c r="CP2113" s="4"/>
    </row>
    <row r="2114" spans="94:94">
      <c r="CP2114" s="4"/>
    </row>
    <row r="2115" spans="94:94">
      <c r="CP2115" s="4"/>
    </row>
    <row r="2116" spans="94:94">
      <c r="CP2116" s="4"/>
    </row>
    <row r="2117" spans="94:94">
      <c r="CP2117" s="4"/>
    </row>
    <row r="2118" spans="94:94">
      <c r="CP2118" s="4"/>
    </row>
    <row r="2119" spans="94:94">
      <c r="CP2119" s="4"/>
    </row>
    <row r="2120" spans="94:94">
      <c r="CP2120" s="4"/>
    </row>
    <row r="2121" spans="94:94">
      <c r="CP2121" s="4"/>
    </row>
    <row r="2122" spans="94:94">
      <c r="CP2122" s="4"/>
    </row>
    <row r="2123" spans="94:94">
      <c r="CP2123" s="4"/>
    </row>
    <row r="2124" spans="94:94">
      <c r="CP2124" s="4"/>
    </row>
    <row r="2125" spans="94:94">
      <c r="CP2125" s="4"/>
    </row>
    <row r="2126" spans="94:94">
      <c r="CP2126" s="4"/>
    </row>
    <row r="2127" spans="94:94">
      <c r="CP2127" s="4"/>
    </row>
    <row r="2128" spans="94:94">
      <c r="CP2128" s="4"/>
    </row>
    <row r="2129" spans="94:94">
      <c r="CP2129" s="4"/>
    </row>
    <row r="2130" spans="94:94">
      <c r="CP2130" s="4"/>
    </row>
    <row r="2131" spans="94:94">
      <c r="CP2131" s="4"/>
    </row>
    <row r="2132" spans="94:94">
      <c r="CP2132" s="4"/>
    </row>
    <row r="2133" spans="94:94">
      <c r="CP2133" s="4"/>
    </row>
    <row r="2134" spans="94:94">
      <c r="CP2134" s="4"/>
    </row>
    <row r="2135" spans="94:94">
      <c r="CP2135" s="4"/>
    </row>
    <row r="2136" spans="94:94">
      <c r="CP2136" s="4"/>
    </row>
    <row r="2137" spans="94:94">
      <c r="CP2137" s="4"/>
    </row>
    <row r="2138" spans="94:94">
      <c r="CP2138" s="4"/>
    </row>
    <row r="2139" spans="94:94">
      <c r="CP2139" s="4"/>
    </row>
    <row r="2140" spans="94:94">
      <c r="CP2140" s="4"/>
    </row>
    <row r="2141" spans="94:94">
      <c r="CP2141" s="4"/>
    </row>
    <row r="2142" spans="94:94">
      <c r="CP2142" s="4"/>
    </row>
    <row r="2143" spans="94:94">
      <c r="CP2143" s="4"/>
    </row>
    <row r="2144" spans="94:94">
      <c r="CP2144" s="4"/>
    </row>
    <row r="2145" spans="94:94">
      <c r="CP2145" s="4"/>
    </row>
    <row r="2146" spans="94:94">
      <c r="CP2146" s="4"/>
    </row>
    <row r="2147" spans="94:94">
      <c r="CP2147" s="4"/>
    </row>
    <row r="2148" spans="94:94">
      <c r="CP2148" s="4"/>
    </row>
    <row r="2149" spans="94:94">
      <c r="CP2149" s="4"/>
    </row>
    <row r="2150" spans="94:94">
      <c r="CP2150" s="4"/>
    </row>
    <row r="2151" spans="94:94">
      <c r="CP2151" s="4"/>
    </row>
    <row r="2152" spans="94:94">
      <c r="CP2152" s="4"/>
    </row>
    <row r="2153" spans="94:94">
      <c r="CP2153" s="4"/>
    </row>
    <row r="2154" spans="94:94">
      <c r="CP2154" s="4"/>
    </row>
    <row r="2155" spans="94:94">
      <c r="CP2155" s="4"/>
    </row>
    <row r="2156" spans="94:94">
      <c r="CP2156" s="4"/>
    </row>
    <row r="2157" spans="94:94">
      <c r="CP2157" s="4"/>
    </row>
    <row r="2158" spans="94:94">
      <c r="CP2158" s="4"/>
    </row>
    <row r="2159" spans="94:94">
      <c r="CP2159" s="4"/>
    </row>
    <row r="2160" spans="94:94">
      <c r="CP2160" s="4"/>
    </row>
    <row r="2161" spans="94:94">
      <c r="CP2161" s="4"/>
    </row>
    <row r="2162" spans="94:94">
      <c r="CP2162" s="4"/>
    </row>
    <row r="2163" spans="94:94">
      <c r="CP2163" s="4"/>
    </row>
    <row r="2164" spans="94:94">
      <c r="CP2164" s="4"/>
    </row>
    <row r="2165" spans="94:94">
      <c r="CP2165" s="4"/>
    </row>
    <row r="2166" spans="94:94">
      <c r="CP2166" s="4"/>
    </row>
    <row r="2167" spans="94:94">
      <c r="CP2167" s="4"/>
    </row>
    <row r="2168" spans="94:94">
      <c r="CP2168" s="4"/>
    </row>
    <row r="2169" spans="94:94">
      <c r="CP2169" s="4"/>
    </row>
    <row r="2170" spans="94:94">
      <c r="CP2170" s="4"/>
    </row>
    <row r="2171" spans="94:94">
      <c r="CP2171" s="4"/>
    </row>
    <row r="2172" spans="94:94">
      <c r="CP2172" s="4"/>
    </row>
    <row r="2173" spans="94:94">
      <c r="CP2173" s="4"/>
    </row>
    <row r="2174" spans="94:94">
      <c r="CP2174" s="4"/>
    </row>
    <row r="2175" spans="94:94">
      <c r="CP2175" s="4"/>
    </row>
    <row r="2176" spans="94:94">
      <c r="CP2176" s="4"/>
    </row>
    <row r="2177" spans="94:94">
      <c r="CP2177" s="4"/>
    </row>
    <row r="2178" spans="94:94">
      <c r="CP2178" s="4"/>
    </row>
    <row r="2179" spans="94:94">
      <c r="CP2179" s="4"/>
    </row>
    <row r="2180" spans="94:94">
      <c r="CP2180" s="4"/>
    </row>
    <row r="2181" spans="94:94">
      <c r="CP2181" s="4"/>
    </row>
    <row r="2182" spans="94:94">
      <c r="CP2182" s="4"/>
    </row>
    <row r="2183" spans="94:94">
      <c r="CP2183" s="4"/>
    </row>
    <row r="2184" spans="94:94">
      <c r="CP2184" s="4"/>
    </row>
    <row r="2185" spans="94:94">
      <c r="CP2185" s="4"/>
    </row>
    <row r="2186" spans="94:94">
      <c r="CP2186" s="4"/>
    </row>
    <row r="2187" spans="94:94">
      <c r="CP2187" s="4"/>
    </row>
    <row r="2188" spans="94:94">
      <c r="CP2188" s="4"/>
    </row>
    <row r="2189" spans="94:94">
      <c r="CP2189" s="4"/>
    </row>
    <row r="2190" spans="94:94">
      <c r="CP2190" s="4"/>
    </row>
    <row r="2191" spans="94:94">
      <c r="CP2191" s="4"/>
    </row>
    <row r="2192" spans="94:94">
      <c r="CP2192" s="4"/>
    </row>
    <row r="2193" spans="94:94">
      <c r="CP2193" s="4"/>
    </row>
    <row r="2194" spans="94:94">
      <c r="CP2194" s="4"/>
    </row>
    <row r="2195" spans="94:94">
      <c r="CP2195" s="4"/>
    </row>
    <row r="2196" spans="94:94">
      <c r="CP2196" s="4"/>
    </row>
    <row r="2197" spans="94:94">
      <c r="CP2197" s="4"/>
    </row>
    <row r="2198" spans="94:94">
      <c r="CP2198" s="4"/>
    </row>
    <row r="2199" spans="94:94">
      <c r="CP2199" s="4"/>
    </row>
    <row r="2200" spans="94:94">
      <c r="CP2200" s="4"/>
    </row>
    <row r="2201" spans="94:94">
      <c r="CP2201" s="4"/>
    </row>
    <row r="2202" spans="94:94">
      <c r="CP2202" s="4"/>
    </row>
    <row r="2203" spans="94:94">
      <c r="CP2203" s="4"/>
    </row>
    <row r="2204" spans="94:94">
      <c r="CP2204" s="4"/>
    </row>
    <row r="2205" spans="94:94">
      <c r="CP2205" s="4"/>
    </row>
    <row r="2206" spans="94:94">
      <c r="CP2206" s="4"/>
    </row>
    <row r="2207" spans="94:94">
      <c r="CP2207" s="4"/>
    </row>
    <row r="2208" spans="94:94">
      <c r="CP2208" s="4"/>
    </row>
    <row r="2209" spans="94:94">
      <c r="CP2209" s="4"/>
    </row>
    <row r="2210" spans="94:94">
      <c r="CP2210" s="4"/>
    </row>
    <row r="2211" spans="94:94">
      <c r="CP2211" s="4"/>
    </row>
    <row r="2212" spans="94:94">
      <c r="CP2212" s="4"/>
    </row>
    <row r="2213" spans="94:94">
      <c r="CP2213" s="4"/>
    </row>
    <row r="2214" spans="94:94">
      <c r="CP2214" s="4"/>
    </row>
    <row r="2215" spans="94:94">
      <c r="CP2215" s="4"/>
    </row>
    <row r="2216" spans="94:94">
      <c r="CP2216" s="4"/>
    </row>
    <row r="2217" spans="94:94">
      <c r="CP2217" s="4"/>
    </row>
    <row r="2218" spans="94:94">
      <c r="CP2218" s="4"/>
    </row>
    <row r="2219" spans="94:94">
      <c r="CP2219" s="4"/>
    </row>
    <row r="2220" spans="94:94">
      <c r="CP2220" s="4"/>
    </row>
    <row r="2221" spans="94:94">
      <c r="CP2221" s="4"/>
    </row>
    <row r="2222" spans="94:94">
      <c r="CP2222" s="4"/>
    </row>
    <row r="2223" spans="94:94">
      <c r="CP2223" s="4"/>
    </row>
    <row r="2224" spans="94:94">
      <c r="CP2224" s="4"/>
    </row>
    <row r="2225" spans="94:94">
      <c r="CP2225" s="4"/>
    </row>
    <row r="2226" spans="94:94">
      <c r="CP2226" s="4"/>
    </row>
    <row r="2227" spans="94:94">
      <c r="CP2227" s="4"/>
    </row>
    <row r="2228" spans="94:94">
      <c r="CP2228" s="4"/>
    </row>
    <row r="2229" spans="94:94">
      <c r="CP2229" s="4"/>
    </row>
    <row r="2230" spans="94:94">
      <c r="CP2230" s="4"/>
    </row>
    <row r="2231" spans="94:94">
      <c r="CP2231" s="4"/>
    </row>
    <row r="2232" spans="94:94">
      <c r="CP2232" s="4"/>
    </row>
    <row r="2233" spans="94:94">
      <c r="CP2233" s="4"/>
    </row>
    <row r="2234" spans="94:94">
      <c r="CP2234" s="4"/>
    </row>
    <row r="2235" spans="94:94">
      <c r="CP2235" s="4"/>
    </row>
    <row r="2236" spans="94:94">
      <c r="CP2236" s="4"/>
    </row>
    <row r="2237" spans="94:94">
      <c r="CP2237" s="4"/>
    </row>
    <row r="2238" spans="94:94">
      <c r="CP2238" s="4"/>
    </row>
    <row r="2239" spans="94:94">
      <c r="CP2239" s="4"/>
    </row>
    <row r="2240" spans="94:94">
      <c r="CP2240" s="4"/>
    </row>
    <row r="2241" spans="94:94">
      <c r="CP2241" s="4"/>
    </row>
    <row r="2242" spans="94:94">
      <c r="CP2242" s="4"/>
    </row>
    <row r="2243" spans="94:94">
      <c r="CP2243" s="4"/>
    </row>
    <row r="2244" spans="94:94">
      <c r="CP2244" s="4"/>
    </row>
    <row r="2245" spans="94:94">
      <c r="CP2245" s="4"/>
    </row>
    <row r="2246" spans="94:94">
      <c r="CP2246" s="4"/>
    </row>
    <row r="2247" spans="94:94">
      <c r="CP2247" s="4"/>
    </row>
    <row r="2248" spans="94:94">
      <c r="CP2248" s="4"/>
    </row>
    <row r="2249" spans="94:94">
      <c r="CP2249" s="4"/>
    </row>
    <row r="2250" spans="94:94">
      <c r="CP2250" s="4"/>
    </row>
    <row r="2251" spans="94:94">
      <c r="CP2251" s="4"/>
    </row>
    <row r="2252" spans="94:94">
      <c r="CP2252" s="4"/>
    </row>
    <row r="2253" spans="94:94">
      <c r="CP2253" s="4"/>
    </row>
    <row r="2254" spans="94:94">
      <c r="CP2254" s="4"/>
    </row>
    <row r="2255" spans="94:94">
      <c r="CP2255" s="4"/>
    </row>
    <row r="2256" spans="94:94">
      <c r="CP2256" s="4"/>
    </row>
    <row r="2257" spans="94:94">
      <c r="CP2257" s="4"/>
    </row>
    <row r="2258" spans="94:94">
      <c r="CP2258" s="4"/>
    </row>
    <row r="2259" spans="94:94">
      <c r="CP2259" s="4"/>
    </row>
    <row r="2260" spans="94:94">
      <c r="CP2260" s="4"/>
    </row>
    <row r="2261" spans="94:94">
      <c r="CP2261" s="4"/>
    </row>
    <row r="2262" spans="94:94">
      <c r="CP2262" s="4"/>
    </row>
    <row r="2263" spans="94:94">
      <c r="CP2263" s="4"/>
    </row>
    <row r="2264" spans="94:94">
      <c r="CP2264" s="4"/>
    </row>
    <row r="2265" spans="94:94">
      <c r="CP2265" s="4"/>
    </row>
    <row r="2266" spans="94:94">
      <c r="CP2266" s="4"/>
    </row>
    <row r="2267" spans="94:94">
      <c r="CP2267" s="4"/>
    </row>
    <row r="2268" spans="94:94">
      <c r="CP2268" s="4"/>
    </row>
    <row r="2269" spans="94:94">
      <c r="CP2269" s="4"/>
    </row>
    <row r="2270" spans="94:94">
      <c r="CP2270" s="4"/>
    </row>
    <row r="2271" spans="94:94">
      <c r="CP2271" s="4"/>
    </row>
    <row r="2272" spans="94:94">
      <c r="CP2272" s="4"/>
    </row>
    <row r="2273" spans="94:94">
      <c r="CP2273" s="4"/>
    </row>
    <row r="2274" spans="94:94">
      <c r="CP2274" s="4"/>
    </row>
    <row r="2275" spans="94:94">
      <c r="CP2275" s="4"/>
    </row>
    <row r="2276" spans="94:94">
      <c r="CP2276" s="4"/>
    </row>
    <row r="2277" spans="94:94">
      <c r="CP2277" s="4"/>
    </row>
    <row r="2278" spans="94:94">
      <c r="CP2278" s="4"/>
    </row>
    <row r="2279" spans="94:94">
      <c r="CP2279" s="4"/>
    </row>
    <row r="2280" spans="94:94">
      <c r="CP2280" s="4"/>
    </row>
    <row r="2281" spans="94:94">
      <c r="CP2281" s="4"/>
    </row>
    <row r="2282" spans="94:94">
      <c r="CP2282" s="4"/>
    </row>
    <row r="2283" spans="94:94">
      <c r="CP2283" s="4"/>
    </row>
    <row r="2284" spans="94:94">
      <c r="CP2284" s="4"/>
    </row>
    <row r="2285" spans="94:94">
      <c r="CP2285" s="4"/>
    </row>
    <row r="2286" spans="94:94">
      <c r="CP2286" s="4"/>
    </row>
    <row r="2287" spans="94:94">
      <c r="CP2287" s="4"/>
    </row>
    <row r="2288" spans="94:94">
      <c r="CP2288" s="4"/>
    </row>
    <row r="2289" spans="94:94">
      <c r="CP2289" s="4"/>
    </row>
    <row r="2290" spans="94:94">
      <c r="CP2290" s="4"/>
    </row>
    <row r="2291" spans="94:94">
      <c r="CP2291" s="4"/>
    </row>
    <row r="2292" spans="94:94">
      <c r="CP2292" s="4"/>
    </row>
    <row r="2293" spans="94:94">
      <c r="CP2293" s="4"/>
    </row>
    <row r="2294" spans="94:94">
      <c r="CP2294" s="4"/>
    </row>
    <row r="2295" spans="94:94">
      <c r="CP2295" s="4"/>
    </row>
    <row r="2296" spans="94:94">
      <c r="CP2296" s="4"/>
    </row>
    <row r="2297" spans="94:94">
      <c r="CP2297" s="4"/>
    </row>
    <row r="2298" spans="94:94">
      <c r="CP2298" s="4"/>
    </row>
    <row r="2299" spans="94:94">
      <c r="CP2299" s="4"/>
    </row>
    <row r="2300" spans="94:94">
      <c r="CP2300" s="4"/>
    </row>
    <row r="2301" spans="94:94">
      <c r="CP2301" s="4"/>
    </row>
    <row r="2302" spans="94:94">
      <c r="CP2302" s="4"/>
    </row>
    <row r="2303" spans="94:94">
      <c r="CP2303" s="4"/>
    </row>
    <row r="2304" spans="94:94">
      <c r="CP2304" s="4"/>
    </row>
    <row r="2305" spans="94:94">
      <c r="CP2305" s="4"/>
    </row>
    <row r="2306" spans="94:94">
      <c r="CP2306" s="4"/>
    </row>
    <row r="2307" spans="94:94">
      <c r="CP2307" s="4"/>
    </row>
    <row r="2308" spans="94:94">
      <c r="CP2308" s="4"/>
    </row>
    <row r="2309" spans="94:94">
      <c r="CP2309" s="4"/>
    </row>
    <row r="2310" spans="94:94">
      <c r="CP2310" s="4"/>
    </row>
    <row r="2311" spans="94:94">
      <c r="CP2311" s="4"/>
    </row>
    <row r="2312" spans="94:94">
      <c r="CP2312" s="4"/>
    </row>
    <row r="2313" spans="94:94">
      <c r="CP2313" s="4"/>
    </row>
    <row r="2314" spans="94:94">
      <c r="CP2314" s="4"/>
    </row>
    <row r="2315" spans="94:94">
      <c r="CP2315" s="4"/>
    </row>
    <row r="2316" spans="94:94">
      <c r="CP2316" s="4"/>
    </row>
    <row r="2317" spans="94:94">
      <c r="CP2317" s="4"/>
    </row>
    <row r="2318" spans="94:94">
      <c r="CP2318" s="4"/>
    </row>
    <row r="2319" spans="94:94">
      <c r="CP2319" s="4"/>
    </row>
    <row r="2320" spans="94:94">
      <c r="CP2320" s="4"/>
    </row>
    <row r="2321" spans="94:94">
      <c r="CP2321" s="4"/>
    </row>
    <row r="2322" spans="94:94">
      <c r="CP2322" s="4"/>
    </row>
    <row r="2323" spans="94:94">
      <c r="CP2323" s="4"/>
    </row>
    <row r="2324" spans="94:94">
      <c r="CP2324" s="4"/>
    </row>
    <row r="2325" spans="94:94">
      <c r="CP2325" s="4"/>
    </row>
    <row r="2326" spans="94:94">
      <c r="CP2326" s="4"/>
    </row>
    <row r="2327" spans="94:94">
      <c r="CP2327" s="4"/>
    </row>
    <row r="2328" spans="94:94">
      <c r="CP2328" s="4"/>
    </row>
    <row r="2329" spans="94:94">
      <c r="CP2329" s="4"/>
    </row>
    <row r="2330" spans="94:94">
      <c r="CP2330" s="4"/>
    </row>
    <row r="2331" spans="94:94">
      <c r="CP2331" s="4"/>
    </row>
    <row r="2332" spans="94:94">
      <c r="CP2332" s="4"/>
    </row>
    <row r="2333" spans="94:94">
      <c r="CP2333" s="4"/>
    </row>
    <row r="2334" spans="94:94">
      <c r="CP2334" s="4"/>
    </row>
    <row r="2335" spans="94:94">
      <c r="CP2335" s="4"/>
    </row>
    <row r="2336" spans="94:94">
      <c r="CP2336" s="4"/>
    </row>
    <row r="2337" spans="94:94">
      <c r="CP2337" s="4"/>
    </row>
    <row r="2338" spans="94:94">
      <c r="CP2338" s="4"/>
    </row>
    <row r="2339" spans="94:94">
      <c r="CP2339" s="4"/>
    </row>
    <row r="2340" spans="94:94">
      <c r="CP2340" s="4"/>
    </row>
    <row r="2341" spans="94:94">
      <c r="CP2341" s="4"/>
    </row>
    <row r="2342" spans="94:94">
      <c r="CP2342" s="4"/>
    </row>
    <row r="2343" spans="94:94">
      <c r="CP2343" s="4"/>
    </row>
    <row r="2344" spans="94:94">
      <c r="CP2344" s="4"/>
    </row>
    <row r="2345" spans="94:94">
      <c r="CP2345" s="4"/>
    </row>
    <row r="2346" spans="94:94">
      <c r="CP2346" s="4"/>
    </row>
    <row r="2347" spans="94:94">
      <c r="CP2347" s="4"/>
    </row>
    <row r="2348" spans="94:94">
      <c r="CP2348" s="4"/>
    </row>
    <row r="2349" spans="94:94">
      <c r="CP2349" s="4"/>
    </row>
    <row r="2350" spans="94:94">
      <c r="CP2350" s="4"/>
    </row>
    <row r="2351" spans="94:94">
      <c r="CP2351" s="4"/>
    </row>
    <row r="2352" spans="94:94">
      <c r="CP2352" s="4"/>
    </row>
    <row r="2353" spans="94:94">
      <c r="CP2353" s="4"/>
    </row>
    <row r="2354" spans="94:94">
      <c r="CP2354" s="4"/>
    </row>
    <row r="2355" spans="94:94">
      <c r="CP2355" s="4"/>
    </row>
    <row r="2356" spans="94:94">
      <c r="CP2356" s="4"/>
    </row>
    <row r="2357" spans="94:94">
      <c r="CP2357" s="4"/>
    </row>
    <row r="2358" spans="94:94">
      <c r="CP2358" s="4"/>
    </row>
    <row r="2359" spans="94:94">
      <c r="CP2359" s="4"/>
    </row>
    <row r="2360" spans="94:94">
      <c r="CP2360" s="4"/>
    </row>
    <row r="2361" spans="94:94">
      <c r="CP2361" s="4"/>
    </row>
    <row r="2362" spans="94:94">
      <c r="CP2362" s="4"/>
    </row>
    <row r="2363" spans="94:94">
      <c r="CP2363" s="4"/>
    </row>
    <row r="2364" spans="94:94">
      <c r="CP2364" s="4"/>
    </row>
    <row r="2365" spans="94:94">
      <c r="CP2365" s="4"/>
    </row>
    <row r="2366" spans="94:94">
      <c r="CP2366" s="4"/>
    </row>
    <row r="2367" spans="94:94">
      <c r="CP2367" s="4"/>
    </row>
    <row r="2368" spans="94:94">
      <c r="CP2368" s="4"/>
    </row>
    <row r="2369" spans="94:94">
      <c r="CP2369" s="4"/>
    </row>
    <row r="2370" spans="94:94">
      <c r="CP2370" s="4"/>
    </row>
    <row r="2371" spans="94:94">
      <c r="CP2371" s="4"/>
    </row>
    <row r="2372" spans="94:94">
      <c r="CP2372" s="4"/>
    </row>
    <row r="2373" spans="94:94">
      <c r="CP2373" s="4"/>
    </row>
    <row r="2374" spans="94:94">
      <c r="CP2374" s="4"/>
    </row>
    <row r="2375" spans="94:94">
      <c r="CP2375" s="4"/>
    </row>
    <row r="2376" spans="94:94">
      <c r="CP2376" s="4"/>
    </row>
    <row r="2377" spans="94:94">
      <c r="CP2377" s="4"/>
    </row>
    <row r="2378" spans="94:94">
      <c r="CP2378" s="4"/>
    </row>
    <row r="2379" spans="94:94">
      <c r="CP2379" s="4"/>
    </row>
    <row r="2380" spans="94:94">
      <c r="CP2380" s="4"/>
    </row>
    <row r="2381" spans="94:94">
      <c r="CP2381" s="4"/>
    </row>
    <row r="2382" spans="94:94">
      <c r="CP2382" s="4"/>
    </row>
    <row r="2383" spans="94:94">
      <c r="CP2383" s="4"/>
    </row>
    <row r="2384" spans="94:94">
      <c r="CP2384" s="4"/>
    </row>
    <row r="2385" spans="94:94">
      <c r="CP2385" s="4"/>
    </row>
    <row r="2386" spans="94:94">
      <c r="CP2386" s="4"/>
    </row>
    <row r="2387" spans="94:94">
      <c r="CP2387" s="4"/>
    </row>
    <row r="2388" spans="94:94">
      <c r="CP2388" s="4"/>
    </row>
    <row r="2389" spans="94:94">
      <c r="CP2389" s="4"/>
    </row>
    <row r="2390" spans="94:94">
      <c r="CP2390" s="4"/>
    </row>
    <row r="2391" spans="94:94">
      <c r="CP2391" s="4"/>
    </row>
    <row r="2392" spans="94:94">
      <c r="CP2392" s="4"/>
    </row>
    <row r="2393" spans="94:94">
      <c r="CP2393" s="4"/>
    </row>
    <row r="2394" spans="94:94">
      <c r="CP2394" s="4"/>
    </row>
    <row r="2395" spans="94:94">
      <c r="CP2395" s="4"/>
    </row>
    <row r="2396" spans="94:94">
      <c r="CP2396" s="4"/>
    </row>
    <row r="2397" spans="94:94">
      <c r="CP2397" s="4"/>
    </row>
    <row r="2398" spans="94:94">
      <c r="CP2398" s="4"/>
    </row>
    <row r="2399" spans="94:94">
      <c r="CP2399" s="4"/>
    </row>
    <row r="2400" spans="94:94">
      <c r="CP2400" s="4"/>
    </row>
    <row r="2401" spans="94:94">
      <c r="CP2401" s="4"/>
    </row>
    <row r="2402" spans="94:94">
      <c r="CP2402" s="4"/>
    </row>
    <row r="2403" spans="94:94">
      <c r="CP2403" s="4"/>
    </row>
    <row r="2404" spans="94:94">
      <c r="CP2404" s="4"/>
    </row>
    <row r="2405" spans="94:94">
      <c r="CP2405" s="4"/>
    </row>
    <row r="2406" spans="94:94">
      <c r="CP2406" s="4"/>
    </row>
    <row r="2407" spans="94:94">
      <c r="CP2407" s="4"/>
    </row>
    <row r="2408" spans="94:94">
      <c r="CP2408" s="4"/>
    </row>
    <row r="2409" spans="94:94">
      <c r="CP2409" s="4"/>
    </row>
    <row r="2410" spans="94:94">
      <c r="CP2410" s="4"/>
    </row>
    <row r="2411" spans="94:94">
      <c r="CP2411" s="4"/>
    </row>
    <row r="2412" spans="94:94">
      <c r="CP2412" s="4"/>
    </row>
    <row r="2413" spans="94:94">
      <c r="CP2413" s="4"/>
    </row>
    <row r="2414" spans="94:94">
      <c r="CP2414" s="4"/>
    </row>
    <row r="2415" spans="94:94">
      <c r="CP2415" s="4"/>
    </row>
    <row r="2416" spans="94:94">
      <c r="CP2416" s="4"/>
    </row>
    <row r="2417" spans="94:94">
      <c r="CP2417" s="4"/>
    </row>
    <row r="2418" spans="94:94">
      <c r="CP2418" s="4"/>
    </row>
    <row r="2419" spans="94:94">
      <c r="CP2419" s="4"/>
    </row>
    <row r="2420" spans="94:94">
      <c r="CP2420" s="4"/>
    </row>
    <row r="2421" spans="94:94">
      <c r="CP2421" s="4"/>
    </row>
    <row r="2422" spans="94:94">
      <c r="CP2422" s="4"/>
    </row>
    <row r="2423" spans="94:94">
      <c r="CP2423" s="4"/>
    </row>
    <row r="2424" spans="94:94">
      <c r="CP2424" s="4"/>
    </row>
    <row r="2425" spans="94:94">
      <c r="CP2425" s="4"/>
    </row>
    <row r="2426" spans="94:94">
      <c r="CP2426" s="4"/>
    </row>
    <row r="2427" spans="94:94">
      <c r="CP2427" s="4"/>
    </row>
    <row r="2428" spans="94:94">
      <c r="CP2428" s="4"/>
    </row>
    <row r="2429" spans="94:94">
      <c r="CP2429" s="4"/>
    </row>
    <row r="2430" spans="94:94">
      <c r="CP2430" s="4"/>
    </row>
    <row r="2431" spans="94:94">
      <c r="CP2431" s="4"/>
    </row>
    <row r="2432" spans="94:94">
      <c r="CP2432" s="4"/>
    </row>
    <row r="2433" spans="94:94">
      <c r="CP2433" s="4"/>
    </row>
    <row r="2434" spans="94:94">
      <c r="CP2434" s="4"/>
    </row>
    <row r="2435" spans="94:94">
      <c r="CP2435" s="4"/>
    </row>
    <row r="2436" spans="94:94">
      <c r="CP2436" s="4"/>
    </row>
    <row r="2437" spans="94:94">
      <c r="CP2437" s="4"/>
    </row>
    <row r="2438" spans="94:94">
      <c r="CP2438" s="4"/>
    </row>
    <row r="2439" spans="94:94">
      <c r="CP2439" s="4"/>
    </row>
    <row r="2440" spans="94:94">
      <c r="CP2440" s="4"/>
    </row>
    <row r="2441" spans="94:94">
      <c r="CP2441" s="4"/>
    </row>
    <row r="2442" spans="94:94">
      <c r="CP2442" s="4"/>
    </row>
    <row r="2443" spans="94:94">
      <c r="CP2443" s="4"/>
    </row>
    <row r="2444" spans="94:94">
      <c r="CP2444" s="4"/>
    </row>
    <row r="2445" spans="94:94">
      <c r="CP2445" s="4"/>
    </row>
    <row r="2446" spans="94:94">
      <c r="CP2446" s="4"/>
    </row>
    <row r="2447" spans="94:94">
      <c r="CP2447" s="4"/>
    </row>
    <row r="2448" spans="94:94">
      <c r="CP2448" s="4"/>
    </row>
    <row r="2449" spans="94:94">
      <c r="CP2449" s="4"/>
    </row>
    <row r="2450" spans="94:94">
      <c r="CP2450" s="4"/>
    </row>
    <row r="2451" spans="94:94">
      <c r="CP2451" s="4"/>
    </row>
    <row r="2452" spans="94:94">
      <c r="CP2452" s="4"/>
    </row>
    <row r="2453" spans="94:94">
      <c r="CP2453" s="4"/>
    </row>
    <row r="2454" spans="94:94">
      <c r="CP2454" s="4"/>
    </row>
    <row r="2455" spans="94:94">
      <c r="CP2455" s="4"/>
    </row>
    <row r="2456" spans="94:94">
      <c r="CP2456" s="4"/>
    </row>
    <row r="2457" spans="94:94">
      <c r="CP2457" s="4"/>
    </row>
    <row r="2458" spans="94:94">
      <c r="CP2458" s="4"/>
    </row>
    <row r="2459" spans="94:94">
      <c r="CP2459" s="4"/>
    </row>
    <row r="2460" spans="94:94">
      <c r="CP2460" s="4"/>
    </row>
    <row r="2461" spans="94:94">
      <c r="CP2461" s="4"/>
    </row>
    <row r="2462" spans="94:94">
      <c r="CP2462" s="4"/>
    </row>
    <row r="2463" spans="94:94">
      <c r="CP2463" s="4"/>
    </row>
    <row r="2464" spans="94:94">
      <c r="CP2464" s="4"/>
    </row>
    <row r="2465" spans="94:94">
      <c r="CP2465" s="4"/>
    </row>
    <row r="2466" spans="94:94">
      <c r="CP2466" s="4"/>
    </row>
    <row r="2467" spans="94:94">
      <c r="CP2467" s="4"/>
    </row>
    <row r="2468" spans="94:94">
      <c r="CP2468" s="4"/>
    </row>
    <row r="2469" spans="94:94">
      <c r="CP2469" s="4"/>
    </row>
    <row r="2470" spans="94:94">
      <c r="CP2470" s="4"/>
    </row>
    <row r="2471" spans="94:94">
      <c r="CP2471" s="4"/>
    </row>
    <row r="2472" spans="94:94">
      <c r="CP2472" s="4"/>
    </row>
    <row r="2473" spans="94:94">
      <c r="CP2473" s="4"/>
    </row>
    <row r="2474" spans="94:94">
      <c r="CP2474" s="4"/>
    </row>
    <row r="2475" spans="94:94">
      <c r="CP2475" s="4"/>
    </row>
    <row r="2476" spans="94:94">
      <c r="CP2476" s="4"/>
    </row>
    <row r="2477" spans="94:94">
      <c r="CP2477" s="4"/>
    </row>
    <row r="2478" spans="94:94">
      <c r="CP2478" s="4"/>
    </row>
    <row r="2479" spans="94:94">
      <c r="CP2479" s="4"/>
    </row>
    <row r="2480" spans="94:94">
      <c r="CP2480" s="4"/>
    </row>
    <row r="2481" spans="94:94">
      <c r="CP2481" s="4"/>
    </row>
    <row r="2482" spans="94:94">
      <c r="CP2482" s="4"/>
    </row>
    <row r="2483" spans="94:94">
      <c r="CP2483" s="4"/>
    </row>
    <row r="2484" spans="94:94">
      <c r="CP2484" s="4"/>
    </row>
    <row r="2485" spans="94:94">
      <c r="CP2485" s="4"/>
    </row>
    <row r="2486" spans="94:94">
      <c r="CP2486" s="4"/>
    </row>
    <row r="2487" spans="94:94">
      <c r="CP2487" s="4"/>
    </row>
    <row r="2488" spans="94:94">
      <c r="CP2488" s="4"/>
    </row>
    <row r="2489" spans="94:94">
      <c r="CP2489" s="4"/>
    </row>
    <row r="2490" spans="94:94">
      <c r="CP2490" s="4"/>
    </row>
    <row r="2491" spans="94:94">
      <c r="CP2491" s="4"/>
    </row>
    <row r="2492" spans="94:94">
      <c r="CP2492" s="4"/>
    </row>
    <row r="2493" spans="94:94">
      <c r="CP2493" s="4"/>
    </row>
    <row r="2494" spans="94:94">
      <c r="CP2494" s="4"/>
    </row>
    <row r="2495" spans="94:94">
      <c r="CP2495" s="4"/>
    </row>
    <row r="2496" spans="94:94">
      <c r="CP2496" s="4"/>
    </row>
    <row r="2497" spans="94:94">
      <c r="CP2497" s="4"/>
    </row>
    <row r="2498" spans="94:94">
      <c r="CP2498" s="4"/>
    </row>
    <row r="2499" spans="94:94">
      <c r="CP2499" s="4"/>
    </row>
    <row r="2500" spans="94:94">
      <c r="CP2500" s="4"/>
    </row>
    <row r="2501" spans="94:94">
      <c r="CP2501" s="4"/>
    </row>
    <row r="2502" spans="94:94">
      <c r="CP2502" s="4"/>
    </row>
    <row r="2503" spans="94:94">
      <c r="CP2503" s="4"/>
    </row>
    <row r="2504" spans="94:94">
      <c r="CP2504" s="4"/>
    </row>
    <row r="2505" spans="94:94">
      <c r="CP2505" s="4"/>
    </row>
    <row r="2506" spans="94:94">
      <c r="CP2506" s="4"/>
    </row>
    <row r="2507" spans="94:94">
      <c r="CP2507" s="4"/>
    </row>
    <row r="2508" spans="94:94">
      <c r="CP2508" s="4"/>
    </row>
    <row r="2509" spans="94:94">
      <c r="CP2509" s="4"/>
    </row>
    <row r="2510" spans="94:94">
      <c r="CP2510" s="4"/>
    </row>
    <row r="2511" spans="94:94">
      <c r="CP2511" s="4"/>
    </row>
    <row r="2512" spans="94:94">
      <c r="CP2512" s="4"/>
    </row>
    <row r="2513" spans="94:94">
      <c r="CP2513" s="4"/>
    </row>
    <row r="2514" spans="94:94">
      <c r="CP2514" s="4"/>
    </row>
    <row r="2515" spans="94:94">
      <c r="CP2515" s="4"/>
    </row>
    <row r="2516" spans="94:94">
      <c r="CP2516" s="4"/>
    </row>
    <row r="2517" spans="94:94">
      <c r="CP2517" s="4"/>
    </row>
    <row r="2518" spans="94:94">
      <c r="CP2518" s="4"/>
    </row>
    <row r="2519" spans="94:94">
      <c r="CP2519" s="4"/>
    </row>
    <row r="2520" spans="94:94">
      <c r="CP2520" s="4"/>
    </row>
    <row r="2521" spans="94:94">
      <c r="CP2521" s="4"/>
    </row>
    <row r="2522" spans="94:94">
      <c r="CP2522" s="4"/>
    </row>
    <row r="2523" spans="94:94">
      <c r="CP2523" s="4"/>
    </row>
    <row r="2524" spans="94:94">
      <c r="CP2524" s="4"/>
    </row>
    <row r="2525" spans="94:94">
      <c r="CP2525" s="4"/>
    </row>
    <row r="2526" spans="94:94">
      <c r="CP2526" s="4"/>
    </row>
    <row r="2527" spans="94:94">
      <c r="CP2527" s="4"/>
    </row>
    <row r="2528" spans="94:94">
      <c r="CP2528" s="4"/>
    </row>
    <row r="2529" spans="94:94">
      <c r="CP2529" s="4"/>
    </row>
    <row r="2530" spans="94:94">
      <c r="CP2530" s="4"/>
    </row>
    <row r="2531" spans="94:94">
      <c r="CP2531" s="4"/>
    </row>
    <row r="2532" spans="94:94">
      <c r="CP2532" s="4"/>
    </row>
    <row r="2533" spans="94:94">
      <c r="CP2533" s="4"/>
    </row>
    <row r="2534" spans="94:94">
      <c r="CP2534" s="4"/>
    </row>
    <row r="2535" spans="94:94">
      <c r="CP2535" s="4"/>
    </row>
    <row r="2536" spans="94:94">
      <c r="CP2536" s="4"/>
    </row>
    <row r="2537" spans="94:94">
      <c r="CP2537" s="4"/>
    </row>
    <row r="2538" spans="94:94">
      <c r="CP2538" s="4"/>
    </row>
    <row r="2539" spans="94:94">
      <c r="CP2539" s="4"/>
    </row>
    <row r="2540" spans="94:94">
      <c r="CP2540" s="4"/>
    </row>
    <row r="2541" spans="94:94">
      <c r="CP2541" s="4"/>
    </row>
    <row r="2542" spans="94:94">
      <c r="CP2542" s="4"/>
    </row>
    <row r="2543" spans="94:94">
      <c r="CP2543" s="4"/>
    </row>
    <row r="2544" spans="94:94">
      <c r="CP2544" s="4"/>
    </row>
    <row r="2545" spans="94:94">
      <c r="CP2545" s="4"/>
    </row>
    <row r="2546" spans="94:94">
      <c r="CP2546" s="4"/>
    </row>
    <row r="2547" spans="94:94">
      <c r="CP2547" s="4"/>
    </row>
    <row r="2548" spans="94:94">
      <c r="CP2548" s="4"/>
    </row>
    <row r="2549" spans="94:94">
      <c r="CP2549" s="4"/>
    </row>
    <row r="2550" spans="94:94">
      <c r="CP2550" s="4"/>
    </row>
    <row r="2551" spans="94:94">
      <c r="CP2551" s="4"/>
    </row>
    <row r="2552" spans="94:94">
      <c r="CP2552" s="4"/>
    </row>
    <row r="2553" spans="94:94">
      <c r="CP2553" s="4"/>
    </row>
    <row r="2554" spans="94:94">
      <c r="CP2554" s="4"/>
    </row>
    <row r="2555" spans="94:94">
      <c r="CP2555" s="4"/>
    </row>
    <row r="2556" spans="94:94">
      <c r="CP2556" s="4"/>
    </row>
    <row r="2557" spans="94:94">
      <c r="CP2557" s="4"/>
    </row>
    <row r="2558" spans="94:94">
      <c r="CP2558" s="4"/>
    </row>
    <row r="2559" spans="94:94">
      <c r="CP2559" s="4"/>
    </row>
    <row r="2560" spans="94:94">
      <c r="CP2560" s="4"/>
    </row>
    <row r="2561" spans="94:94">
      <c r="CP2561" s="4"/>
    </row>
    <row r="2562" spans="94:94">
      <c r="CP2562" s="4"/>
    </row>
    <row r="2563" spans="94:94">
      <c r="CP2563" s="4"/>
    </row>
    <row r="2564" spans="94:94">
      <c r="CP2564" s="4"/>
    </row>
    <row r="2565" spans="94:94">
      <c r="CP2565" s="4"/>
    </row>
    <row r="2566" spans="94:94">
      <c r="CP2566" s="4"/>
    </row>
    <row r="2567" spans="94:94">
      <c r="CP2567" s="4"/>
    </row>
    <row r="2568" spans="94:94">
      <c r="CP2568" s="4"/>
    </row>
    <row r="2569" spans="94:94">
      <c r="CP2569" s="4"/>
    </row>
    <row r="2570" spans="94:94">
      <c r="CP2570" s="4"/>
    </row>
    <row r="2571" spans="94:94">
      <c r="CP2571" s="4"/>
    </row>
    <row r="2572" spans="94:94">
      <c r="CP2572" s="4"/>
    </row>
    <row r="2573" spans="94:94">
      <c r="CP2573" s="4"/>
    </row>
    <row r="2574" spans="94:94">
      <c r="CP2574" s="4"/>
    </row>
    <row r="2575" spans="94:94">
      <c r="CP2575" s="4"/>
    </row>
    <row r="2576" spans="94:94">
      <c r="CP2576" s="4"/>
    </row>
    <row r="2577" spans="94:94">
      <c r="CP2577" s="4"/>
    </row>
    <row r="2578" spans="94:94">
      <c r="CP2578" s="4"/>
    </row>
    <row r="2579" spans="94:94">
      <c r="CP2579" s="4"/>
    </row>
    <row r="2580" spans="94:94">
      <c r="CP2580" s="4"/>
    </row>
    <row r="2581" spans="94:94">
      <c r="CP2581" s="4"/>
    </row>
    <row r="2582" spans="94:94">
      <c r="CP2582" s="4"/>
    </row>
    <row r="2583" spans="94:94">
      <c r="CP2583" s="4"/>
    </row>
    <row r="2584" spans="94:94">
      <c r="CP2584" s="4"/>
    </row>
    <row r="2585" spans="94:94">
      <c r="CP2585" s="4"/>
    </row>
    <row r="2586" spans="94:94">
      <c r="CP2586" s="4"/>
    </row>
    <row r="2587" spans="94:94">
      <c r="CP2587" s="4"/>
    </row>
    <row r="2588" spans="94:94">
      <c r="CP2588" s="4"/>
    </row>
    <row r="2589" spans="94:94">
      <c r="CP2589" s="4"/>
    </row>
    <row r="2590" spans="94:94">
      <c r="CP2590" s="4"/>
    </row>
    <row r="2591" spans="94:94">
      <c r="CP2591" s="4"/>
    </row>
    <row r="2592" spans="94:94">
      <c r="CP2592" s="4"/>
    </row>
    <row r="2593" spans="94:94">
      <c r="CP2593" s="4"/>
    </row>
    <row r="2594" spans="94:94">
      <c r="CP2594" s="4"/>
    </row>
    <row r="2595" spans="94:94">
      <c r="CP2595" s="4"/>
    </row>
    <row r="2596" spans="94:94">
      <c r="CP2596" s="4"/>
    </row>
    <row r="2597" spans="94:94">
      <c r="CP2597" s="4"/>
    </row>
    <row r="2598" spans="94:94">
      <c r="CP2598" s="4"/>
    </row>
    <row r="2599" spans="94:94">
      <c r="CP2599" s="4"/>
    </row>
    <row r="2600" spans="94:94">
      <c r="CP2600" s="4"/>
    </row>
    <row r="2601" spans="94:94">
      <c r="CP2601" s="4"/>
    </row>
    <row r="2602" spans="94:94">
      <c r="CP2602" s="4"/>
    </row>
    <row r="2603" spans="94:94">
      <c r="CP2603" s="4"/>
    </row>
    <row r="2604" spans="94:94">
      <c r="CP2604" s="4"/>
    </row>
    <row r="2605" spans="94:94">
      <c r="CP2605" s="4"/>
    </row>
    <row r="2606" spans="94:94">
      <c r="CP2606" s="4"/>
    </row>
    <row r="2607" spans="94:94">
      <c r="CP2607" s="4"/>
    </row>
    <row r="2608" spans="94:94">
      <c r="CP2608" s="4"/>
    </row>
    <row r="2609" spans="94:94">
      <c r="CP2609" s="4"/>
    </row>
    <row r="2610" spans="94:94">
      <c r="CP2610" s="4"/>
    </row>
    <row r="2611" spans="94:94">
      <c r="CP2611" s="4"/>
    </row>
    <row r="2612" spans="94:94">
      <c r="CP2612" s="4"/>
    </row>
    <row r="2613" spans="94:94">
      <c r="CP2613" s="4"/>
    </row>
    <row r="2614" spans="94:94">
      <c r="CP2614" s="4"/>
    </row>
    <row r="2615" spans="94:94">
      <c r="CP2615" s="4"/>
    </row>
    <row r="2616" spans="94:94">
      <c r="CP2616" s="4"/>
    </row>
    <row r="2617" spans="94:94">
      <c r="CP2617" s="4"/>
    </row>
    <row r="2618" spans="94:94">
      <c r="CP2618" s="4"/>
    </row>
    <row r="2619" spans="94:94">
      <c r="CP2619" s="4"/>
    </row>
    <row r="2620" spans="94:94">
      <c r="CP2620" s="4"/>
    </row>
    <row r="2621" spans="94:94">
      <c r="CP2621" s="4"/>
    </row>
    <row r="2622" spans="94:94">
      <c r="CP2622" s="4"/>
    </row>
    <row r="2623" spans="94:94">
      <c r="CP2623" s="4"/>
    </row>
    <row r="2624" spans="94:94">
      <c r="CP2624" s="4"/>
    </row>
    <row r="2625" spans="94:94">
      <c r="CP2625" s="4"/>
    </row>
    <row r="2626" spans="94:94">
      <c r="CP2626" s="4"/>
    </row>
    <row r="2627" spans="94:94">
      <c r="CP2627" s="4"/>
    </row>
    <row r="2628" spans="94:94">
      <c r="CP2628" s="4"/>
    </row>
    <row r="2629" spans="94:94">
      <c r="CP2629" s="4"/>
    </row>
    <row r="2630" spans="94:94">
      <c r="CP2630" s="4"/>
    </row>
    <row r="2631" spans="94:94">
      <c r="CP2631" s="4"/>
    </row>
    <row r="2632" spans="94:94">
      <c r="CP2632" s="4"/>
    </row>
    <row r="2633" spans="94:94">
      <c r="CP2633" s="4"/>
    </row>
    <row r="2634" spans="94:94">
      <c r="CP2634" s="4"/>
    </row>
    <row r="2635" spans="94:94">
      <c r="CP2635" s="4"/>
    </row>
    <row r="2636" spans="94:94">
      <c r="CP2636" s="4"/>
    </row>
    <row r="2637" spans="94:94">
      <c r="CP2637" s="4"/>
    </row>
    <row r="2638" spans="94:94">
      <c r="CP2638" s="4"/>
    </row>
    <row r="2639" spans="94:94">
      <c r="CP2639" s="4"/>
    </row>
    <row r="2640" spans="94:94">
      <c r="CP2640" s="4"/>
    </row>
    <row r="2641" spans="94:94">
      <c r="CP2641" s="4"/>
    </row>
    <row r="2642" spans="94:94">
      <c r="CP2642" s="4"/>
    </row>
    <row r="2643" spans="94:94">
      <c r="CP2643" s="4"/>
    </row>
    <row r="2644" spans="94:94">
      <c r="CP2644" s="4"/>
    </row>
    <row r="2645" spans="94:94">
      <c r="CP2645" s="4"/>
    </row>
    <row r="2646" spans="94:94">
      <c r="CP2646" s="4"/>
    </row>
    <row r="2647" spans="94:94">
      <c r="CP2647" s="4"/>
    </row>
    <row r="2648" spans="94:94">
      <c r="CP2648" s="4"/>
    </row>
    <row r="2649" spans="94:94">
      <c r="CP2649" s="4"/>
    </row>
    <row r="2650" spans="94:94">
      <c r="CP2650" s="4"/>
    </row>
    <row r="2651" spans="94:94">
      <c r="CP2651" s="4"/>
    </row>
    <row r="2652" spans="94:94">
      <c r="CP2652" s="4"/>
    </row>
    <row r="2653" spans="94:94">
      <c r="CP2653" s="4"/>
    </row>
    <row r="2654" spans="94:94">
      <c r="CP2654" s="4"/>
    </row>
    <row r="2655" spans="94:94">
      <c r="CP2655" s="4"/>
    </row>
    <row r="2656" spans="94:94">
      <c r="CP2656" s="4"/>
    </row>
    <row r="2657" spans="94:94">
      <c r="CP2657" s="4"/>
    </row>
    <row r="2658" spans="94:94">
      <c r="CP2658" s="4"/>
    </row>
    <row r="2659" spans="94:94">
      <c r="CP2659" s="4"/>
    </row>
    <row r="2660" spans="94:94">
      <c r="CP2660" s="4"/>
    </row>
    <row r="2661" spans="94:94">
      <c r="CP2661" s="4"/>
    </row>
    <row r="2662" spans="94:94">
      <c r="CP2662" s="4"/>
    </row>
    <row r="2663" spans="94:94">
      <c r="CP2663" s="4"/>
    </row>
    <row r="2664" spans="94:94">
      <c r="CP2664" s="4"/>
    </row>
    <row r="2665" spans="94:94">
      <c r="CP2665" s="4"/>
    </row>
    <row r="2666" spans="94:94">
      <c r="CP2666" s="4"/>
    </row>
    <row r="2667" spans="94:94">
      <c r="CP2667" s="4"/>
    </row>
    <row r="2668" spans="94:94">
      <c r="CP2668" s="4"/>
    </row>
    <row r="2669" spans="94:94">
      <c r="CP2669" s="4"/>
    </row>
    <row r="2670" spans="94:94">
      <c r="CP2670" s="4"/>
    </row>
    <row r="2671" spans="94:94">
      <c r="CP2671" s="4"/>
    </row>
    <row r="2672" spans="94:94">
      <c r="CP2672" s="4"/>
    </row>
    <row r="2673" spans="94:94">
      <c r="CP2673" s="4"/>
    </row>
    <row r="2674" spans="94:94">
      <c r="CP2674" s="4"/>
    </row>
    <row r="2675" spans="94:94">
      <c r="CP2675" s="4"/>
    </row>
    <row r="2676" spans="94:94">
      <c r="CP2676" s="4"/>
    </row>
    <row r="2677" spans="94:94">
      <c r="CP2677" s="4"/>
    </row>
    <row r="2678" spans="94:94">
      <c r="CP2678" s="4"/>
    </row>
    <row r="2679" spans="94:94">
      <c r="CP2679" s="4"/>
    </row>
    <row r="2680" spans="94:94">
      <c r="CP2680" s="4"/>
    </row>
    <row r="2681" spans="94:94">
      <c r="CP2681" s="4"/>
    </row>
    <row r="2682" spans="94:94">
      <c r="CP2682" s="4"/>
    </row>
    <row r="2683" spans="94:94">
      <c r="CP2683" s="4"/>
    </row>
    <row r="2684" spans="94:94">
      <c r="CP2684" s="4"/>
    </row>
    <row r="2685" spans="94:94">
      <c r="CP2685" s="4"/>
    </row>
    <row r="2686" spans="94:94">
      <c r="CP2686" s="4"/>
    </row>
    <row r="2687" spans="94:94">
      <c r="CP2687" s="4"/>
    </row>
    <row r="2688" spans="94:94">
      <c r="CP2688" s="4"/>
    </row>
    <row r="2689" spans="94:94">
      <c r="CP2689" s="4"/>
    </row>
    <row r="2690" spans="94:94">
      <c r="CP2690" s="4"/>
    </row>
    <row r="2691" spans="94:94">
      <c r="CP2691" s="4"/>
    </row>
    <row r="2692" spans="94:94">
      <c r="CP2692" s="4"/>
    </row>
    <row r="2693" spans="94:94">
      <c r="CP2693" s="4"/>
    </row>
    <row r="2694" spans="94:94">
      <c r="CP2694" s="4"/>
    </row>
    <row r="2695" spans="94:94">
      <c r="CP2695" s="4"/>
    </row>
    <row r="2696" spans="94:94">
      <c r="CP2696" s="4"/>
    </row>
    <row r="2697" spans="94:94">
      <c r="CP2697" s="4"/>
    </row>
    <row r="2698" spans="94:94">
      <c r="CP2698" s="4"/>
    </row>
    <row r="2699" spans="94:94">
      <c r="CP2699" s="4"/>
    </row>
    <row r="2700" spans="94:94">
      <c r="CP2700" s="4"/>
    </row>
    <row r="2701" spans="94:94">
      <c r="CP2701" s="4"/>
    </row>
    <row r="2702" spans="94:94">
      <c r="CP2702" s="4"/>
    </row>
    <row r="2703" spans="94:94">
      <c r="CP2703" s="4"/>
    </row>
    <row r="2704" spans="94:94">
      <c r="CP2704" s="4"/>
    </row>
    <row r="2705" spans="94:94">
      <c r="CP2705" s="4"/>
    </row>
    <row r="2706" spans="94:94">
      <c r="CP2706" s="4"/>
    </row>
    <row r="2707" spans="94:94">
      <c r="CP2707" s="4"/>
    </row>
    <row r="2708" spans="94:94">
      <c r="CP2708" s="4"/>
    </row>
    <row r="2709" spans="94:94">
      <c r="CP2709" s="4"/>
    </row>
    <row r="2710" spans="94:94">
      <c r="CP2710" s="4"/>
    </row>
    <row r="2711" spans="94:94">
      <c r="CP2711" s="4"/>
    </row>
    <row r="2712" spans="94:94">
      <c r="CP2712" s="4"/>
    </row>
    <row r="2713" spans="94:94">
      <c r="CP2713" s="4"/>
    </row>
    <row r="2714" spans="94:94">
      <c r="CP2714" s="4"/>
    </row>
    <row r="2715" spans="94:94">
      <c r="CP2715" s="4"/>
    </row>
    <row r="2716" spans="94:94">
      <c r="CP2716" s="4"/>
    </row>
    <row r="2717" spans="94:94">
      <c r="CP2717" s="4"/>
    </row>
    <row r="2718" spans="94:94">
      <c r="CP2718" s="4"/>
    </row>
    <row r="2719" spans="94:94">
      <c r="CP2719" s="4"/>
    </row>
    <row r="2720" spans="94:94">
      <c r="CP2720" s="4"/>
    </row>
    <row r="2721" spans="94:94">
      <c r="CP2721" s="4"/>
    </row>
    <row r="2722" spans="94:94">
      <c r="CP2722" s="4"/>
    </row>
    <row r="2723" spans="94:94">
      <c r="CP2723" s="4"/>
    </row>
    <row r="2724" spans="94:94">
      <c r="CP2724" s="4"/>
    </row>
    <row r="2725" spans="94:94">
      <c r="CP2725" s="4"/>
    </row>
    <row r="2726" spans="94:94">
      <c r="CP2726" s="4"/>
    </row>
    <row r="2727" spans="94:94">
      <c r="CP2727" s="4"/>
    </row>
    <row r="2728" spans="94:94">
      <c r="CP2728" s="4"/>
    </row>
    <row r="2729" spans="94:94">
      <c r="CP2729" s="4"/>
    </row>
    <row r="2730" spans="94:94">
      <c r="CP2730" s="4"/>
    </row>
    <row r="2731" spans="94:94">
      <c r="CP2731" s="4"/>
    </row>
    <row r="2732" spans="94:94">
      <c r="CP2732" s="4"/>
    </row>
    <row r="2733" spans="94:94">
      <c r="CP2733" s="4"/>
    </row>
    <row r="2734" spans="94:94">
      <c r="CP2734" s="4"/>
    </row>
    <row r="2735" spans="94:94">
      <c r="CP2735" s="4"/>
    </row>
    <row r="2736" spans="94:94">
      <c r="CP2736" s="4"/>
    </row>
    <row r="2737" spans="94:94">
      <c r="CP2737" s="4"/>
    </row>
    <row r="2738" spans="94:94">
      <c r="CP2738" s="4"/>
    </row>
    <row r="2739" spans="94:94">
      <c r="CP2739" s="4"/>
    </row>
    <row r="2740" spans="94:94">
      <c r="CP2740" s="4"/>
    </row>
    <row r="2741" spans="94:94">
      <c r="CP2741" s="4"/>
    </row>
    <row r="2742" spans="94:94">
      <c r="CP2742" s="4"/>
    </row>
    <row r="2743" spans="94:94">
      <c r="CP2743" s="4"/>
    </row>
    <row r="2744" spans="94:94">
      <c r="CP2744" s="4"/>
    </row>
    <row r="2745" spans="94:94">
      <c r="CP2745" s="4"/>
    </row>
    <row r="2746" spans="94:94">
      <c r="CP2746" s="4"/>
    </row>
    <row r="2747" spans="94:94">
      <c r="CP2747" s="4"/>
    </row>
    <row r="2748" spans="94:94">
      <c r="CP2748" s="4"/>
    </row>
    <row r="2749" spans="94:94">
      <c r="CP2749" s="4"/>
    </row>
    <row r="2750" spans="94:94">
      <c r="CP2750" s="4"/>
    </row>
    <row r="2751" spans="94:94">
      <c r="CP2751" s="4"/>
    </row>
    <row r="2752" spans="94:94">
      <c r="CP2752" s="4"/>
    </row>
    <row r="2753" spans="94:94">
      <c r="CP2753" s="4"/>
    </row>
    <row r="2754" spans="94:94">
      <c r="CP2754" s="4"/>
    </row>
    <row r="2755" spans="94:94">
      <c r="CP2755" s="4"/>
    </row>
    <row r="2756" spans="94:94">
      <c r="CP2756" s="4"/>
    </row>
    <row r="2757" spans="94:94">
      <c r="CP2757" s="4"/>
    </row>
    <row r="2758" spans="94:94">
      <c r="CP2758" s="4"/>
    </row>
    <row r="2759" spans="94:94">
      <c r="CP2759" s="4"/>
    </row>
    <row r="2760" spans="94:94">
      <c r="CP2760" s="4"/>
    </row>
    <row r="2761" spans="94:94">
      <c r="CP2761" s="4"/>
    </row>
    <row r="2762" spans="94:94">
      <c r="CP2762" s="4"/>
    </row>
    <row r="2763" spans="94:94">
      <c r="CP2763" s="4"/>
    </row>
    <row r="2764" spans="94:94">
      <c r="CP2764" s="4"/>
    </row>
    <row r="2765" spans="94:94">
      <c r="CP2765" s="4"/>
    </row>
    <row r="2766" spans="94:94">
      <c r="CP2766" s="4"/>
    </row>
    <row r="2767" spans="94:94">
      <c r="CP2767" s="4"/>
    </row>
    <row r="2768" spans="94:94">
      <c r="CP2768" s="4"/>
    </row>
    <row r="2769" spans="94:94">
      <c r="CP2769" s="4"/>
    </row>
    <row r="2770" spans="94:94">
      <c r="CP2770" s="4"/>
    </row>
    <row r="2771" spans="94:94">
      <c r="CP2771" s="4"/>
    </row>
    <row r="2772" spans="94:94">
      <c r="CP2772" s="4"/>
    </row>
    <row r="2773" spans="94:94">
      <c r="CP2773" s="4"/>
    </row>
    <row r="2774" spans="94:94">
      <c r="CP2774" s="4"/>
    </row>
    <row r="2775" spans="94:94">
      <c r="CP2775" s="4"/>
    </row>
    <row r="2776" spans="94:94">
      <c r="CP2776" s="4"/>
    </row>
    <row r="2777" spans="94:94">
      <c r="CP2777" s="4"/>
    </row>
    <row r="2778" spans="94:94">
      <c r="CP2778" s="4"/>
    </row>
    <row r="2779" spans="94:94">
      <c r="CP2779" s="4"/>
    </row>
    <row r="2780" spans="94:94">
      <c r="CP2780" s="4"/>
    </row>
    <row r="2781" spans="94:94">
      <c r="CP2781" s="4"/>
    </row>
    <row r="2782" spans="94:94">
      <c r="CP2782" s="4"/>
    </row>
    <row r="2783" spans="94:94">
      <c r="CP2783" s="4"/>
    </row>
    <row r="2784" spans="94:94">
      <c r="CP2784" s="4"/>
    </row>
    <row r="2785" spans="94:94">
      <c r="CP2785" s="4"/>
    </row>
    <row r="2786" spans="94:94">
      <c r="CP2786" s="4"/>
    </row>
    <row r="2787" spans="94:94">
      <c r="CP2787" s="4"/>
    </row>
    <row r="2788" spans="94:94">
      <c r="CP2788" s="4"/>
    </row>
    <row r="2789" spans="94:94">
      <c r="CP2789" s="4"/>
    </row>
    <row r="2790" spans="94:94">
      <c r="CP2790" s="4"/>
    </row>
    <row r="2791" spans="94:94">
      <c r="CP2791" s="4"/>
    </row>
    <row r="2792" spans="94:94">
      <c r="CP2792" s="4"/>
    </row>
    <row r="2793" spans="94:94">
      <c r="CP2793" s="4"/>
    </row>
    <row r="2794" spans="94:94">
      <c r="CP2794" s="4"/>
    </row>
    <row r="2795" spans="94:94">
      <c r="CP2795" s="4"/>
    </row>
    <row r="2796" spans="94:94">
      <c r="CP2796" s="4"/>
    </row>
    <row r="2797" spans="94:94">
      <c r="CP2797" s="4"/>
    </row>
    <row r="2798" spans="94:94">
      <c r="CP2798" s="4"/>
    </row>
    <row r="2799" spans="94:94">
      <c r="CP2799" s="4"/>
    </row>
    <row r="2800" spans="94:94">
      <c r="CP2800" s="4"/>
    </row>
    <row r="2801" spans="94:94">
      <c r="CP2801" s="4"/>
    </row>
    <row r="2802" spans="94:94">
      <c r="CP2802" s="4"/>
    </row>
    <row r="2803" spans="94:94">
      <c r="CP2803" s="4"/>
    </row>
    <row r="2804" spans="94:94">
      <c r="CP2804" s="4"/>
    </row>
    <row r="2805" spans="94:94">
      <c r="CP2805" s="4"/>
    </row>
    <row r="2806" spans="94:94">
      <c r="CP2806" s="4"/>
    </row>
    <row r="2807" spans="94:94">
      <c r="CP2807" s="4"/>
    </row>
    <row r="2808" spans="94:94">
      <c r="CP2808" s="4"/>
    </row>
    <row r="2809" spans="94:94">
      <c r="CP2809" s="4"/>
    </row>
    <row r="2810" spans="94:94">
      <c r="CP2810" s="4"/>
    </row>
    <row r="2811" spans="94:94">
      <c r="CP2811" s="4"/>
    </row>
    <row r="2812" spans="94:94">
      <c r="CP2812" s="4"/>
    </row>
    <row r="2813" spans="94:94">
      <c r="CP2813" s="4"/>
    </row>
    <row r="2814" spans="94:94">
      <c r="CP2814" s="4"/>
    </row>
    <row r="2815" spans="94:94">
      <c r="CP2815" s="4"/>
    </row>
    <row r="2816" spans="94:94">
      <c r="CP2816" s="4"/>
    </row>
    <row r="2817" spans="94:94">
      <c r="CP2817" s="4"/>
    </row>
    <row r="2818" spans="94:94">
      <c r="CP2818" s="4"/>
    </row>
    <row r="2819" spans="94:94">
      <c r="CP2819" s="4"/>
    </row>
    <row r="2820" spans="94:94">
      <c r="CP2820" s="4"/>
    </row>
    <row r="2821" spans="94:94">
      <c r="CP2821" s="4"/>
    </row>
    <row r="2822" spans="94:94">
      <c r="CP2822" s="4"/>
    </row>
    <row r="2823" spans="94:94">
      <c r="CP2823" s="4"/>
    </row>
    <row r="2824" spans="94:94">
      <c r="CP2824" s="4"/>
    </row>
    <row r="2825" spans="94:94">
      <c r="CP2825" s="4"/>
    </row>
    <row r="2826" spans="94:94">
      <c r="CP2826" s="4"/>
    </row>
    <row r="2827" spans="94:94">
      <c r="CP2827" s="4"/>
    </row>
    <row r="2828" spans="94:94">
      <c r="CP2828" s="4"/>
    </row>
    <row r="2829" spans="94:94">
      <c r="CP2829" s="4"/>
    </row>
    <row r="2830" spans="94:94">
      <c r="CP2830" s="4"/>
    </row>
    <row r="2831" spans="94:94">
      <c r="CP2831" s="4"/>
    </row>
    <row r="2832" spans="94:94">
      <c r="CP2832" s="4"/>
    </row>
    <row r="2833" spans="94:94">
      <c r="CP2833" s="4"/>
    </row>
    <row r="2834" spans="94:94">
      <c r="CP2834" s="4"/>
    </row>
    <row r="2835" spans="94:94">
      <c r="CP2835" s="4"/>
    </row>
    <row r="2836" spans="94:94">
      <c r="CP2836" s="4"/>
    </row>
    <row r="2837" spans="94:94">
      <c r="CP2837" s="4"/>
    </row>
    <row r="2838" spans="94:94">
      <c r="CP2838" s="4"/>
    </row>
    <row r="2839" spans="94:94">
      <c r="CP2839" s="4"/>
    </row>
    <row r="2840" spans="94:94">
      <c r="CP2840" s="4"/>
    </row>
    <row r="2841" spans="94:94">
      <c r="CP2841" s="4"/>
    </row>
    <row r="2842" spans="94:94">
      <c r="CP2842" s="4"/>
    </row>
    <row r="2843" spans="94:94">
      <c r="CP2843" s="4"/>
    </row>
    <row r="2844" spans="94:94">
      <c r="CP2844" s="4"/>
    </row>
    <row r="2845" spans="94:94">
      <c r="CP2845" s="4"/>
    </row>
    <row r="2846" spans="94:94">
      <c r="CP2846" s="4"/>
    </row>
    <row r="2847" spans="94:94">
      <c r="CP2847" s="4"/>
    </row>
    <row r="2848" spans="94:94">
      <c r="CP2848" s="4"/>
    </row>
    <row r="2849" spans="94:94">
      <c r="CP2849" s="4"/>
    </row>
    <row r="2850" spans="94:94">
      <c r="CP2850" s="4"/>
    </row>
    <row r="2851" spans="94:94">
      <c r="CP2851" s="4"/>
    </row>
    <row r="2852" spans="94:94">
      <c r="CP2852" s="4"/>
    </row>
    <row r="2853" spans="94:94">
      <c r="CP2853" s="4"/>
    </row>
    <row r="2854" spans="94:94">
      <c r="CP2854" s="4"/>
    </row>
    <row r="2855" spans="94:94">
      <c r="CP2855" s="4"/>
    </row>
    <row r="2856" spans="94:94">
      <c r="CP2856" s="4"/>
    </row>
    <row r="2857" spans="94:94">
      <c r="CP2857" s="4"/>
    </row>
    <row r="2858" spans="94:94">
      <c r="CP2858" s="4"/>
    </row>
    <row r="2859" spans="94:94">
      <c r="CP2859" s="4"/>
    </row>
    <row r="2860" spans="94:94">
      <c r="CP2860" s="4"/>
    </row>
    <row r="2861" spans="94:94">
      <c r="CP2861" s="4"/>
    </row>
    <row r="2862" spans="94:94">
      <c r="CP2862" s="4"/>
    </row>
    <row r="2863" spans="94:94">
      <c r="CP2863" s="4"/>
    </row>
    <row r="2864" spans="94:94">
      <c r="CP2864" s="4"/>
    </row>
    <row r="2865" spans="94:94">
      <c r="CP2865" s="4"/>
    </row>
    <row r="2866" spans="94:94">
      <c r="CP2866" s="4"/>
    </row>
    <row r="2867" spans="94:94">
      <c r="CP2867" s="4"/>
    </row>
    <row r="2868" spans="94:94">
      <c r="CP2868" s="4"/>
    </row>
    <row r="2869" spans="94:94">
      <c r="CP2869" s="4"/>
    </row>
    <row r="2870" spans="94:94">
      <c r="CP2870" s="4"/>
    </row>
    <row r="2871" spans="94:94">
      <c r="CP2871" s="4"/>
    </row>
    <row r="2872" spans="94:94">
      <c r="CP2872" s="4"/>
    </row>
    <row r="2873" spans="94:94">
      <c r="CP2873" s="4"/>
    </row>
    <row r="2874" spans="94:94">
      <c r="CP2874" s="4"/>
    </row>
    <row r="2875" spans="94:94">
      <c r="CP2875" s="4"/>
    </row>
    <row r="2876" spans="94:94">
      <c r="CP2876" s="4"/>
    </row>
    <row r="2877" spans="94:94">
      <c r="CP2877" s="4"/>
    </row>
    <row r="2878" spans="94:94">
      <c r="CP2878" s="4"/>
    </row>
    <row r="2879" spans="94:94">
      <c r="CP2879" s="4"/>
    </row>
    <row r="2880" spans="94:94">
      <c r="CP2880" s="4"/>
    </row>
    <row r="2881" spans="94:94">
      <c r="CP2881" s="4"/>
    </row>
    <row r="2882" spans="94:94">
      <c r="CP2882" s="4"/>
    </row>
    <row r="2883" spans="94:94">
      <c r="CP2883" s="4"/>
    </row>
    <row r="2884" spans="94:94">
      <c r="CP2884" s="4"/>
    </row>
    <row r="2885" spans="94:94">
      <c r="CP2885" s="4"/>
    </row>
    <row r="2886" spans="94:94">
      <c r="CP2886" s="4"/>
    </row>
    <row r="2887" spans="94:94">
      <c r="CP2887" s="4"/>
    </row>
    <row r="2888" spans="94:94">
      <c r="CP2888" s="4"/>
    </row>
    <row r="2889" spans="94:94">
      <c r="CP2889" s="4"/>
    </row>
    <row r="2890" spans="94:94">
      <c r="CP2890" s="4"/>
    </row>
    <row r="2891" spans="94:94">
      <c r="CP2891" s="4"/>
    </row>
    <row r="2892" spans="94:94">
      <c r="CP2892" s="4"/>
    </row>
    <row r="2893" spans="94:94">
      <c r="CP2893" s="4"/>
    </row>
    <row r="2894" spans="94:94">
      <c r="CP2894" s="4"/>
    </row>
    <row r="2895" spans="94:94">
      <c r="CP2895" s="4"/>
    </row>
    <row r="2896" spans="94:94">
      <c r="CP2896" s="4"/>
    </row>
    <row r="2897" spans="94:94">
      <c r="CP2897" s="4"/>
    </row>
    <row r="2898" spans="94:94">
      <c r="CP2898" s="4"/>
    </row>
    <row r="2899" spans="94:94">
      <c r="CP2899" s="4"/>
    </row>
    <row r="2900" spans="94:94">
      <c r="CP2900" s="4"/>
    </row>
    <row r="2901" spans="94:94">
      <c r="CP2901" s="4"/>
    </row>
    <row r="2902" spans="94:94">
      <c r="CP2902" s="4"/>
    </row>
    <row r="2903" spans="94:94">
      <c r="CP2903" s="4"/>
    </row>
    <row r="2904" spans="94:94">
      <c r="CP2904" s="4"/>
    </row>
    <row r="2905" spans="94:94">
      <c r="CP2905" s="4"/>
    </row>
    <row r="2906" spans="94:94">
      <c r="CP2906" s="4"/>
    </row>
    <row r="2907" spans="94:94">
      <c r="CP2907" s="4"/>
    </row>
    <row r="2908" spans="94:94">
      <c r="CP2908" s="4"/>
    </row>
    <row r="2909" spans="94:94">
      <c r="CP2909" s="4"/>
    </row>
    <row r="2910" spans="94:94">
      <c r="CP2910" s="4"/>
    </row>
    <row r="2911" spans="94:94">
      <c r="CP2911" s="4"/>
    </row>
    <row r="2912" spans="94:94">
      <c r="CP2912" s="4"/>
    </row>
    <row r="2913" spans="94:94">
      <c r="CP2913" s="4"/>
    </row>
    <row r="2914" spans="94:94">
      <c r="CP2914" s="4"/>
    </row>
    <row r="2915" spans="94:94">
      <c r="CP2915" s="4"/>
    </row>
    <row r="2916" spans="94:94">
      <c r="CP2916" s="4"/>
    </row>
    <row r="2917" spans="94:94">
      <c r="CP2917" s="4"/>
    </row>
    <row r="2918" spans="94:94">
      <c r="CP2918" s="4"/>
    </row>
    <row r="2919" spans="94:94">
      <c r="CP2919" s="4"/>
    </row>
    <row r="2920" spans="94:94">
      <c r="CP2920" s="4"/>
    </row>
    <row r="2921" spans="94:94">
      <c r="CP2921" s="4"/>
    </row>
    <row r="2922" spans="94:94">
      <c r="CP2922" s="4"/>
    </row>
    <row r="2923" spans="94:94">
      <c r="CP2923" s="4"/>
    </row>
    <row r="2924" spans="94:94">
      <c r="CP2924" s="4"/>
    </row>
    <row r="2925" spans="94:94">
      <c r="CP2925" s="4"/>
    </row>
    <row r="2926" spans="94:94">
      <c r="CP2926" s="4"/>
    </row>
    <row r="2927" spans="94:94">
      <c r="CP2927" s="4"/>
    </row>
    <row r="2928" spans="94:94">
      <c r="CP2928" s="4"/>
    </row>
    <row r="2929" spans="94:94">
      <c r="CP2929" s="4"/>
    </row>
    <row r="2930" spans="94:94">
      <c r="CP2930" s="4"/>
    </row>
    <row r="2931" spans="94:94">
      <c r="CP2931" s="4"/>
    </row>
    <row r="2932" spans="94:94">
      <c r="CP2932" s="4"/>
    </row>
    <row r="2933" spans="94:94">
      <c r="CP2933" s="4"/>
    </row>
    <row r="2934" spans="94:94">
      <c r="CP2934" s="4"/>
    </row>
    <row r="2935" spans="94:94">
      <c r="CP2935" s="4"/>
    </row>
    <row r="2936" spans="94:94">
      <c r="CP2936" s="4"/>
    </row>
    <row r="2937" spans="94:94">
      <c r="CP2937" s="4"/>
    </row>
    <row r="2938" spans="94:94">
      <c r="CP2938" s="4"/>
    </row>
    <row r="2939" spans="94:94">
      <c r="CP2939" s="4"/>
    </row>
    <row r="2940" spans="94:94">
      <c r="CP2940" s="4"/>
    </row>
    <row r="2941" spans="94:94">
      <c r="CP2941" s="4"/>
    </row>
    <row r="2942" spans="94:94">
      <c r="CP2942" s="4"/>
    </row>
    <row r="2943" spans="94:94">
      <c r="CP2943" s="4"/>
    </row>
    <row r="2944" spans="94:94">
      <c r="CP2944" s="4"/>
    </row>
    <row r="2945" spans="94:94">
      <c r="CP2945" s="4"/>
    </row>
    <row r="2946" spans="94:94">
      <c r="CP2946" s="4"/>
    </row>
    <row r="2947" spans="94:94">
      <c r="CP2947" s="4"/>
    </row>
    <row r="2948" spans="94:94">
      <c r="CP2948" s="4"/>
    </row>
    <row r="2949" spans="94:94">
      <c r="CP2949" s="4"/>
    </row>
    <row r="2950" spans="94:94">
      <c r="CP2950" s="4"/>
    </row>
    <row r="2951" spans="94:94">
      <c r="CP2951" s="4"/>
    </row>
    <row r="2952" spans="94:94">
      <c r="CP2952" s="4"/>
    </row>
    <row r="2953" spans="94:94">
      <c r="CP2953" s="4"/>
    </row>
    <row r="2954" spans="94:94">
      <c r="CP2954" s="4"/>
    </row>
    <row r="2955" spans="94:94">
      <c r="CP2955" s="4"/>
    </row>
    <row r="2956" spans="94:94">
      <c r="CP2956" s="4"/>
    </row>
    <row r="2957" spans="94:94">
      <c r="CP2957" s="4"/>
    </row>
    <row r="2958" spans="94:94">
      <c r="CP2958" s="4"/>
    </row>
    <row r="2959" spans="94:94">
      <c r="CP2959" s="4"/>
    </row>
    <row r="2960" spans="94:94">
      <c r="CP2960" s="4"/>
    </row>
    <row r="2961" spans="94:94">
      <c r="CP2961" s="4"/>
    </row>
    <row r="2962" spans="94:94">
      <c r="CP2962" s="4"/>
    </row>
    <row r="2963" spans="94:94">
      <c r="CP2963" s="4"/>
    </row>
    <row r="2964" spans="94:94">
      <c r="CP2964" s="4"/>
    </row>
    <row r="2965" spans="94:94">
      <c r="CP2965" s="4"/>
    </row>
    <row r="2966" spans="94:94">
      <c r="CP2966" s="4"/>
    </row>
    <row r="2967" spans="94:94">
      <c r="CP2967" s="4"/>
    </row>
    <row r="2968" spans="94:94">
      <c r="CP2968" s="4"/>
    </row>
    <row r="2969" spans="94:94">
      <c r="CP2969" s="4"/>
    </row>
    <row r="2970" spans="94:94">
      <c r="CP2970" s="4"/>
    </row>
    <row r="2971" spans="94:94">
      <c r="CP2971" s="4"/>
    </row>
    <row r="2972" spans="94:94">
      <c r="CP2972" s="4"/>
    </row>
    <row r="2973" spans="94:94">
      <c r="CP2973" s="4"/>
    </row>
    <row r="2974" spans="94:94">
      <c r="CP2974" s="4"/>
    </row>
    <row r="2975" spans="94:94">
      <c r="CP2975" s="4"/>
    </row>
    <row r="2976" spans="94:94">
      <c r="CP2976" s="4"/>
    </row>
    <row r="2977" spans="94:94">
      <c r="CP2977" s="4"/>
    </row>
    <row r="2978" spans="94:94">
      <c r="CP2978" s="4"/>
    </row>
    <row r="2979" spans="94:94">
      <c r="CP2979" s="4"/>
    </row>
    <row r="2980" spans="94:94">
      <c r="CP2980" s="4"/>
    </row>
    <row r="2981" spans="94:94">
      <c r="CP2981" s="4"/>
    </row>
    <row r="2982" spans="94:94">
      <c r="CP2982" s="4"/>
    </row>
    <row r="2983" spans="94:94">
      <c r="CP2983" s="4"/>
    </row>
    <row r="2984" spans="94:94">
      <c r="CP2984" s="4"/>
    </row>
    <row r="2985" spans="94:94">
      <c r="CP2985" s="4"/>
    </row>
    <row r="2986" spans="94:94">
      <c r="CP2986" s="4"/>
    </row>
    <row r="2987" spans="94:94">
      <c r="CP2987" s="4"/>
    </row>
    <row r="2988" spans="94:94">
      <c r="CP2988" s="4"/>
    </row>
    <row r="2989" spans="94:94">
      <c r="CP2989" s="4"/>
    </row>
    <row r="2990" spans="94:94">
      <c r="CP2990" s="4"/>
    </row>
    <row r="2991" spans="94:94">
      <c r="CP2991" s="4"/>
    </row>
    <row r="2992" spans="94:94">
      <c r="CP2992" s="4"/>
    </row>
    <row r="2993" spans="94:94">
      <c r="CP2993" s="4"/>
    </row>
    <row r="2994" spans="94:94">
      <c r="CP2994" s="4"/>
    </row>
    <row r="2995" spans="94:94">
      <c r="CP2995" s="4"/>
    </row>
    <row r="2996" spans="94:94">
      <c r="CP2996" s="4"/>
    </row>
    <row r="2997" spans="94:94">
      <c r="CP2997" s="4"/>
    </row>
    <row r="2998" spans="94:94">
      <c r="CP2998" s="4"/>
    </row>
    <row r="2999" spans="94:94">
      <c r="CP2999" s="4"/>
    </row>
    <row r="3000" spans="94:94">
      <c r="CP3000" s="4"/>
    </row>
    <row r="3001" spans="94:94">
      <c r="CP3001" s="4"/>
    </row>
    <row r="3002" spans="94:94">
      <c r="CP3002" s="4"/>
    </row>
    <row r="3003" spans="94:94">
      <c r="CP3003" s="4"/>
    </row>
    <row r="3004" spans="94:94">
      <c r="CP3004" s="4"/>
    </row>
    <row r="3005" spans="94:94">
      <c r="CP3005" s="4"/>
    </row>
    <row r="3006" spans="94:94">
      <c r="CP3006" s="4"/>
    </row>
    <row r="3007" spans="94:94">
      <c r="CP3007" s="4"/>
    </row>
    <row r="3008" spans="94:94">
      <c r="CP3008" s="4"/>
    </row>
    <row r="3009" spans="94:94">
      <c r="CP3009" s="4"/>
    </row>
    <row r="3010" spans="94:94">
      <c r="CP3010" s="4"/>
    </row>
    <row r="3011" spans="94:94">
      <c r="CP3011" s="4"/>
    </row>
    <row r="3012" spans="94:94">
      <c r="CP3012" s="4"/>
    </row>
    <row r="3013" spans="94:94">
      <c r="CP3013" s="4"/>
    </row>
    <row r="3014" spans="94:94">
      <c r="CP3014" s="4"/>
    </row>
    <row r="3015" spans="94:94">
      <c r="CP3015" s="4"/>
    </row>
    <row r="3016" spans="94:94">
      <c r="CP3016" s="4"/>
    </row>
    <row r="3017" spans="94:94">
      <c r="CP3017" s="4"/>
    </row>
    <row r="3018" spans="94:94">
      <c r="CP3018" s="4"/>
    </row>
    <row r="3019" spans="94:94">
      <c r="CP3019" s="4"/>
    </row>
    <row r="3020" spans="94:94">
      <c r="CP3020" s="4"/>
    </row>
    <row r="3021" spans="94:94">
      <c r="CP3021" s="4"/>
    </row>
    <row r="3022" spans="94:94">
      <c r="CP3022" s="4"/>
    </row>
    <row r="3023" spans="94:94">
      <c r="CP3023" s="4"/>
    </row>
    <row r="3024" spans="94:94">
      <c r="CP3024" s="4"/>
    </row>
    <row r="3025" spans="94:94">
      <c r="CP3025" s="4"/>
    </row>
    <row r="3026" spans="94:94">
      <c r="CP3026" s="4"/>
    </row>
    <row r="3027" spans="94:94">
      <c r="CP3027" s="4"/>
    </row>
    <row r="3028" spans="94:94">
      <c r="CP3028" s="4"/>
    </row>
    <row r="3029" spans="94:94">
      <c r="CP3029" s="4"/>
    </row>
    <row r="3030" spans="94:94">
      <c r="CP3030" s="4"/>
    </row>
    <row r="3031" spans="94:94">
      <c r="CP3031" s="4"/>
    </row>
    <row r="3032" spans="94:94">
      <c r="CP3032" s="4"/>
    </row>
    <row r="3033" spans="94:94">
      <c r="CP3033" s="4"/>
    </row>
    <row r="3034" spans="94:94">
      <c r="CP3034" s="4"/>
    </row>
    <row r="3035" spans="94:94">
      <c r="CP3035" s="4"/>
    </row>
    <row r="3036" spans="94:94">
      <c r="CP3036" s="4"/>
    </row>
    <row r="3037" spans="94:94">
      <c r="CP3037" s="4"/>
    </row>
    <row r="3038" spans="94:94">
      <c r="CP3038" s="4"/>
    </row>
    <row r="3039" spans="94:94">
      <c r="CP3039" s="4"/>
    </row>
    <row r="3040" spans="94:94">
      <c r="CP3040" s="4"/>
    </row>
    <row r="3041" spans="94:94">
      <c r="CP3041" s="4"/>
    </row>
    <row r="3042" spans="94:94">
      <c r="CP3042" s="4"/>
    </row>
    <row r="3043" spans="94:94">
      <c r="CP3043" s="4"/>
    </row>
    <row r="3044" spans="94:94">
      <c r="CP3044" s="4"/>
    </row>
    <row r="3045" spans="94:94">
      <c r="CP3045" s="4"/>
    </row>
    <row r="3046" spans="94:94">
      <c r="CP3046" s="4"/>
    </row>
    <row r="3047" spans="94:94">
      <c r="CP3047" s="4"/>
    </row>
    <row r="3048" spans="94:94">
      <c r="CP3048" s="4"/>
    </row>
    <row r="3049" spans="94:94">
      <c r="CP3049" s="4"/>
    </row>
    <row r="3050" spans="94:94">
      <c r="CP3050" s="4"/>
    </row>
    <row r="3051" spans="94:94">
      <c r="CP3051" s="4"/>
    </row>
    <row r="3052" spans="94:94">
      <c r="CP3052" s="4"/>
    </row>
    <row r="3053" spans="94:94">
      <c r="CP3053" s="4"/>
    </row>
    <row r="3054" spans="94:94">
      <c r="CP3054" s="4"/>
    </row>
    <row r="3055" spans="94:94">
      <c r="CP3055" s="4"/>
    </row>
    <row r="3056" spans="94:94">
      <c r="CP3056" s="4"/>
    </row>
    <row r="3057" spans="94:94">
      <c r="CP3057" s="4"/>
    </row>
    <row r="3058" spans="94:94">
      <c r="CP3058" s="4"/>
    </row>
    <row r="3059" spans="94:94">
      <c r="CP3059" s="4"/>
    </row>
    <row r="3060" spans="94:94">
      <c r="CP3060" s="4"/>
    </row>
    <row r="3061" spans="94:94">
      <c r="CP3061" s="4"/>
    </row>
    <row r="3062" spans="94:94">
      <c r="CP3062" s="4"/>
    </row>
    <row r="3063" spans="94:94">
      <c r="CP3063" s="4"/>
    </row>
    <row r="3064" spans="94:94">
      <c r="CP3064" s="4"/>
    </row>
    <row r="3065" spans="94:94">
      <c r="CP3065" s="4"/>
    </row>
    <row r="3066" spans="94:94">
      <c r="CP3066" s="4"/>
    </row>
    <row r="3067" spans="94:94">
      <c r="CP3067" s="4"/>
    </row>
    <row r="3068" spans="94:94">
      <c r="CP3068" s="4"/>
    </row>
    <row r="3069" spans="94:94">
      <c r="CP3069" s="4"/>
    </row>
    <row r="3070" spans="94:94">
      <c r="CP3070" s="4"/>
    </row>
    <row r="3071" spans="94:94">
      <c r="CP3071" s="4"/>
    </row>
    <row r="3072" spans="94:94">
      <c r="CP3072" s="4"/>
    </row>
    <row r="3073" spans="94:94">
      <c r="CP3073" s="4"/>
    </row>
    <row r="3074" spans="94:94">
      <c r="CP3074" s="4"/>
    </row>
    <row r="3075" spans="94:94">
      <c r="CP3075" s="4"/>
    </row>
    <row r="3076" spans="94:94">
      <c r="CP3076" s="4"/>
    </row>
    <row r="3077" spans="94:94">
      <c r="CP3077" s="4"/>
    </row>
    <row r="3078" spans="94:94">
      <c r="CP3078" s="4"/>
    </row>
    <row r="3079" spans="94:94">
      <c r="CP3079" s="4"/>
    </row>
    <row r="3080" spans="94:94">
      <c r="CP3080" s="4"/>
    </row>
    <row r="3081" spans="94:94">
      <c r="CP3081" s="4"/>
    </row>
    <row r="3082" spans="94:94">
      <c r="CP3082" s="4"/>
    </row>
    <row r="3083" spans="94:94">
      <c r="CP3083" s="4"/>
    </row>
    <row r="3084" spans="94:94">
      <c r="CP3084" s="4"/>
    </row>
    <row r="3085" spans="94:94">
      <c r="CP3085" s="4"/>
    </row>
    <row r="3086" spans="94:94">
      <c r="CP3086" s="4"/>
    </row>
    <row r="3087" spans="94:94">
      <c r="CP3087" s="4"/>
    </row>
    <row r="3088" spans="94:94">
      <c r="CP3088" s="4"/>
    </row>
    <row r="3089" spans="94:94">
      <c r="CP3089" s="4"/>
    </row>
    <row r="3090" spans="94:94">
      <c r="CP3090" s="4"/>
    </row>
    <row r="3091" spans="94:94">
      <c r="CP3091" s="4"/>
    </row>
    <row r="3092" spans="94:94">
      <c r="CP3092" s="4"/>
    </row>
    <row r="3093" spans="94:94">
      <c r="CP3093" s="4"/>
    </row>
    <row r="3094" spans="94:94">
      <c r="CP3094" s="4"/>
    </row>
    <row r="3095" spans="94:94">
      <c r="CP3095" s="4"/>
    </row>
    <row r="3096" spans="94:94">
      <c r="CP3096" s="4"/>
    </row>
    <row r="3097" spans="94:94">
      <c r="CP3097" s="4"/>
    </row>
    <row r="3098" spans="94:94">
      <c r="CP3098" s="4"/>
    </row>
    <row r="3099" spans="94:94">
      <c r="CP3099" s="4"/>
    </row>
    <row r="3100" spans="94:94">
      <c r="CP3100" s="4"/>
    </row>
    <row r="3101" spans="94:94">
      <c r="CP3101" s="4"/>
    </row>
    <row r="3102" spans="94:94">
      <c r="CP3102" s="4"/>
    </row>
    <row r="3103" spans="94:94">
      <c r="CP3103" s="4"/>
    </row>
    <row r="3104" spans="94:94">
      <c r="CP3104" s="4"/>
    </row>
    <row r="3105" spans="94:94">
      <c r="CP3105" s="4"/>
    </row>
    <row r="3106" spans="94:94">
      <c r="CP3106" s="4"/>
    </row>
    <row r="3107" spans="94:94">
      <c r="CP3107" s="4"/>
    </row>
    <row r="3108" spans="94:94">
      <c r="CP3108" s="4"/>
    </row>
    <row r="3109" spans="94:94">
      <c r="CP3109" s="4"/>
    </row>
    <row r="3110" spans="94:94">
      <c r="CP3110" s="4"/>
    </row>
    <row r="3111" spans="94:94">
      <c r="CP3111" s="4"/>
    </row>
    <row r="3112" spans="94:94">
      <c r="CP3112" s="4"/>
    </row>
    <row r="3113" spans="94:94">
      <c r="CP3113" s="4"/>
    </row>
    <row r="3114" spans="94:94">
      <c r="CP3114" s="4"/>
    </row>
    <row r="3115" spans="94:94">
      <c r="CP3115" s="4"/>
    </row>
    <row r="3116" spans="94:94">
      <c r="CP3116" s="4"/>
    </row>
    <row r="3117" spans="94:94">
      <c r="CP3117" s="4"/>
    </row>
    <row r="3118" spans="94:94">
      <c r="CP3118" s="4"/>
    </row>
    <row r="3119" spans="94:94">
      <c r="CP3119" s="4"/>
    </row>
    <row r="3120" spans="94:94">
      <c r="CP3120" s="4"/>
    </row>
    <row r="3121" spans="94:94">
      <c r="CP3121" s="4"/>
    </row>
    <row r="3122" spans="94:94">
      <c r="CP3122" s="4"/>
    </row>
    <row r="3123" spans="94:94">
      <c r="CP3123" s="4"/>
    </row>
    <row r="3124" spans="94:94">
      <c r="CP3124" s="4"/>
    </row>
    <row r="3125" spans="94:94">
      <c r="CP3125" s="4"/>
    </row>
    <row r="3126" spans="94:94">
      <c r="CP3126" s="4"/>
    </row>
    <row r="3127" spans="94:94">
      <c r="CP3127" s="4"/>
    </row>
    <row r="3128" spans="94:94">
      <c r="CP3128" s="4"/>
    </row>
    <row r="3129" spans="94:94">
      <c r="CP3129" s="4"/>
    </row>
    <row r="3130" spans="94:94">
      <c r="CP3130" s="4"/>
    </row>
    <row r="3131" spans="94:94">
      <c r="CP3131" s="4"/>
    </row>
    <row r="3132" spans="94:94">
      <c r="CP3132" s="4"/>
    </row>
    <row r="3133" spans="94:94">
      <c r="CP3133" s="4"/>
    </row>
    <row r="3134" spans="94:94">
      <c r="CP3134" s="4"/>
    </row>
    <row r="3135" spans="94:94">
      <c r="CP3135" s="4"/>
    </row>
    <row r="3136" spans="94:94">
      <c r="CP3136" s="4"/>
    </row>
    <row r="3137" spans="94:94">
      <c r="CP3137" s="4"/>
    </row>
    <row r="3138" spans="94:94">
      <c r="CP3138" s="4"/>
    </row>
    <row r="3139" spans="94:94">
      <c r="CP3139" s="4"/>
    </row>
    <row r="3140" spans="94:94">
      <c r="CP3140" s="4"/>
    </row>
    <row r="3141" spans="94:94">
      <c r="CP3141" s="4"/>
    </row>
    <row r="3142" spans="94:94">
      <c r="CP3142" s="4"/>
    </row>
    <row r="3143" spans="94:94">
      <c r="CP3143" s="4"/>
    </row>
    <row r="3144" spans="94:94">
      <c r="CP3144" s="4"/>
    </row>
    <row r="3145" spans="94:94">
      <c r="CP3145" s="4"/>
    </row>
    <row r="3146" spans="94:94">
      <c r="CP3146" s="4"/>
    </row>
    <row r="3147" spans="94:94">
      <c r="CP3147" s="4"/>
    </row>
    <row r="3148" spans="94:94">
      <c r="CP3148" s="4"/>
    </row>
    <row r="3149" spans="94:94">
      <c r="CP3149" s="4"/>
    </row>
    <row r="3150" spans="94:94">
      <c r="CP3150" s="4"/>
    </row>
    <row r="3151" spans="94:94">
      <c r="CP3151" s="4"/>
    </row>
    <row r="3152" spans="94:94">
      <c r="CP3152" s="4"/>
    </row>
    <row r="3153" spans="94:94">
      <c r="CP3153" s="4"/>
    </row>
    <row r="3154" spans="94:94">
      <c r="CP3154" s="4"/>
    </row>
    <row r="3155" spans="94:94">
      <c r="CP3155" s="4"/>
    </row>
    <row r="3156" spans="94:94">
      <c r="CP3156" s="4"/>
    </row>
    <row r="3157" spans="94:94">
      <c r="CP3157" s="4"/>
    </row>
    <row r="3158" spans="94:94">
      <c r="CP3158" s="4"/>
    </row>
    <row r="3159" spans="94:94">
      <c r="CP3159" s="4"/>
    </row>
    <row r="3160" spans="94:94">
      <c r="CP3160" s="4"/>
    </row>
    <row r="3161" spans="94:94">
      <c r="CP3161" s="4"/>
    </row>
    <row r="3162" spans="94:94">
      <c r="CP3162" s="4"/>
    </row>
    <row r="3163" spans="94:94">
      <c r="CP3163" s="4"/>
    </row>
    <row r="3164" spans="94:94">
      <c r="CP3164" s="4"/>
    </row>
    <row r="3165" spans="94:94">
      <c r="CP3165" s="4"/>
    </row>
    <row r="3166" spans="94:94">
      <c r="CP3166" s="4"/>
    </row>
    <row r="3167" spans="94:94">
      <c r="CP3167" s="4"/>
    </row>
    <row r="3168" spans="94:94">
      <c r="CP3168" s="4"/>
    </row>
    <row r="3169" spans="94:94">
      <c r="CP3169" s="4"/>
    </row>
    <row r="3170" spans="94:94">
      <c r="CP3170" s="4"/>
    </row>
    <row r="3171" spans="94:94">
      <c r="CP3171" s="4"/>
    </row>
    <row r="3172" spans="94:94">
      <c r="CP3172" s="4"/>
    </row>
    <row r="3173" spans="94:94">
      <c r="CP3173" s="4"/>
    </row>
    <row r="3174" spans="94:94">
      <c r="CP3174" s="4"/>
    </row>
    <row r="3175" spans="94:94">
      <c r="CP3175" s="4"/>
    </row>
    <row r="3176" spans="94:94">
      <c r="CP3176" s="4"/>
    </row>
    <row r="3177" spans="94:94">
      <c r="CP3177" s="4"/>
    </row>
    <row r="3178" spans="94:94">
      <c r="CP3178" s="4"/>
    </row>
    <row r="3179" spans="94:94">
      <c r="CP3179" s="4"/>
    </row>
    <row r="3180" spans="94:94">
      <c r="CP3180" s="4"/>
    </row>
    <row r="3181" spans="94:94">
      <c r="CP3181" s="4"/>
    </row>
    <row r="3182" spans="94:94">
      <c r="CP3182" s="4"/>
    </row>
    <row r="3183" spans="94:94">
      <c r="CP3183" s="4"/>
    </row>
    <row r="3184" spans="94:94">
      <c r="CP3184" s="4"/>
    </row>
    <row r="3185" spans="94:94">
      <c r="CP3185" s="4"/>
    </row>
    <row r="3186" spans="94:94">
      <c r="CP3186" s="4"/>
    </row>
    <row r="3187" spans="94:94">
      <c r="CP3187" s="4"/>
    </row>
    <row r="3188" spans="94:94">
      <c r="CP3188" s="4"/>
    </row>
    <row r="3189" spans="94:94">
      <c r="CP3189" s="4"/>
    </row>
    <row r="3190" spans="94:94">
      <c r="CP3190" s="4"/>
    </row>
    <row r="3191" spans="94:94">
      <c r="CP3191" s="4"/>
    </row>
    <row r="3192" spans="94:94">
      <c r="CP3192" s="4"/>
    </row>
    <row r="3193" spans="94:94">
      <c r="CP3193" s="4"/>
    </row>
    <row r="3194" spans="94:94">
      <c r="CP3194" s="4"/>
    </row>
    <row r="3195" spans="94:94">
      <c r="CP3195" s="4"/>
    </row>
    <row r="3196" spans="94:94">
      <c r="CP3196" s="4"/>
    </row>
    <row r="3197" spans="94:94">
      <c r="CP3197" s="4"/>
    </row>
    <row r="3198" spans="94:94">
      <c r="CP3198" s="4"/>
    </row>
    <row r="3199" spans="94:94">
      <c r="CP3199" s="4"/>
    </row>
    <row r="3200" spans="94:94">
      <c r="CP3200" s="4"/>
    </row>
    <row r="3201" spans="94:94">
      <c r="CP3201" s="4"/>
    </row>
    <row r="3202" spans="94:94">
      <c r="CP3202" s="4"/>
    </row>
    <row r="3203" spans="94:94">
      <c r="CP3203" s="4"/>
    </row>
    <row r="3204" spans="94:94">
      <c r="CP3204" s="4"/>
    </row>
    <row r="3205" spans="94:94">
      <c r="CP3205" s="4"/>
    </row>
    <row r="3206" spans="94:94">
      <c r="CP3206" s="4"/>
    </row>
    <row r="3207" spans="94:94">
      <c r="CP3207" s="4"/>
    </row>
    <row r="3208" spans="94:94">
      <c r="CP3208" s="4"/>
    </row>
    <row r="3209" spans="94:94">
      <c r="CP3209" s="4"/>
    </row>
    <row r="3210" spans="94:94">
      <c r="CP3210" s="4"/>
    </row>
    <row r="3211" spans="94:94">
      <c r="CP3211" s="4"/>
    </row>
    <row r="3212" spans="94:94">
      <c r="CP3212" s="4"/>
    </row>
    <row r="3213" spans="94:94">
      <c r="CP3213" s="4"/>
    </row>
    <row r="3214" spans="94:94">
      <c r="CP3214" s="4"/>
    </row>
    <row r="3215" spans="94:94">
      <c r="CP3215" s="4"/>
    </row>
    <row r="3216" spans="94:94">
      <c r="CP3216" s="4"/>
    </row>
    <row r="3217" spans="94:94">
      <c r="CP3217" s="4"/>
    </row>
    <row r="3218" spans="94:94">
      <c r="CP3218" s="4"/>
    </row>
    <row r="3219" spans="94:94">
      <c r="CP3219" s="4"/>
    </row>
    <row r="3220" spans="94:94">
      <c r="CP3220" s="4"/>
    </row>
    <row r="3221" spans="94:94">
      <c r="CP3221" s="4"/>
    </row>
    <row r="3222" spans="94:94">
      <c r="CP3222" s="4"/>
    </row>
    <row r="3223" spans="94:94">
      <c r="CP3223" s="4"/>
    </row>
    <row r="3224" spans="94:94">
      <c r="CP3224" s="4"/>
    </row>
    <row r="3225" spans="94:94">
      <c r="CP3225" s="4"/>
    </row>
    <row r="3226" spans="94:94">
      <c r="CP3226" s="4"/>
    </row>
    <row r="3227" spans="94:94">
      <c r="CP3227" s="4"/>
    </row>
    <row r="3228" spans="94:94">
      <c r="CP3228" s="4"/>
    </row>
    <row r="3229" spans="94:94">
      <c r="CP3229" s="4"/>
    </row>
    <row r="3230" spans="94:94">
      <c r="CP3230" s="4"/>
    </row>
    <row r="3231" spans="94:94">
      <c r="CP3231" s="4"/>
    </row>
    <row r="3232" spans="94:94">
      <c r="CP3232" s="4"/>
    </row>
    <row r="3233" spans="94:94">
      <c r="CP3233" s="4"/>
    </row>
    <row r="3234" spans="94:94">
      <c r="CP3234" s="4"/>
    </row>
    <row r="3235" spans="94:94">
      <c r="CP3235" s="4"/>
    </row>
    <row r="3236" spans="94:94">
      <c r="CP3236" s="4"/>
    </row>
    <row r="3237" spans="94:94">
      <c r="CP3237" s="4"/>
    </row>
    <row r="3238" spans="94:94">
      <c r="CP3238" s="4"/>
    </row>
    <row r="3239" spans="94:94">
      <c r="CP3239" s="4"/>
    </row>
    <row r="3240" spans="94:94">
      <c r="CP3240" s="4"/>
    </row>
    <row r="3241" spans="94:94">
      <c r="CP3241" s="4"/>
    </row>
    <row r="3242" spans="94:94">
      <c r="CP3242" s="4"/>
    </row>
    <row r="3243" spans="94:94">
      <c r="CP3243" s="4"/>
    </row>
    <row r="3244" spans="94:94">
      <c r="CP3244" s="4"/>
    </row>
    <row r="3245" spans="94:94">
      <c r="CP3245" s="4"/>
    </row>
    <row r="3246" spans="94:94">
      <c r="CP3246" s="4"/>
    </row>
    <row r="3247" spans="94:94">
      <c r="CP3247" s="4"/>
    </row>
    <row r="3248" spans="94:94">
      <c r="CP3248" s="4"/>
    </row>
    <row r="3249" spans="94:94">
      <c r="CP3249" s="4"/>
    </row>
    <row r="3250" spans="94:94">
      <c r="CP3250" s="4"/>
    </row>
    <row r="3251" spans="94:94">
      <c r="CP3251" s="4"/>
    </row>
    <row r="3252" spans="94:94">
      <c r="CP3252" s="4"/>
    </row>
    <row r="3253" spans="94:94">
      <c r="CP3253" s="4"/>
    </row>
    <row r="3254" spans="94:94">
      <c r="CP3254" s="4"/>
    </row>
    <row r="3255" spans="94:94">
      <c r="CP3255" s="4"/>
    </row>
    <row r="3256" spans="94:94">
      <c r="CP3256" s="4"/>
    </row>
    <row r="3257" spans="94:94">
      <c r="CP3257" s="4"/>
    </row>
    <row r="3258" spans="94:94">
      <c r="CP3258" s="4"/>
    </row>
    <row r="3259" spans="94:94">
      <c r="CP3259" s="4"/>
    </row>
    <row r="3260" spans="94:94">
      <c r="CP3260" s="4"/>
    </row>
    <row r="3261" spans="94:94">
      <c r="CP3261" s="4"/>
    </row>
    <row r="3262" spans="94:94">
      <c r="CP3262" s="4"/>
    </row>
    <row r="3263" spans="94:94">
      <c r="CP3263" s="4"/>
    </row>
    <row r="3264" spans="94:94">
      <c r="CP3264" s="4"/>
    </row>
    <row r="3265" spans="94:94">
      <c r="CP3265" s="4"/>
    </row>
    <row r="3266" spans="94:94">
      <c r="CP3266" s="4"/>
    </row>
    <row r="3267" spans="94:94">
      <c r="CP3267" s="4"/>
    </row>
    <row r="3268" spans="94:94">
      <c r="CP3268" s="4"/>
    </row>
    <row r="3269" spans="94:94">
      <c r="CP3269" s="4"/>
    </row>
    <row r="3270" spans="94:94">
      <c r="CP3270" s="4"/>
    </row>
    <row r="3271" spans="94:94">
      <c r="CP3271" s="4"/>
    </row>
    <row r="3272" spans="94:94">
      <c r="CP3272" s="4"/>
    </row>
    <row r="3273" spans="94:94">
      <c r="CP3273" s="4"/>
    </row>
    <row r="3274" spans="94:94">
      <c r="CP3274" s="4"/>
    </row>
    <row r="3275" spans="94:94">
      <c r="CP3275" s="4"/>
    </row>
    <row r="3276" spans="94:94">
      <c r="CP3276" s="4"/>
    </row>
    <row r="3277" spans="94:94">
      <c r="CP3277" s="4"/>
    </row>
    <row r="3278" spans="94:94">
      <c r="CP3278" s="4"/>
    </row>
    <row r="3279" spans="94:94">
      <c r="CP3279" s="4"/>
    </row>
    <row r="3280" spans="94:94">
      <c r="CP3280" s="4"/>
    </row>
    <row r="3281" spans="94:94">
      <c r="CP3281" s="4"/>
    </row>
    <row r="3282" spans="94:94">
      <c r="CP3282" s="4"/>
    </row>
    <row r="3283" spans="94:94">
      <c r="CP3283" s="4"/>
    </row>
    <row r="3284" spans="94:94">
      <c r="CP3284" s="4"/>
    </row>
    <row r="3285" spans="94:94">
      <c r="CP3285" s="4"/>
    </row>
    <row r="3286" spans="94:94">
      <c r="CP3286" s="4"/>
    </row>
    <row r="3287" spans="94:94">
      <c r="CP3287" s="4"/>
    </row>
    <row r="3288" spans="94:94">
      <c r="CP3288" s="4"/>
    </row>
    <row r="3289" spans="94:94">
      <c r="CP3289" s="4"/>
    </row>
    <row r="3290" spans="94:94">
      <c r="CP3290" s="4"/>
    </row>
    <row r="3291" spans="94:94">
      <c r="CP3291" s="4"/>
    </row>
    <row r="3292" spans="94:94">
      <c r="CP3292" s="4"/>
    </row>
    <row r="3293" spans="94:94">
      <c r="CP3293" s="4"/>
    </row>
    <row r="3294" spans="94:94">
      <c r="CP3294" s="4"/>
    </row>
    <row r="3295" spans="94:94">
      <c r="CP3295" s="4"/>
    </row>
    <row r="3296" spans="94:94">
      <c r="CP3296" s="4"/>
    </row>
    <row r="3297" spans="94:94">
      <c r="CP3297" s="4"/>
    </row>
    <row r="3298" spans="94:94">
      <c r="CP3298" s="4"/>
    </row>
    <row r="3299" spans="94:94">
      <c r="CP3299" s="4"/>
    </row>
    <row r="3300" spans="94:94">
      <c r="CP3300" s="4"/>
    </row>
    <row r="3301" spans="94:94">
      <c r="CP3301" s="4"/>
    </row>
    <row r="3302" spans="94:94">
      <c r="CP3302" s="4"/>
    </row>
    <row r="3303" spans="94:94">
      <c r="CP3303" s="4"/>
    </row>
    <row r="3304" spans="94:94">
      <c r="CP3304" s="4"/>
    </row>
    <row r="3305" spans="94:94">
      <c r="CP3305" s="4"/>
    </row>
    <row r="3306" spans="94:94">
      <c r="CP3306" s="4"/>
    </row>
    <row r="3307" spans="94:94">
      <c r="CP3307" s="4"/>
    </row>
    <row r="3308" spans="94:94">
      <c r="CP3308" s="4"/>
    </row>
    <row r="3309" spans="94:94">
      <c r="CP3309" s="4"/>
    </row>
    <row r="3310" spans="94:94">
      <c r="CP3310" s="4"/>
    </row>
    <row r="3311" spans="94:94">
      <c r="CP3311" s="4"/>
    </row>
    <row r="3312" spans="94:94">
      <c r="CP3312" s="4"/>
    </row>
    <row r="3313" spans="94:94">
      <c r="CP3313" s="4"/>
    </row>
    <row r="3314" spans="94:94">
      <c r="CP3314" s="4"/>
    </row>
    <row r="3315" spans="94:94">
      <c r="CP3315" s="4"/>
    </row>
    <row r="3316" spans="94:94">
      <c r="CP3316" s="4"/>
    </row>
    <row r="3317" spans="94:94">
      <c r="CP3317" s="4"/>
    </row>
    <row r="3318" spans="94:94">
      <c r="CP3318" s="4"/>
    </row>
    <row r="3319" spans="94:94">
      <c r="CP3319" s="4"/>
    </row>
    <row r="3320" spans="94:94">
      <c r="CP3320" s="4"/>
    </row>
    <row r="3321" spans="94:94">
      <c r="CP3321" s="4"/>
    </row>
    <row r="3322" spans="94:94">
      <c r="CP3322" s="4"/>
    </row>
    <row r="3323" spans="94:94">
      <c r="CP3323" s="4"/>
    </row>
    <row r="3324" spans="94:94">
      <c r="CP3324" s="4"/>
    </row>
    <row r="3325" spans="94:94">
      <c r="CP3325" s="4"/>
    </row>
    <row r="3326" spans="94:94">
      <c r="CP3326" s="4"/>
    </row>
    <row r="3327" spans="94:94">
      <c r="CP3327" s="4"/>
    </row>
    <row r="3328" spans="94:94">
      <c r="CP3328" s="4"/>
    </row>
    <row r="3329" spans="94:94">
      <c r="CP3329" s="4"/>
    </row>
    <row r="3330" spans="94:94">
      <c r="CP3330" s="4"/>
    </row>
    <row r="3331" spans="94:94">
      <c r="CP3331" s="4"/>
    </row>
    <row r="3332" spans="94:94">
      <c r="CP3332" s="4"/>
    </row>
    <row r="3333" spans="94:94">
      <c r="CP3333" s="4"/>
    </row>
    <row r="3334" spans="94:94">
      <c r="CP3334" s="4"/>
    </row>
    <row r="3335" spans="94:94">
      <c r="CP3335" s="4"/>
    </row>
    <row r="3336" spans="94:94">
      <c r="CP3336" s="4"/>
    </row>
    <row r="3337" spans="94:94">
      <c r="CP3337" s="4"/>
    </row>
    <row r="3338" spans="94:94">
      <c r="CP3338" s="4"/>
    </row>
    <row r="3339" spans="94:94">
      <c r="CP3339" s="4"/>
    </row>
    <row r="3340" spans="94:94">
      <c r="CP3340" s="4"/>
    </row>
    <row r="3341" spans="94:94">
      <c r="CP3341" s="4"/>
    </row>
    <row r="3342" spans="94:94">
      <c r="CP3342" s="4"/>
    </row>
    <row r="3343" spans="94:94">
      <c r="CP3343" s="4"/>
    </row>
    <row r="3344" spans="94:94">
      <c r="CP3344" s="4"/>
    </row>
    <row r="3345" spans="94:94">
      <c r="CP3345" s="4"/>
    </row>
    <row r="3346" spans="94:94">
      <c r="CP3346" s="4"/>
    </row>
    <row r="3347" spans="94:94">
      <c r="CP3347" s="4"/>
    </row>
    <row r="3348" spans="94:94">
      <c r="CP3348" s="4"/>
    </row>
    <row r="3349" spans="94:94">
      <c r="CP3349" s="4"/>
    </row>
    <row r="3350" spans="94:94">
      <c r="CP3350" s="4"/>
    </row>
    <row r="3351" spans="94:94">
      <c r="CP3351" s="4"/>
    </row>
    <row r="3352" spans="94:94">
      <c r="CP3352" s="4"/>
    </row>
    <row r="3353" spans="94:94">
      <c r="CP3353" s="4"/>
    </row>
    <row r="3354" spans="94:94">
      <c r="CP3354" s="4"/>
    </row>
    <row r="3355" spans="94:94">
      <c r="CP3355" s="4"/>
    </row>
    <row r="3356" spans="94:94">
      <c r="CP3356" s="4"/>
    </row>
    <row r="3357" spans="94:94">
      <c r="CP3357" s="4"/>
    </row>
    <row r="3358" spans="94:94">
      <c r="CP3358" s="4"/>
    </row>
    <row r="3359" spans="94:94">
      <c r="CP3359" s="4"/>
    </row>
    <row r="3360" spans="94:94">
      <c r="CP3360" s="4"/>
    </row>
    <row r="3361" spans="94:94">
      <c r="CP3361" s="4"/>
    </row>
    <row r="3362" spans="94:94">
      <c r="CP3362" s="4"/>
    </row>
    <row r="3363" spans="94:94">
      <c r="CP3363" s="4"/>
    </row>
    <row r="3364" spans="94:94">
      <c r="CP3364" s="4"/>
    </row>
    <row r="3365" spans="94:94">
      <c r="CP3365" s="4"/>
    </row>
    <row r="3366" spans="94:94">
      <c r="CP3366" s="4"/>
    </row>
    <row r="3367" spans="94:94">
      <c r="CP3367" s="4"/>
    </row>
    <row r="3368" spans="94:94">
      <c r="CP3368" s="4"/>
    </row>
    <row r="3369" spans="94:94">
      <c r="CP3369" s="4"/>
    </row>
    <row r="3370" spans="94:94">
      <c r="CP3370" s="4"/>
    </row>
    <row r="3371" spans="94:94">
      <c r="CP3371" s="4"/>
    </row>
    <row r="3372" spans="94:94">
      <c r="CP3372" s="4"/>
    </row>
    <row r="3373" spans="94:94">
      <c r="CP3373" s="4"/>
    </row>
    <row r="3374" spans="94:94">
      <c r="CP3374" s="4"/>
    </row>
    <row r="3375" spans="94:94">
      <c r="CP3375" s="4"/>
    </row>
    <row r="3376" spans="94:94">
      <c r="CP3376" s="4"/>
    </row>
    <row r="3377" spans="94:94">
      <c r="CP3377" s="4"/>
    </row>
    <row r="3378" spans="94:94">
      <c r="CP3378" s="4"/>
    </row>
    <row r="3379" spans="94:94">
      <c r="CP3379" s="4"/>
    </row>
    <row r="3380" spans="94:94">
      <c r="CP3380" s="4"/>
    </row>
    <row r="3381" spans="94:94">
      <c r="CP3381" s="4"/>
    </row>
    <row r="3382" spans="94:94">
      <c r="CP3382" s="4"/>
    </row>
    <row r="3383" spans="94:94">
      <c r="CP3383" s="4"/>
    </row>
    <row r="3384" spans="94:94">
      <c r="CP3384" s="4"/>
    </row>
    <row r="3385" spans="94:94">
      <c r="CP3385" s="4"/>
    </row>
    <row r="3386" spans="94:94">
      <c r="CP3386" s="4"/>
    </row>
    <row r="3387" spans="94:94">
      <c r="CP3387" s="4"/>
    </row>
    <row r="3388" spans="94:94">
      <c r="CP3388" s="4"/>
    </row>
    <row r="3389" spans="94:94">
      <c r="CP3389" s="4"/>
    </row>
    <row r="3390" spans="94:94">
      <c r="CP3390" s="4"/>
    </row>
    <row r="3391" spans="94:94">
      <c r="CP3391" s="4"/>
    </row>
    <row r="3392" spans="94:94">
      <c r="CP3392" s="4"/>
    </row>
    <row r="3393" spans="94:94">
      <c r="CP3393" s="4"/>
    </row>
    <row r="3394" spans="94:94">
      <c r="CP3394" s="4"/>
    </row>
    <row r="3395" spans="94:94">
      <c r="CP3395" s="4"/>
    </row>
    <row r="3396" spans="94:94">
      <c r="CP3396" s="4"/>
    </row>
    <row r="3397" spans="94:94">
      <c r="CP3397" s="4"/>
    </row>
    <row r="3398" spans="94:94">
      <c r="CP3398" s="4"/>
    </row>
    <row r="3399" spans="94:94">
      <c r="CP3399" s="4"/>
    </row>
    <row r="3400" spans="94:94">
      <c r="CP3400" s="4"/>
    </row>
    <row r="3401" spans="94:94">
      <c r="CP3401" s="4"/>
    </row>
    <row r="3402" spans="94:94">
      <c r="CP3402" s="4"/>
    </row>
    <row r="3403" spans="94:94">
      <c r="CP3403" s="4"/>
    </row>
    <row r="3404" spans="94:94">
      <c r="CP3404" s="4"/>
    </row>
    <row r="3405" spans="94:94">
      <c r="CP3405" s="4"/>
    </row>
    <row r="3406" spans="94:94">
      <c r="CP3406" s="4"/>
    </row>
    <row r="3407" spans="94:94">
      <c r="CP3407" s="4"/>
    </row>
    <row r="3408" spans="94:94">
      <c r="CP3408" s="4"/>
    </row>
    <row r="3409" spans="94:94">
      <c r="CP3409" s="4"/>
    </row>
    <row r="3410" spans="94:94">
      <c r="CP3410" s="4"/>
    </row>
    <row r="3411" spans="94:94">
      <c r="CP3411" s="4"/>
    </row>
    <row r="3412" spans="94:94">
      <c r="CP3412" s="4"/>
    </row>
    <row r="3413" spans="94:94">
      <c r="CP3413" s="4"/>
    </row>
    <row r="3414" spans="94:94">
      <c r="CP3414" s="4"/>
    </row>
    <row r="3415" spans="94:94">
      <c r="CP3415" s="4"/>
    </row>
    <row r="3416" spans="94:94">
      <c r="CP3416" s="4"/>
    </row>
    <row r="3417" spans="94:94">
      <c r="CP3417" s="4"/>
    </row>
    <row r="3418" spans="94:94">
      <c r="CP3418" s="4"/>
    </row>
    <row r="3419" spans="94:94">
      <c r="CP3419" s="4"/>
    </row>
    <row r="3420" spans="94:94">
      <c r="CP3420" s="4"/>
    </row>
    <row r="3421" spans="94:94">
      <c r="CP3421" s="4"/>
    </row>
    <row r="3422" spans="94:94">
      <c r="CP3422" s="4"/>
    </row>
    <row r="3423" spans="94:94">
      <c r="CP3423" s="4"/>
    </row>
    <row r="3424" spans="94:94">
      <c r="CP3424" s="4"/>
    </row>
    <row r="3425" spans="94:94">
      <c r="CP3425" s="4"/>
    </row>
    <row r="3426" spans="94:94">
      <c r="CP3426" s="4"/>
    </row>
    <row r="3427" spans="94:94">
      <c r="CP3427" s="4"/>
    </row>
    <row r="3428" spans="94:94">
      <c r="CP3428" s="4"/>
    </row>
    <row r="3429" spans="94:94">
      <c r="CP3429" s="4"/>
    </row>
    <row r="3430" spans="94:94">
      <c r="CP3430" s="4"/>
    </row>
    <row r="3431" spans="94:94">
      <c r="CP3431" s="4"/>
    </row>
    <row r="3432" spans="94:94">
      <c r="CP3432" s="4"/>
    </row>
    <row r="3433" spans="94:94">
      <c r="CP3433" s="4"/>
    </row>
    <row r="3434" spans="94:94">
      <c r="CP3434" s="4"/>
    </row>
    <row r="3435" spans="94:94">
      <c r="CP3435" s="4"/>
    </row>
    <row r="3436" spans="94:94">
      <c r="CP3436" s="4"/>
    </row>
    <row r="3437" spans="94:94">
      <c r="CP3437" s="4"/>
    </row>
    <row r="3438" spans="94:94">
      <c r="CP3438" s="4"/>
    </row>
    <row r="3439" spans="94:94">
      <c r="CP3439" s="4"/>
    </row>
    <row r="3440" spans="94:94">
      <c r="CP3440" s="4"/>
    </row>
    <row r="3441" spans="94:94">
      <c r="CP3441" s="4"/>
    </row>
    <row r="3442" spans="94:94">
      <c r="CP3442" s="4"/>
    </row>
    <row r="3443" spans="94:94">
      <c r="CP3443" s="4"/>
    </row>
    <row r="3444" spans="94:94">
      <c r="CP3444" s="4"/>
    </row>
    <row r="3445" spans="94:94">
      <c r="CP3445" s="4"/>
    </row>
    <row r="3446" spans="94:94">
      <c r="CP3446" s="4"/>
    </row>
    <row r="3447" spans="94:94">
      <c r="CP3447" s="4"/>
    </row>
    <row r="3448" spans="94:94">
      <c r="CP3448" s="4"/>
    </row>
    <row r="3449" spans="94:94">
      <c r="CP3449" s="4"/>
    </row>
    <row r="3450" spans="94:94">
      <c r="CP3450" s="4"/>
    </row>
    <row r="3451" spans="94:94">
      <c r="CP3451" s="4"/>
    </row>
    <row r="3452" spans="94:94">
      <c r="CP3452" s="4"/>
    </row>
    <row r="3453" spans="94:94">
      <c r="CP3453" s="4"/>
    </row>
    <row r="3454" spans="94:94">
      <c r="CP3454" s="4"/>
    </row>
    <row r="3455" spans="94:94">
      <c r="CP3455" s="4"/>
    </row>
    <row r="3456" spans="94:94">
      <c r="CP3456" s="4"/>
    </row>
    <row r="3457" spans="94:94">
      <c r="CP3457" s="4"/>
    </row>
    <row r="3458" spans="94:94">
      <c r="CP3458" s="4"/>
    </row>
    <row r="3459" spans="94:94">
      <c r="CP3459" s="4"/>
    </row>
    <row r="3460" spans="94:94">
      <c r="CP3460" s="4"/>
    </row>
    <row r="3461" spans="94:94">
      <c r="CP3461" s="4"/>
    </row>
    <row r="3462" spans="94:94">
      <c r="CP3462" s="4"/>
    </row>
    <row r="3463" spans="94:94">
      <c r="CP3463" s="4"/>
    </row>
    <row r="3464" spans="94:94">
      <c r="CP3464" s="4"/>
    </row>
    <row r="3465" spans="94:94">
      <c r="CP3465" s="4"/>
    </row>
    <row r="3466" spans="94:94">
      <c r="CP3466" s="4"/>
    </row>
    <row r="3467" spans="94:94">
      <c r="CP3467" s="4"/>
    </row>
    <row r="3468" spans="94:94">
      <c r="CP3468" s="4"/>
    </row>
    <row r="3469" spans="94:94">
      <c r="CP3469" s="4"/>
    </row>
    <row r="3470" spans="94:94">
      <c r="CP3470" s="4"/>
    </row>
    <row r="3471" spans="94:94">
      <c r="CP3471" s="4"/>
    </row>
    <row r="3472" spans="94:94">
      <c r="CP3472" s="4"/>
    </row>
    <row r="3473" spans="94:94">
      <c r="CP3473" s="4"/>
    </row>
    <row r="3474" spans="94:94">
      <c r="CP3474" s="4"/>
    </row>
    <row r="3475" spans="94:94">
      <c r="CP3475" s="4"/>
    </row>
    <row r="3476" spans="94:94">
      <c r="CP3476" s="4"/>
    </row>
    <row r="3477" spans="94:94">
      <c r="CP3477" s="4"/>
    </row>
    <row r="3478" spans="94:94">
      <c r="CP3478" s="4"/>
    </row>
    <row r="3479" spans="94:94">
      <c r="CP3479" s="4"/>
    </row>
    <row r="3480" spans="94:94">
      <c r="CP3480" s="4"/>
    </row>
    <row r="3481" spans="94:94">
      <c r="CP3481" s="4"/>
    </row>
    <row r="3482" spans="94:94">
      <c r="CP3482" s="4"/>
    </row>
    <row r="3483" spans="94:94">
      <c r="CP3483" s="4"/>
    </row>
    <row r="3484" spans="94:94">
      <c r="CP3484" s="4"/>
    </row>
    <row r="3485" spans="94:94">
      <c r="CP3485" s="4"/>
    </row>
    <row r="3486" spans="94:94">
      <c r="CP3486" s="4"/>
    </row>
    <row r="3487" spans="94:94">
      <c r="CP3487" s="4"/>
    </row>
    <row r="3488" spans="94:94">
      <c r="CP3488" s="4"/>
    </row>
    <row r="3489" spans="94:94">
      <c r="CP3489" s="4"/>
    </row>
    <row r="3490" spans="94:94">
      <c r="CP3490" s="4"/>
    </row>
    <row r="3491" spans="94:94">
      <c r="CP3491" s="4"/>
    </row>
    <row r="3492" spans="94:94">
      <c r="CP3492" s="4"/>
    </row>
    <row r="3493" spans="94:94">
      <c r="CP3493" s="4"/>
    </row>
    <row r="3494" spans="94:94">
      <c r="CP3494" s="4"/>
    </row>
    <row r="3495" spans="94:94">
      <c r="CP3495" s="4"/>
    </row>
    <row r="3496" spans="94:94">
      <c r="CP3496" s="4"/>
    </row>
    <row r="3497" spans="94:94">
      <c r="CP3497" s="4"/>
    </row>
    <row r="3498" spans="94:94">
      <c r="CP3498" s="4"/>
    </row>
    <row r="3499" spans="94:94">
      <c r="CP3499" s="4"/>
    </row>
    <row r="3500" spans="94:94">
      <c r="CP3500" s="4"/>
    </row>
    <row r="3501" spans="94:94">
      <c r="CP3501" s="4"/>
    </row>
    <row r="3502" spans="94:94">
      <c r="CP3502" s="4"/>
    </row>
    <row r="3503" spans="94:94">
      <c r="CP3503" s="4"/>
    </row>
    <row r="3504" spans="94:94">
      <c r="CP3504" s="4"/>
    </row>
    <row r="3505" spans="94:94">
      <c r="CP3505" s="4"/>
    </row>
    <row r="3506" spans="94:94">
      <c r="CP3506" s="4"/>
    </row>
    <row r="3507" spans="94:94">
      <c r="CP3507" s="4"/>
    </row>
    <row r="3508" spans="94:94">
      <c r="CP3508" s="4"/>
    </row>
    <row r="3509" spans="94:94">
      <c r="CP3509" s="4"/>
    </row>
    <row r="3510" spans="94:94">
      <c r="CP3510" s="4"/>
    </row>
    <row r="3511" spans="94:94">
      <c r="CP3511" s="4"/>
    </row>
    <row r="3512" spans="94:94">
      <c r="CP3512" s="4"/>
    </row>
    <row r="3513" spans="94:94">
      <c r="CP3513" s="4"/>
    </row>
    <row r="3514" spans="94:94">
      <c r="CP3514" s="4"/>
    </row>
    <row r="3515" spans="94:94">
      <c r="CP3515" s="4"/>
    </row>
    <row r="3516" spans="94:94">
      <c r="CP3516" s="4"/>
    </row>
    <row r="3517" spans="94:94">
      <c r="CP3517" s="4"/>
    </row>
    <row r="3518" spans="94:94">
      <c r="CP3518" s="4"/>
    </row>
    <row r="3519" spans="94:94">
      <c r="CP3519" s="4"/>
    </row>
    <row r="3520" spans="94:94">
      <c r="CP3520" s="4"/>
    </row>
    <row r="3521" spans="94:94">
      <c r="CP3521" s="4"/>
    </row>
    <row r="3522" spans="94:94">
      <c r="CP3522" s="4"/>
    </row>
    <row r="3523" spans="94:94">
      <c r="CP3523" s="4"/>
    </row>
    <row r="3524" spans="94:94">
      <c r="CP3524" s="4"/>
    </row>
    <row r="3525" spans="94:94">
      <c r="CP3525" s="4"/>
    </row>
    <row r="3526" spans="94:94">
      <c r="CP3526" s="4"/>
    </row>
    <row r="3527" spans="94:94">
      <c r="CP3527" s="4"/>
    </row>
    <row r="3528" spans="94:94">
      <c r="CP3528" s="4"/>
    </row>
    <row r="3529" spans="94:94">
      <c r="CP3529" s="4"/>
    </row>
    <row r="3530" spans="94:94">
      <c r="CP3530" s="4"/>
    </row>
    <row r="3531" spans="94:94">
      <c r="CP3531" s="4"/>
    </row>
    <row r="3532" spans="94:94">
      <c r="CP3532" s="4"/>
    </row>
    <row r="3533" spans="94:94">
      <c r="CP3533" s="4"/>
    </row>
    <row r="3534" spans="94:94">
      <c r="CP3534" s="4"/>
    </row>
    <row r="3535" spans="94:94">
      <c r="CP3535" s="4"/>
    </row>
    <row r="3536" spans="94:94">
      <c r="CP3536" s="4"/>
    </row>
    <row r="3537" spans="94:94">
      <c r="CP3537" s="4"/>
    </row>
    <row r="3538" spans="94:94">
      <c r="CP3538" s="4"/>
    </row>
    <row r="3539" spans="94:94">
      <c r="CP3539" s="4"/>
    </row>
    <row r="3540" spans="94:94">
      <c r="CP3540" s="4"/>
    </row>
    <row r="3541" spans="94:94">
      <c r="CP3541" s="4"/>
    </row>
    <row r="3542" spans="94:94">
      <c r="CP3542" s="4"/>
    </row>
    <row r="3543" spans="94:94">
      <c r="CP3543" s="4"/>
    </row>
    <row r="3544" spans="94:94">
      <c r="CP3544" s="4"/>
    </row>
    <row r="3545" spans="94:94">
      <c r="CP3545" s="4"/>
    </row>
    <row r="3546" spans="94:94">
      <c r="CP3546" s="4"/>
    </row>
    <row r="3547" spans="94:94">
      <c r="CP3547" s="4"/>
    </row>
    <row r="3548" spans="94:94">
      <c r="CP3548" s="4"/>
    </row>
    <row r="3549" spans="94:94">
      <c r="CP3549" s="4"/>
    </row>
    <row r="3550" spans="94:94">
      <c r="CP3550" s="4"/>
    </row>
    <row r="3551" spans="94:94">
      <c r="CP3551" s="4"/>
    </row>
    <row r="3552" spans="94:94">
      <c r="CP3552" s="4"/>
    </row>
    <row r="3553" spans="94:94">
      <c r="CP3553" s="4"/>
    </row>
    <row r="3554" spans="94:94">
      <c r="CP3554" s="4"/>
    </row>
    <row r="3555" spans="94:94">
      <c r="CP3555" s="4"/>
    </row>
    <row r="3556" spans="94:94">
      <c r="CP3556" s="4"/>
    </row>
    <row r="3557" spans="94:94">
      <c r="CP3557" s="4"/>
    </row>
    <row r="3558" spans="94:94">
      <c r="CP3558" s="4"/>
    </row>
    <row r="3559" spans="94:94">
      <c r="CP3559" s="4"/>
    </row>
    <row r="3560" spans="94:94">
      <c r="CP3560" s="4"/>
    </row>
    <row r="3561" spans="94:94">
      <c r="CP3561" s="4"/>
    </row>
    <row r="3562" spans="94:94">
      <c r="CP3562" s="4"/>
    </row>
    <row r="3563" spans="94:94">
      <c r="CP3563" s="4"/>
    </row>
    <row r="3564" spans="94:94">
      <c r="CP3564" s="4"/>
    </row>
    <row r="3565" spans="94:94">
      <c r="CP3565" s="4"/>
    </row>
    <row r="3566" spans="94:94">
      <c r="CP3566" s="4"/>
    </row>
    <row r="3567" spans="94:94">
      <c r="CP3567" s="4"/>
    </row>
    <row r="3568" spans="94:94">
      <c r="CP3568" s="4"/>
    </row>
    <row r="3569" spans="94:94">
      <c r="CP3569" s="4"/>
    </row>
    <row r="3570" spans="94:94">
      <c r="CP3570" s="4"/>
    </row>
    <row r="3571" spans="94:94">
      <c r="CP3571" s="4"/>
    </row>
    <row r="3572" spans="94:94">
      <c r="CP3572" s="4"/>
    </row>
    <row r="3573" spans="94:94">
      <c r="CP3573" s="4"/>
    </row>
    <row r="3574" spans="94:94">
      <c r="CP3574" s="4"/>
    </row>
    <row r="3575" spans="94:94">
      <c r="CP3575" s="4"/>
    </row>
    <row r="3576" spans="94:94">
      <c r="CP3576" s="4"/>
    </row>
    <row r="3577" spans="94:94">
      <c r="CP3577" s="4"/>
    </row>
    <row r="3578" spans="94:94">
      <c r="CP3578" s="4"/>
    </row>
    <row r="3579" spans="94:94">
      <c r="CP3579" s="4"/>
    </row>
    <row r="3580" spans="94:94">
      <c r="CP3580" s="4"/>
    </row>
    <row r="3581" spans="94:94">
      <c r="CP3581" s="4"/>
    </row>
    <row r="3582" spans="94:94">
      <c r="CP3582" s="4"/>
    </row>
    <row r="3583" spans="94:94">
      <c r="CP3583" s="4"/>
    </row>
    <row r="3584" spans="94:94">
      <c r="CP3584" s="4"/>
    </row>
    <row r="3585" spans="94:94">
      <c r="CP3585" s="4"/>
    </row>
    <row r="3586" spans="94:94">
      <c r="CP3586" s="4"/>
    </row>
    <row r="3587" spans="94:94">
      <c r="CP3587" s="4"/>
    </row>
    <row r="3588" spans="94:94">
      <c r="CP3588" s="4"/>
    </row>
    <row r="3589" spans="94:94">
      <c r="CP3589" s="4"/>
    </row>
    <row r="3590" spans="94:94">
      <c r="CP3590" s="4"/>
    </row>
    <row r="3591" spans="94:94">
      <c r="CP3591" s="4"/>
    </row>
    <row r="3592" spans="94:94">
      <c r="CP3592" s="4"/>
    </row>
    <row r="3593" spans="94:94">
      <c r="CP3593" s="4"/>
    </row>
    <row r="3594" spans="94:94">
      <c r="CP3594" s="4"/>
    </row>
    <row r="3595" spans="94:94">
      <c r="CP3595" s="4"/>
    </row>
    <row r="3596" spans="94:94">
      <c r="CP3596" s="4"/>
    </row>
    <row r="3597" spans="94:94">
      <c r="CP3597" s="4"/>
    </row>
    <row r="3598" spans="94:94">
      <c r="CP3598" s="4"/>
    </row>
    <row r="3599" spans="94:94">
      <c r="CP3599" s="4"/>
    </row>
    <row r="3600" spans="94:94">
      <c r="CP3600" s="4"/>
    </row>
    <row r="3601" spans="94:94">
      <c r="CP3601" s="4"/>
    </row>
    <row r="3602" spans="94:94">
      <c r="CP3602" s="4"/>
    </row>
    <row r="3603" spans="94:94">
      <c r="CP3603" s="4"/>
    </row>
    <row r="3604" spans="94:94">
      <c r="CP3604" s="4"/>
    </row>
    <row r="3605" spans="94:94">
      <c r="CP3605" s="4"/>
    </row>
    <row r="3606" spans="94:94">
      <c r="CP3606" s="4"/>
    </row>
    <row r="3607" spans="94:94">
      <c r="CP3607" s="4"/>
    </row>
    <row r="3608" spans="94:94">
      <c r="CP3608" s="4"/>
    </row>
    <row r="3609" spans="94:94">
      <c r="CP3609" s="4"/>
    </row>
    <row r="3610" spans="94:94">
      <c r="CP3610" s="4"/>
    </row>
    <row r="3611" spans="94:94">
      <c r="CP3611" s="4"/>
    </row>
    <row r="3612" spans="94:94">
      <c r="CP3612" s="4"/>
    </row>
    <row r="3613" spans="94:94">
      <c r="CP3613" s="4"/>
    </row>
    <row r="3614" spans="94:94">
      <c r="CP3614" s="4"/>
    </row>
    <row r="3615" spans="94:94">
      <c r="CP3615" s="4"/>
    </row>
    <row r="3616" spans="94:94">
      <c r="CP3616" s="4"/>
    </row>
    <row r="3617" spans="94:94">
      <c r="CP3617" s="4"/>
    </row>
    <row r="3618" spans="94:94">
      <c r="CP3618" s="4"/>
    </row>
    <row r="3619" spans="94:94">
      <c r="CP3619" s="4"/>
    </row>
    <row r="3620" spans="94:94">
      <c r="CP3620" s="4"/>
    </row>
    <row r="3621" spans="94:94">
      <c r="CP3621" s="4"/>
    </row>
    <row r="3622" spans="94:94">
      <c r="CP3622" s="4"/>
    </row>
    <row r="3623" spans="94:94">
      <c r="CP3623" s="4"/>
    </row>
    <row r="3624" spans="94:94">
      <c r="CP3624" s="4"/>
    </row>
    <row r="3625" spans="94:94">
      <c r="CP3625" s="4"/>
    </row>
    <row r="3626" spans="94:94">
      <c r="CP3626" s="4"/>
    </row>
    <row r="3627" spans="94:94">
      <c r="CP3627" s="4"/>
    </row>
    <row r="3628" spans="94:94">
      <c r="CP3628" s="4"/>
    </row>
    <row r="3629" spans="94:94">
      <c r="CP3629" s="4"/>
    </row>
    <row r="3630" spans="94:94">
      <c r="CP3630" s="4"/>
    </row>
    <row r="3631" spans="94:94">
      <c r="CP3631" s="4"/>
    </row>
    <row r="3632" spans="94:94">
      <c r="CP3632" s="4"/>
    </row>
    <row r="3633" spans="94:94">
      <c r="CP3633" s="4"/>
    </row>
    <row r="3634" spans="94:94">
      <c r="CP3634" s="4"/>
    </row>
    <row r="3635" spans="94:94">
      <c r="CP3635" s="4"/>
    </row>
    <row r="3636" spans="94:94">
      <c r="CP3636" s="4"/>
    </row>
    <row r="3637" spans="94:94">
      <c r="CP3637" s="4"/>
    </row>
    <row r="3638" spans="94:94">
      <c r="CP3638" s="4"/>
    </row>
    <row r="3639" spans="94:94">
      <c r="CP3639" s="4"/>
    </row>
    <row r="3640" spans="94:94">
      <c r="CP3640" s="4"/>
    </row>
    <row r="3641" spans="94:94">
      <c r="CP3641" s="4"/>
    </row>
    <row r="3642" spans="94:94">
      <c r="CP3642" s="4"/>
    </row>
    <row r="3643" spans="94:94">
      <c r="CP3643" s="4"/>
    </row>
    <row r="3644" spans="94:94">
      <c r="CP3644" s="4"/>
    </row>
    <row r="3645" spans="94:94">
      <c r="CP3645" s="4"/>
    </row>
    <row r="3646" spans="94:94">
      <c r="CP3646" s="4"/>
    </row>
    <row r="3647" spans="94:94">
      <c r="CP3647" s="4"/>
    </row>
    <row r="3648" spans="94:94">
      <c r="CP3648" s="4"/>
    </row>
    <row r="3649" spans="94:94">
      <c r="CP3649" s="4"/>
    </row>
    <row r="3650" spans="94:94">
      <c r="CP3650" s="4"/>
    </row>
    <row r="3651" spans="94:94">
      <c r="CP3651" s="4"/>
    </row>
    <row r="3652" spans="94:94">
      <c r="CP3652" s="4"/>
    </row>
    <row r="3653" spans="94:94">
      <c r="CP3653" s="4"/>
    </row>
    <row r="3654" spans="94:94">
      <c r="CP3654" s="4"/>
    </row>
    <row r="3655" spans="94:94">
      <c r="CP3655" s="4"/>
    </row>
    <row r="3656" spans="94:94">
      <c r="CP3656" s="4"/>
    </row>
    <row r="3657" spans="94:94">
      <c r="CP3657" s="4"/>
    </row>
    <row r="3658" spans="94:94">
      <c r="CP3658" s="4"/>
    </row>
    <row r="3659" spans="94:94">
      <c r="CP3659" s="4"/>
    </row>
    <row r="3660" spans="94:94">
      <c r="CP3660" s="4"/>
    </row>
    <row r="3661" spans="94:94">
      <c r="CP3661" s="4"/>
    </row>
    <row r="3662" spans="94:94">
      <c r="CP3662" s="4"/>
    </row>
    <row r="3663" spans="94:94">
      <c r="CP3663" s="4"/>
    </row>
    <row r="3664" spans="94:94">
      <c r="CP3664" s="4"/>
    </row>
    <row r="3665" spans="94:94">
      <c r="CP3665" s="4"/>
    </row>
    <row r="3666" spans="94:94">
      <c r="CP3666" s="4"/>
    </row>
    <row r="3667" spans="94:94">
      <c r="CP3667" s="4"/>
    </row>
    <row r="3668" spans="94:94">
      <c r="CP3668" s="4"/>
    </row>
    <row r="3669" spans="94:94">
      <c r="CP3669" s="4"/>
    </row>
    <row r="3670" spans="94:94">
      <c r="CP3670" s="4"/>
    </row>
    <row r="3671" spans="94:94">
      <c r="CP3671" s="4"/>
    </row>
    <row r="3672" spans="94:94">
      <c r="CP3672" s="4"/>
    </row>
    <row r="3673" spans="94:94">
      <c r="CP3673" s="4"/>
    </row>
    <row r="3674" spans="94:94">
      <c r="CP3674" s="4"/>
    </row>
    <row r="3675" spans="94:94">
      <c r="CP3675" s="4"/>
    </row>
    <row r="3676" spans="94:94">
      <c r="CP3676" s="4"/>
    </row>
    <row r="3677" spans="94:94">
      <c r="CP3677" s="4"/>
    </row>
    <row r="3678" spans="94:94">
      <c r="CP3678" s="4"/>
    </row>
    <row r="3679" spans="94:94">
      <c r="CP3679" s="4"/>
    </row>
    <row r="3680" spans="94:94">
      <c r="CP3680" s="4"/>
    </row>
    <row r="3681" spans="94:94">
      <c r="CP3681" s="4"/>
    </row>
    <row r="3682" spans="94:94">
      <c r="CP3682" s="4"/>
    </row>
    <row r="3683" spans="94:94">
      <c r="CP3683" s="4"/>
    </row>
    <row r="3684" spans="94:94">
      <c r="CP3684" s="4"/>
    </row>
    <row r="3685" spans="94:94">
      <c r="CP3685" s="4"/>
    </row>
    <row r="3686" spans="94:94">
      <c r="CP3686" s="4"/>
    </row>
    <row r="3687" spans="94:94">
      <c r="CP3687" s="4"/>
    </row>
    <row r="3688" spans="94:94">
      <c r="CP3688" s="4"/>
    </row>
    <row r="3689" spans="94:94">
      <c r="CP3689" s="4"/>
    </row>
    <row r="3690" spans="94:94">
      <c r="CP3690" s="4"/>
    </row>
    <row r="3691" spans="94:94">
      <c r="CP3691" s="4"/>
    </row>
    <row r="3692" spans="94:94">
      <c r="CP3692" s="4"/>
    </row>
    <row r="3693" spans="94:94">
      <c r="CP3693" s="4"/>
    </row>
    <row r="3694" spans="94:94">
      <c r="CP3694" s="4"/>
    </row>
    <row r="3695" spans="94:94">
      <c r="CP3695" s="4"/>
    </row>
    <row r="3696" spans="94:94">
      <c r="CP3696" s="4"/>
    </row>
    <row r="3697" spans="94:94">
      <c r="CP3697" s="4"/>
    </row>
    <row r="3698" spans="94:94">
      <c r="CP3698" s="4"/>
    </row>
    <row r="3699" spans="94:94">
      <c r="CP3699" s="4"/>
    </row>
    <row r="3700" spans="94:94">
      <c r="CP3700" s="4"/>
    </row>
    <row r="3701" spans="94:94">
      <c r="CP3701" s="4"/>
    </row>
    <row r="3702" spans="94:94">
      <c r="CP3702" s="4"/>
    </row>
    <row r="3703" spans="94:94">
      <c r="CP3703" s="4"/>
    </row>
    <row r="3704" spans="94:94">
      <c r="CP3704" s="4"/>
    </row>
    <row r="3705" spans="94:94">
      <c r="CP3705" s="4"/>
    </row>
    <row r="3706" spans="94:94">
      <c r="CP3706" s="4"/>
    </row>
    <row r="3707" spans="94:94">
      <c r="CP3707" s="4"/>
    </row>
    <row r="3708" spans="94:94">
      <c r="CP3708" s="4"/>
    </row>
    <row r="3709" spans="94:94">
      <c r="CP3709" s="4"/>
    </row>
    <row r="3710" spans="94:94">
      <c r="CP3710" s="4"/>
    </row>
    <row r="3711" spans="94:94">
      <c r="CP3711" s="4"/>
    </row>
    <row r="3712" spans="94:94">
      <c r="CP3712" s="4"/>
    </row>
    <row r="3713" spans="94:94">
      <c r="CP3713" s="4"/>
    </row>
    <row r="3714" spans="94:94">
      <c r="CP3714" s="4"/>
    </row>
    <row r="3715" spans="94:94">
      <c r="CP3715" s="4"/>
    </row>
    <row r="3716" spans="94:94">
      <c r="CP3716" s="4"/>
    </row>
    <row r="3717" spans="94:94">
      <c r="CP3717" s="4"/>
    </row>
    <row r="3718" spans="94:94">
      <c r="CP3718" s="4"/>
    </row>
    <row r="3719" spans="94:94">
      <c r="CP3719" s="4"/>
    </row>
    <row r="3720" spans="94:94">
      <c r="CP3720" s="4"/>
    </row>
    <row r="3721" spans="94:94">
      <c r="CP3721" s="4"/>
    </row>
    <row r="3722" spans="94:94">
      <c r="CP3722" s="4"/>
    </row>
    <row r="3723" spans="94:94">
      <c r="CP3723" s="4"/>
    </row>
    <row r="3724" spans="94:94">
      <c r="CP3724" s="4"/>
    </row>
    <row r="3725" spans="94:94">
      <c r="CP3725" s="4"/>
    </row>
    <row r="3726" spans="94:94">
      <c r="CP3726" s="4"/>
    </row>
    <row r="3727" spans="94:94">
      <c r="CP3727" s="4"/>
    </row>
    <row r="3728" spans="94:94">
      <c r="CP3728" s="4"/>
    </row>
    <row r="3729" spans="94:94">
      <c r="CP3729" s="4"/>
    </row>
    <row r="3730" spans="94:94">
      <c r="CP3730" s="4"/>
    </row>
    <row r="3731" spans="94:94">
      <c r="CP3731" s="4"/>
    </row>
    <row r="3732" spans="94:94">
      <c r="CP3732" s="4"/>
    </row>
    <row r="3733" spans="94:94">
      <c r="CP3733" s="4"/>
    </row>
    <row r="3734" spans="94:94">
      <c r="CP3734" s="4"/>
    </row>
    <row r="3735" spans="94:94">
      <c r="CP3735" s="4"/>
    </row>
    <row r="3736" spans="94:94">
      <c r="CP3736" s="4"/>
    </row>
    <row r="3737" spans="94:94">
      <c r="CP3737" s="4"/>
    </row>
    <row r="3738" spans="94:94">
      <c r="CP3738" s="4"/>
    </row>
    <row r="3739" spans="94:94">
      <c r="CP3739" s="4"/>
    </row>
    <row r="3740" spans="94:94">
      <c r="CP3740" s="4"/>
    </row>
    <row r="3741" spans="94:94">
      <c r="CP3741" s="4"/>
    </row>
    <row r="3742" spans="94:94">
      <c r="CP3742" s="4"/>
    </row>
    <row r="3743" spans="94:94">
      <c r="CP3743" s="4"/>
    </row>
    <row r="3744" spans="94:94">
      <c r="CP3744" s="4"/>
    </row>
    <row r="3745" spans="94:94">
      <c r="CP3745" s="4"/>
    </row>
    <row r="3746" spans="94:94">
      <c r="CP3746" s="4"/>
    </row>
    <row r="3747" spans="94:94">
      <c r="CP3747" s="4"/>
    </row>
    <row r="3748" spans="94:94">
      <c r="CP3748" s="4"/>
    </row>
    <row r="3749" spans="94:94">
      <c r="CP3749" s="4"/>
    </row>
    <row r="3750" spans="94:94">
      <c r="CP3750" s="4"/>
    </row>
    <row r="3751" spans="94:94">
      <c r="CP3751" s="4"/>
    </row>
    <row r="3752" spans="94:94">
      <c r="CP3752" s="4"/>
    </row>
    <row r="3753" spans="94:94">
      <c r="CP3753" s="4"/>
    </row>
    <row r="3754" spans="94:94">
      <c r="CP3754" s="4"/>
    </row>
    <row r="3755" spans="94:94">
      <c r="CP3755" s="4"/>
    </row>
    <row r="3756" spans="94:94">
      <c r="CP3756" s="4"/>
    </row>
    <row r="3757" spans="94:94">
      <c r="CP3757" s="4"/>
    </row>
    <row r="3758" spans="94:94">
      <c r="CP3758" s="4"/>
    </row>
    <row r="3759" spans="94:94">
      <c r="CP3759" s="4"/>
    </row>
    <row r="3760" spans="94:94">
      <c r="CP3760" s="4"/>
    </row>
    <row r="3761" spans="94:94">
      <c r="CP3761" s="4"/>
    </row>
    <row r="3762" spans="94:94">
      <c r="CP3762" s="4"/>
    </row>
    <row r="3763" spans="94:94">
      <c r="CP3763" s="4"/>
    </row>
    <row r="3764" spans="94:94">
      <c r="CP3764" s="4"/>
    </row>
    <row r="3765" spans="94:94">
      <c r="CP3765" s="4"/>
    </row>
    <row r="3766" spans="94:94">
      <c r="CP3766" s="4"/>
    </row>
    <row r="3767" spans="94:94">
      <c r="CP3767" s="4"/>
    </row>
    <row r="3768" spans="94:94">
      <c r="CP3768" s="4"/>
    </row>
    <row r="3769" spans="94:94">
      <c r="CP3769" s="4"/>
    </row>
    <row r="3770" spans="94:94">
      <c r="CP3770" s="4"/>
    </row>
    <row r="3771" spans="94:94">
      <c r="CP3771" s="4"/>
    </row>
    <row r="3772" spans="94:94">
      <c r="CP3772" s="4"/>
    </row>
    <row r="3773" spans="94:94">
      <c r="CP3773" s="4"/>
    </row>
    <row r="3774" spans="94:94">
      <c r="CP3774" s="4"/>
    </row>
    <row r="3775" spans="94:94">
      <c r="CP3775" s="4"/>
    </row>
    <row r="3776" spans="94:94">
      <c r="CP3776" s="4"/>
    </row>
    <row r="3777" spans="94:94">
      <c r="CP3777" s="4"/>
    </row>
    <row r="3778" spans="94:94">
      <c r="CP3778" s="4"/>
    </row>
    <row r="3779" spans="94:94">
      <c r="CP3779" s="4"/>
    </row>
    <row r="3780" spans="94:94">
      <c r="CP3780" s="4"/>
    </row>
    <row r="3781" spans="94:94">
      <c r="CP3781" s="4"/>
    </row>
    <row r="3782" spans="94:94">
      <c r="CP3782" s="4"/>
    </row>
    <row r="3783" spans="94:94">
      <c r="CP3783" s="4"/>
    </row>
    <row r="3784" spans="94:94">
      <c r="CP3784" s="4"/>
    </row>
    <row r="3785" spans="94:94">
      <c r="CP3785" s="4"/>
    </row>
    <row r="3786" spans="94:94">
      <c r="CP3786" s="4"/>
    </row>
    <row r="3787" spans="94:94">
      <c r="CP3787" s="4"/>
    </row>
    <row r="3788" spans="94:94">
      <c r="CP3788" s="4"/>
    </row>
    <row r="3789" spans="94:94">
      <c r="CP3789" s="4"/>
    </row>
    <row r="3790" spans="94:94">
      <c r="CP3790" s="4"/>
    </row>
    <row r="3791" spans="94:94">
      <c r="CP3791" s="4"/>
    </row>
    <row r="3792" spans="94:94">
      <c r="CP3792" s="4"/>
    </row>
    <row r="3793" spans="94:94">
      <c r="CP3793" s="4"/>
    </row>
    <row r="3794" spans="94:94">
      <c r="CP3794" s="4"/>
    </row>
    <row r="3795" spans="94:94">
      <c r="CP3795" s="4"/>
    </row>
    <row r="3796" spans="94:94">
      <c r="CP3796" s="4"/>
    </row>
    <row r="3797" spans="94:94">
      <c r="CP3797" s="4"/>
    </row>
    <row r="3798" spans="94:94">
      <c r="CP3798" s="4"/>
    </row>
    <row r="3799" spans="94:94">
      <c r="CP3799" s="4"/>
    </row>
    <row r="3800" spans="94:94">
      <c r="CP3800" s="4"/>
    </row>
    <row r="3801" spans="94:94">
      <c r="CP3801" s="4"/>
    </row>
    <row r="3802" spans="94:94">
      <c r="CP3802" s="4"/>
    </row>
    <row r="3803" spans="94:94">
      <c r="CP3803" s="4"/>
    </row>
    <row r="3804" spans="94:94">
      <c r="CP3804" s="4"/>
    </row>
    <row r="3805" spans="94:94">
      <c r="CP3805" s="4"/>
    </row>
    <row r="3806" spans="94:94">
      <c r="CP3806" s="4"/>
    </row>
    <row r="3807" spans="94:94">
      <c r="CP3807" s="4"/>
    </row>
    <row r="3808" spans="94:94">
      <c r="CP3808" s="4"/>
    </row>
    <row r="3809" spans="94:94">
      <c r="CP3809" s="4"/>
    </row>
    <row r="3810" spans="94:94">
      <c r="CP3810" s="4"/>
    </row>
    <row r="3811" spans="94:94">
      <c r="CP3811" s="4"/>
    </row>
    <row r="3812" spans="94:94">
      <c r="CP3812" s="4"/>
    </row>
    <row r="3813" spans="94:94">
      <c r="CP3813" s="4"/>
    </row>
    <row r="3814" spans="94:94">
      <c r="CP3814" s="4"/>
    </row>
    <row r="3815" spans="94:94">
      <c r="CP3815" s="4"/>
    </row>
    <row r="3816" spans="94:94">
      <c r="CP3816" s="4"/>
    </row>
    <row r="3817" spans="94:94">
      <c r="CP3817" s="4"/>
    </row>
    <row r="3818" spans="94:94">
      <c r="CP3818" s="4"/>
    </row>
    <row r="3819" spans="94:94">
      <c r="CP3819" s="4"/>
    </row>
    <row r="3820" spans="94:94">
      <c r="CP3820" s="4"/>
    </row>
    <row r="3821" spans="94:94">
      <c r="CP3821" s="4"/>
    </row>
    <row r="3822" spans="94:94">
      <c r="CP3822" s="4"/>
    </row>
    <row r="3823" spans="94:94">
      <c r="CP3823" s="4"/>
    </row>
    <row r="3824" spans="94:94">
      <c r="CP3824" s="4"/>
    </row>
    <row r="3825" spans="94:94">
      <c r="CP3825" s="4"/>
    </row>
    <row r="3826" spans="94:94">
      <c r="CP3826" s="4"/>
    </row>
    <row r="3827" spans="94:94">
      <c r="CP3827" s="4"/>
    </row>
    <row r="3828" spans="94:94">
      <c r="CP3828" s="4"/>
    </row>
    <row r="3829" spans="94:94">
      <c r="CP3829" s="4"/>
    </row>
    <row r="3830" spans="94:94">
      <c r="CP3830" s="4"/>
    </row>
    <row r="3831" spans="94:94">
      <c r="CP3831" s="4"/>
    </row>
    <row r="3832" spans="94:94">
      <c r="CP3832" s="4"/>
    </row>
    <row r="3833" spans="94:94">
      <c r="CP3833" s="4"/>
    </row>
    <row r="3834" spans="94:94">
      <c r="CP3834" s="4"/>
    </row>
    <row r="3835" spans="94:94">
      <c r="CP3835" s="4"/>
    </row>
    <row r="3836" spans="94:94">
      <c r="CP3836" s="4"/>
    </row>
    <row r="3837" spans="94:94">
      <c r="CP3837" s="4"/>
    </row>
    <row r="3838" spans="94:94">
      <c r="CP3838" s="4"/>
    </row>
    <row r="3839" spans="94:94">
      <c r="CP3839" s="4"/>
    </row>
    <row r="3840" spans="94:94">
      <c r="CP3840" s="4"/>
    </row>
    <row r="3841" spans="94:94">
      <c r="CP3841" s="4"/>
    </row>
    <row r="3842" spans="94:94">
      <c r="CP3842" s="4"/>
    </row>
    <row r="3843" spans="94:94">
      <c r="CP3843" s="4"/>
    </row>
    <row r="3844" spans="94:94">
      <c r="CP3844" s="4"/>
    </row>
    <row r="3845" spans="94:94">
      <c r="CP3845" s="4"/>
    </row>
    <row r="3846" spans="94:94">
      <c r="CP3846" s="4"/>
    </row>
    <row r="3847" spans="94:94">
      <c r="CP3847" s="4"/>
    </row>
    <row r="3848" spans="94:94">
      <c r="CP3848" s="4"/>
    </row>
    <row r="3849" spans="94:94">
      <c r="CP3849" s="4"/>
    </row>
    <row r="3850" spans="94:94">
      <c r="CP3850" s="4"/>
    </row>
    <row r="3851" spans="94:94">
      <c r="CP3851" s="4"/>
    </row>
    <row r="3852" spans="94:94">
      <c r="CP3852" s="4"/>
    </row>
    <row r="3853" spans="94:94">
      <c r="CP3853" s="4"/>
    </row>
    <row r="3854" spans="94:94">
      <c r="CP3854" s="4"/>
    </row>
    <row r="3855" spans="94:94">
      <c r="CP3855" s="4"/>
    </row>
    <row r="3856" spans="94:94">
      <c r="CP3856" s="4"/>
    </row>
    <row r="3857" spans="94:94">
      <c r="CP3857" s="4"/>
    </row>
    <row r="3858" spans="94:94">
      <c r="CP3858" s="4"/>
    </row>
    <row r="3859" spans="94:94">
      <c r="CP3859" s="4"/>
    </row>
    <row r="3860" spans="94:94">
      <c r="CP3860" s="4"/>
    </row>
    <row r="3861" spans="94:94">
      <c r="CP3861" s="4"/>
    </row>
    <row r="3862" spans="94:94">
      <c r="CP3862" s="4"/>
    </row>
    <row r="3863" spans="94:94">
      <c r="CP3863" s="4"/>
    </row>
    <row r="3864" spans="94:94">
      <c r="CP3864" s="4"/>
    </row>
    <row r="3865" spans="94:94">
      <c r="CP3865" s="4"/>
    </row>
    <row r="3866" spans="94:94">
      <c r="CP3866" s="4"/>
    </row>
    <row r="3867" spans="94:94">
      <c r="CP3867" s="4"/>
    </row>
    <row r="3868" spans="94:94">
      <c r="CP3868" s="4"/>
    </row>
    <row r="3869" spans="94:94">
      <c r="CP3869" s="4"/>
    </row>
    <row r="3870" spans="94:94">
      <c r="CP3870" s="4"/>
    </row>
    <row r="3871" spans="94:94">
      <c r="CP3871" s="4"/>
    </row>
    <row r="3872" spans="94:94">
      <c r="CP3872" s="4"/>
    </row>
    <row r="3873" spans="94:94">
      <c r="CP3873" s="4"/>
    </row>
    <row r="3874" spans="94:94">
      <c r="CP3874" s="4"/>
    </row>
    <row r="3875" spans="94:94">
      <c r="CP3875" s="4"/>
    </row>
    <row r="3876" spans="94:94">
      <c r="CP3876" s="4"/>
    </row>
    <row r="3877" spans="94:94">
      <c r="CP3877" s="4"/>
    </row>
    <row r="3878" spans="94:94">
      <c r="CP3878" s="4"/>
    </row>
    <row r="3879" spans="94:94">
      <c r="CP3879" s="4"/>
    </row>
    <row r="3880" spans="94:94">
      <c r="CP3880" s="4"/>
    </row>
    <row r="3881" spans="94:94">
      <c r="CP3881" s="4"/>
    </row>
    <row r="3882" spans="94:94">
      <c r="CP3882" s="4"/>
    </row>
    <row r="3883" spans="94:94">
      <c r="CP3883" s="4"/>
    </row>
    <row r="3884" spans="94:94">
      <c r="CP3884" s="4"/>
    </row>
    <row r="3885" spans="94:94">
      <c r="CP3885" s="4"/>
    </row>
    <row r="3886" spans="94:94">
      <c r="CP3886" s="4"/>
    </row>
    <row r="3887" spans="94:94">
      <c r="CP3887" s="4"/>
    </row>
    <row r="3888" spans="94:94">
      <c r="CP3888" s="4"/>
    </row>
    <row r="3889" spans="94:94">
      <c r="CP3889" s="4"/>
    </row>
    <row r="3890" spans="94:94">
      <c r="CP3890" s="4"/>
    </row>
    <row r="3891" spans="94:94">
      <c r="CP3891" s="4"/>
    </row>
    <row r="3892" spans="94:94">
      <c r="CP3892" s="4"/>
    </row>
    <row r="3893" spans="94:94">
      <c r="CP3893" s="4"/>
    </row>
    <row r="3894" spans="94:94">
      <c r="CP3894" s="4"/>
    </row>
    <row r="3895" spans="94:94">
      <c r="CP3895" s="4"/>
    </row>
    <row r="3896" spans="94:94">
      <c r="CP3896" s="4"/>
    </row>
    <row r="3897" spans="94:94">
      <c r="CP3897" s="4"/>
    </row>
    <row r="3898" spans="94:94">
      <c r="CP3898" s="4"/>
    </row>
    <row r="3899" spans="94:94">
      <c r="CP3899" s="4"/>
    </row>
    <row r="3900" spans="94:94">
      <c r="CP3900" s="4"/>
    </row>
    <row r="3901" spans="94:94">
      <c r="CP3901" s="4"/>
    </row>
    <row r="3902" spans="94:94">
      <c r="CP3902" s="4"/>
    </row>
    <row r="3903" spans="94:94">
      <c r="CP3903" s="4"/>
    </row>
    <row r="3904" spans="94:94">
      <c r="CP3904" s="4"/>
    </row>
    <row r="3905" spans="94:94">
      <c r="CP3905" s="4"/>
    </row>
    <row r="3906" spans="94:94">
      <c r="CP3906" s="4"/>
    </row>
    <row r="3907" spans="94:94">
      <c r="CP3907" s="4"/>
    </row>
    <row r="3908" spans="94:94">
      <c r="CP3908" s="4"/>
    </row>
    <row r="3909" spans="94:94">
      <c r="CP3909" s="4"/>
    </row>
    <row r="3910" spans="94:94">
      <c r="CP3910" s="4"/>
    </row>
    <row r="3911" spans="94:94">
      <c r="CP3911" s="4"/>
    </row>
    <row r="3912" spans="94:94">
      <c r="CP3912" s="4"/>
    </row>
    <row r="3913" spans="94:94">
      <c r="CP3913" s="4"/>
    </row>
    <row r="3914" spans="94:94">
      <c r="CP3914" s="4"/>
    </row>
    <row r="3915" spans="94:94">
      <c r="CP3915" s="4"/>
    </row>
    <row r="3916" spans="94:94">
      <c r="CP3916" s="4"/>
    </row>
    <row r="3917" spans="94:94">
      <c r="CP3917" s="4"/>
    </row>
    <row r="3918" spans="94:94">
      <c r="CP3918" s="4"/>
    </row>
    <row r="3919" spans="94:94">
      <c r="CP3919" s="4"/>
    </row>
    <row r="3920" spans="94:94">
      <c r="CP3920" s="4"/>
    </row>
    <row r="3921" spans="94:94">
      <c r="CP3921" s="4"/>
    </row>
    <row r="3922" spans="94:94">
      <c r="CP3922" s="4"/>
    </row>
    <row r="3923" spans="94:94">
      <c r="CP3923" s="4"/>
    </row>
    <row r="3924" spans="94:94">
      <c r="CP3924" s="4"/>
    </row>
    <row r="3925" spans="94:94">
      <c r="CP3925" s="4"/>
    </row>
    <row r="3926" spans="94:94">
      <c r="CP3926" s="4"/>
    </row>
    <row r="3927" spans="94:94">
      <c r="CP3927" s="4"/>
    </row>
    <row r="3928" spans="94:94">
      <c r="CP3928" s="4"/>
    </row>
    <row r="3929" spans="94:94">
      <c r="CP3929" s="4"/>
    </row>
    <row r="3930" spans="94:94">
      <c r="CP3930" s="4"/>
    </row>
    <row r="3931" spans="94:94">
      <c r="CP3931" s="4"/>
    </row>
    <row r="3932" spans="94:94">
      <c r="CP3932" s="4"/>
    </row>
    <row r="3933" spans="94:94">
      <c r="CP3933" s="4"/>
    </row>
    <row r="3934" spans="94:94">
      <c r="CP3934" s="4"/>
    </row>
    <row r="3935" spans="94:94">
      <c r="CP3935" s="4"/>
    </row>
    <row r="3936" spans="94:94">
      <c r="CP3936" s="4"/>
    </row>
    <row r="3937" spans="94:94">
      <c r="CP3937" s="4"/>
    </row>
    <row r="3938" spans="94:94">
      <c r="CP3938" s="4"/>
    </row>
    <row r="3939" spans="94:94">
      <c r="CP3939" s="4"/>
    </row>
    <row r="3940" spans="94:94">
      <c r="CP3940" s="4"/>
    </row>
    <row r="3941" spans="94:94">
      <c r="CP3941" s="4"/>
    </row>
    <row r="3942" spans="94:94">
      <c r="CP3942" s="4"/>
    </row>
    <row r="3943" spans="94:94">
      <c r="CP3943" s="4"/>
    </row>
    <row r="3944" spans="94:94">
      <c r="CP3944" s="4"/>
    </row>
    <row r="3945" spans="94:94">
      <c r="CP3945" s="4"/>
    </row>
    <row r="3946" spans="94:94">
      <c r="CP3946" s="4"/>
    </row>
    <row r="3947" spans="94:94">
      <c r="CP3947" s="4"/>
    </row>
    <row r="3948" spans="94:94">
      <c r="CP3948" s="4"/>
    </row>
    <row r="3949" spans="94:94">
      <c r="CP3949" s="4"/>
    </row>
    <row r="3950" spans="94:94">
      <c r="CP3950" s="4"/>
    </row>
    <row r="3951" spans="94:94">
      <c r="CP3951" s="4"/>
    </row>
    <row r="3952" spans="94:94">
      <c r="CP3952" s="4"/>
    </row>
    <row r="3953" spans="94:94">
      <c r="CP3953" s="4"/>
    </row>
    <row r="3954" spans="94:94">
      <c r="CP3954" s="4"/>
    </row>
    <row r="3955" spans="94:94">
      <c r="CP3955" s="4"/>
    </row>
    <row r="3956" spans="94:94">
      <c r="CP3956" s="4"/>
    </row>
    <row r="3957" spans="94:94">
      <c r="CP3957" s="4"/>
    </row>
    <row r="3958" spans="94:94">
      <c r="CP3958" s="4"/>
    </row>
    <row r="3959" spans="94:94">
      <c r="CP3959" s="4"/>
    </row>
    <row r="3960" spans="94:94">
      <c r="CP3960" s="4"/>
    </row>
    <row r="3961" spans="94:94">
      <c r="CP3961" s="4"/>
    </row>
    <row r="3962" spans="94:94">
      <c r="CP3962" s="4"/>
    </row>
    <row r="3963" spans="94:94">
      <c r="CP3963" s="4"/>
    </row>
    <row r="3964" spans="94:94">
      <c r="CP3964" s="4"/>
    </row>
    <row r="3965" spans="94:94">
      <c r="CP3965" s="4"/>
    </row>
    <row r="3966" spans="94:94">
      <c r="CP3966" s="4"/>
    </row>
    <row r="3967" spans="94:94">
      <c r="CP3967" s="4"/>
    </row>
    <row r="3968" spans="94:94">
      <c r="CP3968" s="4"/>
    </row>
    <row r="3969" spans="94:94">
      <c r="CP3969" s="4"/>
    </row>
    <row r="3970" spans="94:94">
      <c r="CP3970" s="4"/>
    </row>
    <row r="3971" spans="94:94">
      <c r="CP3971" s="4"/>
    </row>
    <row r="3972" spans="94:94">
      <c r="CP3972" s="4"/>
    </row>
    <row r="3973" spans="94:94">
      <c r="CP3973" s="4"/>
    </row>
    <row r="3974" spans="94:94">
      <c r="CP3974" s="4"/>
    </row>
    <row r="3975" spans="94:94">
      <c r="CP3975" s="4"/>
    </row>
    <row r="3976" spans="94:94">
      <c r="CP3976" s="4"/>
    </row>
    <row r="3977" spans="94:94">
      <c r="CP3977" s="4"/>
    </row>
    <row r="3978" spans="94:94">
      <c r="CP3978" s="4"/>
    </row>
    <row r="3979" spans="94:94">
      <c r="CP3979" s="4"/>
    </row>
    <row r="3980" spans="94:94">
      <c r="CP3980" s="4"/>
    </row>
    <row r="3981" spans="94:94">
      <c r="CP3981" s="4"/>
    </row>
    <row r="3982" spans="94:94">
      <c r="CP3982" s="4"/>
    </row>
    <row r="3983" spans="94:94">
      <c r="CP3983" s="4"/>
    </row>
    <row r="3984" spans="94:94">
      <c r="CP3984" s="4"/>
    </row>
    <row r="3985" spans="94:94">
      <c r="CP3985" s="4"/>
    </row>
    <row r="3986" spans="94:94">
      <c r="CP3986" s="4"/>
    </row>
    <row r="3987" spans="94:94">
      <c r="CP3987" s="4"/>
    </row>
    <row r="3988" spans="94:94">
      <c r="CP3988" s="4"/>
    </row>
    <row r="3989" spans="94:94">
      <c r="CP3989" s="4"/>
    </row>
    <row r="3990" spans="94:94">
      <c r="CP3990" s="4"/>
    </row>
    <row r="3991" spans="94:94">
      <c r="CP3991" s="4"/>
    </row>
    <row r="3992" spans="94:94">
      <c r="CP3992" s="4"/>
    </row>
    <row r="3993" spans="94:94">
      <c r="CP3993" s="4"/>
    </row>
    <row r="3994" spans="94:94">
      <c r="CP3994" s="4"/>
    </row>
    <row r="3995" spans="94:94">
      <c r="CP3995" s="4"/>
    </row>
    <row r="3996" spans="94:94">
      <c r="CP3996" s="4"/>
    </row>
    <row r="3997" spans="94:94">
      <c r="CP3997" s="4"/>
    </row>
    <row r="3998" spans="94:94">
      <c r="CP3998" s="4"/>
    </row>
    <row r="3999" spans="94:94">
      <c r="CP3999" s="4"/>
    </row>
    <row r="4000" spans="94:94">
      <c r="CP4000" s="4"/>
    </row>
    <row r="4001" spans="94:94">
      <c r="CP4001" s="4"/>
    </row>
    <row r="4002" spans="94:94">
      <c r="CP4002" s="4"/>
    </row>
    <row r="4003" spans="94:94">
      <c r="CP4003" s="4"/>
    </row>
    <row r="4004" spans="94:94">
      <c r="CP4004" s="4"/>
    </row>
    <row r="4005" spans="94:94">
      <c r="CP4005" s="4"/>
    </row>
    <row r="4006" spans="94:94">
      <c r="CP4006" s="4"/>
    </row>
    <row r="4007" spans="94:94">
      <c r="CP4007" s="4"/>
    </row>
    <row r="4008" spans="94:94">
      <c r="CP4008" s="4"/>
    </row>
    <row r="4009" spans="94:94">
      <c r="CP4009" s="4"/>
    </row>
    <row r="4010" spans="94:94">
      <c r="CP4010" s="4"/>
    </row>
    <row r="4011" spans="94:94">
      <c r="CP4011" s="4"/>
    </row>
    <row r="4012" spans="94:94">
      <c r="CP4012" s="4"/>
    </row>
    <row r="4013" spans="94:94">
      <c r="CP4013" s="4"/>
    </row>
    <row r="4014" spans="94:94">
      <c r="CP4014" s="4"/>
    </row>
    <row r="4015" spans="94:94">
      <c r="CP4015" s="4"/>
    </row>
    <row r="4016" spans="94:94">
      <c r="CP4016" s="4"/>
    </row>
    <row r="4017" spans="94:94">
      <c r="CP4017" s="4"/>
    </row>
    <row r="4018" spans="94:94">
      <c r="CP4018" s="4"/>
    </row>
    <row r="4019" spans="94:94">
      <c r="CP4019" s="4"/>
    </row>
    <row r="4020" spans="94:94">
      <c r="CP4020" s="4"/>
    </row>
    <row r="4021" spans="94:94">
      <c r="CP4021" s="4"/>
    </row>
    <row r="4022" spans="94:94">
      <c r="CP4022" s="4"/>
    </row>
    <row r="4023" spans="94:94">
      <c r="CP4023" s="4"/>
    </row>
    <row r="4024" spans="94:94">
      <c r="CP4024" s="4"/>
    </row>
    <row r="4025" spans="94:94">
      <c r="CP4025" s="4"/>
    </row>
    <row r="4026" spans="94:94">
      <c r="CP4026" s="4"/>
    </row>
    <row r="4027" spans="94:94">
      <c r="CP4027" s="4"/>
    </row>
    <row r="4028" spans="94:94">
      <c r="CP4028" s="4"/>
    </row>
    <row r="4029" spans="94:94">
      <c r="CP4029" s="4"/>
    </row>
    <row r="4030" spans="94:94">
      <c r="CP4030" s="4"/>
    </row>
    <row r="4031" spans="94:94">
      <c r="CP4031" s="4"/>
    </row>
    <row r="4032" spans="94:94">
      <c r="CP4032" s="4"/>
    </row>
    <row r="4033" spans="94:94">
      <c r="CP4033" s="4"/>
    </row>
    <row r="4034" spans="94:94">
      <c r="CP4034" s="4"/>
    </row>
    <row r="4035" spans="94:94">
      <c r="CP4035" s="4"/>
    </row>
    <row r="4036" spans="94:94">
      <c r="CP4036" s="4"/>
    </row>
    <row r="4037" spans="94:94">
      <c r="CP4037" s="4"/>
    </row>
    <row r="4038" spans="94:94">
      <c r="CP4038" s="4"/>
    </row>
    <row r="4039" spans="94:94">
      <c r="CP4039" s="4"/>
    </row>
    <row r="4040" spans="94:94">
      <c r="CP4040" s="4"/>
    </row>
    <row r="4041" spans="94:94">
      <c r="CP4041" s="4"/>
    </row>
    <row r="4042" spans="94:94">
      <c r="CP4042" s="4"/>
    </row>
    <row r="4043" spans="94:94">
      <c r="CP4043" s="4"/>
    </row>
    <row r="4044" spans="94:94">
      <c r="CP4044" s="4"/>
    </row>
    <row r="4045" spans="94:94">
      <c r="CP4045" s="4"/>
    </row>
    <row r="4046" spans="94:94">
      <c r="CP4046" s="4"/>
    </row>
    <row r="4047" spans="94:94">
      <c r="CP4047" s="4"/>
    </row>
    <row r="4048" spans="94:94">
      <c r="CP4048" s="4"/>
    </row>
    <row r="4049" spans="94:94">
      <c r="CP4049" s="4"/>
    </row>
    <row r="4050" spans="94:94">
      <c r="CP4050" s="4"/>
    </row>
    <row r="4051" spans="94:94">
      <c r="CP4051" s="4"/>
    </row>
    <row r="4052" spans="94:94">
      <c r="CP4052" s="4"/>
    </row>
    <row r="4053" spans="94:94">
      <c r="CP4053" s="4"/>
    </row>
    <row r="4054" spans="94:94">
      <c r="CP4054" s="4"/>
    </row>
    <row r="4055" spans="94:94">
      <c r="CP4055" s="4"/>
    </row>
    <row r="4056" spans="94:94">
      <c r="CP4056" s="4"/>
    </row>
    <row r="4057" spans="94:94">
      <c r="CP4057" s="4"/>
    </row>
    <row r="4058" spans="94:94">
      <c r="CP4058" s="4"/>
    </row>
    <row r="4059" spans="94:94">
      <c r="CP4059" s="4"/>
    </row>
    <row r="4060" spans="94:94">
      <c r="CP4060" s="4"/>
    </row>
    <row r="4061" spans="94:94">
      <c r="CP4061" s="4"/>
    </row>
    <row r="4062" spans="94:94">
      <c r="CP4062" s="4"/>
    </row>
    <row r="4063" spans="94:94">
      <c r="CP4063" s="4"/>
    </row>
    <row r="4064" spans="94:94">
      <c r="CP4064" s="4"/>
    </row>
    <row r="4065" spans="94:94">
      <c r="CP4065" s="4"/>
    </row>
    <row r="4066" spans="94:94">
      <c r="CP4066" s="4"/>
    </row>
    <row r="4067" spans="94:94">
      <c r="CP4067" s="4"/>
    </row>
    <row r="4068" spans="94:94">
      <c r="CP4068" s="4"/>
    </row>
    <row r="4069" spans="94:94">
      <c r="CP4069" s="4"/>
    </row>
    <row r="4070" spans="94:94">
      <c r="CP4070" s="4"/>
    </row>
    <row r="4071" spans="94:94">
      <c r="CP4071" s="4"/>
    </row>
    <row r="4072" spans="94:94">
      <c r="CP4072" s="4"/>
    </row>
    <row r="4073" spans="94:94">
      <c r="CP4073" s="4"/>
    </row>
    <row r="4074" spans="94:94">
      <c r="CP4074" s="4"/>
    </row>
    <row r="4075" spans="94:94">
      <c r="CP4075" s="4"/>
    </row>
    <row r="4076" spans="94:94">
      <c r="CP4076" s="4"/>
    </row>
    <row r="4077" spans="94:94">
      <c r="CP4077" s="4"/>
    </row>
    <row r="4078" spans="94:94">
      <c r="CP4078" s="4"/>
    </row>
    <row r="4079" spans="94:94">
      <c r="CP4079" s="4"/>
    </row>
    <row r="4080" spans="94:94">
      <c r="CP4080" s="4"/>
    </row>
    <row r="4081" spans="94:94">
      <c r="CP4081" s="4"/>
    </row>
    <row r="4082" spans="94:94">
      <c r="CP4082" s="4"/>
    </row>
    <row r="4083" spans="94:94">
      <c r="CP4083" s="4"/>
    </row>
    <row r="4084" spans="94:94">
      <c r="CP4084" s="4"/>
    </row>
    <row r="4085" spans="94:94">
      <c r="CP4085" s="4"/>
    </row>
    <row r="4086" spans="94:94">
      <c r="CP4086" s="4"/>
    </row>
    <row r="4087" spans="94:94">
      <c r="CP4087" s="4"/>
    </row>
    <row r="4088" spans="94:94">
      <c r="CP4088" s="4"/>
    </row>
    <row r="4089" spans="94:94">
      <c r="CP4089" s="4"/>
    </row>
    <row r="4090" spans="94:94">
      <c r="CP4090" s="4"/>
    </row>
    <row r="4091" spans="94:94">
      <c r="CP4091" s="4"/>
    </row>
    <row r="4092" spans="94:94">
      <c r="CP4092" s="4"/>
    </row>
    <row r="4093" spans="94:94">
      <c r="CP4093" s="4"/>
    </row>
    <row r="4094" spans="94:94">
      <c r="CP4094" s="4"/>
    </row>
    <row r="4095" spans="94:94">
      <c r="CP4095" s="4"/>
    </row>
    <row r="4096" spans="94:94">
      <c r="CP4096" s="4"/>
    </row>
    <row r="4097" spans="94:94">
      <c r="CP4097" s="4"/>
    </row>
    <row r="4098" spans="94:94">
      <c r="CP4098" s="4"/>
    </row>
    <row r="4099" spans="94:94">
      <c r="CP4099" s="4"/>
    </row>
    <row r="4100" spans="94:94">
      <c r="CP4100" s="4"/>
    </row>
    <row r="4101" spans="94:94">
      <c r="CP4101" s="4"/>
    </row>
    <row r="4102" spans="94:94">
      <c r="CP4102" s="4"/>
    </row>
    <row r="4103" spans="94:94">
      <c r="CP4103" s="4"/>
    </row>
    <row r="4104" spans="94:94">
      <c r="CP4104" s="4"/>
    </row>
    <row r="4105" spans="94:94">
      <c r="CP4105" s="4"/>
    </row>
    <row r="4106" spans="94:94">
      <c r="CP4106" s="4"/>
    </row>
    <row r="4107" spans="94:94">
      <c r="CP4107" s="4"/>
    </row>
    <row r="4108" spans="94:94">
      <c r="CP4108" s="4"/>
    </row>
    <row r="4109" spans="94:94">
      <c r="CP4109" s="4"/>
    </row>
    <row r="4110" spans="94:94">
      <c r="CP4110" s="4"/>
    </row>
    <row r="4111" spans="94:94">
      <c r="CP4111" s="4"/>
    </row>
    <row r="4112" spans="94:94">
      <c r="CP4112" s="4"/>
    </row>
    <row r="4113" spans="94:94">
      <c r="CP4113" s="4"/>
    </row>
    <row r="4114" spans="94:94">
      <c r="CP4114" s="4"/>
    </row>
    <row r="4115" spans="94:94">
      <c r="CP4115" s="4"/>
    </row>
    <row r="4116" spans="94:94">
      <c r="CP4116" s="4"/>
    </row>
    <row r="4117" spans="94:94">
      <c r="CP4117" s="4"/>
    </row>
    <row r="4118" spans="94:94">
      <c r="CP4118" s="4"/>
    </row>
    <row r="4119" spans="94:94">
      <c r="CP4119" s="4"/>
    </row>
    <row r="4120" spans="94:94">
      <c r="CP4120" s="4"/>
    </row>
    <row r="4121" spans="94:94">
      <c r="CP4121" s="4"/>
    </row>
    <row r="4122" spans="94:94">
      <c r="CP4122" s="4"/>
    </row>
    <row r="4123" spans="94:94">
      <c r="CP4123" s="4"/>
    </row>
    <row r="4124" spans="94:94">
      <c r="CP4124" s="4"/>
    </row>
    <row r="4125" spans="94:94">
      <c r="CP4125" s="4"/>
    </row>
    <row r="4126" spans="94:94">
      <c r="CP4126" s="4"/>
    </row>
    <row r="4127" spans="94:94">
      <c r="CP4127" s="4"/>
    </row>
    <row r="4128" spans="94:94">
      <c r="CP4128" s="4"/>
    </row>
    <row r="4129" spans="94:94">
      <c r="CP4129" s="4"/>
    </row>
    <row r="4130" spans="94:94">
      <c r="CP4130" s="4"/>
    </row>
    <row r="4131" spans="94:94">
      <c r="CP4131" s="4"/>
    </row>
    <row r="4132" spans="94:94">
      <c r="CP4132" s="4"/>
    </row>
    <row r="4133" spans="94:94">
      <c r="CP4133" s="4"/>
    </row>
    <row r="4134" spans="94:94">
      <c r="CP4134" s="4"/>
    </row>
    <row r="4135" spans="94:94">
      <c r="CP4135" s="4"/>
    </row>
    <row r="4136" spans="94:94">
      <c r="CP4136" s="4"/>
    </row>
    <row r="4137" spans="94:94">
      <c r="CP4137" s="4"/>
    </row>
    <row r="4138" spans="94:94">
      <c r="CP4138" s="4"/>
    </row>
    <row r="4139" spans="94:94">
      <c r="CP4139" s="4"/>
    </row>
    <row r="4140" spans="94:94">
      <c r="CP4140" s="4"/>
    </row>
    <row r="4141" spans="94:94">
      <c r="CP4141" s="4"/>
    </row>
    <row r="4142" spans="94:94">
      <c r="CP4142" s="4"/>
    </row>
    <row r="4143" spans="94:94">
      <c r="CP4143" s="4"/>
    </row>
    <row r="4144" spans="94:94">
      <c r="CP4144" s="4"/>
    </row>
    <row r="4145" spans="94:94">
      <c r="CP4145" s="4"/>
    </row>
    <row r="4146" spans="94:94">
      <c r="CP4146" s="4"/>
    </row>
    <row r="4147" spans="94:94">
      <c r="CP4147" s="4"/>
    </row>
    <row r="4148" spans="94:94">
      <c r="CP4148" s="4"/>
    </row>
    <row r="4149" spans="94:94">
      <c r="CP4149" s="4"/>
    </row>
    <row r="4150" spans="94:94">
      <c r="CP4150" s="4"/>
    </row>
    <row r="4151" spans="94:94">
      <c r="CP4151" s="4"/>
    </row>
    <row r="4152" spans="94:94">
      <c r="CP4152" s="4"/>
    </row>
    <row r="4153" spans="94:94">
      <c r="CP4153" s="4"/>
    </row>
    <row r="4154" spans="94:94">
      <c r="CP4154" s="4"/>
    </row>
    <row r="4155" spans="94:94">
      <c r="CP4155" s="4"/>
    </row>
    <row r="4156" spans="94:94">
      <c r="CP4156" s="4"/>
    </row>
    <row r="4157" spans="94:94">
      <c r="CP4157" s="4"/>
    </row>
    <row r="4158" spans="94:94">
      <c r="CP4158" s="4"/>
    </row>
    <row r="4159" spans="94:94">
      <c r="CP4159" s="4"/>
    </row>
    <row r="4160" spans="94:94">
      <c r="CP4160" s="4"/>
    </row>
    <row r="4161" spans="94:94">
      <c r="CP4161" s="4"/>
    </row>
    <row r="4162" spans="94:94">
      <c r="CP4162" s="4"/>
    </row>
    <row r="4163" spans="94:94">
      <c r="CP4163" s="4"/>
    </row>
    <row r="4164" spans="94:94">
      <c r="CP4164" s="4"/>
    </row>
    <row r="4165" spans="94:94">
      <c r="CP4165" s="4"/>
    </row>
    <row r="4166" spans="94:94">
      <c r="CP4166" s="4"/>
    </row>
    <row r="4167" spans="94:94">
      <c r="CP4167" s="4"/>
    </row>
    <row r="4168" spans="94:94">
      <c r="CP4168" s="4"/>
    </row>
    <row r="4169" spans="94:94">
      <c r="CP4169" s="4"/>
    </row>
    <row r="4170" spans="94:94">
      <c r="CP4170" s="4"/>
    </row>
    <row r="4171" spans="94:94">
      <c r="CP4171" s="4"/>
    </row>
    <row r="4172" spans="94:94">
      <c r="CP4172" s="4"/>
    </row>
    <row r="4173" spans="94:94">
      <c r="CP4173" s="4"/>
    </row>
    <row r="4174" spans="94:94">
      <c r="CP4174" s="4"/>
    </row>
    <row r="4175" spans="94:94">
      <c r="CP4175" s="4"/>
    </row>
    <row r="4176" spans="94:94">
      <c r="CP4176" s="4"/>
    </row>
    <row r="4177" spans="94:94">
      <c r="CP4177" s="4"/>
    </row>
    <row r="4178" spans="94:94">
      <c r="CP4178" s="4"/>
    </row>
    <row r="4179" spans="94:94">
      <c r="CP4179" s="4"/>
    </row>
    <row r="4180" spans="94:94">
      <c r="CP4180" s="4"/>
    </row>
    <row r="4181" spans="94:94">
      <c r="CP4181" s="4"/>
    </row>
    <row r="4182" spans="94:94">
      <c r="CP4182" s="4"/>
    </row>
    <row r="4183" spans="94:94">
      <c r="CP4183" s="4"/>
    </row>
    <row r="4184" spans="94:94">
      <c r="CP4184" s="4"/>
    </row>
    <row r="4185" spans="94:94">
      <c r="CP4185" s="4"/>
    </row>
    <row r="4186" spans="94:94">
      <c r="CP4186" s="4"/>
    </row>
    <row r="4187" spans="94:94">
      <c r="CP4187" s="4"/>
    </row>
    <row r="4188" spans="94:94">
      <c r="CP4188" s="4"/>
    </row>
    <row r="4189" spans="94:94">
      <c r="CP4189" s="4"/>
    </row>
    <row r="4190" spans="94:94">
      <c r="CP4190" s="4"/>
    </row>
    <row r="4191" spans="94:94">
      <c r="CP4191" s="4"/>
    </row>
    <row r="4192" spans="94:94">
      <c r="CP4192" s="4"/>
    </row>
    <row r="4193" spans="94:94">
      <c r="CP4193" s="4"/>
    </row>
    <row r="4194" spans="94:94">
      <c r="CP4194" s="4"/>
    </row>
    <row r="4195" spans="94:94">
      <c r="CP4195" s="4"/>
    </row>
    <row r="4196" spans="94:94">
      <c r="CP4196" s="4"/>
    </row>
    <row r="4197" spans="94:94">
      <c r="CP4197" s="4"/>
    </row>
    <row r="4198" spans="94:94">
      <c r="CP4198" s="4"/>
    </row>
    <row r="4199" spans="94:94">
      <c r="CP4199" s="4"/>
    </row>
    <row r="4200" spans="94:94">
      <c r="CP4200" s="4"/>
    </row>
    <row r="4201" spans="94:94">
      <c r="CP4201" s="4"/>
    </row>
    <row r="4202" spans="94:94">
      <c r="CP4202" s="4"/>
    </row>
    <row r="4203" spans="94:94">
      <c r="CP4203" s="4"/>
    </row>
    <row r="4204" spans="94:94">
      <c r="CP4204" s="4"/>
    </row>
    <row r="4205" spans="94:94">
      <c r="CP4205" s="4"/>
    </row>
    <row r="4206" spans="94:94">
      <c r="CP4206" s="4"/>
    </row>
    <row r="4207" spans="94:94">
      <c r="CP4207" s="4"/>
    </row>
    <row r="4208" spans="94:94">
      <c r="CP4208" s="4"/>
    </row>
    <row r="4209" spans="94:94">
      <c r="CP4209" s="4"/>
    </row>
    <row r="4210" spans="94:94">
      <c r="CP4210" s="4"/>
    </row>
    <row r="4211" spans="94:94">
      <c r="CP4211" s="4"/>
    </row>
    <row r="4212" spans="94:94">
      <c r="CP4212" s="4"/>
    </row>
    <row r="4213" spans="94:94">
      <c r="CP4213" s="4"/>
    </row>
    <row r="4214" spans="94:94">
      <c r="CP4214" s="4"/>
    </row>
    <row r="4215" spans="94:94">
      <c r="CP4215" s="4"/>
    </row>
    <row r="4216" spans="94:94">
      <c r="CP4216" s="4"/>
    </row>
    <row r="4217" spans="94:94">
      <c r="CP4217" s="4"/>
    </row>
    <row r="4218" spans="94:94">
      <c r="CP4218" s="4"/>
    </row>
    <row r="4219" spans="94:94">
      <c r="CP4219" s="4"/>
    </row>
    <row r="4220" spans="94:94">
      <c r="CP4220" s="4"/>
    </row>
    <row r="4221" spans="94:94">
      <c r="CP4221" s="4"/>
    </row>
    <row r="4222" spans="94:94">
      <c r="CP4222" s="4"/>
    </row>
    <row r="4223" spans="94:94">
      <c r="CP4223" s="4"/>
    </row>
    <row r="4224" spans="94:94">
      <c r="CP4224" s="4"/>
    </row>
    <row r="4225" spans="94:94">
      <c r="CP4225" s="4"/>
    </row>
    <row r="4226" spans="94:94">
      <c r="CP4226" s="4"/>
    </row>
    <row r="4227" spans="94:94">
      <c r="CP4227" s="4"/>
    </row>
    <row r="4228" spans="94:94">
      <c r="CP4228" s="4"/>
    </row>
    <row r="4229" spans="94:94">
      <c r="CP4229" s="4"/>
    </row>
    <row r="4230" spans="94:94">
      <c r="CP4230" s="4"/>
    </row>
    <row r="4231" spans="94:94">
      <c r="CP4231" s="4"/>
    </row>
    <row r="4232" spans="94:94">
      <c r="CP4232" s="4"/>
    </row>
    <row r="4233" spans="94:94">
      <c r="CP4233" s="4"/>
    </row>
    <row r="4234" spans="94:94">
      <c r="CP4234" s="4"/>
    </row>
    <row r="4235" spans="94:94">
      <c r="CP4235" s="4"/>
    </row>
    <row r="4236" spans="94:94">
      <c r="CP4236" s="4"/>
    </row>
    <row r="4237" spans="94:94">
      <c r="CP4237" s="4"/>
    </row>
    <row r="4238" spans="94:94">
      <c r="CP4238" s="4"/>
    </row>
    <row r="4239" spans="94:94">
      <c r="CP4239" s="4"/>
    </row>
    <row r="4240" spans="94:94">
      <c r="CP4240" s="4"/>
    </row>
    <row r="4241" spans="94:94">
      <c r="CP4241" s="4"/>
    </row>
    <row r="4242" spans="94:94">
      <c r="CP4242" s="4"/>
    </row>
    <row r="4243" spans="94:94">
      <c r="CP4243" s="4"/>
    </row>
    <row r="4244" spans="94:94">
      <c r="CP4244" s="4"/>
    </row>
    <row r="4245" spans="94:94">
      <c r="CP4245" s="4"/>
    </row>
    <row r="4246" spans="94:94">
      <c r="CP4246" s="4"/>
    </row>
    <row r="4247" spans="94:94">
      <c r="CP4247" s="4"/>
    </row>
    <row r="4248" spans="94:94">
      <c r="CP4248" s="4"/>
    </row>
    <row r="4249" spans="94:94">
      <c r="CP4249" s="4"/>
    </row>
    <row r="4250" spans="94:94">
      <c r="CP4250" s="4"/>
    </row>
    <row r="4251" spans="94:94">
      <c r="CP4251" s="4"/>
    </row>
    <row r="4252" spans="94:94">
      <c r="CP4252" s="4"/>
    </row>
    <row r="4253" spans="94:94">
      <c r="CP4253" s="4"/>
    </row>
    <row r="4254" spans="94:94">
      <c r="CP4254" s="4"/>
    </row>
    <row r="4255" spans="94:94">
      <c r="CP4255" s="4"/>
    </row>
    <row r="4256" spans="94:94">
      <c r="CP4256" s="4"/>
    </row>
    <row r="4257" spans="94:94">
      <c r="CP4257" s="4"/>
    </row>
    <row r="4258" spans="94:94">
      <c r="CP4258" s="4"/>
    </row>
    <row r="4259" spans="94:94">
      <c r="CP4259" s="4"/>
    </row>
    <row r="4260" spans="94:94">
      <c r="CP4260" s="4"/>
    </row>
    <row r="4261" spans="94:94">
      <c r="CP4261" s="4"/>
    </row>
    <row r="4262" spans="94:94">
      <c r="CP4262" s="4"/>
    </row>
    <row r="4263" spans="94:94">
      <c r="CP4263" s="4"/>
    </row>
    <row r="4264" spans="94:94">
      <c r="CP4264" s="4"/>
    </row>
    <row r="4265" spans="94:94">
      <c r="CP4265" s="4"/>
    </row>
    <row r="4266" spans="94:94">
      <c r="CP4266" s="4"/>
    </row>
    <row r="4267" spans="94:94">
      <c r="CP4267" s="4"/>
    </row>
    <row r="4268" spans="94:94">
      <c r="CP4268" s="4"/>
    </row>
    <row r="4269" spans="94:94">
      <c r="CP4269" s="4"/>
    </row>
    <row r="4270" spans="94:94">
      <c r="CP4270" s="4"/>
    </row>
    <row r="4271" spans="94:94">
      <c r="CP4271" s="4"/>
    </row>
    <row r="4272" spans="94:94">
      <c r="CP4272" s="4"/>
    </row>
    <row r="4273" spans="94:94">
      <c r="CP4273" s="4"/>
    </row>
    <row r="4274" spans="94:94">
      <c r="CP4274" s="4"/>
    </row>
    <row r="4275" spans="94:94">
      <c r="CP4275" s="4"/>
    </row>
    <row r="4276" spans="94:94">
      <c r="CP4276" s="4"/>
    </row>
    <row r="4277" spans="94:94">
      <c r="CP4277" s="4"/>
    </row>
    <row r="4278" spans="94:94">
      <c r="CP4278" s="4"/>
    </row>
    <row r="4279" spans="94:94">
      <c r="CP4279" s="4"/>
    </row>
    <row r="4280" spans="94:94">
      <c r="CP4280" s="4"/>
    </row>
    <row r="4281" spans="94:94">
      <c r="CP4281" s="4"/>
    </row>
    <row r="4282" spans="94:94">
      <c r="CP4282" s="4"/>
    </row>
    <row r="4283" spans="94:94">
      <c r="CP4283" s="4"/>
    </row>
    <row r="4284" spans="94:94">
      <c r="CP4284" s="4"/>
    </row>
    <row r="4285" spans="94:94">
      <c r="CP4285" s="4"/>
    </row>
    <row r="4286" spans="94:94">
      <c r="CP4286" s="4"/>
    </row>
    <row r="4287" spans="94:94">
      <c r="CP4287" s="4"/>
    </row>
    <row r="4288" spans="94:94">
      <c r="CP4288" s="4"/>
    </row>
    <row r="4289" spans="94:94">
      <c r="CP4289" s="4"/>
    </row>
    <row r="4290" spans="94:94">
      <c r="CP4290" s="4"/>
    </row>
    <row r="4291" spans="94:94">
      <c r="CP4291" s="4"/>
    </row>
    <row r="4292" spans="94:94">
      <c r="CP4292" s="4"/>
    </row>
    <row r="4293" spans="94:94">
      <c r="CP4293" s="4"/>
    </row>
    <row r="4294" spans="94:94">
      <c r="CP4294" s="4"/>
    </row>
    <row r="4295" spans="94:94">
      <c r="CP4295" s="4"/>
    </row>
    <row r="4296" spans="94:94">
      <c r="CP4296" s="4"/>
    </row>
    <row r="4297" spans="94:94">
      <c r="CP4297" s="4"/>
    </row>
    <row r="4298" spans="94:94">
      <c r="CP4298" s="4"/>
    </row>
    <row r="4299" spans="94:94">
      <c r="CP4299" s="4"/>
    </row>
    <row r="4300" spans="94:94">
      <c r="CP4300" s="4"/>
    </row>
    <row r="4301" spans="94:94">
      <c r="CP4301" s="4"/>
    </row>
    <row r="4302" spans="94:94">
      <c r="CP4302" s="4"/>
    </row>
    <row r="4303" spans="94:94">
      <c r="CP4303" s="4"/>
    </row>
  </sheetData>
  <mergeCells count="70">
    <mergeCell ref="A8:A9"/>
    <mergeCell ref="B8:B9"/>
    <mergeCell ref="AQ8:AQ9"/>
    <mergeCell ref="BE8:BI8"/>
    <mergeCell ref="BZ8:BZ9"/>
    <mergeCell ref="C8:C9"/>
    <mergeCell ref="D8:D9"/>
    <mergeCell ref="E8:E9"/>
    <mergeCell ref="F8:F9"/>
    <mergeCell ref="G8:J8"/>
    <mergeCell ref="K8:K9"/>
    <mergeCell ref="L8:O8"/>
    <mergeCell ref="Z8:Z9"/>
    <mergeCell ref="P8:P9"/>
    <mergeCell ref="Q8:Q9"/>
    <mergeCell ref="R8:R9"/>
    <mergeCell ref="AH8:AH9"/>
    <mergeCell ref="AD8:AG8"/>
    <mergeCell ref="AX8:BA8"/>
    <mergeCell ref="AJ8:AJ9"/>
    <mergeCell ref="AW8:AW9"/>
    <mergeCell ref="AR8:AT8"/>
    <mergeCell ref="AO8:AO9"/>
    <mergeCell ref="AP8:AP9"/>
    <mergeCell ref="AU8:AU9"/>
    <mergeCell ref="AV8:AV9"/>
    <mergeCell ref="CQ8:CQ9"/>
    <mergeCell ref="CL8:CL9"/>
    <mergeCell ref="CK8:CK9"/>
    <mergeCell ref="CJ8:CJ9"/>
    <mergeCell ref="CI8:CI9"/>
    <mergeCell ref="CN8:CN9"/>
    <mergeCell ref="CM8:CM9"/>
    <mergeCell ref="CH8:CH9"/>
    <mergeCell ref="CA8:CA9"/>
    <mergeCell ref="CA10:CA33"/>
    <mergeCell ref="CI10:CI33"/>
    <mergeCell ref="BR8:BR9"/>
    <mergeCell ref="BC8:BC9"/>
    <mergeCell ref="BC10:BC33"/>
    <mergeCell ref="BK10:BK33"/>
    <mergeCell ref="BS10:BS33"/>
    <mergeCell ref="R10:R33"/>
    <mergeCell ref="AI10:AI33"/>
    <mergeCell ref="AP10:AP33"/>
    <mergeCell ref="AB10:AB33"/>
    <mergeCell ref="AV10:AV33"/>
    <mergeCell ref="S8:S9"/>
    <mergeCell ref="T8:Y8"/>
    <mergeCell ref="AA8:AA9"/>
    <mergeCell ref="AI8:AI9"/>
    <mergeCell ref="AK8:AN8"/>
    <mergeCell ref="AB8:AB9"/>
    <mergeCell ref="AC8:AC9"/>
    <mergeCell ref="CP4:CP6"/>
    <mergeCell ref="BB8:BB9"/>
    <mergeCell ref="BJ8:BJ9"/>
    <mergeCell ref="BK8:BK9"/>
    <mergeCell ref="BL8:BL9"/>
    <mergeCell ref="BM8:BQ8"/>
    <mergeCell ref="CO8:CO9"/>
    <mergeCell ref="CP8:CP9"/>
    <mergeCell ref="CC8:CG8"/>
    <mergeCell ref="BS8:BS9"/>
    <mergeCell ref="BT8:BT9"/>
    <mergeCell ref="BU8:BY8"/>
    <mergeCell ref="CB8:CB9"/>
    <mergeCell ref="BD8:BD9"/>
    <mergeCell ref="A2:CO6"/>
    <mergeCell ref="K7:L7"/>
  </mergeCells>
  <pageMargins left="0.19685039370078741" right="0.19685039370078741" top="0.19685039370078741" bottom="0.19685039370078741" header="0.19685039370078741" footer="0.19685039370078741"/>
  <pageSetup paperSize="9" scale="83" fitToWidth="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>
    <pageSetUpPr fitToPage="1"/>
  </sheetPr>
  <dimension ref="B1:P46"/>
  <sheetViews>
    <sheetView workbookViewId="0">
      <selection activeCell="K11" sqref="K11:K18"/>
    </sheetView>
  </sheetViews>
  <sheetFormatPr defaultRowHeight="15"/>
  <cols>
    <col min="1" max="1" width="1.28515625" customWidth="1"/>
    <col min="2" max="2" width="10.5703125" customWidth="1"/>
    <col min="3" max="3" width="9.85546875" customWidth="1"/>
    <col min="4" max="4" width="10.140625" customWidth="1"/>
    <col min="5" max="5" width="8.7109375" style="5"/>
    <col min="6" max="6" width="7.42578125" customWidth="1"/>
    <col min="7" max="7" width="6.42578125" style="5" bestFit="1" customWidth="1"/>
    <col min="8" max="8" width="7.42578125" customWidth="1"/>
    <col min="9" max="9" width="10.140625" customWidth="1"/>
    <col min="10" max="10" width="9.42578125" customWidth="1"/>
    <col min="11" max="11" width="9.42578125" style="75" customWidth="1"/>
    <col min="12" max="12" width="9.140625" customWidth="1"/>
    <col min="13" max="13" width="10.140625" customWidth="1"/>
  </cols>
  <sheetData>
    <row r="1" spans="2:16" ht="26.45" customHeight="1"/>
    <row r="2" spans="2:16" ht="24.95" customHeight="1">
      <c r="B2" s="149" t="s">
        <v>133</v>
      </c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</row>
    <row r="3" spans="2:16" ht="24.95" customHeight="1"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</row>
    <row r="4" spans="2:16" ht="24.95" customHeight="1"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P4" s="4"/>
    </row>
    <row r="5" spans="2:16" ht="24.95" customHeight="1">
      <c r="B5" s="149"/>
      <c r="C5" s="149"/>
      <c r="D5" s="149"/>
      <c r="E5" s="149"/>
      <c r="F5" s="149"/>
      <c r="G5" s="149"/>
      <c r="H5" s="149"/>
      <c r="I5" s="149"/>
      <c r="J5" s="149"/>
      <c r="K5" s="149"/>
      <c r="L5" s="149"/>
      <c r="M5" s="149"/>
    </row>
    <row r="6" spans="2:16" ht="24.95" customHeight="1">
      <c r="B6" s="143" t="s">
        <v>36</v>
      </c>
      <c r="C6" s="143"/>
      <c r="D6" s="144" t="str">
        <f>VLOOKUP($K$6,'1ST_SEMESTER'!$B$8:$CQ$33,2,0)</f>
        <v>Md. Fardin</v>
      </c>
      <c r="E6" s="144"/>
      <c r="F6" s="144"/>
      <c r="G6" s="144"/>
      <c r="H6" s="145" t="s">
        <v>0</v>
      </c>
      <c r="I6" s="145"/>
      <c r="J6" s="29" t="s">
        <v>60</v>
      </c>
      <c r="K6" s="144">
        <v>88</v>
      </c>
      <c r="L6" s="144"/>
      <c r="M6" s="144"/>
    </row>
    <row r="7" spans="2:16" ht="24.95" customHeight="1">
      <c r="B7" s="143" t="s">
        <v>37</v>
      </c>
      <c r="C7" s="143"/>
      <c r="D7" s="144">
        <f>VLOOKUP($K$6,'1ST_SEMESTER'!$B$8:$CQ$33,3,0)</f>
        <v>0</v>
      </c>
      <c r="E7" s="144"/>
      <c r="F7" s="144"/>
      <c r="G7" s="144"/>
      <c r="H7" s="145" t="s">
        <v>61</v>
      </c>
      <c r="I7" s="145"/>
      <c r="J7" s="29" t="s">
        <v>60</v>
      </c>
      <c r="K7" s="144" t="str">
        <f>'1ST_SEMESTER'!H7</f>
        <v>TEN</v>
      </c>
      <c r="L7" s="144"/>
      <c r="M7" s="144"/>
    </row>
    <row r="8" spans="2:16" ht="24.95" customHeight="1">
      <c r="B8" s="143" t="s">
        <v>38</v>
      </c>
      <c r="C8" s="143"/>
      <c r="D8" s="144">
        <f>VLOOKUP($K$6,'1ST_SEMESTER'!$B$8:$CQ$33,4,0)</f>
        <v>0</v>
      </c>
      <c r="E8" s="144"/>
      <c r="F8" s="144"/>
      <c r="G8" s="144"/>
      <c r="H8" s="145" t="s">
        <v>62</v>
      </c>
      <c r="I8" s="145"/>
      <c r="J8" s="29" t="s">
        <v>60</v>
      </c>
      <c r="K8" s="144" t="str">
        <f>'1ST_SEMESTER'!J7</f>
        <v>Science -B</v>
      </c>
      <c r="L8" s="144"/>
      <c r="M8" s="144"/>
    </row>
    <row r="9" spans="2:16" ht="24.95" customHeight="1">
      <c r="B9" s="143" t="s">
        <v>39</v>
      </c>
      <c r="C9" s="143"/>
      <c r="D9" s="146" t="str">
        <f>'1ST_SEMESTER'!D7</f>
        <v>NADIRA FERDOUSI</v>
      </c>
      <c r="E9" s="146"/>
      <c r="F9" s="146"/>
      <c r="G9" s="146"/>
      <c r="H9" s="148" t="s">
        <v>63</v>
      </c>
      <c r="I9" s="148"/>
      <c r="J9" s="30" t="s">
        <v>60</v>
      </c>
      <c r="K9" s="147">
        <f>'1ST_SEMESTER'!M7</f>
        <v>44</v>
      </c>
      <c r="L9" s="147"/>
      <c r="M9" s="147"/>
    </row>
    <row r="10" spans="2:16" ht="22.5" customHeight="1">
      <c r="B10" s="126" t="s">
        <v>40</v>
      </c>
      <c r="C10" s="126"/>
      <c r="D10" s="127" t="str">
        <f>'1ST_SEMESTER'!F7</f>
        <v>01729-449690</v>
      </c>
      <c r="E10" s="127"/>
      <c r="F10" s="127"/>
      <c r="G10" s="127"/>
      <c r="H10" s="141" t="s">
        <v>64</v>
      </c>
      <c r="I10" s="141"/>
      <c r="J10" s="19" t="s">
        <v>60</v>
      </c>
      <c r="K10" s="128">
        <f>VLOOKUP($K$6,'1ST_SEMESTER'!$B$8:$CQ$33,94,0)</f>
        <v>0</v>
      </c>
      <c r="L10" s="128"/>
      <c r="M10" s="128" t="e">
        <f>VLOOKUP($K$6,'1ST_SEMESTER'!$B$8:$CQ$24,10,0)</f>
        <v>#N/A</v>
      </c>
    </row>
    <row r="11" spans="2:16">
      <c r="B11" s="129" t="s">
        <v>20</v>
      </c>
      <c r="C11" s="130"/>
      <c r="D11" s="131"/>
      <c r="E11" s="135" t="s">
        <v>21</v>
      </c>
      <c r="F11" s="150" t="s">
        <v>24</v>
      </c>
      <c r="G11" s="152" t="s">
        <v>25</v>
      </c>
      <c r="H11" s="150" t="s">
        <v>26</v>
      </c>
      <c r="I11" s="137" t="s">
        <v>22</v>
      </c>
      <c r="J11" s="137" t="s">
        <v>23</v>
      </c>
      <c r="K11" s="139" t="s">
        <v>2</v>
      </c>
      <c r="L11" s="142" t="s">
        <v>59</v>
      </c>
      <c r="M11" s="142" t="s">
        <v>6</v>
      </c>
    </row>
    <row r="12" spans="2:16" ht="14.45" customHeight="1">
      <c r="B12" s="129"/>
      <c r="C12" s="130"/>
      <c r="D12" s="131"/>
      <c r="E12" s="135"/>
      <c r="F12" s="151"/>
      <c r="G12" s="153"/>
      <c r="H12" s="151"/>
      <c r="I12" s="138"/>
      <c r="J12" s="138"/>
      <c r="K12" s="139"/>
      <c r="L12" s="142"/>
      <c r="M12" s="142"/>
    </row>
    <row r="13" spans="2:16">
      <c r="B13" s="129"/>
      <c r="C13" s="130"/>
      <c r="D13" s="131"/>
      <c r="E13" s="135"/>
      <c r="F13" s="151"/>
      <c r="G13" s="153"/>
      <c r="H13" s="151"/>
      <c r="I13" s="138"/>
      <c r="J13" s="138"/>
      <c r="K13" s="139"/>
      <c r="L13" s="142"/>
      <c r="M13" s="142"/>
    </row>
    <row r="14" spans="2:16">
      <c r="B14" s="129"/>
      <c r="C14" s="130"/>
      <c r="D14" s="131"/>
      <c r="E14" s="135"/>
      <c r="F14" s="151"/>
      <c r="G14" s="153"/>
      <c r="H14" s="151"/>
      <c r="I14" s="138"/>
      <c r="J14" s="138"/>
      <c r="K14" s="139"/>
      <c r="L14" s="142"/>
      <c r="M14" s="142"/>
    </row>
    <row r="15" spans="2:16">
      <c r="B15" s="129"/>
      <c r="C15" s="130"/>
      <c r="D15" s="131"/>
      <c r="E15" s="135"/>
      <c r="F15" s="151"/>
      <c r="G15" s="153"/>
      <c r="H15" s="151"/>
      <c r="I15" s="138"/>
      <c r="J15" s="138"/>
      <c r="K15" s="139"/>
      <c r="L15" s="142"/>
      <c r="M15" s="142"/>
    </row>
    <row r="16" spans="2:16">
      <c r="B16" s="129"/>
      <c r="C16" s="130"/>
      <c r="D16" s="131"/>
      <c r="E16" s="135"/>
      <c r="F16" s="151"/>
      <c r="G16" s="153"/>
      <c r="H16" s="151"/>
      <c r="I16" s="138"/>
      <c r="J16" s="138"/>
      <c r="K16" s="139"/>
      <c r="L16" s="142"/>
      <c r="M16" s="142"/>
    </row>
    <row r="17" spans="2:16">
      <c r="B17" s="129"/>
      <c r="C17" s="130"/>
      <c r="D17" s="131"/>
      <c r="E17" s="135"/>
      <c r="F17" s="151"/>
      <c r="G17" s="153"/>
      <c r="H17" s="151"/>
      <c r="I17" s="138"/>
      <c r="J17" s="138"/>
      <c r="K17" s="139"/>
      <c r="L17" s="142"/>
      <c r="M17" s="142"/>
    </row>
    <row r="18" spans="2:16">
      <c r="B18" s="132"/>
      <c r="C18" s="133"/>
      <c r="D18" s="134"/>
      <c r="E18" s="136"/>
      <c r="F18" s="151"/>
      <c r="G18" s="153"/>
      <c r="H18" s="151"/>
      <c r="I18" s="138"/>
      <c r="J18" s="138"/>
      <c r="K18" s="140"/>
      <c r="L18" s="137"/>
      <c r="M18" s="137"/>
    </row>
    <row r="19" spans="2:16" ht="24.95" customHeight="1">
      <c r="B19" s="104" t="s">
        <v>27</v>
      </c>
      <c r="C19" s="104"/>
      <c r="D19" s="104"/>
      <c r="E19" s="20">
        <f>VLOOKUP($K$6,'1ST_SEMESTER'!$B$8:$CQ$33,6,0)</f>
        <v>10</v>
      </c>
      <c r="F19" s="20">
        <f>VLOOKUP($K$6,'1ST_SEMESTER'!$B$8:$CQ$33,7,0)</f>
        <v>24</v>
      </c>
      <c r="G19" s="20">
        <f>VLOOKUP($K$6,'1ST_SEMESTER'!$B$8:$CQ$33,9,0)</f>
        <v>22</v>
      </c>
      <c r="H19" s="123"/>
      <c r="I19" s="115">
        <f>VLOOKUP($K$6,'1ST_SEMESTER'!$B$8:$CQ$33,16,0)</f>
        <v>119</v>
      </c>
      <c r="J19" s="115">
        <f>'1ST_SEMESTER'!R10</f>
        <v>150</v>
      </c>
      <c r="K19" s="117">
        <f>VLOOKUP($K$6,'1ST_SEMESTER'!$B$8:$CQ$33,18,0)</f>
        <v>3</v>
      </c>
      <c r="L19" s="115" t="str">
        <f t="shared" ref="L19:L29" si="0">IF(K19="F","F",IF(K19&lt;2.5,"D",IF(K19&lt;3,"C",IF(K19&lt;3.5,"B",IF(K19&lt;4,"A-",IF(K19&lt;5,"A","A+"))))))</f>
        <v>B</v>
      </c>
      <c r="M19" s="119" t="str">
        <f>IFERROR(VLOOKUP($K$6,'1ST_SEMESTER'!$B$8:$CQ$33,89,0),"")</f>
        <v>F</v>
      </c>
    </row>
    <row r="20" spans="2:16" ht="24.95" customHeight="1">
      <c r="B20" s="104" t="s">
        <v>28</v>
      </c>
      <c r="C20" s="104"/>
      <c r="D20" s="104"/>
      <c r="E20" s="20">
        <f>VLOOKUP($K$6,'1ST_SEMESTER'!$B$8:$CQ$33,11,0)</f>
        <v>16</v>
      </c>
      <c r="F20" s="20">
        <f>VLOOKUP($K$6,'1ST_SEMESTER'!$B$8:$CQ$33,12,0)</f>
        <v>27</v>
      </c>
      <c r="G20" s="20">
        <f>VLOOKUP($K$6,'1ST_SEMESTER'!$B$8:$CQ$33,14,0)</f>
        <v>20</v>
      </c>
      <c r="H20" s="124"/>
      <c r="I20" s="116"/>
      <c r="J20" s="116"/>
      <c r="K20" s="118"/>
      <c r="L20" s="116" t="str">
        <f t="shared" si="0"/>
        <v>D</v>
      </c>
      <c r="M20" s="119" t="e">
        <f>VLOOKUP($K$6,'1ST_SEMESTER'!$B$8:$CQ$24,47,0)</f>
        <v>#N/A</v>
      </c>
    </row>
    <row r="21" spans="2:16" ht="24.95" customHeight="1">
      <c r="B21" s="104" t="s">
        <v>29</v>
      </c>
      <c r="C21" s="104"/>
      <c r="D21" s="104"/>
      <c r="E21" s="20">
        <f>VLOOKUP($K$6,'1ST_SEMESTER'!$B$8:$CQ$33,19,0)</f>
        <v>18</v>
      </c>
      <c r="F21" s="20">
        <f>VLOOKUP($K$6,'1ST_SEMESTER'!$B$8:$CQ$33,20,0)</f>
        <v>44</v>
      </c>
      <c r="G21" s="22"/>
      <c r="H21" s="124"/>
      <c r="I21" s="115">
        <f>VLOOKUP($K$6,'1ST_SEMESTER'!$B$8:$CQ$33,26,0)</f>
        <v>127</v>
      </c>
      <c r="J21" s="115">
        <f>'1ST_SEMESTER'!AB10</f>
        <v>145</v>
      </c>
      <c r="K21" s="117">
        <f>VLOOKUP($K$6,'1ST_SEMESTER'!$B$8:$CQ$33,28,0)</f>
        <v>3.5</v>
      </c>
      <c r="L21" s="115" t="str">
        <f t="shared" si="0"/>
        <v>A-</v>
      </c>
      <c r="M21" s="119" t="e">
        <f>VLOOKUP($K$6,'1ST_SEMESTER'!$B$8:$CQ$24,47,0)</f>
        <v>#N/A</v>
      </c>
      <c r="P21" s="4"/>
    </row>
    <row r="22" spans="2:16" ht="24.95" customHeight="1">
      <c r="B22" s="104" t="s">
        <v>30</v>
      </c>
      <c r="C22" s="104"/>
      <c r="D22" s="104"/>
      <c r="E22" s="20">
        <f>VLOOKUP($K$6,'1ST_SEMESTER'!$B$8:$CQ$33,22,0)</f>
        <v>17</v>
      </c>
      <c r="F22" s="20">
        <f>VLOOKUP($K$6,'1ST_SEMESTER'!$B$8:$CQ$33,23,0)</f>
        <v>48</v>
      </c>
      <c r="G22" s="23"/>
      <c r="H22" s="124"/>
      <c r="I22" s="116"/>
      <c r="J22" s="116"/>
      <c r="K22" s="118"/>
      <c r="L22" s="116" t="str">
        <f t="shared" si="0"/>
        <v>D</v>
      </c>
      <c r="M22" s="119" t="e">
        <f>VLOOKUP($K$6,'1ST_SEMESTER'!$B$8:$CQ$24,47,0)</f>
        <v>#N/A</v>
      </c>
    </row>
    <row r="23" spans="2:16" ht="24.95" customHeight="1">
      <c r="B23" s="104" t="s">
        <v>31</v>
      </c>
      <c r="C23" s="104"/>
      <c r="D23" s="104"/>
      <c r="E23" s="20">
        <f>VLOOKUP($K$6,'1ST_SEMESTER'!$B$8:$CQ$33,29,0)</f>
        <v>5</v>
      </c>
      <c r="F23" s="20">
        <f>VLOOKUP($K$6,'1ST_SEMESTER'!$B$8:$CQ$33,30,0)</f>
        <v>25</v>
      </c>
      <c r="G23" s="20">
        <f>VLOOKUP($K$6,'1ST_SEMESTER'!$B$8:$CQ$33,32,0)</f>
        <v>12</v>
      </c>
      <c r="H23" s="124"/>
      <c r="I23" s="20">
        <f>VLOOKUP($K$6,'1ST_SEMESTER'!$B$8:$CQ$33,33,0)</f>
        <v>42</v>
      </c>
      <c r="J23" s="20">
        <f>'1ST_SEMESTER'!AI10</f>
        <v>71</v>
      </c>
      <c r="K23" s="76">
        <f>VLOOKUP($K$6,'1ST_SEMESTER'!$B$8:$CQ$33,35,0)</f>
        <v>2</v>
      </c>
      <c r="L23" s="20" t="str">
        <f t="shared" si="0"/>
        <v>D</v>
      </c>
      <c r="M23" s="119" t="e">
        <f>VLOOKUP($K$6,'1ST_SEMESTER'!$B$8:$CQ$24,47,0)</f>
        <v>#N/A</v>
      </c>
    </row>
    <row r="24" spans="2:16" ht="24.95" customHeight="1">
      <c r="B24" s="104" t="s">
        <v>32</v>
      </c>
      <c r="C24" s="104"/>
      <c r="D24" s="104"/>
      <c r="E24" s="20">
        <f>VLOOKUP($K$6,'1ST_SEMESTER'!$B$8:$CQ$33,36,0)</f>
        <v>14</v>
      </c>
      <c r="F24" s="20">
        <f>VLOOKUP($K$6,'1ST_SEMESTER'!$B$8:$CQ$33,37,0)</f>
        <v>31</v>
      </c>
      <c r="G24" s="20">
        <f>VLOOKUP($K$6,'1ST_SEMESTER'!$B$8:$CQ$33,39,0)</f>
        <v>18</v>
      </c>
      <c r="H24" s="125"/>
      <c r="I24" s="20">
        <f>VLOOKUP($K$6,'1ST_SEMESTER'!$B$8:$CQ$33,40,0)</f>
        <v>63</v>
      </c>
      <c r="J24" s="20">
        <f>'1ST_SEMESTER'!AP10</f>
        <v>90</v>
      </c>
      <c r="K24" s="76">
        <f>VLOOKUP($K$6,'1ST_SEMESTER'!$B$8:$CQ$33,42,0)</f>
        <v>3.5</v>
      </c>
      <c r="L24" s="20" t="str">
        <f t="shared" si="0"/>
        <v>A-</v>
      </c>
      <c r="M24" s="119" t="e">
        <f>VLOOKUP($K$6,'1ST_SEMESTER'!$B$8:$CQ$24,47,0)</f>
        <v>#N/A</v>
      </c>
    </row>
    <row r="25" spans="2:16" ht="24.95" customHeight="1">
      <c r="B25" s="104" t="s">
        <v>4</v>
      </c>
      <c r="C25" s="104"/>
      <c r="D25" s="104"/>
      <c r="E25" s="20">
        <f>VLOOKUP($K$6,'1ST_SEMESTER'!$B$8:$CQ$33,43,0)</f>
        <v>0</v>
      </c>
      <c r="F25" s="24"/>
      <c r="G25" s="20">
        <f>VLOOKUP($K$6,'1ST_SEMESTER'!$B$8:$CQ$33,44,0)</f>
        <v>22</v>
      </c>
      <c r="H25" s="25">
        <f>VLOOKUP($K$6,'1ST_SEMESTER'!$B$8:$CQ$33,45,0)</f>
        <v>25</v>
      </c>
      <c r="I25" s="20">
        <f>VLOOKUP($K$6,'1ST_SEMESTER'!$B$8:$CQ$33,46,0)</f>
        <v>47</v>
      </c>
      <c r="J25" s="20">
        <f>'1ST_SEMESTER'!AV10</f>
        <v>47</v>
      </c>
      <c r="K25" s="76">
        <f>VLOOKUP($K$6,'1ST_SEMESTER'!$B$8:$CQ$33,48,0)</f>
        <v>5</v>
      </c>
      <c r="L25" s="20" t="str">
        <f t="shared" si="0"/>
        <v>A+</v>
      </c>
      <c r="M25" s="119" t="e">
        <f>VLOOKUP($K$6,'1ST_SEMESTER'!$B$8:$CQ$24,47,0)</f>
        <v>#N/A</v>
      </c>
    </row>
    <row r="26" spans="2:16" ht="24.95" customHeight="1">
      <c r="B26" s="104" t="s">
        <v>52</v>
      </c>
      <c r="C26" s="104"/>
      <c r="D26" s="104"/>
      <c r="E26" s="20">
        <f>VLOOKUP($K$6,'1ST_SEMESTER'!$B$8:$CQ$33,49,0)</f>
        <v>13</v>
      </c>
      <c r="F26" s="20">
        <f>VLOOKUP($K$6,'1ST_SEMESTER'!$B$8:$CQ$33,50,0)</f>
        <v>29</v>
      </c>
      <c r="G26" s="20">
        <f>VLOOKUP($K$6,'1ST_SEMESTER'!$B$8:$CQ$33,52,0)</f>
        <v>18</v>
      </c>
      <c r="H26" s="26"/>
      <c r="I26" s="20">
        <f>VLOOKUP($K$6,'1ST_SEMESTER'!$B$8:$CQ$33,53,0)</f>
        <v>60</v>
      </c>
      <c r="J26" s="20">
        <f>'1ST_SEMESTER'!BC10</f>
        <v>78</v>
      </c>
      <c r="K26" s="76">
        <f>VLOOKUP($K$6,'1ST_SEMESTER'!$B$8:$CQ$33,55,0)</f>
        <v>3.5</v>
      </c>
      <c r="L26" s="20" t="str">
        <f t="shared" si="0"/>
        <v>A-</v>
      </c>
      <c r="M26" s="119" t="e">
        <f>VLOOKUP($K$6,'1ST_SEMESTER'!$B$8:$CQ$24,47,0)</f>
        <v>#N/A</v>
      </c>
    </row>
    <row r="27" spans="2:16" ht="24.95" customHeight="1">
      <c r="B27" s="104" t="s">
        <v>42</v>
      </c>
      <c r="C27" s="104"/>
      <c r="D27" s="104"/>
      <c r="E27" s="20">
        <f>VLOOKUP($K$6,'1ST_SEMESTER'!$B$8:$CQ$33,56,0)</f>
        <v>7</v>
      </c>
      <c r="F27" s="20">
        <f>VLOOKUP($K$6,'1ST_SEMESTER'!$B$8:$CQ$33,57,0)</f>
        <v>2</v>
      </c>
      <c r="G27" s="20">
        <f>VLOOKUP($K$6,'1ST_SEMESTER'!$B$8:$CQ$33,59,0)</f>
        <v>10</v>
      </c>
      <c r="H27" s="25">
        <f>VLOOKUP($K$6,'1ST_SEMESTER'!$B$8:$CQ$33,60,0)</f>
        <v>22</v>
      </c>
      <c r="I27" s="20">
        <f>VLOOKUP($K$6,'1ST_SEMESTER'!$B$8:$CQ$33,61,0)</f>
        <v>41</v>
      </c>
      <c r="J27" s="20">
        <f>'1ST_SEMESTER'!BK10</f>
        <v>70</v>
      </c>
      <c r="K27" s="76" t="str">
        <f>VLOOKUP($K$6,'1ST_SEMESTER'!$B$8:$CQ$33,63,0)</f>
        <v>F</v>
      </c>
      <c r="L27" s="20" t="str">
        <f t="shared" si="0"/>
        <v>F</v>
      </c>
      <c r="M27" s="119" t="e">
        <f>VLOOKUP($K$6,'1ST_SEMESTER'!$B$8:$CQ$24,47,0)</f>
        <v>#N/A</v>
      </c>
    </row>
    <row r="28" spans="2:16" ht="24.95" customHeight="1">
      <c r="B28" s="104" t="s">
        <v>43</v>
      </c>
      <c r="C28" s="104"/>
      <c r="D28" s="104"/>
      <c r="E28" s="20">
        <f>VLOOKUP($K$6,'1ST_SEMESTER'!$B$8:$CQ$33,64,0)</f>
        <v>5</v>
      </c>
      <c r="F28" s="20">
        <f>VLOOKUP($K$6,'1ST_SEMESTER'!$B$8:$CQ$33,65,0)</f>
        <v>24</v>
      </c>
      <c r="G28" s="20">
        <f>VLOOKUP($K$6,'1ST_SEMESTER'!$B$8:$CQ$33,67,0)</f>
        <v>14</v>
      </c>
      <c r="H28" s="25">
        <f>VLOOKUP($K$6,'1ST_SEMESTER'!$B$8:$CQ$33,68,0)</f>
        <v>22</v>
      </c>
      <c r="I28" s="20">
        <f>VLOOKUP($K$6,'1ST_SEMESTER'!$B$8:$CQ$33,69,0)</f>
        <v>65</v>
      </c>
      <c r="J28" s="20">
        <f>'1ST_SEMESTER'!BS10</f>
        <v>70</v>
      </c>
      <c r="K28" s="76">
        <f>VLOOKUP($K$6,'1ST_SEMESTER'!$B$8:$CQ$33,71,0)</f>
        <v>3.5</v>
      </c>
      <c r="L28" s="20" t="str">
        <f t="shared" si="0"/>
        <v>A-</v>
      </c>
      <c r="M28" s="119" t="e">
        <f>VLOOKUP($K$6,'1ST_SEMESTER'!$B$8:$CQ$24,47,0)</f>
        <v>#N/A</v>
      </c>
    </row>
    <row r="29" spans="2:16" ht="24.95" customHeight="1">
      <c r="B29" s="104" t="s">
        <v>65</v>
      </c>
      <c r="C29" s="104"/>
      <c r="D29" s="104"/>
      <c r="E29" s="20">
        <f>VLOOKUP($K$6,'1ST_SEMESTER'!$B$8:$CQ$33,72,0)</f>
        <v>0</v>
      </c>
      <c r="F29" s="20">
        <f>VLOOKUP($K$6,'1ST_SEMESTER'!$B$8:$CQ$33,73,0)</f>
        <v>22</v>
      </c>
      <c r="G29" s="20">
        <f>VLOOKUP($K$6,'1ST_SEMESTER'!$B$8:$CQ$33,75,0)</f>
        <v>12</v>
      </c>
      <c r="H29" s="25">
        <f>VLOOKUP($K$6,'1ST_SEMESTER'!$B$8:$CQ$33,76,0)</f>
        <v>22</v>
      </c>
      <c r="I29" s="20">
        <f>VLOOKUP($K$6,'1ST_SEMESTER'!$B$8:$CQ$33,77,0)</f>
        <v>56</v>
      </c>
      <c r="J29" s="20">
        <f>'1ST_SEMESTER'!CA10</f>
        <v>76</v>
      </c>
      <c r="K29" s="76">
        <f>VLOOKUP($K$6,'1ST_SEMESTER'!$B$8:$CQ$33,79,0)</f>
        <v>3</v>
      </c>
      <c r="L29" s="20" t="str">
        <f t="shared" si="0"/>
        <v>B</v>
      </c>
      <c r="M29" s="119" t="e">
        <f>VLOOKUP($K$6,'1ST_SEMESTER'!$B$8:$CQ$24,47,0)</f>
        <v>#N/A</v>
      </c>
    </row>
    <row r="30" spans="2:16" ht="15.75">
      <c r="B30" s="111" t="s">
        <v>33</v>
      </c>
      <c r="C30" s="112"/>
      <c r="D30" s="112"/>
      <c r="E30" s="112"/>
      <c r="F30" s="112"/>
      <c r="G30" s="112"/>
      <c r="H30" s="112"/>
      <c r="I30" s="112"/>
      <c r="J30" s="113"/>
      <c r="K30" s="102" t="s">
        <v>35</v>
      </c>
      <c r="L30" s="103"/>
      <c r="M30" s="119" t="e">
        <f>VLOOKUP($K$6,'1ST_SEMESTER'!$B$8:$CQ$24,47,0)</f>
        <v>#N/A</v>
      </c>
    </row>
    <row r="31" spans="2:16" ht="24.95" customHeight="1">
      <c r="B31" s="104" t="s">
        <v>53</v>
      </c>
      <c r="C31" s="104"/>
      <c r="D31" s="104"/>
      <c r="E31" s="20">
        <f>VLOOKUP($K$6,'1ST_SEMESTER'!$B$8:$CQ$33,80,0)</f>
        <v>9</v>
      </c>
      <c r="F31" s="20">
        <f>VLOOKUP($K$6,'1ST_SEMESTER'!$B$8:$CQ$33,81,0)</f>
        <v>9</v>
      </c>
      <c r="G31" s="20">
        <f>VLOOKUP($K$6,'1ST_SEMESTER'!$B$8:$CQ$33,83,0)</f>
        <v>10</v>
      </c>
      <c r="H31" s="25">
        <f>VLOOKUP($K$6,'1ST_SEMESTER'!$B$8:$CQ$33,84,0)</f>
        <v>23</v>
      </c>
      <c r="I31" s="20">
        <f>VLOOKUP($K$6,'1ST_SEMESTER'!$B$8:$CQ$33,85,0)</f>
        <v>51</v>
      </c>
      <c r="J31" s="21">
        <f>'1ST_SEMESTER'!CI10</f>
        <v>87</v>
      </c>
      <c r="K31" s="77" t="str">
        <f>VLOOKUP($K$6,'1ST_SEMESTER'!$B$8:$CQ$33,87,0)</f>
        <v>0</v>
      </c>
      <c r="L31" s="21" t="str">
        <f>IF(K31="0","F",IF(K31&lt;2.5,"D",IF(K31&lt;3,"C",IF(K31&lt;3.5,"B",IF(K31&lt;4,"A-",IF(K31&lt;5,"A","A+"))))))</f>
        <v>F</v>
      </c>
      <c r="M31" s="119" t="e">
        <f>VLOOKUP($K$6,'1ST_SEMESTER'!$B$8:$CQ$24,47,0)</f>
        <v>#N/A</v>
      </c>
    </row>
    <row r="32" spans="2:16" ht="24.95" customHeight="1">
      <c r="B32" s="105" t="s">
        <v>34</v>
      </c>
      <c r="C32" s="106"/>
      <c r="D32" s="107"/>
      <c r="E32" s="37"/>
      <c r="F32" s="38"/>
      <c r="G32" s="39"/>
      <c r="H32" s="38"/>
      <c r="I32" s="40">
        <f>I19+I21+I23+I24+I25+I26+I27+I28+I29+I31</f>
        <v>671</v>
      </c>
      <c r="J32" s="120"/>
      <c r="K32" s="121"/>
      <c r="L32" s="122"/>
      <c r="M32" s="119" t="e">
        <f>VLOOKUP($K$6,'1ST_SEMESTER'!$B$8:$CQ$24,47,0)</f>
        <v>#N/A</v>
      </c>
    </row>
    <row r="33" spans="2:13">
      <c r="B33" s="27"/>
      <c r="C33" s="27"/>
      <c r="D33" s="27"/>
      <c r="E33" s="28"/>
      <c r="F33" s="27"/>
      <c r="G33" s="28"/>
      <c r="H33" s="27"/>
      <c r="I33" s="27"/>
      <c r="J33" s="27"/>
      <c r="K33" s="78"/>
      <c r="L33" s="27"/>
      <c r="M33" s="27"/>
    </row>
    <row r="34" spans="2:13" ht="19.5" customHeight="1">
      <c r="B34" s="108" t="s">
        <v>70</v>
      </c>
      <c r="C34" s="108"/>
      <c r="D34" s="108"/>
      <c r="E34" s="108"/>
      <c r="F34" s="36" t="str">
        <f>IFERROR(VLOOKUP($K$6,'1ST_SEMESTER'!$B$8:$CQ$33,91,0),"")</f>
        <v>NEED TO PROGRESS</v>
      </c>
      <c r="G34" s="36"/>
      <c r="H34" s="36"/>
      <c r="I34" s="36"/>
      <c r="J34" s="31"/>
      <c r="K34" s="79"/>
      <c r="L34" s="31"/>
      <c r="M34" s="31"/>
    </row>
    <row r="35" spans="2:13">
      <c r="B35" s="31"/>
      <c r="C35" s="31"/>
      <c r="D35" s="31"/>
      <c r="E35" s="32"/>
      <c r="F35" s="31"/>
      <c r="G35" s="32"/>
      <c r="H35" s="31"/>
      <c r="I35" s="31"/>
      <c r="J35" s="31"/>
      <c r="K35" s="79"/>
      <c r="L35" s="31"/>
      <c r="M35" s="31"/>
    </row>
    <row r="36" spans="2:13" ht="19.5" customHeight="1">
      <c r="B36" s="109" t="s">
        <v>69</v>
      </c>
      <c r="C36" s="109"/>
      <c r="D36" s="109"/>
      <c r="E36" s="109"/>
      <c r="F36" s="110" t="str">
        <f>IFERROR(VLOOKUP($K$6,'1ST_SEMESTER'!$B$8:$CQ$33,93,0),"")</f>
        <v>F1</v>
      </c>
      <c r="G36" s="110" t="e">
        <f>VLOOKUP($K$6,'1ST_SEMESTER'!$B$8:$CQ$24,101,0)</f>
        <v>#N/A</v>
      </c>
      <c r="H36" s="31"/>
      <c r="I36" s="31"/>
      <c r="J36" s="31"/>
      <c r="K36" s="79"/>
      <c r="L36" s="31"/>
      <c r="M36" s="33"/>
    </row>
    <row r="37" spans="2:13">
      <c r="B37" s="31"/>
      <c r="C37" s="31"/>
      <c r="D37" s="31"/>
      <c r="E37" s="32"/>
      <c r="F37" s="31"/>
      <c r="G37" s="32"/>
      <c r="H37" s="31"/>
      <c r="I37" s="31"/>
      <c r="J37" s="31"/>
      <c r="K37" s="79"/>
      <c r="L37" s="31"/>
      <c r="M37" s="31"/>
    </row>
    <row r="38" spans="2:13">
      <c r="B38" s="31"/>
      <c r="C38" s="31"/>
      <c r="D38" s="31"/>
      <c r="E38" s="32"/>
      <c r="F38" s="31"/>
      <c r="G38" s="32"/>
      <c r="H38" s="31"/>
      <c r="I38" s="31"/>
      <c r="J38" s="31"/>
      <c r="K38" s="79"/>
      <c r="L38" s="31"/>
      <c r="M38" s="31"/>
    </row>
    <row r="39" spans="2:13">
      <c r="B39" s="31"/>
      <c r="C39" s="31"/>
      <c r="D39" s="31"/>
      <c r="E39" s="32"/>
      <c r="F39" s="31"/>
      <c r="G39" s="32"/>
      <c r="H39" s="31"/>
      <c r="I39" s="31"/>
      <c r="J39" s="31"/>
      <c r="K39" s="79"/>
      <c r="L39" s="31"/>
      <c r="M39" s="31"/>
    </row>
    <row r="40" spans="2:13">
      <c r="B40" s="31"/>
      <c r="C40" s="31"/>
      <c r="D40" s="31"/>
      <c r="E40" s="32"/>
      <c r="F40" s="31"/>
      <c r="G40" s="32"/>
      <c r="H40" s="31"/>
      <c r="I40" s="31"/>
      <c r="J40" s="31"/>
      <c r="K40" s="79"/>
      <c r="L40" s="31"/>
      <c r="M40" s="31"/>
    </row>
    <row r="41" spans="2:13" ht="15.75">
      <c r="B41" s="31"/>
      <c r="C41" s="41" t="s">
        <v>73</v>
      </c>
      <c r="D41" s="31"/>
      <c r="E41" s="32"/>
      <c r="F41" s="31"/>
      <c r="G41" s="114" t="s">
        <v>74</v>
      </c>
      <c r="H41" s="114"/>
      <c r="I41" s="31"/>
      <c r="J41" s="31"/>
      <c r="K41" s="80"/>
      <c r="L41" s="42" t="s">
        <v>75</v>
      </c>
      <c r="M41" s="31"/>
    </row>
    <row r="42" spans="2:13">
      <c r="B42" s="31"/>
      <c r="C42" s="31"/>
      <c r="D42" s="31"/>
      <c r="E42" s="32"/>
      <c r="F42" s="31"/>
      <c r="G42" s="32"/>
      <c r="H42" s="31"/>
      <c r="I42" s="31"/>
      <c r="J42" s="31"/>
      <c r="K42" s="79"/>
      <c r="L42" s="31"/>
      <c r="M42" s="31"/>
    </row>
    <row r="43" spans="2:13">
      <c r="B43" s="31"/>
      <c r="C43" s="31"/>
      <c r="D43" s="31"/>
      <c r="E43" s="32"/>
      <c r="F43" s="31"/>
      <c r="G43" s="32"/>
      <c r="H43" s="31"/>
      <c r="I43" s="31"/>
      <c r="J43" s="31"/>
      <c r="K43" s="79"/>
      <c r="L43" s="31"/>
      <c r="M43" s="31"/>
    </row>
    <row r="44" spans="2:13">
      <c r="B44" s="31"/>
      <c r="C44" s="31"/>
      <c r="D44" s="31"/>
      <c r="E44" s="32"/>
      <c r="F44" s="31"/>
      <c r="G44" s="32"/>
      <c r="H44" s="31"/>
      <c r="I44" s="31"/>
      <c r="J44" s="31"/>
      <c r="K44" s="79"/>
      <c r="L44" s="31"/>
      <c r="M44" s="31"/>
    </row>
    <row r="45" spans="2:13">
      <c r="B45" s="31"/>
      <c r="C45" s="101"/>
      <c r="D45" s="101"/>
      <c r="E45" s="32"/>
      <c r="F45" s="31"/>
      <c r="G45" s="32"/>
      <c r="H45" s="31"/>
      <c r="I45" s="31"/>
      <c r="J45" s="34"/>
      <c r="L45" s="35"/>
      <c r="M45" s="35"/>
    </row>
    <row r="46" spans="2:13">
      <c r="B46" s="31"/>
      <c r="C46" s="31"/>
      <c r="D46" s="31"/>
      <c r="E46" s="32"/>
      <c r="F46" s="31"/>
      <c r="G46" s="32"/>
      <c r="H46" s="31"/>
      <c r="I46" s="31"/>
      <c r="J46" s="31"/>
      <c r="K46" s="79"/>
      <c r="L46" s="31"/>
      <c r="M46" s="31"/>
    </row>
  </sheetData>
  <mergeCells count="62">
    <mergeCell ref="L19:L20"/>
    <mergeCell ref="L21:L22"/>
    <mergeCell ref="L11:L18"/>
    <mergeCell ref="F11:F18"/>
    <mergeCell ref="G11:G18"/>
    <mergeCell ref="H11:H18"/>
    <mergeCell ref="B7:C7"/>
    <mergeCell ref="D7:G7"/>
    <mergeCell ref="H7:I7"/>
    <mergeCell ref="K7:M7"/>
    <mergeCell ref="B2:M5"/>
    <mergeCell ref="B6:C6"/>
    <mergeCell ref="D6:G6"/>
    <mergeCell ref="H6:I6"/>
    <mergeCell ref="K6:M6"/>
    <mergeCell ref="B8:C8"/>
    <mergeCell ref="D8:G8"/>
    <mergeCell ref="H8:I8"/>
    <mergeCell ref="K8:M8"/>
    <mergeCell ref="B9:C9"/>
    <mergeCell ref="D9:G9"/>
    <mergeCell ref="K9:M9"/>
    <mergeCell ref="H9:I9"/>
    <mergeCell ref="B10:C10"/>
    <mergeCell ref="D10:G10"/>
    <mergeCell ref="K10:M10"/>
    <mergeCell ref="B11:D18"/>
    <mergeCell ref="E11:E18"/>
    <mergeCell ref="I11:I18"/>
    <mergeCell ref="J11:J18"/>
    <mergeCell ref="K11:K18"/>
    <mergeCell ref="H10:I10"/>
    <mergeCell ref="M11:M18"/>
    <mergeCell ref="B19:D19"/>
    <mergeCell ref="J19:J20"/>
    <mergeCell ref="K19:K20"/>
    <mergeCell ref="M19:M32"/>
    <mergeCell ref="B20:D20"/>
    <mergeCell ref="B21:D21"/>
    <mergeCell ref="J21:J22"/>
    <mergeCell ref="K21:K22"/>
    <mergeCell ref="B22:D22"/>
    <mergeCell ref="B23:D23"/>
    <mergeCell ref="B24:D24"/>
    <mergeCell ref="J32:L32"/>
    <mergeCell ref="I19:I20"/>
    <mergeCell ref="I21:I22"/>
    <mergeCell ref="H19:H24"/>
    <mergeCell ref="B25:D25"/>
    <mergeCell ref="C45:D45"/>
    <mergeCell ref="K30:L30"/>
    <mergeCell ref="B26:D26"/>
    <mergeCell ref="B32:D32"/>
    <mergeCell ref="B34:E34"/>
    <mergeCell ref="B36:E36"/>
    <mergeCell ref="F36:G36"/>
    <mergeCell ref="B27:D27"/>
    <mergeCell ref="B28:D28"/>
    <mergeCell ref="B29:D29"/>
    <mergeCell ref="B30:J30"/>
    <mergeCell ref="B31:D31"/>
    <mergeCell ref="G41:H41"/>
  </mergeCells>
  <pageMargins left="0" right="0" top="0.19685039370078741" bottom="0" header="0" footer="0"/>
  <pageSetup paperSize="9" scale="90" orientation="portrait" r:id="rId1"/>
  <ignoredErrors>
    <ignoredError sqref="J19 J21 J23:J26 J27:J29" formula="1"/>
    <ignoredError sqref="L26" evalError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1ST_SEMESTER</vt:lpstr>
      <vt:lpstr>PROGRASIVE SCI</vt:lpstr>
    </vt:vector>
  </TitlesOfParts>
  <Company>HP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ACRA</cp:lastModifiedBy>
  <cp:lastPrinted>2025-09-14T06:53:37Z</cp:lastPrinted>
  <dcterms:created xsi:type="dcterms:W3CDTF">2020-11-16T04:30:11Z</dcterms:created>
  <dcterms:modified xsi:type="dcterms:W3CDTF">2025-09-14T06:53:45Z</dcterms:modified>
</cp:coreProperties>
</file>