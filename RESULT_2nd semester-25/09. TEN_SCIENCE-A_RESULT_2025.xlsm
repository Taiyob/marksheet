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defaultThemeVersion="124226"/>
  <bookViews>
    <workbookView xWindow="14025" yWindow="480" windowWidth="15375" windowHeight="13740" tabRatio="632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2"/>
  <c r="I10" i="4"/>
  <c r="CE32"/>
  <c r="CH32" s="1"/>
  <c r="CE31"/>
  <c r="CH31" s="1"/>
  <c r="CE30"/>
  <c r="CH30" s="1"/>
  <c r="CE29"/>
  <c r="CH29" s="1"/>
  <c r="CE28"/>
  <c r="CH28" s="1"/>
  <c r="CE27"/>
  <c r="CH27" s="1"/>
  <c r="CE26"/>
  <c r="CH26" s="1"/>
  <c r="CE25"/>
  <c r="CH25" s="1"/>
  <c r="CE24"/>
  <c r="CH24" s="1"/>
  <c r="CE23"/>
  <c r="CH23" s="1"/>
  <c r="CE22"/>
  <c r="CH22" s="1"/>
  <c r="CE21"/>
  <c r="CH21" s="1"/>
  <c r="CE20"/>
  <c r="CE19"/>
  <c r="CH19" s="1"/>
  <c r="CE18"/>
  <c r="CH18" s="1"/>
  <c r="CE17"/>
  <c r="CH17" s="1"/>
  <c r="CE16"/>
  <c r="CH16" s="1"/>
  <c r="CE15"/>
  <c r="CH15" s="1"/>
  <c r="CE14"/>
  <c r="CH14" s="1"/>
  <c r="CE13"/>
  <c r="CH13" s="1"/>
  <c r="CE12"/>
  <c r="CH12" s="1"/>
  <c r="CE11"/>
  <c r="CH11" s="1"/>
  <c r="CE10"/>
  <c r="BG10"/>
  <c r="BJ10" s="1"/>
  <c r="CH20"/>
  <c r="BW11"/>
  <c r="BZ11" s="1"/>
  <c r="BW12"/>
  <c r="BZ12" s="1"/>
  <c r="BW13"/>
  <c r="BW14"/>
  <c r="BZ14" s="1"/>
  <c r="BW15"/>
  <c r="BZ15" s="1"/>
  <c r="BW16"/>
  <c r="BZ16" s="1"/>
  <c r="BW17"/>
  <c r="BW18"/>
  <c r="BZ18" s="1"/>
  <c r="BW19"/>
  <c r="BZ19" s="1"/>
  <c r="BW20"/>
  <c r="BZ20" s="1"/>
  <c r="BW21"/>
  <c r="CB21" s="1"/>
  <c r="BW22"/>
  <c r="BW23"/>
  <c r="BZ23" s="1"/>
  <c r="BW24"/>
  <c r="BZ24" s="1"/>
  <c r="BW25"/>
  <c r="BW26"/>
  <c r="BZ26" s="1"/>
  <c r="BW27"/>
  <c r="BZ27" s="1"/>
  <c r="BW28"/>
  <c r="BZ28" s="1"/>
  <c r="BW29"/>
  <c r="BW30"/>
  <c r="BW31"/>
  <c r="BZ31" s="1"/>
  <c r="BW32"/>
  <c r="BZ32" s="1"/>
  <c r="BO11"/>
  <c r="BR11" s="1"/>
  <c r="BO12"/>
  <c r="BR12" s="1"/>
  <c r="BO13"/>
  <c r="BR13" s="1"/>
  <c r="BO14"/>
  <c r="BR14" s="1"/>
  <c r="BO15"/>
  <c r="BR15" s="1"/>
  <c r="BO16"/>
  <c r="BR16" s="1"/>
  <c r="BO17"/>
  <c r="BR17" s="1"/>
  <c r="BO18"/>
  <c r="BR18" s="1"/>
  <c r="BO19"/>
  <c r="BR19" s="1"/>
  <c r="BO20"/>
  <c r="BR20" s="1"/>
  <c r="BO21"/>
  <c r="BR21" s="1"/>
  <c r="BO22"/>
  <c r="BR22" s="1"/>
  <c r="BO23"/>
  <c r="BR23" s="1"/>
  <c r="BO24"/>
  <c r="BR24" s="1"/>
  <c r="BO25"/>
  <c r="BR25" s="1"/>
  <c r="BO26"/>
  <c r="BR26" s="1"/>
  <c r="BO27"/>
  <c r="BR27" s="1"/>
  <c r="BO28"/>
  <c r="BO29"/>
  <c r="BR29" s="1"/>
  <c r="BO30"/>
  <c r="BR30" s="1"/>
  <c r="BO31"/>
  <c r="BR31" s="1"/>
  <c r="BO32"/>
  <c r="BR32" s="1"/>
  <c r="BG11"/>
  <c r="BJ11" s="1"/>
  <c r="BG12"/>
  <c r="BJ12" s="1"/>
  <c r="BG13"/>
  <c r="BJ13" s="1"/>
  <c r="BG14"/>
  <c r="BJ14" s="1"/>
  <c r="BG15"/>
  <c r="BJ15" s="1"/>
  <c r="BG16"/>
  <c r="BJ16" s="1"/>
  <c r="BG17"/>
  <c r="BJ17" s="1"/>
  <c r="BG18"/>
  <c r="BJ18" s="1"/>
  <c r="BG19"/>
  <c r="BJ19" s="1"/>
  <c r="BG20"/>
  <c r="BJ20" s="1"/>
  <c r="BG21"/>
  <c r="BJ21" s="1"/>
  <c r="BG22"/>
  <c r="BJ22" s="1"/>
  <c r="BG23"/>
  <c r="BJ23" s="1"/>
  <c r="BG24"/>
  <c r="BJ24" s="1"/>
  <c r="BG25"/>
  <c r="BJ25" s="1"/>
  <c r="BG26"/>
  <c r="BJ26" s="1"/>
  <c r="BG27"/>
  <c r="BJ27" s="1"/>
  <c r="BG28"/>
  <c r="BJ28" s="1"/>
  <c r="BG29"/>
  <c r="BJ29" s="1"/>
  <c r="BG30"/>
  <c r="BJ30" s="1"/>
  <c r="BG31"/>
  <c r="BJ31" s="1"/>
  <c r="BG32"/>
  <c r="BJ32" s="1"/>
  <c r="AZ11"/>
  <c r="BB11" s="1"/>
  <c r="AZ12"/>
  <c r="AZ13"/>
  <c r="BB13" s="1"/>
  <c r="AZ14"/>
  <c r="BB14" s="1"/>
  <c r="AZ15"/>
  <c r="BB15" s="1"/>
  <c r="AZ16"/>
  <c r="BB16" s="1"/>
  <c r="AZ17"/>
  <c r="BB17" s="1"/>
  <c r="AZ18"/>
  <c r="BB18" s="1"/>
  <c r="AZ19"/>
  <c r="BB19" s="1"/>
  <c r="AZ20"/>
  <c r="BB20" s="1"/>
  <c r="AZ21"/>
  <c r="BB21" s="1"/>
  <c r="AZ22"/>
  <c r="BB22" s="1"/>
  <c r="AZ23"/>
  <c r="BB23" s="1"/>
  <c r="AZ24"/>
  <c r="AZ25"/>
  <c r="BB25" s="1"/>
  <c r="AZ26"/>
  <c r="BB26" s="1"/>
  <c r="AZ27"/>
  <c r="BB27" s="1"/>
  <c r="AZ28"/>
  <c r="AZ29"/>
  <c r="BB29" s="1"/>
  <c r="AZ30"/>
  <c r="BB30" s="1"/>
  <c r="AZ31"/>
  <c r="BB31" s="1"/>
  <c r="AZ32"/>
  <c r="AU11"/>
  <c r="AW11" s="1"/>
  <c r="AU12"/>
  <c r="AW12" s="1"/>
  <c r="AU13"/>
  <c r="AW13" s="1"/>
  <c r="AU14"/>
  <c r="AW14" s="1"/>
  <c r="AU15"/>
  <c r="AW15" s="1"/>
  <c r="AU16"/>
  <c r="AW16" s="1"/>
  <c r="AU17"/>
  <c r="AW17" s="1"/>
  <c r="AU18"/>
  <c r="AW18" s="1"/>
  <c r="AU19"/>
  <c r="AW19" s="1"/>
  <c r="AU20"/>
  <c r="AW20" s="1"/>
  <c r="AU21"/>
  <c r="AW21" s="1"/>
  <c r="AU22"/>
  <c r="AW22" s="1"/>
  <c r="AU23"/>
  <c r="AW23" s="1"/>
  <c r="AU24"/>
  <c r="AW24" s="1"/>
  <c r="AU25"/>
  <c r="AW25" s="1"/>
  <c r="AU26"/>
  <c r="AW26" s="1"/>
  <c r="AU27"/>
  <c r="AW27" s="1"/>
  <c r="AU28"/>
  <c r="AW28" s="1"/>
  <c r="AU29"/>
  <c r="AW29" s="1"/>
  <c r="AU30"/>
  <c r="AW30" s="1"/>
  <c r="AU31"/>
  <c r="AW31" s="1"/>
  <c r="AU32"/>
  <c r="AW32" s="1"/>
  <c r="AM11"/>
  <c r="AO11" s="1"/>
  <c r="AM12"/>
  <c r="AO12" s="1"/>
  <c r="AM13"/>
  <c r="AO13" s="1"/>
  <c r="AM14"/>
  <c r="AO14" s="1"/>
  <c r="AM15"/>
  <c r="AO15" s="1"/>
  <c r="AM16"/>
  <c r="AM17"/>
  <c r="AO17" s="1"/>
  <c r="AM18"/>
  <c r="AO18" s="1"/>
  <c r="AM19"/>
  <c r="AO19" s="1"/>
  <c r="AM20"/>
  <c r="AO20" s="1"/>
  <c r="AM21"/>
  <c r="AO21" s="1"/>
  <c r="AM22"/>
  <c r="AO22" s="1"/>
  <c r="AM23"/>
  <c r="AO23" s="1"/>
  <c r="AM24"/>
  <c r="AM25"/>
  <c r="AO25" s="1"/>
  <c r="AM26"/>
  <c r="AO26" s="1"/>
  <c r="AM27"/>
  <c r="AO27" s="1"/>
  <c r="AM28"/>
  <c r="AM29"/>
  <c r="AO29" s="1"/>
  <c r="AM30"/>
  <c r="AO30" s="1"/>
  <c r="AM31"/>
  <c r="AO31" s="1"/>
  <c r="AM32"/>
  <c r="AO32" s="1"/>
  <c r="AF11"/>
  <c r="AH11" s="1"/>
  <c r="AF12"/>
  <c r="AF13"/>
  <c r="AH13" s="1"/>
  <c r="AF14"/>
  <c r="AH14" s="1"/>
  <c r="AF15"/>
  <c r="AH15" s="1"/>
  <c r="AF16"/>
  <c r="AH16" s="1"/>
  <c r="AF17"/>
  <c r="AH17" s="1"/>
  <c r="AF18"/>
  <c r="AH18" s="1"/>
  <c r="AF19"/>
  <c r="AH19" s="1"/>
  <c r="AF20"/>
  <c r="AH20" s="1"/>
  <c r="AF21"/>
  <c r="AH21" s="1"/>
  <c r="AF22"/>
  <c r="AH22" s="1"/>
  <c r="AF23"/>
  <c r="AH23" s="1"/>
  <c r="AF24"/>
  <c r="AH24" s="1"/>
  <c r="AF25"/>
  <c r="AH25" s="1"/>
  <c r="AF26"/>
  <c r="AH26" s="1"/>
  <c r="AF27"/>
  <c r="AH27" s="1"/>
  <c r="AF28"/>
  <c r="AJ28" s="1"/>
  <c r="AF29"/>
  <c r="AH29" s="1"/>
  <c r="AF30"/>
  <c r="AH30" s="1"/>
  <c r="AF31"/>
  <c r="AH31" s="1"/>
  <c r="AF32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CB29" l="1"/>
  <c r="CB26"/>
  <c r="CB18"/>
  <c r="CB14"/>
  <c r="CB32"/>
  <c r="CB28"/>
  <c r="CB24"/>
  <c r="CB20"/>
  <c r="CB16"/>
  <c r="CB12"/>
  <c r="CB31"/>
  <c r="CB27"/>
  <c r="CB23"/>
  <c r="CB19"/>
  <c r="CB15"/>
  <c r="CB11"/>
  <c r="BL26"/>
  <c r="BL14"/>
  <c r="BD26"/>
  <c r="BD14"/>
  <c r="AQ26"/>
  <c r="AQ14"/>
  <c r="AH12"/>
  <c r="AJ12" s="1"/>
  <c r="AJ27"/>
  <c r="AJ15"/>
  <c r="AO16"/>
  <c r="AQ16" s="1"/>
  <c r="BL25"/>
  <c r="BL13"/>
  <c r="BD25"/>
  <c r="BD13"/>
  <c r="AQ25"/>
  <c r="AQ13"/>
  <c r="AJ26"/>
  <c r="AJ14"/>
  <c r="BL24"/>
  <c r="BL12"/>
  <c r="AQ12"/>
  <c r="AJ25"/>
  <c r="AJ13"/>
  <c r="BL23"/>
  <c r="BL11"/>
  <c r="BD23"/>
  <c r="BD11"/>
  <c r="AQ23"/>
  <c r="AQ11"/>
  <c r="AJ24"/>
  <c r="BT18"/>
  <c r="BL22"/>
  <c r="BD22"/>
  <c r="AQ22"/>
  <c r="AJ23"/>
  <c r="AJ11"/>
  <c r="BL21"/>
  <c r="BD21"/>
  <c r="AQ21"/>
  <c r="AJ22"/>
  <c r="BL32"/>
  <c r="BL20"/>
  <c r="BD20"/>
  <c r="AQ32"/>
  <c r="AQ20"/>
  <c r="AJ21"/>
  <c r="BL31"/>
  <c r="BL19"/>
  <c r="BD31"/>
  <c r="BD19"/>
  <c r="AQ31"/>
  <c r="AQ19"/>
  <c r="AJ20"/>
  <c r="BL30"/>
  <c r="BL18"/>
  <c r="BD30"/>
  <c r="BD18"/>
  <c r="AQ30"/>
  <c r="AQ18"/>
  <c r="AJ31"/>
  <c r="AJ19"/>
  <c r="BL29"/>
  <c r="BL17"/>
  <c r="BD29"/>
  <c r="BD17"/>
  <c r="AQ29"/>
  <c r="AQ17"/>
  <c r="AJ30"/>
  <c r="AJ18"/>
  <c r="BL10"/>
  <c r="BT23"/>
  <c r="BL28"/>
  <c r="BL16"/>
  <c r="BD16"/>
  <c r="AJ29"/>
  <c r="AJ17"/>
  <c r="BL27"/>
  <c r="BL15"/>
  <c r="BD27"/>
  <c r="BD15"/>
  <c r="AQ27"/>
  <c r="AQ15"/>
  <c r="AJ16"/>
  <c r="BB32"/>
  <c r="BD32" s="1"/>
  <c r="BB24"/>
  <c r="BD24" s="1"/>
  <c r="BB28"/>
  <c r="BD28" s="1"/>
  <c r="BB12"/>
  <c r="BD12" s="1"/>
  <c r="BZ29"/>
  <c r="BZ22"/>
  <c r="CB22" s="1"/>
  <c r="BZ13"/>
  <c r="CB13" s="1"/>
  <c r="BZ25"/>
  <c r="CB25" s="1"/>
  <c r="BZ21"/>
  <c r="BZ30"/>
  <c r="CB30" s="1"/>
  <c r="BZ17"/>
  <c r="CB17" s="1"/>
  <c r="BT12"/>
  <c r="BT32"/>
  <c r="BT29"/>
  <c r="BT25"/>
  <c r="BT24"/>
  <c r="BT20"/>
  <c r="BT19"/>
  <c r="BT31"/>
  <c r="BT30"/>
  <c r="BR28"/>
  <c r="BT28" s="1"/>
  <c r="BT27"/>
  <c r="BT26"/>
  <c r="BT22"/>
  <c r="BT21"/>
  <c r="BT17"/>
  <c r="BT16"/>
  <c r="BT15"/>
  <c r="BT14"/>
  <c r="BT13"/>
  <c r="BT11"/>
  <c r="AO28"/>
  <c r="AQ28" s="1"/>
  <c r="AO24"/>
  <c r="AQ24" s="1"/>
  <c r="AH32"/>
  <c r="AJ32" s="1"/>
  <c r="AH28"/>
  <c r="CJ12" l="1"/>
  <c r="CJ13"/>
  <c r="CJ14"/>
  <c r="CJ15"/>
  <c r="CJ17"/>
  <c r="CJ18"/>
  <c r="CJ19"/>
  <c r="CJ21"/>
  <c r="CJ22"/>
  <c r="CJ23"/>
  <c r="CJ24"/>
  <c r="CJ25"/>
  <c r="CJ26"/>
  <c r="CJ27"/>
  <c r="CJ28"/>
  <c r="CJ29"/>
  <c r="CJ30"/>
  <c r="CJ31"/>
  <c r="CJ32"/>
  <c r="Y32"/>
  <c r="Y31"/>
  <c r="Y30"/>
  <c r="N32"/>
  <c r="P32" s="1"/>
  <c r="I32"/>
  <c r="N31"/>
  <c r="P31" s="1"/>
  <c r="I31"/>
  <c r="N30"/>
  <c r="P30" s="1"/>
  <c r="I30"/>
  <c r="K30" l="1"/>
  <c r="Q30" s="1"/>
  <c r="S30" s="1"/>
  <c r="K31"/>
  <c r="Q31" s="1"/>
  <c r="S31" s="1"/>
  <c r="K32"/>
  <c r="Q32" s="1"/>
  <c r="S32" s="1"/>
  <c r="CK32" s="1"/>
  <c r="AC32"/>
  <c r="Z30"/>
  <c r="AA30" s="1"/>
  <c r="AC30" s="1"/>
  <c r="Z32"/>
  <c r="AA32" s="1"/>
  <c r="Z31"/>
  <c r="AA31" s="1"/>
  <c r="AC31" s="1"/>
  <c r="CJ20"/>
  <c r="CJ16"/>
  <c r="CK31" l="1"/>
  <c r="CL31" s="1"/>
  <c r="CK30"/>
  <c r="CL30" s="1"/>
  <c r="CO31"/>
  <c r="CO32"/>
  <c r="CO30"/>
  <c r="CL32"/>
  <c r="CN30" l="1"/>
  <c r="CM30"/>
  <c r="CN31"/>
  <c r="CM31"/>
  <c r="CN32"/>
  <c r="CM32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N12"/>
  <c r="P12" s="1"/>
  <c r="N13"/>
  <c r="P13" s="1"/>
  <c r="N14"/>
  <c r="P14" s="1"/>
  <c r="N15"/>
  <c r="P15" s="1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N27"/>
  <c r="P27" s="1"/>
  <c r="N28"/>
  <c r="P28" s="1"/>
  <c r="N29"/>
  <c r="P29" s="1"/>
  <c r="V10"/>
  <c r="Y21"/>
  <c r="N11"/>
  <c r="I11"/>
  <c r="K27" l="1"/>
  <c r="Q27" s="1"/>
  <c r="S27" s="1"/>
  <c r="K15"/>
  <c r="Q15" s="1"/>
  <c r="S15" s="1"/>
  <c r="K17"/>
  <c r="Q17" s="1"/>
  <c r="S17" s="1"/>
  <c r="K16"/>
  <c r="Q16" s="1"/>
  <c r="S16" s="1"/>
  <c r="K11"/>
  <c r="K26"/>
  <c r="Q26" s="1"/>
  <c r="S26" s="1"/>
  <c r="K14"/>
  <c r="Q14" s="1"/>
  <c r="S14" s="1"/>
  <c r="K22"/>
  <c r="Q22" s="1"/>
  <c r="S22" s="1"/>
  <c r="K21"/>
  <c r="Q21" s="1"/>
  <c r="S21" s="1"/>
  <c r="K19"/>
  <c r="Q19" s="1"/>
  <c r="S19" s="1"/>
  <c r="K18"/>
  <c r="Q18" s="1"/>
  <c r="S18" s="1"/>
  <c r="K25"/>
  <c r="Q25" s="1"/>
  <c r="S25"/>
  <c r="K13"/>
  <c r="Q13" s="1"/>
  <c r="S13" s="1"/>
  <c r="K20"/>
  <c r="Q20" s="1"/>
  <c r="S20" s="1"/>
  <c r="K28"/>
  <c r="Q28" s="1"/>
  <c r="S28"/>
  <c r="K24"/>
  <c r="Q24" s="1"/>
  <c r="S24" s="1"/>
  <c r="K12"/>
  <c r="Q12" s="1"/>
  <c r="S12" s="1"/>
  <c r="K29"/>
  <c r="Q29" s="1"/>
  <c r="S29" s="1"/>
  <c r="K23"/>
  <c r="Q23" s="1"/>
  <c r="S23" s="1"/>
  <c r="Z21"/>
  <c r="AA21" s="1"/>
  <c r="AC21" s="1"/>
  <c r="D6" i="2"/>
  <c r="H31"/>
  <c r="H29"/>
  <c r="H28"/>
  <c r="H27"/>
  <c r="H25"/>
  <c r="G31"/>
  <c r="G29"/>
  <c r="G28"/>
  <c r="G27"/>
  <c r="G26"/>
  <c r="G25"/>
  <c r="G24"/>
  <c r="G23"/>
  <c r="G20"/>
  <c r="G19"/>
  <c r="F31"/>
  <c r="F29"/>
  <c r="F28"/>
  <c r="F27"/>
  <c r="F26"/>
  <c r="F24"/>
  <c r="F23"/>
  <c r="F22"/>
  <c r="F21"/>
  <c r="F20"/>
  <c r="F19"/>
  <c r="E25"/>
  <c r="E24"/>
  <c r="E26"/>
  <c r="E27"/>
  <c r="E28"/>
  <c r="E29"/>
  <c r="E31"/>
  <c r="E23"/>
  <c r="E22"/>
  <c r="E21"/>
  <c r="E20"/>
  <c r="K10"/>
  <c r="CJ11" i="4"/>
  <c r="BW10"/>
  <c r="BO10"/>
  <c r="AF10"/>
  <c r="AM10"/>
  <c r="AZ10"/>
  <c r="AU10"/>
  <c r="AW10" s="1"/>
  <c r="Y11"/>
  <c r="Y12"/>
  <c r="Y13"/>
  <c r="Y14"/>
  <c r="Y15"/>
  <c r="Y16"/>
  <c r="Y17"/>
  <c r="Y18"/>
  <c r="Y19"/>
  <c r="Y20"/>
  <c r="Y22"/>
  <c r="Y23"/>
  <c r="Y24"/>
  <c r="Y25"/>
  <c r="Y26"/>
  <c r="Y28"/>
  <c r="Y29"/>
  <c r="Y10"/>
  <c r="CK21" l="1"/>
  <c r="CL21" s="1"/>
  <c r="Z29"/>
  <c r="AA29" s="1"/>
  <c r="CO29" s="1"/>
  <c r="Z16"/>
  <c r="AA16" s="1"/>
  <c r="CO16" s="1"/>
  <c r="Z26"/>
  <c r="AA26" s="1"/>
  <c r="AC26" s="1"/>
  <c r="CK26" s="1"/>
  <c r="Z12"/>
  <c r="AA12" s="1"/>
  <c r="AC12" s="1"/>
  <c r="CK12" s="1"/>
  <c r="CL12" s="1"/>
  <c r="Z24"/>
  <c r="AA24" s="1"/>
  <c r="CO24" s="1"/>
  <c r="Z23"/>
  <c r="AA23" s="1"/>
  <c r="CO23" s="1"/>
  <c r="Z22"/>
  <c r="AA22" s="1"/>
  <c r="AC22" s="1"/>
  <c r="CK22" s="1"/>
  <c r="CL22" s="1"/>
  <c r="Z20"/>
  <c r="AA20" s="1"/>
  <c r="CO20" s="1"/>
  <c r="AO10"/>
  <c r="AQ10" s="1"/>
  <c r="Z17"/>
  <c r="AA17" s="1"/>
  <c r="CO17" s="1"/>
  <c r="Z28"/>
  <c r="AA28" s="1"/>
  <c r="CO28" s="1"/>
  <c r="Z15"/>
  <c r="AA15" s="1"/>
  <c r="CO15" s="1"/>
  <c r="Z27"/>
  <c r="AA27" s="1"/>
  <c r="CO27" s="1"/>
  <c r="Z14"/>
  <c r="AA14" s="1"/>
  <c r="CO14" s="1"/>
  <c r="Z13"/>
  <c r="AA13" s="1"/>
  <c r="CO13" s="1"/>
  <c r="Z25"/>
  <c r="AA25" s="1"/>
  <c r="CO25" s="1"/>
  <c r="Z19"/>
  <c r="AA19" s="1"/>
  <c r="AC19" s="1"/>
  <c r="CK19" s="1"/>
  <c r="Z18"/>
  <c r="AA18" s="1"/>
  <c r="AC18" s="1"/>
  <c r="BB10"/>
  <c r="BD10" s="1"/>
  <c r="CO21"/>
  <c r="CO22"/>
  <c r="Z11"/>
  <c r="AA11" s="1"/>
  <c r="AC11" s="1"/>
  <c r="K25" i="2"/>
  <c r="I24"/>
  <c r="CH10" i="4"/>
  <c r="CJ10" s="1"/>
  <c r="BZ10"/>
  <c r="CB10" s="1"/>
  <c r="BR10"/>
  <c r="BT10" s="1"/>
  <c r="CO12" l="1"/>
  <c r="AC29"/>
  <c r="CK29" s="1"/>
  <c r="CL29" s="1"/>
  <c r="CM29" s="1"/>
  <c r="AC28"/>
  <c r="CK28" s="1"/>
  <c r="CL28" s="1"/>
  <c r="CN28" s="1"/>
  <c r="AC23"/>
  <c r="CK23" s="1"/>
  <c r="CL23" s="1"/>
  <c r="CM23" s="1"/>
  <c r="AC20"/>
  <c r="CK20" s="1"/>
  <c r="CL20" s="1"/>
  <c r="CN20" s="1"/>
  <c r="AC13"/>
  <c r="AC25"/>
  <c r="AC24"/>
  <c r="CL19"/>
  <c r="CM19" s="1"/>
  <c r="CK18"/>
  <c r="CL18" s="1"/>
  <c r="CM18" s="1"/>
  <c r="AC17"/>
  <c r="AC15"/>
  <c r="AC14"/>
  <c r="CK13"/>
  <c r="CL13" s="1"/>
  <c r="CO19"/>
  <c r="CO26"/>
  <c r="CO18"/>
  <c r="AC27"/>
  <c r="AC16"/>
  <c r="CN21"/>
  <c r="CM21"/>
  <c r="CL26"/>
  <c r="CM12"/>
  <c r="CN12"/>
  <c r="CM22"/>
  <c r="CN22"/>
  <c r="I29" i="2"/>
  <c r="K24"/>
  <c r="K28"/>
  <c r="I28"/>
  <c r="K27"/>
  <c r="I27"/>
  <c r="CI10" i="4"/>
  <c r="I31" i="2"/>
  <c r="K31"/>
  <c r="L31" s="1"/>
  <c r="CA10" i="4"/>
  <c r="K29" i="2"/>
  <c r="BS10" i="4"/>
  <c r="CN29" l="1"/>
  <c r="CM28"/>
  <c r="CN23"/>
  <c r="CM20"/>
  <c r="CN19"/>
  <c r="CN18"/>
  <c r="CK27"/>
  <c r="CL27" s="1"/>
  <c r="CN27" s="1"/>
  <c r="CK25"/>
  <c r="CL25" s="1"/>
  <c r="CK24"/>
  <c r="CL24" s="1"/>
  <c r="CK17"/>
  <c r="CL17" s="1"/>
  <c r="CK16"/>
  <c r="CL16" s="1"/>
  <c r="CN16" s="1"/>
  <c r="CK15"/>
  <c r="CL15" s="1"/>
  <c r="CK14"/>
  <c r="CL14" s="1"/>
  <c r="CN13"/>
  <c r="CM13"/>
  <c r="CN26"/>
  <c r="CM26"/>
  <c r="N10"/>
  <c r="P10" s="1"/>
  <c r="P11"/>
  <c r="CM27" l="1"/>
  <c r="CM25"/>
  <c r="CN25"/>
  <c r="CN24"/>
  <c r="CM24"/>
  <c r="CM17"/>
  <c r="CN17"/>
  <c r="CM16"/>
  <c r="CM15"/>
  <c r="CN15"/>
  <c r="CM14"/>
  <c r="CN14"/>
  <c r="AH10"/>
  <c r="AJ10" s="1"/>
  <c r="K10"/>
  <c r="Q10" s="1"/>
  <c r="Z10"/>
  <c r="AA10" s="1"/>
  <c r="AC10" s="1"/>
  <c r="K26" i="2" l="1"/>
  <c r="I26"/>
  <c r="K21"/>
  <c r="I21"/>
  <c r="K23"/>
  <c r="I23"/>
  <c r="BK10" i="4"/>
  <c r="AV10"/>
  <c r="AP10"/>
  <c r="Q11"/>
  <c r="S11" s="1"/>
  <c r="CK11" s="1"/>
  <c r="CO10" l="1"/>
  <c r="S10"/>
  <c r="CK10" s="1"/>
  <c r="CL11"/>
  <c r="CO11"/>
  <c r="AB10"/>
  <c r="I19" i="2"/>
  <c r="I32" s="1"/>
  <c r="BC10" i="4"/>
  <c r="AI10"/>
  <c r="R10"/>
  <c r="L22" i="2"/>
  <c r="L20"/>
  <c r="E19"/>
  <c r="K19" l="1"/>
  <c r="CL10" i="4"/>
  <c r="M19" i="2" s="1"/>
  <c r="CM11" i="4"/>
  <c r="CN11"/>
  <c r="F36" i="2" l="1"/>
  <c r="CM10" i="4"/>
  <c r="CN10"/>
  <c r="F34" i="2"/>
  <c r="D8"/>
  <c r="D7"/>
  <c r="K8" l="1"/>
  <c r="K9"/>
  <c r="D9" l="1"/>
  <c r="K7"/>
  <c r="D10" l="1"/>
  <c r="M10" l="1"/>
  <c r="G36"/>
  <c r="J25" l="1"/>
  <c r="J27"/>
  <c r="J24"/>
  <c r="J26"/>
  <c r="L21" l="1"/>
  <c r="L28"/>
  <c r="L27"/>
  <c r="L29"/>
  <c r="L26"/>
  <c r="L25"/>
  <c r="J21"/>
  <c r="J31"/>
  <c r="L24"/>
  <c r="M28"/>
  <c r="M20"/>
  <c r="M29"/>
  <c r="M27"/>
  <c r="M24"/>
  <c r="M21"/>
  <c r="M25"/>
  <c r="M32"/>
  <c r="M22"/>
  <c r="M30"/>
  <c r="M23"/>
  <c r="M31"/>
  <c r="J29"/>
  <c r="J28"/>
  <c r="M26"/>
  <c r="J19"/>
  <c r="L23" l="1"/>
  <c r="J23"/>
  <c r="L19"/>
</calcChain>
</file>

<file path=xl/sharedStrings.xml><?xml version="1.0" encoding="utf-8"?>
<sst xmlns="http://schemas.openxmlformats.org/spreadsheetml/2006/main" count="272" uniqueCount="183">
  <si>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</si>
  <si>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</si>
  <si>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</si>
  <si>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</si>
  <si>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</si>
  <si>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</si>
  <si>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</si>
  <si>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</si>
  <si>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</si>
  <si>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</si>
  <si>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</si>
  <si>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</si>
  <si>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</si>
  <si>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</si>
  <si>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</si>
  <si>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</si>
  <si>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</si>
  <si>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</si>
  <si>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</si>
  <si>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</si>
  <si>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</si>
  <si>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</si>
  <si>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</si>
  <si>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</si>
  <si>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</si>
  <si>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</si>
  <si>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</si>
  <si>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</si>
  <si>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</si>
  <si>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</si>
  <si>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</si>
  <si>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</si>
  <si>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</si>
  <si>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</si>
  <si>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</si>
  <si>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ABOVE - 2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</si>
  <si>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</si>
  <si>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</si>
  <si>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</si>
  <si>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</si>
  <si>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</si>
  <si>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</si>
  <si>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PHYSICS</t>
  </si>
  <si>
    <t>CHEMISTRY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</si>
  <si>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</si>
  <si>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</si>
  <si>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</si>
  <si>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</si>
  <si>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</si>
  <si>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</si>
  <si>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</si>
  <si>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</si>
  <si>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</si>
  <si>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BIOLOGY / H-MATH / AG</t>
  </si>
  <si>
    <t>Fahther`s Name</t>
  </si>
  <si>
    <t>H
MARK</t>
  </si>
  <si>
    <t>TOTAL 100%</t>
  </si>
  <si>
    <t>BIOLOGY /H-MATH /AG</t>
  </si>
  <si>
    <t>MT+CR</t>
  </si>
  <si>
    <t>GRADE</t>
  </si>
  <si>
    <t>:</t>
  </si>
  <si>
    <t>CLASS</t>
  </si>
  <si>
    <t>SECTION</t>
  </si>
  <si>
    <t>TOTAL STUDENT'S</t>
  </si>
  <si>
    <t>WORKING DAYS</t>
  </si>
  <si>
    <t>BIOLOGY / H.MATH</t>
  </si>
  <si>
    <t>MT+80%</t>
  </si>
  <si>
    <t>TEN</t>
  </si>
  <si>
    <t>MD. MUSFIQUR RAHMAN</t>
  </si>
  <si>
    <t>POSITION OF THE EXAMINEE                :</t>
  </si>
  <si>
    <t>01676-255489</t>
  </si>
  <si>
    <t>STUDENT'S BEHAVIOUR AND SKILL   :</t>
  </si>
  <si>
    <t xml:space="preserve">        Class Teacher</t>
  </si>
  <si>
    <t>Co-Ordinator</t>
  </si>
  <si>
    <t>Principal (Acting)</t>
  </si>
  <si>
    <t>Science -A</t>
  </si>
  <si>
    <t>S.M. Arafat Ahmed</t>
  </si>
  <si>
    <t>S.M. Shabbir Ahmed</t>
  </si>
  <si>
    <t>Kakon</t>
  </si>
  <si>
    <t xml:space="preserve">A.S.M Riyad </t>
  </si>
  <si>
    <t xml:space="preserve">Md. Shahbul Haque </t>
  </si>
  <si>
    <t xml:space="preserve">Al Asmanul Husna </t>
  </si>
  <si>
    <t xml:space="preserve">Tahmid Bin Showayeb </t>
  </si>
  <si>
    <t xml:space="preserve">Md. Showayeb </t>
  </si>
  <si>
    <t xml:space="preserve">Farida Yasmin </t>
  </si>
  <si>
    <t>Topajjal Hossen Raton</t>
  </si>
  <si>
    <t xml:space="preserve">Moyna Akter </t>
  </si>
  <si>
    <t xml:space="preserve">Nadia Alam Nilima </t>
  </si>
  <si>
    <t xml:space="preserve">Mohammad Nur Alam </t>
  </si>
  <si>
    <t xml:space="preserve">Minoara Alam </t>
  </si>
  <si>
    <t xml:space="preserve">Kamrozzaman </t>
  </si>
  <si>
    <t>Sila</t>
  </si>
  <si>
    <t xml:space="preserve">Nasif Rahman </t>
  </si>
  <si>
    <t xml:space="preserve">A.K.M. Shahidur Rahman </t>
  </si>
  <si>
    <t xml:space="preserve">Maksuda Akter </t>
  </si>
  <si>
    <t xml:space="preserve">Md. Tanvir Mahamud </t>
  </si>
  <si>
    <t xml:space="preserve">Md. Humayun Kobir </t>
  </si>
  <si>
    <t>Lilay</t>
  </si>
  <si>
    <t>Md. Taufiq Islam</t>
  </si>
  <si>
    <t>Md. Jekrul Islam</t>
  </si>
  <si>
    <t xml:space="preserve">Most. Fenshe Begum </t>
  </si>
  <si>
    <t>Mithila Yesmin</t>
  </si>
  <si>
    <t>Md Shahidul Islam</t>
  </si>
  <si>
    <t>Nazma Yesmin</t>
  </si>
  <si>
    <t>Sadia Islam Towa</t>
  </si>
  <si>
    <t xml:space="preserve">Md. Safiqul Islam </t>
  </si>
  <si>
    <t xml:space="preserve">Hasina Akter </t>
  </si>
  <si>
    <t xml:space="preserve">Atikur Rahman Atik </t>
  </si>
  <si>
    <t xml:space="preserve">Kamrul Islam </t>
  </si>
  <si>
    <t>Aysha Begum</t>
  </si>
  <si>
    <t xml:space="preserve">Md. Abdur Rahman </t>
  </si>
  <si>
    <t xml:space="preserve">Md. Mokbul Hasan </t>
  </si>
  <si>
    <t xml:space="preserve">Mst. Afroza Parvin </t>
  </si>
  <si>
    <t xml:space="preserve">Sadia Afrin </t>
  </si>
  <si>
    <t xml:space="preserve">Md. Abdullah </t>
  </si>
  <si>
    <t xml:space="preserve">Rubia Akter </t>
  </si>
  <si>
    <t xml:space="preserve">Shikto Sarker </t>
  </si>
  <si>
    <t xml:space="preserve">Nanda Sarker </t>
  </si>
  <si>
    <t xml:space="preserve">Shuma Sarker </t>
  </si>
  <si>
    <t>Md. Abdullah Al Araf</t>
  </si>
  <si>
    <t>Md. Alamgir Hossain Howlader</t>
  </si>
  <si>
    <t>Mst Shanaz Begum</t>
  </si>
  <si>
    <t>Srizan Mahmud Shovon</t>
  </si>
  <si>
    <t>Md Shahadat Hossain</t>
  </si>
  <si>
    <t>Fazila Khatun</t>
  </si>
  <si>
    <t>01329-743049 01727-001153</t>
  </si>
  <si>
    <t>01915-686736      01956-805507</t>
  </si>
  <si>
    <t>01912-049061</t>
  </si>
  <si>
    <t>01991-320759</t>
  </si>
  <si>
    <t>01779-913642</t>
  </si>
  <si>
    <t>01712-697977                     01762-505670</t>
  </si>
  <si>
    <t>01631-243518</t>
  </si>
  <si>
    <t>01735-900839                 01915-927643</t>
  </si>
  <si>
    <t>01829-871907</t>
  </si>
  <si>
    <t>01932-998456    01995-110591</t>
  </si>
  <si>
    <t>01911-892274      01952-661314</t>
  </si>
  <si>
    <t>01721-361720     01942-554754</t>
  </si>
  <si>
    <t>01852-061971</t>
  </si>
  <si>
    <t>01710-670870</t>
  </si>
  <si>
    <t>01719-592848                                    01737-248529</t>
  </si>
  <si>
    <t>01727-647096</t>
  </si>
  <si>
    <t>01999-581228</t>
  </si>
  <si>
    <t>BIOLOGY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</si>
  <si>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Pre-Test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</si>
  <si>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PRE-TEST EXAMINATION TABULATION SHEET-2025
CLASS-TEN (SCIENCE-A)</t>
    </r>
  </si>
  <si>
    <t>Mehedi Hasan Siam</t>
  </si>
  <si>
    <t>Md. Monsur Alam</t>
  </si>
  <si>
    <t>Nahida Akter</t>
  </si>
  <si>
    <t xml:space="preserve">Amir Hasan Abir </t>
  </si>
  <si>
    <t xml:space="preserve">Md. Faruk Sarker </t>
  </si>
  <si>
    <t xml:space="preserve">Mst. Afifa Akter </t>
  </si>
  <si>
    <t xml:space="preserve">Md. Mehedi Hasan Riad </t>
  </si>
  <si>
    <t xml:space="preserve">Md. Korban Ali </t>
  </si>
  <si>
    <t xml:space="preserve">Mst. Rehena Begum </t>
  </si>
  <si>
    <t>Md. Himel Mia</t>
  </si>
  <si>
    <t xml:space="preserve">Hiron Mia </t>
  </si>
  <si>
    <t xml:space="preserve">Fahima Akter </t>
  </si>
  <si>
    <t xml:space="preserve">Jannatul Ferdous </t>
  </si>
  <si>
    <t xml:space="preserve">Argina Khatun </t>
  </si>
  <si>
    <t>01890-354780</t>
  </si>
  <si>
    <t>01883-500477</t>
  </si>
  <si>
    <t>01712-040633</t>
  </si>
  <si>
    <t>01725-691223                     01904-477779</t>
  </si>
  <si>
    <t>01705-760356     01928-486730</t>
  </si>
  <si>
    <t>Md. Shariful Islam</t>
  </si>
  <si>
    <t xml:space="preserve">Mahmudujjaman Labib </t>
  </si>
  <si>
    <t xml:space="preserve">Mummed Rafi </t>
  </si>
  <si>
    <t>6th</t>
  </si>
  <si>
    <t>23rd</t>
  </si>
  <si>
    <t>7th</t>
  </si>
  <si>
    <t>3rd</t>
  </si>
  <si>
    <t>9th</t>
  </si>
  <si>
    <t>5th</t>
  </si>
  <si>
    <t>8th</t>
  </si>
  <si>
    <t>15th</t>
  </si>
  <si>
    <t>10th</t>
  </si>
  <si>
    <t>Ab</t>
  </si>
  <si>
    <t>14th</t>
  </si>
  <si>
    <t>19th</t>
  </si>
  <si>
    <t>11th</t>
  </si>
  <si>
    <t>25th</t>
  </si>
  <si>
    <t>F1</t>
  </si>
  <si>
    <t>4th</t>
  </si>
</sst>
</file>

<file path=xl/styles.xml><?xml version="1.0" encoding="utf-8"?>
<styleSheet xmlns="http://schemas.openxmlformats.org/spreadsheetml/2006/main">
  <numFmts count="1">
    <numFmt numFmtId="164" formatCode="00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color theme="1"/>
      <name val="Algerian"/>
      <family val="5"/>
    </font>
    <font>
      <sz val="14"/>
      <color theme="3" tint="-0.249977111117893"/>
      <name val="Algerian"/>
      <family val="5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10"/>
      <color theme="1"/>
      <name val="Arial Narrow"/>
      <family val="2"/>
    </font>
    <font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b/>
      <sz val="6"/>
      <color theme="1"/>
      <name val="Times New Roman"/>
      <family val="1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3"/>
      <name val="Times New Roman"/>
      <family val="1"/>
    </font>
    <font>
      <sz val="10"/>
      <name val="Arial"/>
      <family val="2"/>
    </font>
    <font>
      <sz val="14"/>
      <color theme="1"/>
      <name val="Arial"/>
      <family val="2"/>
    </font>
    <font>
      <u/>
      <sz val="14"/>
      <color theme="1"/>
      <name val="Calibri"/>
      <family val="2"/>
      <scheme val="minor"/>
    </font>
    <font>
      <u/>
      <sz val="14"/>
      <color theme="1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b/>
      <sz val="9"/>
      <color theme="1"/>
      <name val="Times New Roman"/>
      <family val="1"/>
    </font>
    <font>
      <sz val="12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0" fillId="0" borderId="0"/>
  </cellStyleXfs>
  <cellXfs count="14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" fontId="0" fillId="0" borderId="0" xfId="0" applyNumberFormat="1"/>
    <xf numFmtId="0" fontId="19" fillId="0" borderId="0" xfId="0" applyFont="1"/>
    <xf numFmtId="0" fontId="19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/>
    <xf numFmtId="0" fontId="14" fillId="2" borderId="14" xfId="0" applyFont="1" applyFill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1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8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7" fillId="2" borderId="0" xfId="0" applyFont="1" applyFill="1"/>
    <xf numFmtId="0" fontId="38" fillId="0" borderId="0" xfId="0" applyFont="1"/>
    <xf numFmtId="0" fontId="37" fillId="2" borderId="0" xfId="0" applyFont="1" applyFill="1" applyAlignment="1">
      <alignment vertical="center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center" vertical="center" wrapText="1"/>
    </xf>
    <xf numFmtId="0" fontId="20" fillId="2" borderId="15" xfId="0" applyFont="1" applyFill="1" applyBorder="1" applyAlignment="1">
      <alignment horizontal="center" vertical="center"/>
    </xf>
    <xf numFmtId="0" fontId="39" fillId="0" borderId="1" xfId="0" applyFont="1" applyBorder="1" applyAlignment="1">
      <alignment horizontal="left" vertical="center"/>
    </xf>
    <xf numFmtId="0" fontId="39" fillId="0" borderId="1" xfId="0" applyFont="1" applyBorder="1" applyAlignment="1">
      <alignment horizontal="left" vertical="center" wrapText="1"/>
    </xf>
    <xf numFmtId="1" fontId="41" fillId="0" borderId="1" xfId="0" applyNumberFormat="1" applyFont="1" applyBorder="1" applyAlignment="1">
      <alignment horizontal="center" vertical="center"/>
    </xf>
    <xf numFmtId="1" fontId="41" fillId="2" borderId="1" xfId="0" applyNumberFormat="1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0" fontId="28" fillId="0" borderId="2" xfId="0" applyFont="1" applyBorder="1" applyAlignment="1">
      <alignment horizontal="center" vertical="center" wrapText="1"/>
    </xf>
    <xf numFmtId="0" fontId="28" fillId="0" borderId="3" xfId="0" applyFont="1" applyBorder="1" applyAlignment="1">
      <alignment horizontal="center" vertical="center" wrapText="1"/>
    </xf>
    <xf numFmtId="0" fontId="46" fillId="0" borderId="2" xfId="0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textRotation="90"/>
    </xf>
    <xf numFmtId="0" fontId="6" fillId="2" borderId="3" xfId="0" applyFont="1" applyFill="1" applyBorder="1" applyAlignment="1">
      <alignment horizontal="center" vertical="center" textRotation="90"/>
    </xf>
    <xf numFmtId="0" fontId="13" fillId="2" borderId="3" xfId="0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3" xfId="0" applyNumberFormat="1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1" fillId="2" borderId="0" xfId="0" applyFont="1" applyFill="1" applyAlignment="1">
      <alignment horizontal="center" vertical="center" wrapText="1"/>
    </xf>
    <xf numFmtId="0" fontId="30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14" fillId="2" borderId="14" xfId="0" applyFont="1" applyFill="1" applyBorder="1" applyAlignment="1">
      <alignment horizontal="center"/>
    </xf>
    <xf numFmtId="1" fontId="15" fillId="2" borderId="14" xfId="0" applyNumberFormat="1" applyFont="1" applyFill="1" applyBorder="1" applyAlignment="1">
      <alignment horizontal="left"/>
    </xf>
    <xf numFmtId="0" fontId="15" fillId="2" borderId="14" xfId="0" applyFont="1" applyFill="1" applyBorder="1" applyAlignment="1">
      <alignment horizontal="left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9" fillId="2" borderId="1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1" fontId="6" fillId="2" borderId="4" xfId="0" applyNumberFormat="1" applyFont="1" applyFill="1" applyBorder="1" applyAlignment="1">
      <alignment horizontal="center" vertical="center" textRotation="90" wrapText="1"/>
    </xf>
    <xf numFmtId="1" fontId="6" fillId="2" borderId="3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4" xfId="0" applyNumberFormat="1" applyFont="1" applyFill="1" applyBorder="1" applyAlignment="1">
      <alignment horizontal="center" vertical="center" textRotation="90"/>
    </xf>
    <xf numFmtId="1" fontId="6" fillId="2" borderId="3" xfId="0" applyNumberFormat="1" applyFont="1" applyFill="1" applyBorder="1" applyAlignment="1">
      <alignment horizontal="center" vertical="center" textRotation="90"/>
    </xf>
    <xf numFmtId="0" fontId="14" fillId="2" borderId="14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  <xf numFmtId="2" fontId="22" fillId="2" borderId="1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7" fillId="2" borderId="0" xfId="0" applyFont="1" applyFill="1" applyAlignment="1">
      <alignment horizontal="center" vertical="center"/>
    </xf>
    <xf numFmtId="164" fontId="47" fillId="0" borderId="7" xfId="2" applyNumberFormat="1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164" fontId="47" fillId="0" borderId="1" xfId="2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2" fontId="48" fillId="0" borderId="1" xfId="1" applyNumberFormat="1" applyFont="1" applyFill="1" applyBorder="1" applyAlignment="1">
      <alignment horizontal="center" vertical="center"/>
    </xf>
    <xf numFmtId="2" fontId="48" fillId="0" borderId="2" xfId="1" applyNumberFormat="1" applyFont="1" applyFill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2" borderId="1" xfId="0" applyFont="1" applyFill="1" applyBorder="1" applyAlignment="1">
      <alignment horizontal="center" vertical="center"/>
    </xf>
    <xf numFmtId="1" fontId="48" fillId="2" borderId="1" xfId="0" applyNumberFormat="1" applyFont="1" applyFill="1" applyBorder="1" applyAlignment="1">
      <alignment horizontal="center" vertical="center"/>
    </xf>
    <xf numFmtId="0" fontId="47" fillId="2" borderId="1" xfId="0" applyFont="1" applyFill="1" applyBorder="1" applyAlignment="1">
      <alignment horizontal="center" vertical="center"/>
    </xf>
    <xf numFmtId="2" fontId="48" fillId="2" borderId="1" xfId="1" applyNumberFormat="1" applyFont="1" applyFill="1" applyBorder="1" applyAlignment="1">
      <alignment horizontal="center" vertical="center"/>
    </xf>
    <xf numFmtId="2" fontId="48" fillId="2" borderId="2" xfId="1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2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1.png"/><Relationship Id="rId1" Type="http://schemas.openxmlformats.org/officeDocument/2006/relationships/image" Target="../media/image2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166388</xdr:colOff>
      <xdr:row>1</xdr:row>
      <xdr:rowOff>54429</xdr:rowOff>
    </xdr:from>
    <xdr:to>
      <xdr:col>33</xdr:col>
      <xdr:colOff>66012</xdr:colOff>
      <xdr:row>5</xdr:row>
      <xdr:rowOff>111629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5460817" y="54429"/>
          <a:ext cx="100180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37</xdr:row>
      <xdr:rowOff>180975</xdr:rowOff>
    </xdr:from>
    <xdr:to>
      <xdr:col>12</xdr:col>
      <xdr:colOff>501160</xdr:colOff>
      <xdr:row>39</xdr:row>
      <xdr:rowOff>187072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577526</xdr:colOff>
      <xdr:row>1</xdr:row>
      <xdr:rowOff>143069</xdr:rowOff>
    </xdr:from>
    <xdr:to>
      <xdr:col>3</xdr:col>
      <xdr:colOff>190500</xdr:colOff>
      <xdr:row>4</xdr:row>
      <xdr:rowOff>300443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663251" y="476444"/>
          <a:ext cx="975049" cy="11003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133350</xdr:colOff>
      <xdr:row>38</xdr:row>
      <xdr:rowOff>137621</xdr:rowOff>
    </xdr:from>
    <xdr:to>
      <xdr:col>8</xdr:col>
      <xdr:colOff>9525</xdr:colOff>
      <xdr:row>39</xdr:row>
      <xdr:rowOff>171448</xdr:rowOff>
    </xdr:to>
    <xdr:pic>
      <xdr:nvPicPr>
        <xdr:cNvPr id="5" name="Picture 4" descr="v¦v¦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333750" y="10329371"/>
          <a:ext cx="800100" cy="224327"/>
        </a:xfrm>
        <a:prstGeom prst="rect">
          <a:avLst/>
        </a:prstGeom>
      </xdr:spPr>
    </xdr:pic>
    <xdr:clientData/>
  </xdr:twoCellAnchor>
  <xdr:twoCellAnchor editAs="oneCell">
    <xdr:from>
      <xdr:col>2</xdr:col>
      <xdr:colOff>323850</xdr:colOff>
      <xdr:row>37</xdr:row>
      <xdr:rowOff>161925</xdr:rowOff>
    </xdr:from>
    <xdr:to>
      <xdr:col>3</xdr:col>
      <xdr:colOff>334889</xdr:colOff>
      <xdr:row>40</xdr:row>
      <xdr:rowOff>57149</xdr:rowOff>
    </xdr:to>
    <xdr:pic>
      <xdr:nvPicPr>
        <xdr:cNvPr id="7" name="Picture 6" descr="Musfik sir.jpg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14425" y="10163175"/>
          <a:ext cx="668264" cy="4667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CQ4304"/>
  <sheetViews>
    <sheetView tabSelected="1" topLeftCell="AY2" zoomScale="85" zoomScaleNormal="85" workbookViewId="0">
      <selection activeCell="G10" sqref="G10:CM32"/>
    </sheetView>
  </sheetViews>
  <sheetFormatPr defaultColWidth="5.7109375" defaultRowHeight="18.75"/>
  <cols>
    <col min="3" max="3" width="26.85546875" style="16" bestFit="1" customWidth="1"/>
    <col min="4" max="4" width="33.5703125" style="16" bestFit="1" customWidth="1"/>
    <col min="5" max="5" width="23.5703125" style="16" bestFit="1" customWidth="1"/>
    <col min="6" max="6" width="15.140625" style="16" bestFit="1" customWidth="1"/>
    <col min="7" max="89" width="5.42578125" customWidth="1"/>
    <col min="90" max="90" width="6.7109375" bestFit="1" customWidth="1"/>
    <col min="91" max="91" width="5.42578125" customWidth="1"/>
    <col min="92" max="92" width="20.140625" customWidth="1"/>
    <col min="93" max="93" width="6.42578125" bestFit="1" customWidth="1"/>
    <col min="94" max="94" width="7" style="57" customWidth="1"/>
  </cols>
  <sheetData>
    <row r="1" spans="1:95" hidden="1"/>
    <row r="2" spans="1:95" ht="14.45" customHeight="1">
      <c r="A2" s="75" t="s">
        <v>144</v>
      </c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75"/>
      <c r="AU2" s="75"/>
      <c r="AV2" s="75"/>
      <c r="AW2" s="75"/>
      <c r="AX2" s="75"/>
      <c r="AY2" s="75"/>
      <c r="AZ2" s="75"/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75"/>
      <c r="BP2" s="75"/>
      <c r="BQ2" s="75"/>
      <c r="BR2" s="75"/>
      <c r="BS2" s="75"/>
      <c r="BT2" s="75"/>
      <c r="BU2" s="75"/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  <c r="CJ2" s="75"/>
      <c r="CK2" s="75"/>
      <c r="CL2" s="75"/>
      <c r="CM2" s="75"/>
      <c r="CN2" s="75"/>
      <c r="CO2" s="75"/>
    </row>
    <row r="3" spans="1:95" ht="20.45" customHeight="1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5"/>
      <c r="BA3" s="75"/>
      <c r="BB3" s="75"/>
      <c r="BC3" s="75"/>
      <c r="BD3" s="75"/>
      <c r="BE3" s="75"/>
      <c r="BF3" s="75"/>
      <c r="BG3" s="75"/>
      <c r="BH3" s="75"/>
      <c r="BI3" s="75"/>
      <c r="BJ3" s="75"/>
      <c r="BK3" s="75"/>
      <c r="BL3" s="75"/>
      <c r="BM3" s="75"/>
      <c r="BN3" s="75"/>
      <c r="BO3" s="75"/>
      <c r="BP3" s="75"/>
      <c r="BQ3" s="75"/>
      <c r="BR3" s="75"/>
      <c r="BS3" s="75"/>
      <c r="BT3" s="75"/>
      <c r="BU3" s="75"/>
      <c r="BV3" s="75"/>
      <c r="BW3" s="75"/>
      <c r="BX3" s="75"/>
      <c r="BY3" s="75"/>
      <c r="BZ3" s="75"/>
      <c r="CA3" s="75"/>
      <c r="CB3" s="75"/>
      <c r="CC3" s="75"/>
      <c r="CD3" s="75"/>
      <c r="CE3" s="75"/>
      <c r="CF3" s="75"/>
      <c r="CG3" s="75"/>
      <c r="CH3" s="75"/>
      <c r="CI3" s="75"/>
      <c r="CJ3" s="75"/>
      <c r="CK3" s="75"/>
      <c r="CL3" s="75"/>
      <c r="CM3" s="75"/>
      <c r="CN3" s="75"/>
      <c r="CO3" s="75"/>
    </row>
    <row r="4" spans="1:95" ht="24.6" customHeight="1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75"/>
      <c r="BQ4" s="75"/>
      <c r="BR4" s="75"/>
      <c r="BS4" s="75"/>
      <c r="BT4" s="75"/>
      <c r="BU4" s="75"/>
      <c r="BV4" s="75"/>
      <c r="BW4" s="75"/>
      <c r="BX4" s="75"/>
      <c r="BY4" s="75"/>
      <c r="BZ4" s="75"/>
      <c r="CA4" s="75"/>
      <c r="CB4" s="75"/>
      <c r="CC4" s="75"/>
      <c r="CD4" s="75"/>
      <c r="CE4" s="75"/>
      <c r="CF4" s="75"/>
      <c r="CG4" s="75"/>
      <c r="CH4" s="75"/>
      <c r="CI4" s="75"/>
      <c r="CJ4" s="75"/>
      <c r="CK4" s="75"/>
      <c r="CL4" s="75"/>
      <c r="CM4" s="75"/>
      <c r="CN4" s="75"/>
      <c r="CO4" s="75"/>
      <c r="CP4" s="70"/>
    </row>
    <row r="5" spans="1:95" ht="24.6" customHeight="1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I5" s="75"/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0"/>
    </row>
    <row r="6" spans="1:95" ht="15" customHeight="1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0"/>
    </row>
    <row r="7" spans="1:95" s="6" customFormat="1" ht="24">
      <c r="B7" s="7"/>
      <c r="C7" s="9" t="s">
        <v>39</v>
      </c>
      <c r="D7" s="9" t="s">
        <v>68</v>
      </c>
      <c r="E7" s="9" t="s">
        <v>50</v>
      </c>
      <c r="F7" s="18" t="s">
        <v>70</v>
      </c>
      <c r="G7" s="7" t="s">
        <v>49</v>
      </c>
      <c r="H7" s="7" t="s">
        <v>67</v>
      </c>
      <c r="I7" s="19" t="s">
        <v>48</v>
      </c>
      <c r="J7" s="20" t="s">
        <v>75</v>
      </c>
      <c r="K7" s="76" t="s">
        <v>41</v>
      </c>
      <c r="L7" s="76"/>
      <c r="M7" s="7">
        <v>44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58"/>
    </row>
    <row r="8" spans="1:95" s="11" customFormat="1" ht="23.1" customHeight="1">
      <c r="A8" s="64" t="s">
        <v>10</v>
      </c>
      <c r="B8" s="64" t="s">
        <v>0</v>
      </c>
      <c r="C8" s="66" t="s">
        <v>15</v>
      </c>
      <c r="D8" s="66" t="s">
        <v>54</v>
      </c>
      <c r="E8" s="66" t="s">
        <v>14</v>
      </c>
      <c r="F8" s="67" t="s">
        <v>17</v>
      </c>
      <c r="G8" s="65" t="s">
        <v>19</v>
      </c>
      <c r="H8" s="65"/>
      <c r="I8" s="65"/>
      <c r="J8" s="65"/>
      <c r="K8" s="68" t="s">
        <v>56</v>
      </c>
      <c r="L8" s="65" t="s">
        <v>18</v>
      </c>
      <c r="M8" s="65"/>
      <c r="N8" s="65"/>
      <c r="O8" s="65"/>
      <c r="P8" s="68" t="s">
        <v>56</v>
      </c>
      <c r="Q8" s="65" t="s">
        <v>1</v>
      </c>
      <c r="R8" s="65" t="s">
        <v>55</v>
      </c>
      <c r="S8" s="65" t="s">
        <v>2</v>
      </c>
      <c r="T8" s="65" t="s">
        <v>11</v>
      </c>
      <c r="U8" s="65"/>
      <c r="V8" s="65"/>
      <c r="W8" s="65"/>
      <c r="X8" s="65"/>
      <c r="Y8" s="65"/>
      <c r="Z8" s="68" t="s">
        <v>56</v>
      </c>
      <c r="AA8" s="68" t="s">
        <v>1</v>
      </c>
      <c r="AB8" s="65" t="s">
        <v>55</v>
      </c>
      <c r="AC8" s="65" t="s">
        <v>2</v>
      </c>
      <c r="AD8" s="65" t="s">
        <v>44</v>
      </c>
      <c r="AE8" s="65"/>
      <c r="AF8" s="65"/>
      <c r="AG8" s="65"/>
      <c r="AH8" s="65" t="s">
        <v>1</v>
      </c>
      <c r="AI8" s="65" t="s">
        <v>55</v>
      </c>
      <c r="AJ8" s="65" t="s">
        <v>2</v>
      </c>
      <c r="AK8" s="65" t="s">
        <v>3</v>
      </c>
      <c r="AL8" s="65"/>
      <c r="AM8" s="65"/>
      <c r="AN8" s="65"/>
      <c r="AO8" s="65" t="s">
        <v>1</v>
      </c>
      <c r="AP8" s="65" t="s">
        <v>55</v>
      </c>
      <c r="AQ8" s="65" t="s">
        <v>2</v>
      </c>
      <c r="AR8" s="65" t="s">
        <v>4</v>
      </c>
      <c r="AS8" s="65"/>
      <c r="AT8" s="65"/>
      <c r="AU8" s="65" t="s">
        <v>1</v>
      </c>
      <c r="AV8" s="65" t="s">
        <v>55</v>
      </c>
      <c r="AW8" s="65" t="s">
        <v>2</v>
      </c>
      <c r="AX8" s="65" t="s">
        <v>52</v>
      </c>
      <c r="AY8" s="65"/>
      <c r="AZ8" s="65"/>
      <c r="BA8" s="65"/>
      <c r="BB8" s="65" t="s">
        <v>1</v>
      </c>
      <c r="BC8" s="65" t="s">
        <v>55</v>
      </c>
      <c r="BD8" s="65" t="s">
        <v>2</v>
      </c>
      <c r="BE8" s="65" t="s">
        <v>42</v>
      </c>
      <c r="BF8" s="65"/>
      <c r="BG8" s="65"/>
      <c r="BH8" s="65"/>
      <c r="BI8" s="65"/>
      <c r="BJ8" s="65" t="s">
        <v>1</v>
      </c>
      <c r="BK8" s="65" t="s">
        <v>55</v>
      </c>
      <c r="BL8" s="65" t="s">
        <v>2</v>
      </c>
      <c r="BM8" s="65" t="s">
        <v>43</v>
      </c>
      <c r="BN8" s="65"/>
      <c r="BO8" s="65"/>
      <c r="BP8" s="65"/>
      <c r="BQ8" s="65"/>
      <c r="BR8" s="65" t="s">
        <v>1</v>
      </c>
      <c r="BS8" s="65" t="s">
        <v>55</v>
      </c>
      <c r="BT8" s="65" t="s">
        <v>2</v>
      </c>
      <c r="BU8" s="65" t="s">
        <v>142</v>
      </c>
      <c r="BV8" s="65"/>
      <c r="BW8" s="65"/>
      <c r="BX8" s="65"/>
      <c r="BY8" s="65"/>
      <c r="BZ8" s="65" t="s">
        <v>1</v>
      </c>
      <c r="CA8" s="65" t="s">
        <v>55</v>
      </c>
      <c r="CB8" s="65" t="s">
        <v>2</v>
      </c>
      <c r="CC8" s="65" t="s">
        <v>57</v>
      </c>
      <c r="CD8" s="65"/>
      <c r="CE8" s="65"/>
      <c r="CF8" s="65"/>
      <c r="CG8" s="65"/>
      <c r="CH8" s="65" t="s">
        <v>1</v>
      </c>
      <c r="CI8" s="65" t="s">
        <v>55</v>
      </c>
      <c r="CJ8" s="68" t="s">
        <v>2</v>
      </c>
      <c r="CK8" s="65" t="s">
        <v>5</v>
      </c>
      <c r="CL8" s="65" t="s">
        <v>6</v>
      </c>
      <c r="CM8" s="68" t="s">
        <v>59</v>
      </c>
      <c r="CN8" s="68" t="s">
        <v>45</v>
      </c>
      <c r="CO8" s="71" t="s">
        <v>46</v>
      </c>
      <c r="CP8" s="73" t="s">
        <v>51</v>
      </c>
      <c r="CQ8" s="68" t="s">
        <v>47</v>
      </c>
    </row>
    <row r="9" spans="1:95" s="11" customFormat="1" ht="21">
      <c r="A9" s="64"/>
      <c r="B9" s="64"/>
      <c r="C9" s="66"/>
      <c r="D9" s="66"/>
      <c r="E9" s="66"/>
      <c r="F9" s="67"/>
      <c r="G9" s="12" t="s">
        <v>16</v>
      </c>
      <c r="H9" s="10" t="s">
        <v>7</v>
      </c>
      <c r="I9" s="10" t="s">
        <v>58</v>
      </c>
      <c r="J9" s="10" t="s">
        <v>8</v>
      </c>
      <c r="K9" s="69"/>
      <c r="L9" s="12" t="s">
        <v>16</v>
      </c>
      <c r="M9" s="10" t="s">
        <v>7</v>
      </c>
      <c r="N9" s="10" t="s">
        <v>58</v>
      </c>
      <c r="O9" s="10" t="s">
        <v>8</v>
      </c>
      <c r="P9" s="69"/>
      <c r="Q9" s="65"/>
      <c r="R9" s="65"/>
      <c r="S9" s="65"/>
      <c r="T9" s="12" t="s">
        <v>16</v>
      </c>
      <c r="U9" s="10" t="s">
        <v>12</v>
      </c>
      <c r="V9" s="10" t="s">
        <v>66</v>
      </c>
      <c r="W9" s="10" t="s">
        <v>16</v>
      </c>
      <c r="X9" s="10" t="s">
        <v>13</v>
      </c>
      <c r="Y9" s="10" t="s">
        <v>66</v>
      </c>
      <c r="Z9" s="69"/>
      <c r="AA9" s="69"/>
      <c r="AB9" s="65"/>
      <c r="AC9" s="65"/>
      <c r="AD9" s="12" t="s">
        <v>16</v>
      </c>
      <c r="AE9" s="10" t="s">
        <v>7</v>
      </c>
      <c r="AF9" s="10" t="s">
        <v>58</v>
      </c>
      <c r="AG9" s="10" t="s">
        <v>8</v>
      </c>
      <c r="AH9" s="65"/>
      <c r="AI9" s="65"/>
      <c r="AJ9" s="65"/>
      <c r="AK9" s="12" t="s">
        <v>16</v>
      </c>
      <c r="AL9" s="10" t="s">
        <v>7</v>
      </c>
      <c r="AM9" s="10" t="s">
        <v>58</v>
      </c>
      <c r="AN9" s="10" t="s">
        <v>8</v>
      </c>
      <c r="AO9" s="65"/>
      <c r="AP9" s="65"/>
      <c r="AQ9" s="65"/>
      <c r="AR9" s="12" t="s">
        <v>16</v>
      </c>
      <c r="AS9" s="10" t="s">
        <v>8</v>
      </c>
      <c r="AT9" s="10" t="s">
        <v>9</v>
      </c>
      <c r="AU9" s="65"/>
      <c r="AV9" s="65"/>
      <c r="AW9" s="65"/>
      <c r="AX9" s="12" t="s">
        <v>16</v>
      </c>
      <c r="AY9" s="10" t="s">
        <v>7</v>
      </c>
      <c r="AZ9" s="10" t="s">
        <v>58</v>
      </c>
      <c r="BA9" s="10" t="s">
        <v>8</v>
      </c>
      <c r="BB9" s="65"/>
      <c r="BC9" s="65"/>
      <c r="BD9" s="65"/>
      <c r="BE9" s="12" t="s">
        <v>16</v>
      </c>
      <c r="BF9" s="10" t="s">
        <v>7</v>
      </c>
      <c r="BG9" s="10" t="s">
        <v>58</v>
      </c>
      <c r="BH9" s="10" t="s">
        <v>8</v>
      </c>
      <c r="BI9" s="10" t="s">
        <v>9</v>
      </c>
      <c r="BJ9" s="65"/>
      <c r="BK9" s="65"/>
      <c r="BL9" s="65"/>
      <c r="BM9" s="12" t="s">
        <v>16</v>
      </c>
      <c r="BN9" s="10" t="s">
        <v>7</v>
      </c>
      <c r="BO9" s="10" t="s">
        <v>58</v>
      </c>
      <c r="BP9" s="10" t="s">
        <v>8</v>
      </c>
      <c r="BQ9" s="10" t="s">
        <v>9</v>
      </c>
      <c r="BR9" s="65"/>
      <c r="BS9" s="65"/>
      <c r="BT9" s="65"/>
      <c r="BU9" s="12" t="s">
        <v>16</v>
      </c>
      <c r="BV9" s="10" t="s">
        <v>7</v>
      </c>
      <c r="BW9" s="10" t="s">
        <v>58</v>
      </c>
      <c r="BX9" s="10" t="s">
        <v>8</v>
      </c>
      <c r="BY9" s="10" t="s">
        <v>9</v>
      </c>
      <c r="BZ9" s="65"/>
      <c r="CA9" s="65"/>
      <c r="CB9" s="65"/>
      <c r="CC9" s="12" t="s">
        <v>16</v>
      </c>
      <c r="CD9" s="10" t="s">
        <v>7</v>
      </c>
      <c r="CE9" s="10" t="s">
        <v>58</v>
      </c>
      <c r="CF9" s="10" t="s">
        <v>8</v>
      </c>
      <c r="CG9" s="10" t="s">
        <v>9</v>
      </c>
      <c r="CH9" s="65"/>
      <c r="CI9" s="65"/>
      <c r="CJ9" s="69"/>
      <c r="CK9" s="65"/>
      <c r="CL9" s="65"/>
      <c r="CM9" s="69"/>
      <c r="CN9" s="69"/>
      <c r="CO9" s="72"/>
      <c r="CP9" s="74"/>
      <c r="CQ9" s="69"/>
    </row>
    <row r="10" spans="1:95" s="15" customFormat="1" ht="31.5" customHeight="1">
      <c r="A10" s="55">
        <v>1</v>
      </c>
      <c r="B10" s="47">
        <v>1</v>
      </c>
      <c r="C10" s="51" t="s">
        <v>76</v>
      </c>
      <c r="D10" s="51" t="s">
        <v>77</v>
      </c>
      <c r="E10" s="51" t="s">
        <v>78</v>
      </c>
      <c r="F10" s="49" t="s">
        <v>125</v>
      </c>
      <c r="G10" s="128">
        <v>16</v>
      </c>
      <c r="H10" s="129">
        <v>39</v>
      </c>
      <c r="I10" s="130">
        <f>H10+G10</f>
        <v>55</v>
      </c>
      <c r="J10" s="129">
        <v>28</v>
      </c>
      <c r="K10" s="130">
        <f>I10+J10</f>
        <v>83</v>
      </c>
      <c r="L10" s="131">
        <v>19</v>
      </c>
      <c r="M10" s="129">
        <v>39</v>
      </c>
      <c r="N10" s="130">
        <f t="shared" ref="N10" si="0">M10*0.714+L10</f>
        <v>46.846000000000004</v>
      </c>
      <c r="O10" s="129">
        <v>29</v>
      </c>
      <c r="P10" s="130">
        <f>N10+O10</f>
        <v>75.846000000000004</v>
      </c>
      <c r="Q10" s="130">
        <f>K10+P10</f>
        <v>158.846</v>
      </c>
      <c r="R10" s="132">
        <f>MAX(Q10:Q32)</f>
        <v>172</v>
      </c>
      <c r="S10" s="129">
        <f>IF(I10+N10&lt;=56,"F",IF(J10+O10&lt;=24,"F",IF(Q10&lt;80,"F",IF(Q10&lt;100,2,IF(Q10&lt;120,3,IF(Q10&lt;140,3.5,IF(Q10&lt;160,4,5)))))))</f>
        <v>4</v>
      </c>
      <c r="T10" s="131">
        <v>19</v>
      </c>
      <c r="U10" s="129">
        <v>64</v>
      </c>
      <c r="V10" s="130">
        <f>U10+T10</f>
        <v>83</v>
      </c>
      <c r="W10" s="131">
        <v>12</v>
      </c>
      <c r="X10" s="129">
        <v>47</v>
      </c>
      <c r="Y10" s="130">
        <f>X10+W10</f>
        <v>59</v>
      </c>
      <c r="Z10" s="130">
        <f t="shared" ref="Z10" si="1">V10+Y10</f>
        <v>142</v>
      </c>
      <c r="AA10" s="130">
        <f t="shared" ref="AA10" si="2">Z10</f>
        <v>142</v>
      </c>
      <c r="AB10" s="132">
        <f>MAX(AA10:AA32)</f>
        <v>153</v>
      </c>
      <c r="AC10" s="129">
        <f>IF(V10+Y10&lt;80,"F",IF(AA10&lt;100,2,IF(AA10&lt;120,3,IF(AA10&lt;140,3.5,IF(AA10&lt;160,4,5)))))</f>
        <v>4</v>
      </c>
      <c r="AD10" s="131">
        <v>16</v>
      </c>
      <c r="AE10" s="129">
        <v>43</v>
      </c>
      <c r="AF10" s="130">
        <f>AE10+AD10</f>
        <v>59</v>
      </c>
      <c r="AG10" s="129">
        <v>13</v>
      </c>
      <c r="AH10" s="130">
        <f>AF10+AG10</f>
        <v>72</v>
      </c>
      <c r="AI10" s="132">
        <f>MAX(AH10:AH32)</f>
        <v>78</v>
      </c>
      <c r="AJ10" s="129">
        <f>IF(AF10&lt;28,"F",IF(AG10&lt;12,"F",IF(AH10&lt;40,"F",IF(AH10&lt;50,2,IF(AH10&lt;60,3,IF(AH10&lt;70,3.5,IF(AH10&lt;80,4,5)))))))</f>
        <v>4</v>
      </c>
      <c r="AK10" s="131">
        <v>20</v>
      </c>
      <c r="AL10" s="129">
        <v>45</v>
      </c>
      <c r="AM10" s="130">
        <f>AL10+AK10</f>
        <v>65</v>
      </c>
      <c r="AN10" s="129">
        <v>26</v>
      </c>
      <c r="AO10" s="130">
        <f>+AM10+AN10</f>
        <v>91</v>
      </c>
      <c r="AP10" s="132">
        <f>MAX(AO10:AO32)</f>
        <v>96</v>
      </c>
      <c r="AQ10" s="129">
        <f>IF(AM10&lt;28,"F",IF(AN10&lt;12,"F",IF(AO10&lt;40,"F",IF(AO10&lt;50,2,IF(AO10&lt;60,3,IF(AO10&lt;70,3.5,IF(AO10&lt;80,4,5)))))))</f>
        <v>5</v>
      </c>
      <c r="AR10" s="133"/>
      <c r="AS10" s="133">
        <v>22</v>
      </c>
      <c r="AT10" s="129">
        <v>25</v>
      </c>
      <c r="AU10" s="129">
        <f>AR10+AS10+AT10</f>
        <v>47</v>
      </c>
      <c r="AV10" s="134">
        <f>MAX(AU10:AU32)</f>
        <v>47</v>
      </c>
      <c r="AW10" s="129">
        <f>IF(AS10&lt;10,"F",IF(AT10&lt;10,"F",IF(AU10&lt;20,"F",IF(AU10&lt;25,2,IF(AU10&lt;30,3,IF(AU10&lt;35,3.5,IF(AU10&lt;40,4,5)))))))</f>
        <v>5</v>
      </c>
      <c r="AX10" s="131">
        <v>20</v>
      </c>
      <c r="AY10" s="129">
        <v>44</v>
      </c>
      <c r="AZ10" s="130">
        <f>AY10+AX10</f>
        <v>64</v>
      </c>
      <c r="BA10" s="129">
        <v>26</v>
      </c>
      <c r="BB10" s="130">
        <f>AZ10+BA10</f>
        <v>90</v>
      </c>
      <c r="BC10" s="132">
        <f>MAX(BB10:BB32)</f>
        <v>90</v>
      </c>
      <c r="BD10" s="129">
        <f>IF(AZ10&lt;28,"F",IF(BA10&lt;12,"F",IF(BB10&lt;40,"F",IF(BB10&lt;50,2,IF(BB10&lt;60,3,IF(BB10&lt;70,3.5,IF(BB10&lt;80,4,5)))))))</f>
        <v>5</v>
      </c>
      <c r="BE10" s="131">
        <v>9</v>
      </c>
      <c r="BF10" s="129">
        <v>23</v>
      </c>
      <c r="BG10" s="130">
        <f t="shared" ref="BG10" si="3">BF10+BE10</f>
        <v>32</v>
      </c>
      <c r="BH10" s="129">
        <v>17</v>
      </c>
      <c r="BI10" s="129">
        <v>25</v>
      </c>
      <c r="BJ10" s="130">
        <f t="shared" ref="BJ10" si="4">BG10+BH10+BI10</f>
        <v>74</v>
      </c>
      <c r="BK10" s="132">
        <f>MAX(BJ10:BJ32)</f>
        <v>84</v>
      </c>
      <c r="BL10" s="129">
        <f>IF(BG10&lt;20,"F",IF(BH10&lt;10,"F",IF(BI10&lt;10,"F",IF(BJ10&lt;40,"F",IF(BJ10&lt;50,2,IF(BJ10&lt;60,3,IF(BJ10&lt;70,3.5,IF(BJ10&lt;80,4,5))))))))</f>
        <v>4</v>
      </c>
      <c r="BM10" s="131">
        <v>8</v>
      </c>
      <c r="BN10" s="129">
        <v>28</v>
      </c>
      <c r="BO10" s="130">
        <f>BN10+BM10</f>
        <v>36</v>
      </c>
      <c r="BP10" s="129">
        <v>12</v>
      </c>
      <c r="BQ10" s="129">
        <v>23</v>
      </c>
      <c r="BR10" s="130">
        <f>BO10+BP10+BQ10</f>
        <v>71</v>
      </c>
      <c r="BS10" s="132">
        <f>MAX(BR10:BR32)</f>
        <v>87</v>
      </c>
      <c r="BT10" s="129">
        <f>IF(BO10&lt;20,"F",IF(BP10&lt;10,"F",IF(BQ10&lt;10,"F",IF(BR10&lt;40,"F",IF(BR10&lt;50,2,IF(BR10&lt;60,3,IF(BR10&lt;70,3.5,IF(BR10&lt;80,4,5))))))))</f>
        <v>4</v>
      </c>
      <c r="BU10" s="131">
        <v>9</v>
      </c>
      <c r="BV10" s="129">
        <v>36</v>
      </c>
      <c r="BW10" s="130">
        <f>BV10+BU10</f>
        <v>45</v>
      </c>
      <c r="BX10" s="129">
        <v>21</v>
      </c>
      <c r="BY10" s="129">
        <v>23</v>
      </c>
      <c r="BZ10" s="130">
        <f>BW10+BX10+BY10</f>
        <v>89</v>
      </c>
      <c r="CA10" s="132">
        <f>MAX(BZ10:BZ32)</f>
        <v>90</v>
      </c>
      <c r="CB10" s="129">
        <f>IF(BW10&lt;20,"F",IF(BX10&lt;10,"F",IF(BY10&lt;10,"F",IF(BZ10&lt;40,"F",IF(BZ10&lt;50,2,IF(BZ10&lt;60,3,IF(BZ10&lt;70,3.5,IF(BZ10&lt;80,4,5))))))))</f>
        <v>5</v>
      </c>
      <c r="CC10" s="131">
        <v>8</v>
      </c>
      <c r="CD10" s="129">
        <v>13</v>
      </c>
      <c r="CE10" s="130">
        <f>CD10+CC10</f>
        <v>21</v>
      </c>
      <c r="CF10" s="129">
        <v>13</v>
      </c>
      <c r="CG10" s="129">
        <v>20</v>
      </c>
      <c r="CH10" s="130">
        <f>CE10+CF10+CG10</f>
        <v>54</v>
      </c>
      <c r="CI10" s="132">
        <f>MAX(CH10:CH32)</f>
        <v>82</v>
      </c>
      <c r="CJ10" s="129">
        <f>IF(CE10&lt;20,"F",IF(CF10&lt;10,"F",IF(CG10&lt;10,"F",IF(CH10&lt;40,"F",IF(CH10&lt;50,2,IF(CH10&lt;60,3,IF(CH10&lt;70,3.5,IF(CH10&lt;80,4,5))))))))</f>
        <v>3</v>
      </c>
      <c r="CK10" s="129">
        <f>IF(S10="F","F",IF(AC10="F","F",IF(AJ10="F","F",IF(AQ10="F","F",IF(BD10="F","F",IF(BL10="F","F",IF(BT10="F","F",IF(CB10="F","F",IF(CJ10="F","F",IF(AW10="F","F", IF(CJ10&lt;=2,SUM(S10,AC10,AJ10,AQ10,AW10,BD10,BL10,BT10,CB10,CJ10),IF(CJ10&gt;=2,SUM(S10,AC10,AJ10,AQ10,BD10,BL10,AW10,BT10,CB10,CJ10-2)))))))))))))</f>
        <v>41</v>
      </c>
      <c r="CL10" s="135">
        <f>IF(CK10="F","F",IF(CK10&gt;=45,5,IF(CK10&lt;45,CK10/9)))</f>
        <v>4.5555555555555554</v>
      </c>
      <c r="CM10" s="136" t="str">
        <f>IF(CL10="F","F",IF(CL10&lt;2.5,"D",IF(CL10&lt;3,"C",IF(CL10&lt;3.5,"B",IF(CL10&lt;4,"A-",IF(CL10&lt;5,"A","A+"))))))</f>
        <v>A</v>
      </c>
      <c r="CN10" s="14" t="str">
        <f t="shared" ref="CN10" si="5">IF(CL10="F","NEED TO PROGRESS",IF(CL10&gt;=5,"BEST",IF(CL10&gt;=4,"BETTER",IF(CL10&gt;=2,"GOOD"))))</f>
        <v>BETTER</v>
      </c>
      <c r="CO10" s="53">
        <f t="shared" ref="CO10:CO32" si="6">Q10+AA10+AH10+AO10+AU10+BB10+BJ10+BR10+BZ10+CH10</f>
        <v>888.846</v>
      </c>
      <c r="CP10" s="59" t="s">
        <v>167</v>
      </c>
      <c r="CQ10" s="13">
        <v>71</v>
      </c>
    </row>
    <row r="11" spans="1:95" s="15" customFormat="1" ht="31.5" customHeight="1">
      <c r="A11" s="55">
        <v>2</v>
      </c>
      <c r="B11" s="47">
        <v>2</v>
      </c>
      <c r="C11" s="51" t="s">
        <v>79</v>
      </c>
      <c r="D11" s="51" t="s">
        <v>80</v>
      </c>
      <c r="E11" s="51" t="s">
        <v>81</v>
      </c>
      <c r="F11" s="49" t="s">
        <v>126</v>
      </c>
      <c r="G11" s="128">
        <v>4</v>
      </c>
      <c r="H11" s="129">
        <v>39</v>
      </c>
      <c r="I11" s="130">
        <f>H11+G11</f>
        <v>43</v>
      </c>
      <c r="J11" s="129">
        <v>26</v>
      </c>
      <c r="K11" s="130">
        <f>I11+J11</f>
        <v>69</v>
      </c>
      <c r="L11" s="128">
        <v>5</v>
      </c>
      <c r="M11" s="129">
        <v>41</v>
      </c>
      <c r="N11" s="130">
        <f>M11+L11</f>
        <v>46</v>
      </c>
      <c r="O11" s="129">
        <v>29</v>
      </c>
      <c r="P11" s="130">
        <f t="shared" ref="P11:P29" si="7">N11+O11</f>
        <v>75</v>
      </c>
      <c r="Q11" s="130">
        <f t="shared" ref="Q11:Q29" si="8">K11+P11</f>
        <v>144</v>
      </c>
      <c r="R11" s="137"/>
      <c r="S11" s="129">
        <f t="shared" ref="S11:S32" si="9">IF(I11+N11&lt;=56,"F",IF(J11+O11&lt;=24,"F",IF(Q11&lt;80,"F",IF(Q11&lt;100,2,IF(Q11&lt;120,3,IF(Q11&lt;140,3.5,IF(Q11&lt;160,4,5)))))))</f>
        <v>4</v>
      </c>
      <c r="T11" s="128">
        <v>5</v>
      </c>
      <c r="U11" s="129">
        <v>37</v>
      </c>
      <c r="V11" s="130">
        <f t="shared" ref="V11:V32" si="10">U11+T11</f>
        <v>42</v>
      </c>
      <c r="W11" s="128">
        <v>4</v>
      </c>
      <c r="X11" s="129">
        <v>51</v>
      </c>
      <c r="Y11" s="130">
        <f t="shared" ref="Y11:Y29" si="11">X11+W11</f>
        <v>55</v>
      </c>
      <c r="Z11" s="130">
        <f>V11+Y11</f>
        <v>97</v>
      </c>
      <c r="AA11" s="130">
        <f>Z11</f>
        <v>97</v>
      </c>
      <c r="AB11" s="137"/>
      <c r="AC11" s="129">
        <f t="shared" ref="AC11:AC32" si="12">IF(V11+Y11&lt;80,"F",IF(AA11&lt;100,2,IF(AA11&lt;120,3,IF(AA11&lt;140,3.5,IF(AA11&lt;160,4,5)))))</f>
        <v>2</v>
      </c>
      <c r="AD11" s="128">
        <v>5</v>
      </c>
      <c r="AE11" s="129">
        <v>34</v>
      </c>
      <c r="AF11" s="130">
        <f t="shared" ref="AF11:AF32" si="13">AE11+AD11</f>
        <v>39</v>
      </c>
      <c r="AG11" s="129">
        <v>16</v>
      </c>
      <c r="AH11" s="130">
        <f t="shared" ref="AH11:AH32" si="14">AF11+AG11</f>
        <v>55</v>
      </c>
      <c r="AI11" s="137"/>
      <c r="AJ11" s="129">
        <f t="shared" ref="AJ11:AJ32" si="15">IF(AF11&lt;28,"F",IF(AG11&lt;12,"F",IF(AH11&lt;40,"F",IF(AH11&lt;50,2,IF(AH11&lt;60,3,IF(AH11&lt;70,3.5,IF(AH11&lt;80,4,5)))))))</f>
        <v>3</v>
      </c>
      <c r="AK11" s="128">
        <v>5</v>
      </c>
      <c r="AL11" s="129">
        <v>44</v>
      </c>
      <c r="AM11" s="130">
        <f t="shared" ref="AM11:AM32" si="16">AL11+AK11</f>
        <v>49</v>
      </c>
      <c r="AN11" s="129">
        <v>24</v>
      </c>
      <c r="AO11" s="130">
        <f t="shared" ref="AO11:AO32" si="17">+AM11+AN11</f>
        <v>73</v>
      </c>
      <c r="AP11" s="137"/>
      <c r="AQ11" s="129">
        <f t="shared" ref="AQ11:AQ32" si="18">IF(AM11&lt;28,"F",IF(AN11&lt;12,"F",IF(AO11&lt;40,"F",IF(AO11&lt;50,2,IF(AO11&lt;60,3,IF(AO11&lt;70,3.5,IF(AO11&lt;80,4,5)))))))</f>
        <v>4</v>
      </c>
      <c r="AR11" s="133"/>
      <c r="AS11" s="133">
        <v>22</v>
      </c>
      <c r="AT11" s="129">
        <v>25</v>
      </c>
      <c r="AU11" s="129">
        <f t="shared" ref="AU11:AU32" si="19">AR11+AS11+AT11</f>
        <v>47</v>
      </c>
      <c r="AV11" s="138"/>
      <c r="AW11" s="129">
        <f t="shared" ref="AW11:AW32" si="20">IF(AS11&lt;10,"F",IF(AT11&lt;10,"F",IF(AU11&lt;20,"F",IF(AU11&lt;25,2,IF(AU11&lt;30,3,IF(AU11&lt;35,3.5,IF(AU11&lt;40,4,5)))))))</f>
        <v>5</v>
      </c>
      <c r="AX11" s="128">
        <v>5</v>
      </c>
      <c r="AY11" s="129">
        <v>41</v>
      </c>
      <c r="AZ11" s="130">
        <f t="shared" ref="AZ11:AZ32" si="21">AY11+AX11</f>
        <v>46</v>
      </c>
      <c r="BA11" s="129">
        <v>25</v>
      </c>
      <c r="BB11" s="130">
        <f t="shared" ref="BB11:BB32" si="22">AZ11+BA11</f>
        <v>71</v>
      </c>
      <c r="BC11" s="137"/>
      <c r="BD11" s="129">
        <f t="shared" ref="BD11:BD32" si="23">IF(AZ11&lt;28,"F",IF(BA11&lt;12,"F",IF(BB11&lt;40,"F",IF(BB11&lt;50,2,IF(BB11&lt;60,3,IF(BB11&lt;70,3.5,IF(BB11&lt;80,4,5)))))))</f>
        <v>4</v>
      </c>
      <c r="BE11" s="128">
        <v>3</v>
      </c>
      <c r="BF11" s="129">
        <v>18</v>
      </c>
      <c r="BG11" s="130">
        <f t="shared" ref="BG11:BG32" si="24">BF11+BE11</f>
        <v>21</v>
      </c>
      <c r="BH11" s="129">
        <v>13</v>
      </c>
      <c r="BI11" s="129">
        <v>25</v>
      </c>
      <c r="BJ11" s="130">
        <f t="shared" ref="BJ11:BJ32" si="25">BG11+BH11+BI11</f>
        <v>59</v>
      </c>
      <c r="BK11" s="138"/>
      <c r="BL11" s="129">
        <f t="shared" ref="BL11:BL32" si="26">IF(BG11&lt;20,"F",IF(BH11&lt;10,"F",IF(BI11&lt;10,"F",IF(BJ11&lt;40,"F",IF(BJ11&lt;50,2,IF(BJ11&lt;60,3,IF(BJ11&lt;70,3.5,IF(BJ11&lt;80,4,5))))))))</f>
        <v>3</v>
      </c>
      <c r="BM11" s="128">
        <v>3</v>
      </c>
      <c r="BN11" s="129">
        <v>21</v>
      </c>
      <c r="BO11" s="130">
        <f t="shared" ref="BO11:BO32" si="27">BN11+BM11</f>
        <v>24</v>
      </c>
      <c r="BP11" s="129">
        <v>10</v>
      </c>
      <c r="BQ11" s="129">
        <v>23</v>
      </c>
      <c r="BR11" s="130">
        <f t="shared" ref="BR11:BR32" si="28">BO11+BP11+BQ11</f>
        <v>57</v>
      </c>
      <c r="BS11" s="138"/>
      <c r="BT11" s="129">
        <f t="shared" ref="BT11:BT32" si="29">IF(BO11&lt;20,"F",IF(BP11&lt;10,"F",IF(BQ11&lt;10,"F",IF(BR11&lt;40,"F",IF(BR11&lt;50,2,IF(BR11&lt;60,3,IF(BR11&lt;70,3.5,IF(BR11&lt;80,4,5))))))))</f>
        <v>3</v>
      </c>
      <c r="BU11" s="128">
        <v>3</v>
      </c>
      <c r="BV11" s="129">
        <v>35</v>
      </c>
      <c r="BW11" s="130">
        <f t="shared" ref="BW11:BW32" si="30">BV11+BU11</f>
        <v>38</v>
      </c>
      <c r="BX11" s="129">
        <v>18</v>
      </c>
      <c r="BY11" s="129">
        <v>23</v>
      </c>
      <c r="BZ11" s="130">
        <f t="shared" ref="BZ11:BZ32" si="31">BW11+BX11+BY11</f>
        <v>79</v>
      </c>
      <c r="CA11" s="138"/>
      <c r="CB11" s="129">
        <f t="shared" ref="CB11:CB32" si="32">IF(BW11&lt;20,"F",IF(BX11&lt;10,"F",IF(BY11&lt;10,"F",IF(BZ11&lt;40,"F",IF(BZ11&lt;50,2,IF(BZ11&lt;60,3,IF(BZ11&lt;70,3.5,IF(BZ11&lt;80,4,5))))))))</f>
        <v>4</v>
      </c>
      <c r="CC11" s="128">
        <v>0</v>
      </c>
      <c r="CD11" s="129">
        <v>20</v>
      </c>
      <c r="CE11" s="130">
        <f t="shared" ref="CE11:CE32" si="33">CD11+CC11</f>
        <v>20</v>
      </c>
      <c r="CF11" s="129">
        <v>11</v>
      </c>
      <c r="CG11" s="129">
        <v>20</v>
      </c>
      <c r="CH11" s="130">
        <f t="shared" ref="CH11:CH32" si="34">CE11+CF11+CG11</f>
        <v>51</v>
      </c>
      <c r="CI11" s="138"/>
      <c r="CJ11" s="129">
        <f>IF(CE11&lt;16,"0",IF(CF11&lt;10,"0",IF(CG11&lt;10,"0",IF(CH11&lt;40,"0",IF(CH11&lt;50,2,IF(CH11&lt;60,3,IF(CH11&lt;70,3.5,IF(CH11&lt;80,4,5))))))))</f>
        <v>3</v>
      </c>
      <c r="CK11" s="129">
        <f t="shared" ref="CK11:CK32" si="35">IF(S11="F","F",IF(AC11="F","F",IF(AJ11="F","F",IF(AQ11="F","F",IF(BD11="F","F",IF(BL11="F","F",IF(BT11="F","F",IF(CB11="F","F",IF(CJ11="F","F",IF(AW11="F","F", IF(CJ11&lt;=2,SUM(S11,AC11,AJ11,AQ11,AW11,BD11,BL11,BT11,CB11,CJ11),IF(CJ11&gt;=2,SUM(S11,AC11,AJ11,AQ11,BD11,BL11,AW11,BT11,CB11,CJ11-2)))))))))))))</f>
        <v>33</v>
      </c>
      <c r="CL11" s="135">
        <f t="shared" ref="CL11:CL32" si="36">IF(CK11="F","F",IF(CK11&gt;=45,5,IF(CK11&lt;45,CK11/9)))</f>
        <v>3.6666666666666665</v>
      </c>
      <c r="CM11" s="136" t="str">
        <f t="shared" ref="CM11:CM32" si="37">IF(CL11="F","F",IF(CL11&lt;2.5,"D",IF(CL11&lt;3,"C",IF(CL11&lt;3.5,"B",IF(CL11&lt;4,"A-",IF(CL11&lt;5,"A","A+"))))))</f>
        <v>A-</v>
      </c>
      <c r="CN11" s="14" t="str">
        <f t="shared" ref="CN11:CN32" si="38">IF(CL11="F","NEED TO PROGRESS",IF(CL11&gt;=5,"BEST",IF(CL11&gt;=4,"BETTER",IF(CL11&gt;=2,"GOOD"))))</f>
        <v>GOOD</v>
      </c>
      <c r="CO11" s="53">
        <f t="shared" si="6"/>
        <v>733</v>
      </c>
      <c r="CP11" s="59" t="s">
        <v>168</v>
      </c>
      <c r="CQ11" s="13">
        <v>71</v>
      </c>
    </row>
    <row r="12" spans="1:95" s="15" customFormat="1" ht="31.5" customHeight="1">
      <c r="A12" s="55">
        <v>3</v>
      </c>
      <c r="B12" s="47">
        <v>3</v>
      </c>
      <c r="C12" s="51" t="s">
        <v>82</v>
      </c>
      <c r="D12" s="51" t="s">
        <v>83</v>
      </c>
      <c r="E12" s="51" t="s">
        <v>84</v>
      </c>
      <c r="F12" s="49" t="s">
        <v>127</v>
      </c>
      <c r="G12" s="128">
        <v>18</v>
      </c>
      <c r="H12" s="129">
        <v>34</v>
      </c>
      <c r="I12" s="130">
        <f t="shared" ref="I12:I29" si="39">H12+G12</f>
        <v>52</v>
      </c>
      <c r="J12" s="129">
        <v>22</v>
      </c>
      <c r="K12" s="130">
        <f t="shared" ref="K12:K29" si="40">I12+J12</f>
        <v>74</v>
      </c>
      <c r="L12" s="131">
        <v>17</v>
      </c>
      <c r="M12" s="129">
        <v>39</v>
      </c>
      <c r="N12" s="130">
        <f t="shared" ref="N12:N29" si="41">M12+L12</f>
        <v>56</v>
      </c>
      <c r="O12" s="129">
        <v>29</v>
      </c>
      <c r="P12" s="130">
        <f t="shared" si="7"/>
        <v>85</v>
      </c>
      <c r="Q12" s="130">
        <f t="shared" si="8"/>
        <v>159</v>
      </c>
      <c r="R12" s="137"/>
      <c r="S12" s="129">
        <f t="shared" si="9"/>
        <v>4</v>
      </c>
      <c r="T12" s="131">
        <v>20</v>
      </c>
      <c r="U12" s="129">
        <v>58</v>
      </c>
      <c r="V12" s="130">
        <f t="shared" si="10"/>
        <v>78</v>
      </c>
      <c r="W12" s="131">
        <v>14</v>
      </c>
      <c r="X12" s="129">
        <v>44</v>
      </c>
      <c r="Y12" s="130">
        <f t="shared" si="11"/>
        <v>58</v>
      </c>
      <c r="Z12" s="130">
        <f t="shared" ref="Z12:Z29" si="42">V12+Y12</f>
        <v>136</v>
      </c>
      <c r="AA12" s="130">
        <f t="shared" ref="AA12:AA32" si="43">Z12</f>
        <v>136</v>
      </c>
      <c r="AB12" s="137"/>
      <c r="AC12" s="129">
        <f t="shared" si="12"/>
        <v>3.5</v>
      </c>
      <c r="AD12" s="131">
        <v>17</v>
      </c>
      <c r="AE12" s="129">
        <v>32</v>
      </c>
      <c r="AF12" s="130">
        <f t="shared" si="13"/>
        <v>49</v>
      </c>
      <c r="AG12" s="129">
        <v>17</v>
      </c>
      <c r="AH12" s="130">
        <f t="shared" si="14"/>
        <v>66</v>
      </c>
      <c r="AI12" s="137"/>
      <c r="AJ12" s="129">
        <f t="shared" si="15"/>
        <v>3.5</v>
      </c>
      <c r="AK12" s="131">
        <v>18</v>
      </c>
      <c r="AL12" s="129">
        <v>39</v>
      </c>
      <c r="AM12" s="130">
        <f t="shared" si="16"/>
        <v>57</v>
      </c>
      <c r="AN12" s="129">
        <v>25</v>
      </c>
      <c r="AO12" s="130">
        <f t="shared" si="17"/>
        <v>82</v>
      </c>
      <c r="AP12" s="137"/>
      <c r="AQ12" s="129">
        <f t="shared" si="18"/>
        <v>5</v>
      </c>
      <c r="AR12" s="133"/>
      <c r="AS12" s="133">
        <v>22</v>
      </c>
      <c r="AT12" s="129">
        <v>25</v>
      </c>
      <c r="AU12" s="129">
        <f t="shared" si="19"/>
        <v>47</v>
      </c>
      <c r="AV12" s="138"/>
      <c r="AW12" s="129">
        <f t="shared" si="20"/>
        <v>5</v>
      </c>
      <c r="AX12" s="131">
        <v>19</v>
      </c>
      <c r="AY12" s="129">
        <v>39</v>
      </c>
      <c r="AZ12" s="130">
        <f t="shared" si="21"/>
        <v>58</v>
      </c>
      <c r="BA12" s="129">
        <v>23</v>
      </c>
      <c r="BB12" s="130">
        <f t="shared" si="22"/>
        <v>81</v>
      </c>
      <c r="BC12" s="137"/>
      <c r="BD12" s="129">
        <f t="shared" si="23"/>
        <v>5</v>
      </c>
      <c r="BE12" s="131">
        <v>7</v>
      </c>
      <c r="BF12" s="129">
        <v>22</v>
      </c>
      <c r="BG12" s="130">
        <f t="shared" si="24"/>
        <v>29</v>
      </c>
      <c r="BH12" s="129">
        <v>15</v>
      </c>
      <c r="BI12" s="129">
        <v>25</v>
      </c>
      <c r="BJ12" s="130">
        <f t="shared" si="25"/>
        <v>69</v>
      </c>
      <c r="BK12" s="138"/>
      <c r="BL12" s="129">
        <f t="shared" si="26"/>
        <v>3.5</v>
      </c>
      <c r="BM12" s="131">
        <v>8</v>
      </c>
      <c r="BN12" s="129">
        <v>31</v>
      </c>
      <c r="BO12" s="130">
        <f t="shared" si="27"/>
        <v>39</v>
      </c>
      <c r="BP12" s="129">
        <v>13</v>
      </c>
      <c r="BQ12" s="129">
        <v>23</v>
      </c>
      <c r="BR12" s="130">
        <f t="shared" si="28"/>
        <v>75</v>
      </c>
      <c r="BS12" s="138"/>
      <c r="BT12" s="129">
        <f t="shared" si="29"/>
        <v>4</v>
      </c>
      <c r="BU12" s="131">
        <v>8</v>
      </c>
      <c r="BV12" s="129">
        <v>33</v>
      </c>
      <c r="BW12" s="130">
        <f t="shared" si="30"/>
        <v>41</v>
      </c>
      <c r="BX12" s="129">
        <v>20</v>
      </c>
      <c r="BY12" s="129">
        <v>23</v>
      </c>
      <c r="BZ12" s="130">
        <f t="shared" si="31"/>
        <v>84</v>
      </c>
      <c r="CA12" s="138"/>
      <c r="CB12" s="129">
        <f t="shared" si="32"/>
        <v>5</v>
      </c>
      <c r="CC12" s="131">
        <v>7</v>
      </c>
      <c r="CD12" s="129">
        <v>30</v>
      </c>
      <c r="CE12" s="130">
        <f t="shared" si="33"/>
        <v>37</v>
      </c>
      <c r="CF12" s="129">
        <v>17</v>
      </c>
      <c r="CG12" s="129">
        <v>22</v>
      </c>
      <c r="CH12" s="130">
        <f t="shared" si="34"/>
        <v>76</v>
      </c>
      <c r="CI12" s="138"/>
      <c r="CJ12" s="129">
        <f t="shared" ref="CJ12:CJ32" si="44">IF(CE12&lt;16,"0",IF(CF12&lt;10,"0",IF(CG12&lt;10,"0",IF(CH12&lt;40,"0",IF(CH12&lt;50,2,IF(CH12&lt;60,3,IF(CH12&lt;70,3.5,IF(CH12&lt;80,4,5))))))))</f>
        <v>4</v>
      </c>
      <c r="CK12" s="129">
        <f t="shared" si="35"/>
        <v>40.5</v>
      </c>
      <c r="CL12" s="135">
        <f t="shared" si="36"/>
        <v>4.5</v>
      </c>
      <c r="CM12" s="136" t="str">
        <f t="shared" si="37"/>
        <v>A</v>
      </c>
      <c r="CN12" s="14" t="str">
        <f t="shared" si="38"/>
        <v>BETTER</v>
      </c>
      <c r="CO12" s="53">
        <f t="shared" si="6"/>
        <v>875</v>
      </c>
      <c r="CP12" s="59" t="s">
        <v>169</v>
      </c>
      <c r="CQ12" s="13">
        <v>71</v>
      </c>
    </row>
    <row r="13" spans="1:95" s="15" customFormat="1" ht="31.5" customHeight="1">
      <c r="A13" s="55">
        <v>4</v>
      </c>
      <c r="B13" s="47">
        <v>4</v>
      </c>
      <c r="C13" s="51" t="s">
        <v>166</v>
      </c>
      <c r="D13" s="51" t="s">
        <v>85</v>
      </c>
      <c r="E13" s="51" t="s">
        <v>86</v>
      </c>
      <c r="F13" s="49" t="s">
        <v>128</v>
      </c>
      <c r="G13" s="128">
        <v>18</v>
      </c>
      <c r="H13" s="129">
        <v>39</v>
      </c>
      <c r="I13" s="130">
        <f t="shared" si="39"/>
        <v>57</v>
      </c>
      <c r="J13" s="129">
        <v>25</v>
      </c>
      <c r="K13" s="130">
        <f t="shared" si="40"/>
        <v>82</v>
      </c>
      <c r="L13" s="131">
        <v>19</v>
      </c>
      <c r="M13" s="129">
        <v>41</v>
      </c>
      <c r="N13" s="130">
        <f t="shared" si="41"/>
        <v>60</v>
      </c>
      <c r="O13" s="129">
        <v>30</v>
      </c>
      <c r="P13" s="130">
        <f t="shared" si="7"/>
        <v>90</v>
      </c>
      <c r="Q13" s="130">
        <f t="shared" si="8"/>
        <v>172</v>
      </c>
      <c r="R13" s="137"/>
      <c r="S13" s="129">
        <f t="shared" si="9"/>
        <v>5</v>
      </c>
      <c r="T13" s="131">
        <v>20</v>
      </c>
      <c r="U13" s="129">
        <v>58</v>
      </c>
      <c r="V13" s="130">
        <f t="shared" si="10"/>
        <v>78</v>
      </c>
      <c r="W13" s="131">
        <v>14</v>
      </c>
      <c r="X13" s="129">
        <v>40</v>
      </c>
      <c r="Y13" s="130">
        <f t="shared" si="11"/>
        <v>54</v>
      </c>
      <c r="Z13" s="130">
        <f t="shared" si="42"/>
        <v>132</v>
      </c>
      <c r="AA13" s="130">
        <f t="shared" si="43"/>
        <v>132</v>
      </c>
      <c r="AB13" s="137"/>
      <c r="AC13" s="129">
        <f t="shared" si="12"/>
        <v>3.5</v>
      </c>
      <c r="AD13" s="131">
        <v>20</v>
      </c>
      <c r="AE13" s="129">
        <v>42</v>
      </c>
      <c r="AF13" s="130">
        <f t="shared" si="13"/>
        <v>62</v>
      </c>
      <c r="AG13" s="129">
        <v>15</v>
      </c>
      <c r="AH13" s="130">
        <f t="shared" si="14"/>
        <v>77</v>
      </c>
      <c r="AI13" s="137"/>
      <c r="AJ13" s="129">
        <f t="shared" si="15"/>
        <v>4</v>
      </c>
      <c r="AK13" s="131">
        <v>20</v>
      </c>
      <c r="AL13" s="129">
        <v>46</v>
      </c>
      <c r="AM13" s="130">
        <f t="shared" si="16"/>
        <v>66</v>
      </c>
      <c r="AN13" s="129">
        <v>25</v>
      </c>
      <c r="AO13" s="130">
        <f t="shared" si="17"/>
        <v>91</v>
      </c>
      <c r="AP13" s="137"/>
      <c r="AQ13" s="129">
        <f t="shared" si="18"/>
        <v>5</v>
      </c>
      <c r="AR13" s="133"/>
      <c r="AS13" s="133">
        <v>22</v>
      </c>
      <c r="AT13" s="129">
        <v>25</v>
      </c>
      <c r="AU13" s="129">
        <f t="shared" si="19"/>
        <v>47</v>
      </c>
      <c r="AV13" s="138"/>
      <c r="AW13" s="129">
        <f t="shared" si="20"/>
        <v>5</v>
      </c>
      <c r="AX13" s="131">
        <v>19</v>
      </c>
      <c r="AY13" s="129">
        <v>42</v>
      </c>
      <c r="AZ13" s="130">
        <f t="shared" si="21"/>
        <v>61</v>
      </c>
      <c r="BA13" s="129">
        <v>22</v>
      </c>
      <c r="BB13" s="130">
        <f t="shared" si="22"/>
        <v>83</v>
      </c>
      <c r="BC13" s="137"/>
      <c r="BD13" s="129">
        <f t="shared" si="23"/>
        <v>5</v>
      </c>
      <c r="BE13" s="131">
        <v>9</v>
      </c>
      <c r="BF13" s="129">
        <v>26</v>
      </c>
      <c r="BG13" s="130">
        <f t="shared" si="24"/>
        <v>35</v>
      </c>
      <c r="BH13" s="129">
        <v>12</v>
      </c>
      <c r="BI13" s="129">
        <v>25</v>
      </c>
      <c r="BJ13" s="130">
        <f t="shared" si="25"/>
        <v>72</v>
      </c>
      <c r="BK13" s="138"/>
      <c r="BL13" s="129">
        <f t="shared" si="26"/>
        <v>4</v>
      </c>
      <c r="BM13" s="131">
        <v>10</v>
      </c>
      <c r="BN13" s="129">
        <v>37</v>
      </c>
      <c r="BO13" s="130">
        <f t="shared" si="27"/>
        <v>47</v>
      </c>
      <c r="BP13" s="129">
        <v>17</v>
      </c>
      <c r="BQ13" s="129">
        <v>23</v>
      </c>
      <c r="BR13" s="130">
        <f t="shared" si="28"/>
        <v>87</v>
      </c>
      <c r="BS13" s="138"/>
      <c r="BT13" s="129">
        <f t="shared" si="29"/>
        <v>5</v>
      </c>
      <c r="BU13" s="131">
        <v>9</v>
      </c>
      <c r="BV13" s="129">
        <v>36</v>
      </c>
      <c r="BW13" s="130">
        <f t="shared" si="30"/>
        <v>45</v>
      </c>
      <c r="BX13" s="129">
        <v>17</v>
      </c>
      <c r="BY13" s="129">
        <v>23</v>
      </c>
      <c r="BZ13" s="130">
        <f t="shared" si="31"/>
        <v>85</v>
      </c>
      <c r="CA13" s="138"/>
      <c r="CB13" s="129">
        <f t="shared" si="32"/>
        <v>5</v>
      </c>
      <c r="CC13" s="131">
        <v>7</v>
      </c>
      <c r="CD13" s="129">
        <v>20</v>
      </c>
      <c r="CE13" s="130">
        <f t="shared" si="33"/>
        <v>27</v>
      </c>
      <c r="CF13" s="129">
        <v>21</v>
      </c>
      <c r="CG13" s="129">
        <v>20</v>
      </c>
      <c r="CH13" s="130">
        <f t="shared" si="34"/>
        <v>68</v>
      </c>
      <c r="CI13" s="138"/>
      <c r="CJ13" s="129">
        <f t="shared" si="44"/>
        <v>3.5</v>
      </c>
      <c r="CK13" s="129">
        <f t="shared" si="35"/>
        <v>43</v>
      </c>
      <c r="CL13" s="135">
        <f t="shared" si="36"/>
        <v>4.7777777777777777</v>
      </c>
      <c r="CM13" s="136" t="str">
        <f t="shared" si="37"/>
        <v>A</v>
      </c>
      <c r="CN13" s="14" t="str">
        <f t="shared" si="38"/>
        <v>BETTER</v>
      </c>
      <c r="CO13" s="53">
        <f t="shared" si="6"/>
        <v>914</v>
      </c>
      <c r="CP13" s="59" t="s">
        <v>170</v>
      </c>
      <c r="CQ13" s="13">
        <v>71</v>
      </c>
    </row>
    <row r="14" spans="1:95" s="15" customFormat="1" ht="31.5" customHeight="1">
      <c r="A14" s="55">
        <v>5</v>
      </c>
      <c r="B14" s="47">
        <v>5</v>
      </c>
      <c r="C14" s="51" t="s">
        <v>87</v>
      </c>
      <c r="D14" s="51" t="s">
        <v>88</v>
      </c>
      <c r="E14" s="51" t="s">
        <v>89</v>
      </c>
      <c r="F14" s="49" t="s">
        <v>129</v>
      </c>
      <c r="G14" s="128">
        <v>17</v>
      </c>
      <c r="H14" s="129">
        <v>34</v>
      </c>
      <c r="I14" s="130">
        <f t="shared" si="39"/>
        <v>51</v>
      </c>
      <c r="J14" s="129">
        <v>23</v>
      </c>
      <c r="K14" s="130">
        <f t="shared" si="40"/>
        <v>74</v>
      </c>
      <c r="L14" s="131">
        <v>19</v>
      </c>
      <c r="M14" s="129">
        <v>36</v>
      </c>
      <c r="N14" s="130">
        <f t="shared" si="41"/>
        <v>55</v>
      </c>
      <c r="O14" s="129">
        <v>28</v>
      </c>
      <c r="P14" s="130">
        <f t="shared" si="7"/>
        <v>83</v>
      </c>
      <c r="Q14" s="130">
        <f t="shared" si="8"/>
        <v>157</v>
      </c>
      <c r="R14" s="137"/>
      <c r="S14" s="129">
        <f t="shared" si="9"/>
        <v>4</v>
      </c>
      <c r="T14" s="131">
        <v>20</v>
      </c>
      <c r="U14" s="129">
        <v>47</v>
      </c>
      <c r="V14" s="130">
        <f t="shared" si="10"/>
        <v>67</v>
      </c>
      <c r="W14" s="131">
        <v>16</v>
      </c>
      <c r="X14" s="129">
        <v>51</v>
      </c>
      <c r="Y14" s="130">
        <f t="shared" si="11"/>
        <v>67</v>
      </c>
      <c r="Z14" s="130">
        <f t="shared" si="42"/>
        <v>134</v>
      </c>
      <c r="AA14" s="130">
        <f t="shared" si="43"/>
        <v>134</v>
      </c>
      <c r="AB14" s="137"/>
      <c r="AC14" s="129">
        <f t="shared" si="12"/>
        <v>3.5</v>
      </c>
      <c r="AD14" s="131">
        <v>20</v>
      </c>
      <c r="AE14" s="129">
        <v>43</v>
      </c>
      <c r="AF14" s="130">
        <f t="shared" si="13"/>
        <v>63</v>
      </c>
      <c r="AG14" s="129">
        <v>15</v>
      </c>
      <c r="AH14" s="130">
        <f t="shared" si="14"/>
        <v>78</v>
      </c>
      <c r="AI14" s="137"/>
      <c r="AJ14" s="129">
        <f t="shared" si="15"/>
        <v>4</v>
      </c>
      <c r="AK14" s="131">
        <v>20</v>
      </c>
      <c r="AL14" s="129">
        <v>43</v>
      </c>
      <c r="AM14" s="130">
        <f t="shared" si="16"/>
        <v>63</v>
      </c>
      <c r="AN14" s="129">
        <v>25</v>
      </c>
      <c r="AO14" s="130">
        <f t="shared" si="17"/>
        <v>88</v>
      </c>
      <c r="AP14" s="137"/>
      <c r="AQ14" s="129">
        <f t="shared" si="18"/>
        <v>5</v>
      </c>
      <c r="AR14" s="133"/>
      <c r="AS14" s="133">
        <v>22</v>
      </c>
      <c r="AT14" s="129">
        <v>25</v>
      </c>
      <c r="AU14" s="129">
        <f t="shared" si="19"/>
        <v>47</v>
      </c>
      <c r="AV14" s="138"/>
      <c r="AW14" s="129">
        <f t="shared" si="20"/>
        <v>5</v>
      </c>
      <c r="AX14" s="131">
        <v>20</v>
      </c>
      <c r="AY14" s="129">
        <v>39</v>
      </c>
      <c r="AZ14" s="130">
        <f t="shared" si="21"/>
        <v>59</v>
      </c>
      <c r="BA14" s="129">
        <v>23</v>
      </c>
      <c r="BB14" s="130">
        <f t="shared" si="22"/>
        <v>82</v>
      </c>
      <c r="BC14" s="137"/>
      <c r="BD14" s="129">
        <f t="shared" si="23"/>
        <v>5</v>
      </c>
      <c r="BE14" s="131">
        <v>10</v>
      </c>
      <c r="BF14" s="129">
        <v>26</v>
      </c>
      <c r="BG14" s="130">
        <f t="shared" si="24"/>
        <v>36</v>
      </c>
      <c r="BH14" s="129">
        <v>10</v>
      </c>
      <c r="BI14" s="129">
        <v>25</v>
      </c>
      <c r="BJ14" s="130">
        <f t="shared" si="25"/>
        <v>71</v>
      </c>
      <c r="BK14" s="138"/>
      <c r="BL14" s="129">
        <f t="shared" si="26"/>
        <v>4</v>
      </c>
      <c r="BM14" s="131">
        <v>10</v>
      </c>
      <c r="BN14" s="129">
        <v>36</v>
      </c>
      <c r="BO14" s="130">
        <f t="shared" si="27"/>
        <v>46</v>
      </c>
      <c r="BP14" s="129">
        <v>18</v>
      </c>
      <c r="BQ14" s="129">
        <v>23</v>
      </c>
      <c r="BR14" s="130">
        <f t="shared" si="28"/>
        <v>87</v>
      </c>
      <c r="BS14" s="138"/>
      <c r="BT14" s="129">
        <f t="shared" si="29"/>
        <v>5</v>
      </c>
      <c r="BU14" s="131">
        <v>10</v>
      </c>
      <c r="BV14" s="129">
        <v>35</v>
      </c>
      <c r="BW14" s="130">
        <f t="shared" si="30"/>
        <v>45</v>
      </c>
      <c r="BX14" s="129">
        <v>14</v>
      </c>
      <c r="BY14" s="129">
        <v>23</v>
      </c>
      <c r="BZ14" s="130">
        <f t="shared" si="31"/>
        <v>82</v>
      </c>
      <c r="CA14" s="138"/>
      <c r="CB14" s="129">
        <f t="shared" si="32"/>
        <v>5</v>
      </c>
      <c r="CC14" s="131">
        <v>8</v>
      </c>
      <c r="CD14" s="129">
        <v>30</v>
      </c>
      <c r="CE14" s="130">
        <f t="shared" si="33"/>
        <v>38</v>
      </c>
      <c r="CF14" s="129">
        <v>22</v>
      </c>
      <c r="CG14" s="129">
        <v>22</v>
      </c>
      <c r="CH14" s="130">
        <f t="shared" si="34"/>
        <v>82</v>
      </c>
      <c r="CI14" s="138"/>
      <c r="CJ14" s="129">
        <f t="shared" si="44"/>
        <v>5</v>
      </c>
      <c r="CK14" s="129">
        <f t="shared" si="35"/>
        <v>43.5</v>
      </c>
      <c r="CL14" s="135">
        <f t="shared" si="36"/>
        <v>4.833333333333333</v>
      </c>
      <c r="CM14" s="136" t="str">
        <f t="shared" si="37"/>
        <v>A</v>
      </c>
      <c r="CN14" s="14" t="str">
        <f t="shared" si="38"/>
        <v>BETTER</v>
      </c>
      <c r="CO14" s="53">
        <f t="shared" si="6"/>
        <v>908</v>
      </c>
      <c r="CP14" s="59" t="s">
        <v>13</v>
      </c>
      <c r="CQ14" s="13">
        <v>71</v>
      </c>
    </row>
    <row r="15" spans="1:95" s="15" customFormat="1" ht="31.5" customHeight="1">
      <c r="A15" s="55">
        <v>6</v>
      </c>
      <c r="B15" s="47">
        <v>6</v>
      </c>
      <c r="C15" s="51" t="s">
        <v>165</v>
      </c>
      <c r="D15" s="51" t="s">
        <v>90</v>
      </c>
      <c r="E15" s="51" t="s">
        <v>91</v>
      </c>
      <c r="F15" s="49" t="s">
        <v>130</v>
      </c>
      <c r="G15" s="128">
        <v>18</v>
      </c>
      <c r="H15" s="129">
        <v>36</v>
      </c>
      <c r="I15" s="130">
        <f t="shared" si="39"/>
        <v>54</v>
      </c>
      <c r="J15" s="129">
        <v>16</v>
      </c>
      <c r="K15" s="130">
        <f t="shared" si="40"/>
        <v>70</v>
      </c>
      <c r="L15" s="131">
        <v>19</v>
      </c>
      <c r="M15" s="129">
        <v>39</v>
      </c>
      <c r="N15" s="130">
        <f t="shared" si="41"/>
        <v>58</v>
      </c>
      <c r="O15" s="129">
        <v>27</v>
      </c>
      <c r="P15" s="130">
        <f t="shared" si="7"/>
        <v>85</v>
      </c>
      <c r="Q15" s="130">
        <f t="shared" si="8"/>
        <v>155</v>
      </c>
      <c r="R15" s="137"/>
      <c r="S15" s="129">
        <f t="shared" si="9"/>
        <v>4</v>
      </c>
      <c r="T15" s="131">
        <v>20</v>
      </c>
      <c r="U15" s="129">
        <v>50</v>
      </c>
      <c r="V15" s="130">
        <f t="shared" si="10"/>
        <v>70</v>
      </c>
      <c r="W15" s="131">
        <v>13</v>
      </c>
      <c r="X15" s="129">
        <v>41</v>
      </c>
      <c r="Y15" s="130">
        <f t="shared" si="11"/>
        <v>54</v>
      </c>
      <c r="Z15" s="130">
        <f t="shared" si="42"/>
        <v>124</v>
      </c>
      <c r="AA15" s="130">
        <f t="shared" si="43"/>
        <v>124</v>
      </c>
      <c r="AB15" s="137"/>
      <c r="AC15" s="129">
        <f t="shared" si="12"/>
        <v>3.5</v>
      </c>
      <c r="AD15" s="131">
        <v>16</v>
      </c>
      <c r="AE15" s="129">
        <v>29</v>
      </c>
      <c r="AF15" s="130">
        <f t="shared" si="13"/>
        <v>45</v>
      </c>
      <c r="AG15" s="129">
        <v>13</v>
      </c>
      <c r="AH15" s="130">
        <f t="shared" si="14"/>
        <v>58</v>
      </c>
      <c r="AI15" s="137"/>
      <c r="AJ15" s="129">
        <f t="shared" si="15"/>
        <v>3</v>
      </c>
      <c r="AK15" s="131">
        <v>20</v>
      </c>
      <c r="AL15" s="129">
        <v>41</v>
      </c>
      <c r="AM15" s="130">
        <f t="shared" si="16"/>
        <v>61</v>
      </c>
      <c r="AN15" s="129">
        <v>25</v>
      </c>
      <c r="AO15" s="130">
        <f t="shared" si="17"/>
        <v>86</v>
      </c>
      <c r="AP15" s="137"/>
      <c r="AQ15" s="129">
        <f t="shared" si="18"/>
        <v>5</v>
      </c>
      <c r="AR15" s="133"/>
      <c r="AS15" s="133">
        <v>22</v>
      </c>
      <c r="AT15" s="129">
        <v>25</v>
      </c>
      <c r="AU15" s="129">
        <f t="shared" si="19"/>
        <v>47</v>
      </c>
      <c r="AV15" s="138"/>
      <c r="AW15" s="129">
        <f t="shared" si="20"/>
        <v>5</v>
      </c>
      <c r="AX15" s="131">
        <v>18</v>
      </c>
      <c r="AY15" s="129">
        <v>44</v>
      </c>
      <c r="AZ15" s="130">
        <f t="shared" si="21"/>
        <v>62</v>
      </c>
      <c r="BA15" s="129">
        <v>26</v>
      </c>
      <c r="BB15" s="130">
        <f t="shared" si="22"/>
        <v>88</v>
      </c>
      <c r="BC15" s="137"/>
      <c r="BD15" s="129">
        <f t="shared" si="23"/>
        <v>5</v>
      </c>
      <c r="BE15" s="131">
        <v>8</v>
      </c>
      <c r="BF15" s="129">
        <v>27</v>
      </c>
      <c r="BG15" s="130">
        <f t="shared" si="24"/>
        <v>35</v>
      </c>
      <c r="BH15" s="129">
        <v>14</v>
      </c>
      <c r="BI15" s="129">
        <v>25</v>
      </c>
      <c r="BJ15" s="130">
        <f t="shared" si="25"/>
        <v>74</v>
      </c>
      <c r="BK15" s="138"/>
      <c r="BL15" s="129">
        <f t="shared" si="26"/>
        <v>4</v>
      </c>
      <c r="BM15" s="131">
        <v>9</v>
      </c>
      <c r="BN15" s="129">
        <v>30</v>
      </c>
      <c r="BO15" s="130">
        <f t="shared" si="27"/>
        <v>39</v>
      </c>
      <c r="BP15" s="129">
        <v>17</v>
      </c>
      <c r="BQ15" s="129">
        <v>23</v>
      </c>
      <c r="BR15" s="130">
        <f t="shared" si="28"/>
        <v>79</v>
      </c>
      <c r="BS15" s="138"/>
      <c r="BT15" s="129">
        <f t="shared" si="29"/>
        <v>4</v>
      </c>
      <c r="BU15" s="131">
        <v>9</v>
      </c>
      <c r="BV15" s="129">
        <v>35</v>
      </c>
      <c r="BW15" s="130">
        <f t="shared" si="30"/>
        <v>44</v>
      </c>
      <c r="BX15" s="129">
        <v>15</v>
      </c>
      <c r="BY15" s="129">
        <v>23</v>
      </c>
      <c r="BZ15" s="130">
        <f t="shared" si="31"/>
        <v>82</v>
      </c>
      <c r="CA15" s="138"/>
      <c r="CB15" s="129">
        <f t="shared" si="32"/>
        <v>5</v>
      </c>
      <c r="CC15" s="131">
        <v>6</v>
      </c>
      <c r="CD15" s="129">
        <v>14</v>
      </c>
      <c r="CE15" s="130">
        <f t="shared" si="33"/>
        <v>20</v>
      </c>
      <c r="CF15" s="129">
        <v>11</v>
      </c>
      <c r="CG15" s="129">
        <v>20</v>
      </c>
      <c r="CH15" s="130">
        <f t="shared" si="34"/>
        <v>51</v>
      </c>
      <c r="CI15" s="138"/>
      <c r="CJ15" s="129">
        <f t="shared" si="44"/>
        <v>3</v>
      </c>
      <c r="CK15" s="129">
        <f t="shared" si="35"/>
        <v>39.5</v>
      </c>
      <c r="CL15" s="135">
        <f t="shared" si="36"/>
        <v>4.3888888888888893</v>
      </c>
      <c r="CM15" s="136" t="str">
        <f t="shared" si="37"/>
        <v>A</v>
      </c>
      <c r="CN15" s="14" t="str">
        <f t="shared" si="38"/>
        <v>BETTER</v>
      </c>
      <c r="CO15" s="53">
        <f t="shared" si="6"/>
        <v>844</v>
      </c>
      <c r="CP15" s="59" t="s">
        <v>171</v>
      </c>
      <c r="CQ15" s="13">
        <v>71</v>
      </c>
    </row>
    <row r="16" spans="1:95" s="15" customFormat="1" ht="31.5" customHeight="1">
      <c r="A16" s="55">
        <v>7</v>
      </c>
      <c r="B16" s="47">
        <v>7</v>
      </c>
      <c r="C16" s="51" t="s">
        <v>92</v>
      </c>
      <c r="D16" s="51" t="s">
        <v>93</v>
      </c>
      <c r="E16" s="51" t="s">
        <v>94</v>
      </c>
      <c r="F16" s="49" t="s">
        <v>131</v>
      </c>
      <c r="G16" s="128">
        <v>17</v>
      </c>
      <c r="H16" s="129">
        <v>36</v>
      </c>
      <c r="I16" s="130">
        <f t="shared" si="39"/>
        <v>53</v>
      </c>
      <c r="J16" s="129">
        <v>19</v>
      </c>
      <c r="K16" s="130">
        <f t="shared" si="40"/>
        <v>72</v>
      </c>
      <c r="L16" s="131">
        <v>19</v>
      </c>
      <c r="M16" s="129">
        <v>39</v>
      </c>
      <c r="N16" s="130">
        <f t="shared" si="41"/>
        <v>58</v>
      </c>
      <c r="O16" s="129">
        <v>26</v>
      </c>
      <c r="P16" s="130">
        <f t="shared" si="7"/>
        <v>84</v>
      </c>
      <c r="Q16" s="130">
        <f t="shared" si="8"/>
        <v>156</v>
      </c>
      <c r="R16" s="137"/>
      <c r="S16" s="129">
        <f t="shared" si="9"/>
        <v>4</v>
      </c>
      <c r="T16" s="131">
        <v>20</v>
      </c>
      <c r="U16" s="129">
        <v>59</v>
      </c>
      <c r="V16" s="130">
        <f t="shared" si="10"/>
        <v>79</v>
      </c>
      <c r="W16" s="131">
        <v>16</v>
      </c>
      <c r="X16" s="129">
        <v>58</v>
      </c>
      <c r="Y16" s="130">
        <f t="shared" si="11"/>
        <v>74</v>
      </c>
      <c r="Z16" s="130">
        <f t="shared" si="42"/>
        <v>153</v>
      </c>
      <c r="AA16" s="130">
        <f t="shared" si="43"/>
        <v>153</v>
      </c>
      <c r="AB16" s="137"/>
      <c r="AC16" s="129">
        <f t="shared" si="12"/>
        <v>4</v>
      </c>
      <c r="AD16" s="131">
        <v>18</v>
      </c>
      <c r="AE16" s="129">
        <v>30</v>
      </c>
      <c r="AF16" s="130">
        <f t="shared" si="13"/>
        <v>48</v>
      </c>
      <c r="AG16" s="129">
        <v>19</v>
      </c>
      <c r="AH16" s="130">
        <f t="shared" si="14"/>
        <v>67</v>
      </c>
      <c r="AI16" s="137"/>
      <c r="AJ16" s="129">
        <f t="shared" si="15"/>
        <v>3.5</v>
      </c>
      <c r="AK16" s="131">
        <v>20</v>
      </c>
      <c r="AL16" s="129">
        <v>42</v>
      </c>
      <c r="AM16" s="130">
        <f t="shared" si="16"/>
        <v>62</v>
      </c>
      <c r="AN16" s="129">
        <v>22</v>
      </c>
      <c r="AO16" s="130">
        <f t="shared" si="17"/>
        <v>84</v>
      </c>
      <c r="AP16" s="137"/>
      <c r="AQ16" s="129">
        <f t="shared" si="18"/>
        <v>5</v>
      </c>
      <c r="AR16" s="133"/>
      <c r="AS16" s="133">
        <v>22</v>
      </c>
      <c r="AT16" s="129">
        <v>25</v>
      </c>
      <c r="AU16" s="129">
        <f t="shared" si="19"/>
        <v>47</v>
      </c>
      <c r="AV16" s="138"/>
      <c r="AW16" s="129">
        <f t="shared" si="20"/>
        <v>5</v>
      </c>
      <c r="AX16" s="131">
        <v>20</v>
      </c>
      <c r="AY16" s="129">
        <v>42</v>
      </c>
      <c r="AZ16" s="130">
        <f t="shared" si="21"/>
        <v>62</v>
      </c>
      <c r="BA16" s="129">
        <v>25</v>
      </c>
      <c r="BB16" s="130">
        <f t="shared" si="22"/>
        <v>87</v>
      </c>
      <c r="BC16" s="137"/>
      <c r="BD16" s="129">
        <f t="shared" si="23"/>
        <v>5</v>
      </c>
      <c r="BE16" s="131">
        <v>10</v>
      </c>
      <c r="BF16" s="129">
        <v>19</v>
      </c>
      <c r="BG16" s="130">
        <f t="shared" si="24"/>
        <v>29</v>
      </c>
      <c r="BH16" s="129">
        <v>16</v>
      </c>
      <c r="BI16" s="129">
        <v>25</v>
      </c>
      <c r="BJ16" s="130">
        <f t="shared" si="25"/>
        <v>70</v>
      </c>
      <c r="BK16" s="138"/>
      <c r="BL16" s="129">
        <f t="shared" si="26"/>
        <v>4</v>
      </c>
      <c r="BM16" s="131">
        <v>9</v>
      </c>
      <c r="BN16" s="129">
        <v>34</v>
      </c>
      <c r="BO16" s="130">
        <f t="shared" si="27"/>
        <v>43</v>
      </c>
      <c r="BP16" s="129">
        <v>17</v>
      </c>
      <c r="BQ16" s="129">
        <v>23</v>
      </c>
      <c r="BR16" s="130">
        <f t="shared" si="28"/>
        <v>83</v>
      </c>
      <c r="BS16" s="138"/>
      <c r="BT16" s="129">
        <f t="shared" si="29"/>
        <v>5</v>
      </c>
      <c r="BU16" s="131">
        <v>10</v>
      </c>
      <c r="BV16" s="129">
        <v>35</v>
      </c>
      <c r="BW16" s="130">
        <f t="shared" si="30"/>
        <v>45</v>
      </c>
      <c r="BX16" s="129">
        <v>14</v>
      </c>
      <c r="BY16" s="129">
        <v>23</v>
      </c>
      <c r="BZ16" s="130">
        <f t="shared" si="31"/>
        <v>82</v>
      </c>
      <c r="CA16" s="138"/>
      <c r="CB16" s="129">
        <f t="shared" si="32"/>
        <v>5</v>
      </c>
      <c r="CC16" s="131">
        <v>7</v>
      </c>
      <c r="CD16" s="129">
        <v>23</v>
      </c>
      <c r="CE16" s="130">
        <f t="shared" si="33"/>
        <v>30</v>
      </c>
      <c r="CF16" s="129">
        <v>17</v>
      </c>
      <c r="CG16" s="129">
        <v>20</v>
      </c>
      <c r="CH16" s="130">
        <f t="shared" si="34"/>
        <v>67</v>
      </c>
      <c r="CI16" s="138"/>
      <c r="CJ16" s="129">
        <f t="shared" si="44"/>
        <v>3.5</v>
      </c>
      <c r="CK16" s="129">
        <f t="shared" si="35"/>
        <v>42</v>
      </c>
      <c r="CL16" s="135">
        <f t="shared" si="36"/>
        <v>4.666666666666667</v>
      </c>
      <c r="CM16" s="136" t="str">
        <f t="shared" si="37"/>
        <v>A</v>
      </c>
      <c r="CN16" s="14" t="str">
        <f t="shared" si="38"/>
        <v>BETTER</v>
      </c>
      <c r="CO16" s="53">
        <f t="shared" si="6"/>
        <v>896</v>
      </c>
      <c r="CP16" s="59" t="s">
        <v>172</v>
      </c>
      <c r="CQ16" s="13">
        <v>71</v>
      </c>
    </row>
    <row r="17" spans="1:95" s="21" customFormat="1" ht="31.5" customHeight="1">
      <c r="A17" s="56">
        <v>8</v>
      </c>
      <c r="B17" s="47">
        <v>9</v>
      </c>
      <c r="C17" s="51" t="s">
        <v>95</v>
      </c>
      <c r="D17" s="51" t="s">
        <v>96</v>
      </c>
      <c r="E17" s="51" t="s">
        <v>97</v>
      </c>
      <c r="F17" s="49" t="s">
        <v>132</v>
      </c>
      <c r="G17" s="128">
        <v>17</v>
      </c>
      <c r="H17" s="139">
        <v>35</v>
      </c>
      <c r="I17" s="140">
        <f t="shared" si="39"/>
        <v>52</v>
      </c>
      <c r="J17" s="139">
        <v>23</v>
      </c>
      <c r="K17" s="140">
        <f t="shared" si="40"/>
        <v>75</v>
      </c>
      <c r="L17" s="131">
        <v>18</v>
      </c>
      <c r="M17" s="139">
        <v>39</v>
      </c>
      <c r="N17" s="140">
        <f t="shared" si="41"/>
        <v>57</v>
      </c>
      <c r="O17" s="139">
        <v>29</v>
      </c>
      <c r="P17" s="140">
        <f t="shared" si="7"/>
        <v>86</v>
      </c>
      <c r="Q17" s="140">
        <f t="shared" si="8"/>
        <v>161</v>
      </c>
      <c r="R17" s="137"/>
      <c r="S17" s="139">
        <f t="shared" si="9"/>
        <v>5</v>
      </c>
      <c r="T17" s="131">
        <v>20</v>
      </c>
      <c r="U17" s="139">
        <v>64</v>
      </c>
      <c r="V17" s="140">
        <f t="shared" si="10"/>
        <v>84</v>
      </c>
      <c r="W17" s="131">
        <v>14</v>
      </c>
      <c r="X17" s="139">
        <v>50</v>
      </c>
      <c r="Y17" s="140">
        <f t="shared" si="11"/>
        <v>64</v>
      </c>
      <c r="Z17" s="140">
        <f t="shared" si="42"/>
        <v>148</v>
      </c>
      <c r="AA17" s="140">
        <f t="shared" si="43"/>
        <v>148</v>
      </c>
      <c r="AB17" s="137"/>
      <c r="AC17" s="139">
        <f t="shared" si="12"/>
        <v>4</v>
      </c>
      <c r="AD17" s="131">
        <v>20</v>
      </c>
      <c r="AE17" s="139">
        <v>39</v>
      </c>
      <c r="AF17" s="140">
        <f t="shared" si="13"/>
        <v>59</v>
      </c>
      <c r="AG17" s="139">
        <v>17</v>
      </c>
      <c r="AH17" s="140">
        <f t="shared" si="14"/>
        <v>76</v>
      </c>
      <c r="AI17" s="137"/>
      <c r="AJ17" s="139">
        <f t="shared" si="15"/>
        <v>4</v>
      </c>
      <c r="AK17" s="131">
        <v>19</v>
      </c>
      <c r="AL17" s="139">
        <v>45</v>
      </c>
      <c r="AM17" s="140">
        <f t="shared" si="16"/>
        <v>64</v>
      </c>
      <c r="AN17" s="139">
        <v>25</v>
      </c>
      <c r="AO17" s="140">
        <f t="shared" si="17"/>
        <v>89</v>
      </c>
      <c r="AP17" s="137"/>
      <c r="AQ17" s="139">
        <f t="shared" si="18"/>
        <v>5</v>
      </c>
      <c r="AR17" s="141"/>
      <c r="AS17" s="133">
        <v>22</v>
      </c>
      <c r="AT17" s="129">
        <v>25</v>
      </c>
      <c r="AU17" s="139">
        <f t="shared" si="19"/>
        <v>47</v>
      </c>
      <c r="AV17" s="138"/>
      <c r="AW17" s="139">
        <f t="shared" si="20"/>
        <v>5</v>
      </c>
      <c r="AX17" s="131">
        <v>19</v>
      </c>
      <c r="AY17" s="139">
        <v>34</v>
      </c>
      <c r="AZ17" s="140">
        <f t="shared" si="21"/>
        <v>53</v>
      </c>
      <c r="BA17" s="139">
        <v>25</v>
      </c>
      <c r="BB17" s="140">
        <f t="shared" si="22"/>
        <v>78</v>
      </c>
      <c r="BC17" s="137"/>
      <c r="BD17" s="139">
        <f t="shared" si="23"/>
        <v>4</v>
      </c>
      <c r="BE17" s="131">
        <v>8</v>
      </c>
      <c r="BF17" s="139">
        <v>35</v>
      </c>
      <c r="BG17" s="140">
        <f t="shared" si="24"/>
        <v>43</v>
      </c>
      <c r="BH17" s="139">
        <v>16</v>
      </c>
      <c r="BI17" s="129">
        <v>25</v>
      </c>
      <c r="BJ17" s="140">
        <f t="shared" si="25"/>
        <v>84</v>
      </c>
      <c r="BK17" s="138"/>
      <c r="BL17" s="139">
        <f t="shared" si="26"/>
        <v>5</v>
      </c>
      <c r="BM17" s="131">
        <v>8</v>
      </c>
      <c r="BN17" s="139">
        <v>31</v>
      </c>
      <c r="BO17" s="140">
        <f t="shared" si="27"/>
        <v>39</v>
      </c>
      <c r="BP17" s="139">
        <v>18</v>
      </c>
      <c r="BQ17" s="129">
        <v>23</v>
      </c>
      <c r="BR17" s="140">
        <f t="shared" si="28"/>
        <v>80</v>
      </c>
      <c r="BS17" s="138"/>
      <c r="BT17" s="139">
        <f t="shared" si="29"/>
        <v>5</v>
      </c>
      <c r="BU17" s="131">
        <v>9</v>
      </c>
      <c r="BV17" s="139">
        <v>37</v>
      </c>
      <c r="BW17" s="140">
        <f t="shared" si="30"/>
        <v>46</v>
      </c>
      <c r="BX17" s="139">
        <v>17</v>
      </c>
      <c r="BY17" s="129">
        <v>23</v>
      </c>
      <c r="BZ17" s="140">
        <f t="shared" si="31"/>
        <v>86</v>
      </c>
      <c r="CA17" s="138"/>
      <c r="CB17" s="129">
        <f t="shared" si="32"/>
        <v>5</v>
      </c>
      <c r="CC17" s="131">
        <v>8</v>
      </c>
      <c r="CD17" s="139">
        <v>24</v>
      </c>
      <c r="CE17" s="140">
        <f t="shared" si="33"/>
        <v>32</v>
      </c>
      <c r="CF17" s="139">
        <v>22</v>
      </c>
      <c r="CG17" s="139">
        <v>22</v>
      </c>
      <c r="CH17" s="140">
        <f t="shared" si="34"/>
        <v>76</v>
      </c>
      <c r="CI17" s="138"/>
      <c r="CJ17" s="139">
        <f t="shared" si="44"/>
        <v>4</v>
      </c>
      <c r="CK17" s="139">
        <f t="shared" si="35"/>
        <v>44</v>
      </c>
      <c r="CL17" s="142">
        <f t="shared" si="36"/>
        <v>4.8888888888888893</v>
      </c>
      <c r="CM17" s="143" t="str">
        <f t="shared" si="37"/>
        <v>A</v>
      </c>
      <c r="CN17" s="50" t="str">
        <f t="shared" si="38"/>
        <v>BETTER</v>
      </c>
      <c r="CO17" s="54">
        <f t="shared" si="6"/>
        <v>925</v>
      </c>
      <c r="CP17" s="60" t="s">
        <v>12</v>
      </c>
      <c r="CQ17" s="13">
        <v>71</v>
      </c>
    </row>
    <row r="18" spans="1:95" s="21" customFormat="1" ht="31.5" customHeight="1">
      <c r="A18" s="56">
        <v>9</v>
      </c>
      <c r="B18" s="47">
        <v>11</v>
      </c>
      <c r="C18" s="51" t="s">
        <v>98</v>
      </c>
      <c r="D18" s="51" t="s">
        <v>99</v>
      </c>
      <c r="E18" s="51" t="s">
        <v>100</v>
      </c>
      <c r="F18" s="49" t="s">
        <v>133</v>
      </c>
      <c r="G18" s="128">
        <v>18</v>
      </c>
      <c r="H18" s="139">
        <v>39</v>
      </c>
      <c r="I18" s="140">
        <f t="shared" si="39"/>
        <v>57</v>
      </c>
      <c r="J18" s="139">
        <v>22</v>
      </c>
      <c r="K18" s="140">
        <f t="shared" si="40"/>
        <v>79</v>
      </c>
      <c r="L18" s="131">
        <v>17</v>
      </c>
      <c r="M18" s="139">
        <v>39</v>
      </c>
      <c r="N18" s="140">
        <f t="shared" si="41"/>
        <v>56</v>
      </c>
      <c r="O18" s="139">
        <v>30</v>
      </c>
      <c r="P18" s="140">
        <f t="shared" si="7"/>
        <v>86</v>
      </c>
      <c r="Q18" s="140">
        <f t="shared" si="8"/>
        <v>165</v>
      </c>
      <c r="R18" s="137"/>
      <c r="S18" s="139">
        <f t="shared" si="9"/>
        <v>5</v>
      </c>
      <c r="T18" s="131">
        <v>20</v>
      </c>
      <c r="U18" s="139">
        <v>62</v>
      </c>
      <c r="V18" s="140">
        <f t="shared" si="10"/>
        <v>82</v>
      </c>
      <c r="W18" s="131">
        <v>15</v>
      </c>
      <c r="X18" s="139">
        <v>39</v>
      </c>
      <c r="Y18" s="140">
        <f t="shared" si="11"/>
        <v>54</v>
      </c>
      <c r="Z18" s="140">
        <f t="shared" si="42"/>
        <v>136</v>
      </c>
      <c r="AA18" s="140">
        <f t="shared" si="43"/>
        <v>136</v>
      </c>
      <c r="AB18" s="137"/>
      <c r="AC18" s="139">
        <f t="shared" si="12"/>
        <v>3.5</v>
      </c>
      <c r="AD18" s="131">
        <v>20</v>
      </c>
      <c r="AE18" s="139">
        <v>35</v>
      </c>
      <c r="AF18" s="140">
        <f t="shared" si="13"/>
        <v>55</v>
      </c>
      <c r="AG18" s="139">
        <v>15</v>
      </c>
      <c r="AH18" s="140">
        <f t="shared" si="14"/>
        <v>70</v>
      </c>
      <c r="AI18" s="137"/>
      <c r="AJ18" s="139">
        <f t="shared" si="15"/>
        <v>4</v>
      </c>
      <c r="AK18" s="131">
        <v>20</v>
      </c>
      <c r="AL18" s="139">
        <v>43</v>
      </c>
      <c r="AM18" s="140">
        <f t="shared" si="16"/>
        <v>63</v>
      </c>
      <c r="AN18" s="139">
        <v>21</v>
      </c>
      <c r="AO18" s="140">
        <f t="shared" si="17"/>
        <v>84</v>
      </c>
      <c r="AP18" s="137"/>
      <c r="AQ18" s="139">
        <f t="shared" si="18"/>
        <v>5</v>
      </c>
      <c r="AR18" s="141"/>
      <c r="AS18" s="133">
        <v>22</v>
      </c>
      <c r="AT18" s="129">
        <v>25</v>
      </c>
      <c r="AU18" s="139">
        <f t="shared" si="19"/>
        <v>47</v>
      </c>
      <c r="AV18" s="138"/>
      <c r="AW18" s="139">
        <f t="shared" si="20"/>
        <v>5</v>
      </c>
      <c r="AX18" s="131">
        <v>16</v>
      </c>
      <c r="AY18" s="139">
        <v>39</v>
      </c>
      <c r="AZ18" s="140">
        <f t="shared" si="21"/>
        <v>55</v>
      </c>
      <c r="BA18" s="139">
        <v>23</v>
      </c>
      <c r="BB18" s="140">
        <f t="shared" si="22"/>
        <v>78</v>
      </c>
      <c r="BC18" s="137"/>
      <c r="BD18" s="139">
        <f t="shared" si="23"/>
        <v>4</v>
      </c>
      <c r="BE18" s="131">
        <v>8</v>
      </c>
      <c r="BF18" s="139">
        <v>26</v>
      </c>
      <c r="BG18" s="140">
        <f t="shared" si="24"/>
        <v>34</v>
      </c>
      <c r="BH18" s="139">
        <v>10</v>
      </c>
      <c r="BI18" s="129">
        <v>25</v>
      </c>
      <c r="BJ18" s="140">
        <f t="shared" si="25"/>
        <v>69</v>
      </c>
      <c r="BK18" s="138"/>
      <c r="BL18" s="139">
        <f t="shared" si="26"/>
        <v>3.5</v>
      </c>
      <c r="BM18" s="131">
        <v>8</v>
      </c>
      <c r="BN18" s="139">
        <v>25</v>
      </c>
      <c r="BO18" s="140">
        <f t="shared" si="27"/>
        <v>33</v>
      </c>
      <c r="BP18" s="139">
        <v>14</v>
      </c>
      <c r="BQ18" s="129">
        <v>23</v>
      </c>
      <c r="BR18" s="140">
        <f t="shared" si="28"/>
        <v>70</v>
      </c>
      <c r="BS18" s="138"/>
      <c r="BT18" s="139">
        <f t="shared" si="29"/>
        <v>4</v>
      </c>
      <c r="BU18" s="131">
        <v>9</v>
      </c>
      <c r="BV18" s="139">
        <v>36</v>
      </c>
      <c r="BW18" s="140">
        <f t="shared" si="30"/>
        <v>45</v>
      </c>
      <c r="BX18" s="139">
        <v>19</v>
      </c>
      <c r="BY18" s="129">
        <v>23</v>
      </c>
      <c r="BZ18" s="140">
        <f t="shared" si="31"/>
        <v>87</v>
      </c>
      <c r="CA18" s="138"/>
      <c r="CB18" s="129">
        <f t="shared" si="32"/>
        <v>5</v>
      </c>
      <c r="CC18" s="131">
        <v>8</v>
      </c>
      <c r="CD18" s="139">
        <v>16</v>
      </c>
      <c r="CE18" s="140">
        <f t="shared" si="33"/>
        <v>24</v>
      </c>
      <c r="CF18" s="139">
        <v>20</v>
      </c>
      <c r="CG18" s="139">
        <v>20</v>
      </c>
      <c r="CH18" s="140">
        <f t="shared" si="34"/>
        <v>64</v>
      </c>
      <c r="CI18" s="138"/>
      <c r="CJ18" s="139">
        <f t="shared" si="44"/>
        <v>3.5</v>
      </c>
      <c r="CK18" s="139">
        <f t="shared" si="35"/>
        <v>40.5</v>
      </c>
      <c r="CL18" s="142">
        <f t="shared" si="36"/>
        <v>4.5</v>
      </c>
      <c r="CM18" s="143" t="str">
        <f t="shared" si="37"/>
        <v>A</v>
      </c>
      <c r="CN18" s="50" t="str">
        <f t="shared" si="38"/>
        <v>BETTER</v>
      </c>
      <c r="CO18" s="54">
        <f t="shared" si="6"/>
        <v>870</v>
      </c>
      <c r="CP18" s="60" t="s">
        <v>173</v>
      </c>
      <c r="CQ18" s="13">
        <v>71</v>
      </c>
    </row>
    <row r="19" spans="1:95" s="21" customFormat="1" ht="31.5" customHeight="1">
      <c r="A19" s="56">
        <v>10</v>
      </c>
      <c r="B19" s="47">
        <v>12</v>
      </c>
      <c r="C19" s="51" t="s">
        <v>101</v>
      </c>
      <c r="D19" s="51" t="s">
        <v>102</v>
      </c>
      <c r="E19" s="51" t="s">
        <v>103</v>
      </c>
      <c r="F19" s="49" t="s">
        <v>134</v>
      </c>
      <c r="G19" s="128">
        <v>17</v>
      </c>
      <c r="H19" s="139">
        <v>27</v>
      </c>
      <c r="I19" s="140">
        <f t="shared" si="39"/>
        <v>44</v>
      </c>
      <c r="J19" s="139">
        <v>25</v>
      </c>
      <c r="K19" s="140">
        <f t="shared" si="40"/>
        <v>69</v>
      </c>
      <c r="L19" s="131">
        <v>18</v>
      </c>
      <c r="M19" s="139">
        <v>38</v>
      </c>
      <c r="N19" s="140">
        <f t="shared" si="41"/>
        <v>56</v>
      </c>
      <c r="O19" s="139">
        <v>28</v>
      </c>
      <c r="P19" s="140">
        <f t="shared" si="7"/>
        <v>84</v>
      </c>
      <c r="Q19" s="140">
        <f t="shared" si="8"/>
        <v>153</v>
      </c>
      <c r="R19" s="137"/>
      <c r="S19" s="139">
        <f t="shared" si="9"/>
        <v>4</v>
      </c>
      <c r="T19" s="131">
        <v>19</v>
      </c>
      <c r="U19" s="139">
        <v>49</v>
      </c>
      <c r="V19" s="140">
        <f t="shared" si="10"/>
        <v>68</v>
      </c>
      <c r="W19" s="131">
        <v>11</v>
      </c>
      <c r="X19" s="139">
        <v>30</v>
      </c>
      <c r="Y19" s="140">
        <f t="shared" si="11"/>
        <v>41</v>
      </c>
      <c r="Z19" s="140">
        <f t="shared" si="42"/>
        <v>109</v>
      </c>
      <c r="AA19" s="140">
        <f t="shared" si="43"/>
        <v>109</v>
      </c>
      <c r="AB19" s="137"/>
      <c r="AC19" s="139">
        <f t="shared" si="12"/>
        <v>3</v>
      </c>
      <c r="AD19" s="131">
        <v>20</v>
      </c>
      <c r="AE19" s="139">
        <v>26</v>
      </c>
      <c r="AF19" s="140">
        <f t="shared" si="13"/>
        <v>46</v>
      </c>
      <c r="AG19" s="139">
        <v>12</v>
      </c>
      <c r="AH19" s="140">
        <f t="shared" si="14"/>
        <v>58</v>
      </c>
      <c r="AI19" s="137"/>
      <c r="AJ19" s="139">
        <f t="shared" si="15"/>
        <v>3</v>
      </c>
      <c r="AK19" s="131">
        <v>18</v>
      </c>
      <c r="AL19" s="139">
        <v>42</v>
      </c>
      <c r="AM19" s="140">
        <f t="shared" si="16"/>
        <v>60</v>
      </c>
      <c r="AN19" s="139">
        <v>24</v>
      </c>
      <c r="AO19" s="140">
        <f t="shared" si="17"/>
        <v>84</v>
      </c>
      <c r="AP19" s="137"/>
      <c r="AQ19" s="139">
        <f t="shared" si="18"/>
        <v>5</v>
      </c>
      <c r="AR19" s="141"/>
      <c r="AS19" s="133">
        <v>22</v>
      </c>
      <c r="AT19" s="129">
        <v>25</v>
      </c>
      <c r="AU19" s="139">
        <f t="shared" si="19"/>
        <v>47</v>
      </c>
      <c r="AV19" s="138"/>
      <c r="AW19" s="139">
        <f t="shared" si="20"/>
        <v>5</v>
      </c>
      <c r="AX19" s="131">
        <v>17</v>
      </c>
      <c r="AY19" s="139">
        <v>32</v>
      </c>
      <c r="AZ19" s="140">
        <f t="shared" si="21"/>
        <v>49</v>
      </c>
      <c r="BA19" s="139">
        <v>24</v>
      </c>
      <c r="BB19" s="140">
        <f t="shared" si="22"/>
        <v>73</v>
      </c>
      <c r="BC19" s="137"/>
      <c r="BD19" s="139">
        <f t="shared" si="23"/>
        <v>4</v>
      </c>
      <c r="BE19" s="131">
        <v>7</v>
      </c>
      <c r="BF19" s="139">
        <v>16</v>
      </c>
      <c r="BG19" s="140">
        <f t="shared" si="24"/>
        <v>23</v>
      </c>
      <c r="BH19" s="139">
        <v>12</v>
      </c>
      <c r="BI19" s="129">
        <v>25</v>
      </c>
      <c r="BJ19" s="140">
        <f t="shared" si="25"/>
        <v>60</v>
      </c>
      <c r="BK19" s="138"/>
      <c r="BL19" s="139">
        <f t="shared" si="26"/>
        <v>3.5</v>
      </c>
      <c r="BM19" s="131">
        <v>7</v>
      </c>
      <c r="BN19" s="139">
        <v>23</v>
      </c>
      <c r="BO19" s="140">
        <f t="shared" si="27"/>
        <v>30</v>
      </c>
      <c r="BP19" s="139">
        <v>15</v>
      </c>
      <c r="BQ19" s="129">
        <v>23</v>
      </c>
      <c r="BR19" s="140">
        <f t="shared" si="28"/>
        <v>68</v>
      </c>
      <c r="BS19" s="138"/>
      <c r="BT19" s="139">
        <f t="shared" si="29"/>
        <v>3.5</v>
      </c>
      <c r="BU19" s="131">
        <v>8</v>
      </c>
      <c r="BV19" s="139">
        <v>32</v>
      </c>
      <c r="BW19" s="140">
        <f t="shared" si="30"/>
        <v>40</v>
      </c>
      <c r="BX19" s="139">
        <v>17</v>
      </c>
      <c r="BY19" s="129">
        <v>23</v>
      </c>
      <c r="BZ19" s="140">
        <f t="shared" si="31"/>
        <v>80</v>
      </c>
      <c r="CA19" s="138"/>
      <c r="CB19" s="129">
        <f t="shared" si="32"/>
        <v>5</v>
      </c>
      <c r="CC19" s="131">
        <v>7</v>
      </c>
      <c r="CD19" s="139">
        <v>14</v>
      </c>
      <c r="CE19" s="140">
        <f t="shared" si="33"/>
        <v>21</v>
      </c>
      <c r="CF19" s="139">
        <v>21</v>
      </c>
      <c r="CG19" s="139">
        <v>20</v>
      </c>
      <c r="CH19" s="140">
        <f t="shared" si="34"/>
        <v>62</v>
      </c>
      <c r="CI19" s="138"/>
      <c r="CJ19" s="139">
        <f t="shared" si="44"/>
        <v>3.5</v>
      </c>
      <c r="CK19" s="139">
        <f t="shared" si="35"/>
        <v>37.5</v>
      </c>
      <c r="CL19" s="142">
        <f t="shared" si="36"/>
        <v>4.166666666666667</v>
      </c>
      <c r="CM19" s="143" t="str">
        <f t="shared" si="37"/>
        <v>A</v>
      </c>
      <c r="CN19" s="50" t="str">
        <f t="shared" si="38"/>
        <v>BETTER</v>
      </c>
      <c r="CO19" s="54">
        <f t="shared" si="6"/>
        <v>794</v>
      </c>
      <c r="CP19" s="60" t="s">
        <v>174</v>
      </c>
      <c r="CQ19" s="13">
        <v>71</v>
      </c>
    </row>
    <row r="20" spans="1:95" s="21" customFormat="1" ht="31.5" customHeight="1">
      <c r="A20" s="56">
        <v>11</v>
      </c>
      <c r="B20" s="47">
        <v>13</v>
      </c>
      <c r="C20" s="51" t="s">
        <v>104</v>
      </c>
      <c r="D20" s="51" t="s">
        <v>105</v>
      </c>
      <c r="E20" s="51" t="s">
        <v>106</v>
      </c>
      <c r="F20" s="49" t="s">
        <v>135</v>
      </c>
      <c r="G20" s="128">
        <v>18</v>
      </c>
      <c r="H20" s="139">
        <v>36</v>
      </c>
      <c r="I20" s="140">
        <f t="shared" si="39"/>
        <v>54</v>
      </c>
      <c r="J20" s="139">
        <v>27</v>
      </c>
      <c r="K20" s="140">
        <f t="shared" si="40"/>
        <v>81</v>
      </c>
      <c r="L20" s="131">
        <v>19</v>
      </c>
      <c r="M20" s="139">
        <v>38</v>
      </c>
      <c r="N20" s="140">
        <f t="shared" si="41"/>
        <v>57</v>
      </c>
      <c r="O20" s="139">
        <v>30</v>
      </c>
      <c r="P20" s="140">
        <f t="shared" si="7"/>
        <v>87</v>
      </c>
      <c r="Q20" s="140">
        <f t="shared" si="8"/>
        <v>168</v>
      </c>
      <c r="R20" s="137"/>
      <c r="S20" s="139">
        <f t="shared" si="9"/>
        <v>5</v>
      </c>
      <c r="T20" s="131">
        <v>18</v>
      </c>
      <c r="U20" s="139">
        <v>38</v>
      </c>
      <c r="V20" s="140">
        <f t="shared" si="10"/>
        <v>56</v>
      </c>
      <c r="W20" s="131">
        <v>14</v>
      </c>
      <c r="X20" s="139">
        <v>39</v>
      </c>
      <c r="Y20" s="140">
        <f t="shared" si="11"/>
        <v>53</v>
      </c>
      <c r="Z20" s="140">
        <f t="shared" si="42"/>
        <v>109</v>
      </c>
      <c r="AA20" s="140">
        <f t="shared" si="43"/>
        <v>109</v>
      </c>
      <c r="AB20" s="137"/>
      <c r="AC20" s="139">
        <f t="shared" si="12"/>
        <v>3</v>
      </c>
      <c r="AD20" s="131">
        <v>20</v>
      </c>
      <c r="AE20" s="139">
        <v>31</v>
      </c>
      <c r="AF20" s="140">
        <f t="shared" si="13"/>
        <v>51</v>
      </c>
      <c r="AG20" s="139">
        <v>13</v>
      </c>
      <c r="AH20" s="140">
        <f t="shared" si="14"/>
        <v>64</v>
      </c>
      <c r="AI20" s="137"/>
      <c r="AJ20" s="139">
        <f t="shared" si="15"/>
        <v>3.5</v>
      </c>
      <c r="AK20" s="131">
        <v>19</v>
      </c>
      <c r="AL20" s="139">
        <v>39</v>
      </c>
      <c r="AM20" s="140">
        <f t="shared" si="16"/>
        <v>58</v>
      </c>
      <c r="AN20" s="139">
        <v>22</v>
      </c>
      <c r="AO20" s="140">
        <f t="shared" si="17"/>
        <v>80</v>
      </c>
      <c r="AP20" s="137"/>
      <c r="AQ20" s="139">
        <f t="shared" si="18"/>
        <v>5</v>
      </c>
      <c r="AR20" s="141"/>
      <c r="AS20" s="133">
        <v>22</v>
      </c>
      <c r="AT20" s="129">
        <v>25</v>
      </c>
      <c r="AU20" s="139">
        <f t="shared" si="19"/>
        <v>47</v>
      </c>
      <c r="AV20" s="138"/>
      <c r="AW20" s="139">
        <f t="shared" si="20"/>
        <v>5</v>
      </c>
      <c r="AX20" s="131">
        <v>16</v>
      </c>
      <c r="AY20" s="139">
        <v>37</v>
      </c>
      <c r="AZ20" s="140">
        <f t="shared" si="21"/>
        <v>53</v>
      </c>
      <c r="BA20" s="139">
        <v>16</v>
      </c>
      <c r="BB20" s="140">
        <f t="shared" si="22"/>
        <v>69</v>
      </c>
      <c r="BC20" s="137"/>
      <c r="BD20" s="139">
        <f t="shared" si="23"/>
        <v>3.5</v>
      </c>
      <c r="BE20" s="131">
        <v>10</v>
      </c>
      <c r="BF20" s="139">
        <v>21</v>
      </c>
      <c r="BG20" s="140">
        <f t="shared" si="24"/>
        <v>31</v>
      </c>
      <c r="BH20" s="139">
        <v>15</v>
      </c>
      <c r="BI20" s="129">
        <v>25</v>
      </c>
      <c r="BJ20" s="140">
        <f t="shared" si="25"/>
        <v>71</v>
      </c>
      <c r="BK20" s="138"/>
      <c r="BL20" s="139">
        <f t="shared" si="26"/>
        <v>4</v>
      </c>
      <c r="BM20" s="131">
        <v>9</v>
      </c>
      <c r="BN20" s="139">
        <v>26</v>
      </c>
      <c r="BO20" s="140">
        <f t="shared" si="27"/>
        <v>35</v>
      </c>
      <c r="BP20" s="139">
        <v>17</v>
      </c>
      <c r="BQ20" s="129">
        <v>23</v>
      </c>
      <c r="BR20" s="140">
        <f t="shared" si="28"/>
        <v>75</v>
      </c>
      <c r="BS20" s="138"/>
      <c r="BT20" s="139">
        <f t="shared" si="29"/>
        <v>4</v>
      </c>
      <c r="BU20" s="131">
        <v>9</v>
      </c>
      <c r="BV20" s="139">
        <v>34</v>
      </c>
      <c r="BW20" s="140">
        <f t="shared" si="30"/>
        <v>43</v>
      </c>
      <c r="BX20" s="139">
        <v>16</v>
      </c>
      <c r="BY20" s="129">
        <v>23</v>
      </c>
      <c r="BZ20" s="140">
        <f t="shared" si="31"/>
        <v>82</v>
      </c>
      <c r="CA20" s="138"/>
      <c r="CB20" s="129">
        <f t="shared" si="32"/>
        <v>5</v>
      </c>
      <c r="CC20" s="131">
        <v>6</v>
      </c>
      <c r="CD20" s="139">
        <v>19</v>
      </c>
      <c r="CE20" s="140">
        <f t="shared" si="33"/>
        <v>25</v>
      </c>
      <c r="CF20" s="139">
        <v>17</v>
      </c>
      <c r="CG20" s="139">
        <v>20</v>
      </c>
      <c r="CH20" s="140">
        <f t="shared" si="34"/>
        <v>62</v>
      </c>
      <c r="CI20" s="138"/>
      <c r="CJ20" s="139">
        <f t="shared" si="44"/>
        <v>3.5</v>
      </c>
      <c r="CK20" s="139">
        <f t="shared" si="35"/>
        <v>39.5</v>
      </c>
      <c r="CL20" s="142">
        <f t="shared" si="36"/>
        <v>4.3888888888888893</v>
      </c>
      <c r="CM20" s="143" t="str">
        <f t="shared" si="37"/>
        <v>A</v>
      </c>
      <c r="CN20" s="50" t="str">
        <f t="shared" si="38"/>
        <v>BETTER</v>
      </c>
      <c r="CO20" s="54">
        <f t="shared" si="6"/>
        <v>827</v>
      </c>
      <c r="CP20" s="60" t="s">
        <v>175</v>
      </c>
      <c r="CQ20" s="13">
        <v>71</v>
      </c>
    </row>
    <row r="21" spans="1:95" s="21" customFormat="1" ht="31.5" customHeight="1">
      <c r="A21" s="56">
        <v>12</v>
      </c>
      <c r="B21" s="47">
        <v>15</v>
      </c>
      <c r="C21" s="51" t="s">
        <v>107</v>
      </c>
      <c r="D21" s="51" t="s">
        <v>108</v>
      </c>
      <c r="E21" s="51" t="s">
        <v>109</v>
      </c>
      <c r="F21" s="49" t="s">
        <v>136</v>
      </c>
      <c r="G21" s="128">
        <v>16</v>
      </c>
      <c r="H21" s="139">
        <v>29</v>
      </c>
      <c r="I21" s="140">
        <f t="shared" si="39"/>
        <v>45</v>
      </c>
      <c r="J21" s="139">
        <v>24</v>
      </c>
      <c r="K21" s="140">
        <f t="shared" si="40"/>
        <v>69</v>
      </c>
      <c r="L21" s="131">
        <v>18</v>
      </c>
      <c r="M21" s="139">
        <v>37</v>
      </c>
      <c r="N21" s="140">
        <f t="shared" si="41"/>
        <v>55</v>
      </c>
      <c r="O21" s="139">
        <v>26</v>
      </c>
      <c r="P21" s="140">
        <f t="shared" si="7"/>
        <v>81</v>
      </c>
      <c r="Q21" s="140">
        <f t="shared" si="8"/>
        <v>150</v>
      </c>
      <c r="R21" s="137"/>
      <c r="S21" s="139">
        <f t="shared" si="9"/>
        <v>4</v>
      </c>
      <c r="T21" s="131">
        <v>20</v>
      </c>
      <c r="U21" s="139">
        <v>50</v>
      </c>
      <c r="V21" s="140">
        <f t="shared" si="10"/>
        <v>70</v>
      </c>
      <c r="W21" s="131">
        <v>15</v>
      </c>
      <c r="X21" s="139">
        <v>41</v>
      </c>
      <c r="Y21" s="140">
        <f t="shared" si="11"/>
        <v>56</v>
      </c>
      <c r="Z21" s="140">
        <f t="shared" si="42"/>
        <v>126</v>
      </c>
      <c r="AA21" s="140">
        <f t="shared" si="43"/>
        <v>126</v>
      </c>
      <c r="AB21" s="137"/>
      <c r="AC21" s="139">
        <f t="shared" si="12"/>
        <v>3.5</v>
      </c>
      <c r="AD21" s="131">
        <v>19</v>
      </c>
      <c r="AE21" s="139">
        <v>21</v>
      </c>
      <c r="AF21" s="140">
        <f t="shared" si="13"/>
        <v>40</v>
      </c>
      <c r="AG21" s="139">
        <v>12</v>
      </c>
      <c r="AH21" s="140">
        <f t="shared" si="14"/>
        <v>52</v>
      </c>
      <c r="AI21" s="137"/>
      <c r="AJ21" s="139">
        <f t="shared" si="15"/>
        <v>3</v>
      </c>
      <c r="AK21" s="131">
        <v>19</v>
      </c>
      <c r="AL21" s="139">
        <v>43</v>
      </c>
      <c r="AM21" s="140">
        <f t="shared" si="16"/>
        <v>62</v>
      </c>
      <c r="AN21" s="139">
        <v>25</v>
      </c>
      <c r="AO21" s="140">
        <f t="shared" si="17"/>
        <v>87</v>
      </c>
      <c r="AP21" s="137"/>
      <c r="AQ21" s="139">
        <f t="shared" si="18"/>
        <v>5</v>
      </c>
      <c r="AR21" s="141"/>
      <c r="AS21" s="133">
        <v>22</v>
      </c>
      <c r="AT21" s="129">
        <v>25</v>
      </c>
      <c r="AU21" s="139">
        <f t="shared" si="19"/>
        <v>47</v>
      </c>
      <c r="AV21" s="138"/>
      <c r="AW21" s="139">
        <f t="shared" si="20"/>
        <v>5</v>
      </c>
      <c r="AX21" s="131">
        <v>18</v>
      </c>
      <c r="AY21" s="139">
        <v>35</v>
      </c>
      <c r="AZ21" s="140">
        <f t="shared" si="21"/>
        <v>53</v>
      </c>
      <c r="BA21" s="139">
        <v>24</v>
      </c>
      <c r="BB21" s="140">
        <f t="shared" si="22"/>
        <v>77</v>
      </c>
      <c r="BC21" s="137"/>
      <c r="BD21" s="139">
        <f t="shared" si="23"/>
        <v>4</v>
      </c>
      <c r="BE21" s="131">
        <v>8</v>
      </c>
      <c r="BF21" s="139">
        <v>22</v>
      </c>
      <c r="BG21" s="140">
        <f t="shared" si="24"/>
        <v>30</v>
      </c>
      <c r="BH21" s="139">
        <v>11</v>
      </c>
      <c r="BI21" s="129">
        <v>25</v>
      </c>
      <c r="BJ21" s="140">
        <f t="shared" si="25"/>
        <v>66</v>
      </c>
      <c r="BK21" s="138"/>
      <c r="BL21" s="139">
        <f t="shared" si="26"/>
        <v>3.5</v>
      </c>
      <c r="BM21" s="131">
        <v>7</v>
      </c>
      <c r="BN21" s="139">
        <v>16</v>
      </c>
      <c r="BO21" s="140">
        <f t="shared" si="27"/>
        <v>23</v>
      </c>
      <c r="BP21" s="139">
        <v>15</v>
      </c>
      <c r="BQ21" s="129">
        <v>23</v>
      </c>
      <c r="BR21" s="140">
        <f t="shared" si="28"/>
        <v>61</v>
      </c>
      <c r="BS21" s="138"/>
      <c r="BT21" s="139">
        <f t="shared" si="29"/>
        <v>3.5</v>
      </c>
      <c r="BU21" s="131">
        <v>8</v>
      </c>
      <c r="BV21" s="139">
        <v>0</v>
      </c>
      <c r="BW21" s="140">
        <f t="shared" si="30"/>
        <v>8</v>
      </c>
      <c r="BX21" s="139">
        <v>0</v>
      </c>
      <c r="BY21" s="129">
        <v>23</v>
      </c>
      <c r="BZ21" s="140">
        <f t="shared" si="31"/>
        <v>31</v>
      </c>
      <c r="CA21" s="138"/>
      <c r="CB21" s="129" t="str">
        <f t="shared" si="32"/>
        <v>F</v>
      </c>
      <c r="CC21" s="131">
        <v>5</v>
      </c>
      <c r="CD21" s="139">
        <v>15</v>
      </c>
      <c r="CE21" s="140">
        <f t="shared" si="33"/>
        <v>20</v>
      </c>
      <c r="CF21" s="139">
        <v>12</v>
      </c>
      <c r="CG21" s="139">
        <v>18</v>
      </c>
      <c r="CH21" s="140">
        <f t="shared" si="34"/>
        <v>50</v>
      </c>
      <c r="CI21" s="138"/>
      <c r="CJ21" s="139">
        <f t="shared" si="44"/>
        <v>3</v>
      </c>
      <c r="CK21" s="139" t="str">
        <f t="shared" si="35"/>
        <v>F</v>
      </c>
      <c r="CL21" s="142" t="str">
        <f t="shared" si="36"/>
        <v>F</v>
      </c>
      <c r="CM21" s="143" t="str">
        <f t="shared" si="37"/>
        <v>F</v>
      </c>
      <c r="CN21" s="50" t="str">
        <f t="shared" si="38"/>
        <v>NEED TO PROGRESS</v>
      </c>
      <c r="CO21" s="54">
        <f t="shared" si="6"/>
        <v>747</v>
      </c>
      <c r="CP21" s="60" t="s">
        <v>176</v>
      </c>
      <c r="CQ21" s="13">
        <v>71</v>
      </c>
    </row>
    <row r="22" spans="1:95" s="21" customFormat="1" ht="31.5" customHeight="1">
      <c r="A22" s="56">
        <v>13</v>
      </c>
      <c r="B22" s="47">
        <v>16</v>
      </c>
      <c r="C22" s="51" t="s">
        <v>110</v>
      </c>
      <c r="D22" s="51" t="s">
        <v>111</v>
      </c>
      <c r="E22" s="51" t="s">
        <v>112</v>
      </c>
      <c r="F22" s="49" t="s">
        <v>137</v>
      </c>
      <c r="G22" s="128">
        <v>17</v>
      </c>
      <c r="H22" s="139">
        <v>33</v>
      </c>
      <c r="I22" s="140">
        <f t="shared" si="39"/>
        <v>50</v>
      </c>
      <c r="J22" s="139">
        <v>26</v>
      </c>
      <c r="K22" s="140">
        <f t="shared" si="40"/>
        <v>76</v>
      </c>
      <c r="L22" s="131">
        <v>17</v>
      </c>
      <c r="M22" s="139">
        <v>39</v>
      </c>
      <c r="N22" s="140">
        <f t="shared" si="41"/>
        <v>56</v>
      </c>
      <c r="O22" s="139">
        <v>29</v>
      </c>
      <c r="P22" s="140">
        <f t="shared" si="7"/>
        <v>85</v>
      </c>
      <c r="Q22" s="140">
        <f t="shared" si="8"/>
        <v>161</v>
      </c>
      <c r="R22" s="137"/>
      <c r="S22" s="139">
        <f t="shared" si="9"/>
        <v>5</v>
      </c>
      <c r="T22" s="131">
        <v>15</v>
      </c>
      <c r="U22" s="139">
        <v>46</v>
      </c>
      <c r="V22" s="140">
        <f t="shared" si="10"/>
        <v>61</v>
      </c>
      <c r="W22" s="131">
        <v>12</v>
      </c>
      <c r="X22" s="139">
        <v>41</v>
      </c>
      <c r="Y22" s="140">
        <f t="shared" si="11"/>
        <v>53</v>
      </c>
      <c r="Z22" s="140">
        <f t="shared" si="42"/>
        <v>114</v>
      </c>
      <c r="AA22" s="140">
        <f t="shared" si="43"/>
        <v>114</v>
      </c>
      <c r="AB22" s="137"/>
      <c r="AC22" s="139">
        <f t="shared" si="12"/>
        <v>3</v>
      </c>
      <c r="AD22" s="131">
        <v>20</v>
      </c>
      <c r="AE22" s="139">
        <v>27</v>
      </c>
      <c r="AF22" s="140">
        <f t="shared" si="13"/>
        <v>47</v>
      </c>
      <c r="AG22" s="139">
        <v>13</v>
      </c>
      <c r="AH22" s="140">
        <f t="shared" si="14"/>
        <v>60</v>
      </c>
      <c r="AI22" s="137"/>
      <c r="AJ22" s="139">
        <f t="shared" si="15"/>
        <v>3.5</v>
      </c>
      <c r="AK22" s="131">
        <v>18</v>
      </c>
      <c r="AL22" s="139">
        <v>41</v>
      </c>
      <c r="AM22" s="140">
        <f t="shared" si="16"/>
        <v>59</v>
      </c>
      <c r="AN22" s="139">
        <v>23</v>
      </c>
      <c r="AO22" s="140">
        <f t="shared" si="17"/>
        <v>82</v>
      </c>
      <c r="AP22" s="137"/>
      <c r="AQ22" s="139">
        <f t="shared" si="18"/>
        <v>5</v>
      </c>
      <c r="AR22" s="141"/>
      <c r="AS22" s="133">
        <v>22</v>
      </c>
      <c r="AT22" s="129">
        <v>25</v>
      </c>
      <c r="AU22" s="139">
        <f t="shared" si="19"/>
        <v>47</v>
      </c>
      <c r="AV22" s="138"/>
      <c r="AW22" s="139">
        <f t="shared" si="20"/>
        <v>5</v>
      </c>
      <c r="AX22" s="131">
        <v>19</v>
      </c>
      <c r="AY22" s="139">
        <v>32</v>
      </c>
      <c r="AZ22" s="140">
        <f t="shared" si="21"/>
        <v>51</v>
      </c>
      <c r="BA22" s="139">
        <v>23</v>
      </c>
      <c r="BB22" s="140">
        <f t="shared" si="22"/>
        <v>74</v>
      </c>
      <c r="BC22" s="137"/>
      <c r="BD22" s="139">
        <f t="shared" si="23"/>
        <v>4</v>
      </c>
      <c r="BE22" s="131">
        <v>9</v>
      </c>
      <c r="BF22" s="139">
        <v>16</v>
      </c>
      <c r="BG22" s="140">
        <f t="shared" si="24"/>
        <v>25</v>
      </c>
      <c r="BH22" s="139">
        <v>13</v>
      </c>
      <c r="BI22" s="129">
        <v>25</v>
      </c>
      <c r="BJ22" s="140">
        <f t="shared" si="25"/>
        <v>63</v>
      </c>
      <c r="BK22" s="138"/>
      <c r="BL22" s="139">
        <f t="shared" si="26"/>
        <v>3.5</v>
      </c>
      <c r="BM22" s="131">
        <v>6</v>
      </c>
      <c r="BN22" s="139">
        <v>22</v>
      </c>
      <c r="BO22" s="140">
        <f t="shared" si="27"/>
        <v>28</v>
      </c>
      <c r="BP22" s="139">
        <v>15</v>
      </c>
      <c r="BQ22" s="129">
        <v>23</v>
      </c>
      <c r="BR22" s="140">
        <f t="shared" si="28"/>
        <v>66</v>
      </c>
      <c r="BS22" s="138"/>
      <c r="BT22" s="139">
        <f t="shared" si="29"/>
        <v>3.5</v>
      </c>
      <c r="BU22" s="131">
        <v>8</v>
      </c>
      <c r="BV22" s="139">
        <v>29</v>
      </c>
      <c r="BW22" s="140">
        <f t="shared" si="30"/>
        <v>37</v>
      </c>
      <c r="BX22" s="139">
        <v>12</v>
      </c>
      <c r="BY22" s="129">
        <v>23</v>
      </c>
      <c r="BZ22" s="140">
        <f t="shared" si="31"/>
        <v>72</v>
      </c>
      <c r="CA22" s="138"/>
      <c r="CB22" s="129">
        <f t="shared" si="32"/>
        <v>4</v>
      </c>
      <c r="CC22" s="131">
        <v>5</v>
      </c>
      <c r="CD22" s="139">
        <v>15</v>
      </c>
      <c r="CE22" s="140">
        <f t="shared" si="33"/>
        <v>20</v>
      </c>
      <c r="CF22" s="139">
        <v>17</v>
      </c>
      <c r="CG22" s="139">
        <v>20</v>
      </c>
      <c r="CH22" s="140">
        <f t="shared" si="34"/>
        <v>57</v>
      </c>
      <c r="CI22" s="138"/>
      <c r="CJ22" s="139">
        <f t="shared" si="44"/>
        <v>3</v>
      </c>
      <c r="CK22" s="139">
        <f t="shared" si="35"/>
        <v>37.5</v>
      </c>
      <c r="CL22" s="142">
        <f t="shared" si="36"/>
        <v>4.166666666666667</v>
      </c>
      <c r="CM22" s="143" t="str">
        <f t="shared" si="37"/>
        <v>A</v>
      </c>
      <c r="CN22" s="50" t="str">
        <f t="shared" si="38"/>
        <v>BETTER</v>
      </c>
      <c r="CO22" s="54">
        <f t="shared" si="6"/>
        <v>796</v>
      </c>
      <c r="CP22" s="60" t="s">
        <v>177</v>
      </c>
      <c r="CQ22" s="13">
        <v>71</v>
      </c>
    </row>
    <row r="23" spans="1:95" s="21" customFormat="1" ht="31.5" customHeight="1">
      <c r="A23" s="56">
        <v>14</v>
      </c>
      <c r="B23" s="47">
        <v>17</v>
      </c>
      <c r="C23" s="51" t="s">
        <v>113</v>
      </c>
      <c r="D23" s="51" t="s">
        <v>114</v>
      </c>
      <c r="E23" s="51" t="s">
        <v>115</v>
      </c>
      <c r="F23" s="49" t="s">
        <v>138</v>
      </c>
      <c r="G23" s="128">
        <v>17</v>
      </c>
      <c r="H23" s="139">
        <v>28</v>
      </c>
      <c r="I23" s="140">
        <f t="shared" si="39"/>
        <v>45</v>
      </c>
      <c r="J23" s="139">
        <v>24</v>
      </c>
      <c r="K23" s="140">
        <f t="shared" si="40"/>
        <v>69</v>
      </c>
      <c r="L23" s="131">
        <v>19</v>
      </c>
      <c r="M23" s="139">
        <v>36</v>
      </c>
      <c r="N23" s="140">
        <f t="shared" si="41"/>
        <v>55</v>
      </c>
      <c r="O23" s="139">
        <v>29</v>
      </c>
      <c r="P23" s="140">
        <f t="shared" si="7"/>
        <v>84</v>
      </c>
      <c r="Q23" s="140">
        <f t="shared" si="8"/>
        <v>153</v>
      </c>
      <c r="R23" s="137"/>
      <c r="S23" s="139">
        <f t="shared" si="9"/>
        <v>4</v>
      </c>
      <c r="T23" s="131">
        <v>19</v>
      </c>
      <c r="U23" s="139">
        <v>39</v>
      </c>
      <c r="V23" s="140">
        <f t="shared" si="10"/>
        <v>58</v>
      </c>
      <c r="W23" s="131">
        <v>11</v>
      </c>
      <c r="X23" s="139">
        <v>43</v>
      </c>
      <c r="Y23" s="140">
        <f t="shared" si="11"/>
        <v>54</v>
      </c>
      <c r="Z23" s="140">
        <f t="shared" si="42"/>
        <v>112</v>
      </c>
      <c r="AA23" s="140">
        <f t="shared" si="43"/>
        <v>112</v>
      </c>
      <c r="AB23" s="137"/>
      <c r="AC23" s="139">
        <f t="shared" si="12"/>
        <v>3</v>
      </c>
      <c r="AD23" s="131">
        <v>16</v>
      </c>
      <c r="AE23" s="139">
        <v>16</v>
      </c>
      <c r="AF23" s="140">
        <f t="shared" si="13"/>
        <v>32</v>
      </c>
      <c r="AG23" s="139">
        <v>12</v>
      </c>
      <c r="AH23" s="140">
        <f t="shared" si="14"/>
        <v>44</v>
      </c>
      <c r="AI23" s="137"/>
      <c r="AJ23" s="139">
        <f t="shared" si="15"/>
        <v>2</v>
      </c>
      <c r="AK23" s="131">
        <v>18</v>
      </c>
      <c r="AL23" s="139">
        <v>39</v>
      </c>
      <c r="AM23" s="140">
        <f t="shared" si="16"/>
        <v>57</v>
      </c>
      <c r="AN23" s="139">
        <v>26</v>
      </c>
      <c r="AO23" s="140">
        <f t="shared" si="17"/>
        <v>83</v>
      </c>
      <c r="AP23" s="137"/>
      <c r="AQ23" s="139">
        <f t="shared" si="18"/>
        <v>5</v>
      </c>
      <c r="AR23" s="141"/>
      <c r="AS23" s="133">
        <v>22</v>
      </c>
      <c r="AT23" s="129">
        <v>25</v>
      </c>
      <c r="AU23" s="139">
        <f t="shared" si="19"/>
        <v>47</v>
      </c>
      <c r="AV23" s="138"/>
      <c r="AW23" s="139">
        <f t="shared" si="20"/>
        <v>5</v>
      </c>
      <c r="AX23" s="131">
        <v>14</v>
      </c>
      <c r="AY23" s="139">
        <v>36</v>
      </c>
      <c r="AZ23" s="140">
        <f t="shared" si="21"/>
        <v>50</v>
      </c>
      <c r="BA23" s="139">
        <v>17</v>
      </c>
      <c r="BB23" s="140">
        <f t="shared" si="22"/>
        <v>67</v>
      </c>
      <c r="BC23" s="137"/>
      <c r="BD23" s="139">
        <f t="shared" si="23"/>
        <v>3.5</v>
      </c>
      <c r="BE23" s="131">
        <v>9</v>
      </c>
      <c r="BF23" s="139">
        <v>19</v>
      </c>
      <c r="BG23" s="140">
        <f t="shared" si="24"/>
        <v>28</v>
      </c>
      <c r="BH23" s="139">
        <v>12</v>
      </c>
      <c r="BI23" s="129">
        <v>25</v>
      </c>
      <c r="BJ23" s="140">
        <f t="shared" si="25"/>
        <v>65</v>
      </c>
      <c r="BK23" s="138"/>
      <c r="BL23" s="139">
        <f t="shared" si="26"/>
        <v>3.5</v>
      </c>
      <c r="BM23" s="131">
        <v>6</v>
      </c>
      <c r="BN23" s="139">
        <v>18</v>
      </c>
      <c r="BO23" s="140">
        <f t="shared" si="27"/>
        <v>24</v>
      </c>
      <c r="BP23" s="139">
        <v>14</v>
      </c>
      <c r="BQ23" s="129">
        <v>23</v>
      </c>
      <c r="BR23" s="140">
        <f t="shared" si="28"/>
        <v>61</v>
      </c>
      <c r="BS23" s="138"/>
      <c r="BT23" s="139">
        <f t="shared" si="29"/>
        <v>3.5</v>
      </c>
      <c r="BU23" s="131">
        <v>8</v>
      </c>
      <c r="BV23" s="139">
        <v>24</v>
      </c>
      <c r="BW23" s="140">
        <f t="shared" si="30"/>
        <v>32</v>
      </c>
      <c r="BX23" s="139">
        <v>11</v>
      </c>
      <c r="BY23" s="129">
        <v>23</v>
      </c>
      <c r="BZ23" s="140">
        <f t="shared" si="31"/>
        <v>66</v>
      </c>
      <c r="CA23" s="138"/>
      <c r="CB23" s="129">
        <f t="shared" si="32"/>
        <v>3.5</v>
      </c>
      <c r="CC23" s="131">
        <v>6</v>
      </c>
      <c r="CD23" s="139">
        <v>14</v>
      </c>
      <c r="CE23" s="140">
        <f t="shared" si="33"/>
        <v>20</v>
      </c>
      <c r="CF23" s="139">
        <v>19</v>
      </c>
      <c r="CG23" s="139">
        <v>20</v>
      </c>
      <c r="CH23" s="140">
        <f t="shared" si="34"/>
        <v>59</v>
      </c>
      <c r="CI23" s="138"/>
      <c r="CJ23" s="139">
        <f t="shared" si="44"/>
        <v>3</v>
      </c>
      <c r="CK23" s="139">
        <f t="shared" si="35"/>
        <v>34</v>
      </c>
      <c r="CL23" s="142">
        <f t="shared" si="36"/>
        <v>3.7777777777777777</v>
      </c>
      <c r="CM23" s="143" t="str">
        <f t="shared" si="37"/>
        <v>A-</v>
      </c>
      <c r="CN23" s="50" t="str">
        <f t="shared" si="38"/>
        <v>GOOD</v>
      </c>
      <c r="CO23" s="54">
        <f t="shared" si="6"/>
        <v>757</v>
      </c>
      <c r="CP23" s="60" t="s">
        <v>178</v>
      </c>
      <c r="CQ23" s="13">
        <v>71</v>
      </c>
    </row>
    <row r="24" spans="1:95" s="21" customFormat="1" ht="31.5" customHeight="1">
      <c r="A24" s="56">
        <v>15</v>
      </c>
      <c r="B24" s="47">
        <v>18</v>
      </c>
      <c r="C24" s="51" t="s">
        <v>116</v>
      </c>
      <c r="D24" s="51" t="s">
        <v>117</v>
      </c>
      <c r="E24" s="51" t="s">
        <v>118</v>
      </c>
      <c r="F24" s="49" t="s">
        <v>139</v>
      </c>
      <c r="G24" s="128">
        <v>16</v>
      </c>
      <c r="H24" s="139">
        <v>39</v>
      </c>
      <c r="I24" s="140">
        <f t="shared" si="39"/>
        <v>55</v>
      </c>
      <c r="J24" s="139">
        <v>25</v>
      </c>
      <c r="K24" s="140">
        <f t="shared" si="40"/>
        <v>80</v>
      </c>
      <c r="L24" s="131">
        <v>18</v>
      </c>
      <c r="M24" s="139">
        <v>37</v>
      </c>
      <c r="N24" s="140">
        <f t="shared" si="41"/>
        <v>55</v>
      </c>
      <c r="O24" s="139">
        <v>29</v>
      </c>
      <c r="P24" s="140">
        <f t="shared" si="7"/>
        <v>84</v>
      </c>
      <c r="Q24" s="140">
        <f t="shared" si="8"/>
        <v>164</v>
      </c>
      <c r="R24" s="137"/>
      <c r="S24" s="139">
        <f t="shared" si="9"/>
        <v>5</v>
      </c>
      <c r="T24" s="131">
        <v>17</v>
      </c>
      <c r="U24" s="139">
        <v>52</v>
      </c>
      <c r="V24" s="140">
        <f t="shared" si="10"/>
        <v>69</v>
      </c>
      <c r="W24" s="131">
        <v>11</v>
      </c>
      <c r="X24" s="139">
        <v>42</v>
      </c>
      <c r="Y24" s="140">
        <f t="shared" si="11"/>
        <v>53</v>
      </c>
      <c r="Z24" s="140">
        <f t="shared" si="42"/>
        <v>122</v>
      </c>
      <c r="AA24" s="140">
        <f t="shared" si="43"/>
        <v>122</v>
      </c>
      <c r="AB24" s="137"/>
      <c r="AC24" s="139">
        <f t="shared" si="12"/>
        <v>3.5</v>
      </c>
      <c r="AD24" s="131">
        <v>20</v>
      </c>
      <c r="AE24" s="139">
        <v>41</v>
      </c>
      <c r="AF24" s="140">
        <f t="shared" si="13"/>
        <v>61</v>
      </c>
      <c r="AG24" s="139">
        <v>12</v>
      </c>
      <c r="AH24" s="140">
        <f t="shared" si="14"/>
        <v>73</v>
      </c>
      <c r="AI24" s="137"/>
      <c r="AJ24" s="139">
        <f t="shared" si="15"/>
        <v>4</v>
      </c>
      <c r="AK24" s="131">
        <v>20</v>
      </c>
      <c r="AL24" s="139">
        <v>47</v>
      </c>
      <c r="AM24" s="140">
        <f t="shared" si="16"/>
        <v>67</v>
      </c>
      <c r="AN24" s="139">
        <v>27</v>
      </c>
      <c r="AO24" s="140">
        <f t="shared" si="17"/>
        <v>94</v>
      </c>
      <c r="AP24" s="137"/>
      <c r="AQ24" s="139">
        <f t="shared" si="18"/>
        <v>5</v>
      </c>
      <c r="AR24" s="141"/>
      <c r="AS24" s="133">
        <v>22</v>
      </c>
      <c r="AT24" s="129">
        <v>25</v>
      </c>
      <c r="AU24" s="139">
        <f t="shared" si="19"/>
        <v>47</v>
      </c>
      <c r="AV24" s="138"/>
      <c r="AW24" s="139">
        <f t="shared" si="20"/>
        <v>5</v>
      </c>
      <c r="AX24" s="131">
        <v>16</v>
      </c>
      <c r="AY24" s="139">
        <v>36</v>
      </c>
      <c r="AZ24" s="140">
        <f t="shared" si="21"/>
        <v>52</v>
      </c>
      <c r="BA24" s="139">
        <v>24</v>
      </c>
      <c r="BB24" s="140">
        <f t="shared" si="22"/>
        <v>76</v>
      </c>
      <c r="BC24" s="137"/>
      <c r="BD24" s="139">
        <f t="shared" si="23"/>
        <v>4</v>
      </c>
      <c r="BE24" s="131">
        <v>9</v>
      </c>
      <c r="BF24" s="139">
        <v>21</v>
      </c>
      <c r="BG24" s="140">
        <f t="shared" si="24"/>
        <v>30</v>
      </c>
      <c r="BH24" s="139">
        <v>10</v>
      </c>
      <c r="BI24" s="129">
        <v>25</v>
      </c>
      <c r="BJ24" s="140">
        <f t="shared" si="25"/>
        <v>65</v>
      </c>
      <c r="BK24" s="138"/>
      <c r="BL24" s="139">
        <f t="shared" si="26"/>
        <v>3.5</v>
      </c>
      <c r="BM24" s="131">
        <v>7</v>
      </c>
      <c r="BN24" s="139">
        <v>20</v>
      </c>
      <c r="BO24" s="140">
        <f t="shared" si="27"/>
        <v>27</v>
      </c>
      <c r="BP24" s="139">
        <v>10</v>
      </c>
      <c r="BQ24" s="129">
        <v>23</v>
      </c>
      <c r="BR24" s="140">
        <f t="shared" si="28"/>
        <v>60</v>
      </c>
      <c r="BS24" s="138"/>
      <c r="BT24" s="139">
        <f t="shared" si="29"/>
        <v>3.5</v>
      </c>
      <c r="BU24" s="131">
        <v>8</v>
      </c>
      <c r="BV24" s="139">
        <v>34</v>
      </c>
      <c r="BW24" s="140">
        <f t="shared" si="30"/>
        <v>42</v>
      </c>
      <c r="BX24" s="139">
        <v>11</v>
      </c>
      <c r="BY24" s="129">
        <v>23</v>
      </c>
      <c r="BZ24" s="140">
        <f t="shared" si="31"/>
        <v>76</v>
      </c>
      <c r="CA24" s="138"/>
      <c r="CB24" s="129">
        <f t="shared" si="32"/>
        <v>4</v>
      </c>
      <c r="CC24" s="131">
        <v>4</v>
      </c>
      <c r="CD24" s="139">
        <v>16</v>
      </c>
      <c r="CE24" s="140">
        <f t="shared" si="33"/>
        <v>20</v>
      </c>
      <c r="CF24" s="139">
        <v>15</v>
      </c>
      <c r="CG24" s="139">
        <v>20</v>
      </c>
      <c r="CH24" s="140">
        <f t="shared" si="34"/>
        <v>55</v>
      </c>
      <c r="CI24" s="138"/>
      <c r="CJ24" s="139">
        <f t="shared" si="44"/>
        <v>3</v>
      </c>
      <c r="CK24" s="139">
        <f t="shared" si="35"/>
        <v>38.5</v>
      </c>
      <c r="CL24" s="142">
        <f t="shared" si="36"/>
        <v>4.2777777777777777</v>
      </c>
      <c r="CM24" s="143" t="str">
        <f t="shared" si="37"/>
        <v>A</v>
      </c>
      <c r="CN24" s="50" t="str">
        <f t="shared" si="38"/>
        <v>BETTER</v>
      </c>
      <c r="CO24" s="54">
        <f t="shared" si="6"/>
        <v>832</v>
      </c>
      <c r="CP24" s="60" t="s">
        <v>179</v>
      </c>
      <c r="CQ24" s="13">
        <v>71</v>
      </c>
    </row>
    <row r="25" spans="1:95" s="21" customFormat="1" ht="31.5" customHeight="1">
      <c r="A25" s="56">
        <v>16</v>
      </c>
      <c r="B25" s="47">
        <v>19</v>
      </c>
      <c r="C25" s="51" t="s">
        <v>119</v>
      </c>
      <c r="D25" s="51" t="s">
        <v>120</v>
      </c>
      <c r="E25" s="51" t="s">
        <v>121</v>
      </c>
      <c r="F25" s="49" t="s">
        <v>140</v>
      </c>
      <c r="G25" s="128">
        <v>16</v>
      </c>
      <c r="H25" s="139">
        <v>21</v>
      </c>
      <c r="I25" s="140">
        <f t="shared" si="39"/>
        <v>37</v>
      </c>
      <c r="J25" s="139">
        <v>18</v>
      </c>
      <c r="K25" s="140">
        <f t="shared" si="40"/>
        <v>55</v>
      </c>
      <c r="L25" s="131">
        <v>16</v>
      </c>
      <c r="M25" s="129">
        <v>31</v>
      </c>
      <c r="N25" s="140">
        <f t="shared" si="41"/>
        <v>47</v>
      </c>
      <c r="O25" s="139">
        <v>21</v>
      </c>
      <c r="P25" s="140">
        <f t="shared" si="7"/>
        <v>68</v>
      </c>
      <c r="Q25" s="140">
        <f t="shared" si="8"/>
        <v>123</v>
      </c>
      <c r="R25" s="137"/>
      <c r="S25" s="129">
        <f t="shared" si="9"/>
        <v>3.5</v>
      </c>
      <c r="T25" s="131">
        <v>18</v>
      </c>
      <c r="U25" s="129">
        <v>0</v>
      </c>
      <c r="V25" s="130">
        <f t="shared" si="10"/>
        <v>18</v>
      </c>
      <c r="W25" s="131">
        <v>11</v>
      </c>
      <c r="X25" s="129">
        <v>0</v>
      </c>
      <c r="Y25" s="140">
        <f t="shared" si="11"/>
        <v>11</v>
      </c>
      <c r="Z25" s="140">
        <f t="shared" si="42"/>
        <v>29</v>
      </c>
      <c r="AA25" s="140">
        <f t="shared" si="43"/>
        <v>29</v>
      </c>
      <c r="AB25" s="137"/>
      <c r="AC25" s="129" t="str">
        <f t="shared" si="12"/>
        <v>F</v>
      </c>
      <c r="AD25" s="131">
        <v>14</v>
      </c>
      <c r="AE25" s="129">
        <v>21</v>
      </c>
      <c r="AF25" s="130">
        <f t="shared" si="13"/>
        <v>35</v>
      </c>
      <c r="AG25" s="129">
        <v>12</v>
      </c>
      <c r="AH25" s="130">
        <f t="shared" si="14"/>
        <v>47</v>
      </c>
      <c r="AI25" s="137"/>
      <c r="AJ25" s="129">
        <f t="shared" si="15"/>
        <v>2</v>
      </c>
      <c r="AK25" s="131">
        <v>15</v>
      </c>
      <c r="AL25" s="129">
        <v>36</v>
      </c>
      <c r="AM25" s="130">
        <f t="shared" si="16"/>
        <v>51</v>
      </c>
      <c r="AN25" s="129">
        <v>22</v>
      </c>
      <c r="AO25" s="130">
        <f t="shared" si="17"/>
        <v>73</v>
      </c>
      <c r="AP25" s="137"/>
      <c r="AQ25" s="129">
        <f t="shared" si="18"/>
        <v>4</v>
      </c>
      <c r="AR25" s="133"/>
      <c r="AS25" s="133">
        <v>22</v>
      </c>
      <c r="AT25" s="129">
        <v>25</v>
      </c>
      <c r="AU25" s="129">
        <f t="shared" si="19"/>
        <v>47</v>
      </c>
      <c r="AV25" s="138"/>
      <c r="AW25" s="129">
        <f t="shared" si="20"/>
        <v>5</v>
      </c>
      <c r="AX25" s="131">
        <v>17</v>
      </c>
      <c r="AY25" s="129">
        <v>31</v>
      </c>
      <c r="AZ25" s="130">
        <f t="shared" si="21"/>
        <v>48</v>
      </c>
      <c r="BA25" s="129">
        <v>24</v>
      </c>
      <c r="BB25" s="130">
        <f t="shared" si="22"/>
        <v>72</v>
      </c>
      <c r="BC25" s="137"/>
      <c r="BD25" s="129">
        <f t="shared" si="23"/>
        <v>4</v>
      </c>
      <c r="BE25" s="131">
        <v>7</v>
      </c>
      <c r="BF25" s="129">
        <v>0</v>
      </c>
      <c r="BG25" s="130">
        <f t="shared" si="24"/>
        <v>7</v>
      </c>
      <c r="BH25" s="129">
        <v>0</v>
      </c>
      <c r="BI25" s="129">
        <v>25</v>
      </c>
      <c r="BJ25" s="130">
        <f t="shared" si="25"/>
        <v>32</v>
      </c>
      <c r="BK25" s="138"/>
      <c r="BL25" s="129" t="str">
        <f t="shared" si="26"/>
        <v>F</v>
      </c>
      <c r="BM25" s="131">
        <v>5</v>
      </c>
      <c r="BN25" s="129">
        <v>25</v>
      </c>
      <c r="BO25" s="130">
        <f t="shared" si="27"/>
        <v>30</v>
      </c>
      <c r="BP25" s="129">
        <v>10</v>
      </c>
      <c r="BQ25" s="129">
        <v>23</v>
      </c>
      <c r="BR25" s="130">
        <f t="shared" si="28"/>
        <v>63</v>
      </c>
      <c r="BS25" s="138"/>
      <c r="BT25" s="129">
        <f t="shared" si="29"/>
        <v>3.5</v>
      </c>
      <c r="BU25" s="131">
        <v>7</v>
      </c>
      <c r="BV25" s="129">
        <v>28</v>
      </c>
      <c r="BW25" s="130">
        <f t="shared" si="30"/>
        <v>35</v>
      </c>
      <c r="BX25" s="129">
        <v>14</v>
      </c>
      <c r="BY25" s="129">
        <v>23</v>
      </c>
      <c r="BZ25" s="130">
        <f t="shared" si="31"/>
        <v>72</v>
      </c>
      <c r="CA25" s="138"/>
      <c r="CB25" s="129">
        <f t="shared" si="32"/>
        <v>4</v>
      </c>
      <c r="CC25" s="131">
        <v>7</v>
      </c>
      <c r="CD25" s="129">
        <v>13</v>
      </c>
      <c r="CE25" s="130">
        <f t="shared" si="33"/>
        <v>20</v>
      </c>
      <c r="CF25" s="129">
        <v>14</v>
      </c>
      <c r="CG25" s="129">
        <v>20</v>
      </c>
      <c r="CH25" s="130">
        <f t="shared" si="34"/>
        <v>54</v>
      </c>
      <c r="CI25" s="138"/>
      <c r="CJ25" s="129">
        <f t="shared" si="44"/>
        <v>3</v>
      </c>
      <c r="CK25" s="129" t="str">
        <f t="shared" si="35"/>
        <v>F</v>
      </c>
      <c r="CL25" s="135" t="str">
        <f t="shared" si="36"/>
        <v>F</v>
      </c>
      <c r="CM25" s="136" t="str">
        <f t="shared" si="37"/>
        <v>F</v>
      </c>
      <c r="CN25" s="14" t="str">
        <f t="shared" si="38"/>
        <v>NEED TO PROGRESS</v>
      </c>
      <c r="CO25" s="53">
        <f t="shared" si="6"/>
        <v>612</v>
      </c>
      <c r="CP25" s="59" t="s">
        <v>176</v>
      </c>
      <c r="CQ25" s="13">
        <v>71</v>
      </c>
    </row>
    <row r="26" spans="1:95" s="21" customFormat="1" ht="31.5" customHeight="1">
      <c r="A26" s="56">
        <v>17</v>
      </c>
      <c r="B26" s="47">
        <v>32</v>
      </c>
      <c r="C26" s="51" t="s">
        <v>122</v>
      </c>
      <c r="D26" s="51" t="s">
        <v>123</v>
      </c>
      <c r="E26" s="51" t="s">
        <v>124</v>
      </c>
      <c r="F26" s="49" t="s">
        <v>141</v>
      </c>
      <c r="G26" s="128">
        <v>17</v>
      </c>
      <c r="H26" s="139">
        <v>36</v>
      </c>
      <c r="I26" s="140">
        <f t="shared" si="39"/>
        <v>53</v>
      </c>
      <c r="J26" s="139">
        <v>24</v>
      </c>
      <c r="K26" s="140">
        <f t="shared" si="40"/>
        <v>77</v>
      </c>
      <c r="L26" s="131">
        <v>13</v>
      </c>
      <c r="M26" s="129">
        <v>37</v>
      </c>
      <c r="N26" s="140">
        <f t="shared" si="41"/>
        <v>50</v>
      </c>
      <c r="O26" s="139">
        <v>24</v>
      </c>
      <c r="P26" s="140">
        <f t="shared" si="7"/>
        <v>74</v>
      </c>
      <c r="Q26" s="140">
        <f t="shared" si="8"/>
        <v>151</v>
      </c>
      <c r="R26" s="137"/>
      <c r="S26" s="129">
        <f t="shared" si="9"/>
        <v>4</v>
      </c>
      <c r="T26" s="131">
        <v>20</v>
      </c>
      <c r="U26" s="129">
        <v>65</v>
      </c>
      <c r="V26" s="130">
        <f t="shared" si="10"/>
        <v>85</v>
      </c>
      <c r="W26" s="131">
        <v>11</v>
      </c>
      <c r="X26" s="129">
        <v>45</v>
      </c>
      <c r="Y26" s="140">
        <f t="shared" si="11"/>
        <v>56</v>
      </c>
      <c r="Z26" s="140">
        <f t="shared" si="42"/>
        <v>141</v>
      </c>
      <c r="AA26" s="140">
        <f t="shared" si="43"/>
        <v>141</v>
      </c>
      <c r="AB26" s="137"/>
      <c r="AC26" s="129">
        <f t="shared" si="12"/>
        <v>4</v>
      </c>
      <c r="AD26" s="131">
        <v>13</v>
      </c>
      <c r="AE26" s="129">
        <v>19</v>
      </c>
      <c r="AF26" s="130">
        <f t="shared" si="13"/>
        <v>32</v>
      </c>
      <c r="AG26" s="129">
        <v>12</v>
      </c>
      <c r="AH26" s="130">
        <f t="shared" si="14"/>
        <v>44</v>
      </c>
      <c r="AI26" s="137"/>
      <c r="AJ26" s="129">
        <f t="shared" si="15"/>
        <v>2</v>
      </c>
      <c r="AK26" s="131">
        <v>20</v>
      </c>
      <c r="AL26" s="129">
        <v>39</v>
      </c>
      <c r="AM26" s="130">
        <f t="shared" si="16"/>
        <v>59</v>
      </c>
      <c r="AN26" s="129">
        <v>23</v>
      </c>
      <c r="AO26" s="130">
        <f t="shared" si="17"/>
        <v>82</v>
      </c>
      <c r="AP26" s="137"/>
      <c r="AQ26" s="129">
        <f t="shared" si="18"/>
        <v>5</v>
      </c>
      <c r="AR26" s="133"/>
      <c r="AS26" s="133">
        <v>22</v>
      </c>
      <c r="AT26" s="129">
        <v>25</v>
      </c>
      <c r="AU26" s="129">
        <f t="shared" si="19"/>
        <v>47</v>
      </c>
      <c r="AV26" s="138"/>
      <c r="AW26" s="129">
        <f t="shared" si="20"/>
        <v>5</v>
      </c>
      <c r="AX26" s="131">
        <v>17</v>
      </c>
      <c r="AY26" s="129">
        <v>37</v>
      </c>
      <c r="AZ26" s="130">
        <f t="shared" si="21"/>
        <v>54</v>
      </c>
      <c r="BA26" s="129">
        <v>22</v>
      </c>
      <c r="BB26" s="130">
        <f t="shared" si="22"/>
        <v>76</v>
      </c>
      <c r="BC26" s="137"/>
      <c r="BD26" s="129">
        <f t="shared" si="23"/>
        <v>4</v>
      </c>
      <c r="BE26" s="131">
        <v>10</v>
      </c>
      <c r="BF26" s="129">
        <v>21</v>
      </c>
      <c r="BG26" s="130">
        <f t="shared" si="24"/>
        <v>31</v>
      </c>
      <c r="BH26" s="129">
        <v>12</v>
      </c>
      <c r="BI26" s="129">
        <v>25</v>
      </c>
      <c r="BJ26" s="130">
        <f t="shared" si="25"/>
        <v>68</v>
      </c>
      <c r="BK26" s="138"/>
      <c r="BL26" s="129">
        <f t="shared" si="26"/>
        <v>3.5</v>
      </c>
      <c r="BM26" s="131">
        <v>7</v>
      </c>
      <c r="BN26" s="129">
        <v>19</v>
      </c>
      <c r="BO26" s="130">
        <f t="shared" si="27"/>
        <v>26</v>
      </c>
      <c r="BP26" s="129">
        <v>10</v>
      </c>
      <c r="BQ26" s="129">
        <v>23</v>
      </c>
      <c r="BR26" s="130">
        <f t="shared" si="28"/>
        <v>59</v>
      </c>
      <c r="BS26" s="138"/>
      <c r="BT26" s="129">
        <f t="shared" si="29"/>
        <v>3</v>
      </c>
      <c r="BU26" s="131">
        <v>8</v>
      </c>
      <c r="BV26" s="129">
        <v>30</v>
      </c>
      <c r="BW26" s="130">
        <f t="shared" si="30"/>
        <v>38</v>
      </c>
      <c r="BX26" s="129">
        <v>15</v>
      </c>
      <c r="BY26" s="129">
        <v>23</v>
      </c>
      <c r="BZ26" s="130">
        <f t="shared" si="31"/>
        <v>76</v>
      </c>
      <c r="CA26" s="138"/>
      <c r="CB26" s="129">
        <f t="shared" si="32"/>
        <v>4</v>
      </c>
      <c r="CC26" s="131">
        <v>5</v>
      </c>
      <c r="CD26" s="129">
        <v>10</v>
      </c>
      <c r="CE26" s="130">
        <f t="shared" si="33"/>
        <v>15</v>
      </c>
      <c r="CF26" s="129">
        <v>5</v>
      </c>
      <c r="CG26" s="129">
        <v>18</v>
      </c>
      <c r="CH26" s="130">
        <f t="shared" si="34"/>
        <v>38</v>
      </c>
      <c r="CI26" s="138"/>
      <c r="CJ26" s="129" t="str">
        <f t="shared" si="44"/>
        <v>0</v>
      </c>
      <c r="CK26" s="129">
        <f t="shared" si="35"/>
        <v>32.5</v>
      </c>
      <c r="CL26" s="135">
        <f t="shared" si="36"/>
        <v>3.6111111111111112</v>
      </c>
      <c r="CM26" s="136" t="str">
        <f t="shared" si="37"/>
        <v>A-</v>
      </c>
      <c r="CN26" s="14" t="str">
        <f t="shared" si="38"/>
        <v>GOOD</v>
      </c>
      <c r="CO26" s="53">
        <f t="shared" si="6"/>
        <v>782</v>
      </c>
      <c r="CP26" s="59" t="s">
        <v>180</v>
      </c>
      <c r="CQ26" s="13">
        <v>71</v>
      </c>
    </row>
    <row r="27" spans="1:95" s="21" customFormat="1" ht="31.5" customHeight="1">
      <c r="A27" s="56">
        <v>18</v>
      </c>
      <c r="B27" s="47">
        <v>45</v>
      </c>
      <c r="C27" s="51" t="s">
        <v>145</v>
      </c>
      <c r="D27" s="51" t="s">
        <v>146</v>
      </c>
      <c r="E27" s="51" t="s">
        <v>147</v>
      </c>
      <c r="F27" s="49" t="s">
        <v>159</v>
      </c>
      <c r="G27" s="128">
        <v>16</v>
      </c>
      <c r="H27" s="139">
        <v>31</v>
      </c>
      <c r="I27" s="140">
        <f t="shared" si="39"/>
        <v>47</v>
      </c>
      <c r="J27" s="139">
        <v>14</v>
      </c>
      <c r="K27" s="140">
        <f t="shared" si="40"/>
        <v>61</v>
      </c>
      <c r="L27" s="131">
        <v>17</v>
      </c>
      <c r="M27" s="129">
        <v>26</v>
      </c>
      <c r="N27" s="140">
        <f t="shared" si="41"/>
        <v>43</v>
      </c>
      <c r="O27" s="139">
        <v>18</v>
      </c>
      <c r="P27" s="140">
        <f t="shared" si="7"/>
        <v>61</v>
      </c>
      <c r="Q27" s="140">
        <f t="shared" si="8"/>
        <v>122</v>
      </c>
      <c r="R27" s="137"/>
      <c r="S27" s="129">
        <f t="shared" si="9"/>
        <v>3.5</v>
      </c>
      <c r="T27" s="131">
        <v>15</v>
      </c>
      <c r="U27" s="129">
        <v>44</v>
      </c>
      <c r="V27" s="130">
        <f t="shared" si="10"/>
        <v>59</v>
      </c>
      <c r="W27" s="131">
        <v>7</v>
      </c>
      <c r="X27" s="129">
        <v>34</v>
      </c>
      <c r="Y27" s="140">
        <v>52</v>
      </c>
      <c r="Z27" s="140">
        <f t="shared" si="42"/>
        <v>111</v>
      </c>
      <c r="AA27" s="140">
        <f t="shared" si="43"/>
        <v>111</v>
      </c>
      <c r="AB27" s="137"/>
      <c r="AC27" s="129">
        <f t="shared" si="12"/>
        <v>3</v>
      </c>
      <c r="AD27" s="131">
        <v>6</v>
      </c>
      <c r="AE27" s="129">
        <v>12</v>
      </c>
      <c r="AF27" s="130">
        <f t="shared" si="13"/>
        <v>18</v>
      </c>
      <c r="AG27" s="129">
        <v>9</v>
      </c>
      <c r="AH27" s="130">
        <f t="shared" si="14"/>
        <v>27</v>
      </c>
      <c r="AI27" s="137"/>
      <c r="AJ27" s="129" t="str">
        <f t="shared" si="15"/>
        <v>F</v>
      </c>
      <c r="AK27" s="131">
        <v>14</v>
      </c>
      <c r="AL27" s="129">
        <v>32</v>
      </c>
      <c r="AM27" s="130">
        <f t="shared" si="16"/>
        <v>46</v>
      </c>
      <c r="AN27" s="129">
        <v>20</v>
      </c>
      <c r="AO27" s="130">
        <f t="shared" si="17"/>
        <v>66</v>
      </c>
      <c r="AP27" s="137"/>
      <c r="AQ27" s="129">
        <f t="shared" si="18"/>
        <v>3.5</v>
      </c>
      <c r="AR27" s="133"/>
      <c r="AS27" s="133">
        <v>22</v>
      </c>
      <c r="AT27" s="129">
        <v>25</v>
      </c>
      <c r="AU27" s="129">
        <f t="shared" si="19"/>
        <v>47</v>
      </c>
      <c r="AV27" s="138"/>
      <c r="AW27" s="129">
        <f t="shared" si="20"/>
        <v>5</v>
      </c>
      <c r="AX27" s="131">
        <v>11</v>
      </c>
      <c r="AY27" s="129">
        <v>27</v>
      </c>
      <c r="AZ27" s="130">
        <f t="shared" si="21"/>
        <v>38</v>
      </c>
      <c r="BA27" s="129">
        <v>19</v>
      </c>
      <c r="BB27" s="130">
        <f t="shared" si="22"/>
        <v>57</v>
      </c>
      <c r="BC27" s="137"/>
      <c r="BD27" s="129">
        <f t="shared" si="23"/>
        <v>3</v>
      </c>
      <c r="BE27" s="131">
        <v>8</v>
      </c>
      <c r="BF27" s="129">
        <v>16</v>
      </c>
      <c r="BG27" s="130">
        <f t="shared" si="24"/>
        <v>24</v>
      </c>
      <c r="BH27" s="129">
        <v>10</v>
      </c>
      <c r="BI27" s="129">
        <v>25</v>
      </c>
      <c r="BJ27" s="130">
        <f t="shared" si="25"/>
        <v>59</v>
      </c>
      <c r="BK27" s="138"/>
      <c r="BL27" s="129">
        <f t="shared" si="26"/>
        <v>3</v>
      </c>
      <c r="BM27" s="131">
        <v>5</v>
      </c>
      <c r="BN27" s="129">
        <v>28</v>
      </c>
      <c r="BO27" s="130">
        <f t="shared" si="27"/>
        <v>33</v>
      </c>
      <c r="BP27" s="129">
        <v>19</v>
      </c>
      <c r="BQ27" s="129">
        <v>23</v>
      </c>
      <c r="BR27" s="130">
        <f t="shared" si="28"/>
        <v>75</v>
      </c>
      <c r="BS27" s="138"/>
      <c r="BT27" s="129">
        <f t="shared" si="29"/>
        <v>4</v>
      </c>
      <c r="BU27" s="131">
        <v>8</v>
      </c>
      <c r="BV27" s="129">
        <v>29</v>
      </c>
      <c r="BW27" s="130">
        <f t="shared" si="30"/>
        <v>37</v>
      </c>
      <c r="BX27" s="129">
        <v>16</v>
      </c>
      <c r="BY27" s="129">
        <v>23</v>
      </c>
      <c r="BZ27" s="130">
        <f t="shared" si="31"/>
        <v>76</v>
      </c>
      <c r="CA27" s="138"/>
      <c r="CB27" s="129">
        <f t="shared" si="32"/>
        <v>4</v>
      </c>
      <c r="CC27" s="131">
        <v>9</v>
      </c>
      <c r="CD27" s="129">
        <v>31</v>
      </c>
      <c r="CE27" s="130">
        <f t="shared" si="33"/>
        <v>40</v>
      </c>
      <c r="CF27" s="129">
        <v>14</v>
      </c>
      <c r="CG27" s="129">
        <v>23</v>
      </c>
      <c r="CH27" s="130">
        <f t="shared" si="34"/>
        <v>77</v>
      </c>
      <c r="CI27" s="138"/>
      <c r="CJ27" s="129">
        <f t="shared" si="44"/>
        <v>4</v>
      </c>
      <c r="CK27" s="129" t="str">
        <f t="shared" si="35"/>
        <v>F</v>
      </c>
      <c r="CL27" s="135" t="str">
        <f t="shared" si="36"/>
        <v>F</v>
      </c>
      <c r="CM27" s="136" t="str">
        <f t="shared" si="37"/>
        <v>F</v>
      </c>
      <c r="CN27" s="14" t="str">
        <f t="shared" si="38"/>
        <v>NEED TO PROGRESS</v>
      </c>
      <c r="CO27" s="53">
        <f t="shared" si="6"/>
        <v>717</v>
      </c>
      <c r="CP27" s="59" t="s">
        <v>181</v>
      </c>
      <c r="CQ27" s="13">
        <v>71</v>
      </c>
    </row>
    <row r="28" spans="1:95" s="21" customFormat="1" ht="31.5" customHeight="1">
      <c r="A28" s="56">
        <v>19</v>
      </c>
      <c r="B28" s="47">
        <v>48</v>
      </c>
      <c r="C28" s="51" t="s">
        <v>148</v>
      </c>
      <c r="D28" s="51" t="s">
        <v>149</v>
      </c>
      <c r="E28" s="51" t="s">
        <v>150</v>
      </c>
      <c r="F28" s="49" t="s">
        <v>160</v>
      </c>
      <c r="G28" s="128">
        <v>12</v>
      </c>
      <c r="H28" s="139">
        <v>25</v>
      </c>
      <c r="I28" s="140">
        <f t="shared" si="39"/>
        <v>37</v>
      </c>
      <c r="J28" s="139">
        <v>17</v>
      </c>
      <c r="K28" s="140">
        <f t="shared" si="40"/>
        <v>54</v>
      </c>
      <c r="L28" s="131">
        <v>15</v>
      </c>
      <c r="M28" s="129">
        <v>27</v>
      </c>
      <c r="N28" s="140">
        <f t="shared" si="41"/>
        <v>42</v>
      </c>
      <c r="O28" s="139">
        <v>20</v>
      </c>
      <c r="P28" s="140">
        <f t="shared" si="7"/>
        <v>62</v>
      </c>
      <c r="Q28" s="140">
        <f t="shared" si="8"/>
        <v>116</v>
      </c>
      <c r="R28" s="137"/>
      <c r="S28" s="129">
        <f t="shared" si="9"/>
        <v>3</v>
      </c>
      <c r="T28" s="131">
        <v>16</v>
      </c>
      <c r="U28" s="129">
        <v>39</v>
      </c>
      <c r="V28" s="130">
        <f t="shared" si="10"/>
        <v>55</v>
      </c>
      <c r="W28" s="131">
        <v>4</v>
      </c>
      <c r="X28" s="129">
        <v>29</v>
      </c>
      <c r="Y28" s="140">
        <f t="shared" si="11"/>
        <v>33</v>
      </c>
      <c r="Z28" s="140">
        <f t="shared" si="42"/>
        <v>88</v>
      </c>
      <c r="AA28" s="140">
        <f t="shared" si="43"/>
        <v>88</v>
      </c>
      <c r="AB28" s="137"/>
      <c r="AC28" s="129">
        <f t="shared" si="12"/>
        <v>2</v>
      </c>
      <c r="AD28" s="131">
        <v>8</v>
      </c>
      <c r="AE28" s="129">
        <v>7</v>
      </c>
      <c r="AF28" s="130">
        <f t="shared" si="13"/>
        <v>15</v>
      </c>
      <c r="AG28" s="129">
        <v>8</v>
      </c>
      <c r="AH28" s="130">
        <f t="shared" si="14"/>
        <v>23</v>
      </c>
      <c r="AI28" s="137"/>
      <c r="AJ28" s="129" t="str">
        <f t="shared" si="15"/>
        <v>F</v>
      </c>
      <c r="AK28" s="131">
        <v>15</v>
      </c>
      <c r="AL28" s="129">
        <v>35</v>
      </c>
      <c r="AM28" s="130">
        <f t="shared" si="16"/>
        <v>50</v>
      </c>
      <c r="AN28" s="129">
        <v>23</v>
      </c>
      <c r="AO28" s="130">
        <f t="shared" si="17"/>
        <v>73</v>
      </c>
      <c r="AP28" s="137"/>
      <c r="AQ28" s="129">
        <f t="shared" si="18"/>
        <v>4</v>
      </c>
      <c r="AR28" s="133"/>
      <c r="AS28" s="133">
        <v>22</v>
      </c>
      <c r="AT28" s="129">
        <v>25</v>
      </c>
      <c r="AU28" s="129">
        <f t="shared" si="19"/>
        <v>47</v>
      </c>
      <c r="AV28" s="138"/>
      <c r="AW28" s="129">
        <f t="shared" si="20"/>
        <v>5</v>
      </c>
      <c r="AX28" s="131">
        <v>12</v>
      </c>
      <c r="AY28" s="129">
        <v>28</v>
      </c>
      <c r="AZ28" s="130">
        <f t="shared" si="21"/>
        <v>40</v>
      </c>
      <c r="BA28" s="129">
        <v>23</v>
      </c>
      <c r="BB28" s="130">
        <f t="shared" si="22"/>
        <v>63</v>
      </c>
      <c r="BC28" s="137"/>
      <c r="BD28" s="129">
        <f t="shared" si="23"/>
        <v>3.5</v>
      </c>
      <c r="BE28" s="131">
        <v>6</v>
      </c>
      <c r="BF28" s="129">
        <v>15</v>
      </c>
      <c r="BG28" s="130">
        <f t="shared" si="24"/>
        <v>21</v>
      </c>
      <c r="BH28" s="129">
        <v>11</v>
      </c>
      <c r="BI28" s="129">
        <v>25</v>
      </c>
      <c r="BJ28" s="130">
        <f t="shared" si="25"/>
        <v>57</v>
      </c>
      <c r="BK28" s="138"/>
      <c r="BL28" s="129">
        <f t="shared" si="26"/>
        <v>3</v>
      </c>
      <c r="BM28" s="131">
        <v>4</v>
      </c>
      <c r="BN28" s="129">
        <v>21</v>
      </c>
      <c r="BO28" s="130">
        <f t="shared" si="27"/>
        <v>25</v>
      </c>
      <c r="BP28" s="129">
        <v>16</v>
      </c>
      <c r="BQ28" s="129">
        <v>23</v>
      </c>
      <c r="BR28" s="130">
        <f t="shared" si="28"/>
        <v>64</v>
      </c>
      <c r="BS28" s="138"/>
      <c r="BT28" s="129">
        <f t="shared" si="29"/>
        <v>3.5</v>
      </c>
      <c r="BU28" s="131">
        <v>8</v>
      </c>
      <c r="BV28" s="129">
        <v>22</v>
      </c>
      <c r="BW28" s="130">
        <f t="shared" si="30"/>
        <v>30</v>
      </c>
      <c r="BX28" s="129">
        <v>13</v>
      </c>
      <c r="BY28" s="129">
        <v>23</v>
      </c>
      <c r="BZ28" s="130">
        <f t="shared" si="31"/>
        <v>66</v>
      </c>
      <c r="CA28" s="138"/>
      <c r="CB28" s="129">
        <f t="shared" si="32"/>
        <v>3.5</v>
      </c>
      <c r="CC28" s="131">
        <v>4</v>
      </c>
      <c r="CD28" s="129">
        <v>9</v>
      </c>
      <c r="CE28" s="130">
        <f t="shared" si="33"/>
        <v>13</v>
      </c>
      <c r="CF28" s="129">
        <v>7</v>
      </c>
      <c r="CG28" s="129">
        <v>18</v>
      </c>
      <c r="CH28" s="130">
        <f t="shared" si="34"/>
        <v>38</v>
      </c>
      <c r="CI28" s="138"/>
      <c r="CJ28" s="129" t="str">
        <f t="shared" si="44"/>
        <v>0</v>
      </c>
      <c r="CK28" s="129" t="str">
        <f t="shared" si="35"/>
        <v>F</v>
      </c>
      <c r="CL28" s="135" t="str">
        <f t="shared" si="36"/>
        <v>F</v>
      </c>
      <c r="CM28" s="136" t="str">
        <f t="shared" si="37"/>
        <v>F</v>
      </c>
      <c r="CN28" s="14" t="str">
        <f t="shared" si="38"/>
        <v>NEED TO PROGRESS</v>
      </c>
      <c r="CO28" s="53">
        <f t="shared" si="6"/>
        <v>635</v>
      </c>
      <c r="CP28" s="59" t="s">
        <v>181</v>
      </c>
      <c r="CQ28" s="13">
        <v>71</v>
      </c>
    </row>
    <row r="29" spans="1:95" s="21" customFormat="1" ht="31.5" customHeight="1">
      <c r="A29" s="56">
        <v>20</v>
      </c>
      <c r="B29" s="47">
        <v>53</v>
      </c>
      <c r="C29" s="51" t="s">
        <v>151</v>
      </c>
      <c r="D29" s="51" t="s">
        <v>152</v>
      </c>
      <c r="E29" s="51" t="s">
        <v>153</v>
      </c>
      <c r="F29" s="49" t="s">
        <v>161</v>
      </c>
      <c r="G29" s="128">
        <v>15</v>
      </c>
      <c r="H29" s="139">
        <v>24</v>
      </c>
      <c r="I29" s="140">
        <f t="shared" si="39"/>
        <v>39</v>
      </c>
      <c r="J29" s="139">
        <v>19</v>
      </c>
      <c r="K29" s="140">
        <f t="shared" si="40"/>
        <v>58</v>
      </c>
      <c r="L29" s="131">
        <v>16</v>
      </c>
      <c r="M29" s="129">
        <v>27</v>
      </c>
      <c r="N29" s="140">
        <f t="shared" si="41"/>
        <v>43</v>
      </c>
      <c r="O29" s="139">
        <v>22</v>
      </c>
      <c r="P29" s="140">
        <f t="shared" si="7"/>
        <v>65</v>
      </c>
      <c r="Q29" s="140">
        <f t="shared" si="8"/>
        <v>123</v>
      </c>
      <c r="R29" s="137"/>
      <c r="S29" s="129">
        <f t="shared" si="9"/>
        <v>3.5</v>
      </c>
      <c r="T29" s="131">
        <v>14</v>
      </c>
      <c r="U29" s="129">
        <v>42</v>
      </c>
      <c r="V29" s="130">
        <f t="shared" si="10"/>
        <v>56</v>
      </c>
      <c r="W29" s="131">
        <v>9</v>
      </c>
      <c r="X29" s="129">
        <v>28</v>
      </c>
      <c r="Y29" s="140">
        <f t="shared" si="11"/>
        <v>37</v>
      </c>
      <c r="Z29" s="140">
        <f t="shared" si="42"/>
        <v>93</v>
      </c>
      <c r="AA29" s="140">
        <f t="shared" si="43"/>
        <v>93</v>
      </c>
      <c r="AB29" s="137"/>
      <c r="AC29" s="129">
        <f t="shared" si="12"/>
        <v>2</v>
      </c>
      <c r="AD29" s="131">
        <v>12</v>
      </c>
      <c r="AE29" s="129">
        <v>7</v>
      </c>
      <c r="AF29" s="130">
        <f t="shared" si="13"/>
        <v>19</v>
      </c>
      <c r="AG29" s="129">
        <v>9</v>
      </c>
      <c r="AH29" s="130">
        <f t="shared" si="14"/>
        <v>28</v>
      </c>
      <c r="AI29" s="137"/>
      <c r="AJ29" s="129" t="str">
        <f t="shared" si="15"/>
        <v>F</v>
      </c>
      <c r="AK29" s="131">
        <v>19</v>
      </c>
      <c r="AL29" s="129">
        <v>36</v>
      </c>
      <c r="AM29" s="130">
        <f t="shared" si="16"/>
        <v>55</v>
      </c>
      <c r="AN29" s="129">
        <v>18</v>
      </c>
      <c r="AO29" s="130">
        <f t="shared" si="17"/>
        <v>73</v>
      </c>
      <c r="AP29" s="137"/>
      <c r="AQ29" s="129">
        <f t="shared" si="18"/>
        <v>4</v>
      </c>
      <c r="AR29" s="133"/>
      <c r="AS29" s="133">
        <v>22</v>
      </c>
      <c r="AT29" s="129">
        <v>25</v>
      </c>
      <c r="AU29" s="129">
        <f t="shared" si="19"/>
        <v>47</v>
      </c>
      <c r="AV29" s="138"/>
      <c r="AW29" s="129">
        <f t="shared" si="20"/>
        <v>5</v>
      </c>
      <c r="AX29" s="131">
        <v>14</v>
      </c>
      <c r="AY29" s="129">
        <v>31</v>
      </c>
      <c r="AZ29" s="130">
        <f t="shared" si="21"/>
        <v>45</v>
      </c>
      <c r="BA29" s="129">
        <v>19</v>
      </c>
      <c r="BB29" s="130">
        <f t="shared" si="22"/>
        <v>64</v>
      </c>
      <c r="BC29" s="137"/>
      <c r="BD29" s="129">
        <f t="shared" si="23"/>
        <v>3.5</v>
      </c>
      <c r="BE29" s="131">
        <v>5</v>
      </c>
      <c r="BF29" s="129">
        <v>18</v>
      </c>
      <c r="BG29" s="130">
        <f t="shared" si="24"/>
        <v>23</v>
      </c>
      <c r="BH29" s="129">
        <v>12</v>
      </c>
      <c r="BI29" s="129">
        <v>25</v>
      </c>
      <c r="BJ29" s="130">
        <f t="shared" si="25"/>
        <v>60</v>
      </c>
      <c r="BK29" s="138"/>
      <c r="BL29" s="129">
        <f t="shared" si="26"/>
        <v>3.5</v>
      </c>
      <c r="BM29" s="131">
        <v>5</v>
      </c>
      <c r="BN29" s="129">
        <v>21</v>
      </c>
      <c r="BO29" s="130">
        <f t="shared" si="27"/>
        <v>26</v>
      </c>
      <c r="BP29" s="129">
        <v>13</v>
      </c>
      <c r="BQ29" s="129">
        <v>23</v>
      </c>
      <c r="BR29" s="130">
        <f t="shared" si="28"/>
        <v>62</v>
      </c>
      <c r="BS29" s="138"/>
      <c r="BT29" s="129">
        <f t="shared" si="29"/>
        <v>3.5</v>
      </c>
      <c r="BU29" s="131">
        <v>4</v>
      </c>
      <c r="BV29" s="129">
        <v>26</v>
      </c>
      <c r="BW29" s="130">
        <f t="shared" si="30"/>
        <v>30</v>
      </c>
      <c r="BX29" s="129">
        <v>12</v>
      </c>
      <c r="BY29" s="129">
        <v>23</v>
      </c>
      <c r="BZ29" s="130">
        <f t="shared" si="31"/>
        <v>65</v>
      </c>
      <c r="CA29" s="138"/>
      <c r="CB29" s="129">
        <f t="shared" si="32"/>
        <v>3.5</v>
      </c>
      <c r="CC29" s="131">
        <v>6</v>
      </c>
      <c r="CD29" s="129">
        <v>10</v>
      </c>
      <c r="CE29" s="130">
        <f t="shared" si="33"/>
        <v>16</v>
      </c>
      <c r="CF29" s="129">
        <v>7</v>
      </c>
      <c r="CG29" s="129">
        <v>18</v>
      </c>
      <c r="CH29" s="130">
        <f t="shared" si="34"/>
        <v>41</v>
      </c>
      <c r="CI29" s="138"/>
      <c r="CJ29" s="129" t="str">
        <f t="shared" si="44"/>
        <v>0</v>
      </c>
      <c r="CK29" s="129" t="str">
        <f t="shared" si="35"/>
        <v>F</v>
      </c>
      <c r="CL29" s="135" t="str">
        <f t="shared" si="36"/>
        <v>F</v>
      </c>
      <c r="CM29" s="136" t="str">
        <f t="shared" si="37"/>
        <v>F</v>
      </c>
      <c r="CN29" s="14" t="str">
        <f t="shared" si="38"/>
        <v>NEED TO PROGRESS</v>
      </c>
      <c r="CO29" s="53">
        <f t="shared" si="6"/>
        <v>656</v>
      </c>
      <c r="CP29" s="59" t="s">
        <v>181</v>
      </c>
      <c r="CQ29" s="13">
        <v>71</v>
      </c>
    </row>
    <row r="30" spans="1:95" s="21" customFormat="1" ht="31.5" customHeight="1">
      <c r="A30" s="56">
        <v>21</v>
      </c>
      <c r="B30" s="47">
        <v>68</v>
      </c>
      <c r="C30" s="51" t="s">
        <v>154</v>
      </c>
      <c r="D30" s="51" t="s">
        <v>155</v>
      </c>
      <c r="E30" s="51" t="s">
        <v>156</v>
      </c>
      <c r="F30" s="49" t="s">
        <v>162</v>
      </c>
      <c r="G30" s="128">
        <v>15</v>
      </c>
      <c r="H30" s="139">
        <v>30</v>
      </c>
      <c r="I30" s="140">
        <f t="shared" ref="I30:I32" si="45">H30+G30</f>
        <v>45</v>
      </c>
      <c r="J30" s="139">
        <v>22</v>
      </c>
      <c r="K30" s="140">
        <f t="shared" ref="K30:K32" si="46">I30+J30</f>
        <v>67</v>
      </c>
      <c r="L30" s="131">
        <v>18</v>
      </c>
      <c r="M30" s="129">
        <v>34</v>
      </c>
      <c r="N30" s="140">
        <f t="shared" ref="N30:N32" si="47">M30+L30</f>
        <v>52</v>
      </c>
      <c r="O30" s="139">
        <v>26</v>
      </c>
      <c r="P30" s="140">
        <f t="shared" ref="P30:P32" si="48">N30+O30</f>
        <v>78</v>
      </c>
      <c r="Q30" s="140">
        <f t="shared" ref="Q30:Q32" si="49">K30+P30</f>
        <v>145</v>
      </c>
      <c r="R30" s="137"/>
      <c r="S30" s="129">
        <f t="shared" si="9"/>
        <v>4</v>
      </c>
      <c r="T30" s="131">
        <v>16</v>
      </c>
      <c r="U30" s="129">
        <v>56</v>
      </c>
      <c r="V30" s="130">
        <f t="shared" si="10"/>
        <v>72</v>
      </c>
      <c r="W30" s="131">
        <v>10</v>
      </c>
      <c r="X30" s="129">
        <v>27</v>
      </c>
      <c r="Y30" s="140">
        <f t="shared" ref="Y30:Y32" si="50">X30+W30</f>
        <v>37</v>
      </c>
      <c r="Z30" s="140">
        <f t="shared" ref="Z30:Z32" si="51">V30+Y30</f>
        <v>109</v>
      </c>
      <c r="AA30" s="140">
        <f t="shared" si="43"/>
        <v>109</v>
      </c>
      <c r="AB30" s="137"/>
      <c r="AC30" s="129">
        <f t="shared" si="12"/>
        <v>3</v>
      </c>
      <c r="AD30" s="131">
        <v>15</v>
      </c>
      <c r="AE30" s="129">
        <v>24</v>
      </c>
      <c r="AF30" s="130">
        <f t="shared" si="13"/>
        <v>39</v>
      </c>
      <c r="AG30" s="129">
        <v>12</v>
      </c>
      <c r="AH30" s="130">
        <f t="shared" si="14"/>
        <v>51</v>
      </c>
      <c r="AI30" s="137"/>
      <c r="AJ30" s="129">
        <f t="shared" si="15"/>
        <v>3</v>
      </c>
      <c r="AK30" s="131">
        <v>17</v>
      </c>
      <c r="AL30" s="129">
        <v>38</v>
      </c>
      <c r="AM30" s="130">
        <f t="shared" si="16"/>
        <v>55</v>
      </c>
      <c r="AN30" s="129">
        <v>21</v>
      </c>
      <c r="AO30" s="130">
        <f t="shared" si="17"/>
        <v>76</v>
      </c>
      <c r="AP30" s="137"/>
      <c r="AQ30" s="129">
        <f t="shared" si="18"/>
        <v>4</v>
      </c>
      <c r="AR30" s="133"/>
      <c r="AS30" s="133">
        <v>22</v>
      </c>
      <c r="AT30" s="129">
        <v>25</v>
      </c>
      <c r="AU30" s="129">
        <f t="shared" si="19"/>
        <v>47</v>
      </c>
      <c r="AV30" s="138"/>
      <c r="AW30" s="129">
        <f t="shared" si="20"/>
        <v>5</v>
      </c>
      <c r="AX30" s="131">
        <v>19</v>
      </c>
      <c r="AY30" s="129">
        <v>35</v>
      </c>
      <c r="AZ30" s="130">
        <f t="shared" si="21"/>
        <v>54</v>
      </c>
      <c r="BA30" s="129">
        <v>23</v>
      </c>
      <c r="BB30" s="130">
        <f t="shared" si="22"/>
        <v>77</v>
      </c>
      <c r="BC30" s="137"/>
      <c r="BD30" s="129">
        <f t="shared" si="23"/>
        <v>4</v>
      </c>
      <c r="BE30" s="131">
        <v>8</v>
      </c>
      <c r="BF30" s="129">
        <v>26</v>
      </c>
      <c r="BG30" s="130">
        <f t="shared" si="24"/>
        <v>34</v>
      </c>
      <c r="BH30" s="129">
        <v>12</v>
      </c>
      <c r="BI30" s="129">
        <v>25</v>
      </c>
      <c r="BJ30" s="130">
        <f t="shared" si="25"/>
        <v>71</v>
      </c>
      <c r="BK30" s="138"/>
      <c r="BL30" s="129">
        <f t="shared" si="26"/>
        <v>4</v>
      </c>
      <c r="BM30" s="131">
        <v>6</v>
      </c>
      <c r="BN30" s="129">
        <v>7</v>
      </c>
      <c r="BO30" s="130">
        <f t="shared" si="27"/>
        <v>13</v>
      </c>
      <c r="BP30" s="129">
        <v>13</v>
      </c>
      <c r="BQ30" s="129">
        <v>23</v>
      </c>
      <c r="BR30" s="130">
        <f t="shared" si="28"/>
        <v>49</v>
      </c>
      <c r="BS30" s="138"/>
      <c r="BT30" s="129" t="str">
        <f t="shared" si="29"/>
        <v>F</v>
      </c>
      <c r="BU30" s="131">
        <v>8</v>
      </c>
      <c r="BV30" s="129">
        <v>33</v>
      </c>
      <c r="BW30" s="130">
        <f t="shared" si="30"/>
        <v>41</v>
      </c>
      <c r="BX30" s="129">
        <v>10</v>
      </c>
      <c r="BY30" s="129">
        <v>23</v>
      </c>
      <c r="BZ30" s="130">
        <f t="shared" si="31"/>
        <v>74</v>
      </c>
      <c r="CA30" s="138"/>
      <c r="CB30" s="129">
        <f t="shared" si="32"/>
        <v>4</v>
      </c>
      <c r="CC30" s="131">
        <v>6</v>
      </c>
      <c r="CD30" s="129">
        <v>16</v>
      </c>
      <c r="CE30" s="130">
        <f t="shared" si="33"/>
        <v>22</v>
      </c>
      <c r="CF30" s="129">
        <v>8</v>
      </c>
      <c r="CG30" s="129">
        <v>20</v>
      </c>
      <c r="CH30" s="130">
        <f t="shared" si="34"/>
        <v>50</v>
      </c>
      <c r="CI30" s="138"/>
      <c r="CJ30" s="129" t="str">
        <f t="shared" si="44"/>
        <v>0</v>
      </c>
      <c r="CK30" s="129" t="str">
        <f t="shared" si="35"/>
        <v>F</v>
      </c>
      <c r="CL30" s="135" t="str">
        <f t="shared" si="36"/>
        <v>F</v>
      </c>
      <c r="CM30" s="136" t="str">
        <f t="shared" si="37"/>
        <v>F</v>
      </c>
      <c r="CN30" s="14" t="str">
        <f t="shared" si="38"/>
        <v>NEED TO PROGRESS</v>
      </c>
      <c r="CO30" s="53">
        <f t="shared" si="6"/>
        <v>749</v>
      </c>
      <c r="CP30" s="59" t="s">
        <v>181</v>
      </c>
      <c r="CQ30" s="13">
        <v>71</v>
      </c>
    </row>
    <row r="31" spans="1:95" s="21" customFormat="1" ht="31.5" customHeight="1">
      <c r="A31" s="56">
        <v>22</v>
      </c>
      <c r="B31" s="47">
        <v>82</v>
      </c>
      <c r="C31" s="52" t="s">
        <v>157</v>
      </c>
      <c r="D31" s="52" t="s">
        <v>164</v>
      </c>
      <c r="E31" s="52" t="s">
        <v>158</v>
      </c>
      <c r="F31" s="49" t="s">
        <v>163</v>
      </c>
      <c r="G31" s="128">
        <v>16</v>
      </c>
      <c r="H31" s="139">
        <v>35</v>
      </c>
      <c r="I31" s="140">
        <f t="shared" si="45"/>
        <v>51</v>
      </c>
      <c r="J31" s="139">
        <v>26</v>
      </c>
      <c r="K31" s="140">
        <f t="shared" si="46"/>
        <v>77</v>
      </c>
      <c r="L31" s="131">
        <v>19</v>
      </c>
      <c r="M31" s="129">
        <v>39</v>
      </c>
      <c r="N31" s="140">
        <f t="shared" si="47"/>
        <v>58</v>
      </c>
      <c r="O31" s="139">
        <v>30</v>
      </c>
      <c r="P31" s="140">
        <f t="shared" si="48"/>
        <v>88</v>
      </c>
      <c r="Q31" s="140">
        <f t="shared" si="49"/>
        <v>165</v>
      </c>
      <c r="R31" s="137"/>
      <c r="S31" s="129">
        <f t="shared" si="9"/>
        <v>5</v>
      </c>
      <c r="T31" s="131">
        <v>20</v>
      </c>
      <c r="U31" s="129">
        <v>53</v>
      </c>
      <c r="V31" s="130">
        <f t="shared" si="10"/>
        <v>73</v>
      </c>
      <c r="W31" s="131">
        <v>14</v>
      </c>
      <c r="X31" s="129">
        <v>46</v>
      </c>
      <c r="Y31" s="140">
        <f t="shared" si="50"/>
        <v>60</v>
      </c>
      <c r="Z31" s="140">
        <f t="shared" si="51"/>
        <v>133</v>
      </c>
      <c r="AA31" s="140">
        <f t="shared" si="43"/>
        <v>133</v>
      </c>
      <c r="AB31" s="137"/>
      <c r="AC31" s="129">
        <f t="shared" si="12"/>
        <v>3.5</v>
      </c>
      <c r="AD31" s="131">
        <v>20</v>
      </c>
      <c r="AE31" s="129">
        <v>33</v>
      </c>
      <c r="AF31" s="130">
        <f t="shared" si="13"/>
        <v>53</v>
      </c>
      <c r="AG31" s="129">
        <v>13</v>
      </c>
      <c r="AH31" s="130">
        <f t="shared" si="14"/>
        <v>66</v>
      </c>
      <c r="AI31" s="137"/>
      <c r="AJ31" s="129">
        <f t="shared" si="15"/>
        <v>3.5</v>
      </c>
      <c r="AK31" s="131">
        <v>20</v>
      </c>
      <c r="AL31" s="129">
        <v>48</v>
      </c>
      <c r="AM31" s="130">
        <f t="shared" si="16"/>
        <v>68</v>
      </c>
      <c r="AN31" s="129">
        <v>28</v>
      </c>
      <c r="AO31" s="130">
        <f t="shared" si="17"/>
        <v>96</v>
      </c>
      <c r="AP31" s="137"/>
      <c r="AQ31" s="129">
        <f t="shared" si="18"/>
        <v>5</v>
      </c>
      <c r="AR31" s="133"/>
      <c r="AS31" s="133">
        <v>22</v>
      </c>
      <c r="AT31" s="129">
        <v>25</v>
      </c>
      <c r="AU31" s="129">
        <f t="shared" si="19"/>
        <v>47</v>
      </c>
      <c r="AV31" s="138"/>
      <c r="AW31" s="129">
        <f t="shared" si="20"/>
        <v>5</v>
      </c>
      <c r="AX31" s="131">
        <v>19</v>
      </c>
      <c r="AY31" s="129">
        <v>40</v>
      </c>
      <c r="AZ31" s="130">
        <f t="shared" si="21"/>
        <v>59</v>
      </c>
      <c r="BA31" s="129">
        <v>26</v>
      </c>
      <c r="BB31" s="130">
        <f t="shared" si="22"/>
        <v>85</v>
      </c>
      <c r="BC31" s="137"/>
      <c r="BD31" s="129">
        <f t="shared" si="23"/>
        <v>5</v>
      </c>
      <c r="BE31" s="131">
        <v>10</v>
      </c>
      <c r="BF31" s="129">
        <v>28</v>
      </c>
      <c r="BG31" s="130">
        <f t="shared" si="24"/>
        <v>38</v>
      </c>
      <c r="BH31" s="129">
        <v>12</v>
      </c>
      <c r="BI31" s="129">
        <v>25</v>
      </c>
      <c r="BJ31" s="130">
        <f t="shared" si="25"/>
        <v>75</v>
      </c>
      <c r="BK31" s="138"/>
      <c r="BL31" s="129">
        <f t="shared" si="26"/>
        <v>4</v>
      </c>
      <c r="BM31" s="131">
        <v>10</v>
      </c>
      <c r="BN31" s="129">
        <v>38</v>
      </c>
      <c r="BO31" s="130">
        <f t="shared" si="27"/>
        <v>48</v>
      </c>
      <c r="BP31" s="129">
        <v>16</v>
      </c>
      <c r="BQ31" s="129">
        <v>23</v>
      </c>
      <c r="BR31" s="130">
        <f t="shared" si="28"/>
        <v>87</v>
      </c>
      <c r="BS31" s="138"/>
      <c r="BT31" s="129">
        <f t="shared" si="29"/>
        <v>5</v>
      </c>
      <c r="BU31" s="131">
        <v>9</v>
      </c>
      <c r="BV31" s="129">
        <v>38</v>
      </c>
      <c r="BW31" s="130">
        <f t="shared" si="30"/>
        <v>47</v>
      </c>
      <c r="BX31" s="129">
        <v>20</v>
      </c>
      <c r="BY31" s="129">
        <v>23</v>
      </c>
      <c r="BZ31" s="130">
        <f t="shared" si="31"/>
        <v>90</v>
      </c>
      <c r="CA31" s="138"/>
      <c r="CB31" s="129">
        <f t="shared" si="32"/>
        <v>5</v>
      </c>
      <c r="CC31" s="131">
        <v>9</v>
      </c>
      <c r="CD31" s="129">
        <v>15</v>
      </c>
      <c r="CE31" s="130">
        <f t="shared" si="33"/>
        <v>24</v>
      </c>
      <c r="CF31" s="129">
        <v>25</v>
      </c>
      <c r="CG31" s="129">
        <v>20</v>
      </c>
      <c r="CH31" s="130">
        <f t="shared" si="34"/>
        <v>69</v>
      </c>
      <c r="CI31" s="138"/>
      <c r="CJ31" s="129">
        <f t="shared" si="44"/>
        <v>3.5</v>
      </c>
      <c r="CK31" s="129">
        <f t="shared" si="35"/>
        <v>42.5</v>
      </c>
      <c r="CL31" s="135">
        <f t="shared" si="36"/>
        <v>4.7222222222222223</v>
      </c>
      <c r="CM31" s="136" t="str">
        <f t="shared" si="37"/>
        <v>A</v>
      </c>
      <c r="CN31" s="14" t="str">
        <f t="shared" si="38"/>
        <v>BETTER</v>
      </c>
      <c r="CO31" s="53">
        <f t="shared" si="6"/>
        <v>913</v>
      </c>
      <c r="CP31" s="59" t="s">
        <v>182</v>
      </c>
      <c r="CQ31" s="13">
        <v>71</v>
      </c>
    </row>
    <row r="32" spans="1:95" s="21" customFormat="1" ht="31.5" customHeight="1">
      <c r="A32" s="56">
        <v>23</v>
      </c>
      <c r="B32" s="47"/>
      <c r="C32" s="48"/>
      <c r="D32" s="48"/>
      <c r="E32" s="48"/>
      <c r="F32" s="49"/>
      <c r="G32" s="141"/>
      <c r="H32" s="139"/>
      <c r="I32" s="140">
        <f t="shared" si="45"/>
        <v>0</v>
      </c>
      <c r="J32" s="139"/>
      <c r="K32" s="140">
        <f t="shared" si="46"/>
        <v>0</v>
      </c>
      <c r="L32" s="133"/>
      <c r="M32" s="129"/>
      <c r="N32" s="140">
        <f t="shared" si="47"/>
        <v>0</v>
      </c>
      <c r="O32" s="139"/>
      <c r="P32" s="140">
        <f t="shared" si="48"/>
        <v>0</v>
      </c>
      <c r="Q32" s="140">
        <f t="shared" si="49"/>
        <v>0</v>
      </c>
      <c r="R32" s="137"/>
      <c r="S32" s="129" t="str">
        <f t="shared" si="9"/>
        <v>F</v>
      </c>
      <c r="T32" s="133"/>
      <c r="U32" s="129"/>
      <c r="V32" s="130">
        <f t="shared" si="10"/>
        <v>0</v>
      </c>
      <c r="W32" s="129"/>
      <c r="X32" s="129"/>
      <c r="Y32" s="140">
        <f t="shared" si="50"/>
        <v>0</v>
      </c>
      <c r="Z32" s="140">
        <f t="shared" si="51"/>
        <v>0</v>
      </c>
      <c r="AA32" s="140">
        <f t="shared" si="43"/>
        <v>0</v>
      </c>
      <c r="AB32" s="137"/>
      <c r="AC32" s="129" t="str">
        <f t="shared" si="12"/>
        <v>F</v>
      </c>
      <c r="AD32" s="133"/>
      <c r="AE32" s="129"/>
      <c r="AF32" s="130">
        <f t="shared" si="13"/>
        <v>0</v>
      </c>
      <c r="AG32" s="129"/>
      <c r="AH32" s="130">
        <f t="shared" si="14"/>
        <v>0</v>
      </c>
      <c r="AI32" s="137"/>
      <c r="AJ32" s="129" t="str">
        <f t="shared" si="15"/>
        <v>F</v>
      </c>
      <c r="AK32" s="133"/>
      <c r="AL32" s="129"/>
      <c r="AM32" s="130">
        <f t="shared" si="16"/>
        <v>0</v>
      </c>
      <c r="AN32" s="129"/>
      <c r="AO32" s="130">
        <f t="shared" si="17"/>
        <v>0</v>
      </c>
      <c r="AP32" s="137"/>
      <c r="AQ32" s="129" t="str">
        <f t="shared" si="18"/>
        <v>F</v>
      </c>
      <c r="AR32" s="133"/>
      <c r="AS32" s="133">
        <v>22</v>
      </c>
      <c r="AT32" s="129">
        <v>25</v>
      </c>
      <c r="AU32" s="129">
        <f t="shared" si="19"/>
        <v>47</v>
      </c>
      <c r="AV32" s="138"/>
      <c r="AW32" s="129">
        <f t="shared" si="20"/>
        <v>5</v>
      </c>
      <c r="AX32" s="133"/>
      <c r="AY32" s="129"/>
      <c r="AZ32" s="130">
        <f t="shared" si="21"/>
        <v>0</v>
      </c>
      <c r="BA32" s="129"/>
      <c r="BB32" s="130">
        <f t="shared" si="22"/>
        <v>0</v>
      </c>
      <c r="BC32" s="137"/>
      <c r="BD32" s="129" t="str">
        <f t="shared" si="23"/>
        <v>F</v>
      </c>
      <c r="BE32" s="133"/>
      <c r="BF32" s="129"/>
      <c r="BG32" s="130">
        <f t="shared" si="24"/>
        <v>0</v>
      </c>
      <c r="BH32" s="129"/>
      <c r="BI32" s="129"/>
      <c r="BJ32" s="130">
        <f t="shared" si="25"/>
        <v>0</v>
      </c>
      <c r="BK32" s="138"/>
      <c r="BL32" s="129" t="str">
        <f t="shared" si="26"/>
        <v>F</v>
      </c>
      <c r="BM32" s="133"/>
      <c r="BN32" s="129"/>
      <c r="BO32" s="130">
        <f t="shared" si="27"/>
        <v>0</v>
      </c>
      <c r="BP32" s="129"/>
      <c r="BQ32" s="129"/>
      <c r="BR32" s="130">
        <f t="shared" si="28"/>
        <v>0</v>
      </c>
      <c r="BS32" s="138"/>
      <c r="BT32" s="129" t="str">
        <f t="shared" si="29"/>
        <v>F</v>
      </c>
      <c r="BU32" s="133"/>
      <c r="BV32" s="129"/>
      <c r="BW32" s="130">
        <f t="shared" si="30"/>
        <v>0</v>
      </c>
      <c r="BX32" s="129"/>
      <c r="BY32" s="129"/>
      <c r="BZ32" s="130">
        <f t="shared" si="31"/>
        <v>0</v>
      </c>
      <c r="CA32" s="138"/>
      <c r="CB32" s="129" t="str">
        <f t="shared" si="32"/>
        <v>F</v>
      </c>
      <c r="CC32" s="133"/>
      <c r="CD32" s="129"/>
      <c r="CE32" s="130">
        <f t="shared" si="33"/>
        <v>0</v>
      </c>
      <c r="CF32" s="129"/>
      <c r="CG32" s="129"/>
      <c r="CH32" s="130">
        <f t="shared" si="34"/>
        <v>0</v>
      </c>
      <c r="CI32" s="138"/>
      <c r="CJ32" s="129" t="str">
        <f t="shared" si="44"/>
        <v>0</v>
      </c>
      <c r="CK32" s="129" t="str">
        <f t="shared" si="35"/>
        <v>F</v>
      </c>
      <c r="CL32" s="135" t="str">
        <f t="shared" si="36"/>
        <v>F</v>
      </c>
      <c r="CM32" s="136" t="str">
        <f t="shared" si="37"/>
        <v>F</v>
      </c>
      <c r="CN32" s="14" t="str">
        <f t="shared" si="38"/>
        <v>NEED TO PROGRESS</v>
      </c>
      <c r="CO32" s="53">
        <f t="shared" si="6"/>
        <v>47</v>
      </c>
      <c r="CP32" s="59"/>
      <c r="CQ32" s="13">
        <v>71</v>
      </c>
    </row>
    <row r="33" spans="1:95" s="15" customFormat="1">
      <c r="A33" s="8"/>
      <c r="B33"/>
      <c r="C33" s="16"/>
      <c r="D33" s="16"/>
      <c r="E33" s="16"/>
      <c r="F33" s="16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 s="61"/>
      <c r="CQ33"/>
    </row>
    <row r="34" spans="1:95" s="15" customFormat="1">
      <c r="A34" s="8"/>
      <c r="B34"/>
      <c r="C34" s="16"/>
      <c r="D34" s="16"/>
      <c r="E34" s="16"/>
      <c r="F34" s="16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 s="61"/>
      <c r="CQ34"/>
    </row>
    <row r="35" spans="1:95" s="15" customFormat="1">
      <c r="A35" s="8"/>
      <c r="B35"/>
      <c r="C35" s="16"/>
      <c r="D35" s="16"/>
      <c r="E35" s="16"/>
      <c r="F35" s="16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 s="61"/>
      <c r="CQ35"/>
    </row>
    <row r="36" spans="1:95" s="15" customFormat="1">
      <c r="A36" s="2">
        <v>0</v>
      </c>
      <c r="B36" s="1">
        <v>1</v>
      </c>
      <c r="C36" s="2">
        <v>2</v>
      </c>
      <c r="D36" s="1">
        <v>3</v>
      </c>
      <c r="E36" s="2">
        <v>4</v>
      </c>
      <c r="F36" s="16"/>
      <c r="G36" s="2">
        <v>6</v>
      </c>
      <c r="H36" s="1">
        <v>7</v>
      </c>
      <c r="I36" s="2">
        <v>8</v>
      </c>
      <c r="J36" s="1">
        <v>9</v>
      </c>
      <c r="K36" s="2">
        <v>10</v>
      </c>
      <c r="L36" s="1">
        <v>11</v>
      </c>
      <c r="M36" s="2">
        <v>12</v>
      </c>
      <c r="N36" s="1">
        <v>13</v>
      </c>
      <c r="O36" s="2">
        <v>14</v>
      </c>
      <c r="P36" s="1">
        <v>15</v>
      </c>
      <c r="Q36" s="2">
        <v>16</v>
      </c>
      <c r="R36" s="1">
        <v>17</v>
      </c>
      <c r="S36" s="2">
        <v>18</v>
      </c>
      <c r="T36" s="1">
        <v>19</v>
      </c>
      <c r="U36" s="2">
        <v>20</v>
      </c>
      <c r="V36" s="1">
        <v>21</v>
      </c>
      <c r="W36" s="2">
        <v>22</v>
      </c>
      <c r="X36" s="1">
        <v>23</v>
      </c>
      <c r="Y36" s="2">
        <v>24</v>
      </c>
      <c r="Z36" s="1">
        <v>25</v>
      </c>
      <c r="AA36" s="2">
        <v>26</v>
      </c>
      <c r="AB36" s="1">
        <v>27</v>
      </c>
      <c r="AC36" s="2">
        <v>28</v>
      </c>
      <c r="AD36" s="1">
        <v>29</v>
      </c>
      <c r="AE36" s="2">
        <v>30</v>
      </c>
      <c r="AF36" s="1">
        <v>31</v>
      </c>
      <c r="AG36" s="2">
        <v>32</v>
      </c>
      <c r="AH36" s="1">
        <v>33</v>
      </c>
      <c r="AI36" s="2">
        <v>34</v>
      </c>
      <c r="AJ36" s="1">
        <v>35</v>
      </c>
      <c r="AK36" s="2">
        <v>36</v>
      </c>
      <c r="AL36" s="1">
        <v>37</v>
      </c>
      <c r="AM36" s="2">
        <v>38</v>
      </c>
      <c r="AN36" s="1">
        <v>39</v>
      </c>
      <c r="AO36" s="2">
        <v>40</v>
      </c>
      <c r="AP36" s="1">
        <v>41</v>
      </c>
      <c r="AQ36" s="2">
        <v>42</v>
      </c>
      <c r="AR36" s="1">
        <v>43</v>
      </c>
      <c r="AS36" s="2">
        <v>44</v>
      </c>
      <c r="AT36" s="1">
        <v>45</v>
      </c>
      <c r="AU36" s="2">
        <v>46</v>
      </c>
      <c r="AV36" s="1">
        <v>47</v>
      </c>
      <c r="AW36" s="2">
        <v>48</v>
      </c>
      <c r="AX36" s="1">
        <v>49</v>
      </c>
      <c r="AY36" s="2">
        <v>50</v>
      </c>
      <c r="AZ36" s="1">
        <v>51</v>
      </c>
      <c r="BA36" s="2">
        <v>52</v>
      </c>
      <c r="BB36" s="1">
        <v>53</v>
      </c>
      <c r="BC36" s="2">
        <v>54</v>
      </c>
      <c r="BD36" s="1">
        <v>55</v>
      </c>
      <c r="BE36" s="2">
        <v>56</v>
      </c>
      <c r="BF36" s="1">
        <v>57</v>
      </c>
      <c r="BG36" s="2">
        <v>58</v>
      </c>
      <c r="BH36" s="1">
        <v>59</v>
      </c>
      <c r="BI36" s="2">
        <v>60</v>
      </c>
      <c r="BJ36" s="1">
        <v>61</v>
      </c>
      <c r="BK36" s="2">
        <v>62</v>
      </c>
      <c r="BL36" s="1">
        <v>63</v>
      </c>
      <c r="BM36" s="2">
        <v>64</v>
      </c>
      <c r="BN36" s="1">
        <v>65</v>
      </c>
      <c r="BO36" s="2">
        <v>66</v>
      </c>
      <c r="BP36" s="1">
        <v>67</v>
      </c>
      <c r="BQ36" s="2">
        <v>68</v>
      </c>
      <c r="BR36" s="1">
        <v>69</v>
      </c>
      <c r="BS36" s="2">
        <v>70</v>
      </c>
      <c r="BT36" s="1">
        <v>71</v>
      </c>
      <c r="BU36" s="2">
        <v>72</v>
      </c>
      <c r="BV36" s="1">
        <v>73</v>
      </c>
      <c r="BW36" s="2">
        <v>74</v>
      </c>
      <c r="BX36" s="1">
        <v>75</v>
      </c>
      <c r="BY36" s="2">
        <v>76</v>
      </c>
      <c r="BZ36" s="1">
        <v>77</v>
      </c>
      <c r="CA36" s="2">
        <v>78</v>
      </c>
      <c r="CB36" s="1">
        <v>79</v>
      </c>
      <c r="CC36" s="2">
        <v>80</v>
      </c>
      <c r="CD36" s="1">
        <v>81</v>
      </c>
      <c r="CE36" s="2">
        <v>82</v>
      </c>
      <c r="CF36" s="1">
        <v>83</v>
      </c>
      <c r="CG36" s="2">
        <v>84</v>
      </c>
      <c r="CH36" s="1">
        <v>85</v>
      </c>
      <c r="CI36" s="2">
        <v>86</v>
      </c>
      <c r="CJ36" s="1">
        <v>87</v>
      </c>
      <c r="CK36" s="2">
        <v>88</v>
      </c>
      <c r="CL36" s="1">
        <v>89</v>
      </c>
      <c r="CM36" s="2">
        <v>90</v>
      </c>
      <c r="CN36" s="1">
        <v>91</v>
      </c>
      <c r="CO36" s="2">
        <v>92</v>
      </c>
      <c r="CP36" s="62">
        <v>93</v>
      </c>
      <c r="CQ36" s="2">
        <v>94</v>
      </c>
    </row>
    <row r="37" spans="1:95" s="15" customFormat="1">
      <c r="A37" s="8"/>
      <c r="B37" s="2"/>
      <c r="C37" s="17"/>
      <c r="D37" s="17"/>
      <c r="E37" s="17"/>
      <c r="F37" s="1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 s="61"/>
      <c r="CQ37"/>
    </row>
    <row r="38" spans="1:95" s="15" customFormat="1">
      <c r="A38" s="8"/>
      <c r="B38"/>
      <c r="C38" s="16"/>
      <c r="D38" s="16"/>
      <c r="E38" s="16"/>
      <c r="F38" s="16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 s="61"/>
      <c r="CQ38"/>
    </row>
    <row r="39" spans="1:95" s="15" customFormat="1">
      <c r="A39" s="8"/>
      <c r="B39"/>
      <c r="C39" s="16"/>
      <c r="D39" s="16"/>
      <c r="E39" s="16"/>
      <c r="F39" s="16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 s="61"/>
      <c r="CQ39"/>
    </row>
    <row r="40" spans="1:95" s="15" customFormat="1">
      <c r="A40" s="8"/>
      <c r="B40"/>
      <c r="C40" s="16"/>
      <c r="D40" s="16"/>
      <c r="E40" s="16"/>
      <c r="F40" s="16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 s="61"/>
      <c r="CQ40"/>
    </row>
    <row r="41" spans="1:95" s="15" customFormat="1">
      <c r="A41" s="8"/>
      <c r="B41"/>
      <c r="C41" s="16"/>
      <c r="D41" s="16"/>
      <c r="E41" s="16"/>
      <c r="F41" s="16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 s="61"/>
      <c r="CQ41"/>
    </row>
    <row r="42" spans="1:95" s="15" customFormat="1">
      <c r="A42" s="8"/>
      <c r="B42"/>
      <c r="C42" s="16"/>
      <c r="D42" s="16"/>
      <c r="E42" s="16"/>
      <c r="F42" s="16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 s="2"/>
      <c r="CN42"/>
      <c r="CO42"/>
      <c r="CP42" s="61"/>
      <c r="CQ42"/>
    </row>
    <row r="43" spans="1:95" s="15" customFormat="1">
      <c r="A43" s="8"/>
      <c r="B43"/>
      <c r="C43" s="16"/>
      <c r="D43" s="16"/>
      <c r="E43" s="16"/>
      <c r="F43" s="16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 s="61"/>
      <c r="CQ43"/>
    </row>
    <row r="44" spans="1:95" s="15" customFormat="1">
      <c r="A44" s="8"/>
      <c r="B44"/>
      <c r="C44" s="16"/>
      <c r="D44" s="16"/>
      <c r="E44" s="16"/>
      <c r="F44" s="16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 s="61"/>
      <c r="CQ44"/>
    </row>
    <row r="45" spans="1:95" s="15" customFormat="1" ht="14.45" customHeight="1">
      <c r="A45" s="8"/>
      <c r="B45"/>
      <c r="C45" s="16"/>
      <c r="D45" s="16"/>
      <c r="E45" s="16"/>
      <c r="F45" s="16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 s="61"/>
      <c r="CQ45"/>
    </row>
    <row r="46" spans="1:95" s="15" customFormat="1">
      <c r="A46" s="8"/>
      <c r="B46"/>
      <c r="C46" s="16"/>
      <c r="D46" s="16"/>
      <c r="E46" s="16"/>
      <c r="F46" s="1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 s="61"/>
      <c r="CQ46"/>
    </row>
    <row r="47" spans="1:95" s="15" customFormat="1" ht="11.45" customHeight="1">
      <c r="A47"/>
      <c r="B47" s="2"/>
      <c r="C47" s="17"/>
      <c r="D47" s="17"/>
      <c r="E47" s="17"/>
      <c r="F47" s="17"/>
      <c r="G47"/>
      <c r="H47"/>
      <c r="I47"/>
      <c r="J47"/>
      <c r="K47" s="4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CP47" s="63"/>
    </row>
    <row r="48" spans="1:95" s="15" customFormat="1">
      <c r="A48" s="2"/>
      <c r="B48"/>
      <c r="C48" s="16"/>
      <c r="D48" s="16"/>
      <c r="E48" s="16"/>
      <c r="F48" s="16"/>
      <c r="G48" s="2"/>
      <c r="H48" s="2"/>
      <c r="I48" s="2"/>
      <c r="J48" s="2"/>
      <c r="K48" s="1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/>
      <c r="BX48"/>
      <c r="CP48" s="63"/>
    </row>
    <row r="49" spans="1:94" s="15" customFormat="1">
      <c r="A49"/>
      <c r="B49"/>
      <c r="C49" s="16"/>
      <c r="D49" s="16"/>
      <c r="E49" s="16"/>
      <c r="F49" s="16"/>
      <c r="G49"/>
      <c r="H49"/>
      <c r="I49"/>
      <c r="J49"/>
      <c r="K49" s="4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CP49" s="63"/>
    </row>
    <row r="50" spans="1:94" s="15" customFormat="1">
      <c r="A50"/>
      <c r="B50"/>
      <c r="C50" s="16"/>
      <c r="D50" s="16"/>
      <c r="E50" s="16"/>
      <c r="F50" s="16"/>
      <c r="G50"/>
      <c r="H50"/>
      <c r="I50"/>
      <c r="J50"/>
      <c r="K50" s="4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CP50" s="63"/>
    </row>
    <row r="51" spans="1:94" s="15" customFormat="1">
      <c r="A51"/>
      <c r="B51"/>
      <c r="C51" s="16"/>
      <c r="D51" s="16"/>
      <c r="E51" s="16"/>
      <c r="F51" s="16"/>
      <c r="G51"/>
      <c r="H51"/>
      <c r="I51"/>
      <c r="J51"/>
      <c r="K51" s="4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CP51" s="63"/>
    </row>
    <row r="52" spans="1:94" s="15" customFormat="1">
      <c r="A52"/>
      <c r="B52"/>
      <c r="C52" s="16"/>
      <c r="D52" s="16"/>
      <c r="E52" s="16"/>
      <c r="F52" s="16"/>
      <c r="G52"/>
      <c r="H52"/>
      <c r="I52"/>
      <c r="J52"/>
      <c r="K52" s="4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CP52" s="63"/>
    </row>
    <row r="53" spans="1:94">
      <c r="K53" s="4"/>
      <c r="CP53" s="61"/>
    </row>
    <row r="54" spans="1:94">
      <c r="K54" s="4"/>
      <c r="BY54" s="3"/>
      <c r="CP54" s="61"/>
    </row>
    <row r="55" spans="1:94">
      <c r="K55" s="4"/>
      <c r="CP55" s="61"/>
    </row>
    <row r="56" spans="1:94">
      <c r="K56" s="4"/>
      <c r="CP56" s="61"/>
    </row>
    <row r="57" spans="1:94">
      <c r="K57" s="4"/>
      <c r="CP57" s="61"/>
    </row>
    <row r="58" spans="1:94">
      <c r="K58" s="4"/>
      <c r="CP58" s="61"/>
    </row>
    <row r="59" spans="1:94">
      <c r="K59" s="4"/>
      <c r="CP59" s="61"/>
    </row>
    <row r="60" spans="1:94">
      <c r="K60" s="4"/>
      <c r="CP60" s="61"/>
    </row>
    <row r="61" spans="1:94">
      <c r="C61"/>
      <c r="D61"/>
      <c r="E61"/>
      <c r="F61"/>
      <c r="K61" s="4"/>
      <c r="CP61" s="61"/>
    </row>
    <row r="62" spans="1:94" ht="15" customHeight="1">
      <c r="C62"/>
      <c r="D62"/>
      <c r="E62"/>
      <c r="F62"/>
      <c r="K62" s="4"/>
      <c r="CP62" s="61"/>
    </row>
    <row r="63" spans="1:94" ht="17.45" customHeight="1">
      <c r="C63"/>
      <c r="D63"/>
      <c r="E63"/>
      <c r="F63"/>
      <c r="K63" s="4"/>
      <c r="CP63" s="61"/>
    </row>
    <row r="64" spans="1:94">
      <c r="C64"/>
      <c r="D64"/>
      <c r="E64"/>
      <c r="F64"/>
      <c r="K64" s="4"/>
      <c r="CP64" s="61"/>
    </row>
    <row r="65" spans="3:94">
      <c r="C65"/>
      <c r="D65"/>
      <c r="E65"/>
      <c r="F65"/>
      <c r="K65" s="4"/>
      <c r="CP65" s="61"/>
    </row>
    <row r="66" spans="3:94">
      <c r="C66"/>
      <c r="D66"/>
      <c r="E66"/>
      <c r="F66"/>
      <c r="K66" s="4"/>
      <c r="CP66" s="61"/>
    </row>
    <row r="67" spans="3:94">
      <c r="C67"/>
      <c r="D67"/>
      <c r="E67"/>
      <c r="F67"/>
      <c r="K67" s="4"/>
      <c r="CP67" s="61"/>
    </row>
    <row r="68" spans="3:94">
      <c r="C68"/>
      <c r="D68"/>
      <c r="E68"/>
      <c r="F68"/>
      <c r="K68" s="4"/>
      <c r="CP68" s="61"/>
    </row>
    <row r="69" spans="3:94">
      <c r="C69"/>
      <c r="D69"/>
      <c r="E69"/>
      <c r="F69"/>
      <c r="K69" s="4"/>
      <c r="CP69" s="61"/>
    </row>
    <row r="70" spans="3:94">
      <c r="C70"/>
      <c r="D70"/>
      <c r="E70"/>
      <c r="F70"/>
      <c r="K70" s="4"/>
      <c r="CP70" s="61"/>
    </row>
    <row r="71" spans="3:94">
      <c r="C71"/>
      <c r="D71"/>
      <c r="E71"/>
      <c r="F71"/>
      <c r="K71" s="4"/>
      <c r="CP71" s="61"/>
    </row>
    <row r="72" spans="3:94">
      <c r="C72"/>
      <c r="D72"/>
      <c r="E72"/>
      <c r="F72"/>
      <c r="K72" s="4"/>
      <c r="CP72" s="61"/>
    </row>
    <row r="73" spans="3:94">
      <c r="C73"/>
      <c r="D73"/>
      <c r="E73"/>
      <c r="F73"/>
      <c r="K73" s="4"/>
      <c r="CP73" s="61"/>
    </row>
    <row r="74" spans="3:94">
      <c r="C74"/>
      <c r="D74"/>
      <c r="E74"/>
      <c r="F74"/>
      <c r="K74" s="4"/>
      <c r="CP74" s="61"/>
    </row>
    <row r="75" spans="3:94">
      <c r="C75"/>
      <c r="D75"/>
      <c r="E75"/>
      <c r="F75"/>
      <c r="K75" s="4"/>
      <c r="CP75" s="61"/>
    </row>
    <row r="76" spans="3:94">
      <c r="C76"/>
      <c r="D76"/>
      <c r="E76"/>
      <c r="F76"/>
      <c r="K76" s="4"/>
      <c r="CP76" s="61"/>
    </row>
    <row r="77" spans="3:94">
      <c r="C77"/>
      <c r="D77"/>
      <c r="E77"/>
      <c r="F77"/>
      <c r="K77" s="4"/>
      <c r="CP77" s="61"/>
    </row>
    <row r="78" spans="3:94">
      <c r="C78"/>
      <c r="D78"/>
      <c r="E78"/>
      <c r="F78"/>
      <c r="K78" s="4"/>
      <c r="CP78" s="61"/>
    </row>
    <row r="79" spans="3:94">
      <c r="C79"/>
      <c r="D79"/>
      <c r="E79"/>
      <c r="F79"/>
      <c r="K79" s="4"/>
      <c r="CP79" s="61"/>
    </row>
    <row r="80" spans="3:94">
      <c r="C80"/>
      <c r="D80"/>
      <c r="E80"/>
      <c r="F80"/>
      <c r="K80" s="4"/>
      <c r="CP80" s="61"/>
    </row>
    <row r="81" spans="3:94">
      <c r="C81"/>
      <c r="D81"/>
      <c r="E81"/>
      <c r="F81"/>
      <c r="K81" s="4"/>
      <c r="CP81" s="61"/>
    </row>
    <row r="82" spans="3:94">
      <c r="C82"/>
      <c r="D82"/>
      <c r="E82"/>
      <c r="F82"/>
      <c r="K82" s="4"/>
      <c r="CP82" s="61"/>
    </row>
    <row r="83" spans="3:94">
      <c r="C83"/>
      <c r="D83"/>
      <c r="E83"/>
      <c r="F83"/>
      <c r="K83" s="4"/>
      <c r="CP83" s="61"/>
    </row>
    <row r="84" spans="3:94">
      <c r="C84"/>
      <c r="D84"/>
      <c r="E84"/>
      <c r="F84"/>
      <c r="K84" s="4"/>
      <c r="CP84" s="61"/>
    </row>
    <row r="85" spans="3:94">
      <c r="C85"/>
      <c r="D85"/>
      <c r="E85"/>
      <c r="F85"/>
      <c r="K85" s="4"/>
      <c r="CP85" s="61"/>
    </row>
    <row r="86" spans="3:94">
      <c r="C86"/>
      <c r="D86"/>
      <c r="E86"/>
      <c r="F86"/>
      <c r="K86" s="4"/>
      <c r="CP86" s="61"/>
    </row>
    <row r="87" spans="3:94">
      <c r="C87"/>
      <c r="D87"/>
      <c r="E87"/>
      <c r="F87"/>
      <c r="K87" s="4"/>
      <c r="CP87" s="61"/>
    </row>
    <row r="88" spans="3:94">
      <c r="C88"/>
      <c r="D88"/>
      <c r="E88"/>
      <c r="F88"/>
      <c r="K88" s="4"/>
      <c r="CP88" s="61"/>
    </row>
    <row r="89" spans="3:94">
      <c r="C89"/>
      <c r="D89"/>
      <c r="E89"/>
      <c r="F89"/>
      <c r="K89" s="4"/>
      <c r="CP89" s="61"/>
    </row>
    <row r="90" spans="3:94">
      <c r="C90"/>
      <c r="D90"/>
      <c r="E90"/>
      <c r="F90"/>
      <c r="K90" s="4"/>
      <c r="CP90" s="61"/>
    </row>
    <row r="91" spans="3:94">
      <c r="C91"/>
      <c r="D91"/>
      <c r="E91"/>
      <c r="F91"/>
      <c r="K91" s="4"/>
      <c r="CP91" s="61"/>
    </row>
    <row r="92" spans="3:94">
      <c r="C92"/>
      <c r="D92"/>
      <c r="E92"/>
      <c r="F92"/>
      <c r="K92" s="4"/>
      <c r="CP92" s="61"/>
    </row>
    <row r="93" spans="3:94">
      <c r="C93"/>
      <c r="D93"/>
      <c r="E93"/>
      <c r="F93"/>
      <c r="K93" s="4"/>
      <c r="CP93" s="61"/>
    </row>
    <row r="94" spans="3:94">
      <c r="C94"/>
      <c r="D94"/>
      <c r="E94"/>
      <c r="F94"/>
      <c r="K94" s="4"/>
      <c r="CP94" s="61"/>
    </row>
    <row r="95" spans="3:94">
      <c r="C95"/>
      <c r="D95"/>
      <c r="E95"/>
      <c r="F95"/>
      <c r="K95" s="4"/>
      <c r="CP95" s="61"/>
    </row>
    <row r="96" spans="3:94">
      <c r="C96"/>
      <c r="D96"/>
      <c r="E96"/>
      <c r="F96"/>
      <c r="K96" s="4"/>
      <c r="CP96" s="61"/>
    </row>
    <row r="97" spans="3:94">
      <c r="C97"/>
      <c r="D97"/>
      <c r="E97"/>
      <c r="F97"/>
      <c r="K97" s="4"/>
      <c r="CP97" s="61"/>
    </row>
    <row r="98" spans="3:94">
      <c r="C98"/>
      <c r="D98"/>
      <c r="E98"/>
      <c r="F98"/>
      <c r="K98" s="4"/>
      <c r="CP98" s="61"/>
    </row>
    <row r="99" spans="3:94">
      <c r="C99"/>
      <c r="D99"/>
      <c r="E99"/>
      <c r="F99"/>
      <c r="K99" s="4"/>
      <c r="CP99" s="61"/>
    </row>
    <row r="100" spans="3:94">
      <c r="C100"/>
      <c r="D100"/>
      <c r="E100"/>
      <c r="F100"/>
      <c r="K100" s="4"/>
      <c r="CP100" s="61"/>
    </row>
    <row r="101" spans="3:94">
      <c r="C101"/>
      <c r="D101"/>
      <c r="E101"/>
      <c r="F101"/>
      <c r="K101" s="4"/>
      <c r="CP101" s="61"/>
    </row>
    <row r="102" spans="3:94">
      <c r="C102"/>
      <c r="D102"/>
      <c r="E102"/>
      <c r="F102"/>
      <c r="K102" s="4"/>
      <c r="CP102" s="61"/>
    </row>
    <row r="103" spans="3:94">
      <c r="C103"/>
      <c r="D103"/>
      <c r="E103"/>
      <c r="F103"/>
      <c r="K103" s="4"/>
      <c r="CP103" s="61"/>
    </row>
    <row r="104" spans="3:94">
      <c r="C104"/>
      <c r="D104"/>
      <c r="E104"/>
      <c r="F104"/>
      <c r="K104" s="4"/>
      <c r="CP104" s="61"/>
    </row>
    <row r="105" spans="3:94">
      <c r="C105"/>
      <c r="D105"/>
      <c r="E105"/>
      <c r="F105"/>
      <c r="K105" s="4"/>
      <c r="CP105" s="61"/>
    </row>
    <row r="106" spans="3:94">
      <c r="C106"/>
      <c r="D106"/>
      <c r="E106"/>
      <c r="F106"/>
      <c r="K106" s="4"/>
      <c r="CP106" s="61"/>
    </row>
    <row r="107" spans="3:94">
      <c r="C107"/>
      <c r="D107"/>
      <c r="E107"/>
      <c r="F107"/>
      <c r="K107" s="4"/>
      <c r="CP107" s="61"/>
    </row>
    <row r="108" spans="3:94">
      <c r="C108"/>
      <c r="D108"/>
      <c r="E108"/>
      <c r="F108"/>
      <c r="K108" s="4"/>
      <c r="CP108" s="61"/>
    </row>
    <row r="109" spans="3:94">
      <c r="C109"/>
      <c r="D109"/>
      <c r="E109"/>
      <c r="F109"/>
      <c r="K109" s="4"/>
      <c r="CP109" s="61"/>
    </row>
    <row r="110" spans="3:94">
      <c r="C110"/>
      <c r="D110"/>
      <c r="E110"/>
      <c r="F110"/>
      <c r="K110" s="4"/>
      <c r="CP110" s="61"/>
    </row>
    <row r="111" spans="3:94">
      <c r="C111"/>
      <c r="D111"/>
      <c r="E111"/>
      <c r="F111"/>
      <c r="K111" s="4"/>
      <c r="CP111" s="61"/>
    </row>
    <row r="112" spans="3:94">
      <c r="C112"/>
      <c r="D112"/>
      <c r="E112"/>
      <c r="F112"/>
      <c r="K112" s="4"/>
      <c r="CP112" s="61"/>
    </row>
    <row r="113" spans="3:94">
      <c r="C113"/>
      <c r="D113"/>
      <c r="E113"/>
      <c r="F113"/>
      <c r="K113" s="4"/>
      <c r="CP113" s="61"/>
    </row>
    <row r="114" spans="3:94">
      <c r="C114"/>
      <c r="D114"/>
      <c r="E114"/>
      <c r="F114"/>
      <c r="K114" s="4"/>
      <c r="CP114" s="61"/>
    </row>
    <row r="115" spans="3:94">
      <c r="C115"/>
      <c r="D115"/>
      <c r="E115"/>
      <c r="F115"/>
      <c r="K115" s="4"/>
      <c r="CP115" s="61"/>
    </row>
    <row r="116" spans="3:94">
      <c r="C116"/>
      <c r="D116"/>
      <c r="E116"/>
      <c r="F116"/>
      <c r="K116" s="4"/>
      <c r="CP116" s="61"/>
    </row>
    <row r="117" spans="3:94">
      <c r="C117"/>
      <c r="D117"/>
      <c r="E117"/>
      <c r="F117"/>
      <c r="K117" s="4"/>
      <c r="CP117" s="61"/>
    </row>
    <row r="118" spans="3:94">
      <c r="C118"/>
      <c r="D118"/>
      <c r="E118"/>
      <c r="F118"/>
      <c r="K118" s="4"/>
      <c r="CP118" s="61"/>
    </row>
    <row r="119" spans="3:94">
      <c r="C119"/>
      <c r="D119"/>
      <c r="E119"/>
      <c r="F119"/>
      <c r="K119" s="4"/>
      <c r="CP119" s="61"/>
    </row>
    <row r="120" spans="3:94">
      <c r="C120"/>
      <c r="D120"/>
      <c r="E120"/>
      <c r="F120"/>
      <c r="K120" s="4"/>
      <c r="CP120" s="61"/>
    </row>
    <row r="121" spans="3:94">
      <c r="C121"/>
      <c r="D121"/>
      <c r="E121"/>
      <c r="F121"/>
      <c r="K121" s="4"/>
      <c r="CP121" s="61"/>
    </row>
    <row r="122" spans="3:94">
      <c r="C122"/>
      <c r="D122"/>
      <c r="E122"/>
      <c r="F122"/>
      <c r="K122" s="4"/>
      <c r="CP122" s="61"/>
    </row>
    <row r="123" spans="3:94">
      <c r="C123"/>
      <c r="D123"/>
      <c r="E123"/>
      <c r="F123"/>
      <c r="K123" s="4"/>
      <c r="CP123" s="61"/>
    </row>
    <row r="124" spans="3:94">
      <c r="C124"/>
      <c r="D124"/>
      <c r="E124"/>
      <c r="F124"/>
      <c r="K124" s="4"/>
      <c r="CP124" s="61"/>
    </row>
    <row r="125" spans="3:94">
      <c r="C125"/>
      <c r="D125"/>
      <c r="E125"/>
      <c r="F125"/>
      <c r="K125" s="4"/>
      <c r="CP125" s="61"/>
    </row>
    <row r="126" spans="3:94">
      <c r="C126"/>
      <c r="D126"/>
      <c r="E126"/>
      <c r="F126"/>
      <c r="K126" s="4"/>
      <c r="CP126" s="61"/>
    </row>
    <row r="127" spans="3:94">
      <c r="C127"/>
      <c r="D127"/>
      <c r="E127"/>
      <c r="F127"/>
      <c r="K127" s="4"/>
      <c r="CP127" s="61"/>
    </row>
    <row r="128" spans="3:94">
      <c r="C128"/>
      <c r="D128"/>
      <c r="E128"/>
      <c r="F128"/>
      <c r="K128" s="4"/>
      <c r="CP128" s="61"/>
    </row>
    <row r="129" spans="3:94">
      <c r="C129"/>
      <c r="D129"/>
      <c r="E129"/>
      <c r="F129"/>
      <c r="K129" s="4"/>
      <c r="CP129" s="61"/>
    </row>
    <row r="130" spans="3:94">
      <c r="C130"/>
      <c r="D130"/>
      <c r="E130"/>
      <c r="F130"/>
      <c r="K130" s="4"/>
      <c r="CP130" s="61"/>
    </row>
    <row r="131" spans="3:94">
      <c r="C131"/>
      <c r="D131"/>
      <c r="E131"/>
      <c r="F131"/>
      <c r="K131" s="4"/>
      <c r="CP131" s="61"/>
    </row>
    <row r="132" spans="3:94">
      <c r="C132"/>
      <c r="D132"/>
      <c r="E132"/>
      <c r="F132"/>
      <c r="K132" s="4"/>
      <c r="CP132" s="61"/>
    </row>
    <row r="133" spans="3:94">
      <c r="C133"/>
      <c r="D133"/>
      <c r="E133"/>
      <c r="F133"/>
      <c r="K133" s="4"/>
      <c r="CP133" s="61"/>
    </row>
    <row r="134" spans="3:94">
      <c r="C134"/>
      <c r="D134"/>
      <c r="E134"/>
      <c r="F134"/>
      <c r="K134" s="4"/>
      <c r="CP134" s="61"/>
    </row>
    <row r="135" spans="3:94">
      <c r="C135"/>
      <c r="D135"/>
      <c r="E135"/>
      <c r="F135"/>
      <c r="K135" s="4"/>
      <c r="CP135" s="61"/>
    </row>
    <row r="136" spans="3:94">
      <c r="C136"/>
      <c r="D136"/>
      <c r="E136"/>
      <c r="F136"/>
      <c r="K136" s="4"/>
      <c r="CP136" s="61"/>
    </row>
    <row r="137" spans="3:94">
      <c r="C137"/>
      <c r="D137"/>
      <c r="E137"/>
      <c r="F137"/>
      <c r="K137" s="4"/>
      <c r="CP137" s="61"/>
    </row>
    <row r="138" spans="3:94">
      <c r="C138"/>
      <c r="D138"/>
      <c r="E138"/>
      <c r="F138"/>
      <c r="K138" s="4"/>
      <c r="CP138" s="61"/>
    </row>
    <row r="139" spans="3:94">
      <c r="C139"/>
      <c r="D139"/>
      <c r="E139"/>
      <c r="F139"/>
      <c r="K139" s="4"/>
      <c r="CP139" s="61"/>
    </row>
    <row r="140" spans="3:94">
      <c r="C140"/>
      <c r="D140"/>
      <c r="E140"/>
      <c r="F140"/>
      <c r="K140" s="4"/>
      <c r="CP140" s="61"/>
    </row>
    <row r="141" spans="3:94">
      <c r="C141"/>
      <c r="D141"/>
      <c r="E141"/>
      <c r="F141"/>
      <c r="K141" s="4"/>
      <c r="CP141" s="61"/>
    </row>
    <row r="142" spans="3:94">
      <c r="C142"/>
      <c r="D142"/>
      <c r="E142"/>
      <c r="F142"/>
      <c r="K142" s="4"/>
      <c r="CP142" s="61"/>
    </row>
    <row r="143" spans="3:94">
      <c r="C143"/>
      <c r="D143"/>
      <c r="E143"/>
      <c r="F143"/>
      <c r="K143" s="4"/>
      <c r="CP143" s="61"/>
    </row>
    <row r="144" spans="3:94">
      <c r="C144"/>
      <c r="D144"/>
      <c r="E144"/>
      <c r="F144"/>
      <c r="K144" s="4"/>
      <c r="CP144" s="61"/>
    </row>
    <row r="145" spans="3:94">
      <c r="C145"/>
      <c r="D145"/>
      <c r="E145"/>
      <c r="F145"/>
      <c r="K145" s="4"/>
      <c r="CP145" s="61"/>
    </row>
    <row r="146" spans="3:94">
      <c r="C146"/>
      <c r="D146"/>
      <c r="E146"/>
      <c r="F146"/>
      <c r="CP146" s="61"/>
    </row>
    <row r="147" spans="3:94">
      <c r="C147"/>
      <c r="D147"/>
      <c r="E147"/>
      <c r="F147"/>
      <c r="CP147" s="61"/>
    </row>
    <row r="148" spans="3:94">
      <c r="C148"/>
      <c r="D148"/>
      <c r="E148"/>
      <c r="F148"/>
      <c r="CP148" s="61"/>
    </row>
    <row r="149" spans="3:94">
      <c r="C149"/>
      <c r="D149"/>
      <c r="E149"/>
      <c r="F149"/>
      <c r="CP149" s="61"/>
    </row>
    <row r="150" spans="3:94">
      <c r="C150"/>
      <c r="D150"/>
      <c r="E150"/>
      <c r="F150"/>
      <c r="CP150" s="61"/>
    </row>
    <row r="151" spans="3:94">
      <c r="C151"/>
      <c r="D151"/>
      <c r="E151"/>
      <c r="F151"/>
      <c r="CP151" s="61"/>
    </row>
    <row r="152" spans="3:94">
      <c r="C152"/>
      <c r="D152"/>
      <c r="E152"/>
      <c r="F152"/>
      <c r="CP152" s="61"/>
    </row>
    <row r="153" spans="3:94">
      <c r="C153"/>
      <c r="D153"/>
      <c r="E153"/>
      <c r="F153"/>
      <c r="CP153" s="61"/>
    </row>
    <row r="154" spans="3:94">
      <c r="C154"/>
      <c r="D154"/>
      <c r="E154"/>
      <c r="F154"/>
      <c r="CP154" s="61"/>
    </row>
    <row r="155" spans="3:94">
      <c r="C155"/>
      <c r="D155"/>
      <c r="E155"/>
      <c r="F155"/>
      <c r="CP155" s="61"/>
    </row>
    <row r="156" spans="3:94">
      <c r="C156"/>
      <c r="D156"/>
      <c r="E156"/>
      <c r="F156"/>
      <c r="CP156" s="61"/>
    </row>
    <row r="157" spans="3:94">
      <c r="C157"/>
      <c r="D157"/>
      <c r="E157"/>
      <c r="F157"/>
      <c r="CP157" s="61"/>
    </row>
    <row r="158" spans="3:94">
      <c r="C158"/>
      <c r="D158"/>
      <c r="E158"/>
      <c r="F158"/>
      <c r="CP158" s="61"/>
    </row>
    <row r="159" spans="3:94">
      <c r="C159"/>
      <c r="D159"/>
      <c r="E159"/>
      <c r="F159"/>
      <c r="CP159" s="61"/>
    </row>
    <row r="160" spans="3:94">
      <c r="C160"/>
      <c r="D160"/>
      <c r="E160"/>
      <c r="F160"/>
      <c r="CP160" s="61"/>
    </row>
    <row r="161" spans="3:94">
      <c r="C161"/>
      <c r="D161"/>
      <c r="E161"/>
      <c r="F161"/>
      <c r="CP161" s="61"/>
    </row>
    <row r="162" spans="3:94">
      <c r="C162"/>
      <c r="D162"/>
      <c r="E162"/>
      <c r="F162"/>
      <c r="CP162" s="61"/>
    </row>
    <row r="163" spans="3:94">
      <c r="C163"/>
      <c r="D163"/>
      <c r="E163"/>
      <c r="F163"/>
      <c r="CP163" s="61"/>
    </row>
    <row r="164" spans="3:94">
      <c r="C164"/>
      <c r="D164"/>
      <c r="E164"/>
      <c r="F164"/>
      <c r="CP164" s="61"/>
    </row>
    <row r="165" spans="3:94">
      <c r="C165"/>
      <c r="D165"/>
      <c r="E165"/>
      <c r="F165"/>
      <c r="CP165" s="61"/>
    </row>
    <row r="166" spans="3:94">
      <c r="C166"/>
      <c r="D166"/>
      <c r="E166"/>
      <c r="F166"/>
      <c r="CP166" s="61"/>
    </row>
    <row r="167" spans="3:94">
      <c r="C167"/>
      <c r="D167"/>
      <c r="E167"/>
      <c r="F167"/>
      <c r="CP167" s="61"/>
    </row>
    <row r="168" spans="3:94">
      <c r="C168"/>
      <c r="D168"/>
      <c r="E168"/>
      <c r="F168"/>
      <c r="CP168" s="61"/>
    </row>
    <row r="169" spans="3:94">
      <c r="C169"/>
      <c r="D169"/>
      <c r="E169"/>
      <c r="F169"/>
      <c r="CP169" s="61"/>
    </row>
    <row r="170" spans="3:94">
      <c r="C170"/>
      <c r="D170"/>
      <c r="E170"/>
      <c r="F170"/>
      <c r="CP170" s="61"/>
    </row>
    <row r="171" spans="3:94">
      <c r="C171"/>
      <c r="D171"/>
      <c r="E171"/>
      <c r="F171"/>
      <c r="CP171" s="61"/>
    </row>
    <row r="172" spans="3:94">
      <c r="C172"/>
      <c r="D172"/>
      <c r="E172"/>
      <c r="F172"/>
      <c r="CP172" s="61"/>
    </row>
    <row r="173" spans="3:94">
      <c r="C173"/>
      <c r="D173"/>
      <c r="E173"/>
      <c r="F173"/>
      <c r="CP173" s="61"/>
    </row>
    <row r="174" spans="3:94">
      <c r="C174"/>
      <c r="D174"/>
      <c r="E174"/>
      <c r="F174"/>
      <c r="CP174" s="61"/>
    </row>
    <row r="175" spans="3:94">
      <c r="C175"/>
      <c r="D175"/>
      <c r="E175"/>
      <c r="F175"/>
      <c r="CP175" s="61"/>
    </row>
    <row r="176" spans="3:94">
      <c r="C176"/>
      <c r="D176"/>
      <c r="E176"/>
      <c r="F176"/>
      <c r="CP176" s="61"/>
    </row>
    <row r="177" spans="3:94">
      <c r="C177"/>
      <c r="D177"/>
      <c r="E177"/>
      <c r="F177"/>
      <c r="CP177" s="61"/>
    </row>
    <row r="178" spans="3:94">
      <c r="C178"/>
      <c r="D178"/>
      <c r="E178"/>
      <c r="F178"/>
      <c r="CP178" s="61"/>
    </row>
    <row r="179" spans="3:94">
      <c r="C179"/>
      <c r="D179"/>
      <c r="E179"/>
      <c r="F179"/>
      <c r="CP179" s="61"/>
    </row>
    <row r="180" spans="3:94">
      <c r="C180"/>
      <c r="D180"/>
      <c r="E180"/>
      <c r="F180"/>
      <c r="CP180" s="61"/>
    </row>
    <row r="181" spans="3:94">
      <c r="C181"/>
      <c r="D181"/>
      <c r="E181"/>
      <c r="F181"/>
      <c r="CP181" s="61"/>
    </row>
    <row r="182" spans="3:94">
      <c r="C182"/>
      <c r="D182"/>
      <c r="E182"/>
      <c r="F182"/>
      <c r="CP182" s="61"/>
    </row>
    <row r="183" spans="3:94">
      <c r="C183"/>
      <c r="D183"/>
      <c r="E183"/>
      <c r="F183"/>
      <c r="CP183" s="61"/>
    </row>
    <row r="184" spans="3:94">
      <c r="C184"/>
      <c r="D184"/>
      <c r="E184"/>
      <c r="F184"/>
      <c r="CP184" s="61"/>
    </row>
    <row r="185" spans="3:94">
      <c r="C185"/>
      <c r="D185"/>
      <c r="E185"/>
      <c r="F185"/>
      <c r="CP185" s="61"/>
    </row>
    <row r="186" spans="3:94">
      <c r="C186"/>
      <c r="D186"/>
      <c r="E186"/>
      <c r="F186"/>
      <c r="CP186" s="61"/>
    </row>
    <row r="187" spans="3:94">
      <c r="C187"/>
      <c r="D187"/>
      <c r="E187"/>
      <c r="F187"/>
      <c r="CP187" s="61"/>
    </row>
    <row r="188" spans="3:94">
      <c r="C188"/>
      <c r="D188"/>
      <c r="E188"/>
      <c r="F188"/>
      <c r="CP188" s="61"/>
    </row>
    <row r="189" spans="3:94">
      <c r="C189"/>
      <c r="D189"/>
      <c r="E189"/>
      <c r="F189"/>
      <c r="CP189" s="61"/>
    </row>
    <row r="190" spans="3:94">
      <c r="C190"/>
      <c r="D190"/>
      <c r="E190"/>
      <c r="F190"/>
      <c r="CP190" s="61"/>
    </row>
    <row r="191" spans="3:94">
      <c r="C191"/>
      <c r="D191"/>
      <c r="E191"/>
      <c r="F191"/>
      <c r="CP191" s="61"/>
    </row>
    <row r="192" spans="3:94">
      <c r="C192"/>
      <c r="D192"/>
      <c r="E192"/>
      <c r="F192"/>
      <c r="CP192" s="61"/>
    </row>
    <row r="193" spans="3:94">
      <c r="C193"/>
      <c r="D193"/>
      <c r="E193"/>
      <c r="F193"/>
      <c r="CP193" s="61"/>
    </row>
    <row r="194" spans="3:94">
      <c r="C194"/>
      <c r="D194"/>
      <c r="E194"/>
      <c r="F194"/>
      <c r="CP194" s="61"/>
    </row>
    <row r="195" spans="3:94">
      <c r="C195"/>
      <c r="D195"/>
      <c r="E195"/>
      <c r="F195"/>
      <c r="CP195" s="61"/>
    </row>
    <row r="196" spans="3:94">
      <c r="C196"/>
      <c r="D196"/>
      <c r="E196"/>
      <c r="F196"/>
      <c r="CP196" s="61"/>
    </row>
    <row r="197" spans="3:94">
      <c r="C197"/>
      <c r="D197"/>
      <c r="E197"/>
      <c r="F197"/>
      <c r="CP197" s="61"/>
    </row>
    <row r="198" spans="3:94">
      <c r="C198"/>
      <c r="D198"/>
      <c r="E198"/>
      <c r="F198"/>
      <c r="CP198" s="61"/>
    </row>
    <row r="199" spans="3:94">
      <c r="C199"/>
      <c r="D199"/>
      <c r="E199"/>
      <c r="F199"/>
      <c r="CP199" s="61"/>
    </row>
    <row r="200" spans="3:94">
      <c r="C200"/>
      <c r="D200"/>
      <c r="E200"/>
      <c r="F200"/>
      <c r="CP200" s="61"/>
    </row>
    <row r="201" spans="3:94">
      <c r="C201"/>
      <c r="D201"/>
      <c r="E201"/>
      <c r="F201"/>
      <c r="CP201" s="61"/>
    </row>
    <row r="202" spans="3:94">
      <c r="C202"/>
      <c r="D202"/>
      <c r="E202"/>
      <c r="F202"/>
      <c r="CP202" s="61"/>
    </row>
    <row r="203" spans="3:94">
      <c r="C203"/>
      <c r="D203"/>
      <c r="E203"/>
      <c r="F203"/>
      <c r="CP203" s="61"/>
    </row>
    <row r="204" spans="3:94">
      <c r="C204"/>
      <c r="D204"/>
      <c r="E204"/>
      <c r="F204"/>
      <c r="CP204" s="61"/>
    </row>
    <row r="205" spans="3:94">
      <c r="C205"/>
      <c r="D205"/>
      <c r="E205"/>
      <c r="F205"/>
      <c r="CP205" s="61"/>
    </row>
    <row r="206" spans="3:94">
      <c r="C206"/>
      <c r="D206"/>
      <c r="E206"/>
      <c r="F206"/>
      <c r="CP206" s="61"/>
    </row>
    <row r="207" spans="3:94">
      <c r="C207"/>
      <c r="D207"/>
      <c r="E207"/>
      <c r="F207"/>
      <c r="CP207" s="61"/>
    </row>
    <row r="208" spans="3:94">
      <c r="C208"/>
      <c r="D208"/>
      <c r="E208"/>
      <c r="F208"/>
      <c r="CP208" s="61"/>
    </row>
    <row r="209" spans="3:94">
      <c r="C209"/>
      <c r="D209"/>
      <c r="E209"/>
      <c r="F209"/>
      <c r="CP209" s="61"/>
    </row>
    <row r="210" spans="3:94">
      <c r="C210"/>
      <c r="D210"/>
      <c r="E210"/>
      <c r="F210"/>
      <c r="CP210" s="61"/>
    </row>
    <row r="211" spans="3:94">
      <c r="C211"/>
      <c r="D211"/>
      <c r="E211"/>
      <c r="F211"/>
      <c r="CP211" s="61"/>
    </row>
    <row r="212" spans="3:94">
      <c r="C212"/>
      <c r="D212"/>
      <c r="E212"/>
      <c r="F212"/>
      <c r="CP212" s="61"/>
    </row>
    <row r="213" spans="3:94">
      <c r="C213"/>
      <c r="D213"/>
      <c r="E213"/>
      <c r="F213"/>
      <c r="CP213" s="61"/>
    </row>
    <row r="214" spans="3:94">
      <c r="C214"/>
      <c r="D214"/>
      <c r="E214"/>
      <c r="F214"/>
      <c r="CP214" s="61"/>
    </row>
    <row r="215" spans="3:94">
      <c r="C215"/>
      <c r="D215"/>
      <c r="E215"/>
      <c r="F215"/>
      <c r="CP215" s="61"/>
    </row>
    <row r="216" spans="3:94">
      <c r="C216"/>
      <c r="D216"/>
      <c r="E216"/>
      <c r="F216"/>
      <c r="CP216" s="61"/>
    </row>
    <row r="217" spans="3:94">
      <c r="C217"/>
      <c r="D217"/>
      <c r="E217"/>
      <c r="F217"/>
      <c r="CP217" s="61"/>
    </row>
    <row r="218" spans="3:94">
      <c r="C218"/>
      <c r="D218"/>
      <c r="E218"/>
      <c r="F218"/>
      <c r="CP218" s="61"/>
    </row>
    <row r="219" spans="3:94">
      <c r="C219"/>
      <c r="D219"/>
      <c r="E219"/>
      <c r="F219"/>
      <c r="CP219" s="61"/>
    </row>
    <row r="220" spans="3:94">
      <c r="C220"/>
      <c r="D220"/>
      <c r="E220"/>
      <c r="F220"/>
      <c r="CP220" s="61"/>
    </row>
    <row r="221" spans="3:94">
      <c r="C221"/>
      <c r="D221"/>
      <c r="E221"/>
      <c r="F221"/>
      <c r="CP221" s="61"/>
    </row>
    <row r="222" spans="3:94">
      <c r="C222"/>
      <c r="D222"/>
      <c r="E222"/>
      <c r="F222"/>
      <c r="CP222" s="61"/>
    </row>
    <row r="223" spans="3:94">
      <c r="C223"/>
      <c r="D223"/>
      <c r="E223"/>
      <c r="F223"/>
      <c r="CP223" s="61"/>
    </row>
    <row r="224" spans="3:94">
      <c r="C224"/>
      <c r="D224"/>
      <c r="E224"/>
      <c r="F224"/>
      <c r="CP224" s="61"/>
    </row>
    <row r="225" spans="3:94">
      <c r="C225"/>
      <c r="D225"/>
      <c r="E225"/>
      <c r="F225"/>
      <c r="CP225" s="61"/>
    </row>
    <row r="226" spans="3:94">
      <c r="C226"/>
      <c r="D226"/>
      <c r="E226"/>
      <c r="F226"/>
      <c r="CP226" s="61"/>
    </row>
    <row r="227" spans="3:94">
      <c r="C227"/>
      <c r="D227"/>
      <c r="E227"/>
      <c r="F227"/>
      <c r="CP227" s="61"/>
    </row>
    <row r="228" spans="3:94">
      <c r="C228"/>
      <c r="D228"/>
      <c r="E228"/>
      <c r="F228"/>
      <c r="CP228" s="61"/>
    </row>
    <row r="229" spans="3:94">
      <c r="C229"/>
      <c r="D229"/>
      <c r="E229"/>
      <c r="F229"/>
      <c r="CP229" s="61"/>
    </row>
    <row r="230" spans="3:94">
      <c r="C230"/>
      <c r="D230"/>
      <c r="E230"/>
      <c r="F230"/>
      <c r="CP230" s="61"/>
    </row>
    <row r="231" spans="3:94">
      <c r="C231"/>
      <c r="D231"/>
      <c r="E231"/>
      <c r="F231"/>
      <c r="CP231" s="61"/>
    </row>
    <row r="232" spans="3:94">
      <c r="C232"/>
      <c r="D232"/>
      <c r="E232"/>
      <c r="F232"/>
      <c r="CP232" s="61"/>
    </row>
    <row r="233" spans="3:94">
      <c r="C233"/>
      <c r="D233"/>
      <c r="E233"/>
      <c r="F233"/>
      <c r="CP233" s="61"/>
    </row>
    <row r="234" spans="3:94">
      <c r="C234"/>
      <c r="D234"/>
      <c r="E234"/>
      <c r="F234"/>
      <c r="CP234" s="61"/>
    </row>
    <row r="235" spans="3:94">
      <c r="C235"/>
      <c r="D235"/>
      <c r="E235"/>
      <c r="F235"/>
      <c r="CP235" s="61"/>
    </row>
    <row r="236" spans="3:94">
      <c r="C236"/>
      <c r="D236"/>
      <c r="E236"/>
      <c r="F236"/>
      <c r="CP236" s="61"/>
    </row>
    <row r="237" spans="3:94">
      <c r="C237"/>
      <c r="D237"/>
      <c r="E237"/>
      <c r="F237"/>
      <c r="CP237" s="61"/>
    </row>
    <row r="238" spans="3:94">
      <c r="C238"/>
      <c r="D238"/>
      <c r="E238"/>
      <c r="F238"/>
      <c r="CP238" s="61"/>
    </row>
    <row r="239" spans="3:94">
      <c r="C239"/>
      <c r="D239"/>
      <c r="E239"/>
      <c r="F239"/>
      <c r="CP239" s="61"/>
    </row>
    <row r="240" spans="3:94">
      <c r="C240"/>
      <c r="D240"/>
      <c r="E240"/>
      <c r="F240"/>
      <c r="CP240" s="61"/>
    </row>
    <row r="241" spans="3:94">
      <c r="C241"/>
      <c r="D241"/>
      <c r="E241"/>
      <c r="F241"/>
      <c r="CP241" s="61"/>
    </row>
    <row r="242" spans="3:94">
      <c r="C242"/>
      <c r="D242"/>
      <c r="E242"/>
      <c r="F242"/>
      <c r="CP242" s="61"/>
    </row>
    <row r="243" spans="3:94">
      <c r="C243"/>
      <c r="D243"/>
      <c r="E243"/>
      <c r="F243"/>
      <c r="CP243" s="61"/>
    </row>
    <row r="244" spans="3:94">
      <c r="C244"/>
      <c r="D244"/>
      <c r="E244"/>
      <c r="F244"/>
      <c r="CP244" s="61"/>
    </row>
    <row r="245" spans="3:94">
      <c r="C245"/>
      <c r="D245"/>
      <c r="E245"/>
      <c r="F245"/>
      <c r="CP245" s="61"/>
    </row>
    <row r="246" spans="3:94">
      <c r="C246"/>
      <c r="D246"/>
      <c r="E246"/>
      <c r="F246"/>
      <c r="CP246" s="61"/>
    </row>
    <row r="247" spans="3:94">
      <c r="C247"/>
      <c r="D247"/>
      <c r="E247"/>
      <c r="F247"/>
      <c r="CP247" s="61"/>
    </row>
    <row r="248" spans="3:94">
      <c r="C248"/>
      <c r="D248"/>
      <c r="E248"/>
      <c r="F248"/>
      <c r="CP248" s="61"/>
    </row>
    <row r="249" spans="3:94">
      <c r="C249"/>
      <c r="D249"/>
      <c r="E249"/>
      <c r="F249"/>
      <c r="CP249" s="61"/>
    </row>
    <row r="250" spans="3:94">
      <c r="C250"/>
      <c r="D250"/>
      <c r="E250"/>
      <c r="F250"/>
      <c r="CP250" s="61"/>
    </row>
    <row r="251" spans="3:94">
      <c r="C251"/>
      <c r="D251"/>
      <c r="E251"/>
      <c r="F251"/>
      <c r="CP251" s="61"/>
    </row>
    <row r="252" spans="3:94">
      <c r="C252"/>
      <c r="D252"/>
      <c r="E252"/>
      <c r="F252"/>
      <c r="CP252" s="61"/>
    </row>
    <row r="253" spans="3:94">
      <c r="C253"/>
      <c r="D253"/>
      <c r="E253"/>
      <c r="F253"/>
      <c r="CP253" s="61"/>
    </row>
    <row r="254" spans="3:94">
      <c r="C254"/>
      <c r="D254"/>
      <c r="E254"/>
      <c r="F254"/>
      <c r="CP254" s="61"/>
    </row>
    <row r="255" spans="3:94">
      <c r="C255"/>
      <c r="D255"/>
      <c r="E255"/>
      <c r="F255"/>
      <c r="CP255" s="61"/>
    </row>
    <row r="256" spans="3:94">
      <c r="C256"/>
      <c r="D256"/>
      <c r="E256"/>
      <c r="F256"/>
      <c r="CP256" s="61"/>
    </row>
    <row r="257" spans="3:94">
      <c r="C257"/>
      <c r="D257"/>
      <c r="E257"/>
      <c r="F257"/>
      <c r="CP257" s="61"/>
    </row>
    <row r="258" spans="3:94">
      <c r="C258"/>
      <c r="D258"/>
      <c r="E258"/>
      <c r="F258"/>
      <c r="CP258" s="61"/>
    </row>
    <row r="259" spans="3:94">
      <c r="C259"/>
      <c r="D259"/>
      <c r="E259"/>
      <c r="F259"/>
      <c r="CP259" s="61"/>
    </row>
    <row r="260" spans="3:94">
      <c r="C260"/>
      <c r="D260"/>
      <c r="E260"/>
      <c r="F260"/>
      <c r="CP260" s="61"/>
    </row>
    <row r="261" spans="3:94">
      <c r="C261"/>
      <c r="D261"/>
      <c r="E261"/>
      <c r="F261"/>
      <c r="CP261" s="61"/>
    </row>
    <row r="262" spans="3:94">
      <c r="C262"/>
      <c r="D262"/>
      <c r="E262"/>
      <c r="F262"/>
      <c r="CP262" s="61"/>
    </row>
    <row r="263" spans="3:94">
      <c r="C263"/>
      <c r="D263"/>
      <c r="E263"/>
      <c r="F263"/>
      <c r="CP263" s="61"/>
    </row>
    <row r="264" spans="3:94">
      <c r="C264"/>
      <c r="D264"/>
      <c r="E264"/>
      <c r="F264"/>
      <c r="CP264" s="61"/>
    </row>
    <row r="265" spans="3:94">
      <c r="C265"/>
      <c r="D265"/>
      <c r="E265"/>
      <c r="F265"/>
      <c r="CP265" s="61"/>
    </row>
    <row r="266" spans="3:94">
      <c r="C266"/>
      <c r="D266"/>
      <c r="E266"/>
      <c r="F266"/>
      <c r="CP266" s="61"/>
    </row>
    <row r="267" spans="3:94">
      <c r="C267"/>
      <c r="D267"/>
      <c r="E267"/>
      <c r="F267"/>
      <c r="CP267" s="61"/>
    </row>
    <row r="268" spans="3:94">
      <c r="C268"/>
      <c r="D268"/>
      <c r="E268"/>
      <c r="F268"/>
      <c r="CP268" s="61"/>
    </row>
    <row r="269" spans="3:94">
      <c r="C269"/>
      <c r="D269"/>
      <c r="E269"/>
      <c r="F269"/>
      <c r="CP269" s="61"/>
    </row>
    <row r="270" spans="3:94">
      <c r="C270"/>
      <c r="D270"/>
      <c r="E270"/>
      <c r="F270"/>
      <c r="CP270" s="61"/>
    </row>
    <row r="271" spans="3:94">
      <c r="C271"/>
      <c r="D271"/>
      <c r="E271"/>
      <c r="F271"/>
      <c r="CP271" s="61"/>
    </row>
    <row r="272" spans="3:94">
      <c r="C272"/>
      <c r="D272"/>
      <c r="E272"/>
      <c r="F272"/>
      <c r="CP272" s="61"/>
    </row>
    <row r="273" spans="3:94">
      <c r="C273"/>
      <c r="D273"/>
      <c r="E273"/>
      <c r="F273"/>
      <c r="CP273" s="61"/>
    </row>
    <row r="274" spans="3:94">
      <c r="C274"/>
      <c r="D274"/>
      <c r="E274"/>
      <c r="F274"/>
      <c r="CP274" s="61"/>
    </row>
    <row r="275" spans="3:94">
      <c r="C275"/>
      <c r="D275"/>
      <c r="E275"/>
      <c r="F275"/>
      <c r="CP275" s="61"/>
    </row>
    <row r="276" spans="3:94">
      <c r="C276"/>
      <c r="D276"/>
      <c r="E276"/>
      <c r="F276"/>
      <c r="CP276" s="61"/>
    </row>
    <row r="277" spans="3:94">
      <c r="C277"/>
      <c r="D277"/>
      <c r="E277"/>
      <c r="F277"/>
      <c r="CP277" s="61"/>
    </row>
    <row r="278" spans="3:94">
      <c r="C278"/>
      <c r="D278"/>
      <c r="E278"/>
      <c r="F278"/>
      <c r="CP278" s="61"/>
    </row>
    <row r="279" spans="3:94">
      <c r="C279"/>
      <c r="D279"/>
      <c r="E279"/>
      <c r="F279"/>
      <c r="CP279" s="61"/>
    </row>
    <row r="280" spans="3:94">
      <c r="C280"/>
      <c r="D280"/>
      <c r="E280"/>
      <c r="F280"/>
      <c r="CP280" s="61"/>
    </row>
    <row r="281" spans="3:94">
      <c r="C281"/>
      <c r="D281"/>
      <c r="E281"/>
      <c r="F281"/>
      <c r="CP281" s="61"/>
    </row>
    <row r="282" spans="3:94">
      <c r="C282"/>
      <c r="D282"/>
      <c r="E282"/>
      <c r="F282"/>
      <c r="CP282" s="61"/>
    </row>
    <row r="283" spans="3:94">
      <c r="C283"/>
      <c r="D283"/>
      <c r="E283"/>
      <c r="F283"/>
      <c r="CP283" s="61"/>
    </row>
    <row r="284" spans="3:94">
      <c r="C284"/>
      <c r="D284"/>
      <c r="E284"/>
      <c r="F284"/>
      <c r="CP284" s="61"/>
    </row>
    <row r="285" spans="3:94">
      <c r="C285"/>
      <c r="D285"/>
      <c r="E285"/>
      <c r="F285"/>
      <c r="CP285" s="61"/>
    </row>
    <row r="286" spans="3:94">
      <c r="C286"/>
      <c r="D286"/>
      <c r="E286"/>
      <c r="F286"/>
      <c r="CP286" s="61"/>
    </row>
    <row r="287" spans="3:94">
      <c r="C287"/>
      <c r="D287"/>
      <c r="E287"/>
      <c r="F287"/>
      <c r="CP287" s="61"/>
    </row>
    <row r="288" spans="3:94">
      <c r="C288"/>
      <c r="D288"/>
      <c r="E288"/>
      <c r="F288"/>
      <c r="CP288" s="61"/>
    </row>
    <row r="289" spans="3:94">
      <c r="C289"/>
      <c r="D289"/>
      <c r="E289"/>
      <c r="F289"/>
      <c r="CP289" s="61"/>
    </row>
    <row r="290" spans="3:94">
      <c r="C290"/>
      <c r="D290"/>
      <c r="E290"/>
      <c r="F290"/>
      <c r="CP290" s="61"/>
    </row>
    <row r="291" spans="3:94">
      <c r="C291"/>
      <c r="D291"/>
      <c r="E291"/>
      <c r="F291"/>
      <c r="CP291" s="61"/>
    </row>
    <row r="292" spans="3:94">
      <c r="C292"/>
      <c r="D292"/>
      <c r="E292"/>
      <c r="F292"/>
      <c r="CP292" s="61"/>
    </row>
    <row r="293" spans="3:94">
      <c r="C293"/>
      <c r="D293"/>
      <c r="E293"/>
      <c r="F293"/>
      <c r="CP293" s="61"/>
    </row>
    <row r="294" spans="3:94">
      <c r="C294"/>
      <c r="D294"/>
      <c r="E294"/>
      <c r="F294"/>
      <c r="CP294" s="61"/>
    </row>
    <row r="295" spans="3:94">
      <c r="C295"/>
      <c r="D295"/>
      <c r="E295"/>
      <c r="F295"/>
      <c r="CP295" s="61"/>
    </row>
    <row r="296" spans="3:94">
      <c r="C296"/>
      <c r="D296"/>
      <c r="E296"/>
      <c r="F296"/>
      <c r="CP296" s="61"/>
    </row>
    <row r="297" spans="3:94">
      <c r="C297"/>
      <c r="D297"/>
      <c r="E297"/>
      <c r="F297"/>
      <c r="CP297" s="61"/>
    </row>
    <row r="298" spans="3:94">
      <c r="C298"/>
      <c r="D298"/>
      <c r="E298"/>
      <c r="F298"/>
      <c r="CP298" s="61"/>
    </row>
    <row r="299" spans="3:94">
      <c r="C299"/>
      <c r="D299"/>
      <c r="E299"/>
      <c r="F299"/>
      <c r="CP299" s="61"/>
    </row>
    <row r="300" spans="3:94">
      <c r="C300"/>
      <c r="D300"/>
      <c r="E300"/>
      <c r="F300"/>
      <c r="CP300" s="61"/>
    </row>
    <row r="301" spans="3:94">
      <c r="C301"/>
      <c r="D301"/>
      <c r="E301"/>
      <c r="F301"/>
      <c r="CP301" s="61"/>
    </row>
    <row r="302" spans="3:94">
      <c r="C302"/>
      <c r="D302"/>
      <c r="E302"/>
      <c r="F302"/>
      <c r="CP302" s="61"/>
    </row>
    <row r="303" spans="3:94">
      <c r="C303"/>
      <c r="D303"/>
      <c r="E303"/>
      <c r="F303"/>
      <c r="CP303" s="61"/>
    </row>
    <row r="304" spans="3:94">
      <c r="C304"/>
      <c r="D304"/>
      <c r="E304"/>
      <c r="F304"/>
      <c r="CP304" s="61"/>
    </row>
    <row r="305" spans="3:94">
      <c r="C305"/>
      <c r="D305"/>
      <c r="E305"/>
      <c r="F305"/>
      <c r="CP305" s="61"/>
    </row>
    <row r="306" spans="3:94">
      <c r="C306"/>
      <c r="D306"/>
      <c r="E306"/>
      <c r="F306"/>
      <c r="CP306" s="61"/>
    </row>
    <row r="307" spans="3:94">
      <c r="C307"/>
      <c r="D307"/>
      <c r="E307"/>
      <c r="F307"/>
      <c r="CP307" s="61"/>
    </row>
    <row r="308" spans="3:94">
      <c r="C308"/>
      <c r="D308"/>
      <c r="E308"/>
      <c r="F308"/>
      <c r="CP308" s="61"/>
    </row>
    <row r="309" spans="3:94">
      <c r="C309"/>
      <c r="D309"/>
      <c r="E309"/>
      <c r="F309"/>
      <c r="CP309" s="61"/>
    </row>
    <row r="310" spans="3:94">
      <c r="C310"/>
      <c r="D310"/>
      <c r="E310"/>
      <c r="F310"/>
      <c r="CP310" s="61"/>
    </row>
    <row r="311" spans="3:94">
      <c r="C311"/>
      <c r="D311"/>
      <c r="E311"/>
      <c r="F311"/>
      <c r="CP311" s="61"/>
    </row>
    <row r="312" spans="3:94">
      <c r="C312"/>
      <c r="D312"/>
      <c r="E312"/>
      <c r="F312"/>
      <c r="CP312" s="61"/>
    </row>
    <row r="313" spans="3:94">
      <c r="C313"/>
      <c r="D313"/>
      <c r="E313"/>
      <c r="F313"/>
      <c r="CP313" s="61"/>
    </row>
    <row r="314" spans="3:94">
      <c r="C314"/>
      <c r="D314"/>
      <c r="E314"/>
      <c r="F314"/>
      <c r="CP314" s="61"/>
    </row>
    <row r="315" spans="3:94">
      <c r="C315"/>
      <c r="D315"/>
      <c r="E315"/>
      <c r="F315"/>
      <c r="CP315" s="61"/>
    </row>
    <row r="316" spans="3:94">
      <c r="C316"/>
      <c r="D316"/>
      <c r="E316"/>
      <c r="F316"/>
      <c r="CP316" s="61"/>
    </row>
    <row r="317" spans="3:94">
      <c r="C317"/>
      <c r="D317"/>
      <c r="E317"/>
      <c r="F317"/>
      <c r="CP317" s="61"/>
    </row>
    <row r="318" spans="3:94">
      <c r="C318"/>
      <c r="D318"/>
      <c r="E318"/>
      <c r="F318"/>
      <c r="CP318" s="61"/>
    </row>
    <row r="319" spans="3:94">
      <c r="C319"/>
      <c r="D319"/>
      <c r="E319"/>
      <c r="F319"/>
      <c r="CP319" s="61"/>
    </row>
    <row r="320" spans="3:94">
      <c r="C320"/>
      <c r="D320"/>
      <c r="E320"/>
      <c r="F320"/>
      <c r="CP320" s="61"/>
    </row>
    <row r="321" spans="3:94">
      <c r="C321"/>
      <c r="D321"/>
      <c r="E321"/>
      <c r="F321"/>
      <c r="CP321" s="61"/>
    </row>
    <row r="322" spans="3:94">
      <c r="C322"/>
      <c r="D322"/>
      <c r="E322"/>
      <c r="F322"/>
      <c r="CP322" s="61"/>
    </row>
    <row r="323" spans="3:94">
      <c r="C323"/>
      <c r="D323"/>
      <c r="E323"/>
      <c r="F323"/>
      <c r="CP323" s="61"/>
    </row>
    <row r="324" spans="3:94">
      <c r="C324"/>
      <c r="D324"/>
      <c r="E324"/>
      <c r="F324"/>
      <c r="CP324" s="61"/>
    </row>
    <row r="325" spans="3:94">
      <c r="C325"/>
      <c r="D325"/>
      <c r="E325"/>
      <c r="F325"/>
      <c r="CP325" s="61"/>
    </row>
    <row r="326" spans="3:94">
      <c r="C326"/>
      <c r="D326"/>
      <c r="E326"/>
      <c r="F326"/>
      <c r="CP326" s="61"/>
    </row>
    <row r="327" spans="3:94">
      <c r="C327"/>
      <c r="D327"/>
      <c r="E327"/>
      <c r="F327"/>
      <c r="CP327" s="61"/>
    </row>
    <row r="328" spans="3:94">
      <c r="C328"/>
      <c r="D328"/>
      <c r="E328"/>
      <c r="F328"/>
      <c r="CP328" s="61"/>
    </row>
    <row r="329" spans="3:94">
      <c r="C329"/>
      <c r="D329"/>
      <c r="E329"/>
      <c r="F329"/>
      <c r="CP329" s="61"/>
    </row>
    <row r="330" spans="3:94">
      <c r="C330"/>
      <c r="D330"/>
      <c r="E330"/>
      <c r="F330"/>
      <c r="CP330" s="61"/>
    </row>
    <row r="331" spans="3:94">
      <c r="C331"/>
      <c r="D331"/>
      <c r="E331"/>
      <c r="F331"/>
      <c r="CP331" s="61"/>
    </row>
    <row r="332" spans="3:94">
      <c r="C332"/>
      <c r="D332"/>
      <c r="E332"/>
      <c r="F332"/>
      <c r="CP332" s="61"/>
    </row>
    <row r="333" spans="3:94">
      <c r="C333"/>
      <c r="D333"/>
      <c r="E333"/>
      <c r="F333"/>
      <c r="CP333" s="61"/>
    </row>
    <row r="334" spans="3:94">
      <c r="C334"/>
      <c r="D334"/>
      <c r="E334"/>
      <c r="F334"/>
      <c r="CP334" s="61"/>
    </row>
    <row r="335" spans="3:94">
      <c r="C335"/>
      <c r="D335"/>
      <c r="E335"/>
      <c r="F335"/>
      <c r="CP335" s="61"/>
    </row>
    <row r="336" spans="3:94">
      <c r="C336"/>
      <c r="D336"/>
      <c r="E336"/>
      <c r="F336"/>
      <c r="CP336" s="61"/>
    </row>
    <row r="337" spans="3:94">
      <c r="C337"/>
      <c r="D337"/>
      <c r="E337"/>
      <c r="F337"/>
      <c r="CP337" s="61"/>
    </row>
    <row r="338" spans="3:94">
      <c r="C338"/>
      <c r="D338"/>
      <c r="E338"/>
      <c r="F338"/>
      <c r="CP338" s="61"/>
    </row>
    <row r="339" spans="3:94">
      <c r="C339"/>
      <c r="D339"/>
      <c r="E339"/>
      <c r="F339"/>
      <c r="CP339" s="61"/>
    </row>
    <row r="340" spans="3:94">
      <c r="C340"/>
      <c r="D340"/>
      <c r="E340"/>
      <c r="F340"/>
      <c r="CP340" s="61"/>
    </row>
    <row r="341" spans="3:94">
      <c r="C341"/>
      <c r="D341"/>
      <c r="E341"/>
      <c r="F341"/>
      <c r="CP341" s="61"/>
    </row>
    <row r="342" spans="3:94">
      <c r="C342"/>
      <c r="D342"/>
      <c r="E342"/>
      <c r="F342"/>
      <c r="CP342" s="61"/>
    </row>
    <row r="343" spans="3:94">
      <c r="C343"/>
      <c r="D343"/>
      <c r="E343"/>
      <c r="F343"/>
      <c r="CP343" s="61"/>
    </row>
    <row r="344" spans="3:94">
      <c r="C344"/>
      <c r="D344"/>
      <c r="E344"/>
      <c r="F344"/>
      <c r="CP344" s="61"/>
    </row>
    <row r="345" spans="3:94">
      <c r="C345"/>
      <c r="D345"/>
      <c r="E345"/>
      <c r="F345"/>
      <c r="CP345" s="61"/>
    </row>
    <row r="346" spans="3:94">
      <c r="C346"/>
      <c r="D346"/>
      <c r="E346"/>
      <c r="F346"/>
      <c r="CP346" s="61"/>
    </row>
    <row r="347" spans="3:94">
      <c r="C347"/>
      <c r="D347"/>
      <c r="E347"/>
      <c r="F347"/>
      <c r="CP347" s="61"/>
    </row>
    <row r="348" spans="3:94">
      <c r="C348"/>
      <c r="D348"/>
      <c r="E348"/>
      <c r="F348"/>
      <c r="CP348" s="61"/>
    </row>
    <row r="349" spans="3:94">
      <c r="C349"/>
      <c r="D349"/>
      <c r="E349"/>
      <c r="F349"/>
      <c r="CP349" s="61"/>
    </row>
    <row r="350" spans="3:94">
      <c r="C350"/>
      <c r="D350"/>
      <c r="E350"/>
      <c r="F350"/>
      <c r="CP350" s="61"/>
    </row>
    <row r="351" spans="3:94">
      <c r="C351"/>
      <c r="D351"/>
      <c r="E351"/>
      <c r="F351"/>
      <c r="CP351" s="61"/>
    </row>
    <row r="352" spans="3:94">
      <c r="C352"/>
      <c r="D352"/>
      <c r="E352"/>
      <c r="F352"/>
      <c r="CP352" s="61"/>
    </row>
    <row r="353" spans="3:94">
      <c r="C353"/>
      <c r="D353"/>
      <c r="E353"/>
      <c r="F353"/>
      <c r="CP353" s="61"/>
    </row>
    <row r="354" spans="3:94">
      <c r="C354"/>
      <c r="D354"/>
      <c r="E354"/>
      <c r="F354"/>
      <c r="CP354" s="61"/>
    </row>
    <row r="355" spans="3:94">
      <c r="C355"/>
      <c r="D355"/>
      <c r="E355"/>
      <c r="F355"/>
      <c r="CP355" s="61"/>
    </row>
    <row r="356" spans="3:94">
      <c r="C356"/>
      <c r="D356"/>
      <c r="E356"/>
      <c r="F356"/>
      <c r="CP356" s="61"/>
    </row>
    <row r="357" spans="3:94">
      <c r="C357"/>
      <c r="D357"/>
      <c r="E357"/>
      <c r="F357"/>
      <c r="CP357" s="61"/>
    </row>
    <row r="358" spans="3:94">
      <c r="C358"/>
      <c r="D358"/>
      <c r="E358"/>
      <c r="F358"/>
      <c r="CP358" s="61"/>
    </row>
    <row r="359" spans="3:94">
      <c r="C359"/>
      <c r="D359"/>
      <c r="E359"/>
      <c r="F359"/>
      <c r="CP359" s="61"/>
    </row>
    <row r="360" spans="3:94">
      <c r="C360"/>
      <c r="D360"/>
      <c r="E360"/>
      <c r="F360"/>
      <c r="CP360" s="61"/>
    </row>
    <row r="361" spans="3:94">
      <c r="C361"/>
      <c r="D361"/>
      <c r="E361"/>
      <c r="F361"/>
      <c r="CP361" s="61"/>
    </row>
    <row r="362" spans="3:94">
      <c r="C362"/>
      <c r="D362"/>
      <c r="E362"/>
      <c r="F362"/>
      <c r="CP362" s="61"/>
    </row>
    <row r="363" spans="3:94">
      <c r="C363"/>
      <c r="D363"/>
      <c r="E363"/>
      <c r="F363"/>
      <c r="CP363" s="61"/>
    </row>
    <row r="364" spans="3:94">
      <c r="C364"/>
      <c r="D364"/>
      <c r="E364"/>
      <c r="F364"/>
      <c r="CP364" s="61"/>
    </row>
    <row r="365" spans="3:94">
      <c r="C365"/>
      <c r="D365"/>
      <c r="E365"/>
      <c r="F365"/>
      <c r="CP365" s="61"/>
    </row>
    <row r="366" spans="3:94">
      <c r="C366"/>
      <c r="D366"/>
      <c r="E366"/>
      <c r="F366"/>
      <c r="CP366" s="61"/>
    </row>
    <row r="367" spans="3:94">
      <c r="C367"/>
      <c r="D367"/>
      <c r="E367"/>
      <c r="F367"/>
      <c r="CP367" s="61"/>
    </row>
    <row r="368" spans="3:94">
      <c r="C368"/>
      <c r="D368"/>
      <c r="E368"/>
      <c r="F368"/>
      <c r="CP368" s="61"/>
    </row>
    <row r="369" spans="3:94">
      <c r="C369"/>
      <c r="D369"/>
      <c r="E369"/>
      <c r="F369"/>
      <c r="CP369" s="61"/>
    </row>
    <row r="370" spans="3:94">
      <c r="C370"/>
      <c r="D370"/>
      <c r="E370"/>
      <c r="F370"/>
      <c r="CP370" s="61"/>
    </row>
    <row r="371" spans="3:94">
      <c r="C371"/>
      <c r="D371"/>
      <c r="E371"/>
      <c r="F371"/>
      <c r="CP371" s="61"/>
    </row>
    <row r="372" spans="3:94">
      <c r="C372"/>
      <c r="D372"/>
      <c r="E372"/>
      <c r="F372"/>
      <c r="CP372" s="61"/>
    </row>
    <row r="373" spans="3:94">
      <c r="C373"/>
      <c r="D373"/>
      <c r="E373"/>
      <c r="F373"/>
      <c r="CP373" s="61"/>
    </row>
    <row r="374" spans="3:94">
      <c r="C374"/>
      <c r="D374"/>
      <c r="E374"/>
      <c r="F374"/>
      <c r="CP374" s="61"/>
    </row>
    <row r="375" spans="3:94">
      <c r="C375"/>
      <c r="D375"/>
      <c r="E375"/>
      <c r="F375"/>
      <c r="CP375" s="61"/>
    </row>
    <row r="376" spans="3:94">
      <c r="C376"/>
      <c r="D376"/>
      <c r="E376"/>
      <c r="F376"/>
      <c r="CP376" s="61"/>
    </row>
    <row r="377" spans="3:94">
      <c r="C377"/>
      <c r="D377"/>
      <c r="E377"/>
      <c r="F377"/>
      <c r="CP377" s="61"/>
    </row>
    <row r="378" spans="3:94">
      <c r="C378"/>
      <c r="D378"/>
      <c r="E378"/>
      <c r="F378"/>
      <c r="CP378" s="61"/>
    </row>
    <row r="379" spans="3:94">
      <c r="C379"/>
      <c r="D379"/>
      <c r="E379"/>
      <c r="F379"/>
      <c r="CP379" s="61"/>
    </row>
    <row r="380" spans="3:94">
      <c r="C380"/>
      <c r="D380"/>
      <c r="E380"/>
      <c r="F380"/>
      <c r="CP380" s="61"/>
    </row>
    <row r="381" spans="3:94">
      <c r="C381"/>
      <c r="D381"/>
      <c r="E381"/>
      <c r="F381"/>
      <c r="CP381" s="61"/>
    </row>
    <row r="382" spans="3:94">
      <c r="C382"/>
      <c r="D382"/>
      <c r="E382"/>
      <c r="F382"/>
      <c r="CP382" s="61"/>
    </row>
    <row r="383" spans="3:94">
      <c r="C383"/>
      <c r="D383"/>
      <c r="E383"/>
      <c r="F383"/>
      <c r="CP383" s="61"/>
    </row>
    <row r="384" spans="3:94">
      <c r="C384"/>
      <c r="D384"/>
      <c r="E384"/>
      <c r="F384"/>
      <c r="CP384" s="61"/>
    </row>
    <row r="385" spans="3:94">
      <c r="C385"/>
      <c r="D385"/>
      <c r="E385"/>
      <c r="F385"/>
      <c r="CP385" s="61"/>
    </row>
    <row r="386" spans="3:94">
      <c r="C386"/>
      <c r="D386"/>
      <c r="E386"/>
      <c r="F386"/>
      <c r="CP386" s="61"/>
    </row>
    <row r="387" spans="3:94">
      <c r="C387"/>
      <c r="D387"/>
      <c r="E387"/>
      <c r="F387"/>
      <c r="CP387" s="61"/>
    </row>
    <row r="388" spans="3:94">
      <c r="C388"/>
      <c r="D388"/>
      <c r="E388"/>
      <c r="F388"/>
      <c r="CP388" s="61"/>
    </row>
    <row r="389" spans="3:94">
      <c r="C389"/>
      <c r="D389"/>
      <c r="E389"/>
      <c r="F389"/>
      <c r="CP389" s="61"/>
    </row>
    <row r="390" spans="3:94">
      <c r="C390"/>
      <c r="D390"/>
      <c r="E390"/>
      <c r="F390"/>
      <c r="CP390" s="61"/>
    </row>
    <row r="391" spans="3:94">
      <c r="C391"/>
      <c r="D391"/>
      <c r="E391"/>
      <c r="F391"/>
      <c r="CP391" s="61"/>
    </row>
    <row r="392" spans="3:94">
      <c r="C392"/>
      <c r="D392"/>
      <c r="E392"/>
      <c r="F392"/>
      <c r="CP392" s="61"/>
    </row>
    <row r="393" spans="3:94">
      <c r="C393"/>
      <c r="D393"/>
      <c r="E393"/>
      <c r="F393"/>
      <c r="CP393" s="61"/>
    </row>
    <row r="394" spans="3:94">
      <c r="C394"/>
      <c r="D394"/>
      <c r="E394"/>
      <c r="F394"/>
      <c r="CP394" s="61"/>
    </row>
    <row r="395" spans="3:94">
      <c r="C395"/>
      <c r="D395"/>
      <c r="E395"/>
      <c r="F395"/>
      <c r="CP395" s="61"/>
    </row>
    <row r="396" spans="3:94">
      <c r="C396"/>
      <c r="D396"/>
      <c r="E396"/>
      <c r="F396"/>
      <c r="CP396" s="61"/>
    </row>
    <row r="397" spans="3:94">
      <c r="C397"/>
      <c r="D397"/>
      <c r="E397"/>
      <c r="F397"/>
      <c r="CP397" s="61"/>
    </row>
    <row r="398" spans="3:94">
      <c r="C398"/>
      <c r="D398"/>
      <c r="E398"/>
      <c r="F398"/>
      <c r="CP398" s="61"/>
    </row>
    <row r="399" spans="3:94">
      <c r="C399"/>
      <c r="D399"/>
      <c r="E399"/>
      <c r="F399"/>
      <c r="CP399" s="61"/>
    </row>
    <row r="400" spans="3:94">
      <c r="C400"/>
      <c r="D400"/>
      <c r="E400"/>
      <c r="F400"/>
      <c r="CP400" s="61"/>
    </row>
    <row r="401" spans="3:94">
      <c r="C401"/>
      <c r="D401"/>
      <c r="E401"/>
      <c r="F401"/>
      <c r="CP401" s="61"/>
    </row>
    <row r="402" spans="3:94">
      <c r="C402"/>
      <c r="D402"/>
      <c r="E402"/>
      <c r="F402"/>
      <c r="CP402" s="61"/>
    </row>
    <row r="403" spans="3:94">
      <c r="C403"/>
      <c r="D403"/>
      <c r="E403"/>
      <c r="F403"/>
      <c r="CP403" s="61"/>
    </row>
    <row r="404" spans="3:94">
      <c r="C404"/>
      <c r="D404"/>
      <c r="E404"/>
      <c r="F404"/>
      <c r="CP404" s="61"/>
    </row>
    <row r="405" spans="3:94">
      <c r="C405"/>
      <c r="D405"/>
      <c r="E405"/>
      <c r="F405"/>
      <c r="CP405" s="61"/>
    </row>
    <row r="406" spans="3:94">
      <c r="C406"/>
      <c r="D406"/>
      <c r="E406"/>
      <c r="F406"/>
      <c r="CP406" s="61"/>
    </row>
    <row r="407" spans="3:94">
      <c r="C407"/>
      <c r="D407"/>
      <c r="E407"/>
      <c r="F407"/>
      <c r="CP407" s="61"/>
    </row>
    <row r="408" spans="3:94">
      <c r="C408"/>
      <c r="D408"/>
      <c r="E408"/>
      <c r="F408"/>
      <c r="CP408" s="61"/>
    </row>
    <row r="409" spans="3:94">
      <c r="C409"/>
      <c r="D409"/>
      <c r="E409"/>
      <c r="F409"/>
      <c r="CP409" s="61"/>
    </row>
    <row r="410" spans="3:94">
      <c r="C410"/>
      <c r="D410"/>
      <c r="E410"/>
      <c r="F410"/>
      <c r="CP410" s="61"/>
    </row>
    <row r="411" spans="3:94">
      <c r="C411"/>
      <c r="D411"/>
      <c r="E411"/>
      <c r="F411"/>
      <c r="CP411" s="61"/>
    </row>
    <row r="412" spans="3:94">
      <c r="C412"/>
      <c r="D412"/>
      <c r="E412"/>
      <c r="F412"/>
      <c r="CP412" s="61"/>
    </row>
    <row r="413" spans="3:94">
      <c r="C413"/>
      <c r="D413"/>
      <c r="E413"/>
      <c r="F413"/>
      <c r="CP413" s="61"/>
    </row>
    <row r="414" spans="3:94">
      <c r="C414"/>
      <c r="D414"/>
      <c r="E414"/>
      <c r="F414"/>
      <c r="CP414" s="61"/>
    </row>
    <row r="415" spans="3:94">
      <c r="C415"/>
      <c r="D415"/>
      <c r="E415"/>
      <c r="F415"/>
      <c r="CP415" s="61"/>
    </row>
    <row r="416" spans="3:94">
      <c r="C416"/>
      <c r="D416"/>
      <c r="E416"/>
      <c r="F416"/>
      <c r="CP416" s="61"/>
    </row>
    <row r="417" spans="3:94">
      <c r="C417"/>
      <c r="D417"/>
      <c r="E417"/>
      <c r="F417"/>
      <c r="CP417" s="61"/>
    </row>
    <row r="418" spans="3:94">
      <c r="C418"/>
      <c r="D418"/>
      <c r="E418"/>
      <c r="F418"/>
      <c r="CP418" s="61"/>
    </row>
    <row r="419" spans="3:94">
      <c r="C419"/>
      <c r="D419"/>
      <c r="E419"/>
      <c r="F419"/>
      <c r="CP419" s="61"/>
    </row>
    <row r="420" spans="3:94">
      <c r="C420"/>
      <c r="D420"/>
      <c r="E420"/>
      <c r="F420"/>
      <c r="CP420" s="61"/>
    </row>
    <row r="421" spans="3:94">
      <c r="C421"/>
      <c r="D421"/>
      <c r="E421"/>
      <c r="F421"/>
      <c r="CP421" s="61"/>
    </row>
    <row r="422" spans="3:94">
      <c r="C422"/>
      <c r="D422"/>
      <c r="E422"/>
      <c r="F422"/>
      <c r="CP422" s="61"/>
    </row>
    <row r="423" spans="3:94">
      <c r="C423"/>
      <c r="D423"/>
      <c r="E423"/>
      <c r="F423"/>
      <c r="CP423" s="61"/>
    </row>
    <row r="424" spans="3:94">
      <c r="C424"/>
      <c r="D424"/>
      <c r="E424"/>
      <c r="F424"/>
      <c r="CP424" s="61"/>
    </row>
    <row r="425" spans="3:94">
      <c r="C425"/>
      <c r="D425"/>
      <c r="E425"/>
      <c r="F425"/>
      <c r="CP425" s="61"/>
    </row>
    <row r="426" spans="3:94">
      <c r="C426"/>
      <c r="D426"/>
      <c r="E426"/>
      <c r="F426"/>
      <c r="CP426" s="61"/>
    </row>
    <row r="427" spans="3:94">
      <c r="C427"/>
      <c r="D427"/>
      <c r="E427"/>
      <c r="F427"/>
      <c r="CP427" s="61"/>
    </row>
    <row r="428" spans="3:94">
      <c r="C428"/>
      <c r="D428"/>
      <c r="E428"/>
      <c r="F428"/>
      <c r="CP428" s="61"/>
    </row>
    <row r="429" spans="3:94">
      <c r="C429"/>
      <c r="D429"/>
      <c r="E429"/>
      <c r="F429"/>
      <c r="CP429" s="61"/>
    </row>
    <row r="430" spans="3:94">
      <c r="C430"/>
      <c r="D430"/>
      <c r="E430"/>
      <c r="F430"/>
      <c r="CP430" s="61"/>
    </row>
    <row r="431" spans="3:94">
      <c r="C431"/>
      <c r="D431"/>
      <c r="E431"/>
      <c r="F431"/>
      <c r="CP431" s="61"/>
    </row>
    <row r="432" spans="3:94">
      <c r="C432"/>
      <c r="D432"/>
      <c r="E432"/>
      <c r="F432"/>
      <c r="CP432" s="61"/>
    </row>
    <row r="433" spans="3:94">
      <c r="C433"/>
      <c r="D433"/>
      <c r="E433"/>
      <c r="F433"/>
      <c r="CP433" s="61"/>
    </row>
    <row r="434" spans="3:94">
      <c r="C434"/>
      <c r="D434"/>
      <c r="E434"/>
      <c r="F434"/>
      <c r="CP434" s="61"/>
    </row>
    <row r="435" spans="3:94">
      <c r="C435"/>
      <c r="D435"/>
      <c r="E435"/>
      <c r="F435"/>
      <c r="CP435" s="61"/>
    </row>
    <row r="436" spans="3:94">
      <c r="C436"/>
      <c r="D436"/>
      <c r="E436"/>
      <c r="F436"/>
      <c r="CP436" s="61"/>
    </row>
    <row r="437" spans="3:94">
      <c r="C437"/>
      <c r="D437"/>
      <c r="E437"/>
      <c r="F437"/>
      <c r="CP437" s="61"/>
    </row>
    <row r="438" spans="3:94">
      <c r="C438"/>
      <c r="D438"/>
      <c r="E438"/>
      <c r="F438"/>
      <c r="CP438" s="61"/>
    </row>
    <row r="439" spans="3:94">
      <c r="C439"/>
      <c r="D439"/>
      <c r="E439"/>
      <c r="F439"/>
      <c r="CP439" s="61"/>
    </row>
    <row r="440" spans="3:94">
      <c r="C440"/>
      <c r="D440"/>
      <c r="E440"/>
      <c r="F440"/>
      <c r="CP440" s="61"/>
    </row>
    <row r="441" spans="3:94">
      <c r="C441"/>
      <c r="D441"/>
      <c r="E441"/>
      <c r="F441"/>
      <c r="CP441" s="61"/>
    </row>
    <row r="442" spans="3:94">
      <c r="C442"/>
      <c r="D442"/>
      <c r="E442"/>
      <c r="F442"/>
      <c r="CP442" s="61"/>
    </row>
    <row r="443" spans="3:94">
      <c r="C443"/>
      <c r="D443"/>
      <c r="E443"/>
      <c r="F443"/>
      <c r="CP443" s="61"/>
    </row>
    <row r="444" spans="3:94">
      <c r="C444"/>
      <c r="D444"/>
      <c r="E444"/>
      <c r="F444"/>
      <c r="CP444" s="61"/>
    </row>
    <row r="445" spans="3:94">
      <c r="C445"/>
      <c r="D445"/>
      <c r="E445"/>
      <c r="F445"/>
      <c r="CP445" s="61"/>
    </row>
    <row r="446" spans="3:94">
      <c r="C446"/>
      <c r="D446"/>
      <c r="E446"/>
      <c r="F446"/>
      <c r="CP446" s="61"/>
    </row>
    <row r="447" spans="3:94">
      <c r="C447"/>
      <c r="D447"/>
      <c r="E447"/>
      <c r="F447"/>
      <c r="CP447" s="61"/>
    </row>
    <row r="448" spans="3:94">
      <c r="C448"/>
      <c r="D448"/>
      <c r="E448"/>
      <c r="F448"/>
      <c r="CP448" s="61"/>
    </row>
    <row r="449" spans="3:94">
      <c r="C449"/>
      <c r="D449"/>
      <c r="E449"/>
      <c r="F449"/>
      <c r="CP449" s="61"/>
    </row>
    <row r="450" spans="3:94">
      <c r="C450"/>
      <c r="D450"/>
      <c r="E450"/>
      <c r="F450"/>
      <c r="CP450" s="61"/>
    </row>
    <row r="451" spans="3:94">
      <c r="C451"/>
      <c r="D451"/>
      <c r="E451"/>
      <c r="F451"/>
      <c r="CP451" s="61"/>
    </row>
    <row r="452" spans="3:94">
      <c r="C452"/>
      <c r="D452"/>
      <c r="E452"/>
      <c r="F452"/>
      <c r="CP452" s="61"/>
    </row>
    <row r="453" spans="3:94">
      <c r="C453"/>
      <c r="D453"/>
      <c r="E453"/>
      <c r="F453"/>
      <c r="CP453" s="61"/>
    </row>
    <row r="454" spans="3:94">
      <c r="C454"/>
      <c r="D454"/>
      <c r="E454"/>
      <c r="F454"/>
      <c r="CP454" s="61"/>
    </row>
    <row r="455" spans="3:94">
      <c r="C455"/>
      <c r="D455"/>
      <c r="E455"/>
      <c r="F455"/>
      <c r="CP455" s="61"/>
    </row>
    <row r="456" spans="3:94">
      <c r="C456"/>
      <c r="D456"/>
      <c r="E456"/>
      <c r="F456"/>
      <c r="CP456" s="61"/>
    </row>
    <row r="457" spans="3:94">
      <c r="C457"/>
      <c r="D457"/>
      <c r="E457"/>
      <c r="F457"/>
      <c r="CP457" s="61"/>
    </row>
    <row r="458" spans="3:94">
      <c r="C458"/>
      <c r="D458"/>
      <c r="E458"/>
      <c r="F458"/>
      <c r="CP458" s="61"/>
    </row>
    <row r="459" spans="3:94">
      <c r="C459"/>
      <c r="D459"/>
      <c r="E459"/>
      <c r="F459"/>
      <c r="CP459" s="61"/>
    </row>
    <row r="460" spans="3:94">
      <c r="C460"/>
      <c r="D460"/>
      <c r="E460"/>
      <c r="F460"/>
      <c r="CP460" s="61"/>
    </row>
    <row r="461" spans="3:94">
      <c r="C461"/>
      <c r="D461"/>
      <c r="E461"/>
      <c r="F461"/>
      <c r="CP461" s="61"/>
    </row>
    <row r="462" spans="3:94">
      <c r="C462"/>
      <c r="D462"/>
      <c r="E462"/>
      <c r="F462"/>
      <c r="CP462" s="61"/>
    </row>
    <row r="463" spans="3:94">
      <c r="C463"/>
      <c r="D463"/>
      <c r="E463"/>
      <c r="F463"/>
      <c r="CP463" s="61"/>
    </row>
    <row r="464" spans="3:94">
      <c r="C464"/>
      <c r="D464"/>
      <c r="E464"/>
      <c r="F464"/>
      <c r="CP464" s="61"/>
    </row>
    <row r="465" spans="3:94">
      <c r="C465"/>
      <c r="D465"/>
      <c r="E465"/>
      <c r="F465"/>
      <c r="CP465" s="61"/>
    </row>
    <row r="466" spans="3:94">
      <c r="C466"/>
      <c r="D466"/>
      <c r="E466"/>
      <c r="F466"/>
      <c r="CP466" s="61"/>
    </row>
    <row r="467" spans="3:94">
      <c r="C467"/>
      <c r="D467"/>
      <c r="E467"/>
      <c r="F467"/>
      <c r="CP467" s="61"/>
    </row>
    <row r="468" spans="3:94">
      <c r="C468"/>
      <c r="D468"/>
      <c r="E468"/>
      <c r="F468"/>
      <c r="CP468" s="61"/>
    </row>
    <row r="469" spans="3:94">
      <c r="C469"/>
      <c r="D469"/>
      <c r="E469"/>
      <c r="F469"/>
      <c r="CP469" s="61"/>
    </row>
    <row r="470" spans="3:94">
      <c r="C470"/>
      <c r="D470"/>
      <c r="E470"/>
      <c r="F470"/>
      <c r="CP470" s="61"/>
    </row>
    <row r="471" spans="3:94">
      <c r="C471"/>
      <c r="D471"/>
      <c r="E471"/>
      <c r="F471"/>
      <c r="CP471" s="61"/>
    </row>
    <row r="472" spans="3:94">
      <c r="C472"/>
      <c r="D472"/>
      <c r="E472"/>
      <c r="F472"/>
      <c r="CP472" s="61"/>
    </row>
    <row r="473" spans="3:94">
      <c r="C473"/>
      <c r="D473"/>
      <c r="E473"/>
      <c r="F473"/>
      <c r="CP473" s="61"/>
    </row>
    <row r="474" spans="3:94">
      <c r="C474"/>
      <c r="D474"/>
      <c r="E474"/>
      <c r="F474"/>
      <c r="CP474" s="61"/>
    </row>
    <row r="475" spans="3:94">
      <c r="C475"/>
      <c r="D475"/>
      <c r="E475"/>
      <c r="F475"/>
      <c r="CP475" s="61"/>
    </row>
    <row r="476" spans="3:94">
      <c r="C476"/>
      <c r="D476"/>
      <c r="E476"/>
      <c r="F476"/>
      <c r="CP476" s="61"/>
    </row>
    <row r="477" spans="3:94">
      <c r="C477"/>
      <c r="D477"/>
      <c r="E477"/>
      <c r="F477"/>
      <c r="CP477" s="61"/>
    </row>
    <row r="478" spans="3:94">
      <c r="C478"/>
      <c r="D478"/>
      <c r="E478"/>
      <c r="F478"/>
      <c r="CP478" s="61"/>
    </row>
    <row r="479" spans="3:94">
      <c r="C479"/>
      <c r="D479"/>
      <c r="E479"/>
      <c r="F479"/>
      <c r="CP479" s="61"/>
    </row>
    <row r="480" spans="3:94">
      <c r="C480"/>
      <c r="D480"/>
      <c r="E480"/>
      <c r="F480"/>
      <c r="CP480" s="61"/>
    </row>
    <row r="481" spans="3:94">
      <c r="C481"/>
      <c r="D481"/>
      <c r="E481"/>
      <c r="F481"/>
      <c r="CP481" s="61"/>
    </row>
    <row r="482" spans="3:94">
      <c r="C482"/>
      <c r="D482"/>
      <c r="E482"/>
      <c r="F482"/>
      <c r="CP482" s="61"/>
    </row>
    <row r="483" spans="3:94">
      <c r="C483"/>
      <c r="D483"/>
      <c r="E483"/>
      <c r="F483"/>
      <c r="CP483" s="61"/>
    </row>
    <row r="484" spans="3:94">
      <c r="C484"/>
      <c r="D484"/>
      <c r="E484"/>
      <c r="F484"/>
      <c r="CP484" s="61"/>
    </row>
    <row r="485" spans="3:94">
      <c r="C485"/>
      <c r="D485"/>
      <c r="E485"/>
      <c r="F485"/>
      <c r="CP485" s="61"/>
    </row>
    <row r="486" spans="3:94">
      <c r="C486"/>
      <c r="D486"/>
      <c r="E486"/>
      <c r="F486"/>
      <c r="CP486" s="61"/>
    </row>
    <row r="487" spans="3:94">
      <c r="C487"/>
      <c r="D487"/>
      <c r="E487"/>
      <c r="F487"/>
      <c r="CP487" s="61"/>
    </row>
    <row r="488" spans="3:94">
      <c r="C488"/>
      <c r="D488"/>
      <c r="E488"/>
      <c r="F488"/>
      <c r="CP488" s="61"/>
    </row>
    <row r="489" spans="3:94">
      <c r="C489"/>
      <c r="D489"/>
      <c r="E489"/>
      <c r="F489"/>
      <c r="CP489" s="61"/>
    </row>
    <row r="490" spans="3:94">
      <c r="C490"/>
      <c r="D490"/>
      <c r="E490"/>
      <c r="F490"/>
      <c r="CP490" s="61"/>
    </row>
    <row r="491" spans="3:94">
      <c r="C491"/>
      <c r="D491"/>
      <c r="E491"/>
      <c r="F491"/>
      <c r="CP491" s="61"/>
    </row>
    <row r="492" spans="3:94">
      <c r="C492"/>
      <c r="D492"/>
      <c r="E492"/>
      <c r="F492"/>
      <c r="CP492" s="61"/>
    </row>
    <row r="493" spans="3:94">
      <c r="C493"/>
      <c r="D493"/>
      <c r="E493"/>
      <c r="F493"/>
      <c r="CP493" s="61"/>
    </row>
    <row r="494" spans="3:94">
      <c r="C494"/>
      <c r="D494"/>
      <c r="E494"/>
      <c r="F494"/>
      <c r="CP494" s="61"/>
    </row>
    <row r="495" spans="3:94">
      <c r="C495"/>
      <c r="D495"/>
      <c r="E495"/>
      <c r="F495"/>
      <c r="CP495" s="61"/>
    </row>
    <row r="496" spans="3:94">
      <c r="C496"/>
      <c r="D496"/>
      <c r="E496"/>
      <c r="F496"/>
      <c r="CP496" s="61"/>
    </row>
    <row r="497" spans="3:94">
      <c r="C497"/>
      <c r="D497"/>
      <c r="E497"/>
      <c r="F497"/>
      <c r="CP497" s="61"/>
    </row>
    <row r="498" spans="3:94">
      <c r="C498"/>
      <c r="D498"/>
      <c r="E498"/>
      <c r="F498"/>
      <c r="CP498" s="61"/>
    </row>
    <row r="499" spans="3:94">
      <c r="C499"/>
      <c r="D499"/>
      <c r="E499"/>
      <c r="F499"/>
      <c r="CP499" s="61"/>
    </row>
    <row r="500" spans="3:94">
      <c r="C500"/>
      <c r="D500"/>
      <c r="E500"/>
      <c r="F500"/>
      <c r="CP500" s="61"/>
    </row>
    <row r="501" spans="3:94">
      <c r="C501"/>
      <c r="D501"/>
      <c r="E501"/>
      <c r="F501"/>
      <c r="CP501" s="61"/>
    </row>
    <row r="502" spans="3:94">
      <c r="C502"/>
      <c r="D502"/>
      <c r="E502"/>
      <c r="F502"/>
      <c r="CP502" s="61"/>
    </row>
    <row r="503" spans="3:94">
      <c r="C503"/>
      <c r="D503"/>
      <c r="E503"/>
      <c r="F503"/>
      <c r="CP503" s="61"/>
    </row>
    <row r="504" spans="3:94">
      <c r="C504"/>
      <c r="D504"/>
      <c r="E504"/>
      <c r="F504"/>
      <c r="CP504" s="61"/>
    </row>
    <row r="505" spans="3:94">
      <c r="C505"/>
      <c r="D505"/>
      <c r="E505"/>
      <c r="F505"/>
      <c r="CP505" s="61"/>
    </row>
    <row r="506" spans="3:94">
      <c r="C506"/>
      <c r="D506"/>
      <c r="E506"/>
      <c r="F506"/>
      <c r="CP506" s="61"/>
    </row>
    <row r="507" spans="3:94">
      <c r="C507"/>
      <c r="D507"/>
      <c r="E507"/>
      <c r="F507"/>
      <c r="CP507" s="61"/>
    </row>
    <row r="508" spans="3:94">
      <c r="C508"/>
      <c r="D508"/>
      <c r="E508"/>
      <c r="F508"/>
      <c r="CP508" s="61"/>
    </row>
    <row r="509" spans="3:94">
      <c r="C509"/>
      <c r="D509"/>
      <c r="E509"/>
      <c r="F509"/>
      <c r="CP509" s="61"/>
    </row>
    <row r="510" spans="3:94">
      <c r="C510"/>
      <c r="D510"/>
      <c r="E510"/>
      <c r="F510"/>
      <c r="CP510" s="61"/>
    </row>
    <row r="511" spans="3:94">
      <c r="C511"/>
      <c r="D511"/>
      <c r="E511"/>
      <c r="F511"/>
      <c r="CP511" s="61"/>
    </row>
    <row r="512" spans="3:94">
      <c r="C512"/>
      <c r="D512"/>
      <c r="E512"/>
      <c r="F512"/>
      <c r="CP512" s="61"/>
    </row>
    <row r="513" spans="3:94">
      <c r="C513"/>
      <c r="D513"/>
      <c r="E513"/>
      <c r="F513"/>
      <c r="CP513" s="61"/>
    </row>
    <row r="514" spans="3:94">
      <c r="C514"/>
      <c r="D514"/>
      <c r="E514"/>
      <c r="F514"/>
      <c r="CP514" s="61"/>
    </row>
    <row r="515" spans="3:94">
      <c r="C515"/>
      <c r="D515"/>
      <c r="E515"/>
      <c r="F515"/>
      <c r="CP515" s="61"/>
    </row>
    <row r="516" spans="3:94">
      <c r="C516"/>
      <c r="D516"/>
      <c r="E516"/>
      <c r="F516"/>
      <c r="CP516" s="61"/>
    </row>
    <row r="517" spans="3:94">
      <c r="C517"/>
      <c r="D517"/>
      <c r="E517"/>
      <c r="F517"/>
      <c r="CP517" s="61"/>
    </row>
    <row r="518" spans="3:94">
      <c r="C518"/>
      <c r="D518"/>
      <c r="E518"/>
      <c r="F518"/>
      <c r="CP518" s="61"/>
    </row>
    <row r="519" spans="3:94">
      <c r="C519"/>
      <c r="D519"/>
      <c r="E519"/>
      <c r="F519"/>
      <c r="CP519" s="61"/>
    </row>
    <row r="520" spans="3:94">
      <c r="C520"/>
      <c r="D520"/>
      <c r="E520"/>
      <c r="F520"/>
      <c r="CP520" s="61"/>
    </row>
    <row r="521" spans="3:94">
      <c r="C521"/>
      <c r="D521"/>
      <c r="E521"/>
      <c r="F521"/>
      <c r="CP521" s="61"/>
    </row>
    <row r="522" spans="3:94">
      <c r="C522"/>
      <c r="D522"/>
      <c r="E522"/>
      <c r="F522"/>
      <c r="CP522" s="61"/>
    </row>
    <row r="523" spans="3:94">
      <c r="C523"/>
      <c r="D523"/>
      <c r="E523"/>
      <c r="F523"/>
      <c r="CP523" s="61"/>
    </row>
    <row r="524" spans="3:94">
      <c r="C524"/>
      <c r="D524"/>
      <c r="E524"/>
      <c r="F524"/>
      <c r="CP524" s="61"/>
    </row>
    <row r="525" spans="3:94">
      <c r="C525"/>
      <c r="D525"/>
      <c r="E525"/>
      <c r="F525"/>
      <c r="CP525" s="61"/>
    </row>
    <row r="526" spans="3:94">
      <c r="C526"/>
      <c r="D526"/>
      <c r="E526"/>
      <c r="F526"/>
      <c r="CP526" s="61"/>
    </row>
    <row r="527" spans="3:94">
      <c r="C527"/>
      <c r="D527"/>
      <c r="E527"/>
      <c r="F527"/>
      <c r="CP527" s="61"/>
    </row>
    <row r="528" spans="3:94">
      <c r="C528"/>
      <c r="D528"/>
      <c r="E528"/>
      <c r="F528"/>
      <c r="CP528" s="61"/>
    </row>
    <row r="529" spans="3:94">
      <c r="C529"/>
      <c r="D529"/>
      <c r="E529"/>
      <c r="F529"/>
      <c r="CP529" s="61"/>
    </row>
    <row r="530" spans="3:94">
      <c r="C530"/>
      <c r="D530"/>
      <c r="E530"/>
      <c r="F530"/>
      <c r="CP530" s="61"/>
    </row>
    <row r="531" spans="3:94">
      <c r="C531"/>
      <c r="D531"/>
      <c r="E531"/>
      <c r="F531"/>
      <c r="CP531" s="61"/>
    </row>
    <row r="532" spans="3:94">
      <c r="C532"/>
      <c r="D532"/>
      <c r="E532"/>
      <c r="F532"/>
      <c r="CP532" s="61"/>
    </row>
    <row r="533" spans="3:94">
      <c r="C533"/>
      <c r="D533"/>
      <c r="E533"/>
      <c r="F533"/>
      <c r="CP533" s="61"/>
    </row>
    <row r="534" spans="3:94">
      <c r="C534"/>
      <c r="D534"/>
      <c r="E534"/>
      <c r="F534"/>
      <c r="CP534" s="61"/>
    </row>
    <row r="535" spans="3:94">
      <c r="C535"/>
      <c r="D535"/>
      <c r="E535"/>
      <c r="F535"/>
      <c r="CP535" s="61"/>
    </row>
    <row r="536" spans="3:94">
      <c r="C536"/>
      <c r="D536"/>
      <c r="E536"/>
      <c r="F536"/>
      <c r="CP536" s="61"/>
    </row>
    <row r="537" spans="3:94">
      <c r="C537"/>
      <c r="D537"/>
      <c r="E537"/>
      <c r="F537"/>
      <c r="CP537" s="61"/>
    </row>
    <row r="538" spans="3:94">
      <c r="C538"/>
      <c r="D538"/>
      <c r="E538"/>
      <c r="F538"/>
      <c r="CP538" s="61"/>
    </row>
    <row r="539" spans="3:94">
      <c r="C539"/>
      <c r="D539"/>
      <c r="E539"/>
      <c r="F539"/>
      <c r="CP539" s="61"/>
    </row>
    <row r="540" spans="3:94">
      <c r="C540"/>
      <c r="D540"/>
      <c r="E540"/>
      <c r="F540"/>
      <c r="CP540" s="61"/>
    </row>
    <row r="541" spans="3:94">
      <c r="C541"/>
      <c r="D541"/>
      <c r="E541"/>
      <c r="F541"/>
      <c r="CP541" s="61"/>
    </row>
    <row r="542" spans="3:94">
      <c r="C542"/>
      <c r="D542"/>
      <c r="E542"/>
      <c r="F542"/>
      <c r="CP542" s="61"/>
    </row>
    <row r="543" spans="3:94">
      <c r="C543"/>
      <c r="D543"/>
      <c r="E543"/>
      <c r="F543"/>
      <c r="CP543" s="61"/>
    </row>
    <row r="544" spans="3:94">
      <c r="C544"/>
      <c r="D544"/>
      <c r="E544"/>
      <c r="F544"/>
      <c r="CP544" s="61"/>
    </row>
    <row r="545" spans="3:94">
      <c r="C545"/>
      <c r="D545"/>
      <c r="E545"/>
      <c r="F545"/>
      <c r="CP545" s="61"/>
    </row>
    <row r="546" spans="3:94">
      <c r="C546"/>
      <c r="D546"/>
      <c r="E546"/>
      <c r="F546"/>
      <c r="CP546" s="61"/>
    </row>
    <row r="547" spans="3:94">
      <c r="C547"/>
      <c r="D547"/>
      <c r="E547"/>
      <c r="F547"/>
      <c r="CP547" s="61"/>
    </row>
    <row r="548" spans="3:94">
      <c r="C548"/>
      <c r="D548"/>
      <c r="E548"/>
      <c r="F548"/>
      <c r="CP548" s="61"/>
    </row>
    <row r="549" spans="3:94">
      <c r="C549"/>
      <c r="D549"/>
      <c r="E549"/>
      <c r="F549"/>
      <c r="CP549" s="61"/>
    </row>
    <row r="550" spans="3:94">
      <c r="C550"/>
      <c r="D550"/>
      <c r="E550"/>
      <c r="F550"/>
      <c r="CP550" s="61"/>
    </row>
    <row r="551" spans="3:94">
      <c r="C551"/>
      <c r="D551"/>
      <c r="E551"/>
      <c r="F551"/>
      <c r="CP551" s="61"/>
    </row>
    <row r="552" spans="3:94">
      <c r="C552"/>
      <c r="D552"/>
      <c r="E552"/>
      <c r="F552"/>
      <c r="CP552" s="61"/>
    </row>
    <row r="553" spans="3:94">
      <c r="C553"/>
      <c r="D553"/>
      <c r="E553"/>
      <c r="F553"/>
      <c r="CP553" s="61"/>
    </row>
    <row r="554" spans="3:94">
      <c r="C554"/>
      <c r="D554"/>
      <c r="E554"/>
      <c r="F554"/>
      <c r="CP554" s="61"/>
    </row>
    <row r="555" spans="3:94">
      <c r="C555"/>
      <c r="D555"/>
      <c r="E555"/>
      <c r="F555"/>
      <c r="CP555" s="61"/>
    </row>
    <row r="556" spans="3:94">
      <c r="C556"/>
      <c r="D556"/>
      <c r="E556"/>
      <c r="F556"/>
      <c r="CP556" s="61"/>
    </row>
    <row r="557" spans="3:94">
      <c r="C557"/>
      <c r="D557"/>
      <c r="E557"/>
      <c r="F557"/>
      <c r="CP557" s="61"/>
    </row>
    <row r="558" spans="3:94">
      <c r="C558"/>
      <c r="D558"/>
      <c r="E558"/>
      <c r="F558"/>
      <c r="CP558" s="61"/>
    </row>
    <row r="559" spans="3:94">
      <c r="C559"/>
      <c r="D559"/>
      <c r="E559"/>
      <c r="F559"/>
      <c r="CP559" s="61"/>
    </row>
    <row r="560" spans="3:94">
      <c r="C560"/>
      <c r="D560"/>
      <c r="E560"/>
      <c r="F560"/>
      <c r="CP560" s="61"/>
    </row>
    <row r="561" spans="3:94">
      <c r="C561"/>
      <c r="D561"/>
      <c r="E561"/>
      <c r="F561"/>
      <c r="CP561" s="61"/>
    </row>
    <row r="562" spans="3:94">
      <c r="C562"/>
      <c r="D562"/>
      <c r="E562"/>
      <c r="F562"/>
      <c r="CP562" s="61"/>
    </row>
    <row r="563" spans="3:94">
      <c r="C563"/>
      <c r="D563"/>
      <c r="E563"/>
      <c r="F563"/>
      <c r="CP563" s="61"/>
    </row>
    <row r="564" spans="3:94">
      <c r="C564"/>
      <c r="D564"/>
      <c r="E564"/>
      <c r="F564"/>
      <c r="CP564" s="61"/>
    </row>
    <row r="565" spans="3:94">
      <c r="C565"/>
      <c r="D565"/>
      <c r="E565"/>
      <c r="F565"/>
      <c r="CP565" s="61"/>
    </row>
    <row r="566" spans="3:94">
      <c r="C566"/>
      <c r="D566"/>
      <c r="E566"/>
      <c r="F566"/>
      <c r="CP566" s="61"/>
    </row>
    <row r="567" spans="3:94">
      <c r="C567"/>
      <c r="D567"/>
      <c r="E567"/>
      <c r="F567"/>
      <c r="CP567" s="61"/>
    </row>
    <row r="568" spans="3:94">
      <c r="C568"/>
      <c r="D568"/>
      <c r="E568"/>
      <c r="F568"/>
      <c r="CP568" s="61"/>
    </row>
    <row r="569" spans="3:94">
      <c r="C569"/>
      <c r="D569"/>
      <c r="E569"/>
      <c r="F569"/>
      <c r="CP569" s="61"/>
    </row>
    <row r="570" spans="3:94">
      <c r="C570"/>
      <c r="D570"/>
      <c r="E570"/>
      <c r="F570"/>
      <c r="CP570" s="61"/>
    </row>
    <row r="571" spans="3:94">
      <c r="C571"/>
      <c r="D571"/>
      <c r="E571"/>
      <c r="F571"/>
      <c r="CP571" s="61"/>
    </row>
    <row r="572" spans="3:94">
      <c r="C572"/>
      <c r="D572"/>
      <c r="E572"/>
      <c r="F572"/>
      <c r="CP572" s="61"/>
    </row>
    <row r="573" spans="3:94">
      <c r="C573"/>
      <c r="D573"/>
      <c r="E573"/>
      <c r="F573"/>
      <c r="CP573" s="61"/>
    </row>
    <row r="574" spans="3:94">
      <c r="C574"/>
      <c r="D574"/>
      <c r="E574"/>
      <c r="F574"/>
      <c r="CP574" s="61"/>
    </row>
    <row r="575" spans="3:94">
      <c r="C575"/>
      <c r="D575"/>
      <c r="E575"/>
      <c r="F575"/>
      <c r="CP575" s="61"/>
    </row>
    <row r="576" spans="3:94">
      <c r="C576"/>
      <c r="D576"/>
      <c r="E576"/>
      <c r="F576"/>
      <c r="CP576" s="61"/>
    </row>
    <row r="577" spans="3:94">
      <c r="C577"/>
      <c r="D577"/>
      <c r="E577"/>
      <c r="F577"/>
      <c r="CP577" s="61"/>
    </row>
    <row r="578" spans="3:94">
      <c r="C578"/>
      <c r="D578"/>
      <c r="E578"/>
      <c r="F578"/>
      <c r="CP578" s="61"/>
    </row>
    <row r="579" spans="3:94">
      <c r="C579"/>
      <c r="D579"/>
      <c r="E579"/>
      <c r="F579"/>
      <c r="CP579" s="61"/>
    </row>
    <row r="580" spans="3:94">
      <c r="C580"/>
      <c r="D580"/>
      <c r="E580"/>
      <c r="F580"/>
      <c r="CP580" s="61"/>
    </row>
    <row r="581" spans="3:94">
      <c r="C581"/>
      <c r="D581"/>
      <c r="E581"/>
      <c r="F581"/>
      <c r="CP581" s="61"/>
    </row>
    <row r="582" spans="3:94">
      <c r="C582"/>
      <c r="D582"/>
      <c r="E582"/>
      <c r="F582"/>
      <c r="CP582" s="61"/>
    </row>
    <row r="583" spans="3:94">
      <c r="C583"/>
      <c r="D583"/>
      <c r="E583"/>
      <c r="F583"/>
      <c r="CP583" s="61"/>
    </row>
    <row r="584" spans="3:94">
      <c r="C584"/>
      <c r="D584"/>
      <c r="E584"/>
      <c r="F584"/>
      <c r="CP584" s="61"/>
    </row>
    <row r="585" spans="3:94">
      <c r="C585"/>
      <c r="D585"/>
      <c r="E585"/>
      <c r="F585"/>
      <c r="CP585" s="61"/>
    </row>
    <row r="586" spans="3:94">
      <c r="C586"/>
      <c r="D586"/>
      <c r="E586"/>
      <c r="F586"/>
      <c r="CP586" s="61"/>
    </row>
    <row r="587" spans="3:94">
      <c r="C587"/>
      <c r="D587"/>
      <c r="E587"/>
      <c r="F587"/>
      <c r="CP587" s="61"/>
    </row>
    <row r="588" spans="3:94">
      <c r="C588"/>
      <c r="D588"/>
      <c r="E588"/>
      <c r="F588"/>
      <c r="CP588" s="61"/>
    </row>
    <row r="589" spans="3:94">
      <c r="C589"/>
      <c r="D589"/>
      <c r="E589"/>
      <c r="F589"/>
      <c r="CP589" s="61"/>
    </row>
    <row r="590" spans="3:94">
      <c r="C590"/>
      <c r="D590"/>
      <c r="E590"/>
      <c r="F590"/>
      <c r="CP590" s="61"/>
    </row>
    <row r="591" spans="3:94">
      <c r="C591"/>
      <c r="D591"/>
      <c r="E591"/>
      <c r="F591"/>
      <c r="CP591" s="61"/>
    </row>
    <row r="592" spans="3:94">
      <c r="C592"/>
      <c r="D592"/>
      <c r="E592"/>
      <c r="F592"/>
      <c r="CP592" s="61"/>
    </row>
    <row r="593" spans="3:94">
      <c r="C593"/>
      <c r="D593"/>
      <c r="E593"/>
      <c r="F593"/>
      <c r="CP593" s="61"/>
    </row>
    <row r="594" spans="3:94">
      <c r="C594"/>
      <c r="D594"/>
      <c r="E594"/>
      <c r="F594"/>
      <c r="CP594" s="61"/>
    </row>
    <row r="595" spans="3:94">
      <c r="C595"/>
      <c r="D595"/>
      <c r="E595"/>
      <c r="F595"/>
      <c r="CP595" s="61"/>
    </row>
    <row r="596" spans="3:94">
      <c r="C596"/>
      <c r="D596"/>
      <c r="E596"/>
      <c r="F596"/>
      <c r="CP596" s="61"/>
    </row>
    <row r="597" spans="3:94">
      <c r="C597"/>
      <c r="D597"/>
      <c r="E597"/>
      <c r="F597"/>
      <c r="CP597" s="61"/>
    </row>
    <row r="598" spans="3:94">
      <c r="C598"/>
      <c r="D598"/>
      <c r="E598"/>
      <c r="F598"/>
      <c r="CP598" s="61"/>
    </row>
    <row r="599" spans="3:94">
      <c r="C599"/>
      <c r="D599"/>
      <c r="E599"/>
      <c r="F599"/>
      <c r="CP599" s="61"/>
    </row>
    <row r="600" spans="3:94">
      <c r="C600"/>
      <c r="D600"/>
      <c r="E600"/>
      <c r="F600"/>
      <c r="CP600" s="61"/>
    </row>
    <row r="601" spans="3:94">
      <c r="C601"/>
      <c r="D601"/>
      <c r="E601"/>
      <c r="F601"/>
      <c r="CP601" s="61"/>
    </row>
    <row r="602" spans="3:94">
      <c r="C602"/>
      <c r="D602"/>
      <c r="E602"/>
      <c r="F602"/>
      <c r="CP602" s="61"/>
    </row>
    <row r="603" spans="3:94">
      <c r="C603"/>
      <c r="D603"/>
      <c r="E603"/>
      <c r="F603"/>
      <c r="CP603" s="61"/>
    </row>
    <row r="604" spans="3:94">
      <c r="C604"/>
      <c r="D604"/>
      <c r="E604"/>
      <c r="F604"/>
      <c r="CP604" s="61"/>
    </row>
    <row r="605" spans="3:94">
      <c r="C605"/>
      <c r="D605"/>
      <c r="E605"/>
      <c r="F605"/>
      <c r="CP605" s="61"/>
    </row>
    <row r="606" spans="3:94">
      <c r="C606"/>
      <c r="D606"/>
      <c r="E606"/>
      <c r="F606"/>
      <c r="CP606" s="61"/>
    </row>
    <row r="607" spans="3:94">
      <c r="C607"/>
      <c r="D607"/>
      <c r="E607"/>
      <c r="F607"/>
      <c r="CP607" s="61"/>
    </row>
    <row r="608" spans="3:94">
      <c r="C608"/>
      <c r="D608"/>
      <c r="E608"/>
      <c r="F608"/>
      <c r="CP608" s="61"/>
    </row>
    <row r="609" spans="3:94">
      <c r="C609"/>
      <c r="D609"/>
      <c r="E609"/>
      <c r="F609"/>
      <c r="CP609" s="61"/>
    </row>
    <row r="610" spans="3:94">
      <c r="C610"/>
      <c r="D610"/>
      <c r="E610"/>
      <c r="F610"/>
      <c r="CP610" s="61"/>
    </row>
    <row r="611" spans="3:94">
      <c r="C611"/>
      <c r="D611"/>
      <c r="E611"/>
      <c r="F611"/>
      <c r="CP611" s="61"/>
    </row>
    <row r="612" spans="3:94">
      <c r="C612"/>
      <c r="D612"/>
      <c r="E612"/>
      <c r="F612"/>
      <c r="CP612" s="61"/>
    </row>
    <row r="613" spans="3:94">
      <c r="C613"/>
      <c r="D613"/>
      <c r="E613"/>
      <c r="F613"/>
      <c r="CP613" s="61"/>
    </row>
    <row r="614" spans="3:94">
      <c r="C614"/>
      <c r="D614"/>
      <c r="E614"/>
      <c r="F614"/>
      <c r="CP614" s="61"/>
    </row>
    <row r="615" spans="3:94">
      <c r="C615"/>
      <c r="D615"/>
      <c r="E615"/>
      <c r="F615"/>
      <c r="CP615" s="61"/>
    </row>
    <row r="616" spans="3:94">
      <c r="C616"/>
      <c r="D616"/>
      <c r="E616"/>
      <c r="F616"/>
      <c r="CP616" s="61"/>
    </row>
    <row r="617" spans="3:94">
      <c r="C617"/>
      <c r="D617"/>
      <c r="E617"/>
      <c r="F617"/>
      <c r="CP617" s="61"/>
    </row>
    <row r="618" spans="3:94">
      <c r="C618"/>
      <c r="D618"/>
      <c r="E618"/>
      <c r="F618"/>
      <c r="CP618" s="61"/>
    </row>
    <row r="619" spans="3:94">
      <c r="C619"/>
      <c r="D619"/>
      <c r="E619"/>
      <c r="F619"/>
      <c r="CP619" s="61"/>
    </row>
    <row r="620" spans="3:94">
      <c r="C620"/>
      <c r="D620"/>
      <c r="E620"/>
      <c r="F620"/>
      <c r="CP620" s="61"/>
    </row>
    <row r="621" spans="3:94">
      <c r="C621"/>
      <c r="D621"/>
      <c r="E621"/>
      <c r="F621"/>
      <c r="CP621" s="61"/>
    </row>
    <row r="622" spans="3:94">
      <c r="C622"/>
      <c r="D622"/>
      <c r="E622"/>
      <c r="F622"/>
      <c r="CP622" s="61"/>
    </row>
    <row r="623" spans="3:94">
      <c r="C623"/>
      <c r="D623"/>
      <c r="E623"/>
      <c r="F623"/>
      <c r="CP623" s="61"/>
    </row>
    <row r="624" spans="3:94">
      <c r="C624"/>
      <c r="D624"/>
      <c r="E624"/>
      <c r="F624"/>
      <c r="CP624" s="61"/>
    </row>
    <row r="625" spans="3:94">
      <c r="C625"/>
      <c r="D625"/>
      <c r="E625"/>
      <c r="F625"/>
      <c r="CP625" s="61"/>
    </row>
    <row r="626" spans="3:94">
      <c r="C626"/>
      <c r="D626"/>
      <c r="E626"/>
      <c r="F626"/>
      <c r="CP626" s="61"/>
    </row>
    <row r="627" spans="3:94">
      <c r="C627"/>
      <c r="D627"/>
      <c r="E627"/>
      <c r="F627"/>
      <c r="CP627" s="61"/>
    </row>
    <row r="628" spans="3:94">
      <c r="C628"/>
      <c r="D628"/>
      <c r="E628"/>
      <c r="F628"/>
      <c r="CP628" s="61"/>
    </row>
    <row r="629" spans="3:94">
      <c r="C629"/>
      <c r="D629"/>
      <c r="E629"/>
      <c r="F629"/>
      <c r="CP629" s="61"/>
    </row>
    <row r="630" spans="3:94">
      <c r="C630"/>
      <c r="D630"/>
      <c r="E630"/>
      <c r="F630"/>
      <c r="CP630" s="61"/>
    </row>
    <row r="631" spans="3:94">
      <c r="C631"/>
      <c r="D631"/>
      <c r="E631"/>
      <c r="F631"/>
      <c r="CP631" s="61"/>
    </row>
    <row r="632" spans="3:94">
      <c r="C632"/>
      <c r="D632"/>
      <c r="E632"/>
      <c r="F632"/>
      <c r="CP632" s="61"/>
    </row>
    <row r="633" spans="3:94">
      <c r="C633"/>
      <c r="D633"/>
      <c r="E633"/>
      <c r="F633"/>
      <c r="CP633" s="61"/>
    </row>
    <row r="634" spans="3:94">
      <c r="C634"/>
      <c r="D634"/>
      <c r="E634"/>
      <c r="F634"/>
      <c r="CP634" s="61"/>
    </row>
    <row r="635" spans="3:94">
      <c r="C635"/>
      <c r="D635"/>
      <c r="E635"/>
      <c r="F635"/>
      <c r="CP635" s="61"/>
    </row>
    <row r="636" spans="3:94">
      <c r="C636"/>
      <c r="D636"/>
      <c r="E636"/>
      <c r="F636"/>
      <c r="CP636" s="61"/>
    </row>
    <row r="637" spans="3:94">
      <c r="C637"/>
      <c r="D637"/>
      <c r="E637"/>
      <c r="F637"/>
      <c r="CP637" s="61"/>
    </row>
    <row r="638" spans="3:94">
      <c r="C638"/>
      <c r="D638"/>
      <c r="E638"/>
      <c r="F638"/>
      <c r="CP638" s="61"/>
    </row>
    <row r="639" spans="3:94">
      <c r="C639"/>
      <c r="D639"/>
      <c r="E639"/>
      <c r="F639"/>
      <c r="CP639" s="61"/>
    </row>
    <row r="640" spans="3:94">
      <c r="C640"/>
      <c r="D640"/>
      <c r="E640"/>
      <c r="F640"/>
      <c r="CP640" s="61"/>
    </row>
    <row r="641" spans="3:94">
      <c r="C641"/>
      <c r="D641"/>
      <c r="E641"/>
      <c r="F641"/>
      <c r="CP641" s="61"/>
    </row>
    <row r="642" spans="3:94">
      <c r="C642"/>
      <c r="D642"/>
      <c r="E642"/>
      <c r="F642"/>
      <c r="CP642" s="61"/>
    </row>
    <row r="643" spans="3:94">
      <c r="C643"/>
      <c r="D643"/>
      <c r="E643"/>
      <c r="F643"/>
      <c r="CP643" s="61"/>
    </row>
    <row r="644" spans="3:94">
      <c r="C644"/>
      <c r="D644"/>
      <c r="E644"/>
      <c r="F644"/>
      <c r="CP644" s="61"/>
    </row>
    <row r="645" spans="3:94">
      <c r="C645"/>
      <c r="D645"/>
      <c r="E645"/>
      <c r="F645"/>
      <c r="CP645" s="61"/>
    </row>
    <row r="646" spans="3:94">
      <c r="C646"/>
      <c r="D646"/>
      <c r="E646"/>
      <c r="F646"/>
      <c r="CP646" s="61"/>
    </row>
    <row r="647" spans="3:94">
      <c r="C647"/>
      <c r="D647"/>
      <c r="E647"/>
      <c r="F647"/>
      <c r="CP647" s="61"/>
    </row>
    <row r="648" spans="3:94">
      <c r="C648"/>
      <c r="D648"/>
      <c r="E648"/>
      <c r="F648"/>
      <c r="CP648" s="61"/>
    </row>
    <row r="649" spans="3:94">
      <c r="C649"/>
      <c r="D649"/>
      <c r="E649"/>
      <c r="F649"/>
      <c r="CP649" s="61"/>
    </row>
    <row r="650" spans="3:94">
      <c r="C650"/>
      <c r="D650"/>
      <c r="E650"/>
      <c r="F650"/>
      <c r="CP650" s="61"/>
    </row>
    <row r="651" spans="3:94">
      <c r="C651"/>
      <c r="D651"/>
      <c r="E651"/>
      <c r="F651"/>
      <c r="CP651" s="61"/>
    </row>
    <row r="652" spans="3:94">
      <c r="C652"/>
      <c r="D652"/>
      <c r="E652"/>
      <c r="F652"/>
      <c r="CP652" s="61"/>
    </row>
    <row r="653" spans="3:94">
      <c r="C653"/>
      <c r="D653"/>
      <c r="E653"/>
      <c r="F653"/>
      <c r="CP653" s="61"/>
    </row>
    <row r="654" spans="3:94">
      <c r="C654"/>
      <c r="D654"/>
      <c r="E654"/>
      <c r="F654"/>
      <c r="CP654" s="61"/>
    </row>
    <row r="655" spans="3:94">
      <c r="C655"/>
      <c r="D655"/>
      <c r="E655"/>
      <c r="F655"/>
      <c r="CP655" s="61"/>
    </row>
    <row r="656" spans="3:94">
      <c r="C656"/>
      <c r="D656"/>
      <c r="E656"/>
      <c r="F656"/>
      <c r="CP656" s="61"/>
    </row>
    <row r="657" spans="3:94">
      <c r="C657"/>
      <c r="D657"/>
      <c r="E657"/>
      <c r="F657"/>
      <c r="CP657" s="61"/>
    </row>
    <row r="658" spans="3:94">
      <c r="C658"/>
      <c r="D658"/>
      <c r="E658"/>
      <c r="F658"/>
      <c r="CP658" s="61"/>
    </row>
    <row r="659" spans="3:94">
      <c r="C659"/>
      <c r="D659"/>
      <c r="E659"/>
      <c r="F659"/>
      <c r="CP659" s="61"/>
    </row>
    <row r="660" spans="3:94">
      <c r="C660"/>
      <c r="D660"/>
      <c r="E660"/>
      <c r="F660"/>
      <c r="CP660" s="61"/>
    </row>
    <row r="661" spans="3:94">
      <c r="C661"/>
      <c r="D661"/>
      <c r="E661"/>
      <c r="F661"/>
      <c r="CP661" s="61"/>
    </row>
    <row r="662" spans="3:94">
      <c r="C662"/>
      <c r="D662"/>
      <c r="E662"/>
      <c r="F662"/>
      <c r="CP662" s="61"/>
    </row>
    <row r="663" spans="3:94">
      <c r="C663"/>
      <c r="D663"/>
      <c r="E663"/>
      <c r="F663"/>
      <c r="CP663" s="61"/>
    </row>
    <row r="664" spans="3:94">
      <c r="C664"/>
      <c r="D664"/>
      <c r="E664"/>
      <c r="F664"/>
      <c r="CP664" s="61"/>
    </row>
    <row r="665" spans="3:94">
      <c r="C665"/>
      <c r="D665"/>
      <c r="E665"/>
      <c r="F665"/>
      <c r="CP665" s="61"/>
    </row>
    <row r="666" spans="3:94">
      <c r="C666"/>
      <c r="D666"/>
      <c r="E666"/>
      <c r="F666"/>
      <c r="CP666" s="61"/>
    </row>
    <row r="667" spans="3:94">
      <c r="C667"/>
      <c r="D667"/>
      <c r="E667"/>
      <c r="F667"/>
      <c r="CP667" s="61"/>
    </row>
    <row r="668" spans="3:94">
      <c r="C668"/>
      <c r="D668"/>
      <c r="E668"/>
      <c r="F668"/>
      <c r="CP668" s="61"/>
    </row>
    <row r="669" spans="3:94">
      <c r="C669"/>
      <c r="D669"/>
      <c r="E669"/>
      <c r="F669"/>
      <c r="CP669" s="61"/>
    </row>
    <row r="670" spans="3:94">
      <c r="C670"/>
      <c r="D670"/>
      <c r="E670"/>
      <c r="F670"/>
      <c r="CP670" s="61"/>
    </row>
    <row r="671" spans="3:94">
      <c r="C671"/>
      <c r="D671"/>
      <c r="E671"/>
      <c r="F671"/>
      <c r="CP671" s="61"/>
    </row>
    <row r="672" spans="3:94">
      <c r="C672"/>
      <c r="D672"/>
      <c r="E672"/>
      <c r="F672"/>
      <c r="CP672" s="61"/>
    </row>
    <row r="673" spans="3:94">
      <c r="C673"/>
      <c r="D673"/>
      <c r="E673"/>
      <c r="F673"/>
      <c r="CP673" s="61"/>
    </row>
    <row r="674" spans="3:94">
      <c r="C674"/>
      <c r="D674"/>
      <c r="E674"/>
      <c r="F674"/>
      <c r="CP674" s="61"/>
    </row>
    <row r="675" spans="3:94">
      <c r="C675"/>
      <c r="D675"/>
      <c r="E675"/>
      <c r="F675"/>
      <c r="CP675" s="61"/>
    </row>
    <row r="676" spans="3:94">
      <c r="C676"/>
      <c r="D676"/>
      <c r="E676"/>
      <c r="F676"/>
      <c r="CP676" s="61"/>
    </row>
    <row r="677" spans="3:94">
      <c r="C677"/>
      <c r="D677"/>
      <c r="E677"/>
      <c r="F677"/>
      <c r="CP677" s="61"/>
    </row>
    <row r="678" spans="3:94">
      <c r="C678"/>
      <c r="D678"/>
      <c r="E678"/>
      <c r="F678"/>
      <c r="CP678" s="61"/>
    </row>
    <row r="679" spans="3:94">
      <c r="C679"/>
      <c r="D679"/>
      <c r="E679"/>
      <c r="F679"/>
      <c r="CP679" s="61"/>
    </row>
    <row r="680" spans="3:94">
      <c r="C680"/>
      <c r="D680"/>
      <c r="E680"/>
      <c r="F680"/>
      <c r="CP680" s="61"/>
    </row>
    <row r="681" spans="3:94">
      <c r="C681"/>
      <c r="D681"/>
      <c r="E681"/>
      <c r="F681"/>
      <c r="CP681" s="61"/>
    </row>
    <row r="682" spans="3:94">
      <c r="C682"/>
      <c r="D682"/>
      <c r="E682"/>
      <c r="F682"/>
      <c r="CP682" s="61"/>
    </row>
    <row r="683" spans="3:94">
      <c r="C683"/>
      <c r="D683"/>
      <c r="E683"/>
      <c r="F683"/>
      <c r="CP683" s="61"/>
    </row>
    <row r="684" spans="3:94">
      <c r="C684"/>
      <c r="D684"/>
      <c r="E684"/>
      <c r="F684"/>
      <c r="CP684" s="61"/>
    </row>
    <row r="685" spans="3:94">
      <c r="C685"/>
      <c r="D685"/>
      <c r="E685"/>
      <c r="F685"/>
      <c r="CP685" s="61"/>
    </row>
    <row r="686" spans="3:94">
      <c r="C686"/>
      <c r="D686"/>
      <c r="E686"/>
      <c r="F686"/>
      <c r="CP686" s="61"/>
    </row>
    <row r="687" spans="3:94">
      <c r="C687"/>
      <c r="D687"/>
      <c r="E687"/>
      <c r="F687"/>
      <c r="CP687" s="61"/>
    </row>
    <row r="688" spans="3:94">
      <c r="C688"/>
      <c r="D688"/>
      <c r="E688"/>
      <c r="F688"/>
      <c r="CP688" s="61"/>
    </row>
    <row r="689" spans="3:94">
      <c r="C689"/>
      <c r="D689"/>
      <c r="E689"/>
      <c r="F689"/>
      <c r="CP689" s="61"/>
    </row>
    <row r="690" spans="3:94">
      <c r="C690"/>
      <c r="D690"/>
      <c r="E690"/>
      <c r="F690"/>
      <c r="CP690" s="61"/>
    </row>
    <row r="691" spans="3:94">
      <c r="C691"/>
      <c r="D691"/>
      <c r="E691"/>
      <c r="F691"/>
      <c r="CP691" s="61"/>
    </row>
    <row r="692" spans="3:94">
      <c r="C692"/>
      <c r="D692"/>
      <c r="E692"/>
      <c r="F692"/>
      <c r="CP692" s="61"/>
    </row>
    <row r="693" spans="3:94">
      <c r="C693"/>
      <c r="D693"/>
      <c r="E693"/>
      <c r="F693"/>
      <c r="CP693" s="61"/>
    </row>
    <row r="694" spans="3:94">
      <c r="C694"/>
      <c r="D694"/>
      <c r="E694"/>
      <c r="F694"/>
      <c r="CP694" s="61"/>
    </row>
    <row r="695" spans="3:94">
      <c r="C695"/>
      <c r="D695"/>
      <c r="E695"/>
      <c r="F695"/>
      <c r="CP695" s="61"/>
    </row>
    <row r="696" spans="3:94">
      <c r="C696"/>
      <c r="D696"/>
      <c r="E696"/>
      <c r="F696"/>
      <c r="CP696" s="61"/>
    </row>
    <row r="697" spans="3:94">
      <c r="C697"/>
      <c r="D697"/>
      <c r="E697"/>
      <c r="F697"/>
      <c r="CP697" s="61"/>
    </row>
    <row r="698" spans="3:94">
      <c r="C698"/>
      <c r="D698"/>
      <c r="E698"/>
      <c r="F698"/>
      <c r="CP698" s="61"/>
    </row>
    <row r="699" spans="3:94">
      <c r="C699"/>
      <c r="D699"/>
      <c r="E699"/>
      <c r="F699"/>
      <c r="CP699" s="61"/>
    </row>
    <row r="700" spans="3:94">
      <c r="C700"/>
      <c r="D700"/>
      <c r="E700"/>
      <c r="F700"/>
      <c r="CP700" s="61"/>
    </row>
    <row r="701" spans="3:94">
      <c r="C701"/>
      <c r="D701"/>
      <c r="E701"/>
      <c r="F701"/>
      <c r="CP701" s="61"/>
    </row>
    <row r="702" spans="3:94">
      <c r="C702"/>
      <c r="D702"/>
      <c r="E702"/>
      <c r="F702"/>
      <c r="CP702" s="61"/>
    </row>
    <row r="703" spans="3:94">
      <c r="C703"/>
      <c r="D703"/>
      <c r="E703"/>
      <c r="F703"/>
      <c r="CP703" s="61"/>
    </row>
    <row r="704" spans="3:94">
      <c r="C704"/>
      <c r="D704"/>
      <c r="E704"/>
      <c r="F704"/>
      <c r="CP704" s="61"/>
    </row>
    <row r="705" spans="3:94">
      <c r="C705"/>
      <c r="D705"/>
      <c r="E705"/>
      <c r="F705"/>
      <c r="CP705" s="61"/>
    </row>
    <row r="706" spans="3:94">
      <c r="C706"/>
      <c r="D706"/>
      <c r="E706"/>
      <c r="F706"/>
      <c r="CP706" s="61"/>
    </row>
    <row r="707" spans="3:94">
      <c r="C707"/>
      <c r="D707"/>
      <c r="E707"/>
      <c r="F707"/>
      <c r="CP707" s="61"/>
    </row>
    <row r="708" spans="3:94">
      <c r="C708"/>
      <c r="D708"/>
      <c r="E708"/>
      <c r="F708"/>
      <c r="CP708" s="61"/>
    </row>
    <row r="709" spans="3:94">
      <c r="C709"/>
      <c r="D709"/>
      <c r="E709"/>
      <c r="F709"/>
      <c r="CP709" s="61"/>
    </row>
    <row r="710" spans="3:94">
      <c r="C710"/>
      <c r="D710"/>
      <c r="E710"/>
      <c r="F710"/>
      <c r="CP710" s="61"/>
    </row>
    <row r="711" spans="3:94">
      <c r="C711"/>
      <c r="D711"/>
      <c r="E711"/>
      <c r="F711"/>
      <c r="CP711" s="61"/>
    </row>
    <row r="712" spans="3:94">
      <c r="C712"/>
      <c r="D712"/>
      <c r="E712"/>
      <c r="F712"/>
      <c r="CP712" s="61"/>
    </row>
    <row r="713" spans="3:94">
      <c r="C713"/>
      <c r="D713"/>
      <c r="E713"/>
      <c r="F713"/>
      <c r="CP713" s="61"/>
    </row>
    <row r="714" spans="3:94">
      <c r="C714"/>
      <c r="D714"/>
      <c r="E714"/>
      <c r="F714"/>
      <c r="CP714" s="61"/>
    </row>
    <row r="715" spans="3:94">
      <c r="C715"/>
      <c r="D715"/>
      <c r="E715"/>
      <c r="F715"/>
      <c r="CP715" s="61"/>
    </row>
    <row r="716" spans="3:94">
      <c r="C716"/>
      <c r="D716"/>
      <c r="E716"/>
      <c r="F716"/>
      <c r="CP716" s="61"/>
    </row>
    <row r="717" spans="3:94">
      <c r="C717"/>
      <c r="D717"/>
      <c r="E717"/>
      <c r="F717"/>
      <c r="CP717" s="61"/>
    </row>
    <row r="718" spans="3:94">
      <c r="C718"/>
      <c r="D718"/>
      <c r="E718"/>
      <c r="F718"/>
      <c r="CP718" s="61"/>
    </row>
    <row r="719" spans="3:94">
      <c r="C719"/>
      <c r="D719"/>
      <c r="E719"/>
      <c r="F719"/>
      <c r="CP719" s="61"/>
    </row>
    <row r="720" spans="3:94">
      <c r="C720"/>
      <c r="D720"/>
      <c r="E720"/>
      <c r="F720"/>
      <c r="CP720" s="61"/>
    </row>
    <row r="721" spans="3:94">
      <c r="C721"/>
      <c r="D721"/>
      <c r="E721"/>
      <c r="F721"/>
      <c r="CP721" s="61"/>
    </row>
    <row r="722" spans="3:94">
      <c r="C722"/>
      <c r="D722"/>
      <c r="E722"/>
      <c r="F722"/>
      <c r="CP722" s="61"/>
    </row>
    <row r="723" spans="3:94">
      <c r="C723"/>
      <c r="D723"/>
      <c r="E723"/>
      <c r="F723"/>
      <c r="CP723" s="61"/>
    </row>
    <row r="724" spans="3:94">
      <c r="C724"/>
      <c r="D724"/>
      <c r="E724"/>
      <c r="F724"/>
      <c r="CP724" s="61"/>
    </row>
    <row r="725" spans="3:94">
      <c r="C725"/>
      <c r="D725"/>
      <c r="E725"/>
      <c r="F725"/>
      <c r="CP725" s="61"/>
    </row>
    <row r="726" spans="3:94">
      <c r="C726"/>
      <c r="D726"/>
      <c r="E726"/>
      <c r="F726"/>
      <c r="CP726" s="61"/>
    </row>
    <row r="727" spans="3:94">
      <c r="C727"/>
      <c r="D727"/>
      <c r="E727"/>
      <c r="F727"/>
      <c r="CP727" s="61"/>
    </row>
    <row r="728" spans="3:94">
      <c r="C728"/>
      <c r="D728"/>
      <c r="E728"/>
      <c r="F728"/>
      <c r="CP728" s="61"/>
    </row>
    <row r="729" spans="3:94">
      <c r="C729"/>
      <c r="D729"/>
      <c r="E729"/>
      <c r="F729"/>
      <c r="CP729" s="61"/>
    </row>
    <row r="730" spans="3:94">
      <c r="C730"/>
      <c r="D730"/>
      <c r="E730"/>
      <c r="F730"/>
      <c r="CP730" s="61"/>
    </row>
    <row r="731" spans="3:94">
      <c r="C731"/>
      <c r="D731"/>
      <c r="E731"/>
      <c r="F731"/>
      <c r="CP731" s="61"/>
    </row>
    <row r="732" spans="3:94">
      <c r="C732"/>
      <c r="D732"/>
      <c r="E732"/>
      <c r="F732"/>
      <c r="CP732" s="61"/>
    </row>
    <row r="733" spans="3:94">
      <c r="C733"/>
      <c r="D733"/>
      <c r="E733"/>
      <c r="F733"/>
      <c r="CP733" s="61"/>
    </row>
    <row r="734" spans="3:94">
      <c r="C734"/>
      <c r="D734"/>
      <c r="E734"/>
      <c r="F734"/>
      <c r="CP734" s="61"/>
    </row>
    <row r="735" spans="3:94">
      <c r="C735"/>
      <c r="D735"/>
      <c r="E735"/>
      <c r="F735"/>
      <c r="CP735" s="61"/>
    </row>
    <row r="736" spans="3:94">
      <c r="C736"/>
      <c r="D736"/>
      <c r="E736"/>
      <c r="F736"/>
      <c r="CP736" s="61"/>
    </row>
    <row r="737" spans="3:94">
      <c r="C737"/>
      <c r="D737"/>
      <c r="E737"/>
      <c r="F737"/>
      <c r="CP737" s="61"/>
    </row>
    <row r="738" spans="3:94">
      <c r="C738"/>
      <c r="D738"/>
      <c r="E738"/>
      <c r="F738"/>
      <c r="CP738" s="61"/>
    </row>
    <row r="739" spans="3:94">
      <c r="C739"/>
      <c r="D739"/>
      <c r="E739"/>
      <c r="F739"/>
      <c r="CP739" s="61"/>
    </row>
    <row r="740" spans="3:94">
      <c r="C740"/>
      <c r="D740"/>
      <c r="E740"/>
      <c r="F740"/>
      <c r="CP740" s="61"/>
    </row>
    <row r="741" spans="3:94">
      <c r="C741"/>
      <c r="D741"/>
      <c r="E741"/>
      <c r="F741"/>
      <c r="CP741" s="61"/>
    </row>
    <row r="742" spans="3:94">
      <c r="C742"/>
      <c r="D742"/>
      <c r="E742"/>
      <c r="F742"/>
      <c r="CP742" s="61"/>
    </row>
    <row r="743" spans="3:94">
      <c r="C743"/>
      <c r="D743"/>
      <c r="E743"/>
      <c r="F743"/>
      <c r="CP743" s="61"/>
    </row>
    <row r="744" spans="3:94">
      <c r="C744"/>
      <c r="D744"/>
      <c r="E744"/>
      <c r="F744"/>
      <c r="CP744" s="61"/>
    </row>
    <row r="745" spans="3:94">
      <c r="C745"/>
      <c r="D745"/>
      <c r="E745"/>
      <c r="F745"/>
      <c r="CP745" s="61"/>
    </row>
    <row r="746" spans="3:94">
      <c r="C746"/>
      <c r="D746"/>
      <c r="E746"/>
      <c r="F746"/>
      <c r="CP746" s="61"/>
    </row>
    <row r="747" spans="3:94">
      <c r="C747"/>
      <c r="D747"/>
      <c r="E747"/>
      <c r="F747"/>
      <c r="CP747" s="61"/>
    </row>
    <row r="748" spans="3:94">
      <c r="C748"/>
      <c r="D748"/>
      <c r="E748"/>
      <c r="F748"/>
      <c r="CP748" s="61"/>
    </row>
    <row r="749" spans="3:94">
      <c r="C749"/>
      <c r="D749"/>
      <c r="E749"/>
      <c r="F749"/>
      <c r="CP749" s="61"/>
    </row>
    <row r="750" spans="3:94">
      <c r="C750"/>
      <c r="D750"/>
      <c r="E750"/>
      <c r="F750"/>
      <c r="CP750" s="61"/>
    </row>
    <row r="751" spans="3:94">
      <c r="C751"/>
      <c r="D751"/>
      <c r="E751"/>
      <c r="F751"/>
      <c r="CP751" s="61"/>
    </row>
    <row r="752" spans="3:94">
      <c r="C752"/>
      <c r="D752"/>
      <c r="E752"/>
      <c r="F752"/>
      <c r="CP752" s="61"/>
    </row>
    <row r="753" spans="3:94">
      <c r="C753"/>
      <c r="D753"/>
      <c r="E753"/>
      <c r="F753"/>
      <c r="CP753" s="61"/>
    </row>
    <row r="754" spans="3:94">
      <c r="C754"/>
      <c r="D754"/>
      <c r="E754"/>
      <c r="F754"/>
      <c r="CP754" s="61"/>
    </row>
    <row r="755" spans="3:94">
      <c r="C755"/>
      <c r="D755"/>
      <c r="E755"/>
      <c r="F755"/>
      <c r="CP755" s="61"/>
    </row>
    <row r="756" spans="3:94">
      <c r="C756"/>
      <c r="D756"/>
      <c r="E756"/>
      <c r="F756"/>
      <c r="CP756" s="61"/>
    </row>
    <row r="757" spans="3:94">
      <c r="C757"/>
      <c r="D757"/>
      <c r="E757"/>
      <c r="F757"/>
      <c r="CP757" s="61"/>
    </row>
    <row r="758" spans="3:94">
      <c r="C758"/>
      <c r="D758"/>
      <c r="E758"/>
      <c r="F758"/>
      <c r="CP758" s="61"/>
    </row>
    <row r="759" spans="3:94">
      <c r="C759"/>
      <c r="D759"/>
      <c r="E759"/>
      <c r="F759"/>
      <c r="CP759" s="61"/>
    </row>
    <row r="760" spans="3:94">
      <c r="C760"/>
      <c r="D760"/>
      <c r="E760"/>
      <c r="F760"/>
      <c r="CP760" s="61"/>
    </row>
    <row r="761" spans="3:94">
      <c r="C761"/>
      <c r="D761"/>
      <c r="E761"/>
      <c r="F761"/>
      <c r="CP761" s="61"/>
    </row>
    <row r="762" spans="3:94">
      <c r="C762"/>
      <c r="D762"/>
      <c r="E762"/>
      <c r="F762"/>
      <c r="CP762" s="61"/>
    </row>
    <row r="763" spans="3:94">
      <c r="C763"/>
      <c r="D763"/>
      <c r="E763"/>
      <c r="F763"/>
      <c r="CP763" s="61"/>
    </row>
    <row r="764" spans="3:94">
      <c r="C764"/>
      <c r="D764"/>
      <c r="E764"/>
      <c r="F764"/>
      <c r="CP764" s="61"/>
    </row>
    <row r="765" spans="3:94">
      <c r="C765"/>
      <c r="D765"/>
      <c r="E765"/>
      <c r="F765"/>
      <c r="CP765" s="61"/>
    </row>
    <row r="766" spans="3:94">
      <c r="C766"/>
      <c r="D766"/>
      <c r="E766"/>
      <c r="F766"/>
      <c r="CP766" s="61"/>
    </row>
    <row r="767" spans="3:94">
      <c r="C767"/>
      <c r="D767"/>
      <c r="E767"/>
      <c r="F767"/>
      <c r="CP767" s="61"/>
    </row>
    <row r="768" spans="3:94">
      <c r="C768"/>
      <c r="D768"/>
      <c r="E768"/>
      <c r="F768"/>
      <c r="CP768" s="61"/>
    </row>
    <row r="769" spans="3:94">
      <c r="C769"/>
      <c r="D769"/>
      <c r="E769"/>
      <c r="F769"/>
      <c r="CP769" s="61"/>
    </row>
    <row r="770" spans="3:94">
      <c r="C770"/>
      <c r="D770"/>
      <c r="E770"/>
      <c r="F770"/>
      <c r="CP770" s="61"/>
    </row>
    <row r="771" spans="3:94">
      <c r="C771"/>
      <c r="D771"/>
      <c r="E771"/>
      <c r="F771"/>
      <c r="CP771" s="61"/>
    </row>
    <row r="772" spans="3:94">
      <c r="C772"/>
      <c r="D772"/>
      <c r="E772"/>
      <c r="F772"/>
      <c r="CP772" s="61"/>
    </row>
    <row r="773" spans="3:94">
      <c r="C773"/>
      <c r="D773"/>
      <c r="E773"/>
      <c r="F773"/>
      <c r="CP773" s="61"/>
    </row>
    <row r="774" spans="3:94">
      <c r="C774"/>
      <c r="D774"/>
      <c r="E774"/>
      <c r="F774"/>
      <c r="CP774" s="61"/>
    </row>
    <row r="775" spans="3:94">
      <c r="C775"/>
      <c r="D775"/>
      <c r="E775"/>
      <c r="F775"/>
      <c r="CP775" s="61"/>
    </row>
    <row r="776" spans="3:94">
      <c r="C776"/>
      <c r="D776"/>
      <c r="E776"/>
      <c r="F776"/>
      <c r="CP776" s="61"/>
    </row>
    <row r="777" spans="3:94">
      <c r="C777"/>
      <c r="D777"/>
      <c r="E777"/>
      <c r="F777"/>
      <c r="CP777" s="61"/>
    </row>
    <row r="778" spans="3:94">
      <c r="C778"/>
      <c r="D778"/>
      <c r="E778"/>
      <c r="F778"/>
      <c r="CP778" s="61"/>
    </row>
    <row r="779" spans="3:94">
      <c r="C779"/>
      <c r="D779"/>
      <c r="E779"/>
      <c r="F779"/>
      <c r="CP779" s="61"/>
    </row>
    <row r="780" spans="3:94">
      <c r="C780"/>
      <c r="D780"/>
      <c r="E780"/>
      <c r="F780"/>
      <c r="CP780" s="61"/>
    </row>
    <row r="781" spans="3:94">
      <c r="C781"/>
      <c r="D781"/>
      <c r="E781"/>
      <c r="F781"/>
      <c r="CP781" s="61"/>
    </row>
    <row r="782" spans="3:94">
      <c r="C782"/>
      <c r="D782"/>
      <c r="E782"/>
      <c r="F782"/>
      <c r="CP782" s="61"/>
    </row>
    <row r="783" spans="3:94">
      <c r="C783"/>
      <c r="D783"/>
      <c r="E783"/>
      <c r="F783"/>
      <c r="CP783" s="61"/>
    </row>
    <row r="784" spans="3:94">
      <c r="C784"/>
      <c r="D784"/>
      <c r="E784"/>
      <c r="F784"/>
      <c r="CP784" s="61"/>
    </row>
    <row r="785" spans="3:94">
      <c r="C785"/>
      <c r="D785"/>
      <c r="E785"/>
      <c r="F785"/>
      <c r="CP785" s="61"/>
    </row>
    <row r="786" spans="3:94">
      <c r="C786"/>
      <c r="D786"/>
      <c r="E786"/>
      <c r="F786"/>
      <c r="CP786" s="61"/>
    </row>
    <row r="787" spans="3:94">
      <c r="C787"/>
      <c r="D787"/>
      <c r="E787"/>
      <c r="F787"/>
      <c r="CP787" s="61"/>
    </row>
    <row r="788" spans="3:94">
      <c r="C788"/>
      <c r="D788"/>
      <c r="E788"/>
      <c r="F788"/>
      <c r="CP788" s="61"/>
    </row>
    <row r="789" spans="3:94">
      <c r="C789"/>
      <c r="D789"/>
      <c r="E789"/>
      <c r="F789"/>
      <c r="CP789" s="61"/>
    </row>
    <row r="790" spans="3:94">
      <c r="C790"/>
      <c r="D790"/>
      <c r="E790"/>
      <c r="F790"/>
      <c r="CP790" s="61"/>
    </row>
    <row r="791" spans="3:94">
      <c r="C791"/>
      <c r="D791"/>
      <c r="E791"/>
      <c r="F791"/>
      <c r="CP791" s="61"/>
    </row>
    <row r="792" spans="3:94">
      <c r="C792"/>
      <c r="D792"/>
      <c r="E792"/>
      <c r="F792"/>
      <c r="CP792" s="61"/>
    </row>
    <row r="793" spans="3:94">
      <c r="C793"/>
      <c r="D793"/>
      <c r="E793"/>
      <c r="F793"/>
      <c r="CP793" s="61"/>
    </row>
    <row r="794" spans="3:94">
      <c r="C794"/>
      <c r="D794"/>
      <c r="E794"/>
      <c r="F794"/>
      <c r="CP794" s="61"/>
    </row>
    <row r="795" spans="3:94">
      <c r="C795"/>
      <c r="D795"/>
      <c r="E795"/>
      <c r="F795"/>
      <c r="CP795" s="61"/>
    </row>
    <row r="796" spans="3:94">
      <c r="C796"/>
      <c r="D796"/>
      <c r="E796"/>
      <c r="F796"/>
      <c r="CP796" s="61"/>
    </row>
    <row r="797" spans="3:94">
      <c r="C797"/>
      <c r="D797"/>
      <c r="E797"/>
      <c r="F797"/>
      <c r="CP797" s="61"/>
    </row>
    <row r="798" spans="3:94">
      <c r="C798"/>
      <c r="D798"/>
      <c r="E798"/>
      <c r="F798"/>
      <c r="CP798" s="61"/>
    </row>
    <row r="799" spans="3:94">
      <c r="C799"/>
      <c r="D799"/>
      <c r="E799"/>
      <c r="F799"/>
      <c r="CP799" s="61"/>
    </row>
    <row r="800" spans="3:94">
      <c r="C800"/>
      <c r="D800"/>
      <c r="E800"/>
      <c r="F800"/>
      <c r="CP800" s="61"/>
    </row>
    <row r="801" spans="3:94">
      <c r="C801"/>
      <c r="D801"/>
      <c r="E801"/>
      <c r="F801"/>
      <c r="CP801" s="61"/>
    </row>
    <row r="802" spans="3:94">
      <c r="C802"/>
      <c r="D802"/>
      <c r="E802"/>
      <c r="F802"/>
      <c r="CP802" s="61"/>
    </row>
    <row r="803" spans="3:94">
      <c r="C803"/>
      <c r="D803"/>
      <c r="E803"/>
      <c r="F803"/>
      <c r="CP803" s="61"/>
    </row>
    <row r="804" spans="3:94">
      <c r="C804"/>
      <c r="D804"/>
      <c r="E804"/>
      <c r="F804"/>
      <c r="CP804" s="61"/>
    </row>
    <row r="805" spans="3:94">
      <c r="C805"/>
      <c r="D805"/>
      <c r="E805"/>
      <c r="F805"/>
      <c r="CP805" s="61"/>
    </row>
    <row r="806" spans="3:94">
      <c r="C806"/>
      <c r="D806"/>
      <c r="E806"/>
      <c r="F806"/>
      <c r="CP806" s="61"/>
    </row>
    <row r="807" spans="3:94">
      <c r="C807"/>
      <c r="D807"/>
      <c r="E807"/>
      <c r="F807"/>
      <c r="CP807" s="61"/>
    </row>
    <row r="808" spans="3:94">
      <c r="C808"/>
      <c r="D808"/>
      <c r="E808"/>
      <c r="F808"/>
      <c r="CP808" s="61"/>
    </row>
    <row r="809" spans="3:94">
      <c r="C809"/>
      <c r="D809"/>
      <c r="E809"/>
      <c r="F809"/>
      <c r="CP809" s="61"/>
    </row>
    <row r="810" spans="3:94">
      <c r="C810"/>
      <c r="D810"/>
      <c r="E810"/>
      <c r="F810"/>
      <c r="CP810" s="61"/>
    </row>
    <row r="811" spans="3:94">
      <c r="C811"/>
      <c r="D811"/>
      <c r="E811"/>
      <c r="F811"/>
      <c r="CP811" s="61"/>
    </row>
    <row r="812" spans="3:94">
      <c r="C812"/>
      <c r="D812"/>
      <c r="E812"/>
      <c r="F812"/>
      <c r="CP812" s="61"/>
    </row>
    <row r="813" spans="3:94">
      <c r="C813"/>
      <c r="D813"/>
      <c r="E813"/>
      <c r="F813"/>
      <c r="CP813" s="61"/>
    </row>
    <row r="814" spans="3:94">
      <c r="C814"/>
      <c r="D814"/>
      <c r="E814"/>
      <c r="F814"/>
      <c r="CP814" s="61"/>
    </row>
    <row r="815" spans="3:94">
      <c r="C815"/>
      <c r="D815"/>
      <c r="E815"/>
      <c r="F815"/>
      <c r="CP815" s="61"/>
    </row>
    <row r="816" spans="3:94">
      <c r="C816"/>
      <c r="D816"/>
      <c r="E816"/>
      <c r="F816"/>
      <c r="CP816" s="61"/>
    </row>
    <row r="817" spans="3:94">
      <c r="C817"/>
      <c r="D817"/>
      <c r="E817"/>
      <c r="F817"/>
      <c r="CP817" s="61"/>
    </row>
    <row r="818" spans="3:94">
      <c r="C818"/>
      <c r="D818"/>
      <c r="E818"/>
      <c r="F818"/>
      <c r="CP818" s="61"/>
    </row>
    <row r="819" spans="3:94">
      <c r="C819"/>
      <c r="D819"/>
      <c r="E819"/>
      <c r="F819"/>
      <c r="CP819" s="61"/>
    </row>
    <row r="820" spans="3:94">
      <c r="C820"/>
      <c r="D820"/>
      <c r="E820"/>
      <c r="F820"/>
      <c r="CP820" s="61"/>
    </row>
    <row r="821" spans="3:94">
      <c r="C821"/>
      <c r="D821"/>
      <c r="E821"/>
      <c r="F821"/>
      <c r="CP821" s="61"/>
    </row>
    <row r="822" spans="3:94">
      <c r="C822"/>
      <c r="D822"/>
      <c r="E822"/>
      <c r="F822"/>
      <c r="CP822" s="61"/>
    </row>
    <row r="823" spans="3:94">
      <c r="C823"/>
      <c r="D823"/>
      <c r="E823"/>
      <c r="F823"/>
      <c r="CP823" s="61"/>
    </row>
    <row r="824" spans="3:94">
      <c r="C824"/>
      <c r="D824"/>
      <c r="E824"/>
      <c r="F824"/>
      <c r="CP824" s="61"/>
    </row>
    <row r="825" spans="3:94">
      <c r="C825"/>
      <c r="D825"/>
      <c r="E825"/>
      <c r="F825"/>
      <c r="CP825" s="61"/>
    </row>
    <row r="826" spans="3:94">
      <c r="C826"/>
      <c r="D826"/>
      <c r="E826"/>
      <c r="F826"/>
      <c r="CP826" s="61"/>
    </row>
    <row r="827" spans="3:94">
      <c r="C827"/>
      <c r="D827"/>
      <c r="E827"/>
      <c r="F827"/>
      <c r="CP827" s="61"/>
    </row>
    <row r="828" spans="3:94">
      <c r="C828"/>
      <c r="D828"/>
      <c r="E828"/>
      <c r="F828"/>
      <c r="CP828" s="61"/>
    </row>
    <row r="829" spans="3:94">
      <c r="C829"/>
      <c r="D829"/>
      <c r="E829"/>
      <c r="F829"/>
      <c r="CP829" s="61"/>
    </row>
    <row r="830" spans="3:94">
      <c r="C830"/>
      <c r="D830"/>
      <c r="E830"/>
      <c r="F830"/>
      <c r="CP830" s="61"/>
    </row>
    <row r="831" spans="3:94">
      <c r="C831"/>
      <c r="D831"/>
      <c r="E831"/>
      <c r="F831"/>
      <c r="CP831" s="61"/>
    </row>
    <row r="832" spans="3:94">
      <c r="C832"/>
      <c r="D832"/>
      <c r="E832"/>
      <c r="F832"/>
      <c r="CP832" s="61"/>
    </row>
    <row r="833" spans="3:94">
      <c r="C833"/>
      <c r="D833"/>
      <c r="E833"/>
      <c r="F833"/>
      <c r="CP833" s="61"/>
    </row>
    <row r="834" spans="3:94">
      <c r="C834"/>
      <c r="D834"/>
      <c r="E834"/>
      <c r="F834"/>
      <c r="CP834" s="61"/>
    </row>
    <row r="835" spans="3:94">
      <c r="C835"/>
      <c r="D835"/>
      <c r="E835"/>
      <c r="F835"/>
      <c r="CP835" s="61"/>
    </row>
    <row r="836" spans="3:94">
      <c r="C836"/>
      <c r="D836"/>
      <c r="E836"/>
      <c r="F836"/>
      <c r="CP836" s="61"/>
    </row>
    <row r="837" spans="3:94">
      <c r="C837"/>
      <c r="D837"/>
      <c r="E837"/>
      <c r="F837"/>
      <c r="CP837" s="61"/>
    </row>
    <row r="838" spans="3:94">
      <c r="C838"/>
      <c r="D838"/>
      <c r="E838"/>
      <c r="F838"/>
      <c r="CP838" s="61"/>
    </row>
    <row r="839" spans="3:94">
      <c r="C839"/>
      <c r="D839"/>
      <c r="E839"/>
      <c r="F839"/>
      <c r="CP839" s="61"/>
    </row>
    <row r="840" spans="3:94">
      <c r="C840"/>
      <c r="D840"/>
      <c r="E840"/>
      <c r="F840"/>
      <c r="CP840" s="61"/>
    </row>
    <row r="841" spans="3:94">
      <c r="C841"/>
      <c r="D841"/>
      <c r="E841"/>
      <c r="F841"/>
      <c r="CP841" s="61"/>
    </row>
    <row r="842" spans="3:94">
      <c r="C842"/>
      <c r="D842"/>
      <c r="E842"/>
      <c r="F842"/>
      <c r="CP842" s="61"/>
    </row>
    <row r="843" spans="3:94">
      <c r="C843"/>
      <c r="D843"/>
      <c r="E843"/>
      <c r="F843"/>
      <c r="CP843" s="61"/>
    </row>
    <row r="844" spans="3:94">
      <c r="C844"/>
      <c r="D844"/>
      <c r="E844"/>
      <c r="F844"/>
      <c r="CP844" s="61"/>
    </row>
    <row r="845" spans="3:94">
      <c r="C845"/>
      <c r="D845"/>
      <c r="E845"/>
      <c r="F845"/>
      <c r="CP845" s="61"/>
    </row>
    <row r="846" spans="3:94">
      <c r="C846"/>
      <c r="D846"/>
      <c r="E846"/>
      <c r="F846"/>
      <c r="CP846" s="61"/>
    </row>
    <row r="847" spans="3:94">
      <c r="C847"/>
      <c r="D847"/>
      <c r="E847"/>
      <c r="F847"/>
      <c r="CP847" s="61"/>
    </row>
    <row r="848" spans="3:94">
      <c r="C848"/>
      <c r="D848"/>
      <c r="E848"/>
      <c r="F848"/>
      <c r="CP848" s="61"/>
    </row>
    <row r="849" spans="3:94">
      <c r="C849"/>
      <c r="D849"/>
      <c r="E849"/>
      <c r="F849"/>
      <c r="CP849" s="61"/>
    </row>
    <row r="850" spans="3:94">
      <c r="C850"/>
      <c r="D850"/>
      <c r="E850"/>
      <c r="F850"/>
      <c r="CP850" s="61"/>
    </row>
    <row r="851" spans="3:94">
      <c r="C851"/>
      <c r="D851"/>
      <c r="E851"/>
      <c r="F851"/>
      <c r="CP851" s="61"/>
    </row>
    <row r="852" spans="3:94">
      <c r="C852"/>
      <c r="D852"/>
      <c r="E852"/>
      <c r="F852"/>
      <c r="CP852" s="61"/>
    </row>
    <row r="853" spans="3:94">
      <c r="C853"/>
      <c r="D853"/>
      <c r="E853"/>
      <c r="F853"/>
      <c r="CP853" s="61"/>
    </row>
    <row r="854" spans="3:94">
      <c r="C854"/>
      <c r="D854"/>
      <c r="E854"/>
      <c r="F854"/>
      <c r="CP854" s="61"/>
    </row>
    <row r="855" spans="3:94">
      <c r="C855"/>
      <c r="D855"/>
      <c r="E855"/>
      <c r="F855"/>
      <c r="CP855" s="61"/>
    </row>
    <row r="856" spans="3:94">
      <c r="C856"/>
      <c r="D856"/>
      <c r="E856"/>
      <c r="F856"/>
      <c r="CP856" s="61"/>
    </row>
    <row r="857" spans="3:94">
      <c r="C857"/>
      <c r="D857"/>
      <c r="E857"/>
      <c r="F857"/>
      <c r="CP857" s="61"/>
    </row>
    <row r="858" spans="3:94">
      <c r="C858"/>
      <c r="D858"/>
      <c r="E858"/>
      <c r="F858"/>
      <c r="CP858" s="61"/>
    </row>
    <row r="859" spans="3:94">
      <c r="C859"/>
      <c r="D859"/>
      <c r="E859"/>
      <c r="F859"/>
      <c r="CP859" s="61"/>
    </row>
    <row r="860" spans="3:94">
      <c r="C860"/>
      <c r="D860"/>
      <c r="E860"/>
      <c r="F860"/>
      <c r="CP860" s="61"/>
    </row>
    <row r="861" spans="3:94">
      <c r="C861"/>
      <c r="D861"/>
      <c r="E861"/>
      <c r="F861"/>
      <c r="CP861" s="61"/>
    </row>
    <row r="862" spans="3:94">
      <c r="C862"/>
      <c r="D862"/>
      <c r="E862"/>
      <c r="F862"/>
      <c r="CP862" s="61"/>
    </row>
    <row r="863" spans="3:94">
      <c r="C863"/>
      <c r="D863"/>
      <c r="E863"/>
      <c r="F863"/>
      <c r="CP863" s="61"/>
    </row>
    <row r="864" spans="3:94">
      <c r="C864"/>
      <c r="D864"/>
      <c r="E864"/>
      <c r="F864"/>
      <c r="CP864" s="61"/>
    </row>
    <row r="865" spans="3:94">
      <c r="C865"/>
      <c r="D865"/>
      <c r="E865"/>
      <c r="F865"/>
      <c r="CP865" s="61"/>
    </row>
    <row r="866" spans="3:94">
      <c r="C866"/>
      <c r="D866"/>
      <c r="E866"/>
      <c r="F866"/>
      <c r="CP866" s="61"/>
    </row>
    <row r="867" spans="3:94">
      <c r="C867"/>
      <c r="D867"/>
      <c r="E867"/>
      <c r="F867"/>
      <c r="CP867" s="61"/>
    </row>
    <row r="868" spans="3:94">
      <c r="C868"/>
      <c r="D868"/>
      <c r="E868"/>
      <c r="F868"/>
      <c r="CP868" s="61"/>
    </row>
    <row r="869" spans="3:94">
      <c r="C869"/>
      <c r="D869"/>
      <c r="E869"/>
      <c r="F869"/>
      <c r="CP869" s="61"/>
    </row>
    <row r="870" spans="3:94">
      <c r="C870"/>
      <c r="D870"/>
      <c r="E870"/>
      <c r="F870"/>
      <c r="CP870" s="61"/>
    </row>
    <row r="871" spans="3:94">
      <c r="C871"/>
      <c r="D871"/>
      <c r="E871"/>
      <c r="F871"/>
      <c r="CP871" s="61"/>
    </row>
    <row r="872" spans="3:94">
      <c r="C872"/>
      <c r="D872"/>
      <c r="E872"/>
      <c r="F872"/>
      <c r="CP872" s="61"/>
    </row>
    <row r="873" spans="3:94">
      <c r="C873"/>
      <c r="D873"/>
      <c r="E873"/>
      <c r="F873"/>
      <c r="CP873" s="61"/>
    </row>
    <row r="874" spans="3:94">
      <c r="C874"/>
      <c r="D874"/>
      <c r="E874"/>
      <c r="F874"/>
      <c r="CP874" s="61"/>
    </row>
    <row r="875" spans="3:94">
      <c r="C875"/>
      <c r="D875"/>
      <c r="E875"/>
      <c r="F875"/>
      <c r="CP875" s="61"/>
    </row>
    <row r="876" spans="3:94">
      <c r="C876"/>
      <c r="D876"/>
      <c r="E876"/>
      <c r="F876"/>
      <c r="CP876" s="61"/>
    </row>
    <row r="877" spans="3:94">
      <c r="C877"/>
      <c r="D877"/>
      <c r="E877"/>
      <c r="F877"/>
      <c r="CP877" s="61"/>
    </row>
    <row r="878" spans="3:94">
      <c r="C878"/>
      <c r="D878"/>
      <c r="E878"/>
      <c r="F878"/>
      <c r="CP878" s="61"/>
    </row>
    <row r="879" spans="3:94">
      <c r="C879"/>
      <c r="D879"/>
      <c r="E879"/>
      <c r="F879"/>
      <c r="CP879" s="61"/>
    </row>
    <row r="880" spans="3:94">
      <c r="C880"/>
      <c r="D880"/>
      <c r="E880"/>
      <c r="F880"/>
      <c r="CP880" s="61"/>
    </row>
    <row r="881" spans="3:94">
      <c r="C881"/>
      <c r="D881"/>
      <c r="E881"/>
      <c r="F881"/>
      <c r="CP881" s="61"/>
    </row>
    <row r="882" spans="3:94">
      <c r="C882"/>
      <c r="D882"/>
      <c r="E882"/>
      <c r="F882"/>
      <c r="CP882" s="61"/>
    </row>
    <row r="883" spans="3:94">
      <c r="C883"/>
      <c r="D883"/>
      <c r="E883"/>
      <c r="F883"/>
      <c r="CP883" s="61"/>
    </row>
    <row r="884" spans="3:94">
      <c r="C884"/>
      <c r="D884"/>
      <c r="E884"/>
      <c r="F884"/>
      <c r="CP884" s="61"/>
    </row>
    <row r="885" spans="3:94">
      <c r="C885"/>
      <c r="D885"/>
      <c r="E885"/>
      <c r="F885"/>
      <c r="CP885" s="61"/>
    </row>
    <row r="886" spans="3:94">
      <c r="C886"/>
      <c r="D886"/>
      <c r="E886"/>
      <c r="F886"/>
      <c r="CP886" s="61"/>
    </row>
    <row r="887" spans="3:94">
      <c r="C887"/>
      <c r="D887"/>
      <c r="E887"/>
      <c r="F887"/>
      <c r="CP887" s="61"/>
    </row>
    <row r="888" spans="3:94">
      <c r="C888"/>
      <c r="D888"/>
      <c r="E888"/>
      <c r="F888"/>
      <c r="CP888" s="61"/>
    </row>
    <row r="889" spans="3:94">
      <c r="C889"/>
      <c r="D889"/>
      <c r="E889"/>
      <c r="F889"/>
      <c r="CP889" s="61"/>
    </row>
    <row r="890" spans="3:94">
      <c r="C890"/>
      <c r="D890"/>
      <c r="E890"/>
      <c r="F890"/>
      <c r="CP890" s="61"/>
    </row>
    <row r="891" spans="3:94">
      <c r="C891"/>
      <c r="D891"/>
      <c r="E891"/>
      <c r="F891"/>
      <c r="CP891" s="61"/>
    </row>
    <row r="892" spans="3:94">
      <c r="C892"/>
      <c r="D892"/>
      <c r="E892"/>
      <c r="F892"/>
      <c r="CP892" s="61"/>
    </row>
    <row r="893" spans="3:94">
      <c r="C893"/>
      <c r="D893"/>
      <c r="E893"/>
      <c r="F893"/>
      <c r="CP893" s="61"/>
    </row>
    <row r="894" spans="3:94">
      <c r="C894"/>
      <c r="D894"/>
      <c r="E894"/>
      <c r="F894"/>
      <c r="CP894" s="61"/>
    </row>
    <row r="895" spans="3:94">
      <c r="C895"/>
      <c r="D895"/>
      <c r="E895"/>
      <c r="F895"/>
      <c r="CP895" s="61"/>
    </row>
    <row r="896" spans="3:94">
      <c r="C896"/>
      <c r="D896"/>
      <c r="E896"/>
      <c r="F896"/>
      <c r="CP896" s="61"/>
    </row>
    <row r="897" spans="3:94">
      <c r="C897"/>
      <c r="D897"/>
      <c r="E897"/>
      <c r="F897"/>
      <c r="CP897" s="61"/>
    </row>
    <row r="898" spans="3:94">
      <c r="C898"/>
      <c r="D898"/>
      <c r="E898"/>
      <c r="F898"/>
      <c r="CP898" s="61"/>
    </row>
    <row r="899" spans="3:94">
      <c r="C899"/>
      <c r="D899"/>
      <c r="E899"/>
      <c r="F899"/>
      <c r="CP899" s="61"/>
    </row>
    <row r="900" spans="3:94">
      <c r="C900"/>
      <c r="D900"/>
      <c r="E900"/>
      <c r="F900"/>
      <c r="CP900" s="61"/>
    </row>
    <row r="901" spans="3:94">
      <c r="C901"/>
      <c r="D901"/>
      <c r="E901"/>
      <c r="F901"/>
      <c r="CP901" s="61"/>
    </row>
    <row r="902" spans="3:94">
      <c r="C902"/>
      <c r="D902"/>
      <c r="E902"/>
      <c r="F902"/>
      <c r="CP902" s="61"/>
    </row>
    <row r="903" spans="3:94">
      <c r="C903"/>
      <c r="D903"/>
      <c r="E903"/>
      <c r="F903"/>
      <c r="CP903" s="61"/>
    </row>
    <row r="904" spans="3:94">
      <c r="C904"/>
      <c r="D904"/>
      <c r="E904"/>
      <c r="F904"/>
      <c r="CP904" s="61"/>
    </row>
    <row r="905" spans="3:94">
      <c r="C905"/>
      <c r="D905"/>
      <c r="E905"/>
      <c r="F905"/>
      <c r="CP905" s="61"/>
    </row>
    <row r="906" spans="3:94">
      <c r="C906"/>
      <c r="D906"/>
      <c r="E906"/>
      <c r="F906"/>
      <c r="CP906" s="61"/>
    </row>
    <row r="907" spans="3:94">
      <c r="C907"/>
      <c r="D907"/>
      <c r="E907"/>
      <c r="F907"/>
      <c r="CP907" s="61"/>
    </row>
    <row r="908" spans="3:94">
      <c r="C908"/>
      <c r="D908"/>
      <c r="E908"/>
      <c r="F908"/>
      <c r="CP908" s="61"/>
    </row>
    <row r="909" spans="3:94">
      <c r="C909"/>
      <c r="D909"/>
      <c r="E909"/>
      <c r="F909"/>
      <c r="CP909" s="61"/>
    </row>
    <row r="910" spans="3:94">
      <c r="C910"/>
      <c r="D910"/>
      <c r="E910"/>
      <c r="F910"/>
      <c r="CP910" s="61"/>
    </row>
    <row r="911" spans="3:94">
      <c r="C911"/>
      <c r="D911"/>
      <c r="E911"/>
      <c r="F911"/>
      <c r="CP911" s="61"/>
    </row>
    <row r="912" spans="3:94">
      <c r="C912"/>
      <c r="D912"/>
      <c r="E912"/>
      <c r="F912"/>
      <c r="CP912" s="61"/>
    </row>
    <row r="913" spans="3:94">
      <c r="C913"/>
      <c r="D913"/>
      <c r="E913"/>
      <c r="F913"/>
      <c r="CP913" s="61"/>
    </row>
    <row r="914" spans="3:94">
      <c r="C914"/>
      <c r="D914"/>
      <c r="E914"/>
      <c r="F914"/>
      <c r="CP914" s="61"/>
    </row>
    <row r="915" spans="3:94">
      <c r="C915"/>
      <c r="D915"/>
      <c r="E915"/>
      <c r="F915"/>
      <c r="CP915" s="61"/>
    </row>
    <row r="916" spans="3:94">
      <c r="C916"/>
      <c r="D916"/>
      <c r="E916"/>
      <c r="F916"/>
      <c r="CP916" s="61"/>
    </row>
    <row r="917" spans="3:94">
      <c r="C917"/>
      <c r="D917"/>
      <c r="E917"/>
      <c r="F917"/>
      <c r="CP917" s="61"/>
    </row>
    <row r="918" spans="3:94">
      <c r="C918"/>
      <c r="D918"/>
      <c r="E918"/>
      <c r="F918"/>
      <c r="CP918" s="61"/>
    </row>
    <row r="919" spans="3:94">
      <c r="C919"/>
      <c r="D919"/>
      <c r="E919"/>
      <c r="F919"/>
      <c r="CP919" s="61"/>
    </row>
    <row r="920" spans="3:94">
      <c r="C920"/>
      <c r="D920"/>
      <c r="E920"/>
      <c r="F920"/>
      <c r="CP920" s="61"/>
    </row>
    <row r="921" spans="3:94">
      <c r="C921"/>
      <c r="D921"/>
      <c r="E921"/>
      <c r="F921"/>
      <c r="CP921" s="61"/>
    </row>
    <row r="922" spans="3:94">
      <c r="C922"/>
      <c r="D922"/>
      <c r="E922"/>
      <c r="F922"/>
      <c r="CP922" s="61"/>
    </row>
    <row r="923" spans="3:94">
      <c r="C923"/>
      <c r="D923"/>
      <c r="E923"/>
      <c r="F923"/>
      <c r="CP923" s="61"/>
    </row>
    <row r="924" spans="3:94">
      <c r="C924"/>
      <c r="D924"/>
      <c r="E924"/>
      <c r="F924"/>
      <c r="CP924" s="61"/>
    </row>
    <row r="925" spans="3:94">
      <c r="C925"/>
      <c r="D925"/>
      <c r="E925"/>
      <c r="F925"/>
      <c r="CP925" s="61"/>
    </row>
    <row r="926" spans="3:94">
      <c r="C926"/>
      <c r="D926"/>
      <c r="E926"/>
      <c r="F926"/>
      <c r="CP926" s="61"/>
    </row>
    <row r="927" spans="3:94">
      <c r="C927"/>
      <c r="D927"/>
      <c r="E927"/>
      <c r="F927"/>
      <c r="CP927" s="61"/>
    </row>
    <row r="928" spans="3:94">
      <c r="C928"/>
      <c r="D928"/>
      <c r="E928"/>
      <c r="F928"/>
      <c r="CP928" s="61"/>
    </row>
    <row r="929" spans="3:94">
      <c r="C929"/>
      <c r="D929"/>
      <c r="E929"/>
      <c r="F929"/>
      <c r="CP929" s="61"/>
    </row>
    <row r="930" spans="3:94">
      <c r="C930"/>
      <c r="D930"/>
      <c r="E930"/>
      <c r="F930"/>
      <c r="CP930" s="61"/>
    </row>
    <row r="931" spans="3:94">
      <c r="C931"/>
      <c r="D931"/>
      <c r="E931"/>
      <c r="F931"/>
      <c r="CP931" s="61"/>
    </row>
    <row r="932" spans="3:94">
      <c r="C932"/>
      <c r="D932"/>
      <c r="E932"/>
      <c r="F932"/>
      <c r="CP932" s="61"/>
    </row>
    <row r="933" spans="3:94">
      <c r="C933"/>
      <c r="D933"/>
      <c r="E933"/>
      <c r="F933"/>
      <c r="CP933" s="61"/>
    </row>
    <row r="934" spans="3:94">
      <c r="C934"/>
      <c r="D934"/>
      <c r="E934"/>
      <c r="F934"/>
      <c r="CP934" s="61"/>
    </row>
    <row r="935" spans="3:94">
      <c r="C935"/>
      <c r="D935"/>
      <c r="E935"/>
      <c r="F935"/>
      <c r="CP935" s="61"/>
    </row>
    <row r="936" spans="3:94">
      <c r="C936"/>
      <c r="D936"/>
      <c r="E936"/>
      <c r="F936"/>
      <c r="CP936" s="61"/>
    </row>
    <row r="937" spans="3:94">
      <c r="C937"/>
      <c r="D937"/>
      <c r="E937"/>
      <c r="F937"/>
      <c r="CP937" s="61"/>
    </row>
    <row r="938" spans="3:94">
      <c r="C938"/>
      <c r="D938"/>
      <c r="E938"/>
      <c r="F938"/>
      <c r="CP938" s="61"/>
    </row>
    <row r="939" spans="3:94">
      <c r="C939"/>
      <c r="D939"/>
      <c r="E939"/>
      <c r="F939"/>
      <c r="CP939" s="61"/>
    </row>
    <row r="940" spans="3:94">
      <c r="C940"/>
      <c r="D940"/>
      <c r="E940"/>
      <c r="F940"/>
      <c r="CP940" s="61"/>
    </row>
    <row r="941" spans="3:94">
      <c r="C941"/>
      <c r="D941"/>
      <c r="E941"/>
      <c r="F941"/>
      <c r="CP941" s="61"/>
    </row>
    <row r="942" spans="3:94">
      <c r="C942"/>
      <c r="D942"/>
      <c r="E942"/>
      <c r="F942"/>
      <c r="CP942" s="61"/>
    </row>
    <row r="943" spans="3:94">
      <c r="C943"/>
      <c r="D943"/>
      <c r="E943"/>
      <c r="F943"/>
      <c r="CP943" s="61"/>
    </row>
    <row r="944" spans="3:94">
      <c r="C944"/>
      <c r="D944"/>
      <c r="E944"/>
      <c r="F944"/>
      <c r="CP944" s="61"/>
    </row>
    <row r="945" spans="3:94">
      <c r="C945"/>
      <c r="D945"/>
      <c r="E945"/>
      <c r="F945"/>
      <c r="CP945" s="61"/>
    </row>
    <row r="946" spans="3:94">
      <c r="C946"/>
      <c r="D946"/>
      <c r="E946"/>
      <c r="F946"/>
      <c r="CP946" s="61"/>
    </row>
    <row r="947" spans="3:94">
      <c r="C947"/>
      <c r="D947"/>
      <c r="E947"/>
      <c r="F947"/>
      <c r="CP947" s="61"/>
    </row>
    <row r="948" spans="3:94">
      <c r="C948"/>
      <c r="D948"/>
      <c r="E948"/>
      <c r="F948"/>
      <c r="CP948" s="61"/>
    </row>
    <row r="949" spans="3:94">
      <c r="C949"/>
      <c r="D949"/>
      <c r="E949"/>
      <c r="F949"/>
      <c r="CP949" s="61"/>
    </row>
    <row r="950" spans="3:94">
      <c r="C950"/>
      <c r="D950"/>
      <c r="E950"/>
      <c r="F950"/>
      <c r="CP950" s="61"/>
    </row>
    <row r="951" spans="3:94">
      <c r="C951"/>
      <c r="D951"/>
      <c r="E951"/>
      <c r="F951"/>
      <c r="CP951" s="61"/>
    </row>
    <row r="952" spans="3:94">
      <c r="C952"/>
      <c r="D952"/>
      <c r="E952"/>
      <c r="F952"/>
      <c r="CP952" s="61"/>
    </row>
    <row r="953" spans="3:94">
      <c r="C953"/>
      <c r="D953"/>
      <c r="E953"/>
      <c r="F953"/>
      <c r="CP953" s="61"/>
    </row>
    <row r="954" spans="3:94">
      <c r="C954"/>
      <c r="D954"/>
      <c r="E954"/>
      <c r="F954"/>
      <c r="CP954" s="61"/>
    </row>
    <row r="955" spans="3:94">
      <c r="C955"/>
      <c r="D955"/>
      <c r="E955"/>
      <c r="F955"/>
      <c r="CP955" s="61"/>
    </row>
    <row r="956" spans="3:94">
      <c r="C956"/>
      <c r="D956"/>
      <c r="E956"/>
      <c r="F956"/>
      <c r="CP956" s="61"/>
    </row>
    <row r="957" spans="3:94">
      <c r="C957"/>
      <c r="D957"/>
      <c r="E957"/>
      <c r="F957"/>
      <c r="CP957" s="61"/>
    </row>
    <row r="958" spans="3:94">
      <c r="C958"/>
      <c r="D958"/>
      <c r="E958"/>
      <c r="F958"/>
      <c r="CP958" s="61"/>
    </row>
    <row r="959" spans="3:94">
      <c r="C959"/>
      <c r="D959"/>
      <c r="E959"/>
      <c r="F959"/>
      <c r="CP959" s="61"/>
    </row>
    <row r="960" spans="3:94">
      <c r="C960"/>
      <c r="D960"/>
      <c r="E960"/>
      <c r="F960"/>
      <c r="CP960" s="61"/>
    </row>
    <row r="961" spans="3:94">
      <c r="C961"/>
      <c r="D961"/>
      <c r="E961"/>
      <c r="F961"/>
      <c r="CP961" s="61"/>
    </row>
    <row r="962" spans="3:94">
      <c r="C962"/>
      <c r="D962"/>
      <c r="E962"/>
      <c r="F962"/>
      <c r="CP962" s="61"/>
    </row>
    <row r="963" spans="3:94">
      <c r="C963"/>
      <c r="D963"/>
      <c r="E963"/>
      <c r="F963"/>
      <c r="CP963" s="61"/>
    </row>
    <row r="964" spans="3:94">
      <c r="C964"/>
      <c r="D964"/>
      <c r="E964"/>
      <c r="F964"/>
      <c r="CP964" s="61"/>
    </row>
    <row r="965" spans="3:94">
      <c r="C965"/>
      <c r="D965"/>
      <c r="E965"/>
      <c r="F965"/>
      <c r="CP965" s="61"/>
    </row>
    <row r="966" spans="3:94">
      <c r="C966"/>
      <c r="D966"/>
      <c r="E966"/>
      <c r="F966"/>
      <c r="CP966" s="61"/>
    </row>
    <row r="967" spans="3:94">
      <c r="C967"/>
      <c r="D967"/>
      <c r="E967"/>
      <c r="F967"/>
      <c r="CP967" s="61"/>
    </row>
    <row r="968" spans="3:94">
      <c r="C968"/>
      <c r="D968"/>
      <c r="E968"/>
      <c r="F968"/>
      <c r="CP968" s="61"/>
    </row>
    <row r="969" spans="3:94">
      <c r="C969"/>
      <c r="D969"/>
      <c r="E969"/>
      <c r="F969"/>
      <c r="CP969" s="61"/>
    </row>
    <row r="970" spans="3:94">
      <c r="C970"/>
      <c r="D970"/>
      <c r="E970"/>
      <c r="F970"/>
      <c r="CP970" s="61"/>
    </row>
    <row r="971" spans="3:94">
      <c r="C971"/>
      <c r="D971"/>
      <c r="E971"/>
      <c r="F971"/>
      <c r="CP971" s="61"/>
    </row>
    <row r="972" spans="3:94">
      <c r="C972"/>
      <c r="D972"/>
      <c r="E972"/>
      <c r="F972"/>
      <c r="CP972" s="61"/>
    </row>
    <row r="973" spans="3:94">
      <c r="C973"/>
      <c r="D973"/>
      <c r="E973"/>
      <c r="F973"/>
      <c r="CP973" s="61"/>
    </row>
    <row r="974" spans="3:94">
      <c r="C974"/>
      <c r="D974"/>
      <c r="E974"/>
      <c r="F974"/>
      <c r="CP974" s="61"/>
    </row>
    <row r="975" spans="3:94">
      <c r="C975"/>
      <c r="D975"/>
      <c r="E975"/>
      <c r="F975"/>
      <c r="CP975" s="61"/>
    </row>
    <row r="976" spans="3:94">
      <c r="C976"/>
      <c r="D976"/>
      <c r="E976"/>
      <c r="F976"/>
      <c r="CP976" s="61"/>
    </row>
    <row r="977" spans="3:94">
      <c r="C977"/>
      <c r="D977"/>
      <c r="E977"/>
      <c r="F977"/>
      <c r="CP977" s="61"/>
    </row>
    <row r="978" spans="3:94">
      <c r="C978"/>
      <c r="D978"/>
      <c r="E978"/>
      <c r="F978"/>
      <c r="CP978" s="61"/>
    </row>
    <row r="979" spans="3:94">
      <c r="C979"/>
      <c r="D979"/>
      <c r="E979"/>
      <c r="F979"/>
      <c r="CP979" s="61"/>
    </row>
    <row r="980" spans="3:94">
      <c r="C980"/>
      <c r="D980"/>
      <c r="E980"/>
      <c r="F980"/>
      <c r="CP980" s="61"/>
    </row>
    <row r="981" spans="3:94">
      <c r="C981"/>
      <c r="D981"/>
      <c r="E981"/>
      <c r="F981"/>
      <c r="CP981" s="61"/>
    </row>
    <row r="982" spans="3:94">
      <c r="C982"/>
      <c r="D982"/>
      <c r="E982"/>
      <c r="F982"/>
      <c r="CP982" s="61"/>
    </row>
    <row r="983" spans="3:94">
      <c r="C983"/>
      <c r="D983"/>
      <c r="E983"/>
      <c r="F983"/>
      <c r="CP983" s="61"/>
    </row>
    <row r="984" spans="3:94">
      <c r="C984"/>
      <c r="D984"/>
      <c r="E984"/>
      <c r="F984"/>
      <c r="CP984" s="61"/>
    </row>
    <row r="985" spans="3:94">
      <c r="C985"/>
      <c r="D985"/>
      <c r="E985"/>
      <c r="F985"/>
      <c r="CP985" s="61"/>
    </row>
    <row r="986" spans="3:94">
      <c r="C986"/>
      <c r="D986"/>
      <c r="E986"/>
      <c r="F986"/>
      <c r="CP986" s="61"/>
    </row>
    <row r="987" spans="3:94">
      <c r="C987"/>
      <c r="D987"/>
      <c r="E987"/>
      <c r="F987"/>
      <c r="CP987" s="61"/>
    </row>
    <row r="988" spans="3:94">
      <c r="C988"/>
      <c r="D988"/>
      <c r="E988"/>
      <c r="F988"/>
      <c r="CP988" s="61"/>
    </row>
    <row r="989" spans="3:94">
      <c r="C989"/>
      <c r="D989"/>
      <c r="E989"/>
      <c r="F989"/>
      <c r="CP989" s="61"/>
    </row>
    <row r="990" spans="3:94">
      <c r="C990"/>
      <c r="D990"/>
      <c r="E990"/>
      <c r="F990"/>
      <c r="CP990" s="61"/>
    </row>
    <row r="991" spans="3:94">
      <c r="C991"/>
      <c r="D991"/>
      <c r="E991"/>
      <c r="F991"/>
      <c r="CP991" s="61"/>
    </row>
    <row r="992" spans="3:94">
      <c r="C992"/>
      <c r="D992"/>
      <c r="E992"/>
      <c r="F992"/>
      <c r="CP992" s="61"/>
    </row>
    <row r="993" spans="3:94">
      <c r="C993"/>
      <c r="D993"/>
      <c r="E993"/>
      <c r="F993"/>
      <c r="CP993" s="61"/>
    </row>
    <row r="994" spans="3:94">
      <c r="C994"/>
      <c r="D994"/>
      <c r="E994"/>
      <c r="F994"/>
      <c r="CP994" s="61"/>
    </row>
    <row r="995" spans="3:94">
      <c r="C995"/>
      <c r="D995"/>
      <c r="E995"/>
      <c r="F995"/>
      <c r="CP995" s="61"/>
    </row>
    <row r="996" spans="3:94">
      <c r="C996"/>
      <c r="D996"/>
      <c r="E996"/>
      <c r="F996"/>
      <c r="CP996" s="61"/>
    </row>
    <row r="997" spans="3:94">
      <c r="C997"/>
      <c r="D997"/>
      <c r="E997"/>
      <c r="F997"/>
      <c r="CP997" s="61"/>
    </row>
    <row r="998" spans="3:94">
      <c r="C998"/>
      <c r="D998"/>
      <c r="E998"/>
      <c r="F998"/>
      <c r="CP998" s="61"/>
    </row>
    <row r="999" spans="3:94">
      <c r="C999"/>
      <c r="D999"/>
      <c r="E999"/>
      <c r="F999"/>
      <c r="CP999" s="61"/>
    </row>
    <row r="1000" spans="3:94">
      <c r="C1000"/>
      <c r="D1000"/>
      <c r="E1000"/>
      <c r="F1000"/>
      <c r="CP1000" s="61"/>
    </row>
    <row r="1001" spans="3:94">
      <c r="C1001"/>
      <c r="D1001"/>
      <c r="E1001"/>
      <c r="F1001"/>
      <c r="CP1001" s="61"/>
    </row>
    <row r="1002" spans="3:94">
      <c r="C1002"/>
      <c r="D1002"/>
      <c r="E1002"/>
      <c r="F1002"/>
      <c r="CP1002" s="61"/>
    </row>
    <row r="1003" spans="3:94">
      <c r="C1003"/>
      <c r="D1003"/>
      <c r="E1003"/>
      <c r="F1003"/>
      <c r="CP1003" s="61"/>
    </row>
    <row r="1004" spans="3:94">
      <c r="C1004"/>
      <c r="D1004"/>
      <c r="E1004"/>
      <c r="F1004"/>
      <c r="CP1004" s="61"/>
    </row>
    <row r="1005" spans="3:94">
      <c r="C1005"/>
      <c r="D1005"/>
      <c r="E1005"/>
      <c r="F1005"/>
      <c r="CP1005" s="61"/>
    </row>
    <row r="1006" spans="3:94">
      <c r="C1006"/>
      <c r="D1006"/>
      <c r="E1006"/>
      <c r="F1006"/>
      <c r="CP1006" s="61"/>
    </row>
    <row r="1007" spans="3:94">
      <c r="C1007"/>
      <c r="D1007"/>
      <c r="E1007"/>
      <c r="F1007"/>
      <c r="CP1007" s="61"/>
    </row>
    <row r="1008" spans="3:94">
      <c r="C1008"/>
      <c r="D1008"/>
      <c r="E1008"/>
      <c r="F1008"/>
      <c r="CP1008" s="61"/>
    </row>
    <row r="1009" spans="3:94">
      <c r="C1009"/>
      <c r="D1009"/>
      <c r="E1009"/>
      <c r="F1009"/>
      <c r="CP1009" s="61"/>
    </row>
    <row r="1010" spans="3:94">
      <c r="C1010"/>
      <c r="D1010"/>
      <c r="E1010"/>
      <c r="F1010"/>
      <c r="CP1010" s="61"/>
    </row>
    <row r="1011" spans="3:94">
      <c r="C1011"/>
      <c r="D1011"/>
      <c r="E1011"/>
      <c r="F1011"/>
      <c r="CP1011" s="61"/>
    </row>
    <row r="1012" spans="3:94">
      <c r="C1012"/>
      <c r="D1012"/>
      <c r="E1012"/>
      <c r="F1012"/>
      <c r="CP1012" s="61"/>
    </row>
    <row r="1013" spans="3:94">
      <c r="C1013"/>
      <c r="D1013"/>
      <c r="E1013"/>
      <c r="F1013"/>
      <c r="CP1013" s="61"/>
    </row>
    <row r="1014" spans="3:94">
      <c r="C1014"/>
      <c r="D1014"/>
      <c r="E1014"/>
      <c r="F1014"/>
      <c r="CP1014" s="61"/>
    </row>
    <row r="1015" spans="3:94">
      <c r="C1015"/>
      <c r="D1015"/>
      <c r="E1015"/>
      <c r="F1015"/>
      <c r="CP1015" s="61"/>
    </row>
    <row r="1016" spans="3:94">
      <c r="C1016"/>
      <c r="D1016"/>
      <c r="E1016"/>
      <c r="F1016"/>
      <c r="CP1016" s="61"/>
    </row>
    <row r="1017" spans="3:94">
      <c r="C1017"/>
      <c r="D1017"/>
      <c r="E1017"/>
      <c r="F1017"/>
      <c r="CP1017" s="61"/>
    </row>
    <row r="1018" spans="3:94">
      <c r="C1018"/>
      <c r="D1018"/>
      <c r="E1018"/>
      <c r="F1018"/>
      <c r="CP1018" s="61"/>
    </row>
    <row r="1019" spans="3:94">
      <c r="C1019"/>
      <c r="D1019"/>
      <c r="E1019"/>
      <c r="F1019"/>
      <c r="CP1019" s="61"/>
    </row>
    <row r="1020" spans="3:94">
      <c r="C1020"/>
      <c r="D1020"/>
      <c r="E1020"/>
      <c r="F1020"/>
      <c r="CP1020" s="61"/>
    </row>
    <row r="1021" spans="3:94">
      <c r="C1021"/>
      <c r="D1021"/>
      <c r="E1021"/>
      <c r="F1021"/>
      <c r="CP1021" s="61"/>
    </row>
    <row r="1022" spans="3:94">
      <c r="C1022"/>
      <c r="D1022"/>
      <c r="E1022"/>
      <c r="F1022"/>
      <c r="CP1022" s="61"/>
    </row>
    <row r="1023" spans="3:94">
      <c r="C1023"/>
      <c r="D1023"/>
      <c r="E1023"/>
      <c r="F1023"/>
      <c r="CP1023" s="61"/>
    </row>
    <row r="1024" spans="3:94">
      <c r="C1024"/>
      <c r="D1024"/>
      <c r="E1024"/>
      <c r="F1024"/>
      <c r="CP1024" s="61"/>
    </row>
    <row r="1025" spans="3:94">
      <c r="C1025"/>
      <c r="D1025"/>
      <c r="E1025"/>
      <c r="F1025"/>
      <c r="CP1025" s="61"/>
    </row>
    <row r="1026" spans="3:94">
      <c r="C1026"/>
      <c r="D1026"/>
      <c r="E1026"/>
      <c r="F1026"/>
      <c r="CP1026" s="61"/>
    </row>
    <row r="1027" spans="3:94">
      <c r="C1027"/>
      <c r="D1027"/>
      <c r="E1027"/>
      <c r="F1027"/>
      <c r="CP1027" s="61"/>
    </row>
    <row r="1028" spans="3:94">
      <c r="C1028"/>
      <c r="D1028"/>
      <c r="E1028"/>
      <c r="F1028"/>
      <c r="CP1028" s="61"/>
    </row>
    <row r="1029" spans="3:94">
      <c r="C1029"/>
      <c r="D1029"/>
      <c r="E1029"/>
      <c r="F1029"/>
      <c r="CP1029" s="61"/>
    </row>
    <row r="1030" spans="3:94">
      <c r="C1030"/>
      <c r="D1030"/>
      <c r="E1030"/>
      <c r="F1030"/>
      <c r="CP1030" s="61"/>
    </row>
    <row r="1031" spans="3:94">
      <c r="C1031"/>
      <c r="D1031"/>
      <c r="E1031"/>
      <c r="F1031"/>
      <c r="CP1031" s="61"/>
    </row>
    <row r="1032" spans="3:94">
      <c r="C1032"/>
      <c r="D1032"/>
      <c r="E1032"/>
      <c r="F1032"/>
      <c r="CP1032" s="61"/>
    </row>
    <row r="1033" spans="3:94">
      <c r="C1033"/>
      <c r="D1033"/>
      <c r="E1033"/>
      <c r="F1033"/>
      <c r="CP1033" s="61"/>
    </row>
    <row r="1034" spans="3:94">
      <c r="C1034"/>
      <c r="D1034"/>
      <c r="E1034"/>
      <c r="F1034"/>
      <c r="CP1034" s="61"/>
    </row>
    <row r="1035" spans="3:94">
      <c r="C1035"/>
      <c r="D1035"/>
      <c r="E1035"/>
      <c r="F1035"/>
      <c r="CP1035" s="61"/>
    </row>
    <row r="1036" spans="3:94">
      <c r="C1036"/>
      <c r="D1036"/>
      <c r="E1036"/>
      <c r="F1036"/>
      <c r="CP1036" s="61"/>
    </row>
    <row r="1037" spans="3:94">
      <c r="C1037"/>
      <c r="D1037"/>
      <c r="E1037"/>
      <c r="F1037"/>
      <c r="CP1037" s="61"/>
    </row>
    <row r="1038" spans="3:94">
      <c r="C1038"/>
      <c r="D1038"/>
      <c r="E1038"/>
      <c r="F1038"/>
      <c r="CP1038" s="61"/>
    </row>
    <row r="1039" spans="3:94">
      <c r="C1039"/>
      <c r="D1039"/>
      <c r="E1039"/>
      <c r="F1039"/>
      <c r="CP1039" s="61"/>
    </row>
    <row r="1040" spans="3:94">
      <c r="C1040"/>
      <c r="D1040"/>
      <c r="E1040"/>
      <c r="F1040"/>
      <c r="CP1040" s="61"/>
    </row>
    <row r="1041" spans="3:94">
      <c r="C1041"/>
      <c r="D1041"/>
      <c r="E1041"/>
      <c r="F1041"/>
      <c r="CP1041" s="61"/>
    </row>
    <row r="1042" spans="3:94">
      <c r="C1042"/>
      <c r="D1042"/>
      <c r="E1042"/>
      <c r="F1042"/>
      <c r="CP1042" s="61"/>
    </row>
    <row r="1043" spans="3:94">
      <c r="C1043"/>
      <c r="D1043"/>
      <c r="E1043"/>
      <c r="F1043"/>
      <c r="CP1043" s="61"/>
    </row>
    <row r="1044" spans="3:94">
      <c r="C1044"/>
      <c r="D1044"/>
      <c r="E1044"/>
      <c r="F1044"/>
      <c r="CP1044" s="61"/>
    </row>
    <row r="1045" spans="3:94">
      <c r="C1045"/>
      <c r="D1045"/>
      <c r="E1045"/>
      <c r="F1045"/>
      <c r="CP1045" s="61"/>
    </row>
    <row r="1046" spans="3:94">
      <c r="C1046"/>
      <c r="D1046"/>
      <c r="E1046"/>
      <c r="F1046"/>
      <c r="CP1046" s="61"/>
    </row>
    <row r="1047" spans="3:94">
      <c r="C1047"/>
      <c r="D1047"/>
      <c r="E1047"/>
      <c r="F1047"/>
      <c r="CP1047" s="61"/>
    </row>
    <row r="1048" spans="3:94">
      <c r="C1048"/>
      <c r="D1048"/>
      <c r="E1048"/>
      <c r="F1048"/>
      <c r="CP1048" s="61"/>
    </row>
    <row r="1049" spans="3:94">
      <c r="C1049"/>
      <c r="D1049"/>
      <c r="E1049"/>
      <c r="F1049"/>
      <c r="CP1049" s="61"/>
    </row>
    <row r="1050" spans="3:94">
      <c r="C1050"/>
      <c r="D1050"/>
      <c r="E1050"/>
      <c r="F1050"/>
      <c r="CP1050" s="61"/>
    </row>
    <row r="1051" spans="3:94">
      <c r="C1051"/>
      <c r="D1051"/>
      <c r="E1051"/>
      <c r="F1051"/>
      <c r="CP1051" s="61"/>
    </row>
    <row r="1052" spans="3:94">
      <c r="C1052"/>
      <c r="D1052"/>
      <c r="E1052"/>
      <c r="F1052"/>
      <c r="CP1052" s="61"/>
    </row>
    <row r="1053" spans="3:94">
      <c r="C1053"/>
      <c r="D1053"/>
      <c r="E1053"/>
      <c r="F1053"/>
      <c r="CP1053" s="61"/>
    </row>
    <row r="1054" spans="3:94">
      <c r="C1054"/>
      <c r="D1054"/>
      <c r="E1054"/>
      <c r="F1054"/>
      <c r="CP1054" s="61"/>
    </row>
    <row r="1055" spans="3:94">
      <c r="C1055"/>
      <c r="D1055"/>
      <c r="E1055"/>
      <c r="F1055"/>
      <c r="CP1055" s="61"/>
    </row>
    <row r="1056" spans="3:94">
      <c r="C1056"/>
      <c r="D1056"/>
      <c r="E1056"/>
      <c r="F1056"/>
      <c r="CP1056" s="61"/>
    </row>
    <row r="1057" spans="3:94">
      <c r="C1057"/>
      <c r="D1057"/>
      <c r="E1057"/>
      <c r="F1057"/>
      <c r="CP1057" s="61"/>
    </row>
    <row r="1058" spans="3:94">
      <c r="C1058"/>
      <c r="D1058"/>
      <c r="E1058"/>
      <c r="F1058"/>
      <c r="CP1058" s="61"/>
    </row>
    <row r="1059" spans="3:94">
      <c r="C1059"/>
      <c r="D1059"/>
      <c r="E1059"/>
      <c r="F1059"/>
      <c r="CP1059" s="61"/>
    </row>
    <row r="1060" spans="3:94">
      <c r="C1060"/>
      <c r="D1060"/>
      <c r="E1060"/>
      <c r="F1060"/>
      <c r="CP1060" s="61"/>
    </row>
    <row r="1061" spans="3:94">
      <c r="C1061"/>
      <c r="D1061"/>
      <c r="E1061"/>
      <c r="F1061"/>
      <c r="CP1061" s="61"/>
    </row>
    <row r="1062" spans="3:94">
      <c r="C1062"/>
      <c r="D1062"/>
      <c r="E1062"/>
      <c r="F1062"/>
      <c r="CP1062" s="61"/>
    </row>
    <row r="1063" spans="3:94">
      <c r="C1063"/>
      <c r="D1063"/>
      <c r="E1063"/>
      <c r="F1063"/>
      <c r="CP1063" s="61"/>
    </row>
    <row r="1064" spans="3:94">
      <c r="C1064"/>
      <c r="D1064"/>
      <c r="E1064"/>
      <c r="F1064"/>
      <c r="CP1064" s="61"/>
    </row>
    <row r="1065" spans="3:94">
      <c r="C1065"/>
      <c r="D1065"/>
      <c r="E1065"/>
      <c r="F1065"/>
      <c r="CP1065" s="61"/>
    </row>
    <row r="1066" spans="3:94">
      <c r="C1066"/>
      <c r="D1066"/>
      <c r="E1066"/>
      <c r="F1066"/>
      <c r="CP1066" s="61"/>
    </row>
    <row r="1067" spans="3:94">
      <c r="C1067"/>
      <c r="D1067"/>
      <c r="E1067"/>
      <c r="F1067"/>
      <c r="CP1067" s="61"/>
    </row>
    <row r="1068" spans="3:94">
      <c r="C1068"/>
      <c r="D1068"/>
      <c r="E1068"/>
      <c r="F1068"/>
      <c r="CP1068" s="61"/>
    </row>
    <row r="1069" spans="3:94">
      <c r="C1069"/>
      <c r="D1069"/>
      <c r="E1069"/>
      <c r="F1069"/>
      <c r="CP1069" s="61"/>
    </row>
    <row r="1070" spans="3:94">
      <c r="C1070"/>
      <c r="D1070"/>
      <c r="E1070"/>
      <c r="F1070"/>
      <c r="CP1070" s="61"/>
    </row>
    <row r="1071" spans="3:94">
      <c r="C1071"/>
      <c r="D1071"/>
      <c r="E1071"/>
      <c r="F1071"/>
      <c r="CP1071" s="61"/>
    </row>
    <row r="1072" spans="3:94">
      <c r="C1072"/>
      <c r="D1072"/>
      <c r="E1072"/>
      <c r="F1072"/>
      <c r="CP1072" s="61"/>
    </row>
    <row r="1073" spans="3:94">
      <c r="C1073"/>
      <c r="D1073"/>
      <c r="E1073"/>
      <c r="F1073"/>
      <c r="CP1073" s="61"/>
    </row>
    <row r="1074" spans="3:94">
      <c r="C1074"/>
      <c r="D1074"/>
      <c r="E1074"/>
      <c r="F1074"/>
      <c r="CP1074" s="61"/>
    </row>
    <row r="1075" spans="3:94">
      <c r="C1075"/>
      <c r="D1075"/>
      <c r="E1075"/>
      <c r="F1075"/>
      <c r="CP1075" s="61"/>
    </row>
    <row r="1076" spans="3:94">
      <c r="C1076"/>
      <c r="D1076"/>
      <c r="E1076"/>
      <c r="F1076"/>
      <c r="CP1076" s="61"/>
    </row>
    <row r="1077" spans="3:94">
      <c r="C1077"/>
      <c r="D1077"/>
      <c r="E1077"/>
      <c r="F1077"/>
      <c r="CP1077" s="61"/>
    </row>
    <row r="1078" spans="3:94">
      <c r="C1078"/>
      <c r="D1078"/>
      <c r="E1078"/>
      <c r="F1078"/>
      <c r="CP1078" s="61"/>
    </row>
    <row r="1079" spans="3:94">
      <c r="C1079"/>
      <c r="D1079"/>
      <c r="E1079"/>
      <c r="F1079"/>
      <c r="CP1079" s="61"/>
    </row>
    <row r="1080" spans="3:94">
      <c r="C1080"/>
      <c r="D1080"/>
      <c r="E1080"/>
      <c r="F1080"/>
      <c r="CP1080" s="61"/>
    </row>
    <row r="1081" spans="3:94">
      <c r="C1081"/>
      <c r="D1081"/>
      <c r="E1081"/>
      <c r="F1081"/>
      <c r="CP1081" s="61"/>
    </row>
    <row r="1082" spans="3:94">
      <c r="C1082"/>
      <c r="D1082"/>
      <c r="E1082"/>
      <c r="F1082"/>
      <c r="CP1082" s="61"/>
    </row>
    <row r="1083" spans="3:94">
      <c r="C1083"/>
      <c r="D1083"/>
      <c r="E1083"/>
      <c r="F1083"/>
      <c r="CP1083" s="61"/>
    </row>
    <row r="1084" spans="3:94">
      <c r="C1084"/>
      <c r="D1084"/>
      <c r="E1084"/>
      <c r="F1084"/>
      <c r="CP1084" s="61"/>
    </row>
    <row r="1085" spans="3:94">
      <c r="C1085"/>
      <c r="D1085"/>
      <c r="E1085"/>
      <c r="F1085"/>
      <c r="CP1085" s="61"/>
    </row>
    <row r="1086" spans="3:94">
      <c r="C1086"/>
      <c r="D1086"/>
      <c r="E1086"/>
      <c r="F1086"/>
      <c r="CP1086" s="61"/>
    </row>
    <row r="1087" spans="3:94">
      <c r="C1087"/>
      <c r="D1087"/>
      <c r="E1087"/>
      <c r="F1087"/>
      <c r="CP1087" s="61"/>
    </row>
    <row r="1088" spans="3:94">
      <c r="C1088"/>
      <c r="D1088"/>
      <c r="E1088"/>
      <c r="F1088"/>
      <c r="CP1088" s="61"/>
    </row>
    <row r="1089" spans="3:94">
      <c r="C1089"/>
      <c r="D1089"/>
      <c r="E1089"/>
      <c r="F1089"/>
      <c r="CP1089" s="61"/>
    </row>
    <row r="1090" spans="3:94">
      <c r="C1090"/>
      <c r="D1090"/>
      <c r="E1090"/>
      <c r="F1090"/>
      <c r="CP1090" s="61"/>
    </row>
    <row r="1091" spans="3:94">
      <c r="C1091"/>
      <c r="D1091"/>
      <c r="E1091"/>
      <c r="F1091"/>
      <c r="CP1091" s="61"/>
    </row>
    <row r="1092" spans="3:94">
      <c r="C1092"/>
      <c r="D1092"/>
      <c r="E1092"/>
      <c r="F1092"/>
      <c r="CP1092" s="61"/>
    </row>
    <row r="1093" spans="3:94">
      <c r="C1093"/>
      <c r="D1093"/>
      <c r="E1093"/>
      <c r="F1093"/>
      <c r="CP1093" s="61"/>
    </row>
    <row r="1094" spans="3:94">
      <c r="C1094"/>
      <c r="D1094"/>
      <c r="E1094"/>
      <c r="F1094"/>
      <c r="CP1094" s="61"/>
    </row>
    <row r="1095" spans="3:94">
      <c r="C1095"/>
      <c r="D1095"/>
      <c r="E1095"/>
      <c r="F1095"/>
      <c r="CP1095" s="61"/>
    </row>
    <row r="1096" spans="3:94">
      <c r="C1096"/>
      <c r="D1096"/>
      <c r="E1096"/>
      <c r="F1096"/>
      <c r="CP1096" s="61"/>
    </row>
    <row r="1097" spans="3:94">
      <c r="C1097"/>
      <c r="D1097"/>
      <c r="E1097"/>
      <c r="F1097"/>
      <c r="CP1097" s="61"/>
    </row>
    <row r="1098" spans="3:94">
      <c r="C1098"/>
      <c r="D1098"/>
      <c r="E1098"/>
      <c r="F1098"/>
      <c r="CP1098" s="61"/>
    </row>
    <row r="1099" spans="3:94">
      <c r="C1099"/>
      <c r="D1099"/>
      <c r="E1099"/>
      <c r="F1099"/>
      <c r="CP1099" s="61"/>
    </row>
    <row r="1100" spans="3:94">
      <c r="C1100"/>
      <c r="D1100"/>
      <c r="E1100"/>
      <c r="F1100"/>
      <c r="CP1100" s="61"/>
    </row>
    <row r="1101" spans="3:94">
      <c r="C1101"/>
      <c r="D1101"/>
      <c r="E1101"/>
      <c r="F1101"/>
      <c r="CP1101" s="61"/>
    </row>
    <row r="1102" spans="3:94">
      <c r="C1102"/>
      <c r="D1102"/>
      <c r="E1102"/>
      <c r="F1102"/>
      <c r="CP1102" s="61"/>
    </row>
    <row r="1103" spans="3:94">
      <c r="C1103"/>
      <c r="D1103"/>
      <c r="E1103"/>
      <c r="F1103"/>
      <c r="CP1103" s="61"/>
    </row>
    <row r="1104" spans="3:94">
      <c r="C1104"/>
      <c r="D1104"/>
      <c r="E1104"/>
      <c r="F1104"/>
      <c r="CP1104" s="61"/>
    </row>
    <row r="1105" spans="3:94">
      <c r="C1105"/>
      <c r="D1105"/>
      <c r="E1105"/>
      <c r="F1105"/>
      <c r="CP1105" s="61"/>
    </row>
    <row r="1106" spans="3:94">
      <c r="C1106"/>
      <c r="D1106"/>
      <c r="E1106"/>
      <c r="F1106"/>
      <c r="CP1106" s="61"/>
    </row>
    <row r="1107" spans="3:94">
      <c r="C1107"/>
      <c r="D1107"/>
      <c r="E1107"/>
      <c r="F1107"/>
      <c r="CP1107" s="61"/>
    </row>
    <row r="1108" spans="3:94">
      <c r="C1108"/>
      <c r="D1108"/>
      <c r="E1108"/>
      <c r="F1108"/>
      <c r="CP1108" s="61"/>
    </row>
    <row r="1109" spans="3:94">
      <c r="C1109"/>
      <c r="D1109"/>
      <c r="E1109"/>
      <c r="F1109"/>
      <c r="CP1109" s="61"/>
    </row>
    <row r="1110" spans="3:94">
      <c r="C1110"/>
      <c r="D1110"/>
      <c r="E1110"/>
      <c r="F1110"/>
      <c r="CP1110" s="61"/>
    </row>
    <row r="1111" spans="3:94">
      <c r="C1111"/>
      <c r="D1111"/>
      <c r="E1111"/>
      <c r="F1111"/>
      <c r="CP1111" s="61"/>
    </row>
    <row r="1112" spans="3:94">
      <c r="C1112"/>
      <c r="D1112"/>
      <c r="E1112"/>
      <c r="F1112"/>
      <c r="CP1112" s="61"/>
    </row>
    <row r="1113" spans="3:94">
      <c r="C1113"/>
      <c r="D1113"/>
      <c r="E1113"/>
      <c r="F1113"/>
      <c r="CP1113" s="61"/>
    </row>
    <row r="1114" spans="3:94">
      <c r="C1114"/>
      <c r="D1114"/>
      <c r="E1114"/>
      <c r="F1114"/>
      <c r="CP1114" s="61"/>
    </row>
    <row r="1115" spans="3:94">
      <c r="C1115"/>
      <c r="D1115"/>
      <c r="E1115"/>
      <c r="F1115"/>
      <c r="CP1115" s="61"/>
    </row>
    <row r="1116" spans="3:94">
      <c r="C1116"/>
      <c r="D1116"/>
      <c r="E1116"/>
      <c r="F1116"/>
      <c r="CP1116" s="61"/>
    </row>
    <row r="1117" spans="3:94">
      <c r="C1117"/>
      <c r="D1117"/>
      <c r="E1117"/>
      <c r="F1117"/>
      <c r="CP1117" s="61"/>
    </row>
    <row r="1118" spans="3:94">
      <c r="C1118"/>
      <c r="D1118"/>
      <c r="E1118"/>
      <c r="F1118"/>
      <c r="CP1118" s="61"/>
    </row>
    <row r="1119" spans="3:94">
      <c r="C1119"/>
      <c r="D1119"/>
      <c r="E1119"/>
      <c r="F1119"/>
      <c r="CP1119" s="61"/>
    </row>
    <row r="1120" spans="3:94">
      <c r="C1120"/>
      <c r="D1120"/>
      <c r="E1120"/>
      <c r="F1120"/>
      <c r="CP1120" s="61"/>
    </row>
    <row r="1121" spans="3:94">
      <c r="C1121"/>
      <c r="D1121"/>
      <c r="E1121"/>
      <c r="F1121"/>
      <c r="CP1121" s="61"/>
    </row>
    <row r="1122" spans="3:94">
      <c r="C1122"/>
      <c r="D1122"/>
      <c r="E1122"/>
      <c r="F1122"/>
      <c r="CP1122" s="61"/>
    </row>
    <row r="1123" spans="3:94">
      <c r="C1123"/>
      <c r="D1123"/>
      <c r="E1123"/>
      <c r="F1123"/>
      <c r="CP1123" s="61"/>
    </row>
    <row r="1124" spans="3:94">
      <c r="C1124"/>
      <c r="D1124"/>
      <c r="E1124"/>
      <c r="F1124"/>
      <c r="CP1124" s="61"/>
    </row>
    <row r="1125" spans="3:94">
      <c r="C1125"/>
      <c r="D1125"/>
      <c r="E1125"/>
      <c r="F1125"/>
      <c r="CP1125" s="61"/>
    </row>
    <row r="1126" spans="3:94">
      <c r="C1126"/>
      <c r="D1126"/>
      <c r="E1126"/>
      <c r="F1126"/>
      <c r="CP1126" s="61"/>
    </row>
    <row r="1127" spans="3:94">
      <c r="C1127"/>
      <c r="D1127"/>
      <c r="E1127"/>
      <c r="F1127"/>
      <c r="CP1127" s="61"/>
    </row>
    <row r="1128" spans="3:94">
      <c r="C1128"/>
      <c r="D1128"/>
      <c r="E1128"/>
      <c r="F1128"/>
      <c r="CP1128" s="61"/>
    </row>
    <row r="1129" spans="3:94">
      <c r="C1129"/>
      <c r="D1129"/>
      <c r="E1129"/>
      <c r="F1129"/>
      <c r="CP1129" s="61"/>
    </row>
    <row r="1130" spans="3:94">
      <c r="C1130"/>
      <c r="D1130"/>
      <c r="E1130"/>
      <c r="F1130"/>
      <c r="CP1130" s="61"/>
    </row>
    <row r="1131" spans="3:94">
      <c r="C1131"/>
      <c r="D1131"/>
      <c r="E1131"/>
      <c r="F1131"/>
      <c r="CP1131" s="61"/>
    </row>
    <row r="1132" spans="3:94">
      <c r="C1132"/>
      <c r="D1132"/>
      <c r="E1132"/>
      <c r="F1132"/>
      <c r="CP1132" s="61"/>
    </row>
    <row r="1133" spans="3:94">
      <c r="C1133"/>
      <c r="D1133"/>
      <c r="E1133"/>
      <c r="F1133"/>
      <c r="CP1133" s="61"/>
    </row>
    <row r="1134" spans="3:94">
      <c r="C1134"/>
      <c r="D1134"/>
      <c r="E1134"/>
      <c r="F1134"/>
      <c r="CP1134" s="61"/>
    </row>
    <row r="1135" spans="3:94">
      <c r="C1135"/>
      <c r="D1135"/>
      <c r="E1135"/>
      <c r="F1135"/>
      <c r="CP1135" s="61"/>
    </row>
    <row r="1136" spans="3:94">
      <c r="C1136"/>
      <c r="D1136"/>
      <c r="E1136"/>
      <c r="F1136"/>
      <c r="CP1136" s="61"/>
    </row>
    <row r="1137" spans="3:94">
      <c r="C1137"/>
      <c r="D1137"/>
      <c r="E1137"/>
      <c r="F1137"/>
      <c r="CP1137" s="61"/>
    </row>
    <row r="1138" spans="3:94">
      <c r="C1138"/>
      <c r="D1138"/>
      <c r="E1138"/>
      <c r="F1138"/>
      <c r="CP1138" s="61"/>
    </row>
    <row r="1139" spans="3:94">
      <c r="C1139"/>
      <c r="D1139"/>
      <c r="E1139"/>
      <c r="F1139"/>
      <c r="CP1139" s="61"/>
    </row>
    <row r="1140" spans="3:94">
      <c r="C1140"/>
      <c r="D1140"/>
      <c r="E1140"/>
      <c r="F1140"/>
      <c r="CP1140" s="61"/>
    </row>
    <row r="1141" spans="3:94">
      <c r="C1141"/>
      <c r="D1141"/>
      <c r="E1141"/>
      <c r="F1141"/>
      <c r="CP1141" s="61"/>
    </row>
    <row r="1142" spans="3:94">
      <c r="C1142"/>
      <c r="D1142"/>
      <c r="E1142"/>
      <c r="F1142"/>
      <c r="CP1142" s="61"/>
    </row>
    <row r="1143" spans="3:94">
      <c r="C1143"/>
      <c r="D1143"/>
      <c r="E1143"/>
      <c r="F1143"/>
      <c r="CP1143" s="61"/>
    </row>
    <row r="1144" spans="3:94">
      <c r="C1144"/>
      <c r="D1144"/>
      <c r="E1144"/>
      <c r="F1144"/>
      <c r="CP1144" s="61"/>
    </row>
    <row r="1145" spans="3:94">
      <c r="C1145"/>
      <c r="D1145"/>
      <c r="E1145"/>
      <c r="F1145"/>
      <c r="CP1145" s="61"/>
    </row>
    <row r="1146" spans="3:94">
      <c r="C1146"/>
      <c r="D1146"/>
      <c r="E1146"/>
      <c r="F1146"/>
      <c r="CP1146" s="61"/>
    </row>
    <row r="1147" spans="3:94">
      <c r="C1147"/>
      <c r="D1147"/>
      <c r="E1147"/>
      <c r="F1147"/>
      <c r="CP1147" s="61"/>
    </row>
    <row r="1148" spans="3:94">
      <c r="C1148"/>
      <c r="D1148"/>
      <c r="E1148"/>
      <c r="F1148"/>
      <c r="CP1148" s="61"/>
    </row>
    <row r="1149" spans="3:94">
      <c r="C1149"/>
      <c r="D1149"/>
      <c r="E1149"/>
      <c r="F1149"/>
      <c r="CP1149" s="61"/>
    </row>
    <row r="1150" spans="3:94">
      <c r="C1150"/>
      <c r="D1150"/>
      <c r="E1150"/>
      <c r="F1150"/>
      <c r="CP1150" s="61"/>
    </row>
    <row r="1151" spans="3:94">
      <c r="C1151"/>
      <c r="D1151"/>
      <c r="E1151"/>
      <c r="F1151"/>
      <c r="CP1151" s="61"/>
    </row>
    <row r="1152" spans="3:94">
      <c r="C1152"/>
      <c r="D1152"/>
      <c r="E1152"/>
      <c r="F1152"/>
      <c r="CP1152" s="61"/>
    </row>
    <row r="1153" spans="3:94">
      <c r="C1153"/>
      <c r="D1153"/>
      <c r="E1153"/>
      <c r="F1153"/>
      <c r="CP1153" s="61"/>
    </row>
    <row r="1154" spans="3:94">
      <c r="C1154"/>
      <c r="D1154"/>
      <c r="E1154"/>
      <c r="F1154"/>
      <c r="CP1154" s="61"/>
    </row>
    <row r="1155" spans="3:94">
      <c r="C1155"/>
      <c r="D1155"/>
      <c r="E1155"/>
      <c r="F1155"/>
      <c r="CP1155" s="61"/>
    </row>
    <row r="1156" spans="3:94">
      <c r="C1156"/>
      <c r="D1156"/>
      <c r="E1156"/>
      <c r="F1156"/>
      <c r="CP1156" s="61"/>
    </row>
    <row r="1157" spans="3:94">
      <c r="C1157"/>
      <c r="D1157"/>
      <c r="E1157"/>
      <c r="F1157"/>
      <c r="CP1157" s="61"/>
    </row>
    <row r="1158" spans="3:94">
      <c r="C1158"/>
      <c r="D1158"/>
      <c r="E1158"/>
      <c r="F1158"/>
      <c r="CP1158" s="61"/>
    </row>
    <row r="1159" spans="3:94">
      <c r="C1159"/>
      <c r="D1159"/>
      <c r="E1159"/>
      <c r="F1159"/>
      <c r="CP1159" s="61"/>
    </row>
    <row r="1160" spans="3:94">
      <c r="C1160"/>
      <c r="D1160"/>
      <c r="E1160"/>
      <c r="F1160"/>
      <c r="CP1160" s="61"/>
    </row>
    <row r="1161" spans="3:94">
      <c r="C1161"/>
      <c r="D1161"/>
      <c r="E1161"/>
      <c r="F1161"/>
      <c r="CP1161" s="61"/>
    </row>
    <row r="1162" spans="3:94">
      <c r="C1162"/>
      <c r="D1162"/>
      <c r="E1162"/>
      <c r="F1162"/>
      <c r="CP1162" s="61"/>
    </row>
    <row r="1163" spans="3:94">
      <c r="C1163"/>
      <c r="D1163"/>
      <c r="E1163"/>
      <c r="F1163"/>
      <c r="CP1163" s="61"/>
    </row>
    <row r="1164" spans="3:94">
      <c r="C1164"/>
      <c r="D1164"/>
      <c r="E1164"/>
      <c r="F1164"/>
      <c r="CP1164" s="61"/>
    </row>
    <row r="1165" spans="3:94">
      <c r="C1165"/>
      <c r="D1165"/>
      <c r="E1165"/>
      <c r="F1165"/>
      <c r="CP1165" s="61"/>
    </row>
    <row r="1166" spans="3:94">
      <c r="C1166"/>
      <c r="D1166"/>
      <c r="E1166"/>
      <c r="F1166"/>
      <c r="CP1166" s="61"/>
    </row>
    <row r="1167" spans="3:94">
      <c r="C1167"/>
      <c r="D1167"/>
      <c r="E1167"/>
      <c r="F1167"/>
      <c r="CP1167" s="61"/>
    </row>
    <row r="1168" spans="3:94">
      <c r="C1168"/>
      <c r="D1168"/>
      <c r="E1168"/>
      <c r="F1168"/>
      <c r="CP1168" s="61"/>
    </row>
    <row r="1169" spans="3:94">
      <c r="C1169"/>
      <c r="D1169"/>
      <c r="E1169"/>
      <c r="F1169"/>
      <c r="CP1169" s="61"/>
    </row>
    <row r="1170" spans="3:94">
      <c r="C1170"/>
      <c r="D1170"/>
      <c r="E1170"/>
      <c r="F1170"/>
      <c r="CP1170" s="61"/>
    </row>
    <row r="1171" spans="3:94">
      <c r="C1171"/>
      <c r="D1171"/>
      <c r="E1171"/>
      <c r="F1171"/>
      <c r="CP1171" s="61"/>
    </row>
    <row r="1172" spans="3:94">
      <c r="C1172"/>
      <c r="D1172"/>
      <c r="E1172"/>
      <c r="F1172"/>
      <c r="CP1172" s="61"/>
    </row>
    <row r="1173" spans="3:94">
      <c r="C1173"/>
      <c r="D1173"/>
      <c r="E1173"/>
      <c r="F1173"/>
      <c r="CP1173" s="61"/>
    </row>
    <row r="1174" spans="3:94">
      <c r="C1174"/>
      <c r="D1174"/>
      <c r="E1174"/>
      <c r="F1174"/>
      <c r="CP1174" s="61"/>
    </row>
    <row r="1175" spans="3:94">
      <c r="C1175"/>
      <c r="D1175"/>
      <c r="E1175"/>
      <c r="F1175"/>
      <c r="CP1175" s="61"/>
    </row>
    <row r="1176" spans="3:94">
      <c r="C1176"/>
      <c r="D1176"/>
      <c r="E1176"/>
      <c r="F1176"/>
      <c r="CP1176" s="61"/>
    </row>
    <row r="1177" spans="3:94">
      <c r="C1177"/>
      <c r="D1177"/>
      <c r="E1177"/>
      <c r="F1177"/>
      <c r="CP1177" s="61"/>
    </row>
    <row r="1178" spans="3:94">
      <c r="C1178"/>
      <c r="D1178"/>
      <c r="E1178"/>
      <c r="F1178"/>
      <c r="CP1178" s="61"/>
    </row>
    <row r="1179" spans="3:94">
      <c r="C1179"/>
      <c r="D1179"/>
      <c r="E1179"/>
      <c r="F1179"/>
      <c r="CP1179" s="61"/>
    </row>
    <row r="1180" spans="3:94">
      <c r="C1180"/>
      <c r="D1180"/>
      <c r="E1180"/>
      <c r="F1180"/>
      <c r="CP1180" s="61"/>
    </row>
    <row r="1181" spans="3:94">
      <c r="C1181"/>
      <c r="D1181"/>
      <c r="E1181"/>
      <c r="F1181"/>
      <c r="CP1181" s="61"/>
    </row>
    <row r="1182" spans="3:94">
      <c r="C1182"/>
      <c r="D1182"/>
      <c r="E1182"/>
      <c r="F1182"/>
      <c r="CP1182" s="61"/>
    </row>
    <row r="1183" spans="3:94">
      <c r="C1183"/>
      <c r="D1183"/>
      <c r="E1183"/>
      <c r="F1183"/>
      <c r="CP1183" s="61"/>
    </row>
    <row r="1184" spans="3:94">
      <c r="C1184"/>
      <c r="D1184"/>
      <c r="E1184"/>
      <c r="F1184"/>
      <c r="CP1184" s="61"/>
    </row>
    <row r="1185" spans="3:94">
      <c r="C1185"/>
      <c r="D1185"/>
      <c r="E1185"/>
      <c r="F1185"/>
      <c r="CP1185" s="61"/>
    </row>
    <row r="1186" spans="3:94">
      <c r="C1186"/>
      <c r="D1186"/>
      <c r="E1186"/>
      <c r="F1186"/>
      <c r="CP1186" s="61"/>
    </row>
    <row r="1187" spans="3:94">
      <c r="C1187"/>
      <c r="D1187"/>
      <c r="E1187"/>
      <c r="F1187"/>
      <c r="CP1187" s="61"/>
    </row>
    <row r="1188" spans="3:94">
      <c r="C1188"/>
      <c r="D1188"/>
      <c r="E1188"/>
      <c r="F1188"/>
      <c r="CP1188" s="61"/>
    </row>
    <row r="1189" spans="3:94">
      <c r="C1189"/>
      <c r="D1189"/>
      <c r="E1189"/>
      <c r="F1189"/>
      <c r="CP1189" s="61"/>
    </row>
    <row r="1190" spans="3:94">
      <c r="C1190"/>
      <c r="D1190"/>
      <c r="E1190"/>
      <c r="F1190"/>
      <c r="CP1190" s="61"/>
    </row>
    <row r="1191" spans="3:94">
      <c r="C1191"/>
      <c r="D1191"/>
      <c r="E1191"/>
      <c r="F1191"/>
      <c r="CP1191" s="61"/>
    </row>
    <row r="1192" spans="3:94">
      <c r="C1192"/>
      <c r="D1192"/>
      <c r="E1192"/>
      <c r="F1192"/>
      <c r="CP1192" s="61"/>
    </row>
    <row r="1193" spans="3:94">
      <c r="C1193"/>
      <c r="D1193"/>
      <c r="E1193"/>
      <c r="F1193"/>
      <c r="CP1193" s="61"/>
    </row>
    <row r="1194" spans="3:94">
      <c r="C1194"/>
      <c r="D1194"/>
      <c r="E1194"/>
      <c r="F1194"/>
      <c r="CP1194" s="61"/>
    </row>
    <row r="1195" spans="3:94">
      <c r="C1195"/>
      <c r="D1195"/>
      <c r="E1195"/>
      <c r="F1195"/>
      <c r="CP1195" s="61"/>
    </row>
    <row r="1196" spans="3:94">
      <c r="C1196"/>
      <c r="D1196"/>
      <c r="E1196"/>
      <c r="F1196"/>
      <c r="CP1196" s="61"/>
    </row>
    <row r="1197" spans="3:94">
      <c r="C1197"/>
      <c r="D1197"/>
      <c r="E1197"/>
      <c r="F1197"/>
      <c r="CP1197" s="61"/>
    </row>
    <row r="1198" spans="3:94">
      <c r="C1198"/>
      <c r="D1198"/>
      <c r="E1198"/>
      <c r="F1198"/>
      <c r="CP1198" s="61"/>
    </row>
    <row r="1199" spans="3:94">
      <c r="C1199"/>
      <c r="D1199"/>
      <c r="E1199"/>
      <c r="F1199"/>
      <c r="CP1199" s="61"/>
    </row>
    <row r="1200" spans="3:94">
      <c r="C1200"/>
      <c r="D1200"/>
      <c r="E1200"/>
      <c r="F1200"/>
      <c r="CP1200" s="61"/>
    </row>
    <row r="1201" spans="3:94">
      <c r="C1201"/>
      <c r="D1201"/>
      <c r="E1201"/>
      <c r="F1201"/>
      <c r="CP1201" s="61"/>
    </row>
    <row r="1202" spans="3:94">
      <c r="C1202"/>
      <c r="D1202"/>
      <c r="E1202"/>
      <c r="F1202"/>
      <c r="CP1202" s="61"/>
    </row>
    <row r="1203" spans="3:94">
      <c r="C1203"/>
      <c r="D1203"/>
      <c r="E1203"/>
      <c r="F1203"/>
      <c r="CP1203" s="61"/>
    </row>
    <row r="1204" spans="3:94">
      <c r="C1204"/>
      <c r="D1204"/>
      <c r="E1204"/>
      <c r="F1204"/>
      <c r="CP1204" s="61"/>
    </row>
    <row r="1205" spans="3:94">
      <c r="C1205"/>
      <c r="D1205"/>
      <c r="E1205"/>
      <c r="F1205"/>
      <c r="CP1205" s="61"/>
    </row>
    <row r="1206" spans="3:94">
      <c r="C1206"/>
      <c r="D1206"/>
      <c r="E1206"/>
      <c r="F1206"/>
      <c r="CP1206" s="61"/>
    </row>
    <row r="1207" spans="3:94">
      <c r="C1207"/>
      <c r="D1207"/>
      <c r="E1207"/>
      <c r="F1207"/>
      <c r="CP1207" s="61"/>
    </row>
    <row r="1208" spans="3:94">
      <c r="C1208"/>
      <c r="D1208"/>
      <c r="E1208"/>
      <c r="F1208"/>
      <c r="CP1208" s="61"/>
    </row>
    <row r="1209" spans="3:94">
      <c r="C1209"/>
      <c r="D1209"/>
      <c r="E1209"/>
      <c r="F1209"/>
      <c r="CP1209" s="61"/>
    </row>
    <row r="1210" spans="3:94">
      <c r="C1210"/>
      <c r="D1210"/>
      <c r="E1210"/>
      <c r="F1210"/>
      <c r="CP1210" s="61"/>
    </row>
    <row r="1211" spans="3:94">
      <c r="C1211"/>
      <c r="D1211"/>
      <c r="E1211"/>
      <c r="F1211"/>
      <c r="CP1211" s="61"/>
    </row>
    <row r="1212" spans="3:94">
      <c r="C1212"/>
      <c r="D1212"/>
      <c r="E1212"/>
      <c r="F1212"/>
      <c r="CP1212" s="61"/>
    </row>
    <row r="1213" spans="3:94">
      <c r="C1213"/>
      <c r="D1213"/>
      <c r="E1213"/>
      <c r="F1213"/>
      <c r="CP1213" s="61"/>
    </row>
    <row r="1214" spans="3:94">
      <c r="C1214"/>
      <c r="D1214"/>
      <c r="E1214"/>
      <c r="F1214"/>
      <c r="CP1214" s="61"/>
    </row>
    <row r="1215" spans="3:94">
      <c r="C1215"/>
      <c r="D1215"/>
      <c r="E1215"/>
      <c r="F1215"/>
      <c r="CP1215" s="61"/>
    </row>
    <row r="1216" spans="3:94">
      <c r="C1216"/>
      <c r="D1216"/>
      <c r="E1216"/>
      <c r="F1216"/>
      <c r="CP1216" s="61"/>
    </row>
    <row r="1217" spans="3:94">
      <c r="C1217"/>
      <c r="D1217"/>
      <c r="E1217"/>
      <c r="F1217"/>
      <c r="CP1217" s="61"/>
    </row>
    <row r="1218" spans="3:94">
      <c r="C1218"/>
      <c r="D1218"/>
      <c r="E1218"/>
      <c r="F1218"/>
      <c r="CP1218" s="61"/>
    </row>
    <row r="1219" spans="3:94">
      <c r="C1219"/>
      <c r="D1219"/>
      <c r="E1219"/>
      <c r="F1219"/>
      <c r="CP1219" s="61"/>
    </row>
    <row r="1220" spans="3:94">
      <c r="C1220"/>
      <c r="D1220"/>
      <c r="E1220"/>
      <c r="F1220"/>
      <c r="CP1220" s="61"/>
    </row>
    <row r="1221" spans="3:94">
      <c r="C1221"/>
      <c r="D1221"/>
      <c r="E1221"/>
      <c r="F1221"/>
      <c r="CP1221" s="61"/>
    </row>
    <row r="1222" spans="3:94">
      <c r="C1222"/>
      <c r="D1222"/>
      <c r="E1222"/>
      <c r="F1222"/>
      <c r="CP1222" s="61"/>
    </row>
    <row r="1223" spans="3:94">
      <c r="C1223"/>
      <c r="D1223"/>
      <c r="E1223"/>
      <c r="F1223"/>
      <c r="CP1223" s="61"/>
    </row>
    <row r="1224" spans="3:94">
      <c r="C1224"/>
      <c r="D1224"/>
      <c r="E1224"/>
      <c r="F1224"/>
      <c r="CP1224" s="61"/>
    </row>
    <row r="1225" spans="3:94">
      <c r="C1225"/>
      <c r="D1225"/>
      <c r="E1225"/>
      <c r="F1225"/>
      <c r="CP1225" s="61"/>
    </row>
    <row r="1226" spans="3:94">
      <c r="C1226"/>
      <c r="D1226"/>
      <c r="E1226"/>
      <c r="F1226"/>
      <c r="CP1226" s="61"/>
    </row>
    <row r="1227" spans="3:94">
      <c r="C1227"/>
      <c r="D1227"/>
      <c r="E1227"/>
      <c r="F1227"/>
      <c r="CP1227" s="61"/>
    </row>
    <row r="1228" spans="3:94">
      <c r="C1228"/>
      <c r="D1228"/>
      <c r="E1228"/>
      <c r="F1228"/>
      <c r="CP1228" s="61"/>
    </row>
    <row r="1229" spans="3:94">
      <c r="C1229"/>
      <c r="D1229"/>
      <c r="E1229"/>
      <c r="F1229"/>
      <c r="CP1229" s="61"/>
    </row>
    <row r="1230" spans="3:94">
      <c r="C1230"/>
      <c r="D1230"/>
      <c r="E1230"/>
      <c r="F1230"/>
      <c r="CP1230" s="61"/>
    </row>
    <row r="1231" spans="3:94">
      <c r="C1231"/>
      <c r="D1231"/>
      <c r="E1231"/>
      <c r="F1231"/>
      <c r="CP1231" s="61"/>
    </row>
    <row r="1232" spans="3:94">
      <c r="C1232"/>
      <c r="D1232"/>
      <c r="E1232"/>
      <c r="F1232"/>
      <c r="CP1232" s="61"/>
    </row>
    <row r="1233" spans="3:94">
      <c r="C1233"/>
      <c r="D1233"/>
      <c r="E1233"/>
      <c r="F1233"/>
      <c r="CP1233" s="61"/>
    </row>
    <row r="1234" spans="3:94">
      <c r="C1234"/>
      <c r="D1234"/>
      <c r="E1234"/>
      <c r="F1234"/>
      <c r="CP1234" s="61"/>
    </row>
    <row r="1235" spans="3:94">
      <c r="C1235"/>
      <c r="D1235"/>
      <c r="E1235"/>
      <c r="F1235"/>
      <c r="CP1235" s="61"/>
    </row>
    <row r="1236" spans="3:94">
      <c r="C1236"/>
      <c r="D1236"/>
      <c r="E1236"/>
      <c r="F1236"/>
      <c r="CP1236" s="61"/>
    </row>
    <row r="1237" spans="3:94">
      <c r="C1237"/>
      <c r="D1237"/>
      <c r="E1237"/>
      <c r="F1237"/>
      <c r="CP1237" s="61"/>
    </row>
    <row r="1238" spans="3:94">
      <c r="C1238"/>
      <c r="D1238"/>
      <c r="E1238"/>
      <c r="F1238"/>
      <c r="CP1238" s="61"/>
    </row>
    <row r="1239" spans="3:94">
      <c r="C1239"/>
      <c r="D1239"/>
      <c r="E1239"/>
      <c r="F1239"/>
      <c r="CP1239" s="61"/>
    </row>
    <row r="1240" spans="3:94">
      <c r="C1240"/>
      <c r="D1240"/>
      <c r="E1240"/>
      <c r="F1240"/>
      <c r="CP1240" s="61"/>
    </row>
    <row r="1241" spans="3:94">
      <c r="C1241"/>
      <c r="D1241"/>
      <c r="E1241"/>
      <c r="F1241"/>
      <c r="CP1241" s="61"/>
    </row>
    <row r="1242" spans="3:94">
      <c r="C1242"/>
      <c r="D1242"/>
      <c r="E1242"/>
      <c r="F1242"/>
      <c r="CP1242" s="61"/>
    </row>
    <row r="1243" spans="3:94">
      <c r="C1243"/>
      <c r="D1243"/>
      <c r="E1243"/>
      <c r="F1243"/>
      <c r="CP1243" s="61"/>
    </row>
    <row r="1244" spans="3:94">
      <c r="C1244"/>
      <c r="D1244"/>
      <c r="E1244"/>
      <c r="F1244"/>
      <c r="CP1244" s="61"/>
    </row>
    <row r="1245" spans="3:94">
      <c r="C1245"/>
      <c r="D1245"/>
      <c r="E1245"/>
      <c r="F1245"/>
      <c r="CP1245" s="61"/>
    </row>
    <row r="1246" spans="3:94">
      <c r="C1246"/>
      <c r="D1246"/>
      <c r="E1246"/>
      <c r="F1246"/>
      <c r="CP1246" s="61"/>
    </row>
    <row r="1247" spans="3:94">
      <c r="C1247"/>
      <c r="D1247"/>
      <c r="E1247"/>
      <c r="F1247"/>
      <c r="CP1247" s="61"/>
    </row>
    <row r="1248" spans="3:94">
      <c r="C1248"/>
      <c r="D1248"/>
      <c r="E1248"/>
      <c r="F1248"/>
      <c r="CP1248" s="61"/>
    </row>
    <row r="1249" spans="3:94">
      <c r="C1249"/>
      <c r="D1249"/>
      <c r="E1249"/>
      <c r="F1249"/>
      <c r="CP1249" s="61"/>
    </row>
    <row r="1250" spans="3:94">
      <c r="C1250"/>
      <c r="D1250"/>
      <c r="E1250"/>
      <c r="F1250"/>
      <c r="CP1250" s="61"/>
    </row>
    <row r="1251" spans="3:94">
      <c r="C1251"/>
      <c r="D1251"/>
      <c r="E1251"/>
      <c r="F1251"/>
      <c r="CP1251" s="61"/>
    </row>
    <row r="1252" spans="3:94">
      <c r="C1252"/>
      <c r="D1252"/>
      <c r="E1252"/>
      <c r="F1252"/>
      <c r="CP1252" s="61"/>
    </row>
    <row r="1253" spans="3:94">
      <c r="C1253"/>
      <c r="D1253"/>
      <c r="E1253"/>
      <c r="F1253"/>
      <c r="CP1253" s="61"/>
    </row>
    <row r="1254" spans="3:94">
      <c r="C1254"/>
      <c r="D1254"/>
      <c r="E1254"/>
      <c r="F1254"/>
      <c r="CP1254" s="61"/>
    </row>
    <row r="1255" spans="3:94">
      <c r="C1255"/>
      <c r="D1255"/>
      <c r="E1255"/>
      <c r="F1255"/>
      <c r="CP1255" s="61"/>
    </row>
    <row r="1256" spans="3:94">
      <c r="C1256"/>
      <c r="D1256"/>
      <c r="E1256"/>
      <c r="F1256"/>
      <c r="CP1256" s="61"/>
    </row>
    <row r="1257" spans="3:94">
      <c r="C1257"/>
      <c r="D1257"/>
      <c r="E1257"/>
      <c r="F1257"/>
      <c r="CP1257" s="61"/>
    </row>
    <row r="1258" spans="3:94">
      <c r="C1258"/>
      <c r="D1258"/>
      <c r="E1258"/>
      <c r="F1258"/>
      <c r="CP1258" s="61"/>
    </row>
    <row r="1259" spans="3:94">
      <c r="C1259"/>
      <c r="D1259"/>
      <c r="E1259"/>
      <c r="F1259"/>
      <c r="CP1259" s="61"/>
    </row>
    <row r="1260" spans="3:94">
      <c r="C1260"/>
      <c r="D1260"/>
      <c r="E1260"/>
      <c r="F1260"/>
      <c r="CP1260" s="61"/>
    </row>
    <row r="1261" spans="3:94">
      <c r="C1261"/>
      <c r="D1261"/>
      <c r="E1261"/>
      <c r="F1261"/>
      <c r="CP1261" s="61"/>
    </row>
    <row r="1262" spans="3:94">
      <c r="C1262"/>
      <c r="D1262"/>
      <c r="E1262"/>
      <c r="F1262"/>
      <c r="CP1262" s="61"/>
    </row>
    <row r="1263" spans="3:94">
      <c r="C1263"/>
      <c r="D1263"/>
      <c r="E1263"/>
      <c r="F1263"/>
      <c r="CP1263" s="61"/>
    </row>
    <row r="1264" spans="3:94">
      <c r="C1264"/>
      <c r="D1264"/>
      <c r="E1264"/>
      <c r="F1264"/>
      <c r="CP1264" s="61"/>
    </row>
    <row r="1265" spans="3:94">
      <c r="C1265"/>
      <c r="D1265"/>
      <c r="E1265"/>
      <c r="F1265"/>
      <c r="CP1265" s="61"/>
    </row>
    <row r="1266" spans="3:94">
      <c r="C1266"/>
      <c r="D1266"/>
      <c r="E1266"/>
      <c r="F1266"/>
      <c r="CP1266" s="61"/>
    </row>
    <row r="1267" spans="3:94">
      <c r="C1267"/>
      <c r="D1267"/>
      <c r="E1267"/>
      <c r="F1267"/>
      <c r="CP1267" s="61"/>
    </row>
    <row r="1268" spans="3:94">
      <c r="C1268"/>
      <c r="D1268"/>
      <c r="E1268"/>
      <c r="F1268"/>
      <c r="CP1268" s="61"/>
    </row>
    <row r="1269" spans="3:94">
      <c r="C1269"/>
      <c r="D1269"/>
      <c r="E1269"/>
      <c r="F1269"/>
      <c r="CP1269" s="61"/>
    </row>
    <row r="1270" spans="3:94">
      <c r="C1270"/>
      <c r="D1270"/>
      <c r="E1270"/>
      <c r="F1270"/>
      <c r="CP1270" s="61"/>
    </row>
    <row r="1271" spans="3:94">
      <c r="C1271"/>
      <c r="D1271"/>
      <c r="E1271"/>
      <c r="F1271"/>
      <c r="CP1271" s="61"/>
    </row>
    <row r="1272" spans="3:94">
      <c r="C1272"/>
      <c r="D1272"/>
      <c r="E1272"/>
      <c r="F1272"/>
      <c r="CP1272" s="61"/>
    </row>
    <row r="1273" spans="3:94">
      <c r="C1273"/>
      <c r="D1273"/>
      <c r="E1273"/>
      <c r="F1273"/>
      <c r="CP1273" s="61"/>
    </row>
    <row r="1274" spans="3:94">
      <c r="C1274"/>
      <c r="D1274"/>
      <c r="E1274"/>
      <c r="F1274"/>
      <c r="CP1274" s="61"/>
    </row>
    <row r="1275" spans="3:94">
      <c r="C1275"/>
      <c r="D1275"/>
      <c r="E1275"/>
      <c r="F1275"/>
      <c r="CP1275" s="61"/>
    </row>
    <row r="1276" spans="3:94">
      <c r="C1276"/>
      <c r="D1276"/>
      <c r="E1276"/>
      <c r="F1276"/>
      <c r="CP1276" s="61"/>
    </row>
    <row r="1277" spans="3:94">
      <c r="C1277"/>
      <c r="D1277"/>
      <c r="E1277"/>
      <c r="F1277"/>
      <c r="CP1277" s="61"/>
    </row>
    <row r="1278" spans="3:94">
      <c r="C1278"/>
      <c r="D1278"/>
      <c r="E1278"/>
      <c r="F1278"/>
      <c r="CP1278" s="61"/>
    </row>
    <row r="1279" spans="3:94">
      <c r="C1279"/>
      <c r="D1279"/>
      <c r="E1279"/>
      <c r="F1279"/>
      <c r="CP1279" s="61"/>
    </row>
    <row r="1280" spans="3:94">
      <c r="C1280"/>
      <c r="D1280"/>
      <c r="E1280"/>
      <c r="F1280"/>
      <c r="CP1280" s="61"/>
    </row>
    <row r="1281" spans="3:94">
      <c r="C1281"/>
      <c r="D1281"/>
      <c r="E1281"/>
      <c r="F1281"/>
      <c r="CP1281" s="61"/>
    </row>
    <row r="1282" spans="3:94">
      <c r="C1282"/>
      <c r="D1282"/>
      <c r="E1282"/>
      <c r="F1282"/>
      <c r="CP1282" s="61"/>
    </row>
    <row r="1283" spans="3:94">
      <c r="C1283"/>
      <c r="D1283"/>
      <c r="E1283"/>
      <c r="F1283"/>
      <c r="CP1283" s="61"/>
    </row>
    <row r="1284" spans="3:94">
      <c r="C1284"/>
      <c r="D1284"/>
      <c r="E1284"/>
      <c r="F1284"/>
      <c r="CP1284" s="61"/>
    </row>
    <row r="1285" spans="3:94">
      <c r="C1285"/>
      <c r="D1285"/>
      <c r="E1285"/>
      <c r="F1285"/>
      <c r="CP1285" s="61"/>
    </row>
    <row r="1286" spans="3:94">
      <c r="C1286"/>
      <c r="D1286"/>
      <c r="E1286"/>
      <c r="F1286"/>
      <c r="CP1286" s="61"/>
    </row>
    <row r="1287" spans="3:94">
      <c r="C1287"/>
      <c r="D1287"/>
      <c r="E1287"/>
      <c r="F1287"/>
      <c r="CP1287" s="61"/>
    </row>
    <row r="1288" spans="3:94">
      <c r="C1288"/>
      <c r="D1288"/>
      <c r="E1288"/>
      <c r="F1288"/>
      <c r="CP1288" s="61"/>
    </row>
    <row r="1289" spans="3:94">
      <c r="C1289"/>
      <c r="D1289"/>
      <c r="E1289"/>
      <c r="F1289"/>
      <c r="CP1289" s="61"/>
    </row>
    <row r="1290" spans="3:94">
      <c r="C1290"/>
      <c r="D1290"/>
      <c r="E1290"/>
      <c r="F1290"/>
      <c r="CP1290" s="61"/>
    </row>
    <row r="1291" spans="3:94">
      <c r="C1291"/>
      <c r="D1291"/>
      <c r="E1291"/>
      <c r="F1291"/>
      <c r="CP1291" s="61"/>
    </row>
    <row r="1292" spans="3:94">
      <c r="C1292"/>
      <c r="D1292"/>
      <c r="E1292"/>
      <c r="F1292"/>
      <c r="CP1292" s="61"/>
    </row>
    <row r="1293" spans="3:94">
      <c r="C1293"/>
      <c r="D1293"/>
      <c r="E1293"/>
      <c r="F1293"/>
      <c r="CP1293" s="61"/>
    </row>
    <row r="1294" spans="3:94">
      <c r="C1294"/>
      <c r="D1294"/>
      <c r="E1294"/>
      <c r="F1294"/>
      <c r="CP1294" s="61"/>
    </row>
    <row r="1295" spans="3:94">
      <c r="C1295"/>
      <c r="D1295"/>
      <c r="E1295"/>
      <c r="F1295"/>
      <c r="CP1295" s="61"/>
    </row>
    <row r="1296" spans="3:94">
      <c r="C1296"/>
      <c r="D1296"/>
      <c r="E1296"/>
      <c r="F1296"/>
      <c r="CP1296" s="61"/>
    </row>
    <row r="1297" spans="3:94">
      <c r="C1297"/>
      <c r="D1297"/>
      <c r="E1297"/>
      <c r="F1297"/>
      <c r="CP1297" s="61"/>
    </row>
    <row r="1298" spans="3:94">
      <c r="C1298"/>
      <c r="D1298"/>
      <c r="E1298"/>
      <c r="F1298"/>
      <c r="CP1298" s="61"/>
    </row>
    <row r="1299" spans="3:94">
      <c r="C1299"/>
      <c r="D1299"/>
      <c r="E1299"/>
      <c r="F1299"/>
      <c r="CP1299" s="61"/>
    </row>
    <row r="1300" spans="3:94">
      <c r="C1300"/>
      <c r="D1300"/>
      <c r="E1300"/>
      <c r="F1300"/>
      <c r="CP1300" s="61"/>
    </row>
    <row r="1301" spans="3:94">
      <c r="C1301"/>
      <c r="D1301"/>
      <c r="E1301"/>
      <c r="F1301"/>
      <c r="CP1301" s="61"/>
    </row>
    <row r="1302" spans="3:94">
      <c r="C1302"/>
      <c r="D1302"/>
      <c r="E1302"/>
      <c r="F1302"/>
      <c r="CP1302" s="61"/>
    </row>
    <row r="1303" spans="3:94">
      <c r="C1303"/>
      <c r="D1303"/>
      <c r="E1303"/>
      <c r="F1303"/>
      <c r="CP1303" s="61"/>
    </row>
    <row r="1304" spans="3:94">
      <c r="C1304"/>
      <c r="D1304"/>
      <c r="E1304"/>
      <c r="F1304"/>
      <c r="CP1304" s="61"/>
    </row>
    <row r="1305" spans="3:94">
      <c r="C1305"/>
      <c r="D1305"/>
      <c r="E1305"/>
      <c r="F1305"/>
      <c r="CP1305" s="61"/>
    </row>
    <row r="1306" spans="3:94">
      <c r="C1306"/>
      <c r="D1306"/>
      <c r="E1306"/>
      <c r="F1306"/>
      <c r="CP1306" s="61"/>
    </row>
    <row r="1307" spans="3:94">
      <c r="C1307"/>
      <c r="D1307"/>
      <c r="E1307"/>
      <c r="F1307"/>
      <c r="CP1307" s="61"/>
    </row>
    <row r="1308" spans="3:94">
      <c r="C1308"/>
      <c r="D1308"/>
      <c r="E1308"/>
      <c r="F1308"/>
      <c r="CP1308" s="61"/>
    </row>
    <row r="1309" spans="3:94">
      <c r="C1309"/>
      <c r="D1309"/>
      <c r="E1309"/>
      <c r="F1309"/>
      <c r="CP1309" s="61"/>
    </row>
    <row r="1310" spans="3:94">
      <c r="C1310"/>
      <c r="D1310"/>
      <c r="E1310"/>
      <c r="F1310"/>
      <c r="CP1310" s="61"/>
    </row>
    <row r="1311" spans="3:94">
      <c r="C1311"/>
      <c r="D1311"/>
      <c r="E1311"/>
      <c r="F1311"/>
      <c r="CP1311" s="61"/>
    </row>
    <row r="1312" spans="3:94">
      <c r="C1312"/>
      <c r="D1312"/>
      <c r="E1312"/>
      <c r="F1312"/>
      <c r="CP1312" s="61"/>
    </row>
    <row r="1313" spans="3:94">
      <c r="C1313"/>
      <c r="D1313"/>
      <c r="E1313"/>
      <c r="F1313"/>
      <c r="CP1313" s="61"/>
    </row>
    <row r="1314" spans="3:94">
      <c r="C1314"/>
      <c r="D1314"/>
      <c r="E1314"/>
      <c r="F1314"/>
      <c r="CP1314" s="61"/>
    </row>
    <row r="1315" spans="3:94">
      <c r="C1315"/>
      <c r="D1315"/>
      <c r="E1315"/>
      <c r="F1315"/>
      <c r="CP1315" s="61"/>
    </row>
    <row r="1316" spans="3:94">
      <c r="C1316"/>
      <c r="D1316"/>
      <c r="E1316"/>
      <c r="F1316"/>
      <c r="CP1316" s="61"/>
    </row>
    <row r="1317" spans="3:94">
      <c r="C1317"/>
      <c r="D1317"/>
      <c r="E1317"/>
      <c r="F1317"/>
      <c r="CP1317" s="61"/>
    </row>
    <row r="1318" spans="3:94">
      <c r="C1318"/>
      <c r="D1318"/>
      <c r="E1318"/>
      <c r="F1318"/>
      <c r="CP1318" s="61"/>
    </row>
    <row r="1319" spans="3:94">
      <c r="C1319"/>
      <c r="D1319"/>
      <c r="E1319"/>
      <c r="F1319"/>
      <c r="CP1319" s="61"/>
    </row>
    <row r="1320" spans="3:94">
      <c r="C1320"/>
      <c r="D1320"/>
      <c r="E1320"/>
      <c r="F1320"/>
      <c r="CP1320" s="61"/>
    </row>
    <row r="1321" spans="3:94">
      <c r="C1321"/>
      <c r="D1321"/>
      <c r="E1321"/>
      <c r="F1321"/>
      <c r="CP1321" s="61"/>
    </row>
    <row r="1322" spans="3:94">
      <c r="C1322"/>
      <c r="D1322"/>
      <c r="E1322"/>
      <c r="F1322"/>
      <c r="CP1322" s="61"/>
    </row>
    <row r="1323" spans="3:94">
      <c r="C1323"/>
      <c r="D1323"/>
      <c r="E1323"/>
      <c r="F1323"/>
      <c r="CP1323" s="61"/>
    </row>
    <row r="1324" spans="3:94">
      <c r="C1324"/>
      <c r="D1324"/>
      <c r="E1324"/>
      <c r="F1324"/>
      <c r="CP1324" s="61"/>
    </row>
    <row r="1325" spans="3:94">
      <c r="C1325"/>
      <c r="D1325"/>
      <c r="E1325"/>
      <c r="F1325"/>
      <c r="CP1325" s="61"/>
    </row>
    <row r="1326" spans="3:94">
      <c r="C1326"/>
      <c r="D1326"/>
      <c r="E1326"/>
      <c r="F1326"/>
      <c r="CP1326" s="61"/>
    </row>
    <row r="1327" spans="3:94">
      <c r="C1327"/>
      <c r="D1327"/>
      <c r="E1327"/>
      <c r="F1327"/>
      <c r="CP1327" s="61"/>
    </row>
    <row r="1328" spans="3:94">
      <c r="C1328"/>
      <c r="D1328"/>
      <c r="E1328"/>
      <c r="F1328"/>
      <c r="CP1328" s="61"/>
    </row>
    <row r="1329" spans="3:94">
      <c r="C1329"/>
      <c r="D1329"/>
      <c r="E1329"/>
      <c r="F1329"/>
      <c r="CP1329" s="61"/>
    </row>
    <row r="1330" spans="3:94">
      <c r="C1330"/>
      <c r="D1330"/>
      <c r="E1330"/>
      <c r="F1330"/>
      <c r="CP1330" s="61"/>
    </row>
    <row r="1331" spans="3:94">
      <c r="C1331"/>
      <c r="D1331"/>
      <c r="E1331"/>
      <c r="F1331"/>
      <c r="CP1331" s="61"/>
    </row>
    <row r="1332" spans="3:94">
      <c r="C1332"/>
      <c r="D1332"/>
      <c r="E1332"/>
      <c r="F1332"/>
      <c r="CP1332" s="61"/>
    </row>
    <row r="1333" spans="3:94">
      <c r="C1333"/>
      <c r="D1333"/>
      <c r="E1333"/>
      <c r="F1333"/>
      <c r="CP1333" s="61"/>
    </row>
    <row r="1334" spans="3:94">
      <c r="C1334"/>
      <c r="D1334"/>
      <c r="E1334"/>
      <c r="F1334"/>
      <c r="CP1334" s="61"/>
    </row>
    <row r="1335" spans="3:94">
      <c r="C1335"/>
      <c r="D1335"/>
      <c r="E1335"/>
      <c r="F1335"/>
      <c r="CP1335" s="61"/>
    </row>
    <row r="1336" spans="3:94">
      <c r="C1336"/>
      <c r="D1336"/>
      <c r="E1336"/>
      <c r="F1336"/>
      <c r="CP1336" s="61"/>
    </row>
    <row r="1337" spans="3:94">
      <c r="C1337"/>
      <c r="D1337"/>
      <c r="E1337"/>
      <c r="F1337"/>
      <c r="CP1337" s="61"/>
    </row>
    <row r="1338" spans="3:94">
      <c r="C1338"/>
      <c r="D1338"/>
      <c r="E1338"/>
      <c r="F1338"/>
      <c r="CP1338" s="61"/>
    </row>
    <row r="1339" spans="3:94">
      <c r="C1339"/>
      <c r="D1339"/>
      <c r="E1339"/>
      <c r="F1339"/>
      <c r="CP1339" s="61"/>
    </row>
    <row r="1340" spans="3:94">
      <c r="C1340"/>
      <c r="D1340"/>
      <c r="E1340"/>
      <c r="F1340"/>
      <c r="CP1340" s="61"/>
    </row>
    <row r="1341" spans="3:94">
      <c r="C1341"/>
      <c r="D1341"/>
      <c r="E1341"/>
      <c r="F1341"/>
      <c r="CP1341" s="61"/>
    </row>
    <row r="1342" spans="3:94">
      <c r="C1342"/>
      <c r="D1342"/>
      <c r="E1342"/>
      <c r="F1342"/>
      <c r="CP1342" s="61"/>
    </row>
    <row r="1343" spans="3:94">
      <c r="C1343"/>
      <c r="D1343"/>
      <c r="E1343"/>
      <c r="F1343"/>
      <c r="CP1343" s="61"/>
    </row>
    <row r="1344" spans="3:94">
      <c r="C1344"/>
      <c r="D1344"/>
      <c r="E1344"/>
      <c r="F1344"/>
      <c r="CP1344" s="61"/>
    </row>
    <row r="1345" spans="3:94">
      <c r="C1345"/>
      <c r="D1345"/>
      <c r="E1345"/>
      <c r="F1345"/>
      <c r="CP1345" s="61"/>
    </row>
    <row r="1346" spans="3:94">
      <c r="C1346"/>
      <c r="D1346"/>
      <c r="E1346"/>
      <c r="F1346"/>
      <c r="CP1346" s="61"/>
    </row>
    <row r="1347" spans="3:94">
      <c r="C1347"/>
      <c r="D1347"/>
      <c r="E1347"/>
      <c r="F1347"/>
      <c r="CP1347" s="61"/>
    </row>
    <row r="1348" spans="3:94">
      <c r="C1348"/>
      <c r="D1348"/>
      <c r="E1348"/>
      <c r="F1348"/>
      <c r="CP1348" s="61"/>
    </row>
    <row r="1349" spans="3:94">
      <c r="C1349"/>
      <c r="D1349"/>
      <c r="E1349"/>
      <c r="F1349"/>
      <c r="CP1349" s="61"/>
    </row>
    <row r="1350" spans="3:94">
      <c r="C1350"/>
      <c r="D1350"/>
      <c r="E1350"/>
      <c r="F1350"/>
      <c r="CP1350" s="61"/>
    </row>
    <row r="1351" spans="3:94">
      <c r="C1351"/>
      <c r="D1351"/>
      <c r="E1351"/>
      <c r="F1351"/>
      <c r="CP1351" s="61"/>
    </row>
    <row r="1352" spans="3:94">
      <c r="C1352"/>
      <c r="D1352"/>
      <c r="E1352"/>
      <c r="F1352"/>
      <c r="CP1352" s="61"/>
    </row>
    <row r="1353" spans="3:94">
      <c r="C1353"/>
      <c r="D1353"/>
      <c r="E1353"/>
      <c r="F1353"/>
      <c r="CP1353" s="61"/>
    </row>
    <row r="1354" spans="3:94">
      <c r="C1354"/>
      <c r="D1354"/>
      <c r="E1354"/>
      <c r="F1354"/>
      <c r="CP1354" s="61"/>
    </row>
    <row r="1355" spans="3:94">
      <c r="C1355"/>
      <c r="D1355"/>
      <c r="E1355"/>
      <c r="F1355"/>
      <c r="CP1355" s="61"/>
    </row>
    <row r="1356" spans="3:94">
      <c r="C1356"/>
      <c r="D1356"/>
      <c r="E1356"/>
      <c r="F1356"/>
      <c r="CP1356" s="61"/>
    </row>
    <row r="1357" spans="3:94">
      <c r="C1357"/>
      <c r="D1357"/>
      <c r="E1357"/>
      <c r="F1357"/>
      <c r="CP1357" s="61"/>
    </row>
    <row r="1358" spans="3:94">
      <c r="C1358"/>
      <c r="D1358"/>
      <c r="E1358"/>
      <c r="F1358"/>
      <c r="CP1358" s="61"/>
    </row>
    <row r="1359" spans="3:94">
      <c r="C1359"/>
      <c r="D1359"/>
      <c r="E1359"/>
      <c r="F1359"/>
      <c r="CP1359" s="61"/>
    </row>
    <row r="1360" spans="3:94">
      <c r="C1360"/>
      <c r="D1360"/>
      <c r="E1360"/>
      <c r="F1360"/>
      <c r="CP1360" s="61"/>
    </row>
    <row r="1361" spans="3:94">
      <c r="C1361"/>
      <c r="D1361"/>
      <c r="E1361"/>
      <c r="F1361"/>
      <c r="CP1361" s="61"/>
    </row>
    <row r="1362" spans="3:94">
      <c r="C1362"/>
      <c r="D1362"/>
      <c r="E1362"/>
      <c r="F1362"/>
      <c r="CP1362" s="61"/>
    </row>
    <row r="1363" spans="3:94">
      <c r="C1363"/>
      <c r="D1363"/>
      <c r="E1363"/>
      <c r="F1363"/>
      <c r="CP1363" s="61"/>
    </row>
    <row r="1364" spans="3:94">
      <c r="C1364"/>
      <c r="D1364"/>
      <c r="E1364"/>
      <c r="F1364"/>
      <c r="CP1364" s="61"/>
    </row>
    <row r="1365" spans="3:94">
      <c r="C1365"/>
      <c r="D1365"/>
      <c r="E1365"/>
      <c r="F1365"/>
      <c r="CP1365" s="61"/>
    </row>
    <row r="1366" spans="3:94">
      <c r="C1366"/>
      <c r="D1366"/>
      <c r="E1366"/>
      <c r="F1366"/>
      <c r="CP1366" s="61"/>
    </row>
    <row r="1367" spans="3:94">
      <c r="C1367"/>
      <c r="D1367"/>
      <c r="E1367"/>
      <c r="F1367"/>
      <c r="CP1367" s="61"/>
    </row>
    <row r="1368" spans="3:94">
      <c r="C1368"/>
      <c r="D1368"/>
      <c r="E1368"/>
      <c r="F1368"/>
      <c r="CP1368" s="61"/>
    </row>
    <row r="1369" spans="3:94">
      <c r="C1369"/>
      <c r="D1369"/>
      <c r="E1369"/>
      <c r="F1369"/>
      <c r="CP1369" s="61"/>
    </row>
    <row r="1370" spans="3:94">
      <c r="C1370"/>
      <c r="D1370"/>
      <c r="E1370"/>
      <c r="F1370"/>
      <c r="CP1370" s="61"/>
    </row>
    <row r="1371" spans="3:94">
      <c r="C1371"/>
      <c r="D1371"/>
      <c r="E1371"/>
      <c r="F1371"/>
      <c r="CP1371" s="61"/>
    </row>
    <row r="1372" spans="3:94">
      <c r="C1372"/>
      <c r="D1372"/>
      <c r="E1372"/>
      <c r="F1372"/>
      <c r="CP1372" s="61"/>
    </row>
    <row r="1373" spans="3:94">
      <c r="C1373"/>
      <c r="D1373"/>
      <c r="E1373"/>
      <c r="F1373"/>
      <c r="CP1373" s="61"/>
    </row>
    <row r="1374" spans="3:94">
      <c r="C1374"/>
      <c r="D1374"/>
      <c r="E1374"/>
      <c r="F1374"/>
      <c r="CP1374" s="61"/>
    </row>
    <row r="1375" spans="3:94">
      <c r="C1375"/>
      <c r="D1375"/>
      <c r="E1375"/>
      <c r="F1375"/>
      <c r="CP1375" s="61"/>
    </row>
    <row r="1376" spans="3:94">
      <c r="C1376"/>
      <c r="D1376"/>
      <c r="E1376"/>
      <c r="F1376"/>
      <c r="CP1376" s="61"/>
    </row>
    <row r="1377" spans="3:94">
      <c r="C1377"/>
      <c r="D1377"/>
      <c r="E1377"/>
      <c r="F1377"/>
      <c r="CP1377" s="61"/>
    </row>
    <row r="1378" spans="3:94">
      <c r="C1378"/>
      <c r="D1378"/>
      <c r="E1378"/>
      <c r="F1378"/>
      <c r="CP1378" s="61"/>
    </row>
    <row r="1379" spans="3:94">
      <c r="C1379"/>
      <c r="D1379"/>
      <c r="E1379"/>
      <c r="F1379"/>
      <c r="CP1379" s="61"/>
    </row>
    <row r="1380" spans="3:94">
      <c r="C1380"/>
      <c r="D1380"/>
      <c r="E1380"/>
      <c r="F1380"/>
      <c r="CP1380" s="61"/>
    </row>
    <row r="1381" spans="3:94">
      <c r="C1381"/>
      <c r="D1381"/>
      <c r="E1381"/>
      <c r="F1381"/>
      <c r="CP1381" s="61"/>
    </row>
    <row r="1382" spans="3:94">
      <c r="C1382"/>
      <c r="D1382"/>
      <c r="E1382"/>
      <c r="F1382"/>
      <c r="CP1382" s="61"/>
    </row>
    <row r="1383" spans="3:94">
      <c r="C1383"/>
      <c r="D1383"/>
      <c r="E1383"/>
      <c r="F1383"/>
      <c r="CP1383" s="61"/>
    </row>
    <row r="1384" spans="3:94">
      <c r="C1384"/>
      <c r="D1384"/>
      <c r="E1384"/>
      <c r="F1384"/>
      <c r="CP1384" s="61"/>
    </row>
    <row r="1385" spans="3:94">
      <c r="C1385"/>
      <c r="D1385"/>
      <c r="E1385"/>
      <c r="F1385"/>
      <c r="CP1385" s="61"/>
    </row>
    <row r="1386" spans="3:94">
      <c r="C1386"/>
      <c r="D1386"/>
      <c r="E1386"/>
      <c r="F1386"/>
      <c r="CP1386" s="61"/>
    </row>
    <row r="1387" spans="3:94">
      <c r="C1387"/>
      <c r="D1387"/>
      <c r="E1387"/>
      <c r="F1387"/>
      <c r="CP1387" s="61"/>
    </row>
    <row r="1388" spans="3:94">
      <c r="C1388"/>
      <c r="D1388"/>
      <c r="E1388"/>
      <c r="F1388"/>
      <c r="CP1388" s="61"/>
    </row>
    <row r="1389" spans="3:94">
      <c r="C1389"/>
      <c r="D1389"/>
      <c r="E1389"/>
      <c r="F1389"/>
      <c r="CP1389" s="61"/>
    </row>
    <row r="1390" spans="3:94">
      <c r="C1390"/>
      <c r="D1390"/>
      <c r="E1390"/>
      <c r="F1390"/>
      <c r="CP1390" s="61"/>
    </row>
    <row r="1391" spans="3:94">
      <c r="C1391"/>
      <c r="D1391"/>
      <c r="E1391"/>
      <c r="F1391"/>
      <c r="CP1391" s="61"/>
    </row>
    <row r="1392" spans="3:94">
      <c r="C1392"/>
      <c r="D1392"/>
      <c r="E1392"/>
      <c r="F1392"/>
      <c r="CP1392" s="61"/>
    </row>
    <row r="1393" spans="3:94">
      <c r="C1393"/>
      <c r="D1393"/>
      <c r="E1393"/>
      <c r="F1393"/>
      <c r="CP1393" s="61"/>
    </row>
    <row r="1394" spans="3:94">
      <c r="C1394"/>
      <c r="D1394"/>
      <c r="E1394"/>
      <c r="F1394"/>
      <c r="CP1394" s="61"/>
    </row>
    <row r="1395" spans="3:94">
      <c r="C1395"/>
      <c r="D1395"/>
      <c r="E1395"/>
      <c r="F1395"/>
      <c r="CP1395" s="61"/>
    </row>
    <row r="1396" spans="3:94">
      <c r="C1396"/>
      <c r="D1396"/>
      <c r="E1396"/>
      <c r="F1396"/>
      <c r="CP1396" s="61"/>
    </row>
    <row r="1397" spans="3:94">
      <c r="C1397"/>
      <c r="D1397"/>
      <c r="E1397"/>
      <c r="F1397"/>
      <c r="CP1397" s="61"/>
    </row>
    <row r="1398" spans="3:94">
      <c r="C1398"/>
      <c r="D1398"/>
      <c r="E1398"/>
      <c r="F1398"/>
      <c r="CP1398" s="61"/>
    </row>
    <row r="1399" spans="3:94">
      <c r="C1399"/>
      <c r="D1399"/>
      <c r="E1399"/>
      <c r="F1399"/>
      <c r="CP1399" s="61"/>
    </row>
    <row r="1400" spans="3:94">
      <c r="C1400"/>
      <c r="D1400"/>
      <c r="E1400"/>
      <c r="F1400"/>
      <c r="CP1400" s="61"/>
    </row>
    <row r="1401" spans="3:94">
      <c r="C1401"/>
      <c r="D1401"/>
      <c r="E1401"/>
      <c r="F1401"/>
      <c r="CP1401" s="61"/>
    </row>
    <row r="1402" spans="3:94">
      <c r="C1402"/>
      <c r="D1402"/>
      <c r="E1402"/>
      <c r="F1402"/>
      <c r="CP1402" s="61"/>
    </row>
    <row r="1403" spans="3:94">
      <c r="C1403"/>
      <c r="D1403"/>
      <c r="E1403"/>
      <c r="F1403"/>
      <c r="CP1403" s="61"/>
    </row>
    <row r="1404" spans="3:94">
      <c r="C1404"/>
      <c r="D1404"/>
      <c r="E1404"/>
      <c r="F1404"/>
      <c r="CP1404" s="61"/>
    </row>
    <row r="1405" spans="3:94">
      <c r="C1405"/>
      <c r="D1405"/>
      <c r="E1405"/>
      <c r="F1405"/>
      <c r="CP1405" s="61"/>
    </row>
    <row r="1406" spans="3:94">
      <c r="C1406"/>
      <c r="D1406"/>
      <c r="E1406"/>
      <c r="F1406"/>
      <c r="CP1406" s="61"/>
    </row>
    <row r="1407" spans="3:94">
      <c r="C1407"/>
      <c r="D1407"/>
      <c r="E1407"/>
      <c r="F1407"/>
      <c r="CP1407" s="61"/>
    </row>
    <row r="1408" spans="3:94">
      <c r="C1408"/>
      <c r="D1408"/>
      <c r="E1408"/>
      <c r="F1408"/>
      <c r="CP1408" s="61"/>
    </row>
    <row r="1409" spans="3:94">
      <c r="C1409"/>
      <c r="D1409"/>
      <c r="E1409"/>
      <c r="F1409"/>
      <c r="CP1409" s="61"/>
    </row>
    <row r="1410" spans="3:94">
      <c r="C1410"/>
      <c r="D1410"/>
      <c r="E1410"/>
      <c r="F1410"/>
      <c r="CP1410" s="61"/>
    </row>
    <row r="1411" spans="3:94">
      <c r="C1411"/>
      <c r="D1411"/>
      <c r="E1411"/>
      <c r="F1411"/>
      <c r="CP1411" s="61"/>
    </row>
    <row r="1412" spans="3:94">
      <c r="C1412"/>
      <c r="D1412"/>
      <c r="E1412"/>
      <c r="F1412"/>
      <c r="CP1412" s="61"/>
    </row>
    <row r="1413" spans="3:94">
      <c r="C1413"/>
      <c r="D1413"/>
      <c r="E1413"/>
      <c r="F1413"/>
      <c r="CP1413" s="61"/>
    </row>
    <row r="1414" spans="3:94">
      <c r="C1414"/>
      <c r="D1414"/>
      <c r="E1414"/>
      <c r="F1414"/>
      <c r="CP1414" s="61"/>
    </row>
    <row r="1415" spans="3:94">
      <c r="C1415"/>
      <c r="D1415"/>
      <c r="E1415"/>
      <c r="F1415"/>
      <c r="CP1415" s="61"/>
    </row>
    <row r="1416" spans="3:94">
      <c r="C1416"/>
      <c r="D1416"/>
      <c r="E1416"/>
      <c r="F1416"/>
      <c r="CP1416" s="61"/>
    </row>
    <row r="1417" spans="3:94">
      <c r="C1417"/>
      <c r="D1417"/>
      <c r="E1417"/>
      <c r="F1417"/>
      <c r="CP1417" s="61"/>
    </row>
    <row r="1418" spans="3:94">
      <c r="C1418"/>
      <c r="D1418"/>
      <c r="E1418"/>
      <c r="F1418"/>
      <c r="CP1418" s="61"/>
    </row>
    <row r="1419" spans="3:94">
      <c r="C1419"/>
      <c r="D1419"/>
      <c r="E1419"/>
      <c r="F1419"/>
      <c r="CP1419" s="61"/>
    </row>
    <row r="1420" spans="3:94">
      <c r="C1420"/>
      <c r="D1420"/>
      <c r="E1420"/>
      <c r="F1420"/>
      <c r="CP1420" s="61"/>
    </row>
    <row r="1421" spans="3:94">
      <c r="C1421"/>
      <c r="D1421"/>
      <c r="E1421"/>
      <c r="F1421"/>
      <c r="CP1421" s="61"/>
    </row>
    <row r="1422" spans="3:94">
      <c r="C1422"/>
      <c r="D1422"/>
      <c r="E1422"/>
      <c r="F1422"/>
      <c r="CP1422" s="61"/>
    </row>
    <row r="1423" spans="3:94">
      <c r="C1423"/>
      <c r="D1423"/>
      <c r="E1423"/>
      <c r="F1423"/>
      <c r="CP1423" s="61"/>
    </row>
    <row r="1424" spans="3:94">
      <c r="C1424"/>
      <c r="D1424"/>
      <c r="E1424"/>
      <c r="F1424"/>
      <c r="CP1424" s="61"/>
    </row>
    <row r="1425" spans="3:94">
      <c r="C1425"/>
      <c r="D1425"/>
      <c r="E1425"/>
      <c r="F1425"/>
      <c r="CP1425" s="61"/>
    </row>
    <row r="1426" spans="3:94">
      <c r="C1426"/>
      <c r="D1426"/>
      <c r="E1426"/>
      <c r="F1426"/>
      <c r="CP1426" s="61"/>
    </row>
    <row r="1427" spans="3:94">
      <c r="C1427"/>
      <c r="D1427"/>
      <c r="E1427"/>
      <c r="F1427"/>
      <c r="CP1427" s="61"/>
    </row>
    <row r="1428" spans="3:94">
      <c r="C1428"/>
      <c r="D1428"/>
      <c r="E1428"/>
      <c r="F1428"/>
      <c r="CP1428" s="61"/>
    </row>
    <row r="1429" spans="3:94">
      <c r="C1429"/>
      <c r="D1429"/>
      <c r="E1429"/>
      <c r="F1429"/>
      <c r="CP1429" s="61"/>
    </row>
    <row r="1430" spans="3:94">
      <c r="C1430"/>
      <c r="D1430"/>
      <c r="E1430"/>
      <c r="F1430"/>
      <c r="CP1430" s="61"/>
    </row>
    <row r="1431" spans="3:94">
      <c r="C1431"/>
      <c r="D1431"/>
      <c r="E1431"/>
      <c r="F1431"/>
      <c r="CP1431" s="61"/>
    </row>
    <row r="1432" spans="3:94">
      <c r="C1432"/>
      <c r="D1432"/>
      <c r="E1432"/>
      <c r="F1432"/>
      <c r="CP1432" s="61"/>
    </row>
    <row r="1433" spans="3:94">
      <c r="C1433"/>
      <c r="D1433"/>
      <c r="E1433"/>
      <c r="F1433"/>
      <c r="CP1433" s="61"/>
    </row>
    <row r="1434" spans="3:94">
      <c r="C1434"/>
      <c r="D1434"/>
      <c r="E1434"/>
      <c r="F1434"/>
      <c r="CP1434" s="61"/>
    </row>
    <row r="1435" spans="3:94">
      <c r="C1435"/>
      <c r="D1435"/>
      <c r="E1435"/>
      <c r="F1435"/>
      <c r="CP1435" s="61"/>
    </row>
    <row r="1436" spans="3:94">
      <c r="C1436"/>
      <c r="D1436"/>
      <c r="E1436"/>
      <c r="F1436"/>
      <c r="CP1436" s="61"/>
    </row>
    <row r="1437" spans="3:94">
      <c r="C1437"/>
      <c r="D1437"/>
      <c r="E1437"/>
      <c r="F1437"/>
      <c r="CP1437" s="61"/>
    </row>
    <row r="1438" spans="3:94">
      <c r="C1438"/>
      <c r="D1438"/>
      <c r="E1438"/>
      <c r="F1438"/>
      <c r="CP1438" s="61"/>
    </row>
    <row r="1439" spans="3:94">
      <c r="C1439"/>
      <c r="D1439"/>
      <c r="E1439"/>
      <c r="F1439"/>
      <c r="CP1439" s="61"/>
    </row>
    <row r="1440" spans="3:94">
      <c r="C1440"/>
      <c r="D1440"/>
      <c r="E1440"/>
      <c r="F1440"/>
      <c r="CP1440" s="61"/>
    </row>
    <row r="1441" spans="3:94">
      <c r="C1441"/>
      <c r="D1441"/>
      <c r="E1441"/>
      <c r="F1441"/>
      <c r="CP1441" s="61"/>
    </row>
    <row r="1442" spans="3:94">
      <c r="C1442"/>
      <c r="D1442"/>
      <c r="E1442"/>
      <c r="F1442"/>
      <c r="CP1442" s="61"/>
    </row>
    <row r="1443" spans="3:94">
      <c r="C1443"/>
      <c r="D1443"/>
      <c r="E1443"/>
      <c r="F1443"/>
      <c r="CP1443" s="61"/>
    </row>
    <row r="1444" spans="3:94">
      <c r="C1444"/>
      <c r="D1444"/>
      <c r="E1444"/>
      <c r="F1444"/>
      <c r="CP1444" s="61"/>
    </row>
    <row r="1445" spans="3:94">
      <c r="C1445"/>
      <c r="D1445"/>
      <c r="E1445"/>
      <c r="F1445"/>
      <c r="CP1445" s="61"/>
    </row>
    <row r="1446" spans="3:94">
      <c r="C1446"/>
      <c r="D1446"/>
      <c r="E1446"/>
      <c r="F1446"/>
      <c r="CP1446" s="61"/>
    </row>
    <row r="1447" spans="3:94">
      <c r="C1447"/>
      <c r="D1447"/>
      <c r="E1447"/>
      <c r="F1447"/>
      <c r="CP1447" s="61"/>
    </row>
    <row r="1448" spans="3:94">
      <c r="C1448"/>
      <c r="D1448"/>
      <c r="E1448"/>
      <c r="F1448"/>
      <c r="CP1448" s="61"/>
    </row>
    <row r="1449" spans="3:94">
      <c r="C1449"/>
      <c r="D1449"/>
      <c r="E1449"/>
      <c r="F1449"/>
      <c r="CP1449" s="61"/>
    </row>
    <row r="1450" spans="3:94">
      <c r="C1450"/>
      <c r="D1450"/>
      <c r="E1450"/>
      <c r="F1450"/>
      <c r="CP1450" s="61"/>
    </row>
    <row r="1451" spans="3:94">
      <c r="C1451"/>
      <c r="D1451"/>
      <c r="E1451"/>
      <c r="F1451"/>
      <c r="CP1451" s="61"/>
    </row>
    <row r="1452" spans="3:94">
      <c r="C1452"/>
      <c r="D1452"/>
      <c r="E1452"/>
      <c r="F1452"/>
      <c r="CP1452" s="61"/>
    </row>
    <row r="1453" spans="3:94">
      <c r="C1453"/>
      <c r="D1453"/>
      <c r="E1453"/>
      <c r="F1453"/>
      <c r="CP1453" s="61"/>
    </row>
    <row r="1454" spans="3:94">
      <c r="C1454"/>
      <c r="D1454"/>
      <c r="E1454"/>
      <c r="F1454"/>
      <c r="CP1454" s="61"/>
    </row>
    <row r="1455" spans="3:94">
      <c r="C1455"/>
      <c r="D1455"/>
      <c r="E1455"/>
      <c r="F1455"/>
      <c r="CP1455" s="61"/>
    </row>
    <row r="1456" spans="3:94">
      <c r="C1456"/>
      <c r="D1456"/>
      <c r="E1456"/>
      <c r="F1456"/>
      <c r="CP1456" s="61"/>
    </row>
    <row r="1457" spans="3:94">
      <c r="C1457"/>
      <c r="D1457"/>
      <c r="E1457"/>
      <c r="F1457"/>
      <c r="CP1457" s="61"/>
    </row>
    <row r="1458" spans="3:94">
      <c r="C1458"/>
      <c r="D1458"/>
      <c r="E1458"/>
      <c r="F1458"/>
      <c r="CP1458" s="61"/>
    </row>
    <row r="1459" spans="3:94">
      <c r="C1459"/>
      <c r="D1459"/>
      <c r="E1459"/>
      <c r="F1459"/>
      <c r="CP1459" s="61"/>
    </row>
    <row r="1460" spans="3:94">
      <c r="C1460"/>
      <c r="D1460"/>
      <c r="E1460"/>
      <c r="F1460"/>
      <c r="CP1460" s="61"/>
    </row>
    <row r="1461" spans="3:94">
      <c r="C1461"/>
      <c r="D1461"/>
      <c r="E1461"/>
      <c r="F1461"/>
      <c r="CP1461" s="61"/>
    </row>
    <row r="1462" spans="3:94">
      <c r="C1462"/>
      <c r="D1462"/>
      <c r="E1462"/>
      <c r="F1462"/>
      <c r="CP1462" s="61"/>
    </row>
    <row r="1463" spans="3:94">
      <c r="C1463"/>
      <c r="D1463"/>
      <c r="E1463"/>
      <c r="F1463"/>
      <c r="CP1463" s="61"/>
    </row>
    <row r="1464" spans="3:94">
      <c r="C1464"/>
      <c r="D1464"/>
      <c r="E1464"/>
      <c r="F1464"/>
      <c r="CP1464" s="61"/>
    </row>
    <row r="1465" spans="3:94">
      <c r="C1465"/>
      <c r="D1465"/>
      <c r="E1465"/>
      <c r="F1465"/>
      <c r="CP1465" s="61"/>
    </row>
    <row r="1466" spans="3:94">
      <c r="C1466"/>
      <c r="D1466"/>
      <c r="E1466"/>
      <c r="F1466"/>
      <c r="CP1466" s="61"/>
    </row>
    <row r="1467" spans="3:94">
      <c r="C1467"/>
      <c r="D1467"/>
      <c r="E1467"/>
      <c r="F1467"/>
      <c r="CP1467" s="61"/>
    </row>
    <row r="1468" spans="3:94">
      <c r="C1468"/>
      <c r="D1468"/>
      <c r="E1468"/>
      <c r="F1468"/>
      <c r="CP1468" s="61"/>
    </row>
    <row r="1469" spans="3:94">
      <c r="C1469"/>
      <c r="D1469"/>
      <c r="E1469"/>
      <c r="F1469"/>
      <c r="CP1469" s="61"/>
    </row>
    <row r="1470" spans="3:94">
      <c r="C1470"/>
      <c r="D1470"/>
      <c r="E1470"/>
      <c r="F1470"/>
      <c r="CP1470" s="61"/>
    </row>
    <row r="1471" spans="3:94">
      <c r="C1471"/>
      <c r="D1471"/>
      <c r="E1471"/>
      <c r="F1471"/>
      <c r="CP1471" s="61"/>
    </row>
    <row r="1472" spans="3:94">
      <c r="C1472"/>
      <c r="D1472"/>
      <c r="E1472"/>
      <c r="F1472"/>
      <c r="CP1472" s="61"/>
    </row>
    <row r="1473" spans="3:94">
      <c r="C1473"/>
      <c r="D1473"/>
      <c r="E1473"/>
      <c r="F1473"/>
      <c r="CP1473" s="61"/>
    </row>
    <row r="1474" spans="3:94">
      <c r="C1474"/>
      <c r="D1474"/>
      <c r="E1474"/>
      <c r="F1474"/>
      <c r="CP1474" s="61"/>
    </row>
    <row r="1475" spans="3:94">
      <c r="C1475"/>
      <c r="D1475"/>
      <c r="E1475"/>
      <c r="F1475"/>
      <c r="CP1475" s="61"/>
    </row>
    <row r="1476" spans="3:94">
      <c r="C1476"/>
      <c r="D1476"/>
      <c r="E1476"/>
      <c r="F1476"/>
      <c r="CP1476" s="61"/>
    </row>
    <row r="1477" spans="3:94">
      <c r="C1477"/>
      <c r="D1477"/>
      <c r="E1477"/>
      <c r="F1477"/>
      <c r="CP1477" s="61"/>
    </row>
    <row r="1478" spans="3:94">
      <c r="C1478"/>
      <c r="D1478"/>
      <c r="E1478"/>
      <c r="F1478"/>
      <c r="CP1478" s="61"/>
    </row>
    <row r="1479" spans="3:94">
      <c r="C1479"/>
      <c r="D1479"/>
      <c r="E1479"/>
      <c r="F1479"/>
      <c r="CP1479" s="61"/>
    </row>
    <row r="1480" spans="3:94">
      <c r="C1480"/>
      <c r="D1480"/>
      <c r="E1480"/>
      <c r="F1480"/>
      <c r="CP1480" s="61"/>
    </row>
    <row r="1481" spans="3:94">
      <c r="C1481"/>
      <c r="D1481"/>
      <c r="E1481"/>
      <c r="F1481"/>
      <c r="CP1481" s="61"/>
    </row>
    <row r="1482" spans="3:94">
      <c r="C1482"/>
      <c r="D1482"/>
      <c r="E1482"/>
      <c r="F1482"/>
      <c r="CP1482" s="61"/>
    </row>
    <row r="1483" spans="3:94">
      <c r="C1483"/>
      <c r="D1483"/>
      <c r="E1483"/>
      <c r="F1483"/>
      <c r="CP1483" s="61"/>
    </row>
    <row r="1484" spans="3:94">
      <c r="C1484"/>
      <c r="D1484"/>
      <c r="E1484"/>
      <c r="F1484"/>
      <c r="CP1484" s="61"/>
    </row>
    <row r="1485" spans="3:94">
      <c r="C1485"/>
      <c r="D1485"/>
      <c r="E1485"/>
      <c r="F1485"/>
      <c r="CP1485" s="61"/>
    </row>
    <row r="1486" spans="3:94">
      <c r="C1486"/>
      <c r="D1486"/>
      <c r="E1486"/>
      <c r="F1486"/>
      <c r="CP1486" s="61"/>
    </row>
    <row r="1487" spans="3:94">
      <c r="C1487"/>
      <c r="D1487"/>
      <c r="E1487"/>
      <c r="F1487"/>
      <c r="CP1487" s="61"/>
    </row>
    <row r="1488" spans="3:94">
      <c r="C1488"/>
      <c r="D1488"/>
      <c r="E1488"/>
      <c r="F1488"/>
      <c r="CP1488" s="61"/>
    </row>
    <row r="1489" spans="3:94">
      <c r="C1489"/>
      <c r="D1489"/>
      <c r="E1489"/>
      <c r="F1489"/>
      <c r="CP1489" s="61"/>
    </row>
    <row r="1490" spans="3:94">
      <c r="C1490"/>
      <c r="D1490"/>
      <c r="E1490"/>
      <c r="F1490"/>
      <c r="CP1490" s="61"/>
    </row>
    <row r="1491" spans="3:94">
      <c r="C1491"/>
      <c r="D1491"/>
      <c r="E1491"/>
      <c r="F1491"/>
      <c r="CP1491" s="61"/>
    </row>
    <row r="1492" spans="3:94">
      <c r="C1492"/>
      <c r="D1492"/>
      <c r="E1492"/>
      <c r="F1492"/>
      <c r="CP1492" s="61"/>
    </row>
    <row r="1493" spans="3:94">
      <c r="C1493"/>
      <c r="D1493"/>
      <c r="E1493"/>
      <c r="F1493"/>
      <c r="CP1493" s="61"/>
    </row>
    <row r="1494" spans="3:94">
      <c r="C1494"/>
      <c r="D1494"/>
      <c r="E1494"/>
      <c r="F1494"/>
      <c r="CP1494" s="61"/>
    </row>
    <row r="1495" spans="3:94">
      <c r="C1495"/>
      <c r="D1495"/>
      <c r="E1495"/>
      <c r="F1495"/>
      <c r="CP1495" s="61"/>
    </row>
    <row r="1496" spans="3:94">
      <c r="C1496"/>
      <c r="D1496"/>
      <c r="E1496"/>
      <c r="F1496"/>
      <c r="CP1496" s="61"/>
    </row>
    <row r="1497" spans="3:94">
      <c r="C1497"/>
      <c r="D1497"/>
      <c r="E1497"/>
      <c r="F1497"/>
      <c r="CP1497" s="61"/>
    </row>
    <row r="1498" spans="3:94">
      <c r="C1498"/>
      <c r="D1498"/>
      <c r="E1498"/>
      <c r="F1498"/>
      <c r="CP1498" s="61"/>
    </row>
    <row r="1499" spans="3:94">
      <c r="C1499"/>
      <c r="D1499"/>
      <c r="E1499"/>
      <c r="F1499"/>
      <c r="CP1499" s="61"/>
    </row>
    <row r="1500" spans="3:94">
      <c r="C1500"/>
      <c r="D1500"/>
      <c r="E1500"/>
      <c r="F1500"/>
      <c r="CP1500" s="61"/>
    </row>
    <row r="1501" spans="3:94">
      <c r="C1501"/>
      <c r="D1501"/>
      <c r="E1501"/>
      <c r="F1501"/>
      <c r="CP1501" s="61"/>
    </row>
    <row r="1502" spans="3:94">
      <c r="C1502"/>
      <c r="D1502"/>
      <c r="E1502"/>
      <c r="F1502"/>
      <c r="CP1502" s="61"/>
    </row>
    <row r="1503" spans="3:94">
      <c r="C1503"/>
      <c r="D1503"/>
      <c r="E1503"/>
      <c r="F1503"/>
      <c r="CP1503" s="61"/>
    </row>
    <row r="1504" spans="3:94">
      <c r="C1504"/>
      <c r="D1504"/>
      <c r="E1504"/>
      <c r="F1504"/>
      <c r="CP1504" s="61"/>
    </row>
    <row r="1505" spans="3:94">
      <c r="C1505"/>
      <c r="D1505"/>
      <c r="E1505"/>
      <c r="F1505"/>
      <c r="CP1505" s="61"/>
    </row>
    <row r="1506" spans="3:94">
      <c r="C1506"/>
      <c r="D1506"/>
      <c r="E1506"/>
      <c r="F1506"/>
      <c r="CP1506" s="61"/>
    </row>
    <row r="1507" spans="3:94">
      <c r="C1507"/>
      <c r="D1507"/>
      <c r="E1507"/>
      <c r="F1507"/>
      <c r="CP1507" s="61"/>
    </row>
    <row r="1508" spans="3:94">
      <c r="C1508"/>
      <c r="D1508"/>
      <c r="E1508"/>
      <c r="F1508"/>
      <c r="CP1508" s="61"/>
    </row>
    <row r="1509" spans="3:94">
      <c r="C1509"/>
      <c r="D1509"/>
      <c r="E1509"/>
      <c r="F1509"/>
      <c r="CP1509" s="61"/>
    </row>
    <row r="1510" spans="3:94">
      <c r="C1510"/>
      <c r="D1510"/>
      <c r="E1510"/>
      <c r="F1510"/>
      <c r="CP1510" s="61"/>
    </row>
    <row r="1511" spans="3:94">
      <c r="C1511"/>
      <c r="D1511"/>
      <c r="E1511"/>
      <c r="F1511"/>
      <c r="CP1511" s="61"/>
    </row>
    <row r="1512" spans="3:94">
      <c r="C1512"/>
      <c r="D1512"/>
      <c r="E1512"/>
      <c r="F1512"/>
      <c r="CP1512" s="61"/>
    </row>
    <row r="1513" spans="3:94">
      <c r="C1513"/>
      <c r="D1513"/>
      <c r="E1513"/>
      <c r="F1513"/>
      <c r="CP1513" s="61"/>
    </row>
    <row r="1514" spans="3:94">
      <c r="C1514"/>
      <c r="D1514"/>
      <c r="E1514"/>
      <c r="F1514"/>
      <c r="CP1514" s="61"/>
    </row>
    <row r="1515" spans="3:94">
      <c r="C1515"/>
      <c r="D1515"/>
      <c r="E1515"/>
      <c r="F1515"/>
      <c r="CP1515" s="61"/>
    </row>
    <row r="1516" spans="3:94">
      <c r="C1516"/>
      <c r="D1516"/>
      <c r="E1516"/>
      <c r="F1516"/>
      <c r="CP1516" s="61"/>
    </row>
    <row r="1517" spans="3:94">
      <c r="C1517"/>
      <c r="D1517"/>
      <c r="E1517"/>
      <c r="F1517"/>
      <c r="CP1517" s="61"/>
    </row>
    <row r="1518" spans="3:94">
      <c r="C1518"/>
      <c r="D1518"/>
      <c r="E1518"/>
      <c r="F1518"/>
      <c r="CP1518" s="61"/>
    </row>
    <row r="1519" spans="3:94">
      <c r="C1519"/>
      <c r="D1519"/>
      <c r="E1519"/>
      <c r="F1519"/>
      <c r="CP1519" s="61"/>
    </row>
    <row r="1520" spans="3:94">
      <c r="C1520"/>
      <c r="D1520"/>
      <c r="E1520"/>
      <c r="F1520"/>
      <c r="CP1520" s="61"/>
    </row>
    <row r="1521" spans="3:94">
      <c r="C1521"/>
      <c r="D1521"/>
      <c r="E1521"/>
      <c r="F1521"/>
      <c r="CP1521" s="61"/>
    </row>
    <row r="1522" spans="3:94">
      <c r="C1522"/>
      <c r="D1522"/>
      <c r="E1522"/>
      <c r="F1522"/>
      <c r="CP1522" s="61"/>
    </row>
    <row r="1523" spans="3:94">
      <c r="C1523"/>
      <c r="D1523"/>
      <c r="E1523"/>
      <c r="F1523"/>
      <c r="CP1523" s="61"/>
    </row>
    <row r="1524" spans="3:94">
      <c r="C1524"/>
      <c r="D1524"/>
      <c r="E1524"/>
      <c r="F1524"/>
      <c r="CP1524" s="61"/>
    </row>
    <row r="1525" spans="3:94">
      <c r="C1525"/>
      <c r="D1525"/>
      <c r="E1525"/>
      <c r="F1525"/>
      <c r="CP1525" s="61"/>
    </row>
    <row r="1526" spans="3:94">
      <c r="C1526"/>
      <c r="D1526"/>
      <c r="E1526"/>
      <c r="F1526"/>
      <c r="CP1526" s="61"/>
    </row>
    <row r="1527" spans="3:94">
      <c r="C1527"/>
      <c r="D1527"/>
      <c r="E1527"/>
      <c r="F1527"/>
      <c r="CP1527" s="61"/>
    </row>
    <row r="1528" spans="3:94">
      <c r="C1528"/>
      <c r="D1528"/>
      <c r="E1528"/>
      <c r="F1528"/>
      <c r="CP1528" s="61"/>
    </row>
    <row r="1529" spans="3:94">
      <c r="C1529"/>
      <c r="D1529"/>
      <c r="E1529"/>
      <c r="F1529"/>
      <c r="CP1529" s="61"/>
    </row>
    <row r="1530" spans="3:94">
      <c r="C1530"/>
      <c r="D1530"/>
      <c r="E1530"/>
      <c r="F1530"/>
      <c r="CP1530" s="61"/>
    </row>
    <row r="1531" spans="3:94">
      <c r="C1531"/>
      <c r="D1531"/>
      <c r="E1531"/>
      <c r="F1531"/>
      <c r="CP1531" s="61"/>
    </row>
    <row r="1532" spans="3:94">
      <c r="C1532"/>
      <c r="D1532"/>
      <c r="E1532"/>
      <c r="F1532"/>
      <c r="CP1532" s="61"/>
    </row>
    <row r="1533" spans="3:94">
      <c r="C1533"/>
      <c r="D1533"/>
      <c r="E1533"/>
      <c r="F1533"/>
      <c r="CP1533" s="61"/>
    </row>
    <row r="1534" spans="3:94">
      <c r="C1534"/>
      <c r="D1534"/>
      <c r="E1534"/>
      <c r="F1534"/>
      <c r="CP1534" s="61"/>
    </row>
    <row r="1535" spans="3:94">
      <c r="C1535"/>
      <c r="D1535"/>
      <c r="E1535"/>
      <c r="F1535"/>
      <c r="CP1535" s="61"/>
    </row>
    <row r="1536" spans="3:94">
      <c r="C1536"/>
      <c r="D1536"/>
      <c r="E1536"/>
      <c r="F1536"/>
      <c r="CP1536" s="61"/>
    </row>
    <row r="1537" spans="3:94">
      <c r="C1537"/>
      <c r="D1537"/>
      <c r="E1537"/>
      <c r="F1537"/>
      <c r="CP1537" s="61"/>
    </row>
    <row r="1538" spans="3:94">
      <c r="C1538"/>
      <c r="D1538"/>
      <c r="E1538"/>
      <c r="F1538"/>
      <c r="CP1538" s="61"/>
    </row>
    <row r="1539" spans="3:94">
      <c r="C1539"/>
      <c r="D1539"/>
      <c r="E1539"/>
      <c r="F1539"/>
      <c r="CP1539" s="61"/>
    </row>
    <row r="1540" spans="3:94">
      <c r="C1540"/>
      <c r="D1540"/>
      <c r="E1540"/>
      <c r="F1540"/>
      <c r="CP1540" s="61"/>
    </row>
    <row r="1541" spans="3:94">
      <c r="C1541"/>
      <c r="D1541"/>
      <c r="E1541"/>
      <c r="F1541"/>
      <c r="CP1541" s="61"/>
    </row>
    <row r="1542" spans="3:94">
      <c r="C1542"/>
      <c r="D1542"/>
      <c r="E1542"/>
      <c r="F1542"/>
      <c r="CP1542" s="61"/>
    </row>
    <row r="1543" spans="3:94">
      <c r="C1543"/>
      <c r="D1543"/>
      <c r="E1543"/>
      <c r="F1543"/>
      <c r="CP1543" s="61"/>
    </row>
    <row r="1544" spans="3:94">
      <c r="C1544"/>
      <c r="D1544"/>
      <c r="E1544"/>
      <c r="F1544"/>
      <c r="CP1544" s="61"/>
    </row>
    <row r="1545" spans="3:94">
      <c r="C1545"/>
      <c r="D1545"/>
      <c r="E1545"/>
      <c r="F1545"/>
      <c r="CP1545" s="61"/>
    </row>
    <row r="1546" spans="3:94">
      <c r="C1546"/>
      <c r="D1546"/>
      <c r="E1546"/>
      <c r="F1546"/>
      <c r="CP1546" s="61"/>
    </row>
    <row r="1547" spans="3:94">
      <c r="C1547"/>
      <c r="D1547"/>
      <c r="E1547"/>
      <c r="F1547"/>
      <c r="CP1547" s="61"/>
    </row>
    <row r="1548" spans="3:94">
      <c r="C1548"/>
      <c r="D1548"/>
      <c r="E1548"/>
      <c r="F1548"/>
      <c r="CP1548" s="61"/>
    </row>
    <row r="1549" spans="3:94">
      <c r="C1549"/>
      <c r="D1549"/>
      <c r="E1549"/>
      <c r="F1549"/>
      <c r="CP1549" s="61"/>
    </row>
    <row r="1550" spans="3:94">
      <c r="C1550"/>
      <c r="D1550"/>
      <c r="E1550"/>
      <c r="F1550"/>
      <c r="CP1550" s="61"/>
    </row>
    <row r="1551" spans="3:94">
      <c r="C1551"/>
      <c r="D1551"/>
      <c r="E1551"/>
      <c r="F1551"/>
      <c r="CP1551" s="61"/>
    </row>
    <row r="1552" spans="3:94">
      <c r="C1552"/>
      <c r="D1552"/>
      <c r="E1552"/>
      <c r="F1552"/>
      <c r="CP1552" s="61"/>
    </row>
    <row r="1553" spans="3:94">
      <c r="C1553"/>
      <c r="D1553"/>
      <c r="E1553"/>
      <c r="F1553"/>
      <c r="CP1553" s="61"/>
    </row>
    <row r="1554" spans="3:94">
      <c r="C1554"/>
      <c r="D1554"/>
      <c r="E1554"/>
      <c r="F1554"/>
      <c r="CP1554" s="61"/>
    </row>
    <row r="1555" spans="3:94">
      <c r="C1555"/>
      <c r="D1555"/>
      <c r="E1555"/>
      <c r="F1555"/>
      <c r="CP1555" s="61"/>
    </row>
    <row r="1556" spans="3:94">
      <c r="C1556"/>
      <c r="D1556"/>
      <c r="E1556"/>
      <c r="F1556"/>
      <c r="CP1556" s="61"/>
    </row>
    <row r="1557" spans="3:94">
      <c r="C1557"/>
      <c r="D1557"/>
      <c r="E1557"/>
      <c r="F1557"/>
      <c r="CP1557" s="61"/>
    </row>
    <row r="1558" spans="3:94">
      <c r="C1558"/>
      <c r="D1558"/>
      <c r="E1558"/>
      <c r="F1558"/>
      <c r="CP1558" s="61"/>
    </row>
    <row r="1559" spans="3:94">
      <c r="C1559"/>
      <c r="D1559"/>
      <c r="E1559"/>
      <c r="F1559"/>
      <c r="CP1559" s="61"/>
    </row>
    <row r="1560" spans="3:94">
      <c r="C1560"/>
      <c r="D1560"/>
      <c r="E1560"/>
      <c r="F1560"/>
      <c r="CP1560" s="61"/>
    </row>
    <row r="1561" spans="3:94">
      <c r="C1561"/>
      <c r="D1561"/>
      <c r="E1561"/>
      <c r="F1561"/>
      <c r="CP1561" s="61"/>
    </row>
    <row r="1562" spans="3:94">
      <c r="C1562"/>
      <c r="D1562"/>
      <c r="E1562"/>
      <c r="F1562"/>
      <c r="CP1562" s="61"/>
    </row>
    <row r="1563" spans="3:94">
      <c r="C1563"/>
      <c r="D1563"/>
      <c r="E1563"/>
      <c r="F1563"/>
      <c r="CP1563" s="61"/>
    </row>
    <row r="1564" spans="3:94">
      <c r="C1564"/>
      <c r="D1564"/>
      <c r="E1564"/>
      <c r="F1564"/>
      <c r="CP1564" s="61"/>
    </row>
    <row r="1565" spans="3:94">
      <c r="C1565"/>
      <c r="D1565"/>
      <c r="E1565"/>
      <c r="F1565"/>
      <c r="CP1565" s="61"/>
    </row>
    <row r="1566" spans="3:94">
      <c r="C1566"/>
      <c r="D1566"/>
      <c r="E1566"/>
      <c r="F1566"/>
      <c r="CP1566" s="61"/>
    </row>
    <row r="1567" spans="3:94">
      <c r="C1567"/>
      <c r="D1567"/>
      <c r="E1567"/>
      <c r="F1567"/>
      <c r="CP1567" s="61"/>
    </row>
    <row r="1568" spans="3:94">
      <c r="C1568"/>
      <c r="D1568"/>
      <c r="E1568"/>
      <c r="F1568"/>
      <c r="CP1568" s="61"/>
    </row>
    <row r="1569" spans="3:94">
      <c r="C1569"/>
      <c r="D1569"/>
      <c r="E1569"/>
      <c r="F1569"/>
      <c r="CP1569" s="61"/>
    </row>
    <row r="1570" spans="3:94">
      <c r="C1570"/>
      <c r="D1570"/>
      <c r="E1570"/>
      <c r="F1570"/>
      <c r="CP1570" s="61"/>
    </row>
    <row r="1571" spans="3:94">
      <c r="C1571"/>
      <c r="D1571"/>
      <c r="E1571"/>
      <c r="F1571"/>
      <c r="CP1571" s="61"/>
    </row>
    <row r="1572" spans="3:94">
      <c r="C1572"/>
      <c r="D1572"/>
      <c r="E1572"/>
      <c r="F1572"/>
      <c r="CP1572" s="61"/>
    </row>
    <row r="1573" spans="3:94">
      <c r="C1573"/>
      <c r="D1573"/>
      <c r="E1573"/>
      <c r="F1573"/>
      <c r="CP1573" s="61"/>
    </row>
    <row r="1574" spans="3:94">
      <c r="C1574"/>
      <c r="D1574"/>
      <c r="E1574"/>
      <c r="F1574"/>
      <c r="CP1574" s="61"/>
    </row>
    <row r="1575" spans="3:94">
      <c r="C1575"/>
      <c r="D1575"/>
      <c r="E1575"/>
      <c r="F1575"/>
      <c r="CP1575" s="61"/>
    </row>
    <row r="1576" spans="3:94">
      <c r="C1576"/>
      <c r="D1576"/>
      <c r="E1576"/>
      <c r="F1576"/>
      <c r="CP1576" s="61"/>
    </row>
    <row r="1577" spans="3:94">
      <c r="C1577"/>
      <c r="D1577"/>
      <c r="E1577"/>
      <c r="F1577"/>
      <c r="CP1577" s="61"/>
    </row>
    <row r="1578" spans="3:94">
      <c r="C1578"/>
      <c r="D1578"/>
      <c r="E1578"/>
      <c r="F1578"/>
      <c r="CP1578" s="61"/>
    </row>
    <row r="1579" spans="3:94">
      <c r="C1579"/>
      <c r="D1579"/>
      <c r="E1579"/>
      <c r="F1579"/>
      <c r="CP1579" s="61"/>
    </row>
    <row r="1580" spans="3:94">
      <c r="C1580"/>
      <c r="D1580"/>
      <c r="E1580"/>
      <c r="F1580"/>
      <c r="CP1580" s="61"/>
    </row>
    <row r="1581" spans="3:94">
      <c r="C1581"/>
      <c r="D1581"/>
      <c r="E1581"/>
      <c r="F1581"/>
      <c r="CP1581" s="61"/>
    </row>
    <row r="1582" spans="3:94">
      <c r="C1582"/>
      <c r="D1582"/>
      <c r="E1582"/>
      <c r="F1582"/>
      <c r="CP1582" s="61"/>
    </row>
    <row r="1583" spans="3:94">
      <c r="C1583"/>
      <c r="D1583"/>
      <c r="E1583"/>
      <c r="F1583"/>
      <c r="CP1583" s="61"/>
    </row>
    <row r="1584" spans="3:94">
      <c r="C1584"/>
      <c r="D1584"/>
      <c r="E1584"/>
      <c r="F1584"/>
      <c r="CP1584" s="61"/>
    </row>
    <row r="1585" spans="3:94">
      <c r="C1585"/>
      <c r="D1585"/>
      <c r="E1585"/>
      <c r="F1585"/>
      <c r="CP1585" s="61"/>
    </row>
    <row r="1586" spans="3:94">
      <c r="C1586"/>
      <c r="D1586"/>
      <c r="E1586"/>
      <c r="F1586"/>
      <c r="CP1586" s="61"/>
    </row>
    <row r="1587" spans="3:94">
      <c r="C1587"/>
      <c r="D1587"/>
      <c r="E1587"/>
      <c r="F1587"/>
      <c r="CP1587" s="61"/>
    </row>
    <row r="1588" spans="3:94">
      <c r="C1588"/>
      <c r="D1588"/>
      <c r="E1588"/>
      <c r="F1588"/>
      <c r="CP1588" s="61"/>
    </row>
    <row r="1589" spans="3:94">
      <c r="C1589"/>
      <c r="D1589"/>
      <c r="E1589"/>
      <c r="F1589"/>
      <c r="CP1589" s="61"/>
    </row>
    <row r="1590" spans="3:94">
      <c r="C1590"/>
      <c r="D1590"/>
      <c r="E1590"/>
      <c r="F1590"/>
      <c r="CP1590" s="61"/>
    </row>
    <row r="1591" spans="3:94">
      <c r="C1591"/>
      <c r="D1591"/>
      <c r="E1591"/>
      <c r="F1591"/>
      <c r="CP1591" s="61"/>
    </row>
    <row r="1592" spans="3:94">
      <c r="C1592"/>
      <c r="D1592"/>
      <c r="E1592"/>
      <c r="F1592"/>
      <c r="CP1592" s="61"/>
    </row>
    <row r="1593" spans="3:94">
      <c r="C1593"/>
      <c r="D1593"/>
      <c r="E1593"/>
      <c r="F1593"/>
      <c r="CP1593" s="61"/>
    </row>
    <row r="1594" spans="3:94">
      <c r="C1594"/>
      <c r="D1594"/>
      <c r="E1594"/>
      <c r="F1594"/>
      <c r="CP1594" s="61"/>
    </row>
    <row r="1595" spans="3:94">
      <c r="C1595"/>
      <c r="D1595"/>
      <c r="E1595"/>
      <c r="F1595"/>
      <c r="CP1595" s="61"/>
    </row>
    <row r="1596" spans="3:94">
      <c r="C1596"/>
      <c r="D1596"/>
      <c r="E1596"/>
      <c r="F1596"/>
      <c r="CP1596" s="61"/>
    </row>
    <row r="1597" spans="3:94">
      <c r="C1597"/>
      <c r="D1597"/>
      <c r="E1597"/>
      <c r="F1597"/>
      <c r="CP1597" s="61"/>
    </row>
    <row r="1598" spans="3:94">
      <c r="C1598"/>
      <c r="D1598"/>
      <c r="E1598"/>
      <c r="F1598"/>
      <c r="CP1598" s="61"/>
    </row>
    <row r="1599" spans="3:94">
      <c r="C1599"/>
      <c r="D1599"/>
      <c r="E1599"/>
      <c r="F1599"/>
      <c r="CP1599" s="61"/>
    </row>
    <row r="1600" spans="3:94">
      <c r="C1600"/>
      <c r="D1600"/>
      <c r="E1600"/>
      <c r="F1600"/>
      <c r="CP1600" s="61"/>
    </row>
    <row r="1601" spans="3:94">
      <c r="C1601"/>
      <c r="D1601"/>
      <c r="E1601"/>
      <c r="F1601"/>
      <c r="CP1601" s="61"/>
    </row>
    <row r="1602" spans="3:94">
      <c r="C1602"/>
      <c r="D1602"/>
      <c r="E1602"/>
      <c r="F1602"/>
      <c r="CP1602" s="61"/>
    </row>
    <row r="1603" spans="3:94">
      <c r="C1603"/>
      <c r="D1603"/>
      <c r="E1603"/>
      <c r="F1603"/>
      <c r="CP1603" s="61"/>
    </row>
    <row r="1604" spans="3:94">
      <c r="C1604"/>
      <c r="D1604"/>
      <c r="E1604"/>
      <c r="F1604"/>
      <c r="CP1604" s="61"/>
    </row>
    <row r="1605" spans="3:94">
      <c r="C1605"/>
      <c r="D1605"/>
      <c r="E1605"/>
      <c r="F1605"/>
      <c r="CP1605" s="61"/>
    </row>
    <row r="1606" spans="3:94">
      <c r="C1606"/>
      <c r="D1606"/>
      <c r="E1606"/>
      <c r="F1606"/>
      <c r="CP1606" s="61"/>
    </row>
    <row r="1607" spans="3:94">
      <c r="C1607"/>
      <c r="D1607"/>
      <c r="E1607"/>
      <c r="F1607"/>
      <c r="CP1607" s="61"/>
    </row>
    <row r="1608" spans="3:94">
      <c r="C1608"/>
      <c r="D1608"/>
      <c r="E1608"/>
      <c r="F1608"/>
      <c r="CP1608" s="61"/>
    </row>
    <row r="1609" spans="3:94">
      <c r="C1609"/>
      <c r="D1609"/>
      <c r="E1609"/>
      <c r="F1609"/>
      <c r="CP1609" s="61"/>
    </row>
    <row r="1610" spans="3:94">
      <c r="C1610"/>
      <c r="D1610"/>
      <c r="E1610"/>
      <c r="F1610"/>
      <c r="CP1610" s="61"/>
    </row>
    <row r="1611" spans="3:94">
      <c r="C1611"/>
      <c r="D1611"/>
      <c r="E1611"/>
      <c r="F1611"/>
      <c r="CP1611" s="61"/>
    </row>
    <row r="1612" spans="3:94">
      <c r="C1612"/>
      <c r="D1612"/>
      <c r="E1612"/>
      <c r="F1612"/>
      <c r="CP1612" s="61"/>
    </row>
    <row r="1613" spans="3:94">
      <c r="C1613"/>
      <c r="D1613"/>
      <c r="E1613"/>
      <c r="F1613"/>
      <c r="CP1613" s="61"/>
    </row>
    <row r="1614" spans="3:94">
      <c r="C1614"/>
      <c r="D1614"/>
      <c r="E1614"/>
      <c r="F1614"/>
      <c r="CP1614" s="61"/>
    </row>
    <row r="1615" spans="3:94">
      <c r="C1615"/>
      <c r="D1615"/>
      <c r="E1615"/>
      <c r="F1615"/>
      <c r="CP1615" s="61"/>
    </row>
    <row r="1616" spans="3:94">
      <c r="C1616"/>
      <c r="D1616"/>
      <c r="E1616"/>
      <c r="F1616"/>
      <c r="CP1616" s="61"/>
    </row>
    <row r="1617" spans="3:94">
      <c r="C1617"/>
      <c r="D1617"/>
      <c r="E1617"/>
      <c r="F1617"/>
      <c r="CP1617" s="61"/>
    </row>
    <row r="1618" spans="3:94">
      <c r="C1618"/>
      <c r="D1618"/>
      <c r="E1618"/>
      <c r="F1618"/>
      <c r="CP1618" s="61"/>
    </row>
    <row r="1619" spans="3:94">
      <c r="C1619"/>
      <c r="D1619"/>
      <c r="E1619"/>
      <c r="F1619"/>
      <c r="CP1619" s="61"/>
    </row>
    <row r="1620" spans="3:94">
      <c r="C1620"/>
      <c r="D1620"/>
      <c r="E1620"/>
      <c r="F1620"/>
      <c r="CP1620" s="61"/>
    </row>
    <row r="1621" spans="3:94">
      <c r="C1621"/>
      <c r="D1621"/>
      <c r="E1621"/>
      <c r="F1621"/>
      <c r="CP1621" s="61"/>
    </row>
    <row r="1622" spans="3:94">
      <c r="C1622"/>
      <c r="D1622"/>
      <c r="E1622"/>
      <c r="F1622"/>
      <c r="CP1622" s="61"/>
    </row>
    <row r="1623" spans="3:94">
      <c r="C1623"/>
      <c r="D1623"/>
      <c r="E1623"/>
      <c r="F1623"/>
      <c r="CP1623" s="61"/>
    </row>
    <row r="1624" spans="3:94">
      <c r="C1624"/>
      <c r="D1624"/>
      <c r="E1624"/>
      <c r="F1624"/>
      <c r="CP1624" s="61"/>
    </row>
    <row r="1625" spans="3:94">
      <c r="C1625"/>
      <c r="D1625"/>
      <c r="E1625"/>
      <c r="F1625"/>
      <c r="CP1625" s="61"/>
    </row>
    <row r="1626" spans="3:94">
      <c r="C1626"/>
      <c r="D1626"/>
      <c r="E1626"/>
      <c r="F1626"/>
      <c r="CP1626" s="61"/>
    </row>
    <row r="1627" spans="3:94">
      <c r="C1627"/>
      <c r="D1627"/>
      <c r="E1627"/>
      <c r="F1627"/>
      <c r="CP1627" s="61"/>
    </row>
    <row r="1628" spans="3:94">
      <c r="C1628"/>
      <c r="D1628"/>
      <c r="E1628"/>
      <c r="F1628"/>
      <c r="CP1628" s="61"/>
    </row>
    <row r="1629" spans="3:94">
      <c r="C1629"/>
      <c r="D1629"/>
      <c r="E1629"/>
      <c r="F1629"/>
      <c r="CP1629" s="61"/>
    </row>
    <row r="1630" spans="3:94">
      <c r="C1630"/>
      <c r="D1630"/>
      <c r="E1630"/>
      <c r="F1630"/>
      <c r="CP1630" s="61"/>
    </row>
    <row r="1631" spans="3:94">
      <c r="C1631"/>
      <c r="D1631"/>
      <c r="E1631"/>
      <c r="F1631"/>
      <c r="CP1631" s="61"/>
    </row>
    <row r="1632" spans="3:94">
      <c r="C1632"/>
      <c r="D1632"/>
      <c r="E1632"/>
      <c r="F1632"/>
      <c r="CP1632" s="61"/>
    </row>
    <row r="1633" spans="3:94">
      <c r="C1633"/>
      <c r="D1633"/>
      <c r="E1633"/>
      <c r="F1633"/>
      <c r="CP1633" s="61"/>
    </row>
    <row r="1634" spans="3:94">
      <c r="C1634"/>
      <c r="D1634"/>
      <c r="E1634"/>
      <c r="F1634"/>
      <c r="CP1634" s="61"/>
    </row>
    <row r="1635" spans="3:94">
      <c r="C1635"/>
      <c r="D1635"/>
      <c r="E1635"/>
      <c r="F1635"/>
      <c r="CP1635" s="61"/>
    </row>
    <row r="1636" spans="3:94">
      <c r="C1636"/>
      <c r="D1636"/>
      <c r="E1636"/>
      <c r="F1636"/>
      <c r="CP1636" s="61"/>
    </row>
    <row r="1637" spans="3:94">
      <c r="C1637"/>
      <c r="D1637"/>
      <c r="E1637"/>
      <c r="F1637"/>
      <c r="CP1637" s="61"/>
    </row>
    <row r="1638" spans="3:94">
      <c r="C1638"/>
      <c r="D1638"/>
      <c r="E1638"/>
      <c r="F1638"/>
      <c r="CP1638" s="61"/>
    </row>
    <row r="1639" spans="3:94">
      <c r="C1639"/>
      <c r="D1639"/>
      <c r="E1639"/>
      <c r="F1639"/>
      <c r="CP1639" s="61"/>
    </row>
    <row r="1640" spans="3:94">
      <c r="C1640"/>
      <c r="D1640"/>
      <c r="E1640"/>
      <c r="F1640"/>
      <c r="CP1640" s="61"/>
    </row>
    <row r="1641" spans="3:94">
      <c r="C1641"/>
      <c r="D1641"/>
      <c r="E1641"/>
      <c r="F1641"/>
      <c r="CP1641" s="61"/>
    </row>
    <row r="1642" spans="3:94">
      <c r="C1642"/>
      <c r="D1642"/>
      <c r="E1642"/>
      <c r="F1642"/>
      <c r="CP1642" s="61"/>
    </row>
    <row r="1643" spans="3:94">
      <c r="C1643"/>
      <c r="D1643"/>
      <c r="E1643"/>
      <c r="F1643"/>
      <c r="CP1643" s="61"/>
    </row>
    <row r="1644" spans="3:94">
      <c r="C1644"/>
      <c r="D1644"/>
      <c r="E1644"/>
      <c r="F1644"/>
      <c r="CP1644" s="61"/>
    </row>
    <row r="1645" spans="3:94">
      <c r="C1645"/>
      <c r="D1645"/>
      <c r="E1645"/>
      <c r="F1645"/>
      <c r="CP1645" s="61"/>
    </row>
    <row r="1646" spans="3:94">
      <c r="C1646"/>
      <c r="D1646"/>
      <c r="E1646"/>
      <c r="F1646"/>
      <c r="CP1646" s="61"/>
    </row>
    <row r="1647" spans="3:94">
      <c r="C1647"/>
      <c r="D1647"/>
      <c r="E1647"/>
      <c r="F1647"/>
      <c r="CP1647" s="61"/>
    </row>
    <row r="1648" spans="3:94">
      <c r="C1648"/>
      <c r="D1648"/>
      <c r="E1648"/>
      <c r="F1648"/>
      <c r="CP1648" s="61"/>
    </row>
    <row r="1649" spans="3:94">
      <c r="C1649"/>
      <c r="D1649"/>
      <c r="E1649"/>
      <c r="F1649"/>
      <c r="CP1649" s="61"/>
    </row>
    <row r="1650" spans="3:94">
      <c r="C1650"/>
      <c r="D1650"/>
      <c r="E1650"/>
      <c r="F1650"/>
      <c r="CP1650" s="61"/>
    </row>
    <row r="1651" spans="3:94">
      <c r="C1651"/>
      <c r="D1651"/>
      <c r="E1651"/>
      <c r="F1651"/>
      <c r="CP1651" s="61"/>
    </row>
    <row r="1652" spans="3:94">
      <c r="C1652"/>
      <c r="D1652"/>
      <c r="E1652"/>
      <c r="F1652"/>
      <c r="CP1652" s="61"/>
    </row>
    <row r="1653" spans="3:94">
      <c r="C1653"/>
      <c r="D1653"/>
      <c r="E1653"/>
      <c r="F1653"/>
      <c r="CP1653" s="61"/>
    </row>
    <row r="1654" spans="3:94">
      <c r="C1654"/>
      <c r="D1654"/>
      <c r="E1654"/>
      <c r="F1654"/>
      <c r="CP1654" s="61"/>
    </row>
    <row r="1655" spans="3:94">
      <c r="C1655"/>
      <c r="D1655"/>
      <c r="E1655"/>
      <c r="F1655"/>
      <c r="CP1655" s="61"/>
    </row>
    <row r="1656" spans="3:94">
      <c r="C1656"/>
      <c r="D1656"/>
      <c r="E1656"/>
      <c r="F1656"/>
      <c r="CP1656" s="61"/>
    </row>
    <row r="1657" spans="3:94">
      <c r="C1657"/>
      <c r="D1657"/>
      <c r="E1657"/>
      <c r="F1657"/>
      <c r="CP1657" s="61"/>
    </row>
    <row r="1658" spans="3:94">
      <c r="C1658"/>
      <c r="D1658"/>
      <c r="E1658"/>
      <c r="F1658"/>
      <c r="CP1658" s="61"/>
    </row>
    <row r="1659" spans="3:94">
      <c r="C1659"/>
      <c r="D1659"/>
      <c r="E1659"/>
      <c r="F1659"/>
      <c r="CP1659" s="61"/>
    </row>
    <row r="1660" spans="3:94">
      <c r="C1660"/>
      <c r="D1660"/>
      <c r="E1660"/>
      <c r="F1660"/>
      <c r="CP1660" s="61"/>
    </row>
    <row r="1661" spans="3:94">
      <c r="C1661"/>
      <c r="D1661"/>
      <c r="E1661"/>
      <c r="F1661"/>
      <c r="CP1661" s="61"/>
    </row>
    <row r="1662" spans="3:94">
      <c r="C1662"/>
      <c r="D1662"/>
      <c r="E1662"/>
      <c r="F1662"/>
      <c r="CP1662" s="61"/>
    </row>
    <row r="1663" spans="3:94">
      <c r="C1663"/>
      <c r="D1663"/>
      <c r="E1663"/>
      <c r="F1663"/>
      <c r="CP1663" s="61"/>
    </row>
    <row r="1664" spans="3:94">
      <c r="C1664"/>
      <c r="D1664"/>
      <c r="E1664"/>
      <c r="F1664"/>
      <c r="CP1664" s="61"/>
    </row>
    <row r="1665" spans="3:94">
      <c r="C1665"/>
      <c r="D1665"/>
      <c r="E1665"/>
      <c r="F1665"/>
      <c r="CP1665" s="61"/>
    </row>
    <row r="1666" spans="3:94">
      <c r="C1666"/>
      <c r="D1666"/>
      <c r="E1666"/>
      <c r="F1666"/>
      <c r="CP1666" s="61"/>
    </row>
    <row r="1667" spans="3:94">
      <c r="C1667"/>
      <c r="D1667"/>
      <c r="E1667"/>
      <c r="F1667"/>
      <c r="CP1667" s="61"/>
    </row>
    <row r="1668" spans="3:94">
      <c r="C1668"/>
      <c r="D1668"/>
      <c r="E1668"/>
      <c r="F1668"/>
      <c r="CP1668" s="61"/>
    </row>
    <row r="1669" spans="3:94">
      <c r="C1669"/>
      <c r="D1669"/>
      <c r="E1669"/>
      <c r="F1669"/>
      <c r="CP1669" s="61"/>
    </row>
    <row r="1670" spans="3:94">
      <c r="C1670"/>
      <c r="D1670"/>
      <c r="E1670"/>
      <c r="F1670"/>
      <c r="CP1670" s="61"/>
    </row>
    <row r="1671" spans="3:94">
      <c r="C1671"/>
      <c r="D1671"/>
      <c r="E1671"/>
      <c r="F1671"/>
      <c r="CP1671" s="61"/>
    </row>
    <row r="1672" spans="3:94">
      <c r="C1672"/>
      <c r="D1672"/>
      <c r="E1672"/>
      <c r="F1672"/>
      <c r="CP1672" s="61"/>
    </row>
    <row r="1673" spans="3:94">
      <c r="C1673"/>
      <c r="D1673"/>
      <c r="E1673"/>
      <c r="F1673"/>
      <c r="CP1673" s="61"/>
    </row>
    <row r="1674" spans="3:94">
      <c r="C1674"/>
      <c r="D1674"/>
      <c r="E1674"/>
      <c r="F1674"/>
      <c r="CP1674" s="61"/>
    </row>
    <row r="1675" spans="3:94">
      <c r="C1675"/>
      <c r="D1675"/>
      <c r="E1675"/>
      <c r="F1675"/>
      <c r="CP1675" s="61"/>
    </row>
    <row r="1676" spans="3:94">
      <c r="C1676"/>
      <c r="D1676"/>
      <c r="E1676"/>
      <c r="F1676"/>
      <c r="CP1676" s="61"/>
    </row>
    <row r="1677" spans="3:94">
      <c r="C1677"/>
      <c r="D1677"/>
      <c r="E1677"/>
      <c r="F1677"/>
      <c r="CP1677" s="61"/>
    </row>
    <row r="1678" spans="3:94">
      <c r="C1678"/>
      <c r="D1678"/>
      <c r="E1678"/>
      <c r="F1678"/>
      <c r="CP1678" s="61"/>
    </row>
    <row r="1679" spans="3:94">
      <c r="C1679"/>
      <c r="D1679"/>
      <c r="E1679"/>
      <c r="F1679"/>
      <c r="CP1679" s="61"/>
    </row>
    <row r="1680" spans="3:94">
      <c r="C1680"/>
      <c r="D1680"/>
      <c r="E1680"/>
      <c r="F1680"/>
      <c r="CP1680" s="61"/>
    </row>
    <row r="1681" spans="3:94">
      <c r="C1681"/>
      <c r="D1681"/>
      <c r="E1681"/>
      <c r="F1681"/>
      <c r="CP1681" s="61"/>
    </row>
    <row r="1682" spans="3:94">
      <c r="C1682"/>
      <c r="D1682"/>
      <c r="E1682"/>
      <c r="F1682"/>
      <c r="CP1682" s="61"/>
    </row>
    <row r="1683" spans="3:94">
      <c r="C1683"/>
      <c r="D1683"/>
      <c r="E1683"/>
      <c r="F1683"/>
      <c r="CP1683" s="61"/>
    </row>
    <row r="1684" spans="3:94">
      <c r="C1684"/>
      <c r="D1684"/>
      <c r="E1684"/>
      <c r="F1684"/>
      <c r="CP1684" s="61"/>
    </row>
    <row r="1685" spans="3:94">
      <c r="C1685"/>
      <c r="D1685"/>
      <c r="E1685"/>
      <c r="F1685"/>
      <c r="CP1685" s="61"/>
    </row>
    <row r="1686" spans="3:94">
      <c r="C1686"/>
      <c r="D1686"/>
      <c r="E1686"/>
      <c r="F1686"/>
      <c r="CP1686" s="61"/>
    </row>
    <row r="1687" spans="3:94">
      <c r="C1687"/>
      <c r="D1687"/>
      <c r="E1687"/>
      <c r="F1687"/>
      <c r="CP1687" s="61"/>
    </row>
    <row r="1688" spans="3:94">
      <c r="C1688"/>
      <c r="D1688"/>
      <c r="E1688"/>
      <c r="F1688"/>
      <c r="CP1688" s="61"/>
    </row>
    <row r="1689" spans="3:94">
      <c r="C1689"/>
      <c r="D1689"/>
      <c r="E1689"/>
      <c r="F1689"/>
      <c r="CP1689" s="61"/>
    </row>
    <row r="1690" spans="3:94">
      <c r="C1690"/>
      <c r="D1690"/>
      <c r="E1690"/>
      <c r="F1690"/>
      <c r="CP1690" s="61"/>
    </row>
    <row r="1691" spans="3:94">
      <c r="C1691"/>
      <c r="D1691"/>
      <c r="E1691"/>
      <c r="F1691"/>
      <c r="CP1691" s="61"/>
    </row>
    <row r="1692" spans="3:94">
      <c r="C1692"/>
      <c r="D1692"/>
      <c r="E1692"/>
      <c r="F1692"/>
      <c r="CP1692" s="61"/>
    </row>
    <row r="1693" spans="3:94">
      <c r="C1693"/>
      <c r="D1693"/>
      <c r="E1693"/>
      <c r="F1693"/>
      <c r="CP1693" s="61"/>
    </row>
    <row r="1694" spans="3:94">
      <c r="C1694"/>
      <c r="D1694"/>
      <c r="E1694"/>
      <c r="F1694"/>
      <c r="CP1694" s="61"/>
    </row>
    <row r="1695" spans="3:94">
      <c r="C1695"/>
      <c r="D1695"/>
      <c r="E1695"/>
      <c r="F1695"/>
      <c r="CP1695" s="61"/>
    </row>
    <row r="1696" spans="3:94">
      <c r="C1696"/>
      <c r="D1696"/>
      <c r="E1696"/>
      <c r="F1696"/>
      <c r="CP1696" s="61"/>
    </row>
    <row r="1697" spans="3:94">
      <c r="C1697"/>
      <c r="D1697"/>
      <c r="E1697"/>
      <c r="F1697"/>
      <c r="CP1697" s="61"/>
    </row>
    <row r="1698" spans="3:94">
      <c r="C1698"/>
      <c r="D1698"/>
      <c r="E1698"/>
      <c r="F1698"/>
      <c r="CP1698" s="61"/>
    </row>
    <row r="1699" spans="3:94">
      <c r="C1699"/>
      <c r="D1699"/>
      <c r="E1699"/>
      <c r="F1699"/>
      <c r="CP1699" s="61"/>
    </row>
    <row r="1700" spans="3:94">
      <c r="C1700"/>
      <c r="D1700"/>
      <c r="E1700"/>
      <c r="F1700"/>
      <c r="CP1700" s="61"/>
    </row>
    <row r="1701" spans="3:94">
      <c r="C1701"/>
      <c r="D1701"/>
      <c r="E1701"/>
      <c r="F1701"/>
      <c r="CP1701" s="61"/>
    </row>
    <row r="1702" spans="3:94">
      <c r="C1702"/>
      <c r="D1702"/>
      <c r="E1702"/>
      <c r="F1702"/>
      <c r="CP1702" s="61"/>
    </row>
    <row r="1703" spans="3:94">
      <c r="C1703"/>
      <c r="D1703"/>
      <c r="E1703"/>
      <c r="F1703"/>
      <c r="CP1703" s="61"/>
    </row>
    <row r="1704" spans="3:94">
      <c r="C1704"/>
      <c r="D1704"/>
      <c r="E1704"/>
      <c r="F1704"/>
      <c r="CP1704" s="61"/>
    </row>
    <row r="1705" spans="3:94">
      <c r="C1705"/>
      <c r="D1705"/>
      <c r="E1705"/>
      <c r="F1705"/>
      <c r="CP1705" s="61"/>
    </row>
    <row r="1706" spans="3:94">
      <c r="C1706"/>
      <c r="D1706"/>
      <c r="E1706"/>
      <c r="F1706"/>
      <c r="CP1706" s="61"/>
    </row>
    <row r="1707" spans="3:94">
      <c r="C1707"/>
      <c r="D1707"/>
      <c r="E1707"/>
      <c r="F1707"/>
      <c r="CP1707" s="61"/>
    </row>
    <row r="1708" spans="3:94">
      <c r="C1708"/>
      <c r="D1708"/>
      <c r="E1708"/>
      <c r="F1708"/>
      <c r="CP1708" s="61"/>
    </row>
    <row r="1709" spans="3:94">
      <c r="C1709"/>
      <c r="D1709"/>
      <c r="E1709"/>
      <c r="F1709"/>
      <c r="CP1709" s="61"/>
    </row>
    <row r="1710" spans="3:94">
      <c r="C1710"/>
      <c r="D1710"/>
      <c r="E1710"/>
      <c r="F1710"/>
      <c r="CP1710" s="61"/>
    </row>
    <row r="1711" spans="3:94">
      <c r="C1711"/>
      <c r="D1711"/>
      <c r="E1711"/>
      <c r="F1711"/>
      <c r="CP1711" s="61"/>
    </row>
    <row r="1712" spans="3:94">
      <c r="C1712"/>
      <c r="D1712"/>
      <c r="E1712"/>
      <c r="F1712"/>
      <c r="CP1712" s="61"/>
    </row>
    <row r="1713" spans="3:94">
      <c r="C1713"/>
      <c r="D1713"/>
      <c r="E1713"/>
      <c r="F1713"/>
      <c r="CP1713" s="61"/>
    </row>
    <row r="1714" spans="3:94">
      <c r="C1714"/>
      <c r="D1714"/>
      <c r="E1714"/>
      <c r="F1714"/>
      <c r="CP1714" s="61"/>
    </row>
    <row r="1715" spans="3:94">
      <c r="C1715"/>
      <c r="D1715"/>
      <c r="E1715"/>
      <c r="F1715"/>
      <c r="CP1715" s="61"/>
    </row>
    <row r="1716" spans="3:94">
      <c r="C1716"/>
      <c r="D1716"/>
      <c r="E1716"/>
      <c r="F1716"/>
      <c r="CP1716" s="61"/>
    </row>
    <row r="1717" spans="3:94">
      <c r="C1717"/>
      <c r="D1717"/>
      <c r="E1717"/>
      <c r="F1717"/>
      <c r="CP1717" s="61"/>
    </row>
    <row r="1718" spans="3:94">
      <c r="C1718"/>
      <c r="D1718"/>
      <c r="E1718"/>
      <c r="F1718"/>
      <c r="CP1718" s="61"/>
    </row>
    <row r="1719" spans="3:94">
      <c r="C1719"/>
      <c r="D1719"/>
      <c r="E1719"/>
      <c r="F1719"/>
      <c r="CP1719" s="61"/>
    </row>
    <row r="1720" spans="3:94">
      <c r="C1720"/>
      <c r="D1720"/>
      <c r="E1720"/>
      <c r="F1720"/>
      <c r="CP1720" s="61"/>
    </row>
    <row r="1721" spans="3:94">
      <c r="C1721"/>
      <c r="D1721"/>
      <c r="E1721"/>
      <c r="F1721"/>
      <c r="CP1721" s="61"/>
    </row>
    <row r="1722" spans="3:94">
      <c r="C1722"/>
      <c r="D1722"/>
      <c r="E1722"/>
      <c r="F1722"/>
      <c r="CP1722" s="61"/>
    </row>
    <row r="1723" spans="3:94">
      <c r="C1723"/>
      <c r="D1723"/>
      <c r="E1723"/>
      <c r="F1723"/>
      <c r="CP1723" s="61"/>
    </row>
    <row r="1724" spans="3:94">
      <c r="C1724"/>
      <c r="D1724"/>
      <c r="E1724"/>
      <c r="F1724"/>
      <c r="CP1724" s="61"/>
    </row>
    <row r="1725" spans="3:94">
      <c r="C1725"/>
      <c r="D1725"/>
      <c r="E1725"/>
      <c r="F1725"/>
      <c r="CP1725" s="61"/>
    </row>
    <row r="1726" spans="3:94">
      <c r="C1726"/>
      <c r="D1726"/>
      <c r="E1726"/>
      <c r="F1726"/>
      <c r="CP1726" s="61"/>
    </row>
    <row r="1727" spans="3:94">
      <c r="C1727"/>
      <c r="D1727"/>
      <c r="E1727"/>
      <c r="F1727"/>
      <c r="CP1727" s="61"/>
    </row>
    <row r="1728" spans="3:94">
      <c r="C1728"/>
      <c r="D1728"/>
      <c r="E1728"/>
      <c r="F1728"/>
      <c r="CP1728" s="61"/>
    </row>
    <row r="1729" spans="3:94">
      <c r="C1729"/>
      <c r="D1729"/>
      <c r="E1729"/>
      <c r="F1729"/>
      <c r="CP1729" s="61"/>
    </row>
    <row r="1730" spans="3:94">
      <c r="C1730"/>
      <c r="D1730"/>
      <c r="E1730"/>
      <c r="F1730"/>
      <c r="CP1730" s="61"/>
    </row>
    <row r="1731" spans="3:94">
      <c r="C1731"/>
      <c r="D1731"/>
      <c r="E1731"/>
      <c r="F1731"/>
      <c r="CP1731" s="61"/>
    </row>
    <row r="1732" spans="3:94">
      <c r="C1732"/>
      <c r="D1732"/>
      <c r="E1732"/>
      <c r="F1732"/>
      <c r="CP1732" s="61"/>
    </row>
    <row r="1733" spans="3:94">
      <c r="C1733"/>
      <c r="D1733"/>
      <c r="E1733"/>
      <c r="F1733"/>
      <c r="CP1733" s="61"/>
    </row>
    <row r="1734" spans="3:94">
      <c r="C1734"/>
      <c r="D1734"/>
      <c r="E1734"/>
      <c r="F1734"/>
      <c r="CP1734" s="61"/>
    </row>
    <row r="1735" spans="3:94">
      <c r="C1735"/>
      <c r="D1735"/>
      <c r="E1735"/>
      <c r="F1735"/>
      <c r="CP1735" s="61"/>
    </row>
    <row r="1736" spans="3:94">
      <c r="C1736"/>
      <c r="D1736"/>
      <c r="E1736"/>
      <c r="F1736"/>
      <c r="CP1736" s="61"/>
    </row>
    <row r="1737" spans="3:94">
      <c r="C1737"/>
      <c r="D1737"/>
      <c r="E1737"/>
      <c r="F1737"/>
      <c r="CP1737" s="61"/>
    </row>
    <row r="1738" spans="3:94">
      <c r="C1738"/>
      <c r="D1738"/>
      <c r="E1738"/>
      <c r="F1738"/>
      <c r="CP1738" s="61"/>
    </row>
    <row r="1739" spans="3:94">
      <c r="C1739"/>
      <c r="D1739"/>
      <c r="E1739"/>
      <c r="F1739"/>
      <c r="CP1739" s="61"/>
    </row>
    <row r="1740" spans="3:94">
      <c r="C1740"/>
      <c r="D1740"/>
      <c r="E1740"/>
      <c r="F1740"/>
      <c r="CP1740" s="61"/>
    </row>
    <row r="1741" spans="3:94">
      <c r="C1741"/>
      <c r="D1741"/>
      <c r="E1741"/>
      <c r="F1741"/>
      <c r="CP1741" s="61"/>
    </row>
    <row r="1742" spans="3:94">
      <c r="C1742"/>
      <c r="D1742"/>
      <c r="E1742"/>
      <c r="F1742"/>
      <c r="CP1742" s="61"/>
    </row>
    <row r="1743" spans="3:94">
      <c r="C1743"/>
      <c r="D1743"/>
      <c r="E1743"/>
      <c r="F1743"/>
      <c r="CP1743" s="61"/>
    </row>
    <row r="1744" spans="3:94">
      <c r="C1744"/>
      <c r="D1744"/>
      <c r="E1744"/>
      <c r="F1744"/>
      <c r="CP1744" s="61"/>
    </row>
    <row r="1745" spans="3:94">
      <c r="C1745"/>
      <c r="D1745"/>
      <c r="E1745"/>
      <c r="F1745"/>
      <c r="CP1745" s="61"/>
    </row>
    <row r="1746" spans="3:94">
      <c r="C1746"/>
      <c r="D1746"/>
      <c r="E1746"/>
      <c r="F1746"/>
      <c r="CP1746" s="61"/>
    </row>
    <row r="1747" spans="3:94">
      <c r="C1747"/>
      <c r="D1747"/>
      <c r="E1747"/>
      <c r="F1747"/>
      <c r="CP1747" s="61"/>
    </row>
    <row r="1748" spans="3:94">
      <c r="C1748"/>
      <c r="D1748"/>
      <c r="E1748"/>
      <c r="F1748"/>
      <c r="CP1748" s="61"/>
    </row>
    <row r="1749" spans="3:94">
      <c r="C1749"/>
      <c r="D1749"/>
      <c r="E1749"/>
      <c r="F1749"/>
      <c r="CP1749" s="61"/>
    </row>
    <row r="1750" spans="3:94">
      <c r="C1750"/>
      <c r="D1750"/>
      <c r="E1750"/>
      <c r="F1750"/>
      <c r="CP1750" s="61"/>
    </row>
    <row r="1751" spans="3:94">
      <c r="C1751"/>
      <c r="D1751"/>
      <c r="E1751"/>
      <c r="F1751"/>
      <c r="CP1751" s="61"/>
    </row>
    <row r="1752" spans="3:94">
      <c r="C1752"/>
      <c r="D1752"/>
      <c r="E1752"/>
      <c r="F1752"/>
      <c r="CP1752" s="61"/>
    </row>
    <row r="1753" spans="3:94">
      <c r="C1753"/>
      <c r="D1753"/>
      <c r="E1753"/>
      <c r="F1753"/>
      <c r="CP1753" s="61"/>
    </row>
    <row r="1754" spans="3:94">
      <c r="C1754"/>
      <c r="D1754"/>
      <c r="E1754"/>
      <c r="F1754"/>
      <c r="CP1754" s="61"/>
    </row>
    <row r="1755" spans="3:94">
      <c r="C1755"/>
      <c r="D1755"/>
      <c r="E1755"/>
      <c r="F1755"/>
      <c r="CP1755" s="61"/>
    </row>
    <row r="1756" spans="3:94">
      <c r="C1756"/>
      <c r="D1756"/>
      <c r="E1756"/>
      <c r="F1756"/>
      <c r="CP1756" s="61"/>
    </row>
    <row r="1757" spans="3:94">
      <c r="C1757"/>
      <c r="D1757"/>
      <c r="E1757"/>
      <c r="F1757"/>
      <c r="CP1757" s="61"/>
    </row>
    <row r="1758" spans="3:94">
      <c r="C1758"/>
      <c r="D1758"/>
      <c r="E1758"/>
      <c r="F1758"/>
      <c r="CP1758" s="61"/>
    </row>
    <row r="1759" spans="3:94">
      <c r="C1759"/>
      <c r="D1759"/>
      <c r="E1759"/>
      <c r="F1759"/>
      <c r="CP1759" s="61"/>
    </row>
    <row r="1760" spans="3:94">
      <c r="C1760"/>
      <c r="D1760"/>
      <c r="E1760"/>
      <c r="F1760"/>
      <c r="CP1760" s="61"/>
    </row>
    <row r="1761" spans="3:94">
      <c r="C1761"/>
      <c r="D1761"/>
      <c r="E1761"/>
      <c r="F1761"/>
      <c r="CP1761" s="61"/>
    </row>
    <row r="1762" spans="3:94">
      <c r="C1762"/>
      <c r="D1762"/>
      <c r="E1762"/>
      <c r="F1762"/>
      <c r="CP1762" s="61"/>
    </row>
    <row r="1763" spans="3:94">
      <c r="C1763"/>
      <c r="D1763"/>
      <c r="E1763"/>
      <c r="F1763"/>
      <c r="CP1763" s="61"/>
    </row>
    <row r="1764" spans="3:94">
      <c r="C1764"/>
      <c r="D1764"/>
      <c r="E1764"/>
      <c r="F1764"/>
      <c r="CP1764" s="61"/>
    </row>
    <row r="1765" spans="3:94">
      <c r="C1765"/>
      <c r="D1765"/>
      <c r="E1765"/>
      <c r="F1765"/>
      <c r="CP1765" s="61"/>
    </row>
    <row r="1766" spans="3:94">
      <c r="C1766"/>
      <c r="D1766"/>
      <c r="E1766"/>
      <c r="F1766"/>
      <c r="CP1766" s="61"/>
    </row>
    <row r="1767" spans="3:94">
      <c r="C1767"/>
      <c r="D1767"/>
      <c r="E1767"/>
      <c r="F1767"/>
      <c r="CP1767" s="61"/>
    </row>
    <row r="1768" spans="3:94">
      <c r="C1768"/>
      <c r="D1768"/>
      <c r="E1768"/>
      <c r="F1768"/>
      <c r="CP1768" s="61"/>
    </row>
    <row r="1769" spans="3:94">
      <c r="C1769"/>
      <c r="D1769"/>
      <c r="E1769"/>
      <c r="F1769"/>
      <c r="CP1769" s="61"/>
    </row>
    <row r="1770" spans="3:94">
      <c r="C1770"/>
      <c r="D1770"/>
      <c r="E1770"/>
      <c r="F1770"/>
      <c r="CP1770" s="61"/>
    </row>
    <row r="1771" spans="3:94">
      <c r="C1771"/>
      <c r="D1771"/>
      <c r="E1771"/>
      <c r="F1771"/>
      <c r="CP1771" s="61"/>
    </row>
    <row r="1772" spans="3:94">
      <c r="C1772"/>
      <c r="D1772"/>
      <c r="E1772"/>
      <c r="F1772"/>
      <c r="CP1772" s="61"/>
    </row>
    <row r="1773" spans="3:94">
      <c r="C1773"/>
      <c r="D1773"/>
      <c r="E1773"/>
      <c r="F1773"/>
      <c r="CP1773" s="61"/>
    </row>
    <row r="1774" spans="3:94">
      <c r="C1774"/>
      <c r="D1774"/>
      <c r="E1774"/>
      <c r="F1774"/>
      <c r="CP1774" s="61"/>
    </row>
    <row r="1775" spans="3:94">
      <c r="C1775"/>
      <c r="D1775"/>
      <c r="E1775"/>
      <c r="F1775"/>
      <c r="CP1775" s="61"/>
    </row>
    <row r="1776" spans="3:94">
      <c r="C1776"/>
      <c r="D1776"/>
      <c r="E1776"/>
      <c r="F1776"/>
      <c r="CP1776" s="61"/>
    </row>
    <row r="1777" spans="3:94">
      <c r="C1777"/>
      <c r="D1777"/>
      <c r="E1777"/>
      <c r="F1777"/>
      <c r="CP1777" s="61"/>
    </row>
    <row r="1778" spans="3:94">
      <c r="C1778"/>
      <c r="D1778"/>
      <c r="E1778"/>
      <c r="F1778"/>
      <c r="CP1778" s="61"/>
    </row>
    <row r="1779" spans="3:94">
      <c r="C1779"/>
      <c r="D1779"/>
      <c r="E1779"/>
      <c r="F1779"/>
      <c r="CP1779" s="61"/>
    </row>
    <row r="1780" spans="3:94">
      <c r="C1780"/>
      <c r="D1780"/>
      <c r="E1780"/>
      <c r="F1780"/>
      <c r="CP1780" s="61"/>
    </row>
    <row r="1781" spans="3:94">
      <c r="C1781"/>
      <c r="D1781"/>
      <c r="E1781"/>
      <c r="F1781"/>
      <c r="CP1781" s="61"/>
    </row>
    <row r="1782" spans="3:94">
      <c r="C1782"/>
      <c r="D1782"/>
      <c r="E1782"/>
      <c r="F1782"/>
      <c r="CP1782" s="61"/>
    </row>
    <row r="1783" spans="3:94">
      <c r="C1783"/>
      <c r="D1783"/>
      <c r="E1783"/>
      <c r="F1783"/>
      <c r="CP1783" s="61"/>
    </row>
    <row r="1784" spans="3:94">
      <c r="C1784"/>
      <c r="D1784"/>
      <c r="E1784"/>
      <c r="F1784"/>
      <c r="CP1784" s="61"/>
    </row>
    <row r="1785" spans="3:94">
      <c r="C1785"/>
      <c r="D1785"/>
      <c r="E1785"/>
      <c r="F1785"/>
      <c r="CP1785" s="61"/>
    </row>
    <row r="1786" spans="3:94">
      <c r="C1786"/>
      <c r="D1786"/>
      <c r="E1786"/>
      <c r="F1786"/>
      <c r="CP1786" s="61"/>
    </row>
    <row r="1787" spans="3:94">
      <c r="C1787"/>
      <c r="D1787"/>
      <c r="E1787"/>
      <c r="F1787"/>
      <c r="CP1787" s="61"/>
    </row>
    <row r="1788" spans="3:94">
      <c r="C1788"/>
      <c r="D1788"/>
      <c r="E1788"/>
      <c r="F1788"/>
      <c r="CP1788" s="61"/>
    </row>
    <row r="1789" spans="3:94">
      <c r="C1789"/>
      <c r="D1789"/>
      <c r="E1789"/>
      <c r="F1789"/>
      <c r="CP1789" s="61"/>
    </row>
    <row r="1790" spans="3:94">
      <c r="C1790"/>
      <c r="D1790"/>
      <c r="E1790"/>
      <c r="F1790"/>
      <c r="CP1790" s="61"/>
    </row>
    <row r="1791" spans="3:94">
      <c r="C1791"/>
      <c r="D1791"/>
      <c r="E1791"/>
      <c r="F1791"/>
      <c r="CP1791" s="61"/>
    </row>
    <row r="1792" spans="3:94">
      <c r="C1792"/>
      <c r="D1792"/>
      <c r="E1792"/>
      <c r="F1792"/>
      <c r="CP1792" s="61"/>
    </row>
    <row r="1793" spans="3:94">
      <c r="C1793"/>
      <c r="D1793"/>
      <c r="E1793"/>
      <c r="F1793"/>
      <c r="CP1793" s="61"/>
    </row>
    <row r="1794" spans="3:94">
      <c r="C1794"/>
      <c r="D1794"/>
      <c r="E1794"/>
      <c r="F1794"/>
      <c r="CP1794" s="61"/>
    </row>
    <row r="1795" spans="3:94">
      <c r="C1795"/>
      <c r="D1795"/>
      <c r="E1795"/>
      <c r="F1795"/>
      <c r="CP1795" s="61"/>
    </row>
    <row r="1796" spans="3:94">
      <c r="C1796"/>
      <c r="D1796"/>
      <c r="E1796"/>
      <c r="F1796"/>
      <c r="CP1796" s="61"/>
    </row>
    <row r="1797" spans="3:94">
      <c r="C1797"/>
      <c r="D1797"/>
      <c r="E1797"/>
      <c r="F1797"/>
      <c r="CP1797" s="61"/>
    </row>
    <row r="1798" spans="3:94">
      <c r="C1798"/>
      <c r="D1798"/>
      <c r="E1798"/>
      <c r="F1798"/>
      <c r="CP1798" s="61"/>
    </row>
    <row r="1799" spans="3:94">
      <c r="C1799"/>
      <c r="D1799"/>
      <c r="E1799"/>
      <c r="F1799"/>
      <c r="CP1799" s="61"/>
    </row>
    <row r="1800" spans="3:94">
      <c r="C1800"/>
      <c r="D1800"/>
      <c r="E1800"/>
      <c r="F1800"/>
      <c r="CP1800" s="61"/>
    </row>
    <row r="1801" spans="3:94">
      <c r="C1801"/>
      <c r="D1801"/>
      <c r="E1801"/>
      <c r="F1801"/>
      <c r="CP1801" s="61"/>
    </row>
    <row r="1802" spans="3:94">
      <c r="C1802"/>
      <c r="D1802"/>
      <c r="E1802"/>
      <c r="F1802"/>
      <c r="CP1802" s="61"/>
    </row>
    <row r="1803" spans="3:94">
      <c r="C1803"/>
      <c r="D1803"/>
      <c r="E1803"/>
      <c r="F1803"/>
      <c r="CP1803" s="61"/>
    </row>
    <row r="1804" spans="3:94">
      <c r="C1804"/>
      <c r="D1804"/>
      <c r="E1804"/>
      <c r="F1804"/>
      <c r="CP1804" s="61"/>
    </row>
    <row r="1805" spans="3:94">
      <c r="C1805"/>
      <c r="D1805"/>
      <c r="E1805"/>
      <c r="F1805"/>
      <c r="CP1805" s="61"/>
    </row>
    <row r="1806" spans="3:94">
      <c r="C1806"/>
      <c r="D1806"/>
      <c r="E1806"/>
      <c r="F1806"/>
      <c r="CP1806" s="61"/>
    </row>
    <row r="1807" spans="3:94">
      <c r="C1807"/>
      <c r="D1807"/>
      <c r="E1807"/>
      <c r="F1807"/>
      <c r="CP1807" s="61"/>
    </row>
    <row r="1808" spans="3:94">
      <c r="C1808"/>
      <c r="D1808"/>
      <c r="E1808"/>
      <c r="F1808"/>
      <c r="CP1808" s="61"/>
    </row>
    <row r="1809" spans="3:94">
      <c r="C1809"/>
      <c r="D1809"/>
      <c r="E1809"/>
      <c r="F1809"/>
      <c r="CP1809" s="61"/>
    </row>
    <row r="1810" spans="3:94">
      <c r="C1810"/>
      <c r="D1810"/>
      <c r="E1810"/>
      <c r="F1810"/>
      <c r="CP1810" s="61"/>
    </row>
    <row r="1811" spans="3:94">
      <c r="C1811"/>
      <c r="D1811"/>
      <c r="E1811"/>
      <c r="F1811"/>
      <c r="CP1811" s="61"/>
    </row>
    <row r="1812" spans="3:94">
      <c r="C1812"/>
      <c r="D1812"/>
      <c r="E1812"/>
      <c r="F1812"/>
      <c r="CP1812" s="61"/>
    </row>
    <row r="1813" spans="3:94">
      <c r="C1813"/>
      <c r="D1813"/>
      <c r="E1813"/>
      <c r="F1813"/>
      <c r="CP1813" s="61"/>
    </row>
    <row r="1814" spans="3:94">
      <c r="C1814"/>
      <c r="D1814"/>
      <c r="E1814"/>
      <c r="F1814"/>
      <c r="CP1814" s="61"/>
    </row>
    <row r="1815" spans="3:94">
      <c r="C1815"/>
      <c r="D1815"/>
      <c r="E1815"/>
      <c r="F1815"/>
      <c r="CP1815" s="61"/>
    </row>
    <row r="1816" spans="3:94">
      <c r="C1816"/>
      <c r="D1816"/>
      <c r="E1816"/>
      <c r="F1816"/>
      <c r="CP1816" s="61"/>
    </row>
    <row r="1817" spans="3:94">
      <c r="C1817"/>
      <c r="D1817"/>
      <c r="E1817"/>
      <c r="F1817"/>
      <c r="CP1817" s="61"/>
    </row>
    <row r="1818" spans="3:94">
      <c r="C1818"/>
      <c r="D1818"/>
      <c r="E1818"/>
      <c r="F1818"/>
      <c r="CP1818" s="61"/>
    </row>
    <row r="1819" spans="3:94">
      <c r="C1819"/>
      <c r="D1819"/>
      <c r="E1819"/>
      <c r="F1819"/>
      <c r="CP1819" s="61"/>
    </row>
    <row r="1820" spans="3:94">
      <c r="C1820"/>
      <c r="D1820"/>
      <c r="E1820"/>
      <c r="F1820"/>
      <c r="CP1820" s="61"/>
    </row>
    <row r="1821" spans="3:94">
      <c r="C1821"/>
      <c r="D1821"/>
      <c r="E1821"/>
      <c r="F1821"/>
      <c r="CP1821" s="61"/>
    </row>
    <row r="1822" spans="3:94">
      <c r="C1822"/>
      <c r="D1822"/>
      <c r="E1822"/>
      <c r="F1822"/>
      <c r="CP1822" s="61"/>
    </row>
    <row r="1823" spans="3:94">
      <c r="C1823"/>
      <c r="D1823"/>
      <c r="E1823"/>
      <c r="F1823"/>
      <c r="CP1823" s="61"/>
    </row>
    <row r="1824" spans="3:94">
      <c r="C1824"/>
      <c r="D1824"/>
      <c r="E1824"/>
      <c r="F1824"/>
      <c r="CP1824" s="61"/>
    </row>
    <row r="1825" spans="3:94">
      <c r="C1825"/>
      <c r="D1825"/>
      <c r="E1825"/>
      <c r="F1825"/>
      <c r="CP1825" s="61"/>
    </row>
    <row r="1826" spans="3:94">
      <c r="C1826"/>
      <c r="D1826"/>
      <c r="E1826"/>
      <c r="F1826"/>
      <c r="CP1826" s="61"/>
    </row>
    <row r="1827" spans="3:94">
      <c r="C1827"/>
      <c r="D1827"/>
      <c r="E1827"/>
      <c r="F1827"/>
      <c r="CP1827" s="61"/>
    </row>
    <row r="1828" spans="3:94">
      <c r="C1828"/>
      <c r="D1828"/>
      <c r="E1828"/>
      <c r="F1828"/>
      <c r="CP1828" s="61"/>
    </row>
    <row r="1829" spans="3:94">
      <c r="C1829"/>
      <c r="D1829"/>
      <c r="E1829"/>
      <c r="F1829"/>
      <c r="CP1829" s="61"/>
    </row>
    <row r="1830" spans="3:94">
      <c r="C1830"/>
      <c r="D1830"/>
      <c r="E1830"/>
      <c r="F1830"/>
      <c r="CP1830" s="61"/>
    </row>
    <row r="1831" spans="3:94">
      <c r="C1831"/>
      <c r="D1831"/>
      <c r="E1831"/>
      <c r="F1831"/>
      <c r="CP1831" s="61"/>
    </row>
    <row r="1832" spans="3:94">
      <c r="C1832"/>
      <c r="D1832"/>
      <c r="E1832"/>
      <c r="F1832"/>
      <c r="CP1832" s="61"/>
    </row>
    <row r="1833" spans="3:94">
      <c r="C1833"/>
      <c r="D1833"/>
      <c r="E1833"/>
      <c r="F1833"/>
      <c r="CP1833" s="61"/>
    </row>
    <row r="1834" spans="3:94">
      <c r="C1834"/>
      <c r="D1834"/>
      <c r="E1834"/>
      <c r="F1834"/>
      <c r="CP1834" s="61"/>
    </row>
    <row r="1835" spans="3:94">
      <c r="C1835"/>
      <c r="D1835"/>
      <c r="E1835"/>
      <c r="F1835"/>
      <c r="CP1835" s="61"/>
    </row>
    <row r="1836" spans="3:94">
      <c r="C1836"/>
      <c r="D1836"/>
      <c r="E1836"/>
      <c r="F1836"/>
      <c r="CP1836" s="61"/>
    </row>
    <row r="1837" spans="3:94">
      <c r="C1837"/>
      <c r="D1837"/>
      <c r="E1837"/>
      <c r="F1837"/>
      <c r="CP1837" s="61"/>
    </row>
    <row r="1838" spans="3:94">
      <c r="C1838"/>
      <c r="D1838"/>
      <c r="E1838"/>
      <c r="F1838"/>
      <c r="CP1838" s="61"/>
    </row>
    <row r="1839" spans="3:94">
      <c r="C1839"/>
      <c r="D1839"/>
      <c r="E1839"/>
      <c r="F1839"/>
      <c r="CP1839" s="61"/>
    </row>
    <row r="1840" spans="3:94">
      <c r="C1840"/>
      <c r="D1840"/>
      <c r="E1840"/>
      <c r="F1840"/>
      <c r="CP1840" s="61"/>
    </row>
    <row r="1841" spans="3:94">
      <c r="C1841"/>
      <c r="D1841"/>
      <c r="E1841"/>
      <c r="F1841"/>
      <c r="CP1841" s="61"/>
    </row>
    <row r="1842" spans="3:94">
      <c r="C1842"/>
      <c r="D1842"/>
      <c r="E1842"/>
      <c r="F1842"/>
      <c r="CP1842" s="61"/>
    </row>
    <row r="1843" spans="3:94">
      <c r="C1843"/>
      <c r="D1843"/>
      <c r="E1843"/>
      <c r="F1843"/>
      <c r="CP1843" s="61"/>
    </row>
    <row r="1844" spans="3:94">
      <c r="C1844"/>
      <c r="D1844"/>
      <c r="E1844"/>
      <c r="F1844"/>
      <c r="CP1844" s="61"/>
    </row>
    <row r="1845" spans="3:94">
      <c r="C1845"/>
      <c r="D1845"/>
      <c r="E1845"/>
      <c r="F1845"/>
      <c r="CP1845" s="61"/>
    </row>
    <row r="1846" spans="3:94">
      <c r="C1846"/>
      <c r="D1846"/>
      <c r="E1846"/>
      <c r="F1846"/>
      <c r="CP1846" s="61"/>
    </row>
    <row r="1847" spans="3:94">
      <c r="C1847"/>
      <c r="D1847"/>
      <c r="E1847"/>
      <c r="F1847"/>
      <c r="CP1847" s="61"/>
    </row>
    <row r="1848" spans="3:94">
      <c r="C1848"/>
      <c r="D1848"/>
      <c r="E1848"/>
      <c r="F1848"/>
      <c r="CP1848" s="61"/>
    </row>
    <row r="1849" spans="3:94">
      <c r="C1849"/>
      <c r="D1849"/>
      <c r="E1849"/>
      <c r="F1849"/>
      <c r="CP1849" s="61"/>
    </row>
    <row r="1850" spans="3:94">
      <c r="C1850"/>
      <c r="D1850"/>
      <c r="E1850"/>
      <c r="F1850"/>
      <c r="CP1850" s="61"/>
    </row>
    <row r="1851" spans="3:94">
      <c r="C1851"/>
      <c r="D1851"/>
      <c r="E1851"/>
      <c r="F1851"/>
      <c r="CP1851" s="61"/>
    </row>
    <row r="1852" spans="3:94">
      <c r="C1852"/>
      <c r="D1852"/>
      <c r="E1852"/>
      <c r="F1852"/>
      <c r="CP1852" s="61"/>
    </row>
    <row r="1853" spans="3:94">
      <c r="C1853"/>
      <c r="D1853"/>
      <c r="E1853"/>
      <c r="F1853"/>
      <c r="CP1853" s="61"/>
    </row>
    <row r="1854" spans="3:94">
      <c r="C1854"/>
      <c r="D1854"/>
      <c r="E1854"/>
      <c r="F1854"/>
      <c r="CP1854" s="61"/>
    </row>
    <row r="1855" spans="3:94">
      <c r="C1855"/>
      <c r="D1855"/>
      <c r="E1855"/>
      <c r="F1855"/>
      <c r="CP1855" s="61"/>
    </row>
    <row r="1856" spans="3:94">
      <c r="C1856"/>
      <c r="D1856"/>
      <c r="E1856"/>
      <c r="F1856"/>
      <c r="CP1856" s="61"/>
    </row>
    <row r="1857" spans="3:94">
      <c r="C1857"/>
      <c r="D1857"/>
      <c r="E1857"/>
      <c r="F1857"/>
      <c r="CP1857" s="61"/>
    </row>
    <row r="1858" spans="3:94">
      <c r="C1858"/>
      <c r="D1858"/>
      <c r="E1858"/>
      <c r="F1858"/>
      <c r="CP1858" s="61"/>
    </row>
    <row r="1859" spans="3:94">
      <c r="C1859"/>
      <c r="D1859"/>
      <c r="E1859"/>
      <c r="F1859"/>
      <c r="CP1859" s="61"/>
    </row>
    <row r="1860" spans="3:94">
      <c r="C1860"/>
      <c r="D1860"/>
      <c r="E1860"/>
      <c r="F1860"/>
      <c r="CP1860" s="61"/>
    </row>
    <row r="1861" spans="3:94">
      <c r="C1861"/>
      <c r="D1861"/>
      <c r="E1861"/>
      <c r="F1861"/>
      <c r="CP1861" s="61"/>
    </row>
    <row r="1862" spans="3:94">
      <c r="C1862"/>
      <c r="D1862"/>
      <c r="E1862"/>
      <c r="F1862"/>
      <c r="CP1862" s="61"/>
    </row>
    <row r="1863" spans="3:94">
      <c r="C1863"/>
      <c r="D1863"/>
      <c r="E1863"/>
      <c r="F1863"/>
      <c r="CP1863" s="61"/>
    </row>
    <row r="1864" spans="3:94">
      <c r="C1864"/>
      <c r="D1864"/>
      <c r="E1864"/>
      <c r="F1864"/>
      <c r="CP1864" s="61"/>
    </row>
    <row r="1865" spans="3:94">
      <c r="C1865"/>
      <c r="D1865"/>
      <c r="E1865"/>
      <c r="F1865"/>
      <c r="CP1865" s="61"/>
    </row>
    <row r="1866" spans="3:94">
      <c r="C1866"/>
      <c r="D1866"/>
      <c r="E1866"/>
      <c r="F1866"/>
      <c r="CP1866" s="61"/>
    </row>
    <row r="1867" spans="3:94">
      <c r="C1867"/>
      <c r="D1867"/>
      <c r="E1867"/>
      <c r="F1867"/>
      <c r="CP1867" s="61"/>
    </row>
    <row r="1868" spans="3:94">
      <c r="C1868"/>
      <c r="D1868"/>
      <c r="E1868"/>
      <c r="F1868"/>
      <c r="CP1868" s="61"/>
    </row>
    <row r="1869" spans="3:94">
      <c r="C1869"/>
      <c r="D1869"/>
      <c r="E1869"/>
      <c r="F1869"/>
      <c r="CP1869" s="61"/>
    </row>
    <row r="1870" spans="3:94">
      <c r="C1870"/>
      <c r="D1870"/>
      <c r="E1870"/>
      <c r="F1870"/>
      <c r="CP1870" s="61"/>
    </row>
    <row r="1871" spans="3:94">
      <c r="C1871"/>
      <c r="D1871"/>
      <c r="E1871"/>
      <c r="F1871"/>
      <c r="CP1871" s="61"/>
    </row>
    <row r="1872" spans="3:94">
      <c r="C1872"/>
      <c r="D1872"/>
      <c r="E1872"/>
      <c r="F1872"/>
      <c r="CP1872" s="61"/>
    </row>
    <row r="1873" spans="3:94">
      <c r="C1873"/>
      <c r="D1873"/>
      <c r="E1873"/>
      <c r="F1873"/>
      <c r="CP1873" s="61"/>
    </row>
    <row r="1874" spans="3:94">
      <c r="C1874"/>
      <c r="D1874"/>
      <c r="E1874"/>
      <c r="F1874"/>
      <c r="CP1874" s="61"/>
    </row>
    <row r="1875" spans="3:94">
      <c r="C1875"/>
      <c r="D1875"/>
      <c r="E1875"/>
      <c r="F1875"/>
      <c r="CP1875" s="61"/>
    </row>
    <row r="1876" spans="3:94">
      <c r="C1876"/>
      <c r="D1876"/>
      <c r="E1876"/>
      <c r="F1876"/>
      <c r="CP1876" s="61"/>
    </row>
    <row r="1877" spans="3:94">
      <c r="C1877"/>
      <c r="D1877"/>
      <c r="E1877"/>
      <c r="F1877"/>
      <c r="CP1877" s="61"/>
    </row>
    <row r="1878" spans="3:94">
      <c r="C1878"/>
      <c r="D1878"/>
      <c r="E1878"/>
      <c r="F1878"/>
      <c r="CP1878" s="61"/>
    </row>
    <row r="1879" spans="3:94">
      <c r="C1879"/>
      <c r="D1879"/>
      <c r="E1879"/>
      <c r="F1879"/>
      <c r="CP1879" s="61"/>
    </row>
    <row r="1880" spans="3:94">
      <c r="C1880"/>
      <c r="D1880"/>
      <c r="E1880"/>
      <c r="F1880"/>
      <c r="CP1880" s="61"/>
    </row>
    <row r="1881" spans="3:94">
      <c r="C1881"/>
      <c r="D1881"/>
      <c r="E1881"/>
      <c r="F1881"/>
      <c r="CP1881" s="61"/>
    </row>
    <row r="1882" spans="3:94">
      <c r="C1882"/>
      <c r="D1882"/>
      <c r="E1882"/>
      <c r="F1882"/>
      <c r="CP1882" s="61"/>
    </row>
    <row r="1883" spans="3:94">
      <c r="C1883"/>
      <c r="D1883"/>
      <c r="E1883"/>
      <c r="F1883"/>
      <c r="CP1883" s="61"/>
    </row>
    <row r="1884" spans="3:94">
      <c r="C1884"/>
      <c r="D1884"/>
      <c r="E1884"/>
      <c r="F1884"/>
      <c r="CP1884" s="61"/>
    </row>
    <row r="1885" spans="3:94">
      <c r="C1885"/>
      <c r="D1885"/>
      <c r="E1885"/>
      <c r="F1885"/>
      <c r="CP1885" s="61"/>
    </row>
    <row r="1886" spans="3:94">
      <c r="C1886"/>
      <c r="D1886"/>
      <c r="E1886"/>
      <c r="F1886"/>
      <c r="CP1886" s="61"/>
    </row>
    <row r="1887" spans="3:94">
      <c r="C1887"/>
      <c r="D1887"/>
      <c r="E1887"/>
      <c r="F1887"/>
      <c r="CP1887" s="61"/>
    </row>
    <row r="1888" spans="3:94">
      <c r="C1888"/>
      <c r="D1888"/>
      <c r="E1888"/>
      <c r="F1888"/>
      <c r="CP1888" s="61"/>
    </row>
    <row r="1889" spans="3:94">
      <c r="C1889"/>
      <c r="D1889"/>
      <c r="E1889"/>
      <c r="F1889"/>
      <c r="CP1889" s="61"/>
    </row>
    <row r="1890" spans="3:94">
      <c r="C1890"/>
      <c r="D1890"/>
      <c r="E1890"/>
      <c r="F1890"/>
      <c r="CP1890" s="61"/>
    </row>
    <row r="1891" spans="3:94">
      <c r="C1891"/>
      <c r="D1891"/>
      <c r="E1891"/>
      <c r="F1891"/>
      <c r="CP1891" s="61"/>
    </row>
    <row r="1892" spans="3:94">
      <c r="C1892"/>
      <c r="D1892"/>
      <c r="E1892"/>
      <c r="F1892"/>
      <c r="CP1892" s="61"/>
    </row>
    <row r="1893" spans="3:94">
      <c r="C1893"/>
      <c r="D1893"/>
      <c r="E1893"/>
      <c r="F1893"/>
      <c r="CP1893" s="61"/>
    </row>
    <row r="1894" spans="3:94">
      <c r="C1894"/>
      <c r="D1894"/>
      <c r="E1894"/>
      <c r="F1894"/>
      <c r="CP1894" s="61"/>
    </row>
    <row r="1895" spans="3:94">
      <c r="C1895"/>
      <c r="D1895"/>
      <c r="E1895"/>
      <c r="F1895"/>
      <c r="CP1895" s="61"/>
    </row>
    <row r="1896" spans="3:94">
      <c r="C1896"/>
      <c r="D1896"/>
      <c r="E1896"/>
      <c r="F1896"/>
      <c r="CP1896" s="61"/>
    </row>
    <row r="1897" spans="3:94">
      <c r="C1897"/>
      <c r="D1897"/>
      <c r="E1897"/>
      <c r="F1897"/>
      <c r="CP1897" s="61"/>
    </row>
    <row r="1898" spans="3:94">
      <c r="C1898"/>
      <c r="D1898"/>
      <c r="E1898"/>
      <c r="F1898"/>
      <c r="CP1898" s="61"/>
    </row>
    <row r="1899" spans="3:94">
      <c r="C1899"/>
      <c r="D1899"/>
      <c r="E1899"/>
      <c r="F1899"/>
      <c r="CP1899" s="61"/>
    </row>
    <row r="1900" spans="3:94">
      <c r="C1900"/>
      <c r="D1900"/>
      <c r="E1900"/>
      <c r="F1900"/>
      <c r="CP1900" s="61"/>
    </row>
    <row r="1901" spans="3:94">
      <c r="C1901"/>
      <c r="D1901"/>
      <c r="E1901"/>
      <c r="F1901"/>
      <c r="CP1901" s="61"/>
    </row>
    <row r="1902" spans="3:94">
      <c r="C1902"/>
      <c r="D1902"/>
      <c r="E1902"/>
      <c r="F1902"/>
      <c r="CP1902" s="61"/>
    </row>
    <row r="1903" spans="3:94">
      <c r="C1903"/>
      <c r="D1903"/>
      <c r="E1903"/>
      <c r="F1903"/>
      <c r="CP1903" s="61"/>
    </row>
    <row r="1904" spans="3:94">
      <c r="C1904"/>
      <c r="D1904"/>
      <c r="E1904"/>
      <c r="F1904"/>
      <c r="CP1904" s="61"/>
    </row>
    <row r="1905" spans="3:94">
      <c r="C1905"/>
      <c r="D1905"/>
      <c r="E1905"/>
      <c r="F1905"/>
      <c r="CP1905" s="61"/>
    </row>
    <row r="1906" spans="3:94">
      <c r="C1906"/>
      <c r="D1906"/>
      <c r="E1906"/>
      <c r="F1906"/>
      <c r="CP1906" s="61"/>
    </row>
    <row r="1907" spans="3:94">
      <c r="C1907"/>
      <c r="D1907"/>
      <c r="E1907"/>
      <c r="F1907"/>
      <c r="CP1907" s="61"/>
    </row>
    <row r="1908" spans="3:94">
      <c r="C1908"/>
      <c r="D1908"/>
      <c r="E1908"/>
      <c r="F1908"/>
      <c r="CP1908" s="61"/>
    </row>
    <row r="1909" spans="3:94">
      <c r="C1909"/>
      <c r="D1909"/>
      <c r="E1909"/>
      <c r="F1909"/>
      <c r="CP1909" s="61"/>
    </row>
    <row r="1910" spans="3:94">
      <c r="C1910"/>
      <c r="D1910"/>
      <c r="E1910"/>
      <c r="F1910"/>
      <c r="CP1910" s="61"/>
    </row>
    <row r="1911" spans="3:94">
      <c r="C1911"/>
      <c r="D1911"/>
      <c r="E1911"/>
      <c r="F1911"/>
      <c r="CP1911" s="61"/>
    </row>
    <row r="1912" spans="3:94">
      <c r="C1912"/>
      <c r="D1912"/>
      <c r="E1912"/>
      <c r="F1912"/>
      <c r="CP1912" s="61"/>
    </row>
    <row r="1913" spans="3:94">
      <c r="C1913"/>
      <c r="D1913"/>
      <c r="E1913"/>
      <c r="F1913"/>
      <c r="CP1913" s="61"/>
    </row>
    <row r="1914" spans="3:94">
      <c r="C1914"/>
      <c r="D1914"/>
      <c r="E1914"/>
      <c r="F1914"/>
      <c r="CP1914" s="61"/>
    </row>
    <row r="1915" spans="3:94">
      <c r="C1915"/>
      <c r="D1915"/>
      <c r="E1915"/>
      <c r="F1915"/>
      <c r="CP1915" s="61"/>
    </row>
    <row r="1916" spans="3:94">
      <c r="C1916"/>
      <c r="D1916"/>
      <c r="E1916"/>
      <c r="F1916"/>
      <c r="CP1916" s="61"/>
    </row>
    <row r="1917" spans="3:94">
      <c r="C1917"/>
      <c r="D1917"/>
      <c r="E1917"/>
      <c r="F1917"/>
      <c r="CP1917" s="61"/>
    </row>
    <row r="1918" spans="3:94">
      <c r="C1918"/>
      <c r="D1918"/>
      <c r="E1918"/>
      <c r="F1918"/>
      <c r="CP1918" s="61"/>
    </row>
    <row r="1919" spans="3:94">
      <c r="C1919"/>
      <c r="D1919"/>
      <c r="E1919"/>
      <c r="F1919"/>
      <c r="CP1919" s="61"/>
    </row>
    <row r="1920" spans="3:94">
      <c r="C1920"/>
      <c r="D1920"/>
      <c r="E1920"/>
      <c r="F1920"/>
      <c r="CP1920" s="61"/>
    </row>
    <row r="1921" spans="3:94">
      <c r="C1921"/>
      <c r="D1921"/>
      <c r="E1921"/>
      <c r="F1921"/>
      <c r="CP1921" s="61"/>
    </row>
    <row r="1922" spans="3:94">
      <c r="C1922"/>
      <c r="D1922"/>
      <c r="E1922"/>
      <c r="F1922"/>
      <c r="CP1922" s="61"/>
    </row>
    <row r="1923" spans="3:94">
      <c r="C1923"/>
      <c r="D1923"/>
      <c r="E1923"/>
      <c r="F1923"/>
      <c r="CP1923" s="61"/>
    </row>
    <row r="1924" spans="3:94">
      <c r="C1924"/>
      <c r="D1924"/>
      <c r="E1924"/>
      <c r="F1924"/>
      <c r="CP1924" s="61"/>
    </row>
    <row r="1925" spans="3:94">
      <c r="C1925"/>
      <c r="D1925"/>
      <c r="E1925"/>
      <c r="F1925"/>
      <c r="CP1925" s="61"/>
    </row>
    <row r="1926" spans="3:94">
      <c r="C1926"/>
      <c r="D1926"/>
      <c r="E1926"/>
      <c r="F1926"/>
      <c r="CP1926" s="61"/>
    </row>
    <row r="1927" spans="3:94">
      <c r="C1927"/>
      <c r="D1927"/>
      <c r="E1927"/>
      <c r="F1927"/>
      <c r="CP1927" s="61"/>
    </row>
    <row r="1928" spans="3:94">
      <c r="C1928"/>
      <c r="D1928"/>
      <c r="E1928"/>
      <c r="F1928"/>
      <c r="CP1928" s="61"/>
    </row>
    <row r="1929" spans="3:94">
      <c r="C1929"/>
      <c r="D1929"/>
      <c r="E1929"/>
      <c r="F1929"/>
      <c r="CP1929" s="61"/>
    </row>
    <row r="1930" spans="3:94">
      <c r="C1930"/>
      <c r="D1930"/>
      <c r="E1930"/>
      <c r="F1930"/>
      <c r="CP1930" s="61"/>
    </row>
    <row r="1931" spans="3:94">
      <c r="C1931"/>
      <c r="D1931"/>
      <c r="E1931"/>
      <c r="F1931"/>
      <c r="CP1931" s="61"/>
    </row>
    <row r="1932" spans="3:94">
      <c r="C1932"/>
      <c r="D1932"/>
      <c r="E1932"/>
      <c r="F1932"/>
      <c r="CP1932" s="61"/>
    </row>
    <row r="1933" spans="3:94">
      <c r="C1933"/>
      <c r="D1933"/>
      <c r="E1933"/>
      <c r="F1933"/>
      <c r="CP1933" s="61"/>
    </row>
    <row r="1934" spans="3:94">
      <c r="C1934"/>
      <c r="D1934"/>
      <c r="E1934"/>
      <c r="F1934"/>
      <c r="CP1934" s="61"/>
    </row>
    <row r="1935" spans="3:94">
      <c r="C1935"/>
      <c r="D1935"/>
      <c r="E1935"/>
      <c r="F1935"/>
      <c r="CP1935" s="61"/>
    </row>
    <row r="1936" spans="3:94">
      <c r="C1936"/>
      <c r="D1936"/>
      <c r="E1936"/>
      <c r="F1936"/>
      <c r="CP1936" s="61"/>
    </row>
    <row r="1937" spans="3:94">
      <c r="C1937"/>
      <c r="D1937"/>
      <c r="E1937"/>
      <c r="F1937"/>
      <c r="CP1937" s="61"/>
    </row>
    <row r="1938" spans="3:94">
      <c r="C1938"/>
      <c r="D1938"/>
      <c r="E1938"/>
      <c r="F1938"/>
      <c r="CP1938" s="61"/>
    </row>
    <row r="1939" spans="3:94">
      <c r="C1939"/>
      <c r="D1939"/>
      <c r="E1939"/>
      <c r="F1939"/>
      <c r="CP1939" s="61"/>
    </row>
    <row r="1940" spans="3:94">
      <c r="C1940"/>
      <c r="D1940"/>
      <c r="E1940"/>
      <c r="F1940"/>
      <c r="CP1940" s="61"/>
    </row>
    <row r="1941" spans="3:94">
      <c r="C1941"/>
      <c r="D1941"/>
      <c r="E1941"/>
      <c r="F1941"/>
      <c r="CP1941" s="61"/>
    </row>
    <row r="1942" spans="3:94">
      <c r="C1942"/>
      <c r="D1942"/>
      <c r="E1942"/>
      <c r="F1942"/>
      <c r="CP1942" s="61"/>
    </row>
    <row r="1943" spans="3:94">
      <c r="C1943"/>
      <c r="D1943"/>
      <c r="E1943"/>
      <c r="F1943"/>
      <c r="CP1943" s="61"/>
    </row>
    <row r="1944" spans="3:94">
      <c r="C1944"/>
      <c r="D1944"/>
      <c r="E1944"/>
      <c r="F1944"/>
      <c r="CP1944" s="61"/>
    </row>
    <row r="1945" spans="3:94">
      <c r="C1945"/>
      <c r="D1945"/>
      <c r="E1945"/>
      <c r="F1945"/>
      <c r="CP1945" s="61"/>
    </row>
    <row r="1946" spans="3:94">
      <c r="C1946"/>
      <c r="D1946"/>
      <c r="E1946"/>
      <c r="F1946"/>
      <c r="CP1946" s="61"/>
    </row>
    <row r="1947" spans="3:94">
      <c r="C1947"/>
      <c r="D1947"/>
      <c r="E1947"/>
      <c r="F1947"/>
      <c r="CP1947" s="61"/>
    </row>
    <row r="1948" spans="3:94">
      <c r="C1948"/>
      <c r="D1948"/>
      <c r="E1948"/>
      <c r="F1948"/>
      <c r="CP1948" s="61"/>
    </row>
    <row r="1949" spans="3:94">
      <c r="C1949"/>
      <c r="D1949"/>
      <c r="E1949"/>
      <c r="F1949"/>
      <c r="CP1949" s="61"/>
    </row>
    <row r="1950" spans="3:94">
      <c r="C1950"/>
      <c r="D1950"/>
      <c r="E1950"/>
      <c r="F1950"/>
      <c r="CP1950" s="61"/>
    </row>
    <row r="1951" spans="3:94">
      <c r="C1951"/>
      <c r="D1951"/>
      <c r="E1951"/>
      <c r="F1951"/>
      <c r="CP1951" s="61"/>
    </row>
    <row r="1952" spans="3:94">
      <c r="C1952"/>
      <c r="D1952"/>
      <c r="E1952"/>
      <c r="F1952"/>
      <c r="CP1952" s="61"/>
    </row>
    <row r="1953" spans="3:94">
      <c r="C1953"/>
      <c r="D1953"/>
      <c r="E1953"/>
      <c r="F1953"/>
      <c r="CP1953" s="61"/>
    </row>
    <row r="1954" spans="3:94">
      <c r="C1954"/>
      <c r="D1954"/>
      <c r="E1954"/>
      <c r="F1954"/>
      <c r="CP1954" s="61"/>
    </row>
    <row r="1955" spans="3:94">
      <c r="C1955"/>
      <c r="D1955"/>
      <c r="E1955"/>
      <c r="F1955"/>
      <c r="CP1955" s="61"/>
    </row>
    <row r="1956" spans="3:94">
      <c r="C1956"/>
      <c r="D1956"/>
      <c r="E1956"/>
      <c r="F1956"/>
      <c r="CP1956" s="61"/>
    </row>
    <row r="1957" spans="3:94">
      <c r="C1957"/>
      <c r="D1957"/>
      <c r="E1957"/>
      <c r="F1957"/>
      <c r="CP1957" s="61"/>
    </row>
    <row r="1958" spans="3:94">
      <c r="C1958"/>
      <c r="D1958"/>
      <c r="E1958"/>
      <c r="F1958"/>
      <c r="CP1958" s="61"/>
    </row>
    <row r="1959" spans="3:94">
      <c r="C1959"/>
      <c r="D1959"/>
      <c r="E1959"/>
      <c r="F1959"/>
      <c r="CP1959" s="61"/>
    </row>
    <row r="1960" spans="3:94">
      <c r="C1960"/>
      <c r="D1960"/>
      <c r="E1960"/>
      <c r="F1960"/>
      <c r="CP1960" s="61"/>
    </row>
    <row r="1961" spans="3:94">
      <c r="C1961"/>
      <c r="D1961"/>
      <c r="E1961"/>
      <c r="F1961"/>
      <c r="CP1961" s="61"/>
    </row>
    <row r="1962" spans="3:94">
      <c r="C1962"/>
      <c r="D1962"/>
      <c r="E1962"/>
      <c r="F1962"/>
      <c r="CP1962" s="61"/>
    </row>
    <row r="1963" spans="3:94">
      <c r="C1963"/>
      <c r="D1963"/>
      <c r="E1963"/>
      <c r="F1963"/>
      <c r="CP1963" s="61"/>
    </row>
    <row r="1964" spans="3:94">
      <c r="C1964"/>
      <c r="D1964"/>
      <c r="E1964"/>
      <c r="F1964"/>
      <c r="CP1964" s="61"/>
    </row>
    <row r="1965" spans="3:94">
      <c r="C1965"/>
      <c r="D1965"/>
      <c r="E1965"/>
      <c r="F1965"/>
      <c r="CP1965" s="61"/>
    </row>
    <row r="1966" spans="3:94">
      <c r="C1966"/>
      <c r="D1966"/>
      <c r="E1966"/>
      <c r="F1966"/>
      <c r="CP1966" s="61"/>
    </row>
    <row r="1967" spans="3:94">
      <c r="C1967"/>
      <c r="D1967"/>
      <c r="E1967"/>
      <c r="F1967"/>
      <c r="CP1967" s="61"/>
    </row>
    <row r="1968" spans="3:94">
      <c r="C1968"/>
      <c r="D1968"/>
      <c r="E1968"/>
      <c r="F1968"/>
      <c r="CP1968" s="61"/>
    </row>
    <row r="1969" spans="3:94">
      <c r="C1969"/>
      <c r="D1969"/>
      <c r="E1969"/>
      <c r="F1969"/>
      <c r="CP1969" s="61"/>
    </row>
    <row r="1970" spans="3:94">
      <c r="C1970"/>
      <c r="D1970"/>
      <c r="E1970"/>
      <c r="F1970"/>
      <c r="CP1970" s="61"/>
    </row>
    <row r="1971" spans="3:94">
      <c r="C1971"/>
      <c r="D1971"/>
      <c r="E1971"/>
      <c r="F1971"/>
      <c r="CP1971" s="61"/>
    </row>
    <row r="1972" spans="3:94">
      <c r="C1972"/>
      <c r="D1972"/>
      <c r="E1972"/>
      <c r="F1972"/>
      <c r="CP1972" s="61"/>
    </row>
    <row r="1973" spans="3:94">
      <c r="C1973"/>
      <c r="D1973"/>
      <c r="E1973"/>
      <c r="F1973"/>
      <c r="CP1973" s="61"/>
    </row>
    <row r="1974" spans="3:94">
      <c r="C1974"/>
      <c r="D1974"/>
      <c r="E1974"/>
      <c r="F1974"/>
      <c r="CP1974" s="61"/>
    </row>
    <row r="1975" spans="3:94">
      <c r="C1975"/>
      <c r="D1975"/>
      <c r="E1975"/>
      <c r="F1975"/>
      <c r="CP1975" s="61"/>
    </row>
    <row r="1976" spans="3:94">
      <c r="C1976"/>
      <c r="D1976"/>
      <c r="E1976"/>
      <c r="F1976"/>
      <c r="CP1976" s="61"/>
    </row>
    <row r="1977" spans="3:94">
      <c r="C1977"/>
      <c r="D1977"/>
      <c r="E1977"/>
      <c r="F1977"/>
      <c r="CP1977" s="61"/>
    </row>
    <row r="1978" spans="3:94">
      <c r="C1978"/>
      <c r="D1978"/>
      <c r="E1978"/>
      <c r="F1978"/>
      <c r="CP1978" s="61"/>
    </row>
    <row r="1979" spans="3:94">
      <c r="C1979"/>
      <c r="D1979"/>
      <c r="E1979"/>
      <c r="F1979"/>
      <c r="CP1979" s="61"/>
    </row>
    <row r="1980" spans="3:94">
      <c r="C1980"/>
      <c r="D1980"/>
      <c r="E1980"/>
      <c r="F1980"/>
      <c r="CP1980" s="61"/>
    </row>
    <row r="1981" spans="3:94">
      <c r="C1981"/>
      <c r="D1981"/>
      <c r="E1981"/>
      <c r="F1981"/>
      <c r="CP1981" s="61"/>
    </row>
    <row r="1982" spans="3:94">
      <c r="C1982"/>
      <c r="D1982"/>
      <c r="E1982"/>
      <c r="F1982"/>
      <c r="CP1982" s="61"/>
    </row>
    <row r="1983" spans="3:94">
      <c r="C1983"/>
      <c r="D1983"/>
      <c r="E1983"/>
      <c r="F1983"/>
      <c r="CP1983" s="61"/>
    </row>
    <row r="1984" spans="3:94">
      <c r="C1984"/>
      <c r="D1984"/>
      <c r="E1984"/>
      <c r="F1984"/>
      <c r="CP1984" s="61"/>
    </row>
    <row r="1985" spans="3:94">
      <c r="C1985"/>
      <c r="D1985"/>
      <c r="E1985"/>
      <c r="F1985"/>
      <c r="CP1985" s="61"/>
    </row>
    <row r="1986" spans="3:94">
      <c r="C1986"/>
      <c r="D1986"/>
      <c r="E1986"/>
      <c r="F1986"/>
      <c r="CP1986" s="61"/>
    </row>
    <row r="1987" spans="3:94">
      <c r="C1987"/>
      <c r="D1987"/>
      <c r="E1987"/>
      <c r="F1987"/>
      <c r="CP1987" s="61"/>
    </row>
    <row r="1988" spans="3:94">
      <c r="C1988"/>
      <c r="D1988"/>
      <c r="E1988"/>
      <c r="F1988"/>
      <c r="CP1988" s="61"/>
    </row>
    <row r="1989" spans="3:94">
      <c r="C1989"/>
      <c r="D1989"/>
      <c r="E1989"/>
      <c r="F1989"/>
      <c r="CP1989" s="61"/>
    </row>
    <row r="1990" spans="3:94">
      <c r="C1990"/>
      <c r="D1990"/>
      <c r="E1990"/>
      <c r="F1990"/>
      <c r="CP1990" s="61"/>
    </row>
    <row r="1991" spans="3:94">
      <c r="C1991"/>
      <c r="D1991"/>
      <c r="E1991"/>
      <c r="F1991"/>
      <c r="CP1991" s="61"/>
    </row>
    <row r="1992" spans="3:94">
      <c r="C1992"/>
      <c r="D1992"/>
      <c r="E1992"/>
      <c r="F1992"/>
      <c r="CP1992" s="61"/>
    </row>
    <row r="1993" spans="3:94">
      <c r="C1993"/>
      <c r="D1993"/>
      <c r="E1993"/>
      <c r="F1993"/>
      <c r="CP1993" s="61"/>
    </row>
    <row r="1994" spans="3:94">
      <c r="C1994"/>
      <c r="D1994"/>
      <c r="E1994"/>
      <c r="F1994"/>
      <c r="CP1994" s="61"/>
    </row>
    <row r="1995" spans="3:94">
      <c r="C1995"/>
      <c r="D1995"/>
      <c r="E1995"/>
      <c r="F1995"/>
      <c r="CP1995" s="61"/>
    </row>
    <row r="1996" spans="3:94">
      <c r="C1996"/>
      <c r="D1996"/>
      <c r="E1996"/>
      <c r="F1996"/>
      <c r="CP1996" s="61"/>
    </row>
    <row r="1997" spans="3:94">
      <c r="C1997"/>
      <c r="D1997"/>
      <c r="E1997"/>
      <c r="F1997"/>
      <c r="CP1997" s="61"/>
    </row>
    <row r="1998" spans="3:94">
      <c r="C1998"/>
      <c r="D1998"/>
      <c r="E1998"/>
      <c r="F1998"/>
      <c r="CP1998" s="61"/>
    </row>
    <row r="1999" spans="3:94">
      <c r="C1999"/>
      <c r="D1999"/>
      <c r="E1999"/>
      <c r="F1999"/>
      <c r="CP1999" s="61"/>
    </row>
    <row r="2000" spans="3:94">
      <c r="C2000"/>
      <c r="D2000"/>
      <c r="E2000"/>
      <c r="F2000"/>
      <c r="CP2000" s="61"/>
    </row>
    <row r="2001" spans="3:94">
      <c r="C2001"/>
      <c r="D2001"/>
      <c r="E2001"/>
      <c r="F2001"/>
      <c r="CP2001" s="61"/>
    </row>
    <row r="2002" spans="3:94">
      <c r="C2002"/>
      <c r="D2002"/>
      <c r="E2002"/>
      <c r="F2002"/>
      <c r="CP2002" s="61"/>
    </row>
    <row r="2003" spans="3:94">
      <c r="C2003"/>
      <c r="D2003"/>
      <c r="E2003"/>
      <c r="F2003"/>
      <c r="CP2003" s="61"/>
    </row>
    <row r="2004" spans="3:94">
      <c r="C2004"/>
      <c r="D2004"/>
      <c r="E2004"/>
      <c r="F2004"/>
      <c r="CP2004" s="61"/>
    </row>
    <row r="2005" spans="3:94">
      <c r="C2005"/>
      <c r="D2005"/>
      <c r="E2005"/>
      <c r="F2005"/>
      <c r="CP2005" s="61"/>
    </row>
    <row r="2006" spans="3:94">
      <c r="C2006"/>
      <c r="D2006"/>
      <c r="E2006"/>
      <c r="F2006"/>
      <c r="CP2006" s="61"/>
    </row>
    <row r="2007" spans="3:94">
      <c r="C2007"/>
      <c r="D2007"/>
      <c r="E2007"/>
      <c r="F2007"/>
      <c r="CP2007" s="61"/>
    </row>
    <row r="2008" spans="3:94">
      <c r="C2008"/>
      <c r="D2008"/>
      <c r="E2008"/>
      <c r="F2008"/>
      <c r="CP2008" s="61"/>
    </row>
    <row r="2009" spans="3:94">
      <c r="C2009"/>
      <c r="D2009"/>
      <c r="E2009"/>
      <c r="F2009"/>
      <c r="CP2009" s="61"/>
    </row>
    <row r="2010" spans="3:94">
      <c r="C2010"/>
      <c r="D2010"/>
      <c r="E2010"/>
      <c r="F2010"/>
      <c r="CP2010" s="61"/>
    </row>
    <row r="2011" spans="3:94">
      <c r="C2011"/>
      <c r="D2011"/>
      <c r="E2011"/>
      <c r="F2011"/>
      <c r="CP2011" s="61"/>
    </row>
    <row r="2012" spans="3:94">
      <c r="C2012"/>
      <c r="D2012"/>
      <c r="E2012"/>
      <c r="F2012"/>
      <c r="CP2012" s="61"/>
    </row>
    <row r="2013" spans="3:94">
      <c r="C2013"/>
      <c r="D2013"/>
      <c r="E2013"/>
      <c r="F2013"/>
      <c r="CP2013" s="61"/>
    </row>
    <row r="2014" spans="3:94">
      <c r="C2014"/>
      <c r="D2014"/>
      <c r="E2014"/>
      <c r="F2014"/>
      <c r="CP2014" s="61"/>
    </row>
    <row r="2015" spans="3:94">
      <c r="C2015"/>
      <c r="D2015"/>
      <c r="E2015"/>
      <c r="F2015"/>
      <c r="CP2015" s="61"/>
    </row>
    <row r="2016" spans="3:94">
      <c r="C2016"/>
      <c r="D2016"/>
      <c r="E2016"/>
      <c r="F2016"/>
      <c r="CP2016" s="61"/>
    </row>
    <row r="2017" spans="3:94">
      <c r="C2017"/>
      <c r="D2017"/>
      <c r="E2017"/>
      <c r="F2017"/>
      <c r="CP2017" s="61"/>
    </row>
    <row r="2018" spans="3:94">
      <c r="C2018"/>
      <c r="D2018"/>
      <c r="E2018"/>
      <c r="F2018"/>
      <c r="CP2018" s="61"/>
    </row>
    <row r="2019" spans="3:94">
      <c r="C2019"/>
      <c r="D2019"/>
      <c r="E2019"/>
      <c r="F2019"/>
      <c r="CP2019" s="61"/>
    </row>
    <row r="2020" spans="3:94">
      <c r="C2020"/>
      <c r="D2020"/>
      <c r="E2020"/>
      <c r="F2020"/>
      <c r="CP2020" s="61"/>
    </row>
    <row r="2021" spans="3:94">
      <c r="C2021"/>
      <c r="D2021"/>
      <c r="E2021"/>
      <c r="F2021"/>
      <c r="CP2021" s="61"/>
    </row>
    <row r="2022" spans="3:94">
      <c r="C2022"/>
      <c r="D2022"/>
      <c r="E2022"/>
      <c r="F2022"/>
      <c r="CP2022" s="61"/>
    </row>
    <row r="2023" spans="3:94">
      <c r="C2023"/>
      <c r="D2023"/>
      <c r="E2023"/>
      <c r="F2023"/>
      <c r="CP2023" s="61"/>
    </row>
    <row r="2024" spans="3:94">
      <c r="C2024"/>
      <c r="D2024"/>
      <c r="E2024"/>
      <c r="F2024"/>
      <c r="CP2024" s="61"/>
    </row>
    <row r="2025" spans="3:94">
      <c r="C2025"/>
      <c r="D2025"/>
      <c r="E2025"/>
      <c r="F2025"/>
      <c r="CP2025" s="61"/>
    </row>
    <row r="2026" spans="3:94">
      <c r="C2026"/>
      <c r="D2026"/>
      <c r="E2026"/>
      <c r="F2026"/>
      <c r="CP2026" s="61"/>
    </row>
    <row r="2027" spans="3:94">
      <c r="C2027"/>
      <c r="D2027"/>
      <c r="E2027"/>
      <c r="F2027"/>
      <c r="CP2027" s="61"/>
    </row>
    <row r="2028" spans="3:94">
      <c r="C2028"/>
      <c r="D2028"/>
      <c r="E2028"/>
      <c r="F2028"/>
      <c r="CP2028" s="61"/>
    </row>
    <row r="2029" spans="3:94">
      <c r="C2029"/>
      <c r="D2029"/>
      <c r="E2029"/>
      <c r="F2029"/>
      <c r="CP2029" s="61"/>
    </row>
    <row r="2030" spans="3:94">
      <c r="C2030"/>
      <c r="D2030"/>
      <c r="E2030"/>
      <c r="F2030"/>
      <c r="CP2030" s="61"/>
    </row>
    <row r="2031" spans="3:94">
      <c r="C2031"/>
      <c r="D2031"/>
      <c r="E2031"/>
      <c r="F2031"/>
      <c r="CP2031" s="61"/>
    </row>
    <row r="2032" spans="3:94">
      <c r="C2032"/>
      <c r="D2032"/>
      <c r="E2032"/>
      <c r="F2032"/>
      <c r="CP2032" s="61"/>
    </row>
    <row r="2033" spans="3:94">
      <c r="C2033"/>
      <c r="D2033"/>
      <c r="E2033"/>
      <c r="F2033"/>
      <c r="CP2033" s="61"/>
    </row>
    <row r="2034" spans="3:94">
      <c r="C2034"/>
      <c r="D2034"/>
      <c r="E2034"/>
      <c r="F2034"/>
      <c r="CP2034" s="61"/>
    </row>
    <row r="2035" spans="3:94">
      <c r="C2035"/>
      <c r="D2035"/>
      <c r="E2035"/>
      <c r="F2035"/>
      <c r="CP2035" s="61"/>
    </row>
    <row r="2036" spans="3:94">
      <c r="C2036"/>
      <c r="D2036"/>
      <c r="E2036"/>
      <c r="F2036"/>
      <c r="CP2036" s="61"/>
    </row>
    <row r="2037" spans="3:94">
      <c r="C2037"/>
      <c r="D2037"/>
      <c r="E2037"/>
      <c r="F2037"/>
      <c r="CP2037" s="61"/>
    </row>
    <row r="2038" spans="3:94">
      <c r="C2038"/>
      <c r="D2038"/>
      <c r="E2038"/>
      <c r="F2038"/>
      <c r="CP2038" s="61"/>
    </row>
    <row r="2039" spans="3:94">
      <c r="C2039"/>
      <c r="D2039"/>
      <c r="E2039"/>
      <c r="F2039"/>
      <c r="CP2039" s="61"/>
    </row>
    <row r="2040" spans="3:94">
      <c r="C2040"/>
      <c r="D2040"/>
      <c r="E2040"/>
      <c r="F2040"/>
      <c r="CP2040" s="61"/>
    </row>
    <row r="2041" spans="3:94">
      <c r="C2041"/>
      <c r="D2041"/>
      <c r="E2041"/>
      <c r="F2041"/>
      <c r="CP2041" s="61"/>
    </row>
    <row r="2042" spans="3:94">
      <c r="C2042"/>
      <c r="D2042"/>
      <c r="E2042"/>
      <c r="F2042"/>
      <c r="CP2042" s="61"/>
    </row>
    <row r="2043" spans="3:94">
      <c r="C2043"/>
      <c r="D2043"/>
      <c r="E2043"/>
      <c r="F2043"/>
      <c r="CP2043" s="61"/>
    </row>
    <row r="2044" spans="3:94">
      <c r="C2044"/>
      <c r="D2044"/>
      <c r="E2044"/>
      <c r="F2044"/>
      <c r="CP2044" s="61"/>
    </row>
    <row r="2045" spans="3:94">
      <c r="C2045"/>
      <c r="D2045"/>
      <c r="E2045"/>
      <c r="F2045"/>
      <c r="CP2045" s="61"/>
    </row>
    <row r="2046" spans="3:94">
      <c r="C2046"/>
      <c r="D2046"/>
      <c r="E2046"/>
      <c r="F2046"/>
      <c r="CP2046" s="61"/>
    </row>
    <row r="2047" spans="3:94">
      <c r="C2047"/>
      <c r="D2047"/>
      <c r="E2047"/>
      <c r="F2047"/>
      <c r="CP2047" s="61"/>
    </row>
    <row r="2048" spans="3:94">
      <c r="C2048"/>
      <c r="D2048"/>
      <c r="E2048"/>
      <c r="F2048"/>
      <c r="CP2048" s="61"/>
    </row>
    <row r="2049" spans="3:94">
      <c r="C2049"/>
      <c r="D2049"/>
      <c r="E2049"/>
      <c r="F2049"/>
      <c r="CP2049" s="61"/>
    </row>
    <row r="2050" spans="3:94">
      <c r="C2050"/>
      <c r="D2050"/>
      <c r="E2050"/>
      <c r="F2050"/>
      <c r="CP2050" s="61"/>
    </row>
    <row r="2051" spans="3:94">
      <c r="C2051"/>
      <c r="D2051"/>
      <c r="E2051"/>
      <c r="F2051"/>
      <c r="CP2051" s="61"/>
    </row>
    <row r="2052" spans="3:94">
      <c r="C2052"/>
      <c r="D2052"/>
      <c r="E2052"/>
      <c r="F2052"/>
      <c r="CP2052" s="61"/>
    </row>
    <row r="2053" spans="3:94">
      <c r="C2053"/>
      <c r="D2053"/>
      <c r="E2053"/>
      <c r="F2053"/>
      <c r="CP2053" s="61"/>
    </row>
    <row r="2054" spans="3:94">
      <c r="C2054"/>
      <c r="D2054"/>
      <c r="E2054"/>
      <c r="F2054"/>
      <c r="CP2054" s="61"/>
    </row>
    <row r="2055" spans="3:94">
      <c r="C2055"/>
      <c r="D2055"/>
      <c r="E2055"/>
      <c r="F2055"/>
      <c r="CP2055" s="61"/>
    </row>
    <row r="2056" spans="3:94">
      <c r="C2056"/>
      <c r="D2056"/>
      <c r="E2056"/>
      <c r="F2056"/>
      <c r="CP2056" s="61"/>
    </row>
    <row r="2057" spans="3:94">
      <c r="C2057"/>
      <c r="D2057"/>
      <c r="E2057"/>
      <c r="F2057"/>
      <c r="CP2057" s="61"/>
    </row>
    <row r="2058" spans="3:94">
      <c r="C2058"/>
      <c r="D2058"/>
      <c r="E2058"/>
      <c r="F2058"/>
      <c r="CP2058" s="61"/>
    </row>
    <row r="2059" spans="3:94">
      <c r="C2059"/>
      <c r="D2059"/>
      <c r="E2059"/>
      <c r="F2059"/>
      <c r="CP2059" s="61"/>
    </row>
    <row r="2060" spans="3:94">
      <c r="C2060"/>
      <c r="D2060"/>
      <c r="E2060"/>
      <c r="F2060"/>
      <c r="CP2060" s="61"/>
    </row>
    <row r="2061" spans="3:94">
      <c r="C2061"/>
      <c r="D2061"/>
      <c r="E2061"/>
      <c r="F2061"/>
      <c r="CP2061" s="61"/>
    </row>
    <row r="2062" spans="3:94">
      <c r="C2062"/>
      <c r="D2062"/>
      <c r="E2062"/>
      <c r="F2062"/>
      <c r="CP2062" s="61"/>
    </row>
    <row r="2063" spans="3:94">
      <c r="C2063"/>
      <c r="D2063"/>
      <c r="E2063"/>
      <c r="F2063"/>
      <c r="CP2063" s="61"/>
    </row>
    <row r="2064" spans="3:94">
      <c r="C2064"/>
      <c r="D2064"/>
      <c r="E2064"/>
      <c r="F2064"/>
      <c r="CP2064" s="61"/>
    </row>
    <row r="2065" spans="3:94">
      <c r="C2065"/>
      <c r="D2065"/>
      <c r="E2065"/>
      <c r="F2065"/>
      <c r="CP2065" s="61"/>
    </row>
    <row r="2066" spans="3:94">
      <c r="C2066"/>
      <c r="D2066"/>
      <c r="E2066"/>
      <c r="F2066"/>
      <c r="CP2066" s="61"/>
    </row>
    <row r="2067" spans="3:94">
      <c r="C2067"/>
      <c r="D2067"/>
      <c r="E2067"/>
      <c r="F2067"/>
      <c r="CP2067" s="61"/>
    </row>
    <row r="2068" spans="3:94">
      <c r="C2068"/>
      <c r="D2068"/>
      <c r="E2068"/>
      <c r="F2068"/>
      <c r="CP2068" s="61"/>
    </row>
    <row r="2069" spans="3:94">
      <c r="C2069"/>
      <c r="D2069"/>
      <c r="E2069"/>
      <c r="F2069"/>
      <c r="CP2069" s="61"/>
    </row>
    <row r="2070" spans="3:94">
      <c r="C2070"/>
      <c r="D2070"/>
      <c r="E2070"/>
      <c r="F2070"/>
      <c r="CP2070" s="61"/>
    </row>
    <row r="2071" spans="3:94">
      <c r="C2071"/>
      <c r="D2071"/>
      <c r="E2071"/>
      <c r="F2071"/>
      <c r="CP2071" s="61"/>
    </row>
    <row r="2072" spans="3:94">
      <c r="C2072"/>
      <c r="D2072"/>
      <c r="E2072"/>
      <c r="F2072"/>
      <c r="CP2072" s="61"/>
    </row>
    <row r="2073" spans="3:94">
      <c r="C2073"/>
      <c r="D2073"/>
      <c r="E2073"/>
      <c r="F2073"/>
      <c r="CP2073" s="61"/>
    </row>
    <row r="2074" spans="3:94">
      <c r="C2074"/>
      <c r="D2074"/>
      <c r="E2074"/>
      <c r="F2074"/>
      <c r="CP2074" s="61"/>
    </row>
    <row r="2075" spans="3:94">
      <c r="C2075"/>
      <c r="D2075"/>
      <c r="E2075"/>
      <c r="F2075"/>
      <c r="CP2075" s="61"/>
    </row>
    <row r="2076" spans="3:94">
      <c r="C2076"/>
      <c r="D2076"/>
      <c r="E2076"/>
      <c r="F2076"/>
      <c r="CP2076" s="61"/>
    </row>
    <row r="2077" spans="3:94">
      <c r="C2077"/>
      <c r="D2077"/>
      <c r="E2077"/>
      <c r="F2077"/>
      <c r="CP2077" s="61"/>
    </row>
    <row r="2078" spans="3:94">
      <c r="C2078"/>
      <c r="D2078"/>
      <c r="E2078"/>
      <c r="F2078"/>
      <c r="CP2078" s="61"/>
    </row>
    <row r="2079" spans="3:94">
      <c r="C2079"/>
      <c r="D2079"/>
      <c r="E2079"/>
      <c r="F2079"/>
      <c r="CP2079" s="61"/>
    </row>
    <row r="2080" spans="3:94">
      <c r="C2080"/>
      <c r="D2080"/>
      <c r="E2080"/>
      <c r="F2080"/>
      <c r="CP2080" s="61"/>
    </row>
    <row r="2081" spans="3:94">
      <c r="C2081"/>
      <c r="D2081"/>
      <c r="E2081"/>
      <c r="F2081"/>
      <c r="CP2081" s="61"/>
    </row>
    <row r="2082" spans="3:94">
      <c r="C2082"/>
      <c r="D2082"/>
      <c r="E2082"/>
      <c r="F2082"/>
      <c r="CP2082" s="61"/>
    </row>
    <row r="2083" spans="3:94">
      <c r="C2083"/>
      <c r="D2083"/>
      <c r="E2083"/>
      <c r="F2083"/>
      <c r="CP2083" s="61"/>
    </row>
    <row r="2084" spans="3:94">
      <c r="C2084"/>
      <c r="D2084"/>
      <c r="E2084"/>
      <c r="F2084"/>
      <c r="CP2084" s="61"/>
    </row>
    <row r="2085" spans="3:94">
      <c r="C2085"/>
      <c r="D2085"/>
      <c r="E2085"/>
      <c r="F2085"/>
      <c r="CP2085" s="61"/>
    </row>
    <row r="2086" spans="3:94">
      <c r="C2086"/>
      <c r="D2086"/>
      <c r="E2086"/>
      <c r="F2086"/>
      <c r="CP2086" s="61"/>
    </row>
    <row r="2087" spans="3:94">
      <c r="C2087"/>
      <c r="D2087"/>
      <c r="E2087"/>
      <c r="F2087"/>
      <c r="CP2087" s="61"/>
    </row>
    <row r="2088" spans="3:94">
      <c r="C2088"/>
      <c r="D2088"/>
      <c r="E2088"/>
      <c r="F2088"/>
      <c r="CP2088" s="61"/>
    </row>
    <row r="2089" spans="3:94">
      <c r="C2089"/>
      <c r="D2089"/>
      <c r="E2089"/>
      <c r="F2089"/>
      <c r="CP2089" s="61"/>
    </row>
    <row r="2090" spans="3:94">
      <c r="C2090"/>
      <c r="D2090"/>
      <c r="E2090"/>
      <c r="F2090"/>
      <c r="CP2090" s="61"/>
    </row>
    <row r="2091" spans="3:94">
      <c r="C2091"/>
      <c r="D2091"/>
      <c r="E2091"/>
      <c r="F2091"/>
      <c r="CP2091" s="61"/>
    </row>
    <row r="2092" spans="3:94">
      <c r="C2092"/>
      <c r="D2092"/>
      <c r="E2092"/>
      <c r="F2092"/>
      <c r="CP2092" s="61"/>
    </row>
    <row r="2093" spans="3:94">
      <c r="C2093"/>
      <c r="D2093"/>
      <c r="E2093"/>
      <c r="F2093"/>
      <c r="CP2093" s="61"/>
    </row>
    <row r="2094" spans="3:94">
      <c r="C2094"/>
      <c r="D2094"/>
      <c r="E2094"/>
      <c r="F2094"/>
      <c r="CP2094" s="61"/>
    </row>
    <row r="2095" spans="3:94">
      <c r="C2095"/>
      <c r="D2095"/>
      <c r="E2095"/>
      <c r="F2095"/>
      <c r="CP2095" s="61"/>
    </row>
    <row r="2096" spans="3:94">
      <c r="C2096"/>
      <c r="D2096"/>
      <c r="E2096"/>
      <c r="F2096"/>
      <c r="CP2096" s="61"/>
    </row>
    <row r="2097" spans="3:94">
      <c r="C2097"/>
      <c r="D2097"/>
      <c r="E2097"/>
      <c r="F2097"/>
      <c r="CP2097" s="61"/>
    </row>
    <row r="2098" spans="3:94">
      <c r="C2098"/>
      <c r="D2098"/>
      <c r="E2098"/>
      <c r="F2098"/>
      <c r="CP2098" s="61"/>
    </row>
    <row r="2099" spans="3:94">
      <c r="C2099"/>
      <c r="D2099"/>
      <c r="E2099"/>
      <c r="F2099"/>
      <c r="CP2099" s="61"/>
    </row>
    <row r="2100" spans="3:94">
      <c r="C2100"/>
      <c r="D2100"/>
      <c r="E2100"/>
      <c r="F2100"/>
      <c r="CP2100" s="61"/>
    </row>
    <row r="2101" spans="3:94">
      <c r="C2101"/>
      <c r="D2101"/>
      <c r="E2101"/>
      <c r="F2101"/>
      <c r="CP2101" s="61"/>
    </row>
    <row r="2102" spans="3:94">
      <c r="C2102"/>
      <c r="D2102"/>
      <c r="E2102"/>
      <c r="F2102"/>
      <c r="CP2102" s="61"/>
    </row>
    <row r="2103" spans="3:94">
      <c r="C2103"/>
      <c r="D2103"/>
      <c r="E2103"/>
      <c r="F2103"/>
      <c r="CP2103" s="61"/>
    </row>
    <row r="2104" spans="3:94">
      <c r="C2104"/>
      <c r="D2104"/>
      <c r="E2104"/>
      <c r="F2104"/>
      <c r="CP2104" s="61"/>
    </row>
    <row r="2105" spans="3:94">
      <c r="C2105"/>
      <c r="D2105"/>
      <c r="E2105"/>
      <c r="F2105"/>
      <c r="CP2105" s="61"/>
    </row>
    <row r="2106" spans="3:94">
      <c r="C2106"/>
      <c r="D2106"/>
      <c r="E2106"/>
      <c r="F2106"/>
      <c r="CP2106" s="61"/>
    </row>
    <row r="2107" spans="3:94">
      <c r="C2107"/>
      <c r="D2107"/>
      <c r="E2107"/>
      <c r="F2107"/>
      <c r="CP2107" s="61"/>
    </row>
    <row r="2108" spans="3:94">
      <c r="C2108"/>
      <c r="D2108"/>
      <c r="E2108"/>
      <c r="F2108"/>
      <c r="CP2108" s="61"/>
    </row>
    <row r="2109" spans="3:94">
      <c r="C2109"/>
      <c r="D2109"/>
      <c r="E2109"/>
      <c r="F2109"/>
      <c r="CP2109" s="61"/>
    </row>
    <row r="2110" spans="3:94">
      <c r="C2110"/>
      <c r="D2110"/>
      <c r="E2110"/>
      <c r="F2110"/>
      <c r="CP2110" s="61"/>
    </row>
    <row r="2111" spans="3:94">
      <c r="C2111"/>
      <c r="D2111"/>
      <c r="E2111"/>
      <c r="F2111"/>
      <c r="CP2111" s="61"/>
    </row>
    <row r="2112" spans="3:94">
      <c r="C2112"/>
      <c r="D2112"/>
      <c r="E2112"/>
      <c r="F2112"/>
      <c r="CP2112" s="61"/>
    </row>
    <row r="2113" spans="3:94">
      <c r="C2113"/>
      <c r="D2113"/>
      <c r="E2113"/>
      <c r="F2113"/>
      <c r="CP2113" s="61"/>
    </row>
    <row r="2114" spans="3:94">
      <c r="C2114"/>
      <c r="D2114"/>
      <c r="E2114"/>
      <c r="F2114"/>
      <c r="CP2114" s="61"/>
    </row>
    <row r="2115" spans="3:94">
      <c r="C2115"/>
      <c r="D2115"/>
      <c r="E2115"/>
      <c r="F2115"/>
      <c r="CP2115" s="61"/>
    </row>
    <row r="2116" spans="3:94">
      <c r="C2116"/>
      <c r="D2116"/>
      <c r="E2116"/>
      <c r="F2116"/>
      <c r="CP2116" s="61"/>
    </row>
    <row r="2117" spans="3:94">
      <c r="C2117"/>
      <c r="D2117"/>
      <c r="E2117"/>
      <c r="F2117"/>
      <c r="CP2117" s="61"/>
    </row>
    <row r="2118" spans="3:94">
      <c r="C2118"/>
      <c r="D2118"/>
      <c r="E2118"/>
      <c r="F2118"/>
      <c r="CP2118" s="61"/>
    </row>
    <row r="2119" spans="3:94">
      <c r="C2119"/>
      <c r="D2119"/>
      <c r="E2119"/>
      <c r="F2119"/>
      <c r="CP2119" s="61"/>
    </row>
    <row r="2120" spans="3:94">
      <c r="C2120"/>
      <c r="D2120"/>
      <c r="E2120"/>
      <c r="F2120"/>
      <c r="CP2120" s="61"/>
    </row>
    <row r="2121" spans="3:94">
      <c r="C2121"/>
      <c r="D2121"/>
      <c r="E2121"/>
      <c r="F2121"/>
      <c r="CP2121" s="61"/>
    </row>
    <row r="2122" spans="3:94">
      <c r="C2122"/>
      <c r="D2122"/>
      <c r="E2122"/>
      <c r="F2122"/>
      <c r="CP2122" s="61"/>
    </row>
    <row r="2123" spans="3:94">
      <c r="C2123"/>
      <c r="D2123"/>
      <c r="E2123"/>
      <c r="F2123"/>
      <c r="CP2123" s="61"/>
    </row>
    <row r="2124" spans="3:94">
      <c r="C2124"/>
      <c r="D2124"/>
      <c r="E2124"/>
      <c r="F2124"/>
      <c r="CP2124" s="61"/>
    </row>
    <row r="2125" spans="3:94">
      <c r="C2125"/>
      <c r="D2125"/>
      <c r="E2125"/>
      <c r="F2125"/>
      <c r="CP2125" s="61"/>
    </row>
    <row r="2126" spans="3:94">
      <c r="C2126"/>
      <c r="D2126"/>
      <c r="E2126"/>
      <c r="F2126"/>
      <c r="CP2126" s="61"/>
    </row>
    <row r="2127" spans="3:94">
      <c r="C2127"/>
      <c r="D2127"/>
      <c r="E2127"/>
      <c r="F2127"/>
      <c r="CP2127" s="61"/>
    </row>
    <row r="2128" spans="3:94">
      <c r="C2128"/>
      <c r="D2128"/>
      <c r="E2128"/>
      <c r="F2128"/>
      <c r="CP2128" s="61"/>
    </row>
    <row r="2129" spans="3:94">
      <c r="C2129"/>
      <c r="D2129"/>
      <c r="E2129"/>
      <c r="F2129"/>
      <c r="CP2129" s="61"/>
    </row>
    <row r="2130" spans="3:94">
      <c r="C2130"/>
      <c r="D2130"/>
      <c r="E2130"/>
      <c r="F2130"/>
      <c r="CP2130" s="61"/>
    </row>
    <row r="2131" spans="3:94">
      <c r="C2131"/>
      <c r="D2131"/>
      <c r="E2131"/>
      <c r="F2131"/>
      <c r="CP2131" s="61"/>
    </row>
    <row r="2132" spans="3:94">
      <c r="C2132"/>
      <c r="D2132"/>
      <c r="E2132"/>
      <c r="F2132"/>
      <c r="CP2132" s="61"/>
    </row>
    <row r="2133" spans="3:94">
      <c r="C2133"/>
      <c r="D2133"/>
      <c r="E2133"/>
      <c r="F2133"/>
      <c r="CP2133" s="61"/>
    </row>
    <row r="2134" spans="3:94">
      <c r="C2134"/>
      <c r="D2134"/>
      <c r="E2134"/>
      <c r="F2134"/>
      <c r="CP2134" s="61"/>
    </row>
    <row r="2135" spans="3:94">
      <c r="C2135"/>
      <c r="D2135"/>
      <c r="E2135"/>
      <c r="F2135"/>
      <c r="CP2135" s="61"/>
    </row>
    <row r="2136" spans="3:94">
      <c r="C2136"/>
      <c r="D2136"/>
      <c r="E2136"/>
      <c r="F2136"/>
      <c r="CP2136" s="61"/>
    </row>
    <row r="2137" spans="3:94">
      <c r="C2137"/>
      <c r="D2137"/>
      <c r="E2137"/>
      <c r="F2137"/>
      <c r="CP2137" s="61"/>
    </row>
    <row r="2138" spans="3:94">
      <c r="C2138"/>
      <c r="D2138"/>
      <c r="E2138"/>
      <c r="F2138"/>
      <c r="CP2138" s="61"/>
    </row>
    <row r="2139" spans="3:94">
      <c r="C2139"/>
      <c r="D2139"/>
      <c r="E2139"/>
      <c r="F2139"/>
      <c r="CP2139" s="61"/>
    </row>
    <row r="2140" spans="3:94">
      <c r="C2140"/>
      <c r="D2140"/>
      <c r="E2140"/>
      <c r="F2140"/>
      <c r="CP2140" s="61"/>
    </row>
    <row r="2141" spans="3:94">
      <c r="C2141"/>
      <c r="D2141"/>
      <c r="E2141"/>
      <c r="F2141"/>
      <c r="CP2141" s="61"/>
    </row>
    <row r="2142" spans="3:94">
      <c r="C2142"/>
      <c r="D2142"/>
      <c r="E2142"/>
      <c r="F2142"/>
      <c r="CP2142" s="61"/>
    </row>
    <row r="2143" spans="3:94">
      <c r="C2143"/>
      <c r="D2143"/>
      <c r="E2143"/>
      <c r="F2143"/>
      <c r="CP2143" s="61"/>
    </row>
    <row r="2144" spans="3:94">
      <c r="C2144"/>
      <c r="D2144"/>
      <c r="E2144"/>
      <c r="F2144"/>
      <c r="CP2144" s="61"/>
    </row>
    <row r="2145" spans="3:94">
      <c r="C2145"/>
      <c r="D2145"/>
      <c r="E2145"/>
      <c r="F2145"/>
      <c r="CP2145" s="61"/>
    </row>
    <row r="2146" spans="3:94">
      <c r="C2146"/>
      <c r="D2146"/>
      <c r="E2146"/>
      <c r="F2146"/>
      <c r="CP2146" s="61"/>
    </row>
    <row r="2147" spans="3:94">
      <c r="C2147"/>
      <c r="D2147"/>
      <c r="E2147"/>
      <c r="F2147"/>
      <c r="CP2147" s="61"/>
    </row>
    <row r="2148" spans="3:94">
      <c r="C2148"/>
      <c r="D2148"/>
      <c r="E2148"/>
      <c r="F2148"/>
      <c r="CP2148" s="61"/>
    </row>
    <row r="2149" spans="3:94">
      <c r="C2149"/>
      <c r="D2149"/>
      <c r="E2149"/>
      <c r="F2149"/>
      <c r="CP2149" s="61"/>
    </row>
    <row r="2150" spans="3:94">
      <c r="C2150"/>
      <c r="D2150"/>
      <c r="E2150"/>
      <c r="F2150"/>
      <c r="CP2150" s="61"/>
    </row>
    <row r="2151" spans="3:94">
      <c r="C2151"/>
      <c r="D2151"/>
      <c r="E2151"/>
      <c r="F2151"/>
      <c r="CP2151" s="61"/>
    </row>
    <row r="2152" spans="3:94">
      <c r="C2152"/>
      <c r="D2152"/>
      <c r="E2152"/>
      <c r="F2152"/>
      <c r="CP2152" s="61"/>
    </row>
    <row r="2153" spans="3:94">
      <c r="C2153"/>
      <c r="D2153"/>
      <c r="E2153"/>
      <c r="F2153"/>
      <c r="CP2153" s="61"/>
    </row>
    <row r="2154" spans="3:94">
      <c r="C2154"/>
      <c r="D2154"/>
      <c r="E2154"/>
      <c r="F2154"/>
      <c r="CP2154" s="61"/>
    </row>
    <row r="2155" spans="3:94">
      <c r="C2155"/>
      <c r="D2155"/>
      <c r="E2155"/>
      <c r="F2155"/>
      <c r="CP2155" s="61"/>
    </row>
    <row r="2156" spans="3:94">
      <c r="C2156"/>
      <c r="D2156"/>
      <c r="E2156"/>
      <c r="F2156"/>
      <c r="CP2156" s="61"/>
    </row>
    <row r="2157" spans="3:94">
      <c r="C2157"/>
      <c r="D2157"/>
      <c r="E2157"/>
      <c r="F2157"/>
      <c r="CP2157" s="61"/>
    </row>
    <row r="2158" spans="3:94">
      <c r="C2158"/>
      <c r="D2158"/>
      <c r="E2158"/>
      <c r="F2158"/>
      <c r="CP2158" s="61"/>
    </row>
    <row r="2159" spans="3:94">
      <c r="C2159"/>
      <c r="D2159"/>
      <c r="E2159"/>
      <c r="F2159"/>
      <c r="CP2159" s="61"/>
    </row>
    <row r="2160" spans="3:94">
      <c r="C2160"/>
      <c r="D2160"/>
      <c r="E2160"/>
      <c r="F2160"/>
      <c r="CP2160" s="61"/>
    </row>
    <row r="2161" spans="3:94">
      <c r="C2161"/>
      <c r="D2161"/>
      <c r="E2161"/>
      <c r="F2161"/>
      <c r="CP2161" s="61"/>
    </row>
    <row r="2162" spans="3:94">
      <c r="C2162"/>
      <c r="D2162"/>
      <c r="E2162"/>
      <c r="F2162"/>
      <c r="CP2162" s="61"/>
    </row>
    <row r="2163" spans="3:94">
      <c r="C2163"/>
      <c r="D2163"/>
      <c r="E2163"/>
      <c r="F2163"/>
      <c r="CP2163" s="61"/>
    </row>
    <row r="2164" spans="3:94">
      <c r="C2164"/>
      <c r="D2164"/>
      <c r="E2164"/>
      <c r="F2164"/>
      <c r="CP2164" s="61"/>
    </row>
    <row r="2165" spans="3:94">
      <c r="C2165"/>
      <c r="D2165"/>
      <c r="E2165"/>
      <c r="F2165"/>
      <c r="CP2165" s="61"/>
    </row>
    <row r="2166" spans="3:94">
      <c r="C2166"/>
      <c r="D2166"/>
      <c r="E2166"/>
      <c r="F2166"/>
      <c r="CP2166" s="61"/>
    </row>
    <row r="2167" spans="3:94">
      <c r="C2167"/>
      <c r="D2167"/>
      <c r="E2167"/>
      <c r="F2167"/>
      <c r="CP2167" s="61"/>
    </row>
    <row r="2168" spans="3:94">
      <c r="C2168"/>
      <c r="D2168"/>
      <c r="E2168"/>
      <c r="F2168"/>
      <c r="CP2168" s="61"/>
    </row>
    <row r="2169" spans="3:94">
      <c r="C2169"/>
      <c r="D2169"/>
      <c r="E2169"/>
      <c r="F2169"/>
      <c r="CP2169" s="61"/>
    </row>
    <row r="2170" spans="3:94">
      <c r="C2170"/>
      <c r="D2170"/>
      <c r="E2170"/>
      <c r="F2170"/>
      <c r="CP2170" s="61"/>
    </row>
    <row r="2171" spans="3:94">
      <c r="C2171"/>
      <c r="D2171"/>
      <c r="E2171"/>
      <c r="F2171"/>
      <c r="CP2171" s="61"/>
    </row>
    <row r="2172" spans="3:94">
      <c r="C2172"/>
      <c r="D2172"/>
      <c r="E2172"/>
      <c r="F2172"/>
      <c r="CP2172" s="61"/>
    </row>
    <row r="2173" spans="3:94">
      <c r="C2173"/>
      <c r="D2173"/>
      <c r="E2173"/>
      <c r="F2173"/>
      <c r="CP2173" s="61"/>
    </row>
    <row r="2174" spans="3:94">
      <c r="C2174"/>
      <c r="D2174"/>
      <c r="E2174"/>
      <c r="F2174"/>
      <c r="CP2174" s="61"/>
    </row>
    <row r="2175" spans="3:94">
      <c r="C2175"/>
      <c r="D2175"/>
      <c r="E2175"/>
      <c r="F2175"/>
      <c r="CP2175" s="61"/>
    </row>
    <row r="2176" spans="3:94">
      <c r="C2176"/>
      <c r="D2176"/>
      <c r="E2176"/>
      <c r="F2176"/>
      <c r="CP2176" s="61"/>
    </row>
    <row r="2177" spans="3:94">
      <c r="C2177"/>
      <c r="D2177"/>
      <c r="E2177"/>
      <c r="F2177"/>
      <c r="CP2177" s="61"/>
    </row>
    <row r="2178" spans="3:94">
      <c r="C2178"/>
      <c r="D2178"/>
      <c r="E2178"/>
      <c r="F2178"/>
      <c r="CP2178" s="61"/>
    </row>
    <row r="2179" spans="3:94">
      <c r="C2179"/>
      <c r="D2179"/>
      <c r="E2179"/>
      <c r="F2179"/>
      <c r="CP2179" s="61"/>
    </row>
    <row r="2180" spans="3:94">
      <c r="C2180"/>
      <c r="D2180"/>
      <c r="E2180"/>
      <c r="F2180"/>
      <c r="CP2180" s="61"/>
    </row>
    <row r="2181" spans="3:94">
      <c r="C2181"/>
      <c r="D2181"/>
      <c r="E2181"/>
      <c r="F2181"/>
      <c r="CP2181" s="61"/>
    </row>
    <row r="2182" spans="3:94">
      <c r="C2182"/>
      <c r="D2182"/>
      <c r="E2182"/>
      <c r="F2182"/>
      <c r="CP2182" s="61"/>
    </row>
    <row r="2183" spans="3:94">
      <c r="C2183"/>
      <c r="D2183"/>
      <c r="E2183"/>
      <c r="F2183"/>
      <c r="CP2183" s="61"/>
    </row>
    <row r="2184" spans="3:94">
      <c r="C2184"/>
      <c r="D2184"/>
      <c r="E2184"/>
      <c r="F2184"/>
      <c r="CP2184" s="61"/>
    </row>
    <row r="2185" spans="3:94">
      <c r="C2185"/>
      <c r="D2185"/>
      <c r="E2185"/>
      <c r="F2185"/>
      <c r="CP2185" s="61"/>
    </row>
    <row r="2186" spans="3:94">
      <c r="C2186"/>
      <c r="D2186"/>
      <c r="E2186"/>
      <c r="F2186"/>
      <c r="CP2186" s="61"/>
    </row>
    <row r="2187" spans="3:94">
      <c r="C2187"/>
      <c r="D2187"/>
      <c r="E2187"/>
      <c r="F2187"/>
      <c r="CP2187" s="61"/>
    </row>
    <row r="2188" spans="3:94">
      <c r="C2188"/>
      <c r="D2188"/>
      <c r="E2188"/>
      <c r="F2188"/>
      <c r="CP2188" s="61"/>
    </row>
    <row r="2189" spans="3:94">
      <c r="C2189"/>
      <c r="D2189"/>
      <c r="E2189"/>
      <c r="F2189"/>
      <c r="CP2189" s="61"/>
    </row>
    <row r="2190" spans="3:94">
      <c r="C2190"/>
      <c r="D2190"/>
      <c r="E2190"/>
      <c r="F2190"/>
      <c r="CP2190" s="61"/>
    </row>
    <row r="2191" spans="3:94">
      <c r="C2191"/>
      <c r="D2191"/>
      <c r="E2191"/>
      <c r="F2191"/>
      <c r="CP2191" s="61"/>
    </row>
    <row r="2192" spans="3:94">
      <c r="C2192"/>
      <c r="D2192"/>
      <c r="E2192"/>
      <c r="F2192"/>
      <c r="CP2192" s="61"/>
    </row>
    <row r="2193" spans="3:94">
      <c r="C2193"/>
      <c r="D2193"/>
      <c r="E2193"/>
      <c r="F2193"/>
      <c r="CP2193" s="61"/>
    </row>
    <row r="2194" spans="3:94">
      <c r="C2194"/>
      <c r="D2194"/>
      <c r="E2194"/>
      <c r="F2194"/>
      <c r="CP2194" s="61"/>
    </row>
    <row r="2195" spans="3:94">
      <c r="C2195"/>
      <c r="D2195"/>
      <c r="E2195"/>
      <c r="F2195"/>
      <c r="CP2195" s="61"/>
    </row>
    <row r="2196" spans="3:94">
      <c r="C2196"/>
      <c r="D2196"/>
      <c r="E2196"/>
      <c r="F2196"/>
      <c r="CP2196" s="61"/>
    </row>
    <row r="2197" spans="3:94">
      <c r="C2197"/>
      <c r="D2197"/>
      <c r="E2197"/>
      <c r="F2197"/>
      <c r="CP2197" s="61"/>
    </row>
    <row r="2198" spans="3:94">
      <c r="C2198"/>
      <c r="D2198"/>
      <c r="E2198"/>
      <c r="F2198"/>
      <c r="CP2198" s="61"/>
    </row>
    <row r="2199" spans="3:94">
      <c r="C2199"/>
      <c r="D2199"/>
      <c r="E2199"/>
      <c r="F2199"/>
      <c r="CP2199" s="61"/>
    </row>
    <row r="2200" spans="3:94">
      <c r="C2200"/>
      <c r="D2200"/>
      <c r="E2200"/>
      <c r="F2200"/>
      <c r="CP2200" s="61"/>
    </row>
    <row r="2201" spans="3:94">
      <c r="C2201"/>
      <c r="D2201"/>
      <c r="E2201"/>
      <c r="F2201"/>
      <c r="CP2201" s="61"/>
    </row>
    <row r="2202" spans="3:94">
      <c r="C2202"/>
      <c r="D2202"/>
      <c r="E2202"/>
      <c r="F2202"/>
      <c r="CP2202" s="61"/>
    </row>
    <row r="2203" spans="3:94">
      <c r="C2203"/>
      <c r="D2203"/>
      <c r="E2203"/>
      <c r="F2203"/>
      <c r="CP2203" s="61"/>
    </row>
    <row r="2204" spans="3:94">
      <c r="C2204"/>
      <c r="D2204"/>
      <c r="E2204"/>
      <c r="F2204"/>
      <c r="CP2204" s="61"/>
    </row>
    <row r="2205" spans="3:94">
      <c r="C2205"/>
      <c r="D2205"/>
      <c r="E2205"/>
      <c r="F2205"/>
      <c r="CP2205" s="61"/>
    </row>
    <row r="2206" spans="3:94">
      <c r="C2206"/>
      <c r="D2206"/>
      <c r="E2206"/>
      <c r="F2206"/>
      <c r="CP2206" s="61"/>
    </row>
    <row r="2207" spans="3:94">
      <c r="C2207"/>
      <c r="D2207"/>
      <c r="E2207"/>
      <c r="F2207"/>
      <c r="CP2207" s="61"/>
    </row>
    <row r="2208" spans="3:94">
      <c r="C2208"/>
      <c r="D2208"/>
      <c r="E2208"/>
      <c r="F2208"/>
      <c r="CP2208" s="61"/>
    </row>
    <row r="2209" spans="3:94">
      <c r="C2209"/>
      <c r="D2209"/>
      <c r="E2209"/>
      <c r="F2209"/>
      <c r="CP2209" s="61"/>
    </row>
    <row r="2210" spans="3:94">
      <c r="C2210"/>
      <c r="D2210"/>
      <c r="E2210"/>
      <c r="F2210"/>
      <c r="CP2210" s="61"/>
    </row>
    <row r="2211" spans="3:94">
      <c r="C2211"/>
      <c r="D2211"/>
      <c r="E2211"/>
      <c r="F2211"/>
      <c r="CP2211" s="61"/>
    </row>
    <row r="2212" spans="3:94">
      <c r="C2212"/>
      <c r="D2212"/>
      <c r="E2212"/>
      <c r="F2212"/>
      <c r="CP2212" s="61"/>
    </row>
    <row r="2213" spans="3:94">
      <c r="C2213"/>
      <c r="D2213"/>
      <c r="E2213"/>
      <c r="F2213"/>
      <c r="CP2213" s="61"/>
    </row>
    <row r="2214" spans="3:94">
      <c r="C2214"/>
      <c r="D2214"/>
      <c r="E2214"/>
      <c r="F2214"/>
      <c r="CP2214" s="61"/>
    </row>
    <row r="2215" spans="3:94">
      <c r="C2215"/>
      <c r="D2215"/>
      <c r="E2215"/>
      <c r="F2215"/>
      <c r="CP2215" s="61"/>
    </row>
    <row r="2216" spans="3:94">
      <c r="C2216"/>
      <c r="D2216"/>
      <c r="E2216"/>
      <c r="F2216"/>
      <c r="CP2216" s="61"/>
    </row>
    <row r="2217" spans="3:94">
      <c r="C2217"/>
      <c r="D2217"/>
      <c r="E2217"/>
      <c r="F2217"/>
      <c r="CP2217" s="61"/>
    </row>
    <row r="2218" spans="3:94">
      <c r="C2218"/>
      <c r="D2218"/>
      <c r="E2218"/>
      <c r="F2218"/>
      <c r="CP2218" s="61"/>
    </row>
    <row r="2219" spans="3:94">
      <c r="C2219"/>
      <c r="D2219"/>
      <c r="E2219"/>
      <c r="F2219"/>
      <c r="CP2219" s="61"/>
    </row>
    <row r="2220" spans="3:94">
      <c r="C2220"/>
      <c r="D2220"/>
      <c r="E2220"/>
      <c r="F2220"/>
      <c r="CP2220" s="61"/>
    </row>
    <row r="2221" spans="3:94">
      <c r="C2221"/>
      <c r="D2221"/>
      <c r="E2221"/>
      <c r="F2221"/>
      <c r="CP2221" s="61"/>
    </row>
    <row r="2222" spans="3:94">
      <c r="C2222"/>
      <c r="D2222"/>
      <c r="E2222"/>
      <c r="F2222"/>
      <c r="CP2222" s="61"/>
    </row>
    <row r="2223" spans="3:94">
      <c r="C2223"/>
      <c r="D2223"/>
      <c r="E2223"/>
      <c r="F2223"/>
      <c r="CP2223" s="61"/>
    </row>
    <row r="2224" spans="3:94">
      <c r="C2224"/>
      <c r="D2224"/>
      <c r="E2224"/>
      <c r="F2224"/>
      <c r="CP2224" s="61"/>
    </row>
    <row r="2225" spans="3:94">
      <c r="C2225"/>
      <c r="D2225"/>
      <c r="E2225"/>
      <c r="F2225"/>
      <c r="CP2225" s="61"/>
    </row>
    <row r="2226" spans="3:94">
      <c r="C2226"/>
      <c r="D2226"/>
      <c r="E2226"/>
      <c r="F2226"/>
      <c r="CP2226" s="61"/>
    </row>
    <row r="2227" spans="3:94">
      <c r="C2227"/>
      <c r="D2227"/>
      <c r="E2227"/>
      <c r="F2227"/>
      <c r="CP2227" s="61"/>
    </row>
    <row r="2228" spans="3:94">
      <c r="C2228"/>
      <c r="D2228"/>
      <c r="E2228"/>
      <c r="F2228"/>
      <c r="CP2228" s="61"/>
    </row>
    <row r="2229" spans="3:94">
      <c r="C2229"/>
      <c r="D2229"/>
      <c r="E2229"/>
      <c r="F2229"/>
      <c r="CP2229" s="61"/>
    </row>
    <row r="2230" spans="3:94">
      <c r="C2230"/>
      <c r="D2230"/>
      <c r="E2230"/>
      <c r="F2230"/>
      <c r="CP2230" s="61"/>
    </row>
    <row r="2231" spans="3:94">
      <c r="C2231"/>
      <c r="D2231"/>
      <c r="E2231"/>
      <c r="F2231"/>
      <c r="CP2231" s="61"/>
    </row>
    <row r="2232" spans="3:94">
      <c r="C2232"/>
      <c r="D2232"/>
      <c r="E2232"/>
      <c r="F2232"/>
      <c r="CP2232" s="61"/>
    </row>
    <row r="2233" spans="3:94">
      <c r="C2233"/>
      <c r="D2233"/>
      <c r="E2233"/>
      <c r="F2233"/>
      <c r="CP2233" s="61"/>
    </row>
    <row r="2234" spans="3:94">
      <c r="C2234"/>
      <c r="D2234"/>
      <c r="E2234"/>
      <c r="F2234"/>
      <c r="CP2234" s="61"/>
    </row>
    <row r="2235" spans="3:94">
      <c r="C2235"/>
      <c r="D2235"/>
      <c r="E2235"/>
      <c r="F2235"/>
      <c r="CP2235" s="61"/>
    </row>
    <row r="2236" spans="3:94">
      <c r="C2236"/>
      <c r="D2236"/>
      <c r="E2236"/>
      <c r="F2236"/>
      <c r="CP2236" s="61"/>
    </row>
    <row r="2237" spans="3:94">
      <c r="C2237"/>
      <c r="D2237"/>
      <c r="E2237"/>
      <c r="F2237"/>
      <c r="CP2237" s="61"/>
    </row>
    <row r="2238" spans="3:94">
      <c r="C2238"/>
      <c r="D2238"/>
      <c r="E2238"/>
      <c r="F2238"/>
      <c r="CP2238" s="61"/>
    </row>
    <row r="2239" spans="3:94">
      <c r="C2239"/>
      <c r="D2239"/>
      <c r="E2239"/>
      <c r="F2239"/>
      <c r="CP2239" s="61"/>
    </row>
    <row r="2240" spans="3:94">
      <c r="C2240"/>
      <c r="D2240"/>
      <c r="E2240"/>
      <c r="F2240"/>
      <c r="CP2240" s="61"/>
    </row>
    <row r="2241" spans="3:94">
      <c r="C2241"/>
      <c r="D2241"/>
      <c r="E2241"/>
      <c r="F2241"/>
      <c r="CP2241" s="61"/>
    </row>
    <row r="2242" spans="3:94">
      <c r="C2242"/>
      <c r="D2242"/>
      <c r="E2242"/>
      <c r="F2242"/>
      <c r="CP2242" s="61"/>
    </row>
    <row r="2243" spans="3:94">
      <c r="C2243"/>
      <c r="D2243"/>
      <c r="E2243"/>
      <c r="F2243"/>
      <c r="CP2243" s="61"/>
    </row>
    <row r="2244" spans="3:94">
      <c r="C2244"/>
      <c r="D2244"/>
      <c r="E2244"/>
      <c r="F2244"/>
      <c r="CP2244" s="61"/>
    </row>
    <row r="2245" spans="3:94">
      <c r="C2245"/>
      <c r="D2245"/>
      <c r="E2245"/>
      <c r="F2245"/>
      <c r="CP2245" s="61"/>
    </row>
    <row r="2246" spans="3:94">
      <c r="C2246"/>
      <c r="D2246"/>
      <c r="E2246"/>
      <c r="F2246"/>
      <c r="CP2246" s="61"/>
    </row>
    <row r="2247" spans="3:94">
      <c r="C2247"/>
      <c r="D2247"/>
      <c r="E2247"/>
      <c r="F2247"/>
      <c r="CP2247" s="61"/>
    </row>
    <row r="2248" spans="3:94">
      <c r="C2248"/>
      <c r="D2248"/>
      <c r="E2248"/>
      <c r="F2248"/>
      <c r="CP2248" s="61"/>
    </row>
    <row r="2249" spans="3:94">
      <c r="C2249"/>
      <c r="D2249"/>
      <c r="E2249"/>
      <c r="F2249"/>
      <c r="CP2249" s="61"/>
    </row>
    <row r="2250" spans="3:94">
      <c r="C2250"/>
      <c r="D2250"/>
      <c r="E2250"/>
      <c r="F2250"/>
      <c r="CP2250" s="61"/>
    </row>
    <row r="2251" spans="3:94">
      <c r="C2251"/>
      <c r="D2251"/>
      <c r="E2251"/>
      <c r="F2251"/>
      <c r="CP2251" s="61"/>
    </row>
    <row r="2252" spans="3:94">
      <c r="C2252"/>
      <c r="D2252"/>
      <c r="E2252"/>
      <c r="F2252"/>
      <c r="CP2252" s="61"/>
    </row>
    <row r="2253" spans="3:94">
      <c r="C2253"/>
      <c r="D2253"/>
      <c r="E2253"/>
      <c r="F2253"/>
      <c r="CP2253" s="61"/>
    </row>
    <row r="2254" spans="3:94">
      <c r="C2254"/>
      <c r="D2254"/>
      <c r="E2254"/>
      <c r="F2254"/>
      <c r="CP2254" s="61"/>
    </row>
    <row r="2255" spans="3:94">
      <c r="C2255"/>
      <c r="D2255"/>
      <c r="E2255"/>
      <c r="F2255"/>
      <c r="CP2255" s="61"/>
    </row>
    <row r="2256" spans="3:94">
      <c r="C2256"/>
      <c r="D2256"/>
      <c r="E2256"/>
      <c r="F2256"/>
      <c r="CP2256" s="61"/>
    </row>
    <row r="2257" spans="3:94">
      <c r="C2257"/>
      <c r="D2257"/>
      <c r="E2257"/>
      <c r="F2257"/>
      <c r="CP2257" s="61"/>
    </row>
    <row r="2258" spans="3:94">
      <c r="C2258"/>
      <c r="D2258"/>
      <c r="E2258"/>
      <c r="F2258"/>
      <c r="CP2258" s="61"/>
    </row>
    <row r="2259" spans="3:94">
      <c r="C2259"/>
      <c r="D2259"/>
      <c r="E2259"/>
      <c r="F2259"/>
      <c r="CP2259" s="61"/>
    </row>
    <row r="2260" spans="3:94">
      <c r="C2260"/>
      <c r="D2260"/>
      <c r="E2260"/>
      <c r="F2260"/>
      <c r="CP2260" s="61"/>
    </row>
    <row r="2261" spans="3:94">
      <c r="C2261"/>
      <c r="D2261"/>
      <c r="E2261"/>
      <c r="F2261"/>
      <c r="CP2261" s="61"/>
    </row>
    <row r="2262" spans="3:94">
      <c r="C2262"/>
      <c r="D2262"/>
      <c r="E2262"/>
      <c r="F2262"/>
      <c r="CP2262" s="61"/>
    </row>
    <row r="2263" spans="3:94">
      <c r="C2263"/>
      <c r="D2263"/>
      <c r="E2263"/>
      <c r="F2263"/>
      <c r="CP2263" s="61"/>
    </row>
    <row r="2264" spans="3:94">
      <c r="C2264"/>
      <c r="D2264"/>
      <c r="E2264"/>
      <c r="F2264"/>
      <c r="CP2264" s="61"/>
    </row>
    <row r="2265" spans="3:94">
      <c r="C2265"/>
      <c r="D2265"/>
      <c r="E2265"/>
      <c r="F2265"/>
      <c r="CP2265" s="61"/>
    </row>
    <row r="2266" spans="3:94">
      <c r="C2266"/>
      <c r="D2266"/>
      <c r="E2266"/>
      <c r="F2266"/>
      <c r="CP2266" s="61"/>
    </row>
    <row r="2267" spans="3:94">
      <c r="C2267"/>
      <c r="D2267"/>
      <c r="E2267"/>
      <c r="F2267"/>
      <c r="CP2267" s="61"/>
    </row>
    <row r="2268" spans="3:94">
      <c r="C2268"/>
      <c r="D2268"/>
      <c r="E2268"/>
      <c r="F2268"/>
      <c r="CP2268" s="61"/>
    </row>
    <row r="2269" spans="3:94">
      <c r="C2269"/>
      <c r="D2269"/>
      <c r="E2269"/>
      <c r="F2269"/>
      <c r="CP2269" s="61"/>
    </row>
    <row r="2270" spans="3:94">
      <c r="C2270"/>
      <c r="D2270"/>
      <c r="E2270"/>
      <c r="F2270"/>
      <c r="CP2270" s="61"/>
    </row>
    <row r="2271" spans="3:94">
      <c r="C2271"/>
      <c r="D2271"/>
      <c r="E2271"/>
      <c r="F2271"/>
      <c r="CP2271" s="61"/>
    </row>
    <row r="2272" spans="3:94">
      <c r="C2272"/>
      <c r="D2272"/>
      <c r="E2272"/>
      <c r="F2272"/>
      <c r="CP2272" s="61"/>
    </row>
    <row r="2273" spans="3:94">
      <c r="C2273"/>
      <c r="D2273"/>
      <c r="E2273"/>
      <c r="F2273"/>
      <c r="CP2273" s="61"/>
    </row>
    <row r="2274" spans="3:94">
      <c r="C2274"/>
      <c r="D2274"/>
      <c r="E2274"/>
      <c r="F2274"/>
      <c r="CP2274" s="61"/>
    </row>
    <row r="2275" spans="3:94">
      <c r="C2275"/>
      <c r="D2275"/>
      <c r="E2275"/>
      <c r="F2275"/>
      <c r="CP2275" s="61"/>
    </row>
    <row r="2276" spans="3:94">
      <c r="C2276"/>
      <c r="D2276"/>
      <c r="E2276"/>
      <c r="F2276"/>
      <c r="CP2276" s="61"/>
    </row>
    <row r="2277" spans="3:94">
      <c r="C2277"/>
      <c r="D2277"/>
      <c r="E2277"/>
      <c r="F2277"/>
      <c r="CP2277" s="61"/>
    </row>
    <row r="2278" spans="3:94">
      <c r="C2278"/>
      <c r="D2278"/>
      <c r="E2278"/>
      <c r="F2278"/>
      <c r="CP2278" s="61"/>
    </row>
    <row r="2279" spans="3:94">
      <c r="C2279"/>
      <c r="D2279"/>
      <c r="E2279"/>
      <c r="F2279"/>
      <c r="CP2279" s="61"/>
    </row>
    <row r="2280" spans="3:94">
      <c r="C2280"/>
      <c r="D2280"/>
      <c r="E2280"/>
      <c r="F2280"/>
      <c r="CP2280" s="61"/>
    </row>
    <row r="2281" spans="3:94">
      <c r="C2281"/>
      <c r="D2281"/>
      <c r="E2281"/>
      <c r="F2281"/>
      <c r="CP2281" s="61"/>
    </row>
    <row r="2282" spans="3:94">
      <c r="C2282"/>
      <c r="D2282"/>
      <c r="E2282"/>
      <c r="F2282"/>
      <c r="CP2282" s="61"/>
    </row>
    <row r="2283" spans="3:94">
      <c r="C2283"/>
      <c r="D2283"/>
      <c r="E2283"/>
      <c r="F2283"/>
      <c r="CP2283" s="61"/>
    </row>
    <row r="2284" spans="3:94">
      <c r="C2284"/>
      <c r="D2284"/>
      <c r="E2284"/>
      <c r="F2284"/>
      <c r="CP2284" s="61"/>
    </row>
    <row r="2285" spans="3:94">
      <c r="C2285"/>
      <c r="D2285"/>
      <c r="E2285"/>
      <c r="F2285"/>
      <c r="CP2285" s="61"/>
    </row>
    <row r="2286" spans="3:94">
      <c r="C2286"/>
      <c r="D2286"/>
      <c r="E2286"/>
      <c r="F2286"/>
      <c r="CP2286" s="61"/>
    </row>
    <row r="2287" spans="3:94">
      <c r="C2287"/>
      <c r="D2287"/>
      <c r="E2287"/>
      <c r="F2287"/>
      <c r="CP2287" s="61"/>
    </row>
    <row r="2288" spans="3:94">
      <c r="C2288"/>
      <c r="D2288"/>
      <c r="E2288"/>
      <c r="F2288"/>
      <c r="CP2288" s="61"/>
    </row>
    <row r="2289" spans="3:94">
      <c r="C2289"/>
      <c r="D2289"/>
      <c r="E2289"/>
      <c r="F2289"/>
      <c r="CP2289" s="61"/>
    </row>
    <row r="2290" spans="3:94">
      <c r="C2290"/>
      <c r="D2290"/>
      <c r="E2290"/>
      <c r="F2290"/>
      <c r="CP2290" s="61"/>
    </row>
    <row r="2291" spans="3:94">
      <c r="C2291"/>
      <c r="D2291"/>
      <c r="E2291"/>
      <c r="F2291"/>
      <c r="CP2291" s="61"/>
    </row>
    <row r="2292" spans="3:94">
      <c r="C2292"/>
      <c r="D2292"/>
      <c r="E2292"/>
      <c r="F2292"/>
      <c r="CP2292" s="61"/>
    </row>
    <row r="2293" spans="3:94">
      <c r="C2293"/>
      <c r="D2293"/>
      <c r="E2293"/>
      <c r="F2293"/>
      <c r="CP2293" s="61"/>
    </row>
    <row r="2294" spans="3:94">
      <c r="C2294"/>
      <c r="D2294"/>
      <c r="E2294"/>
      <c r="F2294"/>
      <c r="CP2294" s="61"/>
    </row>
    <row r="2295" spans="3:94">
      <c r="C2295"/>
      <c r="D2295"/>
      <c r="E2295"/>
      <c r="F2295"/>
      <c r="CP2295" s="61"/>
    </row>
    <row r="2296" spans="3:94">
      <c r="C2296"/>
      <c r="D2296"/>
      <c r="E2296"/>
      <c r="F2296"/>
      <c r="CP2296" s="61"/>
    </row>
    <row r="2297" spans="3:94">
      <c r="C2297"/>
      <c r="D2297"/>
      <c r="E2297"/>
      <c r="F2297"/>
      <c r="CP2297" s="61"/>
    </row>
    <row r="2298" spans="3:94">
      <c r="C2298"/>
      <c r="D2298"/>
      <c r="E2298"/>
      <c r="F2298"/>
      <c r="CP2298" s="61"/>
    </row>
    <row r="2299" spans="3:94">
      <c r="C2299"/>
      <c r="D2299"/>
      <c r="E2299"/>
      <c r="F2299"/>
      <c r="CP2299" s="61"/>
    </row>
    <row r="2300" spans="3:94">
      <c r="C2300"/>
      <c r="D2300"/>
      <c r="E2300"/>
      <c r="F2300"/>
      <c r="CP2300" s="61"/>
    </row>
    <row r="2301" spans="3:94">
      <c r="C2301"/>
      <c r="D2301"/>
      <c r="E2301"/>
      <c r="F2301"/>
      <c r="CP2301" s="61"/>
    </row>
    <row r="2302" spans="3:94">
      <c r="C2302"/>
      <c r="D2302"/>
      <c r="E2302"/>
      <c r="F2302"/>
      <c r="CP2302" s="61"/>
    </row>
    <row r="2303" spans="3:94">
      <c r="C2303"/>
      <c r="D2303"/>
      <c r="E2303"/>
      <c r="F2303"/>
      <c r="CP2303" s="61"/>
    </row>
    <row r="2304" spans="3:94">
      <c r="C2304"/>
      <c r="D2304"/>
      <c r="E2304"/>
      <c r="F2304"/>
      <c r="CP2304" s="61"/>
    </row>
    <row r="2305" spans="3:94">
      <c r="C2305"/>
      <c r="D2305"/>
      <c r="E2305"/>
      <c r="F2305"/>
      <c r="CP2305" s="61"/>
    </row>
    <row r="2306" spans="3:94">
      <c r="C2306"/>
      <c r="D2306"/>
      <c r="E2306"/>
      <c r="F2306"/>
      <c r="CP2306" s="61"/>
    </row>
    <row r="2307" spans="3:94">
      <c r="C2307"/>
      <c r="D2307"/>
      <c r="E2307"/>
      <c r="F2307"/>
      <c r="CP2307" s="61"/>
    </row>
    <row r="2308" spans="3:94">
      <c r="C2308"/>
      <c r="D2308"/>
      <c r="E2308"/>
      <c r="F2308"/>
      <c r="CP2308" s="61"/>
    </row>
    <row r="2309" spans="3:94">
      <c r="C2309"/>
      <c r="D2309"/>
      <c r="E2309"/>
      <c r="F2309"/>
      <c r="CP2309" s="61"/>
    </row>
    <row r="2310" spans="3:94">
      <c r="C2310"/>
      <c r="D2310"/>
      <c r="E2310"/>
      <c r="F2310"/>
      <c r="CP2310" s="61"/>
    </row>
    <row r="2311" spans="3:94">
      <c r="C2311"/>
      <c r="D2311"/>
      <c r="E2311"/>
      <c r="F2311"/>
      <c r="CP2311" s="61"/>
    </row>
    <row r="2312" spans="3:94">
      <c r="C2312"/>
      <c r="D2312"/>
      <c r="E2312"/>
      <c r="F2312"/>
      <c r="CP2312" s="61"/>
    </row>
    <row r="2313" spans="3:94">
      <c r="C2313"/>
      <c r="D2313"/>
      <c r="E2313"/>
      <c r="F2313"/>
      <c r="CP2313" s="61"/>
    </row>
    <row r="2314" spans="3:94">
      <c r="C2314"/>
      <c r="D2314"/>
      <c r="E2314"/>
      <c r="F2314"/>
      <c r="CP2314" s="61"/>
    </row>
    <row r="2315" spans="3:94">
      <c r="C2315"/>
      <c r="D2315"/>
      <c r="E2315"/>
      <c r="F2315"/>
      <c r="CP2315" s="61"/>
    </row>
    <row r="2316" spans="3:94">
      <c r="C2316"/>
      <c r="D2316"/>
      <c r="E2316"/>
      <c r="F2316"/>
      <c r="CP2316" s="61"/>
    </row>
    <row r="2317" spans="3:94">
      <c r="C2317"/>
      <c r="D2317"/>
      <c r="E2317"/>
      <c r="F2317"/>
      <c r="CP2317" s="61"/>
    </row>
    <row r="2318" spans="3:94">
      <c r="C2318"/>
      <c r="D2318"/>
      <c r="E2318"/>
      <c r="F2318"/>
      <c r="CP2318" s="61"/>
    </row>
    <row r="2319" spans="3:94">
      <c r="C2319"/>
      <c r="D2319"/>
      <c r="E2319"/>
      <c r="F2319"/>
      <c r="CP2319" s="61"/>
    </row>
    <row r="2320" spans="3:94">
      <c r="C2320"/>
      <c r="D2320"/>
      <c r="E2320"/>
      <c r="F2320"/>
      <c r="CP2320" s="61"/>
    </row>
    <row r="2321" spans="3:94">
      <c r="C2321"/>
      <c r="D2321"/>
      <c r="E2321"/>
      <c r="F2321"/>
      <c r="CP2321" s="61"/>
    </row>
    <row r="2322" spans="3:94">
      <c r="C2322"/>
      <c r="D2322"/>
      <c r="E2322"/>
      <c r="F2322"/>
      <c r="CP2322" s="61"/>
    </row>
    <row r="2323" spans="3:94">
      <c r="C2323"/>
      <c r="D2323"/>
      <c r="E2323"/>
      <c r="F2323"/>
      <c r="CP2323" s="61"/>
    </row>
    <row r="2324" spans="3:94">
      <c r="C2324"/>
      <c r="D2324"/>
      <c r="E2324"/>
      <c r="F2324"/>
      <c r="CP2324" s="61"/>
    </row>
    <row r="2325" spans="3:94">
      <c r="C2325"/>
      <c r="D2325"/>
      <c r="E2325"/>
      <c r="F2325"/>
      <c r="CP2325" s="61"/>
    </row>
    <row r="2326" spans="3:94">
      <c r="C2326"/>
      <c r="D2326"/>
      <c r="E2326"/>
      <c r="F2326"/>
      <c r="CP2326" s="61"/>
    </row>
    <row r="2327" spans="3:94">
      <c r="C2327"/>
      <c r="D2327"/>
      <c r="E2327"/>
      <c r="F2327"/>
      <c r="CP2327" s="61"/>
    </row>
    <row r="2328" spans="3:94">
      <c r="C2328"/>
      <c r="D2328"/>
      <c r="E2328"/>
      <c r="F2328"/>
      <c r="CP2328" s="61"/>
    </row>
    <row r="2329" spans="3:94">
      <c r="C2329"/>
      <c r="D2329"/>
      <c r="E2329"/>
      <c r="F2329"/>
      <c r="CP2329" s="61"/>
    </row>
    <row r="2330" spans="3:94">
      <c r="C2330"/>
      <c r="D2330"/>
      <c r="E2330"/>
      <c r="F2330"/>
      <c r="CP2330" s="61"/>
    </row>
    <row r="2331" spans="3:94">
      <c r="C2331"/>
      <c r="D2331"/>
      <c r="E2331"/>
      <c r="F2331"/>
      <c r="CP2331" s="61"/>
    </row>
    <row r="2332" spans="3:94">
      <c r="C2332"/>
      <c r="D2332"/>
      <c r="E2332"/>
      <c r="F2332"/>
      <c r="CP2332" s="61"/>
    </row>
    <row r="2333" spans="3:94">
      <c r="C2333"/>
      <c r="D2333"/>
      <c r="E2333"/>
      <c r="F2333"/>
      <c r="CP2333" s="61"/>
    </row>
    <row r="2334" spans="3:94">
      <c r="C2334"/>
      <c r="D2334"/>
      <c r="E2334"/>
      <c r="F2334"/>
      <c r="CP2334" s="61"/>
    </row>
    <row r="2335" spans="3:94">
      <c r="C2335"/>
      <c r="D2335"/>
      <c r="E2335"/>
      <c r="F2335"/>
      <c r="CP2335" s="61"/>
    </row>
    <row r="2336" spans="3:94">
      <c r="C2336"/>
      <c r="D2336"/>
      <c r="E2336"/>
      <c r="F2336"/>
      <c r="CP2336" s="61"/>
    </row>
    <row r="2337" spans="3:94">
      <c r="C2337"/>
      <c r="D2337"/>
      <c r="E2337"/>
      <c r="F2337"/>
      <c r="CP2337" s="61"/>
    </row>
    <row r="2338" spans="3:94">
      <c r="C2338"/>
      <c r="D2338"/>
      <c r="E2338"/>
      <c r="F2338"/>
      <c r="CP2338" s="61"/>
    </row>
    <row r="2339" spans="3:94">
      <c r="C2339"/>
      <c r="D2339"/>
      <c r="E2339"/>
      <c r="F2339"/>
      <c r="CP2339" s="61"/>
    </row>
    <row r="2340" spans="3:94">
      <c r="C2340"/>
      <c r="D2340"/>
      <c r="E2340"/>
      <c r="F2340"/>
      <c r="CP2340" s="61"/>
    </row>
    <row r="2341" spans="3:94">
      <c r="C2341"/>
      <c r="D2341"/>
      <c r="E2341"/>
      <c r="F2341"/>
      <c r="CP2341" s="61"/>
    </row>
    <row r="2342" spans="3:94">
      <c r="C2342"/>
      <c r="D2342"/>
      <c r="E2342"/>
      <c r="F2342"/>
      <c r="CP2342" s="61"/>
    </row>
    <row r="2343" spans="3:94">
      <c r="C2343"/>
      <c r="D2343"/>
      <c r="E2343"/>
      <c r="F2343"/>
      <c r="CP2343" s="61"/>
    </row>
    <row r="2344" spans="3:94">
      <c r="C2344"/>
      <c r="D2344"/>
      <c r="E2344"/>
      <c r="F2344"/>
      <c r="CP2344" s="61"/>
    </row>
    <row r="2345" spans="3:94">
      <c r="C2345"/>
      <c r="D2345"/>
      <c r="E2345"/>
      <c r="F2345"/>
      <c r="CP2345" s="61"/>
    </row>
    <row r="2346" spans="3:94">
      <c r="C2346"/>
      <c r="D2346"/>
      <c r="E2346"/>
      <c r="F2346"/>
      <c r="CP2346" s="61"/>
    </row>
    <row r="2347" spans="3:94">
      <c r="C2347"/>
      <c r="D2347"/>
      <c r="E2347"/>
      <c r="F2347"/>
      <c r="CP2347" s="61"/>
    </row>
    <row r="2348" spans="3:94">
      <c r="C2348"/>
      <c r="D2348"/>
      <c r="E2348"/>
      <c r="F2348"/>
      <c r="CP2348" s="61"/>
    </row>
    <row r="2349" spans="3:94">
      <c r="C2349"/>
      <c r="D2349"/>
      <c r="E2349"/>
      <c r="F2349"/>
      <c r="CP2349" s="61"/>
    </row>
    <row r="2350" spans="3:94">
      <c r="C2350"/>
      <c r="D2350"/>
      <c r="E2350"/>
      <c r="F2350"/>
      <c r="CP2350" s="61"/>
    </row>
    <row r="2351" spans="3:94">
      <c r="C2351"/>
      <c r="D2351"/>
      <c r="E2351"/>
      <c r="F2351"/>
      <c r="CP2351" s="61"/>
    </row>
    <row r="2352" spans="3:94">
      <c r="C2352"/>
      <c r="D2352"/>
      <c r="E2352"/>
      <c r="F2352"/>
      <c r="CP2352" s="61"/>
    </row>
    <row r="2353" spans="3:94">
      <c r="C2353"/>
      <c r="D2353"/>
      <c r="E2353"/>
      <c r="F2353"/>
      <c r="CP2353" s="61"/>
    </row>
    <row r="2354" spans="3:94">
      <c r="C2354"/>
      <c r="D2354"/>
      <c r="E2354"/>
      <c r="F2354"/>
      <c r="CP2354" s="61"/>
    </row>
    <row r="2355" spans="3:94">
      <c r="C2355"/>
      <c r="D2355"/>
      <c r="E2355"/>
      <c r="F2355"/>
      <c r="CP2355" s="61"/>
    </row>
    <row r="2356" spans="3:94">
      <c r="C2356"/>
      <c r="D2356"/>
      <c r="E2356"/>
      <c r="F2356"/>
      <c r="CP2356" s="61"/>
    </row>
    <row r="2357" spans="3:94">
      <c r="C2357"/>
      <c r="D2357"/>
      <c r="E2357"/>
      <c r="F2357"/>
      <c r="CP2357" s="61"/>
    </row>
    <row r="2358" spans="3:94">
      <c r="C2358"/>
      <c r="D2358"/>
      <c r="E2358"/>
      <c r="F2358"/>
      <c r="CP2358" s="61"/>
    </row>
    <row r="2359" spans="3:94">
      <c r="C2359"/>
      <c r="D2359"/>
      <c r="E2359"/>
      <c r="F2359"/>
      <c r="CP2359" s="61"/>
    </row>
    <row r="2360" spans="3:94">
      <c r="C2360"/>
      <c r="D2360"/>
      <c r="E2360"/>
      <c r="F2360"/>
      <c r="CP2360" s="61"/>
    </row>
    <row r="2361" spans="3:94">
      <c r="C2361"/>
      <c r="D2361"/>
      <c r="E2361"/>
      <c r="F2361"/>
      <c r="CP2361" s="61"/>
    </row>
    <row r="2362" spans="3:94">
      <c r="C2362"/>
      <c r="D2362"/>
      <c r="E2362"/>
      <c r="F2362"/>
      <c r="CP2362" s="61"/>
    </row>
    <row r="2363" spans="3:94">
      <c r="C2363"/>
      <c r="D2363"/>
      <c r="E2363"/>
      <c r="F2363"/>
      <c r="CP2363" s="61"/>
    </row>
    <row r="2364" spans="3:94">
      <c r="C2364"/>
      <c r="D2364"/>
      <c r="E2364"/>
      <c r="F2364"/>
      <c r="CP2364" s="61"/>
    </row>
    <row r="2365" spans="3:94">
      <c r="C2365"/>
      <c r="D2365"/>
      <c r="E2365"/>
      <c r="F2365"/>
      <c r="CP2365" s="61"/>
    </row>
    <row r="2366" spans="3:94">
      <c r="C2366"/>
      <c r="D2366"/>
      <c r="E2366"/>
      <c r="F2366"/>
      <c r="CP2366" s="61"/>
    </row>
    <row r="2367" spans="3:94">
      <c r="C2367"/>
      <c r="D2367"/>
      <c r="E2367"/>
      <c r="F2367"/>
      <c r="CP2367" s="61"/>
    </row>
    <row r="2368" spans="3:94">
      <c r="C2368"/>
      <c r="D2368"/>
      <c r="E2368"/>
      <c r="F2368"/>
      <c r="CP2368" s="61"/>
    </row>
    <row r="2369" spans="3:94">
      <c r="C2369"/>
      <c r="D2369"/>
      <c r="E2369"/>
      <c r="F2369"/>
      <c r="CP2369" s="61"/>
    </row>
    <row r="2370" spans="3:94">
      <c r="C2370"/>
      <c r="D2370"/>
      <c r="E2370"/>
      <c r="F2370"/>
      <c r="CP2370" s="61"/>
    </row>
    <row r="2371" spans="3:94">
      <c r="C2371"/>
      <c r="D2371"/>
      <c r="E2371"/>
      <c r="F2371"/>
      <c r="CP2371" s="61"/>
    </row>
    <row r="2372" spans="3:94">
      <c r="C2372"/>
      <c r="D2372"/>
      <c r="E2372"/>
      <c r="F2372"/>
      <c r="CP2372" s="61"/>
    </row>
    <row r="2373" spans="3:94">
      <c r="C2373"/>
      <c r="D2373"/>
      <c r="E2373"/>
      <c r="F2373"/>
      <c r="CP2373" s="61"/>
    </row>
    <row r="2374" spans="3:94">
      <c r="C2374"/>
      <c r="D2374"/>
      <c r="E2374"/>
      <c r="F2374"/>
      <c r="CP2374" s="61"/>
    </row>
    <row r="2375" spans="3:94">
      <c r="C2375"/>
      <c r="D2375"/>
      <c r="E2375"/>
      <c r="F2375"/>
      <c r="CP2375" s="61"/>
    </row>
    <row r="2376" spans="3:94">
      <c r="C2376"/>
      <c r="D2376"/>
      <c r="E2376"/>
      <c r="F2376"/>
      <c r="CP2376" s="61"/>
    </row>
    <row r="2377" spans="3:94">
      <c r="C2377"/>
      <c r="D2377"/>
      <c r="E2377"/>
      <c r="F2377"/>
      <c r="CP2377" s="61"/>
    </row>
    <row r="2378" spans="3:94">
      <c r="C2378"/>
      <c r="D2378"/>
      <c r="E2378"/>
      <c r="F2378"/>
      <c r="CP2378" s="61"/>
    </row>
    <row r="2379" spans="3:94">
      <c r="C2379"/>
      <c r="D2379"/>
      <c r="E2379"/>
      <c r="F2379"/>
      <c r="CP2379" s="61"/>
    </row>
    <row r="2380" spans="3:94">
      <c r="C2380"/>
      <c r="D2380"/>
      <c r="E2380"/>
      <c r="F2380"/>
      <c r="CP2380" s="61"/>
    </row>
    <row r="2381" spans="3:94">
      <c r="C2381"/>
      <c r="D2381"/>
      <c r="E2381"/>
      <c r="F2381"/>
      <c r="CP2381" s="61"/>
    </row>
    <row r="2382" spans="3:94">
      <c r="C2382"/>
      <c r="D2382"/>
      <c r="E2382"/>
      <c r="F2382"/>
      <c r="CP2382" s="61"/>
    </row>
    <row r="2383" spans="3:94">
      <c r="C2383"/>
      <c r="D2383"/>
      <c r="E2383"/>
      <c r="F2383"/>
      <c r="CP2383" s="61"/>
    </row>
    <row r="2384" spans="3:94">
      <c r="C2384"/>
      <c r="D2384"/>
      <c r="E2384"/>
      <c r="F2384"/>
      <c r="CP2384" s="61"/>
    </row>
    <row r="2385" spans="3:94">
      <c r="C2385"/>
      <c r="D2385"/>
      <c r="E2385"/>
      <c r="F2385"/>
      <c r="CP2385" s="61"/>
    </row>
    <row r="2386" spans="3:94">
      <c r="C2386"/>
      <c r="D2386"/>
      <c r="E2386"/>
      <c r="F2386"/>
      <c r="CP2386" s="61"/>
    </row>
    <row r="2387" spans="3:94">
      <c r="C2387"/>
      <c r="D2387"/>
      <c r="E2387"/>
      <c r="F2387"/>
      <c r="CP2387" s="61"/>
    </row>
    <row r="2388" spans="3:94">
      <c r="C2388"/>
      <c r="D2388"/>
      <c r="E2388"/>
      <c r="F2388"/>
      <c r="CP2388" s="61"/>
    </row>
    <row r="2389" spans="3:94">
      <c r="C2389"/>
      <c r="D2389"/>
      <c r="E2389"/>
      <c r="F2389"/>
      <c r="CP2389" s="61"/>
    </row>
    <row r="2390" spans="3:94">
      <c r="C2390"/>
      <c r="D2390"/>
      <c r="E2390"/>
      <c r="F2390"/>
      <c r="CP2390" s="61"/>
    </row>
    <row r="2391" spans="3:94">
      <c r="C2391"/>
      <c r="D2391"/>
      <c r="E2391"/>
      <c r="F2391"/>
      <c r="CP2391" s="61"/>
    </row>
    <row r="2392" spans="3:94">
      <c r="C2392"/>
      <c r="D2392"/>
      <c r="E2392"/>
      <c r="F2392"/>
      <c r="CP2392" s="61"/>
    </row>
    <row r="2393" spans="3:94">
      <c r="C2393"/>
      <c r="D2393"/>
      <c r="E2393"/>
      <c r="F2393"/>
      <c r="CP2393" s="61"/>
    </row>
    <row r="2394" spans="3:94">
      <c r="C2394"/>
      <c r="D2394"/>
      <c r="E2394"/>
      <c r="F2394"/>
      <c r="CP2394" s="61"/>
    </row>
    <row r="2395" spans="3:94">
      <c r="C2395"/>
      <c r="D2395"/>
      <c r="E2395"/>
      <c r="F2395"/>
      <c r="CP2395" s="61"/>
    </row>
    <row r="2396" spans="3:94">
      <c r="C2396"/>
      <c r="D2396"/>
      <c r="E2396"/>
      <c r="F2396"/>
      <c r="CP2396" s="61"/>
    </row>
    <row r="2397" spans="3:94">
      <c r="C2397"/>
      <c r="D2397"/>
      <c r="E2397"/>
      <c r="F2397"/>
      <c r="CP2397" s="61"/>
    </row>
    <row r="2398" spans="3:94">
      <c r="C2398"/>
      <c r="D2398"/>
      <c r="E2398"/>
      <c r="F2398"/>
      <c r="CP2398" s="61"/>
    </row>
    <row r="2399" spans="3:94">
      <c r="C2399"/>
      <c r="D2399"/>
      <c r="E2399"/>
      <c r="F2399"/>
      <c r="CP2399" s="61"/>
    </row>
    <row r="2400" spans="3:94">
      <c r="C2400"/>
      <c r="D2400"/>
      <c r="E2400"/>
      <c r="F2400"/>
      <c r="CP2400" s="61"/>
    </row>
    <row r="2401" spans="3:94">
      <c r="C2401"/>
      <c r="D2401"/>
      <c r="E2401"/>
      <c r="F2401"/>
      <c r="CP2401" s="61"/>
    </row>
    <row r="2402" spans="3:94">
      <c r="C2402"/>
      <c r="D2402"/>
      <c r="E2402"/>
      <c r="F2402"/>
      <c r="CP2402" s="61"/>
    </row>
    <row r="2403" spans="3:94">
      <c r="C2403"/>
      <c r="D2403"/>
      <c r="E2403"/>
      <c r="F2403"/>
      <c r="CP2403" s="61"/>
    </row>
    <row r="2404" spans="3:94">
      <c r="C2404"/>
      <c r="D2404"/>
      <c r="E2404"/>
      <c r="F2404"/>
      <c r="CP2404" s="61"/>
    </row>
    <row r="2405" spans="3:94">
      <c r="C2405"/>
      <c r="D2405"/>
      <c r="E2405"/>
      <c r="F2405"/>
      <c r="CP2405" s="61"/>
    </row>
    <row r="2406" spans="3:94">
      <c r="C2406"/>
      <c r="D2406"/>
      <c r="E2406"/>
      <c r="F2406"/>
      <c r="CP2406" s="61"/>
    </row>
    <row r="2407" spans="3:94">
      <c r="C2407"/>
      <c r="D2407"/>
      <c r="E2407"/>
      <c r="F2407"/>
      <c r="CP2407" s="61"/>
    </row>
    <row r="2408" spans="3:94">
      <c r="C2408"/>
      <c r="D2408"/>
      <c r="E2408"/>
      <c r="F2408"/>
      <c r="CP2408" s="61"/>
    </row>
    <row r="2409" spans="3:94">
      <c r="C2409"/>
      <c r="D2409"/>
      <c r="E2409"/>
      <c r="F2409"/>
      <c r="CP2409" s="61"/>
    </row>
    <row r="2410" spans="3:94">
      <c r="C2410"/>
      <c r="D2410"/>
      <c r="E2410"/>
      <c r="F2410"/>
      <c r="CP2410" s="61"/>
    </row>
    <row r="2411" spans="3:94">
      <c r="C2411"/>
      <c r="D2411"/>
      <c r="E2411"/>
      <c r="F2411"/>
      <c r="CP2411" s="61"/>
    </row>
    <row r="2412" spans="3:94">
      <c r="C2412"/>
      <c r="D2412"/>
      <c r="E2412"/>
      <c r="F2412"/>
      <c r="CP2412" s="61"/>
    </row>
    <row r="2413" spans="3:94">
      <c r="C2413"/>
      <c r="D2413"/>
      <c r="E2413"/>
      <c r="F2413"/>
      <c r="CP2413" s="61"/>
    </row>
    <row r="2414" spans="3:94">
      <c r="C2414"/>
      <c r="D2414"/>
      <c r="E2414"/>
      <c r="F2414"/>
      <c r="CP2414" s="61"/>
    </row>
    <row r="2415" spans="3:94">
      <c r="C2415"/>
      <c r="D2415"/>
      <c r="E2415"/>
      <c r="F2415"/>
      <c r="CP2415" s="61"/>
    </row>
    <row r="2416" spans="3:94">
      <c r="C2416"/>
      <c r="D2416"/>
      <c r="E2416"/>
      <c r="F2416"/>
      <c r="CP2416" s="61"/>
    </row>
    <row r="2417" spans="3:94">
      <c r="C2417"/>
      <c r="D2417"/>
      <c r="E2417"/>
      <c r="F2417"/>
      <c r="CP2417" s="61"/>
    </row>
    <row r="2418" spans="3:94">
      <c r="C2418"/>
      <c r="D2418"/>
      <c r="E2418"/>
      <c r="F2418"/>
      <c r="CP2418" s="61"/>
    </row>
    <row r="2419" spans="3:94">
      <c r="C2419"/>
      <c r="D2419"/>
      <c r="E2419"/>
      <c r="F2419"/>
      <c r="CP2419" s="61"/>
    </row>
    <row r="2420" spans="3:94">
      <c r="C2420"/>
      <c r="D2420"/>
      <c r="E2420"/>
      <c r="F2420"/>
      <c r="CP2420" s="61"/>
    </row>
    <row r="2421" spans="3:94">
      <c r="C2421"/>
      <c r="D2421"/>
      <c r="E2421"/>
      <c r="F2421"/>
      <c r="CP2421" s="61"/>
    </row>
    <row r="2422" spans="3:94">
      <c r="C2422"/>
      <c r="D2422"/>
      <c r="E2422"/>
      <c r="F2422"/>
      <c r="CP2422" s="61"/>
    </row>
    <row r="2423" spans="3:94">
      <c r="C2423"/>
      <c r="D2423"/>
      <c r="E2423"/>
      <c r="F2423"/>
      <c r="CP2423" s="61"/>
    </row>
    <row r="2424" spans="3:94">
      <c r="C2424"/>
      <c r="D2424"/>
      <c r="E2424"/>
      <c r="F2424"/>
      <c r="CP2424" s="61"/>
    </row>
    <row r="2425" spans="3:94">
      <c r="C2425"/>
      <c r="D2425"/>
      <c r="E2425"/>
      <c r="F2425"/>
      <c r="CP2425" s="61"/>
    </row>
    <row r="2426" spans="3:94">
      <c r="C2426"/>
      <c r="D2426"/>
      <c r="E2426"/>
      <c r="F2426"/>
      <c r="CP2426" s="61"/>
    </row>
    <row r="2427" spans="3:94">
      <c r="C2427"/>
      <c r="D2427"/>
      <c r="E2427"/>
      <c r="F2427"/>
      <c r="CP2427" s="61"/>
    </row>
    <row r="2428" spans="3:94">
      <c r="C2428"/>
      <c r="D2428"/>
      <c r="E2428"/>
      <c r="F2428"/>
      <c r="CP2428" s="61"/>
    </row>
    <row r="2429" spans="3:94">
      <c r="C2429"/>
      <c r="D2429"/>
      <c r="E2429"/>
      <c r="F2429"/>
      <c r="CP2429" s="61"/>
    </row>
    <row r="2430" spans="3:94">
      <c r="C2430"/>
      <c r="D2430"/>
      <c r="E2430"/>
      <c r="F2430"/>
      <c r="CP2430" s="61"/>
    </row>
    <row r="2431" spans="3:94">
      <c r="C2431"/>
      <c r="D2431"/>
      <c r="E2431"/>
      <c r="F2431"/>
      <c r="CP2431" s="61"/>
    </row>
    <row r="2432" spans="3:94">
      <c r="C2432"/>
      <c r="D2432"/>
      <c r="E2432"/>
      <c r="F2432"/>
      <c r="CP2432" s="61"/>
    </row>
    <row r="2433" spans="3:94">
      <c r="C2433"/>
      <c r="D2433"/>
      <c r="E2433"/>
      <c r="F2433"/>
      <c r="CP2433" s="61"/>
    </row>
    <row r="2434" spans="3:94">
      <c r="C2434"/>
      <c r="D2434"/>
      <c r="E2434"/>
      <c r="F2434"/>
      <c r="CP2434" s="61"/>
    </row>
    <row r="2435" spans="3:94">
      <c r="C2435"/>
      <c r="D2435"/>
      <c r="E2435"/>
      <c r="F2435"/>
      <c r="CP2435" s="61"/>
    </row>
    <row r="2436" spans="3:94">
      <c r="C2436"/>
      <c r="D2436"/>
      <c r="E2436"/>
      <c r="F2436"/>
      <c r="CP2436" s="61"/>
    </row>
    <row r="2437" spans="3:94">
      <c r="C2437"/>
      <c r="D2437"/>
      <c r="E2437"/>
      <c r="F2437"/>
      <c r="CP2437" s="61"/>
    </row>
    <row r="2438" spans="3:94">
      <c r="C2438"/>
      <c r="D2438"/>
      <c r="E2438"/>
      <c r="F2438"/>
      <c r="CP2438" s="61"/>
    </row>
    <row r="2439" spans="3:94">
      <c r="C2439"/>
      <c r="D2439"/>
      <c r="E2439"/>
      <c r="F2439"/>
      <c r="CP2439" s="61"/>
    </row>
    <row r="2440" spans="3:94">
      <c r="C2440"/>
      <c r="D2440"/>
      <c r="E2440"/>
      <c r="F2440"/>
      <c r="CP2440" s="61"/>
    </row>
    <row r="2441" spans="3:94">
      <c r="C2441"/>
      <c r="D2441"/>
      <c r="E2441"/>
      <c r="F2441"/>
      <c r="CP2441" s="61"/>
    </row>
    <row r="2442" spans="3:94">
      <c r="C2442"/>
      <c r="D2442"/>
      <c r="E2442"/>
      <c r="F2442"/>
      <c r="CP2442" s="61"/>
    </row>
    <row r="2443" spans="3:94">
      <c r="C2443"/>
      <c r="D2443"/>
      <c r="E2443"/>
      <c r="F2443"/>
      <c r="CP2443" s="61"/>
    </row>
    <row r="2444" spans="3:94">
      <c r="C2444"/>
      <c r="D2444"/>
      <c r="E2444"/>
      <c r="F2444"/>
      <c r="CP2444" s="61"/>
    </row>
    <row r="2445" spans="3:94">
      <c r="C2445"/>
      <c r="D2445"/>
      <c r="E2445"/>
      <c r="F2445"/>
      <c r="CP2445" s="61"/>
    </row>
    <row r="2446" spans="3:94">
      <c r="C2446"/>
      <c r="D2446"/>
      <c r="E2446"/>
      <c r="F2446"/>
      <c r="CP2446" s="61"/>
    </row>
    <row r="2447" spans="3:94">
      <c r="C2447"/>
      <c r="D2447"/>
      <c r="E2447"/>
      <c r="F2447"/>
      <c r="CP2447" s="61"/>
    </row>
    <row r="2448" spans="3:94">
      <c r="C2448"/>
      <c r="D2448"/>
      <c r="E2448"/>
      <c r="F2448"/>
      <c r="CP2448" s="61"/>
    </row>
    <row r="2449" spans="3:94">
      <c r="C2449"/>
      <c r="D2449"/>
      <c r="E2449"/>
      <c r="F2449"/>
      <c r="CP2449" s="61"/>
    </row>
    <row r="2450" spans="3:94">
      <c r="C2450"/>
      <c r="D2450"/>
      <c r="E2450"/>
      <c r="F2450"/>
      <c r="CP2450" s="61"/>
    </row>
    <row r="2451" spans="3:94">
      <c r="C2451"/>
      <c r="D2451"/>
      <c r="E2451"/>
      <c r="F2451"/>
      <c r="CP2451" s="61"/>
    </row>
    <row r="2452" spans="3:94">
      <c r="C2452"/>
      <c r="D2452"/>
      <c r="E2452"/>
      <c r="F2452"/>
      <c r="CP2452" s="61"/>
    </row>
    <row r="2453" spans="3:94">
      <c r="C2453"/>
      <c r="D2453"/>
      <c r="E2453"/>
      <c r="F2453"/>
      <c r="CP2453" s="61"/>
    </row>
    <row r="2454" spans="3:94">
      <c r="C2454"/>
      <c r="D2454"/>
      <c r="E2454"/>
      <c r="F2454"/>
      <c r="CP2454" s="61"/>
    </row>
    <row r="2455" spans="3:94">
      <c r="C2455"/>
      <c r="D2455"/>
      <c r="E2455"/>
      <c r="F2455"/>
      <c r="CP2455" s="61"/>
    </row>
    <row r="2456" spans="3:94">
      <c r="C2456"/>
      <c r="D2456"/>
      <c r="E2456"/>
      <c r="F2456"/>
      <c r="CP2456" s="61"/>
    </row>
    <row r="2457" spans="3:94">
      <c r="C2457"/>
      <c r="D2457"/>
      <c r="E2457"/>
      <c r="F2457"/>
      <c r="CP2457" s="61"/>
    </row>
    <row r="2458" spans="3:94">
      <c r="C2458"/>
      <c r="D2458"/>
      <c r="E2458"/>
      <c r="F2458"/>
      <c r="CP2458" s="61"/>
    </row>
    <row r="2459" spans="3:94">
      <c r="C2459"/>
      <c r="D2459"/>
      <c r="E2459"/>
      <c r="F2459"/>
      <c r="CP2459" s="61"/>
    </row>
    <row r="2460" spans="3:94">
      <c r="C2460"/>
      <c r="D2460"/>
      <c r="E2460"/>
      <c r="F2460"/>
      <c r="CP2460" s="61"/>
    </row>
    <row r="2461" spans="3:94">
      <c r="C2461"/>
      <c r="D2461"/>
      <c r="E2461"/>
      <c r="F2461"/>
      <c r="CP2461" s="61"/>
    </row>
    <row r="2462" spans="3:94">
      <c r="C2462"/>
      <c r="D2462"/>
      <c r="E2462"/>
      <c r="F2462"/>
      <c r="CP2462" s="61"/>
    </row>
    <row r="2463" spans="3:94">
      <c r="C2463"/>
      <c r="D2463"/>
      <c r="E2463"/>
      <c r="F2463"/>
      <c r="CP2463" s="61"/>
    </row>
    <row r="2464" spans="3:94">
      <c r="C2464"/>
      <c r="D2464"/>
      <c r="E2464"/>
      <c r="F2464"/>
      <c r="CP2464" s="61"/>
    </row>
    <row r="2465" spans="3:94">
      <c r="C2465"/>
      <c r="D2465"/>
      <c r="E2465"/>
      <c r="F2465"/>
      <c r="CP2465" s="61"/>
    </row>
    <row r="2466" spans="3:94">
      <c r="C2466"/>
      <c r="D2466"/>
      <c r="E2466"/>
      <c r="F2466"/>
      <c r="CP2466" s="61"/>
    </row>
    <row r="2467" spans="3:94">
      <c r="C2467"/>
      <c r="D2467"/>
      <c r="E2467"/>
      <c r="F2467"/>
      <c r="CP2467" s="61"/>
    </row>
    <row r="2468" spans="3:94">
      <c r="C2468"/>
      <c r="D2468"/>
      <c r="E2468"/>
      <c r="F2468"/>
      <c r="CP2468" s="61"/>
    </row>
    <row r="2469" spans="3:94">
      <c r="C2469"/>
      <c r="D2469"/>
      <c r="E2469"/>
      <c r="F2469"/>
      <c r="CP2469" s="61"/>
    </row>
    <row r="2470" spans="3:94">
      <c r="C2470"/>
      <c r="D2470"/>
      <c r="E2470"/>
      <c r="F2470"/>
      <c r="CP2470" s="61"/>
    </row>
    <row r="2471" spans="3:94">
      <c r="C2471"/>
      <c r="D2471"/>
      <c r="E2471"/>
      <c r="F2471"/>
      <c r="CP2471" s="61"/>
    </row>
    <row r="2472" spans="3:94">
      <c r="C2472"/>
      <c r="D2472"/>
      <c r="E2472"/>
      <c r="F2472"/>
      <c r="CP2472" s="61"/>
    </row>
    <row r="2473" spans="3:94">
      <c r="C2473"/>
      <c r="D2473"/>
      <c r="E2473"/>
      <c r="F2473"/>
      <c r="CP2473" s="61"/>
    </row>
    <row r="2474" spans="3:94">
      <c r="C2474"/>
      <c r="D2474"/>
      <c r="E2474"/>
      <c r="F2474"/>
      <c r="CP2474" s="61"/>
    </row>
    <row r="2475" spans="3:94">
      <c r="C2475"/>
      <c r="D2475"/>
      <c r="E2475"/>
      <c r="F2475"/>
      <c r="CP2475" s="61"/>
    </row>
    <row r="2476" spans="3:94">
      <c r="C2476"/>
      <c r="D2476"/>
      <c r="E2476"/>
      <c r="F2476"/>
      <c r="CP2476" s="61"/>
    </row>
    <row r="2477" spans="3:94">
      <c r="C2477"/>
      <c r="D2477"/>
      <c r="E2477"/>
      <c r="F2477"/>
      <c r="CP2477" s="61"/>
    </row>
    <row r="2478" spans="3:94">
      <c r="C2478"/>
      <c r="D2478"/>
      <c r="E2478"/>
      <c r="F2478"/>
      <c r="CP2478" s="61"/>
    </row>
    <row r="2479" spans="3:94">
      <c r="C2479"/>
      <c r="D2479"/>
      <c r="E2479"/>
      <c r="F2479"/>
      <c r="CP2479" s="61"/>
    </row>
    <row r="2480" spans="3:94">
      <c r="C2480"/>
      <c r="D2480"/>
      <c r="E2480"/>
      <c r="F2480"/>
      <c r="CP2480" s="61"/>
    </row>
    <row r="2481" spans="3:94">
      <c r="C2481"/>
      <c r="D2481"/>
      <c r="E2481"/>
      <c r="F2481"/>
      <c r="CP2481" s="61"/>
    </row>
    <row r="2482" spans="3:94">
      <c r="C2482"/>
      <c r="D2482"/>
      <c r="E2482"/>
      <c r="F2482"/>
      <c r="CP2482" s="61"/>
    </row>
    <row r="2483" spans="3:94">
      <c r="C2483"/>
      <c r="D2483"/>
      <c r="E2483"/>
      <c r="F2483"/>
      <c r="CP2483" s="61"/>
    </row>
    <row r="2484" spans="3:94">
      <c r="C2484"/>
      <c r="D2484"/>
      <c r="E2484"/>
      <c r="F2484"/>
      <c r="CP2484" s="61"/>
    </row>
    <row r="2485" spans="3:94">
      <c r="C2485"/>
      <c r="D2485"/>
      <c r="E2485"/>
      <c r="F2485"/>
      <c r="CP2485" s="61"/>
    </row>
    <row r="2486" spans="3:94">
      <c r="C2486"/>
      <c r="D2486"/>
      <c r="E2486"/>
      <c r="F2486"/>
      <c r="CP2486" s="61"/>
    </row>
    <row r="2487" spans="3:94">
      <c r="C2487"/>
      <c r="D2487"/>
      <c r="E2487"/>
      <c r="F2487"/>
      <c r="CP2487" s="61"/>
    </row>
    <row r="2488" spans="3:94">
      <c r="C2488"/>
      <c r="D2488"/>
      <c r="E2488"/>
      <c r="F2488"/>
      <c r="CP2488" s="61"/>
    </row>
    <row r="2489" spans="3:94">
      <c r="C2489"/>
      <c r="D2489"/>
      <c r="E2489"/>
      <c r="F2489"/>
      <c r="CP2489" s="61"/>
    </row>
    <row r="2490" spans="3:94">
      <c r="C2490"/>
      <c r="D2490"/>
      <c r="E2490"/>
      <c r="F2490"/>
      <c r="CP2490" s="61"/>
    </row>
    <row r="2491" spans="3:94">
      <c r="C2491"/>
      <c r="D2491"/>
      <c r="E2491"/>
      <c r="F2491"/>
      <c r="CP2491" s="61"/>
    </row>
    <row r="2492" spans="3:94">
      <c r="C2492"/>
      <c r="D2492"/>
      <c r="E2492"/>
      <c r="F2492"/>
      <c r="CP2492" s="61"/>
    </row>
    <row r="2493" spans="3:94">
      <c r="C2493"/>
      <c r="D2493"/>
      <c r="E2493"/>
      <c r="F2493"/>
      <c r="CP2493" s="61"/>
    </row>
    <row r="2494" spans="3:94">
      <c r="C2494"/>
      <c r="D2494"/>
      <c r="E2494"/>
      <c r="F2494"/>
      <c r="CP2494" s="61"/>
    </row>
    <row r="2495" spans="3:94">
      <c r="C2495"/>
      <c r="D2495"/>
      <c r="E2495"/>
      <c r="F2495"/>
      <c r="CP2495" s="61"/>
    </row>
    <row r="2496" spans="3:94">
      <c r="C2496"/>
      <c r="D2496"/>
      <c r="E2496"/>
      <c r="F2496"/>
      <c r="CP2496" s="61"/>
    </row>
    <row r="2497" spans="3:94">
      <c r="C2497"/>
      <c r="D2497"/>
      <c r="E2497"/>
      <c r="F2497"/>
      <c r="CP2497" s="61"/>
    </row>
    <row r="2498" spans="3:94">
      <c r="C2498"/>
      <c r="D2498"/>
      <c r="E2498"/>
      <c r="F2498"/>
      <c r="CP2498" s="61"/>
    </row>
    <row r="2499" spans="3:94">
      <c r="C2499"/>
      <c r="D2499"/>
      <c r="E2499"/>
      <c r="F2499"/>
      <c r="CP2499" s="61"/>
    </row>
    <row r="2500" spans="3:94">
      <c r="C2500"/>
      <c r="D2500"/>
      <c r="E2500"/>
      <c r="F2500"/>
      <c r="CP2500" s="61"/>
    </row>
    <row r="2501" spans="3:94">
      <c r="C2501"/>
      <c r="D2501"/>
      <c r="E2501"/>
      <c r="F2501"/>
      <c r="CP2501" s="61"/>
    </row>
    <row r="2502" spans="3:94">
      <c r="C2502"/>
      <c r="D2502"/>
      <c r="E2502"/>
      <c r="F2502"/>
      <c r="CP2502" s="61"/>
    </row>
    <row r="2503" spans="3:94">
      <c r="C2503"/>
      <c r="D2503"/>
      <c r="E2503"/>
      <c r="F2503"/>
      <c r="CP2503" s="61"/>
    </row>
    <row r="2504" spans="3:94">
      <c r="C2504"/>
      <c r="D2504"/>
      <c r="E2504"/>
      <c r="F2504"/>
      <c r="CP2504" s="61"/>
    </row>
    <row r="2505" spans="3:94">
      <c r="C2505"/>
      <c r="D2505"/>
      <c r="E2505"/>
      <c r="F2505"/>
      <c r="CP2505" s="61"/>
    </row>
    <row r="2506" spans="3:94">
      <c r="C2506"/>
      <c r="D2506"/>
      <c r="E2506"/>
      <c r="F2506"/>
      <c r="CP2506" s="61"/>
    </row>
    <row r="2507" spans="3:94">
      <c r="C2507"/>
      <c r="D2507"/>
      <c r="E2507"/>
      <c r="F2507"/>
      <c r="CP2507" s="61"/>
    </row>
    <row r="2508" spans="3:94">
      <c r="C2508"/>
      <c r="D2508"/>
      <c r="E2508"/>
      <c r="F2508"/>
      <c r="CP2508" s="61"/>
    </row>
    <row r="2509" spans="3:94">
      <c r="C2509"/>
      <c r="D2509"/>
      <c r="E2509"/>
      <c r="F2509"/>
      <c r="CP2509" s="61"/>
    </row>
    <row r="2510" spans="3:94">
      <c r="C2510"/>
      <c r="D2510"/>
      <c r="E2510"/>
      <c r="F2510"/>
      <c r="CP2510" s="61"/>
    </row>
    <row r="2511" spans="3:94">
      <c r="C2511"/>
      <c r="D2511"/>
      <c r="E2511"/>
      <c r="F2511"/>
      <c r="CP2511" s="61"/>
    </row>
    <row r="2512" spans="3:94">
      <c r="C2512"/>
      <c r="D2512"/>
      <c r="E2512"/>
      <c r="F2512"/>
      <c r="CP2512" s="61"/>
    </row>
    <row r="2513" spans="3:94">
      <c r="C2513"/>
      <c r="D2513"/>
      <c r="E2513"/>
      <c r="F2513"/>
      <c r="CP2513" s="61"/>
    </row>
    <row r="2514" spans="3:94">
      <c r="C2514"/>
      <c r="D2514"/>
      <c r="E2514"/>
      <c r="F2514"/>
      <c r="CP2514" s="61"/>
    </row>
    <row r="2515" spans="3:94">
      <c r="C2515"/>
      <c r="D2515"/>
      <c r="E2515"/>
      <c r="F2515"/>
      <c r="CP2515" s="61"/>
    </row>
    <row r="2516" spans="3:94">
      <c r="C2516"/>
      <c r="D2516"/>
      <c r="E2516"/>
      <c r="F2516"/>
      <c r="CP2516" s="61"/>
    </row>
    <row r="2517" spans="3:94">
      <c r="C2517"/>
      <c r="D2517"/>
      <c r="E2517"/>
      <c r="F2517"/>
      <c r="CP2517" s="61"/>
    </row>
    <row r="2518" spans="3:94">
      <c r="C2518"/>
      <c r="D2518"/>
      <c r="E2518"/>
      <c r="F2518"/>
      <c r="CP2518" s="61"/>
    </row>
    <row r="2519" spans="3:94">
      <c r="C2519"/>
      <c r="D2519"/>
      <c r="E2519"/>
      <c r="F2519"/>
      <c r="CP2519" s="61"/>
    </row>
    <row r="2520" spans="3:94">
      <c r="C2520"/>
      <c r="D2520"/>
      <c r="E2520"/>
      <c r="F2520"/>
      <c r="CP2520" s="61"/>
    </row>
    <row r="2521" spans="3:94">
      <c r="C2521"/>
      <c r="D2521"/>
      <c r="E2521"/>
      <c r="F2521"/>
      <c r="CP2521" s="61"/>
    </row>
    <row r="2522" spans="3:94">
      <c r="C2522"/>
      <c r="D2522"/>
      <c r="E2522"/>
      <c r="F2522"/>
      <c r="CP2522" s="61"/>
    </row>
    <row r="2523" spans="3:94">
      <c r="C2523"/>
      <c r="D2523"/>
      <c r="E2523"/>
      <c r="F2523"/>
      <c r="CP2523" s="61"/>
    </row>
    <row r="2524" spans="3:94">
      <c r="C2524"/>
      <c r="D2524"/>
      <c r="E2524"/>
      <c r="F2524"/>
      <c r="CP2524" s="61"/>
    </row>
    <row r="2525" spans="3:94">
      <c r="C2525"/>
      <c r="D2525"/>
      <c r="E2525"/>
      <c r="F2525"/>
      <c r="CP2525" s="61"/>
    </row>
    <row r="2526" spans="3:94">
      <c r="C2526"/>
      <c r="D2526"/>
      <c r="E2526"/>
      <c r="F2526"/>
      <c r="CP2526" s="61"/>
    </row>
    <row r="2527" spans="3:94">
      <c r="C2527"/>
      <c r="D2527"/>
      <c r="E2527"/>
      <c r="F2527"/>
      <c r="CP2527" s="61"/>
    </row>
    <row r="2528" spans="3:94">
      <c r="C2528"/>
      <c r="D2528"/>
      <c r="E2528"/>
      <c r="F2528"/>
      <c r="CP2528" s="61"/>
    </row>
    <row r="2529" spans="3:94">
      <c r="C2529"/>
      <c r="D2529"/>
      <c r="E2529"/>
      <c r="F2529"/>
      <c r="CP2529" s="61"/>
    </row>
    <row r="2530" spans="3:94">
      <c r="C2530"/>
      <c r="D2530"/>
      <c r="E2530"/>
      <c r="F2530"/>
      <c r="CP2530" s="61"/>
    </row>
    <row r="2531" spans="3:94">
      <c r="C2531"/>
      <c r="D2531"/>
      <c r="E2531"/>
      <c r="F2531"/>
      <c r="CP2531" s="61"/>
    </row>
    <row r="2532" spans="3:94">
      <c r="C2532"/>
      <c r="D2532"/>
      <c r="E2532"/>
      <c r="F2532"/>
      <c r="CP2532" s="61"/>
    </row>
    <row r="2533" spans="3:94">
      <c r="C2533"/>
      <c r="D2533"/>
      <c r="E2533"/>
      <c r="F2533"/>
      <c r="CP2533" s="61"/>
    </row>
    <row r="2534" spans="3:94">
      <c r="C2534"/>
      <c r="D2534"/>
      <c r="E2534"/>
      <c r="F2534"/>
      <c r="CP2534" s="61"/>
    </row>
    <row r="2535" spans="3:94">
      <c r="C2535"/>
      <c r="D2535"/>
      <c r="E2535"/>
      <c r="F2535"/>
      <c r="CP2535" s="61"/>
    </row>
    <row r="2536" spans="3:94">
      <c r="C2536"/>
      <c r="D2536"/>
      <c r="E2536"/>
      <c r="F2536"/>
      <c r="CP2536" s="61"/>
    </row>
    <row r="2537" spans="3:94">
      <c r="C2537"/>
      <c r="D2537"/>
      <c r="E2537"/>
      <c r="F2537"/>
      <c r="CP2537" s="61"/>
    </row>
    <row r="2538" spans="3:94">
      <c r="C2538"/>
      <c r="D2538"/>
      <c r="E2538"/>
      <c r="F2538"/>
      <c r="CP2538" s="61"/>
    </row>
    <row r="2539" spans="3:94">
      <c r="C2539"/>
      <c r="D2539"/>
      <c r="E2539"/>
      <c r="F2539"/>
      <c r="CP2539" s="61"/>
    </row>
    <row r="2540" spans="3:94">
      <c r="C2540"/>
      <c r="D2540"/>
      <c r="E2540"/>
      <c r="F2540"/>
      <c r="CP2540" s="61"/>
    </row>
    <row r="2541" spans="3:94">
      <c r="C2541"/>
      <c r="D2541"/>
      <c r="E2541"/>
      <c r="F2541"/>
      <c r="CP2541" s="61"/>
    </row>
    <row r="2542" spans="3:94">
      <c r="C2542"/>
      <c r="D2542"/>
      <c r="E2542"/>
      <c r="F2542"/>
      <c r="CP2542" s="61"/>
    </row>
    <row r="2543" spans="3:94">
      <c r="C2543"/>
      <c r="D2543"/>
      <c r="E2543"/>
      <c r="F2543"/>
      <c r="CP2543" s="61"/>
    </row>
    <row r="2544" spans="3:94">
      <c r="C2544"/>
      <c r="D2544"/>
      <c r="E2544"/>
      <c r="F2544"/>
      <c r="CP2544" s="61"/>
    </row>
    <row r="2545" spans="3:94">
      <c r="C2545"/>
      <c r="D2545"/>
      <c r="E2545"/>
      <c r="F2545"/>
      <c r="CP2545" s="61"/>
    </row>
    <row r="2546" spans="3:94">
      <c r="C2546"/>
      <c r="D2546"/>
      <c r="E2546"/>
      <c r="F2546"/>
      <c r="CP2546" s="61"/>
    </row>
    <row r="2547" spans="3:94">
      <c r="C2547"/>
      <c r="D2547"/>
      <c r="E2547"/>
      <c r="F2547"/>
      <c r="CP2547" s="61"/>
    </row>
    <row r="2548" spans="3:94">
      <c r="C2548"/>
      <c r="D2548"/>
      <c r="E2548"/>
      <c r="F2548"/>
      <c r="CP2548" s="61"/>
    </row>
    <row r="2549" spans="3:94">
      <c r="C2549"/>
      <c r="D2549"/>
      <c r="E2549"/>
      <c r="F2549"/>
      <c r="CP2549" s="61"/>
    </row>
    <row r="2550" spans="3:94">
      <c r="C2550"/>
      <c r="D2550"/>
      <c r="E2550"/>
      <c r="F2550"/>
      <c r="CP2550" s="61"/>
    </row>
    <row r="2551" spans="3:94">
      <c r="C2551"/>
      <c r="D2551"/>
      <c r="E2551"/>
      <c r="F2551"/>
      <c r="CP2551" s="61"/>
    </row>
    <row r="2552" spans="3:94">
      <c r="C2552"/>
      <c r="D2552"/>
      <c r="E2552"/>
      <c r="F2552"/>
      <c r="CP2552" s="61"/>
    </row>
    <row r="2553" spans="3:94">
      <c r="C2553"/>
      <c r="D2553"/>
      <c r="E2553"/>
      <c r="F2553"/>
      <c r="CP2553" s="61"/>
    </row>
    <row r="2554" spans="3:94">
      <c r="C2554"/>
      <c r="D2554"/>
      <c r="E2554"/>
      <c r="F2554"/>
      <c r="CP2554" s="61"/>
    </row>
    <row r="2555" spans="3:94">
      <c r="C2555"/>
      <c r="D2555"/>
      <c r="E2555"/>
      <c r="F2555"/>
      <c r="CP2555" s="61"/>
    </row>
    <row r="2556" spans="3:94">
      <c r="C2556"/>
      <c r="D2556"/>
      <c r="E2556"/>
      <c r="F2556"/>
      <c r="CP2556" s="61"/>
    </row>
    <row r="2557" spans="3:94">
      <c r="C2557"/>
      <c r="D2557"/>
      <c r="E2557"/>
      <c r="F2557"/>
      <c r="CP2557" s="61"/>
    </row>
    <row r="2558" spans="3:94">
      <c r="C2558"/>
      <c r="D2558"/>
      <c r="E2558"/>
      <c r="F2558"/>
      <c r="CP2558" s="61"/>
    </row>
    <row r="2559" spans="3:94">
      <c r="C2559"/>
      <c r="D2559"/>
      <c r="E2559"/>
      <c r="F2559"/>
      <c r="CP2559" s="61"/>
    </row>
    <row r="2560" spans="3:94">
      <c r="C2560"/>
      <c r="D2560"/>
      <c r="E2560"/>
      <c r="F2560"/>
      <c r="CP2560" s="61"/>
    </row>
    <row r="2561" spans="3:94">
      <c r="C2561"/>
      <c r="D2561"/>
      <c r="E2561"/>
      <c r="F2561"/>
      <c r="CP2561" s="61"/>
    </row>
    <row r="2562" spans="3:94">
      <c r="C2562"/>
      <c r="D2562"/>
      <c r="E2562"/>
      <c r="F2562"/>
      <c r="CP2562" s="61"/>
    </row>
    <row r="2563" spans="3:94">
      <c r="C2563"/>
      <c r="D2563"/>
      <c r="E2563"/>
      <c r="F2563"/>
      <c r="CP2563" s="61"/>
    </row>
    <row r="2564" spans="3:94">
      <c r="C2564"/>
      <c r="D2564"/>
      <c r="E2564"/>
      <c r="F2564"/>
      <c r="CP2564" s="61"/>
    </row>
    <row r="2565" spans="3:94">
      <c r="C2565"/>
      <c r="D2565"/>
      <c r="E2565"/>
      <c r="F2565"/>
      <c r="CP2565" s="61"/>
    </row>
    <row r="2566" spans="3:94">
      <c r="C2566"/>
      <c r="D2566"/>
      <c r="E2566"/>
      <c r="F2566"/>
      <c r="CP2566" s="61"/>
    </row>
    <row r="2567" spans="3:94">
      <c r="C2567"/>
      <c r="D2567"/>
      <c r="E2567"/>
      <c r="F2567"/>
      <c r="CP2567" s="61"/>
    </row>
    <row r="2568" spans="3:94">
      <c r="C2568"/>
      <c r="D2568"/>
      <c r="E2568"/>
      <c r="F2568"/>
      <c r="CP2568" s="61"/>
    </row>
    <row r="2569" spans="3:94">
      <c r="C2569"/>
      <c r="D2569"/>
      <c r="E2569"/>
      <c r="F2569"/>
      <c r="CP2569" s="61"/>
    </row>
    <row r="2570" spans="3:94">
      <c r="C2570"/>
      <c r="D2570"/>
      <c r="E2570"/>
      <c r="F2570"/>
      <c r="CP2570" s="61"/>
    </row>
    <row r="2571" spans="3:94">
      <c r="C2571"/>
      <c r="D2571"/>
      <c r="E2571"/>
      <c r="F2571"/>
      <c r="CP2571" s="61"/>
    </row>
    <row r="2572" spans="3:94">
      <c r="C2572"/>
      <c r="D2572"/>
      <c r="E2572"/>
      <c r="F2572"/>
      <c r="CP2572" s="61"/>
    </row>
    <row r="2573" spans="3:94">
      <c r="C2573"/>
      <c r="D2573"/>
      <c r="E2573"/>
      <c r="F2573"/>
      <c r="CP2573" s="61"/>
    </row>
    <row r="2574" spans="3:94">
      <c r="C2574"/>
      <c r="D2574"/>
      <c r="E2574"/>
      <c r="F2574"/>
      <c r="CP2574" s="61"/>
    </row>
    <row r="2575" spans="3:94">
      <c r="C2575"/>
      <c r="D2575"/>
      <c r="E2575"/>
      <c r="F2575"/>
      <c r="CP2575" s="61"/>
    </row>
    <row r="2576" spans="3:94">
      <c r="C2576"/>
      <c r="D2576"/>
      <c r="E2576"/>
      <c r="F2576"/>
      <c r="CP2576" s="61"/>
    </row>
    <row r="2577" spans="3:94">
      <c r="C2577"/>
      <c r="D2577"/>
      <c r="E2577"/>
      <c r="F2577"/>
      <c r="CP2577" s="61"/>
    </row>
    <row r="2578" spans="3:94">
      <c r="C2578"/>
      <c r="D2578"/>
      <c r="E2578"/>
      <c r="F2578"/>
      <c r="CP2578" s="61"/>
    </row>
    <row r="2579" spans="3:94">
      <c r="C2579"/>
      <c r="D2579"/>
      <c r="E2579"/>
      <c r="F2579"/>
      <c r="CP2579" s="61"/>
    </row>
    <row r="2580" spans="3:94">
      <c r="C2580"/>
      <c r="D2580"/>
      <c r="E2580"/>
      <c r="F2580"/>
      <c r="CP2580" s="61"/>
    </row>
    <row r="2581" spans="3:94">
      <c r="C2581"/>
      <c r="D2581"/>
      <c r="E2581"/>
      <c r="F2581"/>
      <c r="CP2581" s="61"/>
    </row>
    <row r="2582" spans="3:94">
      <c r="C2582"/>
      <c r="D2582"/>
      <c r="E2582"/>
      <c r="F2582"/>
      <c r="CP2582" s="61"/>
    </row>
    <row r="2583" spans="3:94">
      <c r="C2583"/>
      <c r="D2583"/>
      <c r="E2583"/>
      <c r="F2583"/>
      <c r="CP2583" s="61"/>
    </row>
    <row r="2584" spans="3:94">
      <c r="C2584"/>
      <c r="D2584"/>
      <c r="E2584"/>
      <c r="F2584"/>
      <c r="CP2584" s="61"/>
    </row>
    <row r="2585" spans="3:94">
      <c r="C2585"/>
      <c r="D2585"/>
      <c r="E2585"/>
      <c r="F2585"/>
      <c r="CP2585" s="61"/>
    </row>
    <row r="2586" spans="3:94">
      <c r="C2586"/>
      <c r="D2586"/>
      <c r="E2586"/>
      <c r="F2586"/>
      <c r="CP2586" s="61"/>
    </row>
    <row r="2587" spans="3:94">
      <c r="C2587"/>
      <c r="D2587"/>
      <c r="E2587"/>
      <c r="F2587"/>
      <c r="CP2587" s="61"/>
    </row>
    <row r="2588" spans="3:94">
      <c r="C2588"/>
      <c r="D2588"/>
      <c r="E2588"/>
      <c r="F2588"/>
      <c r="CP2588" s="61"/>
    </row>
    <row r="2589" spans="3:94">
      <c r="C2589"/>
      <c r="D2589"/>
      <c r="E2589"/>
      <c r="F2589"/>
      <c r="CP2589" s="61"/>
    </row>
    <row r="2590" spans="3:94">
      <c r="C2590"/>
      <c r="D2590"/>
      <c r="E2590"/>
      <c r="F2590"/>
      <c r="CP2590" s="61"/>
    </row>
    <row r="2591" spans="3:94">
      <c r="C2591"/>
      <c r="D2591"/>
      <c r="E2591"/>
      <c r="F2591"/>
      <c r="CP2591" s="61"/>
    </row>
    <row r="2592" spans="3:94">
      <c r="C2592"/>
      <c r="D2592"/>
      <c r="E2592"/>
      <c r="F2592"/>
      <c r="CP2592" s="61"/>
    </row>
    <row r="2593" spans="3:94">
      <c r="C2593"/>
      <c r="D2593"/>
      <c r="E2593"/>
      <c r="F2593"/>
      <c r="CP2593" s="61"/>
    </row>
    <row r="2594" spans="3:94">
      <c r="C2594"/>
      <c r="D2594"/>
      <c r="E2594"/>
      <c r="F2594"/>
      <c r="CP2594" s="61"/>
    </row>
    <row r="2595" spans="3:94">
      <c r="C2595"/>
      <c r="D2595"/>
      <c r="E2595"/>
      <c r="F2595"/>
      <c r="CP2595" s="61"/>
    </row>
    <row r="2596" spans="3:94">
      <c r="C2596"/>
      <c r="D2596"/>
      <c r="E2596"/>
      <c r="F2596"/>
      <c r="CP2596" s="61"/>
    </row>
    <row r="2597" spans="3:94">
      <c r="C2597"/>
      <c r="D2597"/>
      <c r="E2597"/>
      <c r="F2597"/>
      <c r="CP2597" s="61"/>
    </row>
    <row r="2598" spans="3:94">
      <c r="C2598"/>
      <c r="D2598"/>
      <c r="E2598"/>
      <c r="F2598"/>
      <c r="CP2598" s="61"/>
    </row>
    <row r="2599" spans="3:94">
      <c r="C2599"/>
      <c r="D2599"/>
      <c r="E2599"/>
      <c r="F2599"/>
      <c r="CP2599" s="61"/>
    </row>
    <row r="2600" spans="3:94">
      <c r="C2600"/>
      <c r="D2600"/>
      <c r="E2600"/>
      <c r="F2600"/>
      <c r="CP2600" s="61"/>
    </row>
    <row r="2601" spans="3:94">
      <c r="C2601"/>
      <c r="D2601"/>
      <c r="E2601"/>
      <c r="F2601"/>
      <c r="CP2601" s="61"/>
    </row>
    <row r="2602" spans="3:94">
      <c r="C2602"/>
      <c r="D2602"/>
      <c r="E2602"/>
      <c r="F2602"/>
      <c r="CP2602" s="61"/>
    </row>
    <row r="2603" spans="3:94">
      <c r="C2603"/>
      <c r="D2603"/>
      <c r="E2603"/>
      <c r="F2603"/>
      <c r="CP2603" s="61"/>
    </row>
    <row r="2604" spans="3:94">
      <c r="C2604"/>
      <c r="D2604"/>
      <c r="E2604"/>
      <c r="F2604"/>
      <c r="CP2604" s="61"/>
    </row>
    <row r="2605" spans="3:94">
      <c r="C2605"/>
      <c r="D2605"/>
      <c r="E2605"/>
      <c r="F2605"/>
      <c r="CP2605" s="61"/>
    </row>
    <row r="2606" spans="3:94">
      <c r="C2606"/>
      <c r="D2606"/>
      <c r="E2606"/>
      <c r="F2606"/>
      <c r="CP2606" s="61"/>
    </row>
    <row r="2607" spans="3:94">
      <c r="C2607"/>
      <c r="D2607"/>
      <c r="E2607"/>
      <c r="F2607"/>
      <c r="CP2607" s="61"/>
    </row>
    <row r="2608" spans="3:94">
      <c r="C2608"/>
      <c r="D2608"/>
      <c r="E2608"/>
      <c r="F2608"/>
      <c r="CP2608" s="61"/>
    </row>
    <row r="2609" spans="3:94">
      <c r="C2609"/>
      <c r="D2609"/>
      <c r="E2609"/>
      <c r="F2609"/>
      <c r="CP2609" s="61"/>
    </row>
    <row r="2610" spans="3:94">
      <c r="C2610"/>
      <c r="D2610"/>
      <c r="E2610"/>
      <c r="F2610"/>
      <c r="CP2610" s="61"/>
    </row>
    <row r="2611" spans="3:94">
      <c r="C2611"/>
      <c r="D2611"/>
      <c r="E2611"/>
      <c r="F2611"/>
      <c r="CP2611" s="61"/>
    </row>
    <row r="2612" spans="3:94">
      <c r="C2612"/>
      <c r="D2612"/>
      <c r="E2612"/>
      <c r="F2612"/>
      <c r="CP2612" s="61"/>
    </row>
    <row r="2613" spans="3:94">
      <c r="C2613"/>
      <c r="D2613"/>
      <c r="E2613"/>
      <c r="F2613"/>
      <c r="CP2613" s="61"/>
    </row>
    <row r="2614" spans="3:94">
      <c r="C2614"/>
      <c r="D2614"/>
      <c r="E2614"/>
      <c r="F2614"/>
      <c r="CP2614" s="61"/>
    </row>
    <row r="2615" spans="3:94">
      <c r="C2615"/>
      <c r="D2615"/>
      <c r="E2615"/>
      <c r="F2615"/>
      <c r="CP2615" s="61"/>
    </row>
    <row r="2616" spans="3:94">
      <c r="C2616"/>
      <c r="D2616"/>
      <c r="E2616"/>
      <c r="F2616"/>
      <c r="CP2616" s="61"/>
    </row>
    <row r="2617" spans="3:94">
      <c r="C2617"/>
      <c r="D2617"/>
      <c r="E2617"/>
      <c r="F2617"/>
      <c r="CP2617" s="61"/>
    </row>
    <row r="2618" spans="3:94">
      <c r="C2618"/>
      <c r="D2618"/>
      <c r="E2618"/>
      <c r="F2618"/>
      <c r="CP2618" s="61"/>
    </row>
    <row r="2619" spans="3:94">
      <c r="C2619"/>
      <c r="D2619"/>
      <c r="E2619"/>
      <c r="F2619"/>
      <c r="CP2619" s="61"/>
    </row>
    <row r="2620" spans="3:94">
      <c r="C2620"/>
      <c r="D2620"/>
      <c r="E2620"/>
      <c r="F2620"/>
      <c r="CP2620" s="61"/>
    </row>
    <row r="2621" spans="3:94">
      <c r="C2621"/>
      <c r="D2621"/>
      <c r="E2621"/>
      <c r="F2621"/>
      <c r="CP2621" s="61"/>
    </row>
    <row r="2622" spans="3:94">
      <c r="C2622"/>
      <c r="D2622"/>
      <c r="E2622"/>
      <c r="F2622"/>
      <c r="CP2622" s="61"/>
    </row>
    <row r="2623" spans="3:94">
      <c r="C2623"/>
      <c r="D2623"/>
      <c r="E2623"/>
      <c r="F2623"/>
      <c r="CP2623" s="61"/>
    </row>
    <row r="2624" spans="3:94">
      <c r="C2624"/>
      <c r="D2624"/>
      <c r="E2624"/>
      <c r="F2624"/>
      <c r="CP2624" s="61"/>
    </row>
    <row r="2625" spans="3:94">
      <c r="C2625"/>
      <c r="D2625"/>
      <c r="E2625"/>
      <c r="F2625"/>
      <c r="CP2625" s="61"/>
    </row>
    <row r="2626" spans="3:94">
      <c r="C2626"/>
      <c r="D2626"/>
      <c r="E2626"/>
      <c r="F2626"/>
      <c r="CP2626" s="61"/>
    </row>
    <row r="2627" spans="3:94">
      <c r="C2627"/>
      <c r="D2627"/>
      <c r="E2627"/>
      <c r="F2627"/>
      <c r="CP2627" s="61"/>
    </row>
    <row r="2628" spans="3:94">
      <c r="C2628"/>
      <c r="D2628"/>
      <c r="E2628"/>
      <c r="F2628"/>
      <c r="CP2628" s="61"/>
    </row>
    <row r="2629" spans="3:94">
      <c r="C2629"/>
      <c r="D2629"/>
      <c r="E2629"/>
      <c r="F2629"/>
      <c r="CP2629" s="61"/>
    </row>
    <row r="2630" spans="3:94">
      <c r="C2630"/>
      <c r="D2630"/>
      <c r="E2630"/>
      <c r="F2630"/>
      <c r="CP2630" s="61"/>
    </row>
    <row r="2631" spans="3:94">
      <c r="C2631"/>
      <c r="D2631"/>
      <c r="E2631"/>
      <c r="F2631"/>
      <c r="CP2631" s="61"/>
    </row>
    <row r="2632" spans="3:94">
      <c r="C2632"/>
      <c r="D2632"/>
      <c r="E2632"/>
      <c r="F2632"/>
      <c r="CP2632" s="61"/>
    </row>
    <row r="2633" spans="3:94">
      <c r="C2633"/>
      <c r="D2633"/>
      <c r="E2633"/>
      <c r="F2633"/>
      <c r="CP2633" s="61"/>
    </row>
    <row r="2634" spans="3:94">
      <c r="C2634"/>
      <c r="D2634"/>
      <c r="E2634"/>
      <c r="F2634"/>
      <c r="CP2634" s="61"/>
    </row>
    <row r="2635" spans="3:94">
      <c r="C2635"/>
      <c r="D2635"/>
      <c r="E2635"/>
      <c r="F2635"/>
      <c r="CP2635" s="61"/>
    </row>
    <row r="2636" spans="3:94">
      <c r="C2636"/>
      <c r="D2636"/>
      <c r="E2636"/>
      <c r="F2636"/>
      <c r="CP2636" s="61"/>
    </row>
    <row r="2637" spans="3:94">
      <c r="C2637"/>
      <c r="D2637"/>
      <c r="E2637"/>
      <c r="F2637"/>
      <c r="CP2637" s="61"/>
    </row>
    <row r="2638" spans="3:94">
      <c r="C2638"/>
      <c r="D2638"/>
      <c r="E2638"/>
      <c r="F2638"/>
      <c r="CP2638" s="61"/>
    </row>
    <row r="2639" spans="3:94">
      <c r="C2639"/>
      <c r="D2639"/>
      <c r="E2639"/>
      <c r="F2639"/>
      <c r="CP2639" s="61"/>
    </row>
    <row r="2640" spans="3:94">
      <c r="C2640"/>
      <c r="D2640"/>
      <c r="E2640"/>
      <c r="F2640"/>
      <c r="CP2640" s="61"/>
    </row>
    <row r="2641" spans="3:94">
      <c r="C2641"/>
      <c r="D2641"/>
      <c r="E2641"/>
      <c r="F2641"/>
      <c r="CP2641" s="61"/>
    </row>
    <row r="2642" spans="3:94">
      <c r="C2642"/>
      <c r="D2642"/>
      <c r="E2642"/>
      <c r="F2642"/>
      <c r="CP2642" s="61"/>
    </row>
    <row r="2643" spans="3:94">
      <c r="C2643"/>
      <c r="D2643"/>
      <c r="E2643"/>
      <c r="F2643"/>
      <c r="CP2643" s="61"/>
    </row>
    <row r="2644" spans="3:94">
      <c r="C2644"/>
      <c r="D2644"/>
      <c r="E2644"/>
      <c r="F2644"/>
      <c r="CP2644" s="61"/>
    </row>
    <row r="2645" spans="3:94">
      <c r="C2645"/>
      <c r="D2645"/>
      <c r="E2645"/>
      <c r="F2645"/>
      <c r="CP2645" s="61"/>
    </row>
    <row r="2646" spans="3:94">
      <c r="C2646"/>
      <c r="D2646"/>
      <c r="E2646"/>
      <c r="F2646"/>
      <c r="CP2646" s="61"/>
    </row>
    <row r="2647" spans="3:94">
      <c r="C2647"/>
      <c r="D2647"/>
      <c r="E2647"/>
      <c r="F2647"/>
      <c r="CP2647" s="61"/>
    </row>
    <row r="2648" spans="3:94">
      <c r="C2648"/>
      <c r="D2648"/>
      <c r="E2648"/>
      <c r="F2648"/>
      <c r="CP2648" s="61"/>
    </row>
    <row r="2649" spans="3:94">
      <c r="C2649"/>
      <c r="D2649"/>
      <c r="E2649"/>
      <c r="F2649"/>
      <c r="CP2649" s="61"/>
    </row>
    <row r="2650" spans="3:94">
      <c r="C2650"/>
      <c r="D2650"/>
      <c r="E2650"/>
      <c r="F2650"/>
      <c r="CP2650" s="61"/>
    </row>
    <row r="2651" spans="3:94">
      <c r="C2651"/>
      <c r="D2651"/>
      <c r="E2651"/>
      <c r="F2651"/>
      <c r="CP2651" s="61"/>
    </row>
    <row r="2652" spans="3:94">
      <c r="C2652"/>
      <c r="D2652"/>
      <c r="E2652"/>
      <c r="F2652"/>
      <c r="CP2652" s="61"/>
    </row>
    <row r="2653" spans="3:94">
      <c r="C2653"/>
      <c r="D2653"/>
      <c r="E2653"/>
      <c r="F2653"/>
      <c r="CP2653" s="61"/>
    </row>
    <row r="2654" spans="3:94">
      <c r="C2654"/>
      <c r="D2654"/>
      <c r="E2654"/>
      <c r="F2654"/>
      <c r="CP2654" s="61"/>
    </row>
    <row r="2655" spans="3:94">
      <c r="C2655"/>
      <c r="D2655"/>
      <c r="E2655"/>
      <c r="F2655"/>
      <c r="CP2655" s="61"/>
    </row>
    <row r="2656" spans="3:94">
      <c r="C2656"/>
      <c r="D2656"/>
      <c r="E2656"/>
      <c r="F2656"/>
      <c r="CP2656" s="61"/>
    </row>
    <row r="2657" spans="3:94">
      <c r="C2657"/>
      <c r="D2657"/>
      <c r="E2657"/>
      <c r="F2657"/>
      <c r="CP2657" s="61"/>
    </row>
    <row r="2658" spans="3:94">
      <c r="C2658"/>
      <c r="D2658"/>
      <c r="E2658"/>
      <c r="F2658"/>
      <c r="CP2658" s="61"/>
    </row>
    <row r="2659" spans="3:94">
      <c r="C2659"/>
      <c r="D2659"/>
      <c r="E2659"/>
      <c r="F2659"/>
      <c r="CP2659" s="61"/>
    </row>
    <row r="2660" spans="3:94">
      <c r="C2660"/>
      <c r="D2660"/>
      <c r="E2660"/>
      <c r="F2660"/>
      <c r="CP2660" s="61"/>
    </row>
    <row r="2661" spans="3:94">
      <c r="C2661"/>
      <c r="D2661"/>
      <c r="E2661"/>
      <c r="F2661"/>
      <c r="CP2661" s="61"/>
    </row>
    <row r="2662" spans="3:94">
      <c r="C2662"/>
      <c r="D2662"/>
      <c r="E2662"/>
      <c r="F2662"/>
      <c r="CP2662" s="61"/>
    </row>
    <row r="2663" spans="3:94">
      <c r="C2663"/>
      <c r="D2663"/>
      <c r="E2663"/>
      <c r="F2663"/>
      <c r="CP2663" s="61"/>
    </row>
    <row r="2664" spans="3:94">
      <c r="C2664"/>
      <c r="D2664"/>
      <c r="E2664"/>
      <c r="F2664"/>
      <c r="CP2664" s="61"/>
    </row>
    <row r="2665" spans="3:94">
      <c r="C2665"/>
      <c r="D2665"/>
      <c r="E2665"/>
      <c r="F2665"/>
      <c r="CP2665" s="61"/>
    </row>
    <row r="2666" spans="3:94">
      <c r="C2666"/>
      <c r="D2666"/>
      <c r="E2666"/>
      <c r="F2666"/>
      <c r="CP2666" s="61"/>
    </row>
    <row r="2667" spans="3:94">
      <c r="C2667"/>
      <c r="D2667"/>
      <c r="E2667"/>
      <c r="F2667"/>
      <c r="CP2667" s="61"/>
    </row>
    <row r="2668" spans="3:94">
      <c r="C2668"/>
      <c r="D2668"/>
      <c r="E2668"/>
      <c r="F2668"/>
      <c r="CP2668" s="61"/>
    </row>
    <row r="2669" spans="3:94">
      <c r="C2669"/>
      <c r="D2669"/>
      <c r="E2669"/>
      <c r="F2669"/>
      <c r="CP2669" s="61"/>
    </row>
    <row r="2670" spans="3:94">
      <c r="C2670"/>
      <c r="D2670"/>
      <c r="E2670"/>
      <c r="F2670"/>
      <c r="CP2670" s="61"/>
    </row>
    <row r="2671" spans="3:94">
      <c r="C2671"/>
      <c r="D2671"/>
      <c r="E2671"/>
      <c r="F2671"/>
      <c r="CP2671" s="61"/>
    </row>
    <row r="2672" spans="3:94">
      <c r="C2672"/>
      <c r="D2672"/>
      <c r="E2672"/>
      <c r="F2672"/>
      <c r="CP2672" s="61"/>
    </row>
    <row r="2673" spans="3:94">
      <c r="C2673"/>
      <c r="D2673"/>
      <c r="E2673"/>
      <c r="F2673"/>
      <c r="CP2673" s="61"/>
    </row>
    <row r="2674" spans="3:94">
      <c r="C2674"/>
      <c r="D2674"/>
      <c r="E2674"/>
      <c r="F2674"/>
      <c r="CP2674" s="61"/>
    </row>
    <row r="2675" spans="3:94">
      <c r="C2675"/>
      <c r="D2675"/>
      <c r="E2675"/>
      <c r="F2675"/>
      <c r="CP2675" s="61"/>
    </row>
    <row r="2676" spans="3:94">
      <c r="C2676"/>
      <c r="D2676"/>
      <c r="E2676"/>
      <c r="F2676"/>
      <c r="CP2676" s="61"/>
    </row>
    <row r="2677" spans="3:94">
      <c r="C2677"/>
      <c r="D2677"/>
      <c r="E2677"/>
      <c r="F2677"/>
      <c r="CP2677" s="61"/>
    </row>
    <row r="2678" spans="3:94">
      <c r="C2678"/>
      <c r="D2678"/>
      <c r="E2678"/>
      <c r="F2678"/>
      <c r="CP2678" s="61"/>
    </row>
    <row r="2679" spans="3:94">
      <c r="C2679"/>
      <c r="D2679"/>
      <c r="E2679"/>
      <c r="F2679"/>
      <c r="CP2679" s="61"/>
    </row>
    <row r="2680" spans="3:94">
      <c r="C2680"/>
      <c r="D2680"/>
      <c r="E2680"/>
      <c r="F2680"/>
      <c r="CP2680" s="61"/>
    </row>
    <row r="2681" spans="3:94">
      <c r="C2681"/>
      <c r="D2681"/>
      <c r="E2681"/>
      <c r="F2681"/>
      <c r="CP2681" s="61"/>
    </row>
    <row r="2682" spans="3:94">
      <c r="C2682"/>
      <c r="D2682"/>
      <c r="E2682"/>
      <c r="F2682"/>
      <c r="CP2682" s="61"/>
    </row>
    <row r="2683" spans="3:94">
      <c r="C2683"/>
      <c r="D2683"/>
      <c r="E2683"/>
      <c r="F2683"/>
      <c r="CP2683" s="61"/>
    </row>
    <row r="2684" spans="3:94">
      <c r="C2684"/>
      <c r="D2684"/>
      <c r="E2684"/>
      <c r="F2684"/>
      <c r="CP2684" s="61"/>
    </row>
    <row r="2685" spans="3:94">
      <c r="C2685"/>
      <c r="D2685"/>
      <c r="E2685"/>
      <c r="F2685"/>
      <c r="CP2685" s="61"/>
    </row>
    <row r="2686" spans="3:94">
      <c r="C2686"/>
      <c r="D2686"/>
      <c r="E2686"/>
      <c r="F2686"/>
      <c r="CP2686" s="61"/>
    </row>
    <row r="2687" spans="3:94">
      <c r="C2687"/>
      <c r="D2687"/>
      <c r="E2687"/>
      <c r="F2687"/>
      <c r="CP2687" s="61"/>
    </row>
    <row r="2688" spans="3:94">
      <c r="C2688"/>
      <c r="D2688"/>
      <c r="E2688"/>
      <c r="F2688"/>
      <c r="CP2688" s="61"/>
    </row>
    <row r="2689" spans="3:94">
      <c r="C2689"/>
      <c r="D2689"/>
      <c r="E2689"/>
      <c r="F2689"/>
      <c r="CP2689" s="61"/>
    </row>
    <row r="2690" spans="3:94">
      <c r="C2690"/>
      <c r="D2690"/>
      <c r="E2690"/>
      <c r="F2690"/>
      <c r="CP2690" s="61"/>
    </row>
    <row r="2691" spans="3:94">
      <c r="C2691"/>
      <c r="D2691"/>
      <c r="E2691"/>
      <c r="F2691"/>
      <c r="CP2691" s="61"/>
    </row>
    <row r="2692" spans="3:94">
      <c r="C2692"/>
      <c r="D2692"/>
      <c r="E2692"/>
      <c r="F2692"/>
      <c r="CP2692" s="61"/>
    </row>
    <row r="2693" spans="3:94">
      <c r="C2693"/>
      <c r="D2693"/>
      <c r="E2693"/>
      <c r="F2693"/>
      <c r="CP2693" s="61"/>
    </row>
    <row r="2694" spans="3:94">
      <c r="C2694"/>
      <c r="D2694"/>
      <c r="E2694"/>
      <c r="F2694"/>
      <c r="CP2694" s="61"/>
    </row>
    <row r="2695" spans="3:94">
      <c r="C2695"/>
      <c r="D2695"/>
      <c r="E2695"/>
      <c r="F2695"/>
      <c r="CP2695" s="61"/>
    </row>
    <row r="2696" spans="3:94">
      <c r="C2696"/>
      <c r="D2696"/>
      <c r="E2696"/>
      <c r="F2696"/>
      <c r="CP2696" s="61"/>
    </row>
    <row r="2697" spans="3:94">
      <c r="C2697"/>
      <c r="D2697"/>
      <c r="E2697"/>
      <c r="F2697"/>
      <c r="CP2697" s="61"/>
    </row>
    <row r="2698" spans="3:94">
      <c r="C2698"/>
      <c r="D2698"/>
      <c r="E2698"/>
      <c r="F2698"/>
      <c r="CP2698" s="61"/>
    </row>
    <row r="2699" spans="3:94">
      <c r="C2699"/>
      <c r="D2699"/>
      <c r="E2699"/>
      <c r="F2699"/>
      <c r="CP2699" s="61"/>
    </row>
    <row r="2700" spans="3:94">
      <c r="C2700"/>
      <c r="D2700"/>
      <c r="E2700"/>
      <c r="F2700"/>
      <c r="CP2700" s="61"/>
    </row>
    <row r="2701" spans="3:94">
      <c r="C2701"/>
      <c r="D2701"/>
      <c r="E2701"/>
      <c r="F2701"/>
      <c r="CP2701" s="61"/>
    </row>
    <row r="2702" spans="3:94">
      <c r="C2702"/>
      <c r="D2702"/>
      <c r="E2702"/>
      <c r="F2702"/>
      <c r="CP2702" s="61"/>
    </row>
    <row r="2703" spans="3:94">
      <c r="C2703"/>
      <c r="D2703"/>
      <c r="E2703"/>
      <c r="F2703"/>
      <c r="CP2703" s="61"/>
    </row>
    <row r="2704" spans="3:94">
      <c r="C2704"/>
      <c r="D2704"/>
      <c r="E2704"/>
      <c r="F2704"/>
      <c r="CP2704" s="61"/>
    </row>
    <row r="2705" spans="3:94">
      <c r="C2705"/>
      <c r="D2705"/>
      <c r="E2705"/>
      <c r="F2705"/>
      <c r="CP2705" s="61"/>
    </row>
    <row r="2706" spans="3:94">
      <c r="C2706"/>
      <c r="D2706"/>
      <c r="E2706"/>
      <c r="F2706"/>
      <c r="CP2706" s="61"/>
    </row>
    <row r="2707" spans="3:94">
      <c r="C2707"/>
      <c r="D2707"/>
      <c r="E2707"/>
      <c r="F2707"/>
      <c r="CP2707" s="61"/>
    </row>
    <row r="2708" spans="3:94">
      <c r="C2708"/>
      <c r="D2708"/>
      <c r="E2708"/>
      <c r="F2708"/>
      <c r="CP2708" s="61"/>
    </row>
    <row r="2709" spans="3:94">
      <c r="C2709"/>
      <c r="D2709"/>
      <c r="E2709"/>
      <c r="F2709"/>
      <c r="CP2709" s="61"/>
    </row>
    <row r="2710" spans="3:94">
      <c r="C2710"/>
      <c r="D2710"/>
      <c r="E2710"/>
      <c r="F2710"/>
      <c r="CP2710" s="61"/>
    </row>
    <row r="2711" spans="3:94">
      <c r="C2711"/>
      <c r="D2711"/>
      <c r="E2711"/>
      <c r="F2711"/>
      <c r="CP2711" s="61"/>
    </row>
    <row r="2712" spans="3:94">
      <c r="C2712"/>
      <c r="D2712"/>
      <c r="E2712"/>
      <c r="F2712"/>
      <c r="CP2712" s="61"/>
    </row>
    <row r="2713" spans="3:94">
      <c r="C2713"/>
      <c r="D2713"/>
      <c r="E2713"/>
      <c r="F2713"/>
      <c r="CP2713" s="61"/>
    </row>
    <row r="2714" spans="3:94">
      <c r="C2714"/>
      <c r="D2714"/>
      <c r="E2714"/>
      <c r="F2714"/>
      <c r="CP2714" s="61"/>
    </row>
    <row r="2715" spans="3:94">
      <c r="C2715"/>
      <c r="D2715"/>
      <c r="E2715"/>
      <c r="F2715"/>
      <c r="CP2715" s="61"/>
    </row>
    <row r="2716" spans="3:94">
      <c r="C2716"/>
      <c r="D2716"/>
      <c r="E2716"/>
      <c r="F2716"/>
      <c r="CP2716" s="61"/>
    </row>
    <row r="2717" spans="3:94">
      <c r="C2717"/>
      <c r="D2717"/>
      <c r="E2717"/>
      <c r="F2717"/>
      <c r="CP2717" s="61"/>
    </row>
    <row r="2718" spans="3:94">
      <c r="C2718"/>
      <c r="D2718"/>
      <c r="E2718"/>
      <c r="F2718"/>
      <c r="CP2718" s="61"/>
    </row>
    <row r="2719" spans="3:94">
      <c r="C2719"/>
      <c r="D2719"/>
      <c r="E2719"/>
      <c r="F2719"/>
      <c r="CP2719" s="61"/>
    </row>
    <row r="2720" spans="3:94">
      <c r="C2720"/>
      <c r="D2720"/>
      <c r="E2720"/>
      <c r="F2720"/>
      <c r="CP2720" s="61"/>
    </row>
    <row r="2721" spans="3:94">
      <c r="C2721"/>
      <c r="D2721"/>
      <c r="E2721"/>
      <c r="F2721"/>
      <c r="CP2721" s="61"/>
    </row>
    <row r="2722" spans="3:94">
      <c r="C2722"/>
      <c r="D2722"/>
      <c r="E2722"/>
      <c r="F2722"/>
      <c r="CP2722" s="61"/>
    </row>
    <row r="2723" spans="3:94">
      <c r="C2723"/>
      <c r="D2723"/>
      <c r="E2723"/>
      <c r="F2723"/>
      <c r="CP2723" s="61"/>
    </row>
    <row r="2724" spans="3:94">
      <c r="C2724"/>
      <c r="D2724"/>
      <c r="E2724"/>
      <c r="F2724"/>
      <c r="CP2724" s="61"/>
    </row>
    <row r="2725" spans="3:94">
      <c r="C2725"/>
      <c r="D2725"/>
      <c r="E2725"/>
      <c r="F2725"/>
      <c r="CP2725" s="61"/>
    </row>
    <row r="2726" spans="3:94">
      <c r="C2726"/>
      <c r="D2726"/>
      <c r="E2726"/>
      <c r="F2726"/>
      <c r="CP2726" s="61"/>
    </row>
    <row r="2727" spans="3:94">
      <c r="C2727"/>
      <c r="D2727"/>
      <c r="E2727"/>
      <c r="F2727"/>
      <c r="CP2727" s="61"/>
    </row>
    <row r="2728" spans="3:94">
      <c r="C2728"/>
      <c r="D2728"/>
      <c r="E2728"/>
      <c r="F2728"/>
      <c r="CP2728" s="61"/>
    </row>
    <row r="2729" spans="3:94">
      <c r="C2729"/>
      <c r="D2729"/>
      <c r="E2729"/>
      <c r="F2729"/>
      <c r="CP2729" s="61"/>
    </row>
    <row r="2730" spans="3:94">
      <c r="C2730"/>
      <c r="D2730"/>
      <c r="E2730"/>
      <c r="F2730"/>
      <c r="CP2730" s="61"/>
    </row>
    <row r="2731" spans="3:94">
      <c r="C2731"/>
      <c r="D2731"/>
      <c r="E2731"/>
      <c r="F2731"/>
      <c r="CP2731" s="61"/>
    </row>
    <row r="2732" spans="3:94">
      <c r="C2732"/>
      <c r="D2732"/>
      <c r="E2732"/>
      <c r="F2732"/>
      <c r="CP2732" s="61"/>
    </row>
    <row r="2733" spans="3:94">
      <c r="C2733"/>
      <c r="D2733"/>
      <c r="E2733"/>
      <c r="F2733"/>
      <c r="CP2733" s="61"/>
    </row>
    <row r="2734" spans="3:94">
      <c r="C2734"/>
      <c r="D2734"/>
      <c r="E2734"/>
      <c r="F2734"/>
      <c r="CP2734" s="61"/>
    </row>
    <row r="2735" spans="3:94">
      <c r="C2735"/>
      <c r="D2735"/>
      <c r="E2735"/>
      <c r="F2735"/>
      <c r="CP2735" s="61"/>
    </row>
    <row r="2736" spans="3:94">
      <c r="C2736"/>
      <c r="D2736"/>
      <c r="E2736"/>
      <c r="F2736"/>
      <c r="CP2736" s="61"/>
    </row>
    <row r="2737" spans="3:94">
      <c r="C2737"/>
      <c r="D2737"/>
      <c r="E2737"/>
      <c r="F2737"/>
      <c r="CP2737" s="61"/>
    </row>
    <row r="2738" spans="3:94">
      <c r="C2738"/>
      <c r="D2738"/>
      <c r="E2738"/>
      <c r="F2738"/>
      <c r="CP2738" s="61"/>
    </row>
    <row r="2739" spans="3:94">
      <c r="C2739"/>
      <c r="D2739"/>
      <c r="E2739"/>
      <c r="F2739"/>
      <c r="CP2739" s="61"/>
    </row>
    <row r="2740" spans="3:94">
      <c r="C2740"/>
      <c r="D2740"/>
      <c r="E2740"/>
      <c r="F2740"/>
      <c r="CP2740" s="61"/>
    </row>
    <row r="2741" spans="3:94">
      <c r="C2741"/>
      <c r="D2741"/>
      <c r="E2741"/>
      <c r="F2741"/>
      <c r="CP2741" s="61"/>
    </row>
    <row r="2742" spans="3:94">
      <c r="C2742"/>
      <c r="D2742"/>
      <c r="E2742"/>
      <c r="F2742"/>
      <c r="CP2742" s="61"/>
    </row>
    <row r="2743" spans="3:94">
      <c r="C2743"/>
      <c r="D2743"/>
      <c r="E2743"/>
      <c r="F2743"/>
      <c r="CP2743" s="61"/>
    </row>
    <row r="2744" spans="3:94">
      <c r="C2744"/>
      <c r="D2744"/>
      <c r="E2744"/>
      <c r="F2744"/>
      <c r="CP2744" s="61"/>
    </row>
    <row r="2745" spans="3:94">
      <c r="C2745"/>
      <c r="D2745"/>
      <c r="E2745"/>
      <c r="F2745"/>
      <c r="CP2745" s="61"/>
    </row>
    <row r="2746" spans="3:94">
      <c r="C2746"/>
      <c r="D2746"/>
      <c r="E2746"/>
      <c r="F2746"/>
      <c r="CP2746" s="61"/>
    </row>
    <row r="2747" spans="3:94">
      <c r="C2747"/>
      <c r="D2747"/>
      <c r="E2747"/>
      <c r="F2747"/>
      <c r="CP2747" s="61"/>
    </row>
    <row r="2748" spans="3:94">
      <c r="C2748"/>
      <c r="D2748"/>
      <c r="E2748"/>
      <c r="F2748"/>
      <c r="CP2748" s="61"/>
    </row>
    <row r="2749" spans="3:94">
      <c r="C2749"/>
      <c r="D2749"/>
      <c r="E2749"/>
      <c r="F2749"/>
      <c r="CP2749" s="61"/>
    </row>
    <row r="2750" spans="3:94">
      <c r="C2750"/>
      <c r="D2750"/>
      <c r="E2750"/>
      <c r="F2750"/>
      <c r="CP2750" s="61"/>
    </row>
    <row r="2751" spans="3:94">
      <c r="C2751"/>
      <c r="D2751"/>
      <c r="E2751"/>
      <c r="F2751"/>
      <c r="CP2751" s="61"/>
    </row>
    <row r="2752" spans="3:94">
      <c r="C2752"/>
      <c r="D2752"/>
      <c r="E2752"/>
      <c r="F2752"/>
      <c r="CP2752" s="61"/>
    </row>
    <row r="2753" spans="3:94">
      <c r="C2753"/>
      <c r="D2753"/>
      <c r="E2753"/>
      <c r="F2753"/>
      <c r="CP2753" s="61"/>
    </row>
    <row r="2754" spans="3:94">
      <c r="C2754"/>
      <c r="D2754"/>
      <c r="E2754"/>
      <c r="F2754"/>
      <c r="CP2754" s="61"/>
    </row>
    <row r="2755" spans="3:94">
      <c r="C2755"/>
      <c r="D2755"/>
      <c r="E2755"/>
      <c r="F2755"/>
      <c r="CP2755" s="61"/>
    </row>
    <row r="2756" spans="3:94">
      <c r="C2756"/>
      <c r="D2756"/>
      <c r="E2756"/>
      <c r="F2756"/>
      <c r="CP2756" s="61"/>
    </row>
    <row r="2757" spans="3:94">
      <c r="C2757"/>
      <c r="D2757"/>
      <c r="E2757"/>
      <c r="F2757"/>
      <c r="CP2757" s="61"/>
    </row>
    <row r="2758" spans="3:94">
      <c r="C2758"/>
      <c r="D2758"/>
      <c r="E2758"/>
      <c r="F2758"/>
      <c r="CP2758" s="61"/>
    </row>
    <row r="2759" spans="3:94">
      <c r="C2759"/>
      <c r="D2759"/>
      <c r="E2759"/>
      <c r="F2759"/>
      <c r="CP2759" s="61"/>
    </row>
    <row r="2760" spans="3:94">
      <c r="C2760"/>
      <c r="D2760"/>
      <c r="E2760"/>
      <c r="F2760"/>
      <c r="CP2760" s="61"/>
    </row>
    <row r="2761" spans="3:94">
      <c r="C2761"/>
      <c r="D2761"/>
      <c r="E2761"/>
      <c r="F2761"/>
      <c r="CP2761" s="61"/>
    </row>
    <row r="2762" spans="3:94">
      <c r="C2762"/>
      <c r="D2762"/>
      <c r="E2762"/>
      <c r="F2762"/>
      <c r="CP2762" s="61"/>
    </row>
    <row r="2763" spans="3:94">
      <c r="C2763"/>
      <c r="D2763"/>
      <c r="E2763"/>
      <c r="F2763"/>
      <c r="CP2763" s="61"/>
    </row>
    <row r="2764" spans="3:94">
      <c r="C2764"/>
      <c r="D2764"/>
      <c r="E2764"/>
      <c r="F2764"/>
      <c r="CP2764" s="61"/>
    </row>
    <row r="2765" spans="3:94">
      <c r="C2765"/>
      <c r="D2765"/>
      <c r="E2765"/>
      <c r="F2765"/>
      <c r="CP2765" s="61"/>
    </row>
    <row r="2766" spans="3:94">
      <c r="C2766"/>
      <c r="D2766"/>
      <c r="E2766"/>
      <c r="F2766"/>
      <c r="CP2766" s="61"/>
    </row>
    <row r="2767" spans="3:94">
      <c r="C2767"/>
      <c r="D2767"/>
      <c r="E2767"/>
      <c r="F2767"/>
      <c r="CP2767" s="61"/>
    </row>
    <row r="2768" spans="3:94">
      <c r="C2768"/>
      <c r="D2768"/>
      <c r="E2768"/>
      <c r="F2768"/>
      <c r="CP2768" s="61"/>
    </row>
    <row r="2769" spans="3:94">
      <c r="C2769"/>
      <c r="D2769"/>
      <c r="E2769"/>
      <c r="F2769"/>
      <c r="CP2769" s="61"/>
    </row>
    <row r="2770" spans="3:94">
      <c r="C2770"/>
      <c r="D2770"/>
      <c r="E2770"/>
      <c r="F2770"/>
      <c r="CP2770" s="61"/>
    </row>
    <row r="2771" spans="3:94">
      <c r="C2771"/>
      <c r="D2771"/>
      <c r="E2771"/>
      <c r="F2771"/>
      <c r="CP2771" s="61"/>
    </row>
    <row r="2772" spans="3:94">
      <c r="C2772"/>
      <c r="D2772"/>
      <c r="E2772"/>
      <c r="F2772"/>
      <c r="CP2772" s="61"/>
    </row>
    <row r="2773" spans="3:94">
      <c r="C2773"/>
      <c r="D2773"/>
      <c r="E2773"/>
      <c r="F2773"/>
      <c r="CP2773" s="61"/>
    </row>
    <row r="2774" spans="3:94">
      <c r="C2774"/>
      <c r="D2774"/>
      <c r="E2774"/>
      <c r="F2774"/>
      <c r="CP2774" s="61"/>
    </row>
    <row r="2775" spans="3:94">
      <c r="C2775"/>
      <c r="D2775"/>
      <c r="E2775"/>
      <c r="F2775"/>
      <c r="CP2775" s="61"/>
    </row>
    <row r="2776" spans="3:94">
      <c r="C2776"/>
      <c r="D2776"/>
      <c r="E2776"/>
      <c r="F2776"/>
      <c r="CP2776" s="61"/>
    </row>
    <row r="2777" spans="3:94">
      <c r="C2777"/>
      <c r="D2777"/>
      <c r="E2777"/>
      <c r="F2777"/>
      <c r="CP2777" s="61"/>
    </row>
    <row r="2778" spans="3:94">
      <c r="C2778"/>
      <c r="D2778"/>
      <c r="E2778"/>
      <c r="F2778"/>
      <c r="CP2778" s="61"/>
    </row>
    <row r="2779" spans="3:94">
      <c r="C2779"/>
      <c r="D2779"/>
      <c r="E2779"/>
      <c r="F2779"/>
      <c r="CP2779" s="61"/>
    </row>
    <row r="2780" spans="3:94">
      <c r="C2780"/>
      <c r="D2780"/>
      <c r="E2780"/>
      <c r="F2780"/>
      <c r="CP2780" s="61"/>
    </row>
    <row r="2781" spans="3:94">
      <c r="C2781"/>
      <c r="D2781"/>
      <c r="E2781"/>
      <c r="F2781"/>
      <c r="CP2781" s="61"/>
    </row>
    <row r="2782" spans="3:94">
      <c r="C2782"/>
      <c r="D2782"/>
      <c r="E2782"/>
      <c r="F2782"/>
      <c r="CP2782" s="61"/>
    </row>
    <row r="2783" spans="3:94">
      <c r="C2783"/>
      <c r="D2783"/>
      <c r="E2783"/>
      <c r="F2783"/>
      <c r="CP2783" s="61"/>
    </row>
    <row r="2784" spans="3:94">
      <c r="C2784"/>
      <c r="D2784"/>
      <c r="E2784"/>
      <c r="F2784"/>
      <c r="CP2784" s="61"/>
    </row>
    <row r="2785" spans="3:94">
      <c r="C2785"/>
      <c r="D2785"/>
      <c r="E2785"/>
      <c r="F2785"/>
      <c r="CP2785" s="61"/>
    </row>
    <row r="2786" spans="3:94">
      <c r="C2786"/>
      <c r="D2786"/>
      <c r="E2786"/>
      <c r="F2786"/>
      <c r="CP2786" s="61"/>
    </row>
    <row r="2787" spans="3:94">
      <c r="C2787"/>
      <c r="D2787"/>
      <c r="E2787"/>
      <c r="F2787"/>
      <c r="CP2787" s="61"/>
    </row>
    <row r="2788" spans="3:94">
      <c r="C2788"/>
      <c r="D2788"/>
      <c r="E2788"/>
      <c r="F2788"/>
      <c r="CP2788" s="61"/>
    </row>
    <row r="2789" spans="3:94">
      <c r="C2789"/>
      <c r="D2789"/>
      <c r="E2789"/>
      <c r="F2789"/>
      <c r="CP2789" s="61"/>
    </row>
    <row r="2790" spans="3:94">
      <c r="C2790"/>
      <c r="D2790"/>
      <c r="E2790"/>
      <c r="F2790"/>
      <c r="CP2790" s="61"/>
    </row>
    <row r="2791" spans="3:94">
      <c r="C2791"/>
      <c r="D2791"/>
      <c r="E2791"/>
      <c r="F2791"/>
      <c r="CP2791" s="61"/>
    </row>
    <row r="2792" spans="3:94">
      <c r="C2792"/>
      <c r="D2792"/>
      <c r="E2792"/>
      <c r="F2792"/>
      <c r="CP2792" s="61"/>
    </row>
    <row r="2793" spans="3:94">
      <c r="C2793"/>
      <c r="D2793"/>
      <c r="E2793"/>
      <c r="F2793"/>
      <c r="CP2793" s="61"/>
    </row>
    <row r="2794" spans="3:94">
      <c r="C2794"/>
      <c r="D2794"/>
      <c r="E2794"/>
      <c r="F2794"/>
      <c r="CP2794" s="61"/>
    </row>
    <row r="2795" spans="3:94">
      <c r="C2795"/>
      <c r="D2795"/>
      <c r="E2795"/>
      <c r="F2795"/>
      <c r="CP2795" s="61"/>
    </row>
    <row r="2796" spans="3:94">
      <c r="C2796"/>
      <c r="D2796"/>
      <c r="E2796"/>
      <c r="F2796"/>
      <c r="CP2796" s="61"/>
    </row>
    <row r="2797" spans="3:94">
      <c r="C2797"/>
      <c r="D2797"/>
      <c r="E2797"/>
      <c r="F2797"/>
      <c r="CP2797" s="61"/>
    </row>
    <row r="2798" spans="3:94">
      <c r="C2798"/>
      <c r="D2798"/>
      <c r="E2798"/>
      <c r="F2798"/>
      <c r="CP2798" s="61"/>
    </row>
    <row r="2799" spans="3:94">
      <c r="C2799"/>
      <c r="D2799"/>
      <c r="E2799"/>
      <c r="F2799"/>
      <c r="CP2799" s="61"/>
    </row>
    <row r="2800" spans="3:94">
      <c r="C2800"/>
      <c r="D2800"/>
      <c r="E2800"/>
      <c r="F2800"/>
      <c r="CP2800" s="61"/>
    </row>
    <row r="2801" spans="3:94">
      <c r="C2801"/>
      <c r="D2801"/>
      <c r="E2801"/>
      <c r="F2801"/>
      <c r="CP2801" s="61"/>
    </row>
    <row r="2802" spans="3:94">
      <c r="C2802"/>
      <c r="D2802"/>
      <c r="E2802"/>
      <c r="F2802"/>
      <c r="CP2802" s="61"/>
    </row>
    <row r="2803" spans="3:94">
      <c r="C2803"/>
      <c r="D2803"/>
      <c r="E2803"/>
      <c r="F2803"/>
      <c r="CP2803" s="61"/>
    </row>
    <row r="2804" spans="3:94">
      <c r="C2804"/>
      <c r="D2804"/>
      <c r="E2804"/>
      <c r="F2804"/>
      <c r="CP2804" s="61"/>
    </row>
    <row r="2805" spans="3:94">
      <c r="C2805"/>
      <c r="D2805"/>
      <c r="E2805"/>
      <c r="F2805"/>
      <c r="CP2805" s="61"/>
    </row>
    <row r="2806" spans="3:94">
      <c r="C2806"/>
      <c r="D2806"/>
      <c r="E2806"/>
      <c r="F2806"/>
      <c r="CP2806" s="61"/>
    </row>
    <row r="2807" spans="3:94">
      <c r="C2807"/>
      <c r="D2807"/>
      <c r="E2807"/>
      <c r="F2807"/>
      <c r="CP2807" s="61"/>
    </row>
    <row r="2808" spans="3:94">
      <c r="C2808"/>
      <c r="D2808"/>
      <c r="E2808"/>
      <c r="F2808"/>
      <c r="CP2808" s="61"/>
    </row>
    <row r="2809" spans="3:94">
      <c r="C2809"/>
      <c r="D2809"/>
      <c r="E2809"/>
      <c r="F2809"/>
      <c r="CP2809" s="61"/>
    </row>
    <row r="2810" spans="3:94">
      <c r="C2810"/>
      <c r="D2810"/>
      <c r="E2810"/>
      <c r="F2810"/>
      <c r="CP2810" s="61"/>
    </row>
    <row r="2811" spans="3:94">
      <c r="C2811"/>
      <c r="D2811"/>
      <c r="E2811"/>
      <c r="F2811"/>
      <c r="CP2811" s="61"/>
    </row>
    <row r="2812" spans="3:94">
      <c r="C2812"/>
      <c r="D2812"/>
      <c r="E2812"/>
      <c r="F2812"/>
      <c r="CP2812" s="61"/>
    </row>
    <row r="2813" spans="3:94">
      <c r="C2813"/>
      <c r="D2813"/>
      <c r="E2813"/>
      <c r="F2813"/>
      <c r="CP2813" s="61"/>
    </row>
    <row r="2814" spans="3:94">
      <c r="C2814"/>
      <c r="D2814"/>
      <c r="E2814"/>
      <c r="F2814"/>
      <c r="CP2814" s="61"/>
    </row>
    <row r="2815" spans="3:94">
      <c r="C2815"/>
      <c r="D2815"/>
      <c r="E2815"/>
      <c r="F2815"/>
      <c r="CP2815" s="61"/>
    </row>
    <row r="2816" spans="3:94">
      <c r="C2816"/>
      <c r="D2816"/>
      <c r="E2816"/>
      <c r="F2816"/>
      <c r="CP2816" s="61"/>
    </row>
    <row r="2817" spans="3:94">
      <c r="C2817"/>
      <c r="D2817"/>
      <c r="E2817"/>
      <c r="F2817"/>
      <c r="CP2817" s="61"/>
    </row>
    <row r="2818" spans="3:94">
      <c r="C2818"/>
      <c r="D2818"/>
      <c r="E2818"/>
      <c r="F2818"/>
      <c r="CP2818" s="61"/>
    </row>
    <row r="2819" spans="3:94">
      <c r="C2819"/>
      <c r="D2819"/>
      <c r="E2819"/>
      <c r="F2819"/>
      <c r="CP2819" s="61"/>
    </row>
    <row r="2820" spans="3:94">
      <c r="C2820"/>
      <c r="D2820"/>
      <c r="E2820"/>
      <c r="F2820"/>
      <c r="CP2820" s="61"/>
    </row>
    <row r="2821" spans="3:94">
      <c r="C2821"/>
      <c r="D2821"/>
      <c r="E2821"/>
      <c r="F2821"/>
      <c r="CP2821" s="61"/>
    </row>
    <row r="2822" spans="3:94">
      <c r="C2822"/>
      <c r="D2822"/>
      <c r="E2822"/>
      <c r="F2822"/>
      <c r="CP2822" s="61"/>
    </row>
    <row r="2823" spans="3:94">
      <c r="C2823"/>
      <c r="D2823"/>
      <c r="E2823"/>
      <c r="F2823"/>
      <c r="CP2823" s="61"/>
    </row>
    <row r="2824" spans="3:94">
      <c r="C2824"/>
      <c r="D2824"/>
      <c r="E2824"/>
      <c r="F2824"/>
      <c r="CP2824" s="61"/>
    </row>
    <row r="2825" spans="3:94">
      <c r="C2825"/>
      <c r="D2825"/>
      <c r="E2825"/>
      <c r="F2825"/>
      <c r="CP2825" s="61"/>
    </row>
    <row r="2826" spans="3:94">
      <c r="C2826"/>
      <c r="D2826"/>
      <c r="E2826"/>
      <c r="F2826"/>
      <c r="CP2826" s="61"/>
    </row>
    <row r="2827" spans="3:94">
      <c r="C2827"/>
      <c r="D2827"/>
      <c r="E2827"/>
      <c r="F2827"/>
      <c r="CP2827" s="61"/>
    </row>
    <row r="2828" spans="3:94">
      <c r="C2828"/>
      <c r="D2828"/>
      <c r="E2828"/>
      <c r="F2828"/>
      <c r="CP2828" s="61"/>
    </row>
    <row r="2829" spans="3:94">
      <c r="C2829"/>
      <c r="D2829"/>
      <c r="E2829"/>
      <c r="F2829"/>
      <c r="CP2829" s="61"/>
    </row>
    <row r="2830" spans="3:94">
      <c r="C2830"/>
      <c r="D2830"/>
      <c r="E2830"/>
      <c r="F2830"/>
      <c r="CP2830" s="61"/>
    </row>
    <row r="2831" spans="3:94">
      <c r="C2831"/>
      <c r="D2831"/>
      <c r="E2831"/>
      <c r="F2831"/>
      <c r="CP2831" s="61"/>
    </row>
    <row r="2832" spans="3:94">
      <c r="C2832"/>
      <c r="D2832"/>
      <c r="E2832"/>
      <c r="F2832"/>
      <c r="CP2832" s="61"/>
    </row>
    <row r="2833" spans="3:94">
      <c r="C2833"/>
      <c r="D2833"/>
      <c r="E2833"/>
      <c r="F2833"/>
      <c r="CP2833" s="61"/>
    </row>
    <row r="2834" spans="3:94">
      <c r="C2834"/>
      <c r="D2834"/>
      <c r="E2834"/>
      <c r="F2834"/>
      <c r="CP2834" s="61"/>
    </row>
    <row r="2835" spans="3:94">
      <c r="C2835"/>
      <c r="D2835"/>
      <c r="E2835"/>
      <c r="F2835"/>
      <c r="CP2835" s="61"/>
    </row>
    <row r="2836" spans="3:94">
      <c r="C2836"/>
      <c r="D2836"/>
      <c r="E2836"/>
      <c r="F2836"/>
      <c r="CP2836" s="61"/>
    </row>
    <row r="2837" spans="3:94">
      <c r="C2837"/>
      <c r="D2837"/>
      <c r="E2837"/>
      <c r="F2837"/>
      <c r="CP2837" s="61"/>
    </row>
    <row r="2838" spans="3:94">
      <c r="C2838"/>
      <c r="D2838"/>
      <c r="E2838"/>
      <c r="F2838"/>
      <c r="CP2838" s="61"/>
    </row>
    <row r="2839" spans="3:94">
      <c r="C2839"/>
      <c r="D2839"/>
      <c r="E2839"/>
      <c r="F2839"/>
      <c r="CP2839" s="61"/>
    </row>
    <row r="2840" spans="3:94">
      <c r="C2840"/>
      <c r="D2840"/>
      <c r="E2840"/>
      <c r="F2840"/>
      <c r="CP2840" s="61"/>
    </row>
    <row r="2841" spans="3:94">
      <c r="C2841"/>
      <c r="D2841"/>
      <c r="E2841"/>
      <c r="F2841"/>
      <c r="CP2841" s="61"/>
    </row>
    <row r="2842" spans="3:94">
      <c r="C2842"/>
      <c r="D2842"/>
      <c r="E2842"/>
      <c r="F2842"/>
      <c r="CP2842" s="61"/>
    </row>
    <row r="2843" spans="3:94">
      <c r="C2843"/>
      <c r="D2843"/>
      <c r="E2843"/>
      <c r="F2843"/>
      <c r="CP2843" s="61"/>
    </row>
    <row r="2844" spans="3:94">
      <c r="C2844"/>
      <c r="D2844"/>
      <c r="E2844"/>
      <c r="F2844"/>
      <c r="CP2844" s="61"/>
    </row>
    <row r="2845" spans="3:94">
      <c r="C2845"/>
      <c r="D2845"/>
      <c r="E2845"/>
      <c r="F2845"/>
      <c r="CP2845" s="61"/>
    </row>
    <row r="2846" spans="3:94">
      <c r="C2846"/>
      <c r="D2846"/>
      <c r="E2846"/>
      <c r="F2846"/>
      <c r="CP2846" s="61"/>
    </row>
    <row r="2847" spans="3:94">
      <c r="C2847"/>
      <c r="D2847"/>
      <c r="E2847"/>
      <c r="F2847"/>
      <c r="CP2847" s="61"/>
    </row>
    <row r="2848" spans="3:94">
      <c r="C2848"/>
      <c r="D2848"/>
      <c r="E2848"/>
      <c r="F2848"/>
      <c r="CP2848" s="61"/>
    </row>
    <row r="2849" spans="3:94">
      <c r="C2849"/>
      <c r="D2849"/>
      <c r="E2849"/>
      <c r="F2849"/>
      <c r="CP2849" s="61"/>
    </row>
    <row r="2850" spans="3:94">
      <c r="C2850"/>
      <c r="D2850"/>
      <c r="E2850"/>
      <c r="F2850"/>
      <c r="CP2850" s="61"/>
    </row>
    <row r="2851" spans="3:94">
      <c r="C2851"/>
      <c r="D2851"/>
      <c r="E2851"/>
      <c r="F2851"/>
      <c r="CP2851" s="61"/>
    </row>
    <row r="2852" spans="3:94">
      <c r="C2852"/>
      <c r="D2852"/>
      <c r="E2852"/>
      <c r="F2852"/>
      <c r="CP2852" s="61"/>
    </row>
    <row r="2853" spans="3:94">
      <c r="C2853"/>
      <c r="D2853"/>
      <c r="E2853"/>
      <c r="F2853"/>
      <c r="CP2853" s="61"/>
    </row>
    <row r="2854" spans="3:94">
      <c r="C2854"/>
      <c r="D2854"/>
      <c r="E2854"/>
      <c r="F2854"/>
      <c r="CP2854" s="61"/>
    </row>
    <row r="2855" spans="3:94">
      <c r="C2855"/>
      <c r="D2855"/>
      <c r="E2855"/>
      <c r="F2855"/>
      <c r="CP2855" s="61"/>
    </row>
    <row r="2856" spans="3:94">
      <c r="C2856"/>
      <c r="D2856"/>
      <c r="E2856"/>
      <c r="F2856"/>
      <c r="CP2856" s="61"/>
    </row>
    <row r="2857" spans="3:94">
      <c r="C2857"/>
      <c r="D2857"/>
      <c r="E2857"/>
      <c r="F2857"/>
      <c r="CP2857" s="61"/>
    </row>
    <row r="2858" spans="3:94">
      <c r="C2858"/>
      <c r="D2858"/>
      <c r="E2858"/>
      <c r="F2858"/>
      <c r="CP2858" s="61"/>
    </row>
    <row r="2859" spans="3:94">
      <c r="C2859"/>
      <c r="D2859"/>
      <c r="E2859"/>
      <c r="F2859"/>
      <c r="CP2859" s="61"/>
    </row>
    <row r="2860" spans="3:94">
      <c r="C2860"/>
      <c r="D2860"/>
      <c r="E2860"/>
      <c r="F2860"/>
      <c r="CP2860" s="61"/>
    </row>
    <row r="2861" spans="3:94">
      <c r="C2861"/>
      <c r="D2861"/>
      <c r="E2861"/>
      <c r="F2861"/>
      <c r="CP2861" s="61"/>
    </row>
    <row r="2862" spans="3:94">
      <c r="C2862"/>
      <c r="D2862"/>
      <c r="E2862"/>
      <c r="F2862"/>
      <c r="CP2862" s="61"/>
    </row>
    <row r="2863" spans="3:94">
      <c r="C2863"/>
      <c r="D2863"/>
      <c r="E2863"/>
      <c r="F2863"/>
      <c r="CP2863" s="61"/>
    </row>
    <row r="2864" spans="3:94">
      <c r="C2864"/>
      <c r="D2864"/>
      <c r="E2864"/>
      <c r="F2864"/>
      <c r="CP2864" s="61"/>
    </row>
    <row r="2865" spans="3:94">
      <c r="C2865"/>
      <c r="D2865"/>
      <c r="E2865"/>
      <c r="F2865"/>
      <c r="CP2865" s="61"/>
    </row>
    <row r="2866" spans="3:94">
      <c r="C2866"/>
      <c r="D2866"/>
      <c r="E2866"/>
      <c r="F2866"/>
      <c r="CP2866" s="61"/>
    </row>
    <row r="2867" spans="3:94">
      <c r="C2867"/>
      <c r="D2867"/>
      <c r="E2867"/>
      <c r="F2867"/>
      <c r="CP2867" s="61"/>
    </row>
    <row r="2868" spans="3:94">
      <c r="C2868"/>
      <c r="D2868"/>
      <c r="E2868"/>
      <c r="F2868"/>
      <c r="CP2868" s="61"/>
    </row>
    <row r="2869" spans="3:94">
      <c r="C2869"/>
      <c r="D2869"/>
      <c r="E2869"/>
      <c r="F2869"/>
      <c r="CP2869" s="61"/>
    </row>
    <row r="2870" spans="3:94">
      <c r="C2870"/>
      <c r="D2870"/>
      <c r="E2870"/>
      <c r="F2870"/>
      <c r="CP2870" s="61"/>
    </row>
    <row r="2871" spans="3:94">
      <c r="C2871"/>
      <c r="D2871"/>
      <c r="E2871"/>
      <c r="F2871"/>
      <c r="CP2871" s="61"/>
    </row>
    <row r="2872" spans="3:94">
      <c r="C2872"/>
      <c r="D2872"/>
      <c r="E2872"/>
      <c r="F2872"/>
      <c r="CP2872" s="61"/>
    </row>
    <row r="2873" spans="3:94">
      <c r="C2873"/>
      <c r="D2873"/>
      <c r="E2873"/>
      <c r="F2873"/>
      <c r="CP2873" s="61"/>
    </row>
    <row r="2874" spans="3:94">
      <c r="C2874"/>
      <c r="D2874"/>
      <c r="E2874"/>
      <c r="F2874"/>
      <c r="CP2874" s="61"/>
    </row>
    <row r="2875" spans="3:94">
      <c r="C2875"/>
      <c r="D2875"/>
      <c r="E2875"/>
      <c r="F2875"/>
      <c r="CP2875" s="61"/>
    </row>
    <row r="2876" spans="3:94">
      <c r="C2876"/>
      <c r="D2876"/>
      <c r="E2876"/>
      <c r="F2876"/>
      <c r="CP2876" s="61"/>
    </row>
    <row r="2877" spans="3:94">
      <c r="C2877"/>
      <c r="D2877"/>
      <c r="E2877"/>
      <c r="F2877"/>
      <c r="CP2877" s="61"/>
    </row>
    <row r="2878" spans="3:94">
      <c r="C2878"/>
      <c r="D2878"/>
      <c r="E2878"/>
      <c r="F2878"/>
      <c r="CP2878" s="61"/>
    </row>
    <row r="2879" spans="3:94">
      <c r="C2879"/>
      <c r="D2879"/>
      <c r="E2879"/>
      <c r="F2879"/>
      <c r="CP2879" s="61"/>
    </row>
    <row r="2880" spans="3:94">
      <c r="C2880"/>
      <c r="D2880"/>
      <c r="E2880"/>
      <c r="F2880"/>
      <c r="CP2880" s="61"/>
    </row>
    <row r="2881" spans="3:94">
      <c r="C2881"/>
      <c r="D2881"/>
      <c r="E2881"/>
      <c r="F2881"/>
      <c r="CP2881" s="61"/>
    </row>
    <row r="2882" spans="3:94">
      <c r="C2882"/>
      <c r="D2882"/>
      <c r="E2882"/>
      <c r="F2882"/>
      <c r="CP2882" s="61"/>
    </row>
    <row r="2883" spans="3:94">
      <c r="C2883"/>
      <c r="D2883"/>
      <c r="E2883"/>
      <c r="F2883"/>
      <c r="CP2883" s="61"/>
    </row>
    <row r="2884" spans="3:94">
      <c r="C2884"/>
      <c r="D2884"/>
      <c r="E2884"/>
      <c r="F2884"/>
      <c r="CP2884" s="61"/>
    </row>
    <row r="2885" spans="3:94">
      <c r="C2885"/>
      <c r="D2885"/>
      <c r="E2885"/>
      <c r="F2885"/>
      <c r="CP2885" s="61"/>
    </row>
    <row r="2886" spans="3:94">
      <c r="C2886"/>
      <c r="D2886"/>
      <c r="E2886"/>
      <c r="F2886"/>
      <c r="CP2886" s="61"/>
    </row>
    <row r="2887" spans="3:94">
      <c r="C2887"/>
      <c r="D2887"/>
      <c r="E2887"/>
      <c r="F2887"/>
      <c r="CP2887" s="61"/>
    </row>
    <row r="2888" spans="3:94">
      <c r="C2888"/>
      <c r="D2888"/>
      <c r="E2888"/>
      <c r="F2888"/>
      <c r="CP2888" s="61"/>
    </row>
    <row r="2889" spans="3:94">
      <c r="C2889"/>
      <c r="D2889"/>
      <c r="E2889"/>
      <c r="F2889"/>
      <c r="CP2889" s="61"/>
    </row>
    <row r="2890" spans="3:94">
      <c r="C2890"/>
      <c r="D2890"/>
      <c r="E2890"/>
      <c r="F2890"/>
      <c r="CP2890" s="61"/>
    </row>
    <row r="2891" spans="3:94">
      <c r="C2891"/>
      <c r="D2891"/>
      <c r="E2891"/>
      <c r="F2891"/>
      <c r="CP2891" s="61"/>
    </row>
    <row r="2892" spans="3:94">
      <c r="C2892"/>
      <c r="D2892"/>
      <c r="E2892"/>
      <c r="F2892"/>
      <c r="CP2892" s="61"/>
    </row>
    <row r="2893" spans="3:94">
      <c r="C2893"/>
      <c r="D2893"/>
      <c r="E2893"/>
      <c r="F2893"/>
      <c r="CP2893" s="61"/>
    </row>
    <row r="2894" spans="3:94">
      <c r="C2894"/>
      <c r="D2894"/>
      <c r="E2894"/>
      <c r="F2894"/>
      <c r="CP2894" s="61"/>
    </row>
    <row r="2895" spans="3:94">
      <c r="C2895"/>
      <c r="D2895"/>
      <c r="E2895"/>
      <c r="F2895"/>
      <c r="CP2895" s="61"/>
    </row>
    <row r="2896" spans="3:94">
      <c r="C2896"/>
      <c r="D2896"/>
      <c r="E2896"/>
      <c r="F2896"/>
      <c r="CP2896" s="61"/>
    </row>
    <row r="2897" spans="3:94">
      <c r="C2897"/>
      <c r="D2897"/>
      <c r="E2897"/>
      <c r="F2897"/>
      <c r="CP2897" s="61"/>
    </row>
    <row r="2898" spans="3:94">
      <c r="C2898"/>
      <c r="D2898"/>
      <c r="E2898"/>
      <c r="F2898"/>
      <c r="CP2898" s="61"/>
    </row>
    <row r="2899" spans="3:94">
      <c r="C2899"/>
      <c r="D2899"/>
      <c r="E2899"/>
      <c r="F2899"/>
      <c r="CP2899" s="61"/>
    </row>
    <row r="2900" spans="3:94">
      <c r="C2900"/>
      <c r="D2900"/>
      <c r="E2900"/>
      <c r="F2900"/>
      <c r="CP2900" s="61"/>
    </row>
    <row r="2901" spans="3:94">
      <c r="C2901"/>
      <c r="D2901"/>
      <c r="E2901"/>
      <c r="F2901"/>
      <c r="CP2901" s="61"/>
    </row>
    <row r="2902" spans="3:94">
      <c r="C2902"/>
      <c r="D2902"/>
      <c r="E2902"/>
      <c r="F2902"/>
      <c r="CP2902" s="61"/>
    </row>
    <row r="2903" spans="3:94">
      <c r="C2903"/>
      <c r="D2903"/>
      <c r="E2903"/>
      <c r="F2903"/>
      <c r="CP2903" s="61"/>
    </row>
    <row r="2904" spans="3:94">
      <c r="C2904"/>
      <c r="D2904"/>
      <c r="E2904"/>
      <c r="F2904"/>
      <c r="CP2904" s="61"/>
    </row>
    <row r="2905" spans="3:94">
      <c r="C2905"/>
      <c r="D2905"/>
      <c r="E2905"/>
      <c r="F2905"/>
      <c r="CP2905" s="61"/>
    </row>
    <row r="2906" spans="3:94">
      <c r="C2906"/>
      <c r="D2906"/>
      <c r="E2906"/>
      <c r="F2906"/>
      <c r="CP2906" s="61"/>
    </row>
    <row r="2907" spans="3:94">
      <c r="C2907"/>
      <c r="D2907"/>
      <c r="E2907"/>
      <c r="F2907"/>
      <c r="CP2907" s="61"/>
    </row>
    <row r="2908" spans="3:94">
      <c r="C2908"/>
      <c r="D2908"/>
      <c r="E2908"/>
      <c r="F2908"/>
      <c r="CP2908" s="61"/>
    </row>
    <row r="2909" spans="3:94">
      <c r="C2909"/>
      <c r="D2909"/>
      <c r="E2909"/>
      <c r="F2909"/>
      <c r="CP2909" s="61"/>
    </row>
    <row r="2910" spans="3:94">
      <c r="C2910"/>
      <c r="D2910"/>
      <c r="E2910"/>
      <c r="F2910"/>
      <c r="CP2910" s="61"/>
    </row>
    <row r="2911" spans="3:94">
      <c r="C2911"/>
      <c r="D2911"/>
      <c r="E2911"/>
      <c r="F2911"/>
      <c r="CP2911" s="61"/>
    </row>
    <row r="2912" spans="3:94">
      <c r="C2912"/>
      <c r="D2912"/>
      <c r="E2912"/>
      <c r="F2912"/>
      <c r="CP2912" s="61"/>
    </row>
    <row r="2913" spans="3:94">
      <c r="C2913"/>
      <c r="D2913"/>
      <c r="E2913"/>
      <c r="F2913"/>
      <c r="CP2913" s="61"/>
    </row>
    <row r="2914" spans="3:94">
      <c r="C2914"/>
      <c r="D2914"/>
      <c r="E2914"/>
      <c r="F2914"/>
      <c r="CP2914" s="61"/>
    </row>
    <row r="2915" spans="3:94">
      <c r="C2915"/>
      <c r="D2915"/>
      <c r="E2915"/>
      <c r="F2915"/>
      <c r="CP2915" s="61"/>
    </row>
    <row r="2916" spans="3:94">
      <c r="C2916"/>
      <c r="D2916"/>
      <c r="E2916"/>
      <c r="F2916"/>
      <c r="CP2916" s="61"/>
    </row>
    <row r="2917" spans="3:94">
      <c r="C2917"/>
      <c r="D2917"/>
      <c r="E2917"/>
      <c r="F2917"/>
      <c r="CP2917" s="61"/>
    </row>
    <row r="2918" spans="3:94">
      <c r="C2918"/>
      <c r="D2918"/>
      <c r="E2918"/>
      <c r="F2918"/>
      <c r="CP2918" s="61"/>
    </row>
    <row r="2919" spans="3:94">
      <c r="C2919"/>
      <c r="D2919"/>
      <c r="E2919"/>
      <c r="F2919"/>
      <c r="CP2919" s="61"/>
    </row>
    <row r="2920" spans="3:94">
      <c r="C2920"/>
      <c r="D2920"/>
      <c r="E2920"/>
      <c r="F2920"/>
      <c r="CP2920" s="61"/>
    </row>
    <row r="2921" spans="3:94">
      <c r="C2921"/>
      <c r="D2921"/>
      <c r="E2921"/>
      <c r="F2921"/>
      <c r="CP2921" s="61"/>
    </row>
    <row r="2922" spans="3:94">
      <c r="C2922"/>
      <c r="D2922"/>
      <c r="E2922"/>
      <c r="F2922"/>
      <c r="CP2922" s="61"/>
    </row>
    <row r="2923" spans="3:94">
      <c r="C2923"/>
      <c r="D2923"/>
      <c r="E2923"/>
      <c r="F2923"/>
      <c r="CP2923" s="61"/>
    </row>
    <row r="2924" spans="3:94">
      <c r="C2924"/>
      <c r="D2924"/>
      <c r="E2924"/>
      <c r="F2924"/>
      <c r="CP2924" s="61"/>
    </row>
    <row r="2925" spans="3:94">
      <c r="C2925"/>
      <c r="D2925"/>
      <c r="E2925"/>
      <c r="F2925"/>
      <c r="CP2925" s="61"/>
    </row>
    <row r="2926" spans="3:94">
      <c r="C2926"/>
      <c r="D2926"/>
      <c r="E2926"/>
      <c r="F2926"/>
      <c r="CP2926" s="61"/>
    </row>
    <row r="2927" spans="3:94">
      <c r="C2927"/>
      <c r="D2927"/>
      <c r="E2927"/>
      <c r="F2927"/>
      <c r="CP2927" s="61"/>
    </row>
    <row r="2928" spans="3:94">
      <c r="C2928"/>
      <c r="D2928"/>
      <c r="E2928"/>
      <c r="F2928"/>
      <c r="CP2928" s="61"/>
    </row>
    <row r="2929" spans="3:94">
      <c r="C2929"/>
      <c r="D2929"/>
      <c r="E2929"/>
      <c r="F2929"/>
      <c r="CP2929" s="61"/>
    </row>
    <row r="2930" spans="3:94">
      <c r="C2930"/>
      <c r="D2930"/>
      <c r="E2930"/>
      <c r="F2930"/>
      <c r="CP2930" s="61"/>
    </row>
    <row r="2931" spans="3:94">
      <c r="C2931"/>
      <c r="D2931"/>
      <c r="E2931"/>
      <c r="F2931"/>
      <c r="CP2931" s="61"/>
    </row>
    <row r="2932" spans="3:94">
      <c r="C2932"/>
      <c r="D2932"/>
      <c r="E2932"/>
      <c r="F2932"/>
      <c r="CP2932" s="61"/>
    </row>
    <row r="2933" spans="3:94">
      <c r="C2933"/>
      <c r="D2933"/>
      <c r="E2933"/>
      <c r="F2933"/>
      <c r="CP2933" s="61"/>
    </row>
    <row r="2934" spans="3:94">
      <c r="C2934"/>
      <c r="D2934"/>
      <c r="E2934"/>
      <c r="F2934"/>
      <c r="CP2934" s="61"/>
    </row>
    <row r="2935" spans="3:94">
      <c r="C2935"/>
      <c r="D2935"/>
      <c r="E2935"/>
      <c r="F2935"/>
      <c r="CP2935" s="61"/>
    </row>
    <row r="2936" spans="3:94">
      <c r="C2936"/>
      <c r="D2936"/>
      <c r="E2936"/>
      <c r="F2936"/>
      <c r="CP2936" s="61"/>
    </row>
    <row r="2937" spans="3:94">
      <c r="C2937"/>
      <c r="D2937"/>
      <c r="E2937"/>
      <c r="F2937"/>
      <c r="CP2937" s="61"/>
    </row>
    <row r="2938" spans="3:94">
      <c r="C2938"/>
      <c r="D2938"/>
      <c r="E2938"/>
      <c r="F2938"/>
      <c r="CP2938" s="61"/>
    </row>
    <row r="2939" spans="3:94">
      <c r="C2939"/>
      <c r="D2939"/>
      <c r="E2939"/>
      <c r="F2939"/>
      <c r="CP2939" s="61"/>
    </row>
    <row r="2940" spans="3:94">
      <c r="C2940"/>
      <c r="D2940"/>
      <c r="E2940"/>
      <c r="F2940"/>
      <c r="CP2940" s="61"/>
    </row>
    <row r="2941" spans="3:94">
      <c r="C2941"/>
      <c r="D2941"/>
      <c r="E2941"/>
      <c r="F2941"/>
      <c r="CP2941" s="61"/>
    </row>
    <row r="2942" spans="3:94">
      <c r="C2942"/>
      <c r="D2942"/>
      <c r="E2942"/>
      <c r="F2942"/>
      <c r="CP2942" s="61"/>
    </row>
    <row r="2943" spans="3:94">
      <c r="C2943"/>
      <c r="D2943"/>
      <c r="E2943"/>
      <c r="F2943"/>
      <c r="CP2943" s="61"/>
    </row>
    <row r="2944" spans="3:94">
      <c r="C2944"/>
      <c r="D2944"/>
      <c r="E2944"/>
      <c r="F2944"/>
      <c r="CP2944" s="61"/>
    </row>
    <row r="2945" spans="3:94">
      <c r="C2945"/>
      <c r="D2945"/>
      <c r="E2945"/>
      <c r="F2945"/>
      <c r="CP2945" s="61"/>
    </row>
    <row r="2946" spans="3:94">
      <c r="C2946"/>
      <c r="D2946"/>
      <c r="E2946"/>
      <c r="F2946"/>
      <c r="CP2946" s="61"/>
    </row>
    <row r="2947" spans="3:94">
      <c r="C2947"/>
      <c r="D2947"/>
      <c r="E2947"/>
      <c r="F2947"/>
      <c r="CP2947" s="61"/>
    </row>
    <row r="2948" spans="3:94">
      <c r="C2948"/>
      <c r="D2948"/>
      <c r="E2948"/>
      <c r="F2948"/>
      <c r="CP2948" s="61"/>
    </row>
    <row r="2949" spans="3:94">
      <c r="C2949"/>
      <c r="D2949"/>
      <c r="E2949"/>
      <c r="F2949"/>
      <c r="CP2949" s="61"/>
    </row>
    <row r="2950" spans="3:94">
      <c r="C2950"/>
      <c r="D2950"/>
      <c r="E2950"/>
      <c r="F2950"/>
      <c r="CP2950" s="61"/>
    </row>
    <row r="2951" spans="3:94">
      <c r="C2951"/>
      <c r="D2951"/>
      <c r="E2951"/>
      <c r="F2951"/>
      <c r="CP2951" s="61"/>
    </row>
    <row r="2952" spans="3:94">
      <c r="C2952"/>
      <c r="D2952"/>
      <c r="E2952"/>
      <c r="F2952"/>
      <c r="CP2952" s="61"/>
    </row>
    <row r="2953" spans="3:94">
      <c r="C2953"/>
      <c r="D2953"/>
      <c r="E2953"/>
      <c r="F2953"/>
      <c r="CP2953" s="61"/>
    </row>
    <row r="2954" spans="3:94">
      <c r="C2954"/>
      <c r="D2954"/>
      <c r="E2954"/>
      <c r="F2954"/>
      <c r="CP2954" s="61"/>
    </row>
    <row r="2955" spans="3:94">
      <c r="C2955"/>
      <c r="D2955"/>
      <c r="E2955"/>
      <c r="F2955"/>
      <c r="CP2955" s="61"/>
    </row>
    <row r="2956" spans="3:94">
      <c r="C2956"/>
      <c r="D2956"/>
      <c r="E2956"/>
      <c r="F2956"/>
      <c r="CP2956" s="61"/>
    </row>
    <row r="2957" spans="3:94">
      <c r="C2957"/>
      <c r="D2957"/>
      <c r="E2957"/>
      <c r="F2957"/>
      <c r="CP2957" s="61"/>
    </row>
    <row r="2958" spans="3:94">
      <c r="C2958"/>
      <c r="D2958"/>
      <c r="E2958"/>
      <c r="F2958"/>
      <c r="CP2958" s="61"/>
    </row>
    <row r="2959" spans="3:94">
      <c r="C2959"/>
      <c r="D2959"/>
      <c r="E2959"/>
      <c r="F2959"/>
      <c r="CP2959" s="61"/>
    </row>
    <row r="2960" spans="3:94">
      <c r="C2960"/>
      <c r="D2960"/>
      <c r="E2960"/>
      <c r="F2960"/>
      <c r="CP2960" s="61"/>
    </row>
    <row r="2961" spans="3:94">
      <c r="C2961"/>
      <c r="D2961"/>
      <c r="E2961"/>
      <c r="F2961"/>
      <c r="CP2961" s="61"/>
    </row>
    <row r="2962" spans="3:94">
      <c r="C2962"/>
      <c r="D2962"/>
      <c r="E2962"/>
      <c r="F2962"/>
      <c r="CP2962" s="61"/>
    </row>
    <row r="2963" spans="3:94">
      <c r="C2963"/>
      <c r="D2963"/>
      <c r="E2963"/>
      <c r="F2963"/>
      <c r="CP2963" s="61"/>
    </row>
    <row r="2964" spans="3:94">
      <c r="C2964"/>
      <c r="D2964"/>
      <c r="E2964"/>
      <c r="F2964"/>
      <c r="CP2964" s="61"/>
    </row>
    <row r="2965" spans="3:94">
      <c r="C2965"/>
      <c r="D2965"/>
      <c r="E2965"/>
      <c r="F2965"/>
      <c r="CP2965" s="61"/>
    </row>
    <row r="2966" spans="3:94">
      <c r="C2966"/>
      <c r="D2966"/>
      <c r="E2966"/>
      <c r="F2966"/>
      <c r="CP2966" s="61"/>
    </row>
    <row r="2967" spans="3:94">
      <c r="C2967"/>
      <c r="D2967"/>
      <c r="E2967"/>
      <c r="F2967"/>
      <c r="CP2967" s="61"/>
    </row>
    <row r="2968" spans="3:94">
      <c r="C2968"/>
      <c r="D2968"/>
      <c r="E2968"/>
      <c r="F2968"/>
      <c r="CP2968" s="61"/>
    </row>
    <row r="2969" spans="3:94">
      <c r="C2969"/>
      <c r="D2969"/>
      <c r="E2969"/>
      <c r="F2969"/>
      <c r="CP2969" s="61"/>
    </row>
    <row r="2970" spans="3:94">
      <c r="C2970"/>
      <c r="D2970"/>
      <c r="E2970"/>
      <c r="F2970"/>
      <c r="CP2970" s="61"/>
    </row>
    <row r="2971" spans="3:94">
      <c r="C2971"/>
      <c r="D2971"/>
      <c r="E2971"/>
      <c r="F2971"/>
      <c r="CP2971" s="61"/>
    </row>
    <row r="2972" spans="3:94">
      <c r="C2972"/>
      <c r="D2972"/>
      <c r="E2972"/>
      <c r="F2972"/>
      <c r="CP2972" s="61"/>
    </row>
    <row r="2973" spans="3:94">
      <c r="C2973"/>
      <c r="D2973"/>
      <c r="E2973"/>
      <c r="F2973"/>
      <c r="CP2973" s="61"/>
    </row>
    <row r="2974" spans="3:94">
      <c r="C2974"/>
      <c r="D2974"/>
      <c r="E2974"/>
      <c r="F2974"/>
      <c r="CP2974" s="61"/>
    </row>
    <row r="2975" spans="3:94">
      <c r="C2975"/>
      <c r="D2975"/>
      <c r="E2975"/>
      <c r="F2975"/>
      <c r="CP2975" s="61"/>
    </row>
    <row r="2976" spans="3:94">
      <c r="C2976"/>
      <c r="D2976"/>
      <c r="E2976"/>
      <c r="F2976"/>
      <c r="CP2976" s="61"/>
    </row>
    <row r="2977" spans="3:94">
      <c r="C2977"/>
      <c r="D2977"/>
      <c r="E2977"/>
      <c r="F2977"/>
      <c r="CP2977" s="61"/>
    </row>
    <row r="2978" spans="3:94">
      <c r="C2978"/>
      <c r="D2978"/>
      <c r="E2978"/>
      <c r="F2978"/>
      <c r="CP2978" s="61"/>
    </row>
    <row r="2979" spans="3:94">
      <c r="C2979"/>
      <c r="D2979"/>
      <c r="E2979"/>
      <c r="F2979"/>
      <c r="CP2979" s="61"/>
    </row>
    <row r="2980" spans="3:94">
      <c r="C2980"/>
      <c r="D2980"/>
      <c r="E2980"/>
      <c r="F2980"/>
      <c r="CP2980" s="61"/>
    </row>
    <row r="2981" spans="3:94">
      <c r="C2981"/>
      <c r="D2981"/>
      <c r="E2981"/>
      <c r="F2981"/>
      <c r="CP2981" s="61"/>
    </row>
    <row r="2982" spans="3:94">
      <c r="C2982"/>
      <c r="D2982"/>
      <c r="E2982"/>
      <c r="F2982"/>
      <c r="CP2982" s="61"/>
    </row>
    <row r="2983" spans="3:94">
      <c r="C2983"/>
      <c r="D2983"/>
      <c r="E2983"/>
      <c r="F2983"/>
      <c r="CP2983" s="61"/>
    </row>
    <row r="2984" spans="3:94">
      <c r="C2984"/>
      <c r="D2984"/>
      <c r="E2984"/>
      <c r="F2984"/>
      <c r="CP2984" s="61"/>
    </row>
    <row r="2985" spans="3:94">
      <c r="C2985"/>
      <c r="D2985"/>
      <c r="E2985"/>
      <c r="F2985"/>
      <c r="CP2985" s="61"/>
    </row>
    <row r="2986" spans="3:94">
      <c r="C2986"/>
      <c r="D2986"/>
      <c r="E2986"/>
      <c r="F2986"/>
      <c r="CP2986" s="61"/>
    </row>
    <row r="2987" spans="3:94">
      <c r="C2987"/>
      <c r="D2987"/>
      <c r="E2987"/>
      <c r="F2987"/>
      <c r="CP2987" s="61"/>
    </row>
    <row r="2988" spans="3:94">
      <c r="C2988"/>
      <c r="D2988"/>
      <c r="E2988"/>
      <c r="F2988"/>
      <c r="CP2988" s="61"/>
    </row>
    <row r="2989" spans="3:94">
      <c r="C2989"/>
      <c r="D2989"/>
      <c r="E2989"/>
      <c r="F2989"/>
      <c r="CP2989" s="61"/>
    </row>
    <row r="2990" spans="3:94">
      <c r="C2990"/>
      <c r="D2990"/>
      <c r="E2990"/>
      <c r="F2990"/>
      <c r="CP2990" s="61"/>
    </row>
    <row r="2991" spans="3:94">
      <c r="C2991"/>
      <c r="D2991"/>
      <c r="E2991"/>
      <c r="F2991"/>
      <c r="CP2991" s="61"/>
    </row>
    <row r="2992" spans="3:94">
      <c r="C2992"/>
      <c r="D2992"/>
      <c r="E2992"/>
      <c r="F2992"/>
      <c r="CP2992" s="61"/>
    </row>
    <row r="2993" spans="3:94">
      <c r="C2993"/>
      <c r="D2993"/>
      <c r="E2993"/>
      <c r="F2993"/>
      <c r="CP2993" s="61"/>
    </row>
    <row r="2994" spans="3:94">
      <c r="C2994"/>
      <c r="D2994"/>
      <c r="E2994"/>
      <c r="F2994"/>
      <c r="CP2994" s="61"/>
    </row>
    <row r="2995" spans="3:94">
      <c r="C2995"/>
      <c r="D2995"/>
      <c r="E2995"/>
      <c r="F2995"/>
      <c r="CP2995" s="61"/>
    </row>
    <row r="2996" spans="3:94">
      <c r="C2996"/>
      <c r="D2996"/>
      <c r="E2996"/>
      <c r="F2996"/>
      <c r="CP2996" s="61"/>
    </row>
    <row r="2997" spans="3:94">
      <c r="C2997"/>
      <c r="D2997"/>
      <c r="E2997"/>
      <c r="F2997"/>
      <c r="CP2997" s="61"/>
    </row>
    <row r="2998" spans="3:94">
      <c r="C2998"/>
      <c r="D2998"/>
      <c r="E2998"/>
      <c r="F2998"/>
      <c r="CP2998" s="61"/>
    </row>
    <row r="2999" spans="3:94">
      <c r="C2999"/>
      <c r="D2999"/>
      <c r="E2999"/>
      <c r="F2999"/>
      <c r="CP2999" s="61"/>
    </row>
    <row r="3000" spans="3:94">
      <c r="C3000"/>
      <c r="D3000"/>
      <c r="E3000"/>
      <c r="F3000"/>
      <c r="CP3000" s="61"/>
    </row>
    <row r="3001" spans="3:94">
      <c r="C3001"/>
      <c r="D3001"/>
      <c r="E3001"/>
      <c r="F3001"/>
      <c r="CP3001" s="61"/>
    </row>
    <row r="3002" spans="3:94">
      <c r="C3002"/>
      <c r="D3002"/>
      <c r="E3002"/>
      <c r="F3002"/>
      <c r="CP3002" s="61"/>
    </row>
    <row r="3003" spans="3:94">
      <c r="C3003"/>
      <c r="D3003"/>
      <c r="E3003"/>
      <c r="F3003"/>
      <c r="CP3003" s="61"/>
    </row>
    <row r="3004" spans="3:94">
      <c r="C3004"/>
      <c r="D3004"/>
      <c r="E3004"/>
      <c r="F3004"/>
      <c r="CP3004" s="61"/>
    </row>
    <row r="3005" spans="3:94">
      <c r="C3005"/>
      <c r="D3005"/>
      <c r="E3005"/>
      <c r="F3005"/>
      <c r="CP3005" s="61"/>
    </row>
    <row r="3006" spans="3:94">
      <c r="C3006"/>
      <c r="D3006"/>
      <c r="E3006"/>
      <c r="F3006"/>
      <c r="CP3006" s="61"/>
    </row>
    <row r="3007" spans="3:94">
      <c r="C3007"/>
      <c r="D3007"/>
      <c r="E3007"/>
      <c r="F3007"/>
      <c r="CP3007" s="61"/>
    </row>
    <row r="3008" spans="3:94">
      <c r="C3008"/>
      <c r="D3008"/>
      <c r="E3008"/>
      <c r="F3008"/>
      <c r="CP3008" s="61"/>
    </row>
    <row r="3009" spans="3:94">
      <c r="C3009"/>
      <c r="D3009"/>
      <c r="E3009"/>
      <c r="F3009"/>
      <c r="CP3009" s="61"/>
    </row>
    <row r="3010" spans="3:94">
      <c r="C3010"/>
      <c r="D3010"/>
      <c r="E3010"/>
      <c r="F3010"/>
      <c r="CP3010" s="61"/>
    </row>
    <row r="3011" spans="3:94">
      <c r="C3011"/>
      <c r="D3011"/>
      <c r="E3011"/>
      <c r="F3011"/>
      <c r="CP3011" s="61"/>
    </row>
    <row r="3012" spans="3:94">
      <c r="C3012"/>
      <c r="D3012"/>
      <c r="E3012"/>
      <c r="F3012"/>
      <c r="CP3012" s="61"/>
    </row>
    <row r="3013" spans="3:94">
      <c r="C3013"/>
      <c r="D3013"/>
      <c r="E3013"/>
      <c r="F3013"/>
      <c r="CP3013" s="61"/>
    </row>
    <row r="3014" spans="3:94">
      <c r="C3014"/>
      <c r="D3014"/>
      <c r="E3014"/>
      <c r="F3014"/>
      <c r="CP3014" s="61"/>
    </row>
    <row r="3015" spans="3:94">
      <c r="C3015"/>
      <c r="D3015"/>
      <c r="E3015"/>
      <c r="F3015"/>
      <c r="CP3015" s="61"/>
    </row>
    <row r="3016" spans="3:94">
      <c r="C3016"/>
      <c r="D3016"/>
      <c r="E3016"/>
      <c r="F3016"/>
      <c r="CP3016" s="61"/>
    </row>
    <row r="3017" spans="3:94">
      <c r="C3017"/>
      <c r="D3017"/>
      <c r="E3017"/>
      <c r="F3017"/>
      <c r="CP3017" s="61"/>
    </row>
    <row r="3018" spans="3:94">
      <c r="C3018"/>
      <c r="D3018"/>
      <c r="E3018"/>
      <c r="F3018"/>
      <c r="CP3018" s="61"/>
    </row>
    <row r="3019" spans="3:94">
      <c r="C3019"/>
      <c r="D3019"/>
      <c r="E3019"/>
      <c r="F3019"/>
      <c r="CP3019" s="61"/>
    </row>
    <row r="3020" spans="3:94">
      <c r="C3020"/>
      <c r="D3020"/>
      <c r="E3020"/>
      <c r="F3020"/>
      <c r="CP3020" s="61"/>
    </row>
    <row r="3021" spans="3:94">
      <c r="C3021"/>
      <c r="D3021"/>
      <c r="E3021"/>
      <c r="F3021"/>
      <c r="CP3021" s="61"/>
    </row>
    <row r="3022" spans="3:94">
      <c r="C3022"/>
      <c r="D3022"/>
      <c r="E3022"/>
      <c r="F3022"/>
      <c r="CP3022" s="61"/>
    </row>
    <row r="3023" spans="3:94">
      <c r="C3023"/>
      <c r="D3023"/>
      <c r="E3023"/>
      <c r="F3023"/>
      <c r="CP3023" s="61"/>
    </row>
    <row r="3024" spans="3:94">
      <c r="C3024"/>
      <c r="D3024"/>
      <c r="E3024"/>
      <c r="F3024"/>
      <c r="CP3024" s="61"/>
    </row>
    <row r="3025" spans="3:94">
      <c r="C3025"/>
      <c r="D3025"/>
      <c r="E3025"/>
      <c r="F3025"/>
      <c r="CP3025" s="61"/>
    </row>
    <row r="3026" spans="3:94">
      <c r="C3026"/>
      <c r="D3026"/>
      <c r="E3026"/>
      <c r="F3026"/>
      <c r="CP3026" s="61"/>
    </row>
    <row r="3027" spans="3:94">
      <c r="C3027"/>
      <c r="D3027"/>
      <c r="E3027"/>
      <c r="F3027"/>
      <c r="CP3027" s="61"/>
    </row>
    <row r="3028" spans="3:94">
      <c r="C3028"/>
      <c r="D3028"/>
      <c r="E3028"/>
      <c r="F3028"/>
      <c r="CP3028" s="61"/>
    </row>
    <row r="3029" spans="3:94">
      <c r="C3029"/>
      <c r="D3029"/>
      <c r="E3029"/>
      <c r="F3029"/>
      <c r="CP3029" s="61"/>
    </row>
    <row r="3030" spans="3:94">
      <c r="C3030"/>
      <c r="D3030"/>
      <c r="E3030"/>
      <c r="F3030"/>
      <c r="CP3030" s="61"/>
    </row>
    <row r="3031" spans="3:94">
      <c r="C3031"/>
      <c r="D3031"/>
      <c r="E3031"/>
      <c r="F3031"/>
      <c r="CP3031" s="61"/>
    </row>
    <row r="3032" spans="3:94">
      <c r="C3032"/>
      <c r="D3032"/>
      <c r="E3032"/>
      <c r="F3032"/>
      <c r="CP3032" s="61"/>
    </row>
    <row r="3033" spans="3:94">
      <c r="C3033"/>
      <c r="D3033"/>
      <c r="E3033"/>
      <c r="F3033"/>
      <c r="CP3033" s="61"/>
    </row>
    <row r="3034" spans="3:94">
      <c r="C3034"/>
      <c r="D3034"/>
      <c r="E3034"/>
      <c r="F3034"/>
      <c r="CP3034" s="61"/>
    </row>
    <row r="3035" spans="3:94">
      <c r="C3035"/>
      <c r="D3035"/>
      <c r="E3035"/>
      <c r="F3035"/>
      <c r="CP3035" s="61"/>
    </row>
    <row r="3036" spans="3:94">
      <c r="C3036"/>
      <c r="D3036"/>
      <c r="E3036"/>
      <c r="F3036"/>
      <c r="CP3036" s="61"/>
    </row>
    <row r="3037" spans="3:94">
      <c r="C3037"/>
      <c r="D3037"/>
      <c r="E3037"/>
      <c r="F3037"/>
      <c r="CP3037" s="61"/>
    </row>
    <row r="3038" spans="3:94">
      <c r="C3038"/>
      <c r="D3038"/>
      <c r="E3038"/>
      <c r="F3038"/>
      <c r="CP3038" s="61"/>
    </row>
    <row r="3039" spans="3:94">
      <c r="C3039"/>
      <c r="D3039"/>
      <c r="E3039"/>
      <c r="F3039"/>
      <c r="CP3039" s="61"/>
    </row>
    <row r="3040" spans="3:94">
      <c r="C3040"/>
      <c r="D3040"/>
      <c r="E3040"/>
      <c r="F3040"/>
      <c r="CP3040" s="61"/>
    </row>
    <row r="3041" spans="3:94">
      <c r="C3041"/>
      <c r="D3041"/>
      <c r="E3041"/>
      <c r="F3041"/>
      <c r="CP3041" s="61"/>
    </row>
    <row r="3042" spans="3:94">
      <c r="C3042"/>
      <c r="D3042"/>
      <c r="E3042"/>
      <c r="F3042"/>
      <c r="CP3042" s="61"/>
    </row>
    <row r="3043" spans="3:94">
      <c r="C3043"/>
      <c r="D3043"/>
      <c r="E3043"/>
      <c r="F3043"/>
      <c r="CP3043" s="61"/>
    </row>
    <row r="3044" spans="3:94">
      <c r="C3044"/>
      <c r="D3044"/>
      <c r="E3044"/>
      <c r="F3044"/>
      <c r="CP3044" s="61"/>
    </row>
    <row r="3045" spans="3:94">
      <c r="C3045"/>
      <c r="D3045"/>
      <c r="E3045"/>
      <c r="F3045"/>
      <c r="CP3045" s="61"/>
    </row>
    <row r="3046" spans="3:94">
      <c r="C3046"/>
      <c r="D3046"/>
      <c r="E3046"/>
      <c r="F3046"/>
      <c r="CP3046" s="61"/>
    </row>
    <row r="3047" spans="3:94">
      <c r="C3047"/>
      <c r="D3047"/>
      <c r="E3047"/>
      <c r="F3047"/>
      <c r="CP3047" s="61"/>
    </row>
    <row r="3048" spans="3:94">
      <c r="C3048"/>
      <c r="D3048"/>
      <c r="E3048"/>
      <c r="F3048"/>
      <c r="CP3048" s="61"/>
    </row>
    <row r="3049" spans="3:94">
      <c r="C3049"/>
      <c r="D3049"/>
      <c r="E3049"/>
      <c r="F3049"/>
      <c r="CP3049" s="61"/>
    </row>
    <row r="3050" spans="3:94">
      <c r="C3050"/>
      <c r="D3050"/>
      <c r="E3050"/>
      <c r="F3050"/>
      <c r="CP3050" s="61"/>
    </row>
    <row r="3051" spans="3:94">
      <c r="C3051"/>
      <c r="D3051"/>
      <c r="E3051"/>
      <c r="F3051"/>
      <c r="CP3051" s="61"/>
    </row>
    <row r="3052" spans="3:94">
      <c r="C3052"/>
      <c r="D3052"/>
      <c r="E3052"/>
      <c r="F3052"/>
      <c r="CP3052" s="61"/>
    </row>
    <row r="3053" spans="3:94">
      <c r="C3053"/>
      <c r="D3053"/>
      <c r="E3053"/>
      <c r="F3053"/>
      <c r="CP3053" s="61"/>
    </row>
    <row r="3054" spans="3:94">
      <c r="C3054"/>
      <c r="D3054"/>
      <c r="E3054"/>
      <c r="F3054"/>
      <c r="CP3054" s="61"/>
    </row>
    <row r="3055" spans="3:94">
      <c r="C3055"/>
      <c r="D3055"/>
      <c r="E3055"/>
      <c r="F3055"/>
      <c r="CP3055" s="61"/>
    </row>
    <row r="3056" spans="3:94">
      <c r="C3056"/>
      <c r="D3056"/>
      <c r="E3056"/>
      <c r="F3056"/>
      <c r="CP3056" s="61"/>
    </row>
    <row r="3057" spans="3:94">
      <c r="C3057"/>
      <c r="D3057"/>
      <c r="E3057"/>
      <c r="F3057"/>
      <c r="CP3057" s="61"/>
    </row>
    <row r="3058" spans="3:94">
      <c r="C3058"/>
      <c r="D3058"/>
      <c r="E3058"/>
      <c r="F3058"/>
      <c r="CP3058" s="61"/>
    </row>
    <row r="3059" spans="3:94">
      <c r="C3059"/>
      <c r="D3059"/>
      <c r="E3059"/>
      <c r="F3059"/>
      <c r="CP3059" s="61"/>
    </row>
    <row r="3060" spans="3:94">
      <c r="C3060"/>
      <c r="D3060"/>
      <c r="E3060"/>
      <c r="F3060"/>
      <c r="CP3060" s="61"/>
    </row>
    <row r="3061" spans="3:94">
      <c r="C3061"/>
      <c r="D3061"/>
      <c r="E3061"/>
      <c r="F3061"/>
      <c r="CP3061" s="61"/>
    </row>
    <row r="3062" spans="3:94">
      <c r="C3062"/>
      <c r="D3062"/>
      <c r="E3062"/>
      <c r="F3062"/>
      <c r="CP3062" s="61"/>
    </row>
    <row r="3063" spans="3:94">
      <c r="C3063"/>
      <c r="D3063"/>
      <c r="E3063"/>
      <c r="F3063"/>
      <c r="CP3063" s="61"/>
    </row>
    <row r="3064" spans="3:94">
      <c r="C3064"/>
      <c r="D3064"/>
      <c r="E3064"/>
      <c r="F3064"/>
      <c r="CP3064" s="61"/>
    </row>
    <row r="3065" spans="3:94">
      <c r="C3065"/>
      <c r="D3065"/>
      <c r="E3065"/>
      <c r="F3065"/>
      <c r="CP3065" s="61"/>
    </row>
    <row r="3066" spans="3:94">
      <c r="C3066"/>
      <c r="D3066"/>
      <c r="E3066"/>
      <c r="F3066"/>
      <c r="CP3066" s="61"/>
    </row>
    <row r="3067" spans="3:94">
      <c r="C3067"/>
      <c r="D3067"/>
      <c r="E3067"/>
      <c r="F3067"/>
      <c r="CP3067" s="61"/>
    </row>
    <row r="3068" spans="3:94">
      <c r="C3068"/>
      <c r="D3068"/>
      <c r="E3068"/>
      <c r="F3068"/>
      <c r="CP3068" s="61"/>
    </row>
    <row r="3069" spans="3:94">
      <c r="C3069"/>
      <c r="D3069"/>
      <c r="E3069"/>
      <c r="F3069"/>
      <c r="CP3069" s="61"/>
    </row>
    <row r="3070" spans="3:94">
      <c r="C3070"/>
      <c r="D3070"/>
      <c r="E3070"/>
      <c r="F3070"/>
      <c r="CP3070" s="61"/>
    </row>
    <row r="3071" spans="3:94">
      <c r="C3071"/>
      <c r="D3071"/>
      <c r="E3071"/>
      <c r="F3071"/>
      <c r="CP3071" s="61"/>
    </row>
    <row r="3072" spans="3:94">
      <c r="C3072"/>
      <c r="D3072"/>
      <c r="E3072"/>
      <c r="F3072"/>
      <c r="CP3072" s="61"/>
    </row>
    <row r="3073" spans="3:94">
      <c r="C3073"/>
      <c r="D3073"/>
      <c r="E3073"/>
      <c r="F3073"/>
      <c r="CP3073" s="61"/>
    </row>
    <row r="3074" spans="3:94">
      <c r="C3074"/>
      <c r="D3074"/>
      <c r="E3074"/>
      <c r="F3074"/>
      <c r="CP3074" s="61"/>
    </row>
    <row r="3075" spans="3:94">
      <c r="C3075"/>
      <c r="D3075"/>
      <c r="E3075"/>
      <c r="F3075"/>
      <c r="CP3075" s="61"/>
    </row>
    <row r="3076" spans="3:94">
      <c r="C3076"/>
      <c r="D3076"/>
      <c r="E3076"/>
      <c r="F3076"/>
      <c r="CP3076" s="61"/>
    </row>
    <row r="3077" spans="3:94">
      <c r="C3077"/>
      <c r="D3077"/>
      <c r="E3077"/>
      <c r="F3077"/>
      <c r="CP3077" s="61"/>
    </row>
    <row r="3078" spans="3:94">
      <c r="C3078"/>
      <c r="D3078"/>
      <c r="E3078"/>
      <c r="F3078"/>
      <c r="CP3078" s="61"/>
    </row>
    <row r="3079" spans="3:94">
      <c r="C3079"/>
      <c r="D3079"/>
      <c r="E3079"/>
      <c r="F3079"/>
      <c r="CP3079" s="61"/>
    </row>
    <row r="3080" spans="3:94">
      <c r="C3080"/>
      <c r="D3080"/>
      <c r="E3080"/>
      <c r="F3080"/>
      <c r="CP3080" s="61"/>
    </row>
    <row r="3081" spans="3:94">
      <c r="C3081"/>
      <c r="D3081"/>
      <c r="E3081"/>
      <c r="F3081"/>
      <c r="CP3081" s="61"/>
    </row>
    <row r="3082" spans="3:94">
      <c r="C3082"/>
      <c r="D3082"/>
      <c r="E3082"/>
      <c r="F3082"/>
      <c r="CP3082" s="61"/>
    </row>
    <row r="3083" spans="3:94">
      <c r="C3083"/>
      <c r="D3083"/>
      <c r="E3083"/>
      <c r="F3083"/>
      <c r="CP3083" s="61"/>
    </row>
    <row r="3084" spans="3:94">
      <c r="C3084"/>
      <c r="D3084"/>
      <c r="E3084"/>
      <c r="F3084"/>
      <c r="CP3084" s="61"/>
    </row>
    <row r="3085" spans="3:94">
      <c r="C3085"/>
      <c r="D3085"/>
      <c r="E3085"/>
      <c r="F3085"/>
      <c r="CP3085" s="61"/>
    </row>
    <row r="3086" spans="3:94">
      <c r="C3086"/>
      <c r="D3086"/>
      <c r="E3086"/>
      <c r="F3086"/>
      <c r="CP3086" s="61"/>
    </row>
    <row r="3087" spans="3:94">
      <c r="C3087"/>
      <c r="D3087"/>
      <c r="E3087"/>
      <c r="F3087"/>
      <c r="CP3087" s="61"/>
    </row>
    <row r="3088" spans="3:94">
      <c r="C3088"/>
      <c r="D3088"/>
      <c r="E3088"/>
      <c r="F3088"/>
      <c r="CP3088" s="61"/>
    </row>
    <row r="3089" spans="3:94">
      <c r="C3089"/>
      <c r="D3089"/>
      <c r="E3089"/>
      <c r="F3089"/>
      <c r="CP3089" s="61"/>
    </row>
    <row r="3090" spans="3:94">
      <c r="C3090"/>
      <c r="D3090"/>
      <c r="E3090"/>
      <c r="F3090"/>
      <c r="CP3090" s="61"/>
    </row>
    <row r="3091" spans="3:94">
      <c r="C3091"/>
      <c r="D3091"/>
      <c r="E3091"/>
      <c r="F3091"/>
      <c r="CP3091" s="61"/>
    </row>
    <row r="3092" spans="3:94">
      <c r="C3092"/>
      <c r="D3092"/>
      <c r="E3092"/>
      <c r="F3092"/>
      <c r="CP3092" s="61"/>
    </row>
    <row r="3093" spans="3:94">
      <c r="C3093"/>
      <c r="D3093"/>
      <c r="E3093"/>
      <c r="F3093"/>
      <c r="CP3093" s="61"/>
    </row>
    <row r="3094" spans="3:94">
      <c r="C3094"/>
      <c r="D3094"/>
      <c r="E3094"/>
      <c r="F3094"/>
      <c r="CP3094" s="61"/>
    </row>
    <row r="3095" spans="3:94">
      <c r="C3095"/>
      <c r="D3095"/>
      <c r="E3095"/>
      <c r="F3095"/>
      <c r="CP3095" s="61"/>
    </row>
    <row r="3096" spans="3:94">
      <c r="C3096"/>
      <c r="D3096"/>
      <c r="E3096"/>
      <c r="F3096"/>
      <c r="CP3096" s="61"/>
    </row>
    <row r="3097" spans="3:94">
      <c r="C3097"/>
      <c r="D3097"/>
      <c r="E3097"/>
      <c r="F3097"/>
      <c r="CP3097" s="61"/>
    </row>
    <row r="3098" spans="3:94">
      <c r="C3098"/>
      <c r="D3098"/>
      <c r="E3098"/>
      <c r="F3098"/>
      <c r="CP3098" s="61"/>
    </row>
    <row r="3099" spans="3:94">
      <c r="C3099"/>
      <c r="D3099"/>
      <c r="E3099"/>
      <c r="F3099"/>
      <c r="CP3099" s="61"/>
    </row>
    <row r="3100" spans="3:94">
      <c r="C3100"/>
      <c r="D3100"/>
      <c r="E3100"/>
      <c r="F3100"/>
      <c r="CP3100" s="61"/>
    </row>
    <row r="3101" spans="3:94">
      <c r="C3101"/>
      <c r="D3101"/>
      <c r="E3101"/>
      <c r="F3101"/>
      <c r="CP3101" s="61"/>
    </row>
    <row r="3102" spans="3:94">
      <c r="C3102"/>
      <c r="D3102"/>
      <c r="E3102"/>
      <c r="F3102"/>
      <c r="CP3102" s="61"/>
    </row>
    <row r="3103" spans="3:94">
      <c r="C3103"/>
      <c r="D3103"/>
      <c r="E3103"/>
      <c r="F3103"/>
      <c r="CP3103" s="61"/>
    </row>
    <row r="3104" spans="3:94">
      <c r="C3104"/>
      <c r="D3104"/>
      <c r="E3104"/>
      <c r="F3104"/>
      <c r="CP3104" s="61"/>
    </row>
    <row r="3105" spans="3:94">
      <c r="C3105"/>
      <c r="D3105"/>
      <c r="E3105"/>
      <c r="F3105"/>
      <c r="CP3105" s="61"/>
    </row>
    <row r="3106" spans="3:94">
      <c r="C3106"/>
      <c r="D3106"/>
      <c r="E3106"/>
      <c r="F3106"/>
      <c r="CP3106" s="61"/>
    </row>
    <row r="3107" spans="3:94">
      <c r="C3107"/>
      <c r="D3107"/>
      <c r="E3107"/>
      <c r="F3107"/>
      <c r="CP3107" s="61"/>
    </row>
    <row r="3108" spans="3:94">
      <c r="C3108"/>
      <c r="D3108"/>
      <c r="E3108"/>
      <c r="F3108"/>
      <c r="CP3108" s="61"/>
    </row>
    <row r="3109" spans="3:94">
      <c r="C3109"/>
      <c r="D3109"/>
      <c r="E3109"/>
      <c r="F3109"/>
      <c r="CP3109" s="61"/>
    </row>
    <row r="3110" spans="3:94">
      <c r="C3110"/>
      <c r="D3110"/>
      <c r="E3110"/>
      <c r="F3110"/>
      <c r="CP3110" s="61"/>
    </row>
    <row r="3111" spans="3:94">
      <c r="C3111"/>
      <c r="D3111"/>
      <c r="E3111"/>
      <c r="F3111"/>
      <c r="CP3111" s="61"/>
    </row>
    <row r="3112" spans="3:94">
      <c r="C3112"/>
      <c r="D3112"/>
      <c r="E3112"/>
      <c r="F3112"/>
      <c r="CP3112" s="61"/>
    </row>
    <row r="3113" spans="3:94">
      <c r="C3113"/>
      <c r="D3113"/>
      <c r="E3113"/>
      <c r="F3113"/>
      <c r="CP3113" s="61"/>
    </row>
    <row r="3114" spans="3:94">
      <c r="C3114"/>
      <c r="D3114"/>
      <c r="E3114"/>
      <c r="F3114"/>
      <c r="CP3114" s="61"/>
    </row>
    <row r="3115" spans="3:94">
      <c r="C3115"/>
      <c r="D3115"/>
      <c r="E3115"/>
      <c r="F3115"/>
      <c r="CP3115" s="61"/>
    </row>
    <row r="3116" spans="3:94">
      <c r="C3116"/>
      <c r="D3116"/>
      <c r="E3116"/>
      <c r="F3116"/>
      <c r="CP3116" s="61"/>
    </row>
    <row r="3117" spans="3:94">
      <c r="C3117"/>
      <c r="D3117"/>
      <c r="E3117"/>
      <c r="F3117"/>
      <c r="CP3117" s="61"/>
    </row>
    <row r="3118" spans="3:94">
      <c r="C3118"/>
      <c r="D3118"/>
      <c r="E3118"/>
      <c r="F3118"/>
      <c r="CP3118" s="61"/>
    </row>
    <row r="3119" spans="3:94">
      <c r="C3119"/>
      <c r="D3119"/>
      <c r="E3119"/>
      <c r="F3119"/>
      <c r="CP3119" s="61"/>
    </row>
    <row r="3120" spans="3:94">
      <c r="C3120"/>
      <c r="D3120"/>
      <c r="E3120"/>
      <c r="F3120"/>
      <c r="CP3120" s="61"/>
    </row>
    <row r="3121" spans="3:94">
      <c r="C3121"/>
      <c r="D3121"/>
      <c r="E3121"/>
      <c r="F3121"/>
      <c r="CP3121" s="61"/>
    </row>
    <row r="3122" spans="3:94">
      <c r="C3122"/>
      <c r="D3122"/>
      <c r="E3122"/>
      <c r="F3122"/>
      <c r="CP3122" s="61"/>
    </row>
    <row r="3123" spans="3:94">
      <c r="C3123"/>
      <c r="D3123"/>
      <c r="E3123"/>
      <c r="F3123"/>
      <c r="CP3123" s="61"/>
    </row>
    <row r="3124" spans="3:94">
      <c r="C3124"/>
      <c r="D3124"/>
      <c r="E3124"/>
      <c r="F3124"/>
      <c r="CP3124" s="61"/>
    </row>
    <row r="3125" spans="3:94">
      <c r="C3125"/>
      <c r="D3125"/>
      <c r="E3125"/>
      <c r="F3125"/>
      <c r="CP3125" s="61"/>
    </row>
    <row r="3126" spans="3:94">
      <c r="C3126"/>
      <c r="D3126"/>
      <c r="E3126"/>
      <c r="F3126"/>
      <c r="CP3126" s="61"/>
    </row>
    <row r="3127" spans="3:94">
      <c r="C3127"/>
      <c r="D3127"/>
      <c r="E3127"/>
      <c r="F3127"/>
      <c r="CP3127" s="61"/>
    </row>
    <row r="3128" spans="3:94">
      <c r="C3128"/>
      <c r="D3128"/>
      <c r="E3128"/>
      <c r="F3128"/>
      <c r="CP3128" s="61"/>
    </row>
    <row r="3129" spans="3:94">
      <c r="C3129"/>
      <c r="D3129"/>
      <c r="E3129"/>
      <c r="F3129"/>
      <c r="CP3129" s="61"/>
    </row>
    <row r="3130" spans="3:94">
      <c r="C3130"/>
      <c r="D3130"/>
      <c r="E3130"/>
      <c r="F3130"/>
      <c r="CP3130" s="61"/>
    </row>
    <row r="3131" spans="3:94">
      <c r="C3131"/>
      <c r="D3131"/>
      <c r="E3131"/>
      <c r="F3131"/>
      <c r="CP3131" s="61"/>
    </row>
    <row r="3132" spans="3:94">
      <c r="C3132"/>
      <c r="D3132"/>
      <c r="E3132"/>
      <c r="F3132"/>
      <c r="CP3132" s="61"/>
    </row>
    <row r="3133" spans="3:94">
      <c r="C3133"/>
      <c r="D3133"/>
      <c r="E3133"/>
      <c r="F3133"/>
      <c r="CP3133" s="61"/>
    </row>
    <row r="3134" spans="3:94">
      <c r="C3134"/>
      <c r="D3134"/>
      <c r="E3134"/>
      <c r="F3134"/>
      <c r="CP3134" s="61"/>
    </row>
    <row r="3135" spans="3:94">
      <c r="C3135"/>
      <c r="D3135"/>
      <c r="E3135"/>
      <c r="F3135"/>
      <c r="CP3135" s="61"/>
    </row>
    <row r="3136" spans="3:94">
      <c r="C3136"/>
      <c r="D3136"/>
      <c r="E3136"/>
      <c r="F3136"/>
      <c r="CP3136" s="61"/>
    </row>
    <row r="3137" spans="3:94">
      <c r="C3137"/>
      <c r="D3137"/>
      <c r="E3137"/>
      <c r="F3137"/>
      <c r="CP3137" s="61"/>
    </row>
    <row r="3138" spans="3:94">
      <c r="C3138"/>
      <c r="D3138"/>
      <c r="E3138"/>
      <c r="F3138"/>
      <c r="CP3138" s="61"/>
    </row>
    <row r="3139" spans="3:94">
      <c r="C3139"/>
      <c r="D3139"/>
      <c r="E3139"/>
      <c r="F3139"/>
      <c r="CP3139" s="61"/>
    </row>
    <row r="3140" spans="3:94">
      <c r="C3140"/>
      <c r="D3140"/>
      <c r="E3140"/>
      <c r="F3140"/>
      <c r="CP3140" s="61"/>
    </row>
    <row r="3141" spans="3:94">
      <c r="C3141"/>
      <c r="D3141"/>
      <c r="E3141"/>
      <c r="F3141"/>
      <c r="CP3141" s="61"/>
    </row>
    <row r="3142" spans="3:94">
      <c r="C3142"/>
      <c r="D3142"/>
      <c r="E3142"/>
      <c r="F3142"/>
      <c r="CP3142" s="61"/>
    </row>
    <row r="3143" spans="3:94">
      <c r="C3143"/>
      <c r="D3143"/>
      <c r="E3143"/>
      <c r="F3143"/>
      <c r="CP3143" s="61"/>
    </row>
    <row r="3144" spans="3:94">
      <c r="C3144"/>
      <c r="D3144"/>
      <c r="E3144"/>
      <c r="F3144"/>
      <c r="CP3144" s="61"/>
    </row>
    <row r="3145" spans="3:94">
      <c r="C3145"/>
      <c r="D3145"/>
      <c r="E3145"/>
      <c r="F3145"/>
      <c r="CP3145" s="61"/>
    </row>
    <row r="3146" spans="3:94">
      <c r="C3146"/>
      <c r="D3146"/>
      <c r="E3146"/>
      <c r="F3146"/>
      <c r="CP3146" s="61"/>
    </row>
    <row r="3147" spans="3:94">
      <c r="C3147"/>
      <c r="D3147"/>
      <c r="E3147"/>
      <c r="F3147"/>
      <c r="CP3147" s="61"/>
    </row>
    <row r="3148" spans="3:94">
      <c r="C3148"/>
      <c r="D3148"/>
      <c r="E3148"/>
      <c r="F3148"/>
      <c r="CP3148" s="61"/>
    </row>
    <row r="3149" spans="3:94">
      <c r="C3149"/>
      <c r="D3149"/>
      <c r="E3149"/>
      <c r="F3149"/>
      <c r="CP3149" s="61"/>
    </row>
    <row r="3150" spans="3:94">
      <c r="C3150"/>
      <c r="D3150"/>
      <c r="E3150"/>
      <c r="F3150"/>
      <c r="CP3150" s="61"/>
    </row>
    <row r="3151" spans="3:94">
      <c r="C3151"/>
      <c r="D3151"/>
      <c r="E3151"/>
      <c r="F3151"/>
      <c r="CP3151" s="61"/>
    </row>
    <row r="3152" spans="3:94">
      <c r="C3152"/>
      <c r="D3152"/>
      <c r="E3152"/>
      <c r="F3152"/>
      <c r="CP3152" s="61"/>
    </row>
    <row r="3153" spans="3:94">
      <c r="C3153"/>
      <c r="D3153"/>
      <c r="E3153"/>
      <c r="F3153"/>
      <c r="CP3153" s="61"/>
    </row>
    <row r="3154" spans="3:94">
      <c r="C3154"/>
      <c r="D3154"/>
      <c r="E3154"/>
      <c r="F3154"/>
      <c r="CP3154" s="61"/>
    </row>
    <row r="3155" spans="3:94">
      <c r="C3155"/>
      <c r="D3155"/>
      <c r="E3155"/>
      <c r="F3155"/>
      <c r="CP3155" s="61"/>
    </row>
    <row r="3156" spans="3:94">
      <c r="C3156"/>
      <c r="D3156"/>
      <c r="E3156"/>
      <c r="F3156"/>
      <c r="CP3156" s="61"/>
    </row>
    <row r="3157" spans="3:94">
      <c r="C3157"/>
      <c r="D3157"/>
      <c r="E3157"/>
      <c r="F3157"/>
      <c r="CP3157" s="61"/>
    </row>
    <row r="3158" spans="3:94">
      <c r="C3158"/>
      <c r="D3158"/>
      <c r="E3158"/>
      <c r="F3158"/>
      <c r="CP3158" s="61"/>
    </row>
    <row r="3159" spans="3:94">
      <c r="C3159"/>
      <c r="D3159"/>
      <c r="E3159"/>
      <c r="F3159"/>
      <c r="CP3159" s="61"/>
    </row>
    <row r="3160" spans="3:94">
      <c r="C3160"/>
      <c r="D3160"/>
      <c r="E3160"/>
      <c r="F3160"/>
      <c r="CP3160" s="61"/>
    </row>
    <row r="3161" spans="3:94">
      <c r="C3161"/>
      <c r="D3161"/>
      <c r="E3161"/>
      <c r="F3161"/>
      <c r="CP3161" s="61"/>
    </row>
    <row r="3162" spans="3:94">
      <c r="C3162"/>
      <c r="D3162"/>
      <c r="E3162"/>
      <c r="F3162"/>
      <c r="CP3162" s="61"/>
    </row>
    <row r="3163" spans="3:94">
      <c r="C3163"/>
      <c r="D3163"/>
      <c r="E3163"/>
      <c r="F3163"/>
      <c r="CP3163" s="61"/>
    </row>
    <row r="3164" spans="3:94">
      <c r="C3164"/>
      <c r="D3164"/>
      <c r="E3164"/>
      <c r="F3164"/>
      <c r="CP3164" s="61"/>
    </row>
    <row r="3165" spans="3:94">
      <c r="C3165"/>
      <c r="D3165"/>
      <c r="E3165"/>
      <c r="F3165"/>
      <c r="CP3165" s="61"/>
    </row>
    <row r="3166" spans="3:94">
      <c r="C3166"/>
      <c r="D3166"/>
      <c r="E3166"/>
      <c r="F3166"/>
      <c r="CP3166" s="61"/>
    </row>
    <row r="3167" spans="3:94">
      <c r="C3167"/>
      <c r="D3167"/>
      <c r="E3167"/>
      <c r="F3167"/>
      <c r="CP3167" s="61"/>
    </row>
    <row r="3168" spans="3:94">
      <c r="C3168"/>
      <c r="D3168"/>
      <c r="E3168"/>
      <c r="F3168"/>
      <c r="CP3168" s="61"/>
    </row>
    <row r="3169" spans="3:94">
      <c r="C3169"/>
      <c r="D3169"/>
      <c r="E3169"/>
      <c r="F3169"/>
      <c r="CP3169" s="61"/>
    </row>
    <row r="3170" spans="3:94">
      <c r="C3170"/>
      <c r="D3170"/>
      <c r="E3170"/>
      <c r="F3170"/>
      <c r="CP3170" s="61"/>
    </row>
    <row r="3171" spans="3:94">
      <c r="C3171"/>
      <c r="D3171"/>
      <c r="E3171"/>
      <c r="F3171"/>
      <c r="CP3171" s="61"/>
    </row>
    <row r="3172" spans="3:94">
      <c r="C3172"/>
      <c r="D3172"/>
      <c r="E3172"/>
      <c r="F3172"/>
      <c r="CP3172" s="61"/>
    </row>
    <row r="3173" spans="3:94">
      <c r="C3173"/>
      <c r="D3173"/>
      <c r="E3173"/>
      <c r="F3173"/>
      <c r="CP3173" s="61"/>
    </row>
    <row r="3174" spans="3:94">
      <c r="C3174"/>
      <c r="D3174"/>
      <c r="E3174"/>
      <c r="F3174"/>
      <c r="CP3174" s="61"/>
    </row>
    <row r="3175" spans="3:94">
      <c r="C3175"/>
      <c r="D3175"/>
      <c r="E3175"/>
      <c r="F3175"/>
      <c r="CP3175" s="61"/>
    </row>
    <row r="3176" spans="3:94">
      <c r="C3176"/>
      <c r="D3176"/>
      <c r="E3176"/>
      <c r="F3176"/>
      <c r="CP3176" s="61"/>
    </row>
    <row r="3177" spans="3:94">
      <c r="C3177"/>
      <c r="D3177"/>
      <c r="E3177"/>
      <c r="F3177"/>
      <c r="CP3177" s="61"/>
    </row>
    <row r="3178" spans="3:94">
      <c r="C3178"/>
      <c r="D3178"/>
      <c r="E3178"/>
      <c r="F3178"/>
      <c r="CP3178" s="61"/>
    </row>
    <row r="3179" spans="3:94">
      <c r="C3179"/>
      <c r="D3179"/>
      <c r="E3179"/>
      <c r="F3179"/>
      <c r="CP3179" s="61"/>
    </row>
    <row r="3180" spans="3:94">
      <c r="C3180"/>
      <c r="D3180"/>
      <c r="E3180"/>
      <c r="F3180"/>
      <c r="CP3180" s="61"/>
    </row>
    <row r="3181" spans="3:94">
      <c r="C3181"/>
      <c r="D3181"/>
      <c r="E3181"/>
      <c r="F3181"/>
      <c r="CP3181" s="61"/>
    </row>
    <row r="3182" spans="3:94">
      <c r="C3182"/>
      <c r="D3182"/>
      <c r="E3182"/>
      <c r="F3182"/>
      <c r="CP3182" s="61"/>
    </row>
    <row r="3183" spans="3:94">
      <c r="C3183"/>
      <c r="D3183"/>
      <c r="E3183"/>
      <c r="F3183"/>
      <c r="CP3183" s="61"/>
    </row>
    <row r="3184" spans="3:94">
      <c r="C3184"/>
      <c r="D3184"/>
      <c r="E3184"/>
      <c r="F3184"/>
      <c r="CP3184" s="61"/>
    </row>
    <row r="3185" spans="3:94">
      <c r="C3185"/>
      <c r="D3185"/>
      <c r="E3185"/>
      <c r="F3185"/>
      <c r="CP3185" s="61"/>
    </row>
    <row r="3186" spans="3:94">
      <c r="C3186"/>
      <c r="D3186"/>
      <c r="E3186"/>
      <c r="F3186"/>
      <c r="CP3186" s="61"/>
    </row>
    <row r="3187" spans="3:94">
      <c r="C3187"/>
      <c r="D3187"/>
      <c r="E3187"/>
      <c r="F3187"/>
      <c r="CP3187" s="61"/>
    </row>
    <row r="3188" spans="3:94">
      <c r="C3188"/>
      <c r="D3188"/>
      <c r="E3188"/>
      <c r="F3188"/>
      <c r="CP3188" s="61"/>
    </row>
    <row r="3189" spans="3:94">
      <c r="C3189"/>
      <c r="D3189"/>
      <c r="E3189"/>
      <c r="F3189"/>
      <c r="CP3189" s="61"/>
    </row>
    <row r="3190" spans="3:94">
      <c r="C3190"/>
      <c r="D3190"/>
      <c r="E3190"/>
      <c r="F3190"/>
      <c r="CP3190" s="61"/>
    </row>
    <row r="3191" spans="3:94">
      <c r="C3191"/>
      <c r="D3191"/>
      <c r="E3191"/>
      <c r="F3191"/>
      <c r="CP3191" s="61"/>
    </row>
    <row r="3192" spans="3:94">
      <c r="C3192"/>
      <c r="D3192"/>
      <c r="E3192"/>
      <c r="F3192"/>
      <c r="CP3192" s="61"/>
    </row>
    <row r="3193" spans="3:94">
      <c r="C3193"/>
      <c r="D3193"/>
      <c r="E3193"/>
      <c r="F3193"/>
      <c r="CP3193" s="61"/>
    </row>
    <row r="3194" spans="3:94">
      <c r="C3194"/>
      <c r="D3194"/>
      <c r="E3194"/>
      <c r="F3194"/>
      <c r="CP3194" s="61"/>
    </row>
    <row r="3195" spans="3:94">
      <c r="C3195"/>
      <c r="D3195"/>
      <c r="E3195"/>
      <c r="F3195"/>
      <c r="CP3195" s="61"/>
    </row>
    <row r="3196" spans="3:94">
      <c r="C3196"/>
      <c r="D3196"/>
      <c r="E3196"/>
      <c r="F3196"/>
      <c r="CP3196" s="61"/>
    </row>
    <row r="3197" spans="3:94">
      <c r="C3197"/>
      <c r="D3197"/>
      <c r="E3197"/>
      <c r="F3197"/>
      <c r="CP3197" s="61"/>
    </row>
    <row r="3198" spans="3:94">
      <c r="C3198"/>
      <c r="D3198"/>
      <c r="E3198"/>
      <c r="F3198"/>
      <c r="CP3198" s="61"/>
    </row>
    <row r="3199" spans="3:94">
      <c r="C3199"/>
      <c r="D3199"/>
      <c r="E3199"/>
      <c r="F3199"/>
      <c r="CP3199" s="61"/>
    </row>
    <row r="3200" spans="3:94">
      <c r="C3200"/>
      <c r="D3200"/>
      <c r="E3200"/>
      <c r="F3200"/>
      <c r="CP3200" s="61"/>
    </row>
    <row r="3201" spans="3:94">
      <c r="C3201"/>
      <c r="D3201"/>
      <c r="E3201"/>
      <c r="F3201"/>
      <c r="CP3201" s="61"/>
    </row>
    <row r="3202" spans="3:94">
      <c r="C3202"/>
      <c r="D3202"/>
      <c r="E3202"/>
      <c r="F3202"/>
      <c r="CP3202" s="61"/>
    </row>
    <row r="3203" spans="3:94">
      <c r="C3203"/>
      <c r="D3203"/>
      <c r="E3203"/>
      <c r="F3203"/>
      <c r="CP3203" s="61"/>
    </row>
    <row r="3204" spans="3:94">
      <c r="C3204"/>
      <c r="D3204"/>
      <c r="E3204"/>
      <c r="F3204"/>
      <c r="CP3204" s="61"/>
    </row>
    <row r="3205" spans="3:94">
      <c r="C3205"/>
      <c r="D3205"/>
      <c r="E3205"/>
      <c r="F3205"/>
      <c r="CP3205" s="61"/>
    </row>
    <row r="3206" spans="3:94">
      <c r="C3206"/>
      <c r="D3206"/>
      <c r="E3206"/>
      <c r="F3206"/>
      <c r="CP3206" s="61"/>
    </row>
    <row r="3207" spans="3:94">
      <c r="C3207"/>
      <c r="D3207"/>
      <c r="E3207"/>
      <c r="F3207"/>
      <c r="CP3207" s="61"/>
    </row>
    <row r="3208" spans="3:94">
      <c r="C3208"/>
      <c r="D3208"/>
      <c r="E3208"/>
      <c r="F3208"/>
      <c r="CP3208" s="61"/>
    </row>
    <row r="3209" spans="3:94">
      <c r="C3209"/>
      <c r="D3209"/>
      <c r="E3209"/>
      <c r="F3209"/>
      <c r="CP3209" s="61"/>
    </row>
    <row r="3210" spans="3:94">
      <c r="C3210"/>
      <c r="D3210"/>
      <c r="E3210"/>
      <c r="F3210"/>
      <c r="CP3210" s="61"/>
    </row>
    <row r="3211" spans="3:94">
      <c r="C3211"/>
      <c r="D3211"/>
      <c r="E3211"/>
      <c r="F3211"/>
      <c r="CP3211" s="61"/>
    </row>
    <row r="3212" spans="3:94">
      <c r="C3212"/>
      <c r="D3212"/>
      <c r="E3212"/>
      <c r="F3212"/>
      <c r="CP3212" s="61"/>
    </row>
    <row r="3213" spans="3:94">
      <c r="C3213"/>
      <c r="D3213"/>
      <c r="E3213"/>
      <c r="F3213"/>
      <c r="CP3213" s="61"/>
    </row>
    <row r="3214" spans="3:94">
      <c r="C3214"/>
      <c r="D3214"/>
      <c r="E3214"/>
      <c r="F3214"/>
      <c r="CP3214" s="61"/>
    </row>
    <row r="3215" spans="3:94">
      <c r="C3215"/>
      <c r="D3215"/>
      <c r="E3215"/>
      <c r="F3215"/>
      <c r="CP3215" s="61"/>
    </row>
    <row r="3216" spans="3:94">
      <c r="C3216"/>
      <c r="D3216"/>
      <c r="E3216"/>
      <c r="F3216"/>
      <c r="CP3216" s="61"/>
    </row>
    <row r="3217" spans="3:94">
      <c r="C3217"/>
      <c r="D3217"/>
      <c r="E3217"/>
      <c r="F3217"/>
      <c r="CP3217" s="61"/>
    </row>
    <row r="3218" spans="3:94">
      <c r="C3218"/>
      <c r="D3218"/>
      <c r="E3218"/>
      <c r="F3218"/>
      <c r="CP3218" s="61"/>
    </row>
    <row r="3219" spans="3:94">
      <c r="C3219"/>
      <c r="D3219"/>
      <c r="E3219"/>
      <c r="F3219"/>
      <c r="CP3219" s="61"/>
    </row>
    <row r="3220" spans="3:94">
      <c r="C3220"/>
      <c r="D3220"/>
      <c r="E3220"/>
      <c r="F3220"/>
      <c r="CP3220" s="61"/>
    </row>
    <row r="3221" spans="3:94">
      <c r="C3221"/>
      <c r="D3221"/>
      <c r="E3221"/>
      <c r="F3221"/>
      <c r="CP3221" s="61"/>
    </row>
    <row r="3222" spans="3:94">
      <c r="C3222"/>
      <c r="D3222"/>
      <c r="E3222"/>
      <c r="F3222"/>
      <c r="CP3222" s="61"/>
    </row>
    <row r="3223" spans="3:94">
      <c r="C3223"/>
      <c r="D3223"/>
      <c r="E3223"/>
      <c r="F3223"/>
      <c r="CP3223" s="61"/>
    </row>
    <row r="3224" spans="3:94">
      <c r="C3224"/>
      <c r="D3224"/>
      <c r="E3224"/>
      <c r="F3224"/>
      <c r="CP3224" s="61"/>
    </row>
    <row r="3225" spans="3:94">
      <c r="C3225"/>
      <c r="D3225"/>
      <c r="E3225"/>
      <c r="F3225"/>
      <c r="CP3225" s="61"/>
    </row>
    <row r="3226" spans="3:94">
      <c r="C3226"/>
      <c r="D3226"/>
      <c r="E3226"/>
      <c r="F3226"/>
      <c r="CP3226" s="61"/>
    </row>
    <row r="3227" spans="3:94">
      <c r="C3227"/>
      <c r="D3227"/>
      <c r="E3227"/>
      <c r="F3227"/>
      <c r="CP3227" s="61"/>
    </row>
    <row r="3228" spans="3:94">
      <c r="C3228"/>
      <c r="D3228"/>
      <c r="E3228"/>
      <c r="F3228"/>
      <c r="CP3228" s="61"/>
    </row>
    <row r="3229" spans="3:94">
      <c r="C3229"/>
      <c r="D3229"/>
      <c r="E3229"/>
      <c r="F3229"/>
      <c r="CP3229" s="61"/>
    </row>
    <row r="3230" spans="3:94">
      <c r="C3230"/>
      <c r="D3230"/>
      <c r="E3230"/>
      <c r="F3230"/>
      <c r="CP3230" s="61"/>
    </row>
    <row r="3231" spans="3:94">
      <c r="C3231"/>
      <c r="D3231"/>
      <c r="E3231"/>
      <c r="F3231"/>
      <c r="CP3231" s="61"/>
    </row>
    <row r="3232" spans="3:94">
      <c r="C3232"/>
      <c r="D3232"/>
      <c r="E3232"/>
      <c r="F3232"/>
      <c r="CP3232" s="61"/>
    </row>
    <row r="3233" spans="3:94">
      <c r="C3233"/>
      <c r="D3233"/>
      <c r="E3233"/>
      <c r="F3233"/>
      <c r="CP3233" s="61"/>
    </row>
    <row r="3234" spans="3:94">
      <c r="C3234"/>
      <c r="D3234"/>
      <c r="E3234"/>
      <c r="F3234"/>
      <c r="CP3234" s="61"/>
    </row>
    <row r="3235" spans="3:94">
      <c r="C3235"/>
      <c r="D3235"/>
      <c r="E3235"/>
      <c r="F3235"/>
      <c r="CP3235" s="61"/>
    </row>
    <row r="3236" spans="3:94">
      <c r="C3236"/>
      <c r="D3236"/>
      <c r="E3236"/>
      <c r="F3236"/>
      <c r="CP3236" s="61"/>
    </row>
    <row r="3237" spans="3:94">
      <c r="C3237"/>
      <c r="D3237"/>
      <c r="E3237"/>
      <c r="F3237"/>
      <c r="CP3237" s="61"/>
    </row>
    <row r="3238" spans="3:94">
      <c r="C3238"/>
      <c r="D3238"/>
      <c r="E3238"/>
      <c r="F3238"/>
      <c r="CP3238" s="61"/>
    </row>
    <row r="3239" spans="3:94">
      <c r="C3239"/>
      <c r="D3239"/>
      <c r="E3239"/>
      <c r="F3239"/>
      <c r="CP3239" s="61"/>
    </row>
    <row r="3240" spans="3:94">
      <c r="C3240"/>
      <c r="D3240"/>
      <c r="E3240"/>
      <c r="F3240"/>
      <c r="CP3240" s="61"/>
    </row>
    <row r="3241" spans="3:94">
      <c r="C3241"/>
      <c r="D3241"/>
      <c r="E3241"/>
      <c r="F3241"/>
      <c r="CP3241" s="61"/>
    </row>
    <row r="3242" spans="3:94">
      <c r="C3242"/>
      <c r="D3242"/>
      <c r="E3242"/>
      <c r="F3242"/>
      <c r="CP3242" s="61"/>
    </row>
    <row r="3243" spans="3:94">
      <c r="C3243"/>
      <c r="D3243"/>
      <c r="E3243"/>
      <c r="F3243"/>
      <c r="CP3243" s="61"/>
    </row>
    <row r="3244" spans="3:94">
      <c r="C3244"/>
      <c r="D3244"/>
      <c r="E3244"/>
      <c r="F3244"/>
      <c r="CP3244" s="61"/>
    </row>
    <row r="3245" spans="3:94">
      <c r="C3245"/>
      <c r="D3245"/>
      <c r="E3245"/>
      <c r="F3245"/>
      <c r="CP3245" s="61"/>
    </row>
    <row r="3246" spans="3:94">
      <c r="C3246"/>
      <c r="D3246"/>
      <c r="E3246"/>
      <c r="F3246"/>
      <c r="CP3246" s="61"/>
    </row>
    <row r="3247" spans="3:94">
      <c r="C3247"/>
      <c r="D3247"/>
      <c r="E3247"/>
      <c r="F3247"/>
      <c r="CP3247" s="61"/>
    </row>
    <row r="3248" spans="3:94">
      <c r="C3248"/>
      <c r="D3248"/>
      <c r="E3248"/>
      <c r="F3248"/>
      <c r="CP3248" s="61"/>
    </row>
    <row r="3249" spans="3:94">
      <c r="C3249"/>
      <c r="D3249"/>
      <c r="E3249"/>
      <c r="F3249"/>
      <c r="CP3249" s="61"/>
    </row>
    <row r="3250" spans="3:94">
      <c r="C3250"/>
      <c r="D3250"/>
      <c r="E3250"/>
      <c r="F3250"/>
      <c r="CP3250" s="61"/>
    </row>
    <row r="3251" spans="3:94">
      <c r="C3251"/>
      <c r="D3251"/>
      <c r="E3251"/>
      <c r="F3251"/>
      <c r="CP3251" s="61"/>
    </row>
    <row r="3252" spans="3:94">
      <c r="C3252"/>
      <c r="D3252"/>
      <c r="E3252"/>
      <c r="F3252"/>
      <c r="CP3252" s="61"/>
    </row>
    <row r="3253" spans="3:94">
      <c r="C3253"/>
      <c r="D3253"/>
      <c r="E3253"/>
      <c r="F3253"/>
      <c r="CP3253" s="61"/>
    </row>
    <row r="3254" spans="3:94">
      <c r="C3254"/>
      <c r="D3254"/>
      <c r="E3254"/>
      <c r="F3254"/>
      <c r="CP3254" s="61"/>
    </row>
    <row r="3255" spans="3:94">
      <c r="C3255"/>
      <c r="D3255"/>
      <c r="E3255"/>
      <c r="F3255"/>
      <c r="CP3255" s="61"/>
    </row>
    <row r="3256" spans="3:94">
      <c r="C3256"/>
      <c r="D3256"/>
      <c r="E3256"/>
      <c r="F3256"/>
      <c r="CP3256" s="61"/>
    </row>
    <row r="3257" spans="3:94">
      <c r="C3257"/>
      <c r="D3257"/>
      <c r="E3257"/>
      <c r="F3257"/>
      <c r="CP3257" s="61"/>
    </row>
    <row r="3258" spans="3:94">
      <c r="C3258"/>
      <c r="D3258"/>
      <c r="E3258"/>
      <c r="F3258"/>
      <c r="CP3258" s="61"/>
    </row>
    <row r="3259" spans="3:94">
      <c r="C3259"/>
      <c r="D3259"/>
      <c r="E3259"/>
      <c r="F3259"/>
      <c r="CP3259" s="61"/>
    </row>
    <row r="3260" spans="3:94">
      <c r="C3260"/>
      <c r="D3260"/>
      <c r="E3260"/>
      <c r="F3260"/>
      <c r="CP3260" s="61"/>
    </row>
    <row r="3261" spans="3:94">
      <c r="C3261"/>
      <c r="D3261"/>
      <c r="E3261"/>
      <c r="F3261"/>
      <c r="CP3261" s="61"/>
    </row>
    <row r="3262" spans="3:94">
      <c r="C3262"/>
      <c r="D3262"/>
      <c r="E3262"/>
      <c r="F3262"/>
      <c r="CP3262" s="61"/>
    </row>
    <row r="3263" spans="3:94">
      <c r="C3263"/>
      <c r="D3263"/>
      <c r="E3263"/>
      <c r="F3263"/>
      <c r="CP3263" s="61"/>
    </row>
    <row r="3264" spans="3:94">
      <c r="C3264"/>
      <c r="D3264"/>
      <c r="E3264"/>
      <c r="F3264"/>
      <c r="CP3264" s="61"/>
    </row>
    <row r="3265" spans="3:94">
      <c r="C3265"/>
      <c r="D3265"/>
      <c r="E3265"/>
      <c r="F3265"/>
      <c r="CP3265" s="61"/>
    </row>
    <row r="3266" spans="3:94">
      <c r="C3266"/>
      <c r="D3266"/>
      <c r="E3266"/>
      <c r="F3266"/>
      <c r="CP3266" s="61"/>
    </row>
    <row r="3267" spans="3:94">
      <c r="C3267"/>
      <c r="D3267"/>
      <c r="E3267"/>
      <c r="F3267"/>
      <c r="CP3267" s="61"/>
    </row>
    <row r="3268" spans="3:94">
      <c r="C3268"/>
      <c r="D3268"/>
      <c r="E3268"/>
      <c r="F3268"/>
      <c r="CP3268" s="61"/>
    </row>
    <row r="3269" spans="3:94">
      <c r="C3269"/>
      <c r="D3269"/>
      <c r="E3269"/>
      <c r="F3269"/>
      <c r="CP3269" s="61"/>
    </row>
    <row r="3270" spans="3:94">
      <c r="C3270"/>
      <c r="D3270"/>
      <c r="E3270"/>
      <c r="F3270"/>
      <c r="CP3270" s="61"/>
    </row>
    <row r="3271" spans="3:94">
      <c r="C3271"/>
      <c r="D3271"/>
      <c r="E3271"/>
      <c r="F3271"/>
      <c r="CP3271" s="61"/>
    </row>
    <row r="3272" spans="3:94">
      <c r="C3272"/>
      <c r="D3272"/>
      <c r="E3272"/>
      <c r="F3272"/>
      <c r="CP3272" s="61"/>
    </row>
    <row r="3273" spans="3:94">
      <c r="C3273"/>
      <c r="D3273"/>
      <c r="E3273"/>
      <c r="F3273"/>
      <c r="CP3273" s="61"/>
    </row>
    <row r="3274" spans="3:94">
      <c r="C3274"/>
      <c r="D3274"/>
      <c r="E3274"/>
      <c r="F3274"/>
      <c r="CP3274" s="61"/>
    </row>
    <row r="3275" spans="3:94">
      <c r="C3275"/>
      <c r="D3275"/>
      <c r="E3275"/>
      <c r="F3275"/>
      <c r="CP3275" s="61"/>
    </row>
    <row r="3276" spans="3:94">
      <c r="C3276"/>
      <c r="D3276"/>
      <c r="E3276"/>
      <c r="F3276"/>
      <c r="CP3276" s="61"/>
    </row>
    <row r="3277" spans="3:94">
      <c r="C3277"/>
      <c r="D3277"/>
      <c r="E3277"/>
      <c r="F3277"/>
      <c r="CP3277" s="61"/>
    </row>
    <row r="3278" spans="3:94">
      <c r="C3278"/>
      <c r="D3278"/>
      <c r="E3278"/>
      <c r="F3278"/>
      <c r="CP3278" s="61"/>
    </row>
    <row r="3279" spans="3:94">
      <c r="C3279"/>
      <c r="D3279"/>
      <c r="E3279"/>
      <c r="F3279"/>
      <c r="CP3279" s="61"/>
    </row>
    <row r="3280" spans="3:94">
      <c r="C3280"/>
      <c r="D3280"/>
      <c r="E3280"/>
      <c r="F3280"/>
      <c r="CP3280" s="61"/>
    </row>
    <row r="3281" spans="3:94">
      <c r="C3281"/>
      <c r="D3281"/>
      <c r="E3281"/>
      <c r="F3281"/>
      <c r="CP3281" s="61"/>
    </row>
    <row r="3282" spans="3:94">
      <c r="C3282"/>
      <c r="D3282"/>
      <c r="E3282"/>
      <c r="F3282"/>
      <c r="CP3282" s="61"/>
    </row>
    <row r="3283" spans="3:94">
      <c r="C3283"/>
      <c r="D3283"/>
      <c r="E3283"/>
      <c r="F3283"/>
      <c r="CP3283" s="61"/>
    </row>
    <row r="3284" spans="3:94">
      <c r="C3284"/>
      <c r="D3284"/>
      <c r="E3284"/>
      <c r="F3284"/>
      <c r="CP3284" s="61"/>
    </row>
    <row r="3285" spans="3:94">
      <c r="C3285"/>
      <c r="D3285"/>
      <c r="E3285"/>
      <c r="F3285"/>
      <c r="CP3285" s="61"/>
    </row>
    <row r="3286" spans="3:94">
      <c r="C3286"/>
      <c r="D3286"/>
      <c r="E3286"/>
      <c r="F3286"/>
      <c r="CP3286" s="61"/>
    </row>
    <row r="3287" spans="3:94">
      <c r="C3287"/>
      <c r="D3287"/>
      <c r="E3287"/>
      <c r="F3287"/>
      <c r="CP3287" s="61"/>
    </row>
    <row r="3288" spans="3:94">
      <c r="C3288"/>
      <c r="D3288"/>
      <c r="E3288"/>
      <c r="F3288"/>
      <c r="CP3288" s="61"/>
    </row>
    <row r="3289" spans="3:94">
      <c r="C3289"/>
      <c r="D3289"/>
      <c r="E3289"/>
      <c r="F3289"/>
      <c r="CP3289" s="61"/>
    </row>
    <row r="3290" spans="3:94">
      <c r="C3290"/>
      <c r="D3290"/>
      <c r="E3290"/>
      <c r="F3290"/>
      <c r="CP3290" s="61"/>
    </row>
    <row r="3291" spans="3:94">
      <c r="C3291"/>
      <c r="D3291"/>
      <c r="E3291"/>
      <c r="F3291"/>
      <c r="CP3291" s="61"/>
    </row>
    <row r="3292" spans="3:94">
      <c r="C3292"/>
      <c r="D3292"/>
      <c r="E3292"/>
      <c r="F3292"/>
      <c r="CP3292" s="61"/>
    </row>
    <row r="3293" spans="3:94">
      <c r="C3293"/>
      <c r="D3293"/>
      <c r="E3293"/>
      <c r="F3293"/>
      <c r="CP3293" s="61"/>
    </row>
    <row r="3294" spans="3:94">
      <c r="C3294"/>
      <c r="D3294"/>
      <c r="E3294"/>
      <c r="F3294"/>
      <c r="CP3294" s="61"/>
    </row>
    <row r="3295" spans="3:94">
      <c r="C3295"/>
      <c r="D3295"/>
      <c r="E3295"/>
      <c r="F3295"/>
      <c r="CP3295" s="61"/>
    </row>
    <row r="3296" spans="3:94">
      <c r="C3296"/>
      <c r="D3296"/>
      <c r="E3296"/>
      <c r="F3296"/>
      <c r="CP3296" s="61"/>
    </row>
    <row r="3297" spans="3:94">
      <c r="C3297"/>
      <c r="D3297"/>
      <c r="E3297"/>
      <c r="F3297"/>
      <c r="CP3297" s="61"/>
    </row>
    <row r="3298" spans="3:94">
      <c r="C3298"/>
      <c r="D3298"/>
      <c r="E3298"/>
      <c r="F3298"/>
      <c r="CP3298" s="61"/>
    </row>
    <row r="3299" spans="3:94">
      <c r="C3299"/>
      <c r="D3299"/>
      <c r="E3299"/>
      <c r="F3299"/>
      <c r="CP3299" s="61"/>
    </row>
    <row r="3300" spans="3:94">
      <c r="C3300"/>
      <c r="D3300"/>
      <c r="E3300"/>
      <c r="F3300"/>
      <c r="CP3300" s="61"/>
    </row>
    <row r="3301" spans="3:94">
      <c r="C3301"/>
      <c r="D3301"/>
      <c r="E3301"/>
      <c r="F3301"/>
      <c r="CP3301" s="61"/>
    </row>
    <row r="3302" spans="3:94">
      <c r="C3302"/>
      <c r="D3302"/>
      <c r="E3302"/>
      <c r="F3302"/>
      <c r="CP3302" s="61"/>
    </row>
    <row r="3303" spans="3:94">
      <c r="C3303"/>
      <c r="D3303"/>
      <c r="E3303"/>
      <c r="F3303"/>
      <c r="CP3303" s="61"/>
    </row>
    <row r="3304" spans="3:94">
      <c r="C3304"/>
      <c r="D3304"/>
      <c r="E3304"/>
      <c r="F3304"/>
      <c r="CP3304" s="61"/>
    </row>
    <row r="3305" spans="3:94">
      <c r="C3305"/>
      <c r="D3305"/>
      <c r="E3305"/>
      <c r="F3305"/>
      <c r="CP3305" s="61"/>
    </row>
    <row r="3306" spans="3:94">
      <c r="C3306"/>
      <c r="D3306"/>
      <c r="E3306"/>
      <c r="F3306"/>
      <c r="CP3306" s="61"/>
    </row>
    <row r="3307" spans="3:94">
      <c r="C3307"/>
      <c r="D3307"/>
      <c r="E3307"/>
      <c r="F3307"/>
      <c r="CP3307" s="61"/>
    </row>
    <row r="3308" spans="3:94">
      <c r="C3308"/>
      <c r="D3308"/>
      <c r="E3308"/>
      <c r="F3308"/>
      <c r="CP3308" s="61"/>
    </row>
    <row r="3309" spans="3:94">
      <c r="C3309"/>
      <c r="D3309"/>
      <c r="E3309"/>
      <c r="F3309"/>
      <c r="CP3309" s="61"/>
    </row>
    <row r="3310" spans="3:94">
      <c r="C3310"/>
      <c r="D3310"/>
      <c r="E3310"/>
      <c r="F3310"/>
      <c r="CP3310" s="61"/>
    </row>
    <row r="3311" spans="3:94">
      <c r="C3311"/>
      <c r="D3311"/>
      <c r="E3311"/>
      <c r="F3311"/>
      <c r="CP3311" s="61"/>
    </row>
    <row r="3312" spans="3:94">
      <c r="C3312"/>
      <c r="D3312"/>
      <c r="E3312"/>
      <c r="F3312"/>
      <c r="CP3312" s="61"/>
    </row>
    <row r="3313" spans="3:94">
      <c r="C3313"/>
      <c r="D3313"/>
      <c r="E3313"/>
      <c r="F3313"/>
      <c r="CP3313" s="61"/>
    </row>
    <row r="3314" spans="3:94">
      <c r="C3314"/>
      <c r="D3314"/>
      <c r="E3314"/>
      <c r="F3314"/>
      <c r="CP3314" s="61"/>
    </row>
    <row r="3315" spans="3:94">
      <c r="C3315"/>
      <c r="D3315"/>
      <c r="E3315"/>
      <c r="F3315"/>
      <c r="CP3315" s="61"/>
    </row>
    <row r="3316" spans="3:94">
      <c r="C3316"/>
      <c r="D3316"/>
      <c r="E3316"/>
      <c r="F3316"/>
      <c r="CP3316" s="61"/>
    </row>
    <row r="3317" spans="3:94">
      <c r="C3317"/>
      <c r="D3317"/>
      <c r="E3317"/>
      <c r="F3317"/>
      <c r="CP3317" s="61"/>
    </row>
    <row r="3318" spans="3:94">
      <c r="C3318"/>
      <c r="D3318"/>
      <c r="E3318"/>
      <c r="F3318"/>
      <c r="CP3318" s="61"/>
    </row>
    <row r="3319" spans="3:94">
      <c r="C3319"/>
      <c r="D3319"/>
      <c r="E3319"/>
      <c r="F3319"/>
      <c r="CP3319" s="61"/>
    </row>
    <row r="3320" spans="3:94">
      <c r="C3320"/>
      <c r="D3320"/>
      <c r="E3320"/>
      <c r="F3320"/>
      <c r="CP3320" s="61"/>
    </row>
    <row r="3321" spans="3:94">
      <c r="C3321"/>
      <c r="D3321"/>
      <c r="E3321"/>
      <c r="F3321"/>
      <c r="CP3321" s="61"/>
    </row>
    <row r="3322" spans="3:94">
      <c r="C3322"/>
      <c r="D3322"/>
      <c r="E3322"/>
      <c r="F3322"/>
      <c r="CP3322" s="61"/>
    </row>
    <row r="3323" spans="3:94">
      <c r="C3323"/>
      <c r="D3323"/>
      <c r="E3323"/>
      <c r="F3323"/>
      <c r="CP3323" s="61"/>
    </row>
    <row r="3324" spans="3:94">
      <c r="C3324"/>
      <c r="D3324"/>
      <c r="E3324"/>
      <c r="F3324"/>
      <c r="CP3324" s="61"/>
    </row>
    <row r="3325" spans="3:94">
      <c r="C3325"/>
      <c r="D3325"/>
      <c r="E3325"/>
      <c r="F3325"/>
      <c r="CP3325" s="61"/>
    </row>
    <row r="3326" spans="3:94">
      <c r="C3326"/>
      <c r="D3326"/>
      <c r="E3326"/>
      <c r="F3326"/>
      <c r="CP3326" s="61"/>
    </row>
    <row r="3327" spans="3:94">
      <c r="C3327"/>
      <c r="D3327"/>
      <c r="E3327"/>
      <c r="F3327"/>
      <c r="CP3327" s="61"/>
    </row>
    <row r="3328" spans="3:94">
      <c r="C3328"/>
      <c r="D3328"/>
      <c r="E3328"/>
      <c r="F3328"/>
      <c r="CP3328" s="61"/>
    </row>
    <row r="3329" spans="3:94">
      <c r="C3329"/>
      <c r="D3329"/>
      <c r="E3329"/>
      <c r="F3329"/>
      <c r="CP3329" s="61"/>
    </row>
    <row r="3330" spans="3:94">
      <c r="C3330"/>
      <c r="D3330"/>
      <c r="E3330"/>
      <c r="F3330"/>
      <c r="CP3330" s="61"/>
    </row>
    <row r="3331" spans="3:94">
      <c r="C3331"/>
      <c r="D3331"/>
      <c r="E3331"/>
      <c r="F3331"/>
      <c r="CP3331" s="61"/>
    </row>
    <row r="3332" spans="3:94">
      <c r="C3332"/>
      <c r="D3332"/>
      <c r="E3332"/>
      <c r="F3332"/>
      <c r="CP3332" s="61"/>
    </row>
    <row r="3333" spans="3:94">
      <c r="C3333"/>
      <c r="D3333"/>
      <c r="E3333"/>
      <c r="F3333"/>
      <c r="CP3333" s="61"/>
    </row>
    <row r="3334" spans="3:94">
      <c r="C3334"/>
      <c r="D3334"/>
      <c r="E3334"/>
      <c r="F3334"/>
      <c r="CP3334" s="61"/>
    </row>
    <row r="3335" spans="3:94">
      <c r="C3335"/>
      <c r="D3335"/>
      <c r="E3335"/>
      <c r="F3335"/>
      <c r="CP3335" s="61"/>
    </row>
    <row r="3336" spans="3:94">
      <c r="C3336"/>
      <c r="D3336"/>
      <c r="E3336"/>
      <c r="F3336"/>
      <c r="CP3336" s="61"/>
    </row>
    <row r="3337" spans="3:94">
      <c r="C3337"/>
      <c r="D3337"/>
      <c r="E3337"/>
      <c r="F3337"/>
      <c r="CP3337" s="61"/>
    </row>
    <row r="3338" spans="3:94">
      <c r="C3338"/>
      <c r="D3338"/>
      <c r="E3338"/>
      <c r="F3338"/>
      <c r="CP3338" s="61"/>
    </row>
    <row r="3339" spans="3:94">
      <c r="C3339"/>
      <c r="D3339"/>
      <c r="E3339"/>
      <c r="F3339"/>
      <c r="CP3339" s="61"/>
    </row>
    <row r="3340" spans="3:94">
      <c r="C3340"/>
      <c r="D3340"/>
      <c r="E3340"/>
      <c r="F3340"/>
      <c r="CP3340" s="61"/>
    </row>
    <row r="3341" spans="3:94">
      <c r="C3341"/>
      <c r="D3341"/>
      <c r="E3341"/>
      <c r="F3341"/>
      <c r="CP3341" s="61"/>
    </row>
    <row r="3342" spans="3:94">
      <c r="C3342"/>
      <c r="D3342"/>
      <c r="E3342"/>
      <c r="F3342"/>
      <c r="CP3342" s="61"/>
    </row>
    <row r="3343" spans="3:94">
      <c r="C3343"/>
      <c r="D3343"/>
      <c r="E3343"/>
      <c r="F3343"/>
      <c r="CP3343" s="61"/>
    </row>
    <row r="3344" spans="3:94">
      <c r="C3344"/>
      <c r="D3344"/>
      <c r="E3344"/>
      <c r="F3344"/>
      <c r="CP3344" s="61"/>
    </row>
    <row r="3345" spans="3:94">
      <c r="C3345"/>
      <c r="D3345"/>
      <c r="E3345"/>
      <c r="F3345"/>
      <c r="CP3345" s="61"/>
    </row>
    <row r="3346" spans="3:94">
      <c r="C3346"/>
      <c r="D3346"/>
      <c r="E3346"/>
      <c r="F3346"/>
      <c r="CP3346" s="61"/>
    </row>
    <row r="3347" spans="3:94">
      <c r="C3347"/>
      <c r="D3347"/>
      <c r="E3347"/>
      <c r="F3347"/>
      <c r="CP3347" s="61"/>
    </row>
    <row r="3348" spans="3:94">
      <c r="C3348"/>
      <c r="D3348"/>
      <c r="E3348"/>
      <c r="F3348"/>
      <c r="CP3348" s="61"/>
    </row>
    <row r="3349" spans="3:94">
      <c r="C3349"/>
      <c r="D3349"/>
      <c r="E3349"/>
      <c r="F3349"/>
      <c r="CP3349" s="61"/>
    </row>
    <row r="3350" spans="3:94">
      <c r="C3350"/>
      <c r="D3350"/>
      <c r="E3350"/>
      <c r="F3350"/>
      <c r="CP3350" s="61"/>
    </row>
    <row r="3351" spans="3:94">
      <c r="C3351"/>
      <c r="D3351"/>
      <c r="E3351"/>
      <c r="F3351"/>
      <c r="CP3351" s="61"/>
    </row>
    <row r="3352" spans="3:94">
      <c r="C3352"/>
      <c r="D3352"/>
      <c r="E3352"/>
      <c r="F3352"/>
      <c r="CP3352" s="61"/>
    </row>
    <row r="3353" spans="3:94">
      <c r="C3353"/>
      <c r="D3353"/>
      <c r="E3353"/>
      <c r="F3353"/>
      <c r="CP3353" s="61"/>
    </row>
    <row r="3354" spans="3:94">
      <c r="C3354"/>
      <c r="D3354"/>
      <c r="E3354"/>
      <c r="F3354"/>
      <c r="CP3354" s="61"/>
    </row>
    <row r="3355" spans="3:94">
      <c r="C3355"/>
      <c r="D3355"/>
      <c r="E3355"/>
      <c r="F3355"/>
      <c r="CP3355" s="61"/>
    </row>
    <row r="3356" spans="3:94">
      <c r="C3356"/>
      <c r="D3356"/>
      <c r="E3356"/>
      <c r="F3356"/>
      <c r="CP3356" s="61"/>
    </row>
    <row r="3357" spans="3:94">
      <c r="C3357"/>
      <c r="D3357"/>
      <c r="E3357"/>
      <c r="F3357"/>
      <c r="CP3357" s="61"/>
    </row>
    <row r="3358" spans="3:94">
      <c r="C3358"/>
      <c r="D3358"/>
      <c r="E3358"/>
      <c r="F3358"/>
      <c r="CP3358" s="61"/>
    </row>
    <row r="3359" spans="3:94">
      <c r="C3359"/>
      <c r="D3359"/>
      <c r="E3359"/>
      <c r="F3359"/>
      <c r="CP3359" s="61"/>
    </row>
    <row r="3360" spans="3:94">
      <c r="C3360"/>
      <c r="D3360"/>
      <c r="E3360"/>
      <c r="F3360"/>
      <c r="CP3360" s="61"/>
    </row>
    <row r="3361" spans="3:94">
      <c r="C3361"/>
      <c r="D3361"/>
      <c r="E3361"/>
      <c r="F3361"/>
      <c r="CP3361" s="61"/>
    </row>
    <row r="3362" spans="3:94">
      <c r="C3362"/>
      <c r="D3362"/>
      <c r="E3362"/>
      <c r="F3362"/>
      <c r="CP3362" s="61"/>
    </row>
    <row r="3363" spans="3:94">
      <c r="C3363"/>
      <c r="D3363"/>
      <c r="E3363"/>
      <c r="F3363"/>
      <c r="CP3363" s="61"/>
    </row>
    <row r="3364" spans="3:94">
      <c r="C3364"/>
      <c r="D3364"/>
      <c r="E3364"/>
      <c r="F3364"/>
      <c r="CP3364" s="61"/>
    </row>
    <row r="3365" spans="3:94">
      <c r="C3365"/>
      <c r="D3365"/>
      <c r="E3365"/>
      <c r="F3365"/>
      <c r="CP3365" s="61"/>
    </row>
    <row r="3366" spans="3:94">
      <c r="C3366"/>
      <c r="D3366"/>
      <c r="E3366"/>
      <c r="F3366"/>
      <c r="CP3366" s="61"/>
    </row>
    <row r="3367" spans="3:94">
      <c r="C3367"/>
      <c r="D3367"/>
      <c r="E3367"/>
      <c r="F3367"/>
      <c r="CP3367" s="61"/>
    </row>
    <row r="3368" spans="3:94">
      <c r="C3368"/>
      <c r="D3368"/>
      <c r="E3368"/>
      <c r="F3368"/>
      <c r="CP3368" s="61"/>
    </row>
    <row r="3369" spans="3:94">
      <c r="C3369"/>
      <c r="D3369"/>
      <c r="E3369"/>
      <c r="F3369"/>
      <c r="CP3369" s="61"/>
    </row>
    <row r="3370" spans="3:94">
      <c r="C3370"/>
      <c r="D3370"/>
      <c r="E3370"/>
      <c r="F3370"/>
      <c r="CP3370" s="61"/>
    </row>
    <row r="3371" spans="3:94">
      <c r="C3371"/>
      <c r="D3371"/>
      <c r="E3371"/>
      <c r="F3371"/>
      <c r="CP3371" s="61"/>
    </row>
    <row r="3372" spans="3:94">
      <c r="C3372"/>
      <c r="D3372"/>
      <c r="E3372"/>
      <c r="F3372"/>
      <c r="CP3372" s="61"/>
    </row>
    <row r="3373" spans="3:94">
      <c r="C3373"/>
      <c r="D3373"/>
      <c r="E3373"/>
      <c r="F3373"/>
      <c r="CP3373" s="61"/>
    </row>
    <row r="3374" spans="3:94">
      <c r="C3374"/>
      <c r="D3374"/>
      <c r="E3374"/>
      <c r="F3374"/>
      <c r="CP3374" s="61"/>
    </row>
    <row r="3375" spans="3:94">
      <c r="C3375"/>
      <c r="D3375"/>
      <c r="E3375"/>
      <c r="F3375"/>
      <c r="CP3375" s="61"/>
    </row>
    <row r="3376" spans="3:94">
      <c r="C3376"/>
      <c r="D3376"/>
      <c r="E3376"/>
      <c r="F3376"/>
      <c r="CP3376" s="61"/>
    </row>
    <row r="3377" spans="3:94">
      <c r="C3377"/>
      <c r="D3377"/>
      <c r="E3377"/>
      <c r="F3377"/>
      <c r="CP3377" s="61"/>
    </row>
    <row r="3378" spans="3:94">
      <c r="C3378"/>
      <c r="D3378"/>
      <c r="E3378"/>
      <c r="F3378"/>
      <c r="CP3378" s="61"/>
    </row>
    <row r="3379" spans="3:94">
      <c r="C3379"/>
      <c r="D3379"/>
      <c r="E3379"/>
      <c r="F3379"/>
      <c r="CP3379" s="61"/>
    </row>
    <row r="3380" spans="3:94">
      <c r="C3380"/>
      <c r="D3380"/>
      <c r="E3380"/>
      <c r="F3380"/>
      <c r="CP3380" s="61"/>
    </row>
    <row r="3381" spans="3:94">
      <c r="C3381"/>
      <c r="D3381"/>
      <c r="E3381"/>
      <c r="F3381"/>
      <c r="CP3381" s="61"/>
    </row>
    <row r="3382" spans="3:94">
      <c r="C3382"/>
      <c r="D3382"/>
      <c r="E3382"/>
      <c r="F3382"/>
      <c r="CP3382" s="61"/>
    </row>
    <row r="3383" spans="3:94">
      <c r="C3383"/>
      <c r="D3383"/>
      <c r="E3383"/>
      <c r="F3383"/>
      <c r="CP3383" s="61"/>
    </row>
    <row r="3384" spans="3:94">
      <c r="C3384"/>
      <c r="D3384"/>
      <c r="E3384"/>
      <c r="F3384"/>
      <c r="CP3384" s="61"/>
    </row>
    <row r="3385" spans="3:94">
      <c r="C3385"/>
      <c r="D3385"/>
      <c r="E3385"/>
      <c r="F3385"/>
      <c r="CP3385" s="61"/>
    </row>
    <row r="3386" spans="3:94">
      <c r="C3386"/>
      <c r="D3386"/>
      <c r="E3386"/>
      <c r="F3386"/>
      <c r="CP3386" s="61"/>
    </row>
    <row r="3387" spans="3:94">
      <c r="C3387"/>
      <c r="D3387"/>
      <c r="E3387"/>
      <c r="F3387"/>
      <c r="CP3387" s="61"/>
    </row>
    <row r="3388" spans="3:94">
      <c r="C3388"/>
      <c r="D3388"/>
      <c r="E3388"/>
      <c r="F3388"/>
      <c r="CP3388" s="61"/>
    </row>
    <row r="3389" spans="3:94">
      <c r="C3389"/>
      <c r="D3389"/>
      <c r="E3389"/>
      <c r="F3389"/>
      <c r="CP3389" s="61"/>
    </row>
    <row r="3390" spans="3:94">
      <c r="C3390"/>
      <c r="D3390"/>
      <c r="E3390"/>
      <c r="F3390"/>
      <c r="CP3390" s="61"/>
    </row>
    <row r="3391" spans="3:94">
      <c r="C3391"/>
      <c r="D3391"/>
      <c r="E3391"/>
      <c r="F3391"/>
      <c r="CP3391" s="61"/>
    </row>
    <row r="3392" spans="3:94">
      <c r="C3392"/>
      <c r="D3392"/>
      <c r="E3392"/>
      <c r="F3392"/>
      <c r="CP3392" s="61"/>
    </row>
    <row r="3393" spans="3:94">
      <c r="C3393"/>
      <c r="D3393"/>
      <c r="E3393"/>
      <c r="F3393"/>
      <c r="CP3393" s="61"/>
    </row>
    <row r="3394" spans="3:94">
      <c r="C3394"/>
      <c r="D3394"/>
      <c r="E3394"/>
      <c r="F3394"/>
      <c r="CP3394" s="61"/>
    </row>
    <row r="3395" spans="3:94">
      <c r="C3395"/>
      <c r="D3395"/>
      <c r="E3395"/>
      <c r="F3395"/>
      <c r="CP3395" s="61"/>
    </row>
    <row r="3396" spans="3:94">
      <c r="C3396"/>
      <c r="D3396"/>
      <c r="E3396"/>
      <c r="F3396"/>
      <c r="CP3396" s="61"/>
    </row>
    <row r="3397" spans="3:94">
      <c r="C3397"/>
      <c r="D3397"/>
      <c r="E3397"/>
      <c r="F3397"/>
      <c r="CP3397" s="61"/>
    </row>
    <row r="3398" spans="3:94">
      <c r="C3398"/>
      <c r="D3398"/>
      <c r="E3398"/>
      <c r="F3398"/>
      <c r="CP3398" s="61"/>
    </row>
    <row r="3399" spans="3:94">
      <c r="C3399"/>
      <c r="D3399"/>
      <c r="E3399"/>
      <c r="F3399"/>
      <c r="CP3399" s="61"/>
    </row>
    <row r="3400" spans="3:94">
      <c r="C3400"/>
      <c r="D3400"/>
      <c r="E3400"/>
      <c r="F3400"/>
      <c r="CP3400" s="61"/>
    </row>
    <row r="3401" spans="3:94">
      <c r="C3401"/>
      <c r="D3401"/>
      <c r="E3401"/>
      <c r="F3401"/>
      <c r="CP3401" s="61"/>
    </row>
    <row r="3402" spans="3:94">
      <c r="C3402"/>
      <c r="D3402"/>
      <c r="E3402"/>
      <c r="F3402"/>
      <c r="CP3402" s="61"/>
    </row>
    <row r="3403" spans="3:94">
      <c r="C3403"/>
      <c r="D3403"/>
      <c r="E3403"/>
      <c r="F3403"/>
      <c r="CP3403" s="61"/>
    </row>
    <row r="3404" spans="3:94">
      <c r="C3404"/>
      <c r="D3404"/>
      <c r="E3404"/>
      <c r="F3404"/>
      <c r="CP3404" s="61"/>
    </row>
    <row r="3405" spans="3:94">
      <c r="C3405"/>
      <c r="D3405"/>
      <c r="E3405"/>
      <c r="F3405"/>
      <c r="CP3405" s="61"/>
    </row>
    <row r="3406" spans="3:94">
      <c r="C3406"/>
      <c r="D3406"/>
      <c r="E3406"/>
      <c r="F3406"/>
      <c r="CP3406" s="61"/>
    </row>
    <row r="3407" spans="3:94">
      <c r="C3407"/>
      <c r="D3407"/>
      <c r="E3407"/>
      <c r="F3407"/>
      <c r="CP3407" s="61"/>
    </row>
    <row r="3408" spans="3:94">
      <c r="C3408"/>
      <c r="D3408"/>
      <c r="E3408"/>
      <c r="F3408"/>
      <c r="CP3408" s="61"/>
    </row>
    <row r="3409" spans="3:94">
      <c r="C3409"/>
      <c r="D3409"/>
      <c r="E3409"/>
      <c r="F3409"/>
      <c r="CP3409" s="61"/>
    </row>
    <row r="3410" spans="3:94">
      <c r="C3410"/>
      <c r="D3410"/>
      <c r="E3410"/>
      <c r="F3410"/>
      <c r="CP3410" s="61"/>
    </row>
    <row r="3411" spans="3:94">
      <c r="C3411"/>
      <c r="D3411"/>
      <c r="E3411"/>
      <c r="F3411"/>
      <c r="CP3411" s="61"/>
    </row>
    <row r="3412" spans="3:94">
      <c r="C3412"/>
      <c r="D3412"/>
      <c r="E3412"/>
      <c r="F3412"/>
      <c r="CP3412" s="61"/>
    </row>
    <row r="3413" spans="3:94">
      <c r="C3413"/>
      <c r="D3413"/>
      <c r="E3413"/>
      <c r="F3413"/>
      <c r="CP3413" s="61"/>
    </row>
    <row r="3414" spans="3:94">
      <c r="C3414"/>
      <c r="D3414"/>
      <c r="E3414"/>
      <c r="F3414"/>
      <c r="CP3414" s="61"/>
    </row>
    <row r="3415" spans="3:94">
      <c r="C3415"/>
      <c r="D3415"/>
      <c r="E3415"/>
      <c r="F3415"/>
      <c r="CP3415" s="61"/>
    </row>
    <row r="3416" spans="3:94">
      <c r="C3416"/>
      <c r="D3416"/>
      <c r="E3416"/>
      <c r="F3416"/>
      <c r="CP3416" s="61"/>
    </row>
    <row r="3417" spans="3:94">
      <c r="C3417"/>
      <c r="D3417"/>
      <c r="E3417"/>
      <c r="F3417"/>
      <c r="CP3417" s="61"/>
    </row>
    <row r="3418" spans="3:94">
      <c r="C3418"/>
      <c r="D3418"/>
      <c r="E3418"/>
      <c r="F3418"/>
      <c r="CP3418" s="61"/>
    </row>
    <row r="3419" spans="3:94">
      <c r="C3419"/>
      <c r="D3419"/>
      <c r="E3419"/>
      <c r="F3419"/>
      <c r="CP3419" s="61"/>
    </row>
    <row r="3420" spans="3:94">
      <c r="C3420"/>
      <c r="D3420"/>
      <c r="E3420"/>
      <c r="F3420"/>
      <c r="CP3420" s="61"/>
    </row>
    <row r="3421" spans="3:94">
      <c r="C3421"/>
      <c r="D3421"/>
      <c r="E3421"/>
      <c r="F3421"/>
      <c r="CP3421" s="61"/>
    </row>
    <row r="3422" spans="3:94">
      <c r="C3422"/>
      <c r="D3422"/>
      <c r="E3422"/>
      <c r="F3422"/>
      <c r="CP3422" s="61"/>
    </row>
    <row r="3423" spans="3:94">
      <c r="C3423"/>
      <c r="D3423"/>
      <c r="E3423"/>
      <c r="F3423"/>
      <c r="CP3423" s="61"/>
    </row>
    <row r="3424" spans="3:94">
      <c r="C3424"/>
      <c r="D3424"/>
      <c r="E3424"/>
      <c r="F3424"/>
      <c r="CP3424" s="61"/>
    </row>
    <row r="3425" spans="3:94">
      <c r="C3425"/>
      <c r="D3425"/>
      <c r="E3425"/>
      <c r="F3425"/>
      <c r="CP3425" s="61"/>
    </row>
    <row r="3426" spans="3:94">
      <c r="C3426"/>
      <c r="D3426"/>
      <c r="E3426"/>
      <c r="F3426"/>
      <c r="CP3426" s="61"/>
    </row>
    <row r="3427" spans="3:94">
      <c r="C3427"/>
      <c r="D3427"/>
      <c r="E3427"/>
      <c r="F3427"/>
      <c r="CP3427" s="61"/>
    </row>
    <row r="3428" spans="3:94">
      <c r="C3428"/>
      <c r="D3428"/>
      <c r="E3428"/>
      <c r="F3428"/>
      <c r="CP3428" s="61"/>
    </row>
    <row r="3429" spans="3:94">
      <c r="C3429"/>
      <c r="D3429"/>
      <c r="E3429"/>
      <c r="F3429"/>
      <c r="CP3429" s="61"/>
    </row>
    <row r="3430" spans="3:94">
      <c r="C3430"/>
      <c r="D3430"/>
      <c r="E3430"/>
      <c r="F3430"/>
      <c r="CP3430" s="61"/>
    </row>
    <row r="3431" spans="3:94">
      <c r="C3431"/>
      <c r="D3431"/>
      <c r="E3431"/>
      <c r="F3431"/>
      <c r="CP3431" s="61"/>
    </row>
    <row r="3432" spans="3:94">
      <c r="C3432"/>
      <c r="D3432"/>
      <c r="E3432"/>
      <c r="F3432"/>
      <c r="CP3432" s="61"/>
    </row>
    <row r="3433" spans="3:94">
      <c r="C3433"/>
      <c r="D3433"/>
      <c r="E3433"/>
      <c r="F3433"/>
      <c r="CP3433" s="61"/>
    </row>
    <row r="3434" spans="3:94">
      <c r="C3434"/>
      <c r="D3434"/>
      <c r="E3434"/>
      <c r="F3434"/>
      <c r="CP3434" s="61"/>
    </row>
    <row r="3435" spans="3:94">
      <c r="C3435"/>
      <c r="D3435"/>
      <c r="E3435"/>
      <c r="F3435"/>
      <c r="CP3435" s="61"/>
    </row>
    <row r="3436" spans="3:94">
      <c r="C3436"/>
      <c r="D3436"/>
      <c r="E3436"/>
      <c r="F3436"/>
      <c r="CP3436" s="61"/>
    </row>
    <row r="3437" spans="3:94">
      <c r="C3437"/>
      <c r="D3437"/>
      <c r="E3437"/>
      <c r="F3437"/>
      <c r="CP3437" s="61"/>
    </row>
    <row r="3438" spans="3:94">
      <c r="C3438"/>
      <c r="D3438"/>
      <c r="E3438"/>
      <c r="F3438"/>
      <c r="CP3438" s="61"/>
    </row>
    <row r="3439" spans="3:94">
      <c r="C3439"/>
      <c r="D3439"/>
      <c r="E3439"/>
      <c r="F3439"/>
      <c r="CP3439" s="61"/>
    </row>
    <row r="3440" spans="3:94">
      <c r="C3440"/>
      <c r="D3440"/>
      <c r="E3440"/>
      <c r="F3440"/>
      <c r="CP3440" s="61"/>
    </row>
    <row r="3441" spans="3:94">
      <c r="C3441"/>
      <c r="D3441"/>
      <c r="E3441"/>
      <c r="F3441"/>
      <c r="CP3441" s="61"/>
    </row>
    <row r="3442" spans="3:94">
      <c r="C3442"/>
      <c r="D3442"/>
      <c r="E3442"/>
      <c r="F3442"/>
      <c r="CP3442" s="61"/>
    </row>
    <row r="3443" spans="3:94">
      <c r="C3443"/>
      <c r="D3443"/>
      <c r="E3443"/>
      <c r="F3443"/>
      <c r="CP3443" s="61"/>
    </row>
    <row r="3444" spans="3:94">
      <c r="C3444"/>
      <c r="D3444"/>
      <c r="E3444"/>
      <c r="F3444"/>
      <c r="CP3444" s="61"/>
    </row>
    <row r="3445" spans="3:94">
      <c r="C3445"/>
      <c r="D3445"/>
      <c r="E3445"/>
      <c r="F3445"/>
      <c r="CP3445" s="61"/>
    </row>
    <row r="3446" spans="3:94">
      <c r="C3446"/>
      <c r="D3446"/>
      <c r="E3446"/>
      <c r="F3446"/>
      <c r="CP3446" s="61"/>
    </row>
    <row r="3447" spans="3:94">
      <c r="C3447"/>
      <c r="D3447"/>
      <c r="E3447"/>
      <c r="F3447"/>
      <c r="CP3447" s="61"/>
    </row>
    <row r="3448" spans="3:94">
      <c r="C3448"/>
      <c r="D3448"/>
      <c r="E3448"/>
      <c r="F3448"/>
      <c r="CP3448" s="61"/>
    </row>
    <row r="3449" spans="3:94">
      <c r="C3449"/>
      <c r="D3449"/>
      <c r="E3449"/>
      <c r="F3449"/>
      <c r="CP3449" s="61"/>
    </row>
    <row r="3450" spans="3:94">
      <c r="C3450"/>
      <c r="D3450"/>
      <c r="E3450"/>
      <c r="F3450"/>
      <c r="CP3450" s="61"/>
    </row>
    <row r="3451" spans="3:94">
      <c r="C3451"/>
      <c r="D3451"/>
      <c r="E3451"/>
      <c r="F3451"/>
      <c r="CP3451" s="61"/>
    </row>
    <row r="3452" spans="3:94">
      <c r="C3452"/>
      <c r="D3452"/>
      <c r="E3452"/>
      <c r="F3452"/>
      <c r="CP3452" s="61"/>
    </row>
    <row r="3453" spans="3:94">
      <c r="C3453"/>
      <c r="D3453"/>
      <c r="E3453"/>
      <c r="F3453"/>
      <c r="CP3453" s="61"/>
    </row>
    <row r="3454" spans="3:94">
      <c r="C3454"/>
      <c r="D3454"/>
      <c r="E3454"/>
      <c r="F3454"/>
      <c r="CP3454" s="61"/>
    </row>
    <row r="3455" spans="3:94">
      <c r="C3455"/>
      <c r="D3455"/>
      <c r="E3455"/>
      <c r="F3455"/>
      <c r="CP3455" s="61"/>
    </row>
    <row r="3456" spans="3:94">
      <c r="C3456"/>
      <c r="D3456"/>
      <c r="E3456"/>
      <c r="F3456"/>
      <c r="CP3456" s="61"/>
    </row>
    <row r="3457" spans="3:94">
      <c r="C3457"/>
      <c r="D3457"/>
      <c r="E3457"/>
      <c r="F3457"/>
      <c r="CP3457" s="61"/>
    </row>
    <row r="3458" spans="3:94">
      <c r="C3458"/>
      <c r="D3458"/>
      <c r="E3458"/>
      <c r="F3458"/>
      <c r="CP3458" s="61"/>
    </row>
    <row r="3459" spans="3:94">
      <c r="C3459"/>
      <c r="D3459"/>
      <c r="E3459"/>
      <c r="F3459"/>
      <c r="CP3459" s="61"/>
    </row>
    <row r="3460" spans="3:94">
      <c r="C3460"/>
      <c r="D3460"/>
      <c r="E3460"/>
      <c r="F3460"/>
      <c r="CP3460" s="61"/>
    </row>
    <row r="3461" spans="3:94">
      <c r="C3461"/>
      <c r="D3461"/>
      <c r="E3461"/>
      <c r="F3461"/>
      <c r="CP3461" s="61"/>
    </row>
    <row r="3462" spans="3:94">
      <c r="C3462"/>
      <c r="D3462"/>
      <c r="E3462"/>
      <c r="F3462"/>
      <c r="CP3462" s="61"/>
    </row>
    <row r="3463" spans="3:94">
      <c r="C3463"/>
      <c r="D3463"/>
      <c r="E3463"/>
      <c r="F3463"/>
      <c r="CP3463" s="61"/>
    </row>
    <row r="3464" spans="3:94">
      <c r="C3464"/>
      <c r="D3464"/>
      <c r="E3464"/>
      <c r="F3464"/>
      <c r="CP3464" s="61"/>
    </row>
    <row r="3465" spans="3:94">
      <c r="C3465"/>
      <c r="D3465"/>
      <c r="E3465"/>
      <c r="F3465"/>
      <c r="CP3465" s="61"/>
    </row>
    <row r="3466" spans="3:94">
      <c r="C3466"/>
      <c r="D3466"/>
      <c r="E3466"/>
      <c r="F3466"/>
      <c r="CP3466" s="61"/>
    </row>
    <row r="3467" spans="3:94">
      <c r="C3467"/>
      <c r="D3467"/>
      <c r="E3467"/>
      <c r="F3467"/>
      <c r="CP3467" s="61"/>
    </row>
    <row r="3468" spans="3:94">
      <c r="C3468"/>
      <c r="D3468"/>
      <c r="E3468"/>
      <c r="F3468"/>
      <c r="CP3468" s="61"/>
    </row>
    <row r="3469" spans="3:94">
      <c r="C3469"/>
      <c r="D3469"/>
      <c r="E3469"/>
      <c r="F3469"/>
      <c r="CP3469" s="61"/>
    </row>
    <row r="3470" spans="3:94">
      <c r="C3470"/>
      <c r="D3470"/>
      <c r="E3470"/>
      <c r="F3470"/>
      <c r="CP3470" s="61"/>
    </row>
    <row r="3471" spans="3:94">
      <c r="C3471"/>
      <c r="D3471"/>
      <c r="E3471"/>
      <c r="F3471"/>
      <c r="CP3471" s="61"/>
    </row>
    <row r="3472" spans="3:94">
      <c r="C3472"/>
      <c r="D3472"/>
      <c r="E3472"/>
      <c r="F3472"/>
      <c r="CP3472" s="61"/>
    </row>
    <row r="3473" spans="3:94">
      <c r="C3473"/>
      <c r="D3473"/>
      <c r="E3473"/>
      <c r="F3473"/>
      <c r="CP3473" s="61"/>
    </row>
    <row r="3474" spans="3:94">
      <c r="C3474"/>
      <c r="D3474"/>
      <c r="E3474"/>
      <c r="F3474"/>
      <c r="CP3474" s="61"/>
    </row>
    <row r="3475" spans="3:94">
      <c r="C3475"/>
      <c r="D3475"/>
      <c r="E3475"/>
      <c r="F3475"/>
      <c r="CP3475" s="61"/>
    </row>
    <row r="3476" spans="3:94">
      <c r="C3476"/>
      <c r="D3476"/>
      <c r="E3476"/>
      <c r="F3476"/>
      <c r="CP3476" s="61"/>
    </row>
    <row r="3477" spans="3:94">
      <c r="C3477"/>
      <c r="D3477"/>
      <c r="E3477"/>
      <c r="F3477"/>
      <c r="CP3477" s="61"/>
    </row>
    <row r="3478" spans="3:94">
      <c r="C3478"/>
      <c r="D3478"/>
      <c r="E3478"/>
      <c r="F3478"/>
      <c r="CP3478" s="61"/>
    </row>
    <row r="3479" spans="3:94">
      <c r="C3479"/>
      <c r="D3479"/>
      <c r="E3479"/>
      <c r="F3479"/>
      <c r="CP3479" s="61"/>
    </row>
    <row r="3480" spans="3:94">
      <c r="C3480"/>
      <c r="D3480"/>
      <c r="E3480"/>
      <c r="F3480"/>
      <c r="CP3480" s="61"/>
    </row>
    <row r="3481" spans="3:94">
      <c r="C3481"/>
      <c r="D3481"/>
      <c r="E3481"/>
      <c r="F3481"/>
      <c r="CP3481" s="61"/>
    </row>
    <row r="3482" spans="3:94">
      <c r="C3482"/>
      <c r="D3482"/>
      <c r="E3482"/>
      <c r="F3482"/>
      <c r="CP3482" s="61"/>
    </row>
    <row r="3483" spans="3:94">
      <c r="C3483"/>
      <c r="D3483"/>
      <c r="E3483"/>
      <c r="F3483"/>
      <c r="CP3483" s="61"/>
    </row>
    <row r="3484" spans="3:94">
      <c r="C3484"/>
      <c r="D3484"/>
      <c r="E3484"/>
      <c r="F3484"/>
      <c r="CP3484" s="61"/>
    </row>
    <row r="3485" spans="3:94">
      <c r="C3485"/>
      <c r="D3485"/>
      <c r="E3485"/>
      <c r="F3485"/>
      <c r="CP3485" s="61"/>
    </row>
    <row r="3486" spans="3:94">
      <c r="C3486"/>
      <c r="D3486"/>
      <c r="E3486"/>
      <c r="F3486"/>
      <c r="CP3486" s="61"/>
    </row>
    <row r="3487" spans="3:94">
      <c r="C3487"/>
      <c r="D3487"/>
      <c r="E3487"/>
      <c r="F3487"/>
      <c r="CP3487" s="61"/>
    </row>
    <row r="3488" spans="3:94">
      <c r="C3488"/>
      <c r="D3488"/>
      <c r="E3488"/>
      <c r="F3488"/>
      <c r="CP3488" s="61"/>
    </row>
    <row r="3489" spans="3:94">
      <c r="C3489"/>
      <c r="D3489"/>
      <c r="E3489"/>
      <c r="F3489"/>
      <c r="CP3489" s="61"/>
    </row>
    <row r="3490" spans="3:94">
      <c r="C3490"/>
      <c r="D3490"/>
      <c r="E3490"/>
      <c r="F3490"/>
      <c r="CP3490" s="61"/>
    </row>
    <row r="3491" spans="3:94">
      <c r="C3491"/>
      <c r="D3491"/>
      <c r="E3491"/>
      <c r="F3491"/>
      <c r="CP3491" s="61"/>
    </row>
    <row r="3492" spans="3:94">
      <c r="C3492"/>
      <c r="D3492"/>
      <c r="E3492"/>
      <c r="F3492"/>
      <c r="CP3492" s="61"/>
    </row>
    <row r="3493" spans="3:94">
      <c r="C3493"/>
      <c r="D3493"/>
      <c r="E3493"/>
      <c r="F3493"/>
      <c r="CP3493" s="61"/>
    </row>
    <row r="3494" spans="3:94">
      <c r="C3494"/>
      <c r="D3494"/>
      <c r="E3494"/>
      <c r="F3494"/>
      <c r="CP3494" s="61"/>
    </row>
    <row r="3495" spans="3:94">
      <c r="C3495"/>
      <c r="D3495"/>
      <c r="E3495"/>
      <c r="F3495"/>
      <c r="CP3495" s="61"/>
    </row>
    <row r="3496" spans="3:94">
      <c r="C3496"/>
      <c r="D3496"/>
      <c r="E3496"/>
      <c r="F3496"/>
      <c r="CP3496" s="61"/>
    </row>
    <row r="3497" spans="3:94">
      <c r="C3497"/>
      <c r="D3497"/>
      <c r="E3497"/>
      <c r="F3497"/>
      <c r="CP3497" s="61"/>
    </row>
    <row r="3498" spans="3:94">
      <c r="C3498"/>
      <c r="D3498"/>
      <c r="E3498"/>
      <c r="F3498"/>
      <c r="CP3498" s="61"/>
    </row>
    <row r="3499" spans="3:94">
      <c r="C3499"/>
      <c r="D3499"/>
      <c r="E3499"/>
      <c r="F3499"/>
      <c r="CP3499" s="61"/>
    </row>
    <row r="3500" spans="3:94">
      <c r="C3500"/>
      <c r="D3500"/>
      <c r="E3500"/>
      <c r="F3500"/>
      <c r="CP3500" s="61"/>
    </row>
    <row r="3501" spans="3:94">
      <c r="C3501"/>
      <c r="D3501"/>
      <c r="E3501"/>
      <c r="F3501"/>
      <c r="CP3501" s="61"/>
    </row>
    <row r="3502" spans="3:94">
      <c r="C3502"/>
      <c r="D3502"/>
      <c r="E3502"/>
      <c r="F3502"/>
      <c r="CP3502" s="61"/>
    </row>
    <row r="3503" spans="3:94">
      <c r="C3503"/>
      <c r="D3503"/>
      <c r="E3503"/>
      <c r="F3503"/>
      <c r="CP3503" s="61"/>
    </row>
    <row r="3504" spans="3:94">
      <c r="C3504"/>
      <c r="D3504"/>
      <c r="E3504"/>
      <c r="F3504"/>
      <c r="CP3504" s="61"/>
    </row>
    <row r="3505" spans="3:94">
      <c r="C3505"/>
      <c r="D3505"/>
      <c r="E3505"/>
      <c r="F3505"/>
      <c r="CP3505" s="61"/>
    </row>
    <row r="3506" spans="3:94">
      <c r="C3506"/>
      <c r="D3506"/>
      <c r="E3506"/>
      <c r="F3506"/>
      <c r="CP3506" s="61"/>
    </row>
    <row r="3507" spans="3:94">
      <c r="C3507"/>
      <c r="D3507"/>
      <c r="E3507"/>
      <c r="F3507"/>
      <c r="CP3507" s="61"/>
    </row>
    <row r="3508" spans="3:94">
      <c r="C3508"/>
      <c r="D3508"/>
      <c r="E3508"/>
      <c r="F3508"/>
      <c r="CP3508" s="61"/>
    </row>
    <row r="3509" spans="3:94">
      <c r="C3509"/>
      <c r="D3509"/>
      <c r="E3509"/>
      <c r="F3509"/>
      <c r="CP3509" s="61"/>
    </row>
    <row r="3510" spans="3:94">
      <c r="C3510"/>
      <c r="D3510"/>
      <c r="E3510"/>
      <c r="F3510"/>
      <c r="CP3510" s="61"/>
    </row>
    <row r="3511" spans="3:94">
      <c r="C3511"/>
      <c r="D3511"/>
      <c r="E3511"/>
      <c r="F3511"/>
      <c r="CP3511" s="61"/>
    </row>
    <row r="3512" spans="3:94">
      <c r="C3512"/>
      <c r="D3512"/>
      <c r="E3512"/>
      <c r="F3512"/>
      <c r="CP3512" s="61"/>
    </row>
    <row r="3513" spans="3:94">
      <c r="C3513"/>
      <c r="D3513"/>
      <c r="E3513"/>
      <c r="F3513"/>
      <c r="CP3513" s="61"/>
    </row>
    <row r="3514" spans="3:94">
      <c r="C3514"/>
      <c r="D3514"/>
      <c r="E3514"/>
      <c r="F3514"/>
      <c r="CP3514" s="61"/>
    </row>
    <row r="3515" spans="3:94">
      <c r="C3515"/>
      <c r="D3515"/>
      <c r="E3515"/>
      <c r="F3515"/>
      <c r="CP3515" s="61"/>
    </row>
    <row r="3516" spans="3:94">
      <c r="C3516"/>
      <c r="D3516"/>
      <c r="E3516"/>
      <c r="F3516"/>
      <c r="CP3516" s="61"/>
    </row>
    <row r="3517" spans="3:94">
      <c r="C3517"/>
      <c r="D3517"/>
      <c r="E3517"/>
      <c r="F3517"/>
      <c r="CP3517" s="61"/>
    </row>
    <row r="3518" spans="3:94">
      <c r="C3518"/>
      <c r="D3518"/>
      <c r="E3518"/>
      <c r="F3518"/>
      <c r="CP3518" s="61"/>
    </row>
    <row r="3519" spans="3:94">
      <c r="C3519"/>
      <c r="D3519"/>
      <c r="E3519"/>
      <c r="F3519"/>
      <c r="CP3519" s="61"/>
    </row>
    <row r="3520" spans="3:94">
      <c r="C3520"/>
      <c r="D3520"/>
      <c r="E3520"/>
      <c r="F3520"/>
      <c r="CP3520" s="61"/>
    </row>
    <row r="3521" spans="3:94">
      <c r="C3521"/>
      <c r="D3521"/>
      <c r="E3521"/>
      <c r="F3521"/>
      <c r="CP3521" s="61"/>
    </row>
    <row r="3522" spans="3:94">
      <c r="C3522"/>
      <c r="D3522"/>
      <c r="E3522"/>
      <c r="F3522"/>
      <c r="CP3522" s="61"/>
    </row>
    <row r="3523" spans="3:94">
      <c r="C3523"/>
      <c r="D3523"/>
      <c r="E3523"/>
      <c r="F3523"/>
      <c r="CP3523" s="61"/>
    </row>
    <row r="3524" spans="3:94">
      <c r="C3524"/>
      <c r="D3524"/>
      <c r="E3524"/>
      <c r="F3524"/>
      <c r="CP3524" s="61"/>
    </row>
    <row r="3525" spans="3:94">
      <c r="C3525"/>
      <c r="D3525"/>
      <c r="E3525"/>
      <c r="F3525"/>
      <c r="CP3525" s="61"/>
    </row>
    <row r="3526" spans="3:94">
      <c r="C3526"/>
      <c r="D3526"/>
      <c r="E3526"/>
      <c r="F3526"/>
      <c r="CP3526" s="61"/>
    </row>
    <row r="3527" spans="3:94">
      <c r="C3527"/>
      <c r="D3527"/>
      <c r="E3527"/>
      <c r="F3527"/>
      <c r="CP3527" s="61"/>
    </row>
    <row r="3528" spans="3:94">
      <c r="C3528"/>
      <c r="D3528"/>
      <c r="E3528"/>
      <c r="F3528"/>
      <c r="CP3528" s="61"/>
    </row>
    <row r="3529" spans="3:94">
      <c r="C3529"/>
      <c r="D3529"/>
      <c r="E3529"/>
      <c r="F3529"/>
      <c r="CP3529" s="61"/>
    </row>
    <row r="3530" spans="3:94">
      <c r="C3530"/>
      <c r="D3530"/>
      <c r="E3530"/>
      <c r="F3530"/>
      <c r="CP3530" s="61"/>
    </row>
    <row r="3531" spans="3:94">
      <c r="C3531"/>
      <c r="D3531"/>
      <c r="E3531"/>
      <c r="F3531"/>
      <c r="CP3531" s="61"/>
    </row>
    <row r="3532" spans="3:94">
      <c r="C3532"/>
      <c r="D3532"/>
      <c r="E3532"/>
      <c r="F3532"/>
      <c r="CP3532" s="61"/>
    </row>
    <row r="3533" spans="3:94">
      <c r="C3533"/>
      <c r="D3533"/>
      <c r="E3533"/>
      <c r="F3533"/>
      <c r="CP3533" s="61"/>
    </row>
    <row r="3534" spans="3:94">
      <c r="C3534"/>
      <c r="D3534"/>
      <c r="E3534"/>
      <c r="F3534"/>
      <c r="CP3534" s="61"/>
    </row>
    <row r="3535" spans="3:94">
      <c r="C3535"/>
      <c r="D3535"/>
      <c r="E3535"/>
      <c r="F3535"/>
      <c r="CP3535" s="61"/>
    </row>
    <row r="3536" spans="3:94">
      <c r="C3536"/>
      <c r="D3536"/>
      <c r="E3536"/>
      <c r="F3536"/>
      <c r="CP3536" s="61"/>
    </row>
    <row r="3537" spans="3:94">
      <c r="C3537"/>
      <c r="D3537"/>
      <c r="E3537"/>
      <c r="F3537"/>
      <c r="CP3537" s="61"/>
    </row>
    <row r="3538" spans="3:94">
      <c r="C3538"/>
      <c r="D3538"/>
      <c r="E3538"/>
      <c r="F3538"/>
      <c r="CP3538" s="61"/>
    </row>
    <row r="3539" spans="3:94">
      <c r="C3539"/>
      <c r="D3539"/>
      <c r="E3539"/>
      <c r="F3539"/>
      <c r="CP3539" s="61"/>
    </row>
    <row r="3540" spans="3:94">
      <c r="C3540"/>
      <c r="D3540"/>
      <c r="E3540"/>
      <c r="F3540"/>
      <c r="CP3540" s="61"/>
    </row>
    <row r="3541" spans="3:94">
      <c r="C3541"/>
      <c r="D3541"/>
      <c r="E3541"/>
      <c r="F3541"/>
      <c r="CP3541" s="61"/>
    </row>
    <row r="3542" spans="3:94">
      <c r="C3542"/>
      <c r="D3542"/>
      <c r="E3542"/>
      <c r="F3542"/>
      <c r="CP3542" s="61"/>
    </row>
    <row r="3543" spans="3:94">
      <c r="C3543"/>
      <c r="D3543"/>
      <c r="E3543"/>
      <c r="F3543"/>
      <c r="CP3543" s="61"/>
    </row>
    <row r="3544" spans="3:94">
      <c r="C3544"/>
      <c r="D3544"/>
      <c r="E3544"/>
      <c r="F3544"/>
      <c r="CP3544" s="61"/>
    </row>
    <row r="3545" spans="3:94">
      <c r="C3545"/>
      <c r="D3545"/>
      <c r="E3545"/>
      <c r="F3545"/>
      <c r="CP3545" s="61"/>
    </row>
    <row r="3546" spans="3:94">
      <c r="C3546"/>
      <c r="D3546"/>
      <c r="E3546"/>
      <c r="F3546"/>
      <c r="CP3546" s="61"/>
    </row>
    <row r="3547" spans="3:94">
      <c r="C3547"/>
      <c r="D3547"/>
      <c r="E3547"/>
      <c r="F3547"/>
      <c r="CP3547" s="61"/>
    </row>
    <row r="3548" spans="3:94">
      <c r="C3548"/>
      <c r="D3548"/>
      <c r="E3548"/>
      <c r="F3548"/>
      <c r="CP3548" s="61"/>
    </row>
    <row r="3549" spans="3:94">
      <c r="C3549"/>
      <c r="D3549"/>
      <c r="E3549"/>
      <c r="F3549"/>
      <c r="CP3549" s="61"/>
    </row>
    <row r="3550" spans="3:94">
      <c r="C3550"/>
      <c r="D3550"/>
      <c r="E3550"/>
      <c r="F3550"/>
      <c r="CP3550" s="61"/>
    </row>
    <row r="3551" spans="3:94">
      <c r="C3551"/>
      <c r="D3551"/>
      <c r="E3551"/>
      <c r="F3551"/>
      <c r="CP3551" s="61"/>
    </row>
    <row r="3552" spans="3:94">
      <c r="C3552"/>
      <c r="D3552"/>
      <c r="E3552"/>
      <c r="F3552"/>
      <c r="CP3552" s="61"/>
    </row>
    <row r="3553" spans="3:94">
      <c r="C3553"/>
      <c r="D3553"/>
      <c r="E3553"/>
      <c r="F3553"/>
      <c r="CP3553" s="61"/>
    </row>
    <row r="3554" spans="3:94">
      <c r="C3554"/>
      <c r="D3554"/>
      <c r="E3554"/>
      <c r="F3554"/>
      <c r="CP3554" s="61"/>
    </row>
    <row r="3555" spans="3:94">
      <c r="C3555"/>
      <c r="D3555"/>
      <c r="E3555"/>
      <c r="F3555"/>
      <c r="CP3555" s="61"/>
    </row>
    <row r="3556" spans="3:94">
      <c r="C3556"/>
      <c r="D3556"/>
      <c r="E3556"/>
      <c r="F3556"/>
      <c r="CP3556" s="61"/>
    </row>
    <row r="3557" spans="3:94">
      <c r="C3557"/>
      <c r="D3557"/>
      <c r="E3557"/>
      <c r="F3557"/>
      <c r="CP3557" s="61"/>
    </row>
    <row r="3558" spans="3:94">
      <c r="C3558"/>
      <c r="D3558"/>
      <c r="E3558"/>
      <c r="F3558"/>
      <c r="CP3558" s="61"/>
    </row>
    <row r="3559" spans="3:94">
      <c r="C3559"/>
      <c r="D3559"/>
      <c r="E3559"/>
      <c r="F3559"/>
      <c r="CP3559" s="61"/>
    </row>
    <row r="3560" spans="3:94">
      <c r="C3560"/>
      <c r="D3560"/>
      <c r="E3560"/>
      <c r="F3560"/>
      <c r="CP3560" s="61"/>
    </row>
    <row r="3561" spans="3:94">
      <c r="C3561"/>
      <c r="D3561"/>
      <c r="E3561"/>
      <c r="F3561"/>
      <c r="CP3561" s="61"/>
    </row>
    <row r="3562" spans="3:94">
      <c r="C3562"/>
      <c r="D3562"/>
      <c r="E3562"/>
      <c r="F3562"/>
      <c r="CP3562" s="61"/>
    </row>
    <row r="3563" spans="3:94">
      <c r="C3563"/>
      <c r="D3563"/>
      <c r="E3563"/>
      <c r="F3563"/>
      <c r="CP3563" s="61"/>
    </row>
    <row r="3564" spans="3:94">
      <c r="C3564"/>
      <c r="D3564"/>
      <c r="E3564"/>
      <c r="F3564"/>
      <c r="CP3564" s="61"/>
    </row>
    <row r="3565" spans="3:94">
      <c r="C3565"/>
      <c r="D3565"/>
      <c r="E3565"/>
      <c r="F3565"/>
      <c r="CP3565" s="61"/>
    </row>
    <row r="3566" spans="3:94">
      <c r="C3566"/>
      <c r="D3566"/>
      <c r="E3566"/>
      <c r="F3566"/>
      <c r="CP3566" s="61"/>
    </row>
    <row r="3567" spans="3:94">
      <c r="C3567"/>
      <c r="D3567"/>
      <c r="E3567"/>
      <c r="F3567"/>
      <c r="CP3567" s="61"/>
    </row>
    <row r="3568" spans="3:94">
      <c r="C3568"/>
      <c r="D3568"/>
      <c r="E3568"/>
      <c r="F3568"/>
      <c r="CP3568" s="61"/>
    </row>
    <row r="3569" spans="3:94">
      <c r="C3569"/>
      <c r="D3569"/>
      <c r="E3569"/>
      <c r="F3569"/>
      <c r="CP3569" s="61"/>
    </row>
    <row r="3570" spans="3:94">
      <c r="C3570"/>
      <c r="D3570"/>
      <c r="E3570"/>
      <c r="F3570"/>
      <c r="CP3570" s="61"/>
    </row>
    <row r="3571" spans="3:94">
      <c r="C3571"/>
      <c r="D3571"/>
      <c r="E3571"/>
      <c r="F3571"/>
      <c r="CP3571" s="61"/>
    </row>
    <row r="3572" spans="3:94">
      <c r="C3572"/>
      <c r="D3572"/>
      <c r="E3572"/>
      <c r="F3572"/>
      <c r="CP3572" s="61"/>
    </row>
    <row r="3573" spans="3:94">
      <c r="C3573"/>
      <c r="D3573"/>
      <c r="E3573"/>
      <c r="F3573"/>
      <c r="CP3573" s="61"/>
    </row>
    <row r="3574" spans="3:94">
      <c r="C3574"/>
      <c r="D3574"/>
      <c r="E3574"/>
      <c r="F3574"/>
      <c r="CP3574" s="61"/>
    </row>
    <row r="3575" spans="3:94">
      <c r="C3575"/>
      <c r="D3575"/>
      <c r="E3575"/>
      <c r="F3575"/>
      <c r="CP3575" s="61"/>
    </row>
    <row r="3576" spans="3:94">
      <c r="C3576"/>
      <c r="D3576"/>
      <c r="E3576"/>
      <c r="F3576"/>
      <c r="CP3576" s="61"/>
    </row>
    <row r="3577" spans="3:94">
      <c r="C3577"/>
      <c r="D3577"/>
      <c r="E3577"/>
      <c r="F3577"/>
      <c r="CP3577" s="61"/>
    </row>
    <row r="3578" spans="3:94">
      <c r="C3578"/>
      <c r="D3578"/>
      <c r="E3578"/>
      <c r="F3578"/>
      <c r="CP3578" s="61"/>
    </row>
    <row r="3579" spans="3:94">
      <c r="C3579"/>
      <c r="D3579"/>
      <c r="E3579"/>
      <c r="F3579"/>
      <c r="CP3579" s="61"/>
    </row>
    <row r="3580" spans="3:94">
      <c r="C3580"/>
      <c r="D3580"/>
      <c r="E3580"/>
      <c r="F3580"/>
      <c r="CP3580" s="61"/>
    </row>
    <row r="3581" spans="3:94">
      <c r="C3581"/>
      <c r="D3581"/>
      <c r="E3581"/>
      <c r="F3581"/>
      <c r="CP3581" s="61"/>
    </row>
    <row r="3582" spans="3:94">
      <c r="C3582"/>
      <c r="D3582"/>
      <c r="E3582"/>
      <c r="F3582"/>
      <c r="CP3582" s="61"/>
    </row>
    <row r="3583" spans="3:94">
      <c r="C3583"/>
      <c r="D3583"/>
      <c r="E3583"/>
      <c r="F3583"/>
      <c r="CP3583" s="61"/>
    </row>
    <row r="3584" spans="3:94">
      <c r="C3584"/>
      <c r="D3584"/>
      <c r="E3584"/>
      <c r="F3584"/>
      <c r="CP3584" s="61"/>
    </row>
    <row r="3585" spans="3:94">
      <c r="C3585"/>
      <c r="D3585"/>
      <c r="E3585"/>
      <c r="F3585"/>
      <c r="CP3585" s="61"/>
    </row>
    <row r="3586" spans="3:94">
      <c r="C3586"/>
      <c r="D3586"/>
      <c r="E3586"/>
      <c r="F3586"/>
      <c r="CP3586" s="61"/>
    </row>
    <row r="3587" spans="3:94">
      <c r="C3587"/>
      <c r="D3587"/>
      <c r="E3587"/>
      <c r="F3587"/>
      <c r="CP3587" s="61"/>
    </row>
    <row r="3588" spans="3:94">
      <c r="C3588"/>
      <c r="D3588"/>
      <c r="E3588"/>
      <c r="F3588"/>
      <c r="CP3588" s="61"/>
    </row>
    <row r="3589" spans="3:94">
      <c r="C3589"/>
      <c r="D3589"/>
      <c r="E3589"/>
      <c r="F3589"/>
      <c r="CP3589" s="61"/>
    </row>
    <row r="3590" spans="3:94">
      <c r="C3590"/>
      <c r="D3590"/>
      <c r="E3590"/>
      <c r="F3590"/>
      <c r="CP3590" s="61"/>
    </row>
    <row r="3591" spans="3:94">
      <c r="C3591"/>
      <c r="D3591"/>
      <c r="E3591"/>
      <c r="F3591"/>
      <c r="CP3591" s="61"/>
    </row>
    <row r="3592" spans="3:94">
      <c r="C3592"/>
      <c r="D3592"/>
      <c r="E3592"/>
      <c r="F3592"/>
      <c r="CP3592" s="61"/>
    </row>
    <row r="3593" spans="3:94">
      <c r="C3593"/>
      <c r="D3593"/>
      <c r="E3593"/>
      <c r="F3593"/>
      <c r="CP3593" s="61"/>
    </row>
    <row r="3594" spans="3:94">
      <c r="C3594"/>
      <c r="D3594"/>
      <c r="E3594"/>
      <c r="F3594"/>
      <c r="CP3594" s="61"/>
    </row>
    <row r="3595" spans="3:94">
      <c r="C3595"/>
      <c r="D3595"/>
      <c r="E3595"/>
      <c r="F3595"/>
      <c r="CP3595" s="61"/>
    </row>
    <row r="3596" spans="3:94">
      <c r="C3596"/>
      <c r="D3596"/>
      <c r="E3596"/>
      <c r="F3596"/>
      <c r="CP3596" s="61"/>
    </row>
    <row r="3597" spans="3:94">
      <c r="C3597"/>
      <c r="D3597"/>
      <c r="E3597"/>
      <c r="F3597"/>
      <c r="CP3597" s="61"/>
    </row>
    <row r="3598" spans="3:94">
      <c r="C3598"/>
      <c r="D3598"/>
      <c r="E3598"/>
      <c r="F3598"/>
      <c r="CP3598" s="61"/>
    </row>
    <row r="3599" spans="3:94">
      <c r="C3599"/>
      <c r="D3599"/>
      <c r="E3599"/>
      <c r="F3599"/>
      <c r="CP3599" s="61"/>
    </row>
    <row r="3600" spans="3:94">
      <c r="C3600"/>
      <c r="D3600"/>
      <c r="E3600"/>
      <c r="F3600"/>
      <c r="CP3600" s="61"/>
    </row>
    <row r="3601" spans="3:94">
      <c r="C3601"/>
      <c r="D3601"/>
      <c r="E3601"/>
      <c r="F3601"/>
      <c r="CP3601" s="61"/>
    </row>
    <row r="3602" spans="3:94">
      <c r="C3602"/>
      <c r="D3602"/>
      <c r="E3602"/>
      <c r="F3602"/>
      <c r="CP3602" s="61"/>
    </row>
    <row r="3603" spans="3:94">
      <c r="C3603"/>
      <c r="D3603"/>
      <c r="E3603"/>
      <c r="F3603"/>
      <c r="CP3603" s="61"/>
    </row>
    <row r="3604" spans="3:94">
      <c r="C3604"/>
      <c r="D3604"/>
      <c r="E3604"/>
      <c r="F3604"/>
      <c r="CP3604" s="61"/>
    </row>
    <row r="3605" spans="3:94">
      <c r="C3605"/>
      <c r="D3605"/>
      <c r="E3605"/>
      <c r="F3605"/>
      <c r="CP3605" s="61"/>
    </row>
    <row r="3606" spans="3:94">
      <c r="C3606"/>
      <c r="D3606"/>
      <c r="E3606"/>
      <c r="F3606"/>
      <c r="CP3606" s="61"/>
    </row>
    <row r="3607" spans="3:94">
      <c r="C3607"/>
      <c r="D3607"/>
      <c r="E3607"/>
      <c r="F3607"/>
      <c r="CP3607" s="61"/>
    </row>
    <row r="3608" spans="3:94">
      <c r="C3608"/>
      <c r="D3608"/>
      <c r="E3608"/>
      <c r="F3608"/>
      <c r="CP3608" s="61"/>
    </row>
    <row r="3609" spans="3:94">
      <c r="C3609"/>
      <c r="D3609"/>
      <c r="E3609"/>
      <c r="F3609"/>
      <c r="CP3609" s="61"/>
    </row>
    <row r="3610" spans="3:94">
      <c r="C3610"/>
      <c r="D3610"/>
      <c r="E3610"/>
      <c r="F3610"/>
      <c r="CP3610" s="61"/>
    </row>
    <row r="3611" spans="3:94">
      <c r="C3611"/>
      <c r="D3611"/>
      <c r="E3611"/>
      <c r="F3611"/>
      <c r="CP3611" s="61"/>
    </row>
    <row r="3612" spans="3:94">
      <c r="C3612"/>
      <c r="D3612"/>
      <c r="E3612"/>
      <c r="F3612"/>
      <c r="CP3612" s="61"/>
    </row>
    <row r="3613" spans="3:94">
      <c r="C3613"/>
      <c r="D3613"/>
      <c r="E3613"/>
      <c r="F3613"/>
      <c r="CP3613" s="61"/>
    </row>
    <row r="3614" spans="3:94">
      <c r="C3614"/>
      <c r="D3614"/>
      <c r="E3614"/>
      <c r="F3614"/>
      <c r="CP3614" s="61"/>
    </row>
    <row r="3615" spans="3:94">
      <c r="C3615"/>
      <c r="D3615"/>
      <c r="E3615"/>
      <c r="F3615"/>
      <c r="CP3615" s="61"/>
    </row>
    <row r="3616" spans="3:94">
      <c r="C3616"/>
      <c r="D3616"/>
      <c r="E3616"/>
      <c r="F3616"/>
      <c r="CP3616" s="61"/>
    </row>
    <row r="3617" spans="3:94">
      <c r="C3617"/>
      <c r="D3617"/>
      <c r="E3617"/>
      <c r="F3617"/>
      <c r="CP3617" s="61"/>
    </row>
    <row r="3618" spans="3:94">
      <c r="C3618"/>
      <c r="D3618"/>
      <c r="E3618"/>
      <c r="F3618"/>
      <c r="CP3618" s="61"/>
    </row>
    <row r="3619" spans="3:94">
      <c r="C3619"/>
      <c r="D3619"/>
      <c r="E3619"/>
      <c r="F3619"/>
      <c r="CP3619" s="61"/>
    </row>
    <row r="3620" spans="3:94">
      <c r="C3620"/>
      <c r="D3620"/>
      <c r="E3620"/>
      <c r="F3620"/>
      <c r="CP3620" s="61"/>
    </row>
    <row r="3621" spans="3:94">
      <c r="C3621"/>
      <c r="D3621"/>
      <c r="E3621"/>
      <c r="F3621"/>
      <c r="CP3621" s="61"/>
    </row>
    <row r="3622" spans="3:94">
      <c r="C3622"/>
      <c r="D3622"/>
      <c r="E3622"/>
      <c r="F3622"/>
      <c r="CP3622" s="61"/>
    </row>
    <row r="3623" spans="3:94">
      <c r="C3623"/>
      <c r="D3623"/>
      <c r="E3623"/>
      <c r="F3623"/>
      <c r="CP3623" s="61"/>
    </row>
    <row r="3624" spans="3:94">
      <c r="C3624"/>
      <c r="D3624"/>
      <c r="E3624"/>
      <c r="F3624"/>
      <c r="CP3624" s="61"/>
    </row>
    <row r="3625" spans="3:94">
      <c r="C3625"/>
      <c r="D3625"/>
      <c r="E3625"/>
      <c r="F3625"/>
      <c r="CP3625" s="61"/>
    </row>
    <row r="3626" spans="3:94">
      <c r="C3626"/>
      <c r="D3626"/>
      <c r="E3626"/>
      <c r="F3626"/>
      <c r="CP3626" s="61"/>
    </row>
    <row r="3627" spans="3:94">
      <c r="C3627"/>
      <c r="D3627"/>
      <c r="E3627"/>
      <c r="F3627"/>
      <c r="CP3627" s="61"/>
    </row>
    <row r="3628" spans="3:94">
      <c r="C3628"/>
      <c r="D3628"/>
      <c r="E3628"/>
      <c r="F3628"/>
      <c r="CP3628" s="61"/>
    </row>
    <row r="3629" spans="3:94">
      <c r="C3629"/>
      <c r="D3629"/>
      <c r="E3629"/>
      <c r="F3629"/>
      <c r="CP3629" s="61"/>
    </row>
    <row r="3630" spans="3:94">
      <c r="C3630"/>
      <c r="D3630"/>
      <c r="E3630"/>
      <c r="F3630"/>
      <c r="CP3630" s="61"/>
    </row>
    <row r="3631" spans="3:94">
      <c r="C3631"/>
      <c r="D3631"/>
      <c r="E3631"/>
      <c r="F3631"/>
      <c r="CP3631" s="61"/>
    </row>
    <row r="3632" spans="3:94">
      <c r="C3632"/>
      <c r="D3632"/>
      <c r="E3632"/>
      <c r="F3632"/>
      <c r="CP3632" s="61"/>
    </row>
    <row r="3633" spans="3:94">
      <c r="C3633"/>
      <c r="D3633"/>
      <c r="E3633"/>
      <c r="F3633"/>
      <c r="CP3633" s="61"/>
    </row>
    <row r="3634" spans="3:94">
      <c r="C3634"/>
      <c r="D3634"/>
      <c r="E3634"/>
      <c r="F3634"/>
      <c r="CP3634" s="61"/>
    </row>
    <row r="3635" spans="3:94">
      <c r="C3635"/>
      <c r="D3635"/>
      <c r="E3635"/>
      <c r="F3635"/>
      <c r="CP3635" s="61"/>
    </row>
    <row r="3636" spans="3:94">
      <c r="C3636"/>
      <c r="D3636"/>
      <c r="E3636"/>
      <c r="F3636"/>
      <c r="CP3636" s="61"/>
    </row>
    <row r="3637" spans="3:94">
      <c r="C3637"/>
      <c r="D3637"/>
      <c r="E3637"/>
      <c r="F3637"/>
      <c r="CP3637" s="61"/>
    </row>
    <row r="3638" spans="3:94">
      <c r="C3638"/>
      <c r="D3638"/>
      <c r="E3638"/>
      <c r="F3638"/>
      <c r="CP3638" s="61"/>
    </row>
    <row r="3639" spans="3:94">
      <c r="C3639"/>
      <c r="D3639"/>
      <c r="E3639"/>
      <c r="F3639"/>
      <c r="CP3639" s="61"/>
    </row>
    <row r="3640" spans="3:94">
      <c r="C3640"/>
      <c r="D3640"/>
      <c r="E3640"/>
      <c r="F3640"/>
      <c r="CP3640" s="61"/>
    </row>
    <row r="3641" spans="3:94">
      <c r="C3641"/>
      <c r="D3641"/>
      <c r="E3641"/>
      <c r="F3641"/>
      <c r="CP3641" s="61"/>
    </row>
    <row r="3642" spans="3:94">
      <c r="C3642"/>
      <c r="D3642"/>
      <c r="E3642"/>
      <c r="F3642"/>
      <c r="CP3642" s="61"/>
    </row>
    <row r="3643" spans="3:94">
      <c r="C3643"/>
      <c r="D3643"/>
      <c r="E3643"/>
      <c r="F3643"/>
      <c r="CP3643" s="61"/>
    </row>
    <row r="3644" spans="3:94">
      <c r="C3644"/>
      <c r="D3644"/>
      <c r="E3644"/>
      <c r="F3644"/>
      <c r="CP3644" s="61"/>
    </row>
    <row r="3645" spans="3:94">
      <c r="C3645"/>
      <c r="D3645"/>
      <c r="E3645"/>
      <c r="F3645"/>
      <c r="CP3645" s="61"/>
    </row>
    <row r="3646" spans="3:94">
      <c r="C3646"/>
      <c r="D3646"/>
      <c r="E3646"/>
      <c r="F3646"/>
      <c r="CP3646" s="61"/>
    </row>
    <row r="3647" spans="3:94">
      <c r="C3647"/>
      <c r="D3647"/>
      <c r="E3647"/>
      <c r="F3647"/>
      <c r="CP3647" s="61"/>
    </row>
    <row r="3648" spans="3:94">
      <c r="C3648"/>
      <c r="D3648"/>
      <c r="E3648"/>
      <c r="F3648"/>
      <c r="CP3648" s="61"/>
    </row>
    <row r="3649" spans="3:94">
      <c r="C3649"/>
      <c r="D3649"/>
      <c r="E3649"/>
      <c r="F3649"/>
      <c r="CP3649" s="61"/>
    </row>
    <row r="3650" spans="3:94">
      <c r="C3650"/>
      <c r="D3650"/>
      <c r="E3650"/>
      <c r="F3650"/>
      <c r="CP3650" s="61"/>
    </row>
    <row r="3651" spans="3:94">
      <c r="C3651"/>
      <c r="D3651"/>
      <c r="E3651"/>
      <c r="F3651"/>
      <c r="CP3651" s="61"/>
    </row>
    <row r="3652" spans="3:94">
      <c r="C3652"/>
      <c r="D3652"/>
      <c r="E3652"/>
      <c r="F3652"/>
      <c r="CP3652" s="61"/>
    </row>
    <row r="3653" spans="3:94">
      <c r="C3653"/>
      <c r="D3653"/>
      <c r="E3653"/>
      <c r="F3653"/>
      <c r="CP3653" s="61"/>
    </row>
    <row r="3654" spans="3:94">
      <c r="C3654"/>
      <c r="D3654"/>
      <c r="E3654"/>
      <c r="F3654"/>
      <c r="CP3654" s="61"/>
    </row>
    <row r="3655" spans="3:94">
      <c r="C3655"/>
      <c r="D3655"/>
      <c r="E3655"/>
      <c r="F3655"/>
      <c r="CP3655" s="61"/>
    </row>
    <row r="3656" spans="3:94">
      <c r="C3656"/>
      <c r="D3656"/>
      <c r="E3656"/>
      <c r="F3656"/>
      <c r="CP3656" s="61"/>
    </row>
    <row r="3657" spans="3:94">
      <c r="C3657"/>
      <c r="D3657"/>
      <c r="E3657"/>
      <c r="F3657"/>
      <c r="CP3657" s="61"/>
    </row>
    <row r="3658" spans="3:94">
      <c r="C3658"/>
      <c r="D3658"/>
      <c r="E3658"/>
      <c r="F3658"/>
      <c r="CP3658" s="61"/>
    </row>
    <row r="3659" spans="3:94">
      <c r="C3659"/>
      <c r="D3659"/>
      <c r="E3659"/>
      <c r="F3659"/>
      <c r="CP3659" s="61"/>
    </row>
    <row r="3660" spans="3:94">
      <c r="C3660"/>
      <c r="D3660"/>
      <c r="E3660"/>
      <c r="F3660"/>
      <c r="CP3660" s="61"/>
    </row>
    <row r="3661" spans="3:94">
      <c r="C3661"/>
      <c r="D3661"/>
      <c r="E3661"/>
      <c r="F3661"/>
      <c r="CP3661" s="61"/>
    </row>
    <row r="3662" spans="3:94">
      <c r="C3662"/>
      <c r="D3662"/>
      <c r="E3662"/>
      <c r="F3662"/>
      <c r="CP3662" s="61"/>
    </row>
    <row r="3663" spans="3:94">
      <c r="C3663"/>
      <c r="D3663"/>
      <c r="E3663"/>
      <c r="F3663"/>
      <c r="CP3663" s="61"/>
    </row>
    <row r="3664" spans="3:94">
      <c r="C3664"/>
      <c r="D3664"/>
      <c r="E3664"/>
      <c r="F3664"/>
      <c r="CP3664" s="61"/>
    </row>
    <row r="3665" spans="3:94">
      <c r="C3665"/>
      <c r="D3665"/>
      <c r="E3665"/>
      <c r="F3665"/>
      <c r="CP3665" s="61"/>
    </row>
    <row r="3666" spans="3:94">
      <c r="C3666"/>
      <c r="D3666"/>
      <c r="E3666"/>
      <c r="F3666"/>
      <c r="CP3666" s="61"/>
    </row>
    <row r="3667" spans="3:94">
      <c r="C3667"/>
      <c r="D3667"/>
      <c r="E3667"/>
      <c r="F3667"/>
      <c r="CP3667" s="61"/>
    </row>
    <row r="3668" spans="3:94">
      <c r="C3668"/>
      <c r="D3668"/>
      <c r="E3668"/>
      <c r="F3668"/>
      <c r="CP3668" s="61"/>
    </row>
    <row r="3669" spans="3:94">
      <c r="C3669"/>
      <c r="D3669"/>
      <c r="E3669"/>
      <c r="F3669"/>
      <c r="CP3669" s="61"/>
    </row>
    <row r="3670" spans="3:94">
      <c r="C3670"/>
      <c r="D3670"/>
      <c r="E3670"/>
      <c r="F3670"/>
      <c r="CP3670" s="61"/>
    </row>
    <row r="3671" spans="3:94">
      <c r="C3671"/>
      <c r="D3671"/>
      <c r="E3671"/>
      <c r="F3671"/>
      <c r="CP3671" s="61"/>
    </row>
    <row r="3672" spans="3:94">
      <c r="C3672"/>
      <c r="D3672"/>
      <c r="E3672"/>
      <c r="F3672"/>
      <c r="CP3672" s="61"/>
    </row>
    <row r="3673" spans="3:94">
      <c r="C3673"/>
      <c r="D3673"/>
      <c r="E3673"/>
      <c r="F3673"/>
      <c r="CP3673" s="61"/>
    </row>
    <row r="3674" spans="3:94">
      <c r="C3674"/>
      <c r="D3674"/>
      <c r="E3674"/>
      <c r="F3674"/>
      <c r="CP3674" s="61"/>
    </row>
    <row r="3675" spans="3:94">
      <c r="C3675"/>
      <c r="D3675"/>
      <c r="E3675"/>
      <c r="F3675"/>
      <c r="CP3675" s="61"/>
    </row>
    <row r="3676" spans="3:94">
      <c r="C3676"/>
      <c r="D3676"/>
      <c r="E3676"/>
      <c r="F3676"/>
      <c r="CP3676" s="61"/>
    </row>
    <row r="3677" spans="3:94">
      <c r="C3677"/>
      <c r="D3677"/>
      <c r="E3677"/>
      <c r="F3677"/>
      <c r="CP3677" s="61"/>
    </row>
    <row r="3678" spans="3:94">
      <c r="C3678"/>
      <c r="D3678"/>
      <c r="E3678"/>
      <c r="F3678"/>
      <c r="CP3678" s="61"/>
    </row>
    <row r="3679" spans="3:94">
      <c r="C3679"/>
      <c r="D3679"/>
      <c r="E3679"/>
      <c r="F3679"/>
      <c r="CP3679" s="61"/>
    </row>
    <row r="3680" spans="3:94">
      <c r="C3680"/>
      <c r="D3680"/>
      <c r="E3680"/>
      <c r="F3680"/>
      <c r="CP3680" s="61"/>
    </row>
    <row r="3681" spans="3:94">
      <c r="C3681"/>
      <c r="D3681"/>
      <c r="E3681"/>
      <c r="F3681"/>
      <c r="CP3681" s="61"/>
    </row>
    <row r="3682" spans="3:94">
      <c r="C3682"/>
      <c r="D3682"/>
      <c r="E3682"/>
      <c r="F3682"/>
      <c r="CP3682" s="61"/>
    </row>
    <row r="3683" spans="3:94">
      <c r="C3683"/>
      <c r="D3683"/>
      <c r="E3683"/>
      <c r="F3683"/>
      <c r="CP3683" s="61"/>
    </row>
    <row r="3684" spans="3:94">
      <c r="C3684"/>
      <c r="D3684"/>
      <c r="E3684"/>
      <c r="F3684"/>
      <c r="CP3684" s="61"/>
    </row>
    <row r="3685" spans="3:94">
      <c r="C3685"/>
      <c r="D3685"/>
      <c r="E3685"/>
      <c r="F3685"/>
      <c r="CP3685" s="61"/>
    </row>
    <row r="3686" spans="3:94">
      <c r="C3686"/>
      <c r="D3686"/>
      <c r="E3686"/>
      <c r="F3686"/>
      <c r="CP3686" s="61"/>
    </row>
    <row r="3687" spans="3:94">
      <c r="C3687"/>
      <c r="D3687"/>
      <c r="E3687"/>
      <c r="F3687"/>
      <c r="CP3687" s="61"/>
    </row>
    <row r="3688" spans="3:94">
      <c r="C3688"/>
      <c r="D3688"/>
      <c r="E3688"/>
      <c r="F3688"/>
      <c r="CP3688" s="61"/>
    </row>
    <row r="3689" spans="3:94">
      <c r="C3689"/>
      <c r="D3689"/>
      <c r="E3689"/>
      <c r="F3689"/>
      <c r="CP3689" s="61"/>
    </row>
    <row r="3690" spans="3:94">
      <c r="C3690"/>
      <c r="D3690"/>
      <c r="E3690"/>
      <c r="F3690"/>
      <c r="CP3690" s="61"/>
    </row>
    <row r="3691" spans="3:94">
      <c r="C3691"/>
      <c r="D3691"/>
      <c r="E3691"/>
      <c r="F3691"/>
      <c r="CP3691" s="61"/>
    </row>
    <row r="3692" spans="3:94">
      <c r="C3692"/>
      <c r="D3692"/>
      <c r="E3692"/>
      <c r="F3692"/>
      <c r="CP3692" s="61"/>
    </row>
    <row r="3693" spans="3:94">
      <c r="C3693"/>
      <c r="D3693"/>
      <c r="E3693"/>
      <c r="F3693"/>
      <c r="CP3693" s="61"/>
    </row>
    <row r="3694" spans="3:94">
      <c r="C3694"/>
      <c r="D3694"/>
      <c r="E3694"/>
      <c r="F3694"/>
      <c r="CP3694" s="61"/>
    </row>
    <row r="3695" spans="3:94">
      <c r="C3695"/>
      <c r="D3695"/>
      <c r="E3695"/>
      <c r="F3695"/>
      <c r="CP3695" s="61"/>
    </row>
    <row r="3696" spans="3:94">
      <c r="C3696"/>
      <c r="D3696"/>
      <c r="E3696"/>
      <c r="F3696"/>
      <c r="CP3696" s="61"/>
    </row>
    <row r="3697" spans="3:94">
      <c r="C3697"/>
      <c r="D3697"/>
      <c r="E3697"/>
      <c r="F3697"/>
      <c r="CP3697" s="61"/>
    </row>
    <row r="3698" spans="3:94">
      <c r="C3698"/>
      <c r="D3698"/>
      <c r="E3698"/>
      <c r="F3698"/>
      <c r="CP3698" s="61"/>
    </row>
    <row r="3699" spans="3:94">
      <c r="C3699"/>
      <c r="D3699"/>
      <c r="E3699"/>
      <c r="F3699"/>
      <c r="CP3699" s="61"/>
    </row>
    <row r="3700" spans="3:94">
      <c r="C3700"/>
      <c r="D3700"/>
      <c r="E3700"/>
      <c r="F3700"/>
      <c r="CP3700" s="61"/>
    </row>
    <row r="3701" spans="3:94">
      <c r="C3701"/>
      <c r="D3701"/>
      <c r="E3701"/>
      <c r="F3701"/>
      <c r="CP3701" s="61"/>
    </row>
    <row r="3702" spans="3:94">
      <c r="C3702"/>
      <c r="D3702"/>
      <c r="E3702"/>
      <c r="F3702"/>
      <c r="CP3702" s="61"/>
    </row>
    <row r="3703" spans="3:94">
      <c r="C3703"/>
      <c r="D3703"/>
      <c r="E3703"/>
      <c r="F3703"/>
      <c r="CP3703" s="61"/>
    </row>
    <row r="3704" spans="3:94">
      <c r="C3704"/>
      <c r="D3704"/>
      <c r="E3704"/>
      <c r="F3704"/>
      <c r="CP3704" s="61"/>
    </row>
    <row r="3705" spans="3:94">
      <c r="C3705"/>
      <c r="D3705"/>
      <c r="E3705"/>
      <c r="F3705"/>
      <c r="CP3705" s="61"/>
    </row>
    <row r="3706" spans="3:94">
      <c r="C3706"/>
      <c r="D3706"/>
      <c r="E3706"/>
      <c r="F3706"/>
      <c r="CP3706" s="61"/>
    </row>
    <row r="3707" spans="3:94">
      <c r="C3707"/>
      <c r="D3707"/>
      <c r="E3707"/>
      <c r="F3707"/>
      <c r="CP3707" s="61"/>
    </row>
    <row r="3708" spans="3:94">
      <c r="C3708"/>
      <c r="D3708"/>
      <c r="E3708"/>
      <c r="F3708"/>
      <c r="CP3708" s="61"/>
    </row>
    <row r="3709" spans="3:94">
      <c r="C3709"/>
      <c r="D3709"/>
      <c r="E3709"/>
      <c r="F3709"/>
      <c r="CP3709" s="61"/>
    </row>
    <row r="3710" spans="3:94">
      <c r="C3710"/>
      <c r="D3710"/>
      <c r="E3710"/>
      <c r="F3710"/>
      <c r="CP3710" s="61"/>
    </row>
    <row r="3711" spans="3:94">
      <c r="C3711"/>
      <c r="D3711"/>
      <c r="E3711"/>
      <c r="F3711"/>
      <c r="CP3711" s="61"/>
    </row>
    <row r="3712" spans="3:94">
      <c r="C3712"/>
      <c r="D3712"/>
      <c r="E3712"/>
      <c r="F3712"/>
      <c r="CP3712" s="61"/>
    </row>
    <row r="3713" spans="3:94">
      <c r="C3713"/>
      <c r="D3713"/>
      <c r="E3713"/>
      <c r="F3713"/>
      <c r="CP3713" s="61"/>
    </row>
    <row r="3714" spans="3:94">
      <c r="C3714"/>
      <c r="D3714"/>
      <c r="E3714"/>
      <c r="F3714"/>
      <c r="CP3714" s="61"/>
    </row>
    <row r="3715" spans="3:94">
      <c r="C3715"/>
      <c r="D3715"/>
      <c r="E3715"/>
      <c r="F3715"/>
      <c r="CP3715" s="61"/>
    </row>
    <row r="3716" spans="3:94">
      <c r="C3716"/>
      <c r="D3716"/>
      <c r="E3716"/>
      <c r="F3716"/>
      <c r="CP3716" s="61"/>
    </row>
    <row r="3717" spans="3:94">
      <c r="C3717"/>
      <c r="D3717"/>
      <c r="E3717"/>
      <c r="F3717"/>
      <c r="CP3717" s="61"/>
    </row>
    <row r="3718" spans="3:94">
      <c r="C3718"/>
      <c r="D3718"/>
      <c r="E3718"/>
      <c r="F3718"/>
      <c r="CP3718" s="61"/>
    </row>
    <row r="3719" spans="3:94">
      <c r="C3719"/>
      <c r="D3719"/>
      <c r="E3719"/>
      <c r="F3719"/>
      <c r="CP3719" s="61"/>
    </row>
    <row r="3720" spans="3:94">
      <c r="C3720"/>
      <c r="D3720"/>
      <c r="E3720"/>
      <c r="F3720"/>
      <c r="CP3720" s="61"/>
    </row>
    <row r="3721" spans="3:94">
      <c r="C3721"/>
      <c r="D3721"/>
      <c r="E3721"/>
      <c r="F3721"/>
      <c r="CP3721" s="61"/>
    </row>
    <row r="3722" spans="3:94">
      <c r="C3722"/>
      <c r="D3722"/>
      <c r="E3722"/>
      <c r="F3722"/>
      <c r="CP3722" s="61"/>
    </row>
    <row r="3723" spans="3:94">
      <c r="C3723"/>
      <c r="D3723"/>
      <c r="E3723"/>
      <c r="F3723"/>
      <c r="CP3723" s="61"/>
    </row>
    <row r="3724" spans="3:94">
      <c r="C3724"/>
      <c r="D3724"/>
      <c r="E3724"/>
      <c r="F3724"/>
      <c r="CP3724" s="61"/>
    </row>
    <row r="3725" spans="3:94">
      <c r="C3725"/>
      <c r="D3725"/>
      <c r="E3725"/>
      <c r="F3725"/>
      <c r="CP3725" s="61"/>
    </row>
    <row r="3726" spans="3:94">
      <c r="C3726"/>
      <c r="D3726"/>
      <c r="E3726"/>
      <c r="F3726"/>
      <c r="CP3726" s="61"/>
    </row>
    <row r="3727" spans="3:94">
      <c r="C3727"/>
      <c r="D3727"/>
      <c r="E3727"/>
      <c r="F3727"/>
      <c r="CP3727" s="61"/>
    </row>
    <row r="3728" spans="3:94">
      <c r="C3728"/>
      <c r="D3728"/>
      <c r="E3728"/>
      <c r="F3728"/>
      <c r="CP3728" s="61"/>
    </row>
    <row r="3729" spans="3:94">
      <c r="C3729"/>
      <c r="D3729"/>
      <c r="E3729"/>
      <c r="F3729"/>
      <c r="CP3729" s="61"/>
    </row>
    <row r="3730" spans="3:94">
      <c r="C3730"/>
      <c r="D3730"/>
      <c r="E3730"/>
      <c r="F3730"/>
      <c r="CP3730" s="61"/>
    </row>
    <row r="3731" spans="3:94">
      <c r="C3731"/>
      <c r="D3731"/>
      <c r="E3731"/>
      <c r="F3731"/>
      <c r="CP3731" s="61"/>
    </row>
    <row r="3732" spans="3:94">
      <c r="C3732"/>
      <c r="D3732"/>
      <c r="E3732"/>
      <c r="F3732"/>
      <c r="CP3732" s="61"/>
    </row>
    <row r="3733" spans="3:94">
      <c r="C3733"/>
      <c r="D3733"/>
      <c r="E3733"/>
      <c r="F3733"/>
      <c r="CP3733" s="61"/>
    </row>
    <row r="3734" spans="3:94">
      <c r="C3734"/>
      <c r="D3734"/>
      <c r="E3734"/>
      <c r="F3734"/>
      <c r="CP3734" s="61"/>
    </row>
    <row r="3735" spans="3:94">
      <c r="C3735"/>
      <c r="D3735"/>
      <c r="E3735"/>
      <c r="F3735"/>
      <c r="CP3735" s="61"/>
    </row>
    <row r="3736" spans="3:94">
      <c r="C3736"/>
      <c r="D3736"/>
      <c r="E3736"/>
      <c r="F3736"/>
      <c r="CP3736" s="61"/>
    </row>
    <row r="3737" spans="3:94">
      <c r="C3737"/>
      <c r="D3737"/>
      <c r="E3737"/>
      <c r="F3737"/>
      <c r="CP3737" s="61"/>
    </row>
    <row r="3738" spans="3:94">
      <c r="C3738"/>
      <c r="D3738"/>
      <c r="E3738"/>
      <c r="F3738"/>
      <c r="CP3738" s="61"/>
    </row>
    <row r="3739" spans="3:94">
      <c r="C3739"/>
      <c r="D3739"/>
      <c r="E3739"/>
      <c r="F3739"/>
      <c r="CP3739" s="61"/>
    </row>
    <row r="3740" spans="3:94">
      <c r="C3740"/>
      <c r="D3740"/>
      <c r="E3740"/>
      <c r="F3740"/>
      <c r="CP3740" s="61"/>
    </row>
    <row r="3741" spans="3:94">
      <c r="C3741"/>
      <c r="D3741"/>
      <c r="E3741"/>
      <c r="F3741"/>
      <c r="CP3741" s="61"/>
    </row>
    <row r="3742" spans="3:94">
      <c r="C3742"/>
      <c r="D3742"/>
      <c r="E3742"/>
      <c r="F3742"/>
      <c r="CP3742" s="61"/>
    </row>
    <row r="3743" spans="3:94">
      <c r="C3743"/>
      <c r="D3743"/>
      <c r="E3743"/>
      <c r="F3743"/>
      <c r="CP3743" s="61"/>
    </row>
    <row r="3744" spans="3:94">
      <c r="C3744"/>
      <c r="D3744"/>
      <c r="E3744"/>
      <c r="F3744"/>
      <c r="CP3744" s="61"/>
    </row>
    <row r="3745" spans="3:94">
      <c r="C3745"/>
      <c r="D3745"/>
      <c r="E3745"/>
      <c r="F3745"/>
      <c r="CP3745" s="61"/>
    </row>
    <row r="3746" spans="3:94">
      <c r="C3746"/>
      <c r="D3746"/>
      <c r="E3746"/>
      <c r="F3746"/>
      <c r="CP3746" s="61"/>
    </row>
    <row r="3747" spans="3:94">
      <c r="C3747"/>
      <c r="D3747"/>
      <c r="E3747"/>
      <c r="F3747"/>
      <c r="CP3747" s="61"/>
    </row>
    <row r="3748" spans="3:94">
      <c r="C3748"/>
      <c r="D3748"/>
      <c r="E3748"/>
      <c r="F3748"/>
      <c r="CP3748" s="61"/>
    </row>
    <row r="3749" spans="3:94">
      <c r="C3749"/>
      <c r="D3749"/>
      <c r="E3749"/>
      <c r="F3749"/>
      <c r="CP3749" s="61"/>
    </row>
    <row r="3750" spans="3:94">
      <c r="C3750"/>
      <c r="D3750"/>
      <c r="E3750"/>
      <c r="F3750"/>
      <c r="CP3750" s="61"/>
    </row>
    <row r="3751" spans="3:94">
      <c r="C3751"/>
      <c r="D3751"/>
      <c r="E3751"/>
      <c r="F3751"/>
      <c r="CP3751" s="61"/>
    </row>
    <row r="3752" spans="3:94">
      <c r="C3752"/>
      <c r="D3752"/>
      <c r="E3752"/>
      <c r="F3752"/>
      <c r="CP3752" s="61"/>
    </row>
    <row r="3753" spans="3:94">
      <c r="C3753"/>
      <c r="D3753"/>
      <c r="E3753"/>
      <c r="F3753"/>
      <c r="CP3753" s="61"/>
    </row>
    <row r="3754" spans="3:94">
      <c r="C3754"/>
      <c r="D3754"/>
      <c r="E3754"/>
      <c r="F3754"/>
      <c r="CP3754" s="61"/>
    </row>
    <row r="3755" spans="3:94">
      <c r="C3755"/>
      <c r="D3755"/>
      <c r="E3755"/>
      <c r="F3755"/>
      <c r="CP3755" s="61"/>
    </row>
    <row r="3756" spans="3:94">
      <c r="C3756"/>
      <c r="D3756"/>
      <c r="E3756"/>
      <c r="F3756"/>
      <c r="CP3756" s="61"/>
    </row>
    <row r="3757" spans="3:94">
      <c r="C3757"/>
      <c r="D3757"/>
      <c r="E3757"/>
      <c r="F3757"/>
      <c r="CP3757" s="61"/>
    </row>
    <row r="3758" spans="3:94">
      <c r="C3758"/>
      <c r="D3758"/>
      <c r="E3758"/>
      <c r="F3758"/>
      <c r="CP3758" s="61"/>
    </row>
    <row r="3759" spans="3:94">
      <c r="C3759"/>
      <c r="D3759"/>
      <c r="E3759"/>
      <c r="F3759"/>
      <c r="CP3759" s="61"/>
    </row>
    <row r="3760" spans="3:94">
      <c r="C3760"/>
      <c r="D3760"/>
      <c r="E3760"/>
      <c r="F3760"/>
      <c r="CP3760" s="61"/>
    </row>
    <row r="3761" spans="3:94">
      <c r="C3761"/>
      <c r="D3761"/>
      <c r="E3761"/>
      <c r="F3761"/>
      <c r="CP3761" s="61"/>
    </row>
    <row r="3762" spans="3:94">
      <c r="C3762"/>
      <c r="D3762"/>
      <c r="E3762"/>
      <c r="F3762"/>
      <c r="CP3762" s="61"/>
    </row>
    <row r="3763" spans="3:94">
      <c r="C3763"/>
      <c r="D3763"/>
      <c r="E3763"/>
      <c r="F3763"/>
      <c r="CP3763" s="61"/>
    </row>
    <row r="3764" spans="3:94">
      <c r="C3764"/>
      <c r="D3764"/>
      <c r="E3764"/>
      <c r="F3764"/>
      <c r="CP3764" s="61"/>
    </row>
    <row r="3765" spans="3:94">
      <c r="C3765"/>
      <c r="D3765"/>
      <c r="E3765"/>
      <c r="F3765"/>
      <c r="CP3765" s="61"/>
    </row>
    <row r="3766" spans="3:94">
      <c r="C3766"/>
      <c r="D3766"/>
      <c r="E3766"/>
      <c r="F3766"/>
      <c r="CP3766" s="61"/>
    </row>
    <row r="3767" spans="3:94">
      <c r="C3767"/>
      <c r="D3767"/>
      <c r="E3767"/>
      <c r="F3767"/>
      <c r="CP3767" s="61"/>
    </row>
    <row r="3768" spans="3:94">
      <c r="C3768"/>
      <c r="D3768"/>
      <c r="E3768"/>
      <c r="F3768"/>
      <c r="CP3768" s="61"/>
    </row>
    <row r="3769" spans="3:94">
      <c r="C3769"/>
      <c r="D3769"/>
      <c r="E3769"/>
      <c r="F3769"/>
      <c r="CP3769" s="61"/>
    </row>
    <row r="3770" spans="3:94">
      <c r="C3770"/>
      <c r="D3770"/>
      <c r="E3770"/>
      <c r="F3770"/>
      <c r="CP3770" s="61"/>
    </row>
    <row r="3771" spans="3:94">
      <c r="C3771"/>
      <c r="D3771"/>
      <c r="E3771"/>
      <c r="F3771"/>
      <c r="CP3771" s="61"/>
    </row>
    <row r="3772" spans="3:94">
      <c r="C3772"/>
      <c r="D3772"/>
      <c r="E3772"/>
      <c r="F3772"/>
      <c r="CP3772" s="61"/>
    </row>
    <row r="3773" spans="3:94">
      <c r="C3773"/>
      <c r="D3773"/>
      <c r="E3773"/>
      <c r="F3773"/>
      <c r="CP3773" s="61"/>
    </row>
    <row r="3774" spans="3:94">
      <c r="C3774"/>
      <c r="D3774"/>
      <c r="E3774"/>
      <c r="F3774"/>
      <c r="CP3774" s="61"/>
    </row>
    <row r="3775" spans="3:94">
      <c r="C3775"/>
      <c r="D3775"/>
      <c r="E3775"/>
      <c r="F3775"/>
      <c r="CP3775" s="61"/>
    </row>
    <row r="3776" spans="3:94">
      <c r="C3776"/>
      <c r="D3776"/>
      <c r="E3776"/>
      <c r="F3776"/>
      <c r="CP3776" s="61"/>
    </row>
    <row r="3777" spans="3:94">
      <c r="C3777"/>
      <c r="D3777"/>
      <c r="E3777"/>
      <c r="F3777"/>
      <c r="CP3777" s="61"/>
    </row>
    <row r="3778" spans="3:94">
      <c r="C3778"/>
      <c r="D3778"/>
      <c r="E3778"/>
      <c r="F3778"/>
      <c r="CP3778" s="61"/>
    </row>
    <row r="3779" spans="3:94">
      <c r="C3779"/>
      <c r="D3779"/>
      <c r="E3779"/>
      <c r="F3779"/>
      <c r="CP3779" s="61"/>
    </row>
    <row r="3780" spans="3:94">
      <c r="C3780"/>
      <c r="D3780"/>
      <c r="E3780"/>
      <c r="F3780"/>
      <c r="CP3780" s="61"/>
    </row>
    <row r="3781" spans="3:94">
      <c r="C3781"/>
      <c r="D3781"/>
      <c r="E3781"/>
      <c r="F3781"/>
      <c r="CP3781" s="61"/>
    </row>
    <row r="3782" spans="3:94">
      <c r="C3782"/>
      <c r="D3782"/>
      <c r="E3782"/>
      <c r="F3782"/>
      <c r="CP3782" s="61"/>
    </row>
    <row r="3783" spans="3:94">
      <c r="C3783"/>
      <c r="D3783"/>
      <c r="E3783"/>
      <c r="F3783"/>
      <c r="CP3783" s="61"/>
    </row>
    <row r="3784" spans="3:94">
      <c r="C3784"/>
      <c r="D3784"/>
      <c r="E3784"/>
      <c r="F3784"/>
      <c r="CP3784" s="61"/>
    </row>
    <row r="3785" spans="3:94">
      <c r="C3785"/>
      <c r="D3785"/>
      <c r="E3785"/>
      <c r="F3785"/>
      <c r="CP3785" s="61"/>
    </row>
    <row r="3786" spans="3:94">
      <c r="C3786"/>
      <c r="D3786"/>
      <c r="E3786"/>
      <c r="F3786"/>
      <c r="CP3786" s="61"/>
    </row>
    <row r="3787" spans="3:94">
      <c r="C3787"/>
      <c r="D3787"/>
      <c r="E3787"/>
      <c r="F3787"/>
      <c r="CP3787" s="61"/>
    </row>
    <row r="3788" spans="3:94">
      <c r="C3788"/>
      <c r="D3788"/>
      <c r="E3788"/>
      <c r="F3788"/>
      <c r="CP3788" s="61"/>
    </row>
    <row r="3789" spans="3:94">
      <c r="C3789"/>
      <c r="D3789"/>
      <c r="E3789"/>
      <c r="F3789"/>
      <c r="CP3789" s="61"/>
    </row>
    <row r="3790" spans="3:94">
      <c r="C3790"/>
      <c r="D3790"/>
      <c r="E3790"/>
      <c r="F3790"/>
      <c r="CP3790" s="61"/>
    </row>
    <row r="3791" spans="3:94">
      <c r="C3791"/>
      <c r="D3791"/>
      <c r="E3791"/>
      <c r="F3791"/>
      <c r="CP3791" s="61"/>
    </row>
    <row r="3792" spans="3:94">
      <c r="C3792"/>
      <c r="D3792"/>
      <c r="E3792"/>
      <c r="F3792"/>
      <c r="CP3792" s="61"/>
    </row>
    <row r="3793" spans="3:94">
      <c r="C3793"/>
      <c r="D3793"/>
      <c r="E3793"/>
      <c r="F3793"/>
      <c r="CP3793" s="61"/>
    </row>
    <row r="3794" spans="3:94">
      <c r="C3794"/>
      <c r="D3794"/>
      <c r="E3794"/>
      <c r="F3794"/>
      <c r="CP3794" s="61"/>
    </row>
    <row r="3795" spans="3:94">
      <c r="C3795"/>
      <c r="D3795"/>
      <c r="E3795"/>
      <c r="F3795"/>
      <c r="CP3795" s="61"/>
    </row>
    <row r="3796" spans="3:94">
      <c r="C3796"/>
      <c r="D3796"/>
      <c r="E3796"/>
      <c r="F3796"/>
      <c r="CP3796" s="61"/>
    </row>
    <row r="3797" spans="3:94">
      <c r="C3797"/>
      <c r="D3797"/>
      <c r="E3797"/>
      <c r="F3797"/>
      <c r="CP3797" s="61"/>
    </row>
    <row r="3798" spans="3:94">
      <c r="C3798"/>
      <c r="D3798"/>
      <c r="E3798"/>
      <c r="F3798"/>
      <c r="CP3798" s="61"/>
    </row>
    <row r="3799" spans="3:94">
      <c r="C3799"/>
      <c r="D3799"/>
      <c r="E3799"/>
      <c r="F3799"/>
      <c r="CP3799" s="61"/>
    </row>
    <row r="3800" spans="3:94">
      <c r="C3800"/>
      <c r="D3800"/>
      <c r="E3800"/>
      <c r="F3800"/>
      <c r="CP3800" s="61"/>
    </row>
    <row r="3801" spans="3:94">
      <c r="C3801"/>
      <c r="D3801"/>
      <c r="E3801"/>
      <c r="F3801"/>
      <c r="CP3801" s="61"/>
    </row>
    <row r="3802" spans="3:94">
      <c r="C3802"/>
      <c r="D3802"/>
      <c r="E3802"/>
      <c r="F3802"/>
      <c r="CP3802" s="61"/>
    </row>
    <row r="3803" spans="3:94">
      <c r="C3803"/>
      <c r="D3803"/>
      <c r="E3803"/>
      <c r="F3803"/>
      <c r="CP3803" s="61"/>
    </row>
    <row r="3804" spans="3:94">
      <c r="C3804"/>
      <c r="D3804"/>
      <c r="E3804"/>
      <c r="F3804"/>
      <c r="CP3804" s="61"/>
    </row>
    <row r="3805" spans="3:94">
      <c r="C3805"/>
      <c r="D3805"/>
      <c r="E3805"/>
      <c r="F3805"/>
      <c r="CP3805" s="61"/>
    </row>
    <row r="3806" spans="3:94">
      <c r="C3806"/>
      <c r="D3806"/>
      <c r="E3806"/>
      <c r="F3806"/>
      <c r="CP3806" s="61"/>
    </row>
    <row r="3807" spans="3:94">
      <c r="C3807"/>
      <c r="D3807"/>
      <c r="E3807"/>
      <c r="F3807"/>
      <c r="CP3807" s="61"/>
    </row>
    <row r="3808" spans="3:94">
      <c r="C3808"/>
      <c r="D3808"/>
      <c r="E3808"/>
      <c r="F3808"/>
      <c r="CP3808" s="61"/>
    </row>
    <row r="3809" spans="3:94">
      <c r="C3809"/>
      <c r="D3809"/>
      <c r="E3809"/>
      <c r="F3809"/>
      <c r="CP3809" s="61"/>
    </row>
    <row r="3810" spans="3:94">
      <c r="C3810"/>
      <c r="D3810"/>
      <c r="E3810"/>
      <c r="F3810"/>
      <c r="CP3810" s="61"/>
    </row>
    <row r="3811" spans="3:94">
      <c r="C3811"/>
      <c r="D3811"/>
      <c r="E3811"/>
      <c r="F3811"/>
      <c r="CP3811" s="61"/>
    </row>
    <row r="3812" spans="3:94">
      <c r="C3812"/>
      <c r="D3812"/>
      <c r="E3812"/>
      <c r="F3812"/>
      <c r="CP3812" s="61"/>
    </row>
    <row r="3813" spans="3:94">
      <c r="C3813"/>
      <c r="D3813"/>
      <c r="E3813"/>
      <c r="F3813"/>
      <c r="CP3813" s="61"/>
    </row>
    <row r="3814" spans="3:94">
      <c r="C3814"/>
      <c r="D3814"/>
      <c r="E3814"/>
      <c r="F3814"/>
      <c r="CP3814" s="61"/>
    </row>
    <row r="3815" spans="3:94">
      <c r="C3815"/>
      <c r="D3815"/>
      <c r="E3815"/>
      <c r="F3815"/>
      <c r="CP3815" s="61"/>
    </row>
    <row r="3816" spans="3:94">
      <c r="C3816"/>
      <c r="D3816"/>
      <c r="E3816"/>
      <c r="F3816"/>
      <c r="CP3816" s="61"/>
    </row>
    <row r="3817" spans="3:94">
      <c r="C3817"/>
      <c r="D3817"/>
      <c r="E3817"/>
      <c r="F3817"/>
      <c r="CP3817" s="61"/>
    </row>
    <row r="3818" spans="3:94">
      <c r="C3818"/>
      <c r="D3818"/>
      <c r="E3818"/>
      <c r="F3818"/>
      <c r="CP3818" s="61"/>
    </row>
    <row r="3819" spans="3:94">
      <c r="C3819"/>
      <c r="D3819"/>
      <c r="E3819"/>
      <c r="F3819"/>
      <c r="CP3819" s="61"/>
    </row>
    <row r="3820" spans="3:94">
      <c r="C3820"/>
      <c r="D3820"/>
      <c r="E3820"/>
      <c r="F3820"/>
      <c r="CP3820" s="61"/>
    </row>
    <row r="3821" spans="3:94">
      <c r="C3821"/>
      <c r="D3821"/>
      <c r="E3821"/>
      <c r="F3821"/>
      <c r="CP3821" s="61"/>
    </row>
    <row r="3822" spans="3:94">
      <c r="C3822"/>
      <c r="D3822"/>
      <c r="E3822"/>
      <c r="F3822"/>
      <c r="CP3822" s="61"/>
    </row>
    <row r="3823" spans="3:94">
      <c r="C3823"/>
      <c r="D3823"/>
      <c r="E3823"/>
      <c r="F3823"/>
      <c r="CP3823" s="61"/>
    </row>
    <row r="3824" spans="3:94">
      <c r="C3824"/>
      <c r="D3824"/>
      <c r="E3824"/>
      <c r="F3824"/>
      <c r="CP3824" s="61"/>
    </row>
    <row r="3825" spans="3:94">
      <c r="C3825"/>
      <c r="D3825"/>
      <c r="E3825"/>
      <c r="F3825"/>
      <c r="CP3825" s="61"/>
    </row>
    <row r="3826" spans="3:94">
      <c r="C3826"/>
      <c r="D3826"/>
      <c r="E3826"/>
      <c r="F3826"/>
      <c r="CP3826" s="61"/>
    </row>
    <row r="3827" spans="3:94">
      <c r="C3827"/>
      <c r="D3827"/>
      <c r="E3827"/>
      <c r="F3827"/>
      <c r="CP3827" s="61"/>
    </row>
    <row r="3828" spans="3:94">
      <c r="C3828"/>
      <c r="D3828"/>
      <c r="E3828"/>
      <c r="F3828"/>
      <c r="CP3828" s="61"/>
    </row>
    <row r="3829" spans="3:94">
      <c r="C3829"/>
      <c r="D3829"/>
      <c r="E3829"/>
      <c r="F3829"/>
      <c r="CP3829" s="61"/>
    </row>
    <row r="3830" spans="3:94">
      <c r="C3830"/>
      <c r="D3830"/>
      <c r="E3830"/>
      <c r="F3830"/>
      <c r="CP3830" s="61"/>
    </row>
    <row r="3831" spans="3:94">
      <c r="C3831"/>
      <c r="D3831"/>
      <c r="E3831"/>
      <c r="F3831"/>
      <c r="CP3831" s="61"/>
    </row>
    <row r="3832" spans="3:94">
      <c r="C3832"/>
      <c r="D3832"/>
      <c r="E3832"/>
      <c r="F3832"/>
      <c r="CP3832" s="61"/>
    </row>
    <row r="3833" spans="3:94">
      <c r="C3833"/>
      <c r="D3833"/>
      <c r="E3833"/>
      <c r="F3833"/>
      <c r="CP3833" s="61"/>
    </row>
    <row r="3834" spans="3:94">
      <c r="C3834"/>
      <c r="D3834"/>
      <c r="E3834"/>
      <c r="F3834"/>
      <c r="CP3834" s="61"/>
    </row>
    <row r="3835" spans="3:94">
      <c r="C3835"/>
      <c r="D3835"/>
      <c r="E3835"/>
      <c r="F3835"/>
      <c r="CP3835" s="61"/>
    </row>
    <row r="3836" spans="3:94">
      <c r="C3836"/>
      <c r="D3836"/>
      <c r="E3836"/>
      <c r="F3836"/>
      <c r="CP3836" s="61"/>
    </row>
    <row r="3837" spans="3:94">
      <c r="C3837"/>
      <c r="D3837"/>
      <c r="E3837"/>
      <c r="F3837"/>
      <c r="CP3837" s="61"/>
    </row>
    <row r="3838" spans="3:94">
      <c r="C3838"/>
      <c r="D3838"/>
      <c r="E3838"/>
      <c r="F3838"/>
      <c r="CP3838" s="61"/>
    </row>
    <row r="3839" spans="3:94">
      <c r="C3839"/>
      <c r="D3839"/>
      <c r="E3839"/>
      <c r="F3839"/>
      <c r="CP3839" s="61"/>
    </row>
    <row r="3840" spans="3:94">
      <c r="C3840"/>
      <c r="D3840"/>
      <c r="E3840"/>
      <c r="F3840"/>
      <c r="CP3840" s="61"/>
    </row>
    <row r="3841" spans="3:94">
      <c r="C3841"/>
      <c r="D3841"/>
      <c r="E3841"/>
      <c r="F3841"/>
      <c r="CP3841" s="61"/>
    </row>
    <row r="3842" spans="3:94">
      <c r="C3842"/>
      <c r="D3842"/>
      <c r="E3842"/>
      <c r="F3842"/>
      <c r="CP3842" s="61"/>
    </row>
    <row r="3843" spans="3:94">
      <c r="C3843"/>
      <c r="D3843"/>
      <c r="E3843"/>
      <c r="F3843"/>
      <c r="CP3843" s="61"/>
    </row>
    <row r="3844" spans="3:94">
      <c r="C3844"/>
      <c r="D3844"/>
      <c r="E3844"/>
      <c r="F3844"/>
      <c r="CP3844" s="61"/>
    </row>
    <row r="3845" spans="3:94">
      <c r="C3845"/>
      <c r="D3845"/>
      <c r="E3845"/>
      <c r="F3845"/>
      <c r="CP3845" s="61"/>
    </row>
    <row r="3846" spans="3:94">
      <c r="C3846"/>
      <c r="D3846"/>
      <c r="E3846"/>
      <c r="F3846"/>
      <c r="CP3846" s="61"/>
    </row>
    <row r="3847" spans="3:94">
      <c r="C3847"/>
      <c r="D3847"/>
      <c r="E3847"/>
      <c r="F3847"/>
      <c r="CP3847" s="61"/>
    </row>
    <row r="3848" spans="3:94">
      <c r="C3848"/>
      <c r="D3848"/>
      <c r="E3848"/>
      <c r="F3848"/>
      <c r="CP3848" s="61"/>
    </row>
    <row r="3849" spans="3:94">
      <c r="C3849"/>
      <c r="D3849"/>
      <c r="E3849"/>
      <c r="F3849"/>
      <c r="CP3849" s="61"/>
    </row>
    <row r="3850" spans="3:94">
      <c r="C3850"/>
      <c r="D3850"/>
      <c r="E3850"/>
      <c r="F3850"/>
      <c r="CP3850" s="61"/>
    </row>
    <row r="3851" spans="3:94">
      <c r="C3851"/>
      <c r="D3851"/>
      <c r="E3851"/>
      <c r="F3851"/>
      <c r="CP3851" s="61"/>
    </row>
    <row r="3852" spans="3:94">
      <c r="C3852"/>
      <c r="D3852"/>
      <c r="E3852"/>
      <c r="F3852"/>
      <c r="CP3852" s="61"/>
    </row>
    <row r="3853" spans="3:94">
      <c r="C3853"/>
      <c r="D3853"/>
      <c r="E3853"/>
      <c r="F3853"/>
      <c r="CP3853" s="61"/>
    </row>
    <row r="3854" spans="3:94">
      <c r="C3854"/>
      <c r="D3854"/>
      <c r="E3854"/>
      <c r="F3854"/>
      <c r="CP3854" s="61"/>
    </row>
    <row r="3855" spans="3:94">
      <c r="C3855"/>
      <c r="D3855"/>
      <c r="E3855"/>
      <c r="F3855"/>
      <c r="CP3855" s="61"/>
    </row>
    <row r="3856" spans="3:94">
      <c r="C3856"/>
      <c r="D3856"/>
      <c r="E3856"/>
      <c r="F3856"/>
      <c r="CP3856" s="61"/>
    </row>
    <row r="3857" spans="3:94">
      <c r="C3857"/>
      <c r="D3857"/>
      <c r="E3857"/>
      <c r="F3857"/>
      <c r="CP3857" s="61"/>
    </row>
    <row r="3858" spans="3:94">
      <c r="C3858"/>
      <c r="D3858"/>
      <c r="E3858"/>
      <c r="F3858"/>
      <c r="CP3858" s="61"/>
    </row>
    <row r="3859" spans="3:94">
      <c r="C3859"/>
      <c r="D3859"/>
      <c r="E3859"/>
      <c r="F3859"/>
      <c r="CP3859" s="61"/>
    </row>
    <row r="3860" spans="3:94">
      <c r="C3860"/>
      <c r="D3860"/>
      <c r="E3860"/>
      <c r="F3860"/>
      <c r="CP3860" s="61"/>
    </row>
    <row r="3861" spans="3:94">
      <c r="C3861"/>
      <c r="D3861"/>
      <c r="E3861"/>
      <c r="F3861"/>
      <c r="CP3861" s="61"/>
    </row>
    <row r="3862" spans="3:94">
      <c r="C3862"/>
      <c r="D3862"/>
      <c r="E3862"/>
      <c r="F3862"/>
      <c r="CP3862" s="61"/>
    </row>
    <row r="3863" spans="3:94">
      <c r="C3863"/>
      <c r="D3863"/>
      <c r="E3863"/>
      <c r="F3863"/>
      <c r="CP3863" s="61"/>
    </row>
    <row r="3864" spans="3:94">
      <c r="C3864"/>
      <c r="D3864"/>
      <c r="E3864"/>
      <c r="F3864"/>
      <c r="CP3864" s="61"/>
    </row>
    <row r="3865" spans="3:94">
      <c r="C3865"/>
      <c r="D3865"/>
      <c r="E3865"/>
      <c r="F3865"/>
      <c r="CP3865" s="61"/>
    </row>
    <row r="3866" spans="3:94">
      <c r="C3866"/>
      <c r="D3866"/>
      <c r="E3866"/>
      <c r="F3866"/>
      <c r="CP3866" s="61"/>
    </row>
    <row r="3867" spans="3:94">
      <c r="C3867"/>
      <c r="D3867"/>
      <c r="E3867"/>
      <c r="F3867"/>
      <c r="CP3867" s="61"/>
    </row>
    <row r="3868" spans="3:94">
      <c r="C3868"/>
      <c r="D3868"/>
      <c r="E3868"/>
      <c r="F3868"/>
      <c r="CP3868" s="61"/>
    </row>
    <row r="3869" spans="3:94">
      <c r="C3869"/>
      <c r="D3869"/>
      <c r="E3869"/>
      <c r="F3869"/>
      <c r="CP3869" s="61"/>
    </row>
    <row r="3870" spans="3:94">
      <c r="C3870"/>
      <c r="D3870"/>
      <c r="E3870"/>
      <c r="F3870"/>
      <c r="CP3870" s="61"/>
    </row>
    <row r="3871" spans="3:94">
      <c r="C3871"/>
      <c r="D3871"/>
      <c r="E3871"/>
      <c r="F3871"/>
      <c r="CP3871" s="61"/>
    </row>
    <row r="3872" spans="3:94">
      <c r="C3872"/>
      <c r="D3872"/>
      <c r="E3872"/>
      <c r="F3872"/>
      <c r="CP3872" s="61"/>
    </row>
    <row r="3873" spans="3:94">
      <c r="C3873"/>
      <c r="D3873"/>
      <c r="E3873"/>
      <c r="F3873"/>
      <c r="CP3873" s="61"/>
    </row>
    <row r="3874" spans="3:94">
      <c r="C3874"/>
      <c r="D3874"/>
      <c r="E3874"/>
      <c r="F3874"/>
      <c r="CP3874" s="61"/>
    </row>
    <row r="3875" spans="3:94">
      <c r="C3875"/>
      <c r="D3875"/>
      <c r="E3875"/>
      <c r="F3875"/>
      <c r="CP3875" s="61"/>
    </row>
    <row r="3876" spans="3:94">
      <c r="C3876"/>
      <c r="D3876"/>
      <c r="E3876"/>
      <c r="F3876"/>
      <c r="CP3876" s="61"/>
    </row>
    <row r="3877" spans="3:94">
      <c r="C3877"/>
      <c r="D3877"/>
      <c r="E3877"/>
      <c r="F3877"/>
      <c r="CP3877" s="61"/>
    </row>
    <row r="3878" spans="3:94">
      <c r="C3878"/>
      <c r="D3878"/>
      <c r="E3878"/>
      <c r="F3878"/>
      <c r="CP3878" s="61"/>
    </row>
    <row r="3879" spans="3:94">
      <c r="C3879"/>
      <c r="D3879"/>
      <c r="E3879"/>
      <c r="F3879"/>
      <c r="CP3879" s="61"/>
    </row>
    <row r="3880" spans="3:94">
      <c r="C3880"/>
      <c r="D3880"/>
      <c r="E3880"/>
      <c r="F3880"/>
      <c r="CP3880" s="61"/>
    </row>
    <row r="3881" spans="3:94">
      <c r="C3881"/>
      <c r="D3881"/>
      <c r="E3881"/>
      <c r="F3881"/>
      <c r="CP3881" s="61"/>
    </row>
    <row r="3882" spans="3:94">
      <c r="C3882"/>
      <c r="D3882"/>
      <c r="E3882"/>
      <c r="F3882"/>
      <c r="CP3882" s="61"/>
    </row>
    <row r="3883" spans="3:94">
      <c r="C3883"/>
      <c r="D3883"/>
      <c r="E3883"/>
      <c r="F3883"/>
      <c r="CP3883" s="61"/>
    </row>
    <row r="3884" spans="3:94">
      <c r="C3884"/>
      <c r="D3884"/>
      <c r="E3884"/>
      <c r="F3884"/>
      <c r="CP3884" s="61"/>
    </row>
    <row r="3885" spans="3:94">
      <c r="C3885"/>
      <c r="D3885"/>
      <c r="E3885"/>
      <c r="F3885"/>
      <c r="CP3885" s="61"/>
    </row>
    <row r="3886" spans="3:94">
      <c r="C3886"/>
      <c r="D3886"/>
      <c r="E3886"/>
      <c r="F3886"/>
      <c r="CP3886" s="61"/>
    </row>
    <row r="3887" spans="3:94">
      <c r="C3887"/>
      <c r="D3887"/>
      <c r="E3887"/>
      <c r="F3887"/>
      <c r="CP3887" s="61"/>
    </row>
    <row r="3888" spans="3:94">
      <c r="C3888"/>
      <c r="D3888"/>
      <c r="E3888"/>
      <c r="F3888"/>
      <c r="CP3888" s="61"/>
    </row>
    <row r="3889" spans="3:94">
      <c r="C3889"/>
      <c r="D3889"/>
      <c r="E3889"/>
      <c r="F3889"/>
      <c r="CP3889" s="61"/>
    </row>
    <row r="3890" spans="3:94">
      <c r="C3890"/>
      <c r="D3890"/>
      <c r="E3890"/>
      <c r="F3890"/>
      <c r="CP3890" s="61"/>
    </row>
    <row r="3891" spans="3:94">
      <c r="C3891"/>
      <c r="D3891"/>
      <c r="E3891"/>
      <c r="F3891"/>
      <c r="CP3891" s="61"/>
    </row>
    <row r="3892" spans="3:94">
      <c r="C3892"/>
      <c r="D3892"/>
      <c r="E3892"/>
      <c r="F3892"/>
      <c r="CP3892" s="61"/>
    </row>
    <row r="3893" spans="3:94">
      <c r="C3893"/>
      <c r="D3893"/>
      <c r="E3893"/>
      <c r="F3893"/>
      <c r="CP3893" s="61"/>
    </row>
    <row r="3894" spans="3:94">
      <c r="C3894"/>
      <c r="D3894"/>
      <c r="E3894"/>
      <c r="F3894"/>
      <c r="CP3894" s="61"/>
    </row>
    <row r="3895" spans="3:94">
      <c r="C3895"/>
      <c r="D3895"/>
      <c r="E3895"/>
      <c r="F3895"/>
      <c r="CP3895" s="61"/>
    </row>
    <row r="3896" spans="3:94">
      <c r="C3896"/>
      <c r="D3896"/>
      <c r="E3896"/>
      <c r="F3896"/>
      <c r="CP3896" s="61"/>
    </row>
    <row r="3897" spans="3:94">
      <c r="C3897"/>
      <c r="D3897"/>
      <c r="E3897"/>
      <c r="F3897"/>
      <c r="CP3897" s="61"/>
    </row>
    <row r="3898" spans="3:94">
      <c r="C3898"/>
      <c r="D3898"/>
      <c r="E3898"/>
      <c r="F3898"/>
      <c r="CP3898" s="61"/>
    </row>
    <row r="3899" spans="3:94">
      <c r="C3899"/>
      <c r="D3899"/>
      <c r="E3899"/>
      <c r="F3899"/>
      <c r="CP3899" s="61"/>
    </row>
    <row r="3900" spans="3:94">
      <c r="C3900"/>
      <c r="D3900"/>
      <c r="E3900"/>
      <c r="F3900"/>
      <c r="CP3900" s="61"/>
    </row>
    <row r="3901" spans="3:94">
      <c r="C3901"/>
      <c r="D3901"/>
      <c r="E3901"/>
      <c r="F3901"/>
      <c r="CP3901" s="61"/>
    </row>
    <row r="3902" spans="3:94">
      <c r="C3902"/>
      <c r="D3902"/>
      <c r="E3902"/>
      <c r="F3902"/>
      <c r="CP3902" s="61"/>
    </row>
    <row r="3903" spans="3:94">
      <c r="C3903"/>
      <c r="D3903"/>
      <c r="E3903"/>
      <c r="F3903"/>
      <c r="CP3903" s="61"/>
    </row>
    <row r="3904" spans="3:94">
      <c r="C3904"/>
      <c r="D3904"/>
      <c r="E3904"/>
      <c r="F3904"/>
      <c r="CP3904" s="61"/>
    </row>
    <row r="3905" spans="3:94">
      <c r="C3905"/>
      <c r="D3905"/>
      <c r="E3905"/>
      <c r="F3905"/>
      <c r="CP3905" s="61"/>
    </row>
    <row r="3906" spans="3:94">
      <c r="C3906"/>
      <c r="D3906"/>
      <c r="E3906"/>
      <c r="F3906"/>
      <c r="CP3906" s="61"/>
    </row>
    <row r="3907" spans="3:94">
      <c r="C3907"/>
      <c r="D3907"/>
      <c r="E3907"/>
      <c r="F3907"/>
      <c r="CP3907" s="61"/>
    </row>
    <row r="3908" spans="3:94">
      <c r="C3908"/>
      <c r="D3908"/>
      <c r="E3908"/>
      <c r="F3908"/>
      <c r="CP3908" s="61"/>
    </row>
    <row r="3909" spans="3:94">
      <c r="C3909"/>
      <c r="D3909"/>
      <c r="E3909"/>
      <c r="F3909"/>
      <c r="CP3909" s="61"/>
    </row>
    <row r="3910" spans="3:94">
      <c r="C3910"/>
      <c r="D3910"/>
      <c r="E3910"/>
      <c r="F3910"/>
      <c r="CP3910" s="61"/>
    </row>
    <row r="3911" spans="3:94">
      <c r="C3911"/>
      <c r="D3911"/>
      <c r="E3911"/>
      <c r="F3911"/>
      <c r="CP3911" s="61"/>
    </row>
    <row r="3912" spans="3:94">
      <c r="C3912"/>
      <c r="D3912"/>
      <c r="E3912"/>
      <c r="F3912"/>
      <c r="CP3912" s="61"/>
    </row>
    <row r="3913" spans="3:94">
      <c r="C3913"/>
      <c r="D3913"/>
      <c r="E3913"/>
      <c r="F3913"/>
      <c r="CP3913" s="61"/>
    </row>
    <row r="3914" spans="3:94">
      <c r="C3914"/>
      <c r="D3914"/>
      <c r="E3914"/>
      <c r="F3914"/>
      <c r="CP3914" s="61"/>
    </row>
    <row r="3915" spans="3:94">
      <c r="C3915"/>
      <c r="D3915"/>
      <c r="E3915"/>
      <c r="F3915"/>
      <c r="CP3915" s="61"/>
    </row>
    <row r="3916" spans="3:94">
      <c r="C3916"/>
      <c r="D3916"/>
      <c r="E3916"/>
      <c r="F3916"/>
      <c r="CP3916" s="61"/>
    </row>
    <row r="3917" spans="3:94">
      <c r="C3917"/>
      <c r="D3917"/>
      <c r="E3917"/>
      <c r="F3917"/>
      <c r="CP3917" s="61"/>
    </row>
    <row r="3918" spans="3:94">
      <c r="C3918"/>
      <c r="D3918"/>
      <c r="E3918"/>
      <c r="F3918"/>
      <c r="CP3918" s="61"/>
    </row>
    <row r="3919" spans="3:94">
      <c r="C3919"/>
      <c r="D3919"/>
      <c r="E3919"/>
      <c r="F3919"/>
      <c r="CP3919" s="61"/>
    </row>
    <row r="3920" spans="3:94">
      <c r="C3920"/>
      <c r="D3920"/>
      <c r="E3920"/>
      <c r="F3920"/>
      <c r="CP3920" s="61"/>
    </row>
    <row r="3921" spans="3:94">
      <c r="C3921"/>
      <c r="D3921"/>
      <c r="E3921"/>
      <c r="F3921"/>
      <c r="CP3921" s="61"/>
    </row>
    <row r="3922" spans="3:94">
      <c r="C3922"/>
      <c r="D3922"/>
      <c r="E3922"/>
      <c r="F3922"/>
      <c r="CP3922" s="61"/>
    </row>
    <row r="3923" spans="3:94">
      <c r="C3923"/>
      <c r="D3923"/>
      <c r="E3923"/>
      <c r="F3923"/>
      <c r="CP3923" s="61"/>
    </row>
    <row r="3924" spans="3:94">
      <c r="C3924"/>
      <c r="D3924"/>
      <c r="E3924"/>
      <c r="F3924"/>
      <c r="CP3924" s="61"/>
    </row>
    <row r="3925" spans="3:94">
      <c r="C3925"/>
      <c r="D3925"/>
      <c r="E3925"/>
      <c r="F3925"/>
      <c r="CP3925" s="61"/>
    </row>
    <row r="3926" spans="3:94">
      <c r="C3926"/>
      <c r="D3926"/>
      <c r="E3926"/>
      <c r="F3926"/>
      <c r="CP3926" s="61"/>
    </row>
    <row r="3927" spans="3:94">
      <c r="C3927"/>
      <c r="D3927"/>
      <c r="E3927"/>
      <c r="F3927"/>
      <c r="CP3927" s="61"/>
    </row>
    <row r="3928" spans="3:94">
      <c r="C3928"/>
      <c r="D3928"/>
      <c r="E3928"/>
      <c r="F3928"/>
      <c r="CP3928" s="61"/>
    </row>
    <row r="3929" spans="3:94">
      <c r="C3929"/>
      <c r="D3929"/>
      <c r="E3929"/>
      <c r="F3929"/>
      <c r="CP3929" s="61"/>
    </row>
    <row r="3930" spans="3:94">
      <c r="C3930"/>
      <c r="D3930"/>
      <c r="E3930"/>
      <c r="F3930"/>
      <c r="CP3930" s="61"/>
    </row>
    <row r="3931" spans="3:94">
      <c r="C3931"/>
      <c r="D3931"/>
      <c r="E3931"/>
      <c r="F3931"/>
      <c r="CP3931" s="61"/>
    </row>
    <row r="3932" spans="3:94">
      <c r="C3932"/>
      <c r="D3932"/>
      <c r="E3932"/>
      <c r="F3932"/>
      <c r="CP3932" s="61"/>
    </row>
    <row r="3933" spans="3:94">
      <c r="C3933"/>
      <c r="D3933"/>
      <c r="E3933"/>
      <c r="F3933"/>
      <c r="CP3933" s="61"/>
    </row>
    <row r="3934" spans="3:94">
      <c r="C3934"/>
      <c r="D3934"/>
      <c r="E3934"/>
      <c r="F3934"/>
      <c r="CP3934" s="61"/>
    </row>
    <row r="3935" spans="3:94">
      <c r="C3935"/>
      <c r="D3935"/>
      <c r="E3935"/>
      <c r="F3935"/>
      <c r="CP3935" s="61"/>
    </row>
    <row r="3936" spans="3:94">
      <c r="C3936"/>
      <c r="D3936"/>
      <c r="E3936"/>
      <c r="F3936"/>
      <c r="CP3936" s="61"/>
    </row>
    <row r="3937" spans="3:94">
      <c r="C3937"/>
      <c r="D3937"/>
      <c r="E3937"/>
      <c r="F3937"/>
      <c r="CP3937" s="61"/>
    </row>
    <row r="3938" spans="3:94">
      <c r="C3938"/>
      <c r="D3938"/>
      <c r="E3938"/>
      <c r="F3938"/>
      <c r="CP3938" s="61"/>
    </row>
    <row r="3939" spans="3:94">
      <c r="C3939"/>
      <c r="D3939"/>
      <c r="E3939"/>
      <c r="F3939"/>
      <c r="CP3939" s="61"/>
    </row>
    <row r="3940" spans="3:94">
      <c r="C3940"/>
      <c r="D3940"/>
      <c r="E3940"/>
      <c r="F3940"/>
      <c r="CP3940" s="61"/>
    </row>
    <row r="3941" spans="3:94">
      <c r="C3941"/>
      <c r="D3941"/>
      <c r="E3941"/>
      <c r="F3941"/>
      <c r="CP3941" s="61"/>
    </row>
    <row r="3942" spans="3:94">
      <c r="C3942"/>
      <c r="D3942"/>
      <c r="E3942"/>
      <c r="F3942"/>
      <c r="CP3942" s="61"/>
    </row>
    <row r="3943" spans="3:94">
      <c r="C3943"/>
      <c r="D3943"/>
      <c r="E3943"/>
      <c r="F3943"/>
      <c r="CP3943" s="61"/>
    </row>
    <row r="3944" spans="3:94">
      <c r="C3944"/>
      <c r="D3944"/>
      <c r="E3944"/>
      <c r="F3944"/>
      <c r="CP3944" s="61"/>
    </row>
    <row r="3945" spans="3:94">
      <c r="C3945"/>
      <c r="D3945"/>
      <c r="E3945"/>
      <c r="F3945"/>
      <c r="CP3945" s="61"/>
    </row>
    <row r="3946" spans="3:94">
      <c r="C3946"/>
      <c r="D3946"/>
      <c r="E3946"/>
      <c r="F3946"/>
      <c r="CP3946" s="61"/>
    </row>
    <row r="3947" spans="3:94">
      <c r="C3947"/>
      <c r="D3947"/>
      <c r="E3947"/>
      <c r="F3947"/>
      <c r="CP3947" s="61"/>
    </row>
    <row r="3948" spans="3:94">
      <c r="C3948"/>
      <c r="D3948"/>
      <c r="E3948"/>
      <c r="F3948"/>
      <c r="CP3948" s="61"/>
    </row>
    <row r="3949" spans="3:94">
      <c r="C3949"/>
      <c r="D3949"/>
      <c r="E3949"/>
      <c r="F3949"/>
      <c r="CP3949" s="61"/>
    </row>
    <row r="3950" spans="3:94">
      <c r="C3950"/>
      <c r="D3950"/>
      <c r="E3950"/>
      <c r="F3950"/>
      <c r="CP3950" s="61"/>
    </row>
    <row r="3951" spans="3:94">
      <c r="C3951"/>
      <c r="D3951"/>
      <c r="E3951"/>
      <c r="F3951"/>
      <c r="CP3951" s="61"/>
    </row>
    <row r="3952" spans="3:94">
      <c r="C3952"/>
      <c r="D3952"/>
      <c r="E3952"/>
      <c r="F3952"/>
      <c r="CP3952" s="61"/>
    </row>
    <row r="3953" spans="3:94">
      <c r="C3953"/>
      <c r="D3953"/>
      <c r="E3953"/>
      <c r="F3953"/>
      <c r="CP3953" s="61"/>
    </row>
    <row r="3954" spans="3:94">
      <c r="C3954"/>
      <c r="D3954"/>
      <c r="E3954"/>
      <c r="F3954"/>
      <c r="CP3954" s="61"/>
    </row>
    <row r="3955" spans="3:94">
      <c r="C3955"/>
      <c r="D3955"/>
      <c r="E3955"/>
      <c r="F3955"/>
      <c r="CP3955" s="61"/>
    </row>
    <row r="3956" spans="3:94">
      <c r="C3956"/>
      <c r="D3956"/>
      <c r="E3956"/>
      <c r="F3956"/>
      <c r="CP3956" s="61"/>
    </row>
    <row r="3957" spans="3:94">
      <c r="C3957"/>
      <c r="D3957"/>
      <c r="E3957"/>
      <c r="F3957"/>
      <c r="CP3957" s="61"/>
    </row>
    <row r="3958" spans="3:94">
      <c r="C3958"/>
      <c r="D3958"/>
      <c r="E3958"/>
      <c r="F3958"/>
      <c r="CP3958" s="61"/>
    </row>
    <row r="3959" spans="3:94">
      <c r="C3959"/>
      <c r="D3959"/>
      <c r="E3959"/>
      <c r="F3959"/>
      <c r="CP3959" s="61"/>
    </row>
    <row r="3960" spans="3:94">
      <c r="C3960"/>
      <c r="D3960"/>
      <c r="E3960"/>
      <c r="F3960"/>
      <c r="CP3960" s="61"/>
    </row>
    <row r="3961" spans="3:94">
      <c r="C3961"/>
      <c r="D3961"/>
      <c r="E3961"/>
      <c r="F3961"/>
      <c r="CP3961" s="61"/>
    </row>
    <row r="3962" spans="3:94">
      <c r="C3962"/>
      <c r="D3962"/>
      <c r="E3962"/>
      <c r="F3962"/>
      <c r="CP3962" s="61"/>
    </row>
    <row r="3963" spans="3:94">
      <c r="C3963"/>
      <c r="D3963"/>
      <c r="E3963"/>
      <c r="F3963"/>
      <c r="CP3963" s="61"/>
    </row>
    <row r="3964" spans="3:94">
      <c r="C3964"/>
      <c r="D3964"/>
      <c r="E3964"/>
      <c r="F3964"/>
      <c r="CP3964" s="61"/>
    </row>
    <row r="3965" spans="3:94">
      <c r="C3965"/>
      <c r="D3965"/>
      <c r="E3965"/>
      <c r="F3965"/>
      <c r="CP3965" s="61"/>
    </row>
    <row r="3966" spans="3:94">
      <c r="C3966"/>
      <c r="D3966"/>
      <c r="E3966"/>
      <c r="F3966"/>
      <c r="CP3966" s="61"/>
    </row>
    <row r="3967" spans="3:94">
      <c r="C3967"/>
      <c r="D3967"/>
      <c r="E3967"/>
      <c r="F3967"/>
      <c r="CP3967" s="61"/>
    </row>
    <row r="3968" spans="3:94">
      <c r="C3968"/>
      <c r="D3968"/>
      <c r="E3968"/>
      <c r="F3968"/>
      <c r="CP3968" s="61"/>
    </row>
    <row r="3969" spans="3:94">
      <c r="C3969"/>
      <c r="D3969"/>
      <c r="E3969"/>
      <c r="F3969"/>
      <c r="CP3969" s="61"/>
    </row>
    <row r="3970" spans="3:94">
      <c r="C3970"/>
      <c r="D3970"/>
      <c r="E3970"/>
      <c r="F3970"/>
      <c r="CP3970" s="61"/>
    </row>
    <row r="3971" spans="3:94">
      <c r="C3971"/>
      <c r="D3971"/>
      <c r="E3971"/>
      <c r="F3971"/>
      <c r="CP3971" s="61"/>
    </row>
    <row r="3972" spans="3:94">
      <c r="C3972"/>
      <c r="D3972"/>
      <c r="E3972"/>
      <c r="F3972"/>
      <c r="CP3972" s="61"/>
    </row>
    <row r="3973" spans="3:94">
      <c r="C3973"/>
      <c r="D3973"/>
      <c r="E3973"/>
      <c r="F3973"/>
      <c r="CP3973" s="61"/>
    </row>
    <row r="3974" spans="3:94">
      <c r="C3974"/>
      <c r="D3974"/>
      <c r="E3974"/>
      <c r="F3974"/>
      <c r="CP3974" s="61"/>
    </row>
    <row r="3975" spans="3:94">
      <c r="C3975"/>
      <c r="D3975"/>
      <c r="E3975"/>
      <c r="F3975"/>
      <c r="CP3975" s="61"/>
    </row>
    <row r="3976" spans="3:94">
      <c r="C3976"/>
      <c r="D3976"/>
      <c r="E3976"/>
      <c r="F3976"/>
      <c r="CP3976" s="61"/>
    </row>
    <row r="3977" spans="3:94">
      <c r="C3977"/>
      <c r="D3977"/>
      <c r="E3977"/>
      <c r="F3977"/>
      <c r="CP3977" s="61"/>
    </row>
    <row r="3978" spans="3:94">
      <c r="C3978"/>
      <c r="D3978"/>
      <c r="E3978"/>
      <c r="F3978"/>
      <c r="CP3978" s="61"/>
    </row>
    <row r="3979" spans="3:94">
      <c r="C3979"/>
      <c r="D3979"/>
      <c r="E3979"/>
      <c r="F3979"/>
      <c r="CP3979" s="61"/>
    </row>
    <row r="3980" spans="3:94">
      <c r="C3980"/>
      <c r="D3980"/>
      <c r="E3980"/>
      <c r="F3980"/>
      <c r="CP3980" s="61"/>
    </row>
    <row r="3981" spans="3:94">
      <c r="C3981"/>
      <c r="D3981"/>
      <c r="E3981"/>
      <c r="F3981"/>
      <c r="CP3981" s="61"/>
    </row>
    <row r="3982" spans="3:94">
      <c r="C3982"/>
      <c r="D3982"/>
      <c r="E3982"/>
      <c r="F3982"/>
      <c r="CP3982" s="61"/>
    </row>
    <row r="3983" spans="3:94">
      <c r="C3983"/>
      <c r="D3983"/>
      <c r="E3983"/>
      <c r="F3983"/>
      <c r="CP3983" s="61"/>
    </row>
    <row r="3984" spans="3:94">
      <c r="C3984"/>
      <c r="D3984"/>
      <c r="E3984"/>
      <c r="F3984"/>
      <c r="CP3984" s="61"/>
    </row>
    <row r="3985" spans="3:94">
      <c r="C3985"/>
      <c r="D3985"/>
      <c r="E3985"/>
      <c r="F3985"/>
      <c r="CP3985" s="61"/>
    </row>
    <row r="3986" spans="3:94">
      <c r="C3986"/>
      <c r="D3986"/>
      <c r="E3986"/>
      <c r="F3986"/>
      <c r="CP3986" s="61"/>
    </row>
    <row r="3987" spans="3:94">
      <c r="C3987"/>
      <c r="D3987"/>
      <c r="E3987"/>
      <c r="F3987"/>
      <c r="CP3987" s="61"/>
    </row>
    <row r="3988" spans="3:94">
      <c r="C3988"/>
      <c r="D3988"/>
      <c r="E3988"/>
      <c r="F3988"/>
      <c r="CP3988" s="61"/>
    </row>
    <row r="3989" spans="3:94">
      <c r="C3989"/>
      <c r="D3989"/>
      <c r="E3989"/>
      <c r="F3989"/>
      <c r="CP3989" s="61"/>
    </row>
    <row r="3990" spans="3:94">
      <c r="C3990"/>
      <c r="D3990"/>
      <c r="E3990"/>
      <c r="F3990"/>
      <c r="CP3990" s="61"/>
    </row>
    <row r="3991" spans="3:94">
      <c r="C3991"/>
      <c r="D3991"/>
      <c r="E3991"/>
      <c r="F3991"/>
      <c r="CP3991" s="61"/>
    </row>
    <row r="3992" spans="3:94">
      <c r="C3992"/>
      <c r="D3992"/>
      <c r="E3992"/>
      <c r="F3992"/>
      <c r="CP3992" s="61"/>
    </row>
    <row r="3993" spans="3:94">
      <c r="C3993"/>
      <c r="D3993"/>
      <c r="E3993"/>
      <c r="F3993"/>
      <c r="CP3993" s="61"/>
    </row>
    <row r="3994" spans="3:94">
      <c r="C3994"/>
      <c r="D3994"/>
      <c r="E3994"/>
      <c r="F3994"/>
      <c r="CP3994" s="61"/>
    </row>
    <row r="3995" spans="3:94">
      <c r="C3995"/>
      <c r="D3995"/>
      <c r="E3995"/>
      <c r="F3995"/>
      <c r="CP3995" s="61"/>
    </row>
    <row r="3996" spans="3:94">
      <c r="C3996"/>
      <c r="D3996"/>
      <c r="E3996"/>
      <c r="F3996"/>
      <c r="CP3996" s="61"/>
    </row>
    <row r="3997" spans="3:94">
      <c r="C3997"/>
      <c r="D3997"/>
      <c r="E3997"/>
      <c r="F3997"/>
      <c r="CP3997" s="61"/>
    </row>
    <row r="3998" spans="3:94">
      <c r="C3998"/>
      <c r="D3998"/>
      <c r="E3998"/>
      <c r="F3998"/>
      <c r="CP3998" s="61"/>
    </row>
    <row r="3999" spans="3:94">
      <c r="C3999"/>
      <c r="D3999"/>
      <c r="E3999"/>
      <c r="F3999"/>
      <c r="CP3999" s="61"/>
    </row>
    <row r="4000" spans="3:94">
      <c r="C4000"/>
      <c r="D4000"/>
      <c r="E4000"/>
      <c r="F4000"/>
      <c r="CP4000" s="61"/>
    </row>
    <row r="4001" spans="3:94">
      <c r="C4001"/>
      <c r="D4001"/>
      <c r="E4001"/>
      <c r="F4001"/>
      <c r="CP4001" s="61"/>
    </row>
    <row r="4002" spans="3:94">
      <c r="C4002"/>
      <c r="D4002"/>
      <c r="E4002"/>
      <c r="F4002"/>
      <c r="CP4002" s="61"/>
    </row>
    <row r="4003" spans="3:94">
      <c r="C4003"/>
      <c r="D4003"/>
      <c r="E4003"/>
      <c r="F4003"/>
      <c r="CP4003" s="61"/>
    </row>
    <row r="4004" spans="3:94">
      <c r="C4004"/>
      <c r="D4004"/>
      <c r="E4004"/>
      <c r="F4004"/>
      <c r="CP4004" s="61"/>
    </row>
    <row r="4005" spans="3:94">
      <c r="C4005"/>
      <c r="D4005"/>
      <c r="E4005"/>
      <c r="F4005"/>
      <c r="CP4005" s="61"/>
    </row>
    <row r="4006" spans="3:94">
      <c r="C4006"/>
      <c r="D4006"/>
      <c r="E4006"/>
      <c r="F4006"/>
      <c r="CP4006" s="61"/>
    </row>
    <row r="4007" spans="3:94">
      <c r="C4007"/>
      <c r="D4007"/>
      <c r="E4007"/>
      <c r="F4007"/>
      <c r="CP4007" s="61"/>
    </row>
    <row r="4008" spans="3:94">
      <c r="C4008"/>
      <c r="D4008"/>
      <c r="E4008"/>
      <c r="F4008"/>
      <c r="CP4008" s="61"/>
    </row>
    <row r="4009" spans="3:94">
      <c r="C4009"/>
      <c r="D4009"/>
      <c r="E4009"/>
      <c r="F4009"/>
      <c r="CP4009" s="61"/>
    </row>
    <row r="4010" spans="3:94">
      <c r="C4010"/>
      <c r="D4010"/>
      <c r="E4010"/>
      <c r="F4010"/>
      <c r="CP4010" s="61"/>
    </row>
    <row r="4011" spans="3:94">
      <c r="C4011"/>
      <c r="D4011"/>
      <c r="E4011"/>
      <c r="F4011"/>
      <c r="CP4011" s="61"/>
    </row>
    <row r="4012" spans="3:94">
      <c r="C4012"/>
      <c r="D4012"/>
      <c r="E4012"/>
      <c r="F4012"/>
      <c r="CP4012" s="61"/>
    </row>
    <row r="4013" spans="3:94">
      <c r="C4013"/>
      <c r="D4013"/>
      <c r="E4013"/>
      <c r="F4013"/>
      <c r="CP4013" s="61"/>
    </row>
    <row r="4014" spans="3:94">
      <c r="C4014"/>
      <c r="D4014"/>
      <c r="E4014"/>
      <c r="F4014"/>
      <c r="CP4014" s="61"/>
    </row>
    <row r="4015" spans="3:94">
      <c r="C4015"/>
      <c r="D4015"/>
      <c r="E4015"/>
      <c r="F4015"/>
      <c r="CP4015" s="61"/>
    </row>
    <row r="4016" spans="3:94">
      <c r="C4016"/>
      <c r="D4016"/>
      <c r="E4016"/>
      <c r="F4016"/>
      <c r="CP4016" s="61"/>
    </row>
    <row r="4017" spans="3:94">
      <c r="C4017"/>
      <c r="D4017"/>
      <c r="E4017"/>
      <c r="F4017"/>
      <c r="CP4017" s="61"/>
    </row>
    <row r="4018" spans="3:94">
      <c r="C4018"/>
      <c r="D4018"/>
      <c r="E4018"/>
      <c r="F4018"/>
      <c r="CP4018" s="61"/>
    </row>
    <row r="4019" spans="3:94">
      <c r="C4019"/>
      <c r="D4019"/>
      <c r="E4019"/>
      <c r="F4019"/>
      <c r="CP4019" s="61"/>
    </row>
    <row r="4020" spans="3:94">
      <c r="C4020"/>
      <c r="D4020"/>
      <c r="E4020"/>
      <c r="F4020"/>
      <c r="CP4020" s="61"/>
    </row>
    <row r="4021" spans="3:94">
      <c r="C4021"/>
      <c r="D4021"/>
      <c r="E4021"/>
      <c r="F4021"/>
      <c r="CP4021" s="61"/>
    </row>
    <row r="4022" spans="3:94">
      <c r="C4022"/>
      <c r="D4022"/>
      <c r="E4022"/>
      <c r="F4022"/>
      <c r="CP4022" s="61"/>
    </row>
    <row r="4023" spans="3:94">
      <c r="C4023"/>
      <c r="D4023"/>
      <c r="E4023"/>
      <c r="F4023"/>
      <c r="CP4023" s="61"/>
    </row>
    <row r="4024" spans="3:94">
      <c r="C4024"/>
      <c r="D4024"/>
      <c r="E4024"/>
      <c r="F4024"/>
      <c r="CP4024" s="61"/>
    </row>
    <row r="4025" spans="3:94">
      <c r="C4025"/>
      <c r="D4025"/>
      <c r="E4025"/>
      <c r="F4025"/>
      <c r="CP4025" s="61"/>
    </row>
    <row r="4026" spans="3:94">
      <c r="C4026"/>
      <c r="D4026"/>
      <c r="E4026"/>
      <c r="F4026"/>
      <c r="CP4026" s="61"/>
    </row>
    <row r="4027" spans="3:94">
      <c r="C4027"/>
      <c r="D4027"/>
      <c r="E4027"/>
      <c r="F4027"/>
      <c r="CP4027" s="61"/>
    </row>
    <row r="4028" spans="3:94">
      <c r="C4028"/>
      <c r="D4028"/>
      <c r="E4028"/>
      <c r="F4028"/>
      <c r="CP4028" s="61"/>
    </row>
    <row r="4029" spans="3:94">
      <c r="C4029"/>
      <c r="D4029"/>
      <c r="E4029"/>
      <c r="F4029"/>
      <c r="CP4029" s="61"/>
    </row>
    <row r="4030" spans="3:94">
      <c r="C4030"/>
      <c r="D4030"/>
      <c r="E4030"/>
      <c r="F4030"/>
      <c r="CP4030" s="61"/>
    </row>
    <row r="4031" spans="3:94">
      <c r="C4031"/>
      <c r="D4031"/>
      <c r="E4031"/>
      <c r="F4031"/>
      <c r="CP4031" s="61"/>
    </row>
    <row r="4032" spans="3:94">
      <c r="C4032"/>
      <c r="D4032"/>
      <c r="E4032"/>
      <c r="F4032"/>
      <c r="CP4032" s="61"/>
    </row>
    <row r="4033" spans="3:94">
      <c r="C4033"/>
      <c r="D4033"/>
      <c r="E4033"/>
      <c r="F4033"/>
      <c r="CP4033" s="61"/>
    </row>
    <row r="4034" spans="3:94">
      <c r="C4034"/>
      <c r="D4034"/>
      <c r="E4034"/>
      <c r="F4034"/>
      <c r="CP4034" s="61"/>
    </row>
    <row r="4035" spans="3:94">
      <c r="C4035"/>
      <c r="D4035"/>
      <c r="E4035"/>
      <c r="F4035"/>
      <c r="CP4035" s="61"/>
    </row>
    <row r="4036" spans="3:94">
      <c r="C4036"/>
      <c r="D4036"/>
      <c r="E4036"/>
      <c r="F4036"/>
      <c r="CP4036" s="61"/>
    </row>
    <row r="4037" spans="3:94">
      <c r="C4037"/>
      <c r="D4037"/>
      <c r="E4037"/>
      <c r="F4037"/>
      <c r="CP4037" s="61"/>
    </row>
    <row r="4038" spans="3:94">
      <c r="C4038"/>
      <c r="D4038"/>
      <c r="E4038"/>
      <c r="F4038"/>
      <c r="CP4038" s="61"/>
    </row>
    <row r="4039" spans="3:94">
      <c r="C4039"/>
      <c r="D4039"/>
      <c r="E4039"/>
      <c r="F4039"/>
      <c r="CP4039" s="61"/>
    </row>
    <row r="4040" spans="3:94">
      <c r="C4040"/>
      <c r="D4040"/>
      <c r="E4040"/>
      <c r="F4040"/>
      <c r="CP4040" s="61"/>
    </row>
    <row r="4041" spans="3:94">
      <c r="C4041"/>
      <c r="D4041"/>
      <c r="E4041"/>
      <c r="F4041"/>
      <c r="CP4041" s="61"/>
    </row>
    <row r="4042" spans="3:94">
      <c r="C4042"/>
      <c r="D4042"/>
      <c r="E4042"/>
      <c r="F4042"/>
      <c r="CP4042" s="61"/>
    </row>
    <row r="4043" spans="3:94">
      <c r="C4043"/>
      <c r="D4043"/>
      <c r="E4043"/>
      <c r="F4043"/>
      <c r="CP4043" s="61"/>
    </row>
    <row r="4044" spans="3:94">
      <c r="C4044"/>
      <c r="D4044"/>
      <c r="E4044"/>
      <c r="F4044"/>
      <c r="CP4044" s="61"/>
    </row>
    <row r="4045" spans="3:94">
      <c r="C4045"/>
      <c r="D4045"/>
      <c r="E4045"/>
      <c r="F4045"/>
      <c r="CP4045" s="61"/>
    </row>
    <row r="4046" spans="3:94">
      <c r="C4046"/>
      <c r="D4046"/>
      <c r="E4046"/>
      <c r="F4046"/>
      <c r="CP4046" s="61"/>
    </row>
    <row r="4047" spans="3:94">
      <c r="C4047"/>
      <c r="D4047"/>
      <c r="E4047"/>
      <c r="F4047"/>
      <c r="CP4047" s="61"/>
    </row>
    <row r="4048" spans="3:94">
      <c r="C4048"/>
      <c r="D4048"/>
      <c r="E4048"/>
      <c r="F4048"/>
      <c r="CP4048" s="61"/>
    </row>
    <row r="4049" spans="3:94">
      <c r="C4049"/>
      <c r="D4049"/>
      <c r="E4049"/>
      <c r="F4049"/>
      <c r="CP4049" s="61"/>
    </row>
    <row r="4050" spans="3:94">
      <c r="C4050"/>
      <c r="D4050"/>
      <c r="E4050"/>
      <c r="F4050"/>
      <c r="CP4050" s="61"/>
    </row>
    <row r="4051" spans="3:94">
      <c r="C4051"/>
      <c r="D4051"/>
      <c r="E4051"/>
      <c r="F4051"/>
      <c r="CP4051" s="61"/>
    </row>
    <row r="4052" spans="3:94">
      <c r="C4052"/>
      <c r="D4052"/>
      <c r="E4052"/>
      <c r="F4052"/>
      <c r="CP4052" s="61"/>
    </row>
    <row r="4053" spans="3:94">
      <c r="C4053"/>
      <c r="D4053"/>
      <c r="E4053"/>
      <c r="F4053"/>
      <c r="CP4053" s="61"/>
    </row>
    <row r="4054" spans="3:94">
      <c r="C4054"/>
      <c r="D4054"/>
      <c r="E4054"/>
      <c r="F4054"/>
      <c r="CP4054" s="61"/>
    </row>
    <row r="4055" spans="3:94">
      <c r="C4055"/>
      <c r="D4055"/>
      <c r="E4055"/>
      <c r="F4055"/>
      <c r="CP4055" s="61"/>
    </row>
    <row r="4056" spans="3:94">
      <c r="C4056"/>
      <c r="D4056"/>
      <c r="E4056"/>
      <c r="F4056"/>
      <c r="CP4056" s="61"/>
    </row>
    <row r="4057" spans="3:94">
      <c r="C4057"/>
      <c r="D4057"/>
      <c r="E4057"/>
      <c r="F4057"/>
      <c r="CP4057" s="61"/>
    </row>
    <row r="4058" spans="3:94">
      <c r="C4058"/>
      <c r="D4058"/>
      <c r="E4058"/>
      <c r="F4058"/>
      <c r="CP4058" s="61"/>
    </row>
    <row r="4059" spans="3:94">
      <c r="C4059"/>
      <c r="D4059"/>
      <c r="E4059"/>
      <c r="F4059"/>
      <c r="CP4059" s="61"/>
    </row>
    <row r="4060" spans="3:94">
      <c r="C4060"/>
      <c r="D4060"/>
      <c r="E4060"/>
      <c r="F4060"/>
      <c r="CP4060" s="61"/>
    </row>
    <row r="4061" spans="3:94">
      <c r="C4061"/>
      <c r="D4061"/>
      <c r="E4061"/>
      <c r="F4061"/>
      <c r="CP4061" s="61"/>
    </row>
    <row r="4062" spans="3:94">
      <c r="C4062"/>
      <c r="D4062"/>
      <c r="E4062"/>
      <c r="F4062"/>
      <c r="CP4062" s="61"/>
    </row>
    <row r="4063" spans="3:94">
      <c r="C4063"/>
      <c r="D4063"/>
      <c r="E4063"/>
      <c r="F4063"/>
      <c r="CP4063" s="61"/>
    </row>
    <row r="4064" spans="3:94">
      <c r="C4064"/>
      <c r="D4064"/>
      <c r="E4064"/>
      <c r="F4064"/>
      <c r="CP4064" s="61"/>
    </row>
    <row r="4065" spans="3:94">
      <c r="C4065"/>
      <c r="D4065"/>
      <c r="E4065"/>
      <c r="F4065"/>
      <c r="CP4065" s="61"/>
    </row>
    <row r="4066" spans="3:94">
      <c r="C4066"/>
      <c r="D4066"/>
      <c r="E4066"/>
      <c r="F4066"/>
      <c r="CP4066" s="61"/>
    </row>
    <row r="4067" spans="3:94">
      <c r="C4067"/>
      <c r="D4067"/>
      <c r="E4067"/>
      <c r="F4067"/>
      <c r="CP4067" s="61"/>
    </row>
    <row r="4068" spans="3:94">
      <c r="C4068"/>
      <c r="D4068"/>
      <c r="E4068"/>
      <c r="F4068"/>
      <c r="CP4068" s="61"/>
    </row>
    <row r="4069" spans="3:94">
      <c r="C4069"/>
      <c r="D4069"/>
      <c r="E4069"/>
      <c r="F4069"/>
      <c r="CP4069" s="61"/>
    </row>
    <row r="4070" spans="3:94">
      <c r="C4070"/>
      <c r="D4070"/>
      <c r="E4070"/>
      <c r="F4070"/>
      <c r="CP4070" s="61"/>
    </row>
    <row r="4071" spans="3:94">
      <c r="C4071"/>
      <c r="D4071"/>
      <c r="E4071"/>
      <c r="F4071"/>
      <c r="CP4071" s="61"/>
    </row>
    <row r="4072" spans="3:94">
      <c r="C4072"/>
      <c r="D4072"/>
      <c r="E4072"/>
      <c r="F4072"/>
      <c r="CP4072" s="61"/>
    </row>
    <row r="4073" spans="3:94">
      <c r="C4073"/>
      <c r="D4073"/>
      <c r="E4073"/>
      <c r="F4073"/>
      <c r="CP4073" s="61"/>
    </row>
    <row r="4074" spans="3:94">
      <c r="C4074"/>
      <c r="D4074"/>
      <c r="E4074"/>
      <c r="F4074"/>
      <c r="CP4074" s="61"/>
    </row>
    <row r="4075" spans="3:94">
      <c r="C4075"/>
      <c r="D4075"/>
      <c r="E4075"/>
      <c r="F4075"/>
      <c r="CP4075" s="61"/>
    </row>
    <row r="4076" spans="3:94">
      <c r="C4076"/>
      <c r="D4076"/>
      <c r="E4076"/>
      <c r="F4076"/>
      <c r="CP4076" s="61"/>
    </row>
    <row r="4077" spans="3:94">
      <c r="C4077"/>
      <c r="D4077"/>
      <c r="E4077"/>
      <c r="F4077"/>
      <c r="CP4077" s="61"/>
    </row>
    <row r="4078" spans="3:94">
      <c r="C4078"/>
      <c r="D4078"/>
      <c r="E4078"/>
      <c r="F4078"/>
      <c r="CP4078" s="61"/>
    </row>
    <row r="4079" spans="3:94">
      <c r="C4079"/>
      <c r="D4079"/>
      <c r="E4079"/>
      <c r="F4079"/>
      <c r="CP4079" s="61"/>
    </row>
    <row r="4080" spans="3:94">
      <c r="C4080"/>
      <c r="D4080"/>
      <c r="E4080"/>
      <c r="F4080"/>
      <c r="CP4080" s="61"/>
    </row>
    <row r="4081" spans="3:94">
      <c r="C4081"/>
      <c r="D4081"/>
      <c r="E4081"/>
      <c r="F4081"/>
      <c r="CP4081" s="61"/>
    </row>
    <row r="4082" spans="3:94">
      <c r="C4082"/>
      <c r="D4082"/>
      <c r="E4082"/>
      <c r="F4082"/>
      <c r="CP4082" s="61"/>
    </row>
    <row r="4083" spans="3:94">
      <c r="C4083"/>
      <c r="D4083"/>
      <c r="E4083"/>
      <c r="F4083"/>
      <c r="CP4083" s="61"/>
    </row>
    <row r="4084" spans="3:94">
      <c r="C4084"/>
      <c r="D4084"/>
      <c r="E4084"/>
      <c r="F4084"/>
      <c r="CP4084" s="61"/>
    </row>
    <row r="4085" spans="3:94">
      <c r="C4085"/>
      <c r="D4085"/>
      <c r="E4085"/>
      <c r="F4085"/>
      <c r="CP4085" s="61"/>
    </row>
    <row r="4086" spans="3:94">
      <c r="C4086"/>
      <c r="D4086"/>
      <c r="E4086"/>
      <c r="F4086"/>
      <c r="CP4086" s="61"/>
    </row>
    <row r="4087" spans="3:94">
      <c r="C4087"/>
      <c r="D4087"/>
      <c r="E4087"/>
      <c r="F4087"/>
      <c r="CP4087" s="61"/>
    </row>
    <row r="4088" spans="3:94">
      <c r="C4088"/>
      <c r="D4088"/>
      <c r="E4088"/>
      <c r="F4088"/>
      <c r="CP4088" s="61"/>
    </row>
    <row r="4089" spans="3:94">
      <c r="C4089"/>
      <c r="D4089"/>
      <c r="E4089"/>
      <c r="F4089"/>
      <c r="CP4089" s="61"/>
    </row>
    <row r="4090" spans="3:94">
      <c r="C4090"/>
      <c r="D4090"/>
      <c r="E4090"/>
      <c r="F4090"/>
      <c r="CP4090" s="61"/>
    </row>
    <row r="4091" spans="3:94">
      <c r="C4091"/>
      <c r="D4091"/>
      <c r="E4091"/>
      <c r="F4091"/>
      <c r="CP4091" s="61"/>
    </row>
    <row r="4092" spans="3:94">
      <c r="C4092"/>
      <c r="D4092"/>
      <c r="E4092"/>
      <c r="F4092"/>
      <c r="CP4092" s="61"/>
    </row>
    <row r="4093" spans="3:94">
      <c r="C4093"/>
      <c r="D4093"/>
      <c r="E4093"/>
      <c r="F4093"/>
      <c r="CP4093" s="61"/>
    </row>
    <row r="4094" spans="3:94">
      <c r="C4094"/>
      <c r="D4094"/>
      <c r="E4094"/>
      <c r="F4094"/>
      <c r="CP4094" s="61"/>
    </row>
    <row r="4095" spans="3:94">
      <c r="C4095"/>
      <c r="D4095"/>
      <c r="E4095"/>
      <c r="F4095"/>
      <c r="CP4095" s="61"/>
    </row>
    <row r="4096" spans="3:94">
      <c r="C4096"/>
      <c r="D4096"/>
      <c r="E4096"/>
      <c r="F4096"/>
      <c r="CP4096" s="61"/>
    </row>
    <row r="4097" spans="3:94">
      <c r="C4097"/>
      <c r="D4097"/>
      <c r="E4097"/>
      <c r="F4097"/>
      <c r="CP4097" s="61"/>
    </row>
    <row r="4098" spans="3:94">
      <c r="C4098"/>
      <c r="D4098"/>
      <c r="E4098"/>
      <c r="F4098"/>
      <c r="CP4098" s="61"/>
    </row>
    <row r="4099" spans="3:94">
      <c r="C4099"/>
      <c r="D4099"/>
      <c r="E4099"/>
      <c r="F4099"/>
      <c r="CP4099" s="61"/>
    </row>
    <row r="4100" spans="3:94">
      <c r="C4100"/>
      <c r="D4100"/>
      <c r="E4100"/>
      <c r="F4100"/>
      <c r="CP4100" s="61"/>
    </row>
    <row r="4101" spans="3:94">
      <c r="C4101"/>
      <c r="D4101"/>
      <c r="E4101"/>
      <c r="F4101"/>
      <c r="CP4101" s="61"/>
    </row>
    <row r="4102" spans="3:94">
      <c r="C4102"/>
      <c r="D4102"/>
      <c r="E4102"/>
      <c r="F4102"/>
      <c r="CP4102" s="61"/>
    </row>
    <row r="4103" spans="3:94">
      <c r="C4103"/>
      <c r="D4103"/>
      <c r="E4103"/>
      <c r="F4103"/>
      <c r="CP4103" s="61"/>
    </row>
    <row r="4104" spans="3:94">
      <c r="C4104"/>
      <c r="D4104"/>
      <c r="E4104"/>
      <c r="F4104"/>
      <c r="CP4104" s="61"/>
    </row>
    <row r="4105" spans="3:94">
      <c r="C4105"/>
      <c r="D4105"/>
      <c r="E4105"/>
      <c r="F4105"/>
      <c r="CP4105" s="61"/>
    </row>
    <row r="4106" spans="3:94">
      <c r="C4106"/>
      <c r="D4106"/>
      <c r="E4106"/>
      <c r="F4106"/>
      <c r="CP4106" s="61"/>
    </row>
    <row r="4107" spans="3:94">
      <c r="C4107"/>
      <c r="D4107"/>
      <c r="E4107"/>
      <c r="F4107"/>
      <c r="CP4107" s="61"/>
    </row>
    <row r="4108" spans="3:94">
      <c r="C4108"/>
      <c r="D4108"/>
      <c r="E4108"/>
      <c r="F4108"/>
      <c r="CP4108" s="61"/>
    </row>
    <row r="4109" spans="3:94">
      <c r="C4109"/>
      <c r="D4109"/>
      <c r="E4109"/>
      <c r="F4109"/>
      <c r="CP4109" s="61"/>
    </row>
    <row r="4110" spans="3:94">
      <c r="C4110"/>
      <c r="D4110"/>
      <c r="E4110"/>
      <c r="F4110"/>
      <c r="CP4110" s="61"/>
    </row>
    <row r="4111" spans="3:94">
      <c r="C4111"/>
      <c r="D4111"/>
      <c r="E4111"/>
      <c r="F4111"/>
      <c r="CP4111" s="61"/>
    </row>
    <row r="4112" spans="3:94">
      <c r="C4112"/>
      <c r="D4112"/>
      <c r="E4112"/>
      <c r="F4112"/>
      <c r="CP4112" s="61"/>
    </row>
    <row r="4113" spans="3:94">
      <c r="C4113"/>
      <c r="D4113"/>
      <c r="E4113"/>
      <c r="F4113"/>
      <c r="CP4113" s="61"/>
    </row>
    <row r="4114" spans="3:94">
      <c r="C4114"/>
      <c r="D4114"/>
      <c r="E4114"/>
      <c r="F4114"/>
      <c r="CP4114" s="61"/>
    </row>
    <row r="4115" spans="3:94">
      <c r="C4115"/>
      <c r="D4115"/>
      <c r="E4115"/>
      <c r="F4115"/>
      <c r="CP4115" s="61"/>
    </row>
    <row r="4116" spans="3:94">
      <c r="C4116"/>
      <c r="D4116"/>
      <c r="E4116"/>
      <c r="F4116"/>
      <c r="CP4116" s="61"/>
    </row>
    <row r="4117" spans="3:94">
      <c r="C4117"/>
      <c r="D4117"/>
      <c r="E4117"/>
      <c r="F4117"/>
      <c r="CP4117" s="61"/>
    </row>
    <row r="4118" spans="3:94">
      <c r="C4118"/>
      <c r="D4118"/>
      <c r="E4118"/>
      <c r="F4118"/>
      <c r="CP4118" s="61"/>
    </row>
    <row r="4119" spans="3:94">
      <c r="C4119"/>
      <c r="D4119"/>
      <c r="E4119"/>
      <c r="F4119"/>
      <c r="CP4119" s="61"/>
    </row>
    <row r="4120" spans="3:94">
      <c r="C4120"/>
      <c r="D4120"/>
      <c r="E4120"/>
      <c r="F4120"/>
      <c r="CP4120" s="61"/>
    </row>
    <row r="4121" spans="3:94">
      <c r="C4121"/>
      <c r="D4121"/>
      <c r="E4121"/>
      <c r="F4121"/>
      <c r="CP4121" s="61"/>
    </row>
    <row r="4122" spans="3:94">
      <c r="C4122"/>
      <c r="D4122"/>
      <c r="E4122"/>
      <c r="F4122"/>
      <c r="CP4122" s="61"/>
    </row>
    <row r="4123" spans="3:94">
      <c r="C4123"/>
      <c r="D4123"/>
      <c r="E4123"/>
      <c r="F4123"/>
      <c r="CP4123" s="61"/>
    </row>
    <row r="4124" spans="3:94">
      <c r="C4124"/>
      <c r="D4124"/>
      <c r="E4124"/>
      <c r="F4124"/>
      <c r="CP4124" s="61"/>
    </row>
    <row r="4125" spans="3:94">
      <c r="C4125"/>
      <c r="D4125"/>
      <c r="E4125"/>
      <c r="F4125"/>
      <c r="CP4125" s="61"/>
    </row>
    <row r="4126" spans="3:94">
      <c r="C4126"/>
      <c r="D4126"/>
      <c r="E4126"/>
      <c r="F4126"/>
      <c r="CP4126" s="61"/>
    </row>
    <row r="4127" spans="3:94">
      <c r="C4127"/>
      <c r="D4127"/>
      <c r="E4127"/>
      <c r="F4127"/>
      <c r="CP4127" s="61"/>
    </row>
    <row r="4128" spans="3:94">
      <c r="C4128"/>
      <c r="D4128"/>
      <c r="E4128"/>
      <c r="F4128"/>
      <c r="CP4128" s="61"/>
    </row>
    <row r="4129" spans="3:94">
      <c r="C4129"/>
      <c r="D4129"/>
      <c r="E4129"/>
      <c r="F4129"/>
      <c r="CP4129" s="61"/>
    </row>
    <row r="4130" spans="3:94">
      <c r="C4130"/>
      <c r="D4130"/>
      <c r="E4130"/>
      <c r="F4130"/>
      <c r="CP4130" s="61"/>
    </row>
    <row r="4131" spans="3:94">
      <c r="C4131"/>
      <c r="D4131"/>
      <c r="E4131"/>
      <c r="F4131"/>
      <c r="CP4131" s="61"/>
    </row>
    <row r="4132" spans="3:94">
      <c r="C4132"/>
      <c r="D4132"/>
      <c r="E4132"/>
      <c r="F4132"/>
      <c r="CP4132" s="61"/>
    </row>
    <row r="4133" spans="3:94">
      <c r="C4133"/>
      <c r="D4133"/>
      <c r="E4133"/>
      <c r="F4133"/>
      <c r="CP4133" s="61"/>
    </row>
    <row r="4134" spans="3:94">
      <c r="C4134"/>
      <c r="D4134"/>
      <c r="E4134"/>
      <c r="F4134"/>
      <c r="CP4134" s="61"/>
    </row>
    <row r="4135" spans="3:94">
      <c r="C4135"/>
      <c r="D4135"/>
      <c r="E4135"/>
      <c r="F4135"/>
      <c r="CP4135" s="61"/>
    </row>
    <row r="4136" spans="3:94">
      <c r="C4136"/>
      <c r="D4136"/>
      <c r="E4136"/>
      <c r="F4136"/>
      <c r="CP4136" s="61"/>
    </row>
    <row r="4137" spans="3:94">
      <c r="C4137"/>
      <c r="D4137"/>
      <c r="E4137"/>
      <c r="F4137"/>
      <c r="CP4137" s="61"/>
    </row>
    <row r="4138" spans="3:94">
      <c r="C4138"/>
      <c r="D4138"/>
      <c r="E4138"/>
      <c r="F4138"/>
      <c r="CP4138" s="61"/>
    </row>
    <row r="4139" spans="3:94">
      <c r="C4139"/>
      <c r="D4139"/>
      <c r="E4139"/>
      <c r="F4139"/>
      <c r="CP4139" s="61"/>
    </row>
    <row r="4140" spans="3:94">
      <c r="C4140"/>
      <c r="D4140"/>
      <c r="E4140"/>
      <c r="F4140"/>
      <c r="CP4140" s="61"/>
    </row>
    <row r="4141" spans="3:94">
      <c r="C4141"/>
      <c r="D4141"/>
      <c r="E4141"/>
      <c r="F4141"/>
      <c r="CP4141" s="61"/>
    </row>
    <row r="4142" spans="3:94">
      <c r="C4142"/>
      <c r="D4142"/>
      <c r="E4142"/>
      <c r="F4142"/>
      <c r="CP4142" s="61"/>
    </row>
    <row r="4143" spans="3:94">
      <c r="C4143"/>
      <c r="D4143"/>
      <c r="E4143"/>
      <c r="F4143"/>
      <c r="CP4143" s="61"/>
    </row>
    <row r="4144" spans="3:94">
      <c r="C4144"/>
      <c r="D4144"/>
      <c r="E4144"/>
      <c r="F4144"/>
      <c r="CP4144" s="61"/>
    </row>
    <row r="4145" spans="3:94">
      <c r="C4145"/>
      <c r="D4145"/>
      <c r="E4145"/>
      <c r="F4145"/>
      <c r="CP4145" s="61"/>
    </row>
    <row r="4146" spans="3:94">
      <c r="C4146"/>
      <c r="D4146"/>
      <c r="E4146"/>
      <c r="F4146"/>
      <c r="CP4146" s="61"/>
    </row>
    <row r="4147" spans="3:94">
      <c r="C4147"/>
      <c r="D4147"/>
      <c r="E4147"/>
      <c r="F4147"/>
      <c r="CP4147" s="61"/>
    </row>
    <row r="4148" spans="3:94">
      <c r="C4148"/>
      <c r="D4148"/>
      <c r="E4148"/>
      <c r="F4148"/>
      <c r="CP4148" s="61"/>
    </row>
    <row r="4149" spans="3:94">
      <c r="C4149"/>
      <c r="D4149"/>
      <c r="E4149"/>
      <c r="F4149"/>
      <c r="CP4149" s="61"/>
    </row>
    <row r="4150" spans="3:94">
      <c r="C4150"/>
      <c r="D4150"/>
      <c r="E4150"/>
      <c r="F4150"/>
      <c r="CP4150" s="61"/>
    </row>
    <row r="4151" spans="3:94">
      <c r="C4151"/>
      <c r="D4151"/>
      <c r="E4151"/>
      <c r="F4151"/>
      <c r="CP4151" s="61"/>
    </row>
    <row r="4152" spans="3:94">
      <c r="C4152"/>
      <c r="D4152"/>
      <c r="E4152"/>
      <c r="F4152"/>
      <c r="CP4152" s="61"/>
    </row>
    <row r="4153" spans="3:94">
      <c r="C4153"/>
      <c r="D4153"/>
      <c r="E4153"/>
      <c r="F4153"/>
      <c r="CP4153" s="61"/>
    </row>
    <row r="4154" spans="3:94">
      <c r="C4154"/>
      <c r="D4154"/>
      <c r="E4154"/>
      <c r="F4154"/>
      <c r="CP4154" s="61"/>
    </row>
    <row r="4155" spans="3:94">
      <c r="C4155"/>
      <c r="D4155"/>
      <c r="E4155"/>
      <c r="F4155"/>
      <c r="CP4155" s="61"/>
    </row>
    <row r="4156" spans="3:94">
      <c r="C4156"/>
      <c r="D4156"/>
      <c r="E4156"/>
      <c r="F4156"/>
      <c r="CP4156" s="61"/>
    </row>
    <row r="4157" spans="3:94">
      <c r="C4157"/>
      <c r="D4157"/>
      <c r="E4157"/>
      <c r="F4157"/>
      <c r="CP4157" s="61"/>
    </row>
    <row r="4158" spans="3:94">
      <c r="C4158"/>
      <c r="D4158"/>
      <c r="E4158"/>
      <c r="F4158"/>
      <c r="CP4158" s="61"/>
    </row>
    <row r="4159" spans="3:94">
      <c r="C4159"/>
      <c r="D4159"/>
      <c r="E4159"/>
      <c r="F4159"/>
      <c r="CP4159" s="61"/>
    </row>
    <row r="4160" spans="3:94">
      <c r="C4160"/>
      <c r="D4160"/>
      <c r="E4160"/>
      <c r="F4160"/>
      <c r="CP4160" s="61"/>
    </row>
    <row r="4161" spans="3:94">
      <c r="C4161"/>
      <c r="D4161"/>
      <c r="E4161"/>
      <c r="F4161"/>
      <c r="CP4161" s="61"/>
    </row>
    <row r="4162" spans="3:94">
      <c r="C4162"/>
      <c r="D4162"/>
      <c r="E4162"/>
      <c r="F4162"/>
      <c r="CP4162" s="61"/>
    </row>
    <row r="4163" spans="3:94">
      <c r="C4163"/>
      <c r="D4163"/>
      <c r="E4163"/>
      <c r="F4163"/>
      <c r="CP4163" s="61"/>
    </row>
    <row r="4164" spans="3:94">
      <c r="C4164"/>
      <c r="D4164"/>
      <c r="E4164"/>
      <c r="F4164"/>
      <c r="CP4164" s="61"/>
    </row>
    <row r="4165" spans="3:94">
      <c r="C4165"/>
      <c r="D4165"/>
      <c r="E4165"/>
      <c r="F4165"/>
      <c r="CP4165" s="61"/>
    </row>
    <row r="4166" spans="3:94">
      <c r="C4166"/>
      <c r="D4166"/>
      <c r="E4166"/>
      <c r="F4166"/>
      <c r="CP4166" s="61"/>
    </row>
    <row r="4167" spans="3:94">
      <c r="C4167"/>
      <c r="D4167"/>
      <c r="E4167"/>
      <c r="F4167"/>
      <c r="CP4167" s="61"/>
    </row>
    <row r="4168" spans="3:94">
      <c r="C4168"/>
      <c r="D4168"/>
      <c r="E4168"/>
      <c r="F4168"/>
      <c r="CP4168" s="61"/>
    </row>
    <row r="4169" spans="3:94">
      <c r="C4169"/>
      <c r="D4169"/>
      <c r="E4169"/>
      <c r="F4169"/>
      <c r="CP4169" s="61"/>
    </row>
    <row r="4170" spans="3:94">
      <c r="C4170"/>
      <c r="D4170"/>
      <c r="E4170"/>
      <c r="F4170"/>
      <c r="CP4170" s="61"/>
    </row>
    <row r="4171" spans="3:94">
      <c r="C4171"/>
      <c r="D4171"/>
      <c r="E4171"/>
      <c r="F4171"/>
      <c r="CP4171" s="61"/>
    </row>
    <row r="4172" spans="3:94">
      <c r="C4172"/>
      <c r="D4172"/>
      <c r="E4172"/>
      <c r="F4172"/>
      <c r="CP4172" s="61"/>
    </row>
    <row r="4173" spans="3:94">
      <c r="C4173"/>
      <c r="D4173"/>
      <c r="E4173"/>
      <c r="F4173"/>
      <c r="CP4173" s="61"/>
    </row>
    <row r="4174" spans="3:94">
      <c r="C4174"/>
      <c r="D4174"/>
      <c r="E4174"/>
      <c r="F4174"/>
      <c r="CP4174" s="61"/>
    </row>
    <row r="4175" spans="3:94">
      <c r="C4175"/>
      <c r="D4175"/>
      <c r="E4175"/>
      <c r="F4175"/>
      <c r="CP4175" s="61"/>
    </row>
    <row r="4176" spans="3:94">
      <c r="C4176"/>
      <c r="D4176"/>
      <c r="E4176"/>
      <c r="F4176"/>
      <c r="CP4176" s="61"/>
    </row>
    <row r="4177" spans="3:94">
      <c r="C4177"/>
      <c r="D4177"/>
      <c r="E4177"/>
      <c r="F4177"/>
      <c r="CP4177" s="61"/>
    </row>
    <row r="4178" spans="3:94">
      <c r="C4178"/>
      <c r="D4178"/>
      <c r="E4178"/>
      <c r="F4178"/>
      <c r="CP4178" s="61"/>
    </row>
    <row r="4179" spans="3:94">
      <c r="C4179"/>
      <c r="D4179"/>
      <c r="E4179"/>
      <c r="F4179"/>
      <c r="CP4179" s="61"/>
    </row>
    <row r="4180" spans="3:94">
      <c r="C4180"/>
      <c r="D4180"/>
      <c r="E4180"/>
      <c r="F4180"/>
      <c r="CP4180" s="61"/>
    </row>
    <row r="4181" spans="3:94">
      <c r="C4181"/>
      <c r="D4181"/>
      <c r="E4181"/>
      <c r="F4181"/>
      <c r="CP4181" s="61"/>
    </row>
    <row r="4182" spans="3:94">
      <c r="C4182"/>
      <c r="D4182"/>
      <c r="E4182"/>
      <c r="F4182"/>
      <c r="CP4182" s="61"/>
    </row>
    <row r="4183" spans="3:94">
      <c r="C4183"/>
      <c r="D4183"/>
      <c r="E4183"/>
      <c r="F4183"/>
      <c r="CP4183" s="61"/>
    </row>
    <row r="4184" spans="3:94">
      <c r="C4184"/>
      <c r="D4184"/>
      <c r="E4184"/>
      <c r="F4184"/>
      <c r="CP4184" s="61"/>
    </row>
    <row r="4185" spans="3:94">
      <c r="C4185"/>
      <c r="D4185"/>
      <c r="E4185"/>
      <c r="F4185"/>
      <c r="CP4185" s="61"/>
    </row>
    <row r="4186" spans="3:94">
      <c r="C4186"/>
      <c r="D4186"/>
      <c r="E4186"/>
      <c r="F4186"/>
      <c r="CP4186" s="61"/>
    </row>
    <row r="4187" spans="3:94">
      <c r="C4187"/>
      <c r="D4187"/>
      <c r="E4187"/>
      <c r="F4187"/>
      <c r="CP4187" s="61"/>
    </row>
    <row r="4188" spans="3:94">
      <c r="C4188"/>
      <c r="D4188"/>
      <c r="E4188"/>
      <c r="F4188"/>
      <c r="CP4188" s="61"/>
    </row>
    <row r="4189" spans="3:94">
      <c r="C4189"/>
      <c r="D4189"/>
      <c r="E4189"/>
      <c r="F4189"/>
      <c r="CP4189" s="61"/>
    </row>
    <row r="4190" spans="3:94">
      <c r="C4190"/>
      <c r="D4190"/>
      <c r="E4190"/>
      <c r="F4190"/>
      <c r="CP4190" s="61"/>
    </row>
    <row r="4191" spans="3:94">
      <c r="C4191"/>
      <c r="D4191"/>
      <c r="E4191"/>
      <c r="F4191"/>
      <c r="CP4191" s="61"/>
    </row>
    <row r="4192" spans="3:94">
      <c r="C4192"/>
      <c r="D4192"/>
      <c r="E4192"/>
      <c r="F4192"/>
      <c r="CP4192" s="61"/>
    </row>
    <row r="4193" spans="3:94">
      <c r="C4193"/>
      <c r="D4193"/>
      <c r="E4193"/>
      <c r="F4193"/>
      <c r="CP4193" s="61"/>
    </row>
    <row r="4194" spans="3:94">
      <c r="C4194"/>
      <c r="D4194"/>
      <c r="E4194"/>
      <c r="F4194"/>
      <c r="CP4194" s="61"/>
    </row>
    <row r="4195" spans="3:94">
      <c r="C4195"/>
      <c r="D4195"/>
      <c r="E4195"/>
      <c r="F4195"/>
      <c r="CP4195" s="61"/>
    </row>
    <row r="4196" spans="3:94">
      <c r="C4196"/>
      <c r="D4196"/>
      <c r="E4196"/>
      <c r="F4196"/>
      <c r="CP4196" s="61"/>
    </row>
    <row r="4197" spans="3:94">
      <c r="C4197"/>
      <c r="D4197"/>
      <c r="E4197"/>
      <c r="F4197"/>
      <c r="CP4197" s="61"/>
    </row>
    <row r="4198" spans="3:94">
      <c r="C4198"/>
      <c r="D4198"/>
      <c r="E4198"/>
      <c r="F4198"/>
      <c r="CP4198" s="61"/>
    </row>
    <row r="4199" spans="3:94">
      <c r="C4199"/>
      <c r="D4199"/>
      <c r="E4199"/>
      <c r="F4199"/>
      <c r="CP4199" s="61"/>
    </row>
    <row r="4200" spans="3:94">
      <c r="C4200"/>
      <c r="D4200"/>
      <c r="E4200"/>
      <c r="F4200"/>
      <c r="CP4200" s="61"/>
    </row>
    <row r="4201" spans="3:94">
      <c r="C4201"/>
      <c r="D4201"/>
      <c r="E4201"/>
      <c r="F4201"/>
      <c r="CP4201" s="61"/>
    </row>
    <row r="4202" spans="3:94">
      <c r="C4202"/>
      <c r="D4202"/>
      <c r="E4202"/>
      <c r="F4202"/>
      <c r="CP4202" s="61"/>
    </row>
    <row r="4203" spans="3:94">
      <c r="C4203"/>
      <c r="D4203"/>
      <c r="E4203"/>
      <c r="F4203"/>
      <c r="CP4203" s="61"/>
    </row>
    <row r="4204" spans="3:94">
      <c r="C4204"/>
      <c r="D4204"/>
      <c r="E4204"/>
      <c r="F4204"/>
      <c r="CP4204" s="61"/>
    </row>
    <row r="4205" spans="3:94">
      <c r="C4205"/>
      <c r="D4205"/>
      <c r="E4205"/>
      <c r="F4205"/>
      <c r="CP4205" s="61"/>
    </row>
    <row r="4206" spans="3:94">
      <c r="C4206"/>
      <c r="D4206"/>
      <c r="E4206"/>
      <c r="F4206"/>
      <c r="CP4206" s="61"/>
    </row>
    <row r="4207" spans="3:94">
      <c r="C4207"/>
      <c r="D4207"/>
      <c r="E4207"/>
      <c r="F4207"/>
      <c r="CP4207" s="61"/>
    </row>
    <row r="4208" spans="3:94">
      <c r="C4208"/>
      <c r="D4208"/>
      <c r="E4208"/>
      <c r="F4208"/>
      <c r="CP4208" s="61"/>
    </row>
    <row r="4209" spans="3:94">
      <c r="C4209"/>
      <c r="D4209"/>
      <c r="E4209"/>
      <c r="F4209"/>
      <c r="CP4209" s="61"/>
    </row>
    <row r="4210" spans="3:94">
      <c r="C4210"/>
      <c r="D4210"/>
      <c r="E4210"/>
      <c r="F4210"/>
      <c r="CP4210" s="61"/>
    </row>
    <row r="4211" spans="3:94">
      <c r="C4211"/>
      <c r="D4211"/>
      <c r="E4211"/>
      <c r="F4211"/>
      <c r="CP4211" s="61"/>
    </row>
    <row r="4212" spans="3:94">
      <c r="C4212"/>
      <c r="D4212"/>
      <c r="E4212"/>
      <c r="F4212"/>
      <c r="CP4212" s="61"/>
    </row>
    <row r="4213" spans="3:94">
      <c r="C4213"/>
      <c r="D4213"/>
      <c r="E4213"/>
      <c r="F4213"/>
      <c r="CP4213" s="61"/>
    </row>
    <row r="4214" spans="3:94">
      <c r="C4214"/>
      <c r="D4214"/>
      <c r="E4214"/>
      <c r="F4214"/>
      <c r="CP4214" s="61"/>
    </row>
    <row r="4215" spans="3:94">
      <c r="C4215"/>
      <c r="D4215"/>
      <c r="E4215"/>
      <c r="F4215"/>
      <c r="CP4215" s="61"/>
    </row>
    <row r="4216" spans="3:94">
      <c r="C4216"/>
      <c r="D4216"/>
      <c r="E4216"/>
      <c r="F4216"/>
      <c r="CP4216" s="61"/>
    </row>
    <row r="4217" spans="3:94">
      <c r="C4217"/>
      <c r="D4217"/>
      <c r="E4217"/>
      <c r="F4217"/>
      <c r="CP4217" s="61"/>
    </row>
    <row r="4218" spans="3:94">
      <c r="C4218"/>
      <c r="D4218"/>
      <c r="E4218"/>
      <c r="F4218"/>
      <c r="CP4218" s="61"/>
    </row>
    <row r="4219" spans="3:94">
      <c r="C4219"/>
      <c r="D4219"/>
      <c r="E4219"/>
      <c r="F4219"/>
      <c r="CP4219" s="61"/>
    </row>
    <row r="4220" spans="3:94">
      <c r="C4220"/>
      <c r="D4220"/>
      <c r="E4220"/>
      <c r="F4220"/>
      <c r="CP4220" s="61"/>
    </row>
    <row r="4221" spans="3:94">
      <c r="C4221"/>
      <c r="D4221"/>
      <c r="E4221"/>
      <c r="F4221"/>
      <c r="CP4221" s="61"/>
    </row>
    <row r="4222" spans="3:94">
      <c r="C4222"/>
      <c r="D4222"/>
      <c r="E4222"/>
      <c r="F4222"/>
      <c r="CP4222" s="61"/>
    </row>
    <row r="4223" spans="3:94">
      <c r="C4223"/>
      <c r="D4223"/>
      <c r="E4223"/>
      <c r="F4223"/>
      <c r="CP4223" s="61"/>
    </row>
    <row r="4224" spans="3:94">
      <c r="C4224"/>
      <c r="D4224"/>
      <c r="E4224"/>
      <c r="F4224"/>
      <c r="CP4224" s="61"/>
    </row>
    <row r="4225" spans="3:94">
      <c r="C4225"/>
      <c r="D4225"/>
      <c r="E4225"/>
      <c r="F4225"/>
      <c r="CP4225" s="61"/>
    </row>
    <row r="4226" spans="3:94">
      <c r="C4226"/>
      <c r="D4226"/>
      <c r="E4226"/>
      <c r="F4226"/>
      <c r="CP4226" s="61"/>
    </row>
    <row r="4227" spans="3:94">
      <c r="C4227"/>
      <c r="D4227"/>
      <c r="E4227"/>
      <c r="F4227"/>
      <c r="CP4227" s="61"/>
    </row>
    <row r="4228" spans="3:94">
      <c r="C4228"/>
      <c r="D4228"/>
      <c r="E4228"/>
      <c r="F4228"/>
      <c r="CP4228" s="61"/>
    </row>
    <row r="4229" spans="3:94">
      <c r="C4229"/>
      <c r="D4229"/>
      <c r="E4229"/>
      <c r="F4229"/>
      <c r="CP4229" s="61"/>
    </row>
    <row r="4230" spans="3:94">
      <c r="C4230"/>
      <c r="D4230"/>
      <c r="E4230"/>
      <c r="F4230"/>
      <c r="CP4230" s="61"/>
    </row>
    <row r="4231" spans="3:94">
      <c r="C4231"/>
      <c r="D4231"/>
      <c r="E4231"/>
      <c r="F4231"/>
      <c r="CP4231" s="61"/>
    </row>
    <row r="4232" spans="3:94">
      <c r="C4232"/>
      <c r="D4232"/>
      <c r="E4232"/>
      <c r="F4232"/>
      <c r="CP4232" s="61"/>
    </row>
    <row r="4233" spans="3:94">
      <c r="C4233"/>
      <c r="D4233"/>
      <c r="E4233"/>
      <c r="F4233"/>
      <c r="CP4233" s="61"/>
    </row>
    <row r="4234" spans="3:94">
      <c r="C4234"/>
      <c r="D4234"/>
      <c r="E4234"/>
      <c r="F4234"/>
      <c r="CP4234" s="61"/>
    </row>
    <row r="4235" spans="3:94">
      <c r="C4235"/>
      <c r="D4235"/>
      <c r="E4235"/>
      <c r="F4235"/>
      <c r="CP4235" s="61"/>
    </row>
    <row r="4236" spans="3:94">
      <c r="C4236"/>
      <c r="D4236"/>
      <c r="E4236"/>
      <c r="F4236"/>
      <c r="CP4236" s="61"/>
    </row>
    <row r="4237" spans="3:94">
      <c r="C4237"/>
      <c r="D4237"/>
      <c r="E4237"/>
      <c r="F4237"/>
      <c r="CP4237" s="61"/>
    </row>
    <row r="4238" spans="3:94">
      <c r="C4238"/>
      <c r="D4238"/>
      <c r="E4238"/>
      <c r="F4238"/>
      <c r="CP4238" s="61"/>
    </row>
    <row r="4239" spans="3:94">
      <c r="C4239"/>
      <c r="D4239"/>
      <c r="E4239"/>
      <c r="F4239"/>
      <c r="CP4239" s="61"/>
    </row>
    <row r="4240" spans="3:94">
      <c r="C4240"/>
      <c r="D4240"/>
      <c r="E4240"/>
      <c r="F4240"/>
      <c r="CP4240" s="61"/>
    </row>
    <row r="4241" spans="3:94">
      <c r="C4241"/>
      <c r="D4241"/>
      <c r="E4241"/>
      <c r="F4241"/>
      <c r="CP4241" s="61"/>
    </row>
    <row r="4242" spans="3:94">
      <c r="C4242"/>
      <c r="D4242"/>
      <c r="E4242"/>
      <c r="F4242"/>
      <c r="CP4242" s="61"/>
    </row>
    <row r="4243" spans="3:94">
      <c r="C4243"/>
      <c r="D4243"/>
      <c r="E4243"/>
      <c r="F4243"/>
      <c r="CP4243" s="61"/>
    </row>
    <row r="4244" spans="3:94">
      <c r="C4244"/>
      <c r="D4244"/>
      <c r="E4244"/>
      <c r="F4244"/>
      <c r="CP4244" s="61"/>
    </row>
    <row r="4245" spans="3:94">
      <c r="C4245"/>
      <c r="D4245"/>
      <c r="E4245"/>
      <c r="F4245"/>
      <c r="CP4245" s="61"/>
    </row>
    <row r="4246" spans="3:94">
      <c r="C4246"/>
      <c r="D4246"/>
      <c r="E4246"/>
      <c r="F4246"/>
      <c r="CP4246" s="61"/>
    </row>
    <row r="4247" spans="3:94">
      <c r="C4247"/>
      <c r="D4247"/>
      <c r="E4247"/>
      <c r="F4247"/>
      <c r="CP4247" s="61"/>
    </row>
    <row r="4248" spans="3:94">
      <c r="C4248"/>
      <c r="D4248"/>
      <c r="E4248"/>
      <c r="F4248"/>
      <c r="CP4248" s="61"/>
    </row>
    <row r="4249" spans="3:94">
      <c r="C4249"/>
      <c r="D4249"/>
      <c r="E4249"/>
      <c r="F4249"/>
      <c r="CP4249" s="61"/>
    </row>
    <row r="4250" spans="3:94">
      <c r="C4250"/>
      <c r="D4250"/>
      <c r="E4250"/>
      <c r="F4250"/>
      <c r="CP4250" s="61"/>
    </row>
    <row r="4251" spans="3:94">
      <c r="C4251"/>
      <c r="D4251"/>
      <c r="E4251"/>
      <c r="F4251"/>
      <c r="CP4251" s="61"/>
    </row>
    <row r="4252" spans="3:94">
      <c r="C4252"/>
      <c r="D4252"/>
      <c r="E4252"/>
      <c r="F4252"/>
      <c r="CP4252" s="61"/>
    </row>
    <row r="4253" spans="3:94">
      <c r="C4253"/>
      <c r="D4253"/>
      <c r="E4253"/>
      <c r="F4253"/>
      <c r="CP4253" s="61"/>
    </row>
    <row r="4254" spans="3:94">
      <c r="C4254"/>
      <c r="D4254"/>
      <c r="E4254"/>
      <c r="F4254"/>
      <c r="CP4254" s="61"/>
    </row>
    <row r="4255" spans="3:94">
      <c r="C4255"/>
      <c r="D4255"/>
      <c r="E4255"/>
      <c r="F4255"/>
      <c r="CP4255" s="61"/>
    </row>
    <row r="4256" spans="3:94">
      <c r="C4256"/>
      <c r="D4256"/>
      <c r="E4256"/>
      <c r="F4256"/>
      <c r="CP4256" s="61"/>
    </row>
    <row r="4257" spans="3:94">
      <c r="C4257"/>
      <c r="D4257"/>
      <c r="E4257"/>
      <c r="F4257"/>
      <c r="CP4257" s="61"/>
    </row>
    <row r="4258" spans="3:94">
      <c r="C4258"/>
      <c r="D4258"/>
      <c r="E4258"/>
      <c r="F4258"/>
      <c r="CP4258" s="61"/>
    </row>
    <row r="4259" spans="3:94">
      <c r="C4259"/>
      <c r="D4259"/>
      <c r="E4259"/>
      <c r="F4259"/>
      <c r="CP4259" s="61"/>
    </row>
    <row r="4260" spans="3:94">
      <c r="C4260"/>
      <c r="D4260"/>
      <c r="E4260"/>
      <c r="F4260"/>
      <c r="CP4260" s="61"/>
    </row>
    <row r="4261" spans="3:94">
      <c r="C4261"/>
      <c r="D4261"/>
      <c r="E4261"/>
      <c r="F4261"/>
      <c r="CP4261" s="61"/>
    </row>
    <row r="4262" spans="3:94">
      <c r="C4262"/>
      <c r="D4262"/>
      <c r="E4262"/>
      <c r="F4262"/>
      <c r="CP4262" s="61"/>
    </row>
    <row r="4263" spans="3:94">
      <c r="C4263"/>
      <c r="D4263"/>
      <c r="E4263"/>
      <c r="F4263"/>
      <c r="CP4263" s="61"/>
    </row>
    <row r="4264" spans="3:94">
      <c r="C4264"/>
      <c r="D4264"/>
      <c r="E4264"/>
      <c r="F4264"/>
      <c r="CP4264" s="61"/>
    </row>
    <row r="4265" spans="3:94">
      <c r="C4265"/>
      <c r="D4265"/>
      <c r="E4265"/>
      <c r="F4265"/>
      <c r="CP4265" s="61"/>
    </row>
    <row r="4266" spans="3:94">
      <c r="C4266"/>
      <c r="D4266"/>
      <c r="E4266"/>
      <c r="F4266"/>
      <c r="CP4266" s="61"/>
    </row>
    <row r="4267" spans="3:94">
      <c r="C4267"/>
      <c r="D4267"/>
      <c r="E4267"/>
      <c r="F4267"/>
      <c r="CP4267" s="61"/>
    </row>
    <row r="4268" spans="3:94">
      <c r="C4268"/>
      <c r="D4268"/>
      <c r="E4268"/>
      <c r="F4268"/>
      <c r="CP4268" s="61"/>
    </row>
    <row r="4269" spans="3:94">
      <c r="C4269"/>
      <c r="D4269"/>
      <c r="E4269"/>
      <c r="F4269"/>
      <c r="CP4269" s="61"/>
    </row>
    <row r="4270" spans="3:94">
      <c r="C4270"/>
      <c r="D4270"/>
      <c r="E4270"/>
      <c r="F4270"/>
      <c r="CP4270" s="61"/>
    </row>
    <row r="4271" spans="3:94">
      <c r="C4271"/>
      <c r="D4271"/>
      <c r="E4271"/>
      <c r="F4271"/>
      <c r="CP4271" s="61"/>
    </row>
    <row r="4272" spans="3:94">
      <c r="C4272"/>
      <c r="D4272"/>
      <c r="E4272"/>
      <c r="F4272"/>
      <c r="CP4272" s="61"/>
    </row>
    <row r="4273" spans="3:94">
      <c r="C4273"/>
      <c r="D4273"/>
      <c r="E4273"/>
      <c r="F4273"/>
      <c r="CP4273" s="61"/>
    </row>
    <row r="4274" spans="3:94">
      <c r="C4274"/>
      <c r="D4274"/>
      <c r="E4274"/>
      <c r="F4274"/>
      <c r="CP4274" s="61"/>
    </row>
    <row r="4275" spans="3:94">
      <c r="C4275"/>
      <c r="D4275"/>
      <c r="E4275"/>
      <c r="F4275"/>
      <c r="CP4275" s="61"/>
    </row>
    <row r="4276" spans="3:94">
      <c r="C4276"/>
      <c r="D4276"/>
      <c r="E4276"/>
      <c r="F4276"/>
      <c r="CP4276" s="61"/>
    </row>
    <row r="4277" spans="3:94">
      <c r="C4277"/>
      <c r="D4277"/>
      <c r="E4277"/>
      <c r="F4277"/>
      <c r="CP4277" s="61"/>
    </row>
    <row r="4278" spans="3:94">
      <c r="C4278"/>
      <c r="D4278"/>
      <c r="E4278"/>
      <c r="F4278"/>
      <c r="CP4278" s="61"/>
    </row>
    <row r="4279" spans="3:94">
      <c r="C4279"/>
      <c r="D4279"/>
      <c r="E4279"/>
      <c r="F4279"/>
      <c r="CP4279" s="61"/>
    </row>
    <row r="4280" spans="3:94">
      <c r="C4280"/>
      <c r="D4280"/>
      <c r="E4280"/>
      <c r="F4280"/>
      <c r="CP4280" s="61"/>
    </row>
    <row r="4281" spans="3:94">
      <c r="C4281"/>
      <c r="D4281"/>
      <c r="E4281"/>
      <c r="F4281"/>
      <c r="CP4281" s="61"/>
    </row>
    <row r="4282" spans="3:94">
      <c r="C4282"/>
      <c r="D4282"/>
      <c r="E4282"/>
      <c r="F4282"/>
      <c r="CP4282" s="61"/>
    </row>
    <row r="4283" spans="3:94">
      <c r="C4283"/>
      <c r="D4283"/>
      <c r="E4283"/>
      <c r="F4283"/>
      <c r="CP4283" s="61"/>
    </row>
    <row r="4284" spans="3:94">
      <c r="C4284"/>
      <c r="D4284"/>
      <c r="E4284"/>
      <c r="F4284"/>
      <c r="CP4284" s="61"/>
    </row>
    <row r="4285" spans="3:94">
      <c r="C4285"/>
      <c r="D4285"/>
      <c r="E4285"/>
      <c r="F4285"/>
      <c r="CP4285" s="61"/>
    </row>
    <row r="4286" spans="3:94">
      <c r="C4286"/>
      <c r="D4286"/>
      <c r="E4286"/>
      <c r="F4286"/>
      <c r="CP4286" s="61"/>
    </row>
    <row r="4287" spans="3:94">
      <c r="C4287"/>
      <c r="D4287"/>
      <c r="E4287"/>
      <c r="F4287"/>
      <c r="CP4287" s="61"/>
    </row>
    <row r="4288" spans="3:94">
      <c r="C4288"/>
      <c r="D4288"/>
      <c r="E4288"/>
      <c r="F4288"/>
      <c r="CP4288" s="61"/>
    </row>
    <row r="4289" spans="3:94">
      <c r="C4289"/>
      <c r="D4289"/>
      <c r="E4289"/>
      <c r="F4289"/>
      <c r="CP4289" s="61"/>
    </row>
    <row r="4290" spans="3:94">
      <c r="C4290"/>
      <c r="D4290"/>
      <c r="E4290"/>
      <c r="F4290"/>
      <c r="CP4290" s="61"/>
    </row>
    <row r="4291" spans="3:94">
      <c r="C4291"/>
      <c r="D4291"/>
      <c r="E4291"/>
      <c r="F4291"/>
      <c r="CP4291" s="61"/>
    </row>
    <row r="4292" spans="3:94">
      <c r="C4292"/>
      <c r="D4292"/>
      <c r="E4292"/>
      <c r="F4292"/>
      <c r="CP4292" s="61"/>
    </row>
    <row r="4293" spans="3:94">
      <c r="C4293"/>
      <c r="D4293"/>
      <c r="E4293"/>
      <c r="F4293"/>
      <c r="CP4293" s="61"/>
    </row>
    <row r="4294" spans="3:94">
      <c r="C4294"/>
      <c r="D4294"/>
      <c r="E4294"/>
      <c r="F4294"/>
      <c r="CP4294" s="61"/>
    </row>
    <row r="4295" spans="3:94">
      <c r="C4295"/>
      <c r="D4295"/>
      <c r="E4295"/>
      <c r="F4295"/>
      <c r="CP4295" s="61"/>
    </row>
    <row r="4296" spans="3:94">
      <c r="C4296"/>
      <c r="D4296"/>
      <c r="E4296"/>
      <c r="F4296"/>
      <c r="CP4296" s="61"/>
    </row>
    <row r="4297" spans="3:94">
      <c r="C4297"/>
      <c r="D4297"/>
      <c r="E4297"/>
      <c r="F4297"/>
      <c r="CP4297" s="61"/>
    </row>
    <row r="4298" spans="3:94">
      <c r="C4298"/>
      <c r="D4298"/>
      <c r="E4298"/>
      <c r="F4298"/>
      <c r="CP4298" s="61"/>
    </row>
    <row r="4299" spans="3:94">
      <c r="C4299"/>
      <c r="D4299"/>
      <c r="E4299"/>
      <c r="F4299"/>
      <c r="CP4299" s="61"/>
    </row>
    <row r="4300" spans="3:94">
      <c r="C4300"/>
      <c r="D4300"/>
      <c r="E4300"/>
      <c r="F4300"/>
      <c r="CP4300" s="61"/>
    </row>
    <row r="4301" spans="3:94">
      <c r="C4301"/>
      <c r="D4301"/>
      <c r="E4301"/>
      <c r="F4301"/>
      <c r="CP4301" s="61"/>
    </row>
    <row r="4302" spans="3:94">
      <c r="C4302"/>
      <c r="D4302"/>
      <c r="E4302"/>
      <c r="F4302"/>
      <c r="CP4302" s="61"/>
    </row>
    <row r="4303" spans="3:94">
      <c r="C4303"/>
      <c r="D4303"/>
      <c r="E4303"/>
      <c r="F4303"/>
      <c r="CP4303" s="61"/>
    </row>
    <row r="4304" spans="3:94">
      <c r="C4304"/>
      <c r="D4304"/>
      <c r="E4304"/>
      <c r="F4304"/>
      <c r="CP4304" s="61"/>
    </row>
  </sheetData>
  <mergeCells count="70">
    <mergeCell ref="CP4:CP6"/>
    <mergeCell ref="BB8:BB9"/>
    <mergeCell ref="BJ8:BJ9"/>
    <mergeCell ref="BK8:BK9"/>
    <mergeCell ref="BL8:BL9"/>
    <mergeCell ref="BM8:BQ8"/>
    <mergeCell ref="CO8:CO9"/>
    <mergeCell ref="CP8:CP9"/>
    <mergeCell ref="CC8:CG8"/>
    <mergeCell ref="BS8:BS9"/>
    <mergeCell ref="BT8:BT9"/>
    <mergeCell ref="BU8:BY8"/>
    <mergeCell ref="CB8:CB9"/>
    <mergeCell ref="BD8:BD9"/>
    <mergeCell ref="A2:CO6"/>
    <mergeCell ref="K7:L7"/>
    <mergeCell ref="R10:R32"/>
    <mergeCell ref="AB10:AB32"/>
    <mergeCell ref="AI10:AI32"/>
    <mergeCell ref="AP10:AP32"/>
    <mergeCell ref="AV10:AV32"/>
    <mergeCell ref="BS10:BS32"/>
    <mergeCell ref="BR8:BR9"/>
    <mergeCell ref="BK10:BK32"/>
    <mergeCell ref="BC10:BC32"/>
    <mergeCell ref="BC8:BC9"/>
    <mergeCell ref="CA10:CA32"/>
    <mergeCell ref="CQ8:CQ9"/>
    <mergeCell ref="CL8:CL9"/>
    <mergeCell ref="CK8:CK9"/>
    <mergeCell ref="CJ8:CJ9"/>
    <mergeCell ref="CI8:CI9"/>
    <mergeCell ref="CN8:CN9"/>
    <mergeCell ref="CM8:CM9"/>
    <mergeCell ref="CH8:CH9"/>
    <mergeCell ref="CI10:CI32"/>
    <mergeCell ref="CA8:CA9"/>
    <mergeCell ref="S8:S9"/>
    <mergeCell ref="T8:Y8"/>
    <mergeCell ref="AA8:AA9"/>
    <mergeCell ref="AI8:AI9"/>
    <mergeCell ref="AK8:AN8"/>
    <mergeCell ref="AB8:AB9"/>
    <mergeCell ref="AC8:AC9"/>
    <mergeCell ref="AH8:AH9"/>
    <mergeCell ref="AD8:AG8"/>
    <mergeCell ref="AX8:BA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I8"/>
    <mergeCell ref="BZ8:BZ9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</mergeCells>
  <pageMargins left="0" right="0" top="0" bottom="0" header="0.3" footer="0"/>
  <pageSetup paperSize="9" scale="57" fitToWidth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46"/>
  <sheetViews>
    <sheetView workbookViewId="0">
      <selection activeCell="K7" sqref="K7:M7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5"/>
    <col min="6" max="6" width="7.42578125" customWidth="1"/>
    <col min="7" max="7" width="6.42578125" style="5" bestFit="1" customWidth="1"/>
    <col min="8" max="8" width="7.42578125" customWidth="1"/>
    <col min="9" max="9" width="10.140625" customWidth="1"/>
    <col min="10" max="10" width="9.42578125" customWidth="1"/>
    <col min="11" max="11" width="9.42578125" style="5" customWidth="1"/>
    <col min="12" max="12" width="9.140625" customWidth="1"/>
    <col min="13" max="13" width="10.140625" customWidth="1"/>
  </cols>
  <sheetData>
    <row r="1" spans="2:16" ht="26.45" customHeight="1"/>
    <row r="2" spans="2:16" ht="24.95" customHeight="1">
      <c r="B2" s="88" t="s">
        <v>143</v>
      </c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</row>
    <row r="3" spans="2:16" ht="24.95" customHeight="1"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</row>
    <row r="4" spans="2:16" ht="24.95" customHeight="1"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P4" s="4"/>
    </row>
    <row r="5" spans="2:16" ht="24.95" customHeight="1"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</row>
    <row r="6" spans="2:16" ht="24.95" customHeight="1">
      <c r="B6" s="85" t="s">
        <v>36</v>
      </c>
      <c r="C6" s="85"/>
      <c r="D6" s="86" t="str">
        <f>VLOOKUP($K$6,'1ST_SEMESTER'!$B$8:$CQ$32,2,0)</f>
        <v>Mehedi Hasan Siam</v>
      </c>
      <c r="E6" s="86"/>
      <c r="F6" s="86"/>
      <c r="G6" s="86"/>
      <c r="H6" s="87" t="s">
        <v>0</v>
      </c>
      <c r="I6" s="87"/>
      <c r="J6" s="32" t="s">
        <v>60</v>
      </c>
      <c r="K6" s="86">
        <v>45</v>
      </c>
      <c r="L6" s="86"/>
      <c r="M6" s="86"/>
    </row>
    <row r="7" spans="2:16" ht="24.95" customHeight="1">
      <c r="B7" s="85" t="s">
        <v>37</v>
      </c>
      <c r="C7" s="85"/>
      <c r="D7" s="86" t="str">
        <f>VLOOKUP($K$6,'1ST_SEMESTER'!$B$8:$CQ$32,3,0)</f>
        <v>Md. Monsur Alam</v>
      </c>
      <c r="E7" s="86"/>
      <c r="F7" s="86"/>
      <c r="G7" s="86"/>
      <c r="H7" s="87" t="s">
        <v>61</v>
      </c>
      <c r="I7" s="87"/>
      <c r="J7" s="32" t="s">
        <v>60</v>
      </c>
      <c r="K7" s="86" t="str">
        <f>'1ST_SEMESTER'!H7</f>
        <v>TEN</v>
      </c>
      <c r="L7" s="86"/>
      <c r="M7" s="86"/>
    </row>
    <row r="8" spans="2:16" ht="24.95" customHeight="1">
      <c r="B8" s="85" t="s">
        <v>38</v>
      </c>
      <c r="C8" s="85"/>
      <c r="D8" s="86" t="str">
        <f>VLOOKUP($K$6,'1ST_SEMESTER'!$B$8:$CQ$32,4,0)</f>
        <v>Nahida Akter</v>
      </c>
      <c r="E8" s="86"/>
      <c r="F8" s="86"/>
      <c r="G8" s="86"/>
      <c r="H8" s="87" t="s">
        <v>62</v>
      </c>
      <c r="I8" s="87"/>
      <c r="J8" s="32" t="s">
        <v>60</v>
      </c>
      <c r="K8" s="86" t="str">
        <f>'1ST_SEMESTER'!J7</f>
        <v>Science -A</v>
      </c>
      <c r="L8" s="86"/>
      <c r="M8" s="86"/>
    </row>
    <row r="9" spans="2:16" ht="24.95" customHeight="1">
      <c r="B9" s="85" t="s">
        <v>39</v>
      </c>
      <c r="C9" s="85"/>
      <c r="D9" s="89" t="str">
        <f>'1ST_SEMESTER'!D7</f>
        <v>MD. MUSFIQUR RAHMAN</v>
      </c>
      <c r="E9" s="89"/>
      <c r="F9" s="89"/>
      <c r="G9" s="89"/>
      <c r="H9" s="91" t="s">
        <v>63</v>
      </c>
      <c r="I9" s="91"/>
      <c r="J9" s="33" t="s">
        <v>60</v>
      </c>
      <c r="K9" s="90">
        <f>'1ST_SEMESTER'!M7</f>
        <v>44</v>
      </c>
      <c r="L9" s="90"/>
      <c r="M9" s="90"/>
    </row>
    <row r="10" spans="2:16" ht="22.5" customHeight="1">
      <c r="B10" s="92" t="s">
        <v>40</v>
      </c>
      <c r="C10" s="92"/>
      <c r="D10" s="93" t="str">
        <f>'1ST_SEMESTER'!F7</f>
        <v>01676-255489</v>
      </c>
      <c r="E10" s="93"/>
      <c r="F10" s="93"/>
      <c r="G10" s="93"/>
      <c r="H10" s="106" t="s">
        <v>64</v>
      </c>
      <c r="I10" s="106"/>
      <c r="J10" s="22" t="s">
        <v>60</v>
      </c>
      <c r="K10" s="94">
        <f>VLOOKUP($K$6,'1ST_SEMESTER'!$B$8:$CQ$32,94,0)</f>
        <v>71</v>
      </c>
      <c r="L10" s="94"/>
      <c r="M10" s="94" t="e">
        <f>VLOOKUP($K$6,'1ST_SEMESTER'!$B$8:$CQ$24,10,0)</f>
        <v>#N/A</v>
      </c>
    </row>
    <row r="11" spans="2:16">
      <c r="B11" s="95" t="s">
        <v>20</v>
      </c>
      <c r="C11" s="96"/>
      <c r="D11" s="97"/>
      <c r="E11" s="101" t="s">
        <v>21</v>
      </c>
      <c r="F11" s="81" t="s">
        <v>24</v>
      </c>
      <c r="G11" s="83" t="s">
        <v>25</v>
      </c>
      <c r="H11" s="81" t="s">
        <v>26</v>
      </c>
      <c r="I11" s="80" t="s">
        <v>22</v>
      </c>
      <c r="J11" s="80" t="s">
        <v>23</v>
      </c>
      <c r="K11" s="104" t="s">
        <v>2</v>
      </c>
      <c r="L11" s="79" t="s">
        <v>59</v>
      </c>
      <c r="M11" s="79" t="s">
        <v>6</v>
      </c>
    </row>
    <row r="12" spans="2:16" ht="14.45" customHeight="1">
      <c r="B12" s="95"/>
      <c r="C12" s="96"/>
      <c r="D12" s="97"/>
      <c r="E12" s="101"/>
      <c r="F12" s="82"/>
      <c r="G12" s="84"/>
      <c r="H12" s="82"/>
      <c r="I12" s="103"/>
      <c r="J12" s="103"/>
      <c r="K12" s="104"/>
      <c r="L12" s="79"/>
      <c r="M12" s="79"/>
    </row>
    <row r="13" spans="2:16">
      <c r="B13" s="95"/>
      <c r="C13" s="96"/>
      <c r="D13" s="97"/>
      <c r="E13" s="101"/>
      <c r="F13" s="82"/>
      <c r="G13" s="84"/>
      <c r="H13" s="82"/>
      <c r="I13" s="103"/>
      <c r="J13" s="103"/>
      <c r="K13" s="104"/>
      <c r="L13" s="79"/>
      <c r="M13" s="79"/>
    </row>
    <row r="14" spans="2:16">
      <c r="B14" s="95"/>
      <c r="C14" s="96"/>
      <c r="D14" s="97"/>
      <c r="E14" s="101"/>
      <c r="F14" s="82"/>
      <c r="G14" s="84"/>
      <c r="H14" s="82"/>
      <c r="I14" s="103"/>
      <c r="J14" s="103"/>
      <c r="K14" s="104"/>
      <c r="L14" s="79"/>
      <c r="M14" s="79"/>
    </row>
    <row r="15" spans="2:16">
      <c r="B15" s="95"/>
      <c r="C15" s="96"/>
      <c r="D15" s="97"/>
      <c r="E15" s="101"/>
      <c r="F15" s="82"/>
      <c r="G15" s="84"/>
      <c r="H15" s="82"/>
      <c r="I15" s="103"/>
      <c r="J15" s="103"/>
      <c r="K15" s="104"/>
      <c r="L15" s="79"/>
      <c r="M15" s="79"/>
    </row>
    <row r="16" spans="2:16">
      <c r="B16" s="95"/>
      <c r="C16" s="96"/>
      <c r="D16" s="97"/>
      <c r="E16" s="101"/>
      <c r="F16" s="82"/>
      <c r="G16" s="84"/>
      <c r="H16" s="82"/>
      <c r="I16" s="103"/>
      <c r="J16" s="103"/>
      <c r="K16" s="104"/>
      <c r="L16" s="79"/>
      <c r="M16" s="79"/>
    </row>
    <row r="17" spans="2:16">
      <c r="B17" s="95"/>
      <c r="C17" s="96"/>
      <c r="D17" s="97"/>
      <c r="E17" s="101"/>
      <c r="F17" s="82"/>
      <c r="G17" s="84"/>
      <c r="H17" s="82"/>
      <c r="I17" s="103"/>
      <c r="J17" s="103"/>
      <c r="K17" s="104"/>
      <c r="L17" s="79"/>
      <c r="M17" s="79"/>
    </row>
    <row r="18" spans="2:16">
      <c r="B18" s="98"/>
      <c r="C18" s="99"/>
      <c r="D18" s="100"/>
      <c r="E18" s="102"/>
      <c r="F18" s="82"/>
      <c r="G18" s="84"/>
      <c r="H18" s="82"/>
      <c r="I18" s="103"/>
      <c r="J18" s="103"/>
      <c r="K18" s="105"/>
      <c r="L18" s="80"/>
      <c r="M18" s="80"/>
    </row>
    <row r="19" spans="2:16" ht="24.95" customHeight="1">
      <c r="B19" s="107" t="s">
        <v>27</v>
      </c>
      <c r="C19" s="107"/>
      <c r="D19" s="107"/>
      <c r="E19" s="23">
        <f>VLOOKUP($K$6,'1ST_SEMESTER'!$B$8:$CQ$32,6,0)</f>
        <v>16</v>
      </c>
      <c r="F19" s="23">
        <f>VLOOKUP($K$6,'1ST_SEMESTER'!$B$8:$CQ$32,7,0)</f>
        <v>31</v>
      </c>
      <c r="G19" s="23">
        <f>VLOOKUP($K$6,'1ST_SEMESTER'!$B$8:$CQ$32,9,0)</f>
        <v>14</v>
      </c>
      <c r="H19" s="112"/>
      <c r="I19" s="77">
        <f>VLOOKUP($K$6,'1ST_SEMESTER'!$B$8:$CQ$32,16,0)</f>
        <v>122</v>
      </c>
      <c r="J19" s="77">
        <f>'1ST_SEMESTER'!R10</f>
        <v>172</v>
      </c>
      <c r="K19" s="77">
        <f>VLOOKUP($K$6,'1ST_SEMESTER'!$B$8:$CQ$32,18,0)</f>
        <v>3.5</v>
      </c>
      <c r="L19" s="77" t="str">
        <f t="shared" ref="L19:L29" si="0">IF(K19="F","F",IF(K19&lt;2.5,"D",IF(K19&lt;3,"C",IF(K19&lt;3.5,"B",IF(K19&lt;4,"A-",IF(K19&lt;5,"A","A+"))))))</f>
        <v>A-</v>
      </c>
      <c r="M19" s="108" t="str">
        <f>IFERROR(VLOOKUP($K$6,'1ST_SEMESTER'!$B$8:$CQ$32,89,0),"")</f>
        <v>F</v>
      </c>
    </row>
    <row r="20" spans="2:16" ht="24.95" customHeight="1">
      <c r="B20" s="107" t="s">
        <v>28</v>
      </c>
      <c r="C20" s="107"/>
      <c r="D20" s="107"/>
      <c r="E20" s="23">
        <f>VLOOKUP($K$6,'1ST_SEMESTER'!$B$8:$CQ$32,11,0)</f>
        <v>17</v>
      </c>
      <c r="F20" s="23">
        <f>VLOOKUP($K$6,'1ST_SEMESTER'!$B$8:$CQ$32,12,0)</f>
        <v>26</v>
      </c>
      <c r="G20" s="23">
        <f>VLOOKUP($K$6,'1ST_SEMESTER'!$B$8:$CQ$32,14,0)</f>
        <v>18</v>
      </c>
      <c r="H20" s="113"/>
      <c r="I20" s="78"/>
      <c r="J20" s="78"/>
      <c r="K20" s="78"/>
      <c r="L20" s="78" t="str">
        <f t="shared" si="0"/>
        <v>D</v>
      </c>
      <c r="M20" s="108" t="e">
        <f>VLOOKUP($K$6,'1ST_SEMESTER'!$B$8:$CQ$24,47,0)</f>
        <v>#N/A</v>
      </c>
    </row>
    <row r="21" spans="2:16" ht="24.95" customHeight="1">
      <c r="B21" s="107" t="s">
        <v>29</v>
      </c>
      <c r="C21" s="107"/>
      <c r="D21" s="107"/>
      <c r="E21" s="23">
        <f>VLOOKUP($K$6,'1ST_SEMESTER'!$B$8:$CQ$32,19,0)</f>
        <v>15</v>
      </c>
      <c r="F21" s="23">
        <f>VLOOKUP($K$6,'1ST_SEMESTER'!$B$8:$CQ$32,20,0)</f>
        <v>44</v>
      </c>
      <c r="G21" s="25"/>
      <c r="H21" s="113"/>
      <c r="I21" s="77">
        <f>VLOOKUP($K$6,'1ST_SEMESTER'!$B$8:$CQ$32,26,0)</f>
        <v>111</v>
      </c>
      <c r="J21" s="77">
        <f>'1ST_SEMESTER'!AB10</f>
        <v>153</v>
      </c>
      <c r="K21" s="77">
        <f>VLOOKUP($K$6,'1ST_SEMESTER'!$B$8:$CQ$32,28,0)</f>
        <v>3</v>
      </c>
      <c r="L21" s="77" t="str">
        <f t="shared" si="0"/>
        <v>B</v>
      </c>
      <c r="M21" s="108" t="e">
        <f>VLOOKUP($K$6,'1ST_SEMESTER'!$B$8:$CQ$24,47,0)</f>
        <v>#N/A</v>
      </c>
      <c r="P21" s="4"/>
    </row>
    <row r="22" spans="2:16" ht="24.95" customHeight="1">
      <c r="B22" s="107" t="s">
        <v>30</v>
      </c>
      <c r="C22" s="107"/>
      <c r="D22" s="107"/>
      <c r="E22" s="23">
        <f>VLOOKUP($K$6,'1ST_SEMESTER'!$B$8:$CQ$32,22,0)</f>
        <v>7</v>
      </c>
      <c r="F22" s="23">
        <f>VLOOKUP($K$6,'1ST_SEMESTER'!$B$8:$CQ$32,23,0)</f>
        <v>34</v>
      </c>
      <c r="G22" s="26"/>
      <c r="H22" s="113"/>
      <c r="I22" s="78"/>
      <c r="J22" s="78"/>
      <c r="K22" s="78"/>
      <c r="L22" s="78" t="str">
        <f t="shared" si="0"/>
        <v>D</v>
      </c>
      <c r="M22" s="108" t="e">
        <f>VLOOKUP($K$6,'1ST_SEMESTER'!$B$8:$CQ$24,47,0)</f>
        <v>#N/A</v>
      </c>
    </row>
    <row r="23" spans="2:16" ht="24.95" customHeight="1">
      <c r="B23" s="107" t="s">
        <v>31</v>
      </c>
      <c r="C23" s="107"/>
      <c r="D23" s="107"/>
      <c r="E23" s="23">
        <f>VLOOKUP($K$6,'1ST_SEMESTER'!$B$8:$CQ$32,29,0)</f>
        <v>6</v>
      </c>
      <c r="F23" s="23">
        <f>VLOOKUP($K$6,'1ST_SEMESTER'!$B$8:$CQ$32,30,0)</f>
        <v>12</v>
      </c>
      <c r="G23" s="23">
        <f>VLOOKUP($K$6,'1ST_SEMESTER'!$B$8:$CQ$32,32,0)</f>
        <v>9</v>
      </c>
      <c r="H23" s="113"/>
      <c r="I23" s="23">
        <f>VLOOKUP($K$6,'1ST_SEMESTER'!$B$8:$CQ$32,33,0)</f>
        <v>27</v>
      </c>
      <c r="J23" s="23">
        <f>'1ST_SEMESTER'!AI10</f>
        <v>78</v>
      </c>
      <c r="K23" s="23" t="str">
        <f>VLOOKUP($K$6,'1ST_SEMESTER'!$B$8:$CQ$32,35,0)</f>
        <v>F</v>
      </c>
      <c r="L23" s="23" t="str">
        <f t="shared" si="0"/>
        <v>F</v>
      </c>
      <c r="M23" s="108" t="e">
        <f>VLOOKUP($K$6,'1ST_SEMESTER'!$B$8:$CQ$24,47,0)</f>
        <v>#N/A</v>
      </c>
    </row>
    <row r="24" spans="2:16" ht="24.95" customHeight="1">
      <c r="B24" s="107" t="s">
        <v>32</v>
      </c>
      <c r="C24" s="107"/>
      <c r="D24" s="107"/>
      <c r="E24" s="23">
        <f>VLOOKUP($K$6,'1ST_SEMESTER'!$B$8:$CQ$32,36,0)</f>
        <v>14</v>
      </c>
      <c r="F24" s="23">
        <f>VLOOKUP($K$6,'1ST_SEMESTER'!$B$8:$CQ$32,37,0)</f>
        <v>32</v>
      </c>
      <c r="G24" s="23">
        <f>VLOOKUP($K$6,'1ST_SEMESTER'!$B$8:$CQ$32,39,0)</f>
        <v>20</v>
      </c>
      <c r="H24" s="114"/>
      <c r="I24" s="23">
        <f>VLOOKUP($K$6,'1ST_SEMESTER'!$B$8:$CQ$32,40,0)</f>
        <v>66</v>
      </c>
      <c r="J24" s="23">
        <f>'1ST_SEMESTER'!AP10</f>
        <v>96</v>
      </c>
      <c r="K24" s="23">
        <f>VLOOKUP($K$6,'1ST_SEMESTER'!$B$8:$CQ$32,42,0)</f>
        <v>3.5</v>
      </c>
      <c r="L24" s="23" t="str">
        <f t="shared" si="0"/>
        <v>A-</v>
      </c>
      <c r="M24" s="108" t="e">
        <f>VLOOKUP($K$6,'1ST_SEMESTER'!$B$8:$CQ$24,47,0)</f>
        <v>#N/A</v>
      </c>
    </row>
    <row r="25" spans="2:16" ht="24.95" customHeight="1">
      <c r="B25" s="107" t="s">
        <v>4</v>
      </c>
      <c r="C25" s="107"/>
      <c r="D25" s="107"/>
      <c r="E25" s="23">
        <f>VLOOKUP($K$6,'1ST_SEMESTER'!$B$8:$CQ$32,43,0)</f>
        <v>0</v>
      </c>
      <c r="F25" s="27"/>
      <c r="G25" s="23">
        <f>VLOOKUP($K$6,'1ST_SEMESTER'!$B$8:$CQ$32,44,0)</f>
        <v>22</v>
      </c>
      <c r="H25" s="28">
        <f>VLOOKUP($K$6,'1ST_SEMESTER'!$B$8:$CQ$32,45,0)</f>
        <v>25</v>
      </c>
      <c r="I25" s="23">
        <f>VLOOKUP($K$6,'1ST_SEMESTER'!$B$8:$CQ$32,46,0)</f>
        <v>47</v>
      </c>
      <c r="J25" s="23">
        <f>'1ST_SEMESTER'!AV10</f>
        <v>47</v>
      </c>
      <c r="K25" s="23">
        <f>VLOOKUP($K$6,'1ST_SEMESTER'!$B$8:$CQ$32,48,0)</f>
        <v>5</v>
      </c>
      <c r="L25" s="23" t="str">
        <f t="shared" si="0"/>
        <v>A+</v>
      </c>
      <c r="M25" s="108" t="e">
        <f>VLOOKUP($K$6,'1ST_SEMESTER'!$B$8:$CQ$24,47,0)</f>
        <v>#N/A</v>
      </c>
    </row>
    <row r="26" spans="2:16" ht="24.95" customHeight="1">
      <c r="B26" s="107" t="s">
        <v>52</v>
      </c>
      <c r="C26" s="107"/>
      <c r="D26" s="107"/>
      <c r="E26" s="23">
        <f>VLOOKUP($K$6,'1ST_SEMESTER'!$B$8:$CQ$32,49,0)</f>
        <v>11</v>
      </c>
      <c r="F26" s="23">
        <f>VLOOKUP($K$6,'1ST_SEMESTER'!$B$8:$CQ$32,50,0)</f>
        <v>27</v>
      </c>
      <c r="G26" s="23">
        <f>VLOOKUP($K$6,'1ST_SEMESTER'!$B$8:$CQ$32,52,0)</f>
        <v>19</v>
      </c>
      <c r="H26" s="29"/>
      <c r="I26" s="23">
        <f>VLOOKUP($K$6,'1ST_SEMESTER'!$B$8:$CQ$32,53,0)</f>
        <v>57</v>
      </c>
      <c r="J26" s="23">
        <f>'1ST_SEMESTER'!BC10</f>
        <v>90</v>
      </c>
      <c r="K26" s="23">
        <f>VLOOKUP($K$6,'1ST_SEMESTER'!$B$8:$CQ$32,55,0)</f>
        <v>3</v>
      </c>
      <c r="L26" s="23" t="str">
        <f t="shared" si="0"/>
        <v>B</v>
      </c>
      <c r="M26" s="108" t="e">
        <f>VLOOKUP($K$6,'1ST_SEMESTER'!$B$8:$CQ$24,47,0)</f>
        <v>#N/A</v>
      </c>
    </row>
    <row r="27" spans="2:16" ht="24.95" customHeight="1">
      <c r="B27" s="107" t="s">
        <v>42</v>
      </c>
      <c r="C27" s="107"/>
      <c r="D27" s="107"/>
      <c r="E27" s="23">
        <f>VLOOKUP($K$6,'1ST_SEMESTER'!$B$8:$CQ$32,56,0)</f>
        <v>8</v>
      </c>
      <c r="F27" s="23">
        <f>VLOOKUP($K$6,'1ST_SEMESTER'!$B$8:$CQ$32,57,0)</f>
        <v>16</v>
      </c>
      <c r="G27" s="23">
        <f>VLOOKUP($K$6,'1ST_SEMESTER'!$B$8:$CQ$32,59,0)</f>
        <v>10</v>
      </c>
      <c r="H27" s="28">
        <f>VLOOKUP($K$6,'1ST_SEMESTER'!$B$8:$CQ$32,60,0)</f>
        <v>25</v>
      </c>
      <c r="I27" s="23">
        <f>VLOOKUP($K$6,'1ST_SEMESTER'!$B$8:$CQ$32,61,0)</f>
        <v>59</v>
      </c>
      <c r="J27" s="23">
        <f>'1ST_SEMESTER'!BK10</f>
        <v>84</v>
      </c>
      <c r="K27" s="23">
        <f>VLOOKUP($K$6,'1ST_SEMESTER'!$B$8:$CQ$32,63,0)</f>
        <v>3</v>
      </c>
      <c r="L27" s="23" t="str">
        <f t="shared" si="0"/>
        <v>B</v>
      </c>
      <c r="M27" s="108" t="e">
        <f>VLOOKUP($K$6,'1ST_SEMESTER'!$B$8:$CQ$24,47,0)</f>
        <v>#N/A</v>
      </c>
    </row>
    <row r="28" spans="2:16" ht="24.95" customHeight="1">
      <c r="B28" s="107" t="s">
        <v>43</v>
      </c>
      <c r="C28" s="107"/>
      <c r="D28" s="107"/>
      <c r="E28" s="23">
        <f>VLOOKUP($K$6,'1ST_SEMESTER'!$B$8:$CQ$32,64,0)</f>
        <v>5</v>
      </c>
      <c r="F28" s="23">
        <f>VLOOKUP($K$6,'1ST_SEMESTER'!$B$8:$CQ$32,65,0)</f>
        <v>28</v>
      </c>
      <c r="G28" s="23">
        <f>VLOOKUP($K$6,'1ST_SEMESTER'!$B$8:$CQ$32,67,0)</f>
        <v>19</v>
      </c>
      <c r="H28" s="28">
        <f>VLOOKUP($K$6,'1ST_SEMESTER'!$B$8:$CQ$32,68,0)</f>
        <v>23</v>
      </c>
      <c r="I28" s="23">
        <f>VLOOKUP($K$6,'1ST_SEMESTER'!$B$8:$CQ$32,69,0)</f>
        <v>75</v>
      </c>
      <c r="J28" s="23">
        <f>'1ST_SEMESTER'!BS10</f>
        <v>87</v>
      </c>
      <c r="K28" s="23">
        <f>VLOOKUP($K$6,'1ST_SEMESTER'!$B$8:$CQ$32,71,0)</f>
        <v>4</v>
      </c>
      <c r="L28" s="23" t="str">
        <f t="shared" si="0"/>
        <v>A</v>
      </c>
      <c r="M28" s="108" t="e">
        <f>VLOOKUP($K$6,'1ST_SEMESTER'!$B$8:$CQ$24,47,0)</f>
        <v>#N/A</v>
      </c>
    </row>
    <row r="29" spans="2:16" ht="24.95" customHeight="1">
      <c r="B29" s="107" t="s">
        <v>65</v>
      </c>
      <c r="C29" s="107"/>
      <c r="D29" s="107"/>
      <c r="E29" s="23">
        <f>VLOOKUP($K$6,'1ST_SEMESTER'!$B$8:$CQ$32,72,0)</f>
        <v>8</v>
      </c>
      <c r="F29" s="23">
        <f>VLOOKUP($K$6,'1ST_SEMESTER'!$B$8:$CQ$32,73,0)</f>
        <v>29</v>
      </c>
      <c r="G29" s="23">
        <f>VLOOKUP($K$6,'1ST_SEMESTER'!$B$8:$CQ$32,75,0)</f>
        <v>16</v>
      </c>
      <c r="H29" s="28">
        <f>VLOOKUP($K$6,'1ST_SEMESTER'!$B$8:$CQ$32,76,0)</f>
        <v>23</v>
      </c>
      <c r="I29" s="23">
        <f>VLOOKUP($K$6,'1ST_SEMESTER'!$B$8:$CQ$32,77,0)</f>
        <v>76</v>
      </c>
      <c r="J29" s="23">
        <f>'1ST_SEMESTER'!CA10</f>
        <v>90</v>
      </c>
      <c r="K29" s="23">
        <f>VLOOKUP($K$6,'1ST_SEMESTER'!$B$8:$CQ$32,79,0)</f>
        <v>4</v>
      </c>
      <c r="L29" s="23" t="str">
        <f t="shared" si="0"/>
        <v>A</v>
      </c>
      <c r="M29" s="108" t="e">
        <f>VLOOKUP($K$6,'1ST_SEMESTER'!$B$8:$CQ$24,47,0)</f>
        <v>#N/A</v>
      </c>
    </row>
    <row r="30" spans="2:16" ht="15.75">
      <c r="B30" s="124" t="s">
        <v>33</v>
      </c>
      <c r="C30" s="125"/>
      <c r="D30" s="125"/>
      <c r="E30" s="125"/>
      <c r="F30" s="125"/>
      <c r="G30" s="125"/>
      <c r="H30" s="125"/>
      <c r="I30" s="125"/>
      <c r="J30" s="126"/>
      <c r="K30" s="116" t="s">
        <v>35</v>
      </c>
      <c r="L30" s="117"/>
      <c r="M30" s="108" t="e">
        <f>VLOOKUP($K$6,'1ST_SEMESTER'!$B$8:$CQ$24,47,0)</f>
        <v>#N/A</v>
      </c>
    </row>
    <row r="31" spans="2:16" ht="24.95" customHeight="1">
      <c r="B31" s="107" t="s">
        <v>53</v>
      </c>
      <c r="C31" s="107"/>
      <c r="D31" s="107"/>
      <c r="E31" s="23">
        <f>VLOOKUP($K$6,'1ST_SEMESTER'!$B$8:$CQ$32,80,0)</f>
        <v>9</v>
      </c>
      <c r="F31" s="23">
        <f>VLOOKUP($K$6,'1ST_SEMESTER'!$B$8:$CQ$32,81,0)</f>
        <v>31</v>
      </c>
      <c r="G31" s="23">
        <f>VLOOKUP($K$6,'1ST_SEMESTER'!$B$8:$CQ$32,83,0)</f>
        <v>14</v>
      </c>
      <c r="H31" s="28">
        <f>VLOOKUP($K$6,'1ST_SEMESTER'!$B$8:$CQ$32,84,0)</f>
        <v>23</v>
      </c>
      <c r="I31" s="23">
        <f>VLOOKUP($K$6,'1ST_SEMESTER'!$B$8:$CQ$32,85,0)</f>
        <v>77</v>
      </c>
      <c r="J31" s="24">
        <f>'1ST_SEMESTER'!CI10</f>
        <v>82</v>
      </c>
      <c r="K31" s="24">
        <f>VLOOKUP($K$6,'1ST_SEMESTER'!$B$8:$CQ$32,87,0)</f>
        <v>4</v>
      </c>
      <c r="L31" s="24" t="str">
        <f>IF(K31="0","F",IF(K31&lt;2.5,"D",IF(K31&lt;3,"C",IF(K31&lt;3.5,"B",IF(K31&lt;4,"A-",IF(K31&lt;5,"A","A+"))))))</f>
        <v>A</v>
      </c>
      <c r="M31" s="108" t="e">
        <f>VLOOKUP($K$6,'1ST_SEMESTER'!$B$8:$CQ$24,47,0)</f>
        <v>#N/A</v>
      </c>
    </row>
    <row r="32" spans="2:16" ht="24.95" customHeight="1">
      <c r="B32" s="118" t="s">
        <v>34</v>
      </c>
      <c r="C32" s="119"/>
      <c r="D32" s="120"/>
      <c r="E32" s="40"/>
      <c r="F32" s="41"/>
      <c r="G32" s="42"/>
      <c r="H32" s="41"/>
      <c r="I32" s="43">
        <f>I19+I21+I23+I24+I25+I26+I27+I28+I29+I31</f>
        <v>717</v>
      </c>
      <c r="J32" s="109"/>
      <c r="K32" s="110"/>
      <c r="L32" s="111"/>
      <c r="M32" s="108" t="e">
        <f>VLOOKUP($K$6,'1ST_SEMESTER'!$B$8:$CQ$24,47,0)</f>
        <v>#N/A</v>
      </c>
    </row>
    <row r="33" spans="2:13">
      <c r="B33" s="30"/>
      <c r="C33" s="30"/>
      <c r="D33" s="30"/>
      <c r="E33" s="31"/>
      <c r="F33" s="30"/>
      <c r="G33" s="31"/>
      <c r="H33" s="30"/>
      <c r="I33" s="30"/>
      <c r="J33" s="30"/>
      <c r="K33" s="31"/>
      <c r="L33" s="30"/>
      <c r="M33" s="30"/>
    </row>
    <row r="34" spans="2:13" ht="19.5" customHeight="1">
      <c r="B34" s="121" t="s">
        <v>71</v>
      </c>
      <c r="C34" s="121"/>
      <c r="D34" s="121"/>
      <c r="E34" s="121"/>
      <c r="F34" s="39" t="str">
        <f>IFERROR(VLOOKUP($K$6,'1ST_SEMESTER'!$B$8:$CQ$32,91,0),"")</f>
        <v>NEED TO PROGRESS</v>
      </c>
      <c r="G34" s="39"/>
      <c r="H34" s="39"/>
      <c r="I34" s="39"/>
      <c r="J34" s="34"/>
      <c r="K34" s="35"/>
      <c r="L34" s="34"/>
      <c r="M34" s="34"/>
    </row>
    <row r="35" spans="2:13">
      <c r="B35" s="34"/>
      <c r="C35" s="34"/>
      <c r="D35" s="34"/>
      <c r="E35" s="35"/>
      <c r="F35" s="34"/>
      <c r="G35" s="35"/>
      <c r="H35" s="34"/>
      <c r="I35" s="34"/>
      <c r="J35" s="34"/>
      <c r="K35" s="35"/>
      <c r="L35" s="34"/>
      <c r="M35" s="34"/>
    </row>
    <row r="36" spans="2:13" ht="19.5" customHeight="1">
      <c r="B36" s="122" t="s">
        <v>69</v>
      </c>
      <c r="C36" s="122"/>
      <c r="D36" s="122"/>
      <c r="E36" s="122"/>
      <c r="F36" s="123" t="str">
        <f>IFERROR(VLOOKUP($K$6,'1ST_SEMESTER'!$B$8:$CQ$32,93,0),"")</f>
        <v>F1</v>
      </c>
      <c r="G36" s="123" t="e">
        <f>VLOOKUP($K$6,'1ST_SEMESTER'!$B$8:$CQ$24,101,0)</f>
        <v>#N/A</v>
      </c>
      <c r="H36" s="34"/>
      <c r="I36" s="34"/>
      <c r="J36" s="34"/>
      <c r="K36" s="35"/>
      <c r="L36" s="34"/>
      <c r="M36" s="36"/>
    </row>
    <row r="37" spans="2:13">
      <c r="B37" s="34"/>
      <c r="C37" s="34"/>
      <c r="D37" s="34"/>
      <c r="E37" s="35"/>
      <c r="F37" s="34"/>
      <c r="G37" s="35"/>
      <c r="H37" s="34"/>
      <c r="I37" s="34"/>
      <c r="J37" s="34"/>
      <c r="K37" s="35"/>
      <c r="L37" s="34"/>
      <c r="M37" s="34"/>
    </row>
    <row r="38" spans="2:13">
      <c r="B38" s="34"/>
      <c r="C38" s="34"/>
      <c r="D38" s="34"/>
      <c r="E38" s="35"/>
      <c r="F38" s="34"/>
      <c r="G38" s="35"/>
      <c r="H38" s="34"/>
      <c r="I38" s="34"/>
      <c r="J38" s="34"/>
      <c r="K38" s="35"/>
      <c r="L38" s="34"/>
      <c r="M38" s="34"/>
    </row>
    <row r="39" spans="2:13">
      <c r="B39" s="34"/>
      <c r="C39" s="34"/>
      <c r="D39" s="34"/>
      <c r="E39" s="35"/>
      <c r="F39" s="34"/>
      <c r="G39" s="35"/>
      <c r="H39" s="34"/>
      <c r="I39" s="34"/>
      <c r="J39" s="34"/>
      <c r="K39" s="35"/>
      <c r="L39" s="34"/>
      <c r="M39" s="34"/>
    </row>
    <row r="40" spans="2:13">
      <c r="B40" s="34"/>
      <c r="C40" s="34"/>
      <c r="D40" s="34"/>
      <c r="E40" s="35"/>
      <c r="F40" s="34"/>
      <c r="G40" s="35"/>
      <c r="H40" s="34"/>
      <c r="I40" s="34"/>
      <c r="J40" s="34"/>
      <c r="K40" s="35"/>
      <c r="L40" s="34"/>
      <c r="M40" s="34"/>
    </row>
    <row r="41" spans="2:13" ht="15.75">
      <c r="B41" s="34"/>
      <c r="C41" s="44" t="s">
        <v>72</v>
      </c>
      <c r="D41" s="34"/>
      <c r="E41" s="35"/>
      <c r="F41" s="34"/>
      <c r="G41" s="127" t="s">
        <v>73</v>
      </c>
      <c r="H41" s="127"/>
      <c r="I41" s="34"/>
      <c r="J41" s="34"/>
      <c r="K41" s="45"/>
      <c r="L41" s="46" t="s">
        <v>74</v>
      </c>
      <c r="M41" s="34"/>
    </row>
    <row r="42" spans="2:13">
      <c r="B42" s="34"/>
      <c r="C42" s="34"/>
      <c r="D42" s="34"/>
      <c r="E42" s="35"/>
      <c r="F42" s="34"/>
      <c r="G42" s="35"/>
      <c r="H42" s="34"/>
      <c r="I42" s="34"/>
      <c r="J42" s="34"/>
      <c r="K42" s="35"/>
      <c r="L42" s="34"/>
      <c r="M42" s="34"/>
    </row>
    <row r="43" spans="2:13">
      <c r="B43" s="34"/>
      <c r="C43" s="34"/>
      <c r="D43" s="34"/>
      <c r="E43" s="35"/>
      <c r="F43" s="34"/>
      <c r="G43" s="35"/>
      <c r="H43" s="34"/>
      <c r="I43" s="34"/>
      <c r="J43" s="34"/>
      <c r="K43" s="35"/>
      <c r="L43" s="34"/>
      <c r="M43" s="34"/>
    </row>
    <row r="44" spans="2:13">
      <c r="B44" s="34"/>
      <c r="C44" s="34"/>
      <c r="D44" s="34"/>
      <c r="E44" s="35"/>
      <c r="F44" s="34"/>
      <c r="G44" s="35"/>
      <c r="H44" s="34"/>
      <c r="I44" s="34"/>
      <c r="J44" s="34"/>
      <c r="K44" s="35"/>
      <c r="L44" s="34"/>
      <c r="M44" s="34"/>
    </row>
    <row r="45" spans="2:13">
      <c r="B45" s="34"/>
      <c r="C45" s="115"/>
      <c r="D45" s="115"/>
      <c r="E45" s="35"/>
      <c r="F45" s="34"/>
      <c r="G45" s="35"/>
      <c r="H45" s="34"/>
      <c r="I45" s="34"/>
      <c r="J45" s="37"/>
      <c r="L45" s="38"/>
      <c r="M45" s="38"/>
    </row>
    <row r="46" spans="2:13">
      <c r="B46" s="34"/>
      <c r="C46" s="34"/>
      <c r="D46" s="34"/>
      <c r="E46" s="35"/>
      <c r="F46" s="34"/>
      <c r="G46" s="35"/>
      <c r="H46" s="34"/>
      <c r="I46" s="34"/>
      <c r="J46" s="34"/>
      <c r="K46" s="35"/>
      <c r="L46" s="34"/>
      <c r="M46" s="34"/>
    </row>
  </sheetData>
  <mergeCells count="62">
    <mergeCell ref="C45:D45"/>
    <mergeCell ref="K30:L30"/>
    <mergeCell ref="B26:D26"/>
    <mergeCell ref="B32:D32"/>
    <mergeCell ref="B34:E34"/>
    <mergeCell ref="B36:E36"/>
    <mergeCell ref="F36:G36"/>
    <mergeCell ref="B27:D27"/>
    <mergeCell ref="B28:D28"/>
    <mergeCell ref="B29:D29"/>
    <mergeCell ref="B30:J30"/>
    <mergeCell ref="B31:D31"/>
    <mergeCell ref="G41:H41"/>
    <mergeCell ref="B19:D19"/>
    <mergeCell ref="J19:J20"/>
    <mergeCell ref="K19:K20"/>
    <mergeCell ref="M19:M32"/>
    <mergeCell ref="B20:D20"/>
    <mergeCell ref="B21:D21"/>
    <mergeCell ref="J21:J22"/>
    <mergeCell ref="K21:K22"/>
    <mergeCell ref="B22:D22"/>
    <mergeCell ref="B23:D23"/>
    <mergeCell ref="B24:D24"/>
    <mergeCell ref="J32:L32"/>
    <mergeCell ref="I19:I20"/>
    <mergeCell ref="I21:I22"/>
    <mergeCell ref="H19:H24"/>
    <mergeCell ref="B25:D25"/>
    <mergeCell ref="B10:C10"/>
    <mergeCell ref="D10:G10"/>
    <mergeCell ref="K10:M10"/>
    <mergeCell ref="B11:D18"/>
    <mergeCell ref="E11:E18"/>
    <mergeCell ref="I11:I18"/>
    <mergeCell ref="J11:J18"/>
    <mergeCell ref="K11:K18"/>
    <mergeCell ref="H10:I10"/>
    <mergeCell ref="M11:M18"/>
    <mergeCell ref="B8:C8"/>
    <mergeCell ref="D8:G8"/>
    <mergeCell ref="H8:I8"/>
    <mergeCell ref="K8:M8"/>
    <mergeCell ref="B9:C9"/>
    <mergeCell ref="D9:G9"/>
    <mergeCell ref="K9:M9"/>
    <mergeCell ref="H9:I9"/>
    <mergeCell ref="B7:C7"/>
    <mergeCell ref="D7:G7"/>
    <mergeCell ref="H7:I7"/>
    <mergeCell ref="K7:M7"/>
    <mergeCell ref="B2:M5"/>
    <mergeCell ref="B6:C6"/>
    <mergeCell ref="D6:G6"/>
    <mergeCell ref="H6:I6"/>
    <mergeCell ref="K6:M6"/>
    <mergeCell ref="L19:L20"/>
    <mergeCell ref="L21:L22"/>
    <mergeCell ref="L11:L18"/>
    <mergeCell ref="F11:F18"/>
    <mergeCell ref="G11:G18"/>
    <mergeCell ref="H11:H18"/>
  </mergeCells>
  <pageMargins left="0" right="0" top="0.19685039370078741" bottom="0" header="0" footer="0"/>
  <pageSetup paperSize="9" scale="90" orientation="portrait" r:id="rId1"/>
  <ignoredErrors>
    <ignoredError sqref="J19 J21 J23:J26 J27:J29" formula="1"/>
    <ignoredError sqref="L26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ACRA</cp:lastModifiedBy>
  <cp:lastPrinted>2025-09-14T06:51:49Z</cp:lastPrinted>
  <dcterms:created xsi:type="dcterms:W3CDTF">2020-11-16T04:30:11Z</dcterms:created>
  <dcterms:modified xsi:type="dcterms:W3CDTF">2025-09-14T06:52:13Z</dcterms:modified>
</cp:coreProperties>
</file>