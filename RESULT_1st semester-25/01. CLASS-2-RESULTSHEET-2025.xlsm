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filterPrivacy="1" defaultThemeVersion="124226"/>
  <xr:revisionPtr revIDLastSave="0" documentId="13_ncr:1_{359C5FD8-E36B-45EB-86FF-DF3E667B68BE}" xr6:coauthVersionLast="47" xr6:coauthVersionMax="47" xr10:uidLastSave="{00000000-0000-0000-0000-000000000000}"/>
  <bookViews>
    <workbookView xWindow="-120" yWindow="-120" windowWidth="29040" windowHeight="15720" tabRatio="611" xr2:uid="{00000000-000D-0000-FFFF-FFFF00000000}"/>
  </bookViews>
  <sheets>
    <sheet name="1st_Semeter" sheetId="1" r:id="rId1"/>
    <sheet name="PROGRESS-REPOR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9" i="1" l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8" i="1"/>
  <c r="E23" i="3"/>
  <c r="J22" i="3"/>
  <c r="E22" i="3"/>
  <c r="I9" i="3"/>
  <c r="C10" i="3"/>
  <c r="Z34" i="1"/>
  <c r="Z35" i="1"/>
  <c r="Z9" i="1"/>
  <c r="Z10" i="1"/>
  <c r="Z11" i="1"/>
  <c r="V34" i="1"/>
  <c r="W34" i="1" s="1"/>
  <c r="V35" i="1"/>
  <c r="W35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34" i="1"/>
  <c r="R34" i="1" s="1"/>
  <c r="Q35" i="1"/>
  <c r="R35" i="1" s="1"/>
  <c r="J34" i="1"/>
  <c r="K34" i="1" s="1"/>
  <c r="J35" i="1"/>
  <c r="J9" i="1"/>
  <c r="J10" i="1"/>
  <c r="K10" i="1" s="1"/>
  <c r="J11" i="1"/>
  <c r="J12" i="1"/>
  <c r="K12" i="1" s="1"/>
  <c r="J13" i="1"/>
  <c r="AD13" i="1" s="1"/>
  <c r="J14" i="1"/>
  <c r="K14" i="1" s="1"/>
  <c r="AB14" i="1" s="1"/>
  <c r="J15" i="1"/>
  <c r="K15" i="1" s="1"/>
  <c r="AB15" i="1" s="1"/>
  <c r="J16" i="1"/>
  <c r="K16" i="1" s="1"/>
  <c r="C6" i="3"/>
  <c r="AB10" i="1" l="1"/>
  <c r="AC10" i="1" s="1"/>
  <c r="AD11" i="1"/>
  <c r="AD35" i="1"/>
  <c r="AB12" i="1"/>
  <c r="AD9" i="1"/>
  <c r="AB34" i="1"/>
  <c r="AD14" i="1"/>
  <c r="AD12" i="1"/>
  <c r="AD34" i="1"/>
  <c r="AD10" i="1"/>
  <c r="AC34" i="1"/>
  <c r="K9" i="1"/>
  <c r="K35" i="1"/>
  <c r="K11" i="1"/>
  <c r="K13" i="1"/>
  <c r="AB13" i="1" s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Q17" i="1"/>
  <c r="R17" i="1" s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V15" i="1"/>
  <c r="W15" i="1" s="1"/>
  <c r="V16" i="1"/>
  <c r="W16" i="1" s="1"/>
  <c r="AB16" i="1" s="1"/>
  <c r="V17" i="1"/>
  <c r="W17" i="1" s="1"/>
  <c r="V18" i="1"/>
  <c r="W18" i="1" s="1"/>
  <c r="V19" i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AA8" i="1"/>
  <c r="AD16" i="1" l="1"/>
  <c r="AD30" i="1"/>
  <c r="AB35" i="1"/>
  <c r="AC35" i="1" s="1"/>
  <c r="AB9" i="1"/>
  <c r="AC9" i="1" s="1"/>
  <c r="AD26" i="1"/>
  <c r="AD31" i="1"/>
  <c r="AD24" i="1"/>
  <c r="AD18" i="1"/>
  <c r="AD17" i="1"/>
  <c r="AD29" i="1"/>
  <c r="AD28" i="1"/>
  <c r="AD27" i="1"/>
  <c r="AD22" i="1"/>
  <c r="AD25" i="1"/>
  <c r="AD23" i="1"/>
  <c r="AD21" i="1"/>
  <c r="K19" i="1"/>
  <c r="AD19" i="1"/>
  <c r="AB11" i="1"/>
  <c r="AC11" i="1" s="1"/>
  <c r="AD33" i="1"/>
  <c r="AD32" i="1"/>
  <c r="AD20" i="1"/>
  <c r="AD15" i="1"/>
  <c r="K26" i="1"/>
  <c r="AB26" i="1" s="1"/>
  <c r="K28" i="1"/>
  <c r="AB28" i="1" s="1"/>
  <c r="K24" i="1"/>
  <c r="AB24" i="1" s="1"/>
  <c r="K23" i="1"/>
  <c r="AB23" i="1" s="1"/>
  <c r="K17" i="1"/>
  <c r="AB17" i="1" s="1"/>
  <c r="K29" i="1"/>
  <c r="AB29" i="1" s="1"/>
  <c r="K21" i="1"/>
  <c r="AB21" i="1" s="1"/>
  <c r="K20" i="1"/>
  <c r="AB20" i="1" s="1"/>
  <c r="K27" i="1"/>
  <c r="AB27" i="1" s="1"/>
  <c r="K25" i="1"/>
  <c r="AB25" i="1" s="1"/>
  <c r="K31" i="1"/>
  <c r="AB31" i="1" s="1"/>
  <c r="K30" i="1"/>
  <c r="AB30" i="1" s="1"/>
  <c r="K18" i="1"/>
  <c r="AB18" i="1" s="1"/>
  <c r="W19" i="1"/>
  <c r="AC13" i="1"/>
  <c r="AC12" i="1"/>
  <c r="K33" i="1"/>
  <c r="AB33" i="1" s="1"/>
  <c r="K22" i="1"/>
  <c r="AB22" i="1" s="1"/>
  <c r="K32" i="1"/>
  <c r="AB32" i="1" s="1"/>
  <c r="V8" i="1"/>
  <c r="Q8" i="1"/>
  <c r="J8" i="1"/>
  <c r="AD8" i="1" l="1"/>
  <c r="AB19" i="1"/>
  <c r="K8" i="1"/>
  <c r="S8" i="1"/>
  <c r="X8" i="1"/>
  <c r="L8" i="1"/>
  <c r="AC32" i="1"/>
  <c r="C9" i="3"/>
  <c r="I7" i="3" l="1"/>
  <c r="J17" i="3" l="1"/>
  <c r="J15" i="3"/>
  <c r="H17" i="3"/>
  <c r="H15" i="3"/>
  <c r="E20" i="3"/>
  <c r="I19" i="3"/>
  <c r="Z8" i="1" l="1"/>
  <c r="AC24" i="1" l="1"/>
  <c r="AC29" i="1"/>
  <c r="AC16" i="1"/>
  <c r="AC20" i="1"/>
  <c r="AC33" i="1"/>
  <c r="AC23" i="1"/>
  <c r="AC22" i="1"/>
  <c r="AC30" i="1"/>
  <c r="AC19" i="1"/>
  <c r="AC25" i="1"/>
  <c r="AC31" i="1"/>
  <c r="AC26" i="1"/>
  <c r="AC17" i="1"/>
  <c r="AC28" i="1"/>
  <c r="AC21" i="1"/>
  <c r="AC18" i="1"/>
  <c r="AC15" i="1"/>
  <c r="AC27" i="1"/>
  <c r="W8" i="1" l="1"/>
  <c r="R8" i="1"/>
  <c r="AB8" i="1" l="1"/>
  <c r="AC8" i="1" s="1"/>
  <c r="AC14" i="1"/>
  <c r="I14" i="3"/>
  <c r="I18" i="3"/>
  <c r="I16" i="3"/>
  <c r="H14" i="3" l="1"/>
  <c r="J19" i="3"/>
  <c r="K19" i="3" s="1"/>
  <c r="J18" i="3"/>
  <c r="K18" i="3" s="1"/>
  <c r="J14" i="3"/>
  <c r="K14" i="3" s="1"/>
  <c r="J16" i="3"/>
  <c r="K16" i="3" s="1"/>
  <c r="H16" i="3"/>
  <c r="H18" i="3"/>
  <c r="F17" i="3"/>
  <c r="F19" i="3"/>
  <c r="F16" i="3"/>
  <c r="F18" i="3"/>
  <c r="G19" i="3"/>
  <c r="H19" i="3"/>
  <c r="G18" i="3"/>
  <c r="F15" i="3"/>
  <c r="G14" i="3"/>
  <c r="F14" i="3"/>
  <c r="G15" i="3"/>
  <c r="G16" i="3"/>
  <c r="C7" i="3"/>
  <c r="G17" i="3"/>
  <c r="C8" i="3"/>
  <c r="H20" i="3" l="1"/>
</calcChain>
</file>

<file path=xl/sharedStrings.xml><?xml version="1.0" encoding="utf-8"?>
<sst xmlns="http://schemas.openxmlformats.org/spreadsheetml/2006/main" count="165" uniqueCount="140">
  <si>
    <t>S.L</t>
  </si>
  <si>
    <t>ROLL</t>
  </si>
  <si>
    <t>STUDENTS NAME</t>
  </si>
  <si>
    <t>TOTAL</t>
  </si>
  <si>
    <t>GP</t>
  </si>
  <si>
    <t>HEIGHEST
MARK</t>
  </si>
  <si>
    <t>AVG-80%</t>
  </si>
  <si>
    <t>T-GP</t>
  </si>
  <si>
    <t>GPA</t>
  </si>
  <si>
    <t>MT</t>
  </si>
  <si>
    <t>ENGLISH 1ST</t>
  </si>
  <si>
    <t>ENGLISH 2ND</t>
  </si>
  <si>
    <t>MATHEMATICS</t>
  </si>
  <si>
    <t>POSITION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</si>
  <si>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</si>
  <si>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</si>
  <si>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</si>
  <si>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</si>
  <si>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</si>
  <si>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</si>
  <si>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</si>
  <si>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</si>
  <si>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</si>
  <si>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</si>
  <si>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WORKING 
DAYS</t>
  </si>
  <si>
    <t>BHVR</t>
  </si>
  <si>
    <t>FATHER NAME</t>
  </si>
  <si>
    <t>MOTHER NAME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</si>
  <si>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</si>
  <si>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</si>
  <si>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</si>
  <si>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</si>
  <si>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</si>
  <si>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</si>
  <si>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</si>
  <si>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</si>
  <si>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</si>
  <si>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</si>
  <si>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 xml:space="preserve"> MOTHER'S NAME  :</t>
  </si>
  <si>
    <t>GRAND-TOTAL</t>
  </si>
  <si>
    <t xml:space="preserve"> FATHER'S NAME    :  </t>
  </si>
  <si>
    <t xml:space="preserve"> CLASS TEACHER    :</t>
  </si>
  <si>
    <t xml:space="preserve"> MOBILE NO.            :</t>
  </si>
  <si>
    <t xml:space="preserve"> STUDENT NAME     :</t>
  </si>
  <si>
    <t>CLASS              :</t>
  </si>
  <si>
    <t>SECTION        :</t>
  </si>
  <si>
    <t>DRAWING (Optional)</t>
  </si>
  <si>
    <t>ROLL                 :</t>
  </si>
  <si>
    <t>TOTAL STUDENTS     :</t>
  </si>
  <si>
    <r>
      <rPr>
        <sz val="16"/>
        <rFont val="Times New Roman"/>
        <family val="1"/>
      </rPr>
      <t xml:space="preserve">    AMIN CADET RESIDENTIAL ACADEMY 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1st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</si>
  <si>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r>
      <rPr>
        <sz val="18"/>
        <rFont val="Times New Roman"/>
        <family val="1"/>
      </rPr>
      <t>AMIN CADET RESIDENTIAL ACADEMY</t>
    </r>
    <r>
      <rPr>
        <sz val="18"/>
        <rFont val="Algerian"/>
        <family val="5"/>
      </rPr>
      <t xml:space="preserve">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1ST SEMESTER EXAMINATION TABULATION SHEET- 2025
 CLASS - TWO</t>
    </r>
  </si>
  <si>
    <t>TWO</t>
  </si>
  <si>
    <t xml:space="preserve">Md. Rayan Ahamed Fahim </t>
  </si>
  <si>
    <t xml:space="preserve">Md. Shariful Islam </t>
  </si>
  <si>
    <t xml:space="preserve">Umme Salma </t>
  </si>
  <si>
    <t xml:space="preserve">Purnota Kabbo Shrestha </t>
  </si>
  <si>
    <t xml:space="preserve">Md. Manik Molla </t>
  </si>
  <si>
    <t xml:space="preserve">Tahmina Manik </t>
  </si>
  <si>
    <t xml:space="preserve">Ayan Ahmed Haysam </t>
  </si>
  <si>
    <t xml:space="preserve">Ms. Suman Haolader </t>
  </si>
  <si>
    <t xml:space="preserve">Hosne Ara Begum </t>
  </si>
  <si>
    <t xml:space="preserve">Junayed Islam </t>
  </si>
  <si>
    <t xml:space="preserve">Md Nazrul Islam </t>
  </si>
  <si>
    <t xml:space="preserve">Ruma Akter </t>
  </si>
  <si>
    <t xml:space="preserve">Prijom Ray </t>
  </si>
  <si>
    <t>Sree Pulak Chandra Barmon</t>
  </si>
  <si>
    <t xml:space="preserve">Jui Roy </t>
  </si>
  <si>
    <t xml:space="preserve">Tanvir Hassan </t>
  </si>
  <si>
    <t xml:space="preserve">Md. Tareak Hassan </t>
  </si>
  <si>
    <t xml:space="preserve">Mst. Kamrun Nahar </t>
  </si>
  <si>
    <t xml:space="preserve">Md Tashrif Afridi </t>
  </si>
  <si>
    <t xml:space="preserve">Md Motin </t>
  </si>
  <si>
    <t xml:space="preserve">Afrin Sultana Ete </t>
  </si>
  <si>
    <t xml:space="preserve">Ariyan Rahman </t>
  </si>
  <si>
    <t xml:space="preserve">Azim Uddin </t>
  </si>
  <si>
    <t xml:space="preserve">Mst Asma Islam Ananna </t>
  </si>
  <si>
    <t>Abu Basar Onik</t>
  </si>
  <si>
    <t xml:space="preserve">Md Abdur Rouf </t>
  </si>
  <si>
    <t xml:space="preserve">Mst Rima Parvin </t>
  </si>
  <si>
    <t xml:space="preserve">Rayan Hasan Thusin </t>
  </si>
  <si>
    <t xml:space="preserve">Md Kamrul Hasan </t>
  </si>
  <si>
    <t xml:space="preserve">Lipi Kamrul </t>
  </si>
  <si>
    <t xml:space="preserve">Md. Siyam Hossain </t>
  </si>
  <si>
    <t xml:space="preserve">Ferdous Hosen </t>
  </si>
  <si>
    <t xml:space="preserve">Shirin Akter </t>
  </si>
  <si>
    <t xml:space="preserve">Md. Alif Islam Rifat </t>
  </si>
  <si>
    <t xml:space="preserve">Md. Babul Mia </t>
  </si>
  <si>
    <t xml:space="preserve">Mst. Lipi Begum </t>
  </si>
  <si>
    <t xml:space="preserve">Nur-A-Shayon </t>
  </si>
  <si>
    <t xml:space="preserve">Jahangir Alam </t>
  </si>
  <si>
    <t xml:space="preserve">Lipe Akter </t>
  </si>
  <si>
    <t xml:space="preserve">Shishir Biswas </t>
  </si>
  <si>
    <t xml:space="preserve">Sipul Kumar Bisswas </t>
  </si>
  <si>
    <t xml:space="preserve">Krisna Bissas </t>
  </si>
  <si>
    <t xml:space="preserve">Tasnim Binte Rowza </t>
  </si>
  <si>
    <t xml:space="preserve">Rumiz Howlader </t>
  </si>
  <si>
    <t>Tuli Aktar</t>
  </si>
  <si>
    <t>Md. Adil Anaf Bhuiyan</t>
  </si>
  <si>
    <t>Md. Golam Sadeque Bhuiyan</t>
  </si>
  <si>
    <t>Mst. Aklima Akther</t>
  </si>
  <si>
    <t xml:space="preserve">Azwad Mohammad Talha </t>
  </si>
  <si>
    <t>Hafizur Rahman</t>
  </si>
  <si>
    <t>Tahmina Akter</t>
  </si>
  <si>
    <t xml:space="preserve">Md. Rafi Ahmed </t>
  </si>
  <si>
    <t xml:space="preserve">Md. Abdul Malak </t>
  </si>
  <si>
    <t xml:space="preserve">Mt. Aysha Siddika </t>
  </si>
  <si>
    <t xml:space="preserve">Al Adnan Hosen </t>
  </si>
  <si>
    <t xml:space="preserve">Md. Bellal Hossan </t>
  </si>
  <si>
    <t xml:space="preserve">Mst. Salina Akter </t>
  </si>
  <si>
    <t xml:space="preserve">Hamim Ahmmed </t>
  </si>
  <si>
    <t xml:space="preserve">Md. Mehedi Hasan </t>
  </si>
  <si>
    <t xml:space="preserve">Mst. Helena Khatun </t>
  </si>
  <si>
    <t xml:space="preserve">Mehrab Hossain Evan </t>
  </si>
  <si>
    <t xml:space="preserve">Md. Imran Hossain </t>
  </si>
  <si>
    <t xml:space="preserve">Mst. Layla Akter </t>
  </si>
  <si>
    <t xml:space="preserve">Md. Nayeem Uddin </t>
  </si>
  <si>
    <t xml:space="preserve">Md. Nashir Uddin </t>
  </si>
  <si>
    <t xml:space="preserve">Papia </t>
  </si>
  <si>
    <t>Ong Kush Barmon</t>
  </si>
  <si>
    <t>Parimol Chandra Barmon</t>
  </si>
  <si>
    <t xml:space="preserve">Rina Rani </t>
  </si>
  <si>
    <t xml:space="preserve">Md Mahir Ayan </t>
  </si>
  <si>
    <t>Md Al Amin</t>
  </si>
  <si>
    <t>Mowshume Khatun</t>
  </si>
  <si>
    <t xml:space="preserve">Aindri Sarker </t>
  </si>
  <si>
    <t xml:space="preserve">Tapos Sarker </t>
  </si>
  <si>
    <t xml:space="preserve">Roni Sarker </t>
  </si>
  <si>
    <t xml:space="preserve">Urbi Sarker </t>
  </si>
  <si>
    <t>Fatema Rahman Roza</t>
  </si>
  <si>
    <t>Jiyad Jamil Radi</t>
  </si>
  <si>
    <t>Farukh Hossain</t>
  </si>
  <si>
    <t>Jharna Akter</t>
  </si>
  <si>
    <t>Sohanur Rahaman</t>
  </si>
  <si>
    <t>Nazmatul Moniya</t>
  </si>
  <si>
    <t>TIA RANI SHAHA</t>
  </si>
  <si>
    <t>01616-461236</t>
  </si>
  <si>
    <t>27</t>
  </si>
  <si>
    <t xml:space="preserve">        Class Teacher</t>
  </si>
  <si>
    <t>Co-Ordinator</t>
  </si>
  <si>
    <t>Principal (Acting)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</si>
</sst>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\-0000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sz val="8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Algerian"/>
      <family val="5"/>
    </font>
    <font>
      <b/>
      <sz val="7"/>
      <color theme="1"/>
      <name val="Times New Roman"/>
      <family val="1"/>
    </font>
    <font>
      <sz val="7"/>
      <color theme="1"/>
      <name val="Calibri"/>
      <family val="2"/>
      <scheme val="minor"/>
    </font>
    <font>
      <sz val="7"/>
      <color theme="1"/>
      <name val="Cambria"/>
      <family val="1"/>
      <scheme val="major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sz val="8"/>
      <name val="Calibri"/>
      <family val="2"/>
      <scheme val="minor"/>
    </font>
    <font>
      <b/>
      <sz val="11"/>
      <name val="Cambria"/>
      <family val="1"/>
      <scheme val="major"/>
    </font>
    <font>
      <b/>
      <sz val="10"/>
      <color theme="3" tint="-0.249977111117893"/>
      <name val="Cambria"/>
      <family val="1"/>
      <scheme val="major"/>
    </font>
    <font>
      <b/>
      <sz val="10"/>
      <color rgb="FFFF0000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0"/>
      <color theme="3" tint="0.39997558519241921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2"/>
      <color theme="3" tint="0.39997558519241921"/>
      <name val="Cambria"/>
      <family val="1"/>
      <scheme val="major"/>
    </font>
    <font>
      <b/>
      <sz val="10"/>
      <name val="Times New Roman"/>
      <family val="1"/>
    </font>
    <font>
      <sz val="11"/>
      <name val="Calibri"/>
      <family val="2"/>
      <scheme val="minor"/>
    </font>
    <font>
      <b/>
      <sz val="16"/>
      <name val="Times New Roman"/>
      <family val="1"/>
    </font>
    <font>
      <b/>
      <sz val="12"/>
      <name val="Tempus Sans ITC"/>
      <family val="5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sz val="18"/>
      <name val="Times New Roman"/>
      <family val="1"/>
    </font>
    <font>
      <sz val="18"/>
      <name val="Algerian"/>
      <family val="5"/>
    </font>
    <font>
      <sz val="16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b/>
      <sz val="10"/>
      <color theme="5" tint="-0.249977111117893"/>
      <name val="Cambria"/>
      <family val="1"/>
      <scheme val="major"/>
    </font>
    <font>
      <sz val="11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7">
    <xf numFmtId="0" fontId="0" fillId="0" borderId="0" xfId="0"/>
    <xf numFmtId="0" fontId="4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20" fillId="2" borderId="1" xfId="0" applyFont="1" applyFill="1" applyBorder="1" applyAlignment="1">
      <alignment horizontal="center" vertical="center" wrapText="1"/>
    </xf>
    <xf numFmtId="0" fontId="21" fillId="0" borderId="0" xfId="0" applyFont="1"/>
    <xf numFmtId="0" fontId="3" fillId="2" borderId="0" xfId="0" applyFont="1" applyFill="1" applyAlignment="1">
      <alignment horizontal="center"/>
    </xf>
    <xf numFmtId="0" fontId="5" fillId="0" borderId="0" xfId="0" applyFont="1"/>
    <xf numFmtId="0" fontId="20" fillId="2" borderId="1" xfId="0" applyFont="1" applyFill="1" applyBorder="1" applyAlignment="1">
      <alignment vertical="top" wrapText="1"/>
    </xf>
    <xf numFmtId="49" fontId="20" fillId="2" borderId="1" xfId="0" applyNumberFormat="1" applyFont="1" applyFill="1" applyBorder="1" applyAlignment="1">
      <alignment vertical="top" wrapText="1"/>
    </xf>
    <xf numFmtId="0" fontId="4" fillId="2" borderId="0" xfId="0" applyFont="1" applyFill="1" applyAlignment="1">
      <alignment horizontal="center" vertical="center"/>
    </xf>
    <xf numFmtId="1" fontId="4" fillId="2" borderId="0" xfId="0" applyNumberFormat="1" applyFont="1" applyFill="1" applyAlignment="1">
      <alignment horizontal="center"/>
    </xf>
    <xf numFmtId="0" fontId="20" fillId="2" borderId="1" xfId="0" applyFont="1" applyFill="1" applyBorder="1" applyAlignment="1">
      <alignment horizontal="center" vertical="top" wrapText="1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26" fillId="0" borderId="0" xfId="0" applyFont="1"/>
    <xf numFmtId="0" fontId="24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/>
    </xf>
    <xf numFmtId="0" fontId="31" fillId="2" borderId="0" xfId="0" applyFont="1" applyFill="1"/>
    <xf numFmtId="0" fontId="34" fillId="2" borderId="0" xfId="0" applyFont="1" applyFill="1" applyAlignment="1">
      <alignment vertical="center"/>
    </xf>
    <xf numFmtId="0" fontId="31" fillId="2" borderId="0" xfId="0" applyFont="1" applyFill="1" applyAlignment="1">
      <alignment horizontal="center"/>
    </xf>
    <xf numFmtId="0" fontId="34" fillId="2" borderId="0" xfId="0" applyFont="1" applyFill="1" applyAlignment="1">
      <alignment horizontal="center"/>
    </xf>
    <xf numFmtId="0" fontId="3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right" vertical="center"/>
    </xf>
    <xf numFmtId="0" fontId="27" fillId="2" borderId="0" xfId="0" applyFont="1" applyFill="1" applyAlignment="1">
      <alignment horizontal="right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9" fillId="2" borderId="1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center"/>
    </xf>
    <xf numFmtId="1" fontId="39" fillId="2" borderId="1" xfId="0" applyNumberFormat="1" applyFont="1" applyFill="1" applyBorder="1" applyAlignment="1">
      <alignment horizontal="center"/>
    </xf>
    <xf numFmtId="1" fontId="39" fillId="2" borderId="1" xfId="0" applyNumberFormat="1" applyFont="1" applyFill="1" applyBorder="1" applyAlignment="1">
      <alignment horizontal="center" vertical="center"/>
    </xf>
    <xf numFmtId="2" fontId="39" fillId="2" borderId="1" xfId="1" applyNumberFormat="1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/>
    </xf>
    <xf numFmtId="0" fontId="40" fillId="2" borderId="4" xfId="0" applyFont="1" applyFill="1" applyBorder="1" applyAlignment="1">
      <alignment horizontal="center" vertical="center"/>
    </xf>
    <xf numFmtId="0" fontId="17" fillId="2" borderId="0" xfId="0" applyFont="1" applyFill="1"/>
    <xf numFmtId="0" fontId="23" fillId="2" borderId="0" xfId="0" applyFont="1" applyFill="1" applyAlignment="1">
      <alignment horizontal="center" vertical="center"/>
    </xf>
    <xf numFmtId="0" fontId="33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1" fontId="39" fillId="2" borderId="2" xfId="0" applyNumberFormat="1" applyFont="1" applyFill="1" applyBorder="1" applyAlignment="1">
      <alignment horizontal="center" vertical="center"/>
    </xf>
    <xf numFmtId="1" fontId="39" fillId="2" borderId="4" xfId="0" applyNumberFormat="1" applyFont="1" applyFill="1" applyBorder="1" applyAlignment="1">
      <alignment horizontal="center" vertical="center"/>
    </xf>
    <xf numFmtId="1" fontId="39" fillId="2" borderId="3" xfId="0" applyNumberFormat="1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2" xfId="0" applyFont="1" applyFill="1" applyBorder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8" fillId="0" borderId="3" xfId="0" applyFont="1" applyBorder="1"/>
    <xf numFmtId="0" fontId="17" fillId="2" borderId="11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textRotation="90" wrapText="1"/>
    </xf>
    <xf numFmtId="0" fontId="11" fillId="2" borderId="4" xfId="0" applyFont="1" applyFill="1" applyBorder="1" applyAlignment="1">
      <alignment horizontal="center" vertical="center" textRotation="90" wrapText="1"/>
    </xf>
    <xf numFmtId="0" fontId="11" fillId="2" borderId="3" xfId="0" applyFont="1" applyFill="1" applyBorder="1" applyAlignment="1">
      <alignment horizontal="center" vertical="center" textRotation="90" wrapText="1"/>
    </xf>
    <xf numFmtId="164" fontId="21" fillId="2" borderId="0" xfId="0" applyNumberFormat="1" applyFont="1" applyFill="1" applyAlignment="1">
      <alignment horizontal="left" vertical="center"/>
    </xf>
    <xf numFmtId="0" fontId="11" fillId="2" borderId="1" xfId="0" applyFont="1" applyFill="1" applyBorder="1" applyAlignment="1">
      <alignment horizontal="center" vertical="center" textRotation="90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left" vertical="center" textRotation="90" wrapText="1"/>
    </xf>
    <xf numFmtId="0" fontId="11" fillId="2" borderId="4" xfId="0" applyFont="1" applyFill="1" applyBorder="1" applyAlignment="1">
      <alignment horizontal="left" vertical="center" textRotation="90" wrapText="1"/>
    </xf>
    <xf numFmtId="0" fontId="11" fillId="2" borderId="3" xfId="0" applyFont="1" applyFill="1" applyBorder="1" applyAlignment="1">
      <alignment horizontal="left" vertical="center" textRotation="90" wrapText="1"/>
    </xf>
    <xf numFmtId="0" fontId="30" fillId="2" borderId="2" xfId="0" applyFont="1" applyFill="1" applyBorder="1" applyAlignment="1">
      <alignment horizontal="center" vertical="center" textRotation="90" wrapText="1"/>
    </xf>
    <xf numFmtId="0" fontId="31" fillId="2" borderId="4" xfId="0" applyFont="1" applyFill="1" applyBorder="1"/>
    <xf numFmtId="0" fontId="31" fillId="2" borderId="3" xfId="0" applyFont="1" applyFill="1" applyBorder="1"/>
    <xf numFmtId="0" fontId="24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left" vertical="center"/>
    </xf>
    <xf numFmtId="0" fontId="28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 wrapText="1"/>
    </xf>
    <xf numFmtId="49" fontId="2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33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2" fontId="32" fillId="2" borderId="1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39" fillId="3" borderId="1" xfId="0" applyFont="1" applyFill="1" applyBorder="1" applyAlignment="1">
      <alignment horizontal="center" vertical="center"/>
    </xf>
    <xf numFmtId="0" fontId="39" fillId="3" borderId="1" xfId="0" applyFont="1" applyFill="1" applyBorder="1" applyAlignment="1">
      <alignment horizontal="left" vertical="center"/>
    </xf>
    <xf numFmtId="0" fontId="39" fillId="3" borderId="1" xfId="0" applyFont="1" applyFill="1" applyBorder="1" applyAlignment="1">
      <alignment horizontal="center"/>
    </xf>
    <xf numFmtId="1" fontId="39" fillId="3" borderId="1" xfId="0" applyNumberFormat="1" applyFont="1" applyFill="1" applyBorder="1" applyAlignment="1">
      <alignment horizontal="center"/>
    </xf>
    <xf numFmtId="1" fontId="39" fillId="3" borderId="1" xfId="0" applyNumberFormat="1" applyFont="1" applyFill="1" applyBorder="1" applyAlignment="1">
      <alignment horizontal="center" vertical="center"/>
    </xf>
    <xf numFmtId="2" fontId="39" fillId="3" borderId="1" xfId="1" applyNumberFormat="1" applyFont="1" applyFill="1" applyBorder="1" applyAlignment="1">
      <alignment horizontal="center"/>
    </xf>
    <xf numFmtId="0" fontId="40" fillId="3" borderId="1" xfId="0" applyFont="1" applyFill="1" applyBorder="1" applyAlignment="1">
      <alignment horizontal="center" vertical="center"/>
    </xf>
    <xf numFmtId="0" fontId="0" fillId="3" borderId="0" xfId="0" applyFill="1"/>
    <xf numFmtId="0" fontId="42" fillId="2" borderId="1" xfId="0" applyFont="1" applyFill="1" applyBorder="1" applyAlignment="1">
      <alignment vertical="top" wrapText="1"/>
    </xf>
    <xf numFmtId="0" fontId="42" fillId="2" borderId="11" xfId="0" applyFont="1" applyFill="1" applyBorder="1" applyAlignment="1">
      <alignment horizontal="center" vertical="top" wrapText="1"/>
    </xf>
    <xf numFmtId="0" fontId="42" fillId="2" borderId="5" xfId="0" applyFont="1" applyFill="1" applyBorder="1" applyAlignment="1">
      <alignment horizontal="center" vertical="top" wrapText="1"/>
    </xf>
    <xf numFmtId="0" fontId="42" fillId="2" borderId="11" xfId="0" applyFont="1" applyFill="1" applyBorder="1" applyAlignment="1">
      <alignment vertical="top" wrapText="1"/>
    </xf>
    <xf numFmtId="0" fontId="42" fillId="2" borderId="5" xfId="0" applyFont="1" applyFill="1" applyBorder="1" applyAlignment="1">
      <alignment vertical="top" wrapText="1"/>
    </xf>
    <xf numFmtId="0" fontId="26" fillId="2" borderId="0" xfId="0" applyFont="1" applyFill="1"/>
    <xf numFmtId="0" fontId="43" fillId="2" borderId="0" xfId="0" applyFont="1" applyFill="1" applyAlignment="1">
      <alignment horizontal="center" vertical="center"/>
    </xf>
    <xf numFmtId="0" fontId="40" fillId="0" borderId="0" xfId="0" applyFont="1"/>
    <xf numFmtId="0" fontId="43" fillId="2" borderId="0" xfId="0" applyFont="1" applyFill="1" applyAlignment="1">
      <alignment vertical="center"/>
    </xf>
  </cellXfs>
  <cellStyles count="2">
    <cellStyle name="Normal" xfId="0" builtinId="0"/>
    <cellStyle name="Percent" xfId="1" builtinId="5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12FA18"/>
      <color rgb="FFFFFFFF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505241</xdr:colOff>
      <xdr:row>0</xdr:row>
      <xdr:rowOff>8283</xdr:rowOff>
    </xdr:from>
    <xdr:to>
      <xdr:col>11</xdr:col>
      <xdr:colOff>66262</xdr:colOff>
      <xdr:row>4</xdr:row>
      <xdr:rowOff>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1474194F-108B-4478-8D04-476FE0E9D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522806" y="8283"/>
          <a:ext cx="720586" cy="84482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397565</xdr:colOff>
      <xdr:row>1</xdr:row>
      <xdr:rowOff>66261</xdr:rowOff>
    </xdr:from>
    <xdr:to>
      <xdr:col>1</xdr:col>
      <xdr:colOff>1295314</xdr:colOff>
      <xdr:row>3</xdr:row>
      <xdr:rowOff>329039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5A6C4FB9-91C6-4B8E-919C-7C9A0AAD2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579782" y="447261"/>
          <a:ext cx="897749" cy="102477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190502</xdr:colOff>
      <xdr:row>25</xdr:row>
      <xdr:rowOff>0</xdr:rowOff>
    </xdr:from>
    <xdr:to>
      <xdr:col>11</xdr:col>
      <xdr:colOff>99395</xdr:colOff>
      <xdr:row>26</xdr:row>
      <xdr:rowOff>41823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A6A5108-4CC0-43F0-8350-790F76FBF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511875" y="9294837"/>
          <a:ext cx="282018" cy="7537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38"/>
  <sheetViews>
    <sheetView tabSelected="1" topLeftCell="I1" zoomScale="115" zoomScaleNormal="115" workbookViewId="0">
      <selection activeCell="Z44" sqref="Z44"/>
    </sheetView>
  </sheetViews>
  <sheetFormatPr defaultRowHeight="15"/>
  <cols>
    <col min="1" max="1" width="3" customWidth="1"/>
    <col min="2" max="2" width="3.42578125" style="3" bestFit="1" customWidth="1"/>
    <col min="3" max="3" width="26.42578125" style="7" bestFit="1" customWidth="1"/>
    <col min="4" max="4" width="28.140625" bestFit="1" customWidth="1"/>
    <col min="5" max="5" width="24.28515625" bestFit="1" customWidth="1"/>
    <col min="6" max="32" width="8.7109375" customWidth="1"/>
    <col min="33" max="33" width="21.5703125" style="14" bestFit="1" customWidth="1"/>
  </cols>
  <sheetData>
    <row r="1" spans="1:33" ht="15.75" customHeight="1">
      <c r="A1" s="59" t="s">
        <v>50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1"/>
    </row>
    <row r="2" spans="1:33" ht="21" customHeight="1">
      <c r="A2" s="62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4"/>
    </row>
    <row r="3" spans="1:33">
      <c r="A3" s="62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4"/>
    </row>
    <row r="4" spans="1:33" ht="15.75" customHeight="1">
      <c r="A4" s="62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4"/>
    </row>
    <row r="5" spans="1:33" s="5" customFormat="1" ht="12.75" customHeight="1">
      <c r="A5" s="68" t="s">
        <v>20</v>
      </c>
      <c r="B5" s="68"/>
      <c r="C5" s="68"/>
      <c r="D5" s="4" t="s">
        <v>51</v>
      </c>
      <c r="E5" s="68" t="s">
        <v>21</v>
      </c>
      <c r="F5" s="68"/>
      <c r="G5" s="68"/>
      <c r="H5" s="109" t="s">
        <v>134</v>
      </c>
      <c r="I5" s="110"/>
      <c r="J5" s="111" t="s">
        <v>135</v>
      </c>
      <c r="K5" s="112"/>
      <c r="L5" s="108"/>
      <c r="M5" s="108"/>
      <c r="N5" s="108"/>
      <c r="O5" s="68" t="s">
        <v>22</v>
      </c>
      <c r="P5" s="68"/>
      <c r="Q5" s="68"/>
      <c r="R5" s="68"/>
      <c r="S5" s="68"/>
      <c r="T5" s="68"/>
      <c r="U5" s="68"/>
      <c r="V5" s="8"/>
      <c r="W5" s="68" t="s">
        <v>23</v>
      </c>
      <c r="X5" s="68"/>
      <c r="Y5" s="9" t="s">
        <v>136</v>
      </c>
      <c r="Z5" s="9"/>
      <c r="AA5" s="9"/>
      <c r="AB5" s="9"/>
      <c r="AC5" s="9"/>
      <c r="AD5" s="8"/>
      <c r="AE5" s="8"/>
      <c r="AF5" s="8"/>
      <c r="AG5" s="12"/>
    </row>
    <row r="6" spans="1:33" s="43" customFormat="1" ht="22.5" customHeight="1">
      <c r="A6" s="54" t="s">
        <v>0</v>
      </c>
      <c r="B6" s="54" t="s">
        <v>1</v>
      </c>
      <c r="C6" s="69" t="s">
        <v>2</v>
      </c>
      <c r="D6" s="46" t="s">
        <v>26</v>
      </c>
      <c r="E6" s="46" t="s">
        <v>27</v>
      </c>
      <c r="F6" s="55" t="s">
        <v>29</v>
      </c>
      <c r="G6" s="55"/>
      <c r="H6" s="51" t="s">
        <v>28</v>
      </c>
      <c r="I6" s="52"/>
      <c r="J6" s="46" t="s">
        <v>3</v>
      </c>
      <c r="K6" s="54" t="s">
        <v>4</v>
      </c>
      <c r="L6" s="54" t="s">
        <v>5</v>
      </c>
      <c r="M6" s="55" t="s">
        <v>10</v>
      </c>
      <c r="N6" s="55"/>
      <c r="O6" s="55" t="s">
        <v>11</v>
      </c>
      <c r="P6" s="55"/>
      <c r="Q6" s="54" t="s">
        <v>3</v>
      </c>
      <c r="R6" s="54" t="s">
        <v>4</v>
      </c>
      <c r="S6" s="54" t="s">
        <v>5</v>
      </c>
      <c r="T6" s="51" t="s">
        <v>12</v>
      </c>
      <c r="U6" s="52"/>
      <c r="V6" s="52"/>
      <c r="W6" s="53"/>
      <c r="X6" s="54" t="s">
        <v>5</v>
      </c>
      <c r="Y6" s="57" t="s">
        <v>30</v>
      </c>
      <c r="Z6" s="58"/>
      <c r="AA6" s="54" t="s">
        <v>5</v>
      </c>
      <c r="AB6" s="54" t="s">
        <v>7</v>
      </c>
      <c r="AC6" s="46" t="s">
        <v>8</v>
      </c>
      <c r="AD6" s="54" t="s">
        <v>39</v>
      </c>
      <c r="AE6" s="54" t="s">
        <v>13</v>
      </c>
      <c r="AF6" s="65" t="s">
        <v>24</v>
      </c>
      <c r="AG6" s="67" t="s">
        <v>25</v>
      </c>
    </row>
    <row r="7" spans="1:33" s="33" customFormat="1" ht="26.25" customHeight="1">
      <c r="A7" s="54"/>
      <c r="B7" s="54"/>
      <c r="C7" s="69"/>
      <c r="D7" s="47"/>
      <c r="E7" s="47"/>
      <c r="F7" s="30" t="s">
        <v>9</v>
      </c>
      <c r="G7" s="31" t="s">
        <v>6</v>
      </c>
      <c r="H7" s="30" t="s">
        <v>9</v>
      </c>
      <c r="I7" s="31" t="s">
        <v>6</v>
      </c>
      <c r="J7" s="56"/>
      <c r="K7" s="54"/>
      <c r="L7" s="54"/>
      <c r="M7" s="31" t="s">
        <v>9</v>
      </c>
      <c r="N7" s="31" t="s">
        <v>6</v>
      </c>
      <c r="O7" s="31" t="s">
        <v>9</v>
      </c>
      <c r="P7" s="31" t="s">
        <v>6</v>
      </c>
      <c r="Q7" s="54"/>
      <c r="R7" s="54"/>
      <c r="S7" s="54"/>
      <c r="T7" s="30" t="s">
        <v>9</v>
      </c>
      <c r="U7" s="31" t="s">
        <v>6</v>
      </c>
      <c r="V7" s="30" t="s">
        <v>3</v>
      </c>
      <c r="W7" s="30" t="s">
        <v>4</v>
      </c>
      <c r="X7" s="54"/>
      <c r="Y7" s="31" t="s">
        <v>6</v>
      </c>
      <c r="Z7" s="32" t="s">
        <v>4</v>
      </c>
      <c r="AA7" s="54"/>
      <c r="AB7" s="54"/>
      <c r="AC7" s="47"/>
      <c r="AD7" s="54"/>
      <c r="AE7" s="54"/>
      <c r="AF7" s="66"/>
      <c r="AG7" s="66"/>
    </row>
    <row r="8" spans="1:33" s="13" customFormat="1" ht="14.1" customHeight="1">
      <c r="A8" s="1">
        <v>1</v>
      </c>
      <c r="B8" s="34">
        <v>1</v>
      </c>
      <c r="C8" s="35" t="s">
        <v>52</v>
      </c>
      <c r="D8" s="35" t="s">
        <v>53</v>
      </c>
      <c r="E8" s="35" t="s">
        <v>54</v>
      </c>
      <c r="F8" s="34">
        <v>20</v>
      </c>
      <c r="G8" s="34">
        <v>51</v>
      </c>
      <c r="H8" s="36">
        <v>10</v>
      </c>
      <c r="I8" s="36">
        <v>27</v>
      </c>
      <c r="J8" s="37">
        <f>F8+G8+H8+I8</f>
        <v>108</v>
      </c>
      <c r="K8" s="36">
        <f>IF(J8&lt;60,"F",IF(J8&lt;75,2,IF(J8&lt;90,3,IF(J8&lt;105,3.5,IF(J8&lt;120,4,5)))))</f>
        <v>4</v>
      </c>
      <c r="L8" s="48">
        <f>MAX(J8:J35)</f>
        <v>149</v>
      </c>
      <c r="M8" s="34">
        <v>19</v>
      </c>
      <c r="N8" s="34">
        <v>75</v>
      </c>
      <c r="O8" s="36">
        <v>9</v>
      </c>
      <c r="P8" s="36">
        <v>18</v>
      </c>
      <c r="Q8" s="37">
        <f>M8+N8+O8+P8</f>
        <v>121</v>
      </c>
      <c r="R8" s="36">
        <f>IF(Q8&lt;60,"F",IF(Q8&lt;75,2,IF(Q8&lt;90,3,IF(Q8&lt;105,3.5,IF(Q8&lt;120,4,5)))))</f>
        <v>5</v>
      </c>
      <c r="S8" s="48">
        <f>MAX(Q8:Q35)</f>
        <v>150</v>
      </c>
      <c r="T8" s="34">
        <v>20</v>
      </c>
      <c r="U8" s="34">
        <v>72</v>
      </c>
      <c r="V8" s="37">
        <f>T8+U8</f>
        <v>92</v>
      </c>
      <c r="W8" s="36">
        <f>IF(V8&lt;40,"F",IF(V8&lt;50,2,IF(V8&lt;60,3,IF(V8&lt;70,3.5,IF(V8&lt;80,4,5)))))</f>
        <v>5</v>
      </c>
      <c r="X8" s="48">
        <f>MAX(V8:V35)</f>
        <v>100</v>
      </c>
      <c r="Y8" s="38">
        <v>35</v>
      </c>
      <c r="Z8" s="36">
        <f>IF(Y8&lt;20,"F",IF(Y8&lt;25,2,IF(Y8&lt;30,3,IF(Y8&lt;35,3.5,IF(Y8&lt;40,4,5)))))</f>
        <v>4</v>
      </c>
      <c r="AA8" s="48">
        <f>MAX(Y8:Y35)</f>
        <v>45</v>
      </c>
      <c r="AB8" s="36">
        <f>IF(K8="F","F",IF(R8="F","F",IF(W8="F","F",SUM(K8,R8,W8,))))</f>
        <v>14</v>
      </c>
      <c r="AC8" s="39">
        <f>IF(AB8="F","F", IF(AB8&gt;=35,5,IF(AB8&lt;35,AB8/3)))</f>
        <v>4.666666666666667</v>
      </c>
      <c r="AD8" s="38">
        <f>J8+Q8+V8</f>
        <v>321</v>
      </c>
      <c r="AE8" s="40">
        <v>16</v>
      </c>
      <c r="AF8" s="40">
        <v>53</v>
      </c>
      <c r="AG8" s="41" t="str">
        <f>IF(AC8="F","NEED TO PROGRESS",IF(AC8&gt;=5,"BEST",IF(AC8&gt;=4,"BETTER",IF(AC8&gt;1,"GOOD"))))</f>
        <v>BETTER</v>
      </c>
    </row>
    <row r="9" spans="1:33" s="13" customFormat="1" ht="14.1" customHeight="1">
      <c r="A9" s="1">
        <v>2</v>
      </c>
      <c r="B9" s="34">
        <v>2</v>
      </c>
      <c r="C9" s="35" t="s">
        <v>129</v>
      </c>
      <c r="D9" s="35" t="s">
        <v>130</v>
      </c>
      <c r="E9" s="35" t="s">
        <v>131</v>
      </c>
      <c r="F9" s="34"/>
      <c r="G9" s="34">
        <v>86</v>
      </c>
      <c r="H9" s="36"/>
      <c r="I9" s="36">
        <v>50</v>
      </c>
      <c r="J9" s="37">
        <f t="shared" ref="J9:J16" si="0">F9+G9+H9+I9</f>
        <v>136</v>
      </c>
      <c r="K9" s="36">
        <f t="shared" ref="K9:K16" si="1">IF(J9&lt;60,"F",IF(J9&lt;75,2,IF(J9&lt;90,3,IF(J9&lt;105,3.5,IF(J9&lt;120,4,5)))))</f>
        <v>5</v>
      </c>
      <c r="L9" s="49"/>
      <c r="M9" s="34"/>
      <c r="N9" s="34">
        <v>100</v>
      </c>
      <c r="O9" s="36">
        <v>7</v>
      </c>
      <c r="P9" s="36">
        <v>35</v>
      </c>
      <c r="Q9" s="37">
        <f t="shared" ref="Q9:Q16" si="2">M9+N9+O9+P9</f>
        <v>142</v>
      </c>
      <c r="R9" s="36">
        <f t="shared" ref="R9:R16" si="3">IF(Q9&lt;60,"F",IF(Q9&lt;75,2,IF(Q9&lt;90,3,IF(Q9&lt;105,3.5,IF(Q9&lt;120,4,5)))))</f>
        <v>5</v>
      </c>
      <c r="S9" s="49"/>
      <c r="T9" s="34"/>
      <c r="U9" s="34">
        <v>95</v>
      </c>
      <c r="V9" s="37">
        <f t="shared" ref="V9:V14" si="4">T9+U9</f>
        <v>95</v>
      </c>
      <c r="W9" s="36">
        <f t="shared" ref="W9:W14" si="5">IF(V9&lt;40,"F",IF(V9&lt;50,2,IF(V9&lt;60,3,IF(V9&lt;70,3.5,IF(V9&lt;80,4,5)))))</f>
        <v>5</v>
      </c>
      <c r="X9" s="49"/>
      <c r="Y9" s="38">
        <v>45</v>
      </c>
      <c r="Z9" s="36">
        <f t="shared" ref="Z9:Z11" si="6">IF(Y9&lt;20,"F",IF(Y9&lt;25,2,IF(Y9&lt;30,3,IF(Y9&lt;35,3.5,IF(Y9&lt;40,4,5)))))</f>
        <v>5</v>
      </c>
      <c r="AA9" s="49"/>
      <c r="AB9" s="36">
        <f t="shared" ref="AB9:AB35" si="7">IF(K9="F","F",IF(R9="F","F",IF(W9="F","F",SUM(K9,R9,W9,))))</f>
        <v>15</v>
      </c>
      <c r="AC9" s="39">
        <f t="shared" ref="AC9:AC13" si="8">IF(AB9="F","F", IF(AB9&gt;=35,5,IF(AB9&lt;35,AB9/7)))</f>
        <v>2.1428571428571428</v>
      </c>
      <c r="AD9" s="38">
        <f t="shared" ref="AD9:AD35" si="9">J9+Q9+V9</f>
        <v>373</v>
      </c>
      <c r="AE9" s="40">
        <v>10</v>
      </c>
      <c r="AF9" s="40">
        <v>3</v>
      </c>
      <c r="AG9" s="41" t="str">
        <f t="shared" ref="AG9:AG35" si="10">IF(AC9="F","NEED TO PROGRESS",IF(AC9&gt;=5,"BEST",IF(AC9&gt;=4,"BETTER",IF(AC9&gt;1,"GOOD"))))</f>
        <v>GOOD</v>
      </c>
    </row>
    <row r="10" spans="1:33" s="13" customFormat="1" ht="14.1" customHeight="1">
      <c r="A10" s="1">
        <v>3</v>
      </c>
      <c r="B10" s="34">
        <v>3</v>
      </c>
      <c r="C10" s="35" t="s">
        <v>55</v>
      </c>
      <c r="D10" s="35" t="s">
        <v>56</v>
      </c>
      <c r="E10" s="35" t="s">
        <v>57</v>
      </c>
      <c r="F10" s="34">
        <v>20</v>
      </c>
      <c r="G10" s="34">
        <v>68</v>
      </c>
      <c r="H10" s="36">
        <v>10</v>
      </c>
      <c r="I10" s="36">
        <v>38</v>
      </c>
      <c r="J10" s="37">
        <f t="shared" si="0"/>
        <v>136</v>
      </c>
      <c r="K10" s="36">
        <f t="shared" si="1"/>
        <v>5</v>
      </c>
      <c r="L10" s="49"/>
      <c r="M10" s="34">
        <v>20</v>
      </c>
      <c r="N10" s="34">
        <v>80</v>
      </c>
      <c r="O10" s="36">
        <v>10</v>
      </c>
      <c r="P10" s="36">
        <v>39</v>
      </c>
      <c r="Q10" s="37">
        <f t="shared" si="2"/>
        <v>149</v>
      </c>
      <c r="R10" s="36">
        <f t="shared" si="3"/>
        <v>5</v>
      </c>
      <c r="S10" s="49"/>
      <c r="T10" s="34">
        <v>20</v>
      </c>
      <c r="U10" s="34">
        <v>79</v>
      </c>
      <c r="V10" s="37">
        <f t="shared" si="4"/>
        <v>99</v>
      </c>
      <c r="W10" s="36">
        <f t="shared" si="5"/>
        <v>5</v>
      </c>
      <c r="X10" s="49"/>
      <c r="Y10" s="38">
        <v>45</v>
      </c>
      <c r="Z10" s="36">
        <f t="shared" si="6"/>
        <v>5</v>
      </c>
      <c r="AA10" s="49"/>
      <c r="AB10" s="36">
        <f t="shared" si="7"/>
        <v>15</v>
      </c>
      <c r="AC10" s="39">
        <f t="shared" si="8"/>
        <v>2.1428571428571428</v>
      </c>
      <c r="AD10" s="38">
        <f t="shared" si="9"/>
        <v>384</v>
      </c>
      <c r="AE10" s="40">
        <v>5</v>
      </c>
      <c r="AF10" s="40">
        <v>42</v>
      </c>
      <c r="AG10" s="41" t="str">
        <f t="shared" si="10"/>
        <v>GOOD</v>
      </c>
    </row>
    <row r="11" spans="1:33" s="13" customFormat="1" ht="14.1" customHeight="1">
      <c r="A11" s="1">
        <v>4</v>
      </c>
      <c r="B11" s="34">
        <v>4</v>
      </c>
      <c r="C11" s="35" t="s">
        <v>58</v>
      </c>
      <c r="D11" s="35" t="s">
        <v>59</v>
      </c>
      <c r="E11" s="35" t="s">
        <v>60</v>
      </c>
      <c r="F11" s="34">
        <v>8</v>
      </c>
      <c r="G11" s="34"/>
      <c r="H11" s="36">
        <v>9</v>
      </c>
      <c r="I11" s="36"/>
      <c r="J11" s="37">
        <f t="shared" si="0"/>
        <v>17</v>
      </c>
      <c r="K11" s="36" t="str">
        <f t="shared" si="1"/>
        <v>F</v>
      </c>
      <c r="L11" s="49"/>
      <c r="M11" s="34">
        <v>15</v>
      </c>
      <c r="N11" s="34">
        <v>65</v>
      </c>
      <c r="O11" s="36">
        <v>9</v>
      </c>
      <c r="P11" s="36">
        <v>16</v>
      </c>
      <c r="Q11" s="37">
        <f t="shared" si="2"/>
        <v>105</v>
      </c>
      <c r="R11" s="36">
        <f t="shared" si="3"/>
        <v>4</v>
      </c>
      <c r="S11" s="49"/>
      <c r="T11" s="34">
        <v>18</v>
      </c>
      <c r="U11" s="34">
        <v>66</v>
      </c>
      <c r="V11" s="37">
        <f t="shared" si="4"/>
        <v>84</v>
      </c>
      <c r="W11" s="36">
        <f t="shared" si="5"/>
        <v>5</v>
      </c>
      <c r="X11" s="49"/>
      <c r="Y11" s="38"/>
      <c r="Z11" s="36" t="str">
        <f t="shared" si="6"/>
        <v>F</v>
      </c>
      <c r="AA11" s="49"/>
      <c r="AB11" s="36" t="str">
        <f t="shared" si="7"/>
        <v>F</v>
      </c>
      <c r="AC11" s="39" t="str">
        <f t="shared" si="8"/>
        <v>F</v>
      </c>
      <c r="AD11" s="38">
        <f t="shared" si="9"/>
        <v>206</v>
      </c>
      <c r="AE11" s="40">
        <v>21</v>
      </c>
      <c r="AF11" s="40">
        <v>37</v>
      </c>
      <c r="AG11" s="41" t="str">
        <f t="shared" si="10"/>
        <v>NEED TO PROGRESS</v>
      </c>
    </row>
    <row r="12" spans="1:33" s="13" customFormat="1" ht="14.1" customHeight="1">
      <c r="A12" s="1">
        <v>5</v>
      </c>
      <c r="B12" s="34">
        <v>5</v>
      </c>
      <c r="C12" s="35" t="s">
        <v>61</v>
      </c>
      <c r="D12" s="35" t="s">
        <v>62</v>
      </c>
      <c r="E12" s="35" t="s">
        <v>63</v>
      </c>
      <c r="F12" s="34">
        <v>15</v>
      </c>
      <c r="G12" s="34">
        <v>27</v>
      </c>
      <c r="H12" s="36">
        <v>9</v>
      </c>
      <c r="I12" s="36">
        <v>12</v>
      </c>
      <c r="J12" s="37">
        <f t="shared" si="0"/>
        <v>63</v>
      </c>
      <c r="K12" s="36">
        <f t="shared" si="1"/>
        <v>2</v>
      </c>
      <c r="L12" s="49"/>
      <c r="M12" s="34">
        <v>17</v>
      </c>
      <c r="N12" s="34">
        <v>70</v>
      </c>
      <c r="O12" s="36">
        <v>9</v>
      </c>
      <c r="P12" s="36">
        <v>18</v>
      </c>
      <c r="Q12" s="37">
        <f t="shared" si="2"/>
        <v>114</v>
      </c>
      <c r="R12" s="36">
        <f t="shared" si="3"/>
        <v>4</v>
      </c>
      <c r="S12" s="49"/>
      <c r="T12" s="34">
        <v>20</v>
      </c>
      <c r="U12" s="34">
        <v>76</v>
      </c>
      <c r="V12" s="37">
        <f t="shared" si="4"/>
        <v>96</v>
      </c>
      <c r="W12" s="36">
        <f t="shared" si="5"/>
        <v>5</v>
      </c>
      <c r="X12" s="49"/>
      <c r="Y12" s="38">
        <v>45</v>
      </c>
      <c r="Z12" s="36">
        <f t="shared" ref="Z12:Z35" si="11">IF(Y12&lt;20,"F",IF(Y12&lt;25,2,IF(Y12&lt;30,3,IF(Y12&lt;35,3.5,IF(Y12&lt;40,4,5)))))</f>
        <v>5</v>
      </c>
      <c r="AA12" s="49"/>
      <c r="AB12" s="36">
        <f t="shared" si="7"/>
        <v>11</v>
      </c>
      <c r="AC12" s="39">
        <f t="shared" si="8"/>
        <v>1.5714285714285714</v>
      </c>
      <c r="AD12" s="38">
        <f t="shared" si="9"/>
        <v>273</v>
      </c>
      <c r="AE12" s="40">
        <v>10</v>
      </c>
      <c r="AF12" s="40">
        <v>50</v>
      </c>
      <c r="AG12" s="41" t="str">
        <f t="shared" si="10"/>
        <v>GOOD</v>
      </c>
    </row>
    <row r="13" spans="1:33" s="13" customFormat="1" ht="14.1" customHeight="1">
      <c r="A13" s="1">
        <v>6</v>
      </c>
      <c r="B13" s="34">
        <v>6</v>
      </c>
      <c r="C13" s="35" t="s">
        <v>64</v>
      </c>
      <c r="D13" s="35" t="s">
        <v>65</v>
      </c>
      <c r="E13" s="35" t="s">
        <v>66</v>
      </c>
      <c r="F13" s="34">
        <v>20</v>
      </c>
      <c r="G13" s="34">
        <v>71</v>
      </c>
      <c r="H13" s="36">
        <v>10</v>
      </c>
      <c r="I13" s="36">
        <v>39</v>
      </c>
      <c r="J13" s="37">
        <f t="shared" si="0"/>
        <v>140</v>
      </c>
      <c r="K13" s="36">
        <f t="shared" si="1"/>
        <v>5</v>
      </c>
      <c r="L13" s="49"/>
      <c r="M13" s="34">
        <v>20</v>
      </c>
      <c r="N13" s="34">
        <v>80</v>
      </c>
      <c r="O13" s="36">
        <v>9</v>
      </c>
      <c r="P13" s="36">
        <v>39</v>
      </c>
      <c r="Q13" s="37">
        <f t="shared" si="2"/>
        <v>148</v>
      </c>
      <c r="R13" s="36">
        <f t="shared" si="3"/>
        <v>5</v>
      </c>
      <c r="S13" s="49"/>
      <c r="T13" s="34">
        <v>20</v>
      </c>
      <c r="U13" s="34">
        <v>80</v>
      </c>
      <c r="V13" s="37">
        <f t="shared" si="4"/>
        <v>100</v>
      </c>
      <c r="W13" s="36">
        <f t="shared" si="5"/>
        <v>5</v>
      </c>
      <c r="X13" s="49"/>
      <c r="Y13" s="38">
        <v>45</v>
      </c>
      <c r="Z13" s="36">
        <f t="shared" si="11"/>
        <v>5</v>
      </c>
      <c r="AA13" s="49"/>
      <c r="AB13" s="36">
        <f t="shared" si="7"/>
        <v>15</v>
      </c>
      <c r="AC13" s="39">
        <f t="shared" si="8"/>
        <v>2.1428571428571428</v>
      </c>
      <c r="AD13" s="38">
        <f t="shared" si="9"/>
        <v>388</v>
      </c>
      <c r="AE13" s="40">
        <v>3</v>
      </c>
      <c r="AF13" s="40">
        <v>51</v>
      </c>
      <c r="AG13" s="41" t="str">
        <f t="shared" si="10"/>
        <v>GOOD</v>
      </c>
    </row>
    <row r="14" spans="1:33" s="13" customFormat="1" ht="15.75">
      <c r="A14" s="1">
        <v>7</v>
      </c>
      <c r="B14" s="34">
        <v>7</v>
      </c>
      <c r="C14" s="35" t="s">
        <v>67</v>
      </c>
      <c r="D14" s="35" t="s">
        <v>68</v>
      </c>
      <c r="E14" s="35" t="s">
        <v>69</v>
      </c>
      <c r="F14" s="34">
        <v>20</v>
      </c>
      <c r="G14" s="34">
        <v>71</v>
      </c>
      <c r="H14" s="36">
        <v>10</v>
      </c>
      <c r="I14" s="36">
        <v>38</v>
      </c>
      <c r="J14" s="37">
        <f t="shared" si="0"/>
        <v>139</v>
      </c>
      <c r="K14" s="36">
        <f t="shared" si="1"/>
        <v>5</v>
      </c>
      <c r="L14" s="49"/>
      <c r="M14" s="34">
        <v>18</v>
      </c>
      <c r="N14" s="34">
        <v>80</v>
      </c>
      <c r="O14" s="36">
        <v>10</v>
      </c>
      <c r="P14" s="36">
        <v>38</v>
      </c>
      <c r="Q14" s="37">
        <f t="shared" si="2"/>
        <v>146</v>
      </c>
      <c r="R14" s="36">
        <f t="shared" si="3"/>
        <v>5</v>
      </c>
      <c r="S14" s="49"/>
      <c r="T14" s="34">
        <v>20</v>
      </c>
      <c r="U14" s="34">
        <v>79</v>
      </c>
      <c r="V14" s="37">
        <f t="shared" si="4"/>
        <v>99</v>
      </c>
      <c r="W14" s="36">
        <f t="shared" si="5"/>
        <v>5</v>
      </c>
      <c r="X14" s="49"/>
      <c r="Y14" s="38">
        <v>42</v>
      </c>
      <c r="Z14" s="36">
        <f t="shared" si="11"/>
        <v>5</v>
      </c>
      <c r="AA14" s="49"/>
      <c r="AB14" s="36">
        <f t="shared" si="7"/>
        <v>15</v>
      </c>
      <c r="AC14" s="39">
        <f t="shared" ref="AC14:AC33" si="12">IF(AB14="F","F", IF(AB14&gt;=35,5,IF(AB14&lt;35,AB14/7)))</f>
        <v>2.1428571428571428</v>
      </c>
      <c r="AD14" s="38">
        <f t="shared" si="9"/>
        <v>384</v>
      </c>
      <c r="AE14" s="40">
        <v>5</v>
      </c>
      <c r="AF14" s="40">
        <v>48</v>
      </c>
      <c r="AG14" s="41" t="str">
        <f t="shared" si="10"/>
        <v>GOOD</v>
      </c>
    </row>
    <row r="15" spans="1:33" s="13" customFormat="1" ht="15.75">
      <c r="A15" s="1">
        <v>8</v>
      </c>
      <c r="B15" s="34">
        <v>8</v>
      </c>
      <c r="C15" s="35" t="s">
        <v>70</v>
      </c>
      <c r="D15" s="35" t="s">
        <v>71</v>
      </c>
      <c r="E15" s="35" t="s">
        <v>72</v>
      </c>
      <c r="F15" s="34">
        <v>8</v>
      </c>
      <c r="G15" s="34">
        <v>46</v>
      </c>
      <c r="H15" s="36">
        <v>2</v>
      </c>
      <c r="I15" s="36"/>
      <c r="J15" s="37">
        <f t="shared" si="0"/>
        <v>56</v>
      </c>
      <c r="K15" s="36" t="str">
        <f t="shared" si="1"/>
        <v>F</v>
      </c>
      <c r="L15" s="49"/>
      <c r="M15" s="34">
        <v>12</v>
      </c>
      <c r="N15" s="34">
        <v>68</v>
      </c>
      <c r="O15" s="36">
        <v>6</v>
      </c>
      <c r="P15" s="36">
        <v>18</v>
      </c>
      <c r="Q15" s="37">
        <f t="shared" si="2"/>
        <v>104</v>
      </c>
      <c r="R15" s="36">
        <f t="shared" si="3"/>
        <v>3.5</v>
      </c>
      <c r="S15" s="49"/>
      <c r="T15" s="34">
        <v>20</v>
      </c>
      <c r="U15" s="34">
        <v>74</v>
      </c>
      <c r="V15" s="37">
        <f t="shared" ref="V15:V33" si="13">T15+U15</f>
        <v>94</v>
      </c>
      <c r="W15" s="36">
        <f t="shared" ref="W15:W33" si="14">IF(V15&lt;40,"F",IF(V15&lt;50,2,IF(V15&lt;60,3,IF(V15&lt;70,3.5,IF(V15&lt;80,4,5)))))</f>
        <v>5</v>
      </c>
      <c r="X15" s="49"/>
      <c r="Y15" s="38"/>
      <c r="Z15" s="36" t="str">
        <f t="shared" si="11"/>
        <v>F</v>
      </c>
      <c r="AA15" s="49"/>
      <c r="AB15" s="36" t="str">
        <f t="shared" si="7"/>
        <v>F</v>
      </c>
      <c r="AC15" s="39" t="str">
        <f t="shared" si="12"/>
        <v>F</v>
      </c>
      <c r="AD15" s="38">
        <f t="shared" si="9"/>
        <v>254</v>
      </c>
      <c r="AE15" s="40">
        <v>20</v>
      </c>
      <c r="AF15" s="40">
        <v>39</v>
      </c>
      <c r="AG15" s="41" t="str">
        <f t="shared" si="10"/>
        <v>NEED TO PROGRESS</v>
      </c>
    </row>
    <row r="16" spans="1:33" s="13" customFormat="1" ht="15.75">
      <c r="A16" s="1">
        <v>9</v>
      </c>
      <c r="B16" s="34">
        <v>9</v>
      </c>
      <c r="C16" s="35" t="s">
        <v>73</v>
      </c>
      <c r="D16" s="35" t="s">
        <v>74</v>
      </c>
      <c r="E16" s="35" t="s">
        <v>75</v>
      </c>
      <c r="F16" s="34">
        <v>11</v>
      </c>
      <c r="G16" s="34">
        <v>56</v>
      </c>
      <c r="H16" s="36">
        <v>10</v>
      </c>
      <c r="I16" s="36">
        <v>21</v>
      </c>
      <c r="J16" s="37">
        <f t="shared" si="0"/>
        <v>98</v>
      </c>
      <c r="K16" s="36">
        <f t="shared" si="1"/>
        <v>3.5</v>
      </c>
      <c r="L16" s="49"/>
      <c r="M16" s="34">
        <v>19</v>
      </c>
      <c r="N16" s="34">
        <v>78</v>
      </c>
      <c r="O16" s="36">
        <v>9</v>
      </c>
      <c r="P16" s="36">
        <v>40</v>
      </c>
      <c r="Q16" s="37">
        <f t="shared" si="2"/>
        <v>146</v>
      </c>
      <c r="R16" s="36">
        <f t="shared" si="3"/>
        <v>5</v>
      </c>
      <c r="S16" s="49"/>
      <c r="T16" s="34">
        <v>20</v>
      </c>
      <c r="U16" s="34">
        <v>76</v>
      </c>
      <c r="V16" s="37">
        <f t="shared" si="13"/>
        <v>96</v>
      </c>
      <c r="W16" s="36">
        <f t="shared" si="14"/>
        <v>5</v>
      </c>
      <c r="X16" s="49"/>
      <c r="Y16" s="38">
        <v>40</v>
      </c>
      <c r="Z16" s="36">
        <f t="shared" si="11"/>
        <v>5</v>
      </c>
      <c r="AA16" s="49"/>
      <c r="AB16" s="36">
        <f t="shared" si="7"/>
        <v>13.5</v>
      </c>
      <c r="AC16" s="39">
        <f t="shared" si="12"/>
        <v>1.9285714285714286</v>
      </c>
      <c r="AD16" s="38">
        <f t="shared" si="9"/>
        <v>340</v>
      </c>
      <c r="AE16" s="40">
        <v>14</v>
      </c>
      <c r="AF16" s="40">
        <v>44</v>
      </c>
      <c r="AG16" s="41" t="str">
        <f t="shared" si="10"/>
        <v>GOOD</v>
      </c>
    </row>
    <row r="17" spans="1:33" s="13" customFormat="1" ht="15.75">
      <c r="A17" s="1">
        <v>10</v>
      </c>
      <c r="B17" s="34">
        <v>10</v>
      </c>
      <c r="C17" s="35" t="s">
        <v>76</v>
      </c>
      <c r="D17" s="35" t="s">
        <v>77</v>
      </c>
      <c r="E17" s="35" t="s">
        <v>78</v>
      </c>
      <c r="F17" s="34">
        <v>14</v>
      </c>
      <c r="G17" s="34">
        <v>36</v>
      </c>
      <c r="H17" s="36">
        <v>7</v>
      </c>
      <c r="I17" s="36">
        <v>13</v>
      </c>
      <c r="J17" s="37">
        <f t="shared" ref="J17:J33" si="15">F17+G17+H17+I17</f>
        <v>70</v>
      </c>
      <c r="K17" s="36">
        <f t="shared" ref="K17:K33" si="16">IF(J17&lt;60,"F",IF(J17&lt;75,2,IF(J17&lt;90,3,IF(J17&lt;105,3.5,IF(J17&lt;120,4,5)))))</f>
        <v>2</v>
      </c>
      <c r="L17" s="49"/>
      <c r="M17" s="34">
        <v>18</v>
      </c>
      <c r="N17" s="34">
        <v>58</v>
      </c>
      <c r="O17" s="36">
        <v>8</v>
      </c>
      <c r="P17" s="36">
        <v>26</v>
      </c>
      <c r="Q17" s="37">
        <f t="shared" ref="Q17:Q33" si="17">M17+N17+O17+P17</f>
        <v>110</v>
      </c>
      <c r="R17" s="36">
        <f t="shared" ref="R17:R33" si="18">IF(Q17&lt;60,"F",IF(Q17&lt;75,2,IF(Q17&lt;90,3,IF(Q17&lt;105,3.5,IF(Q17&lt;120,4,5)))))</f>
        <v>4</v>
      </c>
      <c r="S17" s="49"/>
      <c r="T17" s="34">
        <v>20</v>
      </c>
      <c r="U17" s="34">
        <v>73</v>
      </c>
      <c r="V17" s="37">
        <f t="shared" si="13"/>
        <v>93</v>
      </c>
      <c r="W17" s="36">
        <f t="shared" si="14"/>
        <v>5</v>
      </c>
      <c r="X17" s="49"/>
      <c r="Y17" s="38">
        <v>35</v>
      </c>
      <c r="Z17" s="36">
        <f t="shared" si="11"/>
        <v>4</v>
      </c>
      <c r="AA17" s="49"/>
      <c r="AB17" s="36">
        <f t="shared" si="7"/>
        <v>11</v>
      </c>
      <c r="AC17" s="39">
        <f t="shared" si="12"/>
        <v>1.5714285714285714</v>
      </c>
      <c r="AD17" s="38">
        <f t="shared" si="9"/>
        <v>273</v>
      </c>
      <c r="AE17" s="40">
        <v>19</v>
      </c>
      <c r="AF17" s="40">
        <v>42</v>
      </c>
      <c r="AG17" s="41" t="str">
        <f t="shared" si="10"/>
        <v>GOOD</v>
      </c>
    </row>
    <row r="18" spans="1:33" s="13" customFormat="1" ht="15.75">
      <c r="A18" s="1">
        <v>11</v>
      </c>
      <c r="B18" s="34">
        <v>11</v>
      </c>
      <c r="C18" s="35" t="s">
        <v>79</v>
      </c>
      <c r="D18" s="35" t="s">
        <v>80</v>
      </c>
      <c r="E18" s="35" t="s">
        <v>81</v>
      </c>
      <c r="F18" s="34">
        <v>17</v>
      </c>
      <c r="G18" s="34">
        <v>54</v>
      </c>
      <c r="H18" s="36">
        <v>10</v>
      </c>
      <c r="I18" s="36">
        <v>38</v>
      </c>
      <c r="J18" s="37">
        <f t="shared" si="15"/>
        <v>119</v>
      </c>
      <c r="K18" s="36">
        <f t="shared" si="16"/>
        <v>4</v>
      </c>
      <c r="L18" s="49"/>
      <c r="M18" s="34">
        <v>20</v>
      </c>
      <c r="N18" s="34">
        <v>80</v>
      </c>
      <c r="O18" s="36">
        <v>10</v>
      </c>
      <c r="P18" s="36">
        <v>40</v>
      </c>
      <c r="Q18" s="37">
        <f t="shared" si="17"/>
        <v>150</v>
      </c>
      <c r="R18" s="36">
        <f t="shared" si="18"/>
        <v>5</v>
      </c>
      <c r="S18" s="49"/>
      <c r="T18" s="34">
        <v>18</v>
      </c>
      <c r="U18" s="34">
        <v>75</v>
      </c>
      <c r="V18" s="37">
        <f t="shared" si="13"/>
        <v>93</v>
      </c>
      <c r="W18" s="36">
        <f t="shared" si="14"/>
        <v>5</v>
      </c>
      <c r="X18" s="49"/>
      <c r="Y18" s="38">
        <v>35</v>
      </c>
      <c r="Z18" s="36">
        <f t="shared" si="11"/>
        <v>4</v>
      </c>
      <c r="AA18" s="49"/>
      <c r="AB18" s="36">
        <f t="shared" si="7"/>
        <v>14</v>
      </c>
      <c r="AC18" s="39">
        <f t="shared" si="12"/>
        <v>2</v>
      </c>
      <c r="AD18" s="38">
        <f t="shared" si="9"/>
        <v>362</v>
      </c>
      <c r="AE18" s="42">
        <v>13</v>
      </c>
      <c r="AF18" s="40">
        <v>49</v>
      </c>
      <c r="AG18" s="41" t="str">
        <f t="shared" si="10"/>
        <v>GOOD</v>
      </c>
    </row>
    <row r="19" spans="1:33" s="13" customFormat="1" ht="15.75">
      <c r="A19" s="1">
        <v>12</v>
      </c>
      <c r="B19" s="34">
        <v>12</v>
      </c>
      <c r="C19" s="35" t="s">
        <v>82</v>
      </c>
      <c r="D19" s="35" t="s">
        <v>83</v>
      </c>
      <c r="E19" s="35" t="s">
        <v>84</v>
      </c>
      <c r="F19" s="34">
        <v>20</v>
      </c>
      <c r="G19" s="34">
        <v>78</v>
      </c>
      <c r="H19" s="36">
        <v>10</v>
      </c>
      <c r="I19" s="36">
        <v>31</v>
      </c>
      <c r="J19" s="37">
        <f t="shared" si="15"/>
        <v>139</v>
      </c>
      <c r="K19" s="36">
        <f t="shared" si="16"/>
        <v>5</v>
      </c>
      <c r="L19" s="49"/>
      <c r="M19" s="34">
        <v>20</v>
      </c>
      <c r="N19" s="34">
        <v>78</v>
      </c>
      <c r="O19" s="36">
        <v>10</v>
      </c>
      <c r="P19" s="36">
        <v>40</v>
      </c>
      <c r="Q19" s="37">
        <f t="shared" si="17"/>
        <v>148</v>
      </c>
      <c r="R19" s="36">
        <f t="shared" si="18"/>
        <v>5</v>
      </c>
      <c r="S19" s="49"/>
      <c r="T19" s="34"/>
      <c r="U19" s="34">
        <v>80</v>
      </c>
      <c r="V19" s="37">
        <f t="shared" si="13"/>
        <v>80</v>
      </c>
      <c r="W19" s="36">
        <f t="shared" si="14"/>
        <v>5</v>
      </c>
      <c r="X19" s="49"/>
      <c r="Y19" s="38">
        <v>37</v>
      </c>
      <c r="Z19" s="36">
        <f t="shared" si="11"/>
        <v>4</v>
      </c>
      <c r="AA19" s="49"/>
      <c r="AB19" s="36">
        <f t="shared" si="7"/>
        <v>15</v>
      </c>
      <c r="AC19" s="39">
        <f t="shared" si="12"/>
        <v>2.1428571428571428</v>
      </c>
      <c r="AD19" s="38">
        <f t="shared" si="9"/>
        <v>367</v>
      </c>
      <c r="AE19" s="40">
        <v>12</v>
      </c>
      <c r="AF19" s="40">
        <v>45</v>
      </c>
      <c r="AG19" s="41" t="str">
        <f t="shared" si="10"/>
        <v>GOOD</v>
      </c>
    </row>
    <row r="20" spans="1:33" s="13" customFormat="1" ht="15.75">
      <c r="A20" s="1">
        <v>13</v>
      </c>
      <c r="B20" s="34">
        <v>13</v>
      </c>
      <c r="C20" s="35" t="s">
        <v>85</v>
      </c>
      <c r="D20" s="35" t="s">
        <v>86</v>
      </c>
      <c r="E20" s="35" t="s">
        <v>87</v>
      </c>
      <c r="F20" s="34">
        <v>20</v>
      </c>
      <c r="G20" s="34">
        <v>79</v>
      </c>
      <c r="H20" s="36">
        <v>10</v>
      </c>
      <c r="I20" s="36">
        <v>36</v>
      </c>
      <c r="J20" s="37">
        <f t="shared" si="15"/>
        <v>145</v>
      </c>
      <c r="K20" s="36">
        <f t="shared" si="16"/>
        <v>5</v>
      </c>
      <c r="L20" s="49"/>
      <c r="M20" s="34">
        <v>20</v>
      </c>
      <c r="N20" s="34">
        <v>78</v>
      </c>
      <c r="O20" s="36">
        <v>9</v>
      </c>
      <c r="P20" s="36">
        <v>39</v>
      </c>
      <c r="Q20" s="37">
        <f t="shared" si="17"/>
        <v>146</v>
      </c>
      <c r="R20" s="36">
        <f t="shared" si="18"/>
        <v>5</v>
      </c>
      <c r="S20" s="49"/>
      <c r="T20" s="34">
        <v>18</v>
      </c>
      <c r="U20" s="34">
        <v>76</v>
      </c>
      <c r="V20" s="37">
        <f t="shared" si="13"/>
        <v>94</v>
      </c>
      <c r="W20" s="36">
        <f t="shared" si="14"/>
        <v>5</v>
      </c>
      <c r="X20" s="49"/>
      <c r="Y20" s="38">
        <v>35</v>
      </c>
      <c r="Z20" s="36">
        <f t="shared" si="11"/>
        <v>4</v>
      </c>
      <c r="AA20" s="49"/>
      <c r="AB20" s="36">
        <f t="shared" si="7"/>
        <v>15</v>
      </c>
      <c r="AC20" s="39">
        <f t="shared" si="12"/>
        <v>2.1428571428571428</v>
      </c>
      <c r="AD20" s="38">
        <f t="shared" si="9"/>
        <v>385</v>
      </c>
      <c r="AE20" s="40">
        <v>4</v>
      </c>
      <c r="AF20" s="40">
        <v>45</v>
      </c>
      <c r="AG20" s="41" t="str">
        <f t="shared" si="10"/>
        <v>GOOD</v>
      </c>
    </row>
    <row r="21" spans="1:33" s="13" customFormat="1" ht="15.75">
      <c r="A21" s="1">
        <v>14</v>
      </c>
      <c r="B21" s="34">
        <v>14</v>
      </c>
      <c r="C21" s="35" t="s">
        <v>88</v>
      </c>
      <c r="D21" s="35" t="s">
        <v>89</v>
      </c>
      <c r="E21" s="35" t="s">
        <v>90</v>
      </c>
      <c r="F21" s="34">
        <v>12</v>
      </c>
      <c r="G21" s="34">
        <v>28</v>
      </c>
      <c r="H21" s="36">
        <v>10</v>
      </c>
      <c r="I21" s="36">
        <v>22</v>
      </c>
      <c r="J21" s="37">
        <f t="shared" si="15"/>
        <v>72</v>
      </c>
      <c r="K21" s="36">
        <f t="shared" si="16"/>
        <v>2</v>
      </c>
      <c r="L21" s="49"/>
      <c r="M21" s="34">
        <v>12</v>
      </c>
      <c r="N21" s="34">
        <v>70</v>
      </c>
      <c r="O21" s="36">
        <v>9</v>
      </c>
      <c r="P21" s="36">
        <v>18</v>
      </c>
      <c r="Q21" s="37">
        <f t="shared" si="17"/>
        <v>109</v>
      </c>
      <c r="R21" s="36">
        <f t="shared" si="18"/>
        <v>4</v>
      </c>
      <c r="S21" s="49"/>
      <c r="T21" s="34">
        <v>18</v>
      </c>
      <c r="U21" s="34">
        <v>75</v>
      </c>
      <c r="V21" s="37">
        <f t="shared" si="13"/>
        <v>93</v>
      </c>
      <c r="W21" s="36">
        <f t="shared" si="14"/>
        <v>5</v>
      </c>
      <c r="X21" s="49"/>
      <c r="Y21" s="38">
        <v>35</v>
      </c>
      <c r="Z21" s="36">
        <f t="shared" si="11"/>
        <v>4</v>
      </c>
      <c r="AA21" s="49"/>
      <c r="AB21" s="36">
        <f t="shared" si="7"/>
        <v>11</v>
      </c>
      <c r="AC21" s="39">
        <f t="shared" si="12"/>
        <v>1.5714285714285714</v>
      </c>
      <c r="AD21" s="38">
        <f t="shared" si="9"/>
        <v>274</v>
      </c>
      <c r="AE21" s="40">
        <v>18</v>
      </c>
      <c r="AF21" s="40">
        <v>41</v>
      </c>
      <c r="AG21" s="41" t="str">
        <f t="shared" si="10"/>
        <v>GOOD</v>
      </c>
    </row>
    <row r="22" spans="1:33" s="13" customFormat="1" ht="15.75">
      <c r="A22" s="1">
        <v>15</v>
      </c>
      <c r="B22" s="34">
        <v>15</v>
      </c>
      <c r="C22" s="35" t="s">
        <v>91</v>
      </c>
      <c r="D22" s="35" t="s">
        <v>92</v>
      </c>
      <c r="E22" s="35" t="s">
        <v>93</v>
      </c>
      <c r="F22" s="34">
        <v>20</v>
      </c>
      <c r="G22" s="34">
        <v>62</v>
      </c>
      <c r="H22" s="36">
        <v>10</v>
      </c>
      <c r="I22" s="36">
        <v>35</v>
      </c>
      <c r="J22" s="37">
        <f t="shared" si="15"/>
        <v>127</v>
      </c>
      <c r="K22" s="36">
        <f t="shared" si="16"/>
        <v>5</v>
      </c>
      <c r="L22" s="49"/>
      <c r="M22" s="34">
        <v>20</v>
      </c>
      <c r="N22" s="34">
        <v>78</v>
      </c>
      <c r="O22" s="36">
        <v>9</v>
      </c>
      <c r="P22" s="36">
        <v>32</v>
      </c>
      <c r="Q22" s="37">
        <f t="shared" si="17"/>
        <v>139</v>
      </c>
      <c r="R22" s="36">
        <f t="shared" si="18"/>
        <v>5</v>
      </c>
      <c r="S22" s="49"/>
      <c r="T22" s="34">
        <v>20</v>
      </c>
      <c r="U22" s="34">
        <v>76</v>
      </c>
      <c r="V22" s="37">
        <f t="shared" si="13"/>
        <v>96</v>
      </c>
      <c r="W22" s="36">
        <f t="shared" si="14"/>
        <v>5</v>
      </c>
      <c r="X22" s="49"/>
      <c r="Y22" s="38">
        <v>40</v>
      </c>
      <c r="Z22" s="36">
        <f t="shared" si="11"/>
        <v>5</v>
      </c>
      <c r="AA22" s="49"/>
      <c r="AB22" s="36">
        <f t="shared" si="7"/>
        <v>15</v>
      </c>
      <c r="AC22" s="39">
        <f t="shared" si="12"/>
        <v>2.1428571428571428</v>
      </c>
      <c r="AD22" s="38">
        <f t="shared" si="9"/>
        <v>362</v>
      </c>
      <c r="AE22" s="40">
        <v>13</v>
      </c>
      <c r="AF22" s="40">
        <v>48</v>
      </c>
      <c r="AG22" s="41" t="str">
        <f t="shared" si="10"/>
        <v>GOOD</v>
      </c>
    </row>
    <row r="23" spans="1:33" s="13" customFormat="1" ht="15.75">
      <c r="A23" s="1">
        <v>16</v>
      </c>
      <c r="B23" s="34">
        <v>16</v>
      </c>
      <c r="C23" s="35" t="s">
        <v>94</v>
      </c>
      <c r="D23" s="35" t="s">
        <v>95</v>
      </c>
      <c r="E23" s="35" t="s">
        <v>96</v>
      </c>
      <c r="F23" s="34">
        <v>20</v>
      </c>
      <c r="G23" s="34">
        <v>76</v>
      </c>
      <c r="H23" s="36">
        <v>10</v>
      </c>
      <c r="I23" s="36">
        <v>40</v>
      </c>
      <c r="J23" s="37">
        <f t="shared" si="15"/>
        <v>146</v>
      </c>
      <c r="K23" s="36">
        <f t="shared" si="16"/>
        <v>5</v>
      </c>
      <c r="L23" s="49"/>
      <c r="M23" s="34">
        <v>20</v>
      </c>
      <c r="N23" s="34">
        <v>80</v>
      </c>
      <c r="O23" s="36">
        <v>10</v>
      </c>
      <c r="P23" s="36">
        <v>40</v>
      </c>
      <c r="Q23" s="37">
        <f t="shared" si="17"/>
        <v>150</v>
      </c>
      <c r="R23" s="36">
        <f t="shared" si="18"/>
        <v>5</v>
      </c>
      <c r="S23" s="49"/>
      <c r="T23" s="34">
        <v>20</v>
      </c>
      <c r="U23" s="34">
        <v>76</v>
      </c>
      <c r="V23" s="37">
        <f t="shared" si="13"/>
        <v>96</v>
      </c>
      <c r="W23" s="36">
        <f t="shared" si="14"/>
        <v>5</v>
      </c>
      <c r="X23" s="49"/>
      <c r="Y23" s="38">
        <v>45</v>
      </c>
      <c r="Z23" s="36">
        <f t="shared" si="11"/>
        <v>5</v>
      </c>
      <c r="AA23" s="49"/>
      <c r="AB23" s="36">
        <f t="shared" si="7"/>
        <v>15</v>
      </c>
      <c r="AC23" s="39">
        <f t="shared" si="12"/>
        <v>2.1428571428571428</v>
      </c>
      <c r="AD23" s="38">
        <f t="shared" si="9"/>
        <v>392</v>
      </c>
      <c r="AE23" s="40">
        <v>2</v>
      </c>
      <c r="AF23" s="40">
        <v>35</v>
      </c>
      <c r="AG23" s="41" t="str">
        <f t="shared" si="10"/>
        <v>GOOD</v>
      </c>
    </row>
    <row r="24" spans="1:33" s="13" customFormat="1" ht="15.75">
      <c r="A24" s="1">
        <v>17</v>
      </c>
      <c r="B24" s="34">
        <v>17</v>
      </c>
      <c r="C24" s="35" t="s">
        <v>97</v>
      </c>
      <c r="D24" s="35" t="s">
        <v>98</v>
      </c>
      <c r="E24" s="35" t="s">
        <v>99</v>
      </c>
      <c r="F24" s="34">
        <v>20</v>
      </c>
      <c r="G24" s="34">
        <v>74</v>
      </c>
      <c r="H24" s="36">
        <v>10</v>
      </c>
      <c r="I24" s="36">
        <v>23</v>
      </c>
      <c r="J24" s="37">
        <f t="shared" si="15"/>
        <v>127</v>
      </c>
      <c r="K24" s="36">
        <f t="shared" si="16"/>
        <v>5</v>
      </c>
      <c r="L24" s="49"/>
      <c r="M24" s="34">
        <v>20</v>
      </c>
      <c r="N24" s="34">
        <v>80</v>
      </c>
      <c r="O24" s="36">
        <v>10</v>
      </c>
      <c r="P24" s="36">
        <v>35</v>
      </c>
      <c r="Q24" s="37">
        <f t="shared" si="17"/>
        <v>145</v>
      </c>
      <c r="R24" s="36">
        <f t="shared" si="18"/>
        <v>5</v>
      </c>
      <c r="S24" s="49"/>
      <c r="T24" s="34">
        <v>20</v>
      </c>
      <c r="U24" s="34">
        <v>78</v>
      </c>
      <c r="V24" s="37">
        <f t="shared" si="13"/>
        <v>98</v>
      </c>
      <c r="W24" s="36">
        <f t="shared" si="14"/>
        <v>5</v>
      </c>
      <c r="X24" s="49"/>
      <c r="Y24" s="38">
        <v>30</v>
      </c>
      <c r="Z24" s="36">
        <f t="shared" si="11"/>
        <v>3.5</v>
      </c>
      <c r="AA24" s="49"/>
      <c r="AB24" s="36">
        <f t="shared" si="7"/>
        <v>15</v>
      </c>
      <c r="AC24" s="39">
        <f t="shared" si="12"/>
        <v>2.1428571428571428</v>
      </c>
      <c r="AD24" s="38">
        <f t="shared" si="9"/>
        <v>370</v>
      </c>
      <c r="AE24" s="40">
        <v>11</v>
      </c>
      <c r="AF24" s="40">
        <v>52</v>
      </c>
      <c r="AG24" s="41" t="str">
        <f t="shared" si="10"/>
        <v>GOOD</v>
      </c>
    </row>
    <row r="25" spans="1:33" s="13" customFormat="1" ht="15.75">
      <c r="A25" s="1">
        <v>18</v>
      </c>
      <c r="B25" s="34">
        <v>18</v>
      </c>
      <c r="C25" s="35" t="s">
        <v>100</v>
      </c>
      <c r="D25" s="35" t="s">
        <v>101</v>
      </c>
      <c r="E25" s="35" t="s">
        <v>102</v>
      </c>
      <c r="F25" s="34">
        <v>20</v>
      </c>
      <c r="G25" s="34">
        <v>79</v>
      </c>
      <c r="H25" s="36">
        <v>10</v>
      </c>
      <c r="I25" s="36">
        <v>40</v>
      </c>
      <c r="J25" s="37">
        <f t="shared" si="15"/>
        <v>149</v>
      </c>
      <c r="K25" s="36">
        <f t="shared" si="16"/>
        <v>5</v>
      </c>
      <c r="L25" s="49"/>
      <c r="M25" s="34">
        <v>20</v>
      </c>
      <c r="N25" s="34">
        <v>80</v>
      </c>
      <c r="O25" s="36">
        <v>10</v>
      </c>
      <c r="P25" s="36">
        <v>40</v>
      </c>
      <c r="Q25" s="37">
        <f t="shared" si="17"/>
        <v>150</v>
      </c>
      <c r="R25" s="36">
        <f t="shared" si="18"/>
        <v>5</v>
      </c>
      <c r="S25" s="49"/>
      <c r="T25" s="34">
        <v>20</v>
      </c>
      <c r="U25" s="34">
        <v>80</v>
      </c>
      <c r="V25" s="37">
        <f t="shared" si="13"/>
        <v>100</v>
      </c>
      <c r="W25" s="36">
        <f t="shared" si="14"/>
        <v>5</v>
      </c>
      <c r="X25" s="49"/>
      <c r="Y25" s="38">
        <v>45</v>
      </c>
      <c r="Z25" s="36">
        <f t="shared" si="11"/>
        <v>5</v>
      </c>
      <c r="AA25" s="49"/>
      <c r="AB25" s="36">
        <f t="shared" si="7"/>
        <v>15</v>
      </c>
      <c r="AC25" s="39">
        <f t="shared" si="12"/>
        <v>2.1428571428571428</v>
      </c>
      <c r="AD25" s="38">
        <f t="shared" si="9"/>
        <v>399</v>
      </c>
      <c r="AE25" s="40">
        <v>1</v>
      </c>
      <c r="AF25" s="40">
        <v>38</v>
      </c>
      <c r="AG25" s="41" t="str">
        <f t="shared" si="10"/>
        <v>GOOD</v>
      </c>
    </row>
    <row r="26" spans="1:33" s="13" customFormat="1" ht="15.75">
      <c r="A26" s="1">
        <v>19</v>
      </c>
      <c r="B26" s="34">
        <v>19</v>
      </c>
      <c r="C26" s="35" t="s">
        <v>103</v>
      </c>
      <c r="D26" s="35" t="s">
        <v>104</v>
      </c>
      <c r="E26" s="35" t="s">
        <v>105</v>
      </c>
      <c r="F26" s="34">
        <v>15</v>
      </c>
      <c r="G26" s="34">
        <v>43</v>
      </c>
      <c r="H26" s="36">
        <v>10</v>
      </c>
      <c r="I26" s="36">
        <v>22</v>
      </c>
      <c r="J26" s="37">
        <f t="shared" si="15"/>
        <v>90</v>
      </c>
      <c r="K26" s="36">
        <f t="shared" si="16"/>
        <v>3.5</v>
      </c>
      <c r="L26" s="49"/>
      <c r="M26" s="34">
        <v>20</v>
      </c>
      <c r="N26" s="34">
        <v>78</v>
      </c>
      <c r="O26" s="36">
        <v>10</v>
      </c>
      <c r="P26" s="36">
        <v>27</v>
      </c>
      <c r="Q26" s="37">
        <f t="shared" si="17"/>
        <v>135</v>
      </c>
      <c r="R26" s="36">
        <f t="shared" si="18"/>
        <v>5</v>
      </c>
      <c r="S26" s="49"/>
      <c r="T26" s="34">
        <v>20</v>
      </c>
      <c r="U26" s="34">
        <v>78</v>
      </c>
      <c r="V26" s="37">
        <f t="shared" si="13"/>
        <v>98</v>
      </c>
      <c r="W26" s="36">
        <f t="shared" si="14"/>
        <v>5</v>
      </c>
      <c r="X26" s="49"/>
      <c r="Y26" s="38">
        <v>35</v>
      </c>
      <c r="Z26" s="36">
        <f t="shared" si="11"/>
        <v>4</v>
      </c>
      <c r="AA26" s="49"/>
      <c r="AB26" s="36">
        <f t="shared" si="7"/>
        <v>13.5</v>
      </c>
      <c r="AC26" s="39">
        <f t="shared" si="12"/>
        <v>1.9285714285714286</v>
      </c>
      <c r="AD26" s="38">
        <f t="shared" si="9"/>
        <v>323</v>
      </c>
      <c r="AE26" s="40">
        <v>15</v>
      </c>
      <c r="AF26" s="40">
        <v>37</v>
      </c>
      <c r="AG26" s="41" t="str">
        <f t="shared" si="10"/>
        <v>GOOD</v>
      </c>
    </row>
    <row r="27" spans="1:33" s="13" customFormat="1" ht="15.75">
      <c r="A27" s="1">
        <v>20</v>
      </c>
      <c r="B27" s="19">
        <v>22</v>
      </c>
      <c r="C27" s="35" t="s">
        <v>106</v>
      </c>
      <c r="D27" s="35" t="s">
        <v>107</v>
      </c>
      <c r="E27" s="35" t="s">
        <v>108</v>
      </c>
      <c r="F27" s="34">
        <v>14</v>
      </c>
      <c r="G27" s="34">
        <v>46</v>
      </c>
      <c r="H27" s="36">
        <v>10</v>
      </c>
      <c r="I27" s="36">
        <v>14</v>
      </c>
      <c r="J27" s="37">
        <f t="shared" si="15"/>
        <v>84</v>
      </c>
      <c r="K27" s="36">
        <f t="shared" si="16"/>
        <v>3</v>
      </c>
      <c r="L27" s="49"/>
      <c r="M27" s="34">
        <v>19</v>
      </c>
      <c r="N27" s="34">
        <v>72</v>
      </c>
      <c r="O27" s="36">
        <v>10</v>
      </c>
      <c r="P27" s="36">
        <v>25</v>
      </c>
      <c r="Q27" s="37">
        <f t="shared" si="17"/>
        <v>126</v>
      </c>
      <c r="R27" s="36">
        <f t="shared" si="18"/>
        <v>5</v>
      </c>
      <c r="S27" s="49"/>
      <c r="T27" s="34">
        <v>19</v>
      </c>
      <c r="U27" s="34">
        <v>77</v>
      </c>
      <c r="V27" s="37">
        <f t="shared" si="13"/>
        <v>96</v>
      </c>
      <c r="W27" s="36">
        <f t="shared" si="14"/>
        <v>5</v>
      </c>
      <c r="X27" s="49"/>
      <c r="Y27" s="38">
        <v>35</v>
      </c>
      <c r="Z27" s="36">
        <f t="shared" si="11"/>
        <v>4</v>
      </c>
      <c r="AA27" s="49"/>
      <c r="AB27" s="36">
        <f t="shared" si="7"/>
        <v>13</v>
      </c>
      <c r="AC27" s="39">
        <f t="shared" si="12"/>
        <v>1.8571428571428572</v>
      </c>
      <c r="AD27" s="38">
        <f t="shared" si="9"/>
        <v>306</v>
      </c>
      <c r="AE27" s="40">
        <v>17</v>
      </c>
      <c r="AF27" s="40">
        <v>31</v>
      </c>
      <c r="AG27" s="41" t="str">
        <f t="shared" si="10"/>
        <v>GOOD</v>
      </c>
    </row>
    <row r="28" spans="1:33" s="13" customFormat="1" ht="15.75">
      <c r="A28" s="1">
        <v>21</v>
      </c>
      <c r="B28" s="34">
        <v>24</v>
      </c>
      <c r="C28" s="35" t="s">
        <v>109</v>
      </c>
      <c r="D28" s="35" t="s">
        <v>110</v>
      </c>
      <c r="E28" s="35" t="s">
        <v>111</v>
      </c>
      <c r="F28" s="34">
        <v>20</v>
      </c>
      <c r="G28" s="34">
        <v>59</v>
      </c>
      <c r="H28" s="36">
        <v>10</v>
      </c>
      <c r="I28" s="36">
        <v>38</v>
      </c>
      <c r="J28" s="37">
        <f t="shared" si="15"/>
        <v>127</v>
      </c>
      <c r="K28" s="36">
        <f t="shared" si="16"/>
        <v>5</v>
      </c>
      <c r="L28" s="49"/>
      <c r="M28" s="34">
        <v>20</v>
      </c>
      <c r="N28" s="34">
        <v>80</v>
      </c>
      <c r="O28" s="36">
        <v>10</v>
      </c>
      <c r="P28" s="36">
        <v>39</v>
      </c>
      <c r="Q28" s="37">
        <f t="shared" si="17"/>
        <v>149</v>
      </c>
      <c r="R28" s="36">
        <f t="shared" si="18"/>
        <v>5</v>
      </c>
      <c r="S28" s="49"/>
      <c r="T28" s="34">
        <v>18</v>
      </c>
      <c r="U28" s="34">
        <v>80</v>
      </c>
      <c r="V28" s="37">
        <f t="shared" si="13"/>
        <v>98</v>
      </c>
      <c r="W28" s="36">
        <f t="shared" si="14"/>
        <v>5</v>
      </c>
      <c r="X28" s="49"/>
      <c r="Y28" s="38">
        <v>44</v>
      </c>
      <c r="Z28" s="36">
        <f t="shared" si="11"/>
        <v>5</v>
      </c>
      <c r="AA28" s="49"/>
      <c r="AB28" s="36">
        <f t="shared" si="7"/>
        <v>15</v>
      </c>
      <c r="AC28" s="39">
        <f t="shared" si="12"/>
        <v>2.1428571428571428</v>
      </c>
      <c r="AD28" s="38">
        <f t="shared" si="9"/>
        <v>374</v>
      </c>
      <c r="AE28" s="40">
        <v>9</v>
      </c>
      <c r="AF28" s="40">
        <v>36</v>
      </c>
      <c r="AG28" s="41" t="str">
        <f t="shared" si="10"/>
        <v>GOOD</v>
      </c>
    </row>
    <row r="29" spans="1:33" ht="15.75">
      <c r="A29" s="1">
        <v>22</v>
      </c>
      <c r="B29" s="19">
        <v>25</v>
      </c>
      <c r="C29" s="35" t="s">
        <v>112</v>
      </c>
      <c r="D29" s="35" t="s">
        <v>113</v>
      </c>
      <c r="E29" s="35" t="s">
        <v>114</v>
      </c>
      <c r="F29" s="34">
        <v>19</v>
      </c>
      <c r="G29" s="34">
        <v>73</v>
      </c>
      <c r="H29" s="36">
        <v>10</v>
      </c>
      <c r="I29" s="36">
        <v>38</v>
      </c>
      <c r="J29" s="37">
        <f t="shared" si="15"/>
        <v>140</v>
      </c>
      <c r="K29" s="36">
        <f t="shared" si="16"/>
        <v>5</v>
      </c>
      <c r="L29" s="49"/>
      <c r="M29" s="34">
        <v>20</v>
      </c>
      <c r="N29" s="34">
        <v>80</v>
      </c>
      <c r="O29" s="36">
        <v>8</v>
      </c>
      <c r="P29" s="36">
        <v>35</v>
      </c>
      <c r="Q29" s="37">
        <f t="shared" si="17"/>
        <v>143</v>
      </c>
      <c r="R29" s="36">
        <f t="shared" si="18"/>
        <v>5</v>
      </c>
      <c r="S29" s="49"/>
      <c r="T29" s="34">
        <v>15</v>
      </c>
      <c r="U29" s="34">
        <v>78</v>
      </c>
      <c r="V29" s="37">
        <f t="shared" si="13"/>
        <v>93</v>
      </c>
      <c r="W29" s="36">
        <f t="shared" si="14"/>
        <v>5</v>
      </c>
      <c r="X29" s="49"/>
      <c r="Y29" s="38">
        <v>40</v>
      </c>
      <c r="Z29" s="36">
        <f t="shared" si="11"/>
        <v>5</v>
      </c>
      <c r="AA29" s="49"/>
      <c r="AB29" s="36">
        <f t="shared" si="7"/>
        <v>15</v>
      </c>
      <c r="AC29" s="39">
        <f t="shared" si="12"/>
        <v>2.1428571428571428</v>
      </c>
      <c r="AD29" s="38">
        <f t="shared" si="9"/>
        <v>376</v>
      </c>
      <c r="AE29" s="40">
        <v>7</v>
      </c>
      <c r="AF29" s="40">
        <v>27</v>
      </c>
      <c r="AG29" s="41" t="str">
        <f t="shared" si="10"/>
        <v>GOOD</v>
      </c>
    </row>
    <row r="30" spans="1:33" ht="15.75">
      <c r="A30" s="1">
        <v>23</v>
      </c>
      <c r="B30" s="34">
        <v>26</v>
      </c>
      <c r="C30" s="35" t="s">
        <v>115</v>
      </c>
      <c r="D30" s="35" t="s">
        <v>116</v>
      </c>
      <c r="E30" s="35" t="s">
        <v>117</v>
      </c>
      <c r="F30" s="34">
        <v>20</v>
      </c>
      <c r="G30" s="34">
        <v>53</v>
      </c>
      <c r="H30" s="36">
        <v>10</v>
      </c>
      <c r="I30" s="36">
        <v>39</v>
      </c>
      <c r="J30" s="37">
        <f t="shared" si="15"/>
        <v>122</v>
      </c>
      <c r="K30" s="36">
        <f t="shared" si="16"/>
        <v>5</v>
      </c>
      <c r="L30" s="49"/>
      <c r="M30" s="34">
        <v>20</v>
      </c>
      <c r="N30" s="34">
        <v>80</v>
      </c>
      <c r="O30" s="36">
        <v>10</v>
      </c>
      <c r="P30" s="36">
        <v>35</v>
      </c>
      <c r="Q30" s="37">
        <f t="shared" si="17"/>
        <v>145</v>
      </c>
      <c r="R30" s="36">
        <f t="shared" si="18"/>
        <v>5</v>
      </c>
      <c r="S30" s="49"/>
      <c r="T30" s="34">
        <v>18</v>
      </c>
      <c r="U30" s="34">
        <v>76</v>
      </c>
      <c r="V30" s="37">
        <f t="shared" si="13"/>
        <v>94</v>
      </c>
      <c r="W30" s="36">
        <f t="shared" si="14"/>
        <v>5</v>
      </c>
      <c r="X30" s="49"/>
      <c r="Y30" s="38">
        <v>40</v>
      </c>
      <c r="Z30" s="36">
        <f t="shared" si="11"/>
        <v>5</v>
      </c>
      <c r="AA30" s="49"/>
      <c r="AB30" s="36">
        <f t="shared" si="7"/>
        <v>15</v>
      </c>
      <c r="AC30" s="39">
        <f t="shared" si="12"/>
        <v>2.1428571428571428</v>
      </c>
      <c r="AD30" s="38">
        <f t="shared" si="9"/>
        <v>361</v>
      </c>
      <c r="AE30" s="40">
        <v>13</v>
      </c>
      <c r="AF30" s="40">
        <v>33</v>
      </c>
      <c r="AG30" s="41" t="str">
        <f t="shared" si="10"/>
        <v>GOOD</v>
      </c>
    </row>
    <row r="31" spans="1:33" s="107" customFormat="1" ht="15.75">
      <c r="A31" s="99">
        <v>24</v>
      </c>
      <c r="B31" s="100">
        <v>27</v>
      </c>
      <c r="C31" s="101" t="s">
        <v>118</v>
      </c>
      <c r="D31" s="101" t="s">
        <v>119</v>
      </c>
      <c r="E31" s="101" t="s">
        <v>120</v>
      </c>
      <c r="F31" s="100">
        <v>11</v>
      </c>
      <c r="G31" s="100"/>
      <c r="H31" s="102">
        <v>4</v>
      </c>
      <c r="I31" s="102"/>
      <c r="J31" s="103">
        <f t="shared" si="15"/>
        <v>15</v>
      </c>
      <c r="K31" s="102" t="str">
        <f t="shared" si="16"/>
        <v>F</v>
      </c>
      <c r="L31" s="49"/>
      <c r="M31" s="100">
        <v>12</v>
      </c>
      <c r="N31" s="100"/>
      <c r="O31" s="102">
        <v>0</v>
      </c>
      <c r="P31" s="102"/>
      <c r="Q31" s="103">
        <f t="shared" si="17"/>
        <v>12</v>
      </c>
      <c r="R31" s="102" t="str">
        <f t="shared" si="18"/>
        <v>F</v>
      </c>
      <c r="S31" s="49"/>
      <c r="T31" s="100">
        <v>16</v>
      </c>
      <c r="U31" s="100"/>
      <c r="V31" s="103">
        <f t="shared" si="13"/>
        <v>16</v>
      </c>
      <c r="W31" s="102" t="str">
        <f t="shared" si="14"/>
        <v>F</v>
      </c>
      <c r="X31" s="49"/>
      <c r="Y31" s="104"/>
      <c r="Z31" s="102" t="str">
        <f t="shared" si="11"/>
        <v>F</v>
      </c>
      <c r="AA31" s="49"/>
      <c r="AB31" s="102" t="str">
        <f t="shared" si="7"/>
        <v>F</v>
      </c>
      <c r="AC31" s="105" t="str">
        <f t="shared" si="12"/>
        <v>F</v>
      </c>
      <c r="AD31" s="104">
        <f t="shared" si="9"/>
        <v>43</v>
      </c>
      <c r="AE31" s="106">
        <v>0</v>
      </c>
      <c r="AF31" s="106"/>
      <c r="AG31" s="41" t="str">
        <f t="shared" si="10"/>
        <v>NEED TO PROGRESS</v>
      </c>
    </row>
    <row r="32" spans="1:33" ht="15.75">
      <c r="A32" s="1">
        <v>25</v>
      </c>
      <c r="B32" s="34">
        <v>28</v>
      </c>
      <c r="C32" s="35" t="s">
        <v>121</v>
      </c>
      <c r="D32" s="35" t="s">
        <v>122</v>
      </c>
      <c r="E32" s="35" t="s">
        <v>123</v>
      </c>
      <c r="F32" s="34">
        <v>16</v>
      </c>
      <c r="G32" s="34">
        <v>66</v>
      </c>
      <c r="H32" s="36">
        <v>10</v>
      </c>
      <c r="I32" s="36">
        <v>36</v>
      </c>
      <c r="J32" s="37">
        <f t="shared" si="15"/>
        <v>128</v>
      </c>
      <c r="K32" s="36">
        <f t="shared" si="16"/>
        <v>5</v>
      </c>
      <c r="L32" s="49"/>
      <c r="M32" s="34">
        <v>20</v>
      </c>
      <c r="N32" s="34">
        <v>78</v>
      </c>
      <c r="O32" s="36">
        <v>8</v>
      </c>
      <c r="P32" s="36">
        <v>38</v>
      </c>
      <c r="Q32" s="37">
        <f t="shared" si="17"/>
        <v>144</v>
      </c>
      <c r="R32" s="36">
        <f t="shared" si="18"/>
        <v>5</v>
      </c>
      <c r="S32" s="49"/>
      <c r="T32" s="34">
        <v>13</v>
      </c>
      <c r="U32" s="34">
        <v>77</v>
      </c>
      <c r="V32" s="37">
        <f t="shared" si="13"/>
        <v>90</v>
      </c>
      <c r="W32" s="36">
        <f t="shared" si="14"/>
        <v>5</v>
      </c>
      <c r="X32" s="49"/>
      <c r="Y32" s="38">
        <v>35</v>
      </c>
      <c r="Z32" s="36">
        <f t="shared" si="11"/>
        <v>4</v>
      </c>
      <c r="AA32" s="49"/>
      <c r="AB32" s="36">
        <f t="shared" si="7"/>
        <v>15</v>
      </c>
      <c r="AC32" s="39">
        <f t="shared" si="12"/>
        <v>2.1428571428571428</v>
      </c>
      <c r="AD32" s="38">
        <f t="shared" si="9"/>
        <v>362</v>
      </c>
      <c r="AE32" s="40">
        <v>13</v>
      </c>
      <c r="AF32" s="40">
        <v>33</v>
      </c>
      <c r="AG32" s="41" t="str">
        <f t="shared" si="10"/>
        <v>GOOD</v>
      </c>
    </row>
    <row r="33" spans="1:33" ht="15.75">
      <c r="A33" s="1">
        <v>26</v>
      </c>
      <c r="B33" s="34">
        <v>29</v>
      </c>
      <c r="C33" s="35" t="s">
        <v>124</v>
      </c>
      <c r="D33" s="35" t="s">
        <v>125</v>
      </c>
      <c r="E33" s="35" t="s">
        <v>126</v>
      </c>
      <c r="F33" s="34">
        <v>20</v>
      </c>
      <c r="G33" s="34">
        <v>77</v>
      </c>
      <c r="H33" s="36">
        <v>10</v>
      </c>
      <c r="I33" s="36">
        <v>39</v>
      </c>
      <c r="J33" s="37">
        <f t="shared" si="15"/>
        <v>146</v>
      </c>
      <c r="K33" s="36">
        <f t="shared" si="16"/>
        <v>5</v>
      </c>
      <c r="L33" s="49"/>
      <c r="M33" s="34">
        <v>20</v>
      </c>
      <c r="N33" s="34">
        <v>80</v>
      </c>
      <c r="O33" s="36">
        <v>7</v>
      </c>
      <c r="P33" s="36">
        <v>40</v>
      </c>
      <c r="Q33" s="37">
        <f t="shared" si="17"/>
        <v>147</v>
      </c>
      <c r="R33" s="36">
        <f t="shared" si="18"/>
        <v>5</v>
      </c>
      <c r="S33" s="49"/>
      <c r="T33" s="34">
        <v>15</v>
      </c>
      <c r="U33" s="34">
        <v>72</v>
      </c>
      <c r="V33" s="37">
        <f t="shared" si="13"/>
        <v>87</v>
      </c>
      <c r="W33" s="36">
        <f t="shared" si="14"/>
        <v>5</v>
      </c>
      <c r="X33" s="49"/>
      <c r="Y33" s="38">
        <v>39</v>
      </c>
      <c r="Z33" s="36">
        <f t="shared" si="11"/>
        <v>4</v>
      </c>
      <c r="AA33" s="49"/>
      <c r="AB33" s="36">
        <f t="shared" si="7"/>
        <v>15</v>
      </c>
      <c r="AC33" s="39">
        <f t="shared" si="12"/>
        <v>2.1428571428571428</v>
      </c>
      <c r="AD33" s="38">
        <f t="shared" si="9"/>
        <v>380</v>
      </c>
      <c r="AE33" s="40">
        <v>6</v>
      </c>
      <c r="AF33" s="40">
        <v>18</v>
      </c>
      <c r="AG33" s="41" t="str">
        <f t="shared" si="10"/>
        <v>GOOD</v>
      </c>
    </row>
    <row r="34" spans="1:33" ht="15.75">
      <c r="A34" s="1">
        <v>27</v>
      </c>
      <c r="B34" s="34">
        <v>30</v>
      </c>
      <c r="C34" s="35" t="s">
        <v>128</v>
      </c>
      <c r="D34" s="35" t="s">
        <v>132</v>
      </c>
      <c r="E34" s="35" t="s">
        <v>133</v>
      </c>
      <c r="F34" s="34"/>
      <c r="G34" s="34">
        <v>91</v>
      </c>
      <c r="H34" s="36"/>
      <c r="I34" s="36">
        <v>47</v>
      </c>
      <c r="J34" s="37">
        <f t="shared" ref="J34:J35" si="19">F34+G34+H34+I34</f>
        <v>138</v>
      </c>
      <c r="K34" s="36">
        <f t="shared" ref="K34:K35" si="20">IF(J34&lt;60,"F",IF(J34&lt;75,2,IF(J34&lt;90,3,IF(J34&lt;105,3.5,IF(J34&lt;120,4,5)))))</f>
        <v>5</v>
      </c>
      <c r="L34" s="49"/>
      <c r="M34" s="34"/>
      <c r="N34" s="34">
        <v>100</v>
      </c>
      <c r="O34" s="36">
        <v>7</v>
      </c>
      <c r="P34" s="36">
        <v>40</v>
      </c>
      <c r="Q34" s="37">
        <f t="shared" ref="Q34:Q35" si="21">M34+N34+O34+P34</f>
        <v>147</v>
      </c>
      <c r="R34" s="36">
        <f t="shared" ref="R34:R35" si="22">IF(Q34&lt;60,"F",IF(Q34&lt;75,2,IF(Q34&lt;90,3,IF(Q34&lt;105,3.5,IF(Q34&lt;120,4,5)))))</f>
        <v>5</v>
      </c>
      <c r="S34" s="49"/>
      <c r="T34" s="34"/>
      <c r="U34" s="34">
        <v>90</v>
      </c>
      <c r="V34" s="37">
        <f t="shared" ref="V34:V35" si="23">T34+U34</f>
        <v>90</v>
      </c>
      <c r="W34" s="36">
        <f t="shared" ref="W34:W35" si="24">IF(V34&lt;40,"F",IF(V34&lt;50,2,IF(V34&lt;60,3,IF(V34&lt;70,3.5,IF(V34&lt;80,4,5)))))</f>
        <v>5</v>
      </c>
      <c r="X34" s="49"/>
      <c r="Y34" s="38">
        <v>40</v>
      </c>
      <c r="Z34" s="36">
        <f t="shared" si="11"/>
        <v>5</v>
      </c>
      <c r="AA34" s="49"/>
      <c r="AB34" s="36">
        <f t="shared" si="7"/>
        <v>15</v>
      </c>
      <c r="AC34" s="39">
        <f t="shared" ref="AC34:AC35" si="25">IF(AB34="F","F", IF(AB34&gt;=35,5,IF(AB34&lt;35,AB34/7)))</f>
        <v>2.1428571428571428</v>
      </c>
      <c r="AD34" s="38">
        <f t="shared" si="9"/>
        <v>375</v>
      </c>
      <c r="AE34" s="40">
        <v>8</v>
      </c>
      <c r="AF34" s="40">
        <v>2</v>
      </c>
      <c r="AG34" s="41" t="str">
        <f t="shared" si="10"/>
        <v>GOOD</v>
      </c>
    </row>
    <row r="35" spans="1:33" s="13" customFormat="1" ht="15.75">
      <c r="A35" s="1">
        <v>28</v>
      </c>
      <c r="B35" s="34">
        <v>31</v>
      </c>
      <c r="C35" s="35" t="s">
        <v>127</v>
      </c>
      <c r="D35" s="35" t="s">
        <v>125</v>
      </c>
      <c r="E35" s="35" t="s">
        <v>126</v>
      </c>
      <c r="F35" s="34">
        <v>20</v>
      </c>
      <c r="G35" s="34">
        <v>77</v>
      </c>
      <c r="H35" s="36">
        <v>10</v>
      </c>
      <c r="I35" s="36">
        <v>40</v>
      </c>
      <c r="J35" s="37">
        <f t="shared" si="19"/>
        <v>147</v>
      </c>
      <c r="K35" s="36">
        <f t="shared" si="20"/>
        <v>5</v>
      </c>
      <c r="L35" s="50"/>
      <c r="M35" s="34">
        <v>20</v>
      </c>
      <c r="N35" s="34">
        <v>80</v>
      </c>
      <c r="O35" s="36">
        <v>8</v>
      </c>
      <c r="P35" s="36">
        <v>25</v>
      </c>
      <c r="Q35" s="37">
        <f t="shared" si="21"/>
        <v>133</v>
      </c>
      <c r="R35" s="36">
        <f t="shared" si="22"/>
        <v>5</v>
      </c>
      <c r="S35" s="50"/>
      <c r="T35" s="34">
        <v>15</v>
      </c>
      <c r="U35" s="34">
        <v>80</v>
      </c>
      <c r="V35" s="37">
        <f t="shared" si="23"/>
        <v>95</v>
      </c>
      <c r="W35" s="36">
        <f t="shared" si="24"/>
        <v>5</v>
      </c>
      <c r="X35" s="50"/>
      <c r="Y35" s="38">
        <v>45</v>
      </c>
      <c r="Z35" s="36">
        <f t="shared" si="11"/>
        <v>5</v>
      </c>
      <c r="AA35" s="50"/>
      <c r="AB35" s="36">
        <f t="shared" si="7"/>
        <v>15</v>
      </c>
      <c r="AC35" s="39">
        <f t="shared" si="25"/>
        <v>2.1428571428571428</v>
      </c>
      <c r="AD35" s="38">
        <f t="shared" si="9"/>
        <v>375</v>
      </c>
      <c r="AE35" s="40">
        <v>8</v>
      </c>
      <c r="AF35" s="40">
        <v>18</v>
      </c>
      <c r="AG35" s="41" t="str">
        <f t="shared" si="10"/>
        <v>GOOD</v>
      </c>
    </row>
    <row r="36" spans="1:33">
      <c r="F36" s="10"/>
      <c r="J36" s="11"/>
      <c r="K36" s="2"/>
    </row>
    <row r="37" spans="1:33">
      <c r="F37" s="10"/>
      <c r="J37" s="11"/>
      <c r="K37" s="2"/>
    </row>
    <row r="38" spans="1:33">
      <c r="A38" s="2">
        <v>0</v>
      </c>
      <c r="B38" s="2">
        <v>1</v>
      </c>
      <c r="C38" s="6">
        <v>2</v>
      </c>
      <c r="D38" s="6">
        <v>3</v>
      </c>
      <c r="E38" s="6">
        <v>4</v>
      </c>
      <c r="F38" s="6">
        <v>5</v>
      </c>
      <c r="G38" s="6">
        <v>6</v>
      </c>
      <c r="H38" s="6">
        <v>7</v>
      </c>
      <c r="I38" s="6">
        <v>8</v>
      </c>
      <c r="J38" s="6">
        <v>9</v>
      </c>
      <c r="K38" s="6">
        <v>10</v>
      </c>
      <c r="L38" s="6">
        <v>11</v>
      </c>
      <c r="M38" s="6">
        <v>12</v>
      </c>
      <c r="N38" s="6">
        <v>13</v>
      </c>
      <c r="O38" s="6">
        <v>14</v>
      </c>
      <c r="P38" s="6">
        <v>15</v>
      </c>
      <c r="Q38" s="6">
        <v>16</v>
      </c>
      <c r="R38" s="6">
        <v>17</v>
      </c>
      <c r="S38" s="6">
        <v>18</v>
      </c>
      <c r="T38" s="6">
        <v>19</v>
      </c>
      <c r="U38" s="6">
        <v>20</v>
      </c>
      <c r="V38" s="6">
        <v>21</v>
      </c>
      <c r="W38" s="6">
        <v>22</v>
      </c>
      <c r="X38" s="6">
        <v>23</v>
      </c>
      <c r="Y38" s="6">
        <v>24</v>
      </c>
      <c r="Z38" s="6">
        <v>25</v>
      </c>
      <c r="AA38" s="6">
        <v>26</v>
      </c>
      <c r="AB38" s="6">
        <v>27</v>
      </c>
      <c r="AC38" s="6">
        <v>28</v>
      </c>
      <c r="AD38" s="6">
        <v>29</v>
      </c>
      <c r="AE38" s="6">
        <v>30</v>
      </c>
      <c r="AF38" s="6">
        <v>31</v>
      </c>
      <c r="AG38" s="6">
        <v>32</v>
      </c>
    </row>
  </sheetData>
  <mergeCells count="36">
    <mergeCell ref="H5:I5"/>
    <mergeCell ref="A1:AG4"/>
    <mergeCell ref="AF6:AF7"/>
    <mergeCell ref="AG6:AG7"/>
    <mergeCell ref="A5:C5"/>
    <mergeCell ref="E5:G5"/>
    <mergeCell ref="O5:R5"/>
    <mergeCell ref="S5:U5"/>
    <mergeCell ref="W5:X5"/>
    <mergeCell ref="D6:D7"/>
    <mergeCell ref="B6:B7"/>
    <mergeCell ref="C6:C7"/>
    <mergeCell ref="A6:A7"/>
    <mergeCell ref="AE6:AE7"/>
    <mergeCell ref="AD6:AD7"/>
    <mergeCell ref="AB6:AB7"/>
    <mergeCell ref="AC6:AC7"/>
    <mergeCell ref="Q6:Q7"/>
    <mergeCell ref="R6:R7"/>
    <mergeCell ref="Y6:Z6"/>
    <mergeCell ref="AA8:AA35"/>
    <mergeCell ref="AA6:AA7"/>
    <mergeCell ref="E6:E7"/>
    <mergeCell ref="L8:L35"/>
    <mergeCell ref="S8:S35"/>
    <mergeCell ref="X8:X35"/>
    <mergeCell ref="T6:W6"/>
    <mergeCell ref="X6:X7"/>
    <mergeCell ref="O6:P6"/>
    <mergeCell ref="S6:S7"/>
    <mergeCell ref="K6:K7"/>
    <mergeCell ref="L6:L7"/>
    <mergeCell ref="F6:G6"/>
    <mergeCell ref="J6:J7"/>
    <mergeCell ref="H6:I6"/>
    <mergeCell ref="M6:N6"/>
  </mergeCells>
  <phoneticPr fontId="22" type="noConversion"/>
  <conditionalFormatting sqref="H8:H35 O8:O35">
    <cfRule type="cellIs" dxfId="11" priority="27" operator="greaterThan">
      <formula>10</formula>
    </cfRule>
  </conditionalFormatting>
  <conditionalFormatting sqref="I8:I35 P8:P35">
    <cfRule type="cellIs" dxfId="10" priority="24" operator="greaterThan">
      <formula>50</formula>
    </cfRule>
  </conditionalFormatting>
  <conditionalFormatting sqref="M8:M35 T8:T35 F8:F37 U35">
    <cfRule type="cellIs" dxfId="9" priority="26" operator="greaterThan">
      <formula>20</formula>
    </cfRule>
  </conditionalFormatting>
  <conditionalFormatting sqref="Q8:Q35 J8:J37">
    <cfRule type="cellIs" dxfId="8" priority="25" operator="greaterThan">
      <formula>150</formula>
    </cfRule>
  </conditionalFormatting>
  <conditionalFormatting sqref="U8:V9 G8:G35 N8:N35 V9:V35 U10:U35">
    <cfRule type="cellIs" dxfId="7" priority="23" operator="greaterThan">
      <formula>100</formula>
    </cfRule>
  </conditionalFormatting>
  <conditionalFormatting sqref="Y8:Y35">
    <cfRule type="cellIs" dxfId="6" priority="2" operator="greaterThan">
      <formula>50</formula>
    </cfRule>
  </conditionalFormatting>
  <conditionalFormatting sqref="AB6:AB7">
    <cfRule type="cellIs" dxfId="5" priority="32" operator="equal">
      <formula>"F"</formula>
    </cfRule>
  </conditionalFormatting>
  <pageMargins left="0" right="0" top="0" bottom="0" header="0" footer="0"/>
  <pageSetup paperSize="5" scale="9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L29"/>
  <sheetViews>
    <sheetView zoomScale="115" zoomScaleNormal="115" workbookViewId="0">
      <selection activeCell="P6" sqref="P6"/>
    </sheetView>
  </sheetViews>
  <sheetFormatPr defaultRowHeight="15"/>
  <cols>
    <col min="1" max="1" width="2.7109375" customWidth="1"/>
    <col min="2" max="2" width="20.28515625" customWidth="1"/>
    <col min="4" max="4" width="6.42578125" customWidth="1"/>
    <col min="5" max="5" width="10" customWidth="1"/>
    <col min="6" max="6" width="6.85546875" customWidth="1"/>
    <col min="7" max="7" width="6.7109375" customWidth="1"/>
    <col min="8" max="8" width="7.140625" customWidth="1"/>
    <col min="9" max="9" width="6.85546875" customWidth="1"/>
    <col min="10" max="11" width="6.28515625" customWidth="1"/>
    <col min="12" max="12" width="8.85546875" customWidth="1"/>
  </cols>
  <sheetData>
    <row r="1" spans="2:12" ht="30" customHeight="1">
      <c r="B1" s="85" t="s">
        <v>49</v>
      </c>
      <c r="C1" s="85"/>
      <c r="D1" s="85"/>
      <c r="E1" s="85"/>
      <c r="F1" s="85"/>
      <c r="G1" s="85"/>
      <c r="H1" s="85"/>
      <c r="I1" s="85"/>
      <c r="J1" s="85"/>
      <c r="K1" s="85"/>
      <c r="L1" s="85"/>
    </row>
    <row r="2" spans="2:12" ht="30" customHeight="1"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</row>
    <row r="3" spans="2:12" ht="30" customHeight="1"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</row>
    <row r="4" spans="2:12" ht="30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</row>
    <row r="5" spans="2:12" ht="30" customHeight="1"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2:12" s="16" customFormat="1" ht="24.95" customHeight="1">
      <c r="B6" s="17" t="s">
        <v>43</v>
      </c>
      <c r="C6" s="83" t="str">
        <f>IFERROR(VLOOKUP(I8,'1st_Semeter'!B$6:AG$35,2,0),"ENTER RIGHT ROLL")</f>
        <v xml:space="preserve">Md. Rafi Ahmed </v>
      </c>
      <c r="D6" s="83"/>
      <c r="E6" s="83"/>
      <c r="F6" s="28"/>
      <c r="G6" s="82" t="s">
        <v>44</v>
      </c>
      <c r="H6" s="82"/>
      <c r="I6" s="86" t="s">
        <v>51</v>
      </c>
      <c r="J6" s="83"/>
      <c r="K6" s="83"/>
      <c r="L6" s="83"/>
    </row>
    <row r="7" spans="2:12" s="16" customFormat="1" ht="24.95" customHeight="1">
      <c r="B7" s="17" t="s">
        <v>40</v>
      </c>
      <c r="C7" s="83" t="str">
        <f>IFERROR(VLOOKUP(I8,'1st_Semeter'!B$6:AG$35,3,0),"")</f>
        <v xml:space="preserve">Md. Abdul Malak </v>
      </c>
      <c r="D7" s="83"/>
      <c r="E7" s="83"/>
      <c r="F7" s="29"/>
      <c r="G7" s="82" t="s">
        <v>45</v>
      </c>
      <c r="H7" s="82"/>
      <c r="I7" s="83">
        <f>'1st_Semeter'!S5</f>
        <v>0</v>
      </c>
      <c r="J7" s="83"/>
      <c r="K7" s="83"/>
      <c r="L7" s="83"/>
    </row>
    <row r="8" spans="2:12" s="16" customFormat="1" ht="24.95" customHeight="1">
      <c r="B8" s="17" t="s">
        <v>38</v>
      </c>
      <c r="C8" s="83" t="str">
        <f>IFERROR(VLOOKUP(I8,'1st_Semeter'!B$6:AG$35,4,0),"")</f>
        <v xml:space="preserve">Mt. Aysha Siddika </v>
      </c>
      <c r="D8" s="83"/>
      <c r="E8" s="83"/>
      <c r="F8" s="29"/>
      <c r="G8" s="82" t="s">
        <v>47</v>
      </c>
      <c r="H8" s="82"/>
      <c r="I8" s="84">
        <v>19</v>
      </c>
      <c r="J8" s="84"/>
      <c r="K8" s="84"/>
      <c r="L8" s="84"/>
    </row>
    <row r="9" spans="2:12" s="16" customFormat="1" ht="24.95" customHeight="1">
      <c r="B9" s="17" t="s">
        <v>41</v>
      </c>
      <c r="C9" s="83" t="str">
        <f>'1st_Semeter'!H5</f>
        <v>TIA RANI SHAHA</v>
      </c>
      <c r="D9" s="83"/>
      <c r="E9" s="83"/>
      <c r="F9" s="82" t="s">
        <v>48</v>
      </c>
      <c r="G9" s="82"/>
      <c r="H9" s="82"/>
      <c r="I9" s="86" t="str">
        <f>'1st_Semeter'!Y5</f>
        <v>27</v>
      </c>
      <c r="J9" s="83"/>
      <c r="K9" s="83"/>
      <c r="L9" s="83"/>
    </row>
    <row r="10" spans="2:12" s="16" customFormat="1" ht="24.95" customHeight="1">
      <c r="B10" s="17" t="s">
        <v>42</v>
      </c>
      <c r="C10" s="73" t="str">
        <f>'1st_Semeter'!J5</f>
        <v>01616-461236</v>
      </c>
      <c r="D10" s="73"/>
      <c r="E10" s="73"/>
      <c r="F10" s="18"/>
      <c r="G10" s="18"/>
      <c r="H10" s="18"/>
      <c r="I10" s="18"/>
      <c r="J10" s="18"/>
      <c r="K10" s="18"/>
      <c r="L10" s="18"/>
    </row>
    <row r="11" spans="2:12" s="15" customFormat="1" ht="50.25" customHeight="1">
      <c r="B11" s="75" t="s">
        <v>14</v>
      </c>
      <c r="C11" s="75"/>
      <c r="D11" s="75"/>
      <c r="E11" s="74" t="s">
        <v>15</v>
      </c>
      <c r="F11" s="76" t="s">
        <v>16</v>
      </c>
      <c r="G11" s="79" t="s">
        <v>34</v>
      </c>
      <c r="H11" s="70" t="s">
        <v>17</v>
      </c>
      <c r="I11" s="74" t="s">
        <v>18</v>
      </c>
      <c r="J11" s="75" t="s">
        <v>4</v>
      </c>
      <c r="K11" s="74" t="s">
        <v>33</v>
      </c>
      <c r="L11" s="75" t="s">
        <v>8</v>
      </c>
    </row>
    <row r="12" spans="2:12" s="15" customFormat="1" ht="46.5" customHeight="1">
      <c r="B12" s="75"/>
      <c r="C12" s="75"/>
      <c r="D12" s="75"/>
      <c r="E12" s="74"/>
      <c r="F12" s="77"/>
      <c r="G12" s="80"/>
      <c r="H12" s="71"/>
      <c r="I12" s="74"/>
      <c r="J12" s="75"/>
      <c r="K12" s="74"/>
      <c r="L12" s="75"/>
    </row>
    <row r="13" spans="2:12" s="15" customFormat="1" ht="46.5" customHeight="1">
      <c r="B13" s="75"/>
      <c r="C13" s="75"/>
      <c r="D13" s="75"/>
      <c r="E13" s="74"/>
      <c r="F13" s="78"/>
      <c r="G13" s="81"/>
      <c r="H13" s="72"/>
      <c r="I13" s="74"/>
      <c r="J13" s="75"/>
      <c r="K13" s="74"/>
      <c r="L13" s="75"/>
    </row>
    <row r="14" spans="2:12" ht="35.1" customHeight="1">
      <c r="B14" s="90" t="s">
        <v>32</v>
      </c>
      <c r="C14" s="90"/>
      <c r="D14" s="90"/>
      <c r="E14" s="19">
        <v>100</v>
      </c>
      <c r="F14" s="20">
        <f>IFERROR(VLOOKUP(I$8,'1st_Semeter'!B$6:AG$35,5,0),"")</f>
        <v>15</v>
      </c>
      <c r="G14" s="20">
        <f>IFERROR(VLOOKUP(I$8,'1st_Semeter'!B$6:AG$35,6,0),"")</f>
        <v>43</v>
      </c>
      <c r="H14" s="98">
        <f>IFERROR(VLOOKUP(I$8,'1st_Semeter'!B$6:AG$35,9,0),"")</f>
        <v>90</v>
      </c>
      <c r="I14" s="98">
        <f>'1st_Semeter'!L8</f>
        <v>149</v>
      </c>
      <c r="J14" s="90">
        <f>IFERROR(VLOOKUP(I$8,'1st_Semeter'!B$6:AG$35,10,0),"")</f>
        <v>3.5</v>
      </c>
      <c r="K14" s="92" t="str">
        <f>IF(J14="F","F",IF(J14&lt;2.5,"D",IF(J14&lt;3,"C",IF(J14&lt;3.5,"B",IF(J14&lt;4,"A-",IF(J14&lt;5,"A","A+"))))))</f>
        <v>A-</v>
      </c>
      <c r="L14" s="91"/>
    </row>
    <row r="15" spans="2:12" ht="35.1" customHeight="1">
      <c r="B15" s="90" t="s">
        <v>31</v>
      </c>
      <c r="C15" s="90"/>
      <c r="D15" s="90"/>
      <c r="E15" s="19">
        <v>50</v>
      </c>
      <c r="F15" s="20">
        <f>IFERROR(VLOOKUP(I$8,'1st_Semeter'!B$6:AG$35,7,0),"")</f>
        <v>10</v>
      </c>
      <c r="G15" s="20">
        <f>IFERROR(VLOOKUP(I$8,'1st_Semeter'!B$6:AG$35,8,0),"")</f>
        <v>22</v>
      </c>
      <c r="H15" s="98" t="str">
        <f>IFERROR(VLOOKUP(J$8,'1st_Semeter'!C$6:AG$33,7,0),"")</f>
        <v/>
      </c>
      <c r="I15" s="98"/>
      <c r="J15" s="90" t="str">
        <f>IFERROR(VLOOKUP(L$8,'1st_Semeter'!E$6:AG$33,7,0),"")</f>
        <v/>
      </c>
      <c r="K15" s="93"/>
      <c r="L15" s="91"/>
    </row>
    <row r="16" spans="2:12" ht="35.1" customHeight="1">
      <c r="B16" s="90" t="s">
        <v>10</v>
      </c>
      <c r="C16" s="90"/>
      <c r="D16" s="90"/>
      <c r="E16" s="19">
        <v>100</v>
      </c>
      <c r="F16" s="20">
        <f>IFERROR(VLOOKUP(I$8,'1st_Semeter'!B$6:AG$35,12,0),"")</f>
        <v>20</v>
      </c>
      <c r="G16" s="20">
        <f>IFERROR(VLOOKUP(I$8,'1st_Semeter'!B$6:AG$35,13,0),"")</f>
        <v>78</v>
      </c>
      <c r="H16" s="98">
        <f>IFERROR(VLOOKUP(I$8,'1st_Semeter'!B$6:AG$35,16,0),"")</f>
        <v>135</v>
      </c>
      <c r="I16" s="98">
        <f>'1st_Semeter'!S8</f>
        <v>150</v>
      </c>
      <c r="J16" s="90">
        <f>IFERROR(VLOOKUP(I$8,'1st_Semeter'!B$6:AG$35,17,0),"")</f>
        <v>5</v>
      </c>
      <c r="K16" s="92" t="str">
        <f>IF(J16="F","F",IF(J16&lt;2.5,"D",IF(J16&lt;3,"C",IF(J16&lt;3.5,"B",IF(J16&lt;4,"A-",IF(J16&lt;5,"A","A+"))))))</f>
        <v>A+</v>
      </c>
      <c r="L16" s="91"/>
    </row>
    <row r="17" spans="2:12" ht="35.1" customHeight="1">
      <c r="B17" s="90" t="s">
        <v>11</v>
      </c>
      <c r="C17" s="90"/>
      <c r="D17" s="90"/>
      <c r="E17" s="19">
        <v>50</v>
      </c>
      <c r="F17" s="20">
        <f>IFERROR(VLOOKUP(I$8,'1st_Semeter'!B$6:AG$35,14,0),"")</f>
        <v>10</v>
      </c>
      <c r="G17" s="20">
        <f>IFERROR(VLOOKUP(I$8,'1st_Semeter'!B$6:AG$35,15,0),"")</f>
        <v>27</v>
      </c>
      <c r="H17" s="98" t="str">
        <f>IFERROR(VLOOKUP(J$8,'1st_Semeter'!C$6:AG$33,7,0),"")</f>
        <v/>
      </c>
      <c r="I17" s="98"/>
      <c r="J17" s="90" t="str">
        <f>IFERROR(VLOOKUP(L$8,'1st_Semeter'!E$6:AG$33,7,0),"")</f>
        <v/>
      </c>
      <c r="K17" s="93"/>
      <c r="L17" s="91"/>
    </row>
    <row r="18" spans="2:12" ht="35.1" customHeight="1">
      <c r="B18" s="90" t="s">
        <v>12</v>
      </c>
      <c r="C18" s="90"/>
      <c r="D18" s="90"/>
      <c r="E18" s="19">
        <v>100</v>
      </c>
      <c r="F18" s="20">
        <f>IFERROR(VLOOKUP(I$8,'1st_Semeter'!B$6:AG$35,19,0),"")</f>
        <v>20</v>
      </c>
      <c r="G18" s="20">
        <f>IFERROR(VLOOKUP(I$8,'1st_Semeter'!B$6:AG$35,20,0),"")</f>
        <v>78</v>
      </c>
      <c r="H18" s="20">
        <f>IFERROR(VLOOKUP(I$8,'1st_Semeter'!B$6:AG$35,21,0),"")</f>
        <v>98</v>
      </c>
      <c r="I18" s="20">
        <f>'1st_Semeter'!X8</f>
        <v>100</v>
      </c>
      <c r="J18" s="19">
        <f>IFERROR(VLOOKUP(I$8,'1st_Semeter'!B$6:AG$35,22,0),"")</f>
        <v>5</v>
      </c>
      <c r="K18" s="19" t="str">
        <f t="shared" ref="K18:K19" si="0">IF(J18="F","F",IF(J18&lt;2.5,"D",IF(J18&lt;3,"C",IF(J18&lt;3.5,"B",IF(J18&lt;4,"A-",IF(J18&lt;5,"A","A+"))))))</f>
        <v>A+</v>
      </c>
      <c r="L18" s="91"/>
    </row>
    <row r="19" spans="2:12" ht="35.1" customHeight="1">
      <c r="B19" s="94" t="s">
        <v>46</v>
      </c>
      <c r="C19" s="94"/>
      <c r="D19" s="94"/>
      <c r="E19" s="19">
        <v>50</v>
      </c>
      <c r="F19" s="20" t="str">
        <f>IFERROR(VLOOKUP(I$8,'1st_Semeter'!B$6:AG$35,39,0),"")</f>
        <v/>
      </c>
      <c r="G19" s="20" t="str">
        <f>IFERROR(VLOOKUP(I$8,'1st_Semeter'!B$6:AG$35,44,0),"")</f>
        <v/>
      </c>
      <c r="H19" s="20" t="str">
        <f>IFERROR(VLOOKUP(I$8,'1st_Semeter'!B$6:AG$35,44,0),"")</f>
        <v/>
      </c>
      <c r="I19" s="20">
        <f>'1st_Semeter'!AA8</f>
        <v>45</v>
      </c>
      <c r="J19" s="19" t="str">
        <f>IFERROR(VLOOKUP(I$8,'1st_Semeter'!B$6:AG$35,45,0),"")</f>
        <v/>
      </c>
      <c r="K19" s="19" t="str">
        <f t="shared" si="0"/>
        <v>A+</v>
      </c>
      <c r="L19" s="91"/>
    </row>
    <row r="20" spans="2:12" ht="35.1" customHeight="1">
      <c r="B20" s="95" t="s">
        <v>19</v>
      </c>
      <c r="C20" s="95"/>
      <c r="D20" s="95"/>
      <c r="E20" s="19">
        <f>SUM(E14:E19)</f>
        <v>450</v>
      </c>
      <c r="F20" s="96"/>
      <c r="G20" s="96"/>
      <c r="H20" s="20">
        <f>SUM(H14:H18)</f>
        <v>323</v>
      </c>
      <c r="I20" s="97"/>
      <c r="J20" s="97"/>
      <c r="K20" s="21"/>
      <c r="L20" s="91"/>
    </row>
    <row r="21" spans="2:12">
      <c r="B21" s="22"/>
      <c r="C21" s="22"/>
      <c r="D21" s="22"/>
      <c r="E21" s="23"/>
      <c r="F21" s="24"/>
      <c r="G21" s="25"/>
      <c r="H21" s="24"/>
      <c r="I21" s="24"/>
      <c r="J21" s="24"/>
      <c r="K21" s="24"/>
      <c r="L21" s="24"/>
    </row>
    <row r="22" spans="2:12" ht="27" customHeight="1">
      <c r="B22" s="87" t="s">
        <v>35</v>
      </c>
      <c r="C22" s="87"/>
      <c r="D22" s="87"/>
      <c r="E22" s="26">
        <f>IFERROR(VLOOKUP(I$8,'1st_Semeter'!B$6:AG$35,31,0),"")</f>
        <v>37</v>
      </c>
      <c r="F22" s="87" t="s">
        <v>36</v>
      </c>
      <c r="G22" s="87"/>
      <c r="H22" s="87"/>
      <c r="I22" s="87"/>
      <c r="J22" s="26">
        <f>IFERROR(VLOOKUP(I8,'1st_Semeter'!B$6:AG$35,30,0),"")</f>
        <v>15</v>
      </c>
      <c r="K22" s="26"/>
      <c r="L22" s="24"/>
    </row>
    <row r="23" spans="2:12" ht="22.5" customHeight="1">
      <c r="B23" s="88" t="s">
        <v>37</v>
      </c>
      <c r="C23" s="88"/>
      <c r="D23" s="88"/>
      <c r="E23" s="89" t="str">
        <f>IFERROR(VLOOKUP(I8,'1st_Semeter'!B$6:AG$35,32,0),"")</f>
        <v>GOOD</v>
      </c>
      <c r="F23" s="89"/>
      <c r="G23" s="89"/>
      <c r="H23" s="89"/>
      <c r="I23" s="24"/>
      <c r="J23" s="24"/>
      <c r="K23" s="24"/>
      <c r="L23" s="24"/>
    </row>
    <row r="24" spans="2:12" ht="22.5" customHeight="1">
      <c r="B24" s="44"/>
      <c r="C24" s="44"/>
      <c r="D24" s="44"/>
      <c r="E24" s="45"/>
      <c r="F24" s="45"/>
      <c r="G24" s="45"/>
      <c r="H24" s="45"/>
      <c r="I24" s="24"/>
      <c r="J24" s="24"/>
      <c r="K24" s="24"/>
      <c r="L24" s="24"/>
    </row>
    <row r="25" spans="2:12" ht="22.5" customHeight="1">
      <c r="B25" s="44"/>
      <c r="C25" s="44"/>
      <c r="D25" s="44"/>
      <c r="E25" s="45"/>
      <c r="F25" s="45"/>
      <c r="G25" s="45"/>
      <c r="H25" s="45"/>
      <c r="I25" s="24"/>
      <c r="J25" s="24"/>
      <c r="K25" s="24"/>
      <c r="L25" s="24"/>
    </row>
    <row r="26" spans="2:12" ht="18.75" customHeight="1">
      <c r="B26" s="24"/>
      <c r="C26" s="24"/>
      <c r="D26" s="24"/>
      <c r="E26" s="24"/>
      <c r="F26" s="24"/>
      <c r="G26" s="25"/>
      <c r="H26" s="24"/>
      <c r="I26" s="24"/>
      <c r="J26" s="24"/>
      <c r="K26" s="24"/>
      <c r="L26" s="24"/>
    </row>
    <row r="27" spans="2:12" ht="15.75">
      <c r="B27" s="113" t="s">
        <v>137</v>
      </c>
      <c r="D27" s="13"/>
      <c r="E27" s="114" t="s">
        <v>138</v>
      </c>
      <c r="F27" s="114"/>
      <c r="I27" s="13"/>
      <c r="J27" s="116" t="s">
        <v>139</v>
      </c>
      <c r="K27" s="115"/>
    </row>
    <row r="28" spans="2:12"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  <row r="29" spans="2:12">
      <c r="B29" s="24"/>
      <c r="C29" s="24"/>
      <c r="D29" s="24"/>
      <c r="E29" s="24"/>
      <c r="F29" s="24"/>
      <c r="G29" s="25"/>
      <c r="H29" s="24"/>
      <c r="I29" s="24"/>
      <c r="J29" s="24"/>
      <c r="K29" s="24"/>
      <c r="L29" s="24"/>
    </row>
  </sheetData>
  <mergeCells count="46">
    <mergeCell ref="E27:F27"/>
    <mergeCell ref="B15:D15"/>
    <mergeCell ref="H14:H15"/>
    <mergeCell ref="I14:I15"/>
    <mergeCell ref="J14:J15"/>
    <mergeCell ref="B17:D17"/>
    <mergeCell ref="I16:I17"/>
    <mergeCell ref="H16:H17"/>
    <mergeCell ref="J16:J17"/>
    <mergeCell ref="B11:D13"/>
    <mergeCell ref="B22:D22"/>
    <mergeCell ref="F22:I22"/>
    <mergeCell ref="B23:D23"/>
    <mergeCell ref="E23:H23"/>
    <mergeCell ref="B14:D14"/>
    <mergeCell ref="L14:L20"/>
    <mergeCell ref="B16:D16"/>
    <mergeCell ref="B18:D18"/>
    <mergeCell ref="K14:K15"/>
    <mergeCell ref="K16:K17"/>
    <mergeCell ref="B19:D19"/>
    <mergeCell ref="B20:D20"/>
    <mergeCell ref="F20:G20"/>
    <mergeCell ref="I20:J20"/>
    <mergeCell ref="B1:L5"/>
    <mergeCell ref="C6:E6"/>
    <mergeCell ref="G6:H6"/>
    <mergeCell ref="I6:L6"/>
    <mergeCell ref="C7:E7"/>
    <mergeCell ref="G7:H7"/>
    <mergeCell ref="I7:L7"/>
    <mergeCell ref="G8:H8"/>
    <mergeCell ref="C8:E8"/>
    <mergeCell ref="I8:L8"/>
    <mergeCell ref="C9:E9"/>
    <mergeCell ref="F9:H9"/>
    <mergeCell ref="I9:L9"/>
    <mergeCell ref="H11:H13"/>
    <mergeCell ref="C10:E10"/>
    <mergeCell ref="I11:I13"/>
    <mergeCell ref="J11:J13"/>
    <mergeCell ref="L11:L13"/>
    <mergeCell ref="K11:K13"/>
    <mergeCell ref="E11:E13"/>
    <mergeCell ref="F11:F13"/>
    <mergeCell ref="G11:G13"/>
  </mergeCells>
  <conditionalFormatting sqref="C6:E6">
    <cfRule type="containsText" dxfId="4" priority="1" operator="containsText" text="ENTER RIGHT ROLL">
      <formula>NOT(ISERROR(SEARCH("ENTER RIGHT ROLL",C6)))</formula>
    </cfRule>
  </conditionalFormatting>
  <conditionalFormatting sqref="L14:L15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2025-05-15T11:15:06Z</dcterms:modified>
</cp:coreProperties>
</file>