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3015" yWindow="-195" windowWidth="29040" windowHeight="15720"/>
  </bookViews>
  <sheets>
    <sheet name="tabulation sheet" sheetId="1" r:id="rId1"/>
    <sheet name="Result card 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1"/>
  <c r="E29" i="2"/>
  <c r="E30"/>
  <c r="E28"/>
  <c r="I25"/>
  <c r="I24"/>
  <c r="I23"/>
  <c r="I22"/>
  <c r="I21"/>
  <c r="I19"/>
  <c r="I17"/>
  <c r="AH9" i="1" l="1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8"/>
  <c r="AG8"/>
  <c r="AJ11" l="1"/>
  <c r="K17" i="2"/>
  <c r="G19"/>
  <c r="G17"/>
  <c r="F25"/>
  <c r="F24"/>
  <c r="F23"/>
  <c r="F22"/>
  <c r="F21"/>
  <c r="F20"/>
  <c r="F19"/>
  <c r="F18"/>
  <c r="F17"/>
  <c r="J9" i="1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8"/>
  <c r="AJ31" l="1"/>
  <c r="AJ43"/>
  <c r="AJ55"/>
  <c r="O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S8"/>
  <c r="V8"/>
  <c r="Y8"/>
  <c r="AB8"/>
  <c r="AE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11"/>
  <c r="W9"/>
  <c r="W10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O11"/>
  <c r="O12"/>
  <c r="Q12" s="1"/>
  <c r="O13"/>
  <c r="O14"/>
  <c r="O15"/>
  <c r="Q15" s="1"/>
  <c r="O16"/>
  <c r="Q16" s="1"/>
  <c r="O17"/>
  <c r="O18"/>
  <c r="O19"/>
  <c r="Q19" s="1"/>
  <c r="O20"/>
  <c r="Q20" s="1"/>
  <c r="O21"/>
  <c r="O22"/>
  <c r="Q22" s="1"/>
  <c r="O23"/>
  <c r="O24"/>
  <c r="O25"/>
  <c r="O26"/>
  <c r="O27"/>
  <c r="O28"/>
  <c r="Q28" s="1"/>
  <c r="O29"/>
  <c r="O30"/>
  <c r="O31"/>
  <c r="O32"/>
  <c r="O33"/>
  <c r="Q33" s="1"/>
  <c r="O34"/>
  <c r="Q34" s="1"/>
  <c r="O35"/>
  <c r="O36"/>
  <c r="O37"/>
  <c r="O38"/>
  <c r="Q38" s="1"/>
  <c r="O39"/>
  <c r="O40"/>
  <c r="O41"/>
  <c r="O42"/>
  <c r="Q42" s="1"/>
  <c r="O43"/>
  <c r="Q43" s="1"/>
  <c r="O44"/>
  <c r="O45"/>
  <c r="O46"/>
  <c r="O47"/>
  <c r="O48"/>
  <c r="O49"/>
  <c r="Q49" s="1"/>
  <c r="O50"/>
  <c r="O51"/>
  <c r="Q51" s="1"/>
  <c r="O52"/>
  <c r="O53"/>
  <c r="O54"/>
  <c r="Q54" s="1"/>
  <c r="O55"/>
  <c r="Q55" s="1"/>
  <c r="O56"/>
  <c r="O57"/>
  <c r="Q57" s="1"/>
  <c r="O58"/>
  <c r="Q58" s="1"/>
  <c r="O59"/>
  <c r="O60"/>
  <c r="Q60" s="1"/>
  <c r="O61"/>
  <c r="Q61" s="1"/>
  <c r="O9"/>
  <c r="Q9" s="1"/>
  <c r="O10"/>
  <c r="L16"/>
  <c r="AG16" s="1"/>
  <c r="L24"/>
  <c r="L28"/>
  <c r="L36"/>
  <c r="L43"/>
  <c r="L48"/>
  <c r="AG43" l="1"/>
  <c r="AI43" s="1"/>
  <c r="L44"/>
  <c r="AJ44"/>
  <c r="L19"/>
  <c r="AG19" s="1"/>
  <c r="AJ19"/>
  <c r="L31"/>
  <c r="L54"/>
  <c r="AG54" s="1"/>
  <c r="AI54" s="1"/>
  <c r="AJ54"/>
  <c r="L42"/>
  <c r="AG42" s="1"/>
  <c r="AI42" s="1"/>
  <c r="AJ42"/>
  <c r="L30"/>
  <c r="AG30" s="1"/>
  <c r="AJ30"/>
  <c r="L18"/>
  <c r="AJ18"/>
  <c r="L53"/>
  <c r="AJ53"/>
  <c r="L41"/>
  <c r="AJ41"/>
  <c r="L29"/>
  <c r="AJ29"/>
  <c r="L17"/>
  <c r="AG17" s="1"/>
  <c r="AJ17"/>
  <c r="AG28"/>
  <c r="AI28" s="1"/>
  <c r="L52"/>
  <c r="AJ52"/>
  <c r="L40"/>
  <c r="AJ40"/>
  <c r="AJ28"/>
  <c r="AJ16"/>
  <c r="L51"/>
  <c r="AG51" s="1"/>
  <c r="AI51" s="1"/>
  <c r="AJ51"/>
  <c r="AJ8"/>
  <c r="L50"/>
  <c r="AJ50"/>
  <c r="L38"/>
  <c r="AG38" s="1"/>
  <c r="AI38" s="1"/>
  <c r="AJ38"/>
  <c r="L26"/>
  <c r="AJ26"/>
  <c r="L14"/>
  <c r="AJ14"/>
  <c r="L32"/>
  <c r="AJ32"/>
  <c r="L27"/>
  <c r="AJ27"/>
  <c r="L61"/>
  <c r="AG61" s="1"/>
  <c r="AI61" s="1"/>
  <c r="AJ61"/>
  <c r="L49"/>
  <c r="AG49" s="1"/>
  <c r="AI49" s="1"/>
  <c r="AJ49"/>
  <c r="L37"/>
  <c r="AJ37"/>
  <c r="L25"/>
  <c r="AJ25"/>
  <c r="L13"/>
  <c r="AJ13"/>
  <c r="L56"/>
  <c r="AG56" s="1"/>
  <c r="AJ56"/>
  <c r="L39"/>
  <c r="AG39" s="1"/>
  <c r="AJ39"/>
  <c r="AJ60"/>
  <c r="AJ48"/>
  <c r="AJ36"/>
  <c r="AJ24"/>
  <c r="L12"/>
  <c r="AG12" s="1"/>
  <c r="AJ12"/>
  <c r="L20"/>
  <c r="AG20" s="1"/>
  <c r="AJ20"/>
  <c r="L15"/>
  <c r="AG15" s="1"/>
  <c r="AI15" s="1"/>
  <c r="AJ15"/>
  <c r="L59"/>
  <c r="AG59" s="1"/>
  <c r="AI59" s="1"/>
  <c r="AJ59"/>
  <c r="L47"/>
  <c r="AJ47"/>
  <c r="L35"/>
  <c r="AJ35"/>
  <c r="L23"/>
  <c r="AG23" s="1"/>
  <c r="AJ23"/>
  <c r="L11"/>
  <c r="AG36"/>
  <c r="L58"/>
  <c r="AG58" s="1"/>
  <c r="AI58" s="1"/>
  <c r="AJ58"/>
  <c r="L46"/>
  <c r="AG46" s="1"/>
  <c r="AJ46"/>
  <c r="L34"/>
  <c r="AG34" s="1"/>
  <c r="AI34" s="1"/>
  <c r="AJ34"/>
  <c r="L22"/>
  <c r="AG22" s="1"/>
  <c r="AJ22"/>
  <c r="AJ10"/>
  <c r="AJ57"/>
  <c r="L45"/>
  <c r="AJ45"/>
  <c r="L33"/>
  <c r="AG33" s="1"/>
  <c r="AI33" s="1"/>
  <c r="AJ33"/>
  <c r="L21"/>
  <c r="AJ21"/>
  <c r="AJ9"/>
  <c r="AI20"/>
  <c r="AI16"/>
  <c r="AI22"/>
  <c r="AI12"/>
  <c r="AI19"/>
  <c r="L60"/>
  <c r="L57"/>
  <c r="L55"/>
  <c r="Q37"/>
  <c r="Q17"/>
  <c r="Q52"/>
  <c r="Q56"/>
  <c r="Q59"/>
  <c r="Q53"/>
  <c r="Q45"/>
  <c r="Q50"/>
  <c r="Q48"/>
  <c r="Q47"/>
  <c r="Q46"/>
  <c r="Q44"/>
  <c r="Q41"/>
  <c r="Q40"/>
  <c r="Q39"/>
  <c r="Q36"/>
  <c r="Q35"/>
  <c r="Q32"/>
  <c r="Q31"/>
  <c r="Q30"/>
  <c r="Q29"/>
  <c r="Q27"/>
  <c r="Q26"/>
  <c r="Q25"/>
  <c r="Q24"/>
  <c r="Q23"/>
  <c r="Q21"/>
  <c r="Q18"/>
  <c r="Q14"/>
  <c r="Q13"/>
  <c r="Q11"/>
  <c r="Q10"/>
  <c r="D8" i="2"/>
  <c r="D7"/>
  <c r="J10"/>
  <c r="D6"/>
  <c r="J7"/>
  <c r="D9"/>
  <c r="AG55" i="1" l="1"/>
  <c r="AI55" s="1"/>
  <c r="AG50"/>
  <c r="AI46"/>
  <c r="AG60"/>
  <c r="AI60" s="1"/>
  <c r="AG45"/>
  <c r="AI45" s="1"/>
  <c r="AG27"/>
  <c r="AI27" s="1"/>
  <c r="AG29"/>
  <c r="AI29" s="1"/>
  <c r="AI30"/>
  <c r="AI50"/>
  <c r="AG48"/>
  <c r="AI48" s="1"/>
  <c r="AG11"/>
  <c r="AI11" s="1"/>
  <c r="AG13"/>
  <c r="AI13" s="1"/>
  <c r="AG32"/>
  <c r="AI32" s="1"/>
  <c r="AG24"/>
  <c r="AI24" s="1"/>
  <c r="AG31"/>
  <c r="AG25"/>
  <c r="AI25" s="1"/>
  <c r="AG14"/>
  <c r="AI14" s="1"/>
  <c r="AI31"/>
  <c r="AG41"/>
  <c r="AI41" s="1"/>
  <c r="AI35"/>
  <c r="AG53"/>
  <c r="AI53" s="1"/>
  <c r="AI36"/>
  <c r="AI56"/>
  <c r="AG35"/>
  <c r="AH35" s="1"/>
  <c r="AG37"/>
  <c r="AI37" s="1"/>
  <c r="AG26"/>
  <c r="AI26" s="1"/>
  <c r="AG40"/>
  <c r="AI40" s="1"/>
  <c r="AG44"/>
  <c r="AI44" s="1"/>
  <c r="AG57"/>
  <c r="AI57" s="1"/>
  <c r="AI39"/>
  <c r="AG18"/>
  <c r="AI18" s="1"/>
  <c r="AI23"/>
  <c r="AI17"/>
  <c r="AG21"/>
  <c r="AI21" s="1"/>
  <c r="AG47"/>
  <c r="AI47" s="1"/>
  <c r="AG52"/>
  <c r="AI52" s="1"/>
  <c r="H25" i="2"/>
  <c r="E26"/>
  <c r="AF8" i="1"/>
  <c r="J24" i="2"/>
  <c r="AC8" i="1"/>
  <c r="Z8"/>
  <c r="W8"/>
  <c r="J21" i="2"/>
  <c r="T8" i="1"/>
  <c r="L8"/>
  <c r="K8" l="1"/>
  <c r="H17" i="2" s="1"/>
  <c r="L9" i="1"/>
  <c r="L10"/>
  <c r="Q8"/>
  <c r="P8"/>
  <c r="J23" i="2"/>
  <c r="J19"/>
  <c r="J22"/>
  <c r="J25"/>
  <c r="AG10" i="1" l="1"/>
  <c r="AI10" s="1"/>
  <c r="AG9"/>
  <c r="AI8"/>
  <c r="J17" i="2"/>
  <c r="F26"/>
  <c r="H19"/>
  <c r="AI9" i="1" l="1"/>
  <c r="H21" i="2"/>
  <c r="H23"/>
  <c r="H24"/>
  <c r="H22"/>
</calcChain>
</file>

<file path=xl/sharedStrings.xml><?xml version="1.0" encoding="utf-8"?>
<sst xmlns="http://schemas.openxmlformats.org/spreadsheetml/2006/main" count="246" uniqueCount="226">
  <si>
    <t>ROLL</t>
  </si>
  <si>
    <t>NAME</t>
  </si>
  <si>
    <t>GP</t>
  </si>
  <si>
    <t>MATH</t>
  </si>
  <si>
    <t>T-GP</t>
  </si>
  <si>
    <t>GPA</t>
  </si>
  <si>
    <t>SCIENCE</t>
  </si>
  <si>
    <t>BGS</t>
  </si>
  <si>
    <t>ENG-1ST</t>
  </si>
  <si>
    <t>BAN-1</t>
  </si>
  <si>
    <t>BAN-2</t>
  </si>
  <si>
    <t>ENG-2ND</t>
  </si>
  <si>
    <t>ICT</t>
  </si>
  <si>
    <t>TOTAL</t>
  </si>
  <si>
    <t>SL</t>
  </si>
  <si>
    <t>NAME OF SUBJECT</t>
  </si>
  <si>
    <t>FULL
MARKS</t>
  </si>
  <si>
    <t>ENGLISH 2ND</t>
  </si>
  <si>
    <t>MATHEMATICS</t>
  </si>
  <si>
    <t>BANGLA 1ST PAPER</t>
  </si>
  <si>
    <t>BANGLA 2ND PAPER</t>
  </si>
  <si>
    <t>ENGLISH 1ST</t>
  </si>
  <si>
    <t>HIGHEST MARK</t>
  </si>
  <si>
    <t>MOTHER'S NAME</t>
  </si>
  <si>
    <t>TOTAL STUDENT</t>
  </si>
  <si>
    <t>CLASS TEACHER</t>
  </si>
  <si>
    <t>FATHER NAME</t>
  </si>
  <si>
    <t xml:space="preserve">MOTHER NAME </t>
  </si>
  <si>
    <t>SIX</t>
  </si>
  <si>
    <t>BHVR</t>
  </si>
  <si>
    <t>GRAND TOTAL 
MARKS</t>
  </si>
  <si>
    <t>WORKING
DAYS</t>
  </si>
  <si>
    <t xml:space="preserve">            GRAND TOTAL MARKS</t>
  </si>
  <si>
    <t>H
MARK</t>
  </si>
  <si>
    <t>01721-360844</t>
  </si>
  <si>
    <t>GK</t>
  </si>
  <si>
    <t>TOTAL MARKS</t>
  </si>
  <si>
    <t>MOBILE NO.</t>
  </si>
  <si>
    <t>FATHER'S NAME</t>
  </si>
  <si>
    <t>STUDENT NAME</t>
  </si>
  <si>
    <t>CLASS</t>
  </si>
  <si>
    <t>SECTION</t>
  </si>
  <si>
    <t>GRADE</t>
  </si>
  <si>
    <t>STUDENT BEHABIOURS :</t>
  </si>
  <si>
    <t>OBTAINED MARKS</t>
  </si>
  <si>
    <t>POSITION:</t>
  </si>
  <si>
    <t>WORKING DAYS:</t>
  </si>
  <si>
    <t>Co-Oridinator</t>
  </si>
  <si>
    <t xml:space="preserve">Class Teacher </t>
  </si>
  <si>
    <t>Principal (Acting)</t>
  </si>
  <si>
    <r>
      <rPr>
        <sz val="18"/>
        <rFont val="Times New Roman"/>
        <family val="1"/>
      </rPr>
      <t>AMIN CADET RESIDENTIAL ACADEMY</t>
    </r>
    <r>
      <rPr>
        <sz val="16"/>
        <rFont val="Times New Roman"/>
        <family val="1"/>
      </rPr>
      <t xml:space="preserve">
</t>
    </r>
    <r>
      <rPr>
        <sz val="12"/>
        <rFont val="Times New Roman"/>
        <family val="1"/>
      </rPr>
      <t>Amin Model Town, Savar Cantonment, Ashulia, Dhaka-1344.</t>
    </r>
    <r>
      <rPr>
        <sz val="16"/>
        <rFont val="Times New Roman"/>
        <family val="1"/>
      </rPr>
      <t xml:space="preserve">
1st Semester Examination -2025
       Progressive Report </t>
    </r>
  </si>
  <si>
    <r>
      <rPr>
        <sz val="18"/>
        <rFont val="Times New Roman"/>
        <family val="1"/>
      </rPr>
      <t>AMIN CADET RESIDENTIAL ACADEMY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2"/>
        <rFont val="Times New Roman"/>
        <family val="1"/>
      </rPr>
      <t xml:space="preserve">1ST SEMESTER EXAMINATION TABULATION SHEET- 2025
</t>
    </r>
    <r>
      <rPr>
        <sz val="16"/>
        <rFont val="Times New Roman"/>
        <family val="1"/>
      </rPr>
      <t xml:space="preserve"> CLASS - SIX (PROTTASHA &amp; PROGOTI)</t>
    </r>
  </si>
  <si>
    <t>MOBILE NO:</t>
  </si>
  <si>
    <t>CLASS TEACHER :</t>
  </si>
  <si>
    <t>ABUL KASHAM &amp; SADIQUL ISLAM</t>
  </si>
  <si>
    <t>PROTTASHA &amp; PROGOTI</t>
  </si>
  <si>
    <t>TOTAL STUDENT'S :</t>
  </si>
  <si>
    <t>SECTION        :</t>
  </si>
  <si>
    <t xml:space="preserve">CLASS            : </t>
  </si>
  <si>
    <t xml:space="preserve">ROLL              : </t>
  </si>
  <si>
    <t xml:space="preserve">Al Jayed Hasan </t>
  </si>
  <si>
    <t xml:space="preserve">Md. Anisur Rahman </t>
  </si>
  <si>
    <t xml:space="preserve">Mst. Aysa Khatun </t>
  </si>
  <si>
    <t>Takia Hassan</t>
  </si>
  <si>
    <t>Md. Tareak Hassan</t>
  </si>
  <si>
    <t>Mst. Kamrun Nahar</t>
  </si>
  <si>
    <t>Most. Raisa Akter Tonni</t>
  </si>
  <si>
    <t xml:space="preserve">Md. Rashel Ali </t>
  </si>
  <si>
    <t>Mst. Jousna Khatun</t>
  </si>
  <si>
    <t xml:space="preserve">Mst. Sumaiya Yesmin </t>
  </si>
  <si>
    <t xml:space="preserve">Md. Sumon Mia </t>
  </si>
  <si>
    <t xml:space="preserve">Mst. Lucky Khatun </t>
  </si>
  <si>
    <t xml:space="preserve">Arobi Khan </t>
  </si>
  <si>
    <t>Labu Khan</t>
  </si>
  <si>
    <t xml:space="preserve">Ambia Akter </t>
  </si>
  <si>
    <t xml:space="preserve">Sadia Raisa </t>
  </si>
  <si>
    <t>A M A Javed</t>
  </si>
  <si>
    <t>Rashida Akter Shanto</t>
  </si>
  <si>
    <t xml:space="preserve">Nafisa Tabassum Nova </t>
  </si>
  <si>
    <t xml:space="preserve">Md. Awarangzib </t>
  </si>
  <si>
    <t xml:space="preserve">Nazly Begum </t>
  </si>
  <si>
    <t>Arafat Nur Ibrahim</t>
  </si>
  <si>
    <t>Md. Nurul Hoque</t>
  </si>
  <si>
    <t>Mst. Rebeka</t>
  </si>
  <si>
    <t>Mariam</t>
  </si>
  <si>
    <t>Mannan Gazi</t>
  </si>
  <si>
    <t>Mst. Khadiza Begum</t>
  </si>
  <si>
    <t xml:space="preserve">Tashfiya Tabassum </t>
  </si>
  <si>
    <t xml:space="preserve">Abdul Hay </t>
  </si>
  <si>
    <t xml:space="preserve">Sathi Begum </t>
  </si>
  <si>
    <t>Md. Abdullah Adib Saad</t>
  </si>
  <si>
    <t>Md. Kuran Badsha</t>
  </si>
  <si>
    <t>Most. Suchana Akter</t>
  </si>
  <si>
    <t>Suborna Rahman Sristy</t>
  </si>
  <si>
    <t>Fazlu Rahman</t>
  </si>
  <si>
    <t>Sweety Khatun</t>
  </si>
  <si>
    <t>Lamia Mowri</t>
  </si>
  <si>
    <t xml:space="preserve">Md. Moshiur Rahman </t>
  </si>
  <si>
    <t>Fatema Akter Pinky</t>
  </si>
  <si>
    <t xml:space="preserve">Sumaiya Islam Tasen </t>
  </si>
  <si>
    <t xml:space="preserve">Md. Saiful Islam </t>
  </si>
  <si>
    <t xml:space="preserve">Sarmin Begum </t>
  </si>
  <si>
    <t xml:space="preserve">Jinat Hossain Ridi </t>
  </si>
  <si>
    <t xml:space="preserve">Md Zakir Hossain </t>
  </si>
  <si>
    <t xml:space="preserve">Dipty Akter </t>
  </si>
  <si>
    <t xml:space="preserve">Arosh Ifte Safayat </t>
  </si>
  <si>
    <t xml:space="preserve">Md Sumon </t>
  </si>
  <si>
    <t xml:space="preserve">Aysha Akter </t>
  </si>
  <si>
    <t xml:space="preserve">Mohammad Imam Hasan </t>
  </si>
  <si>
    <t>Nishat Ferdous</t>
  </si>
  <si>
    <t xml:space="preserve">Saifa Jahan </t>
  </si>
  <si>
    <t xml:space="preserve">Shafayet Hossain </t>
  </si>
  <si>
    <t>Sabina Yasmin</t>
  </si>
  <si>
    <t xml:space="preserve">Mst. Mim Akteri </t>
  </si>
  <si>
    <t xml:space="preserve">Md. Aminul Islam </t>
  </si>
  <si>
    <t xml:space="preserve">Mst. Naznin Akter </t>
  </si>
  <si>
    <t xml:space="preserve">Md. Tanvir Hasan </t>
  </si>
  <si>
    <t xml:space="preserve">Md. Khademul Islam </t>
  </si>
  <si>
    <t xml:space="preserve">Mst. Sahanaz Parvin </t>
  </si>
  <si>
    <t xml:space="preserve">Jaria Afrin Jerin </t>
  </si>
  <si>
    <t xml:space="preserve">Jahangir Hossain </t>
  </si>
  <si>
    <t xml:space="preserve">Mst. Parvin Akter </t>
  </si>
  <si>
    <t xml:space="preserve">Md. Arian Arafath Hamza </t>
  </si>
  <si>
    <t xml:space="preserve">Md. Abul Kalam Azad </t>
  </si>
  <si>
    <t xml:space="preserve">Mst. Airin Sultana </t>
  </si>
  <si>
    <t>Md. Yeasir Arafat</t>
  </si>
  <si>
    <t>Ashikul Islam</t>
  </si>
  <si>
    <t>Balay Naznin</t>
  </si>
  <si>
    <t xml:space="preserve">Md. Nihan Ahammed </t>
  </si>
  <si>
    <t xml:space="preserve">Md. Jowel Rana </t>
  </si>
  <si>
    <t xml:space="preserve">Nadia Akter </t>
  </si>
  <si>
    <t>Md. Abdullah All Tassen</t>
  </si>
  <si>
    <t>Md. Rezaul Karim</t>
  </si>
  <si>
    <t>Mst. Shefali Khatun</t>
  </si>
  <si>
    <t>Jarir Mahmud Tazbih</t>
  </si>
  <si>
    <t>Md. Zia Uddin Bablu</t>
  </si>
  <si>
    <t>Taslima Akter</t>
  </si>
  <si>
    <t xml:space="preserve">Khatune Jannat Poroshmoni </t>
  </si>
  <si>
    <t xml:space="preserve">Md. Mizanur Rahman </t>
  </si>
  <si>
    <t xml:space="preserve">Al Mosaddeka </t>
  </si>
  <si>
    <t>Farzana Akter Mim</t>
  </si>
  <si>
    <t xml:space="preserve">Monir Hossain </t>
  </si>
  <si>
    <t xml:space="preserve">Mst Mayna Begum </t>
  </si>
  <si>
    <t>Arowa Sneha</t>
  </si>
  <si>
    <t xml:space="preserve">Md. Abdus Shamad </t>
  </si>
  <si>
    <t xml:space="preserve">Sabina Easmin </t>
  </si>
  <si>
    <t xml:space="preserve">Samiya  Islam Nuha </t>
  </si>
  <si>
    <t xml:space="preserve">Sayed </t>
  </si>
  <si>
    <t xml:space="preserve">Mst. Sumi </t>
  </si>
  <si>
    <t xml:space="preserve">Sayed Zihadur Rahman </t>
  </si>
  <si>
    <t xml:space="preserve">Sayed Mustafizur Rahman </t>
  </si>
  <si>
    <t xml:space="preserve">Mishu Aktar </t>
  </si>
  <si>
    <t>Mst. Moon</t>
  </si>
  <si>
    <t>Mohammad Younus Bepary</t>
  </si>
  <si>
    <t>Mst. Sharmila</t>
  </si>
  <si>
    <t>S.R. Imran</t>
  </si>
  <si>
    <t>Md. Shariful Islam</t>
  </si>
  <si>
    <t xml:space="preserve">Mst. Eti Akter Suma </t>
  </si>
  <si>
    <t xml:space="preserve">Redwan Reja Rafi </t>
  </si>
  <si>
    <t xml:space="preserve">Selim Reja </t>
  </si>
  <si>
    <t xml:space="preserve">Liza Akhter Chumki </t>
  </si>
  <si>
    <t xml:space="preserve">Rafit Sheikh </t>
  </si>
  <si>
    <t xml:space="preserve">Md Lokman Sheikh </t>
  </si>
  <si>
    <t xml:space="preserve">Rabeya Akter Reba </t>
  </si>
  <si>
    <t xml:space="preserve">Jasiah Mehjabin </t>
  </si>
  <si>
    <t xml:space="preserve">Md. Auwal Hossain </t>
  </si>
  <si>
    <t xml:space="preserve">Anjuman Ara </t>
  </si>
  <si>
    <t xml:space="preserve">Mariam Islam </t>
  </si>
  <si>
    <t xml:space="preserve">Md. Ali Imran </t>
  </si>
  <si>
    <t xml:space="preserve">Mst. Mina Khatun </t>
  </si>
  <si>
    <t>Yasin Arafat</t>
  </si>
  <si>
    <t xml:space="preserve">Mozibar </t>
  </si>
  <si>
    <t>Mst. Asma Akter</t>
  </si>
  <si>
    <t xml:space="preserve">Md. Saffan Sadi </t>
  </si>
  <si>
    <t xml:space="preserve">Md. Mukter Hossain </t>
  </si>
  <si>
    <t xml:space="preserve">Mst. Shimlan Sultana </t>
  </si>
  <si>
    <t xml:space="preserve">Md Hamim Hossain </t>
  </si>
  <si>
    <t xml:space="preserve">Md Mahabub Alam </t>
  </si>
  <si>
    <t xml:space="preserve">Hira Aktar </t>
  </si>
  <si>
    <t xml:space="preserve">Zihad Hossain </t>
  </si>
  <si>
    <t xml:space="preserve">Md. Akter Hossain </t>
  </si>
  <si>
    <t xml:space="preserve">Mitu Akter </t>
  </si>
  <si>
    <t xml:space="preserve">Samiul Islam </t>
  </si>
  <si>
    <t xml:space="preserve">Md. Biplob Miah </t>
  </si>
  <si>
    <t xml:space="preserve">Sabina </t>
  </si>
  <si>
    <t xml:space="preserve">Kashfia Jannat </t>
  </si>
  <si>
    <t xml:space="preserve">Kawsar Ahmmed </t>
  </si>
  <si>
    <t xml:space="preserve">Srabany Akter Bilkis </t>
  </si>
  <si>
    <t xml:space="preserve">Shoyeb Ahmed Adil </t>
  </si>
  <si>
    <t xml:space="preserve">Md Hasnat Ullah </t>
  </si>
  <si>
    <t xml:space="preserve">Sharna Akter </t>
  </si>
  <si>
    <t xml:space="preserve">Kazi Nayem Islam </t>
  </si>
  <si>
    <t xml:space="preserve">Kazi Kayum </t>
  </si>
  <si>
    <t xml:space="preserve">Mst. Nasima Akter </t>
  </si>
  <si>
    <t xml:space="preserve">Md. Emon </t>
  </si>
  <si>
    <t xml:space="preserve">Md. Abu Hanif </t>
  </si>
  <si>
    <t>Mst. Shomeja Begom</t>
  </si>
  <si>
    <t xml:space="preserve">Md Tayeb </t>
  </si>
  <si>
    <t xml:space="preserve">Md Motin </t>
  </si>
  <si>
    <t xml:space="preserve">Afrin Sultana Ete </t>
  </si>
  <si>
    <t xml:space="preserve">Tawhid Islam </t>
  </si>
  <si>
    <t xml:space="preserve">Md Manik </t>
  </si>
  <si>
    <t xml:space="preserve">Sumi Akter </t>
  </si>
  <si>
    <t xml:space="preserve">Md. Adnan Hossain Yamin </t>
  </si>
  <si>
    <t xml:space="preserve">Md. Sheraj </t>
  </si>
  <si>
    <t xml:space="preserve">Chadni Akter </t>
  </si>
  <si>
    <t xml:space="preserve">Nura Jannat </t>
  </si>
  <si>
    <t xml:space="preserve">Md. Zahangir Alam </t>
  </si>
  <si>
    <t xml:space="preserve">Rahima Khatun </t>
  </si>
  <si>
    <t xml:space="preserve">Odhora Ahmed Prottasha </t>
  </si>
  <si>
    <t xml:space="preserve">Md. Suhaiv Ahmed Sojan </t>
  </si>
  <si>
    <t xml:space="preserve">Labonno Noysin Prova </t>
  </si>
  <si>
    <t>Md. Nabil All Nur</t>
  </si>
  <si>
    <t xml:space="preserve">Md. Alinur Rahman </t>
  </si>
  <si>
    <t xml:space="preserve">Moriam </t>
  </si>
  <si>
    <t>Munna Kazi</t>
  </si>
  <si>
    <t xml:space="preserve">Kazi Mostafijur </t>
  </si>
  <si>
    <t xml:space="preserve">Parvin Begum </t>
  </si>
  <si>
    <t xml:space="preserve">Md. Abdullah Al Rafi </t>
  </si>
  <si>
    <t xml:space="preserve">Md. Ruhul Amin </t>
  </si>
  <si>
    <t xml:space="preserve">Mst. Afroza Aktar </t>
  </si>
  <si>
    <t>CQ</t>
  </si>
  <si>
    <t>MCQ</t>
  </si>
  <si>
    <t xml:space="preserve">Md. Mojammal Hossaen </t>
  </si>
  <si>
    <t>Total</t>
  </si>
  <si>
    <t>RANK</t>
  </si>
</sst>
</file>

<file path=xl/styles.xml><?xml version="1.0" encoding="utf-8"?>
<styleSheet xmlns="http://schemas.openxmlformats.org/spreadsheetml/2006/main">
  <numFmts count="1">
    <numFmt numFmtId="164" formatCode="00000\-00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theme="2" tint="-0.499984740745262"/>
      <name val="Cambria"/>
      <family val="1"/>
      <scheme val="major"/>
    </font>
    <font>
      <sz val="12"/>
      <color theme="2" tint="-0.499984740745262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u/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6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5"/>
      <name val="Zilla Slab SemiBold"/>
      <family val="1"/>
    </font>
    <font>
      <sz val="13"/>
      <name val="Algerian"/>
      <family val="5"/>
    </font>
    <font>
      <sz val="10"/>
      <name val="Times New Roman"/>
      <family val="1"/>
    </font>
    <font>
      <sz val="10"/>
      <name val="Zilla Slab SemiBold"/>
    </font>
    <font>
      <sz val="10"/>
      <color theme="1"/>
      <name val="Zilla Slab SemiBold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2" borderId="0" xfId="0" applyFill="1"/>
    <xf numFmtId="0" fontId="6" fillId="2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0" fontId="5" fillId="2" borderId="0" xfId="0" applyFont="1" applyFill="1"/>
    <xf numFmtId="0" fontId="7" fillId="2" borderId="6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vertical="center"/>
    </xf>
    <xf numFmtId="0" fontId="5" fillId="2" borderId="2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5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7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/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vertical="center"/>
    </xf>
    <xf numFmtId="0" fontId="12" fillId="0" borderId="0" xfId="0" applyFont="1"/>
    <xf numFmtId="0" fontId="12" fillId="2" borderId="0" xfId="0" applyFont="1" applyFill="1"/>
    <xf numFmtId="0" fontId="7" fillId="2" borderId="0" xfId="0" applyFont="1" applyFill="1"/>
    <xf numFmtId="0" fontId="7" fillId="2" borderId="4" xfId="0" applyFont="1" applyFill="1" applyBorder="1"/>
    <xf numFmtId="2" fontId="8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 wrapText="1"/>
    </xf>
    <xf numFmtId="164" fontId="19" fillId="2" borderId="0" xfId="0" applyNumberFormat="1" applyFont="1" applyFill="1" applyAlignment="1">
      <alignment vertical="center"/>
    </xf>
    <xf numFmtId="0" fontId="20" fillId="0" borderId="0" xfId="0" applyFont="1" applyAlignment="1">
      <alignment vertical="center"/>
    </xf>
    <xf numFmtId="0" fontId="19" fillId="2" borderId="4" xfId="0" applyFont="1" applyFill="1" applyBorder="1" applyAlignment="1">
      <alignment vertical="center"/>
    </xf>
    <xf numFmtId="0" fontId="6" fillId="2" borderId="0" xfId="0" applyFont="1" applyFill="1" applyAlignment="1">
      <alignment horizontal="left" vertical="center"/>
    </xf>
    <xf numFmtId="0" fontId="18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2" fillId="2" borderId="13" xfId="0" applyFont="1" applyFill="1" applyBorder="1" applyAlignment="1">
      <alignment horizontal="center" vertical="center" wrapText="1"/>
    </xf>
    <xf numFmtId="0" fontId="4" fillId="2" borderId="0" xfId="0" applyFont="1" applyFill="1"/>
    <xf numFmtId="0" fontId="18" fillId="2" borderId="7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6" fillId="2" borderId="11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center" vertical="center" wrapText="1"/>
    </xf>
    <xf numFmtId="0" fontId="25" fillId="2" borderId="1" xfId="0" applyFont="1" applyFill="1" applyBorder="1" applyAlignment="1">
      <alignment horizontal="center" wrapText="1"/>
    </xf>
    <xf numFmtId="0" fontId="25" fillId="2" borderId="1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3" fillId="2" borderId="11" xfId="0" applyFont="1" applyFill="1" applyBorder="1" applyAlignment="1">
      <alignment horizontal="center" vertical="center" wrapText="1"/>
    </xf>
    <xf numFmtId="0" fontId="22" fillId="2" borderId="13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/>
    </xf>
    <xf numFmtId="49" fontId="6" fillId="2" borderId="0" xfId="0" applyNumberFormat="1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textRotation="90"/>
    </xf>
    <xf numFmtId="0" fontId="7" fillId="2" borderId="12" xfId="0" applyFont="1" applyFill="1" applyBorder="1" applyAlignment="1">
      <alignment horizontal="center" vertical="center" textRotation="90"/>
    </xf>
    <xf numFmtId="0" fontId="7" fillId="2" borderId="6" xfId="0" applyFont="1" applyFill="1" applyBorder="1" applyAlignment="1">
      <alignment horizontal="center" vertical="center" textRotation="90" wrapText="1"/>
    </xf>
    <xf numFmtId="0" fontId="7" fillId="2" borderId="12" xfId="0" applyFont="1" applyFill="1" applyBorder="1" applyAlignment="1">
      <alignment horizontal="center" vertical="center" textRotation="90" wrapText="1"/>
    </xf>
    <xf numFmtId="0" fontId="7" fillId="2" borderId="7" xfId="0" applyFont="1" applyFill="1" applyBorder="1" applyAlignment="1">
      <alignment horizontal="center" vertical="center" textRotation="90" wrapText="1"/>
    </xf>
    <xf numFmtId="2" fontId="7" fillId="2" borderId="1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 textRotation="90" wrapText="1"/>
    </xf>
  </cellXfs>
  <cellStyles count="2">
    <cellStyle name="Normal" xfId="0" builtinId="0"/>
    <cellStyle name="Percent" xfId="1" builtin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297995</xdr:colOff>
      <xdr:row>0</xdr:row>
      <xdr:rowOff>85725</xdr:rowOff>
    </xdr:from>
    <xdr:to>
      <xdr:col>10</xdr:col>
      <xdr:colOff>142609</xdr:colOff>
      <xdr:row>3</xdr:row>
      <xdr:rowOff>235404</xdr:rowOff>
    </xdr:to>
    <xdr:pic>
      <xdr:nvPicPr>
        <xdr:cNvPr id="4" name="Picture 3" descr="ACA-LOGO.png">
          <a:extLst>
            <a:ext uri="{FF2B5EF4-FFF2-40B4-BE49-F238E27FC236}">
              <a16:creationId xmlns="" xmlns:a16="http://schemas.microsoft.com/office/drawing/2014/main" id="{5AD47603-0601-4ADA-89CD-57E7D508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5641520" y="85725"/>
          <a:ext cx="901889" cy="101645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161926</xdr:colOff>
      <xdr:row>0</xdr:row>
      <xdr:rowOff>247650</xdr:rowOff>
    </xdr:from>
    <xdr:to>
      <xdr:col>2</xdr:col>
      <xdr:colOff>375991</xdr:colOff>
      <xdr:row>4</xdr:row>
      <xdr:rowOff>133349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A73C6D61-0210-4E46-B334-4088470E3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04801" y="247650"/>
          <a:ext cx="928440" cy="11429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552450</xdr:colOff>
      <xdr:row>31</xdr:row>
      <xdr:rowOff>219075</xdr:rowOff>
    </xdr:from>
    <xdr:to>
      <xdr:col>6</xdr:col>
      <xdr:colOff>197223</xdr:colOff>
      <xdr:row>33</xdr:row>
      <xdr:rowOff>62294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2EC641CF-37F8-41F1-9624-6FE24E505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8450" y="10106025"/>
          <a:ext cx="806823" cy="319469"/>
        </a:xfrm>
        <a:prstGeom prst="rect">
          <a:avLst/>
        </a:prstGeom>
      </xdr:spPr>
    </xdr:pic>
    <xdr:clientData/>
  </xdr:twoCellAnchor>
  <xdr:twoCellAnchor editAs="oneCell">
    <xdr:from>
      <xdr:col>9</xdr:col>
      <xdr:colOff>28576</xdr:colOff>
      <xdr:row>31</xdr:row>
      <xdr:rowOff>74403</xdr:rowOff>
    </xdr:from>
    <xdr:to>
      <xdr:col>10</xdr:col>
      <xdr:colOff>542928</xdr:colOff>
      <xdr:row>32</xdr:row>
      <xdr:rowOff>218532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6CA9DE9B-AA68-483D-86A7-C240C600F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728663" y="9614316"/>
          <a:ext cx="401304" cy="10953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L89"/>
  <sheetViews>
    <sheetView tabSelected="1" workbookViewId="0">
      <selection activeCell="H37" sqref="H37"/>
    </sheetView>
  </sheetViews>
  <sheetFormatPr defaultColWidth="9.140625" defaultRowHeight="15"/>
  <cols>
    <col min="1" max="1" width="5" customWidth="1"/>
    <col min="2" max="2" width="4.28515625" customWidth="1"/>
    <col min="3" max="3" width="23.42578125" bestFit="1" customWidth="1"/>
    <col min="4" max="4" width="17.42578125" customWidth="1"/>
    <col min="5" max="5" width="19.42578125" bestFit="1" customWidth="1"/>
    <col min="6" max="34" width="5.28515625" customWidth="1"/>
    <col min="35" max="35" width="17.85546875" bestFit="1" customWidth="1"/>
    <col min="36" max="38" width="6.7109375" customWidth="1"/>
  </cols>
  <sheetData>
    <row r="1" spans="1:38" ht="18.75" customHeight="1">
      <c r="A1" s="61" t="s">
        <v>51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</row>
    <row r="2" spans="1:38" ht="24.75" customHeight="1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</row>
    <row r="3" spans="1:38" ht="24.75" customHeight="1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</row>
    <row r="4" spans="1:38" ht="24.75" customHeight="1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</row>
    <row r="5" spans="1:38" s="31" customFormat="1" ht="24.75" customHeight="1">
      <c r="A5" s="28"/>
      <c r="B5" s="29"/>
      <c r="C5" s="27" t="s">
        <v>53</v>
      </c>
      <c r="D5" s="27" t="s">
        <v>54</v>
      </c>
      <c r="E5" s="27" t="s">
        <v>52</v>
      </c>
      <c r="F5" s="30"/>
      <c r="G5" s="32" t="s">
        <v>40</v>
      </c>
      <c r="H5" s="32"/>
      <c r="I5" s="54" t="s">
        <v>28</v>
      </c>
      <c r="J5" s="54"/>
      <c r="K5" s="32" t="s">
        <v>41</v>
      </c>
      <c r="L5" s="32"/>
      <c r="M5" s="32" t="s">
        <v>55</v>
      </c>
      <c r="N5" s="32"/>
      <c r="O5" s="32"/>
      <c r="P5" s="32"/>
      <c r="Q5" s="32"/>
      <c r="R5" s="53" t="s">
        <v>24</v>
      </c>
      <c r="S5" s="53"/>
      <c r="T5" s="53"/>
      <c r="U5" s="29">
        <v>54</v>
      </c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</row>
    <row r="6" spans="1:38" s="44" customFormat="1" ht="21" customHeight="1">
      <c r="A6" s="58" t="s">
        <v>14</v>
      </c>
      <c r="B6" s="58" t="s">
        <v>0</v>
      </c>
      <c r="C6" s="58" t="s">
        <v>1</v>
      </c>
      <c r="D6" s="58" t="s">
        <v>26</v>
      </c>
      <c r="E6" s="58" t="s">
        <v>27</v>
      </c>
      <c r="F6" s="70" t="s">
        <v>9</v>
      </c>
      <c r="G6" s="71"/>
      <c r="H6" s="43"/>
      <c r="I6" s="59" t="s">
        <v>10</v>
      </c>
      <c r="J6" s="58" t="s">
        <v>13</v>
      </c>
      <c r="K6" s="58" t="s">
        <v>33</v>
      </c>
      <c r="L6" s="58" t="s">
        <v>2</v>
      </c>
      <c r="M6" s="72" t="s">
        <v>8</v>
      </c>
      <c r="N6" s="72" t="s">
        <v>11</v>
      </c>
      <c r="O6" s="58" t="s">
        <v>13</v>
      </c>
      <c r="P6" s="58" t="s">
        <v>33</v>
      </c>
      <c r="Q6" s="58" t="s">
        <v>2</v>
      </c>
      <c r="R6" s="59" t="s">
        <v>3</v>
      </c>
      <c r="S6" s="58" t="s">
        <v>33</v>
      </c>
      <c r="T6" s="58" t="s">
        <v>2</v>
      </c>
      <c r="U6" s="59" t="s">
        <v>6</v>
      </c>
      <c r="V6" s="58" t="s">
        <v>33</v>
      </c>
      <c r="W6" s="58" t="s">
        <v>2</v>
      </c>
      <c r="X6" s="59" t="s">
        <v>7</v>
      </c>
      <c r="Y6" s="58" t="s">
        <v>33</v>
      </c>
      <c r="Z6" s="58" t="s">
        <v>2</v>
      </c>
      <c r="AA6" s="59" t="s">
        <v>12</v>
      </c>
      <c r="AB6" s="58" t="s">
        <v>33</v>
      </c>
      <c r="AC6" s="58" t="s">
        <v>2</v>
      </c>
      <c r="AD6" s="59" t="s">
        <v>35</v>
      </c>
      <c r="AE6" s="58" t="s">
        <v>33</v>
      </c>
      <c r="AF6" s="58" t="s">
        <v>2</v>
      </c>
      <c r="AG6" s="58" t="s">
        <v>4</v>
      </c>
      <c r="AH6" s="58" t="s">
        <v>5</v>
      </c>
      <c r="AI6" s="67" t="s">
        <v>29</v>
      </c>
      <c r="AJ6" s="65" t="s">
        <v>30</v>
      </c>
      <c r="AK6" s="68" t="s">
        <v>225</v>
      </c>
      <c r="AL6" s="65" t="s">
        <v>31</v>
      </c>
    </row>
    <row r="7" spans="1:38" s="44" customFormat="1" ht="24.75" customHeight="1">
      <c r="A7" s="58"/>
      <c r="B7" s="58"/>
      <c r="C7" s="58"/>
      <c r="D7" s="58"/>
      <c r="E7" s="58"/>
      <c r="F7" s="35" t="s">
        <v>221</v>
      </c>
      <c r="G7" s="39" t="s">
        <v>222</v>
      </c>
      <c r="H7" s="52" t="s">
        <v>224</v>
      </c>
      <c r="I7" s="60"/>
      <c r="J7" s="58"/>
      <c r="K7" s="58"/>
      <c r="L7" s="58"/>
      <c r="M7" s="72"/>
      <c r="N7" s="72"/>
      <c r="O7" s="58"/>
      <c r="P7" s="58"/>
      <c r="Q7" s="58"/>
      <c r="R7" s="60"/>
      <c r="S7" s="58"/>
      <c r="T7" s="58"/>
      <c r="U7" s="60"/>
      <c r="V7" s="58"/>
      <c r="W7" s="58"/>
      <c r="X7" s="60"/>
      <c r="Y7" s="58"/>
      <c r="Z7" s="58"/>
      <c r="AA7" s="60"/>
      <c r="AB7" s="58"/>
      <c r="AC7" s="58"/>
      <c r="AD7" s="60"/>
      <c r="AE7" s="58"/>
      <c r="AF7" s="58"/>
      <c r="AG7" s="58"/>
      <c r="AH7" s="58"/>
      <c r="AI7" s="67"/>
      <c r="AJ7" s="66"/>
      <c r="AK7" s="69"/>
      <c r="AL7" s="66"/>
    </row>
    <row r="8" spans="1:38" s="1" customFormat="1" ht="24.95" customHeight="1">
      <c r="A8" s="51">
        <v>1</v>
      </c>
      <c r="B8" s="49">
        <v>1</v>
      </c>
      <c r="C8" s="34" t="s">
        <v>60</v>
      </c>
      <c r="D8" s="34" t="s">
        <v>61</v>
      </c>
      <c r="E8" s="34" t="s">
        <v>62</v>
      </c>
      <c r="F8" s="45">
        <v>56</v>
      </c>
      <c r="G8" s="36">
        <v>28</v>
      </c>
      <c r="H8" s="36">
        <f>SUM(F8+G8)</f>
        <v>84</v>
      </c>
      <c r="I8" s="36">
        <v>48</v>
      </c>
      <c r="J8" s="36">
        <f>SUM(H8+I8)</f>
        <v>132</v>
      </c>
      <c r="K8" s="55">
        <f>MAX(J8:J61)</f>
        <v>139</v>
      </c>
      <c r="L8" s="36">
        <f>IF(J8&lt;60,"F",IF(J8&lt;75,2,IF(J8&lt;90,3,IF(J8&lt;105,3.5,IF(J8&lt;120,4,5)))))</f>
        <v>5</v>
      </c>
      <c r="M8" s="36">
        <v>88</v>
      </c>
      <c r="N8" s="36">
        <v>76</v>
      </c>
      <c r="O8" s="36">
        <f>M8+N8</f>
        <v>164</v>
      </c>
      <c r="P8" s="55">
        <f>MAX(O8:O61)</f>
        <v>169</v>
      </c>
      <c r="Q8" s="36">
        <f>IF(O8&lt;80,"F",IF(O8&lt;100,2,IF(O8&lt;120,3,IF(O8&lt;139,3.5,IF(O8&lt;160,4,5)))))</f>
        <v>5</v>
      </c>
      <c r="R8" s="36">
        <v>57</v>
      </c>
      <c r="S8" s="55">
        <f>MAX(R8:R61)</f>
        <v>94</v>
      </c>
      <c r="T8" s="36">
        <f>IF(R8&lt;40,"F",IF(R8&lt;50,2,IF(R8&lt;60,3,IF(R8&lt;70,3.5,IF(R8&lt;80,4,5)))))</f>
        <v>3</v>
      </c>
      <c r="U8" s="36">
        <v>96</v>
      </c>
      <c r="V8" s="55">
        <f>MAX(U8:U61)</f>
        <v>98</v>
      </c>
      <c r="W8" s="36">
        <f>IF(U8&lt;40,"F",IF(U8&lt;50,2,IF(U8&lt;60,3,IF(U8&lt;70,3.5,IF(U8&lt;80,4,5)))))</f>
        <v>5</v>
      </c>
      <c r="X8" s="36">
        <v>96</v>
      </c>
      <c r="Y8" s="55">
        <f>MAX(X8:X61)</f>
        <v>98</v>
      </c>
      <c r="Z8" s="36">
        <f>IF(X8&lt;40,"F",IF(X8&lt;50,2,IF(X8&lt;60,3,IF(X8&lt;70,3.5,IF(X8&lt;80,4,5)))))</f>
        <v>5</v>
      </c>
      <c r="AA8" s="36">
        <v>47</v>
      </c>
      <c r="AB8" s="55">
        <f>MAX(AA8:AA61)</f>
        <v>50</v>
      </c>
      <c r="AC8" s="36">
        <f>IF(AA8&lt;20,"F",IF(AA8&lt;25,2,IF(AA8&lt;30,3,IF(AA8&lt;35,3.5,IF(AA8&lt;40,4,5)))))</f>
        <v>5</v>
      </c>
      <c r="AD8" s="36">
        <v>49</v>
      </c>
      <c r="AE8" s="55">
        <f>MAX(AD8:AD61)</f>
        <v>50</v>
      </c>
      <c r="AF8" s="36">
        <f>IF(AD8&lt;20,"F",IF(AD8&lt;25,2,IF(AD8&lt;30,3,IF(AD8&lt;35,3.5,IF(AD8&lt;40,4,5)))))</f>
        <v>5</v>
      </c>
      <c r="AG8" s="36">
        <f>IF(L8="F","F",IF(Q8="F","F",IF(T8="F","F",IF(W8="F","F",IF(Z8="F","F",IF(AC8="F","F",IF(AF8="F","F",SUM(L8+Q8+T8+W8+Z8+AC8+AF8))))))))</f>
        <v>33</v>
      </c>
      <c r="AH8" s="37">
        <f>IF(AG8="F","F", IF(AG8&gt;=35,5,IF(AG8&lt;35,AG8/7)))</f>
        <v>4.7142857142857144</v>
      </c>
      <c r="AI8" s="38" t="str">
        <f>IF(AH8="F","NEED TO PROGRESS",IF(AH8&gt;=5,"BEST",IF(AH8&gt;=4,"BETTER",IF(AH8&gt;=2,"GOOD"))))</f>
        <v>BETTER</v>
      </c>
      <c r="AJ8" s="39">
        <f>SUM(J8+O8+R8+U8+X8+AD8+AA8)</f>
        <v>641</v>
      </c>
      <c r="AK8" s="39">
        <v>7</v>
      </c>
      <c r="AL8" s="39">
        <v>70</v>
      </c>
    </row>
    <row r="9" spans="1:38" s="1" customFormat="1" ht="24.95" customHeight="1">
      <c r="A9" s="51">
        <v>2</v>
      </c>
      <c r="B9" s="49">
        <v>3</v>
      </c>
      <c r="C9" s="49" t="s">
        <v>63</v>
      </c>
      <c r="D9" s="49" t="s">
        <v>64</v>
      </c>
      <c r="E9" s="49" t="s">
        <v>65</v>
      </c>
      <c r="F9" s="46">
        <v>49</v>
      </c>
      <c r="G9" s="39">
        <v>26</v>
      </c>
      <c r="H9" s="36">
        <f t="shared" ref="H9:H61" si="0">SUM(F9+G9)</f>
        <v>75</v>
      </c>
      <c r="I9" s="39">
        <v>47</v>
      </c>
      <c r="J9" s="36">
        <f t="shared" ref="J9:J61" si="1">SUM(H9+I9)</f>
        <v>122</v>
      </c>
      <c r="K9" s="56"/>
      <c r="L9" s="36">
        <f t="shared" ref="L9:L10" si="2">IF(J9&lt;60,"F",IF(J9&lt;75,2,IF(J9&lt;90,3,IF(J9&lt;105,3.5,IF(J9&lt;120,4,5)))))</f>
        <v>5</v>
      </c>
      <c r="M9" s="36">
        <v>86</v>
      </c>
      <c r="N9" s="36">
        <v>79</v>
      </c>
      <c r="O9" s="36">
        <f t="shared" ref="O9:O10" si="3">M9+N9</f>
        <v>165</v>
      </c>
      <c r="P9" s="56"/>
      <c r="Q9" s="36">
        <f t="shared" ref="Q9:Q10" si="4">IF(O9&lt;80,"F",IF(O9&lt;100,2,IF(O9&lt;120,3,IF(O9&lt;139,3.5,IF(O9&lt;160,4,5)))))</f>
        <v>5</v>
      </c>
      <c r="R9" s="36">
        <v>66</v>
      </c>
      <c r="S9" s="56"/>
      <c r="T9" s="36">
        <f t="shared" ref="T9:T61" si="5">IF(R9&lt;40,"F",IF(R9&lt;50,2,IF(R9&lt;60,3,IF(R9&lt;70,3.5,IF(R9&lt;80,4,5)))))</f>
        <v>3.5</v>
      </c>
      <c r="U9" s="36">
        <v>76</v>
      </c>
      <c r="V9" s="56"/>
      <c r="W9" s="36">
        <f t="shared" ref="W9:W10" si="6">IF(U9&lt;40,"F",IF(U9&lt;50,2,IF(U9&lt;60,3,IF(U9&lt;70,3.5,IF(U9&lt;80,4,5)))))</f>
        <v>4</v>
      </c>
      <c r="X9" s="36">
        <v>84</v>
      </c>
      <c r="Y9" s="56"/>
      <c r="Z9" s="36">
        <f t="shared" ref="Z9:Z61" si="7">IF(X9&lt;40,"F",IF(X9&lt;50,2,IF(X9&lt;60,3,IF(X9&lt;70,3.5,IF(X9&lt;80,4,5)))))</f>
        <v>5</v>
      </c>
      <c r="AA9" s="36">
        <v>41</v>
      </c>
      <c r="AB9" s="56"/>
      <c r="AC9" s="36">
        <f t="shared" ref="AC9:AC61" si="8">IF(AA9&lt;20,"F",IF(AA9&lt;25,2,IF(AA9&lt;30,3,IF(AA9&lt;35,3.5,IF(AA9&lt;40,4,5)))))</f>
        <v>5</v>
      </c>
      <c r="AD9" s="36">
        <v>48</v>
      </c>
      <c r="AE9" s="56"/>
      <c r="AF9" s="36">
        <f t="shared" ref="AF9:AF61" si="9">IF(AD9&lt;20,"F",IF(AD9&lt;25,2,IF(AD9&lt;30,3,IF(AD9&lt;35,3.5,IF(AD9&lt;40,4,5)))))</f>
        <v>5</v>
      </c>
      <c r="AG9" s="36">
        <f t="shared" ref="AG9:AG61" si="10">IF(L9="F","F",IF(Q9="F","F",IF(T9="F","F",IF(W9="F","F",IF(Z9="F","F",IF(AC9="F","F",IF(AF9="F","F",SUM(L9+Q9+T9+W9+Z9+AC9+AF9))))))))</f>
        <v>32.5</v>
      </c>
      <c r="AH9" s="37">
        <f t="shared" ref="AH9:AH61" si="11">IF(AG9="F","F", IF(AG9&gt;=35,5,IF(AG9&lt;35,AG9/7)))</f>
        <v>4.6428571428571432</v>
      </c>
      <c r="AI9" s="38" t="str">
        <f t="shared" ref="AI9:AI61" si="12">IF(AH9="F","NEED TO PROGRESS",IF(AH9&gt;=5,"BEST",IF(AH9&gt;=4,"BETTER",IF(AH9&gt;=2,"GOOD"))))</f>
        <v>BETTER</v>
      </c>
      <c r="AJ9" s="39">
        <f t="shared" ref="AJ9:AJ61" si="13">SUM(J9+O9+R9+U9+X9+AD9+AA9)</f>
        <v>602</v>
      </c>
      <c r="AK9" s="39">
        <v>11</v>
      </c>
      <c r="AL9" s="39">
        <v>71</v>
      </c>
    </row>
    <row r="10" spans="1:38" s="1" customFormat="1" ht="24.95" customHeight="1">
      <c r="A10" s="51">
        <v>3</v>
      </c>
      <c r="B10" s="49">
        <v>4</v>
      </c>
      <c r="C10" s="34" t="s">
        <v>66</v>
      </c>
      <c r="D10" s="34" t="s">
        <v>67</v>
      </c>
      <c r="E10" s="34" t="s">
        <v>68</v>
      </c>
      <c r="F10" s="47">
        <v>60</v>
      </c>
      <c r="G10" s="39">
        <v>29</v>
      </c>
      <c r="H10" s="36">
        <f t="shared" si="0"/>
        <v>89</v>
      </c>
      <c r="I10" s="39">
        <v>46</v>
      </c>
      <c r="J10" s="36">
        <f t="shared" si="1"/>
        <v>135</v>
      </c>
      <c r="K10" s="56"/>
      <c r="L10" s="36">
        <f t="shared" si="2"/>
        <v>5</v>
      </c>
      <c r="M10" s="36">
        <v>83</v>
      </c>
      <c r="N10" s="36">
        <v>86</v>
      </c>
      <c r="O10" s="36">
        <f t="shared" si="3"/>
        <v>169</v>
      </c>
      <c r="P10" s="56"/>
      <c r="Q10" s="36">
        <f t="shared" si="4"/>
        <v>5</v>
      </c>
      <c r="R10" s="36">
        <v>88</v>
      </c>
      <c r="S10" s="56"/>
      <c r="T10" s="36">
        <f t="shared" si="5"/>
        <v>5</v>
      </c>
      <c r="U10" s="36">
        <v>90</v>
      </c>
      <c r="V10" s="56"/>
      <c r="W10" s="36">
        <f t="shared" si="6"/>
        <v>5</v>
      </c>
      <c r="X10" s="36">
        <v>89</v>
      </c>
      <c r="Y10" s="56"/>
      <c r="Z10" s="36">
        <f t="shared" si="7"/>
        <v>5</v>
      </c>
      <c r="AA10" s="36">
        <v>45</v>
      </c>
      <c r="AB10" s="56"/>
      <c r="AC10" s="36">
        <f t="shared" si="8"/>
        <v>5</v>
      </c>
      <c r="AD10" s="36">
        <v>48</v>
      </c>
      <c r="AE10" s="56"/>
      <c r="AF10" s="36">
        <f t="shared" si="9"/>
        <v>5</v>
      </c>
      <c r="AG10" s="36">
        <f t="shared" si="10"/>
        <v>35</v>
      </c>
      <c r="AH10" s="37">
        <f t="shared" si="11"/>
        <v>5</v>
      </c>
      <c r="AI10" s="38" t="str">
        <f t="shared" si="12"/>
        <v>BEST</v>
      </c>
      <c r="AJ10" s="39">
        <f t="shared" si="13"/>
        <v>664</v>
      </c>
      <c r="AK10" s="39">
        <v>4</v>
      </c>
      <c r="AL10" s="39">
        <v>70</v>
      </c>
    </row>
    <row r="11" spans="1:38" s="1" customFormat="1" ht="24.95" customHeight="1">
      <c r="A11" s="51">
        <v>4</v>
      </c>
      <c r="B11" s="49">
        <v>6</v>
      </c>
      <c r="C11" s="34" t="s">
        <v>69</v>
      </c>
      <c r="D11" s="34" t="s">
        <v>70</v>
      </c>
      <c r="E11" s="34" t="s">
        <v>71</v>
      </c>
      <c r="F11" s="47">
        <v>62</v>
      </c>
      <c r="G11" s="39">
        <v>28</v>
      </c>
      <c r="H11" s="36">
        <f t="shared" si="0"/>
        <v>90</v>
      </c>
      <c r="I11" s="39">
        <v>48</v>
      </c>
      <c r="J11" s="36">
        <f t="shared" si="1"/>
        <v>138</v>
      </c>
      <c r="K11" s="56"/>
      <c r="L11" s="36">
        <f t="shared" ref="L11:L61" si="14">IF(J11&lt;60,"F",IF(J11&lt;75,2,IF(J11&lt;90,3,IF(J11&lt;105,3.5,IF(J11&lt;120,4,5)))))</f>
        <v>5</v>
      </c>
      <c r="M11" s="36">
        <v>88</v>
      </c>
      <c r="N11" s="36">
        <v>80</v>
      </c>
      <c r="O11" s="36">
        <f t="shared" ref="O11:O61" si="15">M11+N11</f>
        <v>168</v>
      </c>
      <c r="P11" s="56"/>
      <c r="Q11" s="36">
        <f t="shared" ref="Q11:Q61" si="16">IF(O11&lt;80,"F",IF(O11&lt;100,2,IF(O11&lt;120,3,IF(O11&lt;139,3.5,IF(O11&lt;160,4,5)))))</f>
        <v>5</v>
      </c>
      <c r="R11" s="36">
        <v>82</v>
      </c>
      <c r="S11" s="56"/>
      <c r="T11" s="36">
        <f t="shared" si="5"/>
        <v>5</v>
      </c>
      <c r="U11" s="36">
        <v>88</v>
      </c>
      <c r="V11" s="56"/>
      <c r="W11" s="36">
        <f t="shared" ref="W11" si="17">IF(U11&lt;40,"F",IF(U11&lt;50,2,IF(U11&lt;60,3,IF(U11&lt;70,3.5,IF(U11&lt;80,4,5)))))</f>
        <v>5</v>
      </c>
      <c r="X11" s="36">
        <v>97</v>
      </c>
      <c r="Y11" s="56"/>
      <c r="Z11" s="36">
        <f t="shared" si="7"/>
        <v>5</v>
      </c>
      <c r="AA11" s="36">
        <v>49</v>
      </c>
      <c r="AB11" s="56"/>
      <c r="AC11" s="36">
        <f t="shared" si="8"/>
        <v>5</v>
      </c>
      <c r="AD11" s="36">
        <v>49</v>
      </c>
      <c r="AE11" s="56"/>
      <c r="AF11" s="36">
        <f t="shared" si="9"/>
        <v>5</v>
      </c>
      <c r="AG11" s="36">
        <f t="shared" si="10"/>
        <v>35</v>
      </c>
      <c r="AH11" s="37">
        <f t="shared" si="11"/>
        <v>5</v>
      </c>
      <c r="AI11" s="38" t="str">
        <f t="shared" si="12"/>
        <v>BEST</v>
      </c>
      <c r="AJ11" s="39">
        <f>SUM(J11+O11+R11+U11+X11+AD11+AA11)</f>
        <v>671</v>
      </c>
      <c r="AK11" s="39">
        <v>3</v>
      </c>
      <c r="AL11" s="39">
        <v>68</v>
      </c>
    </row>
    <row r="12" spans="1:38" s="1" customFormat="1" ht="24.95" customHeight="1">
      <c r="A12" s="51">
        <v>5</v>
      </c>
      <c r="B12" s="49">
        <v>7</v>
      </c>
      <c r="C12" s="34" t="s">
        <v>72</v>
      </c>
      <c r="D12" s="34" t="s">
        <v>73</v>
      </c>
      <c r="E12" s="34" t="s">
        <v>74</v>
      </c>
      <c r="F12" s="47">
        <v>51</v>
      </c>
      <c r="G12" s="39">
        <v>29</v>
      </c>
      <c r="H12" s="36">
        <f t="shared" si="0"/>
        <v>80</v>
      </c>
      <c r="I12" s="39">
        <v>45</v>
      </c>
      <c r="J12" s="36">
        <f t="shared" si="1"/>
        <v>125</v>
      </c>
      <c r="K12" s="56"/>
      <c r="L12" s="36">
        <f t="shared" si="14"/>
        <v>5</v>
      </c>
      <c r="M12" s="36">
        <v>84</v>
      </c>
      <c r="N12" s="36">
        <v>84</v>
      </c>
      <c r="O12" s="36">
        <f t="shared" si="15"/>
        <v>168</v>
      </c>
      <c r="P12" s="56"/>
      <c r="Q12" s="36">
        <f t="shared" si="16"/>
        <v>5</v>
      </c>
      <c r="R12" s="36">
        <v>87</v>
      </c>
      <c r="S12" s="56"/>
      <c r="T12" s="36">
        <f t="shared" si="5"/>
        <v>5</v>
      </c>
      <c r="U12" s="36">
        <v>88</v>
      </c>
      <c r="V12" s="56"/>
      <c r="W12" s="36">
        <f t="shared" ref="W12:W61" si="18">IF(U12&lt;40,"F",IF(U12&lt;50,2,IF(U12&lt;60,3,IF(U12&lt;70,3.5,IF(U12&lt;80,4,5)))))</f>
        <v>5</v>
      </c>
      <c r="X12" s="36">
        <v>93</v>
      </c>
      <c r="Y12" s="56"/>
      <c r="Z12" s="36">
        <f t="shared" si="7"/>
        <v>5</v>
      </c>
      <c r="AA12" s="36">
        <v>47</v>
      </c>
      <c r="AB12" s="56"/>
      <c r="AC12" s="36">
        <f t="shared" si="8"/>
        <v>5</v>
      </c>
      <c r="AD12" s="36">
        <v>42</v>
      </c>
      <c r="AE12" s="56"/>
      <c r="AF12" s="36">
        <f t="shared" si="9"/>
        <v>5</v>
      </c>
      <c r="AG12" s="36">
        <f t="shared" si="10"/>
        <v>35</v>
      </c>
      <c r="AH12" s="37">
        <f t="shared" si="11"/>
        <v>5</v>
      </c>
      <c r="AI12" s="38" t="str">
        <f t="shared" si="12"/>
        <v>BEST</v>
      </c>
      <c r="AJ12" s="39">
        <f t="shared" si="13"/>
        <v>650</v>
      </c>
      <c r="AK12" s="39">
        <v>5</v>
      </c>
      <c r="AL12" s="39">
        <v>69</v>
      </c>
    </row>
    <row r="13" spans="1:38" s="1" customFormat="1" ht="24.95" customHeight="1">
      <c r="A13" s="51">
        <v>6</v>
      </c>
      <c r="B13" s="49">
        <v>9</v>
      </c>
      <c r="C13" s="34" t="s">
        <v>75</v>
      </c>
      <c r="D13" s="34" t="s">
        <v>76</v>
      </c>
      <c r="E13" s="34" t="s">
        <v>77</v>
      </c>
      <c r="F13" s="47">
        <v>60</v>
      </c>
      <c r="G13" s="39">
        <v>21</v>
      </c>
      <c r="H13" s="36">
        <f t="shared" si="0"/>
        <v>81</v>
      </c>
      <c r="I13" s="39">
        <v>37</v>
      </c>
      <c r="J13" s="36">
        <f t="shared" si="1"/>
        <v>118</v>
      </c>
      <c r="K13" s="56"/>
      <c r="L13" s="36">
        <f t="shared" si="14"/>
        <v>4</v>
      </c>
      <c r="M13" s="36">
        <v>84</v>
      </c>
      <c r="N13" s="36">
        <v>84</v>
      </c>
      <c r="O13" s="36">
        <f t="shared" si="15"/>
        <v>168</v>
      </c>
      <c r="P13" s="56"/>
      <c r="Q13" s="36">
        <f t="shared" si="16"/>
        <v>5</v>
      </c>
      <c r="R13" s="36">
        <v>40</v>
      </c>
      <c r="S13" s="56"/>
      <c r="T13" s="36">
        <f t="shared" si="5"/>
        <v>2</v>
      </c>
      <c r="U13" s="36">
        <v>72</v>
      </c>
      <c r="V13" s="56"/>
      <c r="W13" s="36">
        <f t="shared" si="18"/>
        <v>4</v>
      </c>
      <c r="X13" s="36">
        <v>89</v>
      </c>
      <c r="Y13" s="56"/>
      <c r="Z13" s="36">
        <f t="shared" si="7"/>
        <v>5</v>
      </c>
      <c r="AA13" s="36">
        <v>43</v>
      </c>
      <c r="AB13" s="56"/>
      <c r="AC13" s="36">
        <f t="shared" si="8"/>
        <v>5</v>
      </c>
      <c r="AD13" s="36">
        <v>45</v>
      </c>
      <c r="AE13" s="56"/>
      <c r="AF13" s="36">
        <f t="shared" si="9"/>
        <v>5</v>
      </c>
      <c r="AG13" s="36">
        <f t="shared" si="10"/>
        <v>30</v>
      </c>
      <c r="AH13" s="37">
        <f t="shared" si="11"/>
        <v>4.2857142857142856</v>
      </c>
      <c r="AI13" s="38" t="str">
        <f t="shared" si="12"/>
        <v>BETTER</v>
      </c>
      <c r="AJ13" s="39">
        <f t="shared" si="13"/>
        <v>575</v>
      </c>
      <c r="AK13" s="39">
        <v>26</v>
      </c>
      <c r="AL13" s="39">
        <v>70</v>
      </c>
    </row>
    <row r="14" spans="1:38" s="1" customFormat="1" ht="24.95" customHeight="1">
      <c r="A14" s="51">
        <v>7</v>
      </c>
      <c r="B14" s="49">
        <v>10</v>
      </c>
      <c r="C14" s="34" t="s">
        <v>78</v>
      </c>
      <c r="D14" s="34" t="s">
        <v>79</v>
      </c>
      <c r="E14" s="34" t="s">
        <v>80</v>
      </c>
      <c r="F14" s="47">
        <v>52</v>
      </c>
      <c r="G14" s="39">
        <v>27</v>
      </c>
      <c r="H14" s="36">
        <f t="shared" si="0"/>
        <v>79</v>
      </c>
      <c r="I14" s="39">
        <v>40</v>
      </c>
      <c r="J14" s="36">
        <f t="shared" si="1"/>
        <v>119</v>
      </c>
      <c r="K14" s="56"/>
      <c r="L14" s="36">
        <f t="shared" si="14"/>
        <v>4</v>
      </c>
      <c r="M14" s="36">
        <v>83</v>
      </c>
      <c r="N14" s="36">
        <v>73</v>
      </c>
      <c r="O14" s="36">
        <f t="shared" si="15"/>
        <v>156</v>
      </c>
      <c r="P14" s="56"/>
      <c r="Q14" s="36">
        <f t="shared" si="16"/>
        <v>4</v>
      </c>
      <c r="R14" s="36">
        <v>45</v>
      </c>
      <c r="S14" s="56"/>
      <c r="T14" s="36">
        <f t="shared" si="5"/>
        <v>2</v>
      </c>
      <c r="U14" s="36">
        <v>68</v>
      </c>
      <c r="V14" s="56"/>
      <c r="W14" s="36">
        <f t="shared" si="18"/>
        <v>3.5</v>
      </c>
      <c r="X14" s="36">
        <v>85</v>
      </c>
      <c r="Y14" s="56"/>
      <c r="Z14" s="36">
        <f t="shared" si="7"/>
        <v>5</v>
      </c>
      <c r="AA14" s="36">
        <v>42</v>
      </c>
      <c r="AB14" s="56"/>
      <c r="AC14" s="36">
        <f t="shared" si="8"/>
        <v>5</v>
      </c>
      <c r="AD14" s="36">
        <v>45</v>
      </c>
      <c r="AE14" s="56"/>
      <c r="AF14" s="36">
        <f t="shared" si="9"/>
        <v>5</v>
      </c>
      <c r="AG14" s="36">
        <f t="shared" si="10"/>
        <v>28.5</v>
      </c>
      <c r="AH14" s="37">
        <f t="shared" si="11"/>
        <v>4.0714285714285712</v>
      </c>
      <c r="AI14" s="38" t="str">
        <f t="shared" si="12"/>
        <v>BETTER</v>
      </c>
      <c r="AJ14" s="39">
        <f t="shared" si="13"/>
        <v>560</v>
      </c>
      <c r="AK14" s="39">
        <v>27</v>
      </c>
      <c r="AL14" s="39">
        <v>70</v>
      </c>
    </row>
    <row r="15" spans="1:38" s="1" customFormat="1" ht="24.95" customHeight="1">
      <c r="A15" s="51">
        <v>8</v>
      </c>
      <c r="B15" s="49">
        <v>13</v>
      </c>
      <c r="C15" s="49" t="s">
        <v>81</v>
      </c>
      <c r="D15" s="49" t="s">
        <v>82</v>
      </c>
      <c r="E15" s="49" t="s">
        <v>83</v>
      </c>
      <c r="F15" s="46">
        <v>47</v>
      </c>
      <c r="G15" s="39">
        <v>26</v>
      </c>
      <c r="H15" s="36">
        <f t="shared" si="0"/>
        <v>73</v>
      </c>
      <c r="I15" s="39">
        <v>45</v>
      </c>
      <c r="J15" s="36">
        <f t="shared" si="1"/>
        <v>118</v>
      </c>
      <c r="K15" s="56"/>
      <c r="L15" s="36">
        <f t="shared" si="14"/>
        <v>4</v>
      </c>
      <c r="M15" s="36">
        <v>74</v>
      </c>
      <c r="N15" s="36">
        <v>56</v>
      </c>
      <c r="O15" s="36">
        <f t="shared" si="15"/>
        <v>130</v>
      </c>
      <c r="P15" s="56"/>
      <c r="Q15" s="36">
        <f>IF(O15&lt;80,"F",IF(O15&lt;100,2,IF(O15&lt;120,3,IF(O15&lt;139,3.5,IF(O15&lt;160,4,5)))))</f>
        <v>3.5</v>
      </c>
      <c r="R15" s="36">
        <v>65</v>
      </c>
      <c r="S15" s="56"/>
      <c r="T15" s="36">
        <f t="shared" si="5"/>
        <v>3.5</v>
      </c>
      <c r="U15" s="36">
        <v>86</v>
      </c>
      <c r="V15" s="56"/>
      <c r="W15" s="36">
        <f t="shared" si="18"/>
        <v>5</v>
      </c>
      <c r="X15" s="36">
        <v>95</v>
      </c>
      <c r="Y15" s="56"/>
      <c r="Z15" s="36">
        <f t="shared" si="7"/>
        <v>5</v>
      </c>
      <c r="AA15" s="36">
        <v>46</v>
      </c>
      <c r="AB15" s="56"/>
      <c r="AC15" s="36">
        <f t="shared" si="8"/>
        <v>5</v>
      </c>
      <c r="AD15" s="36">
        <v>49</v>
      </c>
      <c r="AE15" s="56"/>
      <c r="AF15" s="36">
        <f t="shared" si="9"/>
        <v>5</v>
      </c>
      <c r="AG15" s="36">
        <f t="shared" si="10"/>
        <v>31</v>
      </c>
      <c r="AH15" s="37">
        <f t="shared" si="11"/>
        <v>4.4285714285714288</v>
      </c>
      <c r="AI15" s="38" t="str">
        <f t="shared" si="12"/>
        <v>BETTER</v>
      </c>
      <c r="AJ15" s="39">
        <f t="shared" si="13"/>
        <v>589</v>
      </c>
      <c r="AK15" s="39">
        <v>17</v>
      </c>
      <c r="AL15" s="39">
        <v>65</v>
      </c>
    </row>
    <row r="16" spans="1:38" s="1" customFormat="1" ht="24.95" customHeight="1">
      <c r="A16" s="51">
        <v>9</v>
      </c>
      <c r="B16" s="49">
        <v>14</v>
      </c>
      <c r="C16" s="49" t="s">
        <v>84</v>
      </c>
      <c r="D16" s="49" t="s">
        <v>85</v>
      </c>
      <c r="E16" s="49" t="s">
        <v>86</v>
      </c>
      <c r="F16" s="46">
        <v>46</v>
      </c>
      <c r="G16" s="39">
        <v>28</v>
      </c>
      <c r="H16" s="36">
        <f t="shared" si="0"/>
        <v>74</v>
      </c>
      <c r="I16" s="39">
        <v>46</v>
      </c>
      <c r="J16" s="36">
        <f t="shared" si="1"/>
        <v>120</v>
      </c>
      <c r="K16" s="56"/>
      <c r="L16" s="36">
        <f t="shared" si="14"/>
        <v>5</v>
      </c>
      <c r="M16" s="36">
        <v>88</v>
      </c>
      <c r="N16" s="36">
        <v>81</v>
      </c>
      <c r="O16" s="36">
        <f t="shared" si="15"/>
        <v>169</v>
      </c>
      <c r="P16" s="56"/>
      <c r="Q16" s="36">
        <f t="shared" si="16"/>
        <v>5</v>
      </c>
      <c r="R16" s="36">
        <v>44</v>
      </c>
      <c r="S16" s="56"/>
      <c r="T16" s="36">
        <f t="shared" si="5"/>
        <v>2</v>
      </c>
      <c r="U16" s="36">
        <v>84</v>
      </c>
      <c r="V16" s="56"/>
      <c r="W16" s="36">
        <f t="shared" si="18"/>
        <v>5</v>
      </c>
      <c r="X16" s="36">
        <v>92</v>
      </c>
      <c r="Y16" s="56"/>
      <c r="Z16" s="36">
        <f t="shared" si="7"/>
        <v>5</v>
      </c>
      <c r="AA16" s="36">
        <v>48</v>
      </c>
      <c r="AB16" s="56"/>
      <c r="AC16" s="36">
        <f t="shared" si="8"/>
        <v>5</v>
      </c>
      <c r="AD16" s="36">
        <v>49</v>
      </c>
      <c r="AE16" s="56"/>
      <c r="AF16" s="36">
        <f t="shared" si="9"/>
        <v>5</v>
      </c>
      <c r="AG16" s="36">
        <f t="shared" si="10"/>
        <v>32</v>
      </c>
      <c r="AH16" s="37">
        <f t="shared" si="11"/>
        <v>4.5714285714285712</v>
      </c>
      <c r="AI16" s="38" t="str">
        <f t="shared" si="12"/>
        <v>BETTER</v>
      </c>
      <c r="AJ16" s="39">
        <f t="shared" si="13"/>
        <v>606</v>
      </c>
      <c r="AK16" s="39">
        <v>13</v>
      </c>
      <c r="AL16" s="39">
        <v>70</v>
      </c>
    </row>
    <row r="17" spans="1:38" s="1" customFormat="1" ht="24.95" customHeight="1">
      <c r="A17" s="51">
        <v>10</v>
      </c>
      <c r="B17" s="49">
        <v>15</v>
      </c>
      <c r="C17" s="34" t="s">
        <v>87</v>
      </c>
      <c r="D17" s="34" t="s">
        <v>88</v>
      </c>
      <c r="E17" s="34" t="s">
        <v>89</v>
      </c>
      <c r="F17" s="47">
        <v>42</v>
      </c>
      <c r="G17" s="39">
        <v>29</v>
      </c>
      <c r="H17" s="36">
        <f t="shared" si="0"/>
        <v>71</v>
      </c>
      <c r="I17" s="39">
        <v>48</v>
      </c>
      <c r="J17" s="36">
        <f t="shared" si="1"/>
        <v>119</v>
      </c>
      <c r="K17" s="56"/>
      <c r="L17" s="36">
        <f t="shared" si="14"/>
        <v>4</v>
      </c>
      <c r="M17" s="36">
        <v>87</v>
      </c>
      <c r="N17" s="36">
        <v>77</v>
      </c>
      <c r="O17" s="36">
        <f t="shared" si="15"/>
        <v>164</v>
      </c>
      <c r="P17" s="56"/>
      <c r="Q17" s="36">
        <f t="shared" si="16"/>
        <v>5</v>
      </c>
      <c r="R17" s="36">
        <v>55</v>
      </c>
      <c r="S17" s="56"/>
      <c r="T17" s="36">
        <f t="shared" si="5"/>
        <v>3</v>
      </c>
      <c r="U17" s="36">
        <v>85</v>
      </c>
      <c r="V17" s="56"/>
      <c r="W17" s="36">
        <f t="shared" si="18"/>
        <v>5</v>
      </c>
      <c r="X17" s="36">
        <v>88</v>
      </c>
      <c r="Y17" s="56"/>
      <c r="Z17" s="36">
        <f t="shared" si="7"/>
        <v>5</v>
      </c>
      <c r="AA17" s="36">
        <v>41</v>
      </c>
      <c r="AB17" s="56"/>
      <c r="AC17" s="36">
        <f t="shared" si="8"/>
        <v>5</v>
      </c>
      <c r="AD17" s="36">
        <v>49</v>
      </c>
      <c r="AE17" s="56"/>
      <c r="AF17" s="36">
        <f t="shared" si="9"/>
        <v>5</v>
      </c>
      <c r="AG17" s="36">
        <f t="shared" si="10"/>
        <v>32</v>
      </c>
      <c r="AH17" s="37">
        <f t="shared" si="11"/>
        <v>4.5714285714285712</v>
      </c>
      <c r="AI17" s="38" t="str">
        <f t="shared" si="12"/>
        <v>BETTER</v>
      </c>
      <c r="AJ17" s="39">
        <f t="shared" si="13"/>
        <v>601</v>
      </c>
      <c r="AK17" s="39">
        <v>14</v>
      </c>
      <c r="AL17" s="39">
        <v>70</v>
      </c>
    </row>
    <row r="18" spans="1:38" s="1" customFormat="1" ht="24.95" customHeight="1">
      <c r="A18" s="51">
        <v>11</v>
      </c>
      <c r="B18" s="49">
        <v>29</v>
      </c>
      <c r="C18" s="49" t="s">
        <v>90</v>
      </c>
      <c r="D18" s="49" t="s">
        <v>91</v>
      </c>
      <c r="E18" s="49" t="s">
        <v>92</v>
      </c>
      <c r="F18" s="46">
        <v>42</v>
      </c>
      <c r="G18" s="39">
        <v>29</v>
      </c>
      <c r="H18" s="36">
        <f t="shared" si="0"/>
        <v>71</v>
      </c>
      <c r="I18" s="39">
        <v>41</v>
      </c>
      <c r="J18" s="36">
        <f t="shared" si="1"/>
        <v>112</v>
      </c>
      <c r="K18" s="56"/>
      <c r="L18" s="36">
        <f t="shared" si="14"/>
        <v>4</v>
      </c>
      <c r="M18" s="36">
        <v>60</v>
      </c>
      <c r="N18" s="36">
        <v>45</v>
      </c>
      <c r="O18" s="36">
        <f t="shared" si="15"/>
        <v>105</v>
      </c>
      <c r="P18" s="56"/>
      <c r="Q18" s="36">
        <f t="shared" si="16"/>
        <v>3</v>
      </c>
      <c r="R18" s="36">
        <v>53</v>
      </c>
      <c r="S18" s="56"/>
      <c r="T18" s="36">
        <f t="shared" si="5"/>
        <v>3</v>
      </c>
      <c r="U18" s="36">
        <v>63</v>
      </c>
      <c r="V18" s="56"/>
      <c r="W18" s="36">
        <f t="shared" si="18"/>
        <v>3.5</v>
      </c>
      <c r="X18" s="36">
        <v>80</v>
      </c>
      <c r="Y18" s="56"/>
      <c r="Z18" s="36">
        <f t="shared" si="7"/>
        <v>5</v>
      </c>
      <c r="AA18" s="36">
        <v>41</v>
      </c>
      <c r="AB18" s="56"/>
      <c r="AC18" s="36">
        <f t="shared" si="8"/>
        <v>5</v>
      </c>
      <c r="AD18" s="36">
        <v>40</v>
      </c>
      <c r="AE18" s="56"/>
      <c r="AF18" s="36">
        <f t="shared" si="9"/>
        <v>5</v>
      </c>
      <c r="AG18" s="36">
        <f t="shared" si="10"/>
        <v>28.5</v>
      </c>
      <c r="AH18" s="37">
        <f t="shared" si="11"/>
        <v>4.0714285714285712</v>
      </c>
      <c r="AI18" s="38" t="str">
        <f t="shared" si="12"/>
        <v>BETTER</v>
      </c>
      <c r="AJ18" s="39">
        <f t="shared" si="13"/>
        <v>494</v>
      </c>
      <c r="AK18" s="39">
        <v>29</v>
      </c>
      <c r="AL18" s="39">
        <v>68</v>
      </c>
    </row>
    <row r="19" spans="1:38" s="1" customFormat="1" ht="24.95" customHeight="1">
      <c r="A19" s="51">
        <v>12</v>
      </c>
      <c r="B19" s="49">
        <v>43</v>
      </c>
      <c r="C19" s="49" t="s">
        <v>93</v>
      </c>
      <c r="D19" s="49" t="s">
        <v>94</v>
      </c>
      <c r="E19" s="49" t="s">
        <v>95</v>
      </c>
      <c r="F19" s="46">
        <v>44</v>
      </c>
      <c r="G19" s="39">
        <v>28</v>
      </c>
      <c r="H19" s="36">
        <f t="shared" si="0"/>
        <v>72</v>
      </c>
      <c r="I19" s="39">
        <v>48</v>
      </c>
      <c r="J19" s="36">
        <f t="shared" si="1"/>
        <v>120</v>
      </c>
      <c r="K19" s="56"/>
      <c r="L19" s="36">
        <f t="shared" si="14"/>
        <v>5</v>
      </c>
      <c r="M19" s="36">
        <v>77</v>
      </c>
      <c r="N19" s="36">
        <v>65</v>
      </c>
      <c r="O19" s="36">
        <f t="shared" si="15"/>
        <v>142</v>
      </c>
      <c r="P19" s="56"/>
      <c r="Q19" s="36">
        <f t="shared" si="16"/>
        <v>4</v>
      </c>
      <c r="R19" s="36">
        <v>43</v>
      </c>
      <c r="S19" s="56"/>
      <c r="T19" s="36">
        <f t="shared" si="5"/>
        <v>2</v>
      </c>
      <c r="U19" s="36">
        <v>87</v>
      </c>
      <c r="V19" s="56"/>
      <c r="W19" s="36">
        <f t="shared" si="18"/>
        <v>5</v>
      </c>
      <c r="X19" s="36">
        <v>86</v>
      </c>
      <c r="Y19" s="56"/>
      <c r="Z19" s="36">
        <f t="shared" si="7"/>
        <v>5</v>
      </c>
      <c r="AA19" s="36">
        <v>43</v>
      </c>
      <c r="AB19" s="56"/>
      <c r="AC19" s="36">
        <f t="shared" si="8"/>
        <v>5</v>
      </c>
      <c r="AD19" s="36">
        <v>47</v>
      </c>
      <c r="AE19" s="56"/>
      <c r="AF19" s="36">
        <f t="shared" si="9"/>
        <v>5</v>
      </c>
      <c r="AG19" s="36">
        <f t="shared" si="10"/>
        <v>31</v>
      </c>
      <c r="AH19" s="37">
        <f t="shared" si="11"/>
        <v>4.4285714285714288</v>
      </c>
      <c r="AI19" s="38" t="str">
        <f t="shared" si="12"/>
        <v>BETTER</v>
      </c>
      <c r="AJ19" s="39">
        <f t="shared" si="13"/>
        <v>568</v>
      </c>
      <c r="AK19" s="39">
        <v>18</v>
      </c>
      <c r="AL19" s="39">
        <v>60</v>
      </c>
    </row>
    <row r="20" spans="1:38" s="1" customFormat="1" ht="24.95" customHeight="1">
      <c r="A20" s="51">
        <v>13</v>
      </c>
      <c r="B20" s="34">
        <v>51</v>
      </c>
      <c r="C20" s="34" t="s">
        <v>96</v>
      </c>
      <c r="D20" s="34" t="s">
        <v>97</v>
      </c>
      <c r="E20" s="34" t="s">
        <v>98</v>
      </c>
      <c r="F20" s="47">
        <v>49</v>
      </c>
      <c r="G20" s="39">
        <v>29</v>
      </c>
      <c r="H20" s="36">
        <f t="shared" si="0"/>
        <v>78</v>
      </c>
      <c r="I20" s="39">
        <v>46</v>
      </c>
      <c r="J20" s="36">
        <f t="shared" si="1"/>
        <v>124</v>
      </c>
      <c r="K20" s="56"/>
      <c r="L20" s="36">
        <f t="shared" si="14"/>
        <v>5</v>
      </c>
      <c r="M20" s="36">
        <v>80</v>
      </c>
      <c r="N20" s="36">
        <v>67</v>
      </c>
      <c r="O20" s="36">
        <f t="shared" si="15"/>
        <v>147</v>
      </c>
      <c r="P20" s="56"/>
      <c r="Q20" s="36">
        <f t="shared" si="16"/>
        <v>4</v>
      </c>
      <c r="R20" s="36">
        <v>77</v>
      </c>
      <c r="S20" s="56"/>
      <c r="T20" s="36">
        <f t="shared" si="5"/>
        <v>4</v>
      </c>
      <c r="U20" s="36">
        <v>80</v>
      </c>
      <c r="V20" s="56"/>
      <c r="W20" s="36">
        <f t="shared" si="18"/>
        <v>5</v>
      </c>
      <c r="X20" s="36">
        <v>85</v>
      </c>
      <c r="Y20" s="56"/>
      <c r="Z20" s="36">
        <f t="shared" si="7"/>
        <v>5</v>
      </c>
      <c r="AA20" s="36">
        <v>45</v>
      </c>
      <c r="AB20" s="56"/>
      <c r="AC20" s="36">
        <f t="shared" si="8"/>
        <v>5</v>
      </c>
      <c r="AD20" s="36">
        <v>43</v>
      </c>
      <c r="AE20" s="56"/>
      <c r="AF20" s="36">
        <f t="shared" si="9"/>
        <v>5</v>
      </c>
      <c r="AG20" s="36">
        <f t="shared" si="10"/>
        <v>33</v>
      </c>
      <c r="AH20" s="37">
        <f t="shared" si="11"/>
        <v>4.7142857142857144</v>
      </c>
      <c r="AI20" s="38" t="str">
        <f t="shared" si="12"/>
        <v>BETTER</v>
      </c>
      <c r="AJ20" s="39">
        <f t="shared" si="13"/>
        <v>601</v>
      </c>
      <c r="AK20" s="39">
        <v>8</v>
      </c>
      <c r="AL20" s="39">
        <v>70</v>
      </c>
    </row>
    <row r="21" spans="1:38" s="1" customFormat="1" ht="24.95" customHeight="1">
      <c r="A21" s="51">
        <v>14</v>
      </c>
      <c r="B21" s="34">
        <v>54</v>
      </c>
      <c r="C21" s="34" t="s">
        <v>99</v>
      </c>
      <c r="D21" s="34" t="s">
        <v>100</v>
      </c>
      <c r="E21" s="34" t="s">
        <v>101</v>
      </c>
      <c r="F21" s="47">
        <v>52</v>
      </c>
      <c r="G21" s="39">
        <v>26</v>
      </c>
      <c r="H21" s="36">
        <f t="shared" si="0"/>
        <v>78</v>
      </c>
      <c r="I21" s="39">
        <v>45</v>
      </c>
      <c r="J21" s="36">
        <f t="shared" si="1"/>
        <v>123</v>
      </c>
      <c r="K21" s="56"/>
      <c r="L21" s="36">
        <f t="shared" si="14"/>
        <v>5</v>
      </c>
      <c r="M21" s="36">
        <v>76</v>
      </c>
      <c r="N21" s="36">
        <v>51</v>
      </c>
      <c r="O21" s="36">
        <f t="shared" si="15"/>
        <v>127</v>
      </c>
      <c r="P21" s="56"/>
      <c r="Q21" s="36">
        <f t="shared" si="16"/>
        <v>3.5</v>
      </c>
      <c r="R21" s="36">
        <v>33</v>
      </c>
      <c r="S21" s="56"/>
      <c r="T21" s="36" t="str">
        <f t="shared" si="5"/>
        <v>F</v>
      </c>
      <c r="U21" s="36">
        <v>76</v>
      </c>
      <c r="V21" s="56"/>
      <c r="W21" s="36">
        <f t="shared" si="18"/>
        <v>4</v>
      </c>
      <c r="X21" s="36">
        <v>89</v>
      </c>
      <c r="Y21" s="56"/>
      <c r="Z21" s="36">
        <f t="shared" si="7"/>
        <v>5</v>
      </c>
      <c r="AA21" s="36">
        <v>41</v>
      </c>
      <c r="AB21" s="56"/>
      <c r="AC21" s="36">
        <f t="shared" si="8"/>
        <v>5</v>
      </c>
      <c r="AD21" s="36">
        <v>45</v>
      </c>
      <c r="AE21" s="56"/>
      <c r="AF21" s="36">
        <f t="shared" si="9"/>
        <v>5</v>
      </c>
      <c r="AG21" s="36" t="str">
        <f t="shared" si="10"/>
        <v>F</v>
      </c>
      <c r="AH21" s="37" t="str">
        <f t="shared" si="11"/>
        <v>F</v>
      </c>
      <c r="AI21" s="38" t="str">
        <f t="shared" si="12"/>
        <v>NEED TO PROGRESS</v>
      </c>
      <c r="AJ21" s="39">
        <f t="shared" si="13"/>
        <v>534</v>
      </c>
      <c r="AK21" s="39"/>
      <c r="AL21" s="39">
        <v>70</v>
      </c>
    </row>
    <row r="22" spans="1:38" s="1" customFormat="1" ht="24.95" customHeight="1">
      <c r="A22" s="51">
        <v>15</v>
      </c>
      <c r="B22" s="34">
        <v>56</v>
      </c>
      <c r="C22" s="34" t="s">
        <v>102</v>
      </c>
      <c r="D22" s="34" t="s">
        <v>103</v>
      </c>
      <c r="E22" s="34" t="s">
        <v>104</v>
      </c>
      <c r="F22" s="47">
        <v>52</v>
      </c>
      <c r="G22" s="39">
        <v>26</v>
      </c>
      <c r="H22" s="36">
        <f t="shared" si="0"/>
        <v>78</v>
      </c>
      <c r="I22" s="39">
        <v>44</v>
      </c>
      <c r="J22" s="36">
        <f t="shared" si="1"/>
        <v>122</v>
      </c>
      <c r="K22" s="56"/>
      <c r="L22" s="36">
        <f t="shared" si="14"/>
        <v>5</v>
      </c>
      <c r="M22" s="36">
        <v>64</v>
      </c>
      <c r="N22" s="36">
        <v>48</v>
      </c>
      <c r="O22" s="36">
        <f t="shared" si="15"/>
        <v>112</v>
      </c>
      <c r="P22" s="56"/>
      <c r="Q22" s="36">
        <f t="shared" si="16"/>
        <v>3</v>
      </c>
      <c r="R22" s="36">
        <v>50</v>
      </c>
      <c r="S22" s="56"/>
      <c r="T22" s="36">
        <f t="shared" si="5"/>
        <v>3</v>
      </c>
      <c r="U22" s="36">
        <v>77</v>
      </c>
      <c r="V22" s="56"/>
      <c r="W22" s="36">
        <f t="shared" si="18"/>
        <v>4</v>
      </c>
      <c r="X22" s="36">
        <v>76</v>
      </c>
      <c r="Y22" s="56"/>
      <c r="Z22" s="36">
        <f t="shared" si="7"/>
        <v>4</v>
      </c>
      <c r="AA22" s="36">
        <v>45</v>
      </c>
      <c r="AB22" s="56"/>
      <c r="AC22" s="36">
        <f t="shared" si="8"/>
        <v>5</v>
      </c>
      <c r="AD22" s="36">
        <v>48</v>
      </c>
      <c r="AE22" s="56"/>
      <c r="AF22" s="36">
        <f t="shared" si="9"/>
        <v>5</v>
      </c>
      <c r="AG22" s="36">
        <f t="shared" si="10"/>
        <v>29</v>
      </c>
      <c r="AH22" s="37">
        <f t="shared" si="11"/>
        <v>4.1428571428571432</v>
      </c>
      <c r="AI22" s="38" t="str">
        <f t="shared" si="12"/>
        <v>BETTER</v>
      </c>
      <c r="AJ22" s="39">
        <f t="shared" si="13"/>
        <v>530</v>
      </c>
      <c r="AK22" s="39">
        <v>25</v>
      </c>
      <c r="AL22" s="39">
        <v>70</v>
      </c>
    </row>
    <row r="23" spans="1:38" s="1" customFormat="1" ht="24.95" customHeight="1">
      <c r="A23" s="51">
        <v>16</v>
      </c>
      <c r="B23" s="34">
        <v>63</v>
      </c>
      <c r="C23" s="34" t="s">
        <v>105</v>
      </c>
      <c r="D23" s="34" t="s">
        <v>106</v>
      </c>
      <c r="E23" s="34" t="s">
        <v>107</v>
      </c>
      <c r="F23" s="47">
        <v>55</v>
      </c>
      <c r="G23" s="39">
        <v>28</v>
      </c>
      <c r="H23" s="36">
        <f t="shared" si="0"/>
        <v>83</v>
      </c>
      <c r="I23" s="39">
        <v>45</v>
      </c>
      <c r="J23" s="36">
        <f t="shared" si="1"/>
        <v>128</v>
      </c>
      <c r="K23" s="56"/>
      <c r="L23" s="36">
        <f t="shared" si="14"/>
        <v>5</v>
      </c>
      <c r="M23" s="36">
        <v>80</v>
      </c>
      <c r="N23" s="36">
        <v>73</v>
      </c>
      <c r="O23" s="36">
        <f t="shared" si="15"/>
        <v>153</v>
      </c>
      <c r="P23" s="56"/>
      <c r="Q23" s="36">
        <f t="shared" si="16"/>
        <v>4</v>
      </c>
      <c r="R23" s="36">
        <v>61</v>
      </c>
      <c r="S23" s="56"/>
      <c r="T23" s="36">
        <f t="shared" si="5"/>
        <v>3.5</v>
      </c>
      <c r="U23" s="36">
        <v>87</v>
      </c>
      <c r="V23" s="56"/>
      <c r="W23" s="36">
        <f t="shared" si="18"/>
        <v>5</v>
      </c>
      <c r="X23" s="36">
        <v>89</v>
      </c>
      <c r="Y23" s="56"/>
      <c r="Z23" s="36">
        <f t="shared" si="7"/>
        <v>5</v>
      </c>
      <c r="AA23" s="36">
        <v>43</v>
      </c>
      <c r="AB23" s="56"/>
      <c r="AC23" s="36">
        <f t="shared" si="8"/>
        <v>5</v>
      </c>
      <c r="AD23" s="36">
        <v>49</v>
      </c>
      <c r="AE23" s="56"/>
      <c r="AF23" s="36">
        <f t="shared" si="9"/>
        <v>5</v>
      </c>
      <c r="AG23" s="36">
        <f t="shared" si="10"/>
        <v>32.5</v>
      </c>
      <c r="AH23" s="37">
        <f t="shared" si="11"/>
        <v>4.6428571428571432</v>
      </c>
      <c r="AI23" s="38" t="str">
        <f t="shared" si="12"/>
        <v>BETTER</v>
      </c>
      <c r="AJ23" s="39">
        <f t="shared" si="13"/>
        <v>610</v>
      </c>
      <c r="AK23" s="39">
        <v>10</v>
      </c>
      <c r="AL23" s="39">
        <v>70</v>
      </c>
    </row>
    <row r="24" spans="1:38" s="1" customFormat="1" ht="24.95" customHeight="1">
      <c r="A24" s="51">
        <v>17</v>
      </c>
      <c r="B24" s="34">
        <v>67</v>
      </c>
      <c r="C24" s="34" t="s">
        <v>108</v>
      </c>
      <c r="D24" s="34" t="s">
        <v>223</v>
      </c>
      <c r="E24" s="34" t="s">
        <v>109</v>
      </c>
      <c r="F24" s="47">
        <v>58</v>
      </c>
      <c r="G24" s="39">
        <v>27</v>
      </c>
      <c r="H24" s="36">
        <f t="shared" si="0"/>
        <v>85</v>
      </c>
      <c r="I24" s="39">
        <v>42</v>
      </c>
      <c r="J24" s="36">
        <f t="shared" si="1"/>
        <v>127</v>
      </c>
      <c r="K24" s="56"/>
      <c r="L24" s="36">
        <f t="shared" si="14"/>
        <v>5</v>
      </c>
      <c r="M24" s="36">
        <v>73</v>
      </c>
      <c r="N24" s="36">
        <v>56</v>
      </c>
      <c r="O24" s="36">
        <f t="shared" si="15"/>
        <v>129</v>
      </c>
      <c r="P24" s="56"/>
      <c r="Q24" s="36">
        <f t="shared" si="16"/>
        <v>3.5</v>
      </c>
      <c r="R24" s="36">
        <v>42</v>
      </c>
      <c r="S24" s="56"/>
      <c r="T24" s="36">
        <f t="shared" si="5"/>
        <v>2</v>
      </c>
      <c r="U24" s="36">
        <v>80</v>
      </c>
      <c r="V24" s="56"/>
      <c r="W24" s="36">
        <f t="shared" si="18"/>
        <v>5</v>
      </c>
      <c r="X24" s="36">
        <v>89</v>
      </c>
      <c r="Y24" s="56"/>
      <c r="Z24" s="36">
        <f t="shared" si="7"/>
        <v>5</v>
      </c>
      <c r="AA24" s="36">
        <v>46</v>
      </c>
      <c r="AB24" s="56"/>
      <c r="AC24" s="36">
        <f t="shared" si="8"/>
        <v>5</v>
      </c>
      <c r="AD24" s="36">
        <v>48</v>
      </c>
      <c r="AE24" s="56"/>
      <c r="AF24" s="36">
        <f t="shared" si="9"/>
        <v>5</v>
      </c>
      <c r="AG24" s="36">
        <f t="shared" si="10"/>
        <v>30.5</v>
      </c>
      <c r="AH24" s="37">
        <f t="shared" si="11"/>
        <v>4.3571428571428568</v>
      </c>
      <c r="AI24" s="38" t="str">
        <f t="shared" si="12"/>
        <v>BETTER</v>
      </c>
      <c r="AJ24" s="39">
        <f t="shared" si="13"/>
        <v>561</v>
      </c>
      <c r="AK24" s="39">
        <v>22</v>
      </c>
      <c r="AL24" s="39">
        <v>71</v>
      </c>
    </row>
    <row r="25" spans="1:38" s="1" customFormat="1" ht="24.75" customHeight="1">
      <c r="A25" s="51">
        <v>18</v>
      </c>
      <c r="B25" s="34">
        <v>74</v>
      </c>
      <c r="C25" s="34" t="s">
        <v>110</v>
      </c>
      <c r="D25" s="34" t="s">
        <v>111</v>
      </c>
      <c r="E25" s="34" t="s">
        <v>112</v>
      </c>
      <c r="F25" s="47">
        <v>60</v>
      </c>
      <c r="G25" s="39">
        <v>30</v>
      </c>
      <c r="H25" s="36">
        <f t="shared" si="0"/>
        <v>90</v>
      </c>
      <c r="I25" s="39">
        <v>48</v>
      </c>
      <c r="J25" s="36">
        <f t="shared" si="1"/>
        <v>138</v>
      </c>
      <c r="K25" s="56"/>
      <c r="L25" s="36">
        <f t="shared" si="14"/>
        <v>5</v>
      </c>
      <c r="M25" s="36">
        <v>86</v>
      </c>
      <c r="N25" s="36">
        <v>74</v>
      </c>
      <c r="O25" s="36">
        <f t="shared" si="15"/>
        <v>160</v>
      </c>
      <c r="P25" s="56"/>
      <c r="Q25" s="36">
        <f t="shared" si="16"/>
        <v>5</v>
      </c>
      <c r="R25" s="36">
        <v>94</v>
      </c>
      <c r="S25" s="56"/>
      <c r="T25" s="36">
        <f t="shared" si="5"/>
        <v>5</v>
      </c>
      <c r="U25" s="36">
        <v>98</v>
      </c>
      <c r="V25" s="56"/>
      <c r="W25" s="36">
        <f t="shared" si="18"/>
        <v>5</v>
      </c>
      <c r="X25" s="36">
        <v>98</v>
      </c>
      <c r="Y25" s="56"/>
      <c r="Z25" s="36">
        <f t="shared" si="7"/>
        <v>5</v>
      </c>
      <c r="AA25" s="36">
        <v>50</v>
      </c>
      <c r="AB25" s="56"/>
      <c r="AC25" s="36">
        <f t="shared" si="8"/>
        <v>5</v>
      </c>
      <c r="AD25" s="36">
        <v>50</v>
      </c>
      <c r="AE25" s="56"/>
      <c r="AF25" s="36">
        <f t="shared" si="9"/>
        <v>5</v>
      </c>
      <c r="AG25" s="36">
        <f t="shared" si="10"/>
        <v>35</v>
      </c>
      <c r="AH25" s="37">
        <f t="shared" si="11"/>
        <v>5</v>
      </c>
      <c r="AI25" s="38" t="str">
        <f t="shared" si="12"/>
        <v>BEST</v>
      </c>
      <c r="AJ25" s="39">
        <f t="shared" si="13"/>
        <v>688</v>
      </c>
      <c r="AK25" s="39">
        <v>1</v>
      </c>
      <c r="AL25" s="39">
        <v>71</v>
      </c>
    </row>
    <row r="26" spans="1:38" s="1" customFormat="1" ht="24.95" customHeight="1">
      <c r="A26" s="51">
        <v>19</v>
      </c>
      <c r="B26" s="34">
        <v>75</v>
      </c>
      <c r="C26" s="34" t="s">
        <v>113</v>
      </c>
      <c r="D26" s="34" t="s">
        <v>114</v>
      </c>
      <c r="E26" s="34" t="s">
        <v>115</v>
      </c>
      <c r="F26" s="47">
        <v>56</v>
      </c>
      <c r="G26" s="39">
        <v>29</v>
      </c>
      <c r="H26" s="36">
        <f t="shared" si="0"/>
        <v>85</v>
      </c>
      <c r="I26" s="39">
        <v>46</v>
      </c>
      <c r="J26" s="36">
        <f t="shared" si="1"/>
        <v>131</v>
      </c>
      <c r="K26" s="56"/>
      <c r="L26" s="36">
        <f t="shared" si="14"/>
        <v>5</v>
      </c>
      <c r="M26" s="36">
        <v>74</v>
      </c>
      <c r="N26" s="36">
        <v>68</v>
      </c>
      <c r="O26" s="36">
        <f t="shared" si="15"/>
        <v>142</v>
      </c>
      <c r="P26" s="56"/>
      <c r="Q26" s="36">
        <f t="shared" si="16"/>
        <v>4</v>
      </c>
      <c r="R26" s="36">
        <v>68</v>
      </c>
      <c r="S26" s="56"/>
      <c r="T26" s="36">
        <f t="shared" si="5"/>
        <v>3.5</v>
      </c>
      <c r="U26" s="36">
        <v>95</v>
      </c>
      <c r="V26" s="56"/>
      <c r="W26" s="36">
        <f t="shared" si="18"/>
        <v>5</v>
      </c>
      <c r="X26" s="36">
        <v>98</v>
      </c>
      <c r="Y26" s="56"/>
      <c r="Z26" s="36">
        <f t="shared" si="7"/>
        <v>5</v>
      </c>
      <c r="AA26" s="36">
        <v>50</v>
      </c>
      <c r="AB26" s="56"/>
      <c r="AC26" s="36">
        <f t="shared" si="8"/>
        <v>5</v>
      </c>
      <c r="AD26" s="36">
        <v>49</v>
      </c>
      <c r="AE26" s="56"/>
      <c r="AF26" s="36">
        <f t="shared" si="9"/>
        <v>5</v>
      </c>
      <c r="AG26" s="36">
        <f t="shared" si="10"/>
        <v>32.5</v>
      </c>
      <c r="AH26" s="37">
        <f t="shared" si="11"/>
        <v>4.6428571428571432</v>
      </c>
      <c r="AI26" s="38" t="str">
        <f t="shared" si="12"/>
        <v>BETTER</v>
      </c>
      <c r="AJ26" s="39">
        <f t="shared" si="13"/>
        <v>633</v>
      </c>
      <c r="AK26" s="39">
        <v>9</v>
      </c>
      <c r="AL26" s="39">
        <v>71</v>
      </c>
    </row>
    <row r="27" spans="1:38" s="1" customFormat="1" ht="24.95" customHeight="1">
      <c r="A27" s="51">
        <v>20</v>
      </c>
      <c r="B27" s="34">
        <v>79</v>
      </c>
      <c r="C27" s="34" t="s">
        <v>116</v>
      </c>
      <c r="D27" s="34" t="s">
        <v>117</v>
      </c>
      <c r="E27" s="34" t="s">
        <v>118</v>
      </c>
      <c r="F27" s="47">
        <v>63</v>
      </c>
      <c r="G27" s="39">
        <v>29</v>
      </c>
      <c r="H27" s="36">
        <f t="shared" si="0"/>
        <v>92</v>
      </c>
      <c r="I27" s="39">
        <v>47</v>
      </c>
      <c r="J27" s="36">
        <f t="shared" si="1"/>
        <v>139</v>
      </c>
      <c r="K27" s="56"/>
      <c r="L27" s="36">
        <f t="shared" si="14"/>
        <v>5</v>
      </c>
      <c r="M27" s="36">
        <v>86</v>
      </c>
      <c r="N27" s="36">
        <v>75</v>
      </c>
      <c r="O27" s="36">
        <f t="shared" si="15"/>
        <v>161</v>
      </c>
      <c r="P27" s="56"/>
      <c r="Q27" s="36">
        <f t="shared" si="16"/>
        <v>5</v>
      </c>
      <c r="R27" s="36">
        <v>88</v>
      </c>
      <c r="S27" s="56"/>
      <c r="T27" s="36">
        <f t="shared" si="5"/>
        <v>5</v>
      </c>
      <c r="U27" s="36">
        <v>98</v>
      </c>
      <c r="V27" s="56"/>
      <c r="W27" s="36">
        <f t="shared" si="18"/>
        <v>5</v>
      </c>
      <c r="X27" s="36">
        <v>95</v>
      </c>
      <c r="Y27" s="56"/>
      <c r="Z27" s="36">
        <f t="shared" si="7"/>
        <v>5</v>
      </c>
      <c r="AA27" s="36">
        <v>46</v>
      </c>
      <c r="AB27" s="56"/>
      <c r="AC27" s="36">
        <f t="shared" si="8"/>
        <v>5</v>
      </c>
      <c r="AD27" s="36">
        <v>49</v>
      </c>
      <c r="AE27" s="56"/>
      <c r="AF27" s="36">
        <f t="shared" si="9"/>
        <v>5</v>
      </c>
      <c r="AG27" s="36">
        <f t="shared" si="10"/>
        <v>35</v>
      </c>
      <c r="AH27" s="37">
        <f t="shared" si="11"/>
        <v>5</v>
      </c>
      <c r="AI27" s="38" t="str">
        <f t="shared" si="12"/>
        <v>BEST</v>
      </c>
      <c r="AJ27" s="39">
        <f t="shared" si="13"/>
        <v>676</v>
      </c>
      <c r="AK27" s="39">
        <v>2</v>
      </c>
      <c r="AL27" s="39">
        <v>70</v>
      </c>
    </row>
    <row r="28" spans="1:38" s="1" customFormat="1" ht="24.95" customHeight="1">
      <c r="A28" s="51">
        <v>21</v>
      </c>
      <c r="B28" s="34">
        <v>87</v>
      </c>
      <c r="C28" s="34" t="s">
        <v>119</v>
      </c>
      <c r="D28" s="34" t="s">
        <v>120</v>
      </c>
      <c r="E28" s="34" t="s">
        <v>121</v>
      </c>
      <c r="F28" s="47">
        <v>55</v>
      </c>
      <c r="G28" s="39">
        <v>20</v>
      </c>
      <c r="H28" s="36">
        <f t="shared" si="0"/>
        <v>75</v>
      </c>
      <c r="I28" s="39">
        <v>24</v>
      </c>
      <c r="J28" s="36">
        <f t="shared" si="1"/>
        <v>99</v>
      </c>
      <c r="K28" s="56"/>
      <c r="L28" s="36">
        <f t="shared" si="14"/>
        <v>3.5</v>
      </c>
      <c r="M28" s="36">
        <v>43</v>
      </c>
      <c r="N28" s="36">
        <v>11</v>
      </c>
      <c r="O28" s="36">
        <f t="shared" si="15"/>
        <v>54</v>
      </c>
      <c r="P28" s="56"/>
      <c r="Q28" s="36" t="str">
        <f t="shared" si="16"/>
        <v>F</v>
      </c>
      <c r="R28" s="36">
        <v>25</v>
      </c>
      <c r="S28" s="56"/>
      <c r="T28" s="36" t="str">
        <f t="shared" si="5"/>
        <v>F</v>
      </c>
      <c r="U28" s="36">
        <v>26</v>
      </c>
      <c r="V28" s="56"/>
      <c r="W28" s="36" t="str">
        <f t="shared" si="18"/>
        <v>F</v>
      </c>
      <c r="X28" s="36">
        <v>41</v>
      </c>
      <c r="Y28" s="56"/>
      <c r="Z28" s="36">
        <f t="shared" si="7"/>
        <v>2</v>
      </c>
      <c r="AA28" s="36">
        <v>25</v>
      </c>
      <c r="AB28" s="56"/>
      <c r="AC28" s="36">
        <f t="shared" si="8"/>
        <v>3</v>
      </c>
      <c r="AD28" s="36">
        <v>21</v>
      </c>
      <c r="AE28" s="56"/>
      <c r="AF28" s="36">
        <f t="shared" si="9"/>
        <v>2</v>
      </c>
      <c r="AG28" s="36" t="str">
        <f t="shared" si="10"/>
        <v>F</v>
      </c>
      <c r="AH28" s="37" t="str">
        <f t="shared" si="11"/>
        <v>F</v>
      </c>
      <c r="AI28" s="38" t="str">
        <f t="shared" si="12"/>
        <v>NEED TO PROGRESS</v>
      </c>
      <c r="AJ28" s="39">
        <f t="shared" si="13"/>
        <v>291</v>
      </c>
      <c r="AK28" s="39"/>
      <c r="AL28" s="39">
        <v>60</v>
      </c>
    </row>
    <row r="29" spans="1:38" s="1" customFormat="1" ht="24.95" customHeight="1">
      <c r="A29" s="51">
        <v>22</v>
      </c>
      <c r="B29" s="49">
        <v>90</v>
      </c>
      <c r="C29" s="34" t="s">
        <v>122</v>
      </c>
      <c r="D29" s="34" t="s">
        <v>123</v>
      </c>
      <c r="E29" s="34" t="s">
        <v>124</v>
      </c>
      <c r="F29" s="47">
        <v>34</v>
      </c>
      <c r="G29" s="39">
        <v>26</v>
      </c>
      <c r="H29" s="36">
        <f t="shared" si="0"/>
        <v>60</v>
      </c>
      <c r="I29" s="39">
        <v>44</v>
      </c>
      <c r="J29" s="36">
        <f t="shared" si="1"/>
        <v>104</v>
      </c>
      <c r="K29" s="56"/>
      <c r="L29" s="36">
        <f t="shared" si="14"/>
        <v>3.5</v>
      </c>
      <c r="M29" s="36">
        <v>74</v>
      </c>
      <c r="N29" s="36">
        <v>62</v>
      </c>
      <c r="O29" s="36">
        <f t="shared" si="15"/>
        <v>136</v>
      </c>
      <c r="P29" s="56"/>
      <c r="Q29" s="36">
        <f t="shared" si="16"/>
        <v>3.5</v>
      </c>
      <c r="R29" s="36">
        <v>70</v>
      </c>
      <c r="S29" s="56"/>
      <c r="T29" s="36">
        <f t="shared" si="5"/>
        <v>4</v>
      </c>
      <c r="U29" s="36">
        <v>75</v>
      </c>
      <c r="V29" s="56"/>
      <c r="W29" s="36">
        <f t="shared" si="18"/>
        <v>4</v>
      </c>
      <c r="X29" s="36">
        <v>74</v>
      </c>
      <c r="Y29" s="56"/>
      <c r="Z29" s="36">
        <f t="shared" si="7"/>
        <v>4</v>
      </c>
      <c r="AA29" s="36">
        <v>40</v>
      </c>
      <c r="AB29" s="56"/>
      <c r="AC29" s="36">
        <f t="shared" si="8"/>
        <v>5</v>
      </c>
      <c r="AD29" s="36">
        <v>45</v>
      </c>
      <c r="AE29" s="56"/>
      <c r="AF29" s="36">
        <f t="shared" si="9"/>
        <v>5</v>
      </c>
      <c r="AG29" s="36">
        <f t="shared" si="10"/>
        <v>29</v>
      </c>
      <c r="AH29" s="37">
        <f t="shared" si="11"/>
        <v>4.1428571428571432</v>
      </c>
      <c r="AI29" s="38" t="str">
        <f t="shared" si="12"/>
        <v>BETTER</v>
      </c>
      <c r="AJ29" s="39">
        <f t="shared" si="13"/>
        <v>544</v>
      </c>
      <c r="AK29" s="39">
        <v>24</v>
      </c>
      <c r="AL29" s="39">
        <v>65</v>
      </c>
    </row>
    <row r="30" spans="1:38" s="1" customFormat="1" ht="24.95" customHeight="1">
      <c r="A30" s="51">
        <v>23</v>
      </c>
      <c r="B30" s="49">
        <v>91</v>
      </c>
      <c r="C30" s="34" t="s">
        <v>125</v>
      </c>
      <c r="D30" s="34" t="s">
        <v>126</v>
      </c>
      <c r="E30" s="34" t="s">
        <v>127</v>
      </c>
      <c r="F30" s="47">
        <v>21</v>
      </c>
      <c r="G30" s="39">
        <v>19</v>
      </c>
      <c r="H30" s="36">
        <f t="shared" si="0"/>
        <v>40</v>
      </c>
      <c r="I30" s="39">
        <v>28</v>
      </c>
      <c r="J30" s="36">
        <f t="shared" si="1"/>
        <v>68</v>
      </c>
      <c r="K30" s="56"/>
      <c r="L30" s="36">
        <f t="shared" si="14"/>
        <v>2</v>
      </c>
      <c r="M30" s="36">
        <v>76</v>
      </c>
      <c r="N30" s="36">
        <v>57</v>
      </c>
      <c r="O30" s="36">
        <f t="shared" si="15"/>
        <v>133</v>
      </c>
      <c r="P30" s="56"/>
      <c r="Q30" s="36">
        <f t="shared" si="16"/>
        <v>3.5</v>
      </c>
      <c r="R30" s="36">
        <v>23</v>
      </c>
      <c r="S30" s="56"/>
      <c r="T30" s="36" t="str">
        <f t="shared" si="5"/>
        <v>F</v>
      </c>
      <c r="U30" s="36">
        <v>49</v>
      </c>
      <c r="V30" s="56"/>
      <c r="W30" s="36">
        <f t="shared" si="18"/>
        <v>2</v>
      </c>
      <c r="X30" s="36">
        <v>28</v>
      </c>
      <c r="Y30" s="56"/>
      <c r="Z30" s="36" t="str">
        <f t="shared" si="7"/>
        <v>F</v>
      </c>
      <c r="AA30" s="36">
        <v>22</v>
      </c>
      <c r="AB30" s="56"/>
      <c r="AC30" s="36">
        <f t="shared" si="8"/>
        <v>2</v>
      </c>
      <c r="AD30" s="36">
        <v>20</v>
      </c>
      <c r="AE30" s="56"/>
      <c r="AF30" s="36">
        <f t="shared" si="9"/>
        <v>2</v>
      </c>
      <c r="AG30" s="36" t="str">
        <f t="shared" si="10"/>
        <v>F</v>
      </c>
      <c r="AH30" s="37" t="str">
        <f t="shared" si="11"/>
        <v>F</v>
      </c>
      <c r="AI30" s="38" t="str">
        <f t="shared" si="12"/>
        <v>NEED TO PROGRESS</v>
      </c>
      <c r="AJ30" s="39">
        <f t="shared" si="13"/>
        <v>343</v>
      </c>
      <c r="AK30" s="39"/>
      <c r="AL30" s="39">
        <v>9</v>
      </c>
    </row>
    <row r="31" spans="1:38" s="1" customFormat="1" ht="24.95" customHeight="1">
      <c r="A31" s="51">
        <v>24</v>
      </c>
      <c r="B31" s="49">
        <v>11</v>
      </c>
      <c r="C31" s="34" t="s">
        <v>128</v>
      </c>
      <c r="D31" s="34" t="s">
        <v>129</v>
      </c>
      <c r="E31" s="34" t="s">
        <v>130</v>
      </c>
      <c r="F31" s="47">
        <v>53</v>
      </c>
      <c r="G31" s="39">
        <v>28</v>
      </c>
      <c r="H31" s="36">
        <f t="shared" si="0"/>
        <v>81</v>
      </c>
      <c r="I31" s="39">
        <v>46</v>
      </c>
      <c r="J31" s="36">
        <f t="shared" si="1"/>
        <v>127</v>
      </c>
      <c r="K31" s="56"/>
      <c r="L31" s="36">
        <f t="shared" si="14"/>
        <v>5</v>
      </c>
      <c r="M31" s="36">
        <v>87</v>
      </c>
      <c r="N31" s="36">
        <v>65</v>
      </c>
      <c r="O31" s="36">
        <f t="shared" si="15"/>
        <v>152</v>
      </c>
      <c r="P31" s="56"/>
      <c r="Q31" s="36">
        <f t="shared" si="16"/>
        <v>4</v>
      </c>
      <c r="R31" s="36">
        <v>55</v>
      </c>
      <c r="S31" s="56"/>
      <c r="T31" s="36">
        <f t="shared" si="5"/>
        <v>3</v>
      </c>
      <c r="U31" s="36">
        <v>97</v>
      </c>
      <c r="V31" s="56"/>
      <c r="W31" s="36">
        <f t="shared" si="18"/>
        <v>5</v>
      </c>
      <c r="X31" s="36">
        <v>88</v>
      </c>
      <c r="Y31" s="56"/>
      <c r="Z31" s="36">
        <f t="shared" si="7"/>
        <v>5</v>
      </c>
      <c r="AA31" s="36">
        <v>47</v>
      </c>
      <c r="AB31" s="56"/>
      <c r="AC31" s="36">
        <f t="shared" si="8"/>
        <v>5</v>
      </c>
      <c r="AD31" s="36">
        <v>46</v>
      </c>
      <c r="AE31" s="56"/>
      <c r="AF31" s="36">
        <f t="shared" si="9"/>
        <v>5</v>
      </c>
      <c r="AG31" s="36">
        <f t="shared" si="10"/>
        <v>32</v>
      </c>
      <c r="AH31" s="37">
        <f t="shared" si="11"/>
        <v>4.5714285714285712</v>
      </c>
      <c r="AI31" s="38" t="str">
        <f t="shared" si="12"/>
        <v>BETTER</v>
      </c>
      <c r="AJ31" s="39">
        <f t="shared" si="13"/>
        <v>612</v>
      </c>
      <c r="AK31" s="39">
        <v>12</v>
      </c>
      <c r="AL31" s="39">
        <v>71</v>
      </c>
    </row>
    <row r="32" spans="1:38" s="1" customFormat="1" ht="24.95" customHeight="1">
      <c r="A32" s="51">
        <v>25</v>
      </c>
      <c r="B32" s="49">
        <v>17</v>
      </c>
      <c r="C32" s="49" t="s">
        <v>131</v>
      </c>
      <c r="D32" s="49" t="s">
        <v>132</v>
      </c>
      <c r="E32" s="49" t="s">
        <v>133</v>
      </c>
      <c r="F32" s="46">
        <v>60</v>
      </c>
      <c r="G32" s="39">
        <v>27</v>
      </c>
      <c r="H32" s="36">
        <f t="shared" si="0"/>
        <v>87</v>
      </c>
      <c r="I32" s="39">
        <v>48</v>
      </c>
      <c r="J32" s="36">
        <f t="shared" si="1"/>
        <v>135</v>
      </c>
      <c r="K32" s="56"/>
      <c r="L32" s="36">
        <f t="shared" si="14"/>
        <v>5</v>
      </c>
      <c r="M32" s="36">
        <v>85</v>
      </c>
      <c r="N32" s="36">
        <v>70</v>
      </c>
      <c r="O32" s="36">
        <f t="shared" si="15"/>
        <v>155</v>
      </c>
      <c r="P32" s="56"/>
      <c r="Q32" s="36">
        <f t="shared" si="16"/>
        <v>4</v>
      </c>
      <c r="R32" s="36">
        <v>75</v>
      </c>
      <c r="S32" s="56"/>
      <c r="T32" s="36">
        <f t="shared" si="5"/>
        <v>4</v>
      </c>
      <c r="U32" s="36">
        <v>97</v>
      </c>
      <c r="V32" s="56"/>
      <c r="W32" s="36">
        <f t="shared" si="18"/>
        <v>5</v>
      </c>
      <c r="X32" s="36">
        <v>90</v>
      </c>
      <c r="Y32" s="56"/>
      <c r="Z32" s="36">
        <f t="shared" si="7"/>
        <v>5</v>
      </c>
      <c r="AA32" s="36">
        <v>45</v>
      </c>
      <c r="AB32" s="56"/>
      <c r="AC32" s="36">
        <f t="shared" si="8"/>
        <v>5</v>
      </c>
      <c r="AD32" s="36">
        <v>47</v>
      </c>
      <c r="AE32" s="56"/>
      <c r="AF32" s="36">
        <f t="shared" si="9"/>
        <v>5</v>
      </c>
      <c r="AG32" s="36">
        <f t="shared" si="10"/>
        <v>33</v>
      </c>
      <c r="AH32" s="37">
        <f t="shared" si="11"/>
        <v>4.7142857142857144</v>
      </c>
      <c r="AI32" s="38" t="str">
        <f t="shared" si="12"/>
        <v>BETTER</v>
      </c>
      <c r="AJ32" s="39">
        <f t="shared" si="13"/>
        <v>644</v>
      </c>
      <c r="AK32" s="39">
        <v>6</v>
      </c>
      <c r="AL32" s="39">
        <v>68</v>
      </c>
    </row>
    <row r="33" spans="1:38" s="1" customFormat="1" ht="24.95" customHeight="1">
      <c r="A33" s="51">
        <v>26</v>
      </c>
      <c r="B33" s="49">
        <v>19</v>
      </c>
      <c r="C33" s="50" t="s">
        <v>134</v>
      </c>
      <c r="D33" s="50" t="s">
        <v>135</v>
      </c>
      <c r="E33" s="50" t="s">
        <v>136</v>
      </c>
      <c r="F33" s="48">
        <v>41</v>
      </c>
      <c r="G33" s="39">
        <v>27</v>
      </c>
      <c r="H33" s="36">
        <f t="shared" si="0"/>
        <v>68</v>
      </c>
      <c r="I33" s="39">
        <v>43</v>
      </c>
      <c r="J33" s="36">
        <f t="shared" si="1"/>
        <v>111</v>
      </c>
      <c r="K33" s="56"/>
      <c r="L33" s="36">
        <f t="shared" si="14"/>
        <v>4</v>
      </c>
      <c r="M33" s="36">
        <v>85</v>
      </c>
      <c r="N33" s="36">
        <v>78</v>
      </c>
      <c r="O33" s="36">
        <f t="shared" si="15"/>
        <v>163</v>
      </c>
      <c r="P33" s="56"/>
      <c r="Q33" s="36">
        <f t="shared" si="16"/>
        <v>5</v>
      </c>
      <c r="R33" s="36">
        <v>58</v>
      </c>
      <c r="S33" s="56"/>
      <c r="T33" s="36">
        <f t="shared" si="5"/>
        <v>3</v>
      </c>
      <c r="U33" s="36">
        <v>80</v>
      </c>
      <c r="V33" s="56"/>
      <c r="W33" s="36">
        <f t="shared" si="18"/>
        <v>5</v>
      </c>
      <c r="X33" s="36">
        <v>67</v>
      </c>
      <c r="Y33" s="56"/>
      <c r="Z33" s="36">
        <f t="shared" si="7"/>
        <v>3.5</v>
      </c>
      <c r="AA33" s="36">
        <v>46</v>
      </c>
      <c r="AB33" s="56"/>
      <c r="AC33" s="36">
        <f t="shared" si="8"/>
        <v>5</v>
      </c>
      <c r="AD33" s="36">
        <v>40</v>
      </c>
      <c r="AE33" s="56"/>
      <c r="AF33" s="36">
        <f t="shared" si="9"/>
        <v>5</v>
      </c>
      <c r="AG33" s="36">
        <f t="shared" si="10"/>
        <v>30.5</v>
      </c>
      <c r="AH33" s="37">
        <f t="shared" si="11"/>
        <v>4.3571428571428568</v>
      </c>
      <c r="AI33" s="38" t="str">
        <f t="shared" si="12"/>
        <v>BETTER</v>
      </c>
      <c r="AJ33" s="39">
        <f t="shared" si="13"/>
        <v>565</v>
      </c>
      <c r="AK33" s="39">
        <v>20</v>
      </c>
      <c r="AL33" s="39">
        <v>70</v>
      </c>
    </row>
    <row r="34" spans="1:38" s="1" customFormat="1" ht="24.95" customHeight="1">
      <c r="A34" s="51">
        <v>27</v>
      </c>
      <c r="B34" s="49">
        <v>22</v>
      </c>
      <c r="C34" s="34" t="s">
        <v>137</v>
      </c>
      <c r="D34" s="34" t="s">
        <v>138</v>
      </c>
      <c r="E34" s="34" t="s">
        <v>139</v>
      </c>
      <c r="F34" s="47">
        <v>34</v>
      </c>
      <c r="G34" s="39">
        <v>25</v>
      </c>
      <c r="H34" s="36">
        <f t="shared" si="0"/>
        <v>59</v>
      </c>
      <c r="I34" s="39">
        <v>41</v>
      </c>
      <c r="J34" s="36">
        <f t="shared" si="1"/>
        <v>100</v>
      </c>
      <c r="K34" s="56"/>
      <c r="L34" s="36">
        <f t="shared" si="14"/>
        <v>3.5</v>
      </c>
      <c r="M34" s="36">
        <v>84</v>
      </c>
      <c r="N34" s="36">
        <v>69</v>
      </c>
      <c r="O34" s="36">
        <f t="shared" si="15"/>
        <v>153</v>
      </c>
      <c r="P34" s="56"/>
      <c r="Q34" s="36">
        <f t="shared" si="16"/>
        <v>4</v>
      </c>
      <c r="R34" s="36">
        <v>41</v>
      </c>
      <c r="S34" s="56"/>
      <c r="T34" s="36">
        <f t="shared" si="5"/>
        <v>2</v>
      </c>
      <c r="U34" s="36">
        <v>66</v>
      </c>
      <c r="V34" s="56"/>
      <c r="W34" s="36">
        <f t="shared" si="18"/>
        <v>3.5</v>
      </c>
      <c r="X34" s="36">
        <v>86</v>
      </c>
      <c r="Y34" s="56"/>
      <c r="Z34" s="36">
        <f t="shared" si="7"/>
        <v>5</v>
      </c>
      <c r="AA34" s="36">
        <v>44</v>
      </c>
      <c r="AB34" s="56"/>
      <c r="AC34" s="36">
        <f t="shared" si="8"/>
        <v>5</v>
      </c>
      <c r="AD34" s="36">
        <v>44</v>
      </c>
      <c r="AE34" s="56"/>
      <c r="AF34" s="36">
        <f t="shared" si="9"/>
        <v>5</v>
      </c>
      <c r="AG34" s="36">
        <f t="shared" si="10"/>
        <v>28</v>
      </c>
      <c r="AH34" s="37">
        <f t="shared" si="11"/>
        <v>4</v>
      </c>
      <c r="AI34" s="38" t="str">
        <f t="shared" si="12"/>
        <v>BETTER</v>
      </c>
      <c r="AJ34" s="39">
        <f t="shared" si="13"/>
        <v>534</v>
      </c>
      <c r="AK34" s="39">
        <v>30</v>
      </c>
      <c r="AL34" s="39">
        <v>68</v>
      </c>
    </row>
    <row r="35" spans="1:38" s="1" customFormat="1" ht="24.95" customHeight="1">
      <c r="A35" s="51">
        <v>28</v>
      </c>
      <c r="B35" s="49">
        <v>24</v>
      </c>
      <c r="C35" s="34" t="s">
        <v>140</v>
      </c>
      <c r="D35" s="34" t="s">
        <v>141</v>
      </c>
      <c r="E35" s="34" t="s">
        <v>142</v>
      </c>
      <c r="F35" s="47">
        <v>30</v>
      </c>
      <c r="G35" s="39">
        <v>20</v>
      </c>
      <c r="H35" s="36">
        <f t="shared" si="0"/>
        <v>50</v>
      </c>
      <c r="I35" s="39">
        <v>33</v>
      </c>
      <c r="J35" s="36">
        <f t="shared" si="1"/>
        <v>83</v>
      </c>
      <c r="K35" s="56"/>
      <c r="L35" s="36">
        <f t="shared" si="14"/>
        <v>3</v>
      </c>
      <c r="M35" s="36">
        <v>68</v>
      </c>
      <c r="N35" s="36">
        <v>52</v>
      </c>
      <c r="O35" s="36">
        <f t="shared" si="15"/>
        <v>120</v>
      </c>
      <c r="P35" s="56"/>
      <c r="Q35" s="36">
        <f t="shared" si="16"/>
        <v>3.5</v>
      </c>
      <c r="R35" s="36">
        <v>40</v>
      </c>
      <c r="S35" s="56"/>
      <c r="T35" s="36">
        <f t="shared" si="5"/>
        <v>2</v>
      </c>
      <c r="U35" s="36">
        <v>50</v>
      </c>
      <c r="V35" s="56"/>
      <c r="W35" s="36">
        <f t="shared" si="18"/>
        <v>3</v>
      </c>
      <c r="X35" s="36">
        <v>70</v>
      </c>
      <c r="Y35" s="56"/>
      <c r="Z35" s="36">
        <f t="shared" si="7"/>
        <v>4</v>
      </c>
      <c r="AA35" s="36">
        <v>31</v>
      </c>
      <c r="AB35" s="56"/>
      <c r="AC35" s="36">
        <f t="shared" si="8"/>
        <v>3.5</v>
      </c>
      <c r="AD35" s="36">
        <v>37</v>
      </c>
      <c r="AE35" s="56"/>
      <c r="AF35" s="36">
        <f t="shared" si="9"/>
        <v>4</v>
      </c>
      <c r="AG35" s="36">
        <f t="shared" si="10"/>
        <v>23</v>
      </c>
      <c r="AH35" s="37">
        <f t="shared" si="11"/>
        <v>3.2857142857142856</v>
      </c>
      <c r="AI35" s="38" t="str">
        <f t="shared" si="12"/>
        <v>GOOD</v>
      </c>
      <c r="AJ35" s="39">
        <f t="shared" si="13"/>
        <v>431</v>
      </c>
      <c r="AK35" s="39">
        <v>37</v>
      </c>
      <c r="AL35" s="39">
        <v>65</v>
      </c>
    </row>
    <row r="36" spans="1:38" s="1" customFormat="1" ht="24.95" customHeight="1">
      <c r="A36" s="51">
        <v>29</v>
      </c>
      <c r="B36" s="49">
        <v>25</v>
      </c>
      <c r="C36" s="34" t="s">
        <v>143</v>
      </c>
      <c r="D36" s="34" t="s">
        <v>144</v>
      </c>
      <c r="E36" s="34" t="s">
        <v>145</v>
      </c>
      <c r="F36" s="47">
        <v>51</v>
      </c>
      <c r="G36" s="39">
        <v>27</v>
      </c>
      <c r="H36" s="36">
        <f t="shared" si="0"/>
        <v>78</v>
      </c>
      <c r="I36" s="39">
        <v>42</v>
      </c>
      <c r="J36" s="36">
        <f t="shared" si="1"/>
        <v>120</v>
      </c>
      <c r="K36" s="56"/>
      <c r="L36" s="36">
        <f t="shared" si="14"/>
        <v>5</v>
      </c>
      <c r="M36" s="36">
        <v>67</v>
      </c>
      <c r="N36" s="36">
        <v>70</v>
      </c>
      <c r="O36" s="36">
        <f t="shared" si="15"/>
        <v>137</v>
      </c>
      <c r="P36" s="56"/>
      <c r="Q36" s="36">
        <f t="shared" si="16"/>
        <v>3.5</v>
      </c>
      <c r="R36" s="36">
        <v>50</v>
      </c>
      <c r="S36" s="56"/>
      <c r="T36" s="36">
        <f t="shared" si="5"/>
        <v>3</v>
      </c>
      <c r="U36" s="36">
        <v>74</v>
      </c>
      <c r="V36" s="56"/>
      <c r="W36" s="36">
        <f t="shared" si="18"/>
        <v>4</v>
      </c>
      <c r="X36" s="36">
        <v>75</v>
      </c>
      <c r="Y36" s="56"/>
      <c r="Z36" s="36">
        <f t="shared" si="7"/>
        <v>4</v>
      </c>
      <c r="AA36" s="36">
        <v>43</v>
      </c>
      <c r="AB36" s="56"/>
      <c r="AC36" s="36">
        <f t="shared" si="8"/>
        <v>5</v>
      </c>
      <c r="AD36" s="36">
        <v>41</v>
      </c>
      <c r="AE36" s="56"/>
      <c r="AF36" s="36">
        <f t="shared" si="9"/>
        <v>5</v>
      </c>
      <c r="AG36" s="36">
        <f t="shared" si="10"/>
        <v>29.5</v>
      </c>
      <c r="AH36" s="37">
        <f t="shared" si="11"/>
        <v>4.2142857142857144</v>
      </c>
      <c r="AI36" s="38" t="str">
        <f t="shared" si="12"/>
        <v>BETTER</v>
      </c>
      <c r="AJ36" s="39">
        <f t="shared" si="13"/>
        <v>540</v>
      </c>
      <c r="AK36" s="39">
        <v>23</v>
      </c>
      <c r="AL36" s="39">
        <v>68</v>
      </c>
    </row>
    <row r="37" spans="1:38" s="1" customFormat="1" ht="24.95" customHeight="1">
      <c r="A37" s="51">
        <v>30</v>
      </c>
      <c r="B37" s="49">
        <v>30</v>
      </c>
      <c r="C37" s="34" t="s">
        <v>146</v>
      </c>
      <c r="D37" s="34" t="s">
        <v>147</v>
      </c>
      <c r="E37" s="34" t="s">
        <v>148</v>
      </c>
      <c r="F37" s="47">
        <v>41</v>
      </c>
      <c r="G37" s="39">
        <v>24</v>
      </c>
      <c r="H37" s="36">
        <f t="shared" si="0"/>
        <v>65</v>
      </c>
      <c r="I37" s="39">
        <v>35</v>
      </c>
      <c r="J37" s="36">
        <f t="shared" si="1"/>
        <v>100</v>
      </c>
      <c r="K37" s="56"/>
      <c r="L37" s="36">
        <f t="shared" si="14"/>
        <v>3.5</v>
      </c>
      <c r="M37" s="36">
        <v>60</v>
      </c>
      <c r="N37" s="36">
        <v>57</v>
      </c>
      <c r="O37" s="36">
        <f t="shared" si="15"/>
        <v>117</v>
      </c>
      <c r="P37" s="56"/>
      <c r="Q37" s="36">
        <f t="shared" si="16"/>
        <v>3</v>
      </c>
      <c r="R37" s="36">
        <v>40</v>
      </c>
      <c r="S37" s="56"/>
      <c r="T37" s="36">
        <f t="shared" si="5"/>
        <v>2</v>
      </c>
      <c r="U37" s="36">
        <v>61</v>
      </c>
      <c r="V37" s="56"/>
      <c r="W37" s="36">
        <f t="shared" si="18"/>
        <v>3.5</v>
      </c>
      <c r="X37" s="36">
        <v>83</v>
      </c>
      <c r="Y37" s="56"/>
      <c r="Z37" s="36">
        <f t="shared" si="7"/>
        <v>5</v>
      </c>
      <c r="AA37" s="36">
        <v>37</v>
      </c>
      <c r="AB37" s="56"/>
      <c r="AC37" s="36">
        <f t="shared" si="8"/>
        <v>4</v>
      </c>
      <c r="AD37" s="36">
        <v>41</v>
      </c>
      <c r="AE37" s="56"/>
      <c r="AF37" s="36">
        <f t="shared" si="9"/>
        <v>5</v>
      </c>
      <c r="AG37" s="36">
        <f t="shared" si="10"/>
        <v>26</v>
      </c>
      <c r="AH37" s="37">
        <f t="shared" si="11"/>
        <v>3.7142857142857144</v>
      </c>
      <c r="AI37" s="38" t="str">
        <f t="shared" si="12"/>
        <v>GOOD</v>
      </c>
      <c r="AJ37" s="39">
        <f t="shared" si="13"/>
        <v>479</v>
      </c>
      <c r="AK37" s="39">
        <v>35</v>
      </c>
      <c r="AL37" s="39">
        <v>65</v>
      </c>
    </row>
    <row r="38" spans="1:38" s="1" customFormat="1" ht="24.95" customHeight="1">
      <c r="A38" s="51">
        <v>31</v>
      </c>
      <c r="B38" s="49">
        <v>32</v>
      </c>
      <c r="C38" s="34" t="s">
        <v>149</v>
      </c>
      <c r="D38" s="34" t="s">
        <v>150</v>
      </c>
      <c r="E38" s="34" t="s">
        <v>151</v>
      </c>
      <c r="F38" s="47">
        <v>30</v>
      </c>
      <c r="G38" s="39">
        <v>28</v>
      </c>
      <c r="H38" s="36">
        <f t="shared" si="0"/>
        <v>58</v>
      </c>
      <c r="I38" s="39">
        <v>37</v>
      </c>
      <c r="J38" s="36">
        <f t="shared" si="1"/>
        <v>95</v>
      </c>
      <c r="K38" s="56"/>
      <c r="L38" s="36">
        <f t="shared" si="14"/>
        <v>3.5</v>
      </c>
      <c r="M38" s="36">
        <v>58</v>
      </c>
      <c r="N38" s="36">
        <v>54</v>
      </c>
      <c r="O38" s="36">
        <f t="shared" si="15"/>
        <v>112</v>
      </c>
      <c r="P38" s="56"/>
      <c r="Q38" s="36">
        <f t="shared" si="16"/>
        <v>3</v>
      </c>
      <c r="R38" s="36">
        <v>60</v>
      </c>
      <c r="S38" s="56"/>
      <c r="T38" s="36">
        <f t="shared" si="5"/>
        <v>3.5</v>
      </c>
      <c r="U38" s="36">
        <v>71</v>
      </c>
      <c r="V38" s="56"/>
      <c r="W38" s="36">
        <f t="shared" si="18"/>
        <v>4</v>
      </c>
      <c r="X38" s="36">
        <v>66</v>
      </c>
      <c r="Y38" s="56"/>
      <c r="Z38" s="36">
        <f t="shared" si="7"/>
        <v>3.5</v>
      </c>
      <c r="AA38" s="36">
        <v>40</v>
      </c>
      <c r="AB38" s="56"/>
      <c r="AC38" s="36">
        <f t="shared" si="8"/>
        <v>5</v>
      </c>
      <c r="AD38" s="36">
        <v>38</v>
      </c>
      <c r="AE38" s="56"/>
      <c r="AF38" s="36">
        <f t="shared" si="9"/>
        <v>4</v>
      </c>
      <c r="AG38" s="36">
        <f t="shared" si="10"/>
        <v>26.5</v>
      </c>
      <c r="AH38" s="37">
        <f t="shared" si="11"/>
        <v>3.7857142857142856</v>
      </c>
      <c r="AI38" s="38" t="str">
        <f t="shared" si="12"/>
        <v>GOOD</v>
      </c>
      <c r="AJ38" s="39">
        <f t="shared" si="13"/>
        <v>482</v>
      </c>
      <c r="AK38" s="39">
        <v>34</v>
      </c>
      <c r="AL38" s="39">
        <v>69</v>
      </c>
    </row>
    <row r="39" spans="1:38" s="1" customFormat="1" ht="24.95" customHeight="1">
      <c r="A39" s="51">
        <v>32</v>
      </c>
      <c r="B39" s="49">
        <v>34</v>
      </c>
      <c r="C39" s="49" t="s">
        <v>152</v>
      </c>
      <c r="D39" s="49" t="s">
        <v>153</v>
      </c>
      <c r="E39" s="49" t="s">
        <v>154</v>
      </c>
      <c r="F39" s="46">
        <v>55</v>
      </c>
      <c r="G39" s="39">
        <v>29</v>
      </c>
      <c r="H39" s="36">
        <f t="shared" si="0"/>
        <v>84</v>
      </c>
      <c r="I39" s="39">
        <v>43</v>
      </c>
      <c r="J39" s="36">
        <f t="shared" si="1"/>
        <v>127</v>
      </c>
      <c r="K39" s="56"/>
      <c r="L39" s="36">
        <f t="shared" si="14"/>
        <v>5</v>
      </c>
      <c r="M39" s="36">
        <v>80</v>
      </c>
      <c r="N39" s="36">
        <v>48</v>
      </c>
      <c r="O39" s="36">
        <f t="shared" si="15"/>
        <v>128</v>
      </c>
      <c r="P39" s="56"/>
      <c r="Q39" s="36">
        <f t="shared" si="16"/>
        <v>3.5</v>
      </c>
      <c r="R39" s="36">
        <v>40</v>
      </c>
      <c r="S39" s="56"/>
      <c r="T39" s="36">
        <f t="shared" si="5"/>
        <v>2</v>
      </c>
      <c r="U39" s="36">
        <v>52</v>
      </c>
      <c r="V39" s="56"/>
      <c r="W39" s="36">
        <f t="shared" si="18"/>
        <v>3</v>
      </c>
      <c r="X39" s="36">
        <v>75</v>
      </c>
      <c r="Y39" s="56"/>
      <c r="Z39" s="36">
        <f t="shared" si="7"/>
        <v>4</v>
      </c>
      <c r="AA39" s="36">
        <v>41</v>
      </c>
      <c r="AB39" s="56"/>
      <c r="AC39" s="36">
        <f t="shared" si="8"/>
        <v>5</v>
      </c>
      <c r="AD39" s="36">
        <v>45</v>
      </c>
      <c r="AE39" s="56"/>
      <c r="AF39" s="36">
        <f t="shared" si="9"/>
        <v>5</v>
      </c>
      <c r="AG39" s="36">
        <f t="shared" si="10"/>
        <v>27.5</v>
      </c>
      <c r="AH39" s="37">
        <f t="shared" si="11"/>
        <v>3.9285714285714284</v>
      </c>
      <c r="AI39" s="38" t="str">
        <f t="shared" si="12"/>
        <v>GOOD</v>
      </c>
      <c r="AJ39" s="39">
        <f t="shared" si="13"/>
        <v>508</v>
      </c>
      <c r="AK39" s="39">
        <v>32</v>
      </c>
      <c r="AL39" s="39">
        <v>68</v>
      </c>
    </row>
    <row r="40" spans="1:38" s="1" customFormat="1" ht="24.95" customHeight="1">
      <c r="A40" s="51">
        <v>33</v>
      </c>
      <c r="B40" s="49">
        <v>35</v>
      </c>
      <c r="C40" s="49" t="s">
        <v>155</v>
      </c>
      <c r="D40" s="49" t="s">
        <v>156</v>
      </c>
      <c r="E40" s="49" t="s">
        <v>157</v>
      </c>
      <c r="F40" s="46">
        <v>54</v>
      </c>
      <c r="G40" s="39">
        <v>29</v>
      </c>
      <c r="H40" s="36">
        <f t="shared" si="0"/>
        <v>83</v>
      </c>
      <c r="I40" s="39">
        <v>48</v>
      </c>
      <c r="J40" s="36">
        <f t="shared" si="1"/>
        <v>131</v>
      </c>
      <c r="K40" s="56"/>
      <c r="L40" s="36">
        <f t="shared" si="14"/>
        <v>5</v>
      </c>
      <c r="M40" s="36">
        <v>81</v>
      </c>
      <c r="N40" s="36">
        <v>74</v>
      </c>
      <c r="O40" s="36">
        <f t="shared" si="15"/>
        <v>155</v>
      </c>
      <c r="P40" s="56"/>
      <c r="Q40" s="36">
        <f t="shared" si="16"/>
        <v>4</v>
      </c>
      <c r="R40" s="36">
        <v>48</v>
      </c>
      <c r="S40" s="56"/>
      <c r="T40" s="36">
        <f t="shared" si="5"/>
        <v>2</v>
      </c>
      <c r="U40" s="36">
        <v>88</v>
      </c>
      <c r="V40" s="56"/>
      <c r="W40" s="36">
        <f t="shared" si="18"/>
        <v>5</v>
      </c>
      <c r="X40" s="36">
        <v>82</v>
      </c>
      <c r="Y40" s="56"/>
      <c r="Z40" s="36">
        <f t="shared" si="7"/>
        <v>5</v>
      </c>
      <c r="AA40" s="36">
        <v>47</v>
      </c>
      <c r="AB40" s="56"/>
      <c r="AC40" s="36">
        <f t="shared" si="8"/>
        <v>5</v>
      </c>
      <c r="AD40" s="36">
        <v>41</v>
      </c>
      <c r="AE40" s="56"/>
      <c r="AF40" s="36">
        <f t="shared" si="9"/>
        <v>5</v>
      </c>
      <c r="AG40" s="36">
        <f t="shared" si="10"/>
        <v>31</v>
      </c>
      <c r="AH40" s="37">
        <f t="shared" si="11"/>
        <v>4.4285714285714288</v>
      </c>
      <c r="AI40" s="38" t="str">
        <f t="shared" si="12"/>
        <v>BETTER</v>
      </c>
      <c r="AJ40" s="39">
        <f t="shared" si="13"/>
        <v>592</v>
      </c>
      <c r="AK40" s="39">
        <v>16</v>
      </c>
      <c r="AL40" s="39">
        <v>62</v>
      </c>
    </row>
    <row r="41" spans="1:38" s="1" customFormat="1" ht="24.95" customHeight="1">
      <c r="A41" s="51">
        <v>34</v>
      </c>
      <c r="B41" s="49">
        <v>40</v>
      </c>
      <c r="C41" s="34" t="s">
        <v>158</v>
      </c>
      <c r="D41" s="34" t="s">
        <v>159</v>
      </c>
      <c r="E41" s="34" t="s">
        <v>160</v>
      </c>
      <c r="F41" s="47">
        <v>36</v>
      </c>
      <c r="G41" s="39">
        <v>27</v>
      </c>
      <c r="H41" s="36">
        <f t="shared" si="0"/>
        <v>63</v>
      </c>
      <c r="I41" s="39">
        <v>43</v>
      </c>
      <c r="J41" s="36">
        <f t="shared" si="1"/>
        <v>106</v>
      </c>
      <c r="K41" s="56"/>
      <c r="L41" s="36">
        <f t="shared" si="14"/>
        <v>4</v>
      </c>
      <c r="M41" s="36">
        <v>43</v>
      </c>
      <c r="N41" s="36">
        <v>47</v>
      </c>
      <c r="O41" s="36">
        <f t="shared" si="15"/>
        <v>90</v>
      </c>
      <c r="P41" s="56"/>
      <c r="Q41" s="36">
        <f t="shared" si="16"/>
        <v>2</v>
      </c>
      <c r="R41" s="36">
        <v>40</v>
      </c>
      <c r="S41" s="56"/>
      <c r="T41" s="36">
        <f t="shared" si="5"/>
        <v>2</v>
      </c>
      <c r="U41" s="36">
        <v>67</v>
      </c>
      <c r="V41" s="56"/>
      <c r="W41" s="36">
        <f t="shared" si="18"/>
        <v>3.5</v>
      </c>
      <c r="X41" s="36">
        <v>50</v>
      </c>
      <c r="Y41" s="56"/>
      <c r="Z41" s="36">
        <f t="shared" si="7"/>
        <v>3</v>
      </c>
      <c r="AA41" s="36">
        <v>40</v>
      </c>
      <c r="AB41" s="56"/>
      <c r="AC41" s="36">
        <f t="shared" si="8"/>
        <v>5</v>
      </c>
      <c r="AD41" s="36">
        <v>34</v>
      </c>
      <c r="AE41" s="56"/>
      <c r="AF41" s="36">
        <f t="shared" si="9"/>
        <v>3.5</v>
      </c>
      <c r="AG41" s="36">
        <f t="shared" si="10"/>
        <v>23</v>
      </c>
      <c r="AH41" s="37">
        <f t="shared" si="11"/>
        <v>3.2857142857142856</v>
      </c>
      <c r="AI41" s="38" t="str">
        <f t="shared" si="12"/>
        <v>GOOD</v>
      </c>
      <c r="AJ41" s="39">
        <f t="shared" si="13"/>
        <v>427</v>
      </c>
      <c r="AK41" s="39">
        <v>38</v>
      </c>
      <c r="AL41" s="39">
        <v>59</v>
      </c>
    </row>
    <row r="42" spans="1:38" s="1" customFormat="1" ht="24.95" customHeight="1">
      <c r="A42" s="51">
        <v>35</v>
      </c>
      <c r="B42" s="49">
        <v>41</v>
      </c>
      <c r="C42" s="49" t="s">
        <v>161</v>
      </c>
      <c r="D42" s="49" t="s">
        <v>162</v>
      </c>
      <c r="E42" s="49" t="s">
        <v>163</v>
      </c>
      <c r="F42" s="46">
        <v>41</v>
      </c>
      <c r="G42" s="39">
        <v>28</v>
      </c>
      <c r="H42" s="36">
        <f t="shared" si="0"/>
        <v>69</v>
      </c>
      <c r="I42" s="39">
        <v>37</v>
      </c>
      <c r="J42" s="36">
        <f t="shared" si="1"/>
        <v>106</v>
      </c>
      <c r="K42" s="56"/>
      <c r="L42" s="36">
        <f t="shared" si="14"/>
        <v>4</v>
      </c>
      <c r="M42" s="36">
        <v>70</v>
      </c>
      <c r="N42" s="36">
        <v>48</v>
      </c>
      <c r="O42" s="36">
        <f t="shared" si="15"/>
        <v>118</v>
      </c>
      <c r="P42" s="56"/>
      <c r="Q42" s="36">
        <f t="shared" si="16"/>
        <v>3</v>
      </c>
      <c r="R42" s="36">
        <v>40</v>
      </c>
      <c r="S42" s="56"/>
      <c r="T42" s="36">
        <f t="shared" si="5"/>
        <v>2</v>
      </c>
      <c r="U42" s="36">
        <v>52</v>
      </c>
      <c r="V42" s="56"/>
      <c r="W42" s="36">
        <f t="shared" si="18"/>
        <v>3</v>
      </c>
      <c r="X42" s="36">
        <v>72</v>
      </c>
      <c r="Y42" s="56"/>
      <c r="Z42" s="36">
        <f t="shared" si="7"/>
        <v>4</v>
      </c>
      <c r="AA42" s="36">
        <v>37</v>
      </c>
      <c r="AB42" s="56"/>
      <c r="AC42" s="36">
        <f t="shared" si="8"/>
        <v>4</v>
      </c>
      <c r="AD42" s="36">
        <v>36</v>
      </c>
      <c r="AE42" s="56"/>
      <c r="AF42" s="36">
        <f t="shared" si="9"/>
        <v>4</v>
      </c>
      <c r="AG42" s="36">
        <f t="shared" si="10"/>
        <v>24</v>
      </c>
      <c r="AH42" s="37">
        <f t="shared" si="11"/>
        <v>3.4285714285714284</v>
      </c>
      <c r="AI42" s="38" t="str">
        <f t="shared" si="12"/>
        <v>GOOD</v>
      </c>
      <c r="AJ42" s="39">
        <f t="shared" si="13"/>
        <v>461</v>
      </c>
      <c r="AK42" s="39">
        <v>36</v>
      </c>
      <c r="AL42" s="39">
        <v>58</v>
      </c>
    </row>
    <row r="43" spans="1:38" s="1" customFormat="1" ht="24.95" customHeight="1">
      <c r="A43" s="51">
        <v>36</v>
      </c>
      <c r="B43" s="49">
        <v>44</v>
      </c>
      <c r="C43" s="49" t="s">
        <v>164</v>
      </c>
      <c r="D43" s="49" t="s">
        <v>165</v>
      </c>
      <c r="E43" s="49" t="s">
        <v>166</v>
      </c>
      <c r="F43" s="46">
        <v>33</v>
      </c>
      <c r="G43" s="39">
        <v>12</v>
      </c>
      <c r="H43" s="36">
        <f t="shared" si="0"/>
        <v>45</v>
      </c>
      <c r="I43" s="39">
        <v>23</v>
      </c>
      <c r="J43" s="36">
        <f t="shared" si="1"/>
        <v>68</v>
      </c>
      <c r="K43" s="56"/>
      <c r="L43" s="36">
        <f t="shared" si="14"/>
        <v>2</v>
      </c>
      <c r="M43" s="36">
        <v>62</v>
      </c>
      <c r="N43" s="36">
        <v>40</v>
      </c>
      <c r="O43" s="36">
        <f t="shared" si="15"/>
        <v>102</v>
      </c>
      <c r="P43" s="56"/>
      <c r="Q43" s="36">
        <f t="shared" si="16"/>
        <v>3</v>
      </c>
      <c r="R43" s="36">
        <v>16</v>
      </c>
      <c r="S43" s="56"/>
      <c r="T43" s="36" t="str">
        <f t="shared" si="5"/>
        <v>F</v>
      </c>
      <c r="U43" s="36">
        <v>23</v>
      </c>
      <c r="V43" s="56"/>
      <c r="W43" s="36" t="str">
        <f t="shared" si="18"/>
        <v>F</v>
      </c>
      <c r="X43" s="36">
        <v>43</v>
      </c>
      <c r="Y43" s="56"/>
      <c r="Z43" s="36">
        <f t="shared" si="7"/>
        <v>2</v>
      </c>
      <c r="AA43" s="36">
        <v>24</v>
      </c>
      <c r="AB43" s="56"/>
      <c r="AC43" s="36">
        <f t="shared" si="8"/>
        <v>2</v>
      </c>
      <c r="AD43" s="36">
        <v>21</v>
      </c>
      <c r="AE43" s="56"/>
      <c r="AF43" s="36">
        <f t="shared" si="9"/>
        <v>2</v>
      </c>
      <c r="AG43" s="36" t="str">
        <f t="shared" si="10"/>
        <v>F</v>
      </c>
      <c r="AH43" s="37" t="str">
        <f t="shared" si="11"/>
        <v>F</v>
      </c>
      <c r="AI43" s="38" t="str">
        <f t="shared" si="12"/>
        <v>NEED TO PROGRESS</v>
      </c>
      <c r="AJ43" s="39">
        <f t="shared" si="13"/>
        <v>297</v>
      </c>
      <c r="AK43" s="39"/>
      <c r="AL43" s="39">
        <v>28</v>
      </c>
    </row>
    <row r="44" spans="1:38" s="1" customFormat="1" ht="24.95" customHeight="1">
      <c r="A44" s="51">
        <v>37</v>
      </c>
      <c r="B44" s="49">
        <v>45</v>
      </c>
      <c r="C44" s="49" t="s">
        <v>167</v>
      </c>
      <c r="D44" s="49" t="s">
        <v>168</v>
      </c>
      <c r="E44" s="49" t="s">
        <v>169</v>
      </c>
      <c r="F44" s="46">
        <v>31</v>
      </c>
      <c r="G44" s="39">
        <v>25</v>
      </c>
      <c r="H44" s="36">
        <f t="shared" si="0"/>
        <v>56</v>
      </c>
      <c r="I44" s="39">
        <v>29</v>
      </c>
      <c r="J44" s="36">
        <f t="shared" si="1"/>
        <v>85</v>
      </c>
      <c r="K44" s="56"/>
      <c r="L44" s="36">
        <f t="shared" si="14"/>
        <v>3</v>
      </c>
      <c r="M44" s="36">
        <v>50</v>
      </c>
      <c r="N44" s="36">
        <v>21</v>
      </c>
      <c r="O44" s="36">
        <f t="shared" si="15"/>
        <v>71</v>
      </c>
      <c r="P44" s="56"/>
      <c r="Q44" s="36" t="str">
        <f t="shared" si="16"/>
        <v>F</v>
      </c>
      <c r="R44" s="36">
        <v>14</v>
      </c>
      <c r="S44" s="56"/>
      <c r="T44" s="36" t="str">
        <f t="shared" si="5"/>
        <v>F</v>
      </c>
      <c r="U44" s="36">
        <v>40</v>
      </c>
      <c r="V44" s="56"/>
      <c r="W44" s="36">
        <f t="shared" si="18"/>
        <v>2</v>
      </c>
      <c r="X44" s="36">
        <v>41</v>
      </c>
      <c r="Y44" s="56"/>
      <c r="Z44" s="36">
        <f t="shared" si="7"/>
        <v>2</v>
      </c>
      <c r="AA44" s="36">
        <v>32</v>
      </c>
      <c r="AB44" s="56"/>
      <c r="AC44" s="36">
        <f t="shared" si="8"/>
        <v>3.5</v>
      </c>
      <c r="AD44" s="36">
        <v>30</v>
      </c>
      <c r="AE44" s="56"/>
      <c r="AF44" s="36">
        <f t="shared" si="9"/>
        <v>3.5</v>
      </c>
      <c r="AG44" s="36" t="str">
        <f t="shared" si="10"/>
        <v>F</v>
      </c>
      <c r="AH44" s="37" t="str">
        <f t="shared" si="11"/>
        <v>F</v>
      </c>
      <c r="AI44" s="38" t="str">
        <f t="shared" si="12"/>
        <v>NEED TO PROGRESS</v>
      </c>
      <c r="AJ44" s="39">
        <f t="shared" si="13"/>
        <v>313</v>
      </c>
      <c r="AK44" s="39"/>
      <c r="AL44" s="39">
        <v>60</v>
      </c>
    </row>
    <row r="45" spans="1:38" s="1" customFormat="1" ht="24.95" customHeight="1">
      <c r="A45" s="51">
        <v>38</v>
      </c>
      <c r="B45" s="49">
        <v>46</v>
      </c>
      <c r="C45" s="49" t="s">
        <v>170</v>
      </c>
      <c r="D45" s="49" t="s">
        <v>171</v>
      </c>
      <c r="E45" s="49" t="s">
        <v>172</v>
      </c>
      <c r="F45" s="46">
        <v>17</v>
      </c>
      <c r="G45" s="39">
        <v>17</v>
      </c>
      <c r="H45" s="36">
        <f t="shared" si="0"/>
        <v>34</v>
      </c>
      <c r="I45" s="39">
        <v>32</v>
      </c>
      <c r="J45" s="36">
        <f t="shared" si="1"/>
        <v>66</v>
      </c>
      <c r="K45" s="56"/>
      <c r="L45" s="36">
        <f t="shared" si="14"/>
        <v>2</v>
      </c>
      <c r="M45" s="36">
        <v>40</v>
      </c>
      <c r="N45" s="36">
        <v>29</v>
      </c>
      <c r="O45" s="36">
        <f t="shared" si="15"/>
        <v>69</v>
      </c>
      <c r="P45" s="56"/>
      <c r="Q45" s="36" t="str">
        <f t="shared" si="16"/>
        <v>F</v>
      </c>
      <c r="R45" s="36">
        <v>15</v>
      </c>
      <c r="S45" s="56"/>
      <c r="T45" s="36" t="str">
        <f t="shared" si="5"/>
        <v>F</v>
      </c>
      <c r="U45" s="36">
        <v>44</v>
      </c>
      <c r="V45" s="56"/>
      <c r="W45" s="36">
        <f t="shared" si="18"/>
        <v>2</v>
      </c>
      <c r="X45" s="36">
        <v>40</v>
      </c>
      <c r="Y45" s="56"/>
      <c r="Z45" s="36">
        <f t="shared" si="7"/>
        <v>2</v>
      </c>
      <c r="AA45" s="36">
        <v>20</v>
      </c>
      <c r="AB45" s="56"/>
      <c r="AC45" s="36">
        <f t="shared" si="8"/>
        <v>2</v>
      </c>
      <c r="AD45" s="36">
        <v>20</v>
      </c>
      <c r="AE45" s="56"/>
      <c r="AF45" s="36">
        <f t="shared" si="9"/>
        <v>2</v>
      </c>
      <c r="AG45" s="36" t="str">
        <f t="shared" si="10"/>
        <v>F</v>
      </c>
      <c r="AH45" s="37" t="str">
        <f t="shared" si="11"/>
        <v>F</v>
      </c>
      <c r="AI45" s="38" t="str">
        <f t="shared" si="12"/>
        <v>NEED TO PROGRESS</v>
      </c>
      <c r="AJ45" s="39">
        <f t="shared" si="13"/>
        <v>274</v>
      </c>
      <c r="AK45" s="39"/>
      <c r="AL45" s="39">
        <v>55</v>
      </c>
    </row>
    <row r="46" spans="1:38" s="1" customFormat="1" ht="24.95" customHeight="1">
      <c r="A46" s="51">
        <v>39</v>
      </c>
      <c r="B46" s="49">
        <v>48</v>
      </c>
      <c r="C46" s="49" t="s">
        <v>173</v>
      </c>
      <c r="D46" s="49" t="s">
        <v>174</v>
      </c>
      <c r="E46" s="49" t="s">
        <v>175</v>
      </c>
      <c r="F46" s="46">
        <v>30</v>
      </c>
      <c r="G46" s="39">
        <v>22</v>
      </c>
      <c r="H46" s="36">
        <f t="shared" si="0"/>
        <v>52</v>
      </c>
      <c r="I46" s="39">
        <v>32</v>
      </c>
      <c r="J46" s="36">
        <f t="shared" si="1"/>
        <v>84</v>
      </c>
      <c r="K46" s="56"/>
      <c r="L46" s="36">
        <f t="shared" si="14"/>
        <v>3</v>
      </c>
      <c r="M46" s="36">
        <v>42</v>
      </c>
      <c r="N46" s="36">
        <v>41</v>
      </c>
      <c r="O46" s="36">
        <f t="shared" si="15"/>
        <v>83</v>
      </c>
      <c r="P46" s="56"/>
      <c r="Q46" s="36">
        <f t="shared" si="16"/>
        <v>2</v>
      </c>
      <c r="R46" s="36">
        <v>14</v>
      </c>
      <c r="S46" s="56"/>
      <c r="T46" s="36" t="str">
        <f t="shared" si="5"/>
        <v>F</v>
      </c>
      <c r="U46" s="36">
        <v>47</v>
      </c>
      <c r="V46" s="56"/>
      <c r="W46" s="36">
        <f t="shared" si="18"/>
        <v>2</v>
      </c>
      <c r="X46" s="36">
        <v>47</v>
      </c>
      <c r="Y46" s="56"/>
      <c r="Z46" s="36">
        <f t="shared" si="7"/>
        <v>2</v>
      </c>
      <c r="AA46" s="36">
        <v>22</v>
      </c>
      <c r="AB46" s="56"/>
      <c r="AC46" s="36">
        <f t="shared" si="8"/>
        <v>2</v>
      </c>
      <c r="AD46" s="36">
        <v>29</v>
      </c>
      <c r="AE46" s="56"/>
      <c r="AF46" s="36">
        <f t="shared" si="9"/>
        <v>3</v>
      </c>
      <c r="AG46" s="36" t="str">
        <f t="shared" si="10"/>
        <v>F</v>
      </c>
      <c r="AH46" s="37" t="str">
        <f t="shared" si="11"/>
        <v>F</v>
      </c>
      <c r="AI46" s="38" t="str">
        <f t="shared" si="12"/>
        <v>NEED TO PROGRESS</v>
      </c>
      <c r="AJ46" s="39">
        <f t="shared" si="13"/>
        <v>326</v>
      </c>
      <c r="AK46" s="39"/>
      <c r="AL46" s="39">
        <v>60</v>
      </c>
    </row>
    <row r="47" spans="1:38" s="1" customFormat="1" ht="24.95" customHeight="1">
      <c r="A47" s="51">
        <v>40</v>
      </c>
      <c r="B47" s="34">
        <v>52</v>
      </c>
      <c r="C47" s="34" t="s">
        <v>176</v>
      </c>
      <c r="D47" s="34" t="s">
        <v>177</v>
      </c>
      <c r="E47" s="34" t="s">
        <v>178</v>
      </c>
      <c r="F47" s="46">
        <v>14</v>
      </c>
      <c r="G47" s="39">
        <v>17</v>
      </c>
      <c r="H47" s="36">
        <f t="shared" si="0"/>
        <v>31</v>
      </c>
      <c r="I47" s="39">
        <v>37</v>
      </c>
      <c r="J47" s="36">
        <f t="shared" si="1"/>
        <v>68</v>
      </c>
      <c r="K47" s="56"/>
      <c r="L47" s="36">
        <f t="shared" si="14"/>
        <v>2</v>
      </c>
      <c r="M47" s="36">
        <v>29</v>
      </c>
      <c r="N47" s="36">
        <v>41</v>
      </c>
      <c r="O47" s="36">
        <f t="shared" si="15"/>
        <v>70</v>
      </c>
      <c r="P47" s="56"/>
      <c r="Q47" s="36" t="str">
        <f t="shared" si="16"/>
        <v>F</v>
      </c>
      <c r="R47" s="36">
        <v>15</v>
      </c>
      <c r="S47" s="56"/>
      <c r="T47" s="36" t="str">
        <f t="shared" si="5"/>
        <v>F</v>
      </c>
      <c r="U47" s="36">
        <v>65</v>
      </c>
      <c r="V47" s="56"/>
      <c r="W47" s="36">
        <f t="shared" si="18"/>
        <v>3.5</v>
      </c>
      <c r="X47" s="36">
        <v>40</v>
      </c>
      <c r="Y47" s="56"/>
      <c r="Z47" s="36">
        <f t="shared" si="7"/>
        <v>2</v>
      </c>
      <c r="AA47" s="36">
        <v>29</v>
      </c>
      <c r="AB47" s="56"/>
      <c r="AC47" s="36">
        <f t="shared" si="8"/>
        <v>3</v>
      </c>
      <c r="AD47" s="36">
        <v>29</v>
      </c>
      <c r="AE47" s="56"/>
      <c r="AF47" s="36">
        <f t="shared" si="9"/>
        <v>3</v>
      </c>
      <c r="AG47" s="36" t="str">
        <f t="shared" si="10"/>
        <v>F</v>
      </c>
      <c r="AH47" s="37" t="str">
        <f t="shared" si="11"/>
        <v>F</v>
      </c>
      <c r="AI47" s="38" t="str">
        <f t="shared" si="12"/>
        <v>NEED TO PROGRESS</v>
      </c>
      <c r="AJ47" s="39">
        <f t="shared" si="13"/>
        <v>316</v>
      </c>
      <c r="AK47" s="39"/>
      <c r="AL47" s="39">
        <v>60</v>
      </c>
    </row>
    <row r="48" spans="1:38" s="1" customFormat="1" ht="24.95" customHeight="1">
      <c r="A48" s="51">
        <v>41</v>
      </c>
      <c r="B48" s="34">
        <v>59</v>
      </c>
      <c r="C48" s="34" t="s">
        <v>179</v>
      </c>
      <c r="D48" s="34" t="s">
        <v>180</v>
      </c>
      <c r="E48" s="34" t="s">
        <v>181</v>
      </c>
      <c r="F48" s="47">
        <v>22</v>
      </c>
      <c r="G48" s="39">
        <v>23</v>
      </c>
      <c r="H48" s="36">
        <f t="shared" si="0"/>
        <v>45</v>
      </c>
      <c r="I48" s="39">
        <v>26</v>
      </c>
      <c r="J48" s="36">
        <f t="shared" si="1"/>
        <v>71</v>
      </c>
      <c r="K48" s="56"/>
      <c r="L48" s="36">
        <f t="shared" si="14"/>
        <v>2</v>
      </c>
      <c r="M48" s="36">
        <v>40</v>
      </c>
      <c r="N48" s="36">
        <v>44</v>
      </c>
      <c r="O48" s="36">
        <f t="shared" si="15"/>
        <v>84</v>
      </c>
      <c r="P48" s="56"/>
      <c r="Q48" s="36">
        <f t="shared" si="16"/>
        <v>2</v>
      </c>
      <c r="R48" s="36">
        <v>20</v>
      </c>
      <c r="S48" s="56"/>
      <c r="T48" s="36" t="str">
        <f t="shared" si="5"/>
        <v>F</v>
      </c>
      <c r="U48" s="36">
        <v>54</v>
      </c>
      <c r="V48" s="56"/>
      <c r="W48" s="36">
        <f t="shared" si="18"/>
        <v>3</v>
      </c>
      <c r="X48" s="36">
        <v>40</v>
      </c>
      <c r="Y48" s="56"/>
      <c r="Z48" s="36">
        <f t="shared" si="7"/>
        <v>2</v>
      </c>
      <c r="AA48" s="36">
        <v>31</v>
      </c>
      <c r="AB48" s="56"/>
      <c r="AC48" s="36">
        <f t="shared" si="8"/>
        <v>3.5</v>
      </c>
      <c r="AD48" s="36">
        <v>32</v>
      </c>
      <c r="AE48" s="56"/>
      <c r="AF48" s="36">
        <f t="shared" si="9"/>
        <v>3.5</v>
      </c>
      <c r="AG48" s="36" t="str">
        <f t="shared" si="10"/>
        <v>F</v>
      </c>
      <c r="AH48" s="37" t="str">
        <f t="shared" si="11"/>
        <v>F</v>
      </c>
      <c r="AI48" s="38" t="str">
        <f t="shared" si="12"/>
        <v>NEED TO PROGRESS</v>
      </c>
      <c r="AJ48" s="39">
        <f t="shared" si="13"/>
        <v>332</v>
      </c>
      <c r="AK48" s="39"/>
      <c r="AL48" s="39">
        <v>55</v>
      </c>
    </row>
    <row r="49" spans="1:38" s="1" customFormat="1" ht="24.95" customHeight="1">
      <c r="A49" s="51">
        <v>42</v>
      </c>
      <c r="B49" s="34">
        <v>61</v>
      </c>
      <c r="C49" s="34" t="s">
        <v>182</v>
      </c>
      <c r="D49" s="34" t="s">
        <v>183</v>
      </c>
      <c r="E49" s="34" t="s">
        <v>184</v>
      </c>
      <c r="F49" s="47">
        <v>31</v>
      </c>
      <c r="G49" s="39">
        <v>18</v>
      </c>
      <c r="H49" s="36">
        <f t="shared" si="0"/>
        <v>49</v>
      </c>
      <c r="I49" s="39">
        <v>37</v>
      </c>
      <c r="J49" s="36">
        <f t="shared" si="1"/>
        <v>86</v>
      </c>
      <c r="K49" s="56"/>
      <c r="L49" s="36">
        <f t="shared" si="14"/>
        <v>3</v>
      </c>
      <c r="M49" s="36">
        <v>43</v>
      </c>
      <c r="N49" s="36">
        <v>22</v>
      </c>
      <c r="O49" s="36">
        <f t="shared" si="15"/>
        <v>65</v>
      </c>
      <c r="P49" s="56"/>
      <c r="Q49" s="36" t="str">
        <f t="shared" si="16"/>
        <v>F</v>
      </c>
      <c r="R49" s="36">
        <v>40</v>
      </c>
      <c r="S49" s="56"/>
      <c r="T49" s="36">
        <f t="shared" si="5"/>
        <v>2</v>
      </c>
      <c r="U49" s="36">
        <v>52</v>
      </c>
      <c r="V49" s="56"/>
      <c r="W49" s="36">
        <f t="shared" si="18"/>
        <v>3</v>
      </c>
      <c r="X49" s="36">
        <v>46</v>
      </c>
      <c r="Y49" s="56"/>
      <c r="Z49" s="36">
        <f t="shared" si="7"/>
        <v>2</v>
      </c>
      <c r="AA49" s="36">
        <v>27</v>
      </c>
      <c r="AB49" s="56"/>
      <c r="AC49" s="36">
        <f t="shared" si="8"/>
        <v>3</v>
      </c>
      <c r="AD49" s="36">
        <v>24</v>
      </c>
      <c r="AE49" s="56"/>
      <c r="AF49" s="36">
        <f t="shared" si="9"/>
        <v>2</v>
      </c>
      <c r="AG49" s="36" t="str">
        <f t="shared" si="10"/>
        <v>F</v>
      </c>
      <c r="AH49" s="37" t="str">
        <f t="shared" si="11"/>
        <v>F</v>
      </c>
      <c r="AI49" s="38" t="str">
        <f t="shared" si="12"/>
        <v>NEED TO PROGRESS</v>
      </c>
      <c r="AJ49" s="39">
        <f t="shared" si="13"/>
        <v>340</v>
      </c>
      <c r="AK49" s="39"/>
      <c r="AL49" s="39">
        <v>65</v>
      </c>
    </row>
    <row r="50" spans="1:38" s="1" customFormat="1" ht="24.95" customHeight="1">
      <c r="A50" s="51">
        <v>43</v>
      </c>
      <c r="B50" s="34">
        <v>62</v>
      </c>
      <c r="C50" s="34" t="s">
        <v>185</v>
      </c>
      <c r="D50" s="34" t="s">
        <v>186</v>
      </c>
      <c r="E50" s="34" t="s">
        <v>187</v>
      </c>
      <c r="F50" s="47">
        <v>48</v>
      </c>
      <c r="G50" s="39">
        <v>26</v>
      </c>
      <c r="H50" s="36">
        <f t="shared" si="0"/>
        <v>74</v>
      </c>
      <c r="I50" s="39">
        <v>31</v>
      </c>
      <c r="J50" s="36">
        <f t="shared" si="1"/>
        <v>105</v>
      </c>
      <c r="K50" s="56"/>
      <c r="L50" s="36">
        <f t="shared" si="14"/>
        <v>4</v>
      </c>
      <c r="M50" s="36">
        <v>47</v>
      </c>
      <c r="N50" s="36">
        <v>43</v>
      </c>
      <c r="O50" s="36">
        <f t="shared" si="15"/>
        <v>90</v>
      </c>
      <c r="P50" s="56"/>
      <c r="Q50" s="36">
        <f t="shared" si="16"/>
        <v>2</v>
      </c>
      <c r="R50" s="36">
        <v>25</v>
      </c>
      <c r="S50" s="56"/>
      <c r="T50" s="36" t="str">
        <f t="shared" si="5"/>
        <v>F</v>
      </c>
      <c r="U50" s="36">
        <v>40</v>
      </c>
      <c r="V50" s="56"/>
      <c r="W50" s="36">
        <f t="shared" si="18"/>
        <v>2</v>
      </c>
      <c r="X50" s="36">
        <v>55</v>
      </c>
      <c r="Y50" s="56"/>
      <c r="Z50" s="36">
        <f t="shared" si="7"/>
        <v>3</v>
      </c>
      <c r="AA50" s="36">
        <v>31</v>
      </c>
      <c r="AB50" s="56"/>
      <c r="AC50" s="36">
        <f t="shared" si="8"/>
        <v>3.5</v>
      </c>
      <c r="AD50" s="36">
        <v>34</v>
      </c>
      <c r="AE50" s="56"/>
      <c r="AF50" s="36">
        <f t="shared" si="9"/>
        <v>3.5</v>
      </c>
      <c r="AG50" s="36" t="str">
        <f t="shared" si="10"/>
        <v>F</v>
      </c>
      <c r="AH50" s="37" t="str">
        <f t="shared" si="11"/>
        <v>F</v>
      </c>
      <c r="AI50" s="38" t="str">
        <f t="shared" si="12"/>
        <v>NEED TO PROGRESS</v>
      </c>
      <c r="AJ50" s="39">
        <f t="shared" si="13"/>
        <v>380</v>
      </c>
      <c r="AK50" s="39"/>
      <c r="AL50" s="39">
        <v>45</v>
      </c>
    </row>
    <row r="51" spans="1:38" s="1" customFormat="1" ht="24.95" customHeight="1">
      <c r="A51" s="51">
        <v>44</v>
      </c>
      <c r="B51" s="34">
        <v>65</v>
      </c>
      <c r="C51" s="34" t="s">
        <v>188</v>
      </c>
      <c r="D51" s="34" t="s">
        <v>189</v>
      </c>
      <c r="E51" s="34" t="s">
        <v>190</v>
      </c>
      <c r="F51" s="47">
        <v>36</v>
      </c>
      <c r="G51" s="39">
        <v>25</v>
      </c>
      <c r="H51" s="36">
        <f t="shared" si="0"/>
        <v>61</v>
      </c>
      <c r="I51" s="39">
        <v>41</v>
      </c>
      <c r="J51" s="36">
        <f t="shared" si="1"/>
        <v>102</v>
      </c>
      <c r="K51" s="56"/>
      <c r="L51" s="36">
        <f t="shared" si="14"/>
        <v>3.5</v>
      </c>
      <c r="M51" s="36">
        <v>75</v>
      </c>
      <c r="N51" s="36">
        <v>51</v>
      </c>
      <c r="O51" s="36">
        <f t="shared" si="15"/>
        <v>126</v>
      </c>
      <c r="P51" s="56"/>
      <c r="Q51" s="36">
        <f t="shared" si="16"/>
        <v>3.5</v>
      </c>
      <c r="R51" s="36">
        <v>55</v>
      </c>
      <c r="S51" s="56"/>
      <c r="T51" s="36">
        <f t="shared" si="5"/>
        <v>3</v>
      </c>
      <c r="U51" s="36">
        <v>80</v>
      </c>
      <c r="V51" s="56"/>
      <c r="W51" s="36">
        <f t="shared" si="18"/>
        <v>5</v>
      </c>
      <c r="X51" s="36">
        <v>70</v>
      </c>
      <c r="Y51" s="56"/>
      <c r="Z51" s="36">
        <f t="shared" si="7"/>
        <v>4</v>
      </c>
      <c r="AA51" s="36">
        <v>39</v>
      </c>
      <c r="AB51" s="56"/>
      <c r="AC51" s="36">
        <f t="shared" si="8"/>
        <v>4</v>
      </c>
      <c r="AD51" s="36">
        <v>42</v>
      </c>
      <c r="AE51" s="56"/>
      <c r="AF51" s="36">
        <f t="shared" si="9"/>
        <v>5</v>
      </c>
      <c r="AG51" s="36">
        <f t="shared" si="10"/>
        <v>28</v>
      </c>
      <c r="AH51" s="37">
        <f t="shared" si="11"/>
        <v>4</v>
      </c>
      <c r="AI51" s="38" t="str">
        <f t="shared" si="12"/>
        <v>BETTER</v>
      </c>
      <c r="AJ51" s="39">
        <f t="shared" si="13"/>
        <v>514</v>
      </c>
      <c r="AK51" s="39">
        <v>31</v>
      </c>
      <c r="AL51" s="39">
        <v>70</v>
      </c>
    </row>
    <row r="52" spans="1:38" s="1" customFormat="1" ht="24.95" customHeight="1">
      <c r="A52" s="51">
        <v>45</v>
      </c>
      <c r="B52" s="34">
        <v>66</v>
      </c>
      <c r="C52" s="34" t="s">
        <v>191</v>
      </c>
      <c r="D52" s="34" t="s">
        <v>192</v>
      </c>
      <c r="E52" s="34" t="s">
        <v>193</v>
      </c>
      <c r="F52" s="47">
        <v>50</v>
      </c>
      <c r="G52" s="39">
        <v>27</v>
      </c>
      <c r="H52" s="36">
        <f t="shared" si="0"/>
        <v>77</v>
      </c>
      <c r="I52" s="39">
        <v>44</v>
      </c>
      <c r="J52" s="36">
        <f t="shared" si="1"/>
        <v>121</v>
      </c>
      <c r="K52" s="56"/>
      <c r="L52" s="36">
        <f t="shared" si="14"/>
        <v>5</v>
      </c>
      <c r="M52" s="36">
        <v>82</v>
      </c>
      <c r="N52" s="36">
        <v>67</v>
      </c>
      <c r="O52" s="36">
        <f t="shared" si="15"/>
        <v>149</v>
      </c>
      <c r="P52" s="56"/>
      <c r="Q52" s="36">
        <f t="shared" si="16"/>
        <v>4</v>
      </c>
      <c r="R52" s="36">
        <v>60</v>
      </c>
      <c r="S52" s="56"/>
      <c r="T52" s="36">
        <f t="shared" si="5"/>
        <v>3.5</v>
      </c>
      <c r="U52" s="36">
        <v>90</v>
      </c>
      <c r="V52" s="56"/>
      <c r="W52" s="36">
        <f t="shared" si="18"/>
        <v>5</v>
      </c>
      <c r="X52" s="36">
        <v>72</v>
      </c>
      <c r="Y52" s="56"/>
      <c r="Z52" s="36">
        <f t="shared" si="7"/>
        <v>4</v>
      </c>
      <c r="AA52" s="36">
        <v>46</v>
      </c>
      <c r="AB52" s="56"/>
      <c r="AC52" s="36">
        <f t="shared" si="8"/>
        <v>5</v>
      </c>
      <c r="AD52" s="36">
        <v>40</v>
      </c>
      <c r="AE52" s="56"/>
      <c r="AF52" s="36">
        <f t="shared" si="9"/>
        <v>5</v>
      </c>
      <c r="AG52" s="36">
        <f t="shared" si="10"/>
        <v>31.5</v>
      </c>
      <c r="AH52" s="37">
        <f t="shared" si="11"/>
        <v>4.5</v>
      </c>
      <c r="AI52" s="38" t="str">
        <f t="shared" si="12"/>
        <v>BETTER</v>
      </c>
      <c r="AJ52" s="39">
        <f t="shared" si="13"/>
        <v>578</v>
      </c>
      <c r="AK52" s="39">
        <v>15</v>
      </c>
      <c r="AL52" s="39">
        <v>65</v>
      </c>
    </row>
    <row r="53" spans="1:38" s="1" customFormat="1" ht="24.95" customHeight="1">
      <c r="A53" s="51">
        <v>46</v>
      </c>
      <c r="B53" s="34">
        <v>69</v>
      </c>
      <c r="C53" s="34" t="s">
        <v>194</v>
      </c>
      <c r="D53" s="34" t="s">
        <v>195</v>
      </c>
      <c r="E53" s="34" t="s">
        <v>196</v>
      </c>
      <c r="F53" s="47">
        <v>35</v>
      </c>
      <c r="G53" s="39">
        <v>24</v>
      </c>
      <c r="H53" s="36">
        <f t="shared" si="0"/>
        <v>59</v>
      </c>
      <c r="I53" s="39">
        <v>40</v>
      </c>
      <c r="J53" s="36">
        <f t="shared" si="1"/>
        <v>99</v>
      </c>
      <c r="K53" s="56"/>
      <c r="L53" s="36">
        <f t="shared" si="14"/>
        <v>3.5</v>
      </c>
      <c r="M53" s="36">
        <v>64</v>
      </c>
      <c r="N53" s="36">
        <v>61</v>
      </c>
      <c r="O53" s="36">
        <f t="shared" si="15"/>
        <v>125</v>
      </c>
      <c r="P53" s="56"/>
      <c r="Q53" s="36">
        <f t="shared" si="16"/>
        <v>3.5</v>
      </c>
      <c r="R53" s="36">
        <v>53</v>
      </c>
      <c r="S53" s="56"/>
      <c r="T53" s="36">
        <f t="shared" si="5"/>
        <v>3</v>
      </c>
      <c r="U53" s="36">
        <v>76</v>
      </c>
      <c r="V53" s="56"/>
      <c r="W53" s="36">
        <f t="shared" si="18"/>
        <v>4</v>
      </c>
      <c r="X53" s="36">
        <v>60</v>
      </c>
      <c r="Y53" s="56"/>
      <c r="Z53" s="36">
        <f t="shared" si="7"/>
        <v>3.5</v>
      </c>
      <c r="AA53" s="36">
        <v>44</v>
      </c>
      <c r="AB53" s="56"/>
      <c r="AC53" s="36">
        <f t="shared" si="8"/>
        <v>5</v>
      </c>
      <c r="AD53" s="36">
        <v>43</v>
      </c>
      <c r="AE53" s="56"/>
      <c r="AF53" s="36">
        <f t="shared" si="9"/>
        <v>5</v>
      </c>
      <c r="AG53" s="36">
        <f t="shared" si="10"/>
        <v>27.5</v>
      </c>
      <c r="AH53" s="37">
        <f t="shared" si="11"/>
        <v>3.9285714285714284</v>
      </c>
      <c r="AI53" s="38" t="str">
        <f t="shared" si="12"/>
        <v>GOOD</v>
      </c>
      <c r="AJ53" s="39">
        <f t="shared" si="13"/>
        <v>500</v>
      </c>
      <c r="AK53" s="39">
        <v>33</v>
      </c>
      <c r="AL53" s="39">
        <v>58</v>
      </c>
    </row>
    <row r="54" spans="1:38" s="1" customFormat="1" ht="24.95" customHeight="1">
      <c r="A54" s="51">
        <v>47</v>
      </c>
      <c r="B54" s="34">
        <v>70</v>
      </c>
      <c r="C54" s="34" t="s">
        <v>197</v>
      </c>
      <c r="D54" s="34" t="s">
        <v>198</v>
      </c>
      <c r="E54" s="34" t="s">
        <v>199</v>
      </c>
      <c r="F54" s="47">
        <v>30</v>
      </c>
      <c r="G54" s="39">
        <v>19</v>
      </c>
      <c r="H54" s="36">
        <f t="shared" si="0"/>
        <v>49</v>
      </c>
      <c r="I54" s="39">
        <v>34</v>
      </c>
      <c r="J54" s="36">
        <f t="shared" si="1"/>
        <v>83</v>
      </c>
      <c r="K54" s="56"/>
      <c r="L54" s="36">
        <f t="shared" si="14"/>
        <v>3</v>
      </c>
      <c r="M54" s="36">
        <v>52</v>
      </c>
      <c r="N54" s="36">
        <v>51</v>
      </c>
      <c r="O54" s="36">
        <f t="shared" si="15"/>
        <v>103</v>
      </c>
      <c r="P54" s="56"/>
      <c r="Q54" s="36">
        <f t="shared" si="16"/>
        <v>3</v>
      </c>
      <c r="R54" s="36">
        <v>16</v>
      </c>
      <c r="S54" s="56"/>
      <c r="T54" s="36" t="str">
        <f t="shared" si="5"/>
        <v>F</v>
      </c>
      <c r="U54" s="36">
        <v>53</v>
      </c>
      <c r="V54" s="56"/>
      <c r="W54" s="36">
        <f t="shared" si="18"/>
        <v>3</v>
      </c>
      <c r="X54" s="36">
        <v>52</v>
      </c>
      <c r="Y54" s="56"/>
      <c r="Z54" s="36">
        <f t="shared" si="7"/>
        <v>3</v>
      </c>
      <c r="AA54" s="36">
        <v>20</v>
      </c>
      <c r="AB54" s="56"/>
      <c r="AC54" s="36">
        <f t="shared" si="8"/>
        <v>2</v>
      </c>
      <c r="AD54" s="36">
        <v>21</v>
      </c>
      <c r="AE54" s="56"/>
      <c r="AF54" s="36">
        <f t="shared" si="9"/>
        <v>2</v>
      </c>
      <c r="AG54" s="36" t="str">
        <f t="shared" si="10"/>
        <v>F</v>
      </c>
      <c r="AH54" s="37" t="str">
        <f t="shared" si="11"/>
        <v>F</v>
      </c>
      <c r="AI54" s="38" t="str">
        <f t="shared" si="12"/>
        <v>NEED TO PROGRESS</v>
      </c>
      <c r="AJ54" s="39">
        <f t="shared" si="13"/>
        <v>348</v>
      </c>
      <c r="AK54" s="39"/>
      <c r="AL54" s="39">
        <v>59</v>
      </c>
    </row>
    <row r="55" spans="1:38" s="1" customFormat="1" ht="24.95" customHeight="1">
      <c r="A55" s="51">
        <v>48</v>
      </c>
      <c r="B55" s="34">
        <v>71</v>
      </c>
      <c r="C55" s="34" t="s">
        <v>200</v>
      </c>
      <c r="D55" s="34" t="s">
        <v>201</v>
      </c>
      <c r="E55" s="34" t="s">
        <v>202</v>
      </c>
      <c r="F55" s="47">
        <v>52</v>
      </c>
      <c r="G55" s="39">
        <v>28</v>
      </c>
      <c r="H55" s="36">
        <f t="shared" si="0"/>
        <v>80</v>
      </c>
      <c r="I55" s="39">
        <v>41</v>
      </c>
      <c r="J55" s="36">
        <f t="shared" si="1"/>
        <v>121</v>
      </c>
      <c r="K55" s="56"/>
      <c r="L55" s="36">
        <f t="shared" si="14"/>
        <v>5</v>
      </c>
      <c r="M55" s="36">
        <v>80</v>
      </c>
      <c r="N55" s="36">
        <v>65</v>
      </c>
      <c r="O55" s="36">
        <f t="shared" si="15"/>
        <v>145</v>
      </c>
      <c r="P55" s="56"/>
      <c r="Q55" s="36">
        <f t="shared" si="16"/>
        <v>4</v>
      </c>
      <c r="R55" s="36">
        <v>40</v>
      </c>
      <c r="S55" s="56"/>
      <c r="T55" s="36">
        <f t="shared" si="5"/>
        <v>2</v>
      </c>
      <c r="U55" s="36">
        <v>85</v>
      </c>
      <c r="V55" s="56"/>
      <c r="W55" s="36">
        <f t="shared" si="18"/>
        <v>5</v>
      </c>
      <c r="X55" s="36">
        <v>81</v>
      </c>
      <c r="Y55" s="56"/>
      <c r="Z55" s="36">
        <f t="shared" si="7"/>
        <v>5</v>
      </c>
      <c r="AA55" s="36">
        <v>44</v>
      </c>
      <c r="AB55" s="56"/>
      <c r="AC55" s="36">
        <f t="shared" si="8"/>
        <v>5</v>
      </c>
      <c r="AD55" s="36">
        <v>44</v>
      </c>
      <c r="AE55" s="56"/>
      <c r="AF55" s="36">
        <f t="shared" si="9"/>
        <v>5</v>
      </c>
      <c r="AG55" s="36">
        <f t="shared" si="10"/>
        <v>31</v>
      </c>
      <c r="AH55" s="37">
        <f t="shared" si="11"/>
        <v>4.4285714285714288</v>
      </c>
      <c r="AI55" s="38" t="str">
        <f t="shared" si="12"/>
        <v>BETTER</v>
      </c>
      <c r="AJ55" s="39">
        <f t="shared" si="13"/>
        <v>560</v>
      </c>
      <c r="AK55" s="39">
        <v>19</v>
      </c>
      <c r="AL55" s="39">
        <v>60</v>
      </c>
    </row>
    <row r="56" spans="1:38" s="1" customFormat="1" ht="24.95" customHeight="1">
      <c r="A56" s="51">
        <v>49</v>
      </c>
      <c r="B56" s="34">
        <v>73</v>
      </c>
      <c r="C56" s="34" t="s">
        <v>203</v>
      </c>
      <c r="D56" s="34" t="s">
        <v>204</v>
      </c>
      <c r="E56" s="34" t="s">
        <v>205</v>
      </c>
      <c r="F56" s="47">
        <v>36</v>
      </c>
      <c r="G56" s="39">
        <v>19</v>
      </c>
      <c r="H56" s="36">
        <f t="shared" si="0"/>
        <v>55</v>
      </c>
      <c r="I56" s="39">
        <v>31</v>
      </c>
      <c r="J56" s="36">
        <f t="shared" si="1"/>
        <v>86</v>
      </c>
      <c r="K56" s="56"/>
      <c r="L56" s="36">
        <f t="shared" si="14"/>
        <v>3</v>
      </c>
      <c r="M56" s="36">
        <v>75</v>
      </c>
      <c r="N56" s="36">
        <v>51</v>
      </c>
      <c r="O56" s="36">
        <f t="shared" si="15"/>
        <v>126</v>
      </c>
      <c r="P56" s="56"/>
      <c r="Q56" s="36">
        <f t="shared" si="16"/>
        <v>3.5</v>
      </c>
      <c r="R56" s="36">
        <v>18</v>
      </c>
      <c r="S56" s="56"/>
      <c r="T56" s="36" t="str">
        <f t="shared" si="5"/>
        <v>F</v>
      </c>
      <c r="U56" s="36">
        <v>59</v>
      </c>
      <c r="V56" s="56"/>
      <c r="W56" s="36">
        <f t="shared" si="18"/>
        <v>3</v>
      </c>
      <c r="X56" s="36">
        <v>51</v>
      </c>
      <c r="Y56" s="56"/>
      <c r="Z56" s="36">
        <f t="shared" si="7"/>
        <v>3</v>
      </c>
      <c r="AA56" s="36">
        <v>26</v>
      </c>
      <c r="AB56" s="56"/>
      <c r="AC56" s="36">
        <f t="shared" si="8"/>
        <v>3</v>
      </c>
      <c r="AD56" s="36">
        <v>15</v>
      </c>
      <c r="AE56" s="56"/>
      <c r="AF56" s="36" t="str">
        <f t="shared" si="9"/>
        <v>F</v>
      </c>
      <c r="AG56" s="36" t="str">
        <f t="shared" si="10"/>
        <v>F</v>
      </c>
      <c r="AH56" s="37" t="str">
        <f t="shared" si="11"/>
        <v>F</v>
      </c>
      <c r="AI56" s="38" t="str">
        <f t="shared" si="12"/>
        <v>NEED TO PROGRESS</v>
      </c>
      <c r="AJ56" s="39">
        <f t="shared" si="13"/>
        <v>381</v>
      </c>
      <c r="AK56" s="39"/>
      <c r="AL56" s="39">
        <v>68</v>
      </c>
    </row>
    <row r="57" spans="1:38" s="1" customFormat="1" ht="24.95" customHeight="1">
      <c r="A57" s="51">
        <v>50</v>
      </c>
      <c r="B57" s="34">
        <v>76</v>
      </c>
      <c r="C57" s="34" t="s">
        <v>206</v>
      </c>
      <c r="D57" s="34" t="s">
        <v>207</v>
      </c>
      <c r="E57" s="34" t="s">
        <v>208</v>
      </c>
      <c r="F57" s="47">
        <v>65</v>
      </c>
      <c r="G57" s="39">
        <v>25</v>
      </c>
      <c r="H57" s="36">
        <f t="shared" si="0"/>
        <v>90</v>
      </c>
      <c r="I57" s="39">
        <v>45</v>
      </c>
      <c r="J57" s="36">
        <f t="shared" si="1"/>
        <v>135</v>
      </c>
      <c r="K57" s="56"/>
      <c r="L57" s="36">
        <f t="shared" si="14"/>
        <v>5</v>
      </c>
      <c r="M57" s="36">
        <v>72</v>
      </c>
      <c r="N57" s="36">
        <v>57</v>
      </c>
      <c r="O57" s="36">
        <f t="shared" si="15"/>
        <v>129</v>
      </c>
      <c r="P57" s="56"/>
      <c r="Q57" s="36">
        <f t="shared" si="16"/>
        <v>3.5</v>
      </c>
      <c r="R57" s="36">
        <v>40</v>
      </c>
      <c r="S57" s="56"/>
      <c r="T57" s="36">
        <f t="shared" si="5"/>
        <v>2</v>
      </c>
      <c r="U57" s="36">
        <v>80</v>
      </c>
      <c r="V57" s="56"/>
      <c r="W57" s="36">
        <f t="shared" si="18"/>
        <v>5</v>
      </c>
      <c r="X57" s="36">
        <v>87</v>
      </c>
      <c r="Y57" s="56"/>
      <c r="Z57" s="36">
        <f t="shared" si="7"/>
        <v>5</v>
      </c>
      <c r="AA57" s="36">
        <v>47</v>
      </c>
      <c r="AB57" s="56"/>
      <c r="AC57" s="36">
        <f t="shared" si="8"/>
        <v>5</v>
      </c>
      <c r="AD57" s="36">
        <v>47</v>
      </c>
      <c r="AE57" s="56"/>
      <c r="AF57" s="36">
        <f t="shared" si="9"/>
        <v>5</v>
      </c>
      <c r="AG57" s="36">
        <f t="shared" si="10"/>
        <v>30.5</v>
      </c>
      <c r="AH57" s="37">
        <f t="shared" si="11"/>
        <v>4.3571428571428568</v>
      </c>
      <c r="AI57" s="38" t="str">
        <f t="shared" si="12"/>
        <v>BETTER</v>
      </c>
      <c r="AJ57" s="39">
        <f t="shared" si="13"/>
        <v>565</v>
      </c>
      <c r="AK57" s="39">
        <v>21</v>
      </c>
      <c r="AL57" s="39">
        <v>62</v>
      </c>
    </row>
    <row r="58" spans="1:38" s="1" customFormat="1" ht="24.95" customHeight="1">
      <c r="A58" s="51">
        <v>51</v>
      </c>
      <c r="B58" s="34">
        <v>77</v>
      </c>
      <c r="C58" s="34" t="s">
        <v>209</v>
      </c>
      <c r="D58" s="34" t="s">
        <v>210</v>
      </c>
      <c r="E58" s="34" t="s">
        <v>211</v>
      </c>
      <c r="F58" s="47">
        <v>50</v>
      </c>
      <c r="G58" s="39">
        <v>24</v>
      </c>
      <c r="H58" s="36">
        <f t="shared" si="0"/>
        <v>74</v>
      </c>
      <c r="I58" s="39">
        <v>35</v>
      </c>
      <c r="J58" s="36">
        <f t="shared" si="1"/>
        <v>109</v>
      </c>
      <c r="K58" s="56"/>
      <c r="L58" s="36">
        <f t="shared" si="14"/>
        <v>4</v>
      </c>
      <c r="M58" s="36">
        <v>79</v>
      </c>
      <c r="N58" s="36">
        <v>62</v>
      </c>
      <c r="O58" s="36">
        <f t="shared" si="15"/>
        <v>141</v>
      </c>
      <c r="P58" s="56"/>
      <c r="Q58" s="36">
        <f t="shared" si="16"/>
        <v>4</v>
      </c>
      <c r="R58" s="36">
        <v>25</v>
      </c>
      <c r="S58" s="56"/>
      <c r="T58" s="36" t="str">
        <f t="shared" si="5"/>
        <v>F</v>
      </c>
      <c r="U58" s="36">
        <v>80</v>
      </c>
      <c r="V58" s="56"/>
      <c r="W58" s="36">
        <f t="shared" si="18"/>
        <v>5</v>
      </c>
      <c r="X58" s="36">
        <v>72</v>
      </c>
      <c r="Y58" s="56"/>
      <c r="Z58" s="36">
        <f t="shared" si="7"/>
        <v>4</v>
      </c>
      <c r="AA58" s="36">
        <v>41</v>
      </c>
      <c r="AB58" s="56"/>
      <c r="AC58" s="36">
        <f t="shared" si="8"/>
        <v>5</v>
      </c>
      <c r="AD58" s="36">
        <v>46</v>
      </c>
      <c r="AE58" s="56"/>
      <c r="AF58" s="36">
        <f t="shared" si="9"/>
        <v>5</v>
      </c>
      <c r="AG58" s="36" t="str">
        <f t="shared" si="10"/>
        <v>F</v>
      </c>
      <c r="AH58" s="37" t="str">
        <f t="shared" si="11"/>
        <v>F</v>
      </c>
      <c r="AI58" s="38" t="str">
        <f t="shared" si="12"/>
        <v>NEED TO PROGRESS</v>
      </c>
      <c r="AJ58" s="39">
        <f t="shared" si="13"/>
        <v>514</v>
      </c>
      <c r="AK58" s="39"/>
      <c r="AL58" s="39">
        <v>60</v>
      </c>
    </row>
    <row r="59" spans="1:38" s="1" customFormat="1" ht="24.95" customHeight="1">
      <c r="A59" s="51">
        <v>52</v>
      </c>
      <c r="B59" s="34">
        <v>84</v>
      </c>
      <c r="C59" s="34" t="s">
        <v>212</v>
      </c>
      <c r="D59" s="34" t="s">
        <v>213</v>
      </c>
      <c r="E59" s="34" t="s">
        <v>214</v>
      </c>
      <c r="F59" s="47">
        <v>34</v>
      </c>
      <c r="G59" s="39">
        <v>19</v>
      </c>
      <c r="H59" s="36">
        <f t="shared" si="0"/>
        <v>53</v>
      </c>
      <c r="I59" s="39">
        <v>33</v>
      </c>
      <c r="J59" s="36">
        <f t="shared" si="1"/>
        <v>86</v>
      </c>
      <c r="K59" s="56"/>
      <c r="L59" s="36">
        <f t="shared" si="14"/>
        <v>3</v>
      </c>
      <c r="M59" s="36">
        <v>65</v>
      </c>
      <c r="N59" s="36">
        <v>48</v>
      </c>
      <c r="O59" s="36">
        <f t="shared" si="15"/>
        <v>113</v>
      </c>
      <c r="P59" s="56"/>
      <c r="Q59" s="36">
        <f t="shared" si="16"/>
        <v>3</v>
      </c>
      <c r="R59" s="36">
        <v>20</v>
      </c>
      <c r="S59" s="56"/>
      <c r="T59" s="36" t="str">
        <f t="shared" si="5"/>
        <v>F</v>
      </c>
      <c r="U59" s="36">
        <v>57</v>
      </c>
      <c r="V59" s="56"/>
      <c r="W59" s="36">
        <f t="shared" si="18"/>
        <v>3</v>
      </c>
      <c r="X59" s="36">
        <v>41</v>
      </c>
      <c r="Y59" s="56"/>
      <c r="Z59" s="36">
        <f t="shared" si="7"/>
        <v>2</v>
      </c>
      <c r="AA59" s="36">
        <v>20</v>
      </c>
      <c r="AB59" s="56"/>
      <c r="AC59" s="36">
        <f t="shared" si="8"/>
        <v>2</v>
      </c>
      <c r="AD59" s="36">
        <v>12</v>
      </c>
      <c r="AE59" s="56"/>
      <c r="AF59" s="36" t="str">
        <f t="shared" si="9"/>
        <v>F</v>
      </c>
      <c r="AG59" s="36" t="str">
        <f t="shared" si="10"/>
        <v>F</v>
      </c>
      <c r="AH59" s="37" t="str">
        <f t="shared" si="11"/>
        <v>F</v>
      </c>
      <c r="AI59" s="38" t="str">
        <f t="shared" si="12"/>
        <v>NEED TO PROGRESS</v>
      </c>
      <c r="AJ59" s="39">
        <f t="shared" si="13"/>
        <v>349</v>
      </c>
      <c r="AK59" s="39"/>
      <c r="AL59" s="39">
        <v>65</v>
      </c>
    </row>
    <row r="60" spans="1:38" s="1" customFormat="1" ht="24.95" customHeight="1">
      <c r="A60" s="51">
        <v>53</v>
      </c>
      <c r="B60" s="34">
        <v>85</v>
      </c>
      <c r="C60" s="34" t="s">
        <v>215</v>
      </c>
      <c r="D60" s="34" t="s">
        <v>216</v>
      </c>
      <c r="E60" s="34" t="s">
        <v>217</v>
      </c>
      <c r="F60" s="47">
        <v>50</v>
      </c>
      <c r="G60" s="39">
        <v>28</v>
      </c>
      <c r="H60" s="36">
        <f t="shared" si="0"/>
        <v>78</v>
      </c>
      <c r="I60" s="39">
        <v>42</v>
      </c>
      <c r="J60" s="36">
        <f t="shared" si="1"/>
        <v>120</v>
      </c>
      <c r="K60" s="56"/>
      <c r="L60" s="36">
        <f t="shared" si="14"/>
        <v>5</v>
      </c>
      <c r="M60" s="36">
        <v>70</v>
      </c>
      <c r="N60" s="36">
        <v>69</v>
      </c>
      <c r="O60" s="36">
        <f t="shared" si="15"/>
        <v>139</v>
      </c>
      <c r="P60" s="56"/>
      <c r="Q60" s="36">
        <f t="shared" si="16"/>
        <v>4</v>
      </c>
      <c r="R60" s="36">
        <v>40</v>
      </c>
      <c r="S60" s="56"/>
      <c r="T60" s="36">
        <f t="shared" si="5"/>
        <v>2</v>
      </c>
      <c r="U60" s="36">
        <v>89</v>
      </c>
      <c r="V60" s="56"/>
      <c r="W60" s="36">
        <f t="shared" si="18"/>
        <v>5</v>
      </c>
      <c r="X60" s="36">
        <v>75</v>
      </c>
      <c r="Y60" s="56"/>
      <c r="Z60" s="36">
        <f t="shared" si="7"/>
        <v>4</v>
      </c>
      <c r="AA60" s="36">
        <v>31</v>
      </c>
      <c r="AB60" s="56"/>
      <c r="AC60" s="36">
        <f t="shared" si="8"/>
        <v>3.5</v>
      </c>
      <c r="AD60" s="36">
        <v>46</v>
      </c>
      <c r="AE60" s="56"/>
      <c r="AF60" s="36">
        <f t="shared" si="9"/>
        <v>5</v>
      </c>
      <c r="AG60" s="36">
        <f t="shared" si="10"/>
        <v>28.5</v>
      </c>
      <c r="AH60" s="37">
        <f t="shared" si="11"/>
        <v>4.0714285714285712</v>
      </c>
      <c r="AI60" s="38" t="str">
        <f t="shared" si="12"/>
        <v>BETTER</v>
      </c>
      <c r="AJ60" s="39">
        <f t="shared" si="13"/>
        <v>540</v>
      </c>
      <c r="AK60" s="39">
        <v>28</v>
      </c>
      <c r="AL60" s="39">
        <v>60</v>
      </c>
    </row>
    <row r="61" spans="1:38" s="1" customFormat="1" ht="24.95" customHeight="1">
      <c r="A61" s="51">
        <v>54</v>
      </c>
      <c r="B61" s="34">
        <v>89</v>
      </c>
      <c r="C61" s="34" t="s">
        <v>218</v>
      </c>
      <c r="D61" s="34" t="s">
        <v>219</v>
      </c>
      <c r="E61" s="34" t="s">
        <v>220</v>
      </c>
      <c r="F61" s="47">
        <v>36</v>
      </c>
      <c r="G61" s="39">
        <v>19</v>
      </c>
      <c r="H61" s="36">
        <f t="shared" si="0"/>
        <v>55</v>
      </c>
      <c r="I61" s="39">
        <v>37</v>
      </c>
      <c r="J61" s="36">
        <f t="shared" si="1"/>
        <v>92</v>
      </c>
      <c r="K61" s="57"/>
      <c r="L61" s="36">
        <f t="shared" si="14"/>
        <v>3.5</v>
      </c>
      <c r="M61" s="36">
        <v>67</v>
      </c>
      <c r="N61" s="36">
        <v>60</v>
      </c>
      <c r="O61" s="36">
        <f t="shared" si="15"/>
        <v>127</v>
      </c>
      <c r="P61" s="57"/>
      <c r="Q61" s="36">
        <f t="shared" si="16"/>
        <v>3.5</v>
      </c>
      <c r="R61" s="36">
        <v>41</v>
      </c>
      <c r="S61" s="57"/>
      <c r="T61" s="36">
        <f t="shared" si="5"/>
        <v>2</v>
      </c>
      <c r="U61" s="36">
        <v>59</v>
      </c>
      <c r="V61" s="57"/>
      <c r="W61" s="36">
        <f t="shared" si="18"/>
        <v>3</v>
      </c>
      <c r="X61" s="36">
        <v>55</v>
      </c>
      <c r="Y61" s="57"/>
      <c r="Z61" s="36">
        <f t="shared" si="7"/>
        <v>3</v>
      </c>
      <c r="AA61" s="36">
        <v>26</v>
      </c>
      <c r="AB61" s="57"/>
      <c r="AC61" s="36">
        <f t="shared" si="8"/>
        <v>3</v>
      </c>
      <c r="AD61" s="36">
        <v>20</v>
      </c>
      <c r="AE61" s="57"/>
      <c r="AF61" s="36">
        <f t="shared" si="9"/>
        <v>2</v>
      </c>
      <c r="AG61" s="36">
        <f t="shared" si="10"/>
        <v>20</v>
      </c>
      <c r="AH61" s="37">
        <f t="shared" si="11"/>
        <v>2.8571428571428572</v>
      </c>
      <c r="AI61" s="38" t="str">
        <f t="shared" si="12"/>
        <v>GOOD</v>
      </c>
      <c r="AJ61" s="39">
        <f t="shared" si="13"/>
        <v>420</v>
      </c>
      <c r="AK61" s="39">
        <v>39</v>
      </c>
      <c r="AL61" s="39">
        <v>65</v>
      </c>
    </row>
    <row r="62" spans="1:38" s="1" customFormat="1" ht="15.75">
      <c r="F62" s="40"/>
      <c r="J62" s="41"/>
      <c r="L62" s="41"/>
    </row>
    <row r="63" spans="1:38" s="1" customFormat="1" ht="15.75">
      <c r="F63" s="40"/>
      <c r="J63" s="41"/>
      <c r="L63" s="41"/>
    </row>
    <row r="64" spans="1:38">
      <c r="A64" s="42">
        <v>0</v>
      </c>
      <c r="B64" s="42">
        <v>1</v>
      </c>
      <c r="C64" s="42">
        <v>2</v>
      </c>
      <c r="D64" s="42">
        <v>3</v>
      </c>
      <c r="E64" s="42">
        <v>4</v>
      </c>
      <c r="F64" s="42">
        <v>5</v>
      </c>
      <c r="G64" s="42">
        <v>6</v>
      </c>
      <c r="H64" s="42">
        <v>7</v>
      </c>
      <c r="I64" s="42">
        <v>8</v>
      </c>
      <c r="J64" s="42">
        <v>9</v>
      </c>
      <c r="K64" s="42">
        <v>10</v>
      </c>
      <c r="L64" s="42">
        <v>11</v>
      </c>
      <c r="M64" s="42">
        <v>12</v>
      </c>
      <c r="N64" s="42">
        <v>13</v>
      </c>
      <c r="O64" s="42">
        <v>14</v>
      </c>
      <c r="P64" s="42">
        <v>15</v>
      </c>
      <c r="Q64" s="42">
        <v>16</v>
      </c>
      <c r="R64" s="42">
        <v>17</v>
      </c>
      <c r="S64" s="42">
        <v>18</v>
      </c>
      <c r="T64" s="42">
        <v>19</v>
      </c>
      <c r="U64" s="42">
        <v>20</v>
      </c>
      <c r="V64" s="42">
        <v>21</v>
      </c>
      <c r="W64" s="42">
        <v>22</v>
      </c>
      <c r="X64" s="42">
        <v>23</v>
      </c>
      <c r="Y64" s="42">
        <v>24</v>
      </c>
      <c r="Z64" s="42">
        <v>25</v>
      </c>
      <c r="AA64" s="42">
        <v>26</v>
      </c>
      <c r="AB64" s="42">
        <v>27</v>
      </c>
      <c r="AC64" s="42">
        <v>28</v>
      </c>
      <c r="AD64" s="42">
        <v>29</v>
      </c>
      <c r="AE64" s="42">
        <v>30</v>
      </c>
      <c r="AF64" s="42">
        <v>31</v>
      </c>
      <c r="AG64" s="42">
        <v>32</v>
      </c>
      <c r="AH64" s="42">
        <v>33</v>
      </c>
      <c r="AI64" s="42">
        <v>34</v>
      </c>
      <c r="AJ64" s="42">
        <v>35</v>
      </c>
      <c r="AK64" s="42">
        <v>36</v>
      </c>
      <c r="AL64" s="42">
        <v>37</v>
      </c>
    </row>
    <row r="73" ht="1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3" ht="15" customHeight="1"/>
    <row r="84" ht="20.25" customHeight="1"/>
    <row r="85" ht="23.25" customHeight="1"/>
    <row r="86" ht="18" customHeight="1"/>
    <row r="87" ht="16.5" customHeight="1"/>
    <row r="88" ht="20.25" customHeight="1"/>
    <row r="89" ht="18.75" customHeight="1"/>
  </sheetData>
  <dataConsolidate/>
  <mergeCells count="46">
    <mergeCell ref="A6:A7"/>
    <mergeCell ref="J6:J7"/>
    <mergeCell ref="S6:S7"/>
    <mergeCell ref="C6:C7"/>
    <mergeCell ref="P6:P7"/>
    <mergeCell ref="M6:M7"/>
    <mergeCell ref="N6:N7"/>
    <mergeCell ref="D6:D7"/>
    <mergeCell ref="AF6:AF7"/>
    <mergeCell ref="B6:B7"/>
    <mergeCell ref="U6:U7"/>
    <mergeCell ref="R6:R7"/>
    <mergeCell ref="L6:L7"/>
    <mergeCell ref="K6:K7"/>
    <mergeCell ref="F6:G6"/>
    <mergeCell ref="A1:AL4"/>
    <mergeCell ref="E6:E7"/>
    <mergeCell ref="O6:O7"/>
    <mergeCell ref="Q6:Q7"/>
    <mergeCell ref="Z6:Z7"/>
    <mergeCell ref="AL6:AL7"/>
    <mergeCell ref="AI6:AI7"/>
    <mergeCell ref="AG6:AG7"/>
    <mergeCell ref="AH6:AH7"/>
    <mergeCell ref="AB6:AB7"/>
    <mergeCell ref="AC6:AC7"/>
    <mergeCell ref="AJ6:AJ7"/>
    <mergeCell ref="AK6:AK7"/>
    <mergeCell ref="AA6:AA7"/>
    <mergeCell ref="AD6:AD7"/>
    <mergeCell ref="AE6:AE7"/>
    <mergeCell ref="R5:T5"/>
    <mergeCell ref="I5:J5"/>
    <mergeCell ref="AB8:AB61"/>
    <mergeCell ref="AE8:AE61"/>
    <mergeCell ref="K8:K61"/>
    <mergeCell ref="P8:P61"/>
    <mergeCell ref="S8:S61"/>
    <mergeCell ref="V8:V61"/>
    <mergeCell ref="Y8:Y61"/>
    <mergeCell ref="V6:V7"/>
    <mergeCell ref="W6:W7"/>
    <mergeCell ref="Y6:Y7"/>
    <mergeCell ref="T6:T7"/>
    <mergeCell ref="X6:X7"/>
    <mergeCell ref="I6:I7"/>
  </mergeCells>
  <conditionalFormatting sqref="B8:B19">
    <cfRule type="duplicateValues" dxfId="20" priority="17"/>
  </conditionalFormatting>
  <conditionalFormatting sqref="B20">
    <cfRule type="duplicateValues" dxfId="19" priority="16"/>
  </conditionalFormatting>
  <conditionalFormatting sqref="B21:B24">
    <cfRule type="duplicateValues" dxfId="18" priority="15"/>
  </conditionalFormatting>
  <conditionalFormatting sqref="B25">
    <cfRule type="duplicateValues" dxfId="17" priority="14"/>
  </conditionalFormatting>
  <conditionalFormatting sqref="B26:B27">
    <cfRule type="duplicateValues" dxfId="16" priority="13"/>
  </conditionalFormatting>
  <conditionalFormatting sqref="B28">
    <cfRule type="duplicateValues" dxfId="15" priority="12"/>
  </conditionalFormatting>
  <conditionalFormatting sqref="B29:B30">
    <cfRule type="duplicateValues" dxfId="14" priority="11"/>
  </conditionalFormatting>
  <conditionalFormatting sqref="B31:B46">
    <cfRule type="duplicateValues" dxfId="13" priority="10"/>
  </conditionalFormatting>
  <conditionalFormatting sqref="B47:B55">
    <cfRule type="duplicateValues" dxfId="12" priority="103"/>
  </conditionalFormatting>
  <conditionalFormatting sqref="B54">
    <cfRule type="duplicateValues" dxfId="11" priority="1"/>
  </conditionalFormatting>
  <conditionalFormatting sqref="B55">
    <cfRule type="duplicateValues" dxfId="10" priority="8"/>
  </conditionalFormatting>
  <conditionalFormatting sqref="B56">
    <cfRule type="duplicateValues" dxfId="9" priority="6"/>
  </conditionalFormatting>
  <conditionalFormatting sqref="B57:B58">
    <cfRule type="duplicateValues" dxfId="8" priority="5"/>
  </conditionalFormatting>
  <conditionalFormatting sqref="B59">
    <cfRule type="duplicateValues" dxfId="7" priority="4"/>
  </conditionalFormatting>
  <conditionalFormatting sqref="B60">
    <cfRule type="duplicateValues" dxfId="6" priority="3"/>
  </conditionalFormatting>
  <conditionalFormatting sqref="B61">
    <cfRule type="duplicateValues" dxfId="5" priority="2"/>
  </conditionalFormatting>
  <conditionalFormatting sqref="J62:J63 G8:J61 O8:O61 R8:R61 U8:U61 X8:X61 G7:H7">
    <cfRule type="cellIs" dxfId="4" priority="59" operator="lessThan">
      <formula>28</formula>
    </cfRule>
  </conditionalFormatting>
  <pageMargins left="0.19685039370078741" right="0.19685039370078741" top="0.19685039370078741" bottom="0.19685039370078741" header="0.19685039370078741" footer="0.19685039370078741"/>
  <pageSetup paperSize="5" scale="65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K36"/>
  <sheetViews>
    <sheetView workbookViewId="0">
      <selection activeCell="O42" sqref="O42"/>
    </sheetView>
  </sheetViews>
  <sheetFormatPr defaultRowHeight="15"/>
  <cols>
    <col min="1" max="1" width="2.140625" customWidth="1"/>
    <col min="2" max="4" width="10.7109375" customWidth="1"/>
    <col min="5" max="7" width="8.7109375" customWidth="1"/>
    <col min="8" max="8" width="9.85546875" customWidth="1"/>
    <col min="9" max="9" width="10" customWidth="1"/>
    <col min="10" max="11" width="8.7109375" customWidth="1"/>
  </cols>
  <sheetData>
    <row r="1" spans="2:11" s="1" customFormat="1" ht="24.95" customHeight="1">
      <c r="B1" s="82" t="s">
        <v>50</v>
      </c>
      <c r="C1" s="82"/>
      <c r="D1" s="82"/>
      <c r="E1" s="82"/>
      <c r="F1" s="82"/>
      <c r="G1" s="82"/>
      <c r="H1" s="82"/>
      <c r="I1" s="82"/>
      <c r="J1" s="82"/>
      <c r="K1" s="82"/>
    </row>
    <row r="2" spans="2:11" s="1" customFormat="1" ht="24.95" customHeight="1">
      <c r="B2" s="82"/>
      <c r="C2" s="82"/>
      <c r="D2" s="82"/>
      <c r="E2" s="82"/>
      <c r="F2" s="82"/>
      <c r="G2" s="82"/>
      <c r="H2" s="82"/>
      <c r="I2" s="82"/>
      <c r="J2" s="82"/>
      <c r="K2" s="82"/>
    </row>
    <row r="3" spans="2:11" s="1" customFormat="1" ht="24.95" customHeight="1">
      <c r="B3" s="82"/>
      <c r="C3" s="82"/>
      <c r="D3" s="82"/>
      <c r="E3" s="82"/>
      <c r="F3" s="82"/>
      <c r="G3" s="82"/>
      <c r="H3" s="82"/>
      <c r="I3" s="82"/>
      <c r="J3" s="82"/>
      <c r="K3" s="82"/>
    </row>
    <row r="4" spans="2:11" s="1" customFormat="1" ht="24.95" customHeight="1">
      <c r="B4" s="82"/>
      <c r="C4" s="82"/>
      <c r="D4" s="82"/>
      <c r="E4" s="82"/>
      <c r="F4" s="82"/>
      <c r="G4" s="82"/>
      <c r="H4" s="82"/>
      <c r="I4" s="82"/>
      <c r="J4" s="82"/>
      <c r="K4" s="82"/>
    </row>
    <row r="5" spans="2:11" s="1" customFormat="1" ht="24.95" customHeight="1">
      <c r="B5" s="82"/>
      <c r="C5" s="82"/>
      <c r="D5" s="82"/>
      <c r="E5" s="82"/>
      <c r="F5" s="82"/>
      <c r="G5" s="82"/>
      <c r="H5" s="82"/>
      <c r="I5" s="82"/>
      <c r="J5" s="82"/>
      <c r="K5" s="82"/>
    </row>
    <row r="6" spans="2:11" s="17" customFormat="1" ht="20.100000000000001" customHeight="1">
      <c r="B6" s="33" t="s">
        <v>39</v>
      </c>
      <c r="D6" s="17" t="str">
        <f>IFERROR(VLOOKUP($J$9,'tabulation sheet'!B6:AI$60,2,0),"ENTER THE RIGHT ROLL")</f>
        <v xml:space="preserve">Md. Nihan Ahammed </v>
      </c>
      <c r="H6" s="75" t="s">
        <v>58</v>
      </c>
      <c r="I6" s="75"/>
      <c r="J6" s="76" t="s">
        <v>28</v>
      </c>
      <c r="K6" s="76"/>
    </row>
    <row r="7" spans="2:11" s="17" customFormat="1" ht="20.100000000000001" customHeight="1">
      <c r="B7" s="33" t="s">
        <v>38</v>
      </c>
      <c r="D7" s="17" t="str">
        <f>IFERROR(VLOOKUP(J9,'tabulation sheet'!B$7:AI$60,3,0),"")</f>
        <v xml:space="preserve">Md. Jowel Rana </v>
      </c>
      <c r="H7" s="75" t="s">
        <v>57</v>
      </c>
      <c r="I7" s="75"/>
      <c r="J7" s="74" t="str">
        <f>'tabulation sheet'!M5</f>
        <v>PROTTASHA &amp; PROGOTI</v>
      </c>
      <c r="K7" s="74"/>
    </row>
    <row r="8" spans="2:11" s="17" customFormat="1" ht="20.100000000000001" customHeight="1">
      <c r="B8" s="33" t="s">
        <v>23</v>
      </c>
      <c r="D8" s="17" t="str">
        <f>IFERROR(VLOOKUP(J9,'tabulation sheet'!B$8:AI60,4,0),"")</f>
        <v xml:space="preserve">Nadia Akter </v>
      </c>
      <c r="H8" s="33"/>
      <c r="I8" s="33"/>
      <c r="J8" s="74"/>
      <c r="K8" s="74"/>
    </row>
    <row r="9" spans="2:11" s="17" customFormat="1" ht="20.100000000000001" customHeight="1">
      <c r="B9" s="33" t="s">
        <v>25</v>
      </c>
      <c r="D9" s="75" t="str">
        <f>'tabulation sheet'!D5</f>
        <v>ABUL KASHAM &amp; SADIQUL ISLAM</v>
      </c>
      <c r="E9" s="75"/>
      <c r="F9" s="75"/>
      <c r="G9" s="75"/>
      <c r="H9" s="75" t="s">
        <v>59</v>
      </c>
      <c r="I9" s="75"/>
      <c r="J9" s="33">
        <v>11</v>
      </c>
    </row>
    <row r="10" spans="2:11" s="17" customFormat="1" ht="20.100000000000001" customHeight="1">
      <c r="B10" s="17" t="s">
        <v>37</v>
      </c>
      <c r="D10" s="26" t="s">
        <v>34</v>
      </c>
      <c r="E10" s="26"/>
      <c r="F10" s="11"/>
      <c r="G10" s="16"/>
      <c r="H10" s="73" t="s">
        <v>56</v>
      </c>
      <c r="I10" s="73"/>
      <c r="J10" s="33">
        <f>'tabulation sheet'!U5</f>
        <v>54</v>
      </c>
      <c r="K10" s="16"/>
    </row>
    <row r="11" spans="2:11" s="2" customFormat="1" ht="20.100000000000001" customHeight="1">
      <c r="B11" s="23"/>
      <c r="C11" s="23"/>
      <c r="D11" s="23"/>
      <c r="E11" s="24"/>
      <c r="F11" s="24"/>
      <c r="G11" s="24"/>
      <c r="H11" s="24"/>
      <c r="I11" s="24"/>
      <c r="J11" s="24"/>
      <c r="K11" s="23"/>
    </row>
    <row r="12" spans="2:11" s="2" customFormat="1" ht="24.95" customHeight="1">
      <c r="B12" s="92" t="s">
        <v>15</v>
      </c>
      <c r="C12" s="92"/>
      <c r="D12" s="92"/>
      <c r="E12" s="87" t="s">
        <v>16</v>
      </c>
      <c r="F12" s="87" t="s">
        <v>44</v>
      </c>
      <c r="G12" s="87" t="s">
        <v>36</v>
      </c>
      <c r="H12" s="87" t="s">
        <v>22</v>
      </c>
      <c r="I12" s="83" t="s">
        <v>2</v>
      </c>
      <c r="J12" s="83" t="s">
        <v>42</v>
      </c>
      <c r="K12" s="85" t="s">
        <v>5</v>
      </c>
    </row>
    <row r="13" spans="2:11" s="2" customFormat="1" ht="24.95" customHeight="1">
      <c r="B13" s="92"/>
      <c r="C13" s="92"/>
      <c r="D13" s="92"/>
      <c r="E13" s="94"/>
      <c r="F13" s="94"/>
      <c r="G13" s="94"/>
      <c r="H13" s="94"/>
      <c r="I13" s="84"/>
      <c r="J13" s="84"/>
      <c r="K13" s="86"/>
    </row>
    <row r="14" spans="2:11" s="2" customFormat="1" ht="24.95" customHeight="1">
      <c r="B14" s="92"/>
      <c r="C14" s="92"/>
      <c r="D14" s="92"/>
      <c r="E14" s="94"/>
      <c r="F14" s="94"/>
      <c r="G14" s="94"/>
      <c r="H14" s="94"/>
      <c r="I14" s="84"/>
      <c r="J14" s="84"/>
      <c r="K14" s="86"/>
    </row>
    <row r="15" spans="2:11" s="2" customFormat="1" ht="24.95" customHeight="1">
      <c r="B15" s="92"/>
      <c r="C15" s="92"/>
      <c r="D15" s="92"/>
      <c r="E15" s="94"/>
      <c r="F15" s="94"/>
      <c r="G15" s="94"/>
      <c r="H15" s="94"/>
      <c r="I15" s="84"/>
      <c r="J15" s="84"/>
      <c r="K15" s="86"/>
    </row>
    <row r="16" spans="2:11" s="2" customFormat="1" ht="24.95" customHeight="1">
      <c r="B16" s="92"/>
      <c r="C16" s="92"/>
      <c r="D16" s="92"/>
      <c r="E16" s="94"/>
      <c r="F16" s="94"/>
      <c r="G16" s="94"/>
      <c r="H16" s="94"/>
      <c r="I16" s="84"/>
      <c r="J16" s="84"/>
      <c r="K16" s="87"/>
    </row>
    <row r="17" spans="2:11" s="2" customFormat="1" ht="30" customHeight="1">
      <c r="B17" s="77" t="s">
        <v>19</v>
      </c>
      <c r="C17" s="77"/>
      <c r="D17" s="77"/>
      <c r="E17" s="3">
        <v>100</v>
      </c>
      <c r="F17" s="3">
        <f>IFERROR(VLOOKUP($J$9,'tabulation sheet'!B$7:AI$61,7,0),"")</f>
        <v>81</v>
      </c>
      <c r="G17" s="77">
        <f>IFERROR(VLOOKUP(J9,'tabulation sheet'!B$6:AH$61,9,0),"")</f>
        <v>127</v>
      </c>
      <c r="H17" s="77">
        <f>'tabulation sheet'!K8</f>
        <v>139</v>
      </c>
      <c r="I17" s="79">
        <f>IFERROR(VLOOKUP(J9,'tabulation sheet'!B$6:AH$61,11,0),"")</f>
        <v>5</v>
      </c>
      <c r="J17" s="79" t="str">
        <f>IF(I17="F","F",IF(I17&lt;2.5,"D",IF(I17&lt;3,"C",IF(I17&lt;3.5,"B",IF(I17&lt;4,"A-",IF(I17&lt;5,"A","A+"))))))</f>
        <v>A+</v>
      </c>
      <c r="K17" s="88">
        <f>IFERROR(VLOOKUP(J9,'tabulation sheet'!B$6:AI$61,33,0),"")</f>
        <v>4.5714285714285712</v>
      </c>
    </row>
    <row r="18" spans="2:11" s="2" customFormat="1" ht="30" customHeight="1">
      <c r="B18" s="77" t="s">
        <v>20</v>
      </c>
      <c r="C18" s="77"/>
      <c r="D18" s="77"/>
      <c r="E18" s="3">
        <v>50</v>
      </c>
      <c r="F18" s="3">
        <f>IFERROR(VLOOKUP($J$9,'tabulation sheet'!B$7:AI$61,8,0),"")</f>
        <v>46</v>
      </c>
      <c r="G18" s="77"/>
      <c r="H18" s="77"/>
      <c r="I18" s="80"/>
      <c r="J18" s="80"/>
      <c r="K18" s="88"/>
    </row>
    <row r="19" spans="2:11" s="2" customFormat="1" ht="30" customHeight="1">
      <c r="B19" s="89" t="s">
        <v>21</v>
      </c>
      <c r="C19" s="90"/>
      <c r="D19" s="91"/>
      <c r="E19" s="3">
        <v>100</v>
      </c>
      <c r="F19" s="3">
        <f>IFERROR(VLOOKUP($J$9,'tabulation sheet'!B$7:AI$61,12,0),"")</f>
        <v>87</v>
      </c>
      <c r="G19" s="79">
        <f>IFERROR(VLOOKUP(J9,'tabulation sheet'!B$8:AH$61,14,0),"")</f>
        <v>152</v>
      </c>
      <c r="H19" s="79">
        <f>'tabulation sheet'!P8</f>
        <v>169</v>
      </c>
      <c r="I19" s="77">
        <f>IFERROR(VLOOKUP(J9,'tabulation sheet'!B$8:AH$61,16,0),"")</f>
        <v>4</v>
      </c>
      <c r="J19" s="79" t="str">
        <f>IF(I19="F","F",IF(I19&lt;2.5,"D",IF(I19&lt;3,"C",IF(I19&lt;3.5,"B",IF(I19&lt;4,"A-",IF(I19&lt;5,"A","A+"))))))</f>
        <v>A</v>
      </c>
      <c r="K19" s="88"/>
    </row>
    <row r="20" spans="2:11" s="2" customFormat="1" ht="30" customHeight="1">
      <c r="B20" s="77" t="s">
        <v>17</v>
      </c>
      <c r="C20" s="77"/>
      <c r="D20" s="77"/>
      <c r="E20" s="3">
        <v>100</v>
      </c>
      <c r="F20" s="3">
        <f>IFERROR(VLOOKUP($J$9,'tabulation sheet'!B$7:AI$61,13,0),"")</f>
        <v>65</v>
      </c>
      <c r="G20" s="80"/>
      <c r="H20" s="80"/>
      <c r="I20" s="77"/>
      <c r="J20" s="80"/>
      <c r="K20" s="88"/>
    </row>
    <row r="21" spans="2:11" s="2" customFormat="1" ht="30" customHeight="1">
      <c r="B21" s="77" t="s">
        <v>18</v>
      </c>
      <c r="C21" s="77"/>
      <c r="D21" s="77"/>
      <c r="E21" s="3">
        <v>100</v>
      </c>
      <c r="F21" s="3">
        <f>IFERROR(VLOOKUP($J$9,'tabulation sheet'!B$7:AI$61,17,0),"")</f>
        <v>55</v>
      </c>
      <c r="G21" s="4"/>
      <c r="H21" s="3">
        <f>'tabulation sheet'!S8</f>
        <v>94</v>
      </c>
      <c r="I21" s="3">
        <f>IFERROR(VLOOKUP(J9,'tabulation sheet'!B$6:AH$61,19,0),"")</f>
        <v>3</v>
      </c>
      <c r="J21" s="3" t="str">
        <f>IF(I21="F","F",IF(I21&lt;2.5,"D",IF(I21&lt;3,"C",IF(I21&lt;3.5,"B",IF(I21&lt;4,"A-",IF(I21&lt;5,"A","A+"))))))</f>
        <v>B</v>
      </c>
      <c r="K21" s="88"/>
    </row>
    <row r="22" spans="2:11" s="2" customFormat="1" ht="30" customHeight="1">
      <c r="B22" s="77" t="s">
        <v>6</v>
      </c>
      <c r="C22" s="77"/>
      <c r="D22" s="77"/>
      <c r="E22" s="3">
        <v>100</v>
      </c>
      <c r="F22" s="3">
        <f>IFERROR(VLOOKUP($J$9,'tabulation sheet'!B$7:AI$61,20,0),"")</f>
        <v>97</v>
      </c>
      <c r="G22" s="4"/>
      <c r="H22" s="3">
        <f>'tabulation sheet'!V8</f>
        <v>98</v>
      </c>
      <c r="I22" s="3">
        <f>IFERROR(VLOOKUP(J9,'tabulation sheet'!B$6:AH$61,22,0),"")</f>
        <v>5</v>
      </c>
      <c r="J22" s="3" t="str">
        <f>IF(I22="F","F",IF(I22&lt;2.5,"D",IF(I22&lt;3,"C",IF(I22&lt;3.5,"B",IF(I22&lt;4,"A-",IF(I22&lt;5,"A","A+"))))))</f>
        <v>A+</v>
      </c>
      <c r="K22" s="88"/>
    </row>
    <row r="23" spans="2:11" s="2" customFormat="1" ht="30" customHeight="1">
      <c r="B23" s="81" t="s">
        <v>7</v>
      </c>
      <c r="C23" s="81"/>
      <c r="D23" s="81"/>
      <c r="E23" s="3">
        <v>100</v>
      </c>
      <c r="F23" s="3">
        <f>IFERROR(VLOOKUP($J$9,'tabulation sheet'!B$7:AI$61,23,0),"")</f>
        <v>88</v>
      </c>
      <c r="G23" s="4"/>
      <c r="H23" s="3">
        <f>'tabulation sheet'!Y8</f>
        <v>98</v>
      </c>
      <c r="I23" s="3">
        <f>IFERROR(VLOOKUP(J9,'tabulation sheet'!B$7:AH$61,25,0),"")</f>
        <v>5</v>
      </c>
      <c r="J23" s="3" t="str">
        <f>IF(I23="F","F",IF(I23&lt;2.5,"D",IF(I23&lt;3,"C",IF(I23&lt;3.5,"B",IF(I23&lt;4,"A-",IF(I23&lt;5,"A","A+"))))))</f>
        <v>A+</v>
      </c>
      <c r="K23" s="88"/>
    </row>
    <row r="24" spans="2:11" s="2" customFormat="1" ht="30" customHeight="1">
      <c r="B24" s="77" t="s">
        <v>12</v>
      </c>
      <c r="C24" s="77"/>
      <c r="D24" s="77"/>
      <c r="E24" s="3">
        <v>50</v>
      </c>
      <c r="F24" s="3">
        <f>IFERROR(VLOOKUP($J$9,'tabulation sheet'!B$7:AI$61,26,0),"")</f>
        <v>47</v>
      </c>
      <c r="G24" s="4"/>
      <c r="H24" s="3">
        <f>'tabulation sheet'!AB8</f>
        <v>50</v>
      </c>
      <c r="I24" s="3">
        <f>IFERROR(VLOOKUP(J9,'tabulation sheet'!B$8:AH$61,28,0),"")</f>
        <v>5</v>
      </c>
      <c r="J24" s="3" t="str">
        <f>IF(I24="F","F",IF(I24&lt;2.5,"D",IF(I24&lt;3,"C",IF(I24&lt;3.5,"B",IF(I24&lt;4,"A-",IF(I24&lt;5,"A","A+"))))))</f>
        <v>A+</v>
      </c>
      <c r="K24" s="88"/>
    </row>
    <row r="25" spans="2:11" s="2" customFormat="1" ht="30" customHeight="1">
      <c r="B25" s="77" t="s">
        <v>35</v>
      </c>
      <c r="C25" s="77"/>
      <c r="D25" s="77"/>
      <c r="E25" s="3">
        <v>50</v>
      </c>
      <c r="F25" s="3">
        <f>IFERROR(VLOOKUP($J$9,'tabulation sheet'!B$7:AI$61,29,0),"")</f>
        <v>46</v>
      </c>
      <c r="G25" s="4"/>
      <c r="H25" s="3">
        <f>'tabulation sheet'!AE8</f>
        <v>50</v>
      </c>
      <c r="I25" s="3">
        <f>IFERROR(VLOOKUP(J9,'tabulation sheet'!B$8:AH$61,31,0),"")</f>
        <v>5</v>
      </c>
      <c r="J25" s="3" t="str">
        <f>IF(I25="F","F",IF(I25&lt;2.5,"D",IF(I25&lt;3,"C",IF(I25&lt;3.5,"B",IF(I25&lt;4,"A-",IF(I25&lt;5,"A","A+"))))))</f>
        <v>A+</v>
      </c>
      <c r="K25" s="88"/>
    </row>
    <row r="26" spans="2:11" s="2" customFormat="1" ht="30" customHeight="1">
      <c r="B26" s="92" t="s">
        <v>32</v>
      </c>
      <c r="C26" s="92"/>
      <c r="D26" s="92"/>
      <c r="E26" s="6">
        <f>E17+E18+E19+E20+E21+E22+E23+E24</f>
        <v>700</v>
      </c>
      <c r="F26" s="6">
        <f>F17+F18+F19+F20+F21+F22+F23+F24+F25</f>
        <v>612</v>
      </c>
      <c r="G26" s="4"/>
      <c r="H26" s="78"/>
      <c r="I26" s="78"/>
      <c r="J26" s="7"/>
      <c r="K26" s="88"/>
    </row>
    <row r="27" spans="2:11" s="5" customFormat="1" ht="20.100000000000001" customHeight="1">
      <c r="B27" s="11"/>
      <c r="C27" s="11"/>
      <c r="D27" s="11"/>
      <c r="E27" s="8"/>
      <c r="F27" s="8"/>
      <c r="G27" s="9"/>
      <c r="H27" s="10"/>
      <c r="I27" s="10"/>
      <c r="J27" s="10"/>
      <c r="K27" s="25"/>
    </row>
    <row r="28" spans="2:11" s="5" customFormat="1" ht="24.95" customHeight="1">
      <c r="B28" s="73" t="s">
        <v>45</v>
      </c>
      <c r="C28" s="73"/>
      <c r="D28" s="11"/>
      <c r="E28" s="17">
        <f>IFERROR(VLOOKUP(J$9,'tabulation sheet'!B$6:AL$61,36,0),"")</f>
        <v>12</v>
      </c>
      <c r="F28" s="12"/>
      <c r="G28" s="13"/>
      <c r="H28" s="14"/>
      <c r="I28" s="14"/>
      <c r="J28" s="14"/>
      <c r="K28" s="25"/>
    </row>
    <row r="29" spans="2:11" s="5" customFormat="1" ht="24.95" customHeight="1">
      <c r="B29" s="93" t="s">
        <v>46</v>
      </c>
      <c r="C29" s="93"/>
      <c r="E29" s="17">
        <f>IFERROR(VLOOKUP(J$9,'tabulation sheet'!B$6:AL$61,37,0),"")</f>
        <v>71</v>
      </c>
      <c r="F29" s="15"/>
      <c r="G29" s="14"/>
      <c r="H29" s="14"/>
      <c r="I29" s="14"/>
      <c r="J29" s="14"/>
      <c r="K29" s="14"/>
    </row>
    <row r="30" spans="2:11" s="5" customFormat="1" ht="24.95" customHeight="1">
      <c r="B30" s="16" t="s">
        <v>43</v>
      </c>
      <c r="C30" s="16"/>
      <c r="D30" s="16"/>
      <c r="E30" s="17" t="str">
        <f>IFERROR(VLOOKUP(J$9,'tabulation sheet'!B$6:AL$61,34,0),"")</f>
        <v>BETTER</v>
      </c>
      <c r="G30" s="13"/>
      <c r="H30" s="18"/>
      <c r="I30" s="18"/>
      <c r="J30" s="18"/>
      <c r="K30" s="18"/>
    </row>
    <row r="31" spans="2:11" s="5" customFormat="1" ht="20.25" customHeight="1"/>
    <row r="32" spans="2:11" s="5" customFormat="1" ht="20.25" customHeight="1"/>
    <row r="33" spans="2:11" s="5" customFormat="1" ht="17.25" customHeight="1">
      <c r="B33" s="19"/>
      <c r="C33" s="19"/>
      <c r="D33" s="19"/>
      <c r="E33" s="19"/>
      <c r="F33" s="19"/>
      <c r="G33" s="19"/>
      <c r="H33" s="19"/>
      <c r="J33" s="19"/>
      <c r="K33" s="19"/>
    </row>
    <row r="34" spans="2:11" s="22" customFormat="1" ht="15.75">
      <c r="B34" s="93" t="s">
        <v>48</v>
      </c>
      <c r="C34" s="93"/>
      <c r="D34" s="20"/>
      <c r="F34" s="21" t="s">
        <v>47</v>
      </c>
      <c r="G34" s="20"/>
      <c r="H34" s="20"/>
      <c r="J34" s="19" t="s">
        <v>49</v>
      </c>
    </row>
    <row r="35" spans="2:11" s="22" customFormat="1" ht="15.75">
      <c r="B35" s="20"/>
      <c r="C35" s="20"/>
      <c r="D35" s="20"/>
      <c r="E35" s="20"/>
      <c r="F35" s="21"/>
      <c r="G35" s="20"/>
      <c r="H35" s="20"/>
      <c r="I35" s="19"/>
    </row>
    <row r="36" spans="2:11" ht="15.75">
      <c r="B36" s="19"/>
      <c r="C36" s="19"/>
      <c r="D36" s="19"/>
      <c r="E36" s="19"/>
      <c r="F36" s="19"/>
      <c r="G36" s="19"/>
      <c r="H36" s="19"/>
      <c r="I36" s="5"/>
      <c r="J36" s="19"/>
      <c r="K36" s="19"/>
    </row>
  </sheetData>
  <mergeCells count="39">
    <mergeCell ref="B34:C34"/>
    <mergeCell ref="B29:C29"/>
    <mergeCell ref="B28:C28"/>
    <mergeCell ref="H12:H16"/>
    <mergeCell ref="E12:E16"/>
    <mergeCell ref="F12:F16"/>
    <mergeCell ref="G12:G16"/>
    <mergeCell ref="B1:K5"/>
    <mergeCell ref="B17:D17"/>
    <mergeCell ref="B18:D18"/>
    <mergeCell ref="I12:I16"/>
    <mergeCell ref="H17:H18"/>
    <mergeCell ref="K12:K16"/>
    <mergeCell ref="K17:K26"/>
    <mergeCell ref="J12:J16"/>
    <mergeCell ref="J17:J18"/>
    <mergeCell ref="J19:J20"/>
    <mergeCell ref="D9:G9"/>
    <mergeCell ref="B19:D19"/>
    <mergeCell ref="B26:D26"/>
    <mergeCell ref="B12:D16"/>
    <mergeCell ref="G17:G18"/>
    <mergeCell ref="I17:I18"/>
    <mergeCell ref="I19:I20"/>
    <mergeCell ref="H26:I26"/>
    <mergeCell ref="H19:H20"/>
    <mergeCell ref="G19:G20"/>
    <mergeCell ref="B25:D25"/>
    <mergeCell ref="B24:D24"/>
    <mergeCell ref="B20:D20"/>
    <mergeCell ref="B21:D21"/>
    <mergeCell ref="B22:D22"/>
    <mergeCell ref="B23:D23"/>
    <mergeCell ref="H10:I10"/>
    <mergeCell ref="J7:K8"/>
    <mergeCell ref="H6:I6"/>
    <mergeCell ref="H7:I7"/>
    <mergeCell ref="H9:I9"/>
    <mergeCell ref="J6:K6"/>
  </mergeCells>
  <phoneticPr fontId="21" type="noConversion"/>
  <conditionalFormatting sqref="K17">
    <cfRule type="cellIs" dxfId="3" priority="1" operator="equal">
      <formula>0</formula>
    </cfRule>
    <cfRule type="cellIs" dxfId="2" priority="2" operator="equal">
      <formula>0</formula>
    </cfRule>
    <cfRule type="cellIs" dxfId="1" priority="3" operator="equal">
      <formula>0</formula>
    </cfRule>
    <cfRule type="cellIs" dxfId="0" priority="4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scale="96" fitToWidth="0" orientation="portrait" r:id="rId1"/>
  <ignoredErrors>
    <ignoredError sqref="H21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sheet</vt:lpstr>
      <vt:lpstr>Result card 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2025-05-15T14:11:08Z</cp:lastPrinted>
  <dcterms:created xsi:type="dcterms:W3CDTF">2020-11-16T05:16:13Z</dcterms:created>
  <dcterms:modified xsi:type="dcterms:W3CDTF">2025-11-26T05:57:24Z</dcterms:modified>
</cp:coreProperties>
</file>