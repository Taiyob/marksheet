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filterPrivacy="1" defaultThemeVersion="124226"/>
  <xr:revisionPtr revIDLastSave="0" documentId="13_ncr:1_{C1E00671-D2D3-4DCC-B358-80C1FA2C7397}" xr6:coauthVersionLast="47" xr6:coauthVersionMax="47" xr10:uidLastSave="{00000000-0000-0000-0000-000000000000}"/>
  <bookViews>
    <workbookView xWindow="-120" yWindow="-120" windowWidth="29040" windowHeight="15720" tabRatio="611" xr2:uid="{00000000-000D-0000-FFFF-FFFF00000000}"/>
  </bookViews>
  <sheets>
    <sheet name="1st_Semeter" sheetId="1" r:id="rId1"/>
    <sheet name="PROGRESS-REPORT" sheetId="3" r:id="rId2"/>
  </sheets>
  <definedNames>
    <definedName name="_xlnm._FilterDatabase" localSheetId="0" hidden="1">'1st_Semeter'!$A$1:$BA$33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3" l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8" i="1"/>
  <c r="AA32" i="1"/>
  <c r="AB32" i="1" s="1"/>
  <c r="AA31" i="1"/>
  <c r="AB31" i="1" s="1"/>
  <c r="AA30" i="1"/>
  <c r="AB30" i="1" s="1"/>
  <c r="AA29" i="1"/>
  <c r="AB29" i="1" s="1"/>
  <c r="AA28" i="1"/>
  <c r="AB28" i="1" s="1"/>
  <c r="AA27" i="1"/>
  <c r="AB27" i="1" s="1"/>
  <c r="AA26" i="1"/>
  <c r="AB26" i="1" s="1"/>
  <c r="AA25" i="1"/>
  <c r="AB25" i="1" s="1"/>
  <c r="AA24" i="1"/>
  <c r="AB24" i="1" s="1"/>
  <c r="AA23" i="1"/>
  <c r="AB23" i="1" s="1"/>
  <c r="AA22" i="1"/>
  <c r="AB22" i="1" s="1"/>
  <c r="AA21" i="1"/>
  <c r="AB21" i="1" s="1"/>
  <c r="AA20" i="1"/>
  <c r="AB20" i="1" s="1"/>
  <c r="AA19" i="1"/>
  <c r="AB19" i="1" s="1"/>
  <c r="AA18" i="1"/>
  <c r="AB18" i="1" s="1"/>
  <c r="AT32" i="1" l="1"/>
  <c r="AP32" i="1"/>
  <c r="AQ32" i="1" s="1"/>
  <c r="AK32" i="1"/>
  <c r="AL32" i="1" s="1"/>
  <c r="AF32" i="1"/>
  <c r="AG32" i="1" s="1"/>
  <c r="V32" i="1"/>
  <c r="Q32" i="1"/>
  <c r="R32" i="1" s="1"/>
  <c r="J32" i="1"/>
  <c r="K32" i="1" s="1"/>
  <c r="C11" i="3"/>
  <c r="AT26" i="1"/>
  <c r="AT27" i="1"/>
  <c r="AT28" i="1"/>
  <c r="AT29" i="1"/>
  <c r="AT30" i="1"/>
  <c r="AP26" i="1"/>
  <c r="AQ26" i="1" s="1"/>
  <c r="AP27" i="1"/>
  <c r="AQ27" i="1" s="1"/>
  <c r="AP28" i="1"/>
  <c r="AQ28" i="1" s="1"/>
  <c r="AP29" i="1"/>
  <c r="AQ29" i="1" s="1"/>
  <c r="AP30" i="1"/>
  <c r="AQ30" i="1" s="1"/>
  <c r="AP31" i="1"/>
  <c r="AQ31" i="1" s="1"/>
  <c r="AP33" i="1"/>
  <c r="AQ33" i="1" s="1"/>
  <c r="AK26" i="1"/>
  <c r="AL26" i="1" s="1"/>
  <c r="AK27" i="1"/>
  <c r="AL27" i="1" s="1"/>
  <c r="AK28" i="1"/>
  <c r="AL28" i="1" s="1"/>
  <c r="AK29" i="1"/>
  <c r="AL29" i="1" s="1"/>
  <c r="AK30" i="1"/>
  <c r="AL30" i="1" s="1"/>
  <c r="AK31" i="1"/>
  <c r="AL31" i="1" s="1"/>
  <c r="AF26" i="1"/>
  <c r="AG26" i="1" s="1"/>
  <c r="AF27" i="1"/>
  <c r="AG27" i="1" s="1"/>
  <c r="AF28" i="1"/>
  <c r="AG28" i="1" s="1"/>
  <c r="AF29" i="1"/>
  <c r="AG29" i="1" s="1"/>
  <c r="AF30" i="1"/>
  <c r="AG30" i="1" s="1"/>
  <c r="AF31" i="1"/>
  <c r="AG31" i="1" s="1"/>
  <c r="AF33" i="1"/>
  <c r="AG33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V33" i="1"/>
  <c r="W33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J26" i="1"/>
  <c r="J27" i="1"/>
  <c r="J28" i="1"/>
  <c r="J29" i="1"/>
  <c r="J30" i="1"/>
  <c r="J31" i="1"/>
  <c r="K31" i="1" s="1"/>
  <c r="J33" i="1"/>
  <c r="K33" i="1" s="1"/>
  <c r="K30" i="1" l="1"/>
  <c r="AV30" i="1" s="1"/>
  <c r="AW30" i="1" s="1"/>
  <c r="BA30" i="1" s="1"/>
  <c r="K28" i="1"/>
  <c r="K27" i="1"/>
  <c r="AV27" i="1" s="1"/>
  <c r="AW27" i="1" s="1"/>
  <c r="BA27" i="1" s="1"/>
  <c r="K29" i="1"/>
  <c r="AV29" i="1" s="1"/>
  <c r="AW29" i="1" s="1"/>
  <c r="BA29" i="1" s="1"/>
  <c r="K26" i="1"/>
  <c r="AV26" i="1" s="1"/>
  <c r="AW26" i="1" s="1"/>
  <c r="BA26" i="1" s="1"/>
  <c r="W32" i="1"/>
  <c r="W31" i="1"/>
  <c r="AV31" i="1" s="1"/>
  <c r="AW31" i="1" s="1"/>
  <c r="BA31" i="1" s="1"/>
  <c r="AV32" i="1"/>
  <c r="AW32" i="1" s="1"/>
  <c r="BA32" i="1" s="1"/>
  <c r="AV28" i="1"/>
  <c r="AW28" i="1" s="1"/>
  <c r="BA28" i="1" s="1"/>
  <c r="Q25" i="1"/>
  <c r="R25" i="1" s="1"/>
  <c r="AT15" i="1"/>
  <c r="AP15" i="1"/>
  <c r="AQ15" i="1" s="1"/>
  <c r="AK15" i="1"/>
  <c r="AL15" i="1" s="1"/>
  <c r="AF15" i="1"/>
  <c r="AG15" i="1" s="1"/>
  <c r="AA15" i="1"/>
  <c r="AB15" i="1" s="1"/>
  <c r="V15" i="1"/>
  <c r="W15" i="1" s="1"/>
  <c r="Q15" i="1"/>
  <c r="R15" i="1" s="1"/>
  <c r="J15" i="1"/>
  <c r="AT25" i="1"/>
  <c r="AT24" i="1"/>
  <c r="AP25" i="1"/>
  <c r="AQ25" i="1" s="1"/>
  <c r="AP24" i="1"/>
  <c r="AQ24" i="1" s="1"/>
  <c r="AK25" i="1"/>
  <c r="AL25" i="1" s="1"/>
  <c r="AK24" i="1"/>
  <c r="AL24" i="1" s="1"/>
  <c r="AF25" i="1"/>
  <c r="AG25" i="1" s="1"/>
  <c r="AF24" i="1"/>
  <c r="AG24" i="1" s="1"/>
  <c r="V25" i="1"/>
  <c r="W25" i="1" s="1"/>
  <c r="V24" i="1"/>
  <c r="W24" i="1" s="1"/>
  <c r="Q24" i="1"/>
  <c r="R24" i="1" s="1"/>
  <c r="J25" i="1"/>
  <c r="J24" i="1"/>
  <c r="AT9" i="1"/>
  <c r="AT10" i="1"/>
  <c r="AT11" i="1"/>
  <c r="AT12" i="1"/>
  <c r="AT13" i="1"/>
  <c r="AT14" i="1"/>
  <c r="AT16" i="1"/>
  <c r="AT17" i="1"/>
  <c r="AT18" i="1"/>
  <c r="AT19" i="1"/>
  <c r="AT20" i="1"/>
  <c r="AT21" i="1"/>
  <c r="AT22" i="1"/>
  <c r="AT23" i="1"/>
  <c r="AT31" i="1"/>
  <c r="AT33" i="1"/>
  <c r="AP9" i="1"/>
  <c r="AQ9" i="1" s="1"/>
  <c r="AP10" i="1"/>
  <c r="AQ10" i="1" s="1"/>
  <c r="AP11" i="1"/>
  <c r="AQ11" i="1" s="1"/>
  <c r="AP12" i="1"/>
  <c r="AQ12" i="1" s="1"/>
  <c r="AP13" i="1"/>
  <c r="AQ13" i="1" s="1"/>
  <c r="AP14" i="1"/>
  <c r="AQ14" i="1" s="1"/>
  <c r="AP16" i="1"/>
  <c r="AQ16" i="1" s="1"/>
  <c r="AP17" i="1"/>
  <c r="AQ17" i="1" s="1"/>
  <c r="AP18" i="1"/>
  <c r="AQ18" i="1" s="1"/>
  <c r="AP19" i="1"/>
  <c r="AQ19" i="1" s="1"/>
  <c r="AP20" i="1"/>
  <c r="AQ20" i="1" s="1"/>
  <c r="AP21" i="1"/>
  <c r="AQ21" i="1" s="1"/>
  <c r="AP22" i="1"/>
  <c r="AQ22" i="1" s="1"/>
  <c r="AP23" i="1"/>
  <c r="AQ23" i="1" s="1"/>
  <c r="AK9" i="1"/>
  <c r="AL9" i="1" s="1"/>
  <c r="AK10" i="1"/>
  <c r="AL10" i="1" s="1"/>
  <c r="AK11" i="1"/>
  <c r="AL11" i="1" s="1"/>
  <c r="AK12" i="1"/>
  <c r="AL12" i="1" s="1"/>
  <c r="AK13" i="1"/>
  <c r="AL13" i="1" s="1"/>
  <c r="AK14" i="1"/>
  <c r="AL14" i="1" s="1"/>
  <c r="AK16" i="1"/>
  <c r="AL16" i="1" s="1"/>
  <c r="AK17" i="1"/>
  <c r="AL17" i="1" s="1"/>
  <c r="AK18" i="1"/>
  <c r="AL18" i="1" s="1"/>
  <c r="AK19" i="1"/>
  <c r="AL19" i="1" s="1"/>
  <c r="AK20" i="1"/>
  <c r="AL20" i="1" s="1"/>
  <c r="AK21" i="1"/>
  <c r="AL21" i="1" s="1"/>
  <c r="AK22" i="1"/>
  <c r="AL22" i="1" s="1"/>
  <c r="AK23" i="1"/>
  <c r="AL23" i="1" s="1"/>
  <c r="AK33" i="1"/>
  <c r="AL33" i="1" s="1"/>
  <c r="AF9" i="1"/>
  <c r="AG9" i="1" s="1"/>
  <c r="AF10" i="1"/>
  <c r="AG10" i="1" s="1"/>
  <c r="AF11" i="1"/>
  <c r="AG11" i="1" s="1"/>
  <c r="AF12" i="1"/>
  <c r="AG12" i="1" s="1"/>
  <c r="AF13" i="1"/>
  <c r="AG13" i="1" s="1"/>
  <c r="AF14" i="1"/>
  <c r="AG14" i="1" s="1"/>
  <c r="AF16" i="1"/>
  <c r="AG16" i="1" s="1"/>
  <c r="AF17" i="1"/>
  <c r="AG17" i="1" s="1"/>
  <c r="AF18" i="1"/>
  <c r="AG18" i="1" s="1"/>
  <c r="AF19" i="1"/>
  <c r="AG19" i="1" s="1"/>
  <c r="AF20" i="1"/>
  <c r="AG20" i="1" s="1"/>
  <c r="AF21" i="1"/>
  <c r="AG21" i="1" s="1"/>
  <c r="AF22" i="1"/>
  <c r="AG22" i="1" s="1"/>
  <c r="AF23" i="1"/>
  <c r="AG23" i="1" s="1"/>
  <c r="AA9" i="1"/>
  <c r="AB9" i="1" s="1"/>
  <c r="AA10" i="1"/>
  <c r="AB10" i="1" s="1"/>
  <c r="AA11" i="1"/>
  <c r="AB11" i="1" s="1"/>
  <c r="AA12" i="1"/>
  <c r="AB12" i="1" s="1"/>
  <c r="AA13" i="1"/>
  <c r="AB13" i="1" s="1"/>
  <c r="AA14" i="1"/>
  <c r="AB14" i="1" s="1"/>
  <c r="AA16" i="1"/>
  <c r="AB16" i="1" s="1"/>
  <c r="AA17" i="1"/>
  <c r="AB17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6" i="1"/>
  <c r="R16" i="1" s="1"/>
  <c r="Q17" i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Q33" i="1"/>
  <c r="R33" i="1" s="1"/>
  <c r="AV33" i="1" s="1"/>
  <c r="AW33" i="1" s="1"/>
  <c r="BA33" i="1" s="1"/>
  <c r="J9" i="1"/>
  <c r="J10" i="1"/>
  <c r="J11" i="1"/>
  <c r="J12" i="1"/>
  <c r="J13" i="1"/>
  <c r="J14" i="1"/>
  <c r="J16" i="1"/>
  <c r="J17" i="1"/>
  <c r="K17" i="1" s="1"/>
  <c r="J18" i="1"/>
  <c r="J19" i="1"/>
  <c r="J20" i="1"/>
  <c r="J21" i="1"/>
  <c r="J22" i="1"/>
  <c r="J23" i="1"/>
  <c r="I7" i="3"/>
  <c r="E31" i="3"/>
  <c r="H29" i="3"/>
  <c r="H27" i="3"/>
  <c r="AK8" i="1"/>
  <c r="AF8" i="1"/>
  <c r="AA8" i="1"/>
  <c r="V8" i="1"/>
  <c r="Q8" i="1"/>
  <c r="J8" i="1"/>
  <c r="K18" i="1" l="1"/>
  <c r="AV18" i="1" s="1"/>
  <c r="AW18" i="1" s="1"/>
  <c r="BA18" i="1" s="1"/>
  <c r="K16" i="1"/>
  <c r="AV16" i="1" s="1"/>
  <c r="AW16" i="1" s="1"/>
  <c r="BA16" i="1" s="1"/>
  <c r="K24" i="1"/>
  <c r="AV24" i="1" s="1"/>
  <c r="AW24" i="1" s="1"/>
  <c r="BA24" i="1" s="1"/>
  <c r="K25" i="1"/>
  <c r="AV25" i="1" s="1"/>
  <c r="AW25" i="1" s="1"/>
  <c r="BA25" i="1" s="1"/>
  <c r="K15" i="1"/>
  <c r="AV15" i="1" s="1"/>
  <c r="AW15" i="1" s="1"/>
  <c r="BA15" i="1" s="1"/>
  <c r="K19" i="1"/>
  <c r="K20" i="1"/>
  <c r="AV20" i="1" s="1"/>
  <c r="AW20" i="1" s="1"/>
  <c r="BA20" i="1" s="1"/>
  <c r="R17" i="1"/>
  <c r="AV17" i="1" s="1"/>
  <c r="AW17" i="1" s="1"/>
  <c r="BA17" i="1" s="1"/>
  <c r="H25" i="3"/>
  <c r="H22" i="3"/>
  <c r="AV19" i="1"/>
  <c r="AW19" i="1" s="1"/>
  <c r="BA19" i="1" s="1"/>
  <c r="H26" i="3"/>
  <c r="H24" i="3"/>
  <c r="K14" i="1"/>
  <c r="AV14" i="1" s="1"/>
  <c r="AW14" i="1" s="1"/>
  <c r="BA14" i="1" s="1"/>
  <c r="K12" i="1"/>
  <c r="AV12" i="1" s="1"/>
  <c r="AW12" i="1" s="1"/>
  <c r="BA12" i="1" s="1"/>
  <c r="K13" i="1"/>
  <c r="AV13" i="1" s="1"/>
  <c r="AW13" i="1" s="1"/>
  <c r="BA13" i="1" s="1"/>
  <c r="K11" i="1"/>
  <c r="AV11" i="1" s="1"/>
  <c r="AW11" i="1" s="1"/>
  <c r="BA11" i="1" s="1"/>
  <c r="K22" i="1"/>
  <c r="AV22" i="1" s="1"/>
  <c r="AW22" i="1" s="1"/>
  <c r="BA22" i="1" s="1"/>
  <c r="K10" i="1"/>
  <c r="AV10" i="1" s="1"/>
  <c r="AW10" i="1" s="1"/>
  <c r="BA10" i="1" s="1"/>
  <c r="K23" i="1"/>
  <c r="AV23" i="1" s="1"/>
  <c r="AW23" i="1" s="1"/>
  <c r="BA23" i="1" s="1"/>
  <c r="K21" i="1"/>
  <c r="AV21" i="1" s="1"/>
  <c r="AW21" i="1" s="1"/>
  <c r="BA21" i="1" s="1"/>
  <c r="K9" i="1"/>
  <c r="AV9" i="1" s="1"/>
  <c r="AW9" i="1" s="1"/>
  <c r="BA9" i="1" s="1"/>
  <c r="H20" i="3"/>
  <c r="G29" i="3"/>
  <c r="G28" i="3"/>
  <c r="G27" i="3"/>
  <c r="G26" i="3"/>
  <c r="G25" i="3"/>
  <c r="G24" i="3"/>
  <c r="G23" i="3"/>
  <c r="G22" i="3"/>
  <c r="G21" i="3"/>
  <c r="G20" i="3"/>
  <c r="F28" i="3"/>
  <c r="F27" i="3"/>
  <c r="F26" i="3"/>
  <c r="F25" i="3"/>
  <c r="F24" i="3"/>
  <c r="F23" i="3"/>
  <c r="F22" i="3"/>
  <c r="F21" i="3"/>
  <c r="C10" i="3"/>
  <c r="AP8" i="1" l="1"/>
  <c r="H28" i="3" s="1"/>
  <c r="AR8" i="1" l="1"/>
  <c r="AQ8" i="1"/>
  <c r="J28" i="3" s="1"/>
  <c r="I8" i="3"/>
  <c r="J23" i="3" l="1"/>
  <c r="J21" i="3"/>
  <c r="H23" i="3"/>
  <c r="H21" i="3"/>
  <c r="F20" i="3"/>
  <c r="E30" i="3"/>
  <c r="AU8" i="1"/>
  <c r="I29" i="3" s="1"/>
  <c r="C9" i="3"/>
  <c r="C8" i="3"/>
  <c r="C7" i="3"/>
  <c r="H30" i="3" l="1"/>
  <c r="AT8" i="1"/>
  <c r="J29" i="3" s="1"/>
  <c r="AB8" i="1" l="1"/>
  <c r="J25" i="3" s="1"/>
  <c r="I28" i="3"/>
  <c r="AL8" i="1"/>
  <c r="J27" i="3" s="1"/>
  <c r="AG8" i="1"/>
  <c r="J26" i="3" s="1"/>
  <c r="W8" i="1"/>
  <c r="J24" i="3" s="1"/>
  <c r="R8" i="1"/>
  <c r="J22" i="3" s="1"/>
  <c r="L8" i="1" l="1"/>
  <c r="I20" i="3" s="1"/>
  <c r="K8" i="1"/>
  <c r="J20" i="3" s="1"/>
  <c r="K20" i="3" s="1"/>
  <c r="AH8" i="1"/>
  <c r="I26" i="3" s="1"/>
  <c r="AM8" i="1"/>
  <c r="I27" i="3" s="1"/>
  <c r="X8" i="1"/>
  <c r="I24" i="3" s="1"/>
  <c r="S8" i="1"/>
  <c r="I22" i="3" s="1"/>
  <c r="AC8" i="1"/>
  <c r="I25" i="3" s="1"/>
  <c r="K22" i="3"/>
  <c r="K27" i="3" l="1"/>
  <c r="K26" i="3"/>
  <c r="K25" i="3"/>
  <c r="K24" i="3"/>
  <c r="AV8" i="1" l="1"/>
  <c r="AW8" i="1" s="1"/>
  <c r="BA8" i="1" l="1"/>
  <c r="E32" i="3" s="1"/>
  <c r="L20" i="3"/>
  <c r="K28" i="3"/>
  <c r="K29" i="3"/>
  <c r="J31" i="3" l="1"/>
</calcChain>
</file>

<file path=xl/sharedStrings.xml><?xml version="1.0" encoding="utf-8"?>
<sst xmlns="http://schemas.openxmlformats.org/spreadsheetml/2006/main" count="185" uniqueCount="140">
  <si>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</si>
  <si>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</si>
  <si>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</si>
  <si>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</si>
  <si>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</si>
  <si>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</si>
  <si>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</si>
  <si>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</si>
  <si>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</si>
  <si>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</si>
  <si>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</si>
  <si>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</si>
  <si>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</si>
  <si>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</si>
  <si>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</si>
  <si>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</si>
  <si>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</si>
  <si>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GRAND-T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</si>
  <si>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</si>
  <si>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</si>
  <si>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</si>
  <si>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</si>
  <si>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</si>
  <si>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</si>
  <si>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</si>
  <si>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</si>
  <si>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</si>
  <si>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</si>
  <si>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MOBILE NO.</t>
  </si>
  <si>
    <t>WORKING 
DAYS</t>
  </si>
  <si>
    <t>BHVR</t>
  </si>
  <si>
    <t>FATHER NAME</t>
  </si>
  <si>
    <t>MOTHER NAME</t>
  </si>
  <si>
    <t>BANGLA-2ND</t>
  </si>
  <si>
    <t>BANGLA-1ST</t>
  </si>
  <si>
    <t>DRAWING</t>
  </si>
  <si>
    <t>BANGLA  2ND</t>
  </si>
  <si>
    <t>BANGLA  1ST</t>
  </si>
  <si>
    <t>GRADE</t>
  </si>
  <si>
    <t>OBTAINED MARKS-80%</t>
  </si>
  <si>
    <r>
      <t xml:space="preserve">                          WORKING DAYS</t>
    </r>
    <r>
      <rPr>
        <b/>
        <sz val="18"/>
        <rFont val="Times New Roman"/>
        <family val="1"/>
      </rPr>
      <t>:</t>
    </r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</si>
  <si>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</si>
  <si>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</si>
  <si>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STUDENT BEHAVIOURS AND SKILL:</t>
  </si>
  <si>
    <t>GK</t>
  </si>
  <si>
    <t>SHURMA</t>
  </si>
  <si>
    <t xml:space="preserve"> STUDENT NAME       :</t>
  </si>
  <si>
    <t xml:space="preserve"> FATHER'S NAME      :</t>
  </si>
  <si>
    <t xml:space="preserve"> MOTHER'S NAME    :</t>
  </si>
  <si>
    <t xml:space="preserve"> CLASS TEACHER      :</t>
  </si>
  <si>
    <t xml:space="preserve"> MOBILE NO.              :</t>
  </si>
  <si>
    <t xml:space="preserve"> CLASS     :</t>
  </si>
  <si>
    <t xml:space="preserve"> SECTION     :</t>
  </si>
  <si>
    <t>ROLL      :</t>
  </si>
  <si>
    <t>TOTAL STUDENTS   :</t>
  </si>
  <si>
    <t>DRAWING (Optional)</t>
  </si>
  <si>
    <t>01794-366259</t>
  </si>
  <si>
    <r>
      <rPr>
        <sz val="18"/>
        <rFont val="Times New Roman"/>
        <family val="1"/>
      </rPr>
      <t>AMIN CADET RESIDENTIAL ACADEMY</t>
    </r>
    <r>
      <rPr>
        <sz val="16"/>
        <rFont val="Times New Roman"/>
        <family val="1"/>
      </rPr>
      <t xml:space="preserve">
</t>
    </r>
    <r>
      <rPr>
        <sz val="12"/>
        <rFont val="Times New Roman"/>
        <family val="1"/>
      </rPr>
      <t>Amin Model Town, Savar Cantonment, Ashulia, Dhaka-1344.</t>
    </r>
    <r>
      <rPr>
        <sz val="16"/>
        <rFont val="Times New Roman"/>
        <family val="1"/>
      </rPr>
      <t xml:space="preserve">
1st Semester Examination -2025
       Progressive Report </t>
    </r>
  </si>
  <si>
    <t>Md. Mubasshir Chowdhury</t>
  </si>
  <si>
    <t>Md. Ashraful Islam</t>
  </si>
  <si>
    <t>Mst. Moslema Parvin</t>
  </si>
  <si>
    <t>Jemy Akter Juthy</t>
  </si>
  <si>
    <t>Md. Zaynul Abedin Milon</t>
  </si>
  <si>
    <t>Mst. Fahima Begum</t>
  </si>
  <si>
    <t>Mst. Sabiha Akter</t>
  </si>
  <si>
    <t xml:space="preserve">Md. Shahadat Hossain </t>
  </si>
  <si>
    <t>Aklima Akter Asha</t>
  </si>
  <si>
    <t>Nur Taj</t>
  </si>
  <si>
    <t>Nor Amin</t>
  </si>
  <si>
    <t xml:space="preserve">Aklima Akter </t>
  </si>
  <si>
    <t>Nur Raiya</t>
  </si>
  <si>
    <t>Md. Nor Alam</t>
  </si>
  <si>
    <t>Ismatara</t>
  </si>
  <si>
    <t>Md. Mehedi Hasan Nirob</t>
  </si>
  <si>
    <t>Md. Mungur Alam</t>
  </si>
  <si>
    <t>Mst. Sabina Akter</t>
  </si>
  <si>
    <t xml:space="preserve">Abdullah Al Sani Rafi </t>
  </si>
  <si>
    <t xml:space="preserve">Md Atiar Rahman </t>
  </si>
  <si>
    <t xml:space="preserve">Mst. Rupaly Akter </t>
  </si>
  <si>
    <t xml:space="preserve">Rafian Ahamed </t>
  </si>
  <si>
    <t xml:space="preserve">Tofayel Ahmed </t>
  </si>
  <si>
    <t xml:space="preserve">Masuma Akter </t>
  </si>
  <si>
    <t xml:space="preserve">Shake Raj </t>
  </si>
  <si>
    <t xml:space="preserve">Md. Anowar Hossain </t>
  </si>
  <si>
    <t xml:space="preserve">Tania Akter </t>
  </si>
  <si>
    <t xml:space="preserve">Ziana Tanvi </t>
  </si>
  <si>
    <t xml:space="preserve">Masud </t>
  </si>
  <si>
    <t xml:space="preserve">Ruma Akter </t>
  </si>
  <si>
    <t xml:space="preserve">Jannat </t>
  </si>
  <si>
    <t xml:space="preserve">Ibrahim </t>
  </si>
  <si>
    <t xml:space="preserve">Rakhi Aktar </t>
  </si>
  <si>
    <t xml:space="preserve">Md. Sehab </t>
  </si>
  <si>
    <t xml:space="preserve">Mohammad Serajul Islam </t>
  </si>
  <si>
    <t xml:space="preserve">Mst. Tania Islam </t>
  </si>
  <si>
    <t xml:space="preserve">Mahmudullah Riad </t>
  </si>
  <si>
    <t xml:space="preserve">Md Mohiuddin Ahmed </t>
  </si>
  <si>
    <t xml:space="preserve">Mst. Kaniz Fatema </t>
  </si>
  <si>
    <t>Jobayer Sheikh Alvi</t>
  </si>
  <si>
    <t xml:space="preserve">Shariful Islam </t>
  </si>
  <si>
    <t xml:space="preserve">Mst. Rita Begum </t>
  </si>
  <si>
    <t xml:space="preserve">Md. Abdur Razzak Raj </t>
  </si>
  <si>
    <t xml:space="preserve">Md. Raki Hasan </t>
  </si>
  <si>
    <t xml:space="preserve">Mst. Jannati Khatun </t>
  </si>
  <si>
    <t xml:space="preserve">Arijit Bormon </t>
  </si>
  <si>
    <t xml:space="preserve">Dabobrath Bormon </t>
  </si>
  <si>
    <t xml:space="preserve">Chandena Bormon </t>
  </si>
  <si>
    <t xml:space="preserve">Borsha Biswas </t>
  </si>
  <si>
    <t xml:space="preserve">Sipul Kumar Bisswas </t>
  </si>
  <si>
    <t xml:space="preserve">Krisna Bissas </t>
  </si>
  <si>
    <t xml:space="preserve">Mukto Sharma </t>
  </si>
  <si>
    <t xml:space="preserve">Molin Chandro Sarma </t>
  </si>
  <si>
    <t xml:space="preserve">Joymoni Rani Ray </t>
  </si>
  <si>
    <t xml:space="preserve">Md. Raian AL Tasin </t>
  </si>
  <si>
    <t xml:space="preserve">Md. Harun Ur Rashid </t>
  </si>
  <si>
    <t xml:space="preserve">Naharin Jannath </t>
  </si>
  <si>
    <t xml:space="preserve">Abu Bin Umme Hasnath </t>
  </si>
  <si>
    <t xml:space="preserve">Abdur Rahman Shohel </t>
  </si>
  <si>
    <t xml:space="preserve">Alija </t>
  </si>
  <si>
    <t xml:space="preserve">Partho Sen </t>
  </si>
  <si>
    <t xml:space="preserve">Chandon Kumar Sarker </t>
  </si>
  <si>
    <t xml:space="preserve">Mukta Rani Sarker </t>
  </si>
  <si>
    <t>Md. Yousuf</t>
  </si>
  <si>
    <t xml:space="preserve">Barek Hossain </t>
  </si>
  <si>
    <t xml:space="preserve">Sokena Begum </t>
  </si>
  <si>
    <t xml:space="preserve">Taskin </t>
  </si>
  <si>
    <t xml:space="preserve">Md. Julhas Uddin </t>
  </si>
  <si>
    <t xml:space="preserve">Israt Jahan Toma </t>
  </si>
  <si>
    <t xml:space="preserve">Ikra Moni </t>
  </si>
  <si>
    <t>Oishi Akter</t>
  </si>
  <si>
    <t>Uzzal Hosen Rana</t>
  </si>
  <si>
    <t>Rimo Akter</t>
  </si>
  <si>
    <t>Md. Rajib</t>
  </si>
  <si>
    <t>Mst. Taslima</t>
  </si>
  <si>
    <t>Ikratul Mawa Siam</t>
  </si>
  <si>
    <r>
      <rPr>
        <sz val="13"/>
        <rFont val="Times New Roman"/>
        <family val="1"/>
      </rPr>
      <t>AMIN CADET RESIDENTIAL ACADEMY</t>
    </r>
    <r>
      <rPr>
        <sz val="13"/>
        <rFont val="Algerian"/>
        <family val="5"/>
      </rPr>
      <t xml:space="preserve">
</t>
    </r>
    <r>
      <rPr>
        <sz val="10"/>
        <rFont val="Times New Roman"/>
        <family val="1"/>
      </rPr>
      <t>Amin Model Town, Savar Cantonment, Ashulia, Dhaka - 1344.</t>
    </r>
    <r>
      <rPr>
        <sz val="10"/>
        <rFont val="Zilla Slab SemiBold"/>
      </rPr>
      <t xml:space="preserve">
</t>
    </r>
    <r>
      <rPr>
        <sz val="10"/>
        <rFont val="Times New Roman"/>
        <family val="1"/>
      </rPr>
      <t>1ST SEMESTER EXAMINATION TABULATION SHEET- 2025
 CLASS - FOUR (SHURMA)</t>
    </r>
  </si>
  <si>
    <t>FOUR  (SHURMA)</t>
  </si>
  <si>
    <t>MD. MAHABUB ALAM</t>
  </si>
  <si>
    <t xml:space="preserve">        Class Teacher</t>
  </si>
  <si>
    <t>Co-Ordinator</t>
  </si>
  <si>
    <t>Principal (Acting)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</si>
</sst>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\-0000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5" tint="-0.249977111117893"/>
      <name val="Zilla Slab SemiBold"/>
    </font>
    <font>
      <sz val="8"/>
      <color theme="1"/>
      <name val="Times New Roman"/>
      <family val="1"/>
    </font>
    <font>
      <sz val="7"/>
      <color theme="1"/>
      <name val="Times New Roman"/>
      <family val="1"/>
    </font>
    <font>
      <sz val="8"/>
      <color theme="1"/>
      <name val="Calibri"/>
      <family val="2"/>
      <scheme val="minor"/>
    </font>
    <font>
      <sz val="12"/>
      <name val="Times New Roman"/>
      <family val="1"/>
    </font>
    <font>
      <sz val="11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0"/>
      <name val="Zilla Slab SemiBold"/>
    </font>
    <font>
      <sz val="13"/>
      <name val="Times New Roman"/>
      <family val="1"/>
    </font>
    <font>
      <sz val="13"/>
      <name val="Algerian"/>
      <family val="5"/>
    </font>
    <font>
      <b/>
      <sz val="7"/>
      <color theme="1"/>
      <name val="Times New Roman"/>
      <family val="1"/>
    </font>
    <font>
      <sz val="7"/>
      <color theme="1"/>
      <name val="Calibri"/>
      <family val="2"/>
      <scheme val="minor"/>
    </font>
    <font>
      <sz val="7"/>
      <color theme="1"/>
      <name val="Cambria"/>
      <family val="1"/>
      <scheme val="major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sz val="8"/>
      <name val="Calibri"/>
      <family val="2"/>
      <scheme val="minor"/>
    </font>
    <font>
      <sz val="8"/>
      <color theme="1"/>
      <name val="Cambria"/>
      <family val="1"/>
      <scheme val="major"/>
    </font>
    <font>
      <b/>
      <sz val="11"/>
      <name val="Cambria"/>
      <family val="1"/>
      <scheme val="major"/>
    </font>
    <font>
      <b/>
      <sz val="12"/>
      <name val="Tempus Sans ITC"/>
      <family val="5"/>
    </font>
    <font>
      <b/>
      <sz val="10"/>
      <name val="Times New Roman"/>
      <family val="1"/>
    </font>
    <font>
      <b/>
      <sz val="16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sz val="11"/>
      <color theme="1"/>
      <name val="Cambria"/>
      <family val="1"/>
      <scheme val="major"/>
    </font>
    <font>
      <b/>
      <sz val="12"/>
      <name val="Cambria"/>
      <family val="1"/>
      <scheme val="major"/>
    </font>
    <font>
      <sz val="16"/>
      <name val="Times New Roman"/>
      <family val="1"/>
    </font>
    <font>
      <sz val="18"/>
      <name val="Times New Roman"/>
      <family val="1"/>
    </font>
    <font>
      <sz val="12"/>
      <name val="Cambria"/>
      <family val="1"/>
      <scheme val="major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sz val="1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8">
    <xf numFmtId="0" fontId="0" fillId="0" borderId="0" xfId="0"/>
    <xf numFmtId="0" fontId="4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4" fillId="2" borderId="1" xfId="0" applyFont="1" applyFill="1" applyBorder="1" applyAlignment="1">
      <alignment horizontal="center" vertical="center" wrapText="1"/>
    </xf>
    <xf numFmtId="0" fontId="16" fillId="0" borderId="0" xfId="0" applyFont="1"/>
    <xf numFmtId="0" fontId="4" fillId="2" borderId="3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9" fillId="2" borderId="1" xfId="0" applyFont="1" applyFill="1" applyBorder="1" applyAlignment="1">
      <alignment horizontal="center" vertical="center" wrapText="1"/>
    </xf>
    <xf numFmtId="0" fontId="20" fillId="0" borderId="0" xfId="0" applyFont="1"/>
    <xf numFmtId="0" fontId="3" fillId="2" borderId="0" xfId="0" applyFont="1" applyFill="1" applyAlignment="1">
      <alignment horizontal="center"/>
    </xf>
    <xf numFmtId="0" fontId="5" fillId="0" borderId="0" xfId="0" applyFont="1"/>
    <xf numFmtId="0" fontId="19" fillId="2" borderId="1" xfId="0" applyFont="1" applyFill="1" applyBorder="1" applyAlignment="1">
      <alignment vertical="top" wrapText="1"/>
    </xf>
    <xf numFmtId="49" fontId="19" fillId="2" borderId="1" xfId="0" applyNumberFormat="1" applyFont="1" applyFill="1" applyBorder="1" applyAlignment="1">
      <alignment vertical="top" wrapText="1"/>
    </xf>
    <xf numFmtId="0" fontId="22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/>
    </xf>
    <xf numFmtId="0" fontId="30" fillId="0" borderId="0" xfId="0" applyFont="1"/>
    <xf numFmtId="0" fontId="27" fillId="2" borderId="0" xfId="0" applyFont="1" applyFill="1" applyAlignment="1">
      <alignment horizontal="center"/>
    </xf>
    <xf numFmtId="0" fontId="28" fillId="2" borderId="0" xfId="0" applyFont="1" applyFill="1" applyAlignment="1">
      <alignment horizontal="center"/>
    </xf>
    <xf numFmtId="0" fontId="28" fillId="2" borderId="0" xfId="0" applyFont="1" applyFill="1"/>
    <xf numFmtId="0" fontId="7" fillId="2" borderId="0" xfId="0" applyFont="1" applyFill="1" applyAlignment="1">
      <alignment horizontal="left" vertical="center"/>
    </xf>
    <xf numFmtId="0" fontId="29" fillId="2" borderId="9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31" fillId="2" borderId="5" xfId="0" applyFont="1" applyFill="1" applyBorder="1" applyAlignment="1">
      <alignment vertical="center"/>
    </xf>
    <xf numFmtId="0" fontId="31" fillId="2" borderId="0" xfId="0" applyFont="1" applyFill="1" applyAlignment="1">
      <alignment horizontal="right" vertical="center"/>
    </xf>
    <xf numFmtId="0" fontId="0" fillId="2" borderId="0" xfId="0" applyFill="1"/>
    <xf numFmtId="0" fontId="31" fillId="2" borderId="0" xfId="0" applyFont="1" applyFill="1" applyAlignment="1">
      <alignment horizontal="left" vertical="center"/>
    </xf>
    <xf numFmtId="0" fontId="31" fillId="2" borderId="5" xfId="0" applyFont="1" applyFill="1" applyBorder="1" applyAlignment="1">
      <alignment horizontal="left" vertical="center"/>
    </xf>
    <xf numFmtId="0" fontId="35" fillId="2" borderId="12" xfId="0" applyFont="1" applyFill="1" applyBorder="1" applyAlignment="1">
      <alignment horizontal="center"/>
    </xf>
    <xf numFmtId="0" fontId="35" fillId="0" borderId="1" xfId="0" applyFont="1" applyBorder="1" applyAlignment="1">
      <alignment horizontal="center" wrapText="1"/>
    </xf>
    <xf numFmtId="0" fontId="35" fillId="0" borderId="1" xfId="0" applyFont="1" applyBorder="1" applyAlignment="1">
      <alignment horizontal="left" vertical="center"/>
    </xf>
    <xf numFmtId="0" fontId="35" fillId="2" borderId="1" xfId="0" applyFont="1" applyFill="1" applyBorder="1" applyAlignment="1">
      <alignment horizontal="center" wrapText="1"/>
    </xf>
    <xf numFmtId="0" fontId="35" fillId="2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/>
    </xf>
    <xf numFmtId="0" fontId="35" fillId="2" borderId="1" xfId="0" applyFont="1" applyFill="1" applyBorder="1" applyAlignment="1">
      <alignment horizontal="center" vertical="center"/>
    </xf>
    <xf numFmtId="1" fontId="35" fillId="2" borderId="1" xfId="0" applyNumberFormat="1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2" fontId="35" fillId="2" borderId="1" xfId="1" applyNumberFormat="1" applyFont="1" applyFill="1" applyBorder="1" applyAlignment="1">
      <alignment horizontal="center" vertical="center"/>
    </xf>
    <xf numFmtId="1" fontId="35" fillId="2" borderId="2" xfId="0" applyNumberFormat="1" applyFont="1" applyFill="1" applyBorder="1" applyAlignment="1">
      <alignment horizontal="center" vertical="center"/>
    </xf>
    <xf numFmtId="1" fontId="35" fillId="2" borderId="4" xfId="0" applyNumberFormat="1" applyFont="1" applyFill="1" applyBorder="1" applyAlignment="1">
      <alignment horizontal="center" vertical="center"/>
    </xf>
    <xf numFmtId="1" fontId="35" fillId="2" borderId="3" xfId="0" applyNumberFormat="1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7" fillId="0" borderId="3" xfId="0" applyFont="1" applyBorder="1"/>
    <xf numFmtId="0" fontId="16" fillId="2" borderId="12" xfId="0" applyFont="1" applyFill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 wrapText="1"/>
    </xf>
    <xf numFmtId="49" fontId="19" fillId="2" borderId="1" xfId="0" applyNumberFormat="1" applyFont="1" applyFill="1" applyBorder="1" applyAlignment="1">
      <alignment horizontal="center" vertical="top" wrapText="1"/>
    </xf>
    <xf numFmtId="0" fontId="11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6" fillId="2" borderId="6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 textRotation="90" wrapText="1"/>
    </xf>
    <xf numFmtId="0" fontId="9" fillId="2" borderId="1" xfId="0" applyFont="1" applyFill="1" applyBorder="1" applyAlignment="1">
      <alignment horizontal="center" vertical="center" textRotation="90" wrapText="1"/>
    </xf>
    <xf numFmtId="164" fontId="34" fillId="2" borderId="5" xfId="0" applyNumberFormat="1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9" fillId="2" borderId="3" xfId="0" applyFont="1" applyFill="1" applyBorder="1" applyAlignment="1">
      <alignment horizontal="center" vertical="center" textRotation="90"/>
    </xf>
    <xf numFmtId="0" fontId="9" fillId="2" borderId="1" xfId="0" applyFont="1" applyFill="1" applyBorder="1" applyAlignment="1">
      <alignment horizontal="center" vertical="center" textRotation="90"/>
    </xf>
    <xf numFmtId="0" fontId="25" fillId="2" borderId="3" xfId="0" applyFont="1" applyFill="1" applyBorder="1" applyAlignment="1">
      <alignment horizontal="center" vertical="center" textRotation="90" wrapText="1"/>
    </xf>
    <xf numFmtId="0" fontId="25" fillId="2" borderId="1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/>
    </xf>
    <xf numFmtId="0" fontId="32" fillId="2" borderId="0" xfId="0" applyFont="1" applyFill="1" applyAlignment="1">
      <alignment horizontal="center" vertical="center" wrapText="1"/>
    </xf>
    <xf numFmtId="0" fontId="34" fillId="2" borderId="0" xfId="0" applyFont="1" applyFill="1" applyAlignment="1">
      <alignment horizontal="left" vertical="center"/>
    </xf>
    <xf numFmtId="0" fontId="31" fillId="2" borderId="0" xfId="0" applyFont="1" applyFill="1" applyAlignment="1">
      <alignment horizontal="right" vertical="center"/>
    </xf>
    <xf numFmtId="0" fontId="31" fillId="2" borderId="0" xfId="0" applyFont="1" applyFill="1" applyAlignment="1">
      <alignment horizontal="left" vertical="center"/>
    </xf>
    <xf numFmtId="0" fontId="9" fillId="2" borderId="9" xfId="0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2" fontId="2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1" fontId="0" fillId="2" borderId="0" xfId="0" applyNumberFormat="1" applyFill="1"/>
    <xf numFmtId="0" fontId="37" fillId="2" borderId="0" xfId="0" applyFont="1" applyFill="1" applyAlignment="1">
      <alignment vertical="center"/>
    </xf>
    <xf numFmtId="0" fontId="37" fillId="2" borderId="0" xfId="0" applyFont="1" applyFill="1" applyAlignment="1">
      <alignment horizontal="left" vertical="center"/>
    </xf>
  </cellXfs>
  <cellStyles count="2">
    <cellStyle name="Normal" xfId="0" builtinId="0"/>
    <cellStyle name="Percent" xfId="1" builtinId="5"/>
  </cellStyles>
  <dxfs count="1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298174</xdr:colOff>
      <xdr:row>0</xdr:row>
      <xdr:rowOff>16564</xdr:rowOff>
    </xdr:from>
    <xdr:to>
      <xdr:col>18</xdr:col>
      <xdr:colOff>265044</xdr:colOff>
      <xdr:row>3</xdr:row>
      <xdr:rowOff>137514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F1B869F1-6802-4D2D-B3E6-ADCA235BE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920370" y="16564"/>
          <a:ext cx="679174" cy="77527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1</xdr:row>
      <xdr:rowOff>38100</xdr:rowOff>
    </xdr:from>
    <xdr:to>
      <xdr:col>1</xdr:col>
      <xdr:colOff>1078724</xdr:colOff>
      <xdr:row>5</xdr:row>
      <xdr:rowOff>205628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ADB434C5-09E0-4ED8-99E5-2346D33F0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33375" y="228600"/>
          <a:ext cx="897749" cy="102477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47633</xdr:colOff>
      <xdr:row>34</xdr:row>
      <xdr:rowOff>47625</xdr:rowOff>
    </xdr:from>
    <xdr:to>
      <xdr:col>11</xdr:col>
      <xdr:colOff>148737</xdr:colOff>
      <xdr:row>36</xdr:row>
      <xdr:rowOff>6097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EE4C8D-E202-4990-9C1D-953867998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67236" y="930604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34</xdr:row>
      <xdr:rowOff>133350</xdr:rowOff>
    </xdr:from>
    <xdr:to>
      <xdr:col>5</xdr:col>
      <xdr:colOff>187698</xdr:colOff>
      <xdr:row>36</xdr:row>
      <xdr:rowOff>24194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5BB9317-887F-4D42-8666-26D9C3587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5" y="9715500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A36"/>
  <sheetViews>
    <sheetView tabSelected="1" topLeftCell="M1" zoomScale="115" zoomScaleNormal="115" workbookViewId="0">
      <selection activeCell="AZ33" sqref="AZ33"/>
    </sheetView>
  </sheetViews>
  <sheetFormatPr defaultRowHeight="15"/>
  <cols>
    <col min="1" max="1" width="3.5703125" bestFit="1" customWidth="1"/>
    <col min="2" max="2" width="4.7109375" style="2" customWidth="1"/>
    <col min="3" max="3" width="22.7109375" style="11" bestFit="1" customWidth="1"/>
    <col min="4" max="4" width="21.5703125" bestFit="1" customWidth="1"/>
    <col min="5" max="5" width="17.5703125" bestFit="1" customWidth="1"/>
    <col min="6" max="11" width="5.28515625" customWidth="1"/>
    <col min="12" max="12" width="5.7109375" customWidth="1"/>
    <col min="13" max="18" width="5.28515625" customWidth="1"/>
    <col min="19" max="19" width="5.7109375" customWidth="1"/>
    <col min="20" max="23" width="5.28515625" customWidth="1"/>
    <col min="24" max="24" width="5.7109375" customWidth="1"/>
    <col min="25" max="28" width="5.28515625" customWidth="1"/>
    <col min="29" max="29" width="5.7109375" customWidth="1"/>
    <col min="30" max="33" width="5.28515625" customWidth="1"/>
    <col min="34" max="34" width="5.7109375" customWidth="1"/>
    <col min="35" max="38" width="5.28515625" customWidth="1"/>
    <col min="39" max="39" width="5.7109375" customWidth="1"/>
    <col min="40" max="43" width="5.28515625" customWidth="1"/>
    <col min="44" max="47" width="5.7109375" customWidth="1"/>
    <col min="48" max="52" width="5.28515625" customWidth="1"/>
    <col min="53" max="53" width="14.5703125" bestFit="1" customWidth="1"/>
  </cols>
  <sheetData>
    <row r="1" spans="1:53" ht="15.75" customHeight="1">
      <c r="A1" s="52" t="s">
        <v>134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4"/>
    </row>
    <row r="2" spans="1:53" ht="21" customHeight="1">
      <c r="A2" s="55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7"/>
    </row>
    <row r="3" spans="1:53">
      <c r="A3" s="55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7"/>
    </row>
    <row r="4" spans="1:53" ht="15.75" customHeight="1">
      <c r="A4" s="55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7"/>
    </row>
    <row r="5" spans="1:53" s="9" customFormat="1" ht="12.75" customHeight="1">
      <c r="A5" s="61" t="s">
        <v>24</v>
      </c>
      <c r="B5" s="61"/>
      <c r="C5" s="61"/>
      <c r="D5" s="8" t="s">
        <v>135</v>
      </c>
      <c r="E5" s="61" t="s">
        <v>25</v>
      </c>
      <c r="F5" s="61"/>
      <c r="G5" s="61"/>
      <c r="H5" s="61" t="s">
        <v>136</v>
      </c>
      <c r="I5" s="61"/>
      <c r="J5" s="61"/>
      <c r="K5" s="61"/>
      <c r="L5" s="61"/>
      <c r="M5" s="61"/>
      <c r="N5" s="61"/>
      <c r="O5" s="61" t="s">
        <v>26</v>
      </c>
      <c r="P5" s="61"/>
      <c r="Q5" s="61"/>
      <c r="R5" s="61"/>
      <c r="S5" s="61" t="s">
        <v>45</v>
      </c>
      <c r="T5" s="61"/>
      <c r="U5" s="61"/>
      <c r="V5" s="12"/>
      <c r="W5" s="61" t="s">
        <v>27</v>
      </c>
      <c r="X5" s="61"/>
      <c r="Y5" s="61"/>
      <c r="Z5" s="61"/>
      <c r="AA5" s="61"/>
      <c r="AB5" s="8"/>
      <c r="AC5" s="8">
        <v>53</v>
      </c>
      <c r="AD5" s="12"/>
      <c r="AE5" s="61" t="s">
        <v>28</v>
      </c>
      <c r="AF5" s="61"/>
      <c r="AG5" s="61"/>
      <c r="AH5" s="61"/>
      <c r="AI5" s="51" t="s">
        <v>56</v>
      </c>
      <c r="AJ5" s="51"/>
      <c r="AK5" s="51"/>
      <c r="AL5" s="51"/>
      <c r="AM5" s="51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2"/>
      <c r="AY5" s="12"/>
      <c r="AZ5" s="12"/>
      <c r="BA5" s="12"/>
    </row>
    <row r="6" spans="1:53" s="4" customFormat="1" ht="18.75" customHeight="1">
      <c r="A6" s="45" t="s">
        <v>0</v>
      </c>
      <c r="B6" s="45" t="s">
        <v>1</v>
      </c>
      <c r="C6" s="62" t="s">
        <v>2</v>
      </c>
      <c r="D6" s="46" t="s">
        <v>31</v>
      </c>
      <c r="E6" s="46" t="s">
        <v>32</v>
      </c>
      <c r="F6" s="44" t="s">
        <v>34</v>
      </c>
      <c r="G6" s="44"/>
      <c r="H6" s="49" t="s">
        <v>33</v>
      </c>
      <c r="I6" s="50"/>
      <c r="J6" s="46" t="s">
        <v>3</v>
      </c>
      <c r="K6" s="45" t="s">
        <v>4</v>
      </c>
      <c r="L6" s="45" t="s">
        <v>5</v>
      </c>
      <c r="M6" s="44" t="s">
        <v>13</v>
      </c>
      <c r="N6" s="44"/>
      <c r="O6" s="44" t="s">
        <v>14</v>
      </c>
      <c r="P6" s="44"/>
      <c r="Q6" s="45" t="s">
        <v>3</v>
      </c>
      <c r="R6" s="45" t="s">
        <v>4</v>
      </c>
      <c r="S6" s="45" t="s">
        <v>5</v>
      </c>
      <c r="T6" s="49" t="s">
        <v>15</v>
      </c>
      <c r="U6" s="50"/>
      <c r="V6" s="50"/>
      <c r="W6" s="63"/>
      <c r="X6" s="45" t="s">
        <v>5</v>
      </c>
      <c r="Y6" s="49" t="s">
        <v>7</v>
      </c>
      <c r="Z6" s="50"/>
      <c r="AA6" s="50"/>
      <c r="AB6" s="63"/>
      <c r="AC6" s="45" t="s">
        <v>5</v>
      </c>
      <c r="AD6" s="49" t="s">
        <v>8</v>
      </c>
      <c r="AE6" s="50"/>
      <c r="AF6" s="50"/>
      <c r="AG6" s="63"/>
      <c r="AH6" s="45" t="s">
        <v>5</v>
      </c>
      <c r="AI6" s="49" t="s">
        <v>9</v>
      </c>
      <c r="AJ6" s="50"/>
      <c r="AK6" s="50"/>
      <c r="AL6" s="63"/>
      <c r="AM6" s="45" t="s">
        <v>5</v>
      </c>
      <c r="AN6" s="64" t="s">
        <v>44</v>
      </c>
      <c r="AO6" s="65"/>
      <c r="AP6" s="65"/>
      <c r="AQ6" s="66"/>
      <c r="AR6" s="45" t="s">
        <v>5</v>
      </c>
      <c r="AS6" s="64" t="s">
        <v>35</v>
      </c>
      <c r="AT6" s="66"/>
      <c r="AU6" s="45" t="s">
        <v>5</v>
      </c>
      <c r="AV6" s="45" t="s">
        <v>10</v>
      </c>
      <c r="AW6" s="46" t="s">
        <v>11</v>
      </c>
      <c r="AX6" s="45" t="s">
        <v>17</v>
      </c>
      <c r="AY6" s="45" t="s">
        <v>16</v>
      </c>
      <c r="AZ6" s="58" t="s">
        <v>29</v>
      </c>
      <c r="BA6" s="60" t="s">
        <v>30</v>
      </c>
    </row>
    <row r="7" spans="1:53" s="7" customFormat="1" ht="32.25" customHeight="1">
      <c r="A7" s="45"/>
      <c r="B7" s="46"/>
      <c r="C7" s="62"/>
      <c r="D7" s="47"/>
      <c r="E7" s="47"/>
      <c r="F7" s="3" t="s">
        <v>12</v>
      </c>
      <c r="G7" s="5" t="s">
        <v>6</v>
      </c>
      <c r="H7" s="3" t="s">
        <v>12</v>
      </c>
      <c r="I7" s="5" t="s">
        <v>6</v>
      </c>
      <c r="J7" s="48"/>
      <c r="K7" s="45"/>
      <c r="L7" s="45"/>
      <c r="M7" s="5" t="s">
        <v>12</v>
      </c>
      <c r="N7" s="5" t="s">
        <v>6</v>
      </c>
      <c r="O7" s="5" t="s">
        <v>12</v>
      </c>
      <c r="P7" s="5" t="s">
        <v>6</v>
      </c>
      <c r="Q7" s="45"/>
      <c r="R7" s="45"/>
      <c r="S7" s="45"/>
      <c r="T7" s="3" t="s">
        <v>12</v>
      </c>
      <c r="U7" s="5" t="s">
        <v>6</v>
      </c>
      <c r="V7" s="3" t="s">
        <v>3</v>
      </c>
      <c r="W7" s="3" t="s">
        <v>4</v>
      </c>
      <c r="X7" s="45"/>
      <c r="Y7" s="3" t="s">
        <v>12</v>
      </c>
      <c r="Z7" s="5" t="s">
        <v>6</v>
      </c>
      <c r="AA7" s="3" t="s">
        <v>3</v>
      </c>
      <c r="AB7" s="3" t="s">
        <v>4</v>
      </c>
      <c r="AC7" s="45"/>
      <c r="AD7" s="3" t="s">
        <v>12</v>
      </c>
      <c r="AE7" s="5" t="s">
        <v>6</v>
      </c>
      <c r="AF7" s="3" t="s">
        <v>3</v>
      </c>
      <c r="AG7" s="3" t="s">
        <v>4</v>
      </c>
      <c r="AH7" s="45"/>
      <c r="AI7" s="3" t="s">
        <v>12</v>
      </c>
      <c r="AJ7" s="5" t="s">
        <v>6</v>
      </c>
      <c r="AK7" s="3" t="s">
        <v>3</v>
      </c>
      <c r="AL7" s="3" t="s">
        <v>4</v>
      </c>
      <c r="AM7" s="45"/>
      <c r="AN7" s="5" t="s">
        <v>12</v>
      </c>
      <c r="AO7" s="5" t="s">
        <v>6</v>
      </c>
      <c r="AP7" s="3" t="s">
        <v>3</v>
      </c>
      <c r="AQ7" s="3" t="s">
        <v>4</v>
      </c>
      <c r="AR7" s="45"/>
      <c r="AS7" s="5" t="s">
        <v>6</v>
      </c>
      <c r="AT7" s="6" t="s">
        <v>4</v>
      </c>
      <c r="AU7" s="45"/>
      <c r="AV7" s="45"/>
      <c r="AW7" s="47"/>
      <c r="AX7" s="45"/>
      <c r="AY7" s="45"/>
      <c r="AZ7" s="59"/>
      <c r="BA7" s="59"/>
    </row>
    <row r="8" spans="1:53" ht="17.100000000000001" customHeight="1">
      <c r="A8" s="30">
        <v>1</v>
      </c>
      <c r="B8" s="31">
        <v>2</v>
      </c>
      <c r="C8" s="32" t="s">
        <v>58</v>
      </c>
      <c r="D8" s="32" t="s">
        <v>59</v>
      </c>
      <c r="E8" s="32" t="s">
        <v>60</v>
      </c>
      <c r="F8" s="37">
        <v>19</v>
      </c>
      <c r="G8" s="37">
        <v>79</v>
      </c>
      <c r="H8" s="37">
        <v>10</v>
      </c>
      <c r="I8" s="37">
        <v>37</v>
      </c>
      <c r="J8" s="38">
        <f>F8+G8+H8+I8</f>
        <v>145</v>
      </c>
      <c r="K8" s="37">
        <f>IF(J8&lt;60,"F",IF(J8&lt;75,2,IF(J8&lt;90,3,IF(J8&lt;105,3.5,IF(J8&lt;120,4,5)))))</f>
        <v>5</v>
      </c>
      <c r="L8" s="41">
        <f>MAX(J8:J33)</f>
        <v>145</v>
      </c>
      <c r="M8" s="37">
        <v>20</v>
      </c>
      <c r="N8" s="37">
        <v>75</v>
      </c>
      <c r="O8" s="37">
        <v>10</v>
      </c>
      <c r="P8" s="37">
        <v>39</v>
      </c>
      <c r="Q8" s="38">
        <f>M8+N8+O8+P8</f>
        <v>144</v>
      </c>
      <c r="R8" s="37">
        <f>IF(Q8&lt;60,"F",IF(Q8&lt;75,2,IF(Q8&lt;90,3,IF(Q8&lt;105,3.5,IF(Q8&lt;120,4,5)))))</f>
        <v>5</v>
      </c>
      <c r="S8" s="41">
        <f>MAX(Q8:Q33)</f>
        <v>144</v>
      </c>
      <c r="T8" s="37">
        <v>20</v>
      </c>
      <c r="U8" s="37">
        <v>79</v>
      </c>
      <c r="V8" s="38">
        <f>T8+U8</f>
        <v>99</v>
      </c>
      <c r="W8" s="37">
        <f>IF(V8&lt;40,"F",IF(V8&lt;50,2,IF(V8&lt;60,3,IF(V8&lt;70,3.5,IF(V8&lt;80,4,5)))))</f>
        <v>5</v>
      </c>
      <c r="X8" s="41">
        <f>MAX(V8:V33)</f>
        <v>99</v>
      </c>
      <c r="Y8" s="37">
        <v>18</v>
      </c>
      <c r="Z8" s="37">
        <v>80</v>
      </c>
      <c r="AA8" s="38">
        <f>Y8+Z8</f>
        <v>98</v>
      </c>
      <c r="AB8" s="37">
        <f>IF(AA8&lt;40,"F",IF(AA8&lt;50,2,IF(AA8&lt;60,3,IF(AA8&lt;70,3.5,IF(AA8&lt;80,4,5)))))</f>
        <v>5</v>
      </c>
      <c r="AC8" s="41">
        <f>MAX(AA8:AA33)</f>
        <v>99</v>
      </c>
      <c r="AD8" s="37">
        <v>18</v>
      </c>
      <c r="AE8" s="37">
        <v>78</v>
      </c>
      <c r="AF8" s="38">
        <f>AD8+AE8</f>
        <v>96</v>
      </c>
      <c r="AG8" s="37">
        <f>IF(AF8&lt;40,"F",IF(AF8&lt;50,2,IF(AF8&lt;60,3,IF(AF8&lt;70,3.5,IF(AF8&lt;80,4,5)))))</f>
        <v>5</v>
      </c>
      <c r="AH8" s="41">
        <f>MAX(AF8:AF33)</f>
        <v>98</v>
      </c>
      <c r="AI8" s="37">
        <v>20</v>
      </c>
      <c r="AJ8" s="37">
        <v>76</v>
      </c>
      <c r="AK8" s="38">
        <f>AI8+AJ8</f>
        <v>96</v>
      </c>
      <c r="AL8" s="37">
        <f>IF(AK8&lt;40,"F",IF(AK8&lt;50,2,IF(AK8&lt;60,3,IF(AK8&lt;70,3.5,IF(AK8&lt;80,4,5)))))</f>
        <v>5</v>
      </c>
      <c r="AM8" s="41">
        <f>MAX(AK8:AK33)</f>
        <v>97</v>
      </c>
      <c r="AN8" s="37"/>
      <c r="AO8" s="37">
        <v>46</v>
      </c>
      <c r="AP8" s="38">
        <f t="shared" ref="AP8:AP23" si="0">AO8*1</f>
        <v>46</v>
      </c>
      <c r="AQ8" s="37">
        <f>IF(AP8&lt;20,"F",IF(AP8&lt;25,2,IF(AP8&lt;30,3,IF(AP8&lt;35,3.5,IF(AP8&lt;40,4,5)))))</f>
        <v>5</v>
      </c>
      <c r="AR8" s="41">
        <f>MAX(AP8:AP33)</f>
        <v>46</v>
      </c>
      <c r="AS8" s="37">
        <v>48</v>
      </c>
      <c r="AT8" s="37">
        <f>IF(AS8&lt;20,"F",IF(AS8&lt;25,2,IF(AS8&lt;30,3,IF(AS8&lt;35,3.5,IF(AS8&lt;40,4,5)))))</f>
        <v>5</v>
      </c>
      <c r="AU8" s="41">
        <f>MAX(AS8:AS33)</f>
        <v>50</v>
      </c>
      <c r="AV8" s="37">
        <f t="shared" ref="AV8:AV33" si="1">IF(K8="F","F",IF(R8="F","F",IF(W8="F","F",IF(AB8="F","F",IF(AG8="F","F",IF(AL8="F","F",IF(AQ8="F","F",SUM(K8,R8,W8,AB8,AG8,AL8,AQ8))))))))</f>
        <v>35</v>
      </c>
      <c r="AW8" s="40">
        <f>IF(AV8="F","F", IF(AV8&gt;=35,5,IF(AV8&lt;35,AV8/7)))</f>
        <v>5</v>
      </c>
      <c r="AX8" s="38">
        <f>J8+Q8+V8+AA8+AF8+AK8+AP8</f>
        <v>724</v>
      </c>
      <c r="AY8" s="39">
        <v>2</v>
      </c>
      <c r="AZ8" s="39">
        <v>26</v>
      </c>
      <c r="BA8" s="14" t="str">
        <f t="shared" ref="BA8:BA33" si="2">IF(AW8="F","NEED TO PROGRESS",IF(AW8&gt;=5,"BEST",IF(AW8&gt;=4,"BETTER",IF(AW8&gt;2,"GOOD"))))</f>
        <v>BEST</v>
      </c>
    </row>
    <row r="9" spans="1:53" ht="17.100000000000001" customHeight="1">
      <c r="A9" s="30">
        <v>2</v>
      </c>
      <c r="B9" s="31">
        <v>6</v>
      </c>
      <c r="C9" s="32" t="s">
        <v>61</v>
      </c>
      <c r="D9" s="32" t="s">
        <v>62</v>
      </c>
      <c r="E9" s="32" t="s">
        <v>63</v>
      </c>
      <c r="F9" s="37">
        <v>20</v>
      </c>
      <c r="G9" s="37">
        <v>78</v>
      </c>
      <c r="H9" s="37">
        <v>10</v>
      </c>
      <c r="I9" s="37">
        <v>34</v>
      </c>
      <c r="J9" s="38">
        <f t="shared" ref="J9:J23" si="3">F9+G9+H9+I9</f>
        <v>142</v>
      </c>
      <c r="K9" s="37">
        <f t="shared" ref="K9:K23" si="4">IF(J9&lt;60,"F",IF(J9&lt;75,2,IF(J9&lt;90,3,IF(J9&lt;105,3.5,IF(J9&lt;120,4,5)))))</f>
        <v>5</v>
      </c>
      <c r="L9" s="42"/>
      <c r="M9" s="37">
        <v>20</v>
      </c>
      <c r="N9" s="37">
        <v>68</v>
      </c>
      <c r="O9" s="37">
        <v>10</v>
      </c>
      <c r="P9" s="37">
        <v>37</v>
      </c>
      <c r="Q9" s="38">
        <f t="shared" ref="Q9:Q33" si="5">M9+N9+O9+P9</f>
        <v>135</v>
      </c>
      <c r="R9" s="37">
        <f t="shared" ref="R9:R33" si="6">IF(Q9&lt;60,"F",IF(Q9&lt;75,2,IF(Q9&lt;90,3,IF(Q9&lt;105,3.5,IF(Q9&lt;120,4,5)))))</f>
        <v>5</v>
      </c>
      <c r="S9" s="42"/>
      <c r="T9" s="37">
        <v>19</v>
      </c>
      <c r="U9" s="37">
        <v>59</v>
      </c>
      <c r="V9" s="38">
        <f t="shared" ref="V9:V23" si="7">T9+U9</f>
        <v>78</v>
      </c>
      <c r="W9" s="37">
        <f t="shared" ref="W9:W23" si="8">IF(V9&lt;40,"F",IF(V9&lt;50,2,IF(V9&lt;60,3,IF(V9&lt;70,3.5,IF(V9&lt;80,4,5)))))</f>
        <v>4</v>
      </c>
      <c r="X9" s="42"/>
      <c r="Y9" s="37">
        <v>17</v>
      </c>
      <c r="Z9" s="37">
        <v>79</v>
      </c>
      <c r="AA9" s="38">
        <f t="shared" ref="AA9:AA17" si="9">Y9+Z9</f>
        <v>96</v>
      </c>
      <c r="AB9" s="37">
        <f t="shared" ref="AB9:AB17" si="10">IF(AA9&lt;40,"F",IF(AA9&lt;50,2,IF(AA9&lt;60,3,IF(AA9&lt;70,3.5,IF(AA9&lt;80,4,5)))))</f>
        <v>5</v>
      </c>
      <c r="AC9" s="42"/>
      <c r="AD9" s="37">
        <v>20</v>
      </c>
      <c r="AE9" s="37">
        <v>75</v>
      </c>
      <c r="AF9" s="38">
        <f t="shared" ref="AF9:AF23" si="11">AD9+AE9</f>
        <v>95</v>
      </c>
      <c r="AG9" s="37">
        <f t="shared" ref="AG9:AG23" si="12">IF(AF9&lt;40,"F",IF(AF9&lt;50,2,IF(AF9&lt;60,3,IF(AF9&lt;70,3.5,IF(AF9&lt;80,4,5)))))</f>
        <v>5</v>
      </c>
      <c r="AH9" s="42"/>
      <c r="AI9" s="37">
        <v>20</v>
      </c>
      <c r="AJ9" s="37">
        <v>77</v>
      </c>
      <c r="AK9" s="38">
        <f t="shared" ref="AK9:AK33" si="13">AI9+AJ9</f>
        <v>97</v>
      </c>
      <c r="AL9" s="37">
        <f t="shared" ref="AL9:AL33" si="14">IF(AK9&lt;40,"F",IF(AK9&lt;50,2,IF(AK9&lt;60,3,IF(AK9&lt;70,3.5,IF(AK9&lt;80,4,5)))))</f>
        <v>5</v>
      </c>
      <c r="AM9" s="42"/>
      <c r="AN9" s="37"/>
      <c r="AO9" s="37">
        <v>41</v>
      </c>
      <c r="AP9" s="38">
        <f t="shared" si="0"/>
        <v>41</v>
      </c>
      <c r="AQ9" s="37">
        <f t="shared" ref="AQ9:AQ23" si="15">IF(AP9&lt;20,"F",IF(AP9&lt;25,2,IF(AP9&lt;30,3,IF(AP9&lt;35,3.5,IF(AP9&lt;40,4,5)))))</f>
        <v>5</v>
      </c>
      <c r="AR9" s="42"/>
      <c r="AS9" s="37">
        <v>50</v>
      </c>
      <c r="AT9" s="37">
        <f t="shared" ref="AT9:AT33" si="16">IF(AS9&lt;20,"F",IF(AS9&lt;25,2,IF(AS9&lt;30,3,IF(AS9&lt;35,3.5,IF(AS9&lt;40,4,5)))))</f>
        <v>5</v>
      </c>
      <c r="AU9" s="42"/>
      <c r="AV9" s="37">
        <f t="shared" si="1"/>
        <v>34</v>
      </c>
      <c r="AW9" s="40">
        <f t="shared" ref="AW9:AW33" si="17">IF(AV9="F","F", IF(AV9&gt;=35,5,IF(AV9&lt;35,AV9/7)))</f>
        <v>4.8571428571428568</v>
      </c>
      <c r="AX9" s="38">
        <f t="shared" ref="AX9:AX33" si="18">J9+Q9+V9+AA9+AF9+AK9+AP9</f>
        <v>684</v>
      </c>
      <c r="AY9" s="39">
        <v>5</v>
      </c>
      <c r="AZ9" s="39">
        <v>60</v>
      </c>
      <c r="BA9" s="14" t="str">
        <f t="shared" si="2"/>
        <v>BETTER</v>
      </c>
    </row>
    <row r="10" spans="1:53" ht="17.100000000000001" customHeight="1">
      <c r="A10" s="30">
        <v>3</v>
      </c>
      <c r="B10" s="31">
        <v>8</v>
      </c>
      <c r="C10" s="32" t="s">
        <v>64</v>
      </c>
      <c r="D10" s="32" t="s">
        <v>65</v>
      </c>
      <c r="E10" s="32" t="s">
        <v>66</v>
      </c>
      <c r="F10" s="37">
        <v>18</v>
      </c>
      <c r="G10" s="37">
        <v>78</v>
      </c>
      <c r="H10" s="37">
        <v>10</v>
      </c>
      <c r="I10" s="37">
        <v>34</v>
      </c>
      <c r="J10" s="38">
        <f t="shared" si="3"/>
        <v>140</v>
      </c>
      <c r="K10" s="37">
        <f t="shared" si="4"/>
        <v>5</v>
      </c>
      <c r="L10" s="42"/>
      <c r="M10" s="37">
        <v>19</v>
      </c>
      <c r="N10" s="37">
        <v>62</v>
      </c>
      <c r="O10" s="37">
        <v>10</v>
      </c>
      <c r="P10" s="37">
        <v>33</v>
      </c>
      <c r="Q10" s="38">
        <f t="shared" si="5"/>
        <v>124</v>
      </c>
      <c r="R10" s="37">
        <f t="shared" si="6"/>
        <v>5</v>
      </c>
      <c r="S10" s="42"/>
      <c r="T10" s="37">
        <v>12</v>
      </c>
      <c r="U10" s="37">
        <v>43</v>
      </c>
      <c r="V10" s="38">
        <f t="shared" si="7"/>
        <v>55</v>
      </c>
      <c r="W10" s="37">
        <f t="shared" si="8"/>
        <v>3</v>
      </c>
      <c r="X10" s="42"/>
      <c r="Y10" s="37">
        <v>18</v>
      </c>
      <c r="Z10" s="37">
        <v>77</v>
      </c>
      <c r="AA10" s="38">
        <f t="shared" si="9"/>
        <v>95</v>
      </c>
      <c r="AB10" s="37">
        <f t="shared" si="10"/>
        <v>5</v>
      </c>
      <c r="AC10" s="42"/>
      <c r="AD10" s="37">
        <v>20</v>
      </c>
      <c r="AE10" s="37">
        <v>75</v>
      </c>
      <c r="AF10" s="38">
        <f t="shared" si="11"/>
        <v>95</v>
      </c>
      <c r="AG10" s="37">
        <f t="shared" si="12"/>
        <v>5</v>
      </c>
      <c r="AH10" s="42"/>
      <c r="AI10" s="37">
        <v>20</v>
      </c>
      <c r="AJ10" s="37">
        <v>69</v>
      </c>
      <c r="AK10" s="38">
        <f t="shared" si="13"/>
        <v>89</v>
      </c>
      <c r="AL10" s="37">
        <f t="shared" si="14"/>
        <v>5</v>
      </c>
      <c r="AM10" s="42"/>
      <c r="AN10" s="37"/>
      <c r="AO10" s="37">
        <v>40</v>
      </c>
      <c r="AP10" s="38">
        <f t="shared" si="0"/>
        <v>40</v>
      </c>
      <c r="AQ10" s="37">
        <f t="shared" si="15"/>
        <v>5</v>
      </c>
      <c r="AR10" s="42"/>
      <c r="AS10" s="37">
        <v>45</v>
      </c>
      <c r="AT10" s="37">
        <f t="shared" si="16"/>
        <v>5</v>
      </c>
      <c r="AU10" s="42"/>
      <c r="AV10" s="37">
        <f t="shared" si="1"/>
        <v>33</v>
      </c>
      <c r="AW10" s="40">
        <f t="shared" si="17"/>
        <v>4.7142857142857144</v>
      </c>
      <c r="AX10" s="38">
        <f t="shared" si="18"/>
        <v>638</v>
      </c>
      <c r="AY10" s="39">
        <v>13</v>
      </c>
      <c r="AZ10" s="39">
        <v>55</v>
      </c>
      <c r="BA10" s="14" t="str">
        <f t="shared" si="2"/>
        <v>BETTER</v>
      </c>
    </row>
    <row r="11" spans="1:53" ht="17.100000000000001" customHeight="1">
      <c r="A11" s="30">
        <v>4</v>
      </c>
      <c r="B11" s="31">
        <v>12</v>
      </c>
      <c r="C11" s="32" t="s">
        <v>67</v>
      </c>
      <c r="D11" s="32" t="s">
        <v>68</v>
      </c>
      <c r="E11" s="32" t="s">
        <v>69</v>
      </c>
      <c r="F11" s="37">
        <v>19</v>
      </c>
      <c r="G11" s="37">
        <v>75</v>
      </c>
      <c r="H11" s="37">
        <v>10</v>
      </c>
      <c r="I11" s="37">
        <v>32</v>
      </c>
      <c r="J11" s="38">
        <f t="shared" si="3"/>
        <v>136</v>
      </c>
      <c r="K11" s="37">
        <f t="shared" si="4"/>
        <v>5</v>
      </c>
      <c r="L11" s="42"/>
      <c r="M11" s="37">
        <v>19</v>
      </c>
      <c r="N11" s="37">
        <v>59</v>
      </c>
      <c r="O11" s="37">
        <v>9</v>
      </c>
      <c r="P11" s="37">
        <v>24</v>
      </c>
      <c r="Q11" s="38">
        <f t="shared" si="5"/>
        <v>111</v>
      </c>
      <c r="R11" s="37">
        <f t="shared" si="6"/>
        <v>4</v>
      </c>
      <c r="S11" s="42"/>
      <c r="T11" s="37">
        <v>12</v>
      </c>
      <c r="U11" s="37">
        <v>37</v>
      </c>
      <c r="V11" s="38">
        <f t="shared" si="7"/>
        <v>49</v>
      </c>
      <c r="W11" s="37">
        <f t="shared" si="8"/>
        <v>2</v>
      </c>
      <c r="X11" s="42"/>
      <c r="Y11" s="37">
        <v>15</v>
      </c>
      <c r="Z11" s="37">
        <v>72</v>
      </c>
      <c r="AA11" s="38">
        <f t="shared" si="9"/>
        <v>87</v>
      </c>
      <c r="AB11" s="37">
        <f t="shared" si="10"/>
        <v>5</v>
      </c>
      <c r="AC11" s="42"/>
      <c r="AD11" s="37">
        <v>18</v>
      </c>
      <c r="AE11" s="37">
        <v>59</v>
      </c>
      <c r="AF11" s="38">
        <f t="shared" si="11"/>
        <v>77</v>
      </c>
      <c r="AG11" s="37">
        <f t="shared" si="12"/>
        <v>4</v>
      </c>
      <c r="AH11" s="42"/>
      <c r="AI11" s="37">
        <v>20</v>
      </c>
      <c r="AJ11" s="37">
        <v>71</v>
      </c>
      <c r="AK11" s="38">
        <f t="shared" si="13"/>
        <v>91</v>
      </c>
      <c r="AL11" s="37">
        <f t="shared" si="14"/>
        <v>5</v>
      </c>
      <c r="AM11" s="42"/>
      <c r="AN11" s="37"/>
      <c r="AO11" s="37">
        <v>42</v>
      </c>
      <c r="AP11" s="38">
        <f t="shared" si="0"/>
        <v>42</v>
      </c>
      <c r="AQ11" s="37">
        <f t="shared" si="15"/>
        <v>5</v>
      </c>
      <c r="AR11" s="42"/>
      <c r="AS11" s="37">
        <v>40</v>
      </c>
      <c r="AT11" s="37">
        <f t="shared" si="16"/>
        <v>5</v>
      </c>
      <c r="AU11" s="42"/>
      <c r="AV11" s="37">
        <f t="shared" si="1"/>
        <v>30</v>
      </c>
      <c r="AW11" s="40">
        <f t="shared" si="17"/>
        <v>4.2857142857142856</v>
      </c>
      <c r="AX11" s="38">
        <f t="shared" si="18"/>
        <v>593</v>
      </c>
      <c r="AY11" s="39">
        <v>22</v>
      </c>
      <c r="AZ11" s="39">
        <v>53</v>
      </c>
      <c r="BA11" s="14" t="str">
        <f t="shared" si="2"/>
        <v>BETTER</v>
      </c>
    </row>
    <row r="12" spans="1:53" ht="17.100000000000001" customHeight="1">
      <c r="A12" s="30">
        <v>5</v>
      </c>
      <c r="B12" s="31">
        <v>14</v>
      </c>
      <c r="C12" s="32" t="s">
        <v>70</v>
      </c>
      <c r="D12" s="32" t="s">
        <v>71</v>
      </c>
      <c r="E12" s="32" t="s">
        <v>72</v>
      </c>
      <c r="F12" s="37">
        <v>19</v>
      </c>
      <c r="G12" s="37">
        <v>61</v>
      </c>
      <c r="H12" s="37">
        <v>9</v>
      </c>
      <c r="I12" s="37">
        <v>26</v>
      </c>
      <c r="J12" s="38">
        <f t="shared" si="3"/>
        <v>115</v>
      </c>
      <c r="K12" s="37">
        <f t="shared" si="4"/>
        <v>4</v>
      </c>
      <c r="L12" s="42"/>
      <c r="M12" s="37">
        <v>17</v>
      </c>
      <c r="N12" s="37">
        <v>61</v>
      </c>
      <c r="O12" s="37">
        <v>9</v>
      </c>
      <c r="P12" s="37">
        <v>29</v>
      </c>
      <c r="Q12" s="38">
        <f t="shared" si="5"/>
        <v>116</v>
      </c>
      <c r="R12" s="37">
        <f t="shared" si="6"/>
        <v>4</v>
      </c>
      <c r="S12" s="42"/>
      <c r="T12" s="37">
        <v>13</v>
      </c>
      <c r="U12" s="37">
        <v>36</v>
      </c>
      <c r="V12" s="38">
        <f t="shared" si="7"/>
        <v>49</v>
      </c>
      <c r="W12" s="37">
        <f t="shared" si="8"/>
        <v>2</v>
      </c>
      <c r="X12" s="42"/>
      <c r="Y12" s="37">
        <v>17</v>
      </c>
      <c r="Z12" s="37">
        <v>71</v>
      </c>
      <c r="AA12" s="38">
        <f t="shared" si="9"/>
        <v>88</v>
      </c>
      <c r="AB12" s="37">
        <f t="shared" si="10"/>
        <v>5</v>
      </c>
      <c r="AC12" s="42"/>
      <c r="AD12" s="37">
        <v>18</v>
      </c>
      <c r="AE12" s="37">
        <v>71</v>
      </c>
      <c r="AF12" s="38">
        <f t="shared" si="11"/>
        <v>89</v>
      </c>
      <c r="AG12" s="37">
        <f t="shared" si="12"/>
        <v>5</v>
      </c>
      <c r="AH12" s="42"/>
      <c r="AI12" s="37">
        <v>20</v>
      </c>
      <c r="AJ12" s="37">
        <v>63</v>
      </c>
      <c r="AK12" s="38">
        <f t="shared" si="13"/>
        <v>83</v>
      </c>
      <c r="AL12" s="37">
        <f t="shared" si="14"/>
        <v>5</v>
      </c>
      <c r="AM12" s="42"/>
      <c r="AN12" s="37"/>
      <c r="AO12" s="37">
        <v>39</v>
      </c>
      <c r="AP12" s="38">
        <f t="shared" si="0"/>
        <v>39</v>
      </c>
      <c r="AQ12" s="37">
        <f t="shared" si="15"/>
        <v>4</v>
      </c>
      <c r="AR12" s="42"/>
      <c r="AS12" s="37">
        <v>45</v>
      </c>
      <c r="AT12" s="37">
        <f t="shared" si="16"/>
        <v>5</v>
      </c>
      <c r="AU12" s="42"/>
      <c r="AV12" s="37">
        <f t="shared" si="1"/>
        <v>29</v>
      </c>
      <c r="AW12" s="40">
        <f t="shared" si="17"/>
        <v>4.1428571428571432</v>
      </c>
      <c r="AX12" s="38">
        <f t="shared" si="18"/>
        <v>579</v>
      </c>
      <c r="AY12" s="39">
        <v>25</v>
      </c>
      <c r="AZ12" s="39">
        <v>53</v>
      </c>
      <c r="BA12" s="14" t="str">
        <f t="shared" si="2"/>
        <v>BETTER</v>
      </c>
    </row>
    <row r="13" spans="1:53" ht="17.100000000000001" customHeight="1">
      <c r="A13" s="30">
        <v>6</v>
      </c>
      <c r="B13" s="31">
        <v>16</v>
      </c>
      <c r="C13" s="32" t="s">
        <v>73</v>
      </c>
      <c r="D13" s="32" t="s">
        <v>74</v>
      </c>
      <c r="E13" s="32" t="s">
        <v>75</v>
      </c>
      <c r="F13" s="37">
        <v>18</v>
      </c>
      <c r="G13" s="37">
        <v>67</v>
      </c>
      <c r="H13" s="37">
        <v>7</v>
      </c>
      <c r="I13" s="37">
        <v>32</v>
      </c>
      <c r="J13" s="38">
        <f t="shared" si="3"/>
        <v>124</v>
      </c>
      <c r="K13" s="37">
        <f t="shared" si="4"/>
        <v>5</v>
      </c>
      <c r="L13" s="42"/>
      <c r="M13" s="37">
        <v>19</v>
      </c>
      <c r="N13" s="37">
        <v>56</v>
      </c>
      <c r="O13" s="37">
        <v>9</v>
      </c>
      <c r="P13" s="37">
        <v>28</v>
      </c>
      <c r="Q13" s="38">
        <f t="shared" si="5"/>
        <v>112</v>
      </c>
      <c r="R13" s="37">
        <f t="shared" si="6"/>
        <v>4</v>
      </c>
      <c r="S13" s="42"/>
      <c r="T13" s="37">
        <v>17</v>
      </c>
      <c r="U13" s="37">
        <v>59</v>
      </c>
      <c r="V13" s="38">
        <f t="shared" si="7"/>
        <v>76</v>
      </c>
      <c r="W13" s="37">
        <f t="shared" si="8"/>
        <v>4</v>
      </c>
      <c r="X13" s="42"/>
      <c r="Y13" s="37">
        <v>14</v>
      </c>
      <c r="Z13" s="37">
        <v>72</v>
      </c>
      <c r="AA13" s="38">
        <f t="shared" si="9"/>
        <v>86</v>
      </c>
      <c r="AB13" s="37">
        <f t="shared" si="10"/>
        <v>5</v>
      </c>
      <c r="AC13" s="42"/>
      <c r="AD13" s="37">
        <v>17</v>
      </c>
      <c r="AE13" s="37">
        <v>64</v>
      </c>
      <c r="AF13" s="38">
        <f t="shared" si="11"/>
        <v>81</v>
      </c>
      <c r="AG13" s="37">
        <f t="shared" si="12"/>
        <v>5</v>
      </c>
      <c r="AH13" s="42"/>
      <c r="AI13" s="37">
        <v>20</v>
      </c>
      <c r="AJ13" s="37">
        <v>63</v>
      </c>
      <c r="AK13" s="38">
        <f t="shared" si="13"/>
        <v>83</v>
      </c>
      <c r="AL13" s="37">
        <f t="shared" si="14"/>
        <v>5</v>
      </c>
      <c r="AM13" s="42"/>
      <c r="AN13" s="37"/>
      <c r="AO13" s="37">
        <v>44</v>
      </c>
      <c r="AP13" s="38">
        <f t="shared" si="0"/>
        <v>44</v>
      </c>
      <c r="AQ13" s="37">
        <f t="shared" si="15"/>
        <v>5</v>
      </c>
      <c r="AR13" s="42"/>
      <c r="AS13" s="37">
        <v>48</v>
      </c>
      <c r="AT13" s="37">
        <f t="shared" si="16"/>
        <v>5</v>
      </c>
      <c r="AU13" s="42"/>
      <c r="AV13" s="37">
        <f t="shared" si="1"/>
        <v>33</v>
      </c>
      <c r="AW13" s="40">
        <f t="shared" si="17"/>
        <v>4.7142857142857144</v>
      </c>
      <c r="AX13" s="38">
        <f t="shared" si="18"/>
        <v>606</v>
      </c>
      <c r="AY13" s="39">
        <v>18</v>
      </c>
      <c r="AZ13" s="39">
        <v>54</v>
      </c>
      <c r="BA13" s="14" t="str">
        <f t="shared" si="2"/>
        <v>BETTER</v>
      </c>
    </row>
    <row r="14" spans="1:53" ht="17.100000000000001" customHeight="1">
      <c r="A14" s="30">
        <v>7</v>
      </c>
      <c r="B14" s="31">
        <v>18</v>
      </c>
      <c r="C14" s="32" t="s">
        <v>76</v>
      </c>
      <c r="D14" s="32" t="s">
        <v>77</v>
      </c>
      <c r="E14" s="32" t="s">
        <v>78</v>
      </c>
      <c r="F14" s="37">
        <v>19</v>
      </c>
      <c r="G14" s="37">
        <v>78</v>
      </c>
      <c r="H14" s="37">
        <v>8</v>
      </c>
      <c r="I14" s="37">
        <v>33</v>
      </c>
      <c r="J14" s="38">
        <f t="shared" si="3"/>
        <v>138</v>
      </c>
      <c r="K14" s="37">
        <f t="shared" si="4"/>
        <v>5</v>
      </c>
      <c r="L14" s="42"/>
      <c r="M14" s="37">
        <v>19</v>
      </c>
      <c r="N14" s="37">
        <v>76</v>
      </c>
      <c r="O14" s="37">
        <v>9</v>
      </c>
      <c r="P14" s="37">
        <v>35</v>
      </c>
      <c r="Q14" s="38">
        <f t="shared" si="5"/>
        <v>139</v>
      </c>
      <c r="R14" s="37">
        <f t="shared" si="6"/>
        <v>5</v>
      </c>
      <c r="S14" s="42"/>
      <c r="T14" s="37">
        <v>15</v>
      </c>
      <c r="U14" s="37">
        <v>72</v>
      </c>
      <c r="V14" s="38">
        <f t="shared" si="7"/>
        <v>87</v>
      </c>
      <c r="W14" s="37">
        <f t="shared" si="8"/>
        <v>5</v>
      </c>
      <c r="X14" s="42"/>
      <c r="Y14" s="37">
        <v>19</v>
      </c>
      <c r="Z14" s="37">
        <v>77</v>
      </c>
      <c r="AA14" s="38">
        <f t="shared" si="9"/>
        <v>96</v>
      </c>
      <c r="AB14" s="37">
        <f t="shared" si="10"/>
        <v>5</v>
      </c>
      <c r="AC14" s="42"/>
      <c r="AD14" s="37">
        <v>18</v>
      </c>
      <c r="AE14" s="37">
        <v>74</v>
      </c>
      <c r="AF14" s="38">
        <f t="shared" si="11"/>
        <v>92</v>
      </c>
      <c r="AG14" s="37">
        <f t="shared" si="12"/>
        <v>5</v>
      </c>
      <c r="AH14" s="42"/>
      <c r="AI14" s="37">
        <v>18</v>
      </c>
      <c r="AJ14" s="37">
        <v>63</v>
      </c>
      <c r="AK14" s="38">
        <f t="shared" si="13"/>
        <v>81</v>
      </c>
      <c r="AL14" s="37">
        <f t="shared" si="14"/>
        <v>5</v>
      </c>
      <c r="AM14" s="42"/>
      <c r="AN14" s="37"/>
      <c r="AO14" s="37">
        <v>45</v>
      </c>
      <c r="AP14" s="38">
        <f t="shared" si="0"/>
        <v>45</v>
      </c>
      <c r="AQ14" s="37">
        <f t="shared" si="15"/>
        <v>5</v>
      </c>
      <c r="AR14" s="42"/>
      <c r="AS14" s="37">
        <v>50</v>
      </c>
      <c r="AT14" s="37">
        <f t="shared" si="16"/>
        <v>5</v>
      </c>
      <c r="AU14" s="42"/>
      <c r="AV14" s="37">
        <f t="shared" si="1"/>
        <v>35</v>
      </c>
      <c r="AW14" s="40">
        <f t="shared" si="17"/>
        <v>5</v>
      </c>
      <c r="AX14" s="38">
        <f t="shared" si="18"/>
        <v>678</v>
      </c>
      <c r="AY14" s="39">
        <v>6</v>
      </c>
      <c r="AZ14" s="39">
        <v>51</v>
      </c>
      <c r="BA14" s="14" t="str">
        <f t="shared" si="2"/>
        <v>BEST</v>
      </c>
    </row>
    <row r="15" spans="1:53" s="27" customFormat="1" ht="17.100000000000001" customHeight="1">
      <c r="A15" s="30">
        <v>9</v>
      </c>
      <c r="B15" s="33">
        <v>22</v>
      </c>
      <c r="C15" s="34" t="s">
        <v>133</v>
      </c>
      <c r="D15" s="34"/>
      <c r="E15" s="34"/>
      <c r="F15" s="37"/>
      <c r="G15" s="37"/>
      <c r="H15" s="37"/>
      <c r="I15" s="37"/>
      <c r="J15" s="38">
        <f t="shared" si="3"/>
        <v>0</v>
      </c>
      <c r="K15" s="37" t="str">
        <f t="shared" si="4"/>
        <v>F</v>
      </c>
      <c r="L15" s="42"/>
      <c r="M15" s="37"/>
      <c r="N15" s="37"/>
      <c r="O15" s="37"/>
      <c r="P15" s="37"/>
      <c r="Q15" s="38">
        <f t="shared" si="5"/>
        <v>0</v>
      </c>
      <c r="R15" s="37" t="str">
        <f t="shared" si="6"/>
        <v>F</v>
      </c>
      <c r="S15" s="42"/>
      <c r="T15" s="37"/>
      <c r="U15" s="37"/>
      <c r="V15" s="38">
        <f t="shared" si="7"/>
        <v>0</v>
      </c>
      <c r="W15" s="37" t="str">
        <f t="shared" si="8"/>
        <v>F</v>
      </c>
      <c r="X15" s="42"/>
      <c r="Y15" s="37"/>
      <c r="Z15" s="37"/>
      <c r="AA15" s="38">
        <f t="shared" si="9"/>
        <v>0</v>
      </c>
      <c r="AB15" s="37" t="str">
        <f t="shared" si="10"/>
        <v>F</v>
      </c>
      <c r="AC15" s="42"/>
      <c r="AD15" s="37"/>
      <c r="AE15" s="37"/>
      <c r="AF15" s="38">
        <f t="shared" si="11"/>
        <v>0</v>
      </c>
      <c r="AG15" s="37" t="str">
        <f t="shared" si="12"/>
        <v>F</v>
      </c>
      <c r="AH15" s="42"/>
      <c r="AI15" s="37"/>
      <c r="AJ15" s="37"/>
      <c r="AK15" s="38">
        <f t="shared" si="13"/>
        <v>0</v>
      </c>
      <c r="AL15" s="37" t="str">
        <f t="shared" si="14"/>
        <v>F</v>
      </c>
      <c r="AM15" s="42"/>
      <c r="AN15" s="37"/>
      <c r="AO15" s="37"/>
      <c r="AP15" s="38">
        <f t="shared" si="0"/>
        <v>0</v>
      </c>
      <c r="AQ15" s="37" t="str">
        <f t="shared" si="15"/>
        <v>F</v>
      </c>
      <c r="AR15" s="42"/>
      <c r="AS15" s="37"/>
      <c r="AT15" s="37" t="str">
        <f t="shared" si="16"/>
        <v>F</v>
      </c>
      <c r="AU15" s="42"/>
      <c r="AV15" s="37" t="str">
        <f t="shared" si="1"/>
        <v>F</v>
      </c>
      <c r="AW15" s="40" t="str">
        <f t="shared" si="17"/>
        <v>F</v>
      </c>
      <c r="AX15" s="38">
        <f t="shared" si="18"/>
        <v>0</v>
      </c>
      <c r="AY15" s="39"/>
      <c r="AZ15" s="39"/>
      <c r="BA15" s="14" t="str">
        <f t="shared" si="2"/>
        <v>NEED TO PROGRESS</v>
      </c>
    </row>
    <row r="16" spans="1:53" s="27" customFormat="1" ht="17.100000000000001" customHeight="1">
      <c r="A16" s="30">
        <v>10</v>
      </c>
      <c r="B16" s="33">
        <v>26</v>
      </c>
      <c r="C16" s="34" t="s">
        <v>79</v>
      </c>
      <c r="D16" s="34" t="s">
        <v>80</v>
      </c>
      <c r="E16" s="34" t="s">
        <v>81</v>
      </c>
      <c r="F16" s="37">
        <v>18</v>
      </c>
      <c r="G16" s="37">
        <v>54</v>
      </c>
      <c r="H16" s="37">
        <v>9</v>
      </c>
      <c r="I16" s="37">
        <v>18</v>
      </c>
      <c r="J16" s="38">
        <f t="shared" si="3"/>
        <v>99</v>
      </c>
      <c r="K16" s="37">
        <f t="shared" si="4"/>
        <v>3.5</v>
      </c>
      <c r="L16" s="42"/>
      <c r="M16" s="37">
        <v>18</v>
      </c>
      <c r="N16" s="37">
        <v>24</v>
      </c>
      <c r="O16" s="37">
        <v>10</v>
      </c>
      <c r="P16" s="37">
        <v>23</v>
      </c>
      <c r="Q16" s="38">
        <f t="shared" si="5"/>
        <v>75</v>
      </c>
      <c r="R16" s="37">
        <f t="shared" si="6"/>
        <v>3</v>
      </c>
      <c r="S16" s="42"/>
      <c r="T16" s="37">
        <v>15</v>
      </c>
      <c r="U16" s="37">
        <v>26</v>
      </c>
      <c r="V16" s="38">
        <f t="shared" si="7"/>
        <v>41</v>
      </c>
      <c r="W16" s="37">
        <f t="shared" si="8"/>
        <v>2</v>
      </c>
      <c r="X16" s="42"/>
      <c r="Y16" s="37">
        <v>16</v>
      </c>
      <c r="Z16" s="37">
        <v>25</v>
      </c>
      <c r="AA16" s="38">
        <f t="shared" si="9"/>
        <v>41</v>
      </c>
      <c r="AB16" s="37">
        <f t="shared" si="10"/>
        <v>2</v>
      </c>
      <c r="AC16" s="42"/>
      <c r="AD16" s="37">
        <v>18</v>
      </c>
      <c r="AE16" s="37">
        <v>40</v>
      </c>
      <c r="AF16" s="38">
        <f t="shared" si="11"/>
        <v>58</v>
      </c>
      <c r="AG16" s="37">
        <f t="shared" si="12"/>
        <v>3</v>
      </c>
      <c r="AH16" s="42"/>
      <c r="AI16" s="37">
        <v>19</v>
      </c>
      <c r="AJ16" s="37">
        <v>33</v>
      </c>
      <c r="AK16" s="38">
        <f t="shared" si="13"/>
        <v>52</v>
      </c>
      <c r="AL16" s="37">
        <f t="shared" si="14"/>
        <v>3</v>
      </c>
      <c r="AM16" s="42"/>
      <c r="AN16" s="37"/>
      <c r="AO16" s="37">
        <v>24</v>
      </c>
      <c r="AP16" s="38">
        <f t="shared" si="0"/>
        <v>24</v>
      </c>
      <c r="AQ16" s="37">
        <f t="shared" si="15"/>
        <v>2</v>
      </c>
      <c r="AR16" s="42"/>
      <c r="AS16" s="37">
        <v>40</v>
      </c>
      <c r="AT16" s="37">
        <f t="shared" si="16"/>
        <v>5</v>
      </c>
      <c r="AU16" s="42"/>
      <c r="AV16" s="37">
        <f t="shared" si="1"/>
        <v>18.5</v>
      </c>
      <c r="AW16" s="40">
        <f t="shared" si="17"/>
        <v>2.6428571428571428</v>
      </c>
      <c r="AX16" s="38">
        <f t="shared" si="18"/>
        <v>390</v>
      </c>
      <c r="AY16" s="39">
        <v>38</v>
      </c>
      <c r="AZ16" s="39">
        <v>35</v>
      </c>
      <c r="BA16" s="14" t="str">
        <f t="shared" si="2"/>
        <v>GOOD</v>
      </c>
    </row>
    <row r="17" spans="1:53" ht="17.100000000000001" customHeight="1">
      <c r="A17" s="30">
        <v>11</v>
      </c>
      <c r="B17" s="31">
        <v>30</v>
      </c>
      <c r="C17" s="35" t="s">
        <v>82</v>
      </c>
      <c r="D17" s="35" t="s">
        <v>83</v>
      </c>
      <c r="E17" s="35" t="s">
        <v>84</v>
      </c>
      <c r="F17" s="37">
        <v>19</v>
      </c>
      <c r="G17" s="37">
        <v>75</v>
      </c>
      <c r="H17" s="37">
        <v>9</v>
      </c>
      <c r="I17" s="37">
        <v>32</v>
      </c>
      <c r="J17" s="38">
        <f t="shared" si="3"/>
        <v>135</v>
      </c>
      <c r="K17" s="37">
        <f t="shared" si="4"/>
        <v>5</v>
      </c>
      <c r="L17" s="42"/>
      <c r="M17" s="37">
        <v>18</v>
      </c>
      <c r="N17" s="37">
        <v>59</v>
      </c>
      <c r="O17" s="37">
        <v>3</v>
      </c>
      <c r="P17" s="37">
        <v>21</v>
      </c>
      <c r="Q17" s="38">
        <f t="shared" si="5"/>
        <v>101</v>
      </c>
      <c r="R17" s="37">
        <f t="shared" si="6"/>
        <v>3.5</v>
      </c>
      <c r="S17" s="42"/>
      <c r="T17" s="37">
        <v>12</v>
      </c>
      <c r="U17" s="37">
        <v>51</v>
      </c>
      <c r="V17" s="38">
        <f t="shared" si="7"/>
        <v>63</v>
      </c>
      <c r="W17" s="37">
        <f t="shared" si="8"/>
        <v>3.5</v>
      </c>
      <c r="X17" s="42"/>
      <c r="Y17" s="37">
        <v>19</v>
      </c>
      <c r="Z17" s="37">
        <v>64</v>
      </c>
      <c r="AA17" s="38">
        <f t="shared" si="9"/>
        <v>83</v>
      </c>
      <c r="AB17" s="37">
        <f t="shared" si="10"/>
        <v>5</v>
      </c>
      <c r="AC17" s="42"/>
      <c r="AD17" s="37">
        <v>19</v>
      </c>
      <c r="AE17" s="37">
        <v>79</v>
      </c>
      <c r="AF17" s="38">
        <f t="shared" si="11"/>
        <v>98</v>
      </c>
      <c r="AG17" s="37">
        <f t="shared" si="12"/>
        <v>5</v>
      </c>
      <c r="AH17" s="42"/>
      <c r="AI17" s="37">
        <v>19</v>
      </c>
      <c r="AJ17" s="37">
        <v>62</v>
      </c>
      <c r="AK17" s="38">
        <f t="shared" si="13"/>
        <v>81</v>
      </c>
      <c r="AL17" s="37">
        <f t="shared" si="14"/>
        <v>5</v>
      </c>
      <c r="AM17" s="42"/>
      <c r="AN17" s="37"/>
      <c r="AO17" s="37">
        <v>37</v>
      </c>
      <c r="AP17" s="38">
        <f t="shared" si="0"/>
        <v>37</v>
      </c>
      <c r="AQ17" s="37">
        <f t="shared" si="15"/>
        <v>4</v>
      </c>
      <c r="AR17" s="42"/>
      <c r="AS17" s="37">
        <v>48</v>
      </c>
      <c r="AT17" s="37">
        <f t="shared" si="16"/>
        <v>5</v>
      </c>
      <c r="AU17" s="42"/>
      <c r="AV17" s="37">
        <f t="shared" si="1"/>
        <v>31</v>
      </c>
      <c r="AW17" s="40">
        <f t="shared" si="17"/>
        <v>4.4285714285714288</v>
      </c>
      <c r="AX17" s="38">
        <f t="shared" si="18"/>
        <v>598</v>
      </c>
      <c r="AY17" s="39">
        <v>21</v>
      </c>
      <c r="AZ17" s="39">
        <v>50</v>
      </c>
      <c r="BA17" s="14" t="str">
        <f t="shared" si="2"/>
        <v>BETTER</v>
      </c>
    </row>
    <row r="18" spans="1:53" ht="17.100000000000001" customHeight="1">
      <c r="A18" s="30">
        <v>12</v>
      </c>
      <c r="B18" s="31">
        <v>34</v>
      </c>
      <c r="C18" s="35" t="s">
        <v>85</v>
      </c>
      <c r="D18" s="35" t="s">
        <v>86</v>
      </c>
      <c r="E18" s="35" t="s">
        <v>87</v>
      </c>
      <c r="F18" s="37">
        <v>19</v>
      </c>
      <c r="G18" s="37">
        <v>51</v>
      </c>
      <c r="H18" s="37">
        <v>9</v>
      </c>
      <c r="I18" s="37">
        <v>33</v>
      </c>
      <c r="J18" s="38">
        <f t="shared" si="3"/>
        <v>112</v>
      </c>
      <c r="K18" s="37">
        <f t="shared" si="4"/>
        <v>4</v>
      </c>
      <c r="L18" s="42"/>
      <c r="M18" s="37">
        <v>19</v>
      </c>
      <c r="N18" s="37">
        <v>22</v>
      </c>
      <c r="O18" s="37">
        <v>9</v>
      </c>
      <c r="P18" s="37">
        <v>28</v>
      </c>
      <c r="Q18" s="38">
        <f t="shared" si="5"/>
        <v>78</v>
      </c>
      <c r="R18" s="37">
        <f t="shared" si="6"/>
        <v>3</v>
      </c>
      <c r="S18" s="42"/>
      <c r="T18" s="37">
        <v>12</v>
      </c>
      <c r="U18" s="37">
        <v>32</v>
      </c>
      <c r="V18" s="38">
        <f t="shared" si="7"/>
        <v>44</v>
      </c>
      <c r="W18" s="37">
        <f t="shared" si="8"/>
        <v>2</v>
      </c>
      <c r="X18" s="42"/>
      <c r="Y18" s="37">
        <v>15</v>
      </c>
      <c r="Z18" s="37">
        <v>40</v>
      </c>
      <c r="AA18" s="38">
        <f t="shared" ref="AA18:AA32" si="19">Y18+Z18</f>
        <v>55</v>
      </c>
      <c r="AB18" s="37">
        <f t="shared" ref="AB18:AB32" si="20">IF(AA18&lt;40,"F",IF(AA18&lt;50,2,IF(AA18&lt;60,3,IF(AA18&lt;70,3.5,IF(AA18&lt;80,4,5)))))</f>
        <v>3</v>
      </c>
      <c r="AC18" s="42"/>
      <c r="AD18" s="37">
        <v>13</v>
      </c>
      <c r="AE18" s="37">
        <v>42</v>
      </c>
      <c r="AF18" s="38">
        <f t="shared" si="11"/>
        <v>55</v>
      </c>
      <c r="AG18" s="37">
        <f t="shared" si="12"/>
        <v>3</v>
      </c>
      <c r="AH18" s="42"/>
      <c r="AI18" s="37">
        <v>18</v>
      </c>
      <c r="AJ18" s="37">
        <v>46</v>
      </c>
      <c r="AK18" s="38">
        <f t="shared" si="13"/>
        <v>64</v>
      </c>
      <c r="AL18" s="37">
        <f t="shared" si="14"/>
        <v>3.5</v>
      </c>
      <c r="AM18" s="42"/>
      <c r="AN18" s="37"/>
      <c r="AO18" s="37">
        <v>38</v>
      </c>
      <c r="AP18" s="38">
        <f t="shared" si="0"/>
        <v>38</v>
      </c>
      <c r="AQ18" s="37">
        <f t="shared" si="15"/>
        <v>4</v>
      </c>
      <c r="AR18" s="42"/>
      <c r="AS18" s="37">
        <v>40</v>
      </c>
      <c r="AT18" s="37">
        <f t="shared" si="16"/>
        <v>5</v>
      </c>
      <c r="AU18" s="42"/>
      <c r="AV18" s="37">
        <f t="shared" si="1"/>
        <v>22.5</v>
      </c>
      <c r="AW18" s="40">
        <f t="shared" si="17"/>
        <v>3.2142857142857144</v>
      </c>
      <c r="AX18" s="38">
        <f t="shared" si="18"/>
        <v>446</v>
      </c>
      <c r="AY18" s="39">
        <v>34</v>
      </c>
      <c r="AZ18" s="39">
        <v>56</v>
      </c>
      <c r="BA18" s="14" t="str">
        <f t="shared" si="2"/>
        <v>GOOD</v>
      </c>
    </row>
    <row r="19" spans="1:53" ht="17.100000000000001" customHeight="1">
      <c r="A19" s="30">
        <v>13</v>
      </c>
      <c r="B19" s="31">
        <v>36</v>
      </c>
      <c r="C19" s="35" t="s">
        <v>88</v>
      </c>
      <c r="D19" s="35" t="s">
        <v>89</v>
      </c>
      <c r="E19" s="35" t="s">
        <v>90</v>
      </c>
      <c r="F19" s="37">
        <v>18</v>
      </c>
      <c r="G19" s="37">
        <v>49</v>
      </c>
      <c r="H19" s="37">
        <v>6</v>
      </c>
      <c r="I19" s="37">
        <v>21</v>
      </c>
      <c r="J19" s="38">
        <f t="shared" si="3"/>
        <v>94</v>
      </c>
      <c r="K19" s="37">
        <f t="shared" si="4"/>
        <v>3.5</v>
      </c>
      <c r="L19" s="42"/>
      <c r="M19" s="37">
        <v>13</v>
      </c>
      <c r="N19" s="37">
        <v>27</v>
      </c>
      <c r="O19" s="37">
        <v>8</v>
      </c>
      <c r="P19" s="37">
        <v>17</v>
      </c>
      <c r="Q19" s="38">
        <f t="shared" si="5"/>
        <v>65</v>
      </c>
      <c r="R19" s="37">
        <f t="shared" si="6"/>
        <v>2</v>
      </c>
      <c r="S19" s="42"/>
      <c r="T19" s="37">
        <v>13</v>
      </c>
      <c r="U19" s="37">
        <v>21</v>
      </c>
      <c r="V19" s="38">
        <f t="shared" si="7"/>
        <v>34</v>
      </c>
      <c r="W19" s="37" t="str">
        <f t="shared" si="8"/>
        <v>F</v>
      </c>
      <c r="X19" s="42"/>
      <c r="Y19" s="37">
        <v>13</v>
      </c>
      <c r="Z19" s="37">
        <v>52</v>
      </c>
      <c r="AA19" s="38">
        <f t="shared" si="19"/>
        <v>65</v>
      </c>
      <c r="AB19" s="37">
        <f t="shared" si="20"/>
        <v>3.5</v>
      </c>
      <c r="AC19" s="42"/>
      <c r="AD19" s="37">
        <v>12</v>
      </c>
      <c r="AE19" s="37">
        <v>32</v>
      </c>
      <c r="AF19" s="38">
        <f t="shared" si="11"/>
        <v>44</v>
      </c>
      <c r="AG19" s="37">
        <f t="shared" si="12"/>
        <v>2</v>
      </c>
      <c r="AH19" s="42"/>
      <c r="AI19" s="37">
        <v>17</v>
      </c>
      <c r="AJ19" s="37">
        <v>36</v>
      </c>
      <c r="AK19" s="38">
        <f t="shared" si="13"/>
        <v>53</v>
      </c>
      <c r="AL19" s="37">
        <f t="shared" si="14"/>
        <v>3</v>
      </c>
      <c r="AM19" s="42"/>
      <c r="AN19" s="37"/>
      <c r="AO19" s="37">
        <v>21</v>
      </c>
      <c r="AP19" s="38">
        <f t="shared" si="0"/>
        <v>21</v>
      </c>
      <c r="AQ19" s="37">
        <f t="shared" si="15"/>
        <v>2</v>
      </c>
      <c r="AR19" s="42"/>
      <c r="AS19" s="37">
        <v>40</v>
      </c>
      <c r="AT19" s="37">
        <f t="shared" si="16"/>
        <v>5</v>
      </c>
      <c r="AU19" s="42"/>
      <c r="AV19" s="37" t="str">
        <f t="shared" si="1"/>
        <v>F</v>
      </c>
      <c r="AW19" s="40" t="str">
        <f t="shared" si="17"/>
        <v>F</v>
      </c>
      <c r="AX19" s="38">
        <f t="shared" si="18"/>
        <v>376</v>
      </c>
      <c r="AY19" s="39"/>
      <c r="AZ19" s="39">
        <v>64</v>
      </c>
      <c r="BA19" s="14" t="str">
        <f t="shared" si="2"/>
        <v>NEED TO PROGRESS</v>
      </c>
    </row>
    <row r="20" spans="1:53" ht="17.100000000000001" customHeight="1">
      <c r="A20" s="30">
        <v>14</v>
      </c>
      <c r="B20" s="31">
        <v>38</v>
      </c>
      <c r="C20" s="35" t="s">
        <v>91</v>
      </c>
      <c r="D20" s="35" t="s">
        <v>92</v>
      </c>
      <c r="E20" s="35" t="s">
        <v>93</v>
      </c>
      <c r="F20" s="37">
        <v>13</v>
      </c>
      <c r="G20" s="37">
        <v>58</v>
      </c>
      <c r="H20" s="37">
        <v>5</v>
      </c>
      <c r="I20" s="37">
        <v>23</v>
      </c>
      <c r="J20" s="38">
        <f t="shared" si="3"/>
        <v>99</v>
      </c>
      <c r="K20" s="37">
        <f t="shared" si="4"/>
        <v>3.5</v>
      </c>
      <c r="L20" s="42"/>
      <c r="M20" s="37">
        <v>12</v>
      </c>
      <c r="N20" s="37">
        <v>31</v>
      </c>
      <c r="O20" s="37">
        <v>5</v>
      </c>
      <c r="P20" s="37">
        <v>18</v>
      </c>
      <c r="Q20" s="38">
        <f t="shared" si="5"/>
        <v>66</v>
      </c>
      <c r="R20" s="37">
        <f t="shared" si="6"/>
        <v>2</v>
      </c>
      <c r="S20" s="42"/>
      <c r="T20" s="37">
        <v>17</v>
      </c>
      <c r="U20" s="37">
        <v>24</v>
      </c>
      <c r="V20" s="38">
        <f t="shared" si="7"/>
        <v>41</v>
      </c>
      <c r="W20" s="37">
        <f t="shared" si="8"/>
        <v>2</v>
      </c>
      <c r="X20" s="42"/>
      <c r="Y20" s="37">
        <v>11</v>
      </c>
      <c r="Z20" s="37">
        <v>32</v>
      </c>
      <c r="AA20" s="38">
        <f t="shared" si="19"/>
        <v>43</v>
      </c>
      <c r="AB20" s="37">
        <f t="shared" si="20"/>
        <v>2</v>
      </c>
      <c r="AC20" s="42"/>
      <c r="AD20" s="37">
        <v>11</v>
      </c>
      <c r="AE20" s="37">
        <v>32</v>
      </c>
      <c r="AF20" s="38">
        <f t="shared" si="11"/>
        <v>43</v>
      </c>
      <c r="AG20" s="37">
        <f t="shared" si="12"/>
        <v>2</v>
      </c>
      <c r="AH20" s="42"/>
      <c r="AI20" s="37">
        <v>12</v>
      </c>
      <c r="AJ20" s="37">
        <v>28</v>
      </c>
      <c r="AK20" s="38">
        <f t="shared" si="13"/>
        <v>40</v>
      </c>
      <c r="AL20" s="37">
        <f t="shared" si="14"/>
        <v>2</v>
      </c>
      <c r="AM20" s="42"/>
      <c r="AN20" s="37"/>
      <c r="AO20" s="37">
        <v>20</v>
      </c>
      <c r="AP20" s="38">
        <f t="shared" si="0"/>
        <v>20</v>
      </c>
      <c r="AQ20" s="37">
        <f t="shared" si="15"/>
        <v>2</v>
      </c>
      <c r="AR20" s="42"/>
      <c r="AS20" s="37">
        <v>40</v>
      </c>
      <c r="AT20" s="37">
        <f t="shared" si="16"/>
        <v>5</v>
      </c>
      <c r="AU20" s="42"/>
      <c r="AV20" s="37">
        <f t="shared" si="1"/>
        <v>15.5</v>
      </c>
      <c r="AW20" s="40">
        <f t="shared" si="17"/>
        <v>2.2142857142857144</v>
      </c>
      <c r="AX20" s="38">
        <f t="shared" si="18"/>
        <v>352</v>
      </c>
      <c r="AY20" s="39">
        <v>41</v>
      </c>
      <c r="AZ20" s="39">
        <v>56</v>
      </c>
      <c r="BA20" s="14" t="str">
        <f t="shared" si="2"/>
        <v>GOOD</v>
      </c>
    </row>
    <row r="21" spans="1:53" ht="17.100000000000001" customHeight="1">
      <c r="A21" s="30">
        <v>15</v>
      </c>
      <c r="B21" s="31">
        <v>40</v>
      </c>
      <c r="C21" s="35" t="s">
        <v>94</v>
      </c>
      <c r="D21" s="35" t="s">
        <v>95</v>
      </c>
      <c r="E21" s="35" t="s">
        <v>96</v>
      </c>
      <c r="F21" s="37">
        <v>20</v>
      </c>
      <c r="G21" s="37">
        <v>77</v>
      </c>
      <c r="H21" s="37">
        <v>8</v>
      </c>
      <c r="I21" s="37">
        <v>36</v>
      </c>
      <c r="J21" s="38">
        <f t="shared" si="3"/>
        <v>141</v>
      </c>
      <c r="K21" s="37">
        <f t="shared" si="4"/>
        <v>5</v>
      </c>
      <c r="L21" s="42"/>
      <c r="M21" s="37">
        <v>20</v>
      </c>
      <c r="N21" s="37">
        <v>57</v>
      </c>
      <c r="O21" s="37">
        <v>10</v>
      </c>
      <c r="P21" s="37">
        <v>29</v>
      </c>
      <c r="Q21" s="38">
        <f t="shared" si="5"/>
        <v>116</v>
      </c>
      <c r="R21" s="37">
        <f t="shared" si="6"/>
        <v>4</v>
      </c>
      <c r="S21" s="42"/>
      <c r="T21" s="37">
        <v>15</v>
      </c>
      <c r="U21" s="37">
        <v>51</v>
      </c>
      <c r="V21" s="38">
        <f t="shared" si="7"/>
        <v>66</v>
      </c>
      <c r="W21" s="37">
        <f t="shared" si="8"/>
        <v>3.5</v>
      </c>
      <c r="X21" s="42"/>
      <c r="Y21" s="37">
        <v>17</v>
      </c>
      <c r="Z21" s="37">
        <v>76</v>
      </c>
      <c r="AA21" s="38">
        <f t="shared" si="19"/>
        <v>93</v>
      </c>
      <c r="AB21" s="37">
        <f t="shared" si="20"/>
        <v>5</v>
      </c>
      <c r="AC21" s="42"/>
      <c r="AD21" s="37">
        <v>19</v>
      </c>
      <c r="AE21" s="37">
        <v>70</v>
      </c>
      <c r="AF21" s="38">
        <f t="shared" si="11"/>
        <v>89</v>
      </c>
      <c r="AG21" s="37">
        <f t="shared" si="12"/>
        <v>5</v>
      </c>
      <c r="AH21" s="42"/>
      <c r="AI21" s="37">
        <v>19</v>
      </c>
      <c r="AJ21" s="37">
        <v>66</v>
      </c>
      <c r="AK21" s="38">
        <f t="shared" si="13"/>
        <v>85</v>
      </c>
      <c r="AL21" s="37">
        <f t="shared" si="14"/>
        <v>5</v>
      </c>
      <c r="AM21" s="42"/>
      <c r="AN21" s="37"/>
      <c r="AO21" s="37">
        <v>35</v>
      </c>
      <c r="AP21" s="38">
        <f t="shared" si="0"/>
        <v>35</v>
      </c>
      <c r="AQ21" s="37">
        <f t="shared" si="15"/>
        <v>4</v>
      </c>
      <c r="AR21" s="42"/>
      <c r="AS21" s="37">
        <v>48</v>
      </c>
      <c r="AT21" s="37">
        <f t="shared" si="16"/>
        <v>5</v>
      </c>
      <c r="AU21" s="42"/>
      <c r="AV21" s="37">
        <f t="shared" si="1"/>
        <v>31.5</v>
      </c>
      <c r="AW21" s="40">
        <f t="shared" si="17"/>
        <v>4.5</v>
      </c>
      <c r="AX21" s="38">
        <f t="shared" si="18"/>
        <v>625</v>
      </c>
      <c r="AY21" s="39">
        <v>16</v>
      </c>
      <c r="AZ21" s="39">
        <v>47</v>
      </c>
      <c r="BA21" s="14" t="str">
        <f t="shared" si="2"/>
        <v>BETTER</v>
      </c>
    </row>
    <row r="22" spans="1:53" ht="17.100000000000001" customHeight="1">
      <c r="A22" s="30">
        <v>16</v>
      </c>
      <c r="B22" s="31">
        <v>42</v>
      </c>
      <c r="C22" s="35" t="s">
        <v>97</v>
      </c>
      <c r="D22" s="35" t="s">
        <v>98</v>
      </c>
      <c r="E22" s="35" t="s">
        <v>99</v>
      </c>
      <c r="F22" s="37">
        <v>20</v>
      </c>
      <c r="G22" s="37">
        <v>78</v>
      </c>
      <c r="H22" s="37">
        <v>10</v>
      </c>
      <c r="I22" s="37">
        <v>28</v>
      </c>
      <c r="J22" s="38">
        <f t="shared" si="3"/>
        <v>136</v>
      </c>
      <c r="K22" s="37">
        <f t="shared" si="4"/>
        <v>5</v>
      </c>
      <c r="L22" s="42"/>
      <c r="M22" s="37">
        <v>18</v>
      </c>
      <c r="N22" s="37">
        <v>39</v>
      </c>
      <c r="O22" s="37">
        <v>8</v>
      </c>
      <c r="P22" s="37">
        <v>20</v>
      </c>
      <c r="Q22" s="38">
        <f t="shared" si="5"/>
        <v>85</v>
      </c>
      <c r="R22" s="37">
        <f t="shared" si="6"/>
        <v>3</v>
      </c>
      <c r="S22" s="42"/>
      <c r="T22" s="37">
        <v>15</v>
      </c>
      <c r="U22" s="37">
        <v>54</v>
      </c>
      <c r="V22" s="38">
        <f t="shared" si="7"/>
        <v>69</v>
      </c>
      <c r="W22" s="37">
        <f t="shared" si="8"/>
        <v>3.5</v>
      </c>
      <c r="X22" s="42"/>
      <c r="Y22" s="37">
        <v>18</v>
      </c>
      <c r="Z22" s="37">
        <v>69</v>
      </c>
      <c r="AA22" s="38">
        <f t="shared" si="19"/>
        <v>87</v>
      </c>
      <c r="AB22" s="37">
        <f t="shared" si="20"/>
        <v>5</v>
      </c>
      <c r="AC22" s="42"/>
      <c r="AD22" s="37">
        <v>19</v>
      </c>
      <c r="AE22" s="37">
        <v>72</v>
      </c>
      <c r="AF22" s="38">
        <f t="shared" si="11"/>
        <v>91</v>
      </c>
      <c r="AG22" s="37">
        <f t="shared" si="12"/>
        <v>5</v>
      </c>
      <c r="AH22" s="42"/>
      <c r="AI22" s="37">
        <v>19</v>
      </c>
      <c r="AJ22" s="37">
        <v>64</v>
      </c>
      <c r="AK22" s="38">
        <f t="shared" si="13"/>
        <v>83</v>
      </c>
      <c r="AL22" s="37">
        <f t="shared" si="14"/>
        <v>5</v>
      </c>
      <c r="AM22" s="42"/>
      <c r="AN22" s="37"/>
      <c r="AO22" s="37">
        <v>37</v>
      </c>
      <c r="AP22" s="38">
        <f t="shared" si="0"/>
        <v>37</v>
      </c>
      <c r="AQ22" s="37">
        <f t="shared" si="15"/>
        <v>4</v>
      </c>
      <c r="AR22" s="42"/>
      <c r="AS22" s="37">
        <v>40</v>
      </c>
      <c r="AT22" s="37">
        <f t="shared" si="16"/>
        <v>5</v>
      </c>
      <c r="AU22" s="42"/>
      <c r="AV22" s="37">
        <f t="shared" si="1"/>
        <v>30.5</v>
      </c>
      <c r="AW22" s="40">
        <f t="shared" si="17"/>
        <v>4.3571428571428568</v>
      </c>
      <c r="AX22" s="38">
        <f t="shared" si="18"/>
        <v>588</v>
      </c>
      <c r="AY22" s="39">
        <v>24</v>
      </c>
      <c r="AZ22" s="39">
        <v>62</v>
      </c>
      <c r="BA22" s="14" t="str">
        <f t="shared" si="2"/>
        <v>BETTER</v>
      </c>
    </row>
    <row r="23" spans="1:53" ht="17.100000000000001" customHeight="1">
      <c r="A23" s="30">
        <v>17</v>
      </c>
      <c r="B23" s="31">
        <v>44</v>
      </c>
      <c r="C23" s="35" t="s">
        <v>100</v>
      </c>
      <c r="D23" s="35" t="s">
        <v>101</v>
      </c>
      <c r="E23" s="35" t="s">
        <v>102</v>
      </c>
      <c r="F23" s="37">
        <v>20</v>
      </c>
      <c r="G23" s="37">
        <v>78</v>
      </c>
      <c r="H23" s="37">
        <v>9</v>
      </c>
      <c r="I23" s="37">
        <v>32</v>
      </c>
      <c r="J23" s="38">
        <f t="shared" si="3"/>
        <v>139</v>
      </c>
      <c r="K23" s="37">
        <f t="shared" si="4"/>
        <v>5</v>
      </c>
      <c r="L23" s="42"/>
      <c r="M23" s="37">
        <v>19</v>
      </c>
      <c r="N23" s="37">
        <v>40</v>
      </c>
      <c r="O23" s="37">
        <v>9</v>
      </c>
      <c r="P23" s="37">
        <v>20</v>
      </c>
      <c r="Q23" s="38">
        <f t="shared" si="5"/>
        <v>88</v>
      </c>
      <c r="R23" s="37">
        <f t="shared" si="6"/>
        <v>3</v>
      </c>
      <c r="S23" s="42"/>
      <c r="T23" s="37">
        <v>20</v>
      </c>
      <c r="U23" s="37">
        <v>57</v>
      </c>
      <c r="V23" s="38">
        <f t="shared" si="7"/>
        <v>77</v>
      </c>
      <c r="W23" s="37">
        <f t="shared" si="8"/>
        <v>4</v>
      </c>
      <c r="X23" s="42"/>
      <c r="Y23" s="37">
        <v>18</v>
      </c>
      <c r="Z23" s="37">
        <v>72</v>
      </c>
      <c r="AA23" s="38">
        <f t="shared" si="19"/>
        <v>90</v>
      </c>
      <c r="AB23" s="37">
        <f t="shared" si="20"/>
        <v>5</v>
      </c>
      <c r="AC23" s="42"/>
      <c r="AD23" s="37">
        <v>18</v>
      </c>
      <c r="AE23" s="37">
        <v>71</v>
      </c>
      <c r="AF23" s="38">
        <f t="shared" si="11"/>
        <v>89</v>
      </c>
      <c r="AG23" s="37">
        <f t="shared" si="12"/>
        <v>5</v>
      </c>
      <c r="AH23" s="42"/>
      <c r="AI23" s="37">
        <v>19</v>
      </c>
      <c r="AJ23" s="37">
        <v>73</v>
      </c>
      <c r="AK23" s="38">
        <f t="shared" si="13"/>
        <v>92</v>
      </c>
      <c r="AL23" s="37">
        <f t="shared" si="14"/>
        <v>5</v>
      </c>
      <c r="AM23" s="42"/>
      <c r="AN23" s="37"/>
      <c r="AO23" s="37">
        <v>27</v>
      </c>
      <c r="AP23" s="38">
        <f t="shared" si="0"/>
        <v>27</v>
      </c>
      <c r="AQ23" s="37">
        <f t="shared" si="15"/>
        <v>3</v>
      </c>
      <c r="AR23" s="42"/>
      <c r="AS23" s="37">
        <v>45</v>
      </c>
      <c r="AT23" s="37">
        <f t="shared" si="16"/>
        <v>5</v>
      </c>
      <c r="AU23" s="42"/>
      <c r="AV23" s="37">
        <f t="shared" si="1"/>
        <v>30</v>
      </c>
      <c r="AW23" s="40">
        <f t="shared" si="17"/>
        <v>4.2857142857142856</v>
      </c>
      <c r="AX23" s="38">
        <f t="shared" si="18"/>
        <v>602</v>
      </c>
      <c r="AY23" s="39">
        <v>20</v>
      </c>
      <c r="AZ23" s="39">
        <v>57</v>
      </c>
      <c r="BA23" s="14" t="str">
        <f t="shared" si="2"/>
        <v>BETTER</v>
      </c>
    </row>
    <row r="24" spans="1:53" ht="17.100000000000001" customHeight="1">
      <c r="A24" s="30">
        <v>18</v>
      </c>
      <c r="B24" s="31">
        <v>46</v>
      </c>
      <c r="C24" s="35" t="s">
        <v>103</v>
      </c>
      <c r="D24" s="35" t="s">
        <v>104</v>
      </c>
      <c r="E24" s="35" t="s">
        <v>105</v>
      </c>
      <c r="F24" s="37">
        <v>18</v>
      </c>
      <c r="G24" s="37">
        <v>74</v>
      </c>
      <c r="H24" s="37">
        <v>1</v>
      </c>
      <c r="I24" s="37">
        <v>30</v>
      </c>
      <c r="J24" s="38">
        <f t="shared" ref="J24:J25" si="21">F24+G24+H24+I24</f>
        <v>123</v>
      </c>
      <c r="K24" s="37">
        <f t="shared" ref="K24:K25" si="22">IF(J24&lt;60,"F",IF(J24&lt;75,2,IF(J24&lt;90,3,IF(J24&lt;105,3.5,IF(J24&lt;120,4,5)))))</f>
        <v>5</v>
      </c>
      <c r="L24" s="42"/>
      <c r="M24" s="37">
        <v>16</v>
      </c>
      <c r="N24" s="37">
        <v>51</v>
      </c>
      <c r="O24" s="37">
        <v>6</v>
      </c>
      <c r="P24" s="37">
        <v>35</v>
      </c>
      <c r="Q24" s="38">
        <f t="shared" ref="Q24:Q25" si="23">M24+N24+O24+P24</f>
        <v>108</v>
      </c>
      <c r="R24" s="37">
        <f t="shared" ref="R24:R25" si="24">IF(Q24&lt;60,"F",IF(Q24&lt;75,2,IF(Q24&lt;90,3,IF(Q24&lt;105,3.5,IF(Q24&lt;120,4,5)))))</f>
        <v>4</v>
      </c>
      <c r="S24" s="42"/>
      <c r="T24" s="37">
        <v>12</v>
      </c>
      <c r="U24" s="37">
        <v>63</v>
      </c>
      <c r="V24" s="38">
        <f t="shared" ref="V24:V25" si="25">T24+U24</f>
        <v>75</v>
      </c>
      <c r="W24" s="37">
        <f t="shared" ref="W24:W25" si="26">IF(V24&lt;40,"F",IF(V24&lt;50,2,IF(V24&lt;60,3,IF(V24&lt;70,3.5,IF(V24&lt;80,4,5)))))</f>
        <v>4</v>
      </c>
      <c r="X24" s="42"/>
      <c r="Y24" s="37">
        <v>18</v>
      </c>
      <c r="Z24" s="37">
        <v>70</v>
      </c>
      <c r="AA24" s="38">
        <f t="shared" si="19"/>
        <v>88</v>
      </c>
      <c r="AB24" s="37">
        <f t="shared" si="20"/>
        <v>5</v>
      </c>
      <c r="AC24" s="42"/>
      <c r="AD24" s="37">
        <v>18</v>
      </c>
      <c r="AE24" s="37">
        <v>74</v>
      </c>
      <c r="AF24" s="38">
        <f t="shared" ref="AF24:AF25" si="27">AD24+AE24</f>
        <v>92</v>
      </c>
      <c r="AG24" s="37">
        <f t="shared" ref="AG24:AG25" si="28">IF(AF24&lt;40,"F",IF(AF24&lt;50,2,IF(AF24&lt;60,3,IF(AF24&lt;70,3.5,IF(AF24&lt;80,4,5)))))</f>
        <v>5</v>
      </c>
      <c r="AH24" s="42"/>
      <c r="AI24" s="37">
        <v>20</v>
      </c>
      <c r="AJ24" s="37">
        <v>56</v>
      </c>
      <c r="AK24" s="38">
        <f t="shared" ref="AK24:AK25" si="29">AI24+AJ24</f>
        <v>76</v>
      </c>
      <c r="AL24" s="37">
        <f t="shared" ref="AL24:AL25" si="30">IF(AK24&lt;40,"F",IF(AK24&lt;50,2,IF(AK24&lt;60,3,IF(AK24&lt;70,3.5,IF(AK24&lt;80,4,5)))))</f>
        <v>4</v>
      </c>
      <c r="AM24" s="42"/>
      <c r="AN24" s="37"/>
      <c r="AO24" s="37">
        <v>41</v>
      </c>
      <c r="AP24" s="38">
        <f t="shared" ref="AP24:AP25" si="31">AO24*1</f>
        <v>41</v>
      </c>
      <c r="AQ24" s="37">
        <f t="shared" ref="AQ24:AQ25" si="32">IF(AP24&lt;20,"F",IF(AP24&lt;25,2,IF(AP24&lt;30,3,IF(AP24&lt;35,3.5,IF(AP24&lt;40,4,5)))))</f>
        <v>5</v>
      </c>
      <c r="AR24" s="42"/>
      <c r="AS24" s="37">
        <v>46</v>
      </c>
      <c r="AT24" s="37">
        <f t="shared" ref="AT24:AT25" si="33">IF(AS24&lt;20,"F",IF(AS24&lt;25,2,IF(AS24&lt;30,3,IF(AS24&lt;35,3.5,IF(AS24&lt;40,4,5)))))</f>
        <v>5</v>
      </c>
      <c r="AU24" s="42"/>
      <c r="AV24" s="37">
        <f t="shared" si="1"/>
        <v>32</v>
      </c>
      <c r="AW24" s="40">
        <f t="shared" si="17"/>
        <v>4.5714285714285712</v>
      </c>
      <c r="AX24" s="38">
        <f t="shared" si="18"/>
        <v>603</v>
      </c>
      <c r="AY24" s="39">
        <v>19</v>
      </c>
      <c r="AZ24" s="39">
        <v>44</v>
      </c>
      <c r="BA24" s="14" t="str">
        <f t="shared" si="2"/>
        <v>BETTER</v>
      </c>
    </row>
    <row r="25" spans="1:53" ht="17.100000000000001" customHeight="1">
      <c r="A25" s="30">
        <v>19</v>
      </c>
      <c r="B25" s="31">
        <v>48</v>
      </c>
      <c r="C25" s="35" t="s">
        <v>106</v>
      </c>
      <c r="D25" s="35" t="s">
        <v>107</v>
      </c>
      <c r="E25" s="35" t="s">
        <v>108</v>
      </c>
      <c r="F25" s="37">
        <v>13</v>
      </c>
      <c r="G25" s="37">
        <v>43</v>
      </c>
      <c r="H25" s="37">
        <v>7</v>
      </c>
      <c r="I25" s="37">
        <v>19</v>
      </c>
      <c r="J25" s="38">
        <f t="shared" si="21"/>
        <v>82</v>
      </c>
      <c r="K25" s="37">
        <f t="shared" si="22"/>
        <v>3</v>
      </c>
      <c r="L25" s="42"/>
      <c r="M25" s="37">
        <v>11</v>
      </c>
      <c r="N25" s="37">
        <v>14</v>
      </c>
      <c r="O25" s="37">
        <v>6</v>
      </c>
      <c r="P25" s="37">
        <v>10</v>
      </c>
      <c r="Q25" s="38">
        <f t="shared" si="23"/>
        <v>41</v>
      </c>
      <c r="R25" s="37" t="str">
        <f t="shared" si="24"/>
        <v>F</v>
      </c>
      <c r="S25" s="42"/>
      <c r="T25" s="37">
        <v>11</v>
      </c>
      <c r="U25" s="37">
        <v>36</v>
      </c>
      <c r="V25" s="38">
        <f t="shared" si="25"/>
        <v>47</v>
      </c>
      <c r="W25" s="37">
        <f t="shared" si="26"/>
        <v>2</v>
      </c>
      <c r="X25" s="42"/>
      <c r="Y25" s="37">
        <v>14</v>
      </c>
      <c r="Z25" s="37">
        <v>47</v>
      </c>
      <c r="AA25" s="38">
        <f t="shared" si="19"/>
        <v>61</v>
      </c>
      <c r="AB25" s="37">
        <f t="shared" si="20"/>
        <v>3.5</v>
      </c>
      <c r="AC25" s="42"/>
      <c r="AD25" s="37">
        <v>14</v>
      </c>
      <c r="AE25" s="37">
        <v>37</v>
      </c>
      <c r="AF25" s="38">
        <f t="shared" si="27"/>
        <v>51</v>
      </c>
      <c r="AG25" s="37">
        <f t="shared" si="28"/>
        <v>3</v>
      </c>
      <c r="AH25" s="42"/>
      <c r="AI25" s="37">
        <v>19</v>
      </c>
      <c r="AJ25" s="37">
        <v>32</v>
      </c>
      <c r="AK25" s="38">
        <f t="shared" si="29"/>
        <v>51</v>
      </c>
      <c r="AL25" s="37">
        <f t="shared" si="30"/>
        <v>3</v>
      </c>
      <c r="AM25" s="42"/>
      <c r="AN25" s="37"/>
      <c r="AO25" s="37">
        <v>25</v>
      </c>
      <c r="AP25" s="38">
        <f t="shared" si="31"/>
        <v>25</v>
      </c>
      <c r="AQ25" s="37">
        <f t="shared" si="32"/>
        <v>3</v>
      </c>
      <c r="AR25" s="42"/>
      <c r="AS25" s="37">
        <v>30</v>
      </c>
      <c r="AT25" s="37">
        <f t="shared" si="33"/>
        <v>3.5</v>
      </c>
      <c r="AU25" s="42"/>
      <c r="AV25" s="37" t="str">
        <f t="shared" si="1"/>
        <v>F</v>
      </c>
      <c r="AW25" s="40" t="str">
        <f t="shared" si="17"/>
        <v>F</v>
      </c>
      <c r="AX25" s="38">
        <f t="shared" si="18"/>
        <v>358</v>
      </c>
      <c r="AY25" s="39"/>
      <c r="AZ25" s="39">
        <v>56</v>
      </c>
      <c r="BA25" s="14" t="str">
        <f t="shared" si="2"/>
        <v>NEED TO PROGRESS</v>
      </c>
    </row>
    <row r="26" spans="1:53" ht="17.100000000000001" customHeight="1">
      <c r="A26" s="30">
        <v>20</v>
      </c>
      <c r="B26" s="31">
        <v>50</v>
      </c>
      <c r="C26" s="35" t="s">
        <v>109</v>
      </c>
      <c r="D26" s="35" t="s">
        <v>110</v>
      </c>
      <c r="E26" s="35" t="s">
        <v>111</v>
      </c>
      <c r="F26" s="37">
        <v>17</v>
      </c>
      <c r="G26" s="37">
        <v>47</v>
      </c>
      <c r="H26" s="37">
        <v>5</v>
      </c>
      <c r="I26" s="37">
        <v>19</v>
      </c>
      <c r="J26" s="38">
        <f t="shared" ref="J26:J33" si="34">F26+G26+H26+I26</f>
        <v>88</v>
      </c>
      <c r="K26" s="37">
        <f t="shared" ref="K26:K33" si="35">IF(J26&lt;60,"F",IF(J26&lt;75,2,IF(J26&lt;90,3,IF(J26&lt;105,3.5,IF(J26&lt;120,4,5)))))</f>
        <v>3</v>
      </c>
      <c r="L26" s="42"/>
      <c r="M26" s="37">
        <v>10</v>
      </c>
      <c r="N26" s="37">
        <v>12</v>
      </c>
      <c r="O26" s="37">
        <v>6</v>
      </c>
      <c r="P26" s="37">
        <v>9</v>
      </c>
      <c r="Q26" s="38">
        <f t="shared" ref="Q26:Q32" si="36">M26+N26+O26+P26</f>
        <v>37</v>
      </c>
      <c r="R26" s="37" t="str">
        <f t="shared" ref="R26:R32" si="37">IF(Q26&lt;60,"F",IF(Q26&lt;75,2,IF(Q26&lt;90,3,IF(Q26&lt;105,3.5,IF(Q26&lt;120,4,5)))))</f>
        <v>F</v>
      </c>
      <c r="S26" s="42"/>
      <c r="T26" s="37">
        <v>12</v>
      </c>
      <c r="U26" s="37">
        <v>12</v>
      </c>
      <c r="V26" s="38">
        <f t="shared" ref="V26:V33" si="38">T26+U26</f>
        <v>24</v>
      </c>
      <c r="W26" s="37" t="str">
        <f t="shared" ref="W26:W33" si="39">IF(V26&lt;40,"F",IF(V26&lt;50,2,IF(V26&lt;60,3,IF(V26&lt;70,3.5,IF(V26&lt;80,4,5)))))</f>
        <v>F</v>
      </c>
      <c r="X26" s="42"/>
      <c r="Y26" s="37">
        <v>16</v>
      </c>
      <c r="Z26" s="37">
        <v>71</v>
      </c>
      <c r="AA26" s="38">
        <f t="shared" si="19"/>
        <v>87</v>
      </c>
      <c r="AB26" s="37">
        <f t="shared" si="20"/>
        <v>5</v>
      </c>
      <c r="AC26" s="42"/>
      <c r="AD26" s="37">
        <v>13</v>
      </c>
      <c r="AE26" s="37">
        <v>56</v>
      </c>
      <c r="AF26" s="38">
        <f t="shared" ref="AF26:AF33" si="40">AD26+AE26</f>
        <v>69</v>
      </c>
      <c r="AG26" s="37">
        <f t="shared" ref="AG26:AG33" si="41">IF(AF26&lt;40,"F",IF(AF26&lt;50,2,IF(AF26&lt;60,3,IF(AF26&lt;70,3.5,IF(AF26&lt;80,4,5)))))</f>
        <v>3.5</v>
      </c>
      <c r="AH26" s="42"/>
      <c r="AI26" s="37">
        <v>15</v>
      </c>
      <c r="AJ26" s="37">
        <v>38</v>
      </c>
      <c r="AK26" s="38">
        <f t="shared" ref="AK26:AK32" si="42">AI26+AJ26</f>
        <v>53</v>
      </c>
      <c r="AL26" s="37">
        <f t="shared" ref="AL26:AL32" si="43">IF(AK26&lt;40,"F",IF(AK26&lt;50,2,IF(AK26&lt;60,3,IF(AK26&lt;70,3.5,IF(AK26&lt;80,4,5)))))</f>
        <v>3</v>
      </c>
      <c r="AM26" s="42"/>
      <c r="AN26" s="37"/>
      <c r="AO26" s="37">
        <v>24</v>
      </c>
      <c r="AP26" s="38">
        <f t="shared" ref="AP26:AP33" si="44">AO26*1</f>
        <v>24</v>
      </c>
      <c r="AQ26" s="37">
        <f t="shared" ref="AQ26:AQ33" si="45">IF(AP26&lt;20,"F",IF(AP26&lt;25,2,IF(AP26&lt;30,3,IF(AP26&lt;35,3.5,IF(AP26&lt;40,4,5)))))</f>
        <v>2</v>
      </c>
      <c r="AR26" s="42"/>
      <c r="AS26" s="37">
        <v>37</v>
      </c>
      <c r="AT26" s="37">
        <f t="shared" ref="AT26:AT30" si="46">IF(AS26&lt;20,"F",IF(AS26&lt;25,2,IF(AS26&lt;30,3,IF(AS26&lt;35,3.5,IF(AS26&lt;40,4,5)))))</f>
        <v>4</v>
      </c>
      <c r="AU26" s="42"/>
      <c r="AV26" s="37" t="str">
        <f t="shared" ref="AV26:AV32" si="47">IF(K26="F","F",IF(R26="F","F",IF(W26="F","F",IF(AB26="F","F",IF(AG26="F","F",IF(AL26="F","F",IF(AQ26="F","F",SUM(K26,R26,W26,AB26,AG26,AL26,AQ26))))))))</f>
        <v>F</v>
      </c>
      <c r="AW26" s="40" t="str">
        <f t="shared" ref="AW26:AW32" si="48">IF(AV26="F","F", IF(AV26&gt;=35,5,IF(AV26&lt;35,AV26/7)))</f>
        <v>F</v>
      </c>
      <c r="AX26" s="38">
        <f t="shared" si="18"/>
        <v>382</v>
      </c>
      <c r="AY26" s="39"/>
      <c r="AZ26" s="39">
        <v>56</v>
      </c>
      <c r="BA26" s="14" t="str">
        <f t="shared" si="2"/>
        <v>NEED TO PROGRESS</v>
      </c>
    </row>
    <row r="27" spans="1:53" ht="17.100000000000001" customHeight="1">
      <c r="A27" s="30">
        <v>21</v>
      </c>
      <c r="B27" s="31">
        <v>58</v>
      </c>
      <c r="C27" s="35" t="s">
        <v>112</v>
      </c>
      <c r="D27" s="35" t="s">
        <v>113</v>
      </c>
      <c r="E27" s="35" t="s">
        <v>114</v>
      </c>
      <c r="F27" s="37">
        <v>19</v>
      </c>
      <c r="G27" s="37">
        <v>77</v>
      </c>
      <c r="H27" s="37">
        <v>10</v>
      </c>
      <c r="I27" s="37">
        <v>34</v>
      </c>
      <c r="J27" s="38">
        <f t="shared" si="34"/>
        <v>140</v>
      </c>
      <c r="K27" s="37">
        <f t="shared" si="35"/>
        <v>5</v>
      </c>
      <c r="L27" s="42"/>
      <c r="M27" s="37">
        <v>19</v>
      </c>
      <c r="N27" s="37">
        <v>65</v>
      </c>
      <c r="O27" s="37">
        <v>9</v>
      </c>
      <c r="P27" s="37">
        <v>34</v>
      </c>
      <c r="Q27" s="38">
        <f t="shared" si="36"/>
        <v>127</v>
      </c>
      <c r="R27" s="37">
        <f t="shared" si="37"/>
        <v>5</v>
      </c>
      <c r="S27" s="42"/>
      <c r="T27" s="37">
        <v>17</v>
      </c>
      <c r="U27" s="37">
        <v>63</v>
      </c>
      <c r="V27" s="38">
        <f t="shared" si="38"/>
        <v>80</v>
      </c>
      <c r="W27" s="37">
        <f t="shared" si="39"/>
        <v>5</v>
      </c>
      <c r="X27" s="42"/>
      <c r="Y27" s="37">
        <v>20</v>
      </c>
      <c r="Z27" s="37">
        <v>79</v>
      </c>
      <c r="AA27" s="38">
        <f t="shared" si="19"/>
        <v>99</v>
      </c>
      <c r="AB27" s="37">
        <f t="shared" si="20"/>
        <v>5</v>
      </c>
      <c r="AC27" s="42"/>
      <c r="AD27" s="37">
        <v>18</v>
      </c>
      <c r="AE27" s="37">
        <v>78</v>
      </c>
      <c r="AF27" s="38">
        <f t="shared" si="40"/>
        <v>96</v>
      </c>
      <c r="AG27" s="37">
        <f t="shared" si="41"/>
        <v>5</v>
      </c>
      <c r="AH27" s="42"/>
      <c r="AI27" s="37">
        <v>20</v>
      </c>
      <c r="AJ27" s="37">
        <v>72</v>
      </c>
      <c r="AK27" s="38">
        <f t="shared" si="42"/>
        <v>92</v>
      </c>
      <c r="AL27" s="37">
        <f t="shared" si="43"/>
        <v>5</v>
      </c>
      <c r="AM27" s="42"/>
      <c r="AN27" s="37"/>
      <c r="AO27" s="37">
        <v>44</v>
      </c>
      <c r="AP27" s="38">
        <f t="shared" si="44"/>
        <v>44</v>
      </c>
      <c r="AQ27" s="37">
        <f t="shared" si="45"/>
        <v>5</v>
      </c>
      <c r="AR27" s="42"/>
      <c r="AS27" s="37">
        <v>40</v>
      </c>
      <c r="AT27" s="37">
        <f t="shared" si="46"/>
        <v>5</v>
      </c>
      <c r="AU27" s="42"/>
      <c r="AV27" s="37">
        <f t="shared" si="47"/>
        <v>35</v>
      </c>
      <c r="AW27" s="40">
        <f t="shared" si="48"/>
        <v>5</v>
      </c>
      <c r="AX27" s="38">
        <f t="shared" si="18"/>
        <v>678</v>
      </c>
      <c r="AY27" s="39">
        <v>6</v>
      </c>
      <c r="AZ27" s="39">
        <v>35</v>
      </c>
      <c r="BA27" s="14" t="str">
        <f t="shared" si="2"/>
        <v>BEST</v>
      </c>
    </row>
    <row r="28" spans="1:53" ht="17.100000000000001" customHeight="1">
      <c r="A28" s="30">
        <v>22</v>
      </c>
      <c r="B28" s="31">
        <v>60</v>
      </c>
      <c r="C28" s="35" t="s">
        <v>115</v>
      </c>
      <c r="D28" s="35" t="s">
        <v>116</v>
      </c>
      <c r="E28" s="35" t="s">
        <v>117</v>
      </c>
      <c r="F28" s="37">
        <v>20</v>
      </c>
      <c r="G28" s="37">
        <v>66</v>
      </c>
      <c r="H28" s="37">
        <v>5</v>
      </c>
      <c r="I28" s="37">
        <v>32</v>
      </c>
      <c r="J28" s="38">
        <f t="shared" si="34"/>
        <v>123</v>
      </c>
      <c r="K28" s="37">
        <f t="shared" si="35"/>
        <v>5</v>
      </c>
      <c r="L28" s="42"/>
      <c r="M28" s="37">
        <v>18</v>
      </c>
      <c r="N28" s="37">
        <v>62</v>
      </c>
      <c r="O28" s="37">
        <v>9</v>
      </c>
      <c r="P28" s="37">
        <v>28</v>
      </c>
      <c r="Q28" s="38">
        <f t="shared" si="36"/>
        <v>117</v>
      </c>
      <c r="R28" s="37">
        <f t="shared" si="37"/>
        <v>4</v>
      </c>
      <c r="S28" s="42"/>
      <c r="T28" s="37">
        <v>13</v>
      </c>
      <c r="U28" s="37">
        <v>28</v>
      </c>
      <c r="V28" s="38">
        <f t="shared" si="38"/>
        <v>41</v>
      </c>
      <c r="W28" s="37">
        <f t="shared" si="39"/>
        <v>2</v>
      </c>
      <c r="X28" s="42"/>
      <c r="Y28" s="37">
        <v>14</v>
      </c>
      <c r="Z28" s="37">
        <v>57</v>
      </c>
      <c r="AA28" s="38">
        <f t="shared" si="19"/>
        <v>71</v>
      </c>
      <c r="AB28" s="37">
        <f t="shared" si="20"/>
        <v>4</v>
      </c>
      <c r="AC28" s="42"/>
      <c r="AD28" s="37">
        <v>19</v>
      </c>
      <c r="AE28" s="37">
        <v>55</v>
      </c>
      <c r="AF28" s="38">
        <f t="shared" si="40"/>
        <v>74</v>
      </c>
      <c r="AG28" s="37">
        <f t="shared" si="41"/>
        <v>4</v>
      </c>
      <c r="AH28" s="42"/>
      <c r="AI28" s="37">
        <v>15</v>
      </c>
      <c r="AJ28" s="37">
        <v>41</v>
      </c>
      <c r="AK28" s="38">
        <f t="shared" si="42"/>
        <v>56</v>
      </c>
      <c r="AL28" s="37">
        <f t="shared" si="43"/>
        <v>3</v>
      </c>
      <c r="AM28" s="42"/>
      <c r="AN28" s="37"/>
      <c r="AO28" s="37">
        <v>31</v>
      </c>
      <c r="AP28" s="38">
        <f t="shared" si="44"/>
        <v>31</v>
      </c>
      <c r="AQ28" s="37">
        <f t="shared" si="45"/>
        <v>3.5</v>
      </c>
      <c r="AR28" s="42"/>
      <c r="AS28" s="37">
        <v>40</v>
      </c>
      <c r="AT28" s="37">
        <f t="shared" si="46"/>
        <v>5</v>
      </c>
      <c r="AU28" s="42"/>
      <c r="AV28" s="37">
        <f t="shared" si="47"/>
        <v>25.5</v>
      </c>
      <c r="AW28" s="40">
        <f t="shared" si="48"/>
        <v>3.6428571428571428</v>
      </c>
      <c r="AX28" s="38">
        <f t="shared" si="18"/>
        <v>513</v>
      </c>
      <c r="AY28" s="39">
        <v>30</v>
      </c>
      <c r="AZ28" s="39">
        <v>26</v>
      </c>
      <c r="BA28" s="14" t="str">
        <f t="shared" si="2"/>
        <v>GOOD</v>
      </c>
    </row>
    <row r="29" spans="1:53" ht="17.100000000000001" customHeight="1">
      <c r="A29" s="30">
        <v>23</v>
      </c>
      <c r="B29" s="31">
        <v>62</v>
      </c>
      <c r="C29" s="35" t="s">
        <v>118</v>
      </c>
      <c r="D29" s="35" t="s">
        <v>119</v>
      </c>
      <c r="E29" s="35" t="s">
        <v>120</v>
      </c>
      <c r="F29" s="37">
        <v>19</v>
      </c>
      <c r="G29" s="37">
        <v>79</v>
      </c>
      <c r="H29" s="37">
        <v>8</v>
      </c>
      <c r="I29" s="37">
        <v>36</v>
      </c>
      <c r="J29" s="38">
        <f t="shared" si="34"/>
        <v>142</v>
      </c>
      <c r="K29" s="37">
        <f t="shared" si="35"/>
        <v>5</v>
      </c>
      <c r="L29" s="42"/>
      <c r="M29" s="37">
        <v>18</v>
      </c>
      <c r="N29" s="37">
        <v>59</v>
      </c>
      <c r="O29" s="37">
        <v>9</v>
      </c>
      <c r="P29" s="37">
        <v>23</v>
      </c>
      <c r="Q29" s="38">
        <f t="shared" si="36"/>
        <v>109</v>
      </c>
      <c r="R29" s="37">
        <f t="shared" si="37"/>
        <v>4</v>
      </c>
      <c r="S29" s="42"/>
      <c r="T29" s="37">
        <v>17</v>
      </c>
      <c r="U29" s="37">
        <v>70</v>
      </c>
      <c r="V29" s="38">
        <f t="shared" si="38"/>
        <v>87</v>
      </c>
      <c r="W29" s="37">
        <f t="shared" si="39"/>
        <v>5</v>
      </c>
      <c r="X29" s="42"/>
      <c r="Y29" s="37">
        <v>19</v>
      </c>
      <c r="Z29" s="37">
        <v>80</v>
      </c>
      <c r="AA29" s="38">
        <f t="shared" si="19"/>
        <v>99</v>
      </c>
      <c r="AB29" s="37">
        <f t="shared" si="20"/>
        <v>5</v>
      </c>
      <c r="AC29" s="42"/>
      <c r="AD29" s="37">
        <v>19</v>
      </c>
      <c r="AE29" s="37">
        <v>78</v>
      </c>
      <c r="AF29" s="38">
        <f t="shared" si="40"/>
        <v>97</v>
      </c>
      <c r="AG29" s="37">
        <f t="shared" si="41"/>
        <v>5</v>
      </c>
      <c r="AH29" s="42"/>
      <c r="AI29" s="37">
        <v>20</v>
      </c>
      <c r="AJ29" s="37">
        <v>69</v>
      </c>
      <c r="AK29" s="38">
        <f t="shared" si="42"/>
        <v>89</v>
      </c>
      <c r="AL29" s="37">
        <f t="shared" si="43"/>
        <v>5</v>
      </c>
      <c r="AM29" s="42"/>
      <c r="AN29" s="37"/>
      <c r="AO29" s="37">
        <v>42</v>
      </c>
      <c r="AP29" s="38">
        <f t="shared" si="44"/>
        <v>42</v>
      </c>
      <c r="AQ29" s="37">
        <f t="shared" si="45"/>
        <v>5</v>
      </c>
      <c r="AR29" s="42"/>
      <c r="AS29" s="37">
        <v>27</v>
      </c>
      <c r="AT29" s="37">
        <f t="shared" si="46"/>
        <v>3</v>
      </c>
      <c r="AU29" s="42"/>
      <c r="AV29" s="37">
        <f t="shared" si="47"/>
        <v>34</v>
      </c>
      <c r="AW29" s="40">
        <f t="shared" si="48"/>
        <v>4.8571428571428568</v>
      </c>
      <c r="AX29" s="38">
        <f t="shared" si="18"/>
        <v>665</v>
      </c>
      <c r="AY29" s="39">
        <v>9</v>
      </c>
      <c r="AZ29" s="39">
        <v>36</v>
      </c>
      <c r="BA29" s="14" t="str">
        <f t="shared" si="2"/>
        <v>BETTER</v>
      </c>
    </row>
    <row r="30" spans="1:53" s="27" customFormat="1" ht="17.100000000000001" customHeight="1">
      <c r="A30" s="30">
        <v>24</v>
      </c>
      <c r="B30" s="31">
        <v>64</v>
      </c>
      <c r="C30" s="35" t="s">
        <v>121</v>
      </c>
      <c r="D30" s="35" t="s">
        <v>122</v>
      </c>
      <c r="E30" s="35" t="s">
        <v>123</v>
      </c>
      <c r="F30" s="37"/>
      <c r="G30" s="37">
        <v>20</v>
      </c>
      <c r="H30" s="37">
        <v>2</v>
      </c>
      <c r="I30" s="37">
        <v>1</v>
      </c>
      <c r="J30" s="38">
        <f t="shared" si="34"/>
        <v>23</v>
      </c>
      <c r="K30" s="37" t="str">
        <f t="shared" si="35"/>
        <v>F</v>
      </c>
      <c r="L30" s="42"/>
      <c r="M30" s="37">
        <v>13</v>
      </c>
      <c r="N30" s="37">
        <v>27</v>
      </c>
      <c r="O30" s="37">
        <v>5</v>
      </c>
      <c r="P30" s="37">
        <v>9</v>
      </c>
      <c r="Q30" s="38">
        <f t="shared" si="36"/>
        <v>54</v>
      </c>
      <c r="R30" s="37" t="str">
        <f t="shared" si="37"/>
        <v>F</v>
      </c>
      <c r="S30" s="42"/>
      <c r="T30" s="37">
        <v>11</v>
      </c>
      <c r="U30" s="37">
        <v>11</v>
      </c>
      <c r="V30" s="38">
        <f t="shared" si="38"/>
        <v>22</v>
      </c>
      <c r="W30" s="37" t="str">
        <f t="shared" si="39"/>
        <v>F</v>
      </c>
      <c r="X30" s="42"/>
      <c r="Y30" s="37">
        <v>5</v>
      </c>
      <c r="Z30" s="37">
        <v>16</v>
      </c>
      <c r="AA30" s="38">
        <f t="shared" si="19"/>
        <v>21</v>
      </c>
      <c r="AB30" s="37" t="str">
        <f t="shared" si="20"/>
        <v>F</v>
      </c>
      <c r="AC30" s="42"/>
      <c r="AD30" s="37">
        <v>1</v>
      </c>
      <c r="AE30" s="37">
        <v>22</v>
      </c>
      <c r="AF30" s="38">
        <f t="shared" si="40"/>
        <v>23</v>
      </c>
      <c r="AG30" s="37" t="str">
        <f t="shared" si="41"/>
        <v>F</v>
      </c>
      <c r="AH30" s="42"/>
      <c r="AI30" s="37">
        <v>2</v>
      </c>
      <c r="AJ30" s="37">
        <v>18</v>
      </c>
      <c r="AK30" s="38">
        <f t="shared" si="42"/>
        <v>20</v>
      </c>
      <c r="AL30" s="37" t="str">
        <f t="shared" si="43"/>
        <v>F</v>
      </c>
      <c r="AM30" s="42"/>
      <c r="AN30" s="37"/>
      <c r="AO30" s="37">
        <v>26</v>
      </c>
      <c r="AP30" s="38">
        <f t="shared" si="44"/>
        <v>26</v>
      </c>
      <c r="AQ30" s="37">
        <f t="shared" si="45"/>
        <v>3</v>
      </c>
      <c r="AR30" s="42"/>
      <c r="AS30" s="37">
        <v>30</v>
      </c>
      <c r="AT30" s="37">
        <f t="shared" si="46"/>
        <v>3.5</v>
      </c>
      <c r="AU30" s="42"/>
      <c r="AV30" s="37" t="str">
        <f t="shared" si="47"/>
        <v>F</v>
      </c>
      <c r="AW30" s="40" t="str">
        <f t="shared" si="48"/>
        <v>F</v>
      </c>
      <c r="AX30" s="38">
        <f t="shared" si="18"/>
        <v>189</v>
      </c>
      <c r="AY30" s="39"/>
      <c r="AZ30" s="39">
        <v>15</v>
      </c>
      <c r="BA30" s="14" t="str">
        <f t="shared" si="2"/>
        <v>NEED TO PROGRESS</v>
      </c>
    </row>
    <row r="31" spans="1:53" ht="17.100000000000001" customHeight="1">
      <c r="A31" s="30">
        <v>25</v>
      </c>
      <c r="B31" s="31">
        <v>66</v>
      </c>
      <c r="C31" s="35" t="s">
        <v>124</v>
      </c>
      <c r="D31" s="35" t="s">
        <v>125</v>
      </c>
      <c r="E31" s="35" t="s">
        <v>126</v>
      </c>
      <c r="F31" s="37">
        <v>18</v>
      </c>
      <c r="G31" s="37">
        <v>78</v>
      </c>
      <c r="H31" s="37">
        <v>9</v>
      </c>
      <c r="I31" s="37">
        <v>35</v>
      </c>
      <c r="J31" s="38">
        <f t="shared" si="34"/>
        <v>140</v>
      </c>
      <c r="K31" s="37">
        <f t="shared" si="35"/>
        <v>5</v>
      </c>
      <c r="L31" s="42"/>
      <c r="M31" s="37">
        <v>19</v>
      </c>
      <c r="N31" s="37">
        <v>67</v>
      </c>
      <c r="O31" s="37">
        <v>10</v>
      </c>
      <c r="P31" s="37">
        <v>33</v>
      </c>
      <c r="Q31" s="38">
        <f t="shared" si="36"/>
        <v>129</v>
      </c>
      <c r="R31" s="37">
        <f t="shared" si="37"/>
        <v>5</v>
      </c>
      <c r="S31" s="42"/>
      <c r="T31" s="37">
        <v>11</v>
      </c>
      <c r="U31" s="37">
        <v>74</v>
      </c>
      <c r="V31" s="38">
        <f t="shared" si="38"/>
        <v>85</v>
      </c>
      <c r="W31" s="37">
        <f t="shared" si="39"/>
        <v>5</v>
      </c>
      <c r="X31" s="42"/>
      <c r="Y31" s="37">
        <v>18</v>
      </c>
      <c r="Z31" s="37">
        <v>75</v>
      </c>
      <c r="AA31" s="38">
        <f t="shared" si="19"/>
        <v>93</v>
      </c>
      <c r="AB31" s="37">
        <f t="shared" si="20"/>
        <v>5</v>
      </c>
      <c r="AC31" s="42"/>
      <c r="AD31" s="37">
        <v>18</v>
      </c>
      <c r="AE31" s="37">
        <v>58</v>
      </c>
      <c r="AF31" s="38">
        <f t="shared" si="40"/>
        <v>76</v>
      </c>
      <c r="AG31" s="37">
        <f t="shared" si="41"/>
        <v>4</v>
      </c>
      <c r="AH31" s="42"/>
      <c r="AI31" s="37">
        <v>20</v>
      </c>
      <c r="AJ31" s="37">
        <v>75</v>
      </c>
      <c r="AK31" s="38">
        <f t="shared" si="42"/>
        <v>95</v>
      </c>
      <c r="AL31" s="37">
        <f t="shared" si="43"/>
        <v>5</v>
      </c>
      <c r="AM31" s="42"/>
      <c r="AN31" s="37"/>
      <c r="AO31" s="37">
        <v>42</v>
      </c>
      <c r="AP31" s="38">
        <f t="shared" si="44"/>
        <v>42</v>
      </c>
      <c r="AQ31" s="37">
        <f t="shared" si="45"/>
        <v>5</v>
      </c>
      <c r="AR31" s="42"/>
      <c r="AS31" s="37">
        <v>40</v>
      </c>
      <c r="AT31" s="37">
        <f t="shared" si="16"/>
        <v>5</v>
      </c>
      <c r="AU31" s="42"/>
      <c r="AV31" s="37">
        <f t="shared" si="47"/>
        <v>34</v>
      </c>
      <c r="AW31" s="40">
        <f t="shared" si="48"/>
        <v>4.8571428571428568</v>
      </c>
      <c r="AX31" s="38">
        <f t="shared" si="18"/>
        <v>660</v>
      </c>
      <c r="AY31" s="39">
        <v>10</v>
      </c>
      <c r="AZ31" s="39">
        <v>26</v>
      </c>
      <c r="BA31" s="14" t="str">
        <f t="shared" si="2"/>
        <v>BETTER</v>
      </c>
    </row>
    <row r="32" spans="1:53" s="27" customFormat="1" ht="17.100000000000001" customHeight="1">
      <c r="A32" s="30">
        <v>26</v>
      </c>
      <c r="B32" s="33">
        <v>68</v>
      </c>
      <c r="C32" s="36" t="s">
        <v>127</v>
      </c>
      <c r="D32" s="36" t="s">
        <v>131</v>
      </c>
      <c r="E32" s="36" t="s">
        <v>132</v>
      </c>
      <c r="F32" s="37">
        <v>13</v>
      </c>
      <c r="G32" s="37">
        <v>32</v>
      </c>
      <c r="H32" s="37">
        <v>5</v>
      </c>
      <c r="I32" s="37">
        <v>15</v>
      </c>
      <c r="J32" s="38">
        <f t="shared" ref="J32" si="49">F32+G32+H32+I32</f>
        <v>65</v>
      </c>
      <c r="K32" s="37">
        <f t="shared" ref="K32" si="50">IF(J32&lt;60,"F",IF(J32&lt;75,2,IF(J32&lt;90,3,IF(J32&lt;105,3.5,IF(J32&lt;120,4,5)))))</f>
        <v>2</v>
      </c>
      <c r="L32" s="42"/>
      <c r="M32" s="37">
        <v>13</v>
      </c>
      <c r="N32" s="37">
        <v>26</v>
      </c>
      <c r="O32" s="37">
        <v>5</v>
      </c>
      <c r="P32" s="37">
        <v>5</v>
      </c>
      <c r="Q32" s="38">
        <f t="shared" si="36"/>
        <v>49</v>
      </c>
      <c r="R32" s="37" t="str">
        <f t="shared" si="37"/>
        <v>F</v>
      </c>
      <c r="S32" s="42"/>
      <c r="T32" s="37">
        <v>11</v>
      </c>
      <c r="U32" s="37">
        <v>14</v>
      </c>
      <c r="V32" s="38">
        <f t="shared" ref="V32" si="51">T32+U32</f>
        <v>25</v>
      </c>
      <c r="W32" s="37" t="str">
        <f t="shared" ref="W32" si="52">IF(V32&lt;40,"F",IF(V32&lt;50,2,IF(V32&lt;60,3,IF(V32&lt;70,3.5,IF(V32&lt;80,4,5)))))</f>
        <v>F</v>
      </c>
      <c r="X32" s="42"/>
      <c r="Y32" s="37">
        <v>6</v>
      </c>
      <c r="Z32" s="37">
        <v>54</v>
      </c>
      <c r="AA32" s="38">
        <f t="shared" si="19"/>
        <v>60</v>
      </c>
      <c r="AB32" s="37">
        <f t="shared" si="20"/>
        <v>3.5</v>
      </c>
      <c r="AC32" s="42"/>
      <c r="AD32" s="37">
        <v>13</v>
      </c>
      <c r="AE32" s="37">
        <v>30</v>
      </c>
      <c r="AF32" s="38">
        <f t="shared" ref="AF32" si="53">AD32+AE32</f>
        <v>43</v>
      </c>
      <c r="AG32" s="37">
        <f t="shared" ref="AG32" si="54">IF(AF32&lt;40,"F",IF(AF32&lt;50,2,IF(AF32&lt;60,3,IF(AF32&lt;70,3.5,IF(AF32&lt;80,4,5)))))</f>
        <v>2</v>
      </c>
      <c r="AH32" s="42"/>
      <c r="AI32" s="37">
        <v>16</v>
      </c>
      <c r="AJ32" s="37">
        <v>32</v>
      </c>
      <c r="AK32" s="38">
        <f t="shared" si="42"/>
        <v>48</v>
      </c>
      <c r="AL32" s="37">
        <f t="shared" si="43"/>
        <v>2</v>
      </c>
      <c r="AM32" s="42"/>
      <c r="AN32" s="37"/>
      <c r="AO32" s="37">
        <v>21</v>
      </c>
      <c r="AP32" s="38">
        <f t="shared" ref="AP32" si="55">AO32*1</f>
        <v>21</v>
      </c>
      <c r="AQ32" s="37">
        <f t="shared" ref="AQ32" si="56">IF(AP32&lt;20,"F",IF(AP32&lt;25,2,IF(AP32&lt;30,3,IF(AP32&lt;35,3.5,IF(AP32&lt;40,4,5)))))</f>
        <v>2</v>
      </c>
      <c r="AR32" s="42"/>
      <c r="AS32" s="37">
        <v>34</v>
      </c>
      <c r="AT32" s="37">
        <f t="shared" ref="AT32" si="57">IF(AS32&lt;20,"F",IF(AS32&lt;25,2,IF(AS32&lt;30,3,IF(AS32&lt;35,3.5,IF(AS32&lt;40,4,5)))))</f>
        <v>3.5</v>
      </c>
      <c r="AU32" s="42"/>
      <c r="AV32" s="37" t="str">
        <f t="shared" si="47"/>
        <v>F</v>
      </c>
      <c r="AW32" s="40" t="str">
        <f t="shared" si="48"/>
        <v>F</v>
      </c>
      <c r="AX32" s="38">
        <f t="shared" si="18"/>
        <v>311</v>
      </c>
      <c r="AY32" s="39"/>
      <c r="AZ32" s="39">
        <v>31</v>
      </c>
      <c r="BA32" s="14" t="str">
        <f t="shared" si="2"/>
        <v>NEED TO PROGRESS</v>
      </c>
    </row>
    <row r="33" spans="1:53" s="27" customFormat="1" ht="17.100000000000001" customHeight="1">
      <c r="A33" s="30">
        <v>27</v>
      </c>
      <c r="B33" s="33">
        <v>70</v>
      </c>
      <c r="C33" s="36" t="s">
        <v>128</v>
      </c>
      <c r="D33" s="36" t="s">
        <v>129</v>
      </c>
      <c r="E33" s="36" t="s">
        <v>130</v>
      </c>
      <c r="F33" s="37"/>
      <c r="G33" s="37">
        <v>60</v>
      </c>
      <c r="H33" s="37"/>
      <c r="I33" s="37"/>
      <c r="J33" s="38">
        <f t="shared" si="34"/>
        <v>60</v>
      </c>
      <c r="K33" s="37">
        <f t="shared" si="35"/>
        <v>2</v>
      </c>
      <c r="L33" s="43"/>
      <c r="M33" s="37"/>
      <c r="N33" s="37">
        <v>24</v>
      </c>
      <c r="O33" s="37"/>
      <c r="P33" s="37">
        <v>8</v>
      </c>
      <c r="Q33" s="38">
        <f t="shared" si="5"/>
        <v>32</v>
      </c>
      <c r="R33" s="37" t="str">
        <f t="shared" si="6"/>
        <v>F</v>
      </c>
      <c r="S33" s="43"/>
      <c r="T33" s="37"/>
      <c r="U33" s="37">
        <v>15</v>
      </c>
      <c r="V33" s="38">
        <f t="shared" si="38"/>
        <v>15</v>
      </c>
      <c r="W33" s="37" t="str">
        <f t="shared" si="39"/>
        <v>F</v>
      </c>
      <c r="X33" s="43"/>
      <c r="Y33" s="37"/>
      <c r="Z33" s="37"/>
      <c r="AA33" s="38"/>
      <c r="AB33" s="37"/>
      <c r="AC33" s="43"/>
      <c r="AD33" s="37"/>
      <c r="AE33" s="37"/>
      <c r="AF33" s="38">
        <f t="shared" si="40"/>
        <v>0</v>
      </c>
      <c r="AG33" s="37" t="str">
        <f t="shared" si="41"/>
        <v>F</v>
      </c>
      <c r="AH33" s="43"/>
      <c r="AI33" s="37"/>
      <c r="AJ33" s="37"/>
      <c r="AK33" s="38">
        <f t="shared" si="13"/>
        <v>0</v>
      </c>
      <c r="AL33" s="37" t="str">
        <f t="shared" si="14"/>
        <v>F</v>
      </c>
      <c r="AM33" s="43"/>
      <c r="AN33" s="37"/>
      <c r="AO33" s="37">
        <v>19</v>
      </c>
      <c r="AP33" s="38">
        <f t="shared" si="44"/>
        <v>19</v>
      </c>
      <c r="AQ33" s="37" t="str">
        <f t="shared" si="45"/>
        <v>F</v>
      </c>
      <c r="AR33" s="43"/>
      <c r="AS33" s="37">
        <v>34</v>
      </c>
      <c r="AT33" s="37">
        <f t="shared" si="16"/>
        <v>3.5</v>
      </c>
      <c r="AU33" s="43"/>
      <c r="AV33" s="37" t="str">
        <f t="shared" si="1"/>
        <v>F</v>
      </c>
      <c r="AW33" s="40" t="str">
        <f t="shared" si="17"/>
        <v>F</v>
      </c>
      <c r="AX33" s="38">
        <f t="shared" si="18"/>
        <v>126</v>
      </c>
      <c r="AY33" s="39"/>
      <c r="AZ33" s="39"/>
      <c r="BA33" s="14" t="str">
        <f t="shared" si="2"/>
        <v>NEED TO PROGRESS</v>
      </c>
    </row>
    <row r="36" spans="1:53">
      <c r="A36" s="1">
        <v>0</v>
      </c>
      <c r="B36" s="1">
        <v>1</v>
      </c>
      <c r="C36" s="10">
        <v>2</v>
      </c>
      <c r="D36" s="10">
        <v>3</v>
      </c>
      <c r="E36" s="10">
        <v>4</v>
      </c>
      <c r="F36" s="10">
        <v>5</v>
      </c>
      <c r="G36" s="10">
        <v>6</v>
      </c>
      <c r="H36" s="10">
        <v>7</v>
      </c>
      <c r="I36" s="10">
        <v>8</v>
      </c>
      <c r="J36" s="10">
        <v>9</v>
      </c>
      <c r="K36" s="10">
        <v>10</v>
      </c>
      <c r="L36" s="10">
        <v>11</v>
      </c>
      <c r="M36" s="10">
        <v>12</v>
      </c>
      <c r="N36" s="10">
        <v>13</v>
      </c>
      <c r="O36" s="10">
        <v>14</v>
      </c>
      <c r="P36" s="10">
        <v>15</v>
      </c>
      <c r="Q36" s="10">
        <v>16</v>
      </c>
      <c r="R36" s="10">
        <v>17</v>
      </c>
      <c r="S36" s="10">
        <v>18</v>
      </c>
      <c r="T36" s="10">
        <v>19</v>
      </c>
      <c r="U36" s="10">
        <v>20</v>
      </c>
      <c r="V36" s="10">
        <v>21</v>
      </c>
      <c r="W36" s="10">
        <v>22</v>
      </c>
      <c r="X36" s="10">
        <v>23</v>
      </c>
      <c r="Y36" s="10">
        <v>24</v>
      </c>
      <c r="Z36" s="10">
        <v>25</v>
      </c>
      <c r="AA36" s="10">
        <v>26</v>
      </c>
      <c r="AB36" s="10">
        <v>27</v>
      </c>
      <c r="AC36" s="10">
        <v>28</v>
      </c>
      <c r="AD36" s="10">
        <v>29</v>
      </c>
      <c r="AE36" s="10">
        <v>30</v>
      </c>
      <c r="AF36" s="10">
        <v>31</v>
      </c>
      <c r="AG36" s="10">
        <v>32</v>
      </c>
      <c r="AH36" s="10">
        <v>33</v>
      </c>
      <c r="AI36" s="10">
        <v>34</v>
      </c>
      <c r="AJ36" s="10">
        <v>35</v>
      </c>
      <c r="AK36" s="10">
        <v>36</v>
      </c>
      <c r="AL36" s="10">
        <v>37</v>
      </c>
      <c r="AM36" s="10">
        <v>38</v>
      </c>
      <c r="AN36" s="10">
        <v>39</v>
      </c>
      <c r="AO36" s="10">
        <v>40</v>
      </c>
      <c r="AP36" s="10">
        <v>41</v>
      </c>
      <c r="AQ36" s="10">
        <v>42</v>
      </c>
      <c r="AR36" s="10">
        <v>43</v>
      </c>
      <c r="AS36" s="10">
        <v>44</v>
      </c>
      <c r="AT36" s="10">
        <v>45</v>
      </c>
      <c r="AU36" s="10">
        <v>46</v>
      </c>
      <c r="AV36" s="10">
        <v>47</v>
      </c>
      <c r="AW36" s="10">
        <v>48</v>
      </c>
      <c r="AX36" s="10">
        <v>49</v>
      </c>
      <c r="AY36" s="10">
        <v>50</v>
      </c>
      <c r="AZ36" s="10">
        <v>51</v>
      </c>
      <c r="BA36" s="10">
        <v>52</v>
      </c>
    </row>
  </sheetData>
  <mergeCells count="50">
    <mergeCell ref="AR6:AR7"/>
    <mergeCell ref="AU6:AU7"/>
    <mergeCell ref="T6:W6"/>
    <mergeCell ref="Y6:AB6"/>
    <mergeCell ref="AD6:AG6"/>
    <mergeCell ref="AI6:AL6"/>
    <mergeCell ref="AN6:AQ6"/>
    <mergeCell ref="AS6:AT6"/>
    <mergeCell ref="X6:X7"/>
    <mergeCell ref="AC6:AC7"/>
    <mergeCell ref="AH6:AH7"/>
    <mergeCell ref="AM6:AM7"/>
    <mergeCell ref="AI5:AM5"/>
    <mergeCell ref="L8:L33"/>
    <mergeCell ref="S8:S33"/>
    <mergeCell ref="A1:BA4"/>
    <mergeCell ref="AZ6:AZ7"/>
    <mergeCell ref="BA6:BA7"/>
    <mergeCell ref="A5:C5"/>
    <mergeCell ref="E5:G5"/>
    <mergeCell ref="H5:N5"/>
    <mergeCell ref="O5:R5"/>
    <mergeCell ref="S5:U5"/>
    <mergeCell ref="W5:AA5"/>
    <mergeCell ref="AE5:AH5"/>
    <mergeCell ref="D6:D7"/>
    <mergeCell ref="B6:B7"/>
    <mergeCell ref="C6:C7"/>
    <mergeCell ref="O6:P6"/>
    <mergeCell ref="S6:S7"/>
    <mergeCell ref="E6:E7"/>
    <mergeCell ref="A6:A7"/>
    <mergeCell ref="AY6:AY7"/>
    <mergeCell ref="K6:K7"/>
    <mergeCell ref="L6:L7"/>
    <mergeCell ref="F6:G6"/>
    <mergeCell ref="J6:J7"/>
    <mergeCell ref="AX6:AX7"/>
    <mergeCell ref="AV6:AV7"/>
    <mergeCell ref="AW6:AW7"/>
    <mergeCell ref="Q6:Q7"/>
    <mergeCell ref="R6:R7"/>
    <mergeCell ref="H6:I6"/>
    <mergeCell ref="M6:N6"/>
    <mergeCell ref="AR8:AR33"/>
    <mergeCell ref="AU8:AU33"/>
    <mergeCell ref="X8:X33"/>
    <mergeCell ref="AC8:AC33"/>
    <mergeCell ref="AH8:AH33"/>
    <mergeCell ref="AM8:AM33"/>
  </mergeCells>
  <phoneticPr fontId="21" type="noConversion"/>
  <conditionalFormatting sqref="F8:F33 M8:M33 T8:T33 Y8:Y33 AD8:AD33 AI8:AI33">
    <cfRule type="cellIs" dxfId="11" priority="28" operator="greaterThan">
      <formula>20</formula>
    </cfRule>
  </conditionalFormatting>
  <conditionalFormatting sqref="G8:G33 N8:N33 U8:V33 Z8:AA33 AE8:AF33 AJ8:AK33">
    <cfRule type="cellIs" dxfId="10" priority="25" operator="greaterThan">
      <formula>100</formula>
    </cfRule>
  </conditionalFormatting>
  <conditionalFormatting sqref="H8:H33 O8:O33 AN8:AN33">
    <cfRule type="cellIs" dxfId="9" priority="29" operator="greaterThan">
      <formula>10</formula>
    </cfRule>
  </conditionalFormatting>
  <conditionalFormatting sqref="J8:J33 Q8:Q33">
    <cfRule type="cellIs" dxfId="8" priority="27" operator="greaterThan">
      <formula>150</formula>
    </cfRule>
  </conditionalFormatting>
  <conditionalFormatting sqref="AP8:AP33 AS8:AS33">
    <cfRule type="cellIs" dxfId="7" priority="4" operator="greaterThan">
      <formula>50</formula>
    </cfRule>
  </conditionalFormatting>
  <conditionalFormatting sqref="AS8:AS33 I8:I33 P8:P33 AO8:AO33">
    <cfRule type="cellIs" dxfId="6" priority="26" operator="greaterThan">
      <formula>50</formula>
    </cfRule>
  </conditionalFormatting>
  <conditionalFormatting sqref="AV6:AV7">
    <cfRule type="cellIs" dxfId="5" priority="34" operator="equal">
      <formula>"F"</formula>
    </cfRule>
  </conditionalFormatting>
  <pageMargins left="0" right="0" top="0" bottom="0" header="0.3" footer="0"/>
  <pageSetup paperSize="5" scale="95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2:L39"/>
  <sheetViews>
    <sheetView workbookViewId="0">
      <selection activeCell="Q14" sqref="Q14"/>
    </sheetView>
  </sheetViews>
  <sheetFormatPr defaultRowHeight="15"/>
  <cols>
    <col min="1" max="1" width="2.28515625" customWidth="1"/>
    <col min="2" max="2" width="20.28515625" customWidth="1"/>
    <col min="4" max="4" width="5.140625" customWidth="1"/>
    <col min="5" max="5" width="10" customWidth="1"/>
    <col min="6" max="6" width="8" customWidth="1"/>
    <col min="7" max="7" width="7.5703125" customWidth="1"/>
    <col min="8" max="8" width="7.140625" customWidth="1"/>
    <col min="9" max="9" width="6.85546875" customWidth="1"/>
    <col min="10" max="11" width="7" customWidth="1"/>
    <col min="12" max="12" width="8.85546875" customWidth="1"/>
  </cols>
  <sheetData>
    <row r="2" spans="2:12">
      <c r="B2" s="80" t="s">
        <v>57</v>
      </c>
      <c r="C2" s="80"/>
      <c r="D2" s="80"/>
      <c r="E2" s="80"/>
      <c r="F2" s="80"/>
      <c r="G2" s="80"/>
      <c r="H2" s="80"/>
      <c r="I2" s="80"/>
      <c r="J2" s="80"/>
      <c r="K2" s="80"/>
      <c r="L2" s="80"/>
    </row>
    <row r="3" spans="2:12"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</row>
    <row r="4" spans="2:12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2:12" ht="23.1" customHeight="1"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</row>
    <row r="6" spans="2:12" ht="24" customHeight="1"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</row>
    <row r="7" spans="2:12" s="18" customFormat="1" ht="20.100000000000001" customHeight="1">
      <c r="B7" s="28" t="s">
        <v>46</v>
      </c>
      <c r="C7" s="81" t="str">
        <f>IFERROR(VLOOKUP(I9,'1st_Semeter'!B$6:BA$33,2,0),"ENTER RIGHT ROLL")</f>
        <v>Jemy Akter Juthy</v>
      </c>
      <c r="D7" s="81"/>
      <c r="E7" s="81"/>
      <c r="F7" s="26"/>
      <c r="G7" s="82" t="s">
        <v>51</v>
      </c>
      <c r="H7" s="82"/>
      <c r="I7" s="81" t="str">
        <f>'1st_Semeter'!D5</f>
        <v>FOUR  (SHURMA)</v>
      </c>
      <c r="J7" s="81"/>
      <c r="K7" s="81"/>
      <c r="L7" s="81"/>
    </row>
    <row r="8" spans="2:12" s="18" customFormat="1" ht="20.100000000000001" customHeight="1">
      <c r="B8" s="28" t="s">
        <v>47</v>
      </c>
      <c r="C8" s="97" t="str">
        <f>IFERROR(VLOOKUP(I9,'1st_Semeter'!B$6:BA$33,3,0),"")</f>
        <v>Md. Zaynul Abedin Milon</v>
      </c>
      <c r="D8" s="97"/>
      <c r="E8" s="97"/>
      <c r="F8" s="26"/>
      <c r="G8" s="82" t="s">
        <v>52</v>
      </c>
      <c r="H8" s="82"/>
      <c r="I8" s="81" t="str">
        <f>'1st_Semeter'!S5</f>
        <v>SHURMA</v>
      </c>
      <c r="J8" s="81"/>
      <c r="K8" s="81"/>
      <c r="L8" s="81"/>
    </row>
    <row r="9" spans="2:12" s="18" customFormat="1" ht="20.100000000000001" customHeight="1">
      <c r="B9" s="28" t="s">
        <v>48</v>
      </c>
      <c r="C9" s="81" t="str">
        <f>IFERROR(VLOOKUP(I9,'1st_Semeter'!B$6:BA$33,4,0),"")</f>
        <v>Mst. Fahima Begum</v>
      </c>
      <c r="D9" s="81"/>
      <c r="E9" s="81"/>
      <c r="F9" s="26"/>
      <c r="G9" s="82" t="s">
        <v>53</v>
      </c>
      <c r="H9" s="82"/>
      <c r="I9" s="83">
        <v>6</v>
      </c>
      <c r="J9" s="83"/>
      <c r="K9" s="83"/>
      <c r="L9" s="83"/>
    </row>
    <row r="10" spans="2:12" s="18" customFormat="1" ht="20.100000000000001" customHeight="1">
      <c r="B10" s="28" t="s">
        <v>49</v>
      </c>
      <c r="C10" s="81" t="str">
        <f>'1st_Semeter'!H5</f>
        <v>MD. MAHABUB ALAM</v>
      </c>
      <c r="D10" s="81"/>
      <c r="E10" s="81"/>
      <c r="F10" s="82" t="s">
        <v>54</v>
      </c>
      <c r="G10" s="82"/>
      <c r="H10" s="82"/>
      <c r="I10" s="83">
        <f>'1st_Semeter'!AC5</f>
        <v>53</v>
      </c>
      <c r="J10" s="83"/>
      <c r="K10" s="83"/>
      <c r="L10" s="83"/>
    </row>
    <row r="11" spans="2:12" s="18" customFormat="1" ht="20.100000000000001" customHeight="1">
      <c r="B11" s="29" t="s">
        <v>50</v>
      </c>
      <c r="C11" s="69" t="str">
        <f>'1st_Semeter'!AI5</f>
        <v>01794-366259</v>
      </c>
      <c r="D11" s="69"/>
      <c r="E11" s="69"/>
      <c r="F11" s="25"/>
      <c r="G11" s="25"/>
      <c r="H11" s="25"/>
      <c r="I11" s="25"/>
      <c r="J11" s="25"/>
      <c r="K11" s="25"/>
      <c r="L11" s="25"/>
    </row>
    <row r="12" spans="2:12" ht="15" customHeight="1">
      <c r="B12" s="70" t="s">
        <v>18</v>
      </c>
      <c r="C12" s="70"/>
      <c r="D12" s="70"/>
      <c r="E12" s="67" t="s">
        <v>19</v>
      </c>
      <c r="F12" s="67" t="s">
        <v>20</v>
      </c>
      <c r="G12" s="75" t="s">
        <v>39</v>
      </c>
      <c r="H12" s="67" t="s">
        <v>21</v>
      </c>
      <c r="I12" s="67" t="s">
        <v>22</v>
      </c>
      <c r="J12" s="70" t="s">
        <v>4</v>
      </c>
      <c r="K12" s="73" t="s">
        <v>38</v>
      </c>
      <c r="L12" s="72" t="s">
        <v>11</v>
      </c>
    </row>
    <row r="13" spans="2:12" ht="15" customHeight="1">
      <c r="B13" s="71"/>
      <c r="C13" s="71"/>
      <c r="D13" s="71"/>
      <c r="E13" s="68"/>
      <c r="F13" s="68"/>
      <c r="G13" s="76"/>
      <c r="H13" s="68"/>
      <c r="I13" s="68"/>
      <c r="J13" s="71"/>
      <c r="K13" s="74"/>
      <c r="L13" s="72"/>
    </row>
    <row r="14" spans="2:12" ht="15" customHeight="1">
      <c r="B14" s="71"/>
      <c r="C14" s="71"/>
      <c r="D14" s="71"/>
      <c r="E14" s="68"/>
      <c r="F14" s="68"/>
      <c r="G14" s="76"/>
      <c r="H14" s="68"/>
      <c r="I14" s="68"/>
      <c r="J14" s="71"/>
      <c r="K14" s="74"/>
      <c r="L14" s="72"/>
    </row>
    <row r="15" spans="2:12" ht="15" customHeight="1">
      <c r="B15" s="71"/>
      <c r="C15" s="71"/>
      <c r="D15" s="71"/>
      <c r="E15" s="68"/>
      <c r="F15" s="68"/>
      <c r="G15" s="76"/>
      <c r="H15" s="68"/>
      <c r="I15" s="68"/>
      <c r="J15" s="71"/>
      <c r="K15" s="74"/>
      <c r="L15" s="72"/>
    </row>
    <row r="16" spans="2:12" ht="15" customHeight="1">
      <c r="B16" s="71"/>
      <c r="C16" s="71"/>
      <c r="D16" s="71"/>
      <c r="E16" s="68"/>
      <c r="F16" s="68"/>
      <c r="G16" s="76"/>
      <c r="H16" s="68"/>
      <c r="I16" s="68"/>
      <c r="J16" s="71"/>
      <c r="K16" s="74"/>
      <c r="L16" s="72"/>
    </row>
    <row r="17" spans="2:12" ht="15" customHeight="1">
      <c r="B17" s="71"/>
      <c r="C17" s="71"/>
      <c r="D17" s="71"/>
      <c r="E17" s="68"/>
      <c r="F17" s="68"/>
      <c r="G17" s="76"/>
      <c r="H17" s="68"/>
      <c r="I17" s="68"/>
      <c r="J17" s="71"/>
      <c r="K17" s="74"/>
      <c r="L17" s="72"/>
    </row>
    <row r="18" spans="2:12" ht="15" customHeight="1">
      <c r="B18" s="71"/>
      <c r="C18" s="71"/>
      <c r="D18" s="71"/>
      <c r="E18" s="68"/>
      <c r="F18" s="68"/>
      <c r="G18" s="76"/>
      <c r="H18" s="68"/>
      <c r="I18" s="68"/>
      <c r="J18" s="71"/>
      <c r="K18" s="74"/>
      <c r="L18" s="72"/>
    </row>
    <row r="19" spans="2:12" ht="15" customHeight="1">
      <c r="B19" s="71"/>
      <c r="C19" s="71"/>
      <c r="D19" s="71"/>
      <c r="E19" s="68"/>
      <c r="F19" s="68"/>
      <c r="G19" s="76"/>
      <c r="H19" s="68"/>
      <c r="I19" s="68"/>
      <c r="J19" s="71"/>
      <c r="K19" s="74"/>
      <c r="L19" s="72"/>
    </row>
    <row r="20" spans="2:12" ht="33.75" customHeight="1">
      <c r="B20" s="87" t="s">
        <v>37</v>
      </c>
      <c r="C20" s="87"/>
      <c r="D20" s="87"/>
      <c r="E20" s="15">
        <v>100</v>
      </c>
      <c r="F20" s="16">
        <f>IFERROR(VLOOKUP(I$9,'1st_Semeter'!B$6:BA$33,5,0),"")</f>
        <v>20</v>
      </c>
      <c r="G20" s="16">
        <f>IFERROR(VLOOKUP(I$9,'1st_Semeter'!B$6:BA$33,6,0),"")</f>
        <v>78</v>
      </c>
      <c r="H20" s="93">
        <f>IFERROR(VLOOKUP(I$9,'1st_Semeter'!B$6:BA$33,9,0),"")</f>
        <v>142</v>
      </c>
      <c r="I20" s="93">
        <f>'1st_Semeter'!L8</f>
        <v>145</v>
      </c>
      <c r="J20" s="87">
        <f>IFERROR(VLOOKUP(I$9,'1st_Semeter'!B$6:BA$33,10,0),"")</f>
        <v>5</v>
      </c>
      <c r="K20" s="90" t="str">
        <f>IF(J20="F","F",IF(J20&lt;2.5,"D",IF(J20&lt;3,"C",IF(J20&lt;3.5,"B",IF(J20&lt;4,"A-",IF(J20&lt;5,"A","A+"))))))</f>
        <v>A+</v>
      </c>
      <c r="L20" s="88">
        <f>IFERROR(VLOOKUP(I$9,'1st_Semeter'!B$6:BA$33,48,0),"")</f>
        <v>4.8571428571428568</v>
      </c>
    </row>
    <row r="21" spans="2:12" ht="33.75" customHeight="1">
      <c r="B21" s="87" t="s">
        <v>36</v>
      </c>
      <c r="C21" s="87"/>
      <c r="D21" s="87"/>
      <c r="E21" s="15">
        <v>50</v>
      </c>
      <c r="F21" s="16">
        <f>IFERROR(VLOOKUP(I$9,'1st_Semeter'!B$6:BA$33,7,0),"")</f>
        <v>10</v>
      </c>
      <c r="G21" s="16">
        <f>IFERROR(VLOOKUP(I$9,'1st_Semeter'!B$6:BA$33,8,0),"")</f>
        <v>34</v>
      </c>
      <c r="H21" s="93" t="str">
        <f>IFERROR(VLOOKUP(J$9,'1st_Semeter'!C$6:BA$33,7,0),"")</f>
        <v/>
      </c>
      <c r="I21" s="93"/>
      <c r="J21" s="87" t="str">
        <f>IFERROR(VLOOKUP(L$9,'1st_Semeter'!E$6:BA$33,7,0),"")</f>
        <v/>
      </c>
      <c r="K21" s="91"/>
      <c r="L21" s="88"/>
    </row>
    <row r="22" spans="2:12" ht="31.5" customHeight="1">
      <c r="B22" s="87" t="s">
        <v>13</v>
      </c>
      <c r="C22" s="87"/>
      <c r="D22" s="87"/>
      <c r="E22" s="15">
        <v>100</v>
      </c>
      <c r="F22" s="16">
        <f>IFERROR(VLOOKUP(I$9,'1st_Semeter'!B$6:BA$33,12,0),"")</f>
        <v>20</v>
      </c>
      <c r="G22" s="16">
        <f>IFERROR(VLOOKUP(I$9,'1st_Semeter'!B$6:BA$33,13,0),"")</f>
        <v>68</v>
      </c>
      <c r="H22" s="93">
        <f>IFERROR(VLOOKUP(I$9,'1st_Semeter'!B$6:BA$33,16,0),"")</f>
        <v>135</v>
      </c>
      <c r="I22" s="93">
        <f>'1st_Semeter'!S8</f>
        <v>144</v>
      </c>
      <c r="J22" s="87">
        <f>IFERROR(VLOOKUP(I$9,'1st_Semeter'!B$6:BA$33,17,0),"")</f>
        <v>5</v>
      </c>
      <c r="K22" s="90" t="str">
        <f>IF(J22="F","F",IF(J22&lt;2.5,"D",IF(J22&lt;3,"C",IF(J22&lt;3.5,"B",IF(J22&lt;4,"A-",IF(J22&lt;5,"A","A+"))))))</f>
        <v>A+</v>
      </c>
      <c r="L22" s="88"/>
    </row>
    <row r="23" spans="2:12" ht="30.75" customHeight="1">
      <c r="B23" s="87" t="s">
        <v>14</v>
      </c>
      <c r="C23" s="87"/>
      <c r="D23" s="87"/>
      <c r="E23" s="15">
        <v>50</v>
      </c>
      <c r="F23" s="16">
        <f>IFERROR(VLOOKUP(I$9,'1st_Semeter'!B$6:BA$33,14,0),"")</f>
        <v>10</v>
      </c>
      <c r="G23" s="16">
        <f>IFERROR(VLOOKUP(I$9,'1st_Semeter'!B$6:BA$33,15,0),"")</f>
        <v>37</v>
      </c>
      <c r="H23" s="93" t="str">
        <f>IFERROR(VLOOKUP(J$9,'1st_Semeter'!C$6:BA$33,7,0),"")</f>
        <v/>
      </c>
      <c r="I23" s="93"/>
      <c r="J23" s="87" t="str">
        <f>IFERROR(VLOOKUP(L$9,'1st_Semeter'!E$6:BA$33,7,0),"")</f>
        <v/>
      </c>
      <c r="K23" s="91"/>
      <c r="L23" s="88"/>
    </row>
    <row r="24" spans="2:12" ht="31.5" customHeight="1">
      <c r="B24" s="87" t="s">
        <v>15</v>
      </c>
      <c r="C24" s="87"/>
      <c r="D24" s="87"/>
      <c r="E24" s="15">
        <v>100</v>
      </c>
      <c r="F24" s="16">
        <f>IFERROR(VLOOKUP(I$9,'1st_Semeter'!B$6:BA$33,19,0),"")</f>
        <v>19</v>
      </c>
      <c r="G24" s="16">
        <f>IFERROR(VLOOKUP(I$9,'1st_Semeter'!B$6:BA$33,20,0),"")</f>
        <v>59</v>
      </c>
      <c r="H24" s="16">
        <f>IFERROR(VLOOKUP(I$9,'1st_Semeter'!B$6:BA$33,21,0),"")</f>
        <v>78</v>
      </c>
      <c r="I24" s="16">
        <f>'1st_Semeter'!X8</f>
        <v>99</v>
      </c>
      <c r="J24" s="15">
        <f>IFERROR(VLOOKUP(I$9,'1st_Semeter'!B$6:BA$33,22,0),"")</f>
        <v>4</v>
      </c>
      <c r="K24" s="15" t="str">
        <f t="shared" ref="K24:K29" si="0">IF(J24="F","F",IF(J24&lt;2.5,"D",IF(J24&lt;3,"C",IF(J24&lt;3.5,"B",IF(J24&lt;4,"A-",IF(J24&lt;5,"A","A+"))))))</f>
        <v>A</v>
      </c>
      <c r="L24" s="88"/>
    </row>
    <row r="25" spans="2:12" ht="30" customHeight="1">
      <c r="B25" s="87" t="s">
        <v>7</v>
      </c>
      <c r="C25" s="87"/>
      <c r="D25" s="87"/>
      <c r="E25" s="15">
        <v>100</v>
      </c>
      <c r="F25" s="16">
        <f>IFERROR(VLOOKUP(I$9,'1st_Semeter'!B$6:BA$33,24,0),"")</f>
        <v>17</v>
      </c>
      <c r="G25" s="16">
        <f>IFERROR(VLOOKUP(I$9,'1st_Semeter'!B$6:BA$33,25,0),"")</f>
        <v>79</v>
      </c>
      <c r="H25" s="16">
        <f>IFERROR(VLOOKUP(I$9,'1st_Semeter'!B$6:BA$33,26,0),"")</f>
        <v>96</v>
      </c>
      <c r="I25" s="16">
        <f>'1st_Semeter'!AC8</f>
        <v>99</v>
      </c>
      <c r="J25" s="15">
        <f>IFERROR(VLOOKUP(I$9,'1st_Semeter'!B$6:BA$33,27,0),"")</f>
        <v>5</v>
      </c>
      <c r="K25" s="15" t="str">
        <f t="shared" si="0"/>
        <v>A+</v>
      </c>
      <c r="L25" s="88"/>
    </row>
    <row r="26" spans="2:12" ht="31.5" customHeight="1">
      <c r="B26" s="87" t="s">
        <v>8</v>
      </c>
      <c r="C26" s="87"/>
      <c r="D26" s="87"/>
      <c r="E26" s="15">
        <v>100</v>
      </c>
      <c r="F26" s="16">
        <f>IFERROR(VLOOKUP(I$9,'1st_Semeter'!B$6:BA$33,29,0),"")</f>
        <v>20</v>
      </c>
      <c r="G26" s="16">
        <f>IFERROR(VLOOKUP(I$9,'1st_Semeter'!B$6:BA$33,30,0),"")</f>
        <v>75</v>
      </c>
      <c r="H26" s="16">
        <f>IFERROR(VLOOKUP(I$9,'1st_Semeter'!B$6:BA$33,31,0),"")</f>
        <v>95</v>
      </c>
      <c r="I26" s="16">
        <f>'1st_Semeter'!AH8</f>
        <v>98</v>
      </c>
      <c r="J26" s="15">
        <f>IFERROR(VLOOKUP(I$9,'1st_Semeter'!B$6:BA$33,32,0),"")</f>
        <v>5</v>
      </c>
      <c r="K26" s="15" t="str">
        <f t="shared" si="0"/>
        <v>A+</v>
      </c>
      <c r="L26" s="88"/>
    </row>
    <row r="27" spans="2:12" ht="35.25" customHeight="1">
      <c r="B27" s="89" t="s">
        <v>9</v>
      </c>
      <c r="C27" s="89"/>
      <c r="D27" s="89"/>
      <c r="E27" s="15">
        <v>100</v>
      </c>
      <c r="F27" s="16">
        <f>IFERROR(VLOOKUP(I$9,'1st_Semeter'!B$6:BA$33,34,0),"")</f>
        <v>20</v>
      </c>
      <c r="G27" s="16">
        <f>IFERROR(VLOOKUP(I$9,'1st_Semeter'!B$6:BA$33,35,0),"")</f>
        <v>77</v>
      </c>
      <c r="H27" s="16">
        <f>IFERROR(VLOOKUP(I$9,'1st_Semeter'!B$6:BA$33,36,0),"")</f>
        <v>97</v>
      </c>
      <c r="I27" s="16">
        <f>'1st_Semeter'!AM8</f>
        <v>97</v>
      </c>
      <c r="J27" s="15">
        <f>IFERROR(VLOOKUP(I$9,'1st_Semeter'!B$6:BA$33,37,0),"")</f>
        <v>5</v>
      </c>
      <c r="K27" s="15" t="str">
        <f t="shared" si="0"/>
        <v>A+</v>
      </c>
      <c r="L27" s="88"/>
    </row>
    <row r="28" spans="2:12" ht="35.25" customHeight="1">
      <c r="B28" s="92" t="s">
        <v>41</v>
      </c>
      <c r="C28" s="92"/>
      <c r="D28" s="92"/>
      <c r="E28" s="15">
        <v>50</v>
      </c>
      <c r="F28" s="16">
        <f>IFERROR(VLOOKUP(I$9,'1st_Semeter'!B$6:BA$33,39,0),"")</f>
        <v>0</v>
      </c>
      <c r="G28" s="16">
        <f>IFERROR(VLOOKUP(I$9,'1st_Semeter'!B$6:BA$33,40,0),"")</f>
        <v>41</v>
      </c>
      <c r="H28" s="16">
        <f>IFERROR(VLOOKUP(I$9,'1st_Semeter'!B$6:BA$33,41,0),"")</f>
        <v>41</v>
      </c>
      <c r="I28" s="16">
        <f>'1st_Semeter'!AR8</f>
        <v>46</v>
      </c>
      <c r="J28" s="15">
        <f>IFERROR(VLOOKUP(I$9,'1st_Semeter'!B$6:BA$33,42,0),"")</f>
        <v>5</v>
      </c>
      <c r="K28" s="15" t="str">
        <f t="shared" si="0"/>
        <v>A+</v>
      </c>
      <c r="L28" s="88"/>
    </row>
    <row r="29" spans="2:12" ht="35.25" customHeight="1">
      <c r="B29" s="71" t="s">
        <v>55</v>
      </c>
      <c r="C29" s="92"/>
      <c r="D29" s="92"/>
      <c r="E29" s="15">
        <v>50</v>
      </c>
      <c r="F29" s="16"/>
      <c r="G29" s="16">
        <f>IFERROR(VLOOKUP(I$9,'1st_Semeter'!B$6:BA$33,44,0),"")</f>
        <v>50</v>
      </c>
      <c r="H29" s="16">
        <f>IFERROR(VLOOKUP(I$9,'1st_Semeter'!B$6:BA$33,44,0),"")</f>
        <v>50</v>
      </c>
      <c r="I29" s="16">
        <f>'1st_Semeter'!AU8</f>
        <v>50</v>
      </c>
      <c r="J29" s="15">
        <f>IFERROR(VLOOKUP(I$9,'1st_Semeter'!B$6:BA$33,45,0),"")</f>
        <v>5</v>
      </c>
      <c r="K29" s="15" t="str">
        <f t="shared" si="0"/>
        <v>A+</v>
      </c>
      <c r="L29" s="88"/>
    </row>
    <row r="30" spans="2:12" ht="33" customHeight="1">
      <c r="B30" s="77" t="s">
        <v>23</v>
      </c>
      <c r="C30" s="77"/>
      <c r="D30" s="77"/>
      <c r="E30" s="15">
        <f>SUM(E20:E29)</f>
        <v>800</v>
      </c>
      <c r="F30" s="78"/>
      <c r="G30" s="78"/>
      <c r="H30" s="16">
        <f>SUM(H20:H28)</f>
        <v>684</v>
      </c>
      <c r="I30" s="79"/>
      <c r="J30" s="79"/>
      <c r="K30" s="17"/>
      <c r="L30" s="88"/>
    </row>
    <row r="31" spans="2:12" ht="30" customHeight="1">
      <c r="B31" s="84" t="s">
        <v>40</v>
      </c>
      <c r="C31" s="84"/>
      <c r="D31" s="84"/>
      <c r="E31" s="23">
        <f>IFERROR(VLOOKUP(I$9,'1st_Semeter'!B$6:BA$33,51,0),"")</f>
        <v>60</v>
      </c>
      <c r="F31" s="84" t="s">
        <v>42</v>
      </c>
      <c r="G31" s="84"/>
      <c r="H31" s="84"/>
      <c r="I31" s="84"/>
      <c r="J31" s="23">
        <f>IFERROR(VLOOKUP(I9,'1st_Semeter'!B$6:BA$33,50,0),"")</f>
        <v>5</v>
      </c>
      <c r="K31" s="23"/>
      <c r="L31" s="24"/>
    </row>
    <row r="32" spans="2:12" ht="24" customHeight="1">
      <c r="B32" s="85" t="s">
        <v>43</v>
      </c>
      <c r="C32" s="85"/>
      <c r="D32" s="85"/>
      <c r="E32" s="86" t="str">
        <f>IFERROR(VLOOKUP(I9,'1st_Semeter'!B$6:BA$33,52,0),"")</f>
        <v>BETTER</v>
      </c>
      <c r="F32" s="86"/>
      <c r="G32" s="86"/>
      <c r="H32" s="86"/>
      <c r="I32" s="19"/>
      <c r="J32" s="19"/>
      <c r="K32" s="19"/>
      <c r="L32" s="19"/>
    </row>
    <row r="33" spans="2:12">
      <c r="B33" s="20"/>
      <c r="C33" s="21"/>
      <c r="D33" s="21"/>
      <c r="E33" s="19"/>
      <c r="F33" s="19"/>
      <c r="G33" s="20"/>
      <c r="H33" s="19"/>
      <c r="I33" s="19"/>
      <c r="J33" s="19"/>
      <c r="K33" s="19"/>
      <c r="L33" s="19"/>
    </row>
    <row r="34" spans="2:12">
      <c r="B34" s="20"/>
      <c r="C34" s="21"/>
      <c r="D34" s="21"/>
      <c r="E34" s="19"/>
      <c r="F34" s="19"/>
      <c r="G34" s="20"/>
      <c r="H34" s="19"/>
      <c r="I34" s="19"/>
      <c r="J34" s="19"/>
      <c r="K34" s="19"/>
      <c r="L34" s="19"/>
    </row>
    <row r="35" spans="2:12">
      <c r="B35" s="20"/>
      <c r="C35" s="21"/>
      <c r="D35" s="21"/>
      <c r="E35" s="19"/>
      <c r="F35" s="19"/>
      <c r="G35" s="20"/>
      <c r="H35" s="19"/>
      <c r="I35" s="19"/>
      <c r="J35" s="19"/>
      <c r="K35" s="19"/>
      <c r="L35" s="19"/>
    </row>
    <row r="36" spans="2:12" ht="18.75" customHeight="1">
      <c r="B36" s="19"/>
      <c r="C36" s="19"/>
      <c r="D36" s="19"/>
      <c r="E36" s="19"/>
      <c r="F36" s="19"/>
      <c r="G36" s="20"/>
      <c r="H36" s="19"/>
      <c r="I36" s="19"/>
      <c r="J36" s="19"/>
      <c r="K36" s="19"/>
      <c r="L36" s="19"/>
    </row>
    <row r="37" spans="2:12">
      <c r="B37" s="94" t="s">
        <v>137</v>
      </c>
      <c r="C37" s="94"/>
      <c r="D37" s="95"/>
      <c r="E37" s="96" t="s">
        <v>138</v>
      </c>
      <c r="F37" s="96"/>
      <c r="G37" s="96"/>
      <c r="H37" s="27"/>
      <c r="I37" s="27"/>
      <c r="J37" s="96" t="s">
        <v>139</v>
      </c>
      <c r="K37" s="96"/>
      <c r="L37" s="27"/>
    </row>
    <row r="38" spans="2:12"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</row>
    <row r="39" spans="2:12">
      <c r="B39" s="19"/>
      <c r="C39" s="19"/>
      <c r="D39" s="19"/>
      <c r="E39" s="19"/>
      <c r="F39" s="19"/>
      <c r="G39" s="20"/>
      <c r="H39" s="19"/>
      <c r="I39" s="19"/>
      <c r="J39" s="19"/>
      <c r="K39" s="19"/>
      <c r="L39" s="19"/>
    </row>
  </sheetData>
  <mergeCells count="50">
    <mergeCell ref="B37:C37"/>
    <mergeCell ref="B21:D21"/>
    <mergeCell ref="H20:H21"/>
    <mergeCell ref="I20:I21"/>
    <mergeCell ref="J20:J21"/>
    <mergeCell ref="B28:D28"/>
    <mergeCell ref="B23:D23"/>
    <mergeCell ref="I22:I23"/>
    <mergeCell ref="H22:H23"/>
    <mergeCell ref="J22:J23"/>
    <mergeCell ref="B12:D19"/>
    <mergeCell ref="B31:D31"/>
    <mergeCell ref="F31:I31"/>
    <mergeCell ref="B32:D32"/>
    <mergeCell ref="E32:H32"/>
    <mergeCell ref="B20:D20"/>
    <mergeCell ref="L20:L30"/>
    <mergeCell ref="B22:D22"/>
    <mergeCell ref="B24:D24"/>
    <mergeCell ref="B25:D25"/>
    <mergeCell ref="B26:D26"/>
    <mergeCell ref="B27:D27"/>
    <mergeCell ref="K20:K21"/>
    <mergeCell ref="K22:K23"/>
    <mergeCell ref="B29:D29"/>
    <mergeCell ref="B30:D30"/>
    <mergeCell ref="F30:G30"/>
    <mergeCell ref="I30:J30"/>
    <mergeCell ref="B2:L6"/>
    <mergeCell ref="C7:E7"/>
    <mergeCell ref="G7:H7"/>
    <mergeCell ref="I7:L7"/>
    <mergeCell ref="C8:E8"/>
    <mergeCell ref="G8:H8"/>
    <mergeCell ref="I8:L8"/>
    <mergeCell ref="G9:H9"/>
    <mergeCell ref="C9:E9"/>
    <mergeCell ref="I9:L9"/>
    <mergeCell ref="C10:E10"/>
    <mergeCell ref="F10:H10"/>
    <mergeCell ref="I10:L10"/>
    <mergeCell ref="H12:H19"/>
    <mergeCell ref="C11:E11"/>
    <mergeCell ref="I12:I19"/>
    <mergeCell ref="J12:J19"/>
    <mergeCell ref="L12:L19"/>
    <mergeCell ref="K12:K19"/>
    <mergeCell ref="E12:E19"/>
    <mergeCell ref="F12:F19"/>
    <mergeCell ref="G12:G19"/>
  </mergeCells>
  <conditionalFormatting sqref="C7:E7">
    <cfRule type="containsText" dxfId="4" priority="1" operator="containsText" text="ENTER RIGHT ROLL">
      <formula>NOT(ISERROR(SEARCH("ENTER RIGHT ROLL",C7)))</formula>
    </cfRule>
  </conditionalFormatting>
  <conditionalFormatting sqref="L20:L21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.19685039370078741" right="0.19685039370078741" top="0.19685039370078741" bottom="0.19685039370078741" header="0.19685039370078741" footer="0.19685039370078741"/>
  <pageSetup paperSize="9" scale="98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2025-05-15T14:25:48Z</dcterms:modified>
</cp:coreProperties>
</file>