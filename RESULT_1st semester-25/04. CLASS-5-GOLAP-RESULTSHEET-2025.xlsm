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-120" yWindow="-120" windowWidth="29040" windowHeight="15720" tabRatio="611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" i="1"/>
  <c r="I10" i="3"/>
  <c r="AK40" i="1"/>
  <c r="AL40" s="1"/>
  <c r="AK41"/>
  <c r="AL41" s="1"/>
  <c r="AK42"/>
  <c r="AL42" s="1"/>
  <c r="AK43"/>
  <c r="AL43" s="1"/>
  <c r="AP40"/>
  <c r="AQ40" s="1"/>
  <c r="AP41"/>
  <c r="AQ41" s="1"/>
  <c r="AP42"/>
  <c r="AQ42" s="1"/>
  <c r="AP43"/>
  <c r="AQ43" s="1"/>
  <c r="AP14"/>
  <c r="AQ14" s="1"/>
  <c r="AP15"/>
  <c r="AQ15" s="1"/>
  <c r="AP16"/>
  <c r="AQ16" s="1"/>
  <c r="AP17"/>
  <c r="AQ17" s="1"/>
  <c r="AP18"/>
  <c r="AQ18" s="1"/>
  <c r="AP19"/>
  <c r="AQ19" s="1"/>
  <c r="AP20"/>
  <c r="AQ20" s="1"/>
  <c r="AK14"/>
  <c r="AL14" s="1"/>
  <c r="AK15"/>
  <c r="AL15" s="1"/>
  <c r="AK16"/>
  <c r="AL16" s="1"/>
  <c r="V15"/>
  <c r="W15" s="1"/>
  <c r="V16"/>
  <c r="W16" s="1"/>
  <c r="V17"/>
  <c r="W17" s="1"/>
  <c r="Q14"/>
  <c r="R14" s="1"/>
  <c r="Q15"/>
  <c r="R15" s="1"/>
  <c r="AF41"/>
  <c r="AG41" s="1"/>
  <c r="AF40"/>
  <c r="AG40" s="1"/>
  <c r="AA25"/>
  <c r="AB25" s="1"/>
  <c r="AA26"/>
  <c r="AA27"/>
  <c r="AB27" s="1"/>
  <c r="AA28"/>
  <c r="AB28" s="1"/>
  <c r="AA29"/>
  <c r="AA30"/>
  <c r="AB30" s="1"/>
  <c r="AA31"/>
  <c r="AA32"/>
  <c r="AB32" s="1"/>
  <c r="AA33"/>
  <c r="AB33" s="1"/>
  <c r="AA34"/>
  <c r="AB34" s="1"/>
  <c r="AA35"/>
  <c r="AA36"/>
  <c r="AB36" s="1"/>
  <c r="AA37"/>
  <c r="AA38"/>
  <c r="AB38" s="1"/>
  <c r="AA39"/>
  <c r="AA40"/>
  <c r="AB40" s="1"/>
  <c r="AA41"/>
  <c r="AB41" s="1"/>
  <c r="AA42"/>
  <c r="AB42" s="1"/>
  <c r="AA43"/>
  <c r="AB43" s="1"/>
  <c r="AA14"/>
  <c r="AB14" s="1"/>
  <c r="V40"/>
  <c r="W40" s="1"/>
  <c r="V41"/>
  <c r="W41" s="1"/>
  <c r="V42"/>
  <c r="W42" s="1"/>
  <c r="Q40"/>
  <c r="R40" s="1"/>
  <c r="Q41"/>
  <c r="R41" s="1"/>
  <c r="Q42"/>
  <c r="R42" s="1"/>
  <c r="J40"/>
  <c r="K40" s="1"/>
  <c r="J41"/>
  <c r="K41" s="1"/>
  <c r="J42"/>
  <c r="K42" s="1"/>
  <c r="J43"/>
  <c r="K43" s="1"/>
  <c r="AP28"/>
  <c r="AQ28" s="1"/>
  <c r="AP29"/>
  <c r="AQ29" s="1"/>
  <c r="AP30"/>
  <c r="AQ30" s="1"/>
  <c r="AP31"/>
  <c r="AQ31" s="1"/>
  <c r="AP32"/>
  <c r="AQ32" s="1"/>
  <c r="AP33"/>
  <c r="AQ33" s="1"/>
  <c r="AP34"/>
  <c r="AQ34" s="1"/>
  <c r="AP35"/>
  <c r="AQ35" s="1"/>
  <c r="AP36"/>
  <c r="AQ36" s="1"/>
  <c r="AP37"/>
  <c r="AQ37" s="1"/>
  <c r="AP38"/>
  <c r="AQ38" s="1"/>
  <c r="AP39"/>
  <c r="AQ39" s="1"/>
  <c r="AK28"/>
  <c r="AL28" s="1"/>
  <c r="AK29"/>
  <c r="AL29" s="1"/>
  <c r="AK30"/>
  <c r="AL30" s="1"/>
  <c r="AK31"/>
  <c r="AL31" s="1"/>
  <c r="AK32"/>
  <c r="AL32" s="1"/>
  <c r="AK33"/>
  <c r="AL33" s="1"/>
  <c r="AK34"/>
  <c r="AL34" s="1"/>
  <c r="AK35"/>
  <c r="AL35" s="1"/>
  <c r="AK36"/>
  <c r="AL36" s="1"/>
  <c r="AK37"/>
  <c r="AL37" s="1"/>
  <c r="AK38"/>
  <c r="AL38" s="1"/>
  <c r="AK39"/>
  <c r="AL39" s="1"/>
  <c r="AF28"/>
  <c r="AG28" s="1"/>
  <c r="AF29"/>
  <c r="AG29" s="1"/>
  <c r="AF30"/>
  <c r="AG30" s="1"/>
  <c r="AF31"/>
  <c r="AG31" s="1"/>
  <c r="AF32"/>
  <c r="AG32" s="1"/>
  <c r="AF33"/>
  <c r="AG33" s="1"/>
  <c r="AF34"/>
  <c r="AG34" s="1"/>
  <c r="AF35"/>
  <c r="AG35" s="1"/>
  <c r="AF36"/>
  <c r="AG36" s="1"/>
  <c r="AF37"/>
  <c r="AG37" s="1"/>
  <c r="AF38"/>
  <c r="AG38" s="1"/>
  <c r="AF39"/>
  <c r="AG39" s="1"/>
  <c r="AF42"/>
  <c r="AG42" s="1"/>
  <c r="AF43"/>
  <c r="AG43" s="1"/>
  <c r="AF14"/>
  <c r="AG14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V36"/>
  <c r="W36" s="1"/>
  <c r="V37"/>
  <c r="W37" s="1"/>
  <c r="V38"/>
  <c r="W38" s="1"/>
  <c r="V39"/>
  <c r="W39" s="1"/>
  <c r="V43"/>
  <c r="W43" s="1"/>
  <c r="Q28"/>
  <c r="R28" s="1"/>
  <c r="Q29"/>
  <c r="R29" s="1"/>
  <c r="Q30"/>
  <c r="R30" s="1"/>
  <c r="Q31"/>
  <c r="R31" s="1"/>
  <c r="Q32"/>
  <c r="R32" s="1"/>
  <c r="Q33"/>
  <c r="R33" s="1"/>
  <c r="Q34"/>
  <c r="R34" s="1"/>
  <c r="Q35"/>
  <c r="R35" s="1"/>
  <c r="Q36"/>
  <c r="R36" s="1"/>
  <c r="Q37"/>
  <c r="R37" s="1"/>
  <c r="Q38"/>
  <c r="R38" s="1"/>
  <c r="Q39"/>
  <c r="R39" s="1"/>
  <c r="Q43"/>
  <c r="R43" s="1"/>
  <c r="J28"/>
  <c r="K28" s="1"/>
  <c r="J29"/>
  <c r="K29" s="1"/>
  <c r="J30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K38" s="1"/>
  <c r="J39"/>
  <c r="K39" s="1"/>
  <c r="J14"/>
  <c r="K14" s="1"/>
  <c r="I7" i="3"/>
  <c r="AP9" i="1"/>
  <c r="AQ9" s="1"/>
  <c r="AP10"/>
  <c r="AQ10" s="1"/>
  <c r="AP11"/>
  <c r="AQ11" s="1"/>
  <c r="AP12"/>
  <c r="AQ12" s="1"/>
  <c r="AP13"/>
  <c r="AQ13" s="1"/>
  <c r="AP21"/>
  <c r="AQ21" s="1"/>
  <c r="AP22"/>
  <c r="AQ22" s="1"/>
  <c r="AP23"/>
  <c r="AQ23" s="1"/>
  <c r="AP24"/>
  <c r="AQ24" s="1"/>
  <c r="AP25"/>
  <c r="AQ25" s="1"/>
  <c r="AP26"/>
  <c r="AQ26" s="1"/>
  <c r="AP27"/>
  <c r="AQ27" s="1"/>
  <c r="AK9"/>
  <c r="AL9" s="1"/>
  <c r="AK10"/>
  <c r="AL10" s="1"/>
  <c r="AK11"/>
  <c r="AL11" s="1"/>
  <c r="AK12"/>
  <c r="AL12" s="1"/>
  <c r="AK13"/>
  <c r="AL13" s="1"/>
  <c r="AK17"/>
  <c r="AL17" s="1"/>
  <c r="AK18"/>
  <c r="AL18" s="1"/>
  <c r="AK19"/>
  <c r="AL19" s="1"/>
  <c r="AK20"/>
  <c r="AL20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F9"/>
  <c r="AG9" s="1"/>
  <c r="AF10"/>
  <c r="AG10" s="1"/>
  <c r="AF11"/>
  <c r="AG11" s="1"/>
  <c r="AF12"/>
  <c r="AG12" s="1"/>
  <c r="AF13"/>
  <c r="AG13" s="1"/>
  <c r="AF15"/>
  <c r="AG15" s="1"/>
  <c r="AF16"/>
  <c r="AG16" s="1"/>
  <c r="AF17"/>
  <c r="AG17" s="1"/>
  <c r="AF18"/>
  <c r="AG18" s="1"/>
  <c r="AF19"/>
  <c r="AG19" s="1"/>
  <c r="AF20"/>
  <c r="AG20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AA9"/>
  <c r="AB9" s="1"/>
  <c r="AA10"/>
  <c r="AB10" s="1"/>
  <c r="AA11"/>
  <c r="AB11" s="1"/>
  <c r="AA12"/>
  <c r="AB12" s="1"/>
  <c r="AA13"/>
  <c r="AB13" s="1"/>
  <c r="AA15"/>
  <c r="AB15" s="1"/>
  <c r="AA16"/>
  <c r="AB16" s="1"/>
  <c r="AA17"/>
  <c r="AB17" s="1"/>
  <c r="AA18"/>
  <c r="AB18" s="1"/>
  <c r="AA19"/>
  <c r="AB19" s="1"/>
  <c r="AA20"/>
  <c r="AB20" s="1"/>
  <c r="AA21"/>
  <c r="AB21" s="1"/>
  <c r="AA22"/>
  <c r="AB22" s="1"/>
  <c r="AA23"/>
  <c r="AB23" s="1"/>
  <c r="AA24"/>
  <c r="AB24" s="1"/>
  <c r="AB26"/>
  <c r="V9"/>
  <c r="V10"/>
  <c r="W10" s="1"/>
  <c r="V11"/>
  <c r="W11" s="1"/>
  <c r="V12"/>
  <c r="W12" s="1"/>
  <c r="V13"/>
  <c r="W13" s="1"/>
  <c r="V18"/>
  <c r="W18" s="1"/>
  <c r="V19"/>
  <c r="W19" s="1"/>
  <c r="V20"/>
  <c r="W20" s="1"/>
  <c r="V21"/>
  <c r="W21" s="1"/>
  <c r="V22"/>
  <c r="V23"/>
  <c r="V24"/>
  <c r="W24" s="1"/>
  <c r="V25"/>
  <c r="W25" s="1"/>
  <c r="V26"/>
  <c r="V27"/>
  <c r="W27" s="1"/>
  <c r="V8"/>
  <c r="Q9"/>
  <c r="R9" s="1"/>
  <c r="Q10"/>
  <c r="R10" s="1"/>
  <c r="Q11"/>
  <c r="R11" s="1"/>
  <c r="Q12"/>
  <c r="R12" s="1"/>
  <c r="Q13"/>
  <c r="R13" s="1"/>
  <c r="Q16"/>
  <c r="R16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R24" s="1"/>
  <c r="Q25"/>
  <c r="R25" s="1"/>
  <c r="Q26"/>
  <c r="R26" s="1"/>
  <c r="Q27"/>
  <c r="R27" s="1"/>
  <c r="J9"/>
  <c r="K9" s="1"/>
  <c r="J10"/>
  <c r="K10" s="1"/>
  <c r="J11"/>
  <c r="K11" s="1"/>
  <c r="J12"/>
  <c r="J13"/>
  <c r="K13" s="1"/>
  <c r="J15"/>
  <c r="K15" s="1"/>
  <c r="AS15" s="1"/>
  <c r="AT15" s="1"/>
  <c r="J16"/>
  <c r="K16" s="1"/>
  <c r="J17"/>
  <c r="J18"/>
  <c r="K18" s="1"/>
  <c r="J19"/>
  <c r="K19" s="1"/>
  <c r="J20"/>
  <c r="J21"/>
  <c r="J22"/>
  <c r="K22" s="1"/>
  <c r="J23"/>
  <c r="K23" s="1"/>
  <c r="J24"/>
  <c r="K24" s="1"/>
  <c r="J25"/>
  <c r="J26"/>
  <c r="K26" s="1"/>
  <c r="J27"/>
  <c r="K27" s="1"/>
  <c r="AU21" l="1"/>
  <c r="AU12"/>
  <c r="AU20"/>
  <c r="AU42"/>
  <c r="AU17"/>
  <c r="AU29"/>
  <c r="AU28"/>
  <c r="AU27"/>
  <c r="AU16"/>
  <c r="AU15"/>
  <c r="AU13"/>
  <c r="AU9"/>
  <c r="AU37"/>
  <c r="AU25"/>
  <c r="AS32"/>
  <c r="AT32" s="1"/>
  <c r="AX32" s="1"/>
  <c r="AU36"/>
  <c r="AU24"/>
  <c r="AU11"/>
  <c r="AS31"/>
  <c r="AT31" s="1"/>
  <c r="AS40"/>
  <c r="AT40" s="1"/>
  <c r="AX40" s="1"/>
  <c r="AU35"/>
  <c r="AU23"/>
  <c r="AU10"/>
  <c r="AU39"/>
  <c r="AU26"/>
  <c r="AU22"/>
  <c r="AU33"/>
  <c r="AU40"/>
  <c r="AU38"/>
  <c r="AU34"/>
  <c r="AU32"/>
  <c r="AU43"/>
  <c r="AU31"/>
  <c r="AU19"/>
  <c r="AU30"/>
  <c r="AU18"/>
  <c r="AU41"/>
  <c r="AU14"/>
  <c r="AS30"/>
  <c r="AT30" s="1"/>
  <c r="AX30" s="1"/>
  <c r="AS42"/>
  <c r="AT42" s="1"/>
  <c r="AS43"/>
  <c r="AT43" s="1"/>
  <c r="AX43" s="1"/>
  <c r="AS14"/>
  <c r="AT14" s="1"/>
  <c r="AS16"/>
  <c r="AT16" s="1"/>
  <c r="AS28"/>
  <c r="AT28" s="1"/>
  <c r="AS36"/>
  <c r="AT36" s="1"/>
  <c r="AS41"/>
  <c r="AT41" s="1"/>
  <c r="AS33"/>
  <c r="AT33" s="1"/>
  <c r="AX33" s="1"/>
  <c r="AS29"/>
  <c r="AT29" s="1"/>
  <c r="AX29" s="1"/>
  <c r="AS38"/>
  <c r="AT38" s="1"/>
  <c r="AS34"/>
  <c r="AT34" s="1"/>
  <c r="AX34" s="1"/>
  <c r="AX15"/>
  <c r="AB37"/>
  <c r="AS37" s="1"/>
  <c r="AT37" s="1"/>
  <c r="AX37" s="1"/>
  <c r="AB39"/>
  <c r="AS39" s="1"/>
  <c r="AT39" s="1"/>
  <c r="AB35"/>
  <c r="AS35" s="1"/>
  <c r="AT35" s="1"/>
  <c r="AX35" s="1"/>
  <c r="AB31"/>
  <c r="AB29"/>
  <c r="AX31"/>
  <c r="AS24"/>
  <c r="AT24" s="1"/>
  <c r="AX24" s="1"/>
  <c r="AS11"/>
  <c r="AT11" s="1"/>
  <c r="AX11" s="1"/>
  <c r="K20"/>
  <c r="AS20" s="1"/>
  <c r="AT20" s="1"/>
  <c r="AX20" s="1"/>
  <c r="AS27"/>
  <c r="AT27" s="1"/>
  <c r="AS19"/>
  <c r="AT19" s="1"/>
  <c r="AS10"/>
  <c r="AT10" s="1"/>
  <c r="AS18"/>
  <c r="AT18" s="1"/>
  <c r="AS13"/>
  <c r="AT13" s="1"/>
  <c r="W26"/>
  <c r="AS26" s="1"/>
  <c r="AT26" s="1"/>
  <c r="W23"/>
  <c r="AS23" s="1"/>
  <c r="AT23" s="1"/>
  <c r="K25"/>
  <c r="AS25" s="1"/>
  <c r="AT25" s="1"/>
  <c r="K21"/>
  <c r="AS21" s="1"/>
  <c r="AT21" s="1"/>
  <c r="K17"/>
  <c r="AS17" s="1"/>
  <c r="AT17" s="1"/>
  <c r="AX17" s="1"/>
  <c r="K12"/>
  <c r="AS12" s="1"/>
  <c r="AT12" s="1"/>
  <c r="W9"/>
  <c r="AS9" s="1"/>
  <c r="AT9" s="1"/>
  <c r="W22"/>
  <c r="AS22" s="1"/>
  <c r="AT22" s="1"/>
  <c r="F28" i="3"/>
  <c r="F27"/>
  <c r="F26"/>
  <c r="F25"/>
  <c r="F24"/>
  <c r="F23"/>
  <c r="F22"/>
  <c r="F21"/>
  <c r="H24"/>
  <c r="G28"/>
  <c r="G27"/>
  <c r="G26"/>
  <c r="G25"/>
  <c r="G24"/>
  <c r="G23"/>
  <c r="G22"/>
  <c r="G21"/>
  <c r="G20"/>
  <c r="C10"/>
  <c r="AP8" i="1"/>
  <c r="J8"/>
  <c r="AX26" l="1"/>
  <c r="L8"/>
  <c r="AX42"/>
  <c r="AX41"/>
  <c r="AX14"/>
  <c r="AX16"/>
  <c r="AX39"/>
  <c r="AX36"/>
  <c r="AX28"/>
  <c r="AX38"/>
  <c r="AX12"/>
  <c r="AX9"/>
  <c r="AX10"/>
  <c r="AX23"/>
  <c r="AX25"/>
  <c r="AX22"/>
  <c r="AX21"/>
  <c r="AX18"/>
  <c r="AX27"/>
  <c r="AX13"/>
  <c r="AX19"/>
  <c r="H28" i="3"/>
  <c r="H20"/>
  <c r="AR8" i="1" l="1"/>
  <c r="I28" i="3" s="1"/>
  <c r="AQ8" i="1"/>
  <c r="J28" i="3" s="1"/>
  <c r="K28" s="1"/>
  <c r="I8"/>
  <c r="J23" l="1"/>
  <c r="J21"/>
  <c r="H23"/>
  <c r="H21"/>
  <c r="F20"/>
  <c r="E29"/>
  <c r="C9"/>
  <c r="C8"/>
  <c r="C7"/>
  <c r="C11" l="1"/>
  <c r="AA8" i="1" l="1"/>
  <c r="AK8"/>
  <c r="AF8"/>
  <c r="W8"/>
  <c r="J24" i="3" s="1"/>
  <c r="Q8" i="1"/>
  <c r="AU8" l="1"/>
  <c r="R8"/>
  <c r="J22" i="3" s="1"/>
  <c r="K22" s="1"/>
  <c r="H22"/>
  <c r="AG8" i="1"/>
  <c r="J26" i="3" s="1"/>
  <c r="H26"/>
  <c r="AL8" i="1"/>
  <c r="J27" i="3" s="1"/>
  <c r="H27"/>
  <c r="AB8" i="1"/>
  <c r="J25" i="3" s="1"/>
  <c r="H25"/>
  <c r="I20"/>
  <c r="K8" i="1"/>
  <c r="J20" i="3" s="1"/>
  <c r="K20" s="1"/>
  <c r="AH8" i="1"/>
  <c r="I26" i="3" s="1"/>
  <c r="AM8" i="1"/>
  <c r="I27" i="3" s="1"/>
  <c r="X8" i="1"/>
  <c r="I24" i="3" s="1"/>
  <c r="S8" i="1"/>
  <c r="I22" i="3" s="1"/>
  <c r="AC8" i="1"/>
  <c r="I25" i="3" s="1"/>
  <c r="H29" l="1"/>
  <c r="K26"/>
  <c r="K25"/>
  <c r="K24"/>
  <c r="E31" l="1"/>
  <c r="AS8" i="1"/>
  <c r="AT8" s="1"/>
  <c r="L20" i="3" s="1"/>
  <c r="K27" l="1"/>
  <c r="J31"/>
  <c r="AX8" i="1"/>
  <c r="E32" i="3" s="1"/>
</calcChain>
</file>

<file path=xl/sharedStrings.xml><?xml version="1.0" encoding="utf-8"?>
<sst xmlns="http://schemas.openxmlformats.org/spreadsheetml/2006/main" count="213" uniqueCount="170">
  <si>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</si>
  <si>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</si>
  <si>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</si>
  <si>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</si>
  <si>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</si>
  <si>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</si>
  <si>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</si>
  <si>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</si>
  <si>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</si>
  <si>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</si>
  <si>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</si>
  <si>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</si>
  <si>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</si>
  <si>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</si>
  <si>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</si>
  <si>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</si>
  <si>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</si>
  <si>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</si>
  <si>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</si>
  <si>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</si>
  <si>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</si>
  <si>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</si>
  <si>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</si>
  <si>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</si>
  <si>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</si>
  <si>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</si>
  <si>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</si>
  <si>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</si>
  <si>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</si>
  <si>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</si>
  <si>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>FATHER NAME</t>
  </si>
  <si>
    <t>MOTHER NAME</t>
  </si>
  <si>
    <t>BANGLA-2ND</t>
  </si>
  <si>
    <t>BANGLA-1ST</t>
  </si>
  <si>
    <t>BANGLA  2ND</t>
  </si>
  <si>
    <t>BANGLA  1ST</t>
  </si>
  <si>
    <t>GRADE</t>
  </si>
  <si>
    <t>OBTAINED MARKS-80%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</si>
  <si>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</si>
  <si>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</si>
  <si>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GK</t>
  </si>
  <si>
    <t>FIVE</t>
  </si>
  <si>
    <t>STUDENT BEHAVIOURS AND SKILL  :</t>
  </si>
  <si>
    <t xml:space="preserve">                          WORKING DAYS:</t>
  </si>
  <si>
    <t>GOLAP</t>
  </si>
  <si>
    <t>MOBILE NO:</t>
  </si>
  <si>
    <t xml:space="preserve"> STUDENT NAME         :</t>
  </si>
  <si>
    <t xml:space="preserve"> FATHER'S NAME        :</t>
  </si>
  <si>
    <t xml:space="preserve"> MOTHER'S NAME      :</t>
  </si>
  <si>
    <t xml:space="preserve"> CLASS TEACHER       :</t>
  </si>
  <si>
    <t xml:space="preserve"> MOBILE NO.                  :</t>
  </si>
  <si>
    <t xml:space="preserve"> CLASS   :</t>
  </si>
  <si>
    <t xml:space="preserve"> SECTION    :</t>
  </si>
  <si>
    <t>ROLL      :</t>
  </si>
  <si>
    <t>TOTAL STUDENTS  :</t>
  </si>
  <si>
    <t xml:space="preserve">     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</si>
  <si>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1st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</si>
  <si>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r>
      <rPr>
        <sz val="13"/>
        <rFont val="Times New Roman"/>
        <family val="1"/>
      </rPr>
      <t>AMIN CADET RESIDENTIAL ACADEMY
Amin Model Town, Savar Cantonment, Ashulia, Dhaka - 1344.
1ST SEMESTER EXAMINATION TABULATION SHEET- 2025</t>
    </r>
    <r>
      <rPr>
        <sz val="10"/>
        <rFont val="Times New Roman"/>
        <family val="1"/>
      </rPr>
      <t xml:space="preserve">
</t>
    </r>
    <r>
      <rPr>
        <sz val="12"/>
        <rFont val="Times New Roman"/>
        <family val="1"/>
      </rPr>
      <t xml:space="preserve"> CLASS - FIVE (GOLAP)</t>
    </r>
  </si>
  <si>
    <t xml:space="preserve">Afia Syara </t>
  </si>
  <si>
    <t xml:space="preserve">Md. Ali Ahsan </t>
  </si>
  <si>
    <t xml:space="preserve">Mahbuba Akter </t>
  </si>
  <si>
    <t>Raufun Jannati Tanha</t>
  </si>
  <si>
    <t>Md. Mosarruf Hossain</t>
  </si>
  <si>
    <t xml:space="preserve">Rahatunnasa </t>
  </si>
  <si>
    <t>Miraj Abdullah Mridha</t>
  </si>
  <si>
    <t>Md. Shafiqul Islam</t>
  </si>
  <si>
    <t>Bina Akter</t>
  </si>
  <si>
    <t>Redowan Min Alvi</t>
  </si>
  <si>
    <t>Mohammad Ali Ilon</t>
  </si>
  <si>
    <t>Mst. Kalpona Akter</t>
  </si>
  <si>
    <t>Shamiya Rahman Mim</t>
  </si>
  <si>
    <t>Md. Moshiar Rahman</t>
  </si>
  <si>
    <t>Mst. Shabana Khatun</t>
  </si>
  <si>
    <t xml:space="preserve">Mehjabin Islam </t>
  </si>
  <si>
    <t xml:space="preserve">Md. Zahidul Islam </t>
  </si>
  <si>
    <t xml:space="preserve">Karniz Fatema </t>
  </si>
  <si>
    <t>Sayad Mahmud Hasan</t>
  </si>
  <si>
    <t>Abdul Hasan</t>
  </si>
  <si>
    <t>Mousumi Begum</t>
  </si>
  <si>
    <t xml:space="preserve">Jannatul Mawya Nazifa </t>
  </si>
  <si>
    <t>Didarul Alam Patwary</t>
  </si>
  <si>
    <t>Khaleda Akhter</t>
  </si>
  <si>
    <t xml:space="preserve">Alvi Hossain Khan </t>
  </si>
  <si>
    <t xml:space="preserve">Mustafizur Rahman </t>
  </si>
  <si>
    <t xml:space="preserve">Monika Akter </t>
  </si>
  <si>
    <t xml:space="preserve">Md. Jisan Ekbal Sami </t>
  </si>
  <si>
    <t xml:space="preserve">Md. Rakib Mahamud </t>
  </si>
  <si>
    <t xml:space="preserve">Sima Sultana </t>
  </si>
  <si>
    <t>Md. Al-Amin</t>
  </si>
  <si>
    <t>Md. Saiful Islam</t>
  </si>
  <si>
    <t>Mst Shanaz Parvin</t>
  </si>
  <si>
    <t xml:space="preserve">Sakibul Hsassan </t>
  </si>
  <si>
    <t xml:space="preserve">Sobuz Hossain </t>
  </si>
  <si>
    <t xml:space="preserve">Sumona Akter </t>
  </si>
  <si>
    <t>Md. Samin Yeaser</t>
  </si>
  <si>
    <t xml:space="preserve">Md. Salim Hossan </t>
  </si>
  <si>
    <t xml:space="preserve">Mst. Aklima Akter </t>
  </si>
  <si>
    <t xml:space="preserve">Md. Shah Neuwaz </t>
  </si>
  <si>
    <t xml:space="preserve">Md Salim </t>
  </si>
  <si>
    <t xml:space="preserve">Mst. Khaleda Begum </t>
  </si>
  <si>
    <t xml:space="preserve">Md. Raunak Shahriyar Riyan </t>
  </si>
  <si>
    <t xml:space="preserve">Md. Norul Alam </t>
  </si>
  <si>
    <t xml:space="preserve">Rokea Parvin </t>
  </si>
  <si>
    <t xml:space="preserve">Md. Rafsan Talukdar Rhyme </t>
  </si>
  <si>
    <t xml:space="preserve">Md. Ratan Talukder </t>
  </si>
  <si>
    <t xml:space="preserve">Nargis Akter </t>
  </si>
  <si>
    <t>Md. Samiul Khandakar Sami</t>
  </si>
  <si>
    <t xml:space="preserve">Md. Rahim </t>
  </si>
  <si>
    <t xml:space="preserve">Mst. Amina Begum </t>
  </si>
  <si>
    <t xml:space="preserve">Rabbi Hasan </t>
  </si>
  <si>
    <t xml:space="preserve">Arif Hossain Manju </t>
  </si>
  <si>
    <t xml:space="preserve">Rahana Begum </t>
  </si>
  <si>
    <t xml:space="preserve">Atif Ahmed </t>
  </si>
  <si>
    <t xml:space="preserve">Md. Rajib Miya </t>
  </si>
  <si>
    <t xml:space="preserve">Mst. Nazminnahar Shantona </t>
  </si>
  <si>
    <t xml:space="preserve">Raiyan Rabit </t>
  </si>
  <si>
    <t xml:space="preserve">Md. Anwar Hossain </t>
  </si>
  <si>
    <t xml:space="preserve">Runa Akter </t>
  </si>
  <si>
    <t xml:space="preserve">Abu Ibrahim Torab </t>
  </si>
  <si>
    <t xml:space="preserve">Mohammad Layequzzaman </t>
  </si>
  <si>
    <t xml:space="preserve">Taslima Hossin </t>
  </si>
  <si>
    <t xml:space="preserve">Md. Saif </t>
  </si>
  <si>
    <t xml:space="preserve">Md. Jahangir </t>
  </si>
  <si>
    <t xml:space="preserve">Mst. Ruma </t>
  </si>
  <si>
    <t xml:space="preserve">Md. Saimon Hossain Saad </t>
  </si>
  <si>
    <t xml:space="preserve">Selina Akter </t>
  </si>
  <si>
    <t xml:space="preserve">Oli Ullah </t>
  </si>
  <si>
    <t xml:space="preserve">Md. Mofizul Islam </t>
  </si>
  <si>
    <t xml:space="preserve">Mst. Nurunnahar </t>
  </si>
  <si>
    <t xml:space="preserve">Clive Finton Rodrigues </t>
  </si>
  <si>
    <t>Benediet Rony Rodrigues</t>
  </si>
  <si>
    <t>Runa Margaret Rodrigues</t>
  </si>
  <si>
    <t xml:space="preserve">Arafat Ahamed Joy </t>
  </si>
  <si>
    <t xml:space="preserve">Alauddin Ahmed </t>
  </si>
  <si>
    <t xml:space="preserve">Moni Ahammed </t>
  </si>
  <si>
    <t xml:space="preserve">Mohammad Arefin Siddik </t>
  </si>
  <si>
    <t xml:space="preserve">Md. Abdul Malak </t>
  </si>
  <si>
    <t xml:space="preserve">Mst. Aysha Siddika </t>
  </si>
  <si>
    <t xml:space="preserve">Nura Sabiha </t>
  </si>
  <si>
    <t xml:space="preserve">Md. Ishak Ali Molla </t>
  </si>
  <si>
    <t xml:space="preserve">Mst. Hasina Khatun </t>
  </si>
  <si>
    <t xml:space="preserve">Karima Jannat Tonu </t>
  </si>
  <si>
    <t xml:space="preserve">Md. Shariful Islam </t>
  </si>
  <si>
    <t xml:space="preserve">Mursalina </t>
  </si>
  <si>
    <t xml:space="preserve">Asif </t>
  </si>
  <si>
    <t xml:space="preserve">Md. Jamal Hossain </t>
  </si>
  <si>
    <t xml:space="preserve">Asma Akter </t>
  </si>
  <si>
    <t xml:space="preserve">Kaniz Fatema </t>
  </si>
  <si>
    <t xml:space="preserve">Md. Nayem Hossain </t>
  </si>
  <si>
    <t xml:space="preserve">Juthy Akter </t>
  </si>
  <si>
    <t xml:space="preserve">Md. Siyam </t>
  </si>
  <si>
    <t xml:space="preserve">Md. Selim Gazi </t>
  </si>
  <si>
    <t xml:space="preserve">Nasima Akhter </t>
  </si>
  <si>
    <t xml:space="preserve">Mst. Jannati Akter </t>
  </si>
  <si>
    <t xml:space="preserve">Md. Babul Hossain </t>
  </si>
  <si>
    <t xml:space="preserve">Mst. Surma Khatun </t>
  </si>
  <si>
    <t xml:space="preserve">Md. Jubaer Rahman </t>
  </si>
  <si>
    <t xml:space="preserve">Md. Latifur Rahman </t>
  </si>
  <si>
    <t xml:space="preserve">Mst. Nice Akter </t>
  </si>
  <si>
    <t>Arham Nasim Novid</t>
  </si>
  <si>
    <t>Mohammad Nasimul Haque</t>
  </si>
  <si>
    <t xml:space="preserve">Irin Sultana </t>
  </si>
  <si>
    <t>Rafiqul Islam</t>
  </si>
  <si>
    <t xml:space="preserve">Farjana Akter </t>
  </si>
  <si>
    <t>Fujail Hossain</t>
  </si>
  <si>
    <t>ZUBAER AHMAD</t>
  </si>
  <si>
    <t>01782-324744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</si>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</sst>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>
  <numFmts count="1">
    <numFmt numFmtId="164" formatCode="00000\-00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3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name val="Times New Roman"/>
      <family val="1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3" tint="-0.249977111117893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18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2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49" fontId="21" fillId="2" borderId="1" xfId="0" applyNumberFormat="1" applyFont="1" applyFill="1" applyBorder="1" applyAlignment="1">
      <alignment vertical="center" wrapText="1"/>
    </xf>
    <xf numFmtId="0" fontId="26" fillId="2" borderId="0" xfId="0" applyFont="1" applyFill="1" applyAlignment="1">
      <alignment horizontal="center"/>
    </xf>
    <xf numFmtId="0" fontId="27" fillId="0" borderId="0" xfId="0" applyFont="1" applyAlignment="1">
      <alignment wrapText="1"/>
    </xf>
    <xf numFmtId="0" fontId="27" fillId="0" borderId="0" xfId="0" applyFont="1"/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8" fillId="2" borderId="6" xfId="0" applyFont="1" applyFill="1" applyBorder="1" applyAlignment="1">
      <alignment horizontal="left" vertical="center"/>
    </xf>
    <xf numFmtId="0" fontId="30" fillId="2" borderId="6" xfId="0" applyFont="1" applyFill="1" applyBorder="1" applyAlignment="1">
      <alignment vertical="center"/>
    </xf>
    <xf numFmtId="0" fontId="30" fillId="2" borderId="6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34" fillId="2" borderId="9" xfId="0" applyFont="1" applyFill="1" applyBorder="1" applyAlignment="1">
      <alignment horizontal="center"/>
    </xf>
    <xf numFmtId="2" fontId="32" fillId="2" borderId="2" xfId="0" applyNumberFormat="1" applyFont="1" applyFill="1" applyBorder="1" applyAlignment="1">
      <alignment vertical="center"/>
    </xf>
    <xf numFmtId="0" fontId="3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/>
    </xf>
    <xf numFmtId="0" fontId="35" fillId="2" borderId="0" xfId="0" applyFont="1" applyFill="1"/>
    <xf numFmtId="0" fontId="34" fillId="2" borderId="0" xfId="0" applyFont="1" applyFill="1" applyAlignment="1">
      <alignment horizontal="center"/>
    </xf>
    <xf numFmtId="0" fontId="9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left" vertical="center"/>
    </xf>
    <xf numFmtId="0" fontId="34" fillId="2" borderId="10" xfId="0" applyFont="1" applyFill="1" applyBorder="1" applyAlignment="1">
      <alignment vertical="center"/>
    </xf>
    <xf numFmtId="0" fontId="35" fillId="2" borderId="10" xfId="0" applyFont="1" applyFill="1" applyBorder="1" applyAlignment="1">
      <alignment vertical="center"/>
    </xf>
    <xf numFmtId="0" fontId="34" fillId="2" borderId="10" xfId="0" applyFont="1" applyFill="1" applyBorder="1" applyAlignment="1">
      <alignment horizontal="center" vertical="center"/>
    </xf>
    <xf numFmtId="0" fontId="35" fillId="2" borderId="10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right" vertic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26" fillId="2" borderId="1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left" vertical="center"/>
    </xf>
    <xf numFmtId="0" fontId="0" fillId="2" borderId="0" xfId="0" applyFill="1"/>
    <xf numFmtId="0" fontId="26" fillId="2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/>
    </xf>
    <xf numFmtId="0" fontId="27" fillId="2" borderId="10" xfId="0" applyFont="1" applyFill="1" applyBorder="1" applyAlignment="1">
      <alignment wrapText="1"/>
    </xf>
    <xf numFmtId="0" fontId="27" fillId="2" borderId="10" xfId="0" applyFont="1" applyFill="1" applyBorder="1"/>
    <xf numFmtId="0" fontId="0" fillId="2" borderId="10" xfId="0" applyFill="1" applyBorder="1"/>
    <xf numFmtId="0" fontId="26" fillId="2" borderId="1" xfId="0" applyFont="1" applyFill="1" applyBorder="1" applyAlignment="1">
      <alignment horizontal="center" vertical="center"/>
    </xf>
    <xf numFmtId="1" fontId="26" fillId="2" borderId="1" xfId="0" applyNumberFormat="1" applyFont="1" applyFill="1" applyBorder="1" applyAlignment="1">
      <alignment horizontal="center" vertical="center"/>
    </xf>
    <xf numFmtId="2" fontId="26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0" fillId="2" borderId="0" xfId="0" applyNumberFormat="1" applyFill="1"/>
    <xf numFmtId="0" fontId="3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vertical="center"/>
    </xf>
    <xf numFmtId="0" fontId="34" fillId="2" borderId="0" xfId="0" applyFont="1" applyFill="1" applyBorder="1" applyAlignment="1">
      <alignment horizontal="center"/>
    </xf>
    <xf numFmtId="0" fontId="0" fillId="0" borderId="0" xfId="0" applyBorder="1"/>
    <xf numFmtId="0" fontId="37" fillId="2" borderId="0" xfId="0" applyFont="1" applyFill="1" applyBorder="1"/>
    <xf numFmtId="1" fontId="26" fillId="2" borderId="2" xfId="0" applyNumberFormat="1" applyFont="1" applyFill="1" applyBorder="1" applyAlignment="1">
      <alignment horizontal="center" vertical="center"/>
    </xf>
    <xf numFmtId="1" fontId="26" fillId="2" borderId="4" xfId="0" applyNumberFormat="1" applyFont="1" applyFill="1" applyBorder="1" applyAlignment="1">
      <alignment horizontal="center" vertical="center"/>
    </xf>
    <xf numFmtId="1" fontId="26" fillId="2" borderId="3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6" fillId="2" borderId="2" xfId="0" applyFont="1" applyFill="1" applyBorder="1" applyAlignment="1">
      <alignment horizontal="center" vertical="center" wrapText="1"/>
    </xf>
    <xf numFmtId="0" fontId="26" fillId="2" borderId="3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19" fillId="0" borderId="3" xfId="0" applyFont="1" applyBorder="1"/>
    <xf numFmtId="0" fontId="3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8" fillId="2" borderId="12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 wrapText="1"/>
    </xf>
    <xf numFmtId="0" fontId="15" fillId="2" borderId="6" xfId="0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4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right" vertical="center"/>
    </xf>
    <xf numFmtId="0" fontId="23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left" vertical="center"/>
    </xf>
    <xf numFmtId="164" fontId="22" fillId="2" borderId="6" xfId="0" applyNumberFormat="1" applyFont="1" applyFill="1" applyBorder="1" applyAlignment="1">
      <alignment horizontal="left" vertical="center"/>
    </xf>
    <xf numFmtId="0" fontId="12" fillId="2" borderId="3" xfId="0" applyFont="1" applyFill="1" applyBorder="1" applyAlignment="1">
      <alignment horizontal="center" vertical="center" textRotation="90" wrapText="1"/>
    </xf>
    <xf numFmtId="0" fontId="12" fillId="2" borderId="1" xfId="0" applyFont="1" applyFill="1" applyBorder="1" applyAlignment="1">
      <alignment horizontal="center" vertical="center" textRotation="90" wrapText="1"/>
    </xf>
    <xf numFmtId="0" fontId="12" fillId="2" borderId="3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textRotation="90"/>
    </xf>
    <xf numFmtId="0" fontId="12" fillId="2" borderId="1" xfId="0" applyFont="1" applyFill="1" applyBorder="1" applyAlignment="1">
      <alignment horizontal="center" vertical="center" textRotation="90"/>
    </xf>
    <xf numFmtId="0" fontId="24" fillId="2" borderId="3" xfId="0" applyFont="1" applyFill="1" applyBorder="1" applyAlignment="1">
      <alignment horizontal="center" vertical="center" textRotation="90" wrapText="1"/>
    </xf>
    <xf numFmtId="0" fontId="24" fillId="2" borderId="1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74544</xdr:colOff>
      <xdr:row>0</xdr:row>
      <xdr:rowOff>49695</xdr:rowOff>
    </xdr:from>
    <xdr:to>
      <xdr:col>15</xdr:col>
      <xdr:colOff>24849</xdr:colOff>
      <xdr:row>3</xdr:row>
      <xdr:rowOff>147600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D17D4296-7749-4D43-83AF-F7074890D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232914" y="49695"/>
          <a:ext cx="662609" cy="75223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</xdr:row>
      <xdr:rowOff>28575</xdr:rowOff>
    </xdr:from>
    <xdr:to>
      <xdr:col>1</xdr:col>
      <xdr:colOff>1097774</xdr:colOff>
      <xdr:row>5</xdr:row>
      <xdr:rowOff>190500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FFD0ACAB-473B-4203-849F-C382E706A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581025</xdr:colOff>
      <xdr:row>33</xdr:row>
      <xdr:rowOff>172151</xdr:rowOff>
    </xdr:from>
    <xdr:to>
      <xdr:col>5</xdr:col>
      <xdr:colOff>115730</xdr:colOff>
      <xdr:row>35</xdr:row>
      <xdr:rowOff>13908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A30EED9F-692C-49CB-9D00-5DDE3891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647950" y="9697151"/>
          <a:ext cx="811055" cy="318007"/>
        </a:xfrm>
        <a:prstGeom prst="rect">
          <a:avLst/>
        </a:prstGeom>
      </xdr:spPr>
    </xdr:pic>
    <xdr:clientData/>
  </xdr:twoCellAnchor>
  <xdr:twoCellAnchor editAs="oneCell">
    <xdr:from>
      <xdr:col>9</xdr:col>
      <xdr:colOff>150528</xdr:colOff>
      <xdr:row>33</xdr:row>
      <xdr:rowOff>133350</xdr:rowOff>
    </xdr:from>
    <xdr:to>
      <xdr:col>11</xdr:col>
      <xdr:colOff>246802</xdr:colOff>
      <xdr:row>34</xdr:row>
      <xdr:rowOff>189955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FCECC9E-08BD-4802-8730-B6CFDB408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5532937" y="9362291"/>
          <a:ext cx="342355" cy="934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X45"/>
  <sheetViews>
    <sheetView tabSelected="1" workbookViewId="0">
      <selection activeCell="C36" sqref="C36"/>
    </sheetView>
  </sheetViews>
  <sheetFormatPr defaultRowHeight="15"/>
  <cols>
    <col min="1" max="1" width="3" customWidth="1"/>
    <col min="2" max="2" width="4.42578125" style="12" customWidth="1"/>
    <col min="3" max="3" width="23.7109375" style="13" bestFit="1" customWidth="1"/>
    <col min="4" max="4" width="25" style="13" bestFit="1" customWidth="1"/>
    <col min="5" max="5" width="23.42578125" style="13" bestFit="1" customWidth="1"/>
    <col min="6" max="49" width="5.28515625" customWidth="1"/>
    <col min="50" max="50" width="17.42578125" bestFit="1" customWidth="1"/>
  </cols>
  <sheetData>
    <row r="1" spans="1:50" ht="15.75" customHeight="1">
      <c r="A1" s="81" t="s">
        <v>57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</row>
    <row r="2" spans="1:50" ht="21" customHeight="1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</row>
    <row r="3" spans="1:50" ht="15" customHeight="1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</row>
    <row r="4" spans="1:50" ht="15.75" customHeight="1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</row>
    <row r="5" spans="1:50" s="8" customFormat="1" ht="12.75" customHeight="1">
      <c r="A5" s="70" t="s">
        <v>24</v>
      </c>
      <c r="B5" s="70"/>
      <c r="C5" s="70"/>
      <c r="D5" s="7" t="s">
        <v>41</v>
      </c>
      <c r="E5" s="70" t="s">
        <v>25</v>
      </c>
      <c r="F5" s="70"/>
      <c r="G5" s="70"/>
      <c r="H5" s="70" t="s">
        <v>165</v>
      </c>
      <c r="I5" s="70"/>
      <c r="J5" s="70"/>
      <c r="K5" s="70"/>
      <c r="L5" s="70"/>
      <c r="M5" s="70"/>
      <c r="N5" s="9"/>
      <c r="O5" s="70" t="s">
        <v>26</v>
      </c>
      <c r="P5" s="70"/>
      <c r="Q5" s="70"/>
      <c r="R5" s="70"/>
      <c r="S5" s="70" t="s">
        <v>44</v>
      </c>
      <c r="T5" s="70"/>
      <c r="U5" s="70"/>
      <c r="V5" s="9"/>
      <c r="W5" s="70" t="s">
        <v>27</v>
      </c>
      <c r="X5" s="70"/>
      <c r="Y5" s="70"/>
      <c r="Z5" s="70"/>
      <c r="AA5" s="70"/>
      <c r="AB5" s="7"/>
      <c r="AC5" s="7">
        <v>71</v>
      </c>
      <c r="AD5" s="9"/>
      <c r="AE5" s="70" t="s">
        <v>45</v>
      </c>
      <c r="AF5" s="70"/>
      <c r="AG5" s="70"/>
      <c r="AH5" s="70"/>
      <c r="AI5" s="87" t="s">
        <v>166</v>
      </c>
      <c r="AJ5" s="87"/>
      <c r="AK5" s="87"/>
      <c r="AL5" s="87"/>
      <c r="AM5" s="87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</row>
    <row r="6" spans="1:50" s="4" customFormat="1" ht="24.75" customHeight="1">
      <c r="A6" s="75" t="s">
        <v>0</v>
      </c>
      <c r="B6" s="73" t="s">
        <v>1</v>
      </c>
      <c r="C6" s="73" t="s">
        <v>2</v>
      </c>
      <c r="D6" s="71" t="s">
        <v>30</v>
      </c>
      <c r="E6" s="71" t="s">
        <v>31</v>
      </c>
      <c r="F6" s="74" t="s">
        <v>33</v>
      </c>
      <c r="G6" s="74"/>
      <c r="H6" s="79" t="s">
        <v>32</v>
      </c>
      <c r="I6" s="80"/>
      <c r="J6" s="76" t="s">
        <v>3</v>
      </c>
      <c r="K6" s="75" t="s">
        <v>4</v>
      </c>
      <c r="L6" s="75" t="s">
        <v>5</v>
      </c>
      <c r="M6" s="74" t="s">
        <v>13</v>
      </c>
      <c r="N6" s="74"/>
      <c r="O6" s="74" t="s">
        <v>14</v>
      </c>
      <c r="P6" s="74"/>
      <c r="Q6" s="75" t="s">
        <v>3</v>
      </c>
      <c r="R6" s="75" t="s">
        <v>4</v>
      </c>
      <c r="S6" s="75" t="s">
        <v>5</v>
      </c>
      <c r="T6" s="74" t="s">
        <v>15</v>
      </c>
      <c r="U6" s="74"/>
      <c r="V6" s="74"/>
      <c r="W6" s="74"/>
      <c r="X6" s="74"/>
      <c r="Y6" s="74" t="s">
        <v>7</v>
      </c>
      <c r="Z6" s="74"/>
      <c r="AA6" s="74"/>
      <c r="AB6" s="74"/>
      <c r="AC6" s="74"/>
      <c r="AD6" s="74" t="s">
        <v>8</v>
      </c>
      <c r="AE6" s="74"/>
      <c r="AF6" s="74"/>
      <c r="AG6" s="74"/>
      <c r="AH6" s="74"/>
      <c r="AI6" s="79" t="s">
        <v>9</v>
      </c>
      <c r="AJ6" s="80"/>
      <c r="AK6" s="80"/>
      <c r="AL6" s="80"/>
      <c r="AM6" s="88"/>
      <c r="AN6" s="89" t="s">
        <v>40</v>
      </c>
      <c r="AO6" s="89"/>
      <c r="AP6" s="89"/>
      <c r="AQ6" s="89"/>
      <c r="AR6" s="89"/>
      <c r="AS6" s="75" t="s">
        <v>10</v>
      </c>
      <c r="AT6" s="76" t="s">
        <v>11</v>
      </c>
      <c r="AU6" s="75" t="s">
        <v>17</v>
      </c>
      <c r="AV6" s="75" t="s">
        <v>16</v>
      </c>
      <c r="AW6" s="67" t="s">
        <v>28</v>
      </c>
      <c r="AX6" s="69" t="s">
        <v>29</v>
      </c>
    </row>
    <row r="7" spans="1:50" s="6" customFormat="1" ht="29.25" customHeight="1">
      <c r="A7" s="75"/>
      <c r="B7" s="71"/>
      <c r="C7" s="73"/>
      <c r="D7" s="72"/>
      <c r="E7" s="72"/>
      <c r="F7" s="3" t="s">
        <v>12</v>
      </c>
      <c r="G7" s="5" t="s">
        <v>6</v>
      </c>
      <c r="H7" s="3" t="s">
        <v>12</v>
      </c>
      <c r="I7" s="5" t="s">
        <v>6</v>
      </c>
      <c r="J7" s="77"/>
      <c r="K7" s="75"/>
      <c r="L7" s="75"/>
      <c r="M7" s="5" t="s">
        <v>12</v>
      </c>
      <c r="N7" s="5" t="s">
        <v>6</v>
      </c>
      <c r="O7" s="5" t="s">
        <v>12</v>
      </c>
      <c r="P7" s="5" t="s">
        <v>6</v>
      </c>
      <c r="Q7" s="75"/>
      <c r="R7" s="75"/>
      <c r="S7" s="75"/>
      <c r="T7" s="3" t="s">
        <v>12</v>
      </c>
      <c r="U7" s="5" t="s">
        <v>6</v>
      </c>
      <c r="V7" s="3" t="s">
        <v>3</v>
      </c>
      <c r="W7" s="3" t="s">
        <v>4</v>
      </c>
      <c r="X7" s="3" t="s">
        <v>5</v>
      </c>
      <c r="Y7" s="3" t="s">
        <v>12</v>
      </c>
      <c r="Z7" s="5" t="s">
        <v>6</v>
      </c>
      <c r="AA7" s="3" t="s">
        <v>3</v>
      </c>
      <c r="AB7" s="3" t="s">
        <v>4</v>
      </c>
      <c r="AC7" s="3" t="s">
        <v>5</v>
      </c>
      <c r="AD7" s="3" t="s">
        <v>12</v>
      </c>
      <c r="AE7" s="5" t="s">
        <v>6</v>
      </c>
      <c r="AF7" s="3" t="s">
        <v>3</v>
      </c>
      <c r="AG7" s="3" t="s">
        <v>4</v>
      </c>
      <c r="AH7" s="3" t="s">
        <v>5</v>
      </c>
      <c r="AI7" s="3" t="s">
        <v>12</v>
      </c>
      <c r="AJ7" s="5" t="s">
        <v>6</v>
      </c>
      <c r="AK7" s="3" t="s">
        <v>3</v>
      </c>
      <c r="AL7" s="3" t="s">
        <v>4</v>
      </c>
      <c r="AM7" s="3" t="s">
        <v>5</v>
      </c>
      <c r="AN7" s="5" t="s">
        <v>12</v>
      </c>
      <c r="AO7" s="5" t="s">
        <v>6</v>
      </c>
      <c r="AP7" s="3" t="s">
        <v>3</v>
      </c>
      <c r="AQ7" s="3" t="s">
        <v>4</v>
      </c>
      <c r="AR7" s="3" t="s">
        <v>5</v>
      </c>
      <c r="AS7" s="75"/>
      <c r="AT7" s="78"/>
      <c r="AU7" s="75"/>
      <c r="AV7" s="75"/>
      <c r="AW7" s="68"/>
      <c r="AX7" s="69"/>
    </row>
    <row r="8" spans="1:50" s="47" customFormat="1" ht="12" customHeight="1">
      <c r="A8" s="41">
        <v>1</v>
      </c>
      <c r="B8" s="45">
        <v>1</v>
      </c>
      <c r="C8" s="46" t="s">
        <v>58</v>
      </c>
      <c r="D8" s="46" t="s">
        <v>59</v>
      </c>
      <c r="E8" s="46" t="s">
        <v>60</v>
      </c>
      <c r="F8" s="54">
        <v>20</v>
      </c>
      <c r="G8" s="54">
        <v>74</v>
      </c>
      <c r="H8" s="54">
        <v>10</v>
      </c>
      <c r="I8" s="54">
        <v>40</v>
      </c>
      <c r="J8" s="55">
        <f>I8+H8+G8+F8</f>
        <v>144</v>
      </c>
      <c r="K8" s="54">
        <f>IF(J8&lt;60,"F",IF(J8&lt;75,2,IF(J8&lt;90,3,IF(J8&lt;105,3.5,IF(J8&lt;120,4,5)))))</f>
        <v>5</v>
      </c>
      <c r="L8" s="64">
        <f>MAX(J8:J43)</f>
        <v>146</v>
      </c>
      <c r="M8" s="54">
        <v>20</v>
      </c>
      <c r="N8" s="54">
        <v>78</v>
      </c>
      <c r="O8" s="54">
        <v>10</v>
      </c>
      <c r="P8" s="54">
        <v>39</v>
      </c>
      <c r="Q8" s="55">
        <f t="shared" ref="Q8:Q27" si="0">M8+N8+O8+P8</f>
        <v>147</v>
      </c>
      <c r="R8" s="54">
        <f>IF(Q8&lt;60,"F",IF(Q8&lt;75,2,IF(Q8&lt;90,3,IF(Q8&lt;105,3.5,IF(Q8&lt;120,4,5)))))</f>
        <v>5</v>
      </c>
      <c r="S8" s="64">
        <f>MAX(Q8:Q43)</f>
        <v>147</v>
      </c>
      <c r="T8" s="54">
        <v>19</v>
      </c>
      <c r="U8" s="54">
        <v>74</v>
      </c>
      <c r="V8" s="55">
        <f>SUM(T8+U8)</f>
        <v>93</v>
      </c>
      <c r="W8" s="54">
        <f>IF(V8&lt;40,"F",IF(V8&lt;50,2,IF(V8&lt;60,3,IF(V8&lt;70,3.5,IF(V8&lt;80,4,5)))))</f>
        <v>5</v>
      </c>
      <c r="X8" s="64">
        <f>MAX(V8:V43)</f>
        <v>93</v>
      </c>
      <c r="Y8" s="54">
        <v>20</v>
      </c>
      <c r="Z8" s="54">
        <v>78</v>
      </c>
      <c r="AA8" s="55">
        <f t="shared" ref="AA8:AA43" si="1">Y8+Z8</f>
        <v>98</v>
      </c>
      <c r="AB8" s="54">
        <f>IF(AA8&lt;40,"F",IF(AA8&lt;50,2,IF(AA8&lt;60,3,IF(AA8&lt;70,3.5,IF(AA8&lt;80,4,5)))))</f>
        <v>5</v>
      </c>
      <c r="AC8" s="64">
        <f>MAX(AA8:AA43)</f>
        <v>100</v>
      </c>
      <c r="AD8" s="54">
        <v>20</v>
      </c>
      <c r="AE8" s="54">
        <v>78</v>
      </c>
      <c r="AF8" s="55">
        <f t="shared" ref="AF8:AF27" si="2">AD8+AE8</f>
        <v>98</v>
      </c>
      <c r="AG8" s="54">
        <f>IF(AF8&lt;40,"F",IF(AF8&lt;50,2,IF(AF8&lt;60,3,IF(AF8&lt;70,3.5,IF(AF8&lt;80,4,5)))))</f>
        <v>5</v>
      </c>
      <c r="AH8" s="64">
        <f>MAX(AF8:AF43)</f>
        <v>98</v>
      </c>
      <c r="AI8" s="54">
        <v>20</v>
      </c>
      <c r="AJ8" s="54">
        <v>79</v>
      </c>
      <c r="AK8" s="55">
        <f t="shared" ref="AK8:AK27" si="3">AI8+AJ8</f>
        <v>99</v>
      </c>
      <c r="AL8" s="54">
        <f>IF(AK8&lt;40,"F",IF(AK8&lt;50,2,IF(AK8&lt;60,3,IF(AK8&lt;70,3.5,IF(AK8&lt;80,4,5)))))</f>
        <v>5</v>
      </c>
      <c r="AM8" s="64">
        <f>MAX(AK8:AK43)</f>
        <v>99</v>
      </c>
      <c r="AN8" s="54"/>
      <c r="AO8" s="54">
        <v>47</v>
      </c>
      <c r="AP8" s="55">
        <f>AO8</f>
        <v>47</v>
      </c>
      <c r="AQ8" s="54">
        <f>IF(AP8&lt;20,"F",IF(AP8&lt;25,2,IF(AP8&lt;30,3,IF(AP8&lt;35,3.5,IF(AP8&lt;40,4,5)))))</f>
        <v>5</v>
      </c>
      <c r="AR8" s="64">
        <f>MAX(AP8:AP43)</f>
        <v>47</v>
      </c>
      <c r="AS8" s="54">
        <f t="shared" ref="AS8:AS27" si="4">IF(K8="F","F",IF(R8="F","F",IF(W8="F","F",IF(AB8="F","F",IF(AG8="F","F",IF(AL8="F","F",IF(AQ8="F","F",SUM(K8,R8,W8,AB8,AG8,AL8,AQ8))))))))</f>
        <v>35</v>
      </c>
      <c r="AT8" s="56">
        <f>IF(AS8="F","F", IF(AS8&gt;=35,5,IF(AS8&lt;35,AS8/7)))</f>
        <v>5</v>
      </c>
      <c r="AU8" s="55">
        <f>J8+Q8+V8+AA8+AF8+AK8</f>
        <v>679</v>
      </c>
      <c r="AV8" s="1">
        <v>1</v>
      </c>
      <c r="AW8" s="1">
        <v>69</v>
      </c>
      <c r="AX8" s="57" t="str">
        <f t="shared" ref="AX8:AX27" si="5">IF(AT8="F","NEED TO PROGRESS",IF(AT8&gt;=5,"BEST",IF(AT8&gt;=4,"BETTER",IF(AT8&gt;2,"GOOD"))))</f>
        <v>BEST</v>
      </c>
    </row>
    <row r="9" spans="1:50" s="47" customFormat="1" ht="12" customHeight="1">
      <c r="A9" s="41">
        <v>2</v>
      </c>
      <c r="B9" s="45">
        <v>5</v>
      </c>
      <c r="C9" s="46" t="s">
        <v>61</v>
      </c>
      <c r="D9" s="46" t="s">
        <v>62</v>
      </c>
      <c r="E9" s="46" t="s">
        <v>63</v>
      </c>
      <c r="F9" s="54">
        <v>20</v>
      </c>
      <c r="G9" s="54">
        <v>74</v>
      </c>
      <c r="H9" s="54">
        <v>9</v>
      </c>
      <c r="I9" s="54">
        <v>39</v>
      </c>
      <c r="J9" s="55">
        <f t="shared" ref="J9:J27" si="6">I9+H9+G9+F9</f>
        <v>142</v>
      </c>
      <c r="K9" s="54">
        <f t="shared" ref="K9:K27" si="7">IF(J9&lt;60,"F",IF(J9&lt;75,2,IF(J9&lt;90,3,IF(J9&lt;105,3.5,IF(J9&lt;120,4,5)))))</f>
        <v>5</v>
      </c>
      <c r="L9" s="65"/>
      <c r="M9" s="54">
        <v>20</v>
      </c>
      <c r="N9" s="54">
        <v>76</v>
      </c>
      <c r="O9" s="54">
        <v>10</v>
      </c>
      <c r="P9" s="54">
        <v>38</v>
      </c>
      <c r="Q9" s="55">
        <f t="shared" si="0"/>
        <v>144</v>
      </c>
      <c r="R9" s="54">
        <f t="shared" ref="R9:R27" si="8">IF(Q9&lt;60,"F",IF(Q9&lt;75,2,IF(Q9&lt;90,3,IF(Q9&lt;105,3.5,IF(Q9&lt;120,4,5)))))</f>
        <v>5</v>
      </c>
      <c r="S9" s="65"/>
      <c r="T9" s="54">
        <v>17</v>
      </c>
      <c r="U9" s="54">
        <v>56</v>
      </c>
      <c r="V9" s="55">
        <f t="shared" ref="V9:V27" si="9">SUM(T9+U9)</f>
        <v>73</v>
      </c>
      <c r="W9" s="54">
        <f t="shared" ref="W9:W27" si="10">IF(V9&lt;40,"F",IF(V9&lt;50,2,IF(V9&lt;60,3,IF(V9&lt;70,3.5,IF(V9&lt;80,4,5)))))</f>
        <v>4</v>
      </c>
      <c r="X9" s="65"/>
      <c r="Y9" s="54">
        <v>20</v>
      </c>
      <c r="Z9" s="54">
        <v>78</v>
      </c>
      <c r="AA9" s="55">
        <f t="shared" si="1"/>
        <v>98</v>
      </c>
      <c r="AB9" s="54">
        <f t="shared" ref="AB9:AB27" si="11">IF(AA9&lt;40,"F",IF(AA9&lt;50,2,IF(AA9&lt;60,3,IF(AA9&lt;70,3.5,IF(AA9&lt;80,4,5)))))</f>
        <v>5</v>
      </c>
      <c r="AC9" s="65"/>
      <c r="AD9" s="54">
        <v>17</v>
      </c>
      <c r="AE9" s="54">
        <v>66</v>
      </c>
      <c r="AF9" s="55">
        <f t="shared" si="2"/>
        <v>83</v>
      </c>
      <c r="AG9" s="54">
        <f t="shared" ref="AG9:AG27" si="12">IF(AF9&lt;40,"F",IF(AF9&lt;50,2,IF(AF9&lt;60,3,IF(AF9&lt;70,3.5,IF(AF9&lt;80,4,5)))))</f>
        <v>5</v>
      </c>
      <c r="AH9" s="65"/>
      <c r="AI9" s="54">
        <v>20</v>
      </c>
      <c r="AJ9" s="54">
        <v>76</v>
      </c>
      <c r="AK9" s="55">
        <f t="shared" si="3"/>
        <v>96</v>
      </c>
      <c r="AL9" s="54">
        <f t="shared" ref="AL9:AL27" si="13">IF(AK9&lt;40,"F",IF(AK9&lt;50,2,IF(AK9&lt;60,3,IF(AK9&lt;70,3.5,IF(AK9&lt;80,4,5)))))</f>
        <v>5</v>
      </c>
      <c r="AM9" s="65"/>
      <c r="AN9" s="54"/>
      <c r="AO9" s="54">
        <v>43</v>
      </c>
      <c r="AP9" s="55">
        <f t="shared" ref="AP9:AP27" si="14">AO9</f>
        <v>43</v>
      </c>
      <c r="AQ9" s="54">
        <f t="shared" ref="AQ9:AQ27" si="15">IF(AP9&lt;20,"F",IF(AP9&lt;25,2,IF(AP9&lt;30,3,IF(AP9&lt;35,3.5,IF(AP9&lt;40,4,5)))))</f>
        <v>5</v>
      </c>
      <c r="AR9" s="65"/>
      <c r="AS9" s="54">
        <f t="shared" si="4"/>
        <v>34</v>
      </c>
      <c r="AT9" s="56">
        <f t="shared" ref="AT9:AT27" si="16">IF(AS9="F","F", IF(AS9&gt;=35,5,IF(AS9&lt;35,AS9/7)))</f>
        <v>4.8571428571428568</v>
      </c>
      <c r="AU9" s="55">
        <f t="shared" ref="AU9:AU39" si="17">J9+Q9+V9+AA9+AF9+AK9</f>
        <v>636</v>
      </c>
      <c r="AV9" s="1">
        <v>7</v>
      </c>
      <c r="AW9" s="1">
        <v>69</v>
      </c>
      <c r="AX9" s="57" t="str">
        <f t="shared" si="5"/>
        <v>BETTER</v>
      </c>
    </row>
    <row r="10" spans="1:50" s="47" customFormat="1" ht="12" customHeight="1">
      <c r="A10" s="41">
        <v>3</v>
      </c>
      <c r="B10" s="45">
        <v>11</v>
      </c>
      <c r="C10" s="46" t="s">
        <v>64</v>
      </c>
      <c r="D10" s="46" t="s">
        <v>65</v>
      </c>
      <c r="E10" s="46" t="s">
        <v>66</v>
      </c>
      <c r="F10" s="54">
        <v>18</v>
      </c>
      <c r="G10" s="54">
        <v>65</v>
      </c>
      <c r="H10" s="54">
        <v>9</v>
      </c>
      <c r="I10" s="54">
        <v>37</v>
      </c>
      <c r="J10" s="55">
        <f t="shared" si="6"/>
        <v>129</v>
      </c>
      <c r="K10" s="54">
        <f t="shared" si="7"/>
        <v>5</v>
      </c>
      <c r="L10" s="65"/>
      <c r="M10" s="54">
        <v>20</v>
      </c>
      <c r="N10" s="54">
        <v>60</v>
      </c>
      <c r="O10" s="54">
        <v>9</v>
      </c>
      <c r="P10" s="54">
        <v>32</v>
      </c>
      <c r="Q10" s="55">
        <f t="shared" si="0"/>
        <v>121</v>
      </c>
      <c r="R10" s="54">
        <f t="shared" si="8"/>
        <v>5</v>
      </c>
      <c r="S10" s="65"/>
      <c r="T10" s="54">
        <v>10</v>
      </c>
      <c r="U10" s="54">
        <v>58</v>
      </c>
      <c r="V10" s="55">
        <f t="shared" si="9"/>
        <v>68</v>
      </c>
      <c r="W10" s="54">
        <f t="shared" si="10"/>
        <v>3.5</v>
      </c>
      <c r="X10" s="65"/>
      <c r="Y10" s="54">
        <v>18</v>
      </c>
      <c r="Z10" s="54">
        <v>73</v>
      </c>
      <c r="AA10" s="55">
        <f t="shared" si="1"/>
        <v>91</v>
      </c>
      <c r="AB10" s="54">
        <f t="shared" si="11"/>
        <v>5</v>
      </c>
      <c r="AC10" s="65"/>
      <c r="AD10" s="54">
        <v>14</v>
      </c>
      <c r="AE10" s="54">
        <v>68</v>
      </c>
      <c r="AF10" s="55">
        <f t="shared" si="2"/>
        <v>82</v>
      </c>
      <c r="AG10" s="54">
        <f t="shared" si="12"/>
        <v>5</v>
      </c>
      <c r="AH10" s="65"/>
      <c r="AI10" s="54">
        <v>17</v>
      </c>
      <c r="AJ10" s="54">
        <v>70</v>
      </c>
      <c r="AK10" s="55">
        <f t="shared" si="3"/>
        <v>87</v>
      </c>
      <c r="AL10" s="54">
        <f t="shared" si="13"/>
        <v>5</v>
      </c>
      <c r="AM10" s="65"/>
      <c r="AN10" s="54"/>
      <c r="AO10" s="54">
        <v>29</v>
      </c>
      <c r="AP10" s="55">
        <f t="shared" si="14"/>
        <v>29</v>
      </c>
      <c r="AQ10" s="54">
        <f t="shared" si="15"/>
        <v>3</v>
      </c>
      <c r="AR10" s="65"/>
      <c r="AS10" s="54">
        <f t="shared" si="4"/>
        <v>31.5</v>
      </c>
      <c r="AT10" s="56">
        <f t="shared" si="16"/>
        <v>4.5</v>
      </c>
      <c r="AU10" s="55">
        <f t="shared" si="17"/>
        <v>578</v>
      </c>
      <c r="AV10" s="1">
        <v>25</v>
      </c>
      <c r="AW10" s="1">
        <v>66</v>
      </c>
      <c r="AX10" s="57" t="str">
        <f t="shared" si="5"/>
        <v>BETTER</v>
      </c>
    </row>
    <row r="11" spans="1:50" s="47" customFormat="1" ht="12" customHeight="1">
      <c r="A11" s="41">
        <v>4</v>
      </c>
      <c r="B11" s="45">
        <v>13</v>
      </c>
      <c r="C11" s="46" t="s">
        <v>67</v>
      </c>
      <c r="D11" s="46" t="s">
        <v>68</v>
      </c>
      <c r="E11" s="46" t="s">
        <v>69</v>
      </c>
      <c r="F11" s="54">
        <v>19</v>
      </c>
      <c r="G11" s="54">
        <v>64</v>
      </c>
      <c r="H11" s="54">
        <v>7</v>
      </c>
      <c r="I11" s="54">
        <v>38</v>
      </c>
      <c r="J11" s="55">
        <f t="shared" si="6"/>
        <v>128</v>
      </c>
      <c r="K11" s="54">
        <f t="shared" si="7"/>
        <v>5</v>
      </c>
      <c r="L11" s="65"/>
      <c r="M11" s="54">
        <v>18</v>
      </c>
      <c r="N11" s="54">
        <v>61</v>
      </c>
      <c r="O11" s="54">
        <v>9</v>
      </c>
      <c r="P11" s="54">
        <v>34</v>
      </c>
      <c r="Q11" s="55">
        <f t="shared" si="0"/>
        <v>122</v>
      </c>
      <c r="R11" s="54">
        <f t="shared" si="8"/>
        <v>5</v>
      </c>
      <c r="S11" s="65"/>
      <c r="T11" s="54">
        <v>12</v>
      </c>
      <c r="U11" s="54">
        <v>52</v>
      </c>
      <c r="V11" s="55">
        <f t="shared" si="9"/>
        <v>64</v>
      </c>
      <c r="W11" s="54">
        <f t="shared" si="10"/>
        <v>3.5</v>
      </c>
      <c r="X11" s="65"/>
      <c r="Y11" s="54">
        <v>17</v>
      </c>
      <c r="Z11" s="54">
        <v>76</v>
      </c>
      <c r="AA11" s="55">
        <f t="shared" si="1"/>
        <v>93</v>
      </c>
      <c r="AB11" s="54">
        <f t="shared" si="11"/>
        <v>5</v>
      </c>
      <c r="AC11" s="65"/>
      <c r="AD11" s="54">
        <v>14</v>
      </c>
      <c r="AE11" s="54">
        <v>67</v>
      </c>
      <c r="AF11" s="55">
        <f t="shared" si="2"/>
        <v>81</v>
      </c>
      <c r="AG11" s="54">
        <f t="shared" si="12"/>
        <v>5</v>
      </c>
      <c r="AH11" s="65"/>
      <c r="AI11" s="54">
        <v>20</v>
      </c>
      <c r="AJ11" s="54">
        <v>77</v>
      </c>
      <c r="AK11" s="55">
        <f t="shared" si="3"/>
        <v>97</v>
      </c>
      <c r="AL11" s="54">
        <f t="shared" si="13"/>
        <v>5</v>
      </c>
      <c r="AM11" s="65"/>
      <c r="AN11" s="54"/>
      <c r="AO11" s="54">
        <v>40</v>
      </c>
      <c r="AP11" s="55">
        <f t="shared" si="14"/>
        <v>40</v>
      </c>
      <c r="AQ11" s="54">
        <f t="shared" si="15"/>
        <v>5</v>
      </c>
      <c r="AR11" s="65"/>
      <c r="AS11" s="54">
        <f t="shared" si="4"/>
        <v>33.5</v>
      </c>
      <c r="AT11" s="56">
        <f t="shared" si="16"/>
        <v>4.7857142857142856</v>
      </c>
      <c r="AU11" s="55">
        <f t="shared" si="17"/>
        <v>585</v>
      </c>
      <c r="AV11" s="1">
        <v>22</v>
      </c>
      <c r="AW11" s="1">
        <v>55</v>
      </c>
      <c r="AX11" s="57" t="str">
        <f t="shared" si="5"/>
        <v>BETTER</v>
      </c>
    </row>
    <row r="12" spans="1:50" s="47" customFormat="1" ht="12" customHeight="1">
      <c r="A12" s="41">
        <v>5</v>
      </c>
      <c r="B12" s="45">
        <v>19</v>
      </c>
      <c r="C12" s="46" t="s">
        <v>70</v>
      </c>
      <c r="D12" s="46" t="s">
        <v>71</v>
      </c>
      <c r="E12" s="46" t="s">
        <v>72</v>
      </c>
      <c r="F12" s="54">
        <v>20</v>
      </c>
      <c r="G12" s="54">
        <v>65</v>
      </c>
      <c r="H12" s="54">
        <v>10</v>
      </c>
      <c r="I12" s="54">
        <v>32</v>
      </c>
      <c r="J12" s="55">
        <f t="shared" si="6"/>
        <v>127</v>
      </c>
      <c r="K12" s="54">
        <f t="shared" si="7"/>
        <v>5</v>
      </c>
      <c r="L12" s="65"/>
      <c r="M12" s="54">
        <v>20</v>
      </c>
      <c r="N12" s="54">
        <v>56</v>
      </c>
      <c r="O12" s="54">
        <v>10</v>
      </c>
      <c r="P12" s="54">
        <v>38</v>
      </c>
      <c r="Q12" s="55">
        <f t="shared" si="0"/>
        <v>124</v>
      </c>
      <c r="R12" s="54">
        <f t="shared" si="8"/>
        <v>5</v>
      </c>
      <c r="S12" s="65"/>
      <c r="T12" s="54">
        <v>13</v>
      </c>
      <c r="U12" s="54">
        <v>67</v>
      </c>
      <c r="V12" s="55">
        <f t="shared" si="9"/>
        <v>80</v>
      </c>
      <c r="W12" s="54">
        <f t="shared" si="10"/>
        <v>5</v>
      </c>
      <c r="X12" s="65"/>
      <c r="Y12" s="54">
        <v>17</v>
      </c>
      <c r="Z12" s="54">
        <v>67</v>
      </c>
      <c r="AA12" s="55">
        <f t="shared" si="1"/>
        <v>84</v>
      </c>
      <c r="AB12" s="54">
        <f t="shared" si="11"/>
        <v>5</v>
      </c>
      <c r="AC12" s="65"/>
      <c r="AD12" s="54">
        <v>17</v>
      </c>
      <c r="AE12" s="54">
        <v>57</v>
      </c>
      <c r="AF12" s="55">
        <f t="shared" si="2"/>
        <v>74</v>
      </c>
      <c r="AG12" s="54">
        <f t="shared" si="12"/>
        <v>4</v>
      </c>
      <c r="AH12" s="65"/>
      <c r="AI12" s="54">
        <v>20</v>
      </c>
      <c r="AJ12" s="54">
        <v>70</v>
      </c>
      <c r="AK12" s="55">
        <f t="shared" si="3"/>
        <v>90</v>
      </c>
      <c r="AL12" s="54">
        <f t="shared" si="13"/>
        <v>5</v>
      </c>
      <c r="AM12" s="65"/>
      <c r="AN12" s="54"/>
      <c r="AO12" s="54">
        <v>44</v>
      </c>
      <c r="AP12" s="55">
        <f t="shared" si="14"/>
        <v>44</v>
      </c>
      <c r="AQ12" s="54">
        <f t="shared" si="15"/>
        <v>5</v>
      </c>
      <c r="AR12" s="65"/>
      <c r="AS12" s="54">
        <f t="shared" si="4"/>
        <v>34</v>
      </c>
      <c r="AT12" s="56">
        <f t="shared" si="16"/>
        <v>4.8571428571428568</v>
      </c>
      <c r="AU12" s="55">
        <f t="shared" si="17"/>
        <v>579</v>
      </c>
      <c r="AV12" s="1">
        <v>24</v>
      </c>
      <c r="AW12" s="1">
        <v>65</v>
      </c>
      <c r="AX12" s="57" t="str">
        <f t="shared" si="5"/>
        <v>BETTER</v>
      </c>
    </row>
    <row r="13" spans="1:50" s="47" customFormat="1" ht="12" customHeight="1">
      <c r="A13" s="41">
        <v>6</v>
      </c>
      <c r="B13" s="45">
        <v>21</v>
      </c>
      <c r="C13" s="46" t="s">
        <v>73</v>
      </c>
      <c r="D13" s="46" t="s">
        <v>74</v>
      </c>
      <c r="E13" s="46" t="s">
        <v>75</v>
      </c>
      <c r="F13" s="54">
        <v>19</v>
      </c>
      <c r="G13" s="54">
        <v>59</v>
      </c>
      <c r="H13" s="54">
        <v>10</v>
      </c>
      <c r="I13" s="54">
        <v>37</v>
      </c>
      <c r="J13" s="55">
        <f t="shared" si="6"/>
        <v>125</v>
      </c>
      <c r="K13" s="54">
        <f t="shared" si="7"/>
        <v>5</v>
      </c>
      <c r="L13" s="65"/>
      <c r="M13" s="54">
        <v>18</v>
      </c>
      <c r="N13" s="54">
        <v>71</v>
      </c>
      <c r="O13" s="54">
        <v>10</v>
      </c>
      <c r="P13" s="54">
        <v>37</v>
      </c>
      <c r="Q13" s="55">
        <f t="shared" si="0"/>
        <v>136</v>
      </c>
      <c r="R13" s="54">
        <f t="shared" si="8"/>
        <v>5</v>
      </c>
      <c r="S13" s="65"/>
      <c r="T13" s="54">
        <v>15</v>
      </c>
      <c r="U13" s="54">
        <v>62</v>
      </c>
      <c r="V13" s="55">
        <f t="shared" si="9"/>
        <v>77</v>
      </c>
      <c r="W13" s="54">
        <f t="shared" si="10"/>
        <v>4</v>
      </c>
      <c r="X13" s="65"/>
      <c r="Y13" s="54">
        <v>15</v>
      </c>
      <c r="Z13" s="54">
        <v>73</v>
      </c>
      <c r="AA13" s="55">
        <f t="shared" si="1"/>
        <v>88</v>
      </c>
      <c r="AB13" s="54">
        <f t="shared" si="11"/>
        <v>5</v>
      </c>
      <c r="AC13" s="65"/>
      <c r="AD13" s="54">
        <v>16</v>
      </c>
      <c r="AE13" s="54">
        <v>58</v>
      </c>
      <c r="AF13" s="55">
        <f t="shared" si="2"/>
        <v>74</v>
      </c>
      <c r="AG13" s="54">
        <f t="shared" si="12"/>
        <v>4</v>
      </c>
      <c r="AH13" s="65"/>
      <c r="AI13" s="54">
        <v>19</v>
      </c>
      <c r="AJ13" s="54">
        <v>69</v>
      </c>
      <c r="AK13" s="55">
        <f t="shared" si="3"/>
        <v>88</v>
      </c>
      <c r="AL13" s="54">
        <f t="shared" si="13"/>
        <v>5</v>
      </c>
      <c r="AM13" s="65"/>
      <c r="AN13" s="54"/>
      <c r="AO13" s="54">
        <v>44</v>
      </c>
      <c r="AP13" s="55">
        <f t="shared" si="14"/>
        <v>44</v>
      </c>
      <c r="AQ13" s="54">
        <f t="shared" si="15"/>
        <v>5</v>
      </c>
      <c r="AR13" s="65"/>
      <c r="AS13" s="54">
        <f t="shared" si="4"/>
        <v>33</v>
      </c>
      <c r="AT13" s="56">
        <f t="shared" si="16"/>
        <v>4.7142857142857144</v>
      </c>
      <c r="AU13" s="55">
        <f t="shared" si="17"/>
        <v>588</v>
      </c>
      <c r="AV13" s="1">
        <v>20</v>
      </c>
      <c r="AW13" s="1">
        <v>64</v>
      </c>
      <c r="AX13" s="57" t="str">
        <f t="shared" si="5"/>
        <v>BETTER</v>
      </c>
    </row>
    <row r="14" spans="1:50" s="47" customFormat="1" ht="12" customHeight="1">
      <c r="A14" s="41">
        <v>7</v>
      </c>
      <c r="B14" s="45">
        <v>23</v>
      </c>
      <c r="C14" s="48" t="s">
        <v>164</v>
      </c>
      <c r="D14" s="49" t="s">
        <v>162</v>
      </c>
      <c r="E14" s="46" t="s">
        <v>163</v>
      </c>
      <c r="F14" s="54"/>
      <c r="G14" s="54">
        <v>89</v>
      </c>
      <c r="H14" s="54"/>
      <c r="I14" s="54">
        <v>38</v>
      </c>
      <c r="J14" s="55">
        <f>I14+H14+G14+F14</f>
        <v>127</v>
      </c>
      <c r="K14" s="54">
        <f>IF(J14&lt;60,"F",IF(J14&lt;75,2,IF(J14&lt;90,3,IF(J14&lt;105,3.5,IF(J14&lt;120,4,5)))))</f>
        <v>5</v>
      </c>
      <c r="L14" s="65"/>
      <c r="M14" s="54"/>
      <c r="N14" s="54">
        <v>87</v>
      </c>
      <c r="O14" s="54"/>
      <c r="P14" s="54">
        <v>44</v>
      </c>
      <c r="Q14" s="55">
        <f t="shared" ref="Q14:Q15" si="18">M14+N14+O14+P14</f>
        <v>131</v>
      </c>
      <c r="R14" s="54">
        <f t="shared" ref="R14:R15" si="19">IF(Q14&lt;60,"F",IF(Q14&lt;75,2,IF(Q14&lt;90,3,IF(Q14&lt;105,3.5,IF(Q14&lt;120,4,5)))))</f>
        <v>5</v>
      </c>
      <c r="S14" s="65"/>
      <c r="T14" s="54"/>
      <c r="U14" s="54"/>
      <c r="V14" s="55"/>
      <c r="W14" s="54" t="str">
        <f t="shared" ref="W14:W17" si="20">IF(V14&lt;40,"F",IF(V14&lt;50,2,IF(V14&lt;60,3,IF(V14&lt;70,3.5,IF(V14&lt;80,4,5)))))</f>
        <v>F</v>
      </c>
      <c r="X14" s="65"/>
      <c r="Y14" s="54"/>
      <c r="Z14" s="54">
        <v>82</v>
      </c>
      <c r="AA14" s="55">
        <f>Y14+Z14</f>
        <v>82</v>
      </c>
      <c r="AB14" s="54">
        <f>IF(AA14&lt;40,"F",IF(AA14&lt;50,2,IF(AA14&lt;60,3,IF(AA14&lt;70,3.5,IF(AA14&lt;80,4,5)))))</f>
        <v>5</v>
      </c>
      <c r="AC14" s="65"/>
      <c r="AD14" s="54"/>
      <c r="AE14" s="54">
        <v>76</v>
      </c>
      <c r="AF14" s="55">
        <f>AD14+AE14</f>
        <v>76</v>
      </c>
      <c r="AG14" s="54">
        <f>IF(AF14&lt;40,"F",IF(AF14&lt;50,2,IF(AF14&lt;60,3,IF(AF14&lt;70,3.5,IF(AF14&lt;80,4,5)))))</f>
        <v>4</v>
      </c>
      <c r="AH14" s="65"/>
      <c r="AI14" s="54"/>
      <c r="AJ14" s="54">
        <v>88</v>
      </c>
      <c r="AK14" s="55">
        <f t="shared" ref="AK14:AK16" si="21">AI14+AJ14</f>
        <v>88</v>
      </c>
      <c r="AL14" s="54">
        <f t="shared" ref="AL14:AL16" si="22">IF(AK14&lt;40,"F",IF(AK14&lt;50,2,IF(AK14&lt;60,3,IF(AK14&lt;70,3.5,IF(AK14&lt;80,4,5)))))</f>
        <v>5</v>
      </c>
      <c r="AM14" s="65"/>
      <c r="AN14" s="54"/>
      <c r="AO14" s="54"/>
      <c r="AP14" s="55">
        <f t="shared" ref="AP14:AP20" si="23">AO14</f>
        <v>0</v>
      </c>
      <c r="AQ14" s="54" t="str">
        <f t="shared" ref="AQ14:AQ20" si="24">IF(AP14&lt;20,"F",IF(AP14&lt;25,2,IF(AP14&lt;30,3,IF(AP14&lt;35,3.5,IF(AP14&lt;40,4,5)))))</f>
        <v>F</v>
      </c>
      <c r="AR14" s="65"/>
      <c r="AS14" s="54" t="str">
        <f t="shared" ref="AS14:AS17" si="25">IF(K14="F","F",IF(R14="F","F",IF(W14="F","F",IF(AB14="F","F",IF(AG14="F","F",IF(AL14="F","F",IF(AQ14="F","F",SUM(K14,R14,W14,AB14,AG14,AL14,AQ14))))))))</f>
        <v>F</v>
      </c>
      <c r="AT14" s="56" t="str">
        <f t="shared" ref="AT14:AT17" si="26">IF(AS14="F","F", IF(AS14&gt;=35,5,IF(AS14&lt;35,AS14/7)))</f>
        <v>F</v>
      </c>
      <c r="AU14" s="55">
        <f t="shared" si="17"/>
        <v>504</v>
      </c>
      <c r="AV14" s="1"/>
      <c r="AW14" s="1">
        <v>66</v>
      </c>
      <c r="AX14" s="57" t="str">
        <f t="shared" ref="AX14:AX17" si="27">IF(AT14="F","NEED TO PROGRESS",IF(AT14&gt;=5,"BEST",IF(AT14&gt;=4,"BETTER",IF(AT14&gt;2,"GOOD"))))</f>
        <v>NEED TO PROGRESS</v>
      </c>
    </row>
    <row r="15" spans="1:50" s="47" customFormat="1" ht="12" customHeight="1">
      <c r="A15" s="41">
        <v>8</v>
      </c>
      <c r="B15" s="45">
        <v>27</v>
      </c>
      <c r="C15" s="46" t="s">
        <v>76</v>
      </c>
      <c r="D15" s="46" t="s">
        <v>77</v>
      </c>
      <c r="E15" s="46" t="s">
        <v>78</v>
      </c>
      <c r="F15" s="54">
        <v>19</v>
      </c>
      <c r="G15" s="54">
        <v>35</v>
      </c>
      <c r="H15" s="54">
        <v>8</v>
      </c>
      <c r="I15" s="54">
        <v>17</v>
      </c>
      <c r="J15" s="55">
        <f t="shared" si="6"/>
        <v>79</v>
      </c>
      <c r="K15" s="54">
        <f t="shared" si="7"/>
        <v>3</v>
      </c>
      <c r="L15" s="65"/>
      <c r="M15" s="54">
        <v>18</v>
      </c>
      <c r="N15" s="54">
        <v>51</v>
      </c>
      <c r="O15" s="54">
        <v>9</v>
      </c>
      <c r="P15" s="54">
        <v>22</v>
      </c>
      <c r="Q15" s="55">
        <f t="shared" si="18"/>
        <v>100</v>
      </c>
      <c r="R15" s="54">
        <f t="shared" si="19"/>
        <v>3.5</v>
      </c>
      <c r="S15" s="65"/>
      <c r="T15" s="54">
        <v>10</v>
      </c>
      <c r="U15" s="54"/>
      <c r="V15" s="55">
        <f t="shared" ref="V15:V17" si="28">SUM(T15+U15)</f>
        <v>10</v>
      </c>
      <c r="W15" s="54" t="str">
        <f t="shared" si="20"/>
        <v>F</v>
      </c>
      <c r="X15" s="65"/>
      <c r="Y15" s="54"/>
      <c r="Z15" s="54">
        <v>68</v>
      </c>
      <c r="AA15" s="55">
        <f t="shared" si="1"/>
        <v>68</v>
      </c>
      <c r="AB15" s="54">
        <f t="shared" si="11"/>
        <v>3.5</v>
      </c>
      <c r="AC15" s="65"/>
      <c r="AD15" s="54"/>
      <c r="AE15" s="54">
        <v>24</v>
      </c>
      <c r="AF15" s="55">
        <f t="shared" si="2"/>
        <v>24</v>
      </c>
      <c r="AG15" s="54" t="str">
        <f t="shared" si="12"/>
        <v>F</v>
      </c>
      <c r="AH15" s="65"/>
      <c r="AI15" s="54"/>
      <c r="AJ15" s="54"/>
      <c r="AK15" s="55">
        <f t="shared" si="21"/>
        <v>0</v>
      </c>
      <c r="AL15" s="54" t="str">
        <f t="shared" si="22"/>
        <v>F</v>
      </c>
      <c r="AM15" s="65"/>
      <c r="AN15" s="54"/>
      <c r="AO15" s="54"/>
      <c r="AP15" s="55">
        <f t="shared" si="23"/>
        <v>0</v>
      </c>
      <c r="AQ15" s="54" t="str">
        <f t="shared" si="24"/>
        <v>F</v>
      </c>
      <c r="AR15" s="65"/>
      <c r="AS15" s="54" t="str">
        <f t="shared" si="25"/>
        <v>F</v>
      </c>
      <c r="AT15" s="56" t="str">
        <f t="shared" si="26"/>
        <v>F</v>
      </c>
      <c r="AU15" s="55">
        <f t="shared" si="17"/>
        <v>281</v>
      </c>
      <c r="AV15" s="1"/>
      <c r="AW15" s="1">
        <v>67</v>
      </c>
      <c r="AX15" s="57" t="str">
        <f t="shared" si="27"/>
        <v>NEED TO PROGRESS</v>
      </c>
    </row>
    <row r="16" spans="1:50" s="47" customFormat="1" ht="12" customHeight="1">
      <c r="A16" s="41">
        <v>9</v>
      </c>
      <c r="B16" s="45">
        <v>29</v>
      </c>
      <c r="C16" s="46" t="s">
        <v>79</v>
      </c>
      <c r="D16" s="46" t="s">
        <v>80</v>
      </c>
      <c r="E16" s="46" t="s">
        <v>81</v>
      </c>
      <c r="F16" s="54">
        <v>17</v>
      </c>
      <c r="G16" s="54">
        <v>52</v>
      </c>
      <c r="H16" s="54">
        <v>6</v>
      </c>
      <c r="I16" s="54">
        <v>34</v>
      </c>
      <c r="J16" s="55">
        <f t="shared" si="6"/>
        <v>109</v>
      </c>
      <c r="K16" s="54">
        <f t="shared" si="7"/>
        <v>4</v>
      </c>
      <c r="L16" s="65"/>
      <c r="M16" s="54">
        <v>18</v>
      </c>
      <c r="N16" s="54">
        <v>56</v>
      </c>
      <c r="O16" s="54">
        <v>9</v>
      </c>
      <c r="P16" s="54">
        <v>31</v>
      </c>
      <c r="Q16" s="55">
        <f t="shared" si="0"/>
        <v>114</v>
      </c>
      <c r="R16" s="54">
        <f t="shared" si="8"/>
        <v>4</v>
      </c>
      <c r="S16" s="65"/>
      <c r="T16" s="54">
        <v>9</v>
      </c>
      <c r="U16" s="54">
        <v>58</v>
      </c>
      <c r="V16" s="55">
        <f t="shared" si="28"/>
        <v>67</v>
      </c>
      <c r="W16" s="54">
        <f t="shared" si="20"/>
        <v>3.5</v>
      </c>
      <c r="X16" s="65"/>
      <c r="Y16" s="54">
        <v>15</v>
      </c>
      <c r="Z16" s="54">
        <v>50</v>
      </c>
      <c r="AA16" s="55">
        <f t="shared" si="1"/>
        <v>65</v>
      </c>
      <c r="AB16" s="54">
        <f t="shared" si="11"/>
        <v>3.5</v>
      </c>
      <c r="AC16" s="65"/>
      <c r="AD16" s="54">
        <v>16</v>
      </c>
      <c r="AE16" s="54">
        <v>55</v>
      </c>
      <c r="AF16" s="55">
        <f t="shared" si="2"/>
        <v>71</v>
      </c>
      <c r="AG16" s="54">
        <f t="shared" si="12"/>
        <v>4</v>
      </c>
      <c r="AH16" s="65"/>
      <c r="AI16" s="54">
        <v>19</v>
      </c>
      <c r="AJ16" s="54">
        <v>59</v>
      </c>
      <c r="AK16" s="55">
        <f t="shared" si="21"/>
        <v>78</v>
      </c>
      <c r="AL16" s="54">
        <f t="shared" si="22"/>
        <v>4</v>
      </c>
      <c r="AM16" s="65"/>
      <c r="AN16" s="54"/>
      <c r="AO16" s="54">
        <v>44</v>
      </c>
      <c r="AP16" s="55">
        <f t="shared" si="23"/>
        <v>44</v>
      </c>
      <c r="AQ16" s="54">
        <f t="shared" si="24"/>
        <v>5</v>
      </c>
      <c r="AR16" s="65"/>
      <c r="AS16" s="54">
        <f t="shared" si="25"/>
        <v>28</v>
      </c>
      <c r="AT16" s="56">
        <f t="shared" si="26"/>
        <v>4</v>
      </c>
      <c r="AU16" s="55">
        <f t="shared" si="17"/>
        <v>504</v>
      </c>
      <c r="AV16" s="1">
        <v>39</v>
      </c>
      <c r="AW16" s="1">
        <v>68</v>
      </c>
      <c r="AX16" s="57" t="str">
        <f t="shared" si="27"/>
        <v>BETTER</v>
      </c>
    </row>
    <row r="17" spans="1:50" s="47" customFormat="1" ht="12" customHeight="1">
      <c r="A17" s="41">
        <v>10</v>
      </c>
      <c r="B17" s="45">
        <v>35</v>
      </c>
      <c r="C17" s="46" t="s">
        <v>82</v>
      </c>
      <c r="D17" s="46" t="s">
        <v>83</v>
      </c>
      <c r="E17" s="46" t="s">
        <v>84</v>
      </c>
      <c r="F17" s="54">
        <v>19</v>
      </c>
      <c r="G17" s="54">
        <v>61</v>
      </c>
      <c r="H17" s="54">
        <v>10</v>
      </c>
      <c r="I17" s="54">
        <v>36</v>
      </c>
      <c r="J17" s="55">
        <f t="shared" si="6"/>
        <v>126</v>
      </c>
      <c r="K17" s="54">
        <f t="shared" si="7"/>
        <v>5</v>
      </c>
      <c r="L17" s="65"/>
      <c r="M17" s="54">
        <v>19</v>
      </c>
      <c r="N17" s="54">
        <v>68</v>
      </c>
      <c r="O17" s="54">
        <v>9</v>
      </c>
      <c r="P17" s="54">
        <v>31</v>
      </c>
      <c r="Q17" s="55">
        <f t="shared" si="0"/>
        <v>127</v>
      </c>
      <c r="R17" s="54">
        <f t="shared" si="8"/>
        <v>5</v>
      </c>
      <c r="S17" s="65"/>
      <c r="T17" s="54">
        <v>13</v>
      </c>
      <c r="U17" s="54">
        <v>50</v>
      </c>
      <c r="V17" s="55">
        <f t="shared" si="28"/>
        <v>63</v>
      </c>
      <c r="W17" s="54">
        <f t="shared" si="20"/>
        <v>3.5</v>
      </c>
      <c r="X17" s="65"/>
      <c r="Y17" s="54">
        <v>17</v>
      </c>
      <c r="Z17" s="54">
        <v>73</v>
      </c>
      <c r="AA17" s="55">
        <f t="shared" si="1"/>
        <v>90</v>
      </c>
      <c r="AB17" s="54">
        <f t="shared" si="11"/>
        <v>5</v>
      </c>
      <c r="AC17" s="65"/>
      <c r="AD17" s="54">
        <v>16</v>
      </c>
      <c r="AE17" s="54">
        <v>54</v>
      </c>
      <c r="AF17" s="55">
        <f t="shared" si="2"/>
        <v>70</v>
      </c>
      <c r="AG17" s="54">
        <f t="shared" si="12"/>
        <v>4</v>
      </c>
      <c r="AH17" s="65"/>
      <c r="AI17" s="54">
        <v>16</v>
      </c>
      <c r="AJ17" s="54">
        <v>61</v>
      </c>
      <c r="AK17" s="55">
        <f t="shared" si="3"/>
        <v>77</v>
      </c>
      <c r="AL17" s="54">
        <f t="shared" si="13"/>
        <v>4</v>
      </c>
      <c r="AM17" s="65"/>
      <c r="AN17" s="54"/>
      <c r="AO17" s="54">
        <v>30</v>
      </c>
      <c r="AP17" s="55">
        <f t="shared" si="23"/>
        <v>30</v>
      </c>
      <c r="AQ17" s="54">
        <f t="shared" si="24"/>
        <v>3.5</v>
      </c>
      <c r="AR17" s="65"/>
      <c r="AS17" s="54">
        <f t="shared" si="25"/>
        <v>30</v>
      </c>
      <c r="AT17" s="56">
        <f t="shared" si="26"/>
        <v>4.2857142857142856</v>
      </c>
      <c r="AU17" s="55">
        <f t="shared" si="17"/>
        <v>553</v>
      </c>
      <c r="AV17" s="1">
        <v>31</v>
      </c>
      <c r="AW17" s="1">
        <v>665</v>
      </c>
      <c r="AX17" s="57" t="str">
        <f t="shared" si="27"/>
        <v>BETTER</v>
      </c>
    </row>
    <row r="18" spans="1:50" s="47" customFormat="1" ht="12" customHeight="1">
      <c r="A18" s="41">
        <v>11</v>
      </c>
      <c r="B18" s="45">
        <v>37</v>
      </c>
      <c r="C18" s="46" t="s">
        <v>85</v>
      </c>
      <c r="D18" s="46" t="s">
        <v>86</v>
      </c>
      <c r="E18" s="46" t="s">
        <v>87</v>
      </c>
      <c r="F18" s="54">
        <v>19</v>
      </c>
      <c r="G18" s="54">
        <v>48</v>
      </c>
      <c r="H18" s="54">
        <v>7</v>
      </c>
      <c r="I18" s="54">
        <v>30</v>
      </c>
      <c r="J18" s="55">
        <f t="shared" si="6"/>
        <v>104</v>
      </c>
      <c r="K18" s="54">
        <f t="shared" si="7"/>
        <v>3.5</v>
      </c>
      <c r="L18" s="65"/>
      <c r="M18" s="54">
        <v>16</v>
      </c>
      <c r="N18" s="54">
        <v>56</v>
      </c>
      <c r="O18" s="54">
        <v>8</v>
      </c>
      <c r="P18" s="54">
        <v>18</v>
      </c>
      <c r="Q18" s="55">
        <f t="shared" si="0"/>
        <v>98</v>
      </c>
      <c r="R18" s="54">
        <f t="shared" si="8"/>
        <v>3.5</v>
      </c>
      <c r="S18" s="65"/>
      <c r="T18" s="54">
        <v>10</v>
      </c>
      <c r="U18" s="54">
        <v>52</v>
      </c>
      <c r="V18" s="55">
        <f t="shared" si="9"/>
        <v>62</v>
      </c>
      <c r="W18" s="54">
        <f t="shared" si="10"/>
        <v>3.5</v>
      </c>
      <c r="X18" s="65"/>
      <c r="Y18" s="54">
        <v>16</v>
      </c>
      <c r="Z18" s="54">
        <v>70</v>
      </c>
      <c r="AA18" s="55">
        <f t="shared" si="1"/>
        <v>86</v>
      </c>
      <c r="AB18" s="54">
        <f t="shared" si="11"/>
        <v>5</v>
      </c>
      <c r="AC18" s="65"/>
      <c r="AD18" s="54">
        <v>12</v>
      </c>
      <c r="AE18" s="54">
        <v>59</v>
      </c>
      <c r="AF18" s="55">
        <f t="shared" si="2"/>
        <v>71</v>
      </c>
      <c r="AG18" s="54">
        <f t="shared" si="12"/>
        <v>4</v>
      </c>
      <c r="AH18" s="65"/>
      <c r="AI18" s="54">
        <v>17</v>
      </c>
      <c r="AJ18" s="54"/>
      <c r="AK18" s="55">
        <f t="shared" si="3"/>
        <v>17</v>
      </c>
      <c r="AL18" s="54" t="str">
        <f t="shared" si="13"/>
        <v>F</v>
      </c>
      <c r="AM18" s="65"/>
      <c r="AN18" s="54"/>
      <c r="AO18" s="54"/>
      <c r="AP18" s="55">
        <f t="shared" si="23"/>
        <v>0</v>
      </c>
      <c r="AQ18" s="54" t="str">
        <f t="shared" si="24"/>
        <v>F</v>
      </c>
      <c r="AR18" s="65"/>
      <c r="AS18" s="54" t="str">
        <f t="shared" si="4"/>
        <v>F</v>
      </c>
      <c r="AT18" s="56" t="str">
        <f t="shared" si="16"/>
        <v>F</v>
      </c>
      <c r="AU18" s="55">
        <f t="shared" si="17"/>
        <v>438</v>
      </c>
      <c r="AV18" s="1"/>
      <c r="AW18" s="1">
        <v>65</v>
      </c>
      <c r="AX18" s="57" t="str">
        <f t="shared" si="5"/>
        <v>NEED TO PROGRESS</v>
      </c>
    </row>
    <row r="19" spans="1:50" s="47" customFormat="1" ht="12" customHeight="1">
      <c r="A19" s="41">
        <v>12</v>
      </c>
      <c r="B19" s="45">
        <v>41</v>
      </c>
      <c r="C19" s="46" t="s">
        <v>88</v>
      </c>
      <c r="D19" s="46" t="s">
        <v>89</v>
      </c>
      <c r="E19" s="46" t="s">
        <v>90</v>
      </c>
      <c r="F19" s="54">
        <v>16</v>
      </c>
      <c r="G19" s="54">
        <v>35</v>
      </c>
      <c r="H19" s="54">
        <v>7</v>
      </c>
      <c r="I19" s="54">
        <v>29</v>
      </c>
      <c r="J19" s="55">
        <f t="shared" si="6"/>
        <v>87</v>
      </c>
      <c r="K19" s="54">
        <f t="shared" si="7"/>
        <v>3</v>
      </c>
      <c r="L19" s="65"/>
      <c r="M19" s="54">
        <v>18</v>
      </c>
      <c r="N19" s="54">
        <v>43</v>
      </c>
      <c r="O19" s="54">
        <v>8</v>
      </c>
      <c r="P19" s="54">
        <v>18</v>
      </c>
      <c r="Q19" s="55">
        <f t="shared" si="0"/>
        <v>87</v>
      </c>
      <c r="R19" s="54">
        <f t="shared" si="8"/>
        <v>3</v>
      </c>
      <c r="S19" s="65"/>
      <c r="T19" s="54">
        <v>10</v>
      </c>
      <c r="U19" s="54">
        <v>55</v>
      </c>
      <c r="V19" s="55">
        <f t="shared" si="9"/>
        <v>65</v>
      </c>
      <c r="W19" s="54">
        <f t="shared" si="10"/>
        <v>3.5</v>
      </c>
      <c r="X19" s="65"/>
      <c r="Y19" s="54">
        <v>13</v>
      </c>
      <c r="Z19" s="54">
        <v>46</v>
      </c>
      <c r="AA19" s="55">
        <f t="shared" si="1"/>
        <v>59</v>
      </c>
      <c r="AB19" s="54">
        <f t="shared" si="11"/>
        <v>3</v>
      </c>
      <c r="AC19" s="65"/>
      <c r="AD19" s="54">
        <v>10</v>
      </c>
      <c r="AE19" s="54">
        <v>50</v>
      </c>
      <c r="AF19" s="55">
        <f t="shared" si="2"/>
        <v>60</v>
      </c>
      <c r="AG19" s="54">
        <f t="shared" si="12"/>
        <v>3.5</v>
      </c>
      <c r="AH19" s="65"/>
      <c r="AI19" s="54">
        <v>18</v>
      </c>
      <c r="AJ19" s="54">
        <v>27</v>
      </c>
      <c r="AK19" s="55">
        <f t="shared" si="3"/>
        <v>45</v>
      </c>
      <c r="AL19" s="54">
        <f t="shared" si="13"/>
        <v>2</v>
      </c>
      <c r="AM19" s="65"/>
      <c r="AN19" s="54"/>
      <c r="AO19" s="54">
        <v>25</v>
      </c>
      <c r="AP19" s="55">
        <f t="shared" si="23"/>
        <v>25</v>
      </c>
      <c r="AQ19" s="54">
        <f t="shared" si="24"/>
        <v>3</v>
      </c>
      <c r="AR19" s="65"/>
      <c r="AS19" s="54">
        <f t="shared" si="4"/>
        <v>21</v>
      </c>
      <c r="AT19" s="56">
        <f t="shared" si="16"/>
        <v>3</v>
      </c>
      <c r="AU19" s="55">
        <f t="shared" si="17"/>
        <v>403</v>
      </c>
      <c r="AV19" s="1">
        <v>48</v>
      </c>
      <c r="AW19" s="1">
        <v>65</v>
      </c>
      <c r="AX19" s="57" t="str">
        <f t="shared" si="5"/>
        <v>GOOD</v>
      </c>
    </row>
    <row r="20" spans="1:50" s="47" customFormat="1" ht="12" customHeight="1">
      <c r="A20" s="41">
        <v>13</v>
      </c>
      <c r="B20" s="45">
        <v>47</v>
      </c>
      <c r="C20" s="46" t="s">
        <v>91</v>
      </c>
      <c r="D20" s="46" t="s">
        <v>92</v>
      </c>
      <c r="E20" s="46" t="s">
        <v>93</v>
      </c>
      <c r="F20" s="54">
        <v>12</v>
      </c>
      <c r="G20" s="54">
        <v>32</v>
      </c>
      <c r="H20" s="54">
        <v>6</v>
      </c>
      <c r="I20" s="54">
        <v>16</v>
      </c>
      <c r="J20" s="55">
        <f t="shared" si="6"/>
        <v>66</v>
      </c>
      <c r="K20" s="54">
        <f t="shared" si="7"/>
        <v>2</v>
      </c>
      <c r="L20" s="65"/>
      <c r="M20" s="54">
        <v>9</v>
      </c>
      <c r="N20" s="54">
        <v>41</v>
      </c>
      <c r="O20" s="54">
        <v>5</v>
      </c>
      <c r="P20" s="54">
        <v>16</v>
      </c>
      <c r="Q20" s="55">
        <f t="shared" si="0"/>
        <v>71</v>
      </c>
      <c r="R20" s="54">
        <f t="shared" si="8"/>
        <v>2</v>
      </c>
      <c r="S20" s="65"/>
      <c r="T20" s="54">
        <v>5</v>
      </c>
      <c r="U20" s="54">
        <v>0</v>
      </c>
      <c r="V20" s="55">
        <f t="shared" si="9"/>
        <v>5</v>
      </c>
      <c r="W20" s="54" t="str">
        <f t="shared" si="10"/>
        <v>F</v>
      </c>
      <c r="X20" s="65"/>
      <c r="Y20" s="54">
        <v>2</v>
      </c>
      <c r="Z20" s="54">
        <v>2</v>
      </c>
      <c r="AA20" s="55">
        <f t="shared" si="1"/>
        <v>4</v>
      </c>
      <c r="AB20" s="54" t="str">
        <f t="shared" si="11"/>
        <v>F</v>
      </c>
      <c r="AC20" s="65"/>
      <c r="AD20" s="54">
        <v>4</v>
      </c>
      <c r="AE20" s="54">
        <v>18</v>
      </c>
      <c r="AF20" s="55">
        <f t="shared" si="2"/>
        <v>22</v>
      </c>
      <c r="AG20" s="54" t="str">
        <f t="shared" si="12"/>
        <v>F</v>
      </c>
      <c r="AH20" s="65"/>
      <c r="AI20" s="54">
        <v>8</v>
      </c>
      <c r="AJ20" s="54">
        <v>21</v>
      </c>
      <c r="AK20" s="55">
        <f t="shared" si="3"/>
        <v>29</v>
      </c>
      <c r="AL20" s="54" t="str">
        <f t="shared" si="13"/>
        <v>F</v>
      </c>
      <c r="AM20" s="65"/>
      <c r="AN20" s="54"/>
      <c r="AO20" s="54">
        <v>26</v>
      </c>
      <c r="AP20" s="55">
        <f t="shared" si="23"/>
        <v>26</v>
      </c>
      <c r="AQ20" s="54">
        <f t="shared" si="24"/>
        <v>3</v>
      </c>
      <c r="AR20" s="65"/>
      <c r="AS20" s="54" t="str">
        <f t="shared" si="4"/>
        <v>F</v>
      </c>
      <c r="AT20" s="56" t="str">
        <f t="shared" si="16"/>
        <v>F</v>
      </c>
      <c r="AU20" s="55">
        <f t="shared" si="17"/>
        <v>197</v>
      </c>
      <c r="AV20" s="1"/>
      <c r="AW20" s="1">
        <v>64</v>
      </c>
      <c r="AX20" s="57" t="str">
        <f t="shared" si="5"/>
        <v>NEED TO PROGRESS</v>
      </c>
    </row>
    <row r="21" spans="1:50" s="47" customFormat="1" ht="12" customHeight="1">
      <c r="A21" s="41">
        <v>14</v>
      </c>
      <c r="B21" s="45">
        <v>51</v>
      </c>
      <c r="C21" s="46" t="s">
        <v>94</v>
      </c>
      <c r="D21" s="46" t="s">
        <v>95</v>
      </c>
      <c r="E21" s="46" t="s">
        <v>96</v>
      </c>
      <c r="F21" s="54">
        <v>19</v>
      </c>
      <c r="G21" s="54">
        <v>68</v>
      </c>
      <c r="H21" s="54">
        <v>10</v>
      </c>
      <c r="I21" s="54">
        <v>32</v>
      </c>
      <c r="J21" s="55">
        <f t="shared" si="6"/>
        <v>129</v>
      </c>
      <c r="K21" s="54">
        <f t="shared" si="7"/>
        <v>5</v>
      </c>
      <c r="L21" s="65"/>
      <c r="M21" s="54">
        <v>19</v>
      </c>
      <c r="N21" s="54">
        <v>66</v>
      </c>
      <c r="O21" s="54">
        <v>10</v>
      </c>
      <c r="P21" s="54">
        <v>34</v>
      </c>
      <c r="Q21" s="55">
        <f t="shared" si="0"/>
        <v>129</v>
      </c>
      <c r="R21" s="54">
        <f t="shared" si="8"/>
        <v>5</v>
      </c>
      <c r="S21" s="65"/>
      <c r="T21" s="54">
        <v>10</v>
      </c>
      <c r="U21" s="54">
        <v>71</v>
      </c>
      <c r="V21" s="55">
        <f t="shared" si="9"/>
        <v>81</v>
      </c>
      <c r="W21" s="54">
        <f t="shared" si="10"/>
        <v>5</v>
      </c>
      <c r="X21" s="65"/>
      <c r="Y21" s="54">
        <v>17</v>
      </c>
      <c r="Z21" s="54">
        <v>64</v>
      </c>
      <c r="AA21" s="55">
        <f t="shared" si="1"/>
        <v>81</v>
      </c>
      <c r="AB21" s="54">
        <f t="shared" si="11"/>
        <v>5</v>
      </c>
      <c r="AC21" s="65"/>
      <c r="AD21" s="54">
        <v>14</v>
      </c>
      <c r="AE21" s="54">
        <v>52</v>
      </c>
      <c r="AF21" s="55">
        <f t="shared" si="2"/>
        <v>66</v>
      </c>
      <c r="AG21" s="54">
        <f t="shared" si="12"/>
        <v>3.5</v>
      </c>
      <c r="AH21" s="65"/>
      <c r="AI21" s="54">
        <v>18</v>
      </c>
      <c r="AJ21" s="54">
        <v>68</v>
      </c>
      <c r="AK21" s="55">
        <f t="shared" si="3"/>
        <v>86</v>
      </c>
      <c r="AL21" s="54">
        <f t="shared" si="13"/>
        <v>5</v>
      </c>
      <c r="AM21" s="65"/>
      <c r="AN21" s="54"/>
      <c r="AO21" s="54">
        <v>41</v>
      </c>
      <c r="AP21" s="55">
        <f t="shared" si="14"/>
        <v>41</v>
      </c>
      <c r="AQ21" s="54">
        <f t="shared" si="15"/>
        <v>5</v>
      </c>
      <c r="AR21" s="65"/>
      <c r="AS21" s="54">
        <f t="shared" si="4"/>
        <v>33.5</v>
      </c>
      <c r="AT21" s="56">
        <f t="shared" si="16"/>
        <v>4.7857142857142856</v>
      </c>
      <c r="AU21" s="55">
        <f t="shared" si="17"/>
        <v>572</v>
      </c>
      <c r="AV21" s="1">
        <v>27</v>
      </c>
      <c r="AW21" s="1">
        <v>62</v>
      </c>
      <c r="AX21" s="57" t="str">
        <f t="shared" si="5"/>
        <v>BETTER</v>
      </c>
    </row>
    <row r="22" spans="1:50" s="47" customFormat="1" ht="12" customHeight="1">
      <c r="A22" s="41">
        <v>15</v>
      </c>
      <c r="B22" s="45">
        <v>53</v>
      </c>
      <c r="C22" s="46" t="s">
        <v>97</v>
      </c>
      <c r="D22" s="46" t="s">
        <v>98</v>
      </c>
      <c r="E22" s="46" t="s">
        <v>99</v>
      </c>
      <c r="F22" s="54">
        <v>17</v>
      </c>
      <c r="G22" s="54">
        <v>52</v>
      </c>
      <c r="H22" s="54">
        <v>8</v>
      </c>
      <c r="I22" s="54">
        <v>30</v>
      </c>
      <c r="J22" s="55">
        <f t="shared" si="6"/>
        <v>107</v>
      </c>
      <c r="K22" s="54">
        <f t="shared" si="7"/>
        <v>4</v>
      </c>
      <c r="L22" s="65"/>
      <c r="M22" s="54">
        <v>17</v>
      </c>
      <c r="N22" s="54">
        <v>42</v>
      </c>
      <c r="O22" s="54">
        <v>8</v>
      </c>
      <c r="P22" s="54">
        <v>26</v>
      </c>
      <c r="Q22" s="55">
        <f t="shared" si="0"/>
        <v>93</v>
      </c>
      <c r="R22" s="54">
        <f t="shared" si="8"/>
        <v>3.5</v>
      </c>
      <c r="S22" s="65"/>
      <c r="T22" s="54">
        <v>5</v>
      </c>
      <c r="U22" s="54">
        <v>8</v>
      </c>
      <c r="V22" s="55">
        <f t="shared" si="9"/>
        <v>13</v>
      </c>
      <c r="W22" s="54" t="str">
        <f t="shared" si="10"/>
        <v>F</v>
      </c>
      <c r="X22" s="65"/>
      <c r="Y22" s="54">
        <v>15</v>
      </c>
      <c r="Z22" s="54">
        <v>59</v>
      </c>
      <c r="AA22" s="55">
        <f t="shared" si="1"/>
        <v>74</v>
      </c>
      <c r="AB22" s="54">
        <f t="shared" si="11"/>
        <v>4</v>
      </c>
      <c r="AC22" s="65"/>
      <c r="AD22" s="54">
        <v>15</v>
      </c>
      <c r="AE22" s="54">
        <v>39</v>
      </c>
      <c r="AF22" s="55">
        <f t="shared" si="2"/>
        <v>54</v>
      </c>
      <c r="AG22" s="54">
        <f t="shared" si="12"/>
        <v>3</v>
      </c>
      <c r="AH22" s="65"/>
      <c r="AI22" s="54">
        <v>16</v>
      </c>
      <c r="AJ22" s="54">
        <v>51</v>
      </c>
      <c r="AK22" s="55">
        <f t="shared" si="3"/>
        <v>67</v>
      </c>
      <c r="AL22" s="54">
        <f t="shared" si="13"/>
        <v>3.5</v>
      </c>
      <c r="AM22" s="65"/>
      <c r="AN22" s="54"/>
      <c r="AO22" s="54">
        <v>35</v>
      </c>
      <c r="AP22" s="55">
        <f t="shared" si="14"/>
        <v>35</v>
      </c>
      <c r="AQ22" s="54">
        <f t="shared" si="15"/>
        <v>4</v>
      </c>
      <c r="AR22" s="65"/>
      <c r="AS22" s="54" t="str">
        <f t="shared" si="4"/>
        <v>F</v>
      </c>
      <c r="AT22" s="56" t="str">
        <f t="shared" si="16"/>
        <v>F</v>
      </c>
      <c r="AU22" s="55">
        <f t="shared" si="17"/>
        <v>408</v>
      </c>
      <c r="AV22" s="1"/>
      <c r="AW22" s="1">
        <v>64</v>
      </c>
      <c r="AX22" s="57" t="str">
        <f t="shared" si="5"/>
        <v>NEED TO PROGRESS</v>
      </c>
    </row>
    <row r="23" spans="1:50" s="47" customFormat="1" ht="12" customHeight="1">
      <c r="A23" s="41">
        <v>16</v>
      </c>
      <c r="B23" s="45">
        <v>57</v>
      </c>
      <c r="C23" s="46" t="s">
        <v>100</v>
      </c>
      <c r="D23" s="46" t="s">
        <v>101</v>
      </c>
      <c r="E23" s="46" t="s">
        <v>102</v>
      </c>
      <c r="F23" s="54">
        <v>20</v>
      </c>
      <c r="G23" s="54">
        <v>69</v>
      </c>
      <c r="H23" s="54">
        <v>8</v>
      </c>
      <c r="I23" s="54">
        <v>33</v>
      </c>
      <c r="J23" s="55">
        <f t="shared" si="6"/>
        <v>130</v>
      </c>
      <c r="K23" s="54">
        <f t="shared" si="7"/>
        <v>5</v>
      </c>
      <c r="L23" s="65"/>
      <c r="M23" s="54">
        <v>19</v>
      </c>
      <c r="N23" s="54">
        <v>55</v>
      </c>
      <c r="O23" s="54">
        <v>8</v>
      </c>
      <c r="P23" s="54">
        <v>27</v>
      </c>
      <c r="Q23" s="55">
        <f t="shared" si="0"/>
        <v>109</v>
      </c>
      <c r="R23" s="54">
        <f t="shared" si="8"/>
        <v>4</v>
      </c>
      <c r="S23" s="65"/>
      <c r="T23" s="54">
        <v>17</v>
      </c>
      <c r="U23" s="54">
        <v>52</v>
      </c>
      <c r="V23" s="55">
        <f t="shared" si="9"/>
        <v>69</v>
      </c>
      <c r="W23" s="54">
        <f t="shared" si="10"/>
        <v>3.5</v>
      </c>
      <c r="X23" s="65"/>
      <c r="Y23" s="54">
        <v>15</v>
      </c>
      <c r="Z23" s="54">
        <v>76</v>
      </c>
      <c r="AA23" s="55">
        <f t="shared" si="1"/>
        <v>91</v>
      </c>
      <c r="AB23" s="54">
        <f t="shared" si="11"/>
        <v>5</v>
      </c>
      <c r="AC23" s="65"/>
      <c r="AD23" s="54">
        <v>16</v>
      </c>
      <c r="AE23" s="54">
        <v>64</v>
      </c>
      <c r="AF23" s="55">
        <f t="shared" si="2"/>
        <v>80</v>
      </c>
      <c r="AG23" s="54">
        <f t="shared" si="12"/>
        <v>5</v>
      </c>
      <c r="AH23" s="65"/>
      <c r="AI23" s="54">
        <v>18</v>
      </c>
      <c r="AJ23" s="54">
        <v>70</v>
      </c>
      <c r="AK23" s="55">
        <f t="shared" si="3"/>
        <v>88</v>
      </c>
      <c r="AL23" s="54">
        <f t="shared" si="13"/>
        <v>5</v>
      </c>
      <c r="AM23" s="65"/>
      <c r="AN23" s="54"/>
      <c r="AO23" s="54">
        <v>41</v>
      </c>
      <c r="AP23" s="55">
        <f t="shared" si="14"/>
        <v>41</v>
      </c>
      <c r="AQ23" s="54">
        <f t="shared" si="15"/>
        <v>5</v>
      </c>
      <c r="AR23" s="65"/>
      <c r="AS23" s="54">
        <f t="shared" si="4"/>
        <v>32.5</v>
      </c>
      <c r="AT23" s="56">
        <f t="shared" si="16"/>
        <v>4.6428571428571432</v>
      </c>
      <c r="AU23" s="55">
        <f t="shared" si="17"/>
        <v>567</v>
      </c>
      <c r="AV23" s="1">
        <v>28</v>
      </c>
      <c r="AW23" s="1">
        <v>66</v>
      </c>
      <c r="AX23" s="57" t="str">
        <f t="shared" si="5"/>
        <v>BETTER</v>
      </c>
    </row>
    <row r="24" spans="1:50" s="47" customFormat="1" ht="12" customHeight="1">
      <c r="A24" s="41">
        <v>17</v>
      </c>
      <c r="B24" s="45">
        <v>59</v>
      </c>
      <c r="C24" s="46" t="s">
        <v>103</v>
      </c>
      <c r="D24" s="46" t="s">
        <v>104</v>
      </c>
      <c r="E24" s="46" t="s">
        <v>105</v>
      </c>
      <c r="F24" s="54">
        <v>18</v>
      </c>
      <c r="G24" s="54">
        <v>52</v>
      </c>
      <c r="H24" s="54">
        <v>7</v>
      </c>
      <c r="I24" s="54">
        <v>30</v>
      </c>
      <c r="J24" s="55">
        <f t="shared" si="6"/>
        <v>107</v>
      </c>
      <c r="K24" s="54">
        <f t="shared" si="7"/>
        <v>4</v>
      </c>
      <c r="L24" s="65"/>
      <c r="M24" s="54">
        <v>15</v>
      </c>
      <c r="N24" s="54">
        <v>57</v>
      </c>
      <c r="O24" s="54">
        <v>9</v>
      </c>
      <c r="P24" s="54">
        <v>27</v>
      </c>
      <c r="Q24" s="55">
        <f t="shared" si="0"/>
        <v>108</v>
      </c>
      <c r="R24" s="54">
        <f t="shared" si="8"/>
        <v>4</v>
      </c>
      <c r="S24" s="65"/>
      <c r="T24" s="54">
        <v>10</v>
      </c>
      <c r="U24" s="54">
        <v>30</v>
      </c>
      <c r="V24" s="55">
        <f t="shared" si="9"/>
        <v>40</v>
      </c>
      <c r="W24" s="54">
        <f t="shared" si="10"/>
        <v>2</v>
      </c>
      <c r="X24" s="65"/>
      <c r="Y24" s="54">
        <v>16</v>
      </c>
      <c r="Z24" s="54">
        <v>55</v>
      </c>
      <c r="AA24" s="55">
        <f t="shared" si="1"/>
        <v>71</v>
      </c>
      <c r="AB24" s="54">
        <f t="shared" si="11"/>
        <v>4</v>
      </c>
      <c r="AC24" s="65"/>
      <c r="AD24" s="54">
        <v>12</v>
      </c>
      <c r="AE24" s="54">
        <v>62</v>
      </c>
      <c r="AF24" s="55">
        <f t="shared" si="2"/>
        <v>74</v>
      </c>
      <c r="AG24" s="54">
        <f t="shared" si="12"/>
        <v>4</v>
      </c>
      <c r="AH24" s="65"/>
      <c r="AI24" s="54">
        <v>15</v>
      </c>
      <c r="AJ24" s="54">
        <v>62</v>
      </c>
      <c r="AK24" s="55">
        <f t="shared" si="3"/>
        <v>77</v>
      </c>
      <c r="AL24" s="54">
        <f t="shared" si="13"/>
        <v>4</v>
      </c>
      <c r="AM24" s="65"/>
      <c r="AN24" s="54"/>
      <c r="AO24" s="54">
        <v>37</v>
      </c>
      <c r="AP24" s="55">
        <f t="shared" si="14"/>
        <v>37</v>
      </c>
      <c r="AQ24" s="54">
        <f t="shared" si="15"/>
        <v>4</v>
      </c>
      <c r="AR24" s="65"/>
      <c r="AS24" s="54">
        <f t="shared" si="4"/>
        <v>26</v>
      </c>
      <c r="AT24" s="56">
        <f t="shared" si="16"/>
        <v>3.7142857142857144</v>
      </c>
      <c r="AU24" s="55">
        <f t="shared" si="17"/>
        <v>477</v>
      </c>
      <c r="AV24" s="1">
        <v>41</v>
      </c>
      <c r="AW24" s="1">
        <v>65</v>
      </c>
      <c r="AX24" s="57" t="str">
        <f t="shared" si="5"/>
        <v>GOOD</v>
      </c>
    </row>
    <row r="25" spans="1:50" s="47" customFormat="1" ht="12" customHeight="1">
      <c r="A25" s="41">
        <v>18</v>
      </c>
      <c r="B25" s="45">
        <v>61</v>
      </c>
      <c r="C25" s="46" t="s">
        <v>106</v>
      </c>
      <c r="D25" s="46" t="s">
        <v>107</v>
      </c>
      <c r="E25" s="46" t="s">
        <v>108</v>
      </c>
      <c r="F25" s="54">
        <v>19</v>
      </c>
      <c r="G25" s="54">
        <v>69</v>
      </c>
      <c r="H25" s="54">
        <v>10</v>
      </c>
      <c r="I25" s="54">
        <v>29</v>
      </c>
      <c r="J25" s="55">
        <f t="shared" si="6"/>
        <v>127</v>
      </c>
      <c r="K25" s="54">
        <f t="shared" si="7"/>
        <v>5</v>
      </c>
      <c r="L25" s="65"/>
      <c r="M25" s="54">
        <v>20</v>
      </c>
      <c r="N25" s="54">
        <v>50</v>
      </c>
      <c r="O25" s="54">
        <v>9</v>
      </c>
      <c r="P25" s="54">
        <v>35</v>
      </c>
      <c r="Q25" s="55">
        <f t="shared" si="0"/>
        <v>114</v>
      </c>
      <c r="R25" s="54">
        <f t="shared" si="8"/>
        <v>4</v>
      </c>
      <c r="S25" s="65"/>
      <c r="T25" s="54">
        <v>17</v>
      </c>
      <c r="U25" s="54">
        <v>56</v>
      </c>
      <c r="V25" s="55">
        <f t="shared" si="9"/>
        <v>73</v>
      </c>
      <c r="W25" s="54">
        <f t="shared" si="10"/>
        <v>4</v>
      </c>
      <c r="X25" s="65"/>
      <c r="Y25" s="54">
        <v>14</v>
      </c>
      <c r="Z25" s="54">
        <v>66</v>
      </c>
      <c r="AA25" s="55">
        <f t="shared" si="1"/>
        <v>80</v>
      </c>
      <c r="AB25" s="54">
        <f t="shared" si="11"/>
        <v>5</v>
      </c>
      <c r="AC25" s="65"/>
      <c r="AD25" s="54">
        <v>16</v>
      </c>
      <c r="AE25" s="54">
        <v>72</v>
      </c>
      <c r="AF25" s="55">
        <f t="shared" si="2"/>
        <v>88</v>
      </c>
      <c r="AG25" s="54">
        <f t="shared" si="12"/>
        <v>5</v>
      </c>
      <c r="AH25" s="65"/>
      <c r="AI25" s="54">
        <v>20</v>
      </c>
      <c r="AJ25" s="54">
        <v>75</v>
      </c>
      <c r="AK25" s="55">
        <f t="shared" si="3"/>
        <v>95</v>
      </c>
      <c r="AL25" s="54">
        <f t="shared" si="13"/>
        <v>5</v>
      </c>
      <c r="AM25" s="65"/>
      <c r="AN25" s="54"/>
      <c r="AO25" s="54">
        <v>23</v>
      </c>
      <c r="AP25" s="55">
        <f t="shared" si="14"/>
        <v>23</v>
      </c>
      <c r="AQ25" s="54">
        <f t="shared" si="15"/>
        <v>2</v>
      </c>
      <c r="AR25" s="65"/>
      <c r="AS25" s="54">
        <f t="shared" si="4"/>
        <v>30</v>
      </c>
      <c r="AT25" s="56">
        <f t="shared" si="16"/>
        <v>4.2857142857142856</v>
      </c>
      <c r="AU25" s="55">
        <f t="shared" si="17"/>
        <v>577</v>
      </c>
      <c r="AV25" s="1">
        <v>26</v>
      </c>
      <c r="AW25" s="1">
        <v>67</v>
      </c>
      <c r="AX25" s="57" t="str">
        <f t="shared" si="5"/>
        <v>BETTER</v>
      </c>
    </row>
    <row r="26" spans="1:50" s="47" customFormat="1" ht="12" customHeight="1">
      <c r="A26" s="41">
        <v>19</v>
      </c>
      <c r="B26" s="45">
        <v>63</v>
      </c>
      <c r="C26" s="46" t="s">
        <v>109</v>
      </c>
      <c r="D26" s="46" t="s">
        <v>110</v>
      </c>
      <c r="E26" s="46" t="s">
        <v>111</v>
      </c>
      <c r="F26" s="54">
        <v>16</v>
      </c>
      <c r="G26" s="54">
        <v>39</v>
      </c>
      <c r="H26" s="54">
        <v>6</v>
      </c>
      <c r="I26" s="54">
        <v>16</v>
      </c>
      <c r="J26" s="55">
        <f t="shared" si="6"/>
        <v>77</v>
      </c>
      <c r="K26" s="54">
        <f t="shared" si="7"/>
        <v>3</v>
      </c>
      <c r="L26" s="65"/>
      <c r="M26" s="54">
        <v>18</v>
      </c>
      <c r="N26" s="54">
        <v>63</v>
      </c>
      <c r="O26" s="54">
        <v>9</v>
      </c>
      <c r="P26" s="54">
        <v>30</v>
      </c>
      <c r="Q26" s="55">
        <f t="shared" si="0"/>
        <v>120</v>
      </c>
      <c r="R26" s="54">
        <f t="shared" si="8"/>
        <v>5</v>
      </c>
      <c r="S26" s="65"/>
      <c r="T26" s="54">
        <v>11</v>
      </c>
      <c r="U26" s="54">
        <v>20</v>
      </c>
      <c r="V26" s="55">
        <f t="shared" si="9"/>
        <v>31</v>
      </c>
      <c r="W26" s="54" t="str">
        <f t="shared" si="10"/>
        <v>F</v>
      </c>
      <c r="X26" s="65"/>
      <c r="Y26" s="54">
        <v>13</v>
      </c>
      <c r="Z26" s="54">
        <v>48</v>
      </c>
      <c r="AA26" s="55">
        <f t="shared" si="1"/>
        <v>61</v>
      </c>
      <c r="AB26" s="54">
        <f t="shared" si="11"/>
        <v>3.5</v>
      </c>
      <c r="AC26" s="65"/>
      <c r="AD26" s="54">
        <v>8</v>
      </c>
      <c r="AE26" s="54">
        <v>36</v>
      </c>
      <c r="AF26" s="55">
        <f t="shared" si="2"/>
        <v>44</v>
      </c>
      <c r="AG26" s="54">
        <f t="shared" si="12"/>
        <v>2</v>
      </c>
      <c r="AH26" s="65"/>
      <c r="AI26" s="54">
        <v>17</v>
      </c>
      <c r="AJ26" s="54">
        <v>59</v>
      </c>
      <c r="AK26" s="55">
        <f t="shared" si="3"/>
        <v>76</v>
      </c>
      <c r="AL26" s="54">
        <f t="shared" si="13"/>
        <v>4</v>
      </c>
      <c r="AM26" s="65"/>
      <c r="AN26" s="54"/>
      <c r="AO26" s="54">
        <v>10</v>
      </c>
      <c r="AP26" s="55">
        <f t="shared" si="14"/>
        <v>10</v>
      </c>
      <c r="AQ26" s="54" t="str">
        <f t="shared" si="15"/>
        <v>F</v>
      </c>
      <c r="AR26" s="65"/>
      <c r="AS26" s="54" t="str">
        <f t="shared" si="4"/>
        <v>F</v>
      </c>
      <c r="AT26" s="56" t="str">
        <f t="shared" si="16"/>
        <v>F</v>
      </c>
      <c r="AU26" s="55">
        <f t="shared" si="17"/>
        <v>409</v>
      </c>
      <c r="AV26" s="1"/>
      <c r="AW26" s="1">
        <v>65</v>
      </c>
      <c r="AX26" s="57" t="str">
        <f t="shared" si="5"/>
        <v>NEED TO PROGRESS</v>
      </c>
    </row>
    <row r="27" spans="1:50" s="47" customFormat="1" ht="12" customHeight="1">
      <c r="A27" s="41">
        <v>20</v>
      </c>
      <c r="B27" s="45">
        <v>67</v>
      </c>
      <c r="C27" s="46" t="s">
        <v>112</v>
      </c>
      <c r="D27" s="46" t="s">
        <v>113</v>
      </c>
      <c r="E27" s="46" t="s">
        <v>114</v>
      </c>
      <c r="F27" s="54">
        <v>11</v>
      </c>
      <c r="G27" s="54">
        <v>15</v>
      </c>
      <c r="H27" s="54">
        <v>5</v>
      </c>
      <c r="I27" s="54">
        <v>6</v>
      </c>
      <c r="J27" s="55">
        <f t="shared" si="6"/>
        <v>37</v>
      </c>
      <c r="K27" s="54" t="str">
        <f t="shared" si="7"/>
        <v>F</v>
      </c>
      <c r="L27" s="65"/>
      <c r="M27" s="54">
        <v>9</v>
      </c>
      <c r="N27" s="54">
        <v>7</v>
      </c>
      <c r="O27" s="54">
        <v>6</v>
      </c>
      <c r="P27" s="54">
        <v>16</v>
      </c>
      <c r="Q27" s="55">
        <f t="shared" si="0"/>
        <v>38</v>
      </c>
      <c r="R27" s="54" t="str">
        <f t="shared" si="8"/>
        <v>F</v>
      </c>
      <c r="S27" s="65"/>
      <c r="T27" s="54">
        <v>4</v>
      </c>
      <c r="U27" s="54">
        <v>6</v>
      </c>
      <c r="V27" s="55">
        <f t="shared" si="9"/>
        <v>10</v>
      </c>
      <c r="W27" s="54" t="str">
        <f t="shared" si="10"/>
        <v>F</v>
      </c>
      <c r="X27" s="65"/>
      <c r="Y27" s="54">
        <v>11</v>
      </c>
      <c r="Z27" s="54">
        <v>37</v>
      </c>
      <c r="AA27" s="55">
        <f t="shared" si="1"/>
        <v>48</v>
      </c>
      <c r="AB27" s="54">
        <f t="shared" si="11"/>
        <v>2</v>
      </c>
      <c r="AC27" s="65"/>
      <c r="AD27" s="54"/>
      <c r="AE27" s="54">
        <v>10</v>
      </c>
      <c r="AF27" s="55">
        <f t="shared" si="2"/>
        <v>10</v>
      </c>
      <c r="AG27" s="54" t="str">
        <f t="shared" si="12"/>
        <v>F</v>
      </c>
      <c r="AH27" s="65"/>
      <c r="AI27" s="54">
        <v>8</v>
      </c>
      <c r="AJ27" s="54">
        <v>12</v>
      </c>
      <c r="AK27" s="55">
        <f t="shared" si="3"/>
        <v>20</v>
      </c>
      <c r="AL27" s="54" t="str">
        <f t="shared" si="13"/>
        <v>F</v>
      </c>
      <c r="AM27" s="65"/>
      <c r="AN27" s="54"/>
      <c r="AO27" s="54">
        <v>28</v>
      </c>
      <c r="AP27" s="55">
        <f t="shared" si="14"/>
        <v>28</v>
      </c>
      <c r="AQ27" s="54">
        <f t="shared" si="15"/>
        <v>3</v>
      </c>
      <c r="AR27" s="65"/>
      <c r="AS27" s="54" t="str">
        <f t="shared" si="4"/>
        <v>F</v>
      </c>
      <c r="AT27" s="56" t="str">
        <f t="shared" si="16"/>
        <v>F</v>
      </c>
      <c r="AU27" s="55">
        <f t="shared" si="17"/>
        <v>163</v>
      </c>
      <c r="AV27" s="1"/>
      <c r="AW27" s="1">
        <v>64</v>
      </c>
      <c r="AX27" s="57" t="str">
        <f t="shared" si="5"/>
        <v>NEED TO PROGRESS</v>
      </c>
    </row>
    <row r="28" spans="1:50" s="47" customFormat="1" ht="12" customHeight="1">
      <c r="A28" s="41">
        <v>21</v>
      </c>
      <c r="B28" s="45">
        <v>68</v>
      </c>
      <c r="C28" s="46" t="s">
        <v>115</v>
      </c>
      <c r="D28" s="46" t="s">
        <v>116</v>
      </c>
      <c r="E28" s="46" t="s">
        <v>117</v>
      </c>
      <c r="F28" s="54">
        <v>20</v>
      </c>
      <c r="G28" s="54">
        <v>50</v>
      </c>
      <c r="H28" s="54">
        <v>7</v>
      </c>
      <c r="I28" s="54">
        <v>22</v>
      </c>
      <c r="J28" s="55">
        <f t="shared" ref="J28:J39" si="29">I28+H28+G28+F28</f>
        <v>99</v>
      </c>
      <c r="K28" s="54">
        <f t="shared" ref="K28:K39" si="30">IF(J28&lt;60,"F",IF(J28&lt;75,2,IF(J28&lt;90,3,IF(J28&lt;105,3.5,IF(J28&lt;120,4,5)))))</f>
        <v>3.5</v>
      </c>
      <c r="L28" s="65"/>
      <c r="M28" s="54">
        <v>18</v>
      </c>
      <c r="N28" s="54">
        <v>28</v>
      </c>
      <c r="O28" s="54">
        <v>7</v>
      </c>
      <c r="P28" s="54">
        <v>19</v>
      </c>
      <c r="Q28" s="55">
        <f t="shared" ref="Q28:Q43" si="31">M28+N28+O28+P28</f>
        <v>72</v>
      </c>
      <c r="R28" s="54">
        <f t="shared" ref="R28:R43" si="32">IF(Q28&lt;60,"F",IF(Q28&lt;75,2,IF(Q28&lt;90,3,IF(Q28&lt;105,3.5,IF(Q28&lt;120,4,5)))))</f>
        <v>2</v>
      </c>
      <c r="S28" s="65"/>
      <c r="T28" s="54">
        <v>10</v>
      </c>
      <c r="U28" s="54">
        <v>49</v>
      </c>
      <c r="V28" s="55">
        <f t="shared" ref="V28:V43" si="33">SUM(T28+U28)</f>
        <v>59</v>
      </c>
      <c r="W28" s="54">
        <f t="shared" ref="W28:W43" si="34">IF(V28&lt;40,"F",IF(V28&lt;50,2,IF(V28&lt;60,3,IF(V28&lt;70,3.5,IF(V28&lt;80,4,5)))))</f>
        <v>3</v>
      </c>
      <c r="X28" s="65"/>
      <c r="Y28" s="54">
        <v>14</v>
      </c>
      <c r="Z28" s="54">
        <v>48</v>
      </c>
      <c r="AA28" s="55">
        <f t="shared" si="1"/>
        <v>62</v>
      </c>
      <c r="AB28" s="54">
        <f t="shared" ref="AB28:AB43" si="35">IF(AA28&lt;40,"F",IF(AA28&lt;50,2,IF(AA28&lt;60,3,IF(AA28&lt;70,3.5,IF(AA28&lt;80,4,5)))))</f>
        <v>3.5</v>
      </c>
      <c r="AC28" s="65"/>
      <c r="AD28" s="54">
        <v>10</v>
      </c>
      <c r="AE28" s="54">
        <v>44</v>
      </c>
      <c r="AF28" s="55">
        <f t="shared" ref="AF28:AF43" si="36">AD28+AE28</f>
        <v>54</v>
      </c>
      <c r="AG28" s="54">
        <f t="shared" ref="AG28:AG43" si="37">IF(AF28&lt;40,"F",IF(AF28&lt;50,2,IF(AF28&lt;60,3,IF(AF28&lt;70,3.5,IF(AF28&lt;80,4,5)))))</f>
        <v>3</v>
      </c>
      <c r="AH28" s="65"/>
      <c r="AI28" s="54">
        <v>18</v>
      </c>
      <c r="AJ28" s="54">
        <v>70</v>
      </c>
      <c r="AK28" s="55">
        <f t="shared" ref="AK28:AK39" si="38">AI28+AJ28</f>
        <v>88</v>
      </c>
      <c r="AL28" s="54">
        <f t="shared" ref="AL28:AL39" si="39">IF(AK28&lt;40,"F",IF(AK28&lt;50,2,IF(AK28&lt;60,3,IF(AK28&lt;70,3.5,IF(AK28&lt;80,4,5)))))</f>
        <v>5</v>
      </c>
      <c r="AM28" s="65"/>
      <c r="AN28" s="54"/>
      <c r="AO28" s="54">
        <v>28</v>
      </c>
      <c r="AP28" s="55">
        <f t="shared" ref="AP28:AP39" si="40">AO28</f>
        <v>28</v>
      </c>
      <c r="AQ28" s="54">
        <f t="shared" ref="AQ28:AQ39" si="41">IF(AP28&lt;20,"F",IF(AP28&lt;25,2,IF(AP28&lt;30,3,IF(AP28&lt;35,3.5,IF(AP28&lt;40,4,5)))))</f>
        <v>3</v>
      </c>
      <c r="AR28" s="65"/>
      <c r="AS28" s="54">
        <f t="shared" ref="AS28:AS39" si="42">IF(K28="F","F",IF(R28="F","F",IF(W28="F","F",IF(AB28="F","F",IF(AG28="F","F",IF(AL28="F","F",IF(AQ28="F","F",SUM(K28,R28,W28,AB28,AG28,AL28,AQ28))))))))</f>
        <v>23</v>
      </c>
      <c r="AT28" s="56">
        <f t="shared" ref="AT28:AT39" si="43">IF(AS28="F","F", IF(AS28&gt;=35,5,IF(AS28&lt;35,AS28/7)))</f>
        <v>3.2857142857142856</v>
      </c>
      <c r="AU28" s="55">
        <f t="shared" si="17"/>
        <v>434</v>
      </c>
      <c r="AV28" s="1">
        <v>44</v>
      </c>
      <c r="AW28" s="1">
        <v>62</v>
      </c>
      <c r="AX28" s="57" t="str">
        <f t="shared" ref="AX28:AX39" si="44">IF(AT28="F","NEED TO PROGRESS",IF(AT28&gt;=5,"BEST",IF(AT28&gt;=4,"BETTER",IF(AT28&gt;2,"GOOD"))))</f>
        <v>GOOD</v>
      </c>
    </row>
    <row r="29" spans="1:50" s="47" customFormat="1" ht="12" customHeight="1">
      <c r="A29" s="41">
        <v>22</v>
      </c>
      <c r="B29" s="45">
        <v>69</v>
      </c>
      <c r="C29" s="46" t="s">
        <v>118</v>
      </c>
      <c r="D29" s="46" t="s">
        <v>119</v>
      </c>
      <c r="E29" s="46" t="s">
        <v>120</v>
      </c>
      <c r="F29" s="54">
        <v>16</v>
      </c>
      <c r="G29" s="54">
        <v>56</v>
      </c>
      <c r="H29" s="54">
        <v>7</v>
      </c>
      <c r="I29" s="54">
        <v>16</v>
      </c>
      <c r="J29" s="55">
        <f t="shared" si="29"/>
        <v>95</v>
      </c>
      <c r="K29" s="54">
        <f t="shared" si="30"/>
        <v>3.5</v>
      </c>
      <c r="L29" s="65"/>
      <c r="M29" s="54">
        <v>14</v>
      </c>
      <c r="N29" s="54">
        <v>18</v>
      </c>
      <c r="O29" s="54">
        <v>7</v>
      </c>
      <c r="P29" s="54">
        <v>18</v>
      </c>
      <c r="Q29" s="55">
        <f t="shared" si="31"/>
        <v>57</v>
      </c>
      <c r="R29" s="54" t="str">
        <f t="shared" si="32"/>
        <v>F</v>
      </c>
      <c r="S29" s="65"/>
      <c r="T29" s="54">
        <v>5</v>
      </c>
      <c r="U29" s="54">
        <v>14</v>
      </c>
      <c r="V29" s="55">
        <f t="shared" si="33"/>
        <v>19</v>
      </c>
      <c r="W29" s="54" t="str">
        <f t="shared" si="34"/>
        <v>F</v>
      </c>
      <c r="X29" s="65"/>
      <c r="Y29" s="54">
        <v>15</v>
      </c>
      <c r="Z29" s="54">
        <v>54</v>
      </c>
      <c r="AA29" s="55">
        <f t="shared" si="1"/>
        <v>69</v>
      </c>
      <c r="AB29" s="54">
        <f t="shared" si="35"/>
        <v>3.5</v>
      </c>
      <c r="AC29" s="65"/>
      <c r="AD29" s="54">
        <v>8</v>
      </c>
      <c r="AE29" s="54">
        <v>47</v>
      </c>
      <c r="AF29" s="55">
        <f t="shared" si="36"/>
        <v>55</v>
      </c>
      <c r="AG29" s="54">
        <f t="shared" si="37"/>
        <v>3</v>
      </c>
      <c r="AH29" s="65"/>
      <c r="AI29" s="54">
        <v>14</v>
      </c>
      <c r="AJ29" s="54">
        <v>53</v>
      </c>
      <c r="AK29" s="55">
        <f t="shared" si="38"/>
        <v>67</v>
      </c>
      <c r="AL29" s="54">
        <f t="shared" si="39"/>
        <v>3.5</v>
      </c>
      <c r="AM29" s="65"/>
      <c r="AN29" s="54"/>
      <c r="AO29" s="54">
        <v>29</v>
      </c>
      <c r="AP29" s="55">
        <f t="shared" si="40"/>
        <v>29</v>
      </c>
      <c r="AQ29" s="54">
        <f t="shared" si="41"/>
        <v>3</v>
      </c>
      <c r="AR29" s="65"/>
      <c r="AS29" s="54" t="str">
        <f t="shared" si="42"/>
        <v>F</v>
      </c>
      <c r="AT29" s="56" t="str">
        <f t="shared" si="43"/>
        <v>F</v>
      </c>
      <c r="AU29" s="55">
        <f t="shared" si="17"/>
        <v>362</v>
      </c>
      <c r="AV29" s="1"/>
      <c r="AW29" s="1">
        <v>62</v>
      </c>
      <c r="AX29" s="57" t="str">
        <f t="shared" si="44"/>
        <v>NEED TO PROGRESS</v>
      </c>
    </row>
    <row r="30" spans="1:50" s="47" customFormat="1" ht="12" customHeight="1">
      <c r="A30" s="41">
        <v>23</v>
      </c>
      <c r="B30" s="45">
        <v>70</v>
      </c>
      <c r="C30" s="46" t="s">
        <v>121</v>
      </c>
      <c r="D30" s="46" t="s">
        <v>122</v>
      </c>
      <c r="E30" s="46" t="s">
        <v>123</v>
      </c>
      <c r="F30" s="54">
        <v>13</v>
      </c>
      <c r="G30" s="54">
        <v>34</v>
      </c>
      <c r="H30" s="54">
        <v>7</v>
      </c>
      <c r="I30" s="54">
        <v>18</v>
      </c>
      <c r="J30" s="55">
        <f t="shared" si="29"/>
        <v>72</v>
      </c>
      <c r="K30" s="54">
        <f t="shared" si="30"/>
        <v>2</v>
      </c>
      <c r="L30" s="65"/>
      <c r="M30" s="54">
        <v>8</v>
      </c>
      <c r="N30" s="54">
        <v>18</v>
      </c>
      <c r="O30" s="54">
        <v>7</v>
      </c>
      <c r="P30" s="54">
        <v>11</v>
      </c>
      <c r="Q30" s="55">
        <f t="shared" si="31"/>
        <v>44</v>
      </c>
      <c r="R30" s="54" t="str">
        <f t="shared" si="32"/>
        <v>F</v>
      </c>
      <c r="S30" s="65"/>
      <c r="T30" s="54">
        <v>10</v>
      </c>
      <c r="U30" s="54">
        <v>16</v>
      </c>
      <c r="V30" s="55">
        <f t="shared" si="33"/>
        <v>26</v>
      </c>
      <c r="W30" s="54" t="str">
        <f t="shared" si="34"/>
        <v>F</v>
      </c>
      <c r="X30" s="65"/>
      <c r="Y30" s="54">
        <v>13</v>
      </c>
      <c r="Z30" s="54">
        <v>48</v>
      </c>
      <c r="AA30" s="55">
        <f t="shared" si="1"/>
        <v>61</v>
      </c>
      <c r="AB30" s="54">
        <f t="shared" si="35"/>
        <v>3.5</v>
      </c>
      <c r="AC30" s="65"/>
      <c r="AD30" s="54">
        <v>3</v>
      </c>
      <c r="AE30" s="54">
        <v>26</v>
      </c>
      <c r="AF30" s="55">
        <f t="shared" si="36"/>
        <v>29</v>
      </c>
      <c r="AG30" s="54" t="str">
        <f t="shared" si="37"/>
        <v>F</v>
      </c>
      <c r="AH30" s="65"/>
      <c r="AI30" s="54">
        <v>10</v>
      </c>
      <c r="AJ30" s="54">
        <v>30</v>
      </c>
      <c r="AK30" s="55">
        <f t="shared" si="38"/>
        <v>40</v>
      </c>
      <c r="AL30" s="54">
        <f t="shared" si="39"/>
        <v>2</v>
      </c>
      <c r="AM30" s="65"/>
      <c r="AN30" s="54"/>
      <c r="AO30" s="54">
        <v>33</v>
      </c>
      <c r="AP30" s="55">
        <f t="shared" si="40"/>
        <v>33</v>
      </c>
      <c r="AQ30" s="54">
        <f t="shared" si="41"/>
        <v>3.5</v>
      </c>
      <c r="AR30" s="65"/>
      <c r="AS30" s="54" t="str">
        <f t="shared" si="42"/>
        <v>F</v>
      </c>
      <c r="AT30" s="56" t="str">
        <f t="shared" si="43"/>
        <v>F</v>
      </c>
      <c r="AU30" s="55">
        <f t="shared" si="17"/>
        <v>272</v>
      </c>
      <c r="AV30" s="1"/>
      <c r="AW30" s="1">
        <v>61</v>
      </c>
      <c r="AX30" s="57" t="str">
        <f t="shared" si="44"/>
        <v>NEED TO PROGRESS</v>
      </c>
    </row>
    <row r="31" spans="1:50" s="47" customFormat="1" ht="12" customHeight="1">
      <c r="A31" s="41">
        <v>24</v>
      </c>
      <c r="B31" s="45">
        <v>71</v>
      </c>
      <c r="C31" s="46" t="s">
        <v>124</v>
      </c>
      <c r="D31" s="46" t="s">
        <v>116</v>
      </c>
      <c r="E31" s="46" t="s">
        <v>125</v>
      </c>
      <c r="F31" s="54">
        <v>15</v>
      </c>
      <c r="G31" s="54">
        <v>32</v>
      </c>
      <c r="H31" s="54">
        <v>5</v>
      </c>
      <c r="I31" s="54">
        <v>17</v>
      </c>
      <c r="J31" s="55">
        <f t="shared" si="29"/>
        <v>69</v>
      </c>
      <c r="K31" s="54">
        <f t="shared" si="30"/>
        <v>2</v>
      </c>
      <c r="L31" s="65"/>
      <c r="M31" s="54">
        <v>11</v>
      </c>
      <c r="N31" s="54">
        <v>16</v>
      </c>
      <c r="O31" s="54">
        <v>7</v>
      </c>
      <c r="P31" s="54">
        <v>16</v>
      </c>
      <c r="Q31" s="55">
        <f t="shared" si="31"/>
        <v>50</v>
      </c>
      <c r="R31" s="54" t="str">
        <f t="shared" si="32"/>
        <v>F</v>
      </c>
      <c r="S31" s="65"/>
      <c r="T31" s="54">
        <v>4</v>
      </c>
      <c r="U31" s="54">
        <v>12</v>
      </c>
      <c r="V31" s="55">
        <f t="shared" si="33"/>
        <v>16</v>
      </c>
      <c r="W31" s="54" t="str">
        <f t="shared" si="34"/>
        <v>F</v>
      </c>
      <c r="X31" s="65"/>
      <c r="Y31" s="54">
        <v>12</v>
      </c>
      <c r="Z31" s="54">
        <v>37</v>
      </c>
      <c r="AA31" s="55">
        <f t="shared" si="1"/>
        <v>49</v>
      </c>
      <c r="AB31" s="54">
        <f t="shared" si="35"/>
        <v>2</v>
      </c>
      <c r="AC31" s="65"/>
      <c r="AD31" s="54">
        <v>13</v>
      </c>
      <c r="AE31" s="54">
        <v>29</v>
      </c>
      <c r="AF31" s="55">
        <f t="shared" si="36"/>
        <v>42</v>
      </c>
      <c r="AG31" s="54">
        <f t="shared" si="37"/>
        <v>2</v>
      </c>
      <c r="AH31" s="65"/>
      <c r="AI31" s="54">
        <v>15</v>
      </c>
      <c r="AJ31" s="54">
        <v>43</v>
      </c>
      <c r="AK31" s="55">
        <f t="shared" si="38"/>
        <v>58</v>
      </c>
      <c r="AL31" s="54">
        <f t="shared" si="39"/>
        <v>3</v>
      </c>
      <c r="AM31" s="65"/>
      <c r="AN31" s="54"/>
      <c r="AO31" s="54">
        <v>37</v>
      </c>
      <c r="AP31" s="55">
        <f t="shared" si="40"/>
        <v>37</v>
      </c>
      <c r="AQ31" s="54">
        <f t="shared" si="41"/>
        <v>4</v>
      </c>
      <c r="AR31" s="65"/>
      <c r="AS31" s="54" t="str">
        <f t="shared" si="42"/>
        <v>F</v>
      </c>
      <c r="AT31" s="56" t="str">
        <f t="shared" si="43"/>
        <v>F</v>
      </c>
      <c r="AU31" s="55">
        <f t="shared" si="17"/>
        <v>284</v>
      </c>
      <c r="AV31" s="1"/>
      <c r="AW31" s="1">
        <v>59</v>
      </c>
      <c r="AX31" s="57" t="str">
        <f t="shared" si="44"/>
        <v>NEED TO PROGRESS</v>
      </c>
    </row>
    <row r="32" spans="1:50" s="47" customFormat="1" ht="12" customHeight="1">
      <c r="A32" s="41">
        <v>25</v>
      </c>
      <c r="B32" s="45">
        <v>72</v>
      </c>
      <c r="C32" s="46" t="s">
        <v>126</v>
      </c>
      <c r="D32" s="46" t="s">
        <v>127</v>
      </c>
      <c r="E32" s="46" t="s">
        <v>128</v>
      </c>
      <c r="F32" s="54">
        <v>16</v>
      </c>
      <c r="G32" s="54">
        <v>43</v>
      </c>
      <c r="H32" s="54">
        <v>7</v>
      </c>
      <c r="I32" s="54">
        <v>19</v>
      </c>
      <c r="J32" s="55">
        <f t="shared" si="29"/>
        <v>85</v>
      </c>
      <c r="K32" s="54">
        <f t="shared" si="30"/>
        <v>3</v>
      </c>
      <c r="L32" s="65"/>
      <c r="M32" s="54">
        <v>8</v>
      </c>
      <c r="N32" s="54">
        <v>20</v>
      </c>
      <c r="O32" s="54">
        <v>5</v>
      </c>
      <c r="P32" s="54">
        <v>5</v>
      </c>
      <c r="Q32" s="55">
        <f t="shared" si="31"/>
        <v>38</v>
      </c>
      <c r="R32" s="54" t="str">
        <f t="shared" si="32"/>
        <v>F</v>
      </c>
      <c r="S32" s="65"/>
      <c r="T32" s="54">
        <v>4</v>
      </c>
      <c r="U32" s="54">
        <v>14</v>
      </c>
      <c r="V32" s="55">
        <f t="shared" si="33"/>
        <v>18</v>
      </c>
      <c r="W32" s="54" t="str">
        <f t="shared" si="34"/>
        <v>F</v>
      </c>
      <c r="X32" s="65"/>
      <c r="Y32" s="54">
        <v>13</v>
      </c>
      <c r="Z32" s="54">
        <v>37</v>
      </c>
      <c r="AA32" s="55">
        <f t="shared" si="1"/>
        <v>50</v>
      </c>
      <c r="AB32" s="54">
        <f t="shared" si="35"/>
        <v>3</v>
      </c>
      <c r="AC32" s="65"/>
      <c r="AD32" s="54">
        <v>6</v>
      </c>
      <c r="AE32" s="54">
        <v>21</v>
      </c>
      <c r="AF32" s="55">
        <f t="shared" si="36"/>
        <v>27</v>
      </c>
      <c r="AG32" s="54" t="str">
        <f t="shared" si="37"/>
        <v>F</v>
      </c>
      <c r="AH32" s="65"/>
      <c r="AI32" s="54">
        <v>12</v>
      </c>
      <c r="AJ32" s="54">
        <v>42</v>
      </c>
      <c r="AK32" s="55">
        <f t="shared" si="38"/>
        <v>54</v>
      </c>
      <c r="AL32" s="54">
        <f t="shared" si="39"/>
        <v>3</v>
      </c>
      <c r="AM32" s="65"/>
      <c r="AN32" s="54"/>
      <c r="AO32" s="54">
        <v>14</v>
      </c>
      <c r="AP32" s="55">
        <f t="shared" si="40"/>
        <v>14</v>
      </c>
      <c r="AQ32" s="54" t="str">
        <f t="shared" si="41"/>
        <v>F</v>
      </c>
      <c r="AR32" s="65"/>
      <c r="AS32" s="54" t="str">
        <f t="shared" si="42"/>
        <v>F</v>
      </c>
      <c r="AT32" s="56" t="str">
        <f t="shared" si="43"/>
        <v>F</v>
      </c>
      <c r="AU32" s="55">
        <f t="shared" si="17"/>
        <v>272</v>
      </c>
      <c r="AV32" s="1"/>
      <c r="AW32" s="1">
        <v>63</v>
      </c>
      <c r="AX32" s="57" t="str">
        <f t="shared" si="44"/>
        <v>NEED TO PROGRESS</v>
      </c>
    </row>
    <row r="33" spans="1:50" s="47" customFormat="1" ht="12" customHeight="1">
      <c r="A33" s="41">
        <v>26</v>
      </c>
      <c r="B33" s="45">
        <v>73</v>
      </c>
      <c r="C33" s="46" t="s">
        <v>129</v>
      </c>
      <c r="D33" s="46" t="s">
        <v>130</v>
      </c>
      <c r="E33" s="46" t="s">
        <v>131</v>
      </c>
      <c r="F33" s="54">
        <v>18</v>
      </c>
      <c r="G33" s="54">
        <v>50</v>
      </c>
      <c r="H33" s="54">
        <v>9</v>
      </c>
      <c r="I33" s="54">
        <v>30</v>
      </c>
      <c r="J33" s="55">
        <f t="shared" si="29"/>
        <v>107</v>
      </c>
      <c r="K33" s="54">
        <f t="shared" si="30"/>
        <v>4</v>
      </c>
      <c r="L33" s="65"/>
      <c r="M33" s="54">
        <v>18</v>
      </c>
      <c r="N33" s="54">
        <v>53</v>
      </c>
      <c r="O33" s="54">
        <v>7</v>
      </c>
      <c r="P33" s="54">
        <v>29</v>
      </c>
      <c r="Q33" s="55">
        <f t="shared" si="31"/>
        <v>107</v>
      </c>
      <c r="R33" s="54">
        <f t="shared" si="32"/>
        <v>4</v>
      </c>
      <c r="S33" s="65"/>
      <c r="T33" s="54">
        <v>10</v>
      </c>
      <c r="U33" s="54">
        <v>37</v>
      </c>
      <c r="V33" s="55">
        <f t="shared" si="33"/>
        <v>47</v>
      </c>
      <c r="W33" s="54">
        <f t="shared" si="34"/>
        <v>2</v>
      </c>
      <c r="X33" s="65"/>
      <c r="Y33" s="54">
        <v>16</v>
      </c>
      <c r="Z33" s="54">
        <v>70</v>
      </c>
      <c r="AA33" s="55">
        <f t="shared" si="1"/>
        <v>86</v>
      </c>
      <c r="AB33" s="54">
        <f t="shared" si="35"/>
        <v>5</v>
      </c>
      <c r="AC33" s="65"/>
      <c r="AD33" s="54">
        <v>11</v>
      </c>
      <c r="AE33" s="54">
        <v>46</v>
      </c>
      <c r="AF33" s="55">
        <f t="shared" si="36"/>
        <v>57</v>
      </c>
      <c r="AG33" s="54">
        <f t="shared" si="37"/>
        <v>3</v>
      </c>
      <c r="AH33" s="65"/>
      <c r="AI33" s="54">
        <v>20</v>
      </c>
      <c r="AJ33" s="54">
        <v>62</v>
      </c>
      <c r="AK33" s="55">
        <f t="shared" si="38"/>
        <v>82</v>
      </c>
      <c r="AL33" s="54">
        <f t="shared" si="39"/>
        <v>5</v>
      </c>
      <c r="AM33" s="65"/>
      <c r="AN33" s="54"/>
      <c r="AO33" s="54">
        <v>32</v>
      </c>
      <c r="AP33" s="55">
        <f t="shared" si="40"/>
        <v>32</v>
      </c>
      <c r="AQ33" s="54">
        <f t="shared" si="41"/>
        <v>3.5</v>
      </c>
      <c r="AR33" s="65"/>
      <c r="AS33" s="54">
        <f t="shared" si="42"/>
        <v>26.5</v>
      </c>
      <c r="AT33" s="56">
        <f t="shared" si="43"/>
        <v>3.7857142857142856</v>
      </c>
      <c r="AU33" s="55">
        <f t="shared" si="17"/>
        <v>486</v>
      </c>
      <c r="AV33" s="1">
        <v>40</v>
      </c>
      <c r="AW33" s="1">
        <v>66</v>
      </c>
      <c r="AX33" s="57" t="str">
        <f t="shared" si="44"/>
        <v>GOOD</v>
      </c>
    </row>
    <row r="34" spans="1:50" s="47" customFormat="1" ht="12" customHeight="1">
      <c r="A34" s="41">
        <v>27</v>
      </c>
      <c r="B34" s="45">
        <v>74</v>
      </c>
      <c r="C34" s="46" t="s">
        <v>132</v>
      </c>
      <c r="D34" s="46" t="s">
        <v>133</v>
      </c>
      <c r="E34" s="46" t="s">
        <v>134</v>
      </c>
      <c r="F34" s="54">
        <v>17</v>
      </c>
      <c r="G34" s="54">
        <v>46</v>
      </c>
      <c r="H34" s="54">
        <v>7</v>
      </c>
      <c r="I34" s="54">
        <v>18</v>
      </c>
      <c r="J34" s="55">
        <f t="shared" si="29"/>
        <v>88</v>
      </c>
      <c r="K34" s="54">
        <f t="shared" si="30"/>
        <v>3</v>
      </c>
      <c r="L34" s="65"/>
      <c r="M34" s="54">
        <v>16</v>
      </c>
      <c r="N34" s="54">
        <v>24</v>
      </c>
      <c r="O34" s="54">
        <v>8</v>
      </c>
      <c r="P34" s="54">
        <v>19</v>
      </c>
      <c r="Q34" s="55">
        <f t="shared" si="31"/>
        <v>67</v>
      </c>
      <c r="R34" s="54">
        <f t="shared" si="32"/>
        <v>2</v>
      </c>
      <c r="S34" s="65"/>
      <c r="T34" s="54">
        <v>4</v>
      </c>
      <c r="U34" s="54">
        <v>28</v>
      </c>
      <c r="V34" s="55">
        <f t="shared" si="33"/>
        <v>32</v>
      </c>
      <c r="W34" s="54" t="str">
        <f t="shared" si="34"/>
        <v>F</v>
      </c>
      <c r="X34" s="65"/>
      <c r="Y34" s="54">
        <v>17</v>
      </c>
      <c r="Z34" s="54">
        <v>58</v>
      </c>
      <c r="AA34" s="55">
        <f t="shared" si="1"/>
        <v>75</v>
      </c>
      <c r="AB34" s="54">
        <f t="shared" si="35"/>
        <v>4</v>
      </c>
      <c r="AC34" s="65"/>
      <c r="AD34" s="54">
        <v>6</v>
      </c>
      <c r="AE34" s="54">
        <v>34</v>
      </c>
      <c r="AF34" s="55">
        <f t="shared" si="36"/>
        <v>40</v>
      </c>
      <c r="AG34" s="54">
        <f t="shared" si="37"/>
        <v>2</v>
      </c>
      <c r="AH34" s="65"/>
      <c r="AI34" s="54">
        <v>15</v>
      </c>
      <c r="AJ34" s="54">
        <v>33</v>
      </c>
      <c r="AK34" s="55">
        <f t="shared" si="38"/>
        <v>48</v>
      </c>
      <c r="AL34" s="54">
        <f t="shared" si="39"/>
        <v>2</v>
      </c>
      <c r="AM34" s="65"/>
      <c r="AN34" s="54"/>
      <c r="AO34" s="54">
        <v>22</v>
      </c>
      <c r="AP34" s="55">
        <f t="shared" si="40"/>
        <v>22</v>
      </c>
      <c r="AQ34" s="54">
        <f t="shared" si="41"/>
        <v>2</v>
      </c>
      <c r="AR34" s="65"/>
      <c r="AS34" s="54" t="str">
        <f t="shared" si="42"/>
        <v>F</v>
      </c>
      <c r="AT34" s="56" t="str">
        <f t="shared" si="43"/>
        <v>F</v>
      </c>
      <c r="AU34" s="55">
        <f t="shared" si="17"/>
        <v>350</v>
      </c>
      <c r="AV34" s="1"/>
      <c r="AW34" s="1">
        <v>60</v>
      </c>
      <c r="AX34" s="57" t="str">
        <f t="shared" si="44"/>
        <v>NEED TO PROGRESS</v>
      </c>
    </row>
    <row r="35" spans="1:50" s="47" customFormat="1" ht="12" customHeight="1">
      <c r="A35" s="41">
        <v>28</v>
      </c>
      <c r="B35" s="45">
        <v>75</v>
      </c>
      <c r="C35" s="46" t="s">
        <v>135</v>
      </c>
      <c r="D35" s="46" t="s">
        <v>136</v>
      </c>
      <c r="E35" s="46" t="s">
        <v>137</v>
      </c>
      <c r="F35" s="54">
        <v>19</v>
      </c>
      <c r="G35" s="54">
        <v>69</v>
      </c>
      <c r="H35" s="54">
        <v>10</v>
      </c>
      <c r="I35" s="54">
        <v>39</v>
      </c>
      <c r="J35" s="55">
        <f t="shared" si="29"/>
        <v>137</v>
      </c>
      <c r="K35" s="54">
        <f t="shared" si="30"/>
        <v>5</v>
      </c>
      <c r="L35" s="65"/>
      <c r="M35" s="54">
        <v>20</v>
      </c>
      <c r="N35" s="54">
        <v>60</v>
      </c>
      <c r="O35" s="54">
        <v>9</v>
      </c>
      <c r="P35" s="54">
        <v>34</v>
      </c>
      <c r="Q35" s="55">
        <f t="shared" si="31"/>
        <v>123</v>
      </c>
      <c r="R35" s="54">
        <f t="shared" si="32"/>
        <v>5</v>
      </c>
      <c r="S35" s="65"/>
      <c r="T35" s="54">
        <v>10</v>
      </c>
      <c r="U35" s="54">
        <v>63</v>
      </c>
      <c r="V35" s="55">
        <f t="shared" si="33"/>
        <v>73</v>
      </c>
      <c r="W35" s="54">
        <f t="shared" si="34"/>
        <v>4</v>
      </c>
      <c r="X35" s="65"/>
      <c r="Y35" s="54">
        <v>19</v>
      </c>
      <c r="Z35" s="54">
        <v>77</v>
      </c>
      <c r="AA35" s="55">
        <f t="shared" si="1"/>
        <v>96</v>
      </c>
      <c r="AB35" s="54">
        <f t="shared" si="35"/>
        <v>5</v>
      </c>
      <c r="AC35" s="65"/>
      <c r="AD35" s="54">
        <v>17</v>
      </c>
      <c r="AE35" s="54">
        <v>63</v>
      </c>
      <c r="AF35" s="55">
        <f t="shared" si="36"/>
        <v>80</v>
      </c>
      <c r="AG35" s="54">
        <f t="shared" si="37"/>
        <v>5</v>
      </c>
      <c r="AH35" s="65"/>
      <c r="AI35" s="54">
        <v>20</v>
      </c>
      <c r="AJ35" s="54">
        <v>72</v>
      </c>
      <c r="AK35" s="55">
        <f t="shared" si="38"/>
        <v>92</v>
      </c>
      <c r="AL35" s="54">
        <f t="shared" si="39"/>
        <v>5</v>
      </c>
      <c r="AM35" s="65"/>
      <c r="AN35" s="54"/>
      <c r="AO35" s="54">
        <v>26</v>
      </c>
      <c r="AP35" s="55">
        <f t="shared" si="40"/>
        <v>26</v>
      </c>
      <c r="AQ35" s="54">
        <f t="shared" si="41"/>
        <v>3</v>
      </c>
      <c r="AR35" s="65"/>
      <c r="AS35" s="54">
        <f t="shared" si="42"/>
        <v>32</v>
      </c>
      <c r="AT35" s="56">
        <f t="shared" si="43"/>
        <v>4.5714285714285712</v>
      </c>
      <c r="AU35" s="55">
        <f t="shared" si="17"/>
        <v>601</v>
      </c>
      <c r="AV35" s="1">
        <v>16</v>
      </c>
      <c r="AW35" s="1">
        <v>62</v>
      </c>
      <c r="AX35" s="57" t="str">
        <f t="shared" si="44"/>
        <v>BETTER</v>
      </c>
    </row>
    <row r="36" spans="1:50" s="47" customFormat="1" ht="12" customHeight="1">
      <c r="A36" s="41">
        <v>29</v>
      </c>
      <c r="B36" s="45">
        <v>76</v>
      </c>
      <c r="C36" s="46" t="s">
        <v>138</v>
      </c>
      <c r="D36" s="46" t="s">
        <v>139</v>
      </c>
      <c r="E36" s="46" t="s">
        <v>140</v>
      </c>
      <c r="F36" s="54">
        <v>19</v>
      </c>
      <c r="G36" s="54">
        <v>73</v>
      </c>
      <c r="H36" s="54">
        <v>10</v>
      </c>
      <c r="I36" s="54">
        <v>39</v>
      </c>
      <c r="J36" s="55">
        <f t="shared" si="29"/>
        <v>141</v>
      </c>
      <c r="K36" s="54">
        <f t="shared" si="30"/>
        <v>5</v>
      </c>
      <c r="L36" s="65"/>
      <c r="M36" s="54">
        <v>19</v>
      </c>
      <c r="N36" s="54">
        <v>76</v>
      </c>
      <c r="O36" s="54">
        <v>10</v>
      </c>
      <c r="P36" s="54">
        <v>38</v>
      </c>
      <c r="Q36" s="55">
        <f t="shared" si="31"/>
        <v>143</v>
      </c>
      <c r="R36" s="54">
        <f t="shared" si="32"/>
        <v>5</v>
      </c>
      <c r="S36" s="65"/>
      <c r="T36" s="54">
        <v>13</v>
      </c>
      <c r="U36" s="54">
        <v>58</v>
      </c>
      <c r="V36" s="55">
        <f t="shared" si="33"/>
        <v>71</v>
      </c>
      <c r="W36" s="54">
        <f t="shared" si="34"/>
        <v>4</v>
      </c>
      <c r="X36" s="65"/>
      <c r="Y36" s="54">
        <v>18</v>
      </c>
      <c r="Z36" s="54">
        <v>73</v>
      </c>
      <c r="AA36" s="55">
        <f t="shared" si="1"/>
        <v>91</v>
      </c>
      <c r="AB36" s="54">
        <f t="shared" si="35"/>
        <v>5</v>
      </c>
      <c r="AC36" s="65"/>
      <c r="AD36" s="54">
        <v>14</v>
      </c>
      <c r="AE36" s="54">
        <v>68</v>
      </c>
      <c r="AF36" s="55">
        <f t="shared" si="36"/>
        <v>82</v>
      </c>
      <c r="AG36" s="54">
        <f t="shared" si="37"/>
        <v>5</v>
      </c>
      <c r="AH36" s="65"/>
      <c r="AI36" s="54">
        <v>18</v>
      </c>
      <c r="AJ36" s="54">
        <v>71</v>
      </c>
      <c r="AK36" s="55">
        <f t="shared" si="38"/>
        <v>89</v>
      </c>
      <c r="AL36" s="54">
        <f t="shared" si="39"/>
        <v>5</v>
      </c>
      <c r="AM36" s="65"/>
      <c r="AN36" s="54"/>
      <c r="AO36" s="54">
        <v>44</v>
      </c>
      <c r="AP36" s="55">
        <f t="shared" si="40"/>
        <v>44</v>
      </c>
      <c r="AQ36" s="54">
        <f t="shared" si="41"/>
        <v>5</v>
      </c>
      <c r="AR36" s="65"/>
      <c r="AS36" s="54">
        <f t="shared" si="42"/>
        <v>34</v>
      </c>
      <c r="AT36" s="56">
        <f t="shared" si="43"/>
        <v>4.8571428571428568</v>
      </c>
      <c r="AU36" s="55">
        <f t="shared" si="17"/>
        <v>617</v>
      </c>
      <c r="AV36" s="1">
        <v>14</v>
      </c>
      <c r="AW36" s="1">
        <v>62</v>
      </c>
      <c r="AX36" s="57" t="str">
        <f t="shared" si="44"/>
        <v>BETTER</v>
      </c>
    </row>
    <row r="37" spans="1:50" s="47" customFormat="1" ht="12" customHeight="1">
      <c r="A37" s="41">
        <v>30</v>
      </c>
      <c r="B37" s="45">
        <v>77</v>
      </c>
      <c r="C37" s="46" t="s">
        <v>141</v>
      </c>
      <c r="D37" s="46" t="s">
        <v>142</v>
      </c>
      <c r="E37" s="46" t="s">
        <v>143</v>
      </c>
      <c r="F37" s="54">
        <v>20</v>
      </c>
      <c r="G37" s="54">
        <v>75</v>
      </c>
      <c r="H37" s="54">
        <v>10</v>
      </c>
      <c r="I37" s="54">
        <v>40</v>
      </c>
      <c r="J37" s="55">
        <f t="shared" si="29"/>
        <v>145</v>
      </c>
      <c r="K37" s="54">
        <f t="shared" si="30"/>
        <v>5</v>
      </c>
      <c r="L37" s="65"/>
      <c r="M37" s="54">
        <v>19</v>
      </c>
      <c r="N37" s="54">
        <v>72</v>
      </c>
      <c r="O37" s="54">
        <v>9</v>
      </c>
      <c r="P37" s="54">
        <v>37</v>
      </c>
      <c r="Q37" s="55">
        <f t="shared" si="31"/>
        <v>137</v>
      </c>
      <c r="R37" s="54">
        <f t="shared" si="32"/>
        <v>5</v>
      </c>
      <c r="S37" s="65"/>
      <c r="T37" s="54">
        <v>18</v>
      </c>
      <c r="U37" s="54">
        <v>71</v>
      </c>
      <c r="V37" s="55">
        <f t="shared" si="33"/>
        <v>89</v>
      </c>
      <c r="W37" s="54">
        <f t="shared" si="34"/>
        <v>5</v>
      </c>
      <c r="X37" s="65"/>
      <c r="Y37" s="54">
        <v>20</v>
      </c>
      <c r="Z37" s="54">
        <v>78</v>
      </c>
      <c r="AA37" s="55">
        <f t="shared" si="1"/>
        <v>98</v>
      </c>
      <c r="AB37" s="54">
        <f t="shared" si="35"/>
        <v>5</v>
      </c>
      <c r="AC37" s="65"/>
      <c r="AD37" s="54">
        <v>17</v>
      </c>
      <c r="AE37" s="54">
        <v>75</v>
      </c>
      <c r="AF37" s="55">
        <f t="shared" si="36"/>
        <v>92</v>
      </c>
      <c r="AG37" s="54">
        <f t="shared" si="37"/>
        <v>5</v>
      </c>
      <c r="AH37" s="65"/>
      <c r="AI37" s="54">
        <v>20</v>
      </c>
      <c r="AJ37" s="54">
        <v>77</v>
      </c>
      <c r="AK37" s="55">
        <f t="shared" si="38"/>
        <v>97</v>
      </c>
      <c r="AL37" s="54">
        <f t="shared" si="39"/>
        <v>5</v>
      </c>
      <c r="AM37" s="65"/>
      <c r="AN37" s="54"/>
      <c r="AO37" s="54">
        <v>46</v>
      </c>
      <c r="AP37" s="55">
        <f t="shared" si="40"/>
        <v>46</v>
      </c>
      <c r="AQ37" s="54">
        <f t="shared" si="41"/>
        <v>5</v>
      </c>
      <c r="AR37" s="65"/>
      <c r="AS37" s="54">
        <f t="shared" si="42"/>
        <v>35</v>
      </c>
      <c r="AT37" s="56">
        <f t="shared" si="43"/>
        <v>5</v>
      </c>
      <c r="AU37" s="55">
        <f t="shared" si="17"/>
        <v>658</v>
      </c>
      <c r="AV37" s="1">
        <v>5</v>
      </c>
      <c r="AW37" s="1">
        <v>64</v>
      </c>
      <c r="AX37" s="57" t="str">
        <f t="shared" si="44"/>
        <v>BEST</v>
      </c>
    </row>
    <row r="38" spans="1:50" s="47" customFormat="1" ht="12" customHeight="1">
      <c r="A38" s="41">
        <v>31</v>
      </c>
      <c r="B38" s="45">
        <v>78</v>
      </c>
      <c r="C38" s="46" t="s">
        <v>144</v>
      </c>
      <c r="D38" s="46" t="s">
        <v>145</v>
      </c>
      <c r="E38" s="46" t="s">
        <v>146</v>
      </c>
      <c r="F38" s="54">
        <v>20</v>
      </c>
      <c r="G38" s="54">
        <v>50</v>
      </c>
      <c r="H38" s="54">
        <v>5</v>
      </c>
      <c r="I38" s="54">
        <v>19</v>
      </c>
      <c r="J38" s="55">
        <f t="shared" si="29"/>
        <v>94</v>
      </c>
      <c r="K38" s="54">
        <f t="shared" si="30"/>
        <v>3.5</v>
      </c>
      <c r="L38" s="65"/>
      <c r="M38" s="54">
        <v>14</v>
      </c>
      <c r="N38" s="54">
        <v>29</v>
      </c>
      <c r="O38" s="54">
        <v>7</v>
      </c>
      <c r="P38" s="54">
        <v>23</v>
      </c>
      <c r="Q38" s="55">
        <f t="shared" si="31"/>
        <v>73</v>
      </c>
      <c r="R38" s="54">
        <f t="shared" si="32"/>
        <v>2</v>
      </c>
      <c r="S38" s="65"/>
      <c r="T38" s="54">
        <v>10</v>
      </c>
      <c r="U38" s="54">
        <v>38</v>
      </c>
      <c r="V38" s="55">
        <f t="shared" si="33"/>
        <v>48</v>
      </c>
      <c r="W38" s="54">
        <f t="shared" si="34"/>
        <v>2</v>
      </c>
      <c r="X38" s="65"/>
      <c r="Y38" s="54">
        <v>14</v>
      </c>
      <c r="Z38" s="54">
        <v>56</v>
      </c>
      <c r="AA38" s="55">
        <f t="shared" si="1"/>
        <v>70</v>
      </c>
      <c r="AB38" s="54">
        <f t="shared" si="35"/>
        <v>4</v>
      </c>
      <c r="AC38" s="65"/>
      <c r="AD38" s="54">
        <v>10</v>
      </c>
      <c r="AE38" s="54">
        <v>40</v>
      </c>
      <c r="AF38" s="55">
        <f t="shared" si="36"/>
        <v>50</v>
      </c>
      <c r="AG38" s="54">
        <f t="shared" si="37"/>
        <v>3</v>
      </c>
      <c r="AH38" s="65"/>
      <c r="AI38" s="54">
        <v>17</v>
      </c>
      <c r="AJ38" s="54">
        <v>58</v>
      </c>
      <c r="AK38" s="55">
        <f t="shared" si="38"/>
        <v>75</v>
      </c>
      <c r="AL38" s="54">
        <f t="shared" si="39"/>
        <v>4</v>
      </c>
      <c r="AM38" s="65"/>
      <c r="AN38" s="54"/>
      <c r="AO38" s="54">
        <v>29</v>
      </c>
      <c r="AP38" s="55">
        <f t="shared" si="40"/>
        <v>29</v>
      </c>
      <c r="AQ38" s="54">
        <f t="shared" si="41"/>
        <v>3</v>
      </c>
      <c r="AR38" s="65"/>
      <c r="AS38" s="54">
        <f t="shared" si="42"/>
        <v>21.5</v>
      </c>
      <c r="AT38" s="56">
        <f t="shared" si="43"/>
        <v>3.0714285714285716</v>
      </c>
      <c r="AU38" s="55">
        <f t="shared" si="17"/>
        <v>410</v>
      </c>
      <c r="AV38" s="1">
        <v>46</v>
      </c>
      <c r="AW38" s="1">
        <v>62</v>
      </c>
      <c r="AX38" s="57" t="str">
        <f t="shared" si="44"/>
        <v>GOOD</v>
      </c>
    </row>
    <row r="39" spans="1:50" s="47" customFormat="1" ht="12" customHeight="1">
      <c r="A39" s="41">
        <v>32</v>
      </c>
      <c r="B39" s="45">
        <v>79</v>
      </c>
      <c r="C39" s="46" t="s">
        <v>147</v>
      </c>
      <c r="D39" s="48" t="s">
        <v>148</v>
      </c>
      <c r="E39" s="48" t="s">
        <v>149</v>
      </c>
      <c r="F39" s="54">
        <v>20</v>
      </c>
      <c r="G39" s="54">
        <v>76</v>
      </c>
      <c r="H39" s="54">
        <v>10</v>
      </c>
      <c r="I39" s="54">
        <v>40</v>
      </c>
      <c r="J39" s="55">
        <f t="shared" si="29"/>
        <v>146</v>
      </c>
      <c r="K39" s="54">
        <f t="shared" si="30"/>
        <v>5</v>
      </c>
      <c r="L39" s="65"/>
      <c r="M39" s="54">
        <v>20</v>
      </c>
      <c r="N39" s="54">
        <v>75</v>
      </c>
      <c r="O39" s="54">
        <v>10</v>
      </c>
      <c r="P39" s="54">
        <v>38</v>
      </c>
      <c r="Q39" s="55">
        <f t="shared" si="31"/>
        <v>143</v>
      </c>
      <c r="R39" s="54">
        <f t="shared" si="32"/>
        <v>5</v>
      </c>
      <c r="S39" s="65"/>
      <c r="T39" s="54">
        <v>17</v>
      </c>
      <c r="U39" s="54">
        <v>76</v>
      </c>
      <c r="V39" s="55">
        <f t="shared" si="33"/>
        <v>93</v>
      </c>
      <c r="W39" s="54">
        <f t="shared" si="34"/>
        <v>5</v>
      </c>
      <c r="X39" s="65"/>
      <c r="Y39" s="54">
        <v>20</v>
      </c>
      <c r="Z39" s="54">
        <v>80</v>
      </c>
      <c r="AA39" s="55">
        <f t="shared" si="1"/>
        <v>100</v>
      </c>
      <c r="AB39" s="54">
        <f t="shared" si="35"/>
        <v>5</v>
      </c>
      <c r="AC39" s="65"/>
      <c r="AD39" s="54">
        <v>19</v>
      </c>
      <c r="AE39" s="54">
        <v>74</v>
      </c>
      <c r="AF39" s="55">
        <f t="shared" si="36"/>
        <v>93</v>
      </c>
      <c r="AG39" s="54">
        <f t="shared" si="37"/>
        <v>5</v>
      </c>
      <c r="AH39" s="65"/>
      <c r="AI39" s="54">
        <v>20</v>
      </c>
      <c r="AJ39" s="54">
        <v>77</v>
      </c>
      <c r="AK39" s="55">
        <f t="shared" si="38"/>
        <v>97</v>
      </c>
      <c r="AL39" s="54">
        <f t="shared" si="39"/>
        <v>5</v>
      </c>
      <c r="AM39" s="65"/>
      <c r="AN39" s="54"/>
      <c r="AO39" s="54">
        <v>47</v>
      </c>
      <c r="AP39" s="55">
        <f t="shared" si="40"/>
        <v>47</v>
      </c>
      <c r="AQ39" s="54">
        <f t="shared" si="41"/>
        <v>5</v>
      </c>
      <c r="AR39" s="65"/>
      <c r="AS39" s="54">
        <f t="shared" si="42"/>
        <v>35</v>
      </c>
      <c r="AT39" s="56">
        <f t="shared" si="43"/>
        <v>5</v>
      </c>
      <c r="AU39" s="55">
        <f t="shared" si="17"/>
        <v>672</v>
      </c>
      <c r="AV39" s="1">
        <v>2</v>
      </c>
      <c r="AW39" s="1">
        <v>62</v>
      </c>
      <c r="AX39" s="57" t="str">
        <f t="shared" si="44"/>
        <v>BEST</v>
      </c>
    </row>
    <row r="40" spans="1:50" s="47" customFormat="1" ht="12" customHeight="1">
      <c r="A40" s="41">
        <v>33</v>
      </c>
      <c r="B40" s="45">
        <v>81</v>
      </c>
      <c r="C40" s="48" t="s">
        <v>150</v>
      </c>
      <c r="D40" s="48" t="s">
        <v>151</v>
      </c>
      <c r="E40" s="48" t="s">
        <v>152</v>
      </c>
      <c r="F40" s="54">
        <v>18</v>
      </c>
      <c r="G40" s="54">
        <v>39</v>
      </c>
      <c r="H40" s="54">
        <v>9</v>
      </c>
      <c r="I40" s="54">
        <v>21</v>
      </c>
      <c r="J40" s="55">
        <f t="shared" ref="J40:J43" si="45">I40+H40+G40+F40</f>
        <v>87</v>
      </c>
      <c r="K40" s="54">
        <f t="shared" ref="K40:K43" si="46">IF(J40&lt;60,"F",IF(J40&lt;75,2,IF(J40&lt;90,3,IF(J40&lt;105,3.5,IF(J40&lt;120,4,5)))))</f>
        <v>3</v>
      </c>
      <c r="L40" s="65"/>
      <c r="M40" s="54">
        <v>20</v>
      </c>
      <c r="N40" s="54">
        <v>31</v>
      </c>
      <c r="O40" s="54">
        <v>7</v>
      </c>
      <c r="P40" s="54">
        <v>18</v>
      </c>
      <c r="Q40" s="55">
        <f t="shared" ref="Q40:Q42" si="47">M40+N40+O40+P40</f>
        <v>76</v>
      </c>
      <c r="R40" s="54">
        <f t="shared" ref="R40:R42" si="48">IF(Q40&lt;60,"F",IF(Q40&lt;75,2,IF(Q40&lt;90,3,IF(Q40&lt;105,3.5,IF(Q40&lt;120,4,5)))))</f>
        <v>3</v>
      </c>
      <c r="S40" s="65"/>
      <c r="T40" s="54">
        <v>4</v>
      </c>
      <c r="U40" s="54">
        <v>7</v>
      </c>
      <c r="V40" s="55">
        <f t="shared" ref="V40:V42" si="49">SUM(T40+U40)</f>
        <v>11</v>
      </c>
      <c r="W40" s="54" t="str">
        <f t="shared" ref="W40:W42" si="50">IF(V40&lt;40,"F",IF(V40&lt;50,2,IF(V40&lt;60,3,IF(V40&lt;70,3.5,IF(V40&lt;80,4,5)))))</f>
        <v>F</v>
      </c>
      <c r="X40" s="65"/>
      <c r="Y40" s="54">
        <v>15</v>
      </c>
      <c r="Z40" s="54">
        <v>43</v>
      </c>
      <c r="AA40" s="55">
        <f t="shared" si="1"/>
        <v>58</v>
      </c>
      <c r="AB40" s="54">
        <f t="shared" si="35"/>
        <v>3</v>
      </c>
      <c r="AC40" s="65"/>
      <c r="AD40" s="54">
        <v>13</v>
      </c>
      <c r="AE40" s="54">
        <v>38</v>
      </c>
      <c r="AF40" s="55">
        <f t="shared" si="36"/>
        <v>51</v>
      </c>
      <c r="AG40" s="54">
        <f t="shared" si="37"/>
        <v>3</v>
      </c>
      <c r="AH40" s="65"/>
      <c r="AI40" s="54">
        <v>12</v>
      </c>
      <c r="AJ40" s="54">
        <v>33</v>
      </c>
      <c r="AK40" s="55">
        <f t="shared" ref="AK40:AK43" si="51">AI40+AJ40</f>
        <v>45</v>
      </c>
      <c r="AL40" s="54">
        <f t="shared" ref="AL40:AL43" si="52">IF(AK40&lt;40,"F",IF(AK40&lt;50,2,IF(AK40&lt;60,3,IF(AK40&lt;70,3.5,IF(AK40&lt;80,4,5)))))</f>
        <v>2</v>
      </c>
      <c r="AM40" s="65"/>
      <c r="AN40" s="54"/>
      <c r="AO40" s="54">
        <v>20</v>
      </c>
      <c r="AP40" s="55">
        <f t="shared" ref="AP40:AP43" si="53">AO40</f>
        <v>20</v>
      </c>
      <c r="AQ40" s="54">
        <f t="shared" ref="AQ40:AQ43" si="54">IF(AP40&lt;20,"F",IF(AP40&lt;25,2,IF(AP40&lt;30,3,IF(AP40&lt;35,3.5,IF(AP40&lt;40,4,5)))))</f>
        <v>2</v>
      </c>
      <c r="AR40" s="65"/>
      <c r="AS40" s="54" t="str">
        <f t="shared" ref="AS40:AS43" si="55">IF(K40="F","F",IF(R40="F","F",IF(W40="F","F",IF(AB40="F","F",IF(AG40="F","F",IF(AL40="F","F",IF(AQ40="F","F",SUM(K40,R40,W40,AB40,AG40,AL40,AQ40))))))))</f>
        <v>F</v>
      </c>
      <c r="AT40" s="56" t="str">
        <f t="shared" ref="AT40:AT43" si="56">IF(AS40="F","F", IF(AS40&gt;=35,5,IF(AS40&lt;35,AS40/7)))</f>
        <v>F</v>
      </c>
      <c r="AU40" s="55">
        <f>J40+Q40+V40+AA40+AF40+AK40</f>
        <v>328</v>
      </c>
      <c r="AV40" s="1"/>
      <c r="AW40" s="1">
        <v>64</v>
      </c>
      <c r="AX40" s="57" t="str">
        <f t="shared" ref="AX40:AX43" si="57">IF(AT40="F","NEED TO PROGRESS",IF(AT40&gt;=5,"BEST",IF(AT40&gt;=4,"BETTER",IF(AT40&gt;2,"GOOD"))))</f>
        <v>NEED TO PROGRESS</v>
      </c>
    </row>
    <row r="41" spans="1:50" s="47" customFormat="1" ht="12" customHeight="1">
      <c r="A41" s="41">
        <v>34</v>
      </c>
      <c r="B41" s="45">
        <v>83</v>
      </c>
      <c r="C41" s="48" t="s">
        <v>153</v>
      </c>
      <c r="D41" s="48" t="s">
        <v>154</v>
      </c>
      <c r="E41" s="48" t="s">
        <v>155</v>
      </c>
      <c r="F41" s="54">
        <v>20</v>
      </c>
      <c r="G41" s="54">
        <v>49</v>
      </c>
      <c r="H41" s="54">
        <v>9</v>
      </c>
      <c r="I41" s="54">
        <v>27</v>
      </c>
      <c r="J41" s="55">
        <f t="shared" si="45"/>
        <v>105</v>
      </c>
      <c r="K41" s="54">
        <f t="shared" si="46"/>
        <v>4</v>
      </c>
      <c r="L41" s="65"/>
      <c r="M41" s="54">
        <v>17</v>
      </c>
      <c r="N41" s="54">
        <v>29</v>
      </c>
      <c r="O41" s="54">
        <v>9</v>
      </c>
      <c r="P41" s="54">
        <v>17</v>
      </c>
      <c r="Q41" s="55">
        <f t="shared" si="47"/>
        <v>72</v>
      </c>
      <c r="R41" s="54">
        <f t="shared" si="48"/>
        <v>2</v>
      </c>
      <c r="S41" s="65"/>
      <c r="T41" s="54">
        <v>9</v>
      </c>
      <c r="U41" s="54">
        <v>19</v>
      </c>
      <c r="V41" s="55">
        <f t="shared" si="49"/>
        <v>28</v>
      </c>
      <c r="W41" s="54" t="str">
        <f t="shared" si="50"/>
        <v>F</v>
      </c>
      <c r="X41" s="65"/>
      <c r="Y41" s="54">
        <v>17</v>
      </c>
      <c r="Z41" s="54">
        <v>52</v>
      </c>
      <c r="AA41" s="55">
        <f t="shared" si="1"/>
        <v>69</v>
      </c>
      <c r="AB41" s="54">
        <f t="shared" si="35"/>
        <v>3.5</v>
      </c>
      <c r="AC41" s="65"/>
      <c r="AD41" s="54">
        <v>10</v>
      </c>
      <c r="AE41" s="54">
        <v>41</v>
      </c>
      <c r="AF41" s="55">
        <f t="shared" si="36"/>
        <v>51</v>
      </c>
      <c r="AG41" s="54">
        <f t="shared" si="37"/>
        <v>3</v>
      </c>
      <c r="AH41" s="65"/>
      <c r="AI41" s="54">
        <v>18</v>
      </c>
      <c r="AJ41" s="54">
        <v>54</v>
      </c>
      <c r="AK41" s="55">
        <f t="shared" si="51"/>
        <v>72</v>
      </c>
      <c r="AL41" s="54">
        <f t="shared" si="52"/>
        <v>4</v>
      </c>
      <c r="AM41" s="65"/>
      <c r="AN41" s="54"/>
      <c r="AO41" s="54">
        <v>35</v>
      </c>
      <c r="AP41" s="55">
        <f t="shared" si="53"/>
        <v>35</v>
      </c>
      <c r="AQ41" s="54">
        <f t="shared" si="54"/>
        <v>4</v>
      </c>
      <c r="AR41" s="65"/>
      <c r="AS41" s="54" t="str">
        <f t="shared" si="55"/>
        <v>F</v>
      </c>
      <c r="AT41" s="56" t="str">
        <f t="shared" si="56"/>
        <v>F</v>
      </c>
      <c r="AU41" s="55">
        <f t="shared" ref="AU41:AU43" si="58">J41+Q41+V41+AA41+AF41+AK41</f>
        <v>397</v>
      </c>
      <c r="AV41" s="1"/>
      <c r="AW41" s="1">
        <v>62</v>
      </c>
      <c r="AX41" s="57" t="str">
        <f t="shared" si="57"/>
        <v>NEED TO PROGRESS</v>
      </c>
    </row>
    <row r="42" spans="1:50" s="47" customFormat="1" ht="12" customHeight="1">
      <c r="A42" s="41">
        <v>35</v>
      </c>
      <c r="B42" s="45">
        <v>84</v>
      </c>
      <c r="C42" s="48" t="s">
        <v>156</v>
      </c>
      <c r="D42" s="48" t="s">
        <v>157</v>
      </c>
      <c r="E42" s="48" t="s">
        <v>158</v>
      </c>
      <c r="F42" s="54">
        <v>20</v>
      </c>
      <c r="G42" s="54">
        <v>74</v>
      </c>
      <c r="H42" s="54">
        <v>10</v>
      </c>
      <c r="I42" s="54">
        <v>40</v>
      </c>
      <c r="J42" s="55">
        <f t="shared" si="45"/>
        <v>144</v>
      </c>
      <c r="K42" s="54">
        <f t="shared" si="46"/>
        <v>5</v>
      </c>
      <c r="L42" s="65"/>
      <c r="M42" s="54">
        <v>17</v>
      </c>
      <c r="N42" s="54">
        <v>74</v>
      </c>
      <c r="O42" s="54">
        <v>10</v>
      </c>
      <c r="P42" s="54">
        <v>30</v>
      </c>
      <c r="Q42" s="55">
        <f t="shared" si="47"/>
        <v>131</v>
      </c>
      <c r="R42" s="54">
        <f t="shared" si="48"/>
        <v>5</v>
      </c>
      <c r="S42" s="65"/>
      <c r="T42" s="54">
        <v>16</v>
      </c>
      <c r="U42" s="54">
        <v>72</v>
      </c>
      <c r="V42" s="55">
        <f t="shared" si="49"/>
        <v>88</v>
      </c>
      <c r="W42" s="54">
        <f t="shared" si="50"/>
        <v>5</v>
      </c>
      <c r="X42" s="65"/>
      <c r="Y42" s="54">
        <v>16</v>
      </c>
      <c r="Z42" s="54">
        <v>69</v>
      </c>
      <c r="AA42" s="55">
        <f t="shared" si="1"/>
        <v>85</v>
      </c>
      <c r="AB42" s="54">
        <f t="shared" si="35"/>
        <v>5</v>
      </c>
      <c r="AC42" s="65"/>
      <c r="AD42" s="54">
        <v>13</v>
      </c>
      <c r="AE42" s="54">
        <v>73</v>
      </c>
      <c r="AF42" s="55">
        <f t="shared" si="36"/>
        <v>86</v>
      </c>
      <c r="AG42" s="54">
        <f t="shared" si="37"/>
        <v>5</v>
      </c>
      <c r="AH42" s="65"/>
      <c r="AI42" s="54">
        <v>20</v>
      </c>
      <c r="AJ42" s="54">
        <v>78</v>
      </c>
      <c r="AK42" s="55">
        <f t="shared" si="51"/>
        <v>98</v>
      </c>
      <c r="AL42" s="54">
        <f t="shared" si="52"/>
        <v>5</v>
      </c>
      <c r="AM42" s="65"/>
      <c r="AN42" s="54"/>
      <c r="AO42" s="54">
        <v>40</v>
      </c>
      <c r="AP42" s="55">
        <f t="shared" si="53"/>
        <v>40</v>
      </c>
      <c r="AQ42" s="54">
        <f t="shared" si="54"/>
        <v>5</v>
      </c>
      <c r="AR42" s="65"/>
      <c r="AS42" s="54">
        <f t="shared" si="55"/>
        <v>35</v>
      </c>
      <c r="AT42" s="56">
        <f t="shared" si="56"/>
        <v>5</v>
      </c>
      <c r="AU42" s="55">
        <f t="shared" si="58"/>
        <v>632</v>
      </c>
      <c r="AV42" s="1">
        <v>8</v>
      </c>
      <c r="AW42" s="1">
        <v>62</v>
      </c>
      <c r="AX42" s="57" t="str">
        <f t="shared" si="57"/>
        <v>BEST</v>
      </c>
    </row>
    <row r="43" spans="1:50" s="47" customFormat="1" ht="12" customHeight="1">
      <c r="A43" s="41">
        <v>36</v>
      </c>
      <c r="B43" s="45">
        <v>89</v>
      </c>
      <c r="C43" s="50" t="s">
        <v>159</v>
      </c>
      <c r="D43" s="50" t="s">
        <v>160</v>
      </c>
      <c r="E43" s="50" t="s">
        <v>161</v>
      </c>
      <c r="F43" s="54"/>
      <c r="G43" s="54">
        <v>69</v>
      </c>
      <c r="H43" s="54"/>
      <c r="I43" s="54">
        <v>27</v>
      </c>
      <c r="J43" s="55">
        <f t="shared" si="45"/>
        <v>96</v>
      </c>
      <c r="K43" s="54">
        <f t="shared" si="46"/>
        <v>3.5</v>
      </c>
      <c r="L43" s="66"/>
      <c r="M43" s="54"/>
      <c r="N43" s="54">
        <v>54</v>
      </c>
      <c r="O43" s="54"/>
      <c r="P43" s="54">
        <v>34</v>
      </c>
      <c r="Q43" s="55">
        <f t="shared" si="31"/>
        <v>88</v>
      </c>
      <c r="R43" s="54">
        <f t="shared" si="32"/>
        <v>3</v>
      </c>
      <c r="S43" s="66"/>
      <c r="T43" s="54"/>
      <c r="U43" s="54">
        <v>61</v>
      </c>
      <c r="V43" s="55">
        <f t="shared" si="33"/>
        <v>61</v>
      </c>
      <c r="W43" s="54">
        <f t="shared" si="34"/>
        <v>3.5</v>
      </c>
      <c r="X43" s="66"/>
      <c r="Y43" s="54"/>
      <c r="Z43" s="54">
        <v>56</v>
      </c>
      <c r="AA43" s="55">
        <f t="shared" si="1"/>
        <v>56</v>
      </c>
      <c r="AB43" s="54">
        <f t="shared" si="35"/>
        <v>3</v>
      </c>
      <c r="AC43" s="66"/>
      <c r="AD43" s="54"/>
      <c r="AE43" s="54">
        <v>42</v>
      </c>
      <c r="AF43" s="55">
        <f t="shared" si="36"/>
        <v>42</v>
      </c>
      <c r="AG43" s="54">
        <f t="shared" si="37"/>
        <v>2</v>
      </c>
      <c r="AH43" s="66"/>
      <c r="AI43" s="54"/>
      <c r="AJ43" s="54">
        <v>71</v>
      </c>
      <c r="AK43" s="55">
        <f t="shared" si="51"/>
        <v>71</v>
      </c>
      <c r="AL43" s="54">
        <f t="shared" si="52"/>
        <v>4</v>
      </c>
      <c r="AM43" s="66"/>
      <c r="AN43" s="54"/>
      <c r="AO43" s="54">
        <v>32</v>
      </c>
      <c r="AP43" s="55">
        <f t="shared" si="53"/>
        <v>32</v>
      </c>
      <c r="AQ43" s="54">
        <f t="shared" si="54"/>
        <v>3.5</v>
      </c>
      <c r="AR43" s="66"/>
      <c r="AS43" s="54">
        <f t="shared" si="55"/>
        <v>22.5</v>
      </c>
      <c r="AT43" s="56">
        <f t="shared" si="56"/>
        <v>3.2142857142857144</v>
      </c>
      <c r="AU43" s="55">
        <f t="shared" si="58"/>
        <v>414</v>
      </c>
      <c r="AV43" s="1">
        <v>45</v>
      </c>
      <c r="AW43" s="1">
        <v>22</v>
      </c>
      <c r="AX43" s="57" t="str">
        <f t="shared" si="57"/>
        <v>GOOD</v>
      </c>
    </row>
    <row r="44" spans="1:50" s="47" customFormat="1">
      <c r="B44" s="51"/>
      <c r="C44" s="52"/>
      <c r="D44" s="52"/>
      <c r="E44" s="52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42"/>
      <c r="Z44" s="53"/>
      <c r="AA44" s="43"/>
      <c r="AB44" s="44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</row>
    <row r="45" spans="1:50">
      <c r="A45" s="2">
        <v>0</v>
      </c>
      <c r="B45" s="11">
        <v>1</v>
      </c>
      <c r="C45" s="11">
        <v>2</v>
      </c>
      <c r="D45" s="11">
        <v>3</v>
      </c>
      <c r="E45" s="11">
        <v>4</v>
      </c>
      <c r="F45" s="2">
        <v>5</v>
      </c>
      <c r="G45" s="2">
        <v>6</v>
      </c>
      <c r="H45" s="2">
        <v>7</v>
      </c>
      <c r="I45" s="2">
        <v>8</v>
      </c>
      <c r="J45" s="2">
        <v>9</v>
      </c>
      <c r="K45" s="2">
        <v>10</v>
      </c>
      <c r="L45" s="2">
        <v>11</v>
      </c>
      <c r="M45" s="2">
        <v>12</v>
      </c>
      <c r="N45" s="2">
        <v>13</v>
      </c>
      <c r="O45" s="2">
        <v>14</v>
      </c>
      <c r="P45" s="2">
        <v>15</v>
      </c>
      <c r="Q45" s="2">
        <v>16</v>
      </c>
      <c r="R45" s="2">
        <v>17</v>
      </c>
      <c r="S45" s="2">
        <v>18</v>
      </c>
      <c r="T45" s="2">
        <v>19</v>
      </c>
      <c r="U45" s="2">
        <v>20</v>
      </c>
      <c r="V45" s="2">
        <v>21</v>
      </c>
      <c r="W45" s="2">
        <v>22</v>
      </c>
      <c r="X45" s="2">
        <v>23</v>
      </c>
      <c r="Y45" s="2">
        <v>24</v>
      </c>
      <c r="Z45" s="2">
        <v>25</v>
      </c>
      <c r="AA45" s="2">
        <v>26</v>
      </c>
      <c r="AB45" s="2">
        <v>27</v>
      </c>
      <c r="AC45" s="2">
        <v>28</v>
      </c>
      <c r="AD45" s="2">
        <v>29</v>
      </c>
      <c r="AE45" s="2">
        <v>30</v>
      </c>
      <c r="AF45" s="2">
        <v>31</v>
      </c>
      <c r="AG45" s="2">
        <v>32</v>
      </c>
      <c r="AH45" s="2">
        <v>33</v>
      </c>
      <c r="AI45" s="2">
        <v>34</v>
      </c>
      <c r="AJ45" s="2">
        <v>35</v>
      </c>
      <c r="AK45" s="2">
        <v>36</v>
      </c>
      <c r="AL45" s="2">
        <v>37</v>
      </c>
      <c r="AM45" s="2">
        <v>38</v>
      </c>
      <c r="AN45" s="2">
        <v>39</v>
      </c>
      <c r="AO45" s="2">
        <v>40</v>
      </c>
      <c r="AP45" s="2">
        <v>41</v>
      </c>
      <c r="AQ45" s="2">
        <v>42</v>
      </c>
      <c r="AR45" s="2">
        <v>43</v>
      </c>
      <c r="AS45" s="2">
        <v>44</v>
      </c>
      <c r="AT45" s="2">
        <v>45</v>
      </c>
      <c r="AU45" s="2">
        <v>46</v>
      </c>
      <c r="AV45" s="2">
        <v>47</v>
      </c>
      <c r="AW45" s="2">
        <v>48</v>
      </c>
      <c r="AX45" s="2">
        <v>49</v>
      </c>
    </row>
  </sheetData>
  <mergeCells count="42">
    <mergeCell ref="A1:AX4"/>
    <mergeCell ref="AI5:AM5"/>
    <mergeCell ref="Y6:AC6"/>
    <mergeCell ref="T6:X6"/>
    <mergeCell ref="AR8:AR43"/>
    <mergeCell ref="AI6:AM6"/>
    <mergeCell ref="AN6:AR6"/>
    <mergeCell ref="AD6:AH6"/>
    <mergeCell ref="X8:X43"/>
    <mergeCell ref="AC8:AC43"/>
    <mergeCell ref="AH8:AH43"/>
    <mergeCell ref="AM8:AM43"/>
    <mergeCell ref="S6:S7"/>
    <mergeCell ref="E6:E7"/>
    <mergeCell ref="A6:A7"/>
    <mergeCell ref="AV6:AV7"/>
    <mergeCell ref="L6:L7"/>
    <mergeCell ref="F6:G6"/>
    <mergeCell ref="J6:J7"/>
    <mergeCell ref="AU6:AU7"/>
    <mergeCell ref="AS6:AS7"/>
    <mergeCell ref="AT6:AT7"/>
    <mergeCell ref="Q6:Q7"/>
    <mergeCell ref="R6:R7"/>
    <mergeCell ref="H6:I6"/>
    <mergeCell ref="M6:N6"/>
    <mergeCell ref="L8:L43"/>
    <mergeCell ref="S8:S43"/>
    <mergeCell ref="AW6:AW7"/>
    <mergeCell ref="AX6:AX7"/>
    <mergeCell ref="A5:C5"/>
    <mergeCell ref="E5:G5"/>
    <mergeCell ref="H5:M5"/>
    <mergeCell ref="O5:R5"/>
    <mergeCell ref="S5:U5"/>
    <mergeCell ref="W5:AA5"/>
    <mergeCell ref="AE5:AH5"/>
    <mergeCell ref="D6:D7"/>
    <mergeCell ref="B6:B7"/>
    <mergeCell ref="C6:C7"/>
    <mergeCell ref="O6:P6"/>
    <mergeCell ref="K6:K7"/>
  </mergeCells>
  <phoneticPr fontId="25" type="noConversion"/>
  <conditionalFormatting sqref="F8:F43 M8:M43 T8:T43 AD8:AD43 AI8:AI43 Y8:Y44">
    <cfRule type="cellIs" dxfId="11" priority="28" operator="greaterThan">
      <formula>20</formula>
    </cfRule>
  </conditionalFormatting>
  <conditionalFormatting sqref="G8:G43 U8:V43 AF8:AF43 AK8:AK43 AA8:AA44">
    <cfRule type="cellIs" dxfId="10" priority="25" operator="greaterThan">
      <formula>100</formula>
    </cfRule>
  </conditionalFormatting>
  <conditionalFormatting sqref="H8:H43 O8:O43 AN8:AN43">
    <cfRule type="cellIs" dxfId="9" priority="29" operator="greaterThan">
      <formula>10</formula>
    </cfRule>
  </conditionalFormatting>
  <conditionalFormatting sqref="I8:I43">
    <cfRule type="cellIs" dxfId="8" priority="26" operator="greaterThan">
      <formula>50</formula>
    </cfRule>
  </conditionalFormatting>
  <conditionalFormatting sqref="J8:J43 Q8:Q43">
    <cfRule type="cellIs" dxfId="7" priority="27" operator="greaterThan">
      <formula>150</formula>
    </cfRule>
  </conditionalFormatting>
  <conditionalFormatting sqref="AP8:AP43">
    <cfRule type="cellIs" dxfId="6" priority="4" operator="greaterThan">
      <formula>50</formula>
    </cfRule>
  </conditionalFormatting>
  <conditionalFormatting sqref="AS6:AS7">
    <cfRule type="cellIs" dxfId="5" priority="34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2:M40"/>
  <sheetViews>
    <sheetView topLeftCell="A25" workbookViewId="0">
      <selection activeCell="P41" sqref="P41"/>
    </sheetView>
  </sheetViews>
  <sheetFormatPr defaultRowHeight="15"/>
  <cols>
    <col min="1" max="1" width="3" customWidth="1"/>
    <col min="2" max="2" width="20.28515625" customWidth="1"/>
    <col min="3" max="3" width="7.710937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2" spans="2:12" ht="15" customHeight="1">
      <c r="B2" s="108" t="s">
        <v>56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</row>
    <row r="3" spans="2:12" ht="15" customHeight="1"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</row>
    <row r="4" spans="2:12" ht="15" customHeight="1"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</row>
    <row r="5" spans="2:12" ht="23.1" customHeight="1"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</row>
    <row r="6" spans="2:12" ht="24" customHeight="1"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</row>
    <row r="7" spans="2:12" ht="20.100000000000001" customHeight="1">
      <c r="B7" s="17" t="s">
        <v>46</v>
      </c>
      <c r="C7" s="109" t="str">
        <f>IFERROR(VLOOKUP(I9,'1st_Semeter'!B$6:AX$43,2,0),"ENTER RIGHT ROLL")</f>
        <v>Raufun Jannati Tanha</v>
      </c>
      <c r="D7" s="109"/>
      <c r="E7" s="109"/>
      <c r="F7" s="39"/>
      <c r="G7" s="110" t="s">
        <v>51</v>
      </c>
      <c r="H7" s="110"/>
      <c r="I7" s="109" t="str">
        <f>'1st_Semeter'!D5</f>
        <v>FIVE</v>
      </c>
      <c r="J7" s="109"/>
      <c r="K7" s="109"/>
      <c r="L7" s="109"/>
    </row>
    <row r="8" spans="2:12" ht="20.100000000000001" customHeight="1">
      <c r="B8" s="17" t="s">
        <v>47</v>
      </c>
      <c r="C8" s="109" t="str">
        <f>IFERROR(VLOOKUP(I9,'1st_Semeter'!B$6:AX$43,3,0),"")</f>
        <v>Md. Mosarruf Hossain</v>
      </c>
      <c r="D8" s="109"/>
      <c r="E8" s="109"/>
      <c r="F8" s="40"/>
      <c r="G8" s="110" t="s">
        <v>52</v>
      </c>
      <c r="H8" s="110"/>
      <c r="I8" s="109" t="str">
        <f>'1st_Semeter'!S5</f>
        <v>GOLAP</v>
      </c>
      <c r="J8" s="109"/>
      <c r="K8" s="109"/>
      <c r="L8" s="109"/>
    </row>
    <row r="9" spans="2:12" ht="20.100000000000001" customHeight="1">
      <c r="B9" s="17" t="s">
        <v>48</v>
      </c>
      <c r="C9" s="109" t="str">
        <f>IFERROR(VLOOKUP(I9,'1st_Semeter'!B$6:AX$43,4,0),"")</f>
        <v xml:space="preserve">Rahatunnasa </v>
      </c>
      <c r="D9" s="109"/>
      <c r="E9" s="109"/>
      <c r="F9" s="40"/>
      <c r="G9" s="110" t="s">
        <v>53</v>
      </c>
      <c r="H9" s="110"/>
      <c r="I9" s="111">
        <v>5</v>
      </c>
      <c r="J9" s="111"/>
      <c r="K9" s="111"/>
      <c r="L9" s="111"/>
    </row>
    <row r="10" spans="2:12" ht="20.100000000000001" customHeight="1">
      <c r="B10" s="17" t="s">
        <v>49</v>
      </c>
      <c r="C10" s="109" t="str">
        <f>'1st_Semeter'!H5</f>
        <v>ZUBAER AHMAD</v>
      </c>
      <c r="D10" s="109"/>
      <c r="E10" s="109"/>
      <c r="F10" s="110" t="s">
        <v>54</v>
      </c>
      <c r="G10" s="110"/>
      <c r="H10" s="110"/>
      <c r="I10" s="111">
        <f>'1st_Semeter'!AC5</f>
        <v>71</v>
      </c>
      <c r="J10" s="111"/>
      <c r="K10" s="111"/>
      <c r="L10" s="111"/>
    </row>
    <row r="11" spans="2:12" ht="20.100000000000001" customHeight="1">
      <c r="B11" s="18" t="s">
        <v>50</v>
      </c>
      <c r="C11" s="112" t="str">
        <f>'1st_Semeter'!AI5</f>
        <v>01782-324744</v>
      </c>
      <c r="D11" s="112"/>
      <c r="E11" s="112"/>
      <c r="F11" s="19" t="s">
        <v>55</v>
      </c>
      <c r="G11" s="19"/>
      <c r="H11" s="19"/>
      <c r="I11" s="20"/>
      <c r="J11" s="20"/>
      <c r="K11" s="20"/>
      <c r="L11" s="20"/>
    </row>
    <row r="12" spans="2:12" ht="15" customHeight="1">
      <c r="B12" s="115" t="s">
        <v>18</v>
      </c>
      <c r="C12" s="115"/>
      <c r="D12" s="115"/>
      <c r="E12" s="113" t="s">
        <v>19</v>
      </c>
      <c r="F12" s="113" t="s">
        <v>20</v>
      </c>
      <c r="G12" s="121" t="s">
        <v>37</v>
      </c>
      <c r="H12" s="113" t="s">
        <v>21</v>
      </c>
      <c r="I12" s="113" t="s">
        <v>22</v>
      </c>
      <c r="J12" s="115" t="s">
        <v>4</v>
      </c>
      <c r="K12" s="119" t="s">
        <v>36</v>
      </c>
      <c r="L12" s="117" t="s">
        <v>11</v>
      </c>
    </row>
    <row r="13" spans="2:12" ht="15" customHeight="1">
      <c r="B13" s="116"/>
      <c r="C13" s="116"/>
      <c r="D13" s="116"/>
      <c r="E13" s="114"/>
      <c r="F13" s="114"/>
      <c r="G13" s="122"/>
      <c r="H13" s="114"/>
      <c r="I13" s="114"/>
      <c r="J13" s="116"/>
      <c r="K13" s="120"/>
      <c r="L13" s="118"/>
    </row>
    <row r="14" spans="2:12" ht="15" customHeight="1">
      <c r="B14" s="116"/>
      <c r="C14" s="116"/>
      <c r="D14" s="116"/>
      <c r="E14" s="114"/>
      <c r="F14" s="114"/>
      <c r="G14" s="122"/>
      <c r="H14" s="114"/>
      <c r="I14" s="114"/>
      <c r="J14" s="116"/>
      <c r="K14" s="120"/>
      <c r="L14" s="118"/>
    </row>
    <row r="15" spans="2:12" ht="15" customHeight="1">
      <c r="B15" s="116"/>
      <c r="C15" s="116"/>
      <c r="D15" s="116"/>
      <c r="E15" s="114"/>
      <c r="F15" s="114"/>
      <c r="G15" s="122"/>
      <c r="H15" s="114"/>
      <c r="I15" s="114"/>
      <c r="J15" s="116"/>
      <c r="K15" s="120"/>
      <c r="L15" s="118"/>
    </row>
    <row r="16" spans="2:12" ht="15" customHeight="1">
      <c r="B16" s="116"/>
      <c r="C16" s="116"/>
      <c r="D16" s="116"/>
      <c r="E16" s="114"/>
      <c r="F16" s="114"/>
      <c r="G16" s="122"/>
      <c r="H16" s="114"/>
      <c r="I16" s="114"/>
      <c r="J16" s="116"/>
      <c r="K16" s="120"/>
      <c r="L16" s="118"/>
    </row>
    <row r="17" spans="2:12" ht="15" customHeight="1">
      <c r="B17" s="116"/>
      <c r="C17" s="116"/>
      <c r="D17" s="116"/>
      <c r="E17" s="114"/>
      <c r="F17" s="114"/>
      <c r="G17" s="122"/>
      <c r="H17" s="114"/>
      <c r="I17" s="114"/>
      <c r="J17" s="116"/>
      <c r="K17" s="120"/>
      <c r="L17" s="118"/>
    </row>
    <row r="18" spans="2:12" ht="15" customHeight="1">
      <c r="B18" s="116"/>
      <c r="C18" s="116"/>
      <c r="D18" s="116"/>
      <c r="E18" s="114"/>
      <c r="F18" s="114"/>
      <c r="G18" s="122"/>
      <c r="H18" s="114"/>
      <c r="I18" s="114"/>
      <c r="J18" s="116"/>
      <c r="K18" s="120"/>
      <c r="L18" s="118"/>
    </row>
    <row r="19" spans="2:12" ht="15" customHeight="1">
      <c r="B19" s="116"/>
      <c r="C19" s="116"/>
      <c r="D19" s="116"/>
      <c r="E19" s="114"/>
      <c r="F19" s="114"/>
      <c r="G19" s="122"/>
      <c r="H19" s="114"/>
      <c r="I19" s="114"/>
      <c r="J19" s="116"/>
      <c r="K19" s="120"/>
      <c r="L19" s="118"/>
    </row>
    <row r="20" spans="2:12" ht="33.75" customHeight="1">
      <c r="B20" s="95" t="s">
        <v>35</v>
      </c>
      <c r="C20" s="95"/>
      <c r="D20" s="95"/>
      <c r="E20" s="14">
        <v>100</v>
      </c>
      <c r="F20" s="15">
        <f>IFERROR(VLOOKUP(I$9,'1st_Semeter'!B$6:AX$43,5,0),"")</f>
        <v>20</v>
      </c>
      <c r="G20" s="15">
        <f>IFERROR(VLOOKUP(I$9,'1st_Semeter'!B$6:AX$43,6,0),"")</f>
        <v>74</v>
      </c>
      <c r="H20" s="96">
        <f>IFERROR(VLOOKUP(I$9,'1st_Semeter'!B$6:AX$43,9,0),"")</f>
        <v>142</v>
      </c>
      <c r="I20" s="96">
        <f>'1st_Semeter'!L8</f>
        <v>146</v>
      </c>
      <c r="J20" s="95">
        <f>IFERROR(VLOOKUP(I$9,'1st_Semeter'!B$6:AX$43,10,0),"")</f>
        <v>5</v>
      </c>
      <c r="K20" s="93" t="str">
        <f>IF(J20="F","F",IF(J20&lt;2.5,"D",IF(J20&lt;3,"C",IF(J20&lt;3.5,"B",IF(J20&lt;4,"A-",IF(J20&lt;5,"A","A+"))))))</f>
        <v>A+</v>
      </c>
      <c r="L20" s="90">
        <f>IFERROR(VLOOKUP(I$9,'1st_Semeter'!B$6:AX$43,45,0),"")</f>
        <v>4.8571428571428568</v>
      </c>
    </row>
    <row r="21" spans="2:12" ht="33.75" customHeight="1">
      <c r="B21" s="95" t="s">
        <v>34</v>
      </c>
      <c r="C21" s="95"/>
      <c r="D21" s="95"/>
      <c r="E21" s="14">
        <v>50</v>
      </c>
      <c r="F21" s="15">
        <f>IFERROR(VLOOKUP(I$9,'1st_Semeter'!B$6:AX$43,7,0),"")</f>
        <v>9</v>
      </c>
      <c r="G21" s="15">
        <f>IFERROR(VLOOKUP(I$9,'1st_Semeter'!B$6:AX$43,8,0),"")</f>
        <v>39</v>
      </c>
      <c r="H21" s="96" t="str">
        <f>IFERROR(VLOOKUP(J$9,'1st_Semeter'!C$6:AX$43,7,0),"")</f>
        <v/>
      </c>
      <c r="I21" s="96"/>
      <c r="J21" s="95" t="str">
        <f>IFERROR(VLOOKUP(L$9,'1st_Semeter'!E$6:AX$43,7,0),"")</f>
        <v/>
      </c>
      <c r="K21" s="94"/>
      <c r="L21" s="91"/>
    </row>
    <row r="22" spans="2:12" ht="31.5" customHeight="1">
      <c r="B22" s="95" t="s">
        <v>13</v>
      </c>
      <c r="C22" s="95"/>
      <c r="D22" s="95"/>
      <c r="E22" s="14">
        <v>100</v>
      </c>
      <c r="F22" s="15">
        <f>IFERROR(VLOOKUP(I$9,'1st_Semeter'!B$6:AX$43,12,0),"")</f>
        <v>20</v>
      </c>
      <c r="G22" s="15">
        <f>IFERROR(VLOOKUP(I$9,'1st_Semeter'!B$6:AX$43,13,0),"")</f>
        <v>76</v>
      </c>
      <c r="H22" s="96">
        <f>IFERROR(VLOOKUP(I$9,'1st_Semeter'!B$6:AX$43,16,0),"")</f>
        <v>144</v>
      </c>
      <c r="I22" s="96">
        <f>'1st_Semeter'!S8</f>
        <v>147</v>
      </c>
      <c r="J22" s="95">
        <f>IFERROR(VLOOKUP(I$9,'1st_Semeter'!B$6:AX$43,17,0),"")</f>
        <v>5</v>
      </c>
      <c r="K22" s="93" t="str">
        <f>IF(J22="F","F",IF(J22&lt;2.5,"D",IF(J22&lt;3,"C",IF(J22&lt;3.5,"B",IF(J22&lt;4,"A-",IF(J22&lt;5,"A","A+"))))))</f>
        <v>A+</v>
      </c>
      <c r="L22" s="91"/>
    </row>
    <row r="23" spans="2:12" ht="30.75" customHeight="1">
      <c r="B23" s="95" t="s">
        <v>14</v>
      </c>
      <c r="C23" s="95"/>
      <c r="D23" s="95"/>
      <c r="E23" s="14">
        <v>50</v>
      </c>
      <c r="F23" s="15">
        <f>IFERROR(VLOOKUP(I$9,'1st_Semeter'!B$6:AX$43,14,0),"")</f>
        <v>10</v>
      </c>
      <c r="G23" s="15">
        <f>IFERROR(VLOOKUP(I$9,'1st_Semeter'!B$6:AX$43,15,0),"")</f>
        <v>38</v>
      </c>
      <c r="H23" s="96" t="str">
        <f>IFERROR(VLOOKUP(J$9,'1st_Semeter'!C$6:AX$43,7,0),"")</f>
        <v/>
      </c>
      <c r="I23" s="96"/>
      <c r="J23" s="95" t="str">
        <f>IFERROR(VLOOKUP(L$9,'1st_Semeter'!E$6:AX$43,7,0),"")</f>
        <v/>
      </c>
      <c r="K23" s="94"/>
      <c r="L23" s="91"/>
    </row>
    <row r="24" spans="2:12" ht="31.5" customHeight="1">
      <c r="B24" s="95" t="s">
        <v>15</v>
      </c>
      <c r="C24" s="95"/>
      <c r="D24" s="95"/>
      <c r="E24" s="14">
        <v>100</v>
      </c>
      <c r="F24" s="15">
        <f>IFERROR(VLOOKUP(I$9,'1st_Semeter'!B$6:AX$43,19,0),"")</f>
        <v>17</v>
      </c>
      <c r="G24" s="15">
        <f>IFERROR(VLOOKUP(I$9,'1st_Semeter'!B$6:AX$43,20,0),"")</f>
        <v>56</v>
      </c>
      <c r="H24" s="15">
        <f>IFERROR(VLOOKUP(I$9,'1st_Semeter'!B$6:AX$43,21,0),"")</f>
        <v>73</v>
      </c>
      <c r="I24" s="15">
        <f>'1st_Semeter'!X8</f>
        <v>93</v>
      </c>
      <c r="J24" s="14">
        <f>IFERROR(VLOOKUP(I$9,'1st_Semeter'!B$6:AX$43,22,0),"")</f>
        <v>4</v>
      </c>
      <c r="K24" s="16" t="str">
        <f t="shared" ref="K24:K28" si="0">IF(J24="F","F",IF(J24&lt;2.5,"D",IF(J24&lt;3,"C",IF(J24&lt;3.5,"B",IF(J24&lt;4,"A-",IF(J24&lt;5,"A","A+"))))))</f>
        <v>A</v>
      </c>
      <c r="L24" s="91"/>
    </row>
    <row r="25" spans="2:12" ht="30" customHeight="1">
      <c r="B25" s="95" t="s">
        <v>7</v>
      </c>
      <c r="C25" s="95"/>
      <c r="D25" s="95"/>
      <c r="E25" s="14">
        <v>100</v>
      </c>
      <c r="F25" s="15">
        <f>IFERROR(VLOOKUP(I$9,'1st_Semeter'!B$6:AX$43,24,0),"")</f>
        <v>20</v>
      </c>
      <c r="G25" s="15">
        <f>IFERROR(VLOOKUP(I$9,'1st_Semeter'!B$6:AX$43,25,0),"")</f>
        <v>78</v>
      </c>
      <c r="H25" s="15">
        <f>IFERROR(VLOOKUP(I$9,'1st_Semeter'!B$6:AX$43,26,0),"")</f>
        <v>98</v>
      </c>
      <c r="I25" s="15">
        <f>'1st_Semeter'!AC8</f>
        <v>100</v>
      </c>
      <c r="J25" s="14">
        <f>IFERROR(VLOOKUP(I$9,'1st_Semeter'!B$6:AX$43,27,0),"")</f>
        <v>5</v>
      </c>
      <c r="K25" s="16" t="str">
        <f t="shared" si="0"/>
        <v>A+</v>
      </c>
      <c r="L25" s="91"/>
    </row>
    <row r="26" spans="2:12" ht="31.5" customHeight="1">
      <c r="B26" s="95" t="s">
        <v>8</v>
      </c>
      <c r="C26" s="95"/>
      <c r="D26" s="95"/>
      <c r="E26" s="14">
        <v>100</v>
      </c>
      <c r="F26" s="15">
        <f>IFERROR(VLOOKUP(I$9,'1st_Semeter'!B$6:AX$43,29,0),"")</f>
        <v>17</v>
      </c>
      <c r="G26" s="15">
        <f>IFERROR(VLOOKUP(I$9,'1st_Semeter'!B$6:AX$43,30,0),"")</f>
        <v>66</v>
      </c>
      <c r="H26" s="15">
        <f>IFERROR(VLOOKUP(I$9,'1st_Semeter'!B$6:AX$43,31,0),"")</f>
        <v>83</v>
      </c>
      <c r="I26" s="15">
        <f>'1st_Semeter'!AH8</f>
        <v>98</v>
      </c>
      <c r="J26" s="14">
        <f>IFERROR(VLOOKUP(I$9,'1st_Semeter'!B$6:AX$43,32,0),"")</f>
        <v>5</v>
      </c>
      <c r="K26" s="16" t="str">
        <f t="shared" si="0"/>
        <v>A+</v>
      </c>
      <c r="L26" s="91"/>
    </row>
    <row r="27" spans="2:12" ht="35.25" customHeight="1">
      <c r="B27" s="102" t="s">
        <v>9</v>
      </c>
      <c r="C27" s="102"/>
      <c r="D27" s="102"/>
      <c r="E27" s="14">
        <v>100</v>
      </c>
      <c r="F27" s="15">
        <f>IFERROR(VLOOKUP(I$9,'1st_Semeter'!B$6:AX$43,34,0),"")</f>
        <v>20</v>
      </c>
      <c r="G27" s="15">
        <f>IFERROR(VLOOKUP(I$9,'1st_Semeter'!B$6:AX$43,35,0),"")</f>
        <v>76</v>
      </c>
      <c r="H27" s="15">
        <f>IFERROR(VLOOKUP(I$9,'1st_Semeter'!B$6:AX$43,36,0),"")</f>
        <v>96</v>
      </c>
      <c r="I27" s="15">
        <f>'1st_Semeter'!AM8</f>
        <v>99</v>
      </c>
      <c r="J27" s="14">
        <f>IFERROR(VLOOKUP(I$9,'1st_Semeter'!B$6:AX$43,37,0),"")</f>
        <v>5</v>
      </c>
      <c r="K27" s="16" t="str">
        <f t="shared" si="0"/>
        <v>A+</v>
      </c>
      <c r="L27" s="91"/>
    </row>
    <row r="28" spans="2:12" ht="35.25" customHeight="1">
      <c r="B28" s="97" t="s">
        <v>38</v>
      </c>
      <c r="C28" s="98"/>
      <c r="D28" s="99"/>
      <c r="E28" s="14">
        <v>50</v>
      </c>
      <c r="F28" s="15">
        <f>IFERROR(VLOOKUP(I$9,'1st_Semeter'!B$6:AX$43,39,0),"")</f>
        <v>0</v>
      </c>
      <c r="G28" s="15">
        <f>IFERROR(VLOOKUP(I$9,'1st_Semeter'!B$6:AX$43,40,0),"")</f>
        <v>43</v>
      </c>
      <c r="H28" s="15">
        <f>IFERROR(VLOOKUP(I$9,'1st_Semeter'!B$6:AX$43,41,0),"")</f>
        <v>43</v>
      </c>
      <c r="I28" s="15">
        <f>'1st_Semeter'!AR8</f>
        <v>47</v>
      </c>
      <c r="J28" s="14">
        <f>IFERROR(VLOOKUP(I$9,'1st_Semeter'!B$6:AX$43,42,0),"")</f>
        <v>5</v>
      </c>
      <c r="K28" s="16" t="str">
        <f t="shared" si="0"/>
        <v>A+</v>
      </c>
      <c r="L28" s="92"/>
    </row>
    <row r="29" spans="2:12" ht="35.25" customHeight="1">
      <c r="B29" s="103" t="s">
        <v>23</v>
      </c>
      <c r="C29" s="103"/>
      <c r="D29" s="103"/>
      <c r="E29" s="21">
        <f>SUM(E20:E28)</f>
        <v>750</v>
      </c>
      <c r="F29" s="104"/>
      <c r="G29" s="104"/>
      <c r="H29" s="22">
        <f>SUM(H20:H27)</f>
        <v>636</v>
      </c>
      <c r="I29" s="107"/>
      <c r="J29" s="107"/>
      <c r="K29" s="23"/>
      <c r="L29" s="24"/>
    </row>
    <row r="30" spans="2:12" ht="25.5" customHeight="1">
      <c r="B30" s="35"/>
      <c r="C30" s="35"/>
      <c r="D30" s="35"/>
      <c r="E30" s="36"/>
      <c r="F30" s="37"/>
      <c r="G30" s="38"/>
      <c r="H30" s="37"/>
      <c r="I30" s="37"/>
      <c r="J30" s="37"/>
      <c r="K30" s="37"/>
      <c r="L30" s="37"/>
    </row>
    <row r="31" spans="2:12" ht="27" customHeight="1">
      <c r="B31" s="105" t="s">
        <v>43</v>
      </c>
      <c r="C31" s="105"/>
      <c r="D31" s="105"/>
      <c r="E31" s="26">
        <f>IFERROR(VLOOKUP(I$9,'1st_Semeter'!B$6:AX$43,48,0),"")</f>
        <v>69</v>
      </c>
      <c r="F31" s="106" t="s">
        <v>39</v>
      </c>
      <c r="G31" s="106"/>
      <c r="H31" s="106"/>
      <c r="I31" s="106"/>
      <c r="J31" s="26">
        <f>IFERROR(VLOOKUP(I9,'1st_Semeter'!B$6:AX$43,47,0),"")</f>
        <v>7</v>
      </c>
      <c r="K31" s="27"/>
      <c r="L31" s="25"/>
    </row>
    <row r="32" spans="2:12" ht="22.5" customHeight="1">
      <c r="B32" s="100" t="s">
        <v>42</v>
      </c>
      <c r="C32" s="100"/>
      <c r="D32" s="100"/>
      <c r="E32" s="101" t="str">
        <f>IFERROR(VLOOKUP(I9,'1st_Semeter'!B$6:AX$43,49,0),"")</f>
        <v>BETTER</v>
      </c>
      <c r="F32" s="101"/>
      <c r="G32" s="101"/>
      <c r="H32" s="101"/>
      <c r="I32" s="25"/>
      <c r="J32" s="25"/>
      <c r="K32" s="25"/>
      <c r="L32" s="25"/>
    </row>
    <row r="33" spans="1:13" ht="22.5" customHeight="1">
      <c r="B33" s="28"/>
      <c r="C33" s="29"/>
      <c r="D33" s="29"/>
      <c r="E33" s="30"/>
      <c r="F33" s="30"/>
      <c r="G33" s="28"/>
      <c r="H33" s="30"/>
      <c r="I33" s="30"/>
      <c r="J33" s="30"/>
      <c r="K33" s="30"/>
      <c r="L33" s="30"/>
    </row>
    <row r="34" spans="1:13" ht="22.5" customHeight="1">
      <c r="B34" s="28"/>
      <c r="C34" s="29"/>
      <c r="D34" s="29"/>
      <c r="E34" s="30"/>
      <c r="F34" s="30"/>
      <c r="G34" s="28"/>
      <c r="H34" s="30"/>
      <c r="I34" s="30"/>
      <c r="J34" s="30"/>
      <c r="K34" s="30"/>
      <c r="L34" s="30"/>
    </row>
    <row r="35" spans="1:13">
      <c r="B35" s="30"/>
      <c r="C35" s="30"/>
      <c r="D35" s="30"/>
      <c r="E35" s="30"/>
      <c r="F35" s="30"/>
      <c r="G35" s="28"/>
      <c r="H35" s="30"/>
      <c r="I35" s="30"/>
      <c r="J35" s="30"/>
      <c r="K35" s="30"/>
      <c r="L35" s="30"/>
    </row>
    <row r="36" spans="1:13" ht="15.75" customHeight="1">
      <c r="A36" s="62"/>
      <c r="B36" s="63" t="s">
        <v>167</v>
      </c>
      <c r="C36" s="47"/>
      <c r="D36" s="58"/>
      <c r="E36" s="59" t="s">
        <v>168</v>
      </c>
      <c r="F36" s="59"/>
      <c r="H36" s="47"/>
      <c r="I36" s="47"/>
      <c r="J36" s="60" t="s">
        <v>169</v>
      </c>
      <c r="L36" s="61"/>
      <c r="M36" s="62"/>
    </row>
    <row r="37" spans="1:13">
      <c r="B37" s="30"/>
      <c r="C37" s="30"/>
      <c r="D37" s="30"/>
      <c r="E37" s="30"/>
      <c r="F37" s="30"/>
      <c r="G37" s="28"/>
      <c r="H37" s="30"/>
      <c r="I37" s="30"/>
      <c r="J37" s="30"/>
      <c r="K37" s="30"/>
      <c r="L37" s="31"/>
    </row>
    <row r="38" spans="1:13" hidden="1">
      <c r="B38" s="32"/>
      <c r="C38" s="32"/>
      <c r="D38" s="32"/>
      <c r="E38" s="32"/>
      <c r="F38" s="32"/>
      <c r="G38" s="33"/>
      <c r="H38" s="32"/>
      <c r="I38" s="32"/>
      <c r="J38" s="32"/>
      <c r="K38" s="32"/>
      <c r="L38" s="32"/>
    </row>
    <row r="39" spans="1:13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2"/>
    </row>
    <row r="40" spans="1:13" ht="15.95" customHeight="1"/>
  </sheetData>
  <mergeCells count="48">
    <mergeCell ref="C11:E11"/>
    <mergeCell ref="I12:I19"/>
    <mergeCell ref="J12:J19"/>
    <mergeCell ref="L12:L19"/>
    <mergeCell ref="K12:K19"/>
    <mergeCell ref="B12:D19"/>
    <mergeCell ref="E12:E19"/>
    <mergeCell ref="F12:F19"/>
    <mergeCell ref="G12:G19"/>
    <mergeCell ref="H12:H19"/>
    <mergeCell ref="G9:H9"/>
    <mergeCell ref="C9:E9"/>
    <mergeCell ref="I9:L9"/>
    <mergeCell ref="C10:E10"/>
    <mergeCell ref="F10:H10"/>
    <mergeCell ref="I10:L10"/>
    <mergeCell ref="B2:L6"/>
    <mergeCell ref="C7:E7"/>
    <mergeCell ref="G7:H7"/>
    <mergeCell ref="I7:L7"/>
    <mergeCell ref="C8:E8"/>
    <mergeCell ref="G8:H8"/>
    <mergeCell ref="I8:L8"/>
    <mergeCell ref="B32:D32"/>
    <mergeCell ref="E32:H32"/>
    <mergeCell ref="B20:D20"/>
    <mergeCell ref="B22:D22"/>
    <mergeCell ref="B24:D24"/>
    <mergeCell ref="B25:D25"/>
    <mergeCell ref="B26:D26"/>
    <mergeCell ref="B27:D27"/>
    <mergeCell ref="B29:D29"/>
    <mergeCell ref="F29:G29"/>
    <mergeCell ref="B23:D23"/>
    <mergeCell ref="H22:H23"/>
    <mergeCell ref="B31:D31"/>
    <mergeCell ref="F31:I31"/>
    <mergeCell ref="I29:J29"/>
    <mergeCell ref="L20:L28"/>
    <mergeCell ref="K20:K21"/>
    <mergeCell ref="K22:K23"/>
    <mergeCell ref="B21:D21"/>
    <mergeCell ref="H20:H21"/>
    <mergeCell ref="I20:I21"/>
    <mergeCell ref="J20:J21"/>
    <mergeCell ref="I22:I23"/>
    <mergeCell ref="J22:J23"/>
    <mergeCell ref="B28:D28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0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" right="0" top="0.19685039370078741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2025-11-23T03:12:32Z</dcterms:modified>
</cp:coreProperties>
</file>