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2910" yWindow="6135" windowWidth="29040" windowHeight="6660" tabRatio="403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2"/>
  <c r="K10"/>
  <c r="N10" i="4" l="1"/>
  <c r="P10" s="1"/>
  <c r="N11"/>
  <c r="P11" s="1"/>
  <c r="N12"/>
  <c r="P12" s="1"/>
  <c r="N13"/>
  <c r="P13" s="1"/>
  <c r="N14"/>
  <c r="P14" s="1"/>
  <c r="N15"/>
  <c r="P15" s="1"/>
  <c r="N16"/>
  <c r="P16" s="1"/>
  <c r="N17"/>
  <c r="P17" s="1"/>
  <c r="N18"/>
  <c r="P18" s="1"/>
  <c r="N19"/>
  <c r="P19" s="1"/>
  <c r="N20"/>
  <c r="P20" s="1"/>
  <c r="N21"/>
  <c r="P21" s="1"/>
  <c r="N22"/>
  <c r="P22" s="1"/>
  <c r="N23"/>
  <c r="P23" s="1"/>
  <c r="N24"/>
  <c r="P24" s="1"/>
  <c r="N25"/>
  <c r="P25" s="1"/>
  <c r="N26"/>
  <c r="P26" s="1"/>
  <c r="N27"/>
  <c r="P27" s="1"/>
  <c r="N28"/>
  <c r="P28" s="1"/>
  <c r="N29"/>
  <c r="P29" s="1"/>
  <c r="N30"/>
  <c r="P30" s="1"/>
  <c r="N31"/>
  <c r="P31" s="1"/>
  <c r="N32"/>
  <c r="P32" s="1"/>
  <c r="N33"/>
  <c r="P33" s="1"/>
  <c r="N34"/>
  <c r="P34" s="1"/>
  <c r="N35"/>
  <c r="P35" s="1"/>
  <c r="N36"/>
  <c r="P36" s="1"/>
  <c r="N37"/>
  <c r="P37" s="1"/>
  <c r="N38"/>
  <c r="P38" s="1"/>
  <c r="N39"/>
  <c r="P39" s="1"/>
  <c r="N40"/>
  <c r="P40" s="1"/>
  <c r="N41"/>
  <c r="P41" s="1"/>
  <c r="N42"/>
  <c r="P42" s="1"/>
  <c r="N43"/>
  <c r="P43" s="1"/>
  <c r="N44"/>
  <c r="P44" s="1"/>
  <c r="N45"/>
  <c r="P45" s="1"/>
  <c r="N9"/>
  <c r="P9" s="1"/>
  <c r="I10"/>
  <c r="K10" s="1"/>
  <c r="I11"/>
  <c r="K11" s="1"/>
  <c r="I12"/>
  <c r="S12" s="1"/>
  <c r="I13"/>
  <c r="I14"/>
  <c r="I15"/>
  <c r="I16"/>
  <c r="I17"/>
  <c r="I18"/>
  <c r="I19"/>
  <c r="K19" s="1"/>
  <c r="I20"/>
  <c r="K20" s="1"/>
  <c r="I21"/>
  <c r="K21" s="1"/>
  <c r="I22"/>
  <c r="K22" s="1"/>
  <c r="I23"/>
  <c r="K23" s="1"/>
  <c r="I24"/>
  <c r="K24" s="1"/>
  <c r="I25"/>
  <c r="I26"/>
  <c r="S26" s="1"/>
  <c r="I27"/>
  <c r="K27" s="1"/>
  <c r="I28"/>
  <c r="K28" s="1"/>
  <c r="I29"/>
  <c r="I30"/>
  <c r="S30" s="1"/>
  <c r="I31"/>
  <c r="I32"/>
  <c r="K32" s="1"/>
  <c r="I33"/>
  <c r="I34"/>
  <c r="K34" s="1"/>
  <c r="I35"/>
  <c r="K35" s="1"/>
  <c r="I36"/>
  <c r="K36" s="1"/>
  <c r="I37"/>
  <c r="I38"/>
  <c r="K38" s="1"/>
  <c r="I39"/>
  <c r="K39" s="1"/>
  <c r="I40"/>
  <c r="I41"/>
  <c r="I42"/>
  <c r="I43"/>
  <c r="K43" s="1"/>
  <c r="I44"/>
  <c r="K44" s="1"/>
  <c r="I45"/>
  <c r="K45" s="1"/>
  <c r="I9"/>
  <c r="K9" s="1"/>
  <c r="CB40"/>
  <c r="CE40" s="1"/>
  <c r="CB41"/>
  <c r="CE41" s="1"/>
  <c r="CB42"/>
  <c r="CE42" s="1"/>
  <c r="CB43"/>
  <c r="CE43" s="1"/>
  <c r="CB44"/>
  <c r="CE44" s="1"/>
  <c r="CB45"/>
  <c r="CE45" s="1"/>
  <c r="CB10"/>
  <c r="CE10" s="1"/>
  <c r="CB11"/>
  <c r="CE11" s="1"/>
  <c r="CB12"/>
  <c r="CE12" s="1"/>
  <c r="CB13"/>
  <c r="CE13" s="1"/>
  <c r="CB14"/>
  <c r="CE14" s="1"/>
  <c r="CB15"/>
  <c r="CE15" s="1"/>
  <c r="CB16"/>
  <c r="CE16" s="1"/>
  <c r="CB17"/>
  <c r="CE17" s="1"/>
  <c r="CB18"/>
  <c r="CE18" s="1"/>
  <c r="CB19"/>
  <c r="CE19" s="1"/>
  <c r="CB20"/>
  <c r="CE20" s="1"/>
  <c r="CB21"/>
  <c r="CE21" s="1"/>
  <c r="CB22"/>
  <c r="CE22" s="1"/>
  <c r="CB23"/>
  <c r="CE23" s="1"/>
  <c r="CB24"/>
  <c r="CE24" s="1"/>
  <c r="CB25"/>
  <c r="CE25" s="1"/>
  <c r="CB26"/>
  <c r="CE26" s="1"/>
  <c r="CB27"/>
  <c r="CE27" s="1"/>
  <c r="CB28"/>
  <c r="CE28" s="1"/>
  <c r="CB29"/>
  <c r="CE29" s="1"/>
  <c r="CB30"/>
  <c r="CE30" s="1"/>
  <c r="CB31"/>
  <c r="CE31" s="1"/>
  <c r="CB32"/>
  <c r="CE32" s="1"/>
  <c r="CB33"/>
  <c r="CE33" s="1"/>
  <c r="CB34"/>
  <c r="CE34" s="1"/>
  <c r="CB35"/>
  <c r="CE35" s="1"/>
  <c r="CB36"/>
  <c r="CE36" s="1"/>
  <c r="CB37"/>
  <c r="CE37" s="1"/>
  <c r="CB38"/>
  <c r="CE38" s="1"/>
  <c r="CB39"/>
  <c r="CE39" s="1"/>
  <c r="BU10"/>
  <c r="BW10" s="1"/>
  <c r="BU11"/>
  <c r="BW11" s="1"/>
  <c r="BU12"/>
  <c r="BW12" s="1"/>
  <c r="BU13"/>
  <c r="BW13" s="1"/>
  <c r="BU14"/>
  <c r="BW14" s="1"/>
  <c r="BU15"/>
  <c r="BW15" s="1"/>
  <c r="BU16"/>
  <c r="BW16" s="1"/>
  <c r="BU17"/>
  <c r="BW17" s="1"/>
  <c r="BU18"/>
  <c r="BW18" s="1"/>
  <c r="BU19"/>
  <c r="BW19" s="1"/>
  <c r="BY19" s="1"/>
  <c r="BU20"/>
  <c r="BW20" s="1"/>
  <c r="BU21"/>
  <c r="BW21" s="1"/>
  <c r="BU22"/>
  <c r="BW22" s="1"/>
  <c r="BU23"/>
  <c r="BW23" s="1"/>
  <c r="BU24"/>
  <c r="BW24" s="1"/>
  <c r="BU25"/>
  <c r="BW25" s="1"/>
  <c r="BU26"/>
  <c r="BW26" s="1"/>
  <c r="BU27"/>
  <c r="BW27" s="1"/>
  <c r="BU28"/>
  <c r="BW28" s="1"/>
  <c r="BU29"/>
  <c r="BW29" s="1"/>
  <c r="BU30"/>
  <c r="BW30" s="1"/>
  <c r="BU31"/>
  <c r="BW31" s="1"/>
  <c r="BU32"/>
  <c r="BW32" s="1"/>
  <c r="BU33"/>
  <c r="BW33" s="1"/>
  <c r="BU34"/>
  <c r="BW34" s="1"/>
  <c r="BU35"/>
  <c r="BW35" s="1"/>
  <c r="BU36"/>
  <c r="BW36" s="1"/>
  <c r="BU37"/>
  <c r="BW37" s="1"/>
  <c r="BU38"/>
  <c r="BW38" s="1"/>
  <c r="BU39"/>
  <c r="BW39" s="1"/>
  <c r="BU40"/>
  <c r="BW40" s="1"/>
  <c r="BU41"/>
  <c r="BW41" s="1"/>
  <c r="BU42"/>
  <c r="BW42" s="1"/>
  <c r="BU43"/>
  <c r="BW43" s="1"/>
  <c r="BU44"/>
  <c r="BW44" s="1"/>
  <c r="BU45"/>
  <c r="BW45" s="1"/>
  <c r="BN10"/>
  <c r="BP10" s="1"/>
  <c r="BN11"/>
  <c r="BP11" s="1"/>
  <c r="BN12"/>
  <c r="BP12" s="1"/>
  <c r="BN13"/>
  <c r="BP13" s="1"/>
  <c r="BN14"/>
  <c r="BP14" s="1"/>
  <c r="BN15"/>
  <c r="BN16"/>
  <c r="BP16" s="1"/>
  <c r="BN17"/>
  <c r="BP17" s="1"/>
  <c r="BN18"/>
  <c r="BP18" s="1"/>
  <c r="BN19"/>
  <c r="BP19" s="1"/>
  <c r="BN20"/>
  <c r="BP20" s="1"/>
  <c r="BN21"/>
  <c r="BP21" s="1"/>
  <c r="BN22"/>
  <c r="BP22" s="1"/>
  <c r="BN23"/>
  <c r="BP23" s="1"/>
  <c r="BN24"/>
  <c r="BP24" s="1"/>
  <c r="BN25"/>
  <c r="BP25" s="1"/>
  <c r="BN26"/>
  <c r="BP26" s="1"/>
  <c r="BN27"/>
  <c r="BP27" s="1"/>
  <c r="BN28"/>
  <c r="BP28" s="1"/>
  <c r="BN29"/>
  <c r="BP29" s="1"/>
  <c r="BN30"/>
  <c r="BP30" s="1"/>
  <c r="BN31"/>
  <c r="BP31" s="1"/>
  <c r="BN32"/>
  <c r="BP32" s="1"/>
  <c r="BN33"/>
  <c r="BP33" s="1"/>
  <c r="BN34"/>
  <c r="BP34" s="1"/>
  <c r="BN35"/>
  <c r="BP35" s="1"/>
  <c r="BN36"/>
  <c r="BP36" s="1"/>
  <c r="BN37"/>
  <c r="BP37" s="1"/>
  <c r="BN38"/>
  <c r="BP38" s="1"/>
  <c r="BN39"/>
  <c r="BP39" s="1"/>
  <c r="BN40"/>
  <c r="BP40" s="1"/>
  <c r="BN41"/>
  <c r="BP41" s="1"/>
  <c r="BN42"/>
  <c r="BP42" s="1"/>
  <c r="BN43"/>
  <c r="BP43" s="1"/>
  <c r="BN44"/>
  <c r="BP44" s="1"/>
  <c r="BN45"/>
  <c r="BP45" s="1"/>
  <c r="BG10"/>
  <c r="BI10" s="1"/>
  <c r="BG11"/>
  <c r="BI11" s="1"/>
  <c r="BK11" s="1"/>
  <c r="BG12"/>
  <c r="BI12" s="1"/>
  <c r="BG13"/>
  <c r="BI13" s="1"/>
  <c r="BG14"/>
  <c r="BI14" s="1"/>
  <c r="BG15"/>
  <c r="BI15" s="1"/>
  <c r="BG16"/>
  <c r="BI16" s="1"/>
  <c r="BG17"/>
  <c r="BI17" s="1"/>
  <c r="BG18"/>
  <c r="BI18" s="1"/>
  <c r="BG19"/>
  <c r="BI19" s="1"/>
  <c r="BG20"/>
  <c r="BI20" s="1"/>
  <c r="BG21"/>
  <c r="BI21" s="1"/>
  <c r="BG22"/>
  <c r="BI22" s="1"/>
  <c r="BG23"/>
  <c r="BI23" s="1"/>
  <c r="BG24"/>
  <c r="BI24" s="1"/>
  <c r="BG25"/>
  <c r="BI25" s="1"/>
  <c r="BG26"/>
  <c r="BI26" s="1"/>
  <c r="BG27"/>
  <c r="BI27" s="1"/>
  <c r="BG28"/>
  <c r="BI28" s="1"/>
  <c r="BG29"/>
  <c r="BI29" s="1"/>
  <c r="BG30"/>
  <c r="BI30" s="1"/>
  <c r="BG31"/>
  <c r="BI31" s="1"/>
  <c r="BG32"/>
  <c r="BI32" s="1"/>
  <c r="BG33"/>
  <c r="BI33" s="1"/>
  <c r="BG34"/>
  <c r="BI34" s="1"/>
  <c r="BG35"/>
  <c r="BI35" s="1"/>
  <c r="BG36"/>
  <c r="BI36" s="1"/>
  <c r="BG37"/>
  <c r="BI37" s="1"/>
  <c r="BG38"/>
  <c r="BI38" s="1"/>
  <c r="BG39"/>
  <c r="BI39" s="1"/>
  <c r="BG40"/>
  <c r="BI40" s="1"/>
  <c r="BG41"/>
  <c r="BI41" s="1"/>
  <c r="BG42"/>
  <c r="BI42" s="1"/>
  <c r="BG43"/>
  <c r="BI43" s="1"/>
  <c r="BK43" s="1"/>
  <c r="BG44"/>
  <c r="BI44" s="1"/>
  <c r="BG45"/>
  <c r="BI45" s="1"/>
  <c r="AZ45"/>
  <c r="BB45" s="1"/>
  <c r="AZ40"/>
  <c r="BB40" s="1"/>
  <c r="AZ41"/>
  <c r="BB41" s="1"/>
  <c r="AZ42"/>
  <c r="BB42" s="1"/>
  <c r="AZ43"/>
  <c r="BB43" s="1"/>
  <c r="AZ44"/>
  <c r="BB44" s="1"/>
  <c r="AZ10"/>
  <c r="BB10" s="1"/>
  <c r="AZ11"/>
  <c r="BB11" s="1"/>
  <c r="AZ12"/>
  <c r="BB12" s="1"/>
  <c r="AZ13"/>
  <c r="BB13" s="1"/>
  <c r="AZ14"/>
  <c r="BB14" s="1"/>
  <c r="AZ15"/>
  <c r="BB15" s="1"/>
  <c r="AZ16"/>
  <c r="BB16" s="1"/>
  <c r="AZ17"/>
  <c r="BB17" s="1"/>
  <c r="AZ18"/>
  <c r="BB18" s="1"/>
  <c r="AZ19"/>
  <c r="BB19" s="1"/>
  <c r="AZ20"/>
  <c r="BB20" s="1"/>
  <c r="AZ21"/>
  <c r="BB21" s="1"/>
  <c r="AZ22"/>
  <c r="BB22" s="1"/>
  <c r="AZ23"/>
  <c r="BB23" s="1"/>
  <c r="AZ24"/>
  <c r="BB24" s="1"/>
  <c r="AZ25"/>
  <c r="BB25" s="1"/>
  <c r="AZ26"/>
  <c r="BB26" s="1"/>
  <c r="AZ27"/>
  <c r="BB27" s="1"/>
  <c r="AZ28"/>
  <c r="BB28" s="1"/>
  <c r="AZ29"/>
  <c r="BB29" s="1"/>
  <c r="AZ30"/>
  <c r="BB30" s="1"/>
  <c r="AZ31"/>
  <c r="BB31" s="1"/>
  <c r="AZ32"/>
  <c r="BB32" s="1"/>
  <c r="AZ33"/>
  <c r="BB33" s="1"/>
  <c r="AZ34"/>
  <c r="BB34" s="1"/>
  <c r="AZ35"/>
  <c r="BB35" s="1"/>
  <c r="BD35" s="1"/>
  <c r="AZ36"/>
  <c r="BB36" s="1"/>
  <c r="AZ37"/>
  <c r="BB37" s="1"/>
  <c r="AZ38"/>
  <c r="BB38" s="1"/>
  <c r="AZ39"/>
  <c r="BB39" s="1"/>
  <c r="AS40"/>
  <c r="AU40" s="1"/>
  <c r="AS41"/>
  <c r="AU41" s="1"/>
  <c r="AS42"/>
  <c r="AU42" s="1"/>
  <c r="AS43"/>
  <c r="AU43" s="1"/>
  <c r="AS44"/>
  <c r="AU44" s="1"/>
  <c r="AS45"/>
  <c r="AU45" s="1"/>
  <c r="AS10"/>
  <c r="AU10" s="1"/>
  <c r="AS11"/>
  <c r="AU11" s="1"/>
  <c r="AS12"/>
  <c r="AU12" s="1"/>
  <c r="AS13"/>
  <c r="AU13" s="1"/>
  <c r="AS14"/>
  <c r="AU14" s="1"/>
  <c r="AS15"/>
  <c r="AU15" s="1"/>
  <c r="AS16"/>
  <c r="AU16" s="1"/>
  <c r="AS17"/>
  <c r="AU17" s="1"/>
  <c r="AS18"/>
  <c r="AU18" s="1"/>
  <c r="AS19"/>
  <c r="AU19" s="1"/>
  <c r="AS20"/>
  <c r="AU20" s="1"/>
  <c r="AS21"/>
  <c r="AU21" s="1"/>
  <c r="AS22"/>
  <c r="AU22" s="1"/>
  <c r="AS23"/>
  <c r="AU23" s="1"/>
  <c r="AS24"/>
  <c r="AU24" s="1"/>
  <c r="AS25"/>
  <c r="AU25" s="1"/>
  <c r="AS26"/>
  <c r="AU26" s="1"/>
  <c r="AS27"/>
  <c r="AS28"/>
  <c r="AU28" s="1"/>
  <c r="AS29"/>
  <c r="AU29" s="1"/>
  <c r="AS30"/>
  <c r="AU30" s="1"/>
  <c r="AS31"/>
  <c r="AU31" s="1"/>
  <c r="AS32"/>
  <c r="AU32" s="1"/>
  <c r="AS33"/>
  <c r="AU33" s="1"/>
  <c r="AS34"/>
  <c r="AU34" s="1"/>
  <c r="AS35"/>
  <c r="AU35" s="1"/>
  <c r="AS36"/>
  <c r="AU36" s="1"/>
  <c r="AS37"/>
  <c r="AU37" s="1"/>
  <c r="AS38"/>
  <c r="AU38" s="1"/>
  <c r="AS39"/>
  <c r="AU39" s="1"/>
  <c r="AL40"/>
  <c r="AN40" s="1"/>
  <c r="AL41"/>
  <c r="AN41" s="1"/>
  <c r="AL42"/>
  <c r="AN42" s="1"/>
  <c r="AL43"/>
  <c r="AN43" s="1"/>
  <c r="AL44"/>
  <c r="AN44" s="1"/>
  <c r="AL45"/>
  <c r="AN45" s="1"/>
  <c r="AL10"/>
  <c r="AN10" s="1"/>
  <c r="AL11"/>
  <c r="AN11" s="1"/>
  <c r="AL12"/>
  <c r="AL13"/>
  <c r="AN13" s="1"/>
  <c r="AL14"/>
  <c r="AN14" s="1"/>
  <c r="AL15"/>
  <c r="AN15" s="1"/>
  <c r="AL16"/>
  <c r="AN16" s="1"/>
  <c r="AL17"/>
  <c r="AN17" s="1"/>
  <c r="AL18"/>
  <c r="AN18" s="1"/>
  <c r="AL19"/>
  <c r="AN19" s="1"/>
  <c r="AL20"/>
  <c r="AN20" s="1"/>
  <c r="AL21"/>
  <c r="AN21" s="1"/>
  <c r="AL22"/>
  <c r="AN22" s="1"/>
  <c r="AL23"/>
  <c r="AN23" s="1"/>
  <c r="AL24"/>
  <c r="AN24" s="1"/>
  <c r="AL25"/>
  <c r="AN25" s="1"/>
  <c r="AL26"/>
  <c r="AN26" s="1"/>
  <c r="AL27"/>
  <c r="AN27" s="1"/>
  <c r="AL28"/>
  <c r="AN28" s="1"/>
  <c r="AL29"/>
  <c r="AN29" s="1"/>
  <c r="AL30"/>
  <c r="AN30" s="1"/>
  <c r="AL31"/>
  <c r="AN31" s="1"/>
  <c r="AL32"/>
  <c r="AN32" s="1"/>
  <c r="AL33"/>
  <c r="AN33" s="1"/>
  <c r="AL34"/>
  <c r="AN34" s="1"/>
  <c r="AL35"/>
  <c r="AN35" s="1"/>
  <c r="AL36"/>
  <c r="AN36" s="1"/>
  <c r="AL37"/>
  <c r="AN37" s="1"/>
  <c r="AL38"/>
  <c r="AN38" s="1"/>
  <c r="AL39"/>
  <c r="AN39" s="1"/>
  <c r="AE40"/>
  <c r="AG40" s="1"/>
  <c r="AE41"/>
  <c r="AG41" s="1"/>
  <c r="AE42"/>
  <c r="AG42" s="1"/>
  <c r="AE43"/>
  <c r="AG43" s="1"/>
  <c r="AE44"/>
  <c r="AG44" s="1"/>
  <c r="AE45"/>
  <c r="AG45" s="1"/>
  <c r="AE10"/>
  <c r="AG10" s="1"/>
  <c r="AE11"/>
  <c r="AG11" s="1"/>
  <c r="AE12"/>
  <c r="AG12" s="1"/>
  <c r="AE13"/>
  <c r="AG13" s="1"/>
  <c r="AE14"/>
  <c r="AG14" s="1"/>
  <c r="AE15"/>
  <c r="AG15" s="1"/>
  <c r="AE16"/>
  <c r="AG16" s="1"/>
  <c r="AE17"/>
  <c r="AG17" s="1"/>
  <c r="AE18"/>
  <c r="AG18" s="1"/>
  <c r="AE19"/>
  <c r="AG19" s="1"/>
  <c r="AE20"/>
  <c r="AG20" s="1"/>
  <c r="AE21"/>
  <c r="AG21" s="1"/>
  <c r="AE22"/>
  <c r="AG22" s="1"/>
  <c r="AE23"/>
  <c r="AG23" s="1"/>
  <c r="AE24"/>
  <c r="AG24" s="1"/>
  <c r="AE25"/>
  <c r="AG25" s="1"/>
  <c r="AE26"/>
  <c r="AG26" s="1"/>
  <c r="AE27"/>
  <c r="AG27" s="1"/>
  <c r="AE28"/>
  <c r="AG28" s="1"/>
  <c r="AE29"/>
  <c r="AG29" s="1"/>
  <c r="AE30"/>
  <c r="AG30" s="1"/>
  <c r="AE31"/>
  <c r="AG31" s="1"/>
  <c r="AE32"/>
  <c r="AG32" s="1"/>
  <c r="AE33"/>
  <c r="AG33" s="1"/>
  <c r="AE34"/>
  <c r="AG34" s="1"/>
  <c r="AE35"/>
  <c r="AG35" s="1"/>
  <c r="AE36"/>
  <c r="AG36" s="1"/>
  <c r="AE37"/>
  <c r="AG37" s="1"/>
  <c r="AE38"/>
  <c r="AG38" s="1"/>
  <c r="AE39"/>
  <c r="AG39" s="1"/>
  <c r="V40"/>
  <c r="Y40"/>
  <c r="V41"/>
  <c r="Y41"/>
  <c r="V42"/>
  <c r="Y42"/>
  <c r="V43"/>
  <c r="Y43"/>
  <c r="V44"/>
  <c r="Y44"/>
  <c r="V45"/>
  <c r="Y45"/>
  <c r="V10"/>
  <c r="Y10"/>
  <c r="V11"/>
  <c r="Y11"/>
  <c r="V12"/>
  <c r="Y12"/>
  <c r="V13"/>
  <c r="Y13"/>
  <c r="V14"/>
  <c r="Y14"/>
  <c r="V15"/>
  <c r="Y15"/>
  <c r="V16"/>
  <c r="Y16"/>
  <c r="V17"/>
  <c r="Y17"/>
  <c r="V18"/>
  <c r="AB18" s="1"/>
  <c r="Y18"/>
  <c r="V19"/>
  <c r="Y19"/>
  <c r="V20"/>
  <c r="Y20"/>
  <c r="V21"/>
  <c r="Y21"/>
  <c r="V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Y34"/>
  <c r="V35"/>
  <c r="Y35"/>
  <c r="V36"/>
  <c r="Y36"/>
  <c r="V37"/>
  <c r="Y37"/>
  <c r="V38"/>
  <c r="Y38"/>
  <c r="V39"/>
  <c r="Y39"/>
  <c r="V9"/>
  <c r="K12"/>
  <c r="K13"/>
  <c r="K14"/>
  <c r="K15"/>
  <c r="K16"/>
  <c r="K17"/>
  <c r="K18"/>
  <c r="K25"/>
  <c r="K29"/>
  <c r="K30"/>
  <c r="K37"/>
  <c r="K41"/>
  <c r="K42"/>
  <c r="S33" l="1"/>
  <c r="K26"/>
  <c r="S29"/>
  <c r="BR16"/>
  <c r="BY27"/>
  <c r="S31"/>
  <c r="BY26"/>
  <c r="AW23"/>
  <c r="AW44"/>
  <c r="AB31"/>
  <c r="AW43"/>
  <c r="S28"/>
  <c r="AP45"/>
  <c r="AW32"/>
  <c r="AB30"/>
  <c r="AP41"/>
  <c r="AW31"/>
  <c r="S38"/>
  <c r="BD22"/>
  <c r="AW20"/>
  <c r="BD19"/>
  <c r="AW19"/>
  <c r="BK19"/>
  <c r="AB29"/>
  <c r="BK15"/>
  <c r="AB35"/>
  <c r="Q22"/>
  <c r="S22" s="1"/>
  <c r="BR17"/>
  <c r="Q21"/>
  <c r="BD43"/>
  <c r="BD18"/>
  <c r="BR44"/>
  <c r="BR13"/>
  <c r="BY23"/>
  <c r="AW42"/>
  <c r="AW30"/>
  <c r="AW18"/>
  <c r="K33"/>
  <c r="BD42"/>
  <c r="BD15"/>
  <c r="BR40"/>
  <c r="BR12"/>
  <c r="BY22"/>
  <c r="AW41"/>
  <c r="AW29"/>
  <c r="AW17"/>
  <c r="AI44"/>
  <c r="BD39"/>
  <c r="BD14"/>
  <c r="BR36"/>
  <c r="BY43"/>
  <c r="BY18"/>
  <c r="AW40"/>
  <c r="AW28"/>
  <c r="AW16"/>
  <c r="AI40"/>
  <c r="BD38"/>
  <c r="BD11"/>
  <c r="BR32"/>
  <c r="BY42"/>
  <c r="BY15"/>
  <c r="AW39"/>
  <c r="AW15"/>
  <c r="AI36"/>
  <c r="BD34"/>
  <c r="BD10"/>
  <c r="BR29"/>
  <c r="BY39"/>
  <c r="BY14"/>
  <c r="AW38"/>
  <c r="AW26"/>
  <c r="AW14"/>
  <c r="AB10"/>
  <c r="AI32"/>
  <c r="BD31"/>
  <c r="BK39"/>
  <c r="BR28"/>
  <c r="BY38"/>
  <c r="BY11"/>
  <c r="AW37"/>
  <c r="AW25"/>
  <c r="AW13"/>
  <c r="AI28"/>
  <c r="BD30"/>
  <c r="BK35"/>
  <c r="BR25"/>
  <c r="BY35"/>
  <c r="BY10"/>
  <c r="AW36"/>
  <c r="AW24"/>
  <c r="AW12"/>
  <c r="BR11"/>
  <c r="AI24"/>
  <c r="BD27"/>
  <c r="BK31"/>
  <c r="BR24"/>
  <c r="BY34"/>
  <c r="AW35"/>
  <c r="AW11"/>
  <c r="Q38"/>
  <c r="AI20"/>
  <c r="BD26"/>
  <c r="BK27"/>
  <c r="BR21"/>
  <c r="BY31"/>
  <c r="AW34"/>
  <c r="AW22"/>
  <c r="AW10"/>
  <c r="AI16"/>
  <c r="BD23"/>
  <c r="BK23"/>
  <c r="BR20"/>
  <c r="BY30"/>
  <c r="AW45"/>
  <c r="AW33"/>
  <c r="AW21"/>
  <c r="AI12"/>
  <c r="AP37"/>
  <c r="AP29"/>
  <c r="CG43"/>
  <c r="CG39"/>
  <c r="CG35"/>
  <c r="CG31"/>
  <c r="CG27"/>
  <c r="CG23"/>
  <c r="CG19"/>
  <c r="CG15"/>
  <c r="Q41"/>
  <c r="Q33"/>
  <c r="BP15"/>
  <c r="BR15" s="1"/>
  <c r="AI41"/>
  <c r="AI33"/>
  <c r="AI25"/>
  <c r="AI21"/>
  <c r="AI13"/>
  <c r="AP42"/>
  <c r="AP34"/>
  <c r="AP26"/>
  <c r="AP22"/>
  <c r="AP18"/>
  <c r="AP14"/>
  <c r="AP10"/>
  <c r="BK44"/>
  <c r="BK36"/>
  <c r="BK28"/>
  <c r="BK20"/>
  <c r="BK16"/>
  <c r="BR45"/>
  <c r="BR41"/>
  <c r="BR37"/>
  <c r="BR33"/>
  <c r="CG16"/>
  <c r="Q45"/>
  <c r="Q37"/>
  <c r="K31"/>
  <c r="Q26"/>
  <c r="Q14"/>
  <c r="AN12"/>
  <c r="AP12" s="1"/>
  <c r="AI43"/>
  <c r="AI39"/>
  <c r="AI35"/>
  <c r="AI31"/>
  <c r="AI27"/>
  <c r="AI23"/>
  <c r="AI19"/>
  <c r="AI15"/>
  <c r="AI11"/>
  <c r="AP44"/>
  <c r="AP40"/>
  <c r="AP36"/>
  <c r="AP32"/>
  <c r="AP28"/>
  <c r="AP24"/>
  <c r="AP20"/>
  <c r="AP16"/>
  <c r="BD45"/>
  <c r="BD41"/>
  <c r="BD37"/>
  <c r="BD33"/>
  <c r="BD29"/>
  <c r="BD25"/>
  <c r="BD21"/>
  <c r="BD17"/>
  <c r="BD13"/>
  <c r="BK42"/>
  <c r="BK38"/>
  <c r="BK34"/>
  <c r="BK30"/>
  <c r="BK26"/>
  <c r="BK22"/>
  <c r="BK18"/>
  <c r="BK14"/>
  <c r="BK10"/>
  <c r="BR43"/>
  <c r="BR39"/>
  <c r="BR35"/>
  <c r="BR31"/>
  <c r="BR27"/>
  <c r="BR23"/>
  <c r="BR19"/>
  <c r="BY45"/>
  <c r="BY41"/>
  <c r="BY37"/>
  <c r="BY33"/>
  <c r="BY29"/>
  <c r="BY25"/>
  <c r="BY21"/>
  <c r="BY17"/>
  <c r="BY13"/>
  <c r="CG42"/>
  <c r="CG38"/>
  <c r="CG34"/>
  <c r="CG30"/>
  <c r="CG26"/>
  <c r="CG22"/>
  <c r="CG18"/>
  <c r="CG14"/>
  <c r="CG10"/>
  <c r="AP33"/>
  <c r="AP25"/>
  <c r="AP21"/>
  <c r="AP17"/>
  <c r="AP13"/>
  <c r="CG11"/>
  <c r="Q29"/>
  <c r="Q16"/>
  <c r="AU27"/>
  <c r="AW27" s="1"/>
  <c r="AI45"/>
  <c r="AI37"/>
  <c r="AI29"/>
  <c r="AI17"/>
  <c r="AP38"/>
  <c r="AP30"/>
  <c r="BK40"/>
  <c r="BK32"/>
  <c r="BK24"/>
  <c r="BK12"/>
  <c r="CG44"/>
  <c r="CG40"/>
  <c r="CG36"/>
  <c r="CG32"/>
  <c r="CG28"/>
  <c r="CG24"/>
  <c r="CG20"/>
  <c r="CG12"/>
  <c r="Q42"/>
  <c r="Q34"/>
  <c r="Q30"/>
  <c r="Q25"/>
  <c r="Q17"/>
  <c r="Q13"/>
  <c r="S39"/>
  <c r="S27"/>
  <c r="AI42"/>
  <c r="AI38"/>
  <c r="AI34"/>
  <c r="AI30"/>
  <c r="AI26"/>
  <c r="AI22"/>
  <c r="AI18"/>
  <c r="AI14"/>
  <c r="AI10"/>
  <c r="AP43"/>
  <c r="AP39"/>
  <c r="AP35"/>
  <c r="AP31"/>
  <c r="AP27"/>
  <c r="AP23"/>
  <c r="AP19"/>
  <c r="AP15"/>
  <c r="AP11"/>
  <c r="BD44"/>
  <c r="BD40"/>
  <c r="BD36"/>
  <c r="BD32"/>
  <c r="BD28"/>
  <c r="BD24"/>
  <c r="BD20"/>
  <c r="BD16"/>
  <c r="BD12"/>
  <c r="BK45"/>
  <c r="BK41"/>
  <c r="BK37"/>
  <c r="BK33"/>
  <c r="BK29"/>
  <c r="BK25"/>
  <c r="BK21"/>
  <c r="BK17"/>
  <c r="BK13"/>
  <c r="BR42"/>
  <c r="BR38"/>
  <c r="BR34"/>
  <c r="BR30"/>
  <c r="BR26"/>
  <c r="BR22"/>
  <c r="BR18"/>
  <c r="BR14"/>
  <c r="BR10"/>
  <c r="BY44"/>
  <c r="BY40"/>
  <c r="BY36"/>
  <c r="BY32"/>
  <c r="BY28"/>
  <c r="BY24"/>
  <c r="BY20"/>
  <c r="BY16"/>
  <c r="BY12"/>
  <c r="CG45"/>
  <c r="CG41"/>
  <c r="CG37"/>
  <c r="CG33"/>
  <c r="CG29"/>
  <c r="CG25"/>
  <c r="CG21"/>
  <c r="CG17"/>
  <c r="CG13"/>
  <c r="Q18"/>
  <c r="Q12"/>
  <c r="Q10"/>
  <c r="Q31"/>
  <c r="CK31" s="1"/>
  <c r="Q32"/>
  <c r="Q28"/>
  <c r="Q15"/>
  <c r="Q44"/>
  <c r="Q36"/>
  <c r="Q24"/>
  <c r="Q20"/>
  <c r="Q43"/>
  <c r="Q39"/>
  <c r="Q35"/>
  <c r="CK35" s="1"/>
  <c r="Q27"/>
  <c r="Q23"/>
  <c r="Q19"/>
  <c r="S19" s="1"/>
  <c r="Q11"/>
  <c r="Q9"/>
  <c r="Z44"/>
  <c r="AB44" s="1"/>
  <c r="Z43"/>
  <c r="AB43" s="1"/>
  <c r="Z40"/>
  <c r="AB40" s="1"/>
  <c r="Z39"/>
  <c r="AB39" s="1"/>
  <c r="Z36"/>
  <c r="AB36" s="1"/>
  <c r="Z35"/>
  <c r="Z32"/>
  <c r="AB32" s="1"/>
  <c r="Z31"/>
  <c r="Z28"/>
  <c r="AB28" s="1"/>
  <c r="Z27"/>
  <c r="AB27" s="1"/>
  <c r="Z24"/>
  <c r="AB24" s="1"/>
  <c r="Z23"/>
  <c r="AB23" s="1"/>
  <c r="Z20"/>
  <c r="AB20" s="1"/>
  <c r="Z19"/>
  <c r="AB19" s="1"/>
  <c r="Z16"/>
  <c r="AB16" s="1"/>
  <c r="Z15"/>
  <c r="AB15" s="1"/>
  <c r="Z12"/>
  <c r="AB12" s="1"/>
  <c r="Z11"/>
  <c r="AB11" s="1"/>
  <c r="Z37"/>
  <c r="AB37" s="1"/>
  <c r="Z33"/>
  <c r="AB33" s="1"/>
  <c r="Z29"/>
  <c r="Z25"/>
  <c r="AB25" s="1"/>
  <c r="Z21"/>
  <c r="AB21" s="1"/>
  <c r="Z17"/>
  <c r="AB17" s="1"/>
  <c r="Z13"/>
  <c r="AB13" s="1"/>
  <c r="Z45"/>
  <c r="AB45" s="1"/>
  <c r="Z41"/>
  <c r="Z38"/>
  <c r="AB38" s="1"/>
  <c r="Z34"/>
  <c r="AB34" s="1"/>
  <c r="Z30"/>
  <c r="Z26"/>
  <c r="AB26" s="1"/>
  <c r="Z22"/>
  <c r="Z18"/>
  <c r="Z14"/>
  <c r="AB14" s="1"/>
  <c r="Z10"/>
  <c r="Z42"/>
  <c r="AB42" s="1"/>
  <c r="D6" i="2"/>
  <c r="CK11" i="4" l="1"/>
  <c r="CK28"/>
  <c r="CK45"/>
  <c r="CK39"/>
  <c r="S35"/>
  <c r="CK22"/>
  <c r="S11"/>
  <c r="S44"/>
  <c r="CK44"/>
  <c r="CK26"/>
  <c r="S36"/>
  <c r="CK36"/>
  <c r="S14"/>
  <c r="CK14"/>
  <c r="S13"/>
  <c r="CK13"/>
  <c r="S15"/>
  <c r="CK15"/>
  <c r="S32"/>
  <c r="CK32"/>
  <c r="S10"/>
  <c r="CK10"/>
  <c r="S17"/>
  <c r="CK17"/>
  <c r="S16"/>
  <c r="CK16"/>
  <c r="S37"/>
  <c r="CK37"/>
  <c r="S9"/>
  <c r="CK19"/>
  <c r="S25"/>
  <c r="CK25"/>
  <c r="CK29"/>
  <c r="S45"/>
  <c r="CH45" s="1"/>
  <c r="CI45" s="1"/>
  <c r="CK33"/>
  <c r="CK12"/>
  <c r="S18"/>
  <c r="CK18"/>
  <c r="CK30"/>
  <c r="S41"/>
  <c r="CH41" s="1"/>
  <c r="CI41" s="1"/>
  <c r="CK41"/>
  <c r="AB22"/>
  <c r="S34"/>
  <c r="CK34"/>
  <c r="CK38"/>
  <c r="CK27"/>
  <c r="CK43"/>
  <c r="S20"/>
  <c r="CK20"/>
  <c r="S42"/>
  <c r="CH42" s="1"/>
  <c r="CI42" s="1"/>
  <c r="CJ42" s="1"/>
  <c r="CK42"/>
  <c r="S21"/>
  <c r="CK21"/>
  <c r="S23"/>
  <c r="CK23"/>
  <c r="S24"/>
  <c r="CK24"/>
  <c r="CH44"/>
  <c r="CI44" s="1"/>
  <c r="S43"/>
  <c r="CH43" s="1"/>
  <c r="CI43" s="1"/>
  <c r="AB41"/>
  <c r="K40"/>
  <c r="Q40" s="1"/>
  <c r="CJ45" l="1"/>
  <c r="S40"/>
  <c r="CH40" s="1"/>
  <c r="CI40" s="1"/>
  <c r="CK40"/>
  <c r="CJ41"/>
  <c r="CJ43"/>
  <c r="CJ44"/>
  <c r="D8" i="2"/>
  <c r="D7"/>
  <c r="H31"/>
  <c r="H25"/>
  <c r="G31"/>
  <c r="G29"/>
  <c r="G28"/>
  <c r="G27"/>
  <c r="G26"/>
  <c r="G25"/>
  <c r="G24"/>
  <c r="G23"/>
  <c r="G20"/>
  <c r="G19"/>
  <c r="F31"/>
  <c r="F29"/>
  <c r="F28"/>
  <c r="F27"/>
  <c r="F26"/>
  <c r="F24"/>
  <c r="F23"/>
  <c r="F22"/>
  <c r="F21"/>
  <c r="F20"/>
  <c r="F19"/>
  <c r="E31"/>
  <c r="E29"/>
  <c r="E28"/>
  <c r="E27"/>
  <c r="E26"/>
  <c r="E25"/>
  <c r="E24"/>
  <c r="E23"/>
  <c r="E22"/>
  <c r="E21"/>
  <c r="E20"/>
  <c r="E19"/>
  <c r="CJ40" i="4" l="1"/>
  <c r="AZ9"/>
  <c r="BB9" l="1"/>
  <c r="CH34"/>
  <c r="CI34" s="1"/>
  <c r="BD9" l="1"/>
  <c r="K26" i="2" s="1"/>
  <c r="I26"/>
  <c r="CH14" i="4"/>
  <c r="CI14" s="1"/>
  <c r="CH19"/>
  <c r="CI19" s="1"/>
  <c r="CJ34"/>
  <c r="I19" i="2"/>
  <c r="CJ19" i="4" l="1"/>
  <c r="CJ14"/>
  <c r="Y9"/>
  <c r="CB9"/>
  <c r="BU9"/>
  <c r="BN9"/>
  <c r="BG9"/>
  <c r="AS9"/>
  <c r="AL9"/>
  <c r="AE9"/>
  <c r="K9" i="2"/>
  <c r="AU9" i="4" l="1"/>
  <c r="CE9"/>
  <c r="K19" i="2"/>
  <c r="BW9" i="4"/>
  <c r="BY9" l="1"/>
  <c r="K29" i="2" s="1"/>
  <c r="I29"/>
  <c r="CG9" i="4"/>
  <c r="K31" i="2" s="1"/>
  <c r="I31"/>
  <c r="AW9" i="4"/>
  <c r="K25" i="2" s="1"/>
  <c r="I25"/>
  <c r="BX9" i="4"/>
  <c r="J29" i="2" s="1"/>
  <c r="AV9" i="4"/>
  <c r="J25" i="2" s="1"/>
  <c r="CH39" i="4" l="1"/>
  <c r="CI39" s="1"/>
  <c r="BC9"/>
  <c r="J26" i="2" s="1"/>
  <c r="CH38" i="4"/>
  <c r="CI38" s="1"/>
  <c r="CH37"/>
  <c r="CI37" s="1"/>
  <c r="CH32"/>
  <c r="CI32" s="1"/>
  <c r="CH31"/>
  <c r="CI31" s="1"/>
  <c r="CH33"/>
  <c r="CI33" s="1"/>
  <c r="CH30"/>
  <c r="CI30" s="1"/>
  <c r="CH35"/>
  <c r="CI35" s="1"/>
  <c r="CH36"/>
  <c r="CI36" s="1"/>
  <c r="K7" i="2"/>
  <c r="CJ39" i="4" l="1"/>
  <c r="CJ37"/>
  <c r="CJ36"/>
  <c r="CJ35"/>
  <c r="CJ38"/>
  <c r="CJ33"/>
  <c r="BP9"/>
  <c r="BI9"/>
  <c r="CJ31"/>
  <c r="AN9"/>
  <c r="AG9"/>
  <c r="Z9"/>
  <c r="I21" i="2" s="1"/>
  <c r="BK9" i="4" l="1"/>
  <c r="K27" i="2" s="1"/>
  <c r="I27"/>
  <c r="AI9" i="4"/>
  <c r="K23" i="2" s="1"/>
  <c r="I23"/>
  <c r="BR9" i="4"/>
  <c r="K28" i="2" s="1"/>
  <c r="I28"/>
  <c r="AP9" i="4"/>
  <c r="K24" i="2" s="1"/>
  <c r="I24"/>
  <c r="AB9" i="4"/>
  <c r="K21" i="2" s="1"/>
  <c r="L21" s="1"/>
  <c r="CK9" i="4"/>
  <c r="BJ9"/>
  <c r="J27" i="2" s="1"/>
  <c r="AH9" i="4"/>
  <c r="J23" i="2" s="1"/>
  <c r="BQ9" i="4"/>
  <c r="J28" i="2" s="1"/>
  <c r="AA9" i="4"/>
  <c r="J21" i="2" s="1"/>
  <c r="AO9" i="4"/>
  <c r="J24" i="2" s="1"/>
  <c r="CH12" i="4"/>
  <c r="CI12" s="1"/>
  <c r="CH26"/>
  <c r="CI26" s="1"/>
  <c r="CH21"/>
  <c r="CI21" s="1"/>
  <c r="CH20"/>
  <c r="CI20" s="1"/>
  <c r="CH22"/>
  <c r="CI22" s="1"/>
  <c r="CH13"/>
  <c r="CI13" s="1"/>
  <c r="CH27"/>
  <c r="CI27" s="1"/>
  <c r="CH23"/>
  <c r="CI23" s="1"/>
  <c r="CH15"/>
  <c r="CI15" s="1"/>
  <c r="CH28"/>
  <c r="CI28" s="1"/>
  <c r="CH16"/>
  <c r="CI16" s="1"/>
  <c r="CH29"/>
  <c r="CI29" s="1"/>
  <c r="CH24"/>
  <c r="CI24" s="1"/>
  <c r="CH18"/>
  <c r="CI18" s="1"/>
  <c r="CH11"/>
  <c r="CI11" s="1"/>
  <c r="CH17"/>
  <c r="CI17" s="1"/>
  <c r="CJ32"/>
  <c r="K8" i="2"/>
  <c r="I32" l="1"/>
  <c r="R9" i="4"/>
  <c r="J19" i="2" s="1"/>
  <c r="CH25" i="4"/>
  <c r="CI25" s="1"/>
  <c r="CH10"/>
  <c r="CI10" s="1"/>
  <c r="L19" i="2"/>
  <c r="CJ27" i="4"/>
  <c r="CJ23"/>
  <c r="CJ13"/>
  <c r="CH9"/>
  <c r="CI9" s="1"/>
  <c r="CJ15"/>
  <c r="CJ30"/>
  <c r="D9" i="2"/>
  <c r="CJ9" i="4" l="1"/>
  <c r="F35" i="2" s="1"/>
  <c r="M19"/>
  <c r="CJ17" i="4"/>
  <c r="CJ16"/>
  <c r="CJ10"/>
  <c r="CJ18"/>
  <c r="CJ29"/>
  <c r="CJ22"/>
  <c r="CJ24"/>
  <c r="CJ21"/>
  <c r="CJ12"/>
  <c r="CJ11"/>
  <c r="CJ26"/>
  <c r="CJ20"/>
  <c r="CJ28"/>
  <c r="D10" i="2"/>
  <c r="CJ25" i="4" l="1"/>
  <c r="M10" i="2"/>
  <c r="G37" l="1"/>
  <c r="M25"/>
  <c r="M31"/>
  <c r="M29"/>
  <c r="M27"/>
  <c r="M23"/>
  <c r="M21"/>
  <c r="M30"/>
  <c r="M28"/>
  <c r="M26"/>
  <c r="M22"/>
  <c r="M20"/>
  <c r="L24" l="1"/>
  <c r="L27"/>
  <c r="L23"/>
  <c r="L26"/>
  <c r="L25"/>
  <c r="M24"/>
  <c r="M32"/>
  <c r="L29" l="1"/>
  <c r="L28" l="1"/>
  <c r="H35" l="1"/>
  <c r="G35"/>
  <c r="I35"/>
  <c r="L31" l="1"/>
  <c r="CF9" i="4" l="1"/>
  <c r="J31" i="2" s="1"/>
</calcChain>
</file>

<file path=xl/sharedStrings.xml><?xml version="1.0" encoding="utf-8"?>
<sst xmlns="http://schemas.openxmlformats.org/spreadsheetml/2006/main" count="302" uniqueCount="229">
  <si>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</si>
  <si>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</si>
  <si>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</si>
  <si>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</si>
  <si>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</si>
  <si>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</si>
  <si>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</si>
  <si>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</si>
  <si>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</si>
  <si>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</si>
  <si>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ACCOUNTING</t>
  </si>
  <si>
    <t>S.L</t>
  </si>
  <si>
    <t>ENGLISH</t>
  </si>
  <si>
    <t>Mother's Name</t>
  </si>
  <si>
    <t>Student's Name</t>
  </si>
  <si>
    <t>MT</t>
  </si>
  <si>
    <t>Mobile No.</t>
  </si>
  <si>
    <t>BANGLA- 2ND</t>
  </si>
  <si>
    <t>BANGLA -1ST</t>
  </si>
  <si>
    <t>Father's Name</t>
  </si>
  <si>
    <t>HIGHST
MARKS</t>
  </si>
  <si>
    <t>SCIENCE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</si>
  <si>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</si>
  <si>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</si>
  <si>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</si>
  <si>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</si>
  <si>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</si>
  <si>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</si>
  <si>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</si>
  <si>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</si>
  <si>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</si>
  <si>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</si>
  <si>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</si>
  <si>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</si>
  <si>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</si>
  <si>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</si>
  <si>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</si>
  <si>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</si>
  <si>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</si>
  <si>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</si>
  <si>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</si>
  <si>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</si>
  <si>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</si>
  <si>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</si>
  <si>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</si>
  <si>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</si>
  <si>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</si>
  <si>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 xml:space="preserve"> SCIENCE</t>
  </si>
  <si>
    <t>BUSINESS ENTERP</t>
  </si>
  <si>
    <t>FINANS AND BANKING</t>
  </si>
  <si>
    <t>RANK OF STUDENT</t>
  </si>
  <si>
    <t>BUSINESS ETP</t>
  </si>
  <si>
    <t>MT+CR</t>
  </si>
  <si>
    <t>MT + 80%</t>
  </si>
  <si>
    <t>TOTAL
100%</t>
  </si>
  <si>
    <t>GRADE</t>
  </si>
  <si>
    <t>CLASS TEACHER</t>
  </si>
  <si>
    <t>BUSINESS</t>
  </si>
  <si>
    <t>MT+OB</t>
  </si>
  <si>
    <t>1st 80%</t>
  </si>
  <si>
    <t>2nd 80%</t>
  </si>
  <si>
    <t xml:space="preserve">  ROLL NO. :</t>
  </si>
  <si>
    <t>CLASS  :</t>
  </si>
  <si>
    <t xml:space="preserve">  SECTION   :</t>
  </si>
  <si>
    <t xml:space="preserve">       TOTAL STUDENT  : </t>
  </si>
  <si>
    <t>WORKING DAYS   :</t>
  </si>
  <si>
    <t>STUDENT'S NAME    :</t>
  </si>
  <si>
    <t>FATHER'S NAME   :</t>
  </si>
  <si>
    <t>MOTHER'S NAME   :</t>
  </si>
  <si>
    <t>CLASS TEACHER   :</t>
  </si>
  <si>
    <t>MOBILE NUMBER    :</t>
  </si>
  <si>
    <t>POSITION OF THE EXAMINEE  :</t>
  </si>
  <si>
    <t>STUDENT'S BEHAVIOUR AND SKILL  :</t>
  </si>
  <si>
    <t>FINANCE AND BANKING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</si>
  <si>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</si>
  <si>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>Principal (Acting)</t>
  </si>
  <si>
    <t>Co-Ordinator</t>
  </si>
  <si>
    <t xml:space="preserve">        Class Teacher</t>
  </si>
  <si>
    <t>NINE</t>
  </si>
  <si>
    <t>ABDUL AZIZ</t>
  </si>
  <si>
    <t>8801756-772529</t>
  </si>
  <si>
    <r>
      <rPr>
        <b/>
        <sz val="26"/>
        <color theme="1"/>
        <rFont val="Times New Roman"/>
        <family val="1"/>
      </rPr>
      <t>AMIN CADET RESIDENTIAL ACADEMY</t>
    </r>
    <r>
      <rPr>
        <b/>
        <sz val="15"/>
        <color theme="1"/>
        <rFont val="Calibri"/>
        <family val="2"/>
        <scheme val="minor"/>
      </rPr>
      <t xml:space="preserve">
</t>
    </r>
    <r>
      <rPr>
        <b/>
        <sz val="12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1ST SEMESTER TABULATION SHEET-2025
CLASS-NINE (BUSINESS)</t>
    </r>
  </si>
  <si>
    <t>Mahim Arafat Mamun</t>
  </si>
  <si>
    <t>Md. Abdul Huque</t>
  </si>
  <si>
    <t>Asa Akter</t>
  </si>
  <si>
    <t xml:space="preserve">Mahfuj Rahman Siam </t>
  </si>
  <si>
    <t xml:space="preserve">Fajal Haque </t>
  </si>
  <si>
    <t xml:space="preserve">Maksuda Begum </t>
  </si>
  <si>
    <t>Md. Toriqul Islam</t>
  </si>
  <si>
    <t>Md. Nahid</t>
  </si>
  <si>
    <t>Salma Begum</t>
  </si>
  <si>
    <t xml:space="preserve">Samiul Ahamed Siam </t>
  </si>
  <si>
    <t>Md. Sohel</t>
  </si>
  <si>
    <t xml:space="preserve">Sonia Akter </t>
  </si>
  <si>
    <t xml:space="preserve">Md. Tahamid Amin Alve </t>
  </si>
  <si>
    <t xml:space="preserve">Shafikul Islam Rubel </t>
  </si>
  <si>
    <t xml:space="preserve">Nagmon Naher </t>
  </si>
  <si>
    <t xml:space="preserve">Sayem Miah </t>
  </si>
  <si>
    <t xml:space="preserve">Md. Ziaur Rahman </t>
  </si>
  <si>
    <t xml:space="preserve">Mosammad Sharmin Akter </t>
  </si>
  <si>
    <t xml:space="preserve">Abu Saleh Shakib </t>
  </si>
  <si>
    <t xml:space="preserve">Md. Belal Hossain </t>
  </si>
  <si>
    <t xml:space="preserve">Mst. Sokhina Khatun </t>
  </si>
  <si>
    <t>Rihadul Islam Siam</t>
  </si>
  <si>
    <t xml:space="preserve">Md. Jasim Uddin </t>
  </si>
  <si>
    <t xml:space="preserve">Rukhshana </t>
  </si>
  <si>
    <t xml:space="preserve">Md. Sajjad Hossain </t>
  </si>
  <si>
    <t>Md. Jasim Uddin</t>
  </si>
  <si>
    <t>Aysha Akter Shathey</t>
  </si>
  <si>
    <t xml:space="preserve">Md. Samiul Islam Sayem </t>
  </si>
  <si>
    <t>Md. Agahar Ali</t>
  </si>
  <si>
    <t xml:space="preserve">Mst. Shafali Khatun </t>
  </si>
  <si>
    <t>Mahin Ahammed Misil</t>
  </si>
  <si>
    <t xml:space="preserve">Md. Jowel Rana </t>
  </si>
  <si>
    <t xml:space="preserve">Mst. Mino Akther </t>
  </si>
  <si>
    <t>Shuvo Chakma</t>
  </si>
  <si>
    <t>Shanti Priya Chakma</t>
  </si>
  <si>
    <t>Sonali Chakma</t>
  </si>
  <si>
    <t>Jarfan Hasan</t>
  </si>
  <si>
    <t xml:space="preserve">Md. Siam </t>
  </si>
  <si>
    <t xml:space="preserve">Md. Delwar Hossain </t>
  </si>
  <si>
    <t xml:space="preserve">Mst. Shahanaz </t>
  </si>
  <si>
    <t xml:space="preserve">Safayat Islam Nibir </t>
  </si>
  <si>
    <t xml:space="preserve">Md. Abdus Salek </t>
  </si>
  <si>
    <t xml:space="preserve">Nasrin Akter </t>
  </si>
  <si>
    <t xml:space="preserve">Habibur Rhaman </t>
  </si>
  <si>
    <t xml:space="preserve">Juwel </t>
  </si>
  <si>
    <t>Hafiza</t>
  </si>
  <si>
    <t>Md. Abdul Rabbi</t>
  </si>
  <si>
    <t>Md. Abul Hosain</t>
  </si>
  <si>
    <t>Sorna</t>
  </si>
  <si>
    <t xml:space="preserve">Meharab Hasan Samir </t>
  </si>
  <si>
    <t>Md. Leton</t>
  </si>
  <si>
    <t>Rehana Kabir</t>
  </si>
  <si>
    <t>Mohammad Mynul Hasan</t>
  </si>
  <si>
    <t>Kamrul Hasan</t>
  </si>
  <si>
    <t xml:space="preserve">Moriom </t>
  </si>
  <si>
    <t>Md. Ibrahim</t>
  </si>
  <si>
    <t>Md. Barakat Bapare</t>
  </si>
  <si>
    <t>Kamrun Nahar</t>
  </si>
  <si>
    <t>Arian Mahmud Nafiu</t>
  </si>
  <si>
    <t>Sukur Mahmud</t>
  </si>
  <si>
    <t>Nusrat Jahan Pinu</t>
  </si>
  <si>
    <t xml:space="preserve">Md. Abidur Rahman </t>
  </si>
  <si>
    <t xml:space="preserve">Md. Anisur Rahman </t>
  </si>
  <si>
    <t>Nupor Akther</t>
  </si>
  <si>
    <t>Md. Ashraful Islam Nirob</t>
  </si>
  <si>
    <t>Md. Habibur Rahman</t>
  </si>
  <si>
    <t>Aysha Akter Asa</t>
  </si>
  <si>
    <t xml:space="preserve">Md. Johirul Islam Rabby </t>
  </si>
  <si>
    <t xml:space="preserve">Md. Rubel Mia </t>
  </si>
  <si>
    <t xml:space="preserve">Sanjida </t>
  </si>
  <si>
    <t xml:space="preserve">Din Islam </t>
  </si>
  <si>
    <t xml:space="preserve">Mohammad Delur </t>
  </si>
  <si>
    <t xml:space="preserve">Romana Begum </t>
  </si>
  <si>
    <t xml:space="preserve">Masud Kaysar </t>
  </si>
  <si>
    <t xml:space="preserve">Aminul Islam </t>
  </si>
  <si>
    <t>Monowara Begum</t>
  </si>
  <si>
    <t xml:space="preserve">Aiman </t>
  </si>
  <si>
    <t>Santo Miah</t>
  </si>
  <si>
    <t xml:space="preserve">Nazmun Nahar Raheema </t>
  </si>
  <si>
    <t>Md. Ariyan Hossain Rizu</t>
  </si>
  <si>
    <t>Md. Anowar Hossain</t>
  </si>
  <si>
    <t>Mukta</t>
  </si>
  <si>
    <t xml:space="preserve">Md. Shimul Khan </t>
  </si>
  <si>
    <t xml:space="preserve">Md. Mahafijur Rahaman </t>
  </si>
  <si>
    <t xml:space="preserve">Sima Akter </t>
  </si>
  <si>
    <t xml:space="preserve">Md. Siam Ahamed </t>
  </si>
  <si>
    <t>Md. Sorn Ahmed</t>
  </si>
  <si>
    <t>Malaka</t>
  </si>
  <si>
    <t xml:space="preserve">Hafiz Uddin Sourov </t>
  </si>
  <si>
    <t>Reaz Uddin Ahmed</t>
  </si>
  <si>
    <t xml:space="preserve">Hafsa Akter </t>
  </si>
  <si>
    <t xml:space="preserve">Abdhulla Al Fahim </t>
  </si>
  <si>
    <t xml:space="preserve">Mohammed Hannan Talukder </t>
  </si>
  <si>
    <t xml:space="preserve">Fatema Khanam </t>
  </si>
  <si>
    <t xml:space="preserve">Md Tuhin Hasan </t>
  </si>
  <si>
    <t xml:space="preserve">Jabed Mia </t>
  </si>
  <si>
    <t xml:space="preserve">Eysmin Begum </t>
  </si>
  <si>
    <t xml:space="preserve">Md. Mominur Rahman </t>
  </si>
  <si>
    <t xml:space="preserve">Abdur Rahman </t>
  </si>
  <si>
    <t xml:space="preserve">Monira Akther </t>
  </si>
  <si>
    <t xml:space="preserve">Md. Amir Hamza Mollik </t>
  </si>
  <si>
    <t xml:space="preserve">Md. Imran Mollik </t>
  </si>
  <si>
    <t xml:space="preserve">Lakhi Parvin </t>
  </si>
  <si>
    <t xml:space="preserve">Rezvi Ahmed Naiym  </t>
  </si>
  <si>
    <t xml:space="preserve">Md. Wazed Ali </t>
  </si>
  <si>
    <t xml:space="preserve">Nasima Begum </t>
  </si>
  <si>
    <t xml:space="preserve">Md. Rahatul Habib Siam </t>
  </si>
  <si>
    <t xml:space="preserve">Md. Abdus Salam </t>
  </si>
  <si>
    <t xml:space="preserve">Mst. Runa Akter </t>
  </si>
  <si>
    <t>01850-371122</t>
  </si>
  <si>
    <t>01789-295910                                 01318-532614</t>
  </si>
  <si>
    <t>01712-570904   01911-032649</t>
  </si>
  <si>
    <t xml:space="preserve">01626-842516     </t>
  </si>
  <si>
    <t>01714-980124     01926-065084</t>
  </si>
  <si>
    <t>01626-536429                        01626-157424</t>
  </si>
  <si>
    <t>01780-667041</t>
  </si>
  <si>
    <t>01715-178250     01720-008001</t>
  </si>
  <si>
    <t>01715-178250   01741-894676</t>
  </si>
  <si>
    <t>01757-679681</t>
  </si>
  <si>
    <t>01745-242976</t>
  </si>
  <si>
    <t>01730-325851
01749-102613</t>
  </si>
  <si>
    <t>01715-178250      01715-178250</t>
  </si>
  <si>
    <t>01793-729674       01715-524192</t>
  </si>
  <si>
    <t>01753-184900                   01787-784927</t>
  </si>
  <si>
    <t>01716-554412      01914-908962</t>
  </si>
  <si>
    <t>01932-037633
01737-609616</t>
  </si>
  <si>
    <t>01642-910657</t>
  </si>
  <si>
    <t>01712-094565</t>
  </si>
  <si>
    <t>01915-343781</t>
  </si>
  <si>
    <t>01684-320515</t>
  </si>
  <si>
    <t>01814-240156               01785-533900</t>
  </si>
  <si>
    <t>01900-506707</t>
  </si>
  <si>
    <t>01826-367737</t>
  </si>
  <si>
    <t>01995-080430</t>
  </si>
  <si>
    <t>01408-907265</t>
  </si>
  <si>
    <t>01615-819048                     01688-384446</t>
  </si>
  <si>
    <t>01935-088009                                 01705-129100</t>
  </si>
  <si>
    <t>01690-268641                      01759-513162</t>
  </si>
  <si>
    <t>01799-871662</t>
  </si>
  <si>
    <t>01680-092093     01799-223689</t>
  </si>
  <si>
    <t>01715-560243     01675-827300</t>
  </si>
  <si>
    <t>01864-359982     01850-559675</t>
  </si>
  <si>
    <t>01724-449908</t>
  </si>
  <si>
    <t>01922-401172     01754-589941</t>
  </si>
  <si>
    <t xml:space="preserve">01730-207557                               </t>
  </si>
  <si>
    <t>01712-439379</t>
  </si>
  <si>
    <t xml:space="preserve">?  </t>
  </si>
</sst>
</file>

<file path=xl/styles.xml><?xml version="1.0" encoding="utf-8"?>
<styleSheet xmlns="http://schemas.openxmlformats.org/spreadsheetml/2006/main">
  <numFmts count="1">
    <numFmt numFmtId="164" formatCode="0.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Times New Roman"/>
      <family val="1"/>
    </font>
    <font>
      <sz val="10"/>
      <color theme="1"/>
      <name val="Times New Roman"/>
      <family val="1"/>
    </font>
    <font>
      <b/>
      <sz val="15"/>
      <name val="Times New Roman"/>
      <family val="1"/>
    </font>
    <font>
      <b/>
      <sz val="15"/>
      <color theme="1"/>
      <name val="Calibri"/>
      <family val="1"/>
      <scheme val="minor"/>
    </font>
    <font>
      <sz val="10"/>
      <color theme="1"/>
      <name val="Algerian"/>
      <family val="5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sz val="12"/>
      <name val="Times New Roman"/>
      <family val="1"/>
    </font>
    <font>
      <sz val="12"/>
      <color theme="1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Tempus Sans ITC"/>
      <family val="5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4"/>
      <color theme="1"/>
      <name val="Times New Roman"/>
      <family val="1"/>
    </font>
    <font>
      <sz val="14"/>
      <name val="Times New Roman"/>
      <family val="1"/>
    </font>
    <font>
      <sz val="14"/>
      <color theme="1"/>
      <name val="Calibri"/>
      <family val="2"/>
      <scheme val="minor"/>
    </font>
    <font>
      <sz val="20"/>
      <color theme="1"/>
      <name val="Times New Roman"/>
      <family val="1"/>
    </font>
    <font>
      <b/>
      <sz val="22"/>
      <name val="Times New Roman"/>
      <family val="1"/>
    </font>
    <font>
      <b/>
      <sz val="22"/>
      <color theme="1"/>
      <name val="Times New Roman"/>
      <family val="1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u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16" fillId="0" borderId="0" xfId="0" applyFont="1" applyAlignment="1">
      <alignment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5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" fontId="0" fillId="2" borderId="0" xfId="0" applyNumberFormat="1" applyFill="1"/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1" fontId="18" fillId="2" borderId="5" xfId="0" applyNumberFormat="1" applyFont="1" applyFill="1" applyBorder="1" applyAlignment="1">
      <alignment horizontal="center" vertical="center"/>
    </xf>
    <xf numFmtId="1" fontId="18" fillId="2" borderId="1" xfId="0" applyNumberFormat="1" applyFont="1" applyFill="1" applyBorder="1" applyAlignment="1">
      <alignment horizontal="center" vertical="center"/>
    </xf>
    <xf numFmtId="1" fontId="18" fillId="2" borderId="2" xfId="0" applyNumberFormat="1" applyFont="1" applyFill="1" applyBorder="1" applyAlignment="1">
      <alignment horizontal="center" vertical="center"/>
    </xf>
    <xf numFmtId="164" fontId="18" fillId="2" borderId="1" xfId="0" applyNumberFormat="1" applyFont="1" applyFill="1" applyBorder="1" applyAlignment="1">
      <alignment horizontal="center" vertical="center"/>
    </xf>
    <xf numFmtId="1" fontId="18" fillId="2" borderId="7" xfId="0" applyNumberFormat="1" applyFont="1" applyFill="1" applyBorder="1" applyAlignment="1">
      <alignment vertical="center"/>
    </xf>
    <xf numFmtId="0" fontId="18" fillId="2" borderId="8" xfId="0" applyFont="1" applyFill="1" applyBorder="1" applyAlignment="1">
      <alignment horizontal="center"/>
    </xf>
    <xf numFmtId="0" fontId="9" fillId="2" borderId="0" xfId="0" applyFont="1" applyFill="1"/>
    <xf numFmtId="0" fontId="9" fillId="0" borderId="0" xfId="0" applyFont="1"/>
    <xf numFmtId="0" fontId="18" fillId="2" borderId="0" xfId="0" applyFont="1" applyFill="1" applyAlignment="1">
      <alignment horizontal="right" vertical="center"/>
    </xf>
    <xf numFmtId="0" fontId="27" fillId="0" borderId="0" xfId="0" applyFont="1"/>
    <xf numFmtId="0" fontId="18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7" fillId="2" borderId="0" xfId="0" applyFont="1" applyFill="1"/>
    <xf numFmtId="1" fontId="11" fillId="0" borderId="0" xfId="0" applyNumberFormat="1" applyFont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/>
    </xf>
    <xf numFmtId="1" fontId="29" fillId="2" borderId="1" xfId="0" applyNumberFormat="1" applyFont="1" applyFill="1" applyBorder="1" applyAlignment="1">
      <alignment horizontal="center" vertical="center"/>
    </xf>
    <xf numFmtId="0" fontId="31" fillId="2" borderId="0" xfId="0" applyFont="1" applyFill="1"/>
    <xf numFmtId="1" fontId="33" fillId="0" borderId="0" xfId="0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2" fontId="34" fillId="0" borderId="0" xfId="1" applyNumberFormat="1" applyFont="1" applyFill="1" applyBorder="1" applyAlignment="1">
      <alignment horizontal="center" vertical="center"/>
    </xf>
    <xf numFmtId="0" fontId="35" fillId="0" borderId="0" xfId="0" applyFont="1"/>
    <xf numFmtId="1" fontId="32" fillId="0" borderId="0" xfId="0" applyNumberFormat="1" applyFont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36" fillId="0" borderId="0" xfId="0" applyFont="1"/>
    <xf numFmtId="0" fontId="31" fillId="2" borderId="0" xfId="0" applyFont="1" applyFill="1" applyAlignment="1">
      <alignment vertical="center"/>
    </xf>
    <xf numFmtId="1" fontId="30" fillId="0" borderId="1" xfId="0" applyNumberFormat="1" applyFont="1" applyBorder="1" applyAlignment="1">
      <alignment horizontal="center" vertical="center"/>
    </xf>
    <xf numFmtId="0" fontId="37" fillId="0" borderId="0" xfId="0" applyFont="1" applyAlignment="1">
      <alignment horizontal="center"/>
    </xf>
    <xf numFmtId="1" fontId="30" fillId="2" borderId="1" xfId="0" applyNumberFormat="1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horizontal="center" vertical="center"/>
    </xf>
    <xf numFmtId="2" fontId="29" fillId="2" borderId="1" xfId="1" applyNumberFormat="1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center" vertical="distributed" readingOrder="1"/>
    </xf>
    <xf numFmtId="0" fontId="39" fillId="2" borderId="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 vertical="distributed" readingOrder="1"/>
    </xf>
    <xf numFmtId="0" fontId="39" fillId="2" borderId="1" xfId="0" applyFont="1" applyFill="1" applyBorder="1" applyAlignment="1">
      <alignment horizontal="center" vertical="center" wrapText="1"/>
    </xf>
    <xf numFmtId="0" fontId="39" fillId="2" borderId="1" xfId="0" applyFont="1" applyFill="1" applyBorder="1" applyAlignment="1">
      <alignment horizontal="left" vertical="center" wrapText="1"/>
    </xf>
    <xf numFmtId="0" fontId="29" fillId="0" borderId="0" xfId="0" applyFont="1"/>
    <xf numFmtId="1" fontId="11" fillId="0" borderId="0" xfId="0" applyNumberFormat="1" applyFont="1" applyAlignment="1">
      <alignment horizontal="center" vertical="center" wrapText="1"/>
    </xf>
    <xf numFmtId="1" fontId="40" fillId="0" borderId="0" xfId="0" applyNumberFormat="1" applyFont="1" applyAlignment="1">
      <alignment horizontal="center"/>
    </xf>
    <xf numFmtId="1" fontId="11" fillId="0" borderId="0" xfId="0" applyNumberFormat="1" applyFont="1"/>
    <xf numFmtId="0" fontId="11" fillId="0" borderId="0" xfId="0" applyFont="1"/>
    <xf numFmtId="1" fontId="11" fillId="0" borderId="0" xfId="0" applyNumberFormat="1" applyFont="1" applyAlignment="1">
      <alignment vertical="center" wrapText="1"/>
    </xf>
    <xf numFmtId="0" fontId="29" fillId="0" borderId="0" xfId="0" applyFont="1" applyAlignment="1">
      <alignment horizontal="center"/>
    </xf>
    <xf numFmtId="1" fontId="29" fillId="0" borderId="2" xfId="0" applyNumberFormat="1" applyFont="1" applyBorder="1" applyAlignment="1">
      <alignment horizontal="center" vertical="center"/>
    </xf>
    <xf numFmtId="1" fontId="29" fillId="0" borderId="3" xfId="0" applyNumberFormat="1" applyFont="1" applyBorder="1" applyAlignment="1">
      <alignment horizontal="center" vertical="center"/>
    </xf>
    <xf numFmtId="1" fontId="38" fillId="0" borderId="2" xfId="0" applyNumberFormat="1" applyFont="1" applyBorder="1" applyAlignment="1">
      <alignment horizontal="center" vertical="center" wrapText="1"/>
    </xf>
    <xf numFmtId="1" fontId="38" fillId="0" borderId="3" xfId="0" applyNumberFormat="1" applyFont="1" applyBorder="1" applyAlignment="1">
      <alignment horizontal="center" vertical="center" wrapText="1"/>
    </xf>
    <xf numFmtId="1" fontId="24" fillId="0" borderId="2" xfId="0" applyNumberFormat="1" applyFont="1" applyBorder="1" applyAlignment="1">
      <alignment horizontal="center" vertical="center" wrapText="1"/>
    </xf>
    <xf numFmtId="1" fontId="24" fillId="0" borderId="3" xfId="0" applyNumberFormat="1" applyFont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center" vertical="center" wrapText="1"/>
    </xf>
    <xf numFmtId="1" fontId="29" fillId="0" borderId="3" xfId="0" applyNumberFormat="1" applyFont="1" applyBorder="1" applyAlignment="1">
      <alignment horizontal="center" vertical="center" wrapText="1"/>
    </xf>
    <xf numFmtId="1" fontId="29" fillId="0" borderId="5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horizontal="center" vertical="center"/>
    </xf>
    <xf numFmtId="1" fontId="29" fillId="0" borderId="5" xfId="0" applyNumberFormat="1" applyFont="1" applyBorder="1" applyAlignment="1">
      <alignment horizontal="left" vertical="center"/>
    </xf>
    <xf numFmtId="1" fontId="29" fillId="0" borderId="6" xfId="0" applyNumberFormat="1" applyFont="1" applyBorder="1" applyAlignment="1">
      <alignment horizontal="left" vertical="center"/>
    </xf>
    <xf numFmtId="1" fontId="29" fillId="0" borderId="7" xfId="0" applyNumberFormat="1" applyFont="1" applyBorder="1" applyAlignment="1">
      <alignment horizontal="left" vertical="center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7" xfId="0" applyNumberFormat="1" applyFont="1" applyBorder="1" applyAlignment="1">
      <alignment horizontal="center" vertical="center" wrapText="1"/>
    </xf>
    <xf numFmtId="1" fontId="13" fillId="0" borderId="0" xfId="0" applyNumberFormat="1" applyFont="1" applyAlignment="1">
      <alignment horizontal="center" vertical="center" wrapText="1"/>
    </xf>
    <xf numFmtId="1" fontId="29" fillId="2" borderId="2" xfId="0" applyNumberFormat="1" applyFont="1" applyFill="1" applyBorder="1" applyAlignment="1">
      <alignment horizontal="center" vertical="center"/>
    </xf>
    <xf numFmtId="1" fontId="29" fillId="2" borderId="4" xfId="0" applyNumberFormat="1" applyFont="1" applyFill="1" applyBorder="1" applyAlignment="1">
      <alignment horizontal="center" vertical="center"/>
    </xf>
    <xf numFmtId="1" fontId="29" fillId="2" borderId="3" xfId="0" applyNumberFormat="1" applyFont="1" applyFill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1" fontId="18" fillId="2" borderId="5" xfId="0" applyNumberFormat="1" applyFont="1" applyFill="1" applyBorder="1" applyAlignment="1">
      <alignment horizontal="center" vertical="center"/>
    </xf>
    <xf numFmtId="1" fontId="18" fillId="2" borderId="6" xfId="0" applyNumberFormat="1" applyFont="1" applyFill="1" applyBorder="1" applyAlignment="1">
      <alignment horizontal="center" vertical="center"/>
    </xf>
    <xf numFmtId="1" fontId="18" fillId="2" borderId="7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18" fillId="2" borderId="2" xfId="0" applyNumberFormat="1" applyFont="1" applyFill="1" applyBorder="1" applyAlignment="1">
      <alignment horizontal="center" vertical="center"/>
    </xf>
    <xf numFmtId="1" fontId="18" fillId="2" borderId="3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18" fillId="2" borderId="14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/>
    </xf>
    <xf numFmtId="0" fontId="18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1" fontId="19" fillId="2" borderId="0" xfId="0" applyNumberFormat="1" applyFont="1" applyFill="1" applyAlignment="1">
      <alignment horizontal="left"/>
    </xf>
    <xf numFmtId="1" fontId="5" fillId="2" borderId="5" xfId="0" applyNumberFormat="1" applyFont="1" applyFill="1" applyBorder="1" applyAlignment="1">
      <alignment horizontal="center" vertical="center"/>
    </xf>
    <xf numFmtId="1" fontId="5" fillId="2" borderId="6" xfId="0" applyNumberFormat="1" applyFont="1" applyFill="1" applyBorder="1" applyAlignment="1">
      <alignment horizontal="center" vertical="center"/>
    </xf>
    <xf numFmtId="1" fontId="5" fillId="2" borderId="7" xfId="0" applyNumberFormat="1" applyFont="1" applyFill="1" applyBorder="1" applyAlignment="1">
      <alignment horizontal="center" vertical="center"/>
    </xf>
    <xf numFmtId="0" fontId="20" fillId="2" borderId="0" xfId="0" applyFont="1" applyFill="1" applyAlignment="1">
      <alignment horizontal="left"/>
    </xf>
    <xf numFmtId="164" fontId="18" fillId="2" borderId="2" xfId="0" applyNumberFormat="1" applyFont="1" applyFill="1" applyBorder="1" applyAlignment="1">
      <alignment horizontal="center" vertical="center"/>
    </xf>
    <xf numFmtId="164" fontId="18" fillId="2" borderId="3" xfId="0" applyNumberFormat="1" applyFont="1" applyFill="1" applyBorder="1" applyAlignment="1">
      <alignment horizontal="center" vertical="center"/>
    </xf>
    <xf numFmtId="1" fontId="18" fillId="2" borderId="2" xfId="0" applyNumberFormat="1" applyFont="1" applyFill="1" applyBorder="1" applyAlignment="1">
      <alignment horizontal="center"/>
    </xf>
    <xf numFmtId="1" fontId="18" fillId="2" borderId="4" xfId="0" applyNumberFormat="1" applyFont="1" applyFill="1" applyBorder="1" applyAlignment="1">
      <alignment horizontal="center"/>
    </xf>
    <xf numFmtId="1" fontId="18" fillId="2" borderId="3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 textRotation="90"/>
    </xf>
    <xf numFmtId="0" fontId="18" fillId="2" borderId="0" xfId="0" applyFont="1" applyFill="1" applyAlignment="1">
      <alignment horizontal="right" vertical="center"/>
    </xf>
    <xf numFmtId="2" fontId="18" fillId="2" borderId="1" xfId="0" applyNumberFormat="1" applyFont="1" applyFill="1" applyBorder="1" applyAlignment="1">
      <alignment horizontal="center" vertical="center"/>
    </xf>
    <xf numFmtId="2" fontId="18" fillId="2" borderId="2" xfId="0" applyNumberFormat="1" applyFont="1" applyFill="1" applyBorder="1" applyAlignment="1">
      <alignment horizontal="center" vertical="center"/>
    </xf>
    <xf numFmtId="1" fontId="18" fillId="2" borderId="0" xfId="0" applyNumberFormat="1" applyFont="1" applyFill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6" fillId="2" borderId="2" xfId="0" applyFont="1" applyFill="1" applyBorder="1" applyAlignment="1">
      <alignment horizontal="center" vertical="center" textRotation="90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7" fillId="2" borderId="14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textRotation="90" wrapText="1"/>
    </xf>
    <xf numFmtId="0" fontId="6" fillId="2" borderId="4" xfId="0" applyFont="1" applyFill="1" applyBorder="1" applyAlignment="1">
      <alignment horizontal="center" vertical="center" textRotation="90" wrapText="1"/>
    </xf>
    <xf numFmtId="0" fontId="6" fillId="2" borderId="3" xfId="0" applyFont="1" applyFill="1" applyBorder="1" applyAlignment="1">
      <alignment horizontal="center" vertical="center" textRotation="90" wrapText="1"/>
    </xf>
    <xf numFmtId="0" fontId="21" fillId="2" borderId="0" xfId="0" applyFont="1" applyFill="1" applyAlignment="1">
      <alignment horizontal="center" vertical="center" wrapText="1"/>
    </xf>
    <xf numFmtId="1" fontId="11" fillId="3" borderId="1" xfId="0" applyNumberFormat="1" applyFont="1" applyFill="1" applyBorder="1" applyAlignment="1">
      <alignment horizontal="center" vertical="center"/>
    </xf>
    <xf numFmtId="0" fontId="39" fillId="3" borderId="1" xfId="0" applyFont="1" applyFill="1" applyBorder="1" applyAlignment="1">
      <alignment horizontal="center" vertical="center"/>
    </xf>
    <xf numFmtId="0" fontId="39" fillId="3" borderId="1" xfId="0" applyFont="1" applyFill="1" applyBorder="1" applyAlignment="1">
      <alignment horizontal="left" vertical="center"/>
    </xf>
    <xf numFmtId="0" fontId="39" fillId="3" borderId="1" xfId="0" applyFont="1" applyFill="1" applyBorder="1" applyAlignment="1">
      <alignment horizontal="center" vertical="distributed" readingOrder="1"/>
    </xf>
    <xf numFmtId="1" fontId="30" fillId="3" borderId="1" xfId="0" applyNumberFormat="1" applyFont="1" applyFill="1" applyBorder="1" applyAlignment="1">
      <alignment horizontal="center" vertical="center"/>
    </xf>
    <xf numFmtId="1" fontId="29" fillId="3" borderId="1" xfId="0" applyNumberFormat="1" applyFont="1" applyFill="1" applyBorder="1" applyAlignment="1">
      <alignment horizontal="center" vertical="center"/>
    </xf>
    <xf numFmtId="164" fontId="29" fillId="3" borderId="1" xfId="0" applyNumberFormat="1" applyFont="1" applyFill="1" applyBorder="1" applyAlignment="1">
      <alignment horizontal="center" vertical="center"/>
    </xf>
    <xf numFmtId="2" fontId="29" fillId="3" borderId="1" xfId="1" applyNumberFormat="1" applyFont="1" applyFill="1" applyBorder="1" applyAlignment="1">
      <alignment horizontal="center" vertical="center"/>
    </xf>
    <xf numFmtId="0" fontId="31" fillId="3" borderId="0" xfId="0" applyFont="1" applyFill="1"/>
    <xf numFmtId="1" fontId="29" fillId="4" borderId="2" xfId="0" applyNumberFormat="1" applyFont="1" applyFill="1" applyBorder="1" applyAlignment="1">
      <alignment horizontal="center" vertical="center"/>
    </xf>
    <xf numFmtId="1" fontId="29" fillId="4" borderId="5" xfId="0" applyNumberFormat="1" applyFont="1" applyFill="1" applyBorder="1" applyAlignment="1">
      <alignment horizontal="center" vertical="center"/>
    </xf>
    <xf numFmtId="1" fontId="29" fillId="4" borderId="6" xfId="0" applyNumberFormat="1" applyFont="1" applyFill="1" applyBorder="1" applyAlignment="1">
      <alignment horizontal="center" vertical="center"/>
    </xf>
    <xf numFmtId="1" fontId="29" fillId="4" borderId="7" xfId="0" applyNumberFormat="1" applyFont="1" applyFill="1" applyBorder="1" applyAlignment="1">
      <alignment horizontal="center" vertical="center"/>
    </xf>
    <xf numFmtId="1" fontId="29" fillId="4" borderId="2" xfId="0" applyNumberFormat="1" applyFont="1" applyFill="1" applyBorder="1" applyAlignment="1">
      <alignment horizontal="center" vertical="center" wrapText="1"/>
    </xf>
    <xf numFmtId="1" fontId="29" fillId="4" borderId="3" xfId="0" applyNumberFormat="1" applyFont="1" applyFill="1" applyBorder="1" applyAlignment="1">
      <alignment horizontal="center" vertical="center"/>
    </xf>
    <xf numFmtId="1" fontId="30" fillId="4" borderId="1" xfId="0" applyNumberFormat="1" applyFont="1" applyFill="1" applyBorder="1" applyAlignment="1">
      <alignment horizontal="center" vertical="center"/>
    </xf>
    <xf numFmtId="1" fontId="29" fillId="4" borderId="1" xfId="0" applyNumberFormat="1" applyFont="1" applyFill="1" applyBorder="1" applyAlignment="1">
      <alignment horizontal="center" vertical="center"/>
    </xf>
    <xf numFmtId="1" fontId="29" fillId="4" borderId="1" xfId="0" applyNumberFormat="1" applyFont="1" applyFill="1" applyBorder="1" applyAlignment="1">
      <alignment horizontal="center" vertical="center" wrapText="1"/>
    </xf>
    <xf numFmtId="1" fontId="29" fillId="4" borderId="3" xfId="0" applyNumberFormat="1" applyFont="1" applyFill="1" applyBorder="1" applyAlignment="1">
      <alignment horizontal="center" vertical="center" wrapText="1"/>
    </xf>
    <xf numFmtId="164" fontId="29" fillId="4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87FD6B"/>
      <color rgb="FF9ABB59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577907</xdr:colOff>
      <xdr:row>0</xdr:row>
      <xdr:rowOff>13607</xdr:rowOff>
    </xdr:from>
    <xdr:to>
      <xdr:col>39</xdr:col>
      <xdr:colOff>119743</xdr:colOff>
      <xdr:row>4</xdr:row>
      <xdr:rowOff>187668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E40DDA0E-A968-404C-A593-1D69066E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0731336" y="13607"/>
          <a:ext cx="984193" cy="10993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672982</xdr:colOff>
      <xdr:row>39</xdr:row>
      <xdr:rowOff>145054</xdr:rowOff>
    </xdr:from>
    <xdr:to>
      <xdr:col>12</xdr:col>
      <xdr:colOff>303184</xdr:colOff>
      <xdr:row>42</xdr:row>
      <xdr:rowOff>7702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F627E0B4-0A5C-493E-BAFE-A8AE89142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7626426" y="11934693"/>
          <a:ext cx="434148" cy="1069535"/>
        </a:xfrm>
        <a:prstGeom prst="rect">
          <a:avLst/>
        </a:prstGeom>
      </xdr:spPr>
    </xdr:pic>
    <xdr:clientData/>
  </xdr:twoCellAnchor>
  <xdr:twoCellAnchor editAs="oneCell">
    <xdr:from>
      <xdr:col>2</xdr:col>
      <xdr:colOff>578584</xdr:colOff>
      <xdr:row>1</xdr:row>
      <xdr:rowOff>117669</xdr:rowOff>
    </xdr:from>
    <xdr:to>
      <xdr:col>4</xdr:col>
      <xdr:colOff>47583</xdr:colOff>
      <xdr:row>4</xdr:row>
      <xdr:rowOff>187809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E7879832-2CF6-432F-A7A9-2787C1839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1457001" y="308169"/>
          <a:ext cx="908332" cy="102264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349251</xdr:colOff>
      <xdr:row>40</xdr:row>
      <xdr:rowOff>105833</xdr:rowOff>
    </xdr:from>
    <xdr:to>
      <xdr:col>7</xdr:col>
      <xdr:colOff>436407</xdr:colOff>
      <xdr:row>42</xdr:row>
      <xdr:rowOff>44302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1A227FA-528C-4D44-9AC6-E1EE3B48E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4106334" y="12403666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M3833"/>
  <sheetViews>
    <sheetView tabSelected="1" zoomScale="55" zoomScaleNormal="55" workbookViewId="0">
      <selection activeCell="AR34" sqref="AR34:AR44"/>
    </sheetView>
  </sheetViews>
  <sheetFormatPr defaultColWidth="7.7109375" defaultRowHeight="28.5"/>
  <cols>
    <col min="1" max="2" width="7.7109375" style="41"/>
    <col min="3" max="3" width="33.140625" style="41" bestFit="1" customWidth="1"/>
    <col min="4" max="4" width="27.42578125" hidden="1" customWidth="1"/>
    <col min="5" max="5" width="25" hidden="1" customWidth="1"/>
    <col min="6" max="6" width="15.85546875" style="1" hidden="1" customWidth="1"/>
    <col min="7" max="87" width="10.7109375" style="37" customWidth="1"/>
    <col min="88" max="88" width="28" style="3" bestFit="1" customWidth="1"/>
    <col min="89" max="89" width="9.5703125" customWidth="1"/>
    <col min="90" max="90" width="10.42578125" style="2" customWidth="1"/>
    <col min="91" max="91" width="9.28515625" customWidth="1"/>
  </cols>
  <sheetData>
    <row r="1" spans="1:91" ht="14.45" customHeight="1">
      <c r="A1" s="80" t="s">
        <v>81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</row>
    <row r="2" spans="1:91" ht="20.4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</row>
    <row r="3" spans="1:91" ht="24.6" customHeight="1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80"/>
      <c r="CJ3" s="80"/>
      <c r="CK3" s="80"/>
      <c r="CL3" s="80"/>
      <c r="CM3" s="80"/>
    </row>
    <row r="4" spans="1:91" ht="15" customHeight="1">
      <c r="A4" s="80"/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</row>
    <row r="5" spans="1:91" ht="17.100000000000001" customHeight="1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80"/>
      <c r="CF5" s="80"/>
      <c r="CG5" s="80"/>
      <c r="CH5" s="80"/>
      <c r="CI5" s="80"/>
      <c r="CJ5" s="80"/>
      <c r="CK5" s="80"/>
      <c r="CL5" s="80"/>
      <c r="CM5" s="80"/>
    </row>
    <row r="6" spans="1:91" s="60" customFormat="1" ht="33" customHeight="1">
      <c r="A6" s="61"/>
      <c r="B6" s="57"/>
      <c r="C6" s="57" t="s">
        <v>56</v>
      </c>
      <c r="D6" s="57" t="s">
        <v>79</v>
      </c>
      <c r="E6" s="57" t="s">
        <v>46</v>
      </c>
      <c r="F6" s="26" t="s">
        <v>80</v>
      </c>
      <c r="G6" s="57" t="s">
        <v>45</v>
      </c>
      <c r="H6" s="57" t="s">
        <v>78</v>
      </c>
      <c r="I6" s="57" t="s">
        <v>44</v>
      </c>
      <c r="J6" s="57" t="s">
        <v>57</v>
      </c>
      <c r="K6" s="84" t="s">
        <v>39</v>
      </c>
      <c r="L6" s="84"/>
      <c r="M6" s="57">
        <v>37</v>
      </c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8"/>
      <c r="CM6" s="59"/>
    </row>
    <row r="7" spans="1:91" s="44" customFormat="1" ht="23.1" customHeight="1">
      <c r="A7" s="63" t="s">
        <v>11</v>
      </c>
      <c r="B7" s="63" t="s">
        <v>0</v>
      </c>
      <c r="C7" s="63" t="s">
        <v>14</v>
      </c>
      <c r="D7" s="63" t="s">
        <v>19</v>
      </c>
      <c r="E7" s="63" t="s">
        <v>13</v>
      </c>
      <c r="F7" s="63" t="s">
        <v>16</v>
      </c>
      <c r="G7" s="71" t="s">
        <v>18</v>
      </c>
      <c r="H7" s="72"/>
      <c r="I7" s="72"/>
      <c r="J7" s="73"/>
      <c r="K7" s="69" t="s">
        <v>54</v>
      </c>
      <c r="L7" s="71" t="s">
        <v>17</v>
      </c>
      <c r="M7" s="72"/>
      <c r="N7" s="72"/>
      <c r="O7" s="73"/>
      <c r="P7" s="69" t="s">
        <v>54</v>
      </c>
      <c r="Q7" s="69" t="s">
        <v>1</v>
      </c>
      <c r="R7" s="69" t="s">
        <v>20</v>
      </c>
      <c r="S7" s="142" t="s">
        <v>2</v>
      </c>
      <c r="T7" s="143" t="s">
        <v>12</v>
      </c>
      <c r="U7" s="144"/>
      <c r="V7" s="144"/>
      <c r="W7" s="144"/>
      <c r="X7" s="144"/>
      <c r="Y7" s="145"/>
      <c r="Z7" s="146" t="s">
        <v>54</v>
      </c>
      <c r="AA7" s="69" t="s">
        <v>20</v>
      </c>
      <c r="AB7" s="63" t="s">
        <v>2</v>
      </c>
      <c r="AC7" s="71" t="s">
        <v>40</v>
      </c>
      <c r="AD7" s="72"/>
      <c r="AE7" s="72"/>
      <c r="AF7" s="73"/>
      <c r="AG7" s="69" t="s">
        <v>54</v>
      </c>
      <c r="AH7" s="69" t="s">
        <v>20</v>
      </c>
      <c r="AI7" s="63" t="s">
        <v>2</v>
      </c>
      <c r="AJ7" s="71" t="s">
        <v>3</v>
      </c>
      <c r="AK7" s="72"/>
      <c r="AL7" s="72"/>
      <c r="AM7" s="73"/>
      <c r="AN7" s="69" t="s">
        <v>54</v>
      </c>
      <c r="AO7" s="69" t="s">
        <v>20</v>
      </c>
      <c r="AP7" s="63" t="s">
        <v>2</v>
      </c>
      <c r="AQ7" s="71" t="s">
        <v>4</v>
      </c>
      <c r="AR7" s="72"/>
      <c r="AS7" s="72"/>
      <c r="AT7" s="73"/>
      <c r="AU7" s="69" t="s">
        <v>54</v>
      </c>
      <c r="AV7" s="69" t="s">
        <v>20</v>
      </c>
      <c r="AW7" s="63" t="s">
        <v>2</v>
      </c>
      <c r="AX7" s="71" t="s">
        <v>47</v>
      </c>
      <c r="AY7" s="72"/>
      <c r="AZ7" s="72"/>
      <c r="BA7" s="73"/>
      <c r="BB7" s="69" t="s">
        <v>54</v>
      </c>
      <c r="BC7" s="69" t="s">
        <v>20</v>
      </c>
      <c r="BD7" s="63" t="s">
        <v>2</v>
      </c>
      <c r="BE7" s="71" t="s">
        <v>48</v>
      </c>
      <c r="BF7" s="72"/>
      <c r="BG7" s="72"/>
      <c r="BH7" s="73"/>
      <c r="BI7" s="69" t="s">
        <v>54</v>
      </c>
      <c r="BJ7" s="69" t="s">
        <v>20</v>
      </c>
      <c r="BK7" s="63" t="s">
        <v>2</v>
      </c>
      <c r="BL7" s="74" t="s">
        <v>49</v>
      </c>
      <c r="BM7" s="75"/>
      <c r="BN7" s="75"/>
      <c r="BO7" s="76"/>
      <c r="BP7" s="69" t="s">
        <v>54</v>
      </c>
      <c r="BQ7" s="69" t="s">
        <v>20</v>
      </c>
      <c r="BR7" s="63" t="s">
        <v>2</v>
      </c>
      <c r="BS7" s="77" t="s">
        <v>10</v>
      </c>
      <c r="BT7" s="78"/>
      <c r="BU7" s="78"/>
      <c r="BV7" s="79"/>
      <c r="BW7" s="69" t="s">
        <v>54</v>
      </c>
      <c r="BX7" s="69" t="s">
        <v>20</v>
      </c>
      <c r="BY7" s="63" t="s">
        <v>2</v>
      </c>
      <c r="BZ7" s="71" t="s">
        <v>36</v>
      </c>
      <c r="CA7" s="72"/>
      <c r="CB7" s="72"/>
      <c r="CC7" s="72"/>
      <c r="CD7" s="73"/>
      <c r="CE7" s="69" t="s">
        <v>54</v>
      </c>
      <c r="CF7" s="69" t="s">
        <v>20</v>
      </c>
      <c r="CG7" s="69" t="s">
        <v>2</v>
      </c>
      <c r="CH7" s="63" t="s">
        <v>5</v>
      </c>
      <c r="CI7" s="63" t="s">
        <v>6</v>
      </c>
      <c r="CJ7" s="63" t="s">
        <v>41</v>
      </c>
      <c r="CK7" s="65" t="s">
        <v>42</v>
      </c>
      <c r="CL7" s="67" t="s">
        <v>50</v>
      </c>
      <c r="CM7" s="69" t="s">
        <v>43</v>
      </c>
    </row>
    <row r="8" spans="1:91" s="44" customFormat="1" ht="37.5">
      <c r="A8" s="64"/>
      <c r="B8" s="64"/>
      <c r="C8" s="64"/>
      <c r="D8" s="64"/>
      <c r="E8" s="64"/>
      <c r="F8" s="64"/>
      <c r="G8" s="43" t="s">
        <v>15</v>
      </c>
      <c r="H8" s="29" t="s">
        <v>7</v>
      </c>
      <c r="I8" s="29" t="s">
        <v>52</v>
      </c>
      <c r="J8" s="29" t="s">
        <v>8</v>
      </c>
      <c r="K8" s="70"/>
      <c r="L8" s="43" t="s">
        <v>15</v>
      </c>
      <c r="M8" s="29" t="s">
        <v>7</v>
      </c>
      <c r="N8" s="29" t="s">
        <v>52</v>
      </c>
      <c r="O8" s="29" t="s">
        <v>8</v>
      </c>
      <c r="P8" s="70"/>
      <c r="Q8" s="70"/>
      <c r="R8" s="70"/>
      <c r="S8" s="147"/>
      <c r="T8" s="148" t="s">
        <v>15</v>
      </c>
      <c r="U8" s="149" t="s">
        <v>59</v>
      </c>
      <c r="V8" s="150" t="s">
        <v>53</v>
      </c>
      <c r="W8" s="149" t="s">
        <v>15</v>
      </c>
      <c r="X8" s="150" t="s">
        <v>60</v>
      </c>
      <c r="Y8" s="150" t="s">
        <v>53</v>
      </c>
      <c r="Z8" s="151"/>
      <c r="AA8" s="70"/>
      <c r="AB8" s="64"/>
      <c r="AC8" s="43" t="s">
        <v>15</v>
      </c>
      <c r="AD8" s="29" t="s">
        <v>7</v>
      </c>
      <c r="AE8" s="29" t="s">
        <v>52</v>
      </c>
      <c r="AF8" s="29" t="s">
        <v>8</v>
      </c>
      <c r="AG8" s="70"/>
      <c r="AH8" s="70"/>
      <c r="AI8" s="64"/>
      <c r="AJ8" s="43" t="s">
        <v>15</v>
      </c>
      <c r="AK8" s="29" t="s">
        <v>7</v>
      </c>
      <c r="AL8" s="29" t="s">
        <v>52</v>
      </c>
      <c r="AM8" s="29" t="s">
        <v>8</v>
      </c>
      <c r="AN8" s="70"/>
      <c r="AO8" s="70"/>
      <c r="AP8" s="64"/>
      <c r="AQ8" s="43" t="s">
        <v>15</v>
      </c>
      <c r="AR8" s="29" t="s">
        <v>8</v>
      </c>
      <c r="AS8" s="29" t="s">
        <v>58</v>
      </c>
      <c r="AT8" s="29" t="s">
        <v>9</v>
      </c>
      <c r="AU8" s="70"/>
      <c r="AV8" s="70"/>
      <c r="AW8" s="64"/>
      <c r="AX8" s="43" t="s">
        <v>15</v>
      </c>
      <c r="AY8" s="29" t="s">
        <v>7</v>
      </c>
      <c r="AZ8" s="29" t="s">
        <v>52</v>
      </c>
      <c r="BA8" s="29" t="s">
        <v>8</v>
      </c>
      <c r="BB8" s="70"/>
      <c r="BC8" s="70"/>
      <c r="BD8" s="64"/>
      <c r="BE8" s="43" t="s">
        <v>15</v>
      </c>
      <c r="BF8" s="29" t="s">
        <v>7</v>
      </c>
      <c r="BG8" s="29" t="s">
        <v>52</v>
      </c>
      <c r="BH8" s="29" t="s">
        <v>8</v>
      </c>
      <c r="BI8" s="70"/>
      <c r="BJ8" s="70"/>
      <c r="BK8" s="64"/>
      <c r="BL8" s="43" t="s">
        <v>15</v>
      </c>
      <c r="BM8" s="29" t="s">
        <v>7</v>
      </c>
      <c r="BN8" s="29" t="s">
        <v>52</v>
      </c>
      <c r="BO8" s="29" t="s">
        <v>8</v>
      </c>
      <c r="BP8" s="70"/>
      <c r="BQ8" s="70"/>
      <c r="BR8" s="64"/>
      <c r="BS8" s="43" t="s">
        <v>15</v>
      </c>
      <c r="BT8" s="29" t="s">
        <v>7</v>
      </c>
      <c r="BU8" s="29" t="s">
        <v>52</v>
      </c>
      <c r="BV8" s="29" t="s">
        <v>8</v>
      </c>
      <c r="BW8" s="70"/>
      <c r="BX8" s="70"/>
      <c r="BY8" s="64"/>
      <c r="BZ8" s="43" t="s">
        <v>15</v>
      </c>
      <c r="CA8" s="29" t="s">
        <v>7</v>
      </c>
      <c r="CB8" s="29" t="s">
        <v>52</v>
      </c>
      <c r="CC8" s="29" t="s">
        <v>8</v>
      </c>
      <c r="CD8" s="29" t="s">
        <v>9</v>
      </c>
      <c r="CE8" s="70"/>
      <c r="CF8" s="70"/>
      <c r="CG8" s="70"/>
      <c r="CH8" s="64"/>
      <c r="CI8" s="64"/>
      <c r="CJ8" s="64"/>
      <c r="CK8" s="66"/>
      <c r="CL8" s="68"/>
      <c r="CM8" s="70"/>
    </row>
    <row r="9" spans="1:91" s="31" customFormat="1" ht="27.95" customHeight="1">
      <c r="A9" s="48">
        <v>1</v>
      </c>
      <c r="B9" s="49">
        <v>42</v>
      </c>
      <c r="C9" s="50" t="s">
        <v>82</v>
      </c>
      <c r="D9" s="50" t="s">
        <v>83</v>
      </c>
      <c r="E9" s="50" t="s">
        <v>84</v>
      </c>
      <c r="F9" s="51" t="s">
        <v>191</v>
      </c>
      <c r="G9" s="45">
        <v>14</v>
      </c>
      <c r="H9" s="30">
        <v>16</v>
      </c>
      <c r="I9" s="30">
        <f>G9+H9</f>
        <v>30</v>
      </c>
      <c r="J9" s="30">
        <v>10</v>
      </c>
      <c r="K9" s="30">
        <f t="shared" ref="K9:K39" si="0">I9+J9</f>
        <v>40</v>
      </c>
      <c r="L9" s="45">
        <v>14</v>
      </c>
      <c r="M9" s="30">
        <v>26</v>
      </c>
      <c r="N9" s="30">
        <f>L9+M9</f>
        <v>40</v>
      </c>
      <c r="O9" s="30">
        <v>17</v>
      </c>
      <c r="P9" s="30">
        <f>N9+O9</f>
        <v>57</v>
      </c>
      <c r="Q9" s="30">
        <f t="shared" ref="Q9:Q39" si="1">K9+P9</f>
        <v>97</v>
      </c>
      <c r="R9" s="81">
        <f>MAX(Q9:Q45)</f>
        <v>137</v>
      </c>
      <c r="S9" s="152">
        <f>IF(I9+N9&lt;=40,"F",IF(J9+O9&lt;=24,"F",IF(Q9&lt;80,"F",IF(Q9&lt;100,2,IF(Q9&lt;120,3,IF(Q9&lt;140,3.5,IF(Q9&lt;160,4,5)))))))</f>
        <v>2</v>
      </c>
      <c r="T9" s="148">
        <v>13</v>
      </c>
      <c r="U9" s="149">
        <v>40</v>
      </c>
      <c r="V9" s="149">
        <f t="shared" ref="V9" si="2">U9+T9</f>
        <v>53</v>
      </c>
      <c r="W9" s="149">
        <v>12</v>
      </c>
      <c r="X9" s="149">
        <v>40</v>
      </c>
      <c r="Y9" s="149">
        <f t="shared" ref="Y9" si="3">X9+W9</f>
        <v>52</v>
      </c>
      <c r="Z9" s="149">
        <f t="shared" ref="Z9" si="4">V9+Y9</f>
        <v>105</v>
      </c>
      <c r="AA9" s="81">
        <f>MAX(Z9:Z45)</f>
        <v>135</v>
      </c>
      <c r="AB9" s="46">
        <f>IF(V9+Y9&lt;64,"F",IF(Z9&lt;100,2,IF(Z9&lt;120,3,IF(Z9&lt;140,3.5,IF(Z9&lt;160,4,5)))))</f>
        <v>3</v>
      </c>
      <c r="AC9" s="45">
        <v>17</v>
      </c>
      <c r="AD9" s="30">
        <v>31</v>
      </c>
      <c r="AE9" s="30">
        <f t="shared" ref="AE9" si="5">AD9+AC9</f>
        <v>48</v>
      </c>
      <c r="AF9" s="30">
        <v>19</v>
      </c>
      <c r="AG9" s="30">
        <f t="shared" ref="AG9" si="6">AE9+AF9</f>
        <v>67</v>
      </c>
      <c r="AH9" s="81">
        <f>MAX(AG9:AG45)</f>
        <v>67</v>
      </c>
      <c r="AI9" s="46">
        <f>IF(AE9&lt;20,"F",IF(AF9&lt;12,"F",IF(AG9&lt;40,"F",IF(AG9&lt;50,2,IF(AG9&lt;60,3,IF(AG9&lt;70,3.5,IF(AG9&lt;80,4,5)))))))</f>
        <v>3.5</v>
      </c>
      <c r="AJ9" s="45">
        <v>15</v>
      </c>
      <c r="AK9" s="30">
        <v>33</v>
      </c>
      <c r="AL9" s="30">
        <f t="shared" ref="AL9" si="7">AK9+AJ9</f>
        <v>48</v>
      </c>
      <c r="AM9" s="30">
        <v>22</v>
      </c>
      <c r="AN9" s="30">
        <f t="shared" ref="AN9" si="8">AL9+AM9</f>
        <v>70</v>
      </c>
      <c r="AO9" s="81">
        <f>MAX(AN9:AN45)</f>
        <v>71</v>
      </c>
      <c r="AP9" s="46">
        <f>IF(AL9&lt;20,"F",IF(AM9&lt;12,"F",IF(AN9&lt;40,"F",IF(AN9&lt;50,2,IF(AN9&lt;60,3,IF(AN9&lt;70,3.5,IF(AN9&lt;80,4,5)))))))</f>
        <v>4</v>
      </c>
      <c r="AQ9" s="30"/>
      <c r="AR9" s="30">
        <v>21</v>
      </c>
      <c r="AS9" s="30">
        <f t="shared" ref="AS9" si="9">AR9+AQ9</f>
        <v>21</v>
      </c>
      <c r="AT9" s="30">
        <v>25</v>
      </c>
      <c r="AU9" s="30">
        <f>AS9+AT9</f>
        <v>46</v>
      </c>
      <c r="AV9" s="81">
        <f>MAX(AU9:AU45)</f>
        <v>48</v>
      </c>
      <c r="AW9" s="46">
        <f>IF(AS9&lt;8,"F",IF(AU9&lt;10,"F",IF(AU9&lt;20,"F",IF(AU9&lt;25,2,IF(AU9&lt;30,3,IF(AU9&lt;35,3.5,IF(AU9&lt;40,4,5)))))))</f>
        <v>5</v>
      </c>
      <c r="AX9" s="45">
        <v>16</v>
      </c>
      <c r="AY9" s="30">
        <v>20</v>
      </c>
      <c r="AZ9" s="30">
        <f>AY9+AX9</f>
        <v>36</v>
      </c>
      <c r="BA9" s="30">
        <v>18</v>
      </c>
      <c r="BB9" s="30">
        <f>AZ9+BA9</f>
        <v>54</v>
      </c>
      <c r="BC9" s="81">
        <f>MAX(BB9:BB45)</f>
        <v>67</v>
      </c>
      <c r="BD9" s="46">
        <f>IF(AZ9&lt;20,"F",IF(BA9&lt;12,"F",IF(BB9&lt;40,"F",IF(BB9&lt;50,2,IF(BB9&lt;60,3,IF(BB9&lt;70,3.5,IF(BB9&lt;80,4,5)))))))</f>
        <v>3</v>
      </c>
      <c r="BE9" s="45">
        <v>14</v>
      </c>
      <c r="BF9" s="30">
        <v>28</v>
      </c>
      <c r="BG9" s="30">
        <f t="shared" ref="BG9" si="10">BF9+BE9</f>
        <v>42</v>
      </c>
      <c r="BH9" s="30">
        <v>15</v>
      </c>
      <c r="BI9" s="30">
        <f t="shared" ref="BI9" si="11">BG9+BH9</f>
        <v>57</v>
      </c>
      <c r="BJ9" s="81">
        <f>MAX(BI9:BI45)</f>
        <v>71</v>
      </c>
      <c r="BK9" s="46">
        <f>IF(BG9&lt;20,"F",IF(BH9&lt;12,"F",IF(BI9&lt;40,"F",IF(BI9&lt;50,2,IF(BI9&lt;60,3,IF(BI9&lt;70,3.5,IF(BI9&lt;80,4,5)))))))</f>
        <v>3</v>
      </c>
      <c r="BL9" s="45">
        <v>19</v>
      </c>
      <c r="BM9" s="30">
        <v>27</v>
      </c>
      <c r="BN9" s="30">
        <f t="shared" ref="BN9" si="12">BM9+BL9</f>
        <v>46</v>
      </c>
      <c r="BO9" s="30">
        <v>17</v>
      </c>
      <c r="BP9" s="30">
        <f t="shared" ref="BP9" si="13">BN9+BO9</f>
        <v>63</v>
      </c>
      <c r="BQ9" s="81">
        <f>MAX(BP9:BP45)</f>
        <v>77</v>
      </c>
      <c r="BR9" s="46">
        <f>IF(BN9&lt;20,"F",IF(BO9&lt;12,"F",IF(BP9&lt;40,"F",IF(BP9&lt;50,2,IF(BP9&lt;60,3,IF(BP9&lt;70,3.5,IF(BP9&lt;80,4,5)))))))</f>
        <v>3.5</v>
      </c>
      <c r="BS9" s="45">
        <v>17</v>
      </c>
      <c r="BT9" s="30">
        <v>37</v>
      </c>
      <c r="BU9" s="30">
        <f t="shared" ref="BU9" si="14">BT9+BS9</f>
        <v>54</v>
      </c>
      <c r="BV9" s="30">
        <v>16</v>
      </c>
      <c r="BW9" s="30">
        <f t="shared" ref="BW9" si="15">BU9+BV9</f>
        <v>70</v>
      </c>
      <c r="BX9" s="81">
        <f>MAX(BW9:BW45)</f>
        <v>82</v>
      </c>
      <c r="BY9" s="46">
        <f>IF(BU9&lt;20,"F",IF(BV9&lt;12,"F",IF(BW9&lt;40,"F",IF(BW9&lt;50,2,IF(BW9&lt;60,3,IF(BW9&lt;70,3.5,IF(BW9&lt;80,4,5)))))))</f>
        <v>4</v>
      </c>
      <c r="BZ9" s="45">
        <v>6</v>
      </c>
      <c r="CA9" s="30">
        <v>17</v>
      </c>
      <c r="CB9" s="30">
        <f t="shared" ref="CB9" si="16">CA9+BZ9</f>
        <v>23</v>
      </c>
      <c r="CC9" s="30">
        <v>22</v>
      </c>
      <c r="CD9" s="30">
        <v>22</v>
      </c>
      <c r="CE9" s="30">
        <f t="shared" ref="CE9" si="17">CB9+CC9+CD9</f>
        <v>67</v>
      </c>
      <c r="CF9" s="81">
        <f>MAX(CE9:CE45)</f>
        <v>78</v>
      </c>
      <c r="CG9" s="46">
        <f>IF(CB9&lt;20,"0",IF(CC9&lt;10,"0",IF(CD9&lt;10,"0",IF(CE9&lt;40,"0",IF(CE9&lt;50,2,IF(CE9&lt;60,3,IF(CE9&lt;70,3.5,IF(CE9&lt;80,4,5))))))))</f>
        <v>3.5</v>
      </c>
      <c r="CH9" s="30">
        <f t="shared" ref="CH9:CH39" si="18">IF(S9="F","F",IF(AB9="F","F",IF(AI9="F","F",IF(AP9="F","F",IF(BD9="F","F",IF(BK9="F","F",IF(BR9="F","F",IF(BY9="F","F",IF(CG9="F","F",IF(AW9="F","F", IF(CG9&lt;2,SUM(S9,AB9,AI9,AP9,AW9,BD9,BK9,BR9,BY9,CG9),IF(CG9&gt;=2,SUM(S9,AB9,AI9,AP9,BD9,BK9,AW9,BR9,BY9,CG9-2)))))))))))))</f>
        <v>32.5</v>
      </c>
      <c r="CI9" s="47">
        <f t="shared" ref="CI9:CI39" si="19">IF(CH9="F","F",IF(CH9&gt;=45,5,IF(CH9&lt;45,CH9/9)))</f>
        <v>3.6111111111111112</v>
      </c>
      <c r="CJ9" s="30" t="str">
        <f t="shared" ref="CJ9:CJ30" si="20">IF(CI9="F","NEED TO PROGRESS",IF(CI9&gt;=5,"BEST",IF(CI9&gt;=4,"BETTER",IF(CI9&gt;=2,"GOOD"))))</f>
        <v>GOOD</v>
      </c>
      <c r="CK9" s="30">
        <f>Q9+Z9+BP9+BI9+BI9+BB9+AU9+AN9+BW9+AG9+CE9</f>
        <v>753</v>
      </c>
      <c r="CL9" s="30">
        <v>3</v>
      </c>
      <c r="CM9" s="30">
        <v>41</v>
      </c>
    </row>
    <row r="10" spans="1:91" s="31" customFormat="1" ht="27.95" customHeight="1">
      <c r="A10" s="48">
        <v>2</v>
      </c>
      <c r="B10" s="49">
        <v>46</v>
      </c>
      <c r="C10" s="52" t="s">
        <v>85</v>
      </c>
      <c r="D10" s="52" t="s">
        <v>86</v>
      </c>
      <c r="E10" s="52" t="s">
        <v>87</v>
      </c>
      <c r="F10" s="53" t="s">
        <v>192</v>
      </c>
      <c r="G10" s="45">
        <v>9</v>
      </c>
      <c r="H10" s="30">
        <v>29</v>
      </c>
      <c r="I10" s="30">
        <f t="shared" ref="I10:I45" si="21">G10+H10</f>
        <v>38</v>
      </c>
      <c r="J10" s="30">
        <v>15</v>
      </c>
      <c r="K10" s="30">
        <f t="shared" si="0"/>
        <v>53</v>
      </c>
      <c r="L10" s="45">
        <v>14</v>
      </c>
      <c r="M10" s="30">
        <v>25</v>
      </c>
      <c r="N10" s="30">
        <f t="shared" ref="N10:N45" si="22">L10+M10</f>
        <v>39</v>
      </c>
      <c r="O10" s="30">
        <v>17</v>
      </c>
      <c r="P10" s="30">
        <f t="shared" ref="P10:P45" si="23">N10+O10</f>
        <v>56</v>
      </c>
      <c r="Q10" s="30">
        <f t="shared" si="1"/>
        <v>109</v>
      </c>
      <c r="R10" s="82"/>
      <c r="S10" s="152">
        <f t="shared" ref="S10:S45" si="24">IF(I10+N10&lt;=40,"F",IF(J10+O10&lt;=24,"F",IF(Q10&lt;80,"F",IF(Q10&lt;100,2,IF(Q10&lt;120,3,IF(Q10&lt;140,3.5,IF(Q10&lt;160,4,5)))))))</f>
        <v>3</v>
      </c>
      <c r="T10" s="148">
        <v>12</v>
      </c>
      <c r="U10" s="149">
        <v>20</v>
      </c>
      <c r="V10" s="149">
        <f t="shared" ref="V10:V40" si="25">U10+T10</f>
        <v>32</v>
      </c>
      <c r="W10" s="149">
        <v>14</v>
      </c>
      <c r="X10" s="149">
        <v>16</v>
      </c>
      <c r="Y10" s="149">
        <f t="shared" ref="Y10:Y40" si="26">X10+W10</f>
        <v>30</v>
      </c>
      <c r="Z10" s="149">
        <f t="shared" ref="Z10:Z40" si="27">V10+Y10</f>
        <v>62</v>
      </c>
      <c r="AA10" s="82"/>
      <c r="AB10" s="46" t="str">
        <f t="shared" ref="AB10:AB45" si="28">IF(V10+Y10&lt;64,"F",IF(Z10&lt;100,2,IF(Z10&lt;120,3,IF(Z10&lt;140,3.5,IF(Z10&lt;160,4,5)))))</f>
        <v>F</v>
      </c>
      <c r="AC10" s="45">
        <v>14</v>
      </c>
      <c r="AD10" s="30">
        <v>14</v>
      </c>
      <c r="AE10" s="30">
        <f t="shared" ref="AE10:AE40" si="29">AD10+AC10</f>
        <v>28</v>
      </c>
      <c r="AF10" s="30">
        <v>13</v>
      </c>
      <c r="AG10" s="30">
        <f t="shared" ref="AG10:AG40" si="30">AE10+AF10</f>
        <v>41</v>
      </c>
      <c r="AH10" s="82"/>
      <c r="AI10" s="46">
        <f t="shared" ref="AI10:AI45" si="31">IF(AE10&lt;20,"F",IF(AF10&lt;12,"F",IF(AG10&lt;40,"F",IF(AG10&lt;50,2,IF(AG10&lt;60,3,IF(AG10&lt;70,3.5,IF(AG10&lt;80,4,5)))))))</f>
        <v>2</v>
      </c>
      <c r="AJ10" s="45">
        <v>14</v>
      </c>
      <c r="AK10" s="30">
        <v>31</v>
      </c>
      <c r="AL10" s="30">
        <f t="shared" ref="AL10:AL40" si="32">AK10+AJ10</f>
        <v>45</v>
      </c>
      <c r="AM10" s="30">
        <v>18</v>
      </c>
      <c r="AN10" s="30">
        <f t="shared" ref="AN10:AN40" si="33">AL10+AM10</f>
        <v>63</v>
      </c>
      <c r="AO10" s="82"/>
      <c r="AP10" s="46">
        <f t="shared" ref="AP10:AP45" si="34">IF(AL10&lt;20,"F",IF(AM10&lt;12,"F",IF(AN10&lt;40,"F",IF(AN10&lt;50,2,IF(AN10&lt;60,3,IF(AN10&lt;70,3.5,IF(AN10&lt;80,4,5)))))))</f>
        <v>3.5</v>
      </c>
      <c r="AQ10" s="30"/>
      <c r="AR10" s="30">
        <v>18</v>
      </c>
      <c r="AS10" s="30">
        <f t="shared" ref="AS10:AS40" si="35">AR10+AQ10</f>
        <v>18</v>
      </c>
      <c r="AT10" s="30">
        <v>25</v>
      </c>
      <c r="AU10" s="30">
        <f t="shared" ref="AU10:AU40" si="36">AS10+AT10</f>
        <v>43</v>
      </c>
      <c r="AV10" s="82"/>
      <c r="AW10" s="46">
        <f t="shared" ref="AW10:AW45" si="37">IF(AS10&lt;8,"F",IF(AU10&lt;10,"F",IF(AU10&lt;20,"F",IF(AU10&lt;25,2,IF(AU10&lt;30,3,IF(AU10&lt;35,3.5,IF(AU10&lt;40,4,5)))))))</f>
        <v>5</v>
      </c>
      <c r="AX10" s="45">
        <v>14</v>
      </c>
      <c r="AY10" s="30">
        <v>28</v>
      </c>
      <c r="AZ10" s="30">
        <f t="shared" ref="AZ10:AZ39" si="38">AY10+AX10</f>
        <v>42</v>
      </c>
      <c r="BA10" s="30">
        <v>19</v>
      </c>
      <c r="BB10" s="30">
        <f t="shared" ref="BB10:BB39" si="39">AZ10+BA10</f>
        <v>61</v>
      </c>
      <c r="BC10" s="82"/>
      <c r="BD10" s="46">
        <f t="shared" ref="BD10:BD45" si="40">IF(AZ10&lt;20,"F",IF(BA10&lt;12,"F",IF(BB10&lt;40,"F",IF(BB10&lt;50,2,IF(BB10&lt;60,3,IF(BB10&lt;70,3.5,IF(BB10&lt;80,4,5)))))))</f>
        <v>3.5</v>
      </c>
      <c r="BE10" s="45">
        <v>14</v>
      </c>
      <c r="BF10" s="30">
        <v>25</v>
      </c>
      <c r="BG10" s="30">
        <f t="shared" ref="BG10:BG45" si="41">BF10+BE10</f>
        <v>39</v>
      </c>
      <c r="BH10" s="30">
        <v>14</v>
      </c>
      <c r="BI10" s="30">
        <f t="shared" ref="BI10:BI45" si="42">BG10+BH10</f>
        <v>53</v>
      </c>
      <c r="BJ10" s="82"/>
      <c r="BK10" s="46">
        <f t="shared" ref="BK10:BK45" si="43">IF(BG10&lt;20,"F",IF(BH10&lt;12,"F",IF(BI10&lt;40,"F",IF(BI10&lt;50,2,IF(BI10&lt;60,3,IF(BI10&lt;70,3.5,IF(BI10&lt;80,4,5)))))))</f>
        <v>3</v>
      </c>
      <c r="BL10" s="45">
        <v>16</v>
      </c>
      <c r="BM10" s="30">
        <v>25</v>
      </c>
      <c r="BN10" s="30">
        <f t="shared" ref="BN10:BN45" si="44">BM10+BL10</f>
        <v>41</v>
      </c>
      <c r="BO10" s="30">
        <v>17</v>
      </c>
      <c r="BP10" s="30">
        <f t="shared" ref="BP10:BP45" si="45">BN10+BO10</f>
        <v>58</v>
      </c>
      <c r="BQ10" s="82"/>
      <c r="BR10" s="46">
        <f t="shared" ref="BR10:BR45" si="46">IF(BN10&lt;20,"F",IF(BO10&lt;12,"F",IF(BP10&lt;40,"F",IF(BP10&lt;50,2,IF(BP10&lt;60,3,IF(BP10&lt;70,3.5,IF(BP10&lt;80,4,5)))))))</f>
        <v>3</v>
      </c>
      <c r="BS10" s="45">
        <v>11</v>
      </c>
      <c r="BT10" s="30">
        <v>18</v>
      </c>
      <c r="BU10" s="30">
        <f t="shared" ref="BU10:BU45" si="47">BT10+BS10</f>
        <v>29</v>
      </c>
      <c r="BV10" s="30">
        <v>9</v>
      </c>
      <c r="BW10" s="30">
        <f t="shared" ref="BW10:BW45" si="48">BU10+BV10</f>
        <v>38</v>
      </c>
      <c r="BX10" s="82"/>
      <c r="BY10" s="46" t="str">
        <f t="shared" ref="BY10:BY45" si="49">IF(BU10&lt;20,"F",IF(BV10&lt;12,"F",IF(BW10&lt;40,"F",IF(BW10&lt;50,2,IF(BW10&lt;60,3,IF(BW10&lt;70,3.5,IF(BW10&lt;80,4,5)))))))</f>
        <v>F</v>
      </c>
      <c r="BZ10" s="45">
        <v>7</v>
      </c>
      <c r="CA10" s="30">
        <v>18</v>
      </c>
      <c r="CB10" s="30">
        <f t="shared" ref="CB10:CB40" si="50">CA10+BZ10</f>
        <v>25</v>
      </c>
      <c r="CC10" s="30">
        <v>20</v>
      </c>
      <c r="CD10" s="30">
        <v>22</v>
      </c>
      <c r="CE10" s="30">
        <f t="shared" ref="CE10:CE40" si="51">CB10+CC10+CD10</f>
        <v>67</v>
      </c>
      <c r="CF10" s="82"/>
      <c r="CG10" s="46">
        <f t="shared" ref="CG10:CG45" si="52">IF(CB10&lt;20,"0",IF(CC10&lt;10,"0",IF(CD10&lt;10,"0",IF(CE10&lt;40,"0",IF(CE10&lt;50,2,IF(CE10&lt;60,3,IF(CE10&lt;70,3.5,IF(CE10&lt;80,4,5))))))))</f>
        <v>3.5</v>
      </c>
      <c r="CH10" s="30" t="str">
        <f t="shared" si="18"/>
        <v>F</v>
      </c>
      <c r="CI10" s="47" t="str">
        <f t="shared" si="19"/>
        <v>F</v>
      </c>
      <c r="CJ10" s="30" t="str">
        <f t="shared" si="20"/>
        <v>NEED TO PROGRESS</v>
      </c>
      <c r="CK10" s="30">
        <f t="shared" ref="CK10:CK44" si="53">Q10+Z10+BP10+BI10+BI10+BB10+AU10+AN10+BW10+AG10+CE10</f>
        <v>648</v>
      </c>
      <c r="CL10" s="30"/>
      <c r="CM10" s="30">
        <v>37</v>
      </c>
    </row>
    <row r="11" spans="1:91" s="31" customFormat="1" ht="27.95" customHeight="1">
      <c r="A11" s="48">
        <v>3</v>
      </c>
      <c r="B11" s="49">
        <v>47</v>
      </c>
      <c r="C11" s="50" t="s">
        <v>88</v>
      </c>
      <c r="D11" s="50" t="s">
        <v>89</v>
      </c>
      <c r="E11" s="50" t="s">
        <v>90</v>
      </c>
      <c r="F11" s="51" t="s">
        <v>193</v>
      </c>
      <c r="G11" s="45">
        <v>15</v>
      </c>
      <c r="H11" s="30">
        <v>21</v>
      </c>
      <c r="I11" s="30">
        <f t="shared" si="21"/>
        <v>36</v>
      </c>
      <c r="J11" s="30">
        <v>16</v>
      </c>
      <c r="K11" s="30">
        <f t="shared" si="0"/>
        <v>52</v>
      </c>
      <c r="L11" s="45">
        <v>15</v>
      </c>
      <c r="M11" s="30">
        <v>25</v>
      </c>
      <c r="N11" s="30">
        <f t="shared" si="22"/>
        <v>40</v>
      </c>
      <c r="O11" s="30">
        <v>14</v>
      </c>
      <c r="P11" s="30">
        <f t="shared" si="23"/>
        <v>54</v>
      </c>
      <c r="Q11" s="30">
        <f t="shared" si="1"/>
        <v>106</v>
      </c>
      <c r="R11" s="82"/>
      <c r="S11" s="152">
        <f t="shared" si="24"/>
        <v>3</v>
      </c>
      <c r="T11" s="148">
        <v>13</v>
      </c>
      <c r="U11" s="149">
        <v>43</v>
      </c>
      <c r="V11" s="149">
        <f t="shared" si="25"/>
        <v>56</v>
      </c>
      <c r="W11" s="149">
        <v>12</v>
      </c>
      <c r="X11" s="149">
        <v>40</v>
      </c>
      <c r="Y11" s="149">
        <f t="shared" si="26"/>
        <v>52</v>
      </c>
      <c r="Z11" s="149">
        <f t="shared" si="27"/>
        <v>108</v>
      </c>
      <c r="AA11" s="82"/>
      <c r="AB11" s="46">
        <f t="shared" si="28"/>
        <v>3</v>
      </c>
      <c r="AC11" s="45">
        <v>9</v>
      </c>
      <c r="AD11" s="30">
        <v>35</v>
      </c>
      <c r="AE11" s="30">
        <f t="shared" si="29"/>
        <v>44</v>
      </c>
      <c r="AF11" s="30">
        <v>16</v>
      </c>
      <c r="AG11" s="30">
        <f t="shared" si="30"/>
        <v>60</v>
      </c>
      <c r="AH11" s="82"/>
      <c r="AI11" s="46">
        <f t="shared" si="31"/>
        <v>3.5</v>
      </c>
      <c r="AJ11" s="45">
        <v>15</v>
      </c>
      <c r="AK11" s="30">
        <v>32</v>
      </c>
      <c r="AL11" s="30">
        <f t="shared" si="32"/>
        <v>47</v>
      </c>
      <c r="AM11" s="30">
        <v>21</v>
      </c>
      <c r="AN11" s="30">
        <f t="shared" si="33"/>
        <v>68</v>
      </c>
      <c r="AO11" s="82"/>
      <c r="AP11" s="46">
        <f t="shared" si="34"/>
        <v>3.5</v>
      </c>
      <c r="AQ11" s="30"/>
      <c r="AR11" s="30">
        <v>16</v>
      </c>
      <c r="AS11" s="30">
        <f t="shared" si="35"/>
        <v>16</v>
      </c>
      <c r="AT11" s="30">
        <v>25</v>
      </c>
      <c r="AU11" s="30">
        <f t="shared" si="36"/>
        <v>41</v>
      </c>
      <c r="AV11" s="82"/>
      <c r="AW11" s="46">
        <f t="shared" si="37"/>
        <v>5</v>
      </c>
      <c r="AX11" s="45">
        <v>12</v>
      </c>
      <c r="AY11" s="30">
        <v>30</v>
      </c>
      <c r="AZ11" s="30">
        <f t="shared" si="38"/>
        <v>42</v>
      </c>
      <c r="BA11" s="30">
        <v>16</v>
      </c>
      <c r="BB11" s="30">
        <f t="shared" si="39"/>
        <v>58</v>
      </c>
      <c r="BC11" s="82"/>
      <c r="BD11" s="46">
        <f t="shared" si="40"/>
        <v>3</v>
      </c>
      <c r="BE11" s="45">
        <v>9</v>
      </c>
      <c r="BF11" s="30">
        <v>25</v>
      </c>
      <c r="BG11" s="30">
        <f t="shared" si="41"/>
        <v>34</v>
      </c>
      <c r="BH11" s="30">
        <v>13</v>
      </c>
      <c r="BI11" s="30">
        <f t="shared" si="42"/>
        <v>47</v>
      </c>
      <c r="BJ11" s="82"/>
      <c r="BK11" s="46">
        <f t="shared" si="43"/>
        <v>2</v>
      </c>
      <c r="BL11" s="45">
        <v>15</v>
      </c>
      <c r="BM11" s="30">
        <v>39</v>
      </c>
      <c r="BN11" s="30">
        <f t="shared" si="44"/>
        <v>54</v>
      </c>
      <c r="BO11" s="30">
        <v>19</v>
      </c>
      <c r="BP11" s="30">
        <f t="shared" si="45"/>
        <v>73</v>
      </c>
      <c r="BQ11" s="82"/>
      <c r="BR11" s="46">
        <f t="shared" si="46"/>
        <v>4</v>
      </c>
      <c r="BS11" s="45">
        <v>10</v>
      </c>
      <c r="BT11" s="30">
        <v>24</v>
      </c>
      <c r="BU11" s="30">
        <f t="shared" si="47"/>
        <v>34</v>
      </c>
      <c r="BV11" s="30">
        <v>12</v>
      </c>
      <c r="BW11" s="30">
        <f t="shared" si="48"/>
        <v>46</v>
      </c>
      <c r="BX11" s="82"/>
      <c r="BY11" s="46">
        <f t="shared" si="49"/>
        <v>2</v>
      </c>
      <c r="BZ11" s="45">
        <v>5</v>
      </c>
      <c r="CA11" s="30">
        <v>17</v>
      </c>
      <c r="CB11" s="30">
        <f t="shared" si="50"/>
        <v>22</v>
      </c>
      <c r="CC11" s="30">
        <v>16</v>
      </c>
      <c r="CD11" s="30">
        <v>22</v>
      </c>
      <c r="CE11" s="30">
        <f t="shared" si="51"/>
        <v>60</v>
      </c>
      <c r="CF11" s="82"/>
      <c r="CG11" s="46">
        <f t="shared" si="52"/>
        <v>3.5</v>
      </c>
      <c r="CH11" s="30">
        <f t="shared" si="18"/>
        <v>30.5</v>
      </c>
      <c r="CI11" s="47">
        <f t="shared" si="19"/>
        <v>3.3888888888888888</v>
      </c>
      <c r="CJ11" s="30" t="str">
        <f t="shared" si="20"/>
        <v>GOOD</v>
      </c>
      <c r="CK11" s="30">
        <f t="shared" si="53"/>
        <v>714</v>
      </c>
      <c r="CL11" s="30">
        <v>4</v>
      </c>
      <c r="CM11" s="30">
        <v>43</v>
      </c>
    </row>
    <row r="12" spans="1:91" s="31" customFormat="1" ht="27.95" customHeight="1">
      <c r="A12" s="48">
        <v>4</v>
      </c>
      <c r="B12" s="49">
        <v>49</v>
      </c>
      <c r="C12" s="52" t="s">
        <v>91</v>
      </c>
      <c r="D12" s="52" t="s">
        <v>92</v>
      </c>
      <c r="E12" s="52" t="s">
        <v>93</v>
      </c>
      <c r="F12" s="54" t="s">
        <v>194</v>
      </c>
      <c r="G12" s="45">
        <v>10</v>
      </c>
      <c r="H12" s="30">
        <v>20</v>
      </c>
      <c r="I12" s="30">
        <f t="shared" si="21"/>
        <v>30</v>
      </c>
      <c r="J12" s="30">
        <v>10</v>
      </c>
      <c r="K12" s="30">
        <f t="shared" si="0"/>
        <v>40</v>
      </c>
      <c r="L12" s="45">
        <v>14</v>
      </c>
      <c r="M12" s="30">
        <v>24</v>
      </c>
      <c r="N12" s="30">
        <f t="shared" si="22"/>
        <v>38</v>
      </c>
      <c r="O12" s="30">
        <v>13</v>
      </c>
      <c r="P12" s="30">
        <f t="shared" si="23"/>
        <v>51</v>
      </c>
      <c r="Q12" s="30">
        <f t="shared" si="1"/>
        <v>91</v>
      </c>
      <c r="R12" s="82"/>
      <c r="S12" s="152" t="str">
        <f t="shared" si="24"/>
        <v>F</v>
      </c>
      <c r="T12" s="148">
        <v>11</v>
      </c>
      <c r="U12" s="149">
        <v>35</v>
      </c>
      <c r="V12" s="149">
        <f t="shared" si="25"/>
        <v>46</v>
      </c>
      <c r="W12" s="149">
        <v>14</v>
      </c>
      <c r="X12" s="149">
        <v>31</v>
      </c>
      <c r="Y12" s="149">
        <f t="shared" si="26"/>
        <v>45</v>
      </c>
      <c r="Z12" s="149">
        <f t="shared" si="27"/>
        <v>91</v>
      </c>
      <c r="AA12" s="82"/>
      <c r="AB12" s="46">
        <f t="shared" si="28"/>
        <v>2</v>
      </c>
      <c r="AC12" s="45">
        <v>13</v>
      </c>
      <c r="AD12" s="30">
        <v>8</v>
      </c>
      <c r="AE12" s="30">
        <f t="shared" si="29"/>
        <v>21</v>
      </c>
      <c r="AF12" s="30">
        <v>15</v>
      </c>
      <c r="AG12" s="30">
        <f>AE12+AF12</f>
        <v>36</v>
      </c>
      <c r="AH12" s="82"/>
      <c r="AI12" s="46" t="str">
        <f t="shared" si="31"/>
        <v>F</v>
      </c>
      <c r="AJ12" s="45">
        <v>14</v>
      </c>
      <c r="AK12" s="30">
        <v>21</v>
      </c>
      <c r="AL12" s="30">
        <f t="shared" si="32"/>
        <v>35</v>
      </c>
      <c r="AM12" s="30">
        <v>22</v>
      </c>
      <c r="AN12" s="30">
        <f t="shared" si="33"/>
        <v>57</v>
      </c>
      <c r="AO12" s="82"/>
      <c r="AP12" s="46">
        <f t="shared" si="34"/>
        <v>3</v>
      </c>
      <c r="AQ12" s="30"/>
      <c r="AR12" s="30">
        <v>23</v>
      </c>
      <c r="AS12" s="30">
        <f t="shared" si="35"/>
        <v>23</v>
      </c>
      <c r="AT12" s="30">
        <v>25</v>
      </c>
      <c r="AU12" s="30">
        <f t="shared" si="36"/>
        <v>48</v>
      </c>
      <c r="AV12" s="82"/>
      <c r="AW12" s="46">
        <f t="shared" si="37"/>
        <v>5</v>
      </c>
      <c r="AX12" s="45">
        <v>11</v>
      </c>
      <c r="AY12" s="30">
        <v>24</v>
      </c>
      <c r="AZ12" s="30">
        <f t="shared" si="38"/>
        <v>35</v>
      </c>
      <c r="BA12" s="30">
        <v>21</v>
      </c>
      <c r="BB12" s="30">
        <f t="shared" si="39"/>
        <v>56</v>
      </c>
      <c r="BC12" s="82"/>
      <c r="BD12" s="46">
        <f t="shared" si="40"/>
        <v>3</v>
      </c>
      <c r="BE12" s="45">
        <v>15</v>
      </c>
      <c r="BF12" s="30">
        <v>19</v>
      </c>
      <c r="BG12" s="30">
        <f t="shared" si="41"/>
        <v>34</v>
      </c>
      <c r="BH12" s="30">
        <v>21</v>
      </c>
      <c r="BI12" s="30">
        <f t="shared" si="42"/>
        <v>55</v>
      </c>
      <c r="BJ12" s="82"/>
      <c r="BK12" s="46">
        <f t="shared" si="43"/>
        <v>3</v>
      </c>
      <c r="BL12" s="45">
        <v>13</v>
      </c>
      <c r="BM12" s="30">
        <v>24</v>
      </c>
      <c r="BN12" s="30">
        <f t="shared" si="44"/>
        <v>37</v>
      </c>
      <c r="BO12" s="30">
        <v>19</v>
      </c>
      <c r="BP12" s="30">
        <f t="shared" si="45"/>
        <v>56</v>
      </c>
      <c r="BQ12" s="82"/>
      <c r="BR12" s="46">
        <f t="shared" si="46"/>
        <v>3</v>
      </c>
      <c r="BS12" s="45">
        <v>10</v>
      </c>
      <c r="BT12" s="30">
        <v>20</v>
      </c>
      <c r="BU12" s="30">
        <f t="shared" si="47"/>
        <v>30</v>
      </c>
      <c r="BV12" s="30">
        <v>18</v>
      </c>
      <c r="BW12" s="30">
        <f t="shared" si="48"/>
        <v>48</v>
      </c>
      <c r="BX12" s="82"/>
      <c r="BY12" s="46">
        <f t="shared" si="49"/>
        <v>2</v>
      </c>
      <c r="BZ12" s="45">
        <v>5</v>
      </c>
      <c r="CA12" s="30">
        <v>15</v>
      </c>
      <c r="CB12" s="30">
        <f t="shared" si="50"/>
        <v>20</v>
      </c>
      <c r="CC12" s="30">
        <v>20</v>
      </c>
      <c r="CD12" s="30">
        <v>22</v>
      </c>
      <c r="CE12" s="30">
        <f t="shared" si="51"/>
        <v>62</v>
      </c>
      <c r="CF12" s="82"/>
      <c r="CG12" s="46">
        <f t="shared" si="52"/>
        <v>3.5</v>
      </c>
      <c r="CH12" s="30" t="str">
        <f t="shared" si="18"/>
        <v>F</v>
      </c>
      <c r="CI12" s="47" t="str">
        <f t="shared" si="19"/>
        <v>F</v>
      </c>
      <c r="CJ12" s="30" t="str">
        <f t="shared" si="20"/>
        <v>NEED TO PROGRESS</v>
      </c>
      <c r="CK12" s="30">
        <f t="shared" si="53"/>
        <v>655</v>
      </c>
      <c r="CL12" s="30"/>
      <c r="CM12" s="30">
        <v>45</v>
      </c>
    </row>
    <row r="13" spans="1:91" s="31" customFormat="1" ht="27.95" customHeight="1">
      <c r="A13" s="48">
        <v>5</v>
      </c>
      <c r="B13" s="49">
        <v>51</v>
      </c>
      <c r="C13" s="52" t="s">
        <v>94</v>
      </c>
      <c r="D13" s="52" t="s">
        <v>95</v>
      </c>
      <c r="E13" s="52" t="s">
        <v>96</v>
      </c>
      <c r="F13" s="53" t="s">
        <v>195</v>
      </c>
      <c r="G13" s="45">
        <v>16</v>
      </c>
      <c r="H13" s="30">
        <v>29</v>
      </c>
      <c r="I13" s="30">
        <f t="shared" si="21"/>
        <v>45</v>
      </c>
      <c r="J13" s="30">
        <v>11</v>
      </c>
      <c r="K13" s="30">
        <f t="shared" si="0"/>
        <v>56</v>
      </c>
      <c r="L13" s="45">
        <v>14</v>
      </c>
      <c r="M13" s="30">
        <v>21</v>
      </c>
      <c r="N13" s="30">
        <f t="shared" si="22"/>
        <v>35</v>
      </c>
      <c r="O13" s="30">
        <v>23</v>
      </c>
      <c r="P13" s="30">
        <f t="shared" si="23"/>
        <v>58</v>
      </c>
      <c r="Q13" s="30">
        <f t="shared" si="1"/>
        <v>114</v>
      </c>
      <c r="R13" s="82"/>
      <c r="S13" s="152">
        <f t="shared" si="24"/>
        <v>3</v>
      </c>
      <c r="T13" s="148">
        <v>13</v>
      </c>
      <c r="U13" s="149">
        <v>34</v>
      </c>
      <c r="V13" s="149">
        <f t="shared" si="25"/>
        <v>47</v>
      </c>
      <c r="W13" s="149">
        <v>14</v>
      </c>
      <c r="X13" s="149">
        <v>40</v>
      </c>
      <c r="Y13" s="149">
        <f t="shared" si="26"/>
        <v>54</v>
      </c>
      <c r="Z13" s="149">
        <f t="shared" si="27"/>
        <v>101</v>
      </c>
      <c r="AA13" s="82"/>
      <c r="AB13" s="46">
        <f t="shared" si="28"/>
        <v>3</v>
      </c>
      <c r="AC13" s="45">
        <v>11</v>
      </c>
      <c r="AD13" s="30">
        <v>9</v>
      </c>
      <c r="AE13" s="30">
        <f t="shared" si="29"/>
        <v>20</v>
      </c>
      <c r="AF13" s="30">
        <v>12</v>
      </c>
      <c r="AG13" s="30">
        <f t="shared" si="30"/>
        <v>32</v>
      </c>
      <c r="AH13" s="82"/>
      <c r="AI13" s="46" t="str">
        <f t="shared" si="31"/>
        <v>F</v>
      </c>
      <c r="AJ13" s="45">
        <v>11</v>
      </c>
      <c r="AK13" s="30">
        <v>25</v>
      </c>
      <c r="AL13" s="30">
        <f t="shared" si="32"/>
        <v>36</v>
      </c>
      <c r="AM13" s="30">
        <v>19</v>
      </c>
      <c r="AN13" s="30">
        <f t="shared" si="33"/>
        <v>55</v>
      </c>
      <c r="AO13" s="82"/>
      <c r="AP13" s="46">
        <f t="shared" si="34"/>
        <v>3</v>
      </c>
      <c r="AQ13" s="30"/>
      <c r="AR13" s="30">
        <v>22</v>
      </c>
      <c r="AS13" s="30">
        <f t="shared" si="35"/>
        <v>22</v>
      </c>
      <c r="AT13" s="30">
        <v>25</v>
      </c>
      <c r="AU13" s="30">
        <f t="shared" si="36"/>
        <v>47</v>
      </c>
      <c r="AV13" s="82"/>
      <c r="AW13" s="46">
        <f t="shared" si="37"/>
        <v>5</v>
      </c>
      <c r="AX13" s="45">
        <v>13</v>
      </c>
      <c r="AY13" s="30">
        <v>31</v>
      </c>
      <c r="AZ13" s="30">
        <f t="shared" si="38"/>
        <v>44</v>
      </c>
      <c r="BA13" s="30">
        <v>18</v>
      </c>
      <c r="BB13" s="30">
        <f t="shared" si="39"/>
        <v>62</v>
      </c>
      <c r="BC13" s="82"/>
      <c r="BD13" s="46">
        <f t="shared" si="40"/>
        <v>3.5</v>
      </c>
      <c r="BE13" s="45">
        <v>13</v>
      </c>
      <c r="BF13" s="30">
        <v>26</v>
      </c>
      <c r="BG13" s="30">
        <f t="shared" si="41"/>
        <v>39</v>
      </c>
      <c r="BH13" s="30">
        <v>19</v>
      </c>
      <c r="BI13" s="30">
        <f t="shared" si="42"/>
        <v>58</v>
      </c>
      <c r="BJ13" s="82"/>
      <c r="BK13" s="46">
        <f t="shared" si="43"/>
        <v>3</v>
      </c>
      <c r="BL13" s="45">
        <v>16</v>
      </c>
      <c r="BM13" s="30">
        <v>27</v>
      </c>
      <c r="BN13" s="30">
        <f t="shared" si="44"/>
        <v>43</v>
      </c>
      <c r="BO13" s="30">
        <v>24</v>
      </c>
      <c r="BP13" s="30">
        <f t="shared" si="45"/>
        <v>67</v>
      </c>
      <c r="BQ13" s="82"/>
      <c r="BR13" s="46">
        <f t="shared" si="46"/>
        <v>3.5</v>
      </c>
      <c r="BS13" s="45">
        <v>11</v>
      </c>
      <c r="BT13" s="30">
        <v>11</v>
      </c>
      <c r="BU13" s="30">
        <f t="shared" si="47"/>
        <v>22</v>
      </c>
      <c r="BV13" s="30">
        <v>19</v>
      </c>
      <c r="BW13" s="30">
        <f t="shared" si="48"/>
        <v>41</v>
      </c>
      <c r="BX13" s="82"/>
      <c r="BY13" s="46">
        <f t="shared" si="49"/>
        <v>2</v>
      </c>
      <c r="BZ13" s="45">
        <v>7</v>
      </c>
      <c r="CA13" s="30">
        <v>17</v>
      </c>
      <c r="CB13" s="30">
        <f t="shared" si="50"/>
        <v>24</v>
      </c>
      <c r="CC13" s="30">
        <v>17</v>
      </c>
      <c r="CD13" s="30">
        <v>22</v>
      </c>
      <c r="CE13" s="30">
        <f t="shared" si="51"/>
        <v>63</v>
      </c>
      <c r="CF13" s="82"/>
      <c r="CG13" s="46">
        <f t="shared" si="52"/>
        <v>3.5</v>
      </c>
      <c r="CH13" s="30" t="str">
        <f t="shared" si="18"/>
        <v>F</v>
      </c>
      <c r="CI13" s="47" t="str">
        <f t="shared" si="19"/>
        <v>F</v>
      </c>
      <c r="CJ13" s="30" t="str">
        <f t="shared" si="20"/>
        <v>NEED TO PROGRESS</v>
      </c>
      <c r="CK13" s="30">
        <f t="shared" si="53"/>
        <v>698</v>
      </c>
      <c r="CL13" s="30"/>
      <c r="CM13" s="30">
        <v>38</v>
      </c>
    </row>
    <row r="14" spans="1:91" s="31" customFormat="1" ht="27.95" customHeight="1">
      <c r="A14" s="48">
        <v>6</v>
      </c>
      <c r="B14" s="49">
        <v>55</v>
      </c>
      <c r="C14" s="52" t="s">
        <v>97</v>
      </c>
      <c r="D14" s="52" t="s">
        <v>98</v>
      </c>
      <c r="E14" s="52" t="s">
        <v>99</v>
      </c>
      <c r="F14" s="53" t="s">
        <v>196</v>
      </c>
      <c r="G14" s="45">
        <v>12</v>
      </c>
      <c r="H14" s="30">
        <v>36</v>
      </c>
      <c r="I14" s="30">
        <f t="shared" si="21"/>
        <v>48</v>
      </c>
      <c r="J14" s="30">
        <v>10</v>
      </c>
      <c r="K14" s="30">
        <f t="shared" si="0"/>
        <v>58</v>
      </c>
      <c r="L14" s="45">
        <v>13</v>
      </c>
      <c r="M14" s="30">
        <v>27</v>
      </c>
      <c r="N14" s="30">
        <f t="shared" si="22"/>
        <v>40</v>
      </c>
      <c r="O14" s="30">
        <v>25</v>
      </c>
      <c r="P14" s="30">
        <f t="shared" si="23"/>
        <v>65</v>
      </c>
      <c r="Q14" s="30">
        <f t="shared" si="1"/>
        <v>123</v>
      </c>
      <c r="R14" s="82"/>
      <c r="S14" s="152">
        <f t="shared" si="24"/>
        <v>3.5</v>
      </c>
      <c r="T14" s="148">
        <v>13</v>
      </c>
      <c r="U14" s="149">
        <v>35</v>
      </c>
      <c r="V14" s="149">
        <f t="shared" si="25"/>
        <v>48</v>
      </c>
      <c r="W14" s="149">
        <v>12</v>
      </c>
      <c r="X14" s="149">
        <v>40</v>
      </c>
      <c r="Y14" s="149">
        <f t="shared" si="26"/>
        <v>52</v>
      </c>
      <c r="Z14" s="149">
        <f t="shared" si="27"/>
        <v>100</v>
      </c>
      <c r="AA14" s="82"/>
      <c r="AB14" s="46">
        <f t="shared" si="28"/>
        <v>3</v>
      </c>
      <c r="AC14" s="45">
        <v>9</v>
      </c>
      <c r="AD14" s="30">
        <v>6</v>
      </c>
      <c r="AE14" s="30">
        <f t="shared" si="29"/>
        <v>15</v>
      </c>
      <c r="AF14" s="30">
        <v>16</v>
      </c>
      <c r="AG14" s="30">
        <f t="shared" si="30"/>
        <v>31</v>
      </c>
      <c r="AH14" s="82"/>
      <c r="AI14" s="46" t="str">
        <f t="shared" si="31"/>
        <v>F</v>
      </c>
      <c r="AJ14" s="45">
        <v>12</v>
      </c>
      <c r="AK14" s="30">
        <v>28</v>
      </c>
      <c r="AL14" s="30">
        <f t="shared" si="32"/>
        <v>40</v>
      </c>
      <c r="AM14" s="30">
        <v>20</v>
      </c>
      <c r="AN14" s="30">
        <f t="shared" si="33"/>
        <v>60</v>
      </c>
      <c r="AO14" s="82"/>
      <c r="AP14" s="46">
        <f t="shared" si="34"/>
        <v>3.5</v>
      </c>
      <c r="AQ14" s="30"/>
      <c r="AR14" s="30">
        <v>15</v>
      </c>
      <c r="AS14" s="30">
        <f t="shared" si="35"/>
        <v>15</v>
      </c>
      <c r="AT14" s="30">
        <v>25</v>
      </c>
      <c r="AU14" s="30">
        <f t="shared" si="36"/>
        <v>40</v>
      </c>
      <c r="AV14" s="82"/>
      <c r="AW14" s="46">
        <f t="shared" si="37"/>
        <v>5</v>
      </c>
      <c r="AX14" s="45">
        <v>14</v>
      </c>
      <c r="AY14" s="30">
        <v>34</v>
      </c>
      <c r="AZ14" s="30">
        <f t="shared" si="38"/>
        <v>48</v>
      </c>
      <c r="BA14" s="30">
        <v>18</v>
      </c>
      <c r="BB14" s="30">
        <f t="shared" si="39"/>
        <v>66</v>
      </c>
      <c r="BC14" s="82"/>
      <c r="BD14" s="46">
        <f t="shared" si="40"/>
        <v>3.5</v>
      </c>
      <c r="BE14" s="45">
        <v>15</v>
      </c>
      <c r="BF14" s="30">
        <v>24</v>
      </c>
      <c r="BG14" s="30">
        <f t="shared" si="41"/>
        <v>39</v>
      </c>
      <c r="BH14" s="30">
        <v>16</v>
      </c>
      <c r="BI14" s="30">
        <f t="shared" si="42"/>
        <v>55</v>
      </c>
      <c r="BJ14" s="82"/>
      <c r="BK14" s="46">
        <f t="shared" si="43"/>
        <v>3</v>
      </c>
      <c r="BL14" s="45">
        <v>14</v>
      </c>
      <c r="BM14" s="30">
        <v>31</v>
      </c>
      <c r="BN14" s="30">
        <f t="shared" si="44"/>
        <v>45</v>
      </c>
      <c r="BO14" s="30">
        <v>24</v>
      </c>
      <c r="BP14" s="30">
        <f t="shared" si="45"/>
        <v>69</v>
      </c>
      <c r="BQ14" s="82"/>
      <c r="BR14" s="46">
        <f t="shared" si="46"/>
        <v>3.5</v>
      </c>
      <c r="BS14" s="45">
        <v>16</v>
      </c>
      <c r="BT14" s="30">
        <v>29</v>
      </c>
      <c r="BU14" s="30">
        <f t="shared" si="47"/>
        <v>45</v>
      </c>
      <c r="BV14" s="30">
        <v>11</v>
      </c>
      <c r="BW14" s="30">
        <f t="shared" si="48"/>
        <v>56</v>
      </c>
      <c r="BX14" s="82"/>
      <c r="BY14" s="46" t="str">
        <f t="shared" si="49"/>
        <v>F</v>
      </c>
      <c r="BZ14" s="45">
        <v>7</v>
      </c>
      <c r="CA14" s="30">
        <v>26</v>
      </c>
      <c r="CB14" s="30">
        <f t="shared" si="50"/>
        <v>33</v>
      </c>
      <c r="CC14" s="30">
        <v>19</v>
      </c>
      <c r="CD14" s="30">
        <v>22</v>
      </c>
      <c r="CE14" s="30">
        <f t="shared" si="51"/>
        <v>74</v>
      </c>
      <c r="CF14" s="82"/>
      <c r="CG14" s="46">
        <f t="shared" si="52"/>
        <v>4</v>
      </c>
      <c r="CH14" s="30" t="str">
        <f t="shared" si="18"/>
        <v>F</v>
      </c>
      <c r="CI14" s="47" t="str">
        <f t="shared" si="19"/>
        <v>F</v>
      </c>
      <c r="CJ14" s="30" t="str">
        <f t="shared" ref="CJ14:CJ19" si="54">IF(CI14="F","NEED TO PROGRESS",IF(CI14&gt;=5,"BEST",IF(CI14&gt;=4,"BETTER",IF(CI14&gt;=2,"GOOD"))))</f>
        <v>NEED TO PROGRESS</v>
      </c>
      <c r="CK14" s="30">
        <f t="shared" si="53"/>
        <v>729</v>
      </c>
      <c r="CL14" s="30"/>
      <c r="CM14" s="30">
        <v>41</v>
      </c>
    </row>
    <row r="15" spans="1:91" s="31" customFormat="1" ht="27.95" customHeight="1">
      <c r="A15" s="48">
        <v>7</v>
      </c>
      <c r="B15" s="49">
        <v>57</v>
      </c>
      <c r="C15" s="50" t="s">
        <v>100</v>
      </c>
      <c r="D15" s="50" t="s">
        <v>101</v>
      </c>
      <c r="E15" s="50" t="s">
        <v>102</v>
      </c>
      <c r="F15" s="51" t="s">
        <v>197</v>
      </c>
      <c r="G15" s="45">
        <v>9</v>
      </c>
      <c r="H15" s="30">
        <v>22</v>
      </c>
      <c r="I15" s="30">
        <f t="shared" si="21"/>
        <v>31</v>
      </c>
      <c r="J15" s="30">
        <v>14</v>
      </c>
      <c r="K15" s="30">
        <f t="shared" si="0"/>
        <v>45</v>
      </c>
      <c r="L15" s="45">
        <v>17</v>
      </c>
      <c r="M15" s="30">
        <v>31</v>
      </c>
      <c r="N15" s="30">
        <f t="shared" si="22"/>
        <v>48</v>
      </c>
      <c r="O15" s="30">
        <v>25</v>
      </c>
      <c r="P15" s="30">
        <f t="shared" si="23"/>
        <v>73</v>
      </c>
      <c r="Q15" s="30">
        <f t="shared" si="1"/>
        <v>118</v>
      </c>
      <c r="R15" s="82"/>
      <c r="S15" s="152">
        <f t="shared" si="24"/>
        <v>3</v>
      </c>
      <c r="T15" s="148">
        <v>12</v>
      </c>
      <c r="U15" s="149">
        <v>39</v>
      </c>
      <c r="V15" s="149">
        <f t="shared" si="25"/>
        <v>51</v>
      </c>
      <c r="W15" s="149">
        <v>12</v>
      </c>
      <c r="X15" s="149">
        <v>22</v>
      </c>
      <c r="Y15" s="149">
        <f t="shared" si="26"/>
        <v>34</v>
      </c>
      <c r="Z15" s="149">
        <f t="shared" si="27"/>
        <v>85</v>
      </c>
      <c r="AA15" s="82"/>
      <c r="AB15" s="46">
        <f t="shared" si="28"/>
        <v>2</v>
      </c>
      <c r="AC15" s="45">
        <v>9</v>
      </c>
      <c r="AD15" s="30">
        <v>3</v>
      </c>
      <c r="AE15" s="30">
        <f t="shared" si="29"/>
        <v>12</v>
      </c>
      <c r="AF15" s="30">
        <v>7</v>
      </c>
      <c r="AG15" s="30">
        <f t="shared" si="30"/>
        <v>19</v>
      </c>
      <c r="AH15" s="82"/>
      <c r="AI15" s="46" t="str">
        <f t="shared" si="31"/>
        <v>F</v>
      </c>
      <c r="AJ15" s="45">
        <v>15</v>
      </c>
      <c r="AK15" s="30">
        <v>27</v>
      </c>
      <c r="AL15" s="30">
        <f t="shared" si="32"/>
        <v>42</v>
      </c>
      <c r="AM15" s="30">
        <v>18</v>
      </c>
      <c r="AN15" s="30">
        <f t="shared" si="33"/>
        <v>60</v>
      </c>
      <c r="AO15" s="82"/>
      <c r="AP15" s="46">
        <f t="shared" si="34"/>
        <v>3.5</v>
      </c>
      <c r="AQ15" s="30"/>
      <c r="AR15" s="30">
        <v>22</v>
      </c>
      <c r="AS15" s="30">
        <f t="shared" si="35"/>
        <v>22</v>
      </c>
      <c r="AT15" s="30">
        <v>25</v>
      </c>
      <c r="AU15" s="30">
        <f t="shared" si="36"/>
        <v>47</v>
      </c>
      <c r="AV15" s="82"/>
      <c r="AW15" s="46">
        <f t="shared" si="37"/>
        <v>5</v>
      </c>
      <c r="AX15" s="45">
        <v>12</v>
      </c>
      <c r="AY15" s="30">
        <v>30</v>
      </c>
      <c r="AZ15" s="30">
        <f t="shared" si="38"/>
        <v>42</v>
      </c>
      <c r="BA15" s="30">
        <v>18</v>
      </c>
      <c r="BB15" s="30">
        <f t="shared" si="39"/>
        <v>60</v>
      </c>
      <c r="BC15" s="82"/>
      <c r="BD15" s="46">
        <f t="shared" si="40"/>
        <v>3.5</v>
      </c>
      <c r="BE15" s="45">
        <v>14</v>
      </c>
      <c r="BF15" s="30">
        <v>24</v>
      </c>
      <c r="BG15" s="30">
        <f t="shared" si="41"/>
        <v>38</v>
      </c>
      <c r="BH15" s="30">
        <v>12</v>
      </c>
      <c r="BI15" s="30">
        <f t="shared" si="42"/>
        <v>50</v>
      </c>
      <c r="BJ15" s="82"/>
      <c r="BK15" s="46">
        <f t="shared" si="43"/>
        <v>3</v>
      </c>
      <c r="BL15" s="45">
        <v>15</v>
      </c>
      <c r="BM15" s="30">
        <v>33</v>
      </c>
      <c r="BN15" s="30">
        <f t="shared" si="44"/>
        <v>48</v>
      </c>
      <c r="BO15" s="30">
        <v>18</v>
      </c>
      <c r="BP15" s="30">
        <f t="shared" si="45"/>
        <v>66</v>
      </c>
      <c r="BQ15" s="82"/>
      <c r="BR15" s="46">
        <f t="shared" si="46"/>
        <v>3.5</v>
      </c>
      <c r="BS15" s="45">
        <v>13</v>
      </c>
      <c r="BT15" s="30">
        <v>27</v>
      </c>
      <c r="BU15" s="30">
        <f t="shared" si="47"/>
        <v>40</v>
      </c>
      <c r="BV15" s="30">
        <v>12</v>
      </c>
      <c r="BW15" s="30">
        <f t="shared" si="48"/>
        <v>52</v>
      </c>
      <c r="BX15" s="82"/>
      <c r="BY15" s="46">
        <f t="shared" si="49"/>
        <v>3</v>
      </c>
      <c r="BZ15" s="45">
        <v>5</v>
      </c>
      <c r="CA15" s="30">
        <v>22</v>
      </c>
      <c r="CB15" s="30">
        <f t="shared" si="50"/>
        <v>27</v>
      </c>
      <c r="CC15" s="30">
        <v>18</v>
      </c>
      <c r="CD15" s="30">
        <v>22</v>
      </c>
      <c r="CE15" s="30">
        <f t="shared" si="51"/>
        <v>67</v>
      </c>
      <c r="CF15" s="82"/>
      <c r="CG15" s="46">
        <f t="shared" si="52"/>
        <v>3.5</v>
      </c>
      <c r="CH15" s="30" t="str">
        <f t="shared" si="18"/>
        <v>F</v>
      </c>
      <c r="CI15" s="47" t="str">
        <f t="shared" si="19"/>
        <v>F</v>
      </c>
      <c r="CJ15" s="30" t="str">
        <f t="shared" si="54"/>
        <v>NEED TO PROGRESS</v>
      </c>
      <c r="CK15" s="30">
        <f t="shared" si="53"/>
        <v>674</v>
      </c>
      <c r="CL15" s="30" t="s">
        <v>228</v>
      </c>
      <c r="CM15" s="30">
        <v>44</v>
      </c>
    </row>
    <row r="16" spans="1:91" s="31" customFormat="1" ht="27.95" customHeight="1">
      <c r="A16" s="48">
        <v>8</v>
      </c>
      <c r="B16" s="49">
        <v>58</v>
      </c>
      <c r="C16" s="52" t="s">
        <v>103</v>
      </c>
      <c r="D16" s="52" t="s">
        <v>104</v>
      </c>
      <c r="E16" s="52" t="s">
        <v>105</v>
      </c>
      <c r="F16" s="53" t="s">
        <v>198</v>
      </c>
      <c r="G16" s="45">
        <v>10</v>
      </c>
      <c r="H16" s="30">
        <v>18</v>
      </c>
      <c r="I16" s="30">
        <f t="shared" si="21"/>
        <v>28</v>
      </c>
      <c r="J16" s="30">
        <v>12</v>
      </c>
      <c r="K16" s="30">
        <f t="shared" si="0"/>
        <v>40</v>
      </c>
      <c r="L16" s="45">
        <v>11</v>
      </c>
      <c r="M16" s="30">
        <v>27</v>
      </c>
      <c r="N16" s="30">
        <f t="shared" si="22"/>
        <v>38</v>
      </c>
      <c r="O16" s="30">
        <v>14</v>
      </c>
      <c r="P16" s="30">
        <f t="shared" si="23"/>
        <v>52</v>
      </c>
      <c r="Q16" s="30">
        <f t="shared" si="1"/>
        <v>92</v>
      </c>
      <c r="R16" s="82"/>
      <c r="S16" s="152">
        <f t="shared" si="24"/>
        <v>2</v>
      </c>
      <c r="T16" s="148">
        <v>10</v>
      </c>
      <c r="U16" s="149">
        <v>33</v>
      </c>
      <c r="V16" s="149">
        <f t="shared" si="25"/>
        <v>43</v>
      </c>
      <c r="W16" s="149">
        <v>11</v>
      </c>
      <c r="X16" s="149">
        <v>16</v>
      </c>
      <c r="Y16" s="149">
        <f t="shared" si="26"/>
        <v>27</v>
      </c>
      <c r="Z16" s="149">
        <f t="shared" si="27"/>
        <v>70</v>
      </c>
      <c r="AA16" s="82"/>
      <c r="AB16" s="46">
        <f t="shared" si="28"/>
        <v>2</v>
      </c>
      <c r="AC16" s="45">
        <v>8</v>
      </c>
      <c r="AD16" s="30">
        <v>2</v>
      </c>
      <c r="AE16" s="30">
        <f t="shared" si="29"/>
        <v>10</v>
      </c>
      <c r="AF16" s="30">
        <v>12</v>
      </c>
      <c r="AG16" s="30">
        <f t="shared" si="30"/>
        <v>22</v>
      </c>
      <c r="AH16" s="82"/>
      <c r="AI16" s="46" t="str">
        <f t="shared" si="31"/>
        <v>F</v>
      </c>
      <c r="AJ16" s="45">
        <v>11</v>
      </c>
      <c r="AK16" s="30">
        <v>23</v>
      </c>
      <c r="AL16" s="30">
        <f t="shared" si="32"/>
        <v>34</v>
      </c>
      <c r="AM16" s="30">
        <v>20</v>
      </c>
      <c r="AN16" s="30">
        <f t="shared" si="33"/>
        <v>54</v>
      </c>
      <c r="AO16" s="82"/>
      <c r="AP16" s="46">
        <f t="shared" si="34"/>
        <v>3</v>
      </c>
      <c r="AQ16" s="30"/>
      <c r="AR16" s="30">
        <v>17</v>
      </c>
      <c r="AS16" s="30">
        <f t="shared" si="35"/>
        <v>17</v>
      </c>
      <c r="AT16" s="30">
        <v>25</v>
      </c>
      <c r="AU16" s="30">
        <f t="shared" si="36"/>
        <v>42</v>
      </c>
      <c r="AV16" s="82"/>
      <c r="AW16" s="46">
        <f t="shared" si="37"/>
        <v>5</v>
      </c>
      <c r="AX16" s="45">
        <v>11</v>
      </c>
      <c r="AY16" s="30">
        <v>20</v>
      </c>
      <c r="AZ16" s="30">
        <f t="shared" si="38"/>
        <v>31</v>
      </c>
      <c r="BA16" s="30">
        <v>20</v>
      </c>
      <c r="BB16" s="30">
        <f t="shared" si="39"/>
        <v>51</v>
      </c>
      <c r="BC16" s="82"/>
      <c r="BD16" s="46">
        <f t="shared" si="40"/>
        <v>3</v>
      </c>
      <c r="BE16" s="45">
        <v>11</v>
      </c>
      <c r="BF16" s="30">
        <v>22</v>
      </c>
      <c r="BG16" s="30">
        <f t="shared" si="41"/>
        <v>33</v>
      </c>
      <c r="BH16" s="30">
        <v>15</v>
      </c>
      <c r="BI16" s="30">
        <f t="shared" si="42"/>
        <v>48</v>
      </c>
      <c r="BJ16" s="82"/>
      <c r="BK16" s="46">
        <f t="shared" si="43"/>
        <v>2</v>
      </c>
      <c r="BL16" s="45">
        <v>18</v>
      </c>
      <c r="BM16" s="30">
        <v>33</v>
      </c>
      <c r="BN16" s="30">
        <f t="shared" si="44"/>
        <v>51</v>
      </c>
      <c r="BO16" s="30">
        <v>18</v>
      </c>
      <c r="BP16" s="30">
        <f t="shared" si="45"/>
        <v>69</v>
      </c>
      <c r="BQ16" s="82"/>
      <c r="BR16" s="46">
        <f t="shared" si="46"/>
        <v>3.5</v>
      </c>
      <c r="BS16" s="45">
        <v>4</v>
      </c>
      <c r="BT16" s="30">
        <v>20</v>
      </c>
      <c r="BU16" s="30">
        <f t="shared" si="47"/>
        <v>24</v>
      </c>
      <c r="BV16" s="30">
        <v>17</v>
      </c>
      <c r="BW16" s="30">
        <f t="shared" si="48"/>
        <v>41</v>
      </c>
      <c r="BX16" s="82"/>
      <c r="BY16" s="46">
        <f t="shared" si="49"/>
        <v>2</v>
      </c>
      <c r="BZ16" s="45">
        <v>6</v>
      </c>
      <c r="CA16" s="30">
        <v>18</v>
      </c>
      <c r="CB16" s="30">
        <f t="shared" si="50"/>
        <v>24</v>
      </c>
      <c r="CC16" s="30">
        <v>14</v>
      </c>
      <c r="CD16" s="30">
        <v>22</v>
      </c>
      <c r="CE16" s="30">
        <f t="shared" si="51"/>
        <v>60</v>
      </c>
      <c r="CF16" s="82"/>
      <c r="CG16" s="46">
        <f t="shared" si="52"/>
        <v>3.5</v>
      </c>
      <c r="CH16" s="30" t="str">
        <f t="shared" si="18"/>
        <v>F</v>
      </c>
      <c r="CI16" s="47" t="str">
        <f t="shared" si="19"/>
        <v>F</v>
      </c>
      <c r="CJ16" s="30" t="str">
        <f t="shared" si="54"/>
        <v>NEED TO PROGRESS</v>
      </c>
      <c r="CK16" s="30">
        <f t="shared" si="53"/>
        <v>597</v>
      </c>
      <c r="CL16" s="30"/>
      <c r="CM16" s="30">
        <v>43</v>
      </c>
    </row>
    <row r="17" spans="1:91" s="31" customFormat="1" ht="27.95" customHeight="1">
      <c r="A17" s="48">
        <v>9</v>
      </c>
      <c r="B17" s="49">
        <v>59</v>
      </c>
      <c r="C17" s="52" t="s">
        <v>106</v>
      </c>
      <c r="D17" s="52" t="s">
        <v>107</v>
      </c>
      <c r="E17" s="52" t="s">
        <v>108</v>
      </c>
      <c r="F17" s="53" t="s">
        <v>199</v>
      </c>
      <c r="G17" s="45">
        <v>10</v>
      </c>
      <c r="H17" s="30">
        <v>16</v>
      </c>
      <c r="I17" s="30">
        <f t="shared" si="21"/>
        <v>26</v>
      </c>
      <c r="J17" s="30">
        <v>14</v>
      </c>
      <c r="K17" s="30">
        <f t="shared" si="0"/>
        <v>40</v>
      </c>
      <c r="L17" s="45">
        <v>14</v>
      </c>
      <c r="M17" s="30">
        <v>24</v>
      </c>
      <c r="N17" s="30">
        <f t="shared" si="22"/>
        <v>38</v>
      </c>
      <c r="O17" s="30">
        <v>16</v>
      </c>
      <c r="P17" s="30">
        <f t="shared" si="23"/>
        <v>54</v>
      </c>
      <c r="Q17" s="30">
        <f t="shared" si="1"/>
        <v>94</v>
      </c>
      <c r="R17" s="82"/>
      <c r="S17" s="152">
        <f t="shared" si="24"/>
        <v>2</v>
      </c>
      <c r="T17" s="148">
        <v>11</v>
      </c>
      <c r="U17" s="149">
        <v>33</v>
      </c>
      <c r="V17" s="149">
        <f t="shared" si="25"/>
        <v>44</v>
      </c>
      <c r="W17" s="149">
        <v>10</v>
      </c>
      <c r="X17" s="149">
        <v>32</v>
      </c>
      <c r="Y17" s="149">
        <f t="shared" si="26"/>
        <v>42</v>
      </c>
      <c r="Z17" s="149">
        <f t="shared" si="27"/>
        <v>86</v>
      </c>
      <c r="AA17" s="82"/>
      <c r="AB17" s="46">
        <f t="shared" si="28"/>
        <v>2</v>
      </c>
      <c r="AC17" s="45">
        <v>8</v>
      </c>
      <c r="AD17" s="30">
        <v>1</v>
      </c>
      <c r="AE17" s="30">
        <f t="shared" si="29"/>
        <v>9</v>
      </c>
      <c r="AF17" s="30">
        <v>12</v>
      </c>
      <c r="AG17" s="30">
        <f t="shared" si="30"/>
        <v>21</v>
      </c>
      <c r="AH17" s="82"/>
      <c r="AI17" s="46" t="str">
        <f t="shared" si="31"/>
        <v>F</v>
      </c>
      <c r="AJ17" s="45">
        <v>9</v>
      </c>
      <c r="AK17" s="30">
        <v>19</v>
      </c>
      <c r="AL17" s="30">
        <f t="shared" si="32"/>
        <v>28</v>
      </c>
      <c r="AM17" s="30">
        <v>16</v>
      </c>
      <c r="AN17" s="30">
        <f t="shared" si="33"/>
        <v>44</v>
      </c>
      <c r="AO17" s="82"/>
      <c r="AP17" s="46">
        <f t="shared" si="34"/>
        <v>2</v>
      </c>
      <c r="AQ17" s="30"/>
      <c r="AR17" s="30">
        <v>16</v>
      </c>
      <c r="AS17" s="30">
        <f t="shared" si="35"/>
        <v>16</v>
      </c>
      <c r="AT17" s="30">
        <v>25</v>
      </c>
      <c r="AU17" s="30">
        <f t="shared" si="36"/>
        <v>41</v>
      </c>
      <c r="AV17" s="82"/>
      <c r="AW17" s="46">
        <f t="shared" si="37"/>
        <v>5</v>
      </c>
      <c r="AX17" s="45">
        <v>11</v>
      </c>
      <c r="AY17" s="30">
        <v>20</v>
      </c>
      <c r="AZ17" s="30">
        <f t="shared" si="38"/>
        <v>31</v>
      </c>
      <c r="BA17" s="30">
        <v>18</v>
      </c>
      <c r="BB17" s="30">
        <f t="shared" si="39"/>
        <v>49</v>
      </c>
      <c r="BC17" s="82"/>
      <c r="BD17" s="46">
        <f t="shared" si="40"/>
        <v>2</v>
      </c>
      <c r="BE17" s="45">
        <v>13</v>
      </c>
      <c r="BF17" s="30">
        <v>21</v>
      </c>
      <c r="BG17" s="30">
        <f t="shared" si="41"/>
        <v>34</v>
      </c>
      <c r="BH17" s="30">
        <v>12</v>
      </c>
      <c r="BI17" s="30">
        <f t="shared" si="42"/>
        <v>46</v>
      </c>
      <c r="BJ17" s="82"/>
      <c r="BK17" s="46">
        <f t="shared" si="43"/>
        <v>2</v>
      </c>
      <c r="BL17" s="45">
        <v>13</v>
      </c>
      <c r="BM17" s="30">
        <v>26</v>
      </c>
      <c r="BN17" s="30">
        <f t="shared" si="44"/>
        <v>39</v>
      </c>
      <c r="BO17" s="30">
        <v>15</v>
      </c>
      <c r="BP17" s="30">
        <f t="shared" si="45"/>
        <v>54</v>
      </c>
      <c r="BQ17" s="82"/>
      <c r="BR17" s="46">
        <f t="shared" si="46"/>
        <v>3</v>
      </c>
      <c r="BS17" s="45">
        <v>8</v>
      </c>
      <c r="BT17" s="30">
        <v>26</v>
      </c>
      <c r="BU17" s="30">
        <f t="shared" si="47"/>
        <v>34</v>
      </c>
      <c r="BV17" s="30">
        <v>16</v>
      </c>
      <c r="BW17" s="30">
        <f t="shared" si="48"/>
        <v>50</v>
      </c>
      <c r="BX17" s="82"/>
      <c r="BY17" s="46">
        <f t="shared" si="49"/>
        <v>3</v>
      </c>
      <c r="BZ17" s="45">
        <v>5</v>
      </c>
      <c r="CA17" s="30">
        <v>18</v>
      </c>
      <c r="CB17" s="30">
        <f t="shared" si="50"/>
        <v>23</v>
      </c>
      <c r="CC17" s="30">
        <v>12</v>
      </c>
      <c r="CD17" s="30">
        <v>22</v>
      </c>
      <c r="CE17" s="30">
        <f t="shared" si="51"/>
        <v>57</v>
      </c>
      <c r="CF17" s="82"/>
      <c r="CG17" s="46">
        <f t="shared" si="52"/>
        <v>3</v>
      </c>
      <c r="CH17" s="30" t="str">
        <f t="shared" si="18"/>
        <v>F</v>
      </c>
      <c r="CI17" s="47" t="str">
        <f t="shared" si="19"/>
        <v>F</v>
      </c>
      <c r="CJ17" s="30" t="str">
        <f t="shared" si="54"/>
        <v>NEED TO PROGRESS</v>
      </c>
      <c r="CK17" s="30">
        <f t="shared" si="53"/>
        <v>588</v>
      </c>
      <c r="CL17" s="30"/>
      <c r="CM17" s="30">
        <v>40</v>
      </c>
    </row>
    <row r="18" spans="1:91" s="31" customFormat="1" ht="27.95" customHeight="1">
      <c r="A18" s="48">
        <v>10</v>
      </c>
      <c r="B18" s="49">
        <v>60</v>
      </c>
      <c r="C18" s="52" t="s">
        <v>109</v>
      </c>
      <c r="D18" s="52" t="s">
        <v>110</v>
      </c>
      <c r="E18" s="52" t="s">
        <v>111</v>
      </c>
      <c r="F18" s="53" t="s">
        <v>200</v>
      </c>
      <c r="G18" s="45">
        <v>11</v>
      </c>
      <c r="H18" s="30">
        <v>34</v>
      </c>
      <c r="I18" s="30">
        <f t="shared" si="21"/>
        <v>45</v>
      </c>
      <c r="J18" s="30">
        <v>16</v>
      </c>
      <c r="K18" s="30">
        <f t="shared" si="0"/>
        <v>61</v>
      </c>
      <c r="L18" s="45">
        <v>11</v>
      </c>
      <c r="M18" s="30">
        <v>21</v>
      </c>
      <c r="N18" s="30">
        <f t="shared" si="22"/>
        <v>32</v>
      </c>
      <c r="O18" s="30">
        <v>13</v>
      </c>
      <c r="P18" s="30">
        <f t="shared" si="23"/>
        <v>45</v>
      </c>
      <c r="Q18" s="30">
        <f t="shared" si="1"/>
        <v>106</v>
      </c>
      <c r="R18" s="82"/>
      <c r="S18" s="152">
        <f t="shared" si="24"/>
        <v>3</v>
      </c>
      <c r="T18" s="148">
        <v>13</v>
      </c>
      <c r="U18" s="149">
        <v>16</v>
      </c>
      <c r="V18" s="149">
        <f t="shared" si="25"/>
        <v>29</v>
      </c>
      <c r="W18" s="149">
        <v>11</v>
      </c>
      <c r="X18" s="149">
        <v>16</v>
      </c>
      <c r="Y18" s="149">
        <f t="shared" si="26"/>
        <v>27</v>
      </c>
      <c r="Z18" s="149">
        <f t="shared" si="27"/>
        <v>56</v>
      </c>
      <c r="AA18" s="82"/>
      <c r="AB18" s="46" t="str">
        <f t="shared" si="28"/>
        <v>F</v>
      </c>
      <c r="AC18" s="45">
        <v>8</v>
      </c>
      <c r="AD18" s="30">
        <v>4</v>
      </c>
      <c r="AE18" s="30">
        <f t="shared" si="29"/>
        <v>12</v>
      </c>
      <c r="AF18" s="30">
        <v>5</v>
      </c>
      <c r="AG18" s="30">
        <f t="shared" si="30"/>
        <v>17</v>
      </c>
      <c r="AH18" s="82"/>
      <c r="AI18" s="46" t="str">
        <f t="shared" si="31"/>
        <v>F</v>
      </c>
      <c r="AJ18" s="45">
        <v>15</v>
      </c>
      <c r="AK18" s="30">
        <v>28</v>
      </c>
      <c r="AL18" s="30">
        <f t="shared" si="32"/>
        <v>43</v>
      </c>
      <c r="AM18" s="30">
        <v>17</v>
      </c>
      <c r="AN18" s="30">
        <f t="shared" si="33"/>
        <v>60</v>
      </c>
      <c r="AO18" s="82"/>
      <c r="AP18" s="46">
        <f t="shared" si="34"/>
        <v>3.5</v>
      </c>
      <c r="AQ18" s="30"/>
      <c r="AR18" s="30">
        <v>18</v>
      </c>
      <c r="AS18" s="30">
        <f t="shared" si="35"/>
        <v>18</v>
      </c>
      <c r="AT18" s="30">
        <v>25</v>
      </c>
      <c r="AU18" s="30">
        <f t="shared" si="36"/>
        <v>43</v>
      </c>
      <c r="AV18" s="82"/>
      <c r="AW18" s="46">
        <f t="shared" si="37"/>
        <v>5</v>
      </c>
      <c r="AX18" s="45">
        <v>10</v>
      </c>
      <c r="AY18" s="30">
        <v>25</v>
      </c>
      <c r="AZ18" s="30">
        <f t="shared" si="38"/>
        <v>35</v>
      </c>
      <c r="BA18" s="30">
        <v>18</v>
      </c>
      <c r="BB18" s="30">
        <f t="shared" si="39"/>
        <v>53</v>
      </c>
      <c r="BC18" s="82"/>
      <c r="BD18" s="46">
        <f t="shared" si="40"/>
        <v>3</v>
      </c>
      <c r="BE18" s="45">
        <v>11</v>
      </c>
      <c r="BF18" s="30">
        <v>21</v>
      </c>
      <c r="BG18" s="30">
        <f t="shared" si="41"/>
        <v>32</v>
      </c>
      <c r="BH18" s="30">
        <v>15</v>
      </c>
      <c r="BI18" s="30">
        <f t="shared" si="42"/>
        <v>47</v>
      </c>
      <c r="BJ18" s="82"/>
      <c r="BK18" s="46">
        <f t="shared" si="43"/>
        <v>2</v>
      </c>
      <c r="BL18" s="45">
        <v>9</v>
      </c>
      <c r="BM18" s="30">
        <v>26</v>
      </c>
      <c r="BN18" s="30">
        <f t="shared" si="44"/>
        <v>35</v>
      </c>
      <c r="BO18" s="30">
        <v>21</v>
      </c>
      <c r="BP18" s="30">
        <f t="shared" si="45"/>
        <v>56</v>
      </c>
      <c r="BQ18" s="82"/>
      <c r="BR18" s="46">
        <f t="shared" si="46"/>
        <v>3</v>
      </c>
      <c r="BS18" s="45">
        <v>10</v>
      </c>
      <c r="BT18" s="30">
        <v>6</v>
      </c>
      <c r="BU18" s="30">
        <f t="shared" si="47"/>
        <v>16</v>
      </c>
      <c r="BV18" s="30">
        <v>14</v>
      </c>
      <c r="BW18" s="30">
        <f t="shared" si="48"/>
        <v>30</v>
      </c>
      <c r="BX18" s="82"/>
      <c r="BY18" s="46" t="str">
        <f t="shared" si="49"/>
        <v>F</v>
      </c>
      <c r="BZ18" s="45">
        <v>5</v>
      </c>
      <c r="CA18" s="30">
        <v>16</v>
      </c>
      <c r="CB18" s="30">
        <f t="shared" si="50"/>
        <v>21</v>
      </c>
      <c r="CC18" s="30">
        <v>13</v>
      </c>
      <c r="CD18" s="30">
        <v>22</v>
      </c>
      <c r="CE18" s="30">
        <f t="shared" si="51"/>
        <v>56</v>
      </c>
      <c r="CF18" s="82"/>
      <c r="CG18" s="46">
        <f t="shared" si="52"/>
        <v>3</v>
      </c>
      <c r="CH18" s="30" t="str">
        <f t="shared" si="18"/>
        <v>F</v>
      </c>
      <c r="CI18" s="47" t="str">
        <f t="shared" si="19"/>
        <v>F</v>
      </c>
      <c r="CJ18" s="30" t="str">
        <f t="shared" si="54"/>
        <v>NEED TO PROGRESS</v>
      </c>
      <c r="CK18" s="30">
        <f t="shared" si="53"/>
        <v>571</v>
      </c>
      <c r="CL18" s="30"/>
      <c r="CM18" s="30">
        <v>42</v>
      </c>
    </row>
    <row r="19" spans="1:91" s="31" customFormat="1" ht="27.95" customHeight="1">
      <c r="A19" s="48">
        <v>11</v>
      </c>
      <c r="B19" s="49">
        <v>67</v>
      </c>
      <c r="C19" s="50" t="s">
        <v>112</v>
      </c>
      <c r="D19" s="50" t="s">
        <v>113</v>
      </c>
      <c r="E19" s="50" t="s">
        <v>114</v>
      </c>
      <c r="F19" s="51" t="s">
        <v>201</v>
      </c>
      <c r="G19" s="45">
        <v>12</v>
      </c>
      <c r="H19" s="30">
        <v>21</v>
      </c>
      <c r="I19" s="30">
        <f t="shared" si="21"/>
        <v>33</v>
      </c>
      <c r="J19" s="30">
        <v>15</v>
      </c>
      <c r="K19" s="30">
        <f t="shared" si="0"/>
        <v>48</v>
      </c>
      <c r="L19" s="45">
        <v>9</v>
      </c>
      <c r="M19" s="30">
        <v>26</v>
      </c>
      <c r="N19" s="30">
        <f t="shared" si="22"/>
        <v>35</v>
      </c>
      <c r="O19" s="30">
        <v>18</v>
      </c>
      <c r="P19" s="30">
        <f t="shared" si="23"/>
        <v>53</v>
      </c>
      <c r="Q19" s="30">
        <f t="shared" si="1"/>
        <v>101</v>
      </c>
      <c r="R19" s="82"/>
      <c r="S19" s="152">
        <f t="shared" si="24"/>
        <v>3</v>
      </c>
      <c r="T19" s="148">
        <v>12</v>
      </c>
      <c r="U19" s="149">
        <v>27</v>
      </c>
      <c r="V19" s="149">
        <f t="shared" si="25"/>
        <v>39</v>
      </c>
      <c r="W19" s="149">
        <v>12</v>
      </c>
      <c r="X19" s="149">
        <v>28</v>
      </c>
      <c r="Y19" s="149">
        <f t="shared" si="26"/>
        <v>40</v>
      </c>
      <c r="Z19" s="149">
        <f t="shared" si="27"/>
        <v>79</v>
      </c>
      <c r="AA19" s="82"/>
      <c r="AB19" s="46">
        <f t="shared" si="28"/>
        <v>2</v>
      </c>
      <c r="AC19" s="45">
        <v>8</v>
      </c>
      <c r="AD19" s="30">
        <v>5</v>
      </c>
      <c r="AE19" s="30">
        <f t="shared" si="29"/>
        <v>13</v>
      </c>
      <c r="AF19" s="30">
        <v>7</v>
      </c>
      <c r="AG19" s="30">
        <f t="shared" si="30"/>
        <v>20</v>
      </c>
      <c r="AH19" s="82"/>
      <c r="AI19" s="46" t="str">
        <f t="shared" si="31"/>
        <v>F</v>
      </c>
      <c r="AJ19" s="45">
        <v>11</v>
      </c>
      <c r="AK19" s="30">
        <v>23</v>
      </c>
      <c r="AL19" s="30">
        <f t="shared" si="32"/>
        <v>34</v>
      </c>
      <c r="AM19" s="30">
        <v>16</v>
      </c>
      <c r="AN19" s="30">
        <f t="shared" si="33"/>
        <v>50</v>
      </c>
      <c r="AO19" s="82"/>
      <c r="AP19" s="46">
        <f t="shared" si="34"/>
        <v>3</v>
      </c>
      <c r="AQ19" s="30"/>
      <c r="AR19" s="30">
        <v>20</v>
      </c>
      <c r="AS19" s="30">
        <f t="shared" si="35"/>
        <v>20</v>
      </c>
      <c r="AT19" s="30">
        <v>25</v>
      </c>
      <c r="AU19" s="30">
        <f t="shared" si="36"/>
        <v>45</v>
      </c>
      <c r="AV19" s="82"/>
      <c r="AW19" s="46">
        <f t="shared" si="37"/>
        <v>5</v>
      </c>
      <c r="AX19" s="45">
        <v>10</v>
      </c>
      <c r="AY19" s="30">
        <v>24</v>
      </c>
      <c r="AZ19" s="30">
        <f t="shared" si="38"/>
        <v>34</v>
      </c>
      <c r="BA19" s="30">
        <v>19</v>
      </c>
      <c r="BB19" s="30">
        <f t="shared" si="39"/>
        <v>53</v>
      </c>
      <c r="BC19" s="82"/>
      <c r="BD19" s="46">
        <f t="shared" si="40"/>
        <v>3</v>
      </c>
      <c r="BE19" s="45">
        <v>12</v>
      </c>
      <c r="BF19" s="30">
        <v>25</v>
      </c>
      <c r="BG19" s="30">
        <f t="shared" si="41"/>
        <v>37</v>
      </c>
      <c r="BH19" s="30">
        <v>21</v>
      </c>
      <c r="BI19" s="30">
        <f t="shared" si="42"/>
        <v>58</v>
      </c>
      <c r="BJ19" s="82"/>
      <c r="BK19" s="46">
        <f t="shared" si="43"/>
        <v>3</v>
      </c>
      <c r="BL19" s="45">
        <v>15</v>
      </c>
      <c r="BM19" s="30">
        <v>26</v>
      </c>
      <c r="BN19" s="30">
        <f t="shared" si="44"/>
        <v>41</v>
      </c>
      <c r="BO19" s="30">
        <v>17</v>
      </c>
      <c r="BP19" s="30">
        <f t="shared" si="45"/>
        <v>58</v>
      </c>
      <c r="BQ19" s="82"/>
      <c r="BR19" s="46">
        <f t="shared" si="46"/>
        <v>3</v>
      </c>
      <c r="BS19" s="45">
        <v>8</v>
      </c>
      <c r="BT19" s="30">
        <v>14</v>
      </c>
      <c r="BU19" s="30">
        <f t="shared" si="47"/>
        <v>22</v>
      </c>
      <c r="BV19" s="30">
        <v>14</v>
      </c>
      <c r="BW19" s="30">
        <f t="shared" si="48"/>
        <v>36</v>
      </c>
      <c r="BX19" s="82"/>
      <c r="BY19" s="46" t="str">
        <f t="shared" si="49"/>
        <v>F</v>
      </c>
      <c r="BZ19" s="45">
        <v>6</v>
      </c>
      <c r="CA19" s="30">
        <v>14</v>
      </c>
      <c r="CB19" s="30">
        <f t="shared" si="50"/>
        <v>20</v>
      </c>
      <c r="CC19" s="30">
        <v>14</v>
      </c>
      <c r="CD19" s="30">
        <v>22</v>
      </c>
      <c r="CE19" s="30">
        <f t="shared" si="51"/>
        <v>56</v>
      </c>
      <c r="CF19" s="82"/>
      <c r="CG19" s="46">
        <f t="shared" si="52"/>
        <v>3</v>
      </c>
      <c r="CH19" s="30" t="str">
        <f t="shared" si="18"/>
        <v>F</v>
      </c>
      <c r="CI19" s="47" t="str">
        <f t="shared" si="19"/>
        <v>F</v>
      </c>
      <c r="CJ19" s="30" t="str">
        <f t="shared" si="54"/>
        <v>NEED TO PROGRESS</v>
      </c>
      <c r="CK19" s="30">
        <f t="shared" si="53"/>
        <v>614</v>
      </c>
      <c r="CL19" s="30"/>
      <c r="CM19" s="30">
        <v>47</v>
      </c>
    </row>
    <row r="20" spans="1:91" s="31" customFormat="1" ht="27.95" customHeight="1">
      <c r="A20" s="48">
        <v>12</v>
      </c>
      <c r="B20" s="49">
        <v>69</v>
      </c>
      <c r="C20" s="52" t="s">
        <v>115</v>
      </c>
      <c r="D20" s="52" t="s">
        <v>116</v>
      </c>
      <c r="E20" s="52" t="s">
        <v>117</v>
      </c>
      <c r="F20" s="53" t="s">
        <v>202</v>
      </c>
      <c r="G20" s="45">
        <v>9</v>
      </c>
      <c r="H20" s="30">
        <v>19</v>
      </c>
      <c r="I20" s="30">
        <f t="shared" si="21"/>
        <v>28</v>
      </c>
      <c r="J20" s="30">
        <v>13</v>
      </c>
      <c r="K20" s="30">
        <f t="shared" si="0"/>
        <v>41</v>
      </c>
      <c r="L20" s="45">
        <v>9</v>
      </c>
      <c r="M20" s="30">
        <v>22</v>
      </c>
      <c r="N20" s="30">
        <f t="shared" si="22"/>
        <v>31</v>
      </c>
      <c r="O20" s="30">
        <v>16</v>
      </c>
      <c r="P20" s="30">
        <f t="shared" si="23"/>
        <v>47</v>
      </c>
      <c r="Q20" s="30">
        <f t="shared" si="1"/>
        <v>88</v>
      </c>
      <c r="R20" s="82"/>
      <c r="S20" s="152">
        <f t="shared" si="24"/>
        <v>2</v>
      </c>
      <c r="T20" s="148">
        <v>12</v>
      </c>
      <c r="U20" s="149">
        <v>34</v>
      </c>
      <c r="V20" s="149">
        <f t="shared" si="25"/>
        <v>46</v>
      </c>
      <c r="W20" s="149">
        <v>13</v>
      </c>
      <c r="X20" s="149">
        <v>45</v>
      </c>
      <c r="Y20" s="149">
        <f t="shared" si="26"/>
        <v>58</v>
      </c>
      <c r="Z20" s="149">
        <f t="shared" si="27"/>
        <v>104</v>
      </c>
      <c r="AA20" s="82"/>
      <c r="AB20" s="46">
        <f t="shared" si="28"/>
        <v>3</v>
      </c>
      <c r="AC20" s="45">
        <v>8</v>
      </c>
      <c r="AD20" s="30">
        <v>7</v>
      </c>
      <c r="AE20" s="30">
        <f t="shared" si="29"/>
        <v>15</v>
      </c>
      <c r="AF20" s="30">
        <v>4</v>
      </c>
      <c r="AG20" s="30">
        <f t="shared" si="30"/>
        <v>19</v>
      </c>
      <c r="AH20" s="82"/>
      <c r="AI20" s="46" t="str">
        <f t="shared" si="31"/>
        <v>F</v>
      </c>
      <c r="AJ20" s="45">
        <v>15</v>
      </c>
      <c r="AK20" s="30">
        <v>23</v>
      </c>
      <c r="AL20" s="30">
        <f t="shared" si="32"/>
        <v>38</v>
      </c>
      <c r="AM20" s="30">
        <v>25</v>
      </c>
      <c r="AN20" s="30">
        <f t="shared" si="33"/>
        <v>63</v>
      </c>
      <c r="AO20" s="82"/>
      <c r="AP20" s="46">
        <f t="shared" si="34"/>
        <v>3.5</v>
      </c>
      <c r="AQ20" s="30"/>
      <c r="AR20" s="30">
        <v>20</v>
      </c>
      <c r="AS20" s="30">
        <f t="shared" si="35"/>
        <v>20</v>
      </c>
      <c r="AT20" s="30">
        <v>25</v>
      </c>
      <c r="AU20" s="30">
        <f t="shared" si="36"/>
        <v>45</v>
      </c>
      <c r="AV20" s="82"/>
      <c r="AW20" s="46">
        <f t="shared" si="37"/>
        <v>5</v>
      </c>
      <c r="AX20" s="45">
        <v>11</v>
      </c>
      <c r="AY20" s="30">
        <v>12</v>
      </c>
      <c r="AZ20" s="30">
        <f t="shared" si="38"/>
        <v>23</v>
      </c>
      <c r="BA20" s="30">
        <v>20</v>
      </c>
      <c r="BB20" s="30">
        <f t="shared" si="39"/>
        <v>43</v>
      </c>
      <c r="BC20" s="82"/>
      <c r="BD20" s="46">
        <f t="shared" si="40"/>
        <v>2</v>
      </c>
      <c r="BE20" s="45">
        <v>9</v>
      </c>
      <c r="BF20" s="30">
        <v>25</v>
      </c>
      <c r="BG20" s="30">
        <f t="shared" si="41"/>
        <v>34</v>
      </c>
      <c r="BH20" s="30">
        <v>15</v>
      </c>
      <c r="BI20" s="30">
        <f t="shared" si="42"/>
        <v>49</v>
      </c>
      <c r="BJ20" s="82"/>
      <c r="BK20" s="46">
        <f t="shared" si="43"/>
        <v>2</v>
      </c>
      <c r="BL20" s="45">
        <v>10</v>
      </c>
      <c r="BM20" s="30">
        <v>24</v>
      </c>
      <c r="BN20" s="30">
        <f t="shared" si="44"/>
        <v>34</v>
      </c>
      <c r="BO20" s="30">
        <v>20</v>
      </c>
      <c r="BP20" s="30">
        <f t="shared" si="45"/>
        <v>54</v>
      </c>
      <c r="BQ20" s="82"/>
      <c r="BR20" s="46">
        <f t="shared" si="46"/>
        <v>3</v>
      </c>
      <c r="BS20" s="45">
        <v>13</v>
      </c>
      <c r="BT20" s="30">
        <v>11</v>
      </c>
      <c r="BU20" s="30">
        <f t="shared" si="47"/>
        <v>24</v>
      </c>
      <c r="BV20" s="30">
        <v>13</v>
      </c>
      <c r="BW20" s="30">
        <f t="shared" si="48"/>
        <v>37</v>
      </c>
      <c r="BX20" s="82"/>
      <c r="BY20" s="46" t="str">
        <f t="shared" si="49"/>
        <v>F</v>
      </c>
      <c r="BZ20" s="45">
        <v>4</v>
      </c>
      <c r="CA20" s="30">
        <v>4</v>
      </c>
      <c r="CB20" s="30">
        <f t="shared" si="50"/>
        <v>8</v>
      </c>
      <c r="CC20" s="30">
        <v>13</v>
      </c>
      <c r="CD20" s="30">
        <v>22</v>
      </c>
      <c r="CE20" s="30">
        <f t="shared" si="51"/>
        <v>43</v>
      </c>
      <c r="CF20" s="82"/>
      <c r="CG20" s="46" t="str">
        <f t="shared" si="52"/>
        <v>0</v>
      </c>
      <c r="CH20" s="30" t="str">
        <f t="shared" si="18"/>
        <v>F</v>
      </c>
      <c r="CI20" s="47" t="str">
        <f t="shared" si="19"/>
        <v>F</v>
      </c>
      <c r="CJ20" s="30" t="str">
        <f t="shared" si="20"/>
        <v>NEED TO PROGRESS</v>
      </c>
      <c r="CK20" s="30">
        <f t="shared" si="53"/>
        <v>594</v>
      </c>
      <c r="CL20" s="30"/>
      <c r="CM20" s="30">
        <v>46</v>
      </c>
    </row>
    <row r="21" spans="1:91" s="31" customFormat="1" ht="27.95" customHeight="1">
      <c r="A21" s="48">
        <v>13</v>
      </c>
      <c r="B21" s="49">
        <v>73</v>
      </c>
      <c r="C21" s="52" t="s">
        <v>118</v>
      </c>
      <c r="D21" s="52" t="s">
        <v>104</v>
      </c>
      <c r="E21" s="52" t="s">
        <v>108</v>
      </c>
      <c r="F21" s="53" t="s">
        <v>203</v>
      </c>
      <c r="G21" s="45">
        <v>10</v>
      </c>
      <c r="H21" s="30">
        <v>18</v>
      </c>
      <c r="I21" s="30">
        <f t="shared" si="21"/>
        <v>28</v>
      </c>
      <c r="J21" s="30">
        <v>12</v>
      </c>
      <c r="K21" s="30">
        <f t="shared" si="0"/>
        <v>40</v>
      </c>
      <c r="L21" s="45">
        <v>11</v>
      </c>
      <c r="M21" s="30">
        <v>18</v>
      </c>
      <c r="N21" s="30">
        <f t="shared" si="22"/>
        <v>29</v>
      </c>
      <c r="O21" s="30">
        <v>17</v>
      </c>
      <c r="P21" s="30">
        <f t="shared" si="23"/>
        <v>46</v>
      </c>
      <c r="Q21" s="30">
        <f t="shared" si="1"/>
        <v>86</v>
      </c>
      <c r="R21" s="82"/>
      <c r="S21" s="152">
        <f t="shared" si="24"/>
        <v>2</v>
      </c>
      <c r="T21" s="148">
        <v>10</v>
      </c>
      <c r="U21" s="149">
        <v>44</v>
      </c>
      <c r="V21" s="149">
        <f t="shared" si="25"/>
        <v>54</v>
      </c>
      <c r="W21" s="149">
        <v>13</v>
      </c>
      <c r="X21" s="149">
        <v>59</v>
      </c>
      <c r="Y21" s="149">
        <f t="shared" si="26"/>
        <v>72</v>
      </c>
      <c r="Z21" s="149">
        <f t="shared" si="27"/>
        <v>126</v>
      </c>
      <c r="AA21" s="82"/>
      <c r="AB21" s="46">
        <f t="shared" si="28"/>
        <v>3.5</v>
      </c>
      <c r="AC21" s="45">
        <v>5</v>
      </c>
      <c r="AD21" s="30">
        <v>7</v>
      </c>
      <c r="AE21" s="30">
        <f t="shared" si="29"/>
        <v>12</v>
      </c>
      <c r="AF21" s="30">
        <v>10</v>
      </c>
      <c r="AG21" s="30">
        <f t="shared" si="30"/>
        <v>22</v>
      </c>
      <c r="AH21" s="82"/>
      <c r="AI21" s="46" t="str">
        <f t="shared" si="31"/>
        <v>F</v>
      </c>
      <c r="AJ21" s="45">
        <v>8</v>
      </c>
      <c r="AK21" s="30">
        <v>20</v>
      </c>
      <c r="AL21" s="30">
        <f t="shared" si="32"/>
        <v>28</v>
      </c>
      <c r="AM21" s="30">
        <v>13</v>
      </c>
      <c r="AN21" s="30">
        <f t="shared" si="33"/>
        <v>41</v>
      </c>
      <c r="AO21" s="82"/>
      <c r="AP21" s="46">
        <f t="shared" si="34"/>
        <v>2</v>
      </c>
      <c r="AQ21" s="30"/>
      <c r="AR21" s="30">
        <v>18</v>
      </c>
      <c r="AS21" s="30">
        <f t="shared" si="35"/>
        <v>18</v>
      </c>
      <c r="AT21" s="30">
        <v>25</v>
      </c>
      <c r="AU21" s="30">
        <f t="shared" si="36"/>
        <v>43</v>
      </c>
      <c r="AV21" s="82"/>
      <c r="AW21" s="46">
        <f t="shared" si="37"/>
        <v>5</v>
      </c>
      <c r="AX21" s="45">
        <v>10</v>
      </c>
      <c r="AY21" s="30">
        <v>7</v>
      </c>
      <c r="AZ21" s="30">
        <f t="shared" si="38"/>
        <v>17</v>
      </c>
      <c r="BA21" s="30">
        <v>15</v>
      </c>
      <c r="BB21" s="30">
        <f t="shared" si="39"/>
        <v>32</v>
      </c>
      <c r="BC21" s="82"/>
      <c r="BD21" s="46" t="str">
        <f t="shared" si="40"/>
        <v>F</v>
      </c>
      <c r="BE21" s="45">
        <v>9</v>
      </c>
      <c r="BF21" s="30">
        <v>20</v>
      </c>
      <c r="BG21" s="30">
        <f t="shared" si="41"/>
        <v>29</v>
      </c>
      <c r="BH21" s="30">
        <v>9</v>
      </c>
      <c r="BI21" s="30">
        <f t="shared" si="42"/>
        <v>38</v>
      </c>
      <c r="BJ21" s="82"/>
      <c r="BK21" s="46" t="str">
        <f t="shared" si="43"/>
        <v>F</v>
      </c>
      <c r="BL21" s="45">
        <v>16</v>
      </c>
      <c r="BM21" s="30">
        <v>32</v>
      </c>
      <c r="BN21" s="30">
        <f t="shared" si="44"/>
        <v>48</v>
      </c>
      <c r="BO21" s="30">
        <v>14</v>
      </c>
      <c r="BP21" s="30">
        <f t="shared" si="45"/>
        <v>62</v>
      </c>
      <c r="BQ21" s="82"/>
      <c r="BR21" s="46">
        <f t="shared" si="46"/>
        <v>3.5</v>
      </c>
      <c r="BS21" s="45">
        <v>5</v>
      </c>
      <c r="BT21" s="30">
        <v>10</v>
      </c>
      <c r="BU21" s="30">
        <f t="shared" si="47"/>
        <v>15</v>
      </c>
      <c r="BV21" s="30">
        <v>8</v>
      </c>
      <c r="BW21" s="30">
        <f t="shared" si="48"/>
        <v>23</v>
      </c>
      <c r="BX21" s="82"/>
      <c r="BY21" s="46" t="str">
        <f t="shared" si="49"/>
        <v>F</v>
      </c>
      <c r="BZ21" s="45">
        <v>5</v>
      </c>
      <c r="CA21" s="30">
        <v>14</v>
      </c>
      <c r="CB21" s="30">
        <f t="shared" si="50"/>
        <v>19</v>
      </c>
      <c r="CC21" s="30">
        <v>11</v>
      </c>
      <c r="CD21" s="30">
        <v>22</v>
      </c>
      <c r="CE21" s="30">
        <f t="shared" si="51"/>
        <v>52</v>
      </c>
      <c r="CF21" s="82"/>
      <c r="CG21" s="46" t="str">
        <f t="shared" si="52"/>
        <v>0</v>
      </c>
      <c r="CH21" s="30" t="str">
        <f t="shared" si="18"/>
        <v>F</v>
      </c>
      <c r="CI21" s="47" t="str">
        <f t="shared" si="19"/>
        <v>F</v>
      </c>
      <c r="CJ21" s="30" t="str">
        <f t="shared" si="20"/>
        <v>NEED TO PROGRESS</v>
      </c>
      <c r="CK21" s="30">
        <f t="shared" si="53"/>
        <v>563</v>
      </c>
      <c r="CL21" s="30"/>
      <c r="CM21" s="30">
        <v>45</v>
      </c>
    </row>
    <row r="22" spans="1:91" s="31" customFormat="1" ht="27.95" customHeight="1">
      <c r="A22" s="48">
        <v>14</v>
      </c>
      <c r="B22" s="49">
        <v>76</v>
      </c>
      <c r="C22" s="52" t="s">
        <v>119</v>
      </c>
      <c r="D22" s="52" t="s">
        <v>120</v>
      </c>
      <c r="E22" s="52" t="s">
        <v>121</v>
      </c>
      <c r="F22" s="53" t="s">
        <v>204</v>
      </c>
      <c r="G22" s="45">
        <v>4</v>
      </c>
      <c r="H22" s="30">
        <v>21</v>
      </c>
      <c r="I22" s="30">
        <f t="shared" si="21"/>
        <v>25</v>
      </c>
      <c r="J22" s="30">
        <v>15</v>
      </c>
      <c r="K22" s="30">
        <f t="shared" si="0"/>
        <v>40</v>
      </c>
      <c r="L22" s="45">
        <v>11</v>
      </c>
      <c r="M22" s="30">
        <v>22</v>
      </c>
      <c r="N22" s="30">
        <f t="shared" si="22"/>
        <v>33</v>
      </c>
      <c r="O22" s="30">
        <v>15</v>
      </c>
      <c r="P22" s="30">
        <f t="shared" si="23"/>
        <v>48</v>
      </c>
      <c r="Q22" s="30">
        <f t="shared" si="1"/>
        <v>88</v>
      </c>
      <c r="R22" s="82"/>
      <c r="S22" s="152">
        <f t="shared" si="24"/>
        <v>2</v>
      </c>
      <c r="T22" s="148"/>
      <c r="U22" s="149">
        <v>23</v>
      </c>
      <c r="V22" s="149">
        <f t="shared" si="25"/>
        <v>23</v>
      </c>
      <c r="W22" s="149">
        <v>14</v>
      </c>
      <c r="X22" s="149">
        <v>28</v>
      </c>
      <c r="Y22" s="149">
        <v>52</v>
      </c>
      <c r="Z22" s="149">
        <f t="shared" si="27"/>
        <v>75</v>
      </c>
      <c r="AA22" s="82"/>
      <c r="AB22" s="46">
        <f t="shared" si="28"/>
        <v>2</v>
      </c>
      <c r="AC22" s="45">
        <v>9</v>
      </c>
      <c r="AD22" s="30">
        <v>7</v>
      </c>
      <c r="AE22" s="30">
        <f t="shared" si="29"/>
        <v>16</v>
      </c>
      <c r="AF22" s="30">
        <v>10</v>
      </c>
      <c r="AG22" s="30">
        <f t="shared" si="30"/>
        <v>26</v>
      </c>
      <c r="AH22" s="82"/>
      <c r="AI22" s="46" t="str">
        <f t="shared" si="31"/>
        <v>F</v>
      </c>
      <c r="AJ22" s="45">
        <v>7</v>
      </c>
      <c r="AK22" s="30">
        <v>20</v>
      </c>
      <c r="AL22" s="30">
        <f t="shared" si="32"/>
        <v>27</v>
      </c>
      <c r="AM22" s="30">
        <v>18</v>
      </c>
      <c r="AN22" s="30">
        <f t="shared" si="33"/>
        <v>45</v>
      </c>
      <c r="AO22" s="82"/>
      <c r="AP22" s="46">
        <f t="shared" si="34"/>
        <v>2</v>
      </c>
      <c r="AQ22" s="30"/>
      <c r="AR22" s="30">
        <v>21</v>
      </c>
      <c r="AS22" s="30">
        <f t="shared" si="35"/>
        <v>21</v>
      </c>
      <c r="AT22" s="30">
        <v>25</v>
      </c>
      <c r="AU22" s="30">
        <f t="shared" si="36"/>
        <v>46</v>
      </c>
      <c r="AV22" s="82"/>
      <c r="AW22" s="46">
        <f t="shared" si="37"/>
        <v>5</v>
      </c>
      <c r="AX22" s="45">
        <v>8</v>
      </c>
      <c r="AY22" s="30">
        <v>20</v>
      </c>
      <c r="AZ22" s="30">
        <f t="shared" si="38"/>
        <v>28</v>
      </c>
      <c r="BA22" s="30">
        <v>17</v>
      </c>
      <c r="BB22" s="30">
        <f t="shared" si="39"/>
        <v>45</v>
      </c>
      <c r="BC22" s="82"/>
      <c r="BD22" s="46">
        <f t="shared" si="40"/>
        <v>2</v>
      </c>
      <c r="BE22" s="45">
        <v>10</v>
      </c>
      <c r="BF22" s="30">
        <v>17</v>
      </c>
      <c r="BG22" s="30">
        <f t="shared" si="41"/>
        <v>27</v>
      </c>
      <c r="BH22" s="30">
        <v>10</v>
      </c>
      <c r="BI22" s="30">
        <f t="shared" si="42"/>
        <v>37</v>
      </c>
      <c r="BJ22" s="82"/>
      <c r="BK22" s="46" t="str">
        <f t="shared" si="43"/>
        <v>F</v>
      </c>
      <c r="BL22" s="45">
        <v>11</v>
      </c>
      <c r="BM22" s="30">
        <v>26</v>
      </c>
      <c r="BN22" s="30">
        <f t="shared" si="44"/>
        <v>37</v>
      </c>
      <c r="BO22" s="30">
        <v>21</v>
      </c>
      <c r="BP22" s="30">
        <f t="shared" si="45"/>
        <v>58</v>
      </c>
      <c r="BQ22" s="82"/>
      <c r="BR22" s="46">
        <f t="shared" si="46"/>
        <v>3</v>
      </c>
      <c r="BS22" s="45">
        <v>13</v>
      </c>
      <c r="BT22" s="30">
        <v>10</v>
      </c>
      <c r="BU22" s="30">
        <f t="shared" si="47"/>
        <v>23</v>
      </c>
      <c r="BV22" s="30">
        <v>9</v>
      </c>
      <c r="BW22" s="30">
        <f t="shared" si="48"/>
        <v>32</v>
      </c>
      <c r="BX22" s="82"/>
      <c r="BY22" s="46" t="str">
        <f t="shared" si="49"/>
        <v>F</v>
      </c>
      <c r="BZ22" s="45">
        <v>5</v>
      </c>
      <c r="CA22" s="30">
        <v>14</v>
      </c>
      <c r="CB22" s="30">
        <f t="shared" si="50"/>
        <v>19</v>
      </c>
      <c r="CC22" s="30">
        <v>15</v>
      </c>
      <c r="CD22" s="30">
        <v>22</v>
      </c>
      <c r="CE22" s="30">
        <f t="shared" si="51"/>
        <v>56</v>
      </c>
      <c r="CF22" s="82"/>
      <c r="CG22" s="46" t="str">
        <f t="shared" si="52"/>
        <v>0</v>
      </c>
      <c r="CH22" s="30" t="str">
        <f t="shared" si="18"/>
        <v>F</v>
      </c>
      <c r="CI22" s="47" t="str">
        <f t="shared" si="19"/>
        <v>F</v>
      </c>
      <c r="CJ22" s="30" t="str">
        <f t="shared" si="20"/>
        <v>NEED TO PROGRESS</v>
      </c>
      <c r="CK22" s="30">
        <f t="shared" si="53"/>
        <v>545</v>
      </c>
      <c r="CL22" s="30"/>
      <c r="CM22" s="30">
        <v>18</v>
      </c>
    </row>
    <row r="23" spans="1:91" s="31" customFormat="1" ht="27.95" customHeight="1">
      <c r="A23" s="48">
        <v>15</v>
      </c>
      <c r="B23" s="49">
        <v>77</v>
      </c>
      <c r="C23" s="52" t="s">
        <v>122</v>
      </c>
      <c r="D23" s="52" t="s">
        <v>123</v>
      </c>
      <c r="E23" s="52" t="s">
        <v>124</v>
      </c>
      <c r="F23" s="53" t="s">
        <v>205</v>
      </c>
      <c r="G23" s="45">
        <v>8</v>
      </c>
      <c r="H23" s="30">
        <v>10</v>
      </c>
      <c r="I23" s="30">
        <f t="shared" si="21"/>
        <v>18</v>
      </c>
      <c r="J23" s="30">
        <v>11</v>
      </c>
      <c r="K23" s="30">
        <f t="shared" si="0"/>
        <v>29</v>
      </c>
      <c r="L23" s="45">
        <v>17</v>
      </c>
      <c r="M23" s="30">
        <v>23</v>
      </c>
      <c r="N23" s="30">
        <f t="shared" si="22"/>
        <v>40</v>
      </c>
      <c r="O23" s="30">
        <v>24</v>
      </c>
      <c r="P23" s="30">
        <f t="shared" si="23"/>
        <v>64</v>
      </c>
      <c r="Q23" s="30">
        <f t="shared" si="1"/>
        <v>93</v>
      </c>
      <c r="R23" s="82"/>
      <c r="S23" s="152">
        <f t="shared" si="24"/>
        <v>2</v>
      </c>
      <c r="T23" s="148">
        <v>10</v>
      </c>
      <c r="U23" s="149">
        <v>34</v>
      </c>
      <c r="V23" s="149">
        <f t="shared" si="25"/>
        <v>44</v>
      </c>
      <c r="W23" s="149">
        <v>13</v>
      </c>
      <c r="X23" s="149">
        <v>37</v>
      </c>
      <c r="Y23" s="149">
        <f t="shared" si="26"/>
        <v>50</v>
      </c>
      <c r="Z23" s="149">
        <f t="shared" si="27"/>
        <v>94</v>
      </c>
      <c r="AA23" s="82"/>
      <c r="AB23" s="46">
        <f t="shared" si="28"/>
        <v>2</v>
      </c>
      <c r="AC23" s="45">
        <v>10</v>
      </c>
      <c r="AD23" s="30">
        <v>1</v>
      </c>
      <c r="AE23" s="30">
        <f t="shared" si="29"/>
        <v>11</v>
      </c>
      <c r="AF23" s="30">
        <v>12</v>
      </c>
      <c r="AG23" s="30">
        <f t="shared" si="30"/>
        <v>23</v>
      </c>
      <c r="AH23" s="82"/>
      <c r="AI23" s="46" t="str">
        <f t="shared" si="31"/>
        <v>F</v>
      </c>
      <c r="AJ23" s="45">
        <v>11</v>
      </c>
      <c r="AK23" s="30">
        <v>22</v>
      </c>
      <c r="AL23" s="30">
        <f t="shared" si="32"/>
        <v>33</v>
      </c>
      <c r="AM23" s="30">
        <v>14</v>
      </c>
      <c r="AN23" s="30">
        <f t="shared" si="33"/>
        <v>47</v>
      </c>
      <c r="AO23" s="82"/>
      <c r="AP23" s="46">
        <f t="shared" si="34"/>
        <v>2</v>
      </c>
      <c r="AQ23" s="30"/>
      <c r="AR23" s="30">
        <v>23</v>
      </c>
      <c r="AS23" s="30">
        <f t="shared" si="35"/>
        <v>23</v>
      </c>
      <c r="AT23" s="30">
        <v>25</v>
      </c>
      <c r="AU23" s="30">
        <f t="shared" si="36"/>
        <v>48</v>
      </c>
      <c r="AV23" s="82"/>
      <c r="AW23" s="46">
        <f t="shared" si="37"/>
        <v>5</v>
      </c>
      <c r="AX23" s="45">
        <v>13</v>
      </c>
      <c r="AY23" s="30">
        <v>20</v>
      </c>
      <c r="AZ23" s="30">
        <f t="shared" si="38"/>
        <v>33</v>
      </c>
      <c r="BA23" s="30">
        <v>20</v>
      </c>
      <c r="BB23" s="30">
        <f t="shared" si="39"/>
        <v>53</v>
      </c>
      <c r="BC23" s="82"/>
      <c r="BD23" s="46">
        <f t="shared" si="40"/>
        <v>3</v>
      </c>
      <c r="BE23" s="45">
        <v>10</v>
      </c>
      <c r="BF23" s="30">
        <v>24</v>
      </c>
      <c r="BG23" s="30">
        <f t="shared" si="41"/>
        <v>34</v>
      </c>
      <c r="BH23" s="30">
        <v>14</v>
      </c>
      <c r="BI23" s="30">
        <f t="shared" si="42"/>
        <v>48</v>
      </c>
      <c r="BJ23" s="82"/>
      <c r="BK23" s="46">
        <f t="shared" si="43"/>
        <v>2</v>
      </c>
      <c r="BL23" s="45">
        <v>10</v>
      </c>
      <c r="BM23" s="30">
        <v>14</v>
      </c>
      <c r="BN23" s="30">
        <f t="shared" si="44"/>
        <v>24</v>
      </c>
      <c r="BO23" s="30">
        <v>21</v>
      </c>
      <c r="BP23" s="30">
        <f t="shared" si="45"/>
        <v>45</v>
      </c>
      <c r="BQ23" s="82"/>
      <c r="BR23" s="46">
        <f t="shared" si="46"/>
        <v>2</v>
      </c>
      <c r="BS23" s="45">
        <v>12</v>
      </c>
      <c r="BT23" s="30">
        <v>13</v>
      </c>
      <c r="BU23" s="30">
        <f t="shared" si="47"/>
        <v>25</v>
      </c>
      <c r="BV23" s="30">
        <v>12</v>
      </c>
      <c r="BW23" s="30">
        <f t="shared" si="48"/>
        <v>37</v>
      </c>
      <c r="BX23" s="82"/>
      <c r="BY23" s="46" t="str">
        <f t="shared" si="49"/>
        <v>F</v>
      </c>
      <c r="BZ23" s="45">
        <v>5</v>
      </c>
      <c r="CA23" s="30">
        <v>22</v>
      </c>
      <c r="CB23" s="30">
        <f t="shared" si="50"/>
        <v>27</v>
      </c>
      <c r="CC23" s="30">
        <v>14</v>
      </c>
      <c r="CD23" s="30">
        <v>22</v>
      </c>
      <c r="CE23" s="30">
        <f t="shared" si="51"/>
        <v>63</v>
      </c>
      <c r="CF23" s="82"/>
      <c r="CG23" s="46">
        <f t="shared" si="52"/>
        <v>3.5</v>
      </c>
      <c r="CH23" s="30" t="str">
        <f t="shared" si="18"/>
        <v>F</v>
      </c>
      <c r="CI23" s="47" t="str">
        <f t="shared" si="19"/>
        <v>F</v>
      </c>
      <c r="CJ23" s="30" t="str">
        <f t="shared" si="20"/>
        <v>NEED TO PROGRESS</v>
      </c>
      <c r="CK23" s="30">
        <f t="shared" si="53"/>
        <v>599</v>
      </c>
      <c r="CL23" s="30"/>
      <c r="CM23" s="30">
        <v>38</v>
      </c>
    </row>
    <row r="24" spans="1:91" s="31" customFormat="1" ht="27.95" customHeight="1">
      <c r="A24" s="48">
        <v>16</v>
      </c>
      <c r="B24" s="49">
        <v>80</v>
      </c>
      <c r="C24" s="52" t="s">
        <v>125</v>
      </c>
      <c r="D24" s="52" t="s">
        <v>126</v>
      </c>
      <c r="E24" s="52" t="s">
        <v>127</v>
      </c>
      <c r="F24" s="53" t="s">
        <v>206</v>
      </c>
      <c r="G24" s="45">
        <v>9</v>
      </c>
      <c r="H24" s="30">
        <v>10</v>
      </c>
      <c r="I24" s="30">
        <f t="shared" si="21"/>
        <v>19</v>
      </c>
      <c r="J24" s="30">
        <v>19</v>
      </c>
      <c r="K24" s="30">
        <f t="shared" si="0"/>
        <v>38</v>
      </c>
      <c r="L24" s="45">
        <v>13</v>
      </c>
      <c r="M24" s="30">
        <v>20</v>
      </c>
      <c r="N24" s="30">
        <f t="shared" si="22"/>
        <v>33</v>
      </c>
      <c r="O24" s="30">
        <v>24</v>
      </c>
      <c r="P24" s="30">
        <f t="shared" si="23"/>
        <v>57</v>
      </c>
      <c r="Q24" s="30">
        <f t="shared" si="1"/>
        <v>95</v>
      </c>
      <c r="R24" s="82"/>
      <c r="S24" s="152">
        <f t="shared" si="24"/>
        <v>2</v>
      </c>
      <c r="T24" s="148">
        <v>11</v>
      </c>
      <c r="U24" s="149">
        <v>15</v>
      </c>
      <c r="V24" s="149">
        <f t="shared" si="25"/>
        <v>26</v>
      </c>
      <c r="W24" s="149">
        <v>12</v>
      </c>
      <c r="X24" s="149">
        <v>32</v>
      </c>
      <c r="Y24" s="149">
        <f t="shared" si="26"/>
        <v>44</v>
      </c>
      <c r="Z24" s="149">
        <f t="shared" si="27"/>
        <v>70</v>
      </c>
      <c r="AA24" s="82"/>
      <c r="AB24" s="46">
        <f t="shared" si="28"/>
        <v>2</v>
      </c>
      <c r="AC24" s="45">
        <v>8</v>
      </c>
      <c r="AD24" s="30">
        <v>1</v>
      </c>
      <c r="AE24" s="30">
        <f t="shared" si="29"/>
        <v>9</v>
      </c>
      <c r="AF24" s="30">
        <v>12</v>
      </c>
      <c r="AG24" s="30">
        <f t="shared" si="30"/>
        <v>21</v>
      </c>
      <c r="AH24" s="82"/>
      <c r="AI24" s="46" t="str">
        <f t="shared" si="31"/>
        <v>F</v>
      </c>
      <c r="AJ24" s="45">
        <v>9</v>
      </c>
      <c r="AK24" s="30">
        <v>19</v>
      </c>
      <c r="AL24" s="30">
        <f t="shared" si="32"/>
        <v>28</v>
      </c>
      <c r="AM24" s="30">
        <v>16</v>
      </c>
      <c r="AN24" s="30">
        <f t="shared" si="33"/>
        <v>44</v>
      </c>
      <c r="AO24" s="82"/>
      <c r="AP24" s="46">
        <f t="shared" si="34"/>
        <v>2</v>
      </c>
      <c r="AQ24" s="30"/>
      <c r="AR24" s="30">
        <v>23</v>
      </c>
      <c r="AS24" s="30">
        <f t="shared" si="35"/>
        <v>23</v>
      </c>
      <c r="AT24" s="30">
        <v>25</v>
      </c>
      <c r="AU24" s="30">
        <f t="shared" si="36"/>
        <v>48</v>
      </c>
      <c r="AV24" s="82"/>
      <c r="AW24" s="46">
        <f t="shared" si="37"/>
        <v>5</v>
      </c>
      <c r="AX24" s="45">
        <v>11</v>
      </c>
      <c r="AY24" s="30">
        <v>20</v>
      </c>
      <c r="AZ24" s="30">
        <f t="shared" si="38"/>
        <v>31</v>
      </c>
      <c r="BA24" s="30">
        <v>20</v>
      </c>
      <c r="BB24" s="30">
        <f t="shared" si="39"/>
        <v>51</v>
      </c>
      <c r="BC24" s="82"/>
      <c r="BD24" s="46">
        <f t="shared" si="40"/>
        <v>3</v>
      </c>
      <c r="BE24" s="45">
        <v>6</v>
      </c>
      <c r="BF24" s="30">
        <v>9</v>
      </c>
      <c r="BG24" s="30">
        <f t="shared" si="41"/>
        <v>15</v>
      </c>
      <c r="BH24" s="30">
        <v>13</v>
      </c>
      <c r="BI24" s="30">
        <f t="shared" si="42"/>
        <v>28</v>
      </c>
      <c r="BJ24" s="82"/>
      <c r="BK24" s="46" t="str">
        <f t="shared" si="43"/>
        <v>F</v>
      </c>
      <c r="BL24" s="45">
        <v>10</v>
      </c>
      <c r="BM24" s="30">
        <v>15</v>
      </c>
      <c r="BN24" s="30">
        <f t="shared" si="44"/>
        <v>25</v>
      </c>
      <c r="BO24" s="30">
        <v>15</v>
      </c>
      <c r="BP24" s="30">
        <f t="shared" si="45"/>
        <v>40</v>
      </c>
      <c r="BQ24" s="82"/>
      <c r="BR24" s="46">
        <f t="shared" si="46"/>
        <v>2</v>
      </c>
      <c r="BS24" s="45">
        <v>12</v>
      </c>
      <c r="BT24" s="30">
        <v>8</v>
      </c>
      <c r="BU24" s="30">
        <f t="shared" si="47"/>
        <v>20</v>
      </c>
      <c r="BV24" s="30">
        <v>9</v>
      </c>
      <c r="BW24" s="30">
        <f t="shared" si="48"/>
        <v>29</v>
      </c>
      <c r="BX24" s="82"/>
      <c r="BY24" s="46" t="str">
        <f t="shared" si="49"/>
        <v>F</v>
      </c>
      <c r="BZ24" s="45">
        <v>5</v>
      </c>
      <c r="CA24" s="30">
        <v>14</v>
      </c>
      <c r="CB24" s="30">
        <f t="shared" si="50"/>
        <v>19</v>
      </c>
      <c r="CC24" s="30">
        <v>17</v>
      </c>
      <c r="CD24" s="30">
        <v>22</v>
      </c>
      <c r="CE24" s="30">
        <f t="shared" si="51"/>
        <v>58</v>
      </c>
      <c r="CF24" s="82"/>
      <c r="CG24" s="46" t="str">
        <f t="shared" si="52"/>
        <v>0</v>
      </c>
      <c r="CH24" s="30" t="str">
        <f t="shared" si="18"/>
        <v>F</v>
      </c>
      <c r="CI24" s="47" t="str">
        <f t="shared" si="19"/>
        <v>F</v>
      </c>
      <c r="CJ24" s="30" t="str">
        <f t="shared" si="20"/>
        <v>NEED TO PROGRESS</v>
      </c>
      <c r="CK24" s="30">
        <f t="shared" si="53"/>
        <v>512</v>
      </c>
      <c r="CL24" s="30"/>
      <c r="CM24" s="30">
        <v>39</v>
      </c>
    </row>
    <row r="25" spans="1:91" s="31" customFormat="1" ht="27.95" customHeight="1">
      <c r="A25" s="48">
        <v>17</v>
      </c>
      <c r="B25" s="49">
        <v>81</v>
      </c>
      <c r="C25" s="52" t="s">
        <v>128</v>
      </c>
      <c r="D25" s="52" t="s">
        <v>129</v>
      </c>
      <c r="E25" s="52" t="s">
        <v>130</v>
      </c>
      <c r="F25" s="53" t="s">
        <v>207</v>
      </c>
      <c r="G25" s="45">
        <v>9</v>
      </c>
      <c r="H25" s="30">
        <v>9</v>
      </c>
      <c r="I25" s="30">
        <f t="shared" si="21"/>
        <v>18</v>
      </c>
      <c r="J25" s="30">
        <v>11</v>
      </c>
      <c r="K25" s="30">
        <f t="shared" si="0"/>
        <v>29</v>
      </c>
      <c r="L25" s="45">
        <v>11</v>
      </c>
      <c r="M25" s="30">
        <v>20</v>
      </c>
      <c r="N25" s="30">
        <f t="shared" si="22"/>
        <v>31</v>
      </c>
      <c r="O25" s="30">
        <v>14</v>
      </c>
      <c r="P25" s="30">
        <f t="shared" si="23"/>
        <v>45</v>
      </c>
      <c r="Q25" s="30">
        <f t="shared" si="1"/>
        <v>74</v>
      </c>
      <c r="R25" s="82"/>
      <c r="S25" s="152" t="str">
        <f t="shared" si="24"/>
        <v>F</v>
      </c>
      <c r="T25" s="148">
        <v>11</v>
      </c>
      <c r="U25" s="149">
        <v>35</v>
      </c>
      <c r="V25" s="149">
        <f t="shared" si="25"/>
        <v>46</v>
      </c>
      <c r="W25" s="149">
        <v>11</v>
      </c>
      <c r="X25" s="149">
        <v>30</v>
      </c>
      <c r="Y25" s="149">
        <f t="shared" si="26"/>
        <v>41</v>
      </c>
      <c r="Z25" s="149">
        <f t="shared" si="27"/>
        <v>87</v>
      </c>
      <c r="AA25" s="82"/>
      <c r="AB25" s="46">
        <f t="shared" si="28"/>
        <v>2</v>
      </c>
      <c r="AC25" s="45">
        <v>8</v>
      </c>
      <c r="AD25" s="30">
        <v>1</v>
      </c>
      <c r="AE25" s="30">
        <f t="shared" si="29"/>
        <v>9</v>
      </c>
      <c r="AF25" s="30">
        <v>12</v>
      </c>
      <c r="AG25" s="30">
        <f t="shared" si="30"/>
        <v>21</v>
      </c>
      <c r="AH25" s="82"/>
      <c r="AI25" s="46" t="str">
        <f t="shared" si="31"/>
        <v>F</v>
      </c>
      <c r="AJ25" s="45">
        <v>12</v>
      </c>
      <c r="AK25" s="30">
        <v>14</v>
      </c>
      <c r="AL25" s="30">
        <f t="shared" si="32"/>
        <v>26</v>
      </c>
      <c r="AM25" s="30">
        <v>14</v>
      </c>
      <c r="AN25" s="30">
        <f t="shared" si="33"/>
        <v>40</v>
      </c>
      <c r="AO25" s="82"/>
      <c r="AP25" s="46">
        <f t="shared" si="34"/>
        <v>2</v>
      </c>
      <c r="AQ25" s="30"/>
      <c r="AR25" s="30">
        <v>19</v>
      </c>
      <c r="AS25" s="30">
        <f t="shared" si="35"/>
        <v>19</v>
      </c>
      <c r="AT25" s="30">
        <v>25</v>
      </c>
      <c r="AU25" s="30">
        <f t="shared" si="36"/>
        <v>44</v>
      </c>
      <c r="AV25" s="82"/>
      <c r="AW25" s="46">
        <f t="shared" si="37"/>
        <v>5</v>
      </c>
      <c r="AX25" s="45">
        <v>13</v>
      </c>
      <c r="AY25" s="30">
        <v>20</v>
      </c>
      <c r="AZ25" s="30">
        <f t="shared" si="38"/>
        <v>33</v>
      </c>
      <c r="BA25" s="30">
        <v>22</v>
      </c>
      <c r="BB25" s="30">
        <f t="shared" si="39"/>
        <v>55</v>
      </c>
      <c r="BC25" s="82"/>
      <c r="BD25" s="46">
        <f t="shared" si="40"/>
        <v>3</v>
      </c>
      <c r="BE25" s="45">
        <v>9</v>
      </c>
      <c r="BF25" s="30">
        <v>10</v>
      </c>
      <c r="BG25" s="30">
        <f t="shared" si="41"/>
        <v>19</v>
      </c>
      <c r="BH25" s="30">
        <v>17</v>
      </c>
      <c r="BI25" s="30">
        <f t="shared" si="42"/>
        <v>36</v>
      </c>
      <c r="BJ25" s="82"/>
      <c r="BK25" s="46" t="str">
        <f t="shared" si="43"/>
        <v>F</v>
      </c>
      <c r="BL25" s="45">
        <v>12</v>
      </c>
      <c r="BM25" s="30">
        <v>14</v>
      </c>
      <c r="BN25" s="30">
        <f t="shared" si="44"/>
        <v>26</v>
      </c>
      <c r="BO25" s="30">
        <v>16</v>
      </c>
      <c r="BP25" s="30">
        <f t="shared" si="45"/>
        <v>42</v>
      </c>
      <c r="BQ25" s="82"/>
      <c r="BR25" s="46">
        <f t="shared" si="46"/>
        <v>2</v>
      </c>
      <c r="BS25" s="45">
        <v>15</v>
      </c>
      <c r="BT25" s="30">
        <v>24</v>
      </c>
      <c r="BU25" s="30">
        <f t="shared" si="47"/>
        <v>39</v>
      </c>
      <c r="BV25" s="30">
        <v>10</v>
      </c>
      <c r="BW25" s="30">
        <f t="shared" si="48"/>
        <v>49</v>
      </c>
      <c r="BX25" s="82"/>
      <c r="BY25" s="46" t="str">
        <f t="shared" si="49"/>
        <v>F</v>
      </c>
      <c r="BZ25" s="45">
        <v>3</v>
      </c>
      <c r="CA25" s="30">
        <v>14</v>
      </c>
      <c r="CB25" s="30">
        <f t="shared" si="50"/>
        <v>17</v>
      </c>
      <c r="CC25" s="30">
        <v>21</v>
      </c>
      <c r="CD25" s="30">
        <v>22</v>
      </c>
      <c r="CE25" s="30">
        <f t="shared" si="51"/>
        <v>60</v>
      </c>
      <c r="CF25" s="82"/>
      <c r="CG25" s="46" t="str">
        <f t="shared" si="52"/>
        <v>0</v>
      </c>
      <c r="CH25" s="30" t="str">
        <f t="shared" si="18"/>
        <v>F</v>
      </c>
      <c r="CI25" s="47" t="str">
        <f t="shared" si="19"/>
        <v>F</v>
      </c>
      <c r="CJ25" s="30" t="str">
        <f t="shared" si="20"/>
        <v>NEED TO PROGRESS</v>
      </c>
      <c r="CK25" s="30">
        <f t="shared" si="53"/>
        <v>544</v>
      </c>
      <c r="CL25" s="30"/>
      <c r="CM25" s="30">
        <v>41</v>
      </c>
    </row>
    <row r="26" spans="1:91" s="31" customFormat="1" ht="27.95" customHeight="1">
      <c r="A26" s="48">
        <v>18</v>
      </c>
      <c r="B26" s="49">
        <v>82</v>
      </c>
      <c r="C26" s="55" t="s">
        <v>131</v>
      </c>
      <c r="D26" s="55" t="s">
        <v>132</v>
      </c>
      <c r="E26" s="55" t="s">
        <v>133</v>
      </c>
      <c r="F26" s="53" t="s">
        <v>208</v>
      </c>
      <c r="G26" s="45">
        <v>10</v>
      </c>
      <c r="H26" s="30">
        <v>10</v>
      </c>
      <c r="I26" s="30">
        <f t="shared" si="21"/>
        <v>20</v>
      </c>
      <c r="J26" s="30">
        <v>9</v>
      </c>
      <c r="K26" s="30">
        <f t="shared" si="0"/>
        <v>29</v>
      </c>
      <c r="L26" s="45">
        <v>13</v>
      </c>
      <c r="M26" s="30">
        <v>21</v>
      </c>
      <c r="N26" s="30">
        <f t="shared" si="22"/>
        <v>34</v>
      </c>
      <c r="O26" s="30">
        <v>10</v>
      </c>
      <c r="P26" s="30">
        <f t="shared" si="23"/>
        <v>44</v>
      </c>
      <c r="Q26" s="30">
        <f t="shared" si="1"/>
        <v>73</v>
      </c>
      <c r="R26" s="82"/>
      <c r="S26" s="152" t="str">
        <f t="shared" si="24"/>
        <v>F</v>
      </c>
      <c r="T26" s="148">
        <v>16</v>
      </c>
      <c r="U26" s="149">
        <v>32</v>
      </c>
      <c r="V26" s="149">
        <f t="shared" si="25"/>
        <v>48</v>
      </c>
      <c r="W26" s="149">
        <v>11</v>
      </c>
      <c r="X26" s="149">
        <v>30</v>
      </c>
      <c r="Y26" s="149">
        <f t="shared" si="26"/>
        <v>41</v>
      </c>
      <c r="Z26" s="149">
        <f t="shared" si="27"/>
        <v>89</v>
      </c>
      <c r="AA26" s="82"/>
      <c r="AB26" s="46">
        <f t="shared" si="28"/>
        <v>2</v>
      </c>
      <c r="AC26" s="45">
        <v>10</v>
      </c>
      <c r="AD26" s="30">
        <v>6</v>
      </c>
      <c r="AE26" s="30">
        <f t="shared" si="29"/>
        <v>16</v>
      </c>
      <c r="AF26" s="30">
        <v>13</v>
      </c>
      <c r="AG26" s="30">
        <f t="shared" si="30"/>
        <v>29</v>
      </c>
      <c r="AH26" s="82"/>
      <c r="AI26" s="46" t="str">
        <f t="shared" si="31"/>
        <v>F</v>
      </c>
      <c r="AJ26" s="45">
        <v>11</v>
      </c>
      <c r="AK26" s="30">
        <v>14</v>
      </c>
      <c r="AL26" s="30">
        <f t="shared" si="32"/>
        <v>25</v>
      </c>
      <c r="AM26" s="30">
        <v>21</v>
      </c>
      <c r="AN26" s="30">
        <f t="shared" si="33"/>
        <v>46</v>
      </c>
      <c r="AO26" s="82"/>
      <c r="AP26" s="46">
        <f t="shared" si="34"/>
        <v>2</v>
      </c>
      <c r="AQ26" s="30"/>
      <c r="AR26" s="30">
        <v>17</v>
      </c>
      <c r="AS26" s="30">
        <f t="shared" si="35"/>
        <v>17</v>
      </c>
      <c r="AT26" s="30">
        <v>25</v>
      </c>
      <c r="AU26" s="30">
        <f t="shared" si="36"/>
        <v>42</v>
      </c>
      <c r="AV26" s="82"/>
      <c r="AW26" s="46">
        <f t="shared" si="37"/>
        <v>5</v>
      </c>
      <c r="AX26" s="45">
        <v>10</v>
      </c>
      <c r="AY26" s="30">
        <v>0</v>
      </c>
      <c r="AZ26" s="30">
        <f t="shared" si="38"/>
        <v>10</v>
      </c>
      <c r="BA26" s="30">
        <v>23</v>
      </c>
      <c r="BB26" s="30">
        <f t="shared" si="39"/>
        <v>33</v>
      </c>
      <c r="BC26" s="82"/>
      <c r="BD26" s="46" t="str">
        <f t="shared" si="40"/>
        <v>F</v>
      </c>
      <c r="BE26" s="45">
        <v>10</v>
      </c>
      <c r="BF26" s="30">
        <v>21</v>
      </c>
      <c r="BG26" s="30">
        <f t="shared" si="41"/>
        <v>31</v>
      </c>
      <c r="BH26" s="30">
        <v>19</v>
      </c>
      <c r="BI26" s="30">
        <f t="shared" si="42"/>
        <v>50</v>
      </c>
      <c r="BJ26" s="82"/>
      <c r="BK26" s="46">
        <f t="shared" si="43"/>
        <v>3</v>
      </c>
      <c r="BL26" s="45">
        <v>19</v>
      </c>
      <c r="BM26" s="30">
        <v>26</v>
      </c>
      <c r="BN26" s="30">
        <f t="shared" si="44"/>
        <v>45</v>
      </c>
      <c r="BO26" s="30">
        <v>12</v>
      </c>
      <c r="BP26" s="30">
        <f t="shared" si="45"/>
        <v>57</v>
      </c>
      <c r="BQ26" s="82"/>
      <c r="BR26" s="46">
        <f t="shared" si="46"/>
        <v>3</v>
      </c>
      <c r="BS26" s="45">
        <v>15</v>
      </c>
      <c r="BT26" s="30">
        <v>21</v>
      </c>
      <c r="BU26" s="30">
        <f t="shared" si="47"/>
        <v>36</v>
      </c>
      <c r="BV26" s="30">
        <v>12</v>
      </c>
      <c r="BW26" s="30">
        <f t="shared" si="48"/>
        <v>48</v>
      </c>
      <c r="BX26" s="82"/>
      <c r="BY26" s="46">
        <f t="shared" si="49"/>
        <v>2</v>
      </c>
      <c r="BZ26" s="45">
        <v>5</v>
      </c>
      <c r="CA26" s="30">
        <v>9</v>
      </c>
      <c r="CB26" s="30">
        <f t="shared" si="50"/>
        <v>14</v>
      </c>
      <c r="CC26" s="30">
        <v>21</v>
      </c>
      <c r="CD26" s="30">
        <v>22</v>
      </c>
      <c r="CE26" s="30">
        <f t="shared" si="51"/>
        <v>57</v>
      </c>
      <c r="CF26" s="82"/>
      <c r="CG26" s="46" t="str">
        <f t="shared" si="52"/>
        <v>0</v>
      </c>
      <c r="CH26" s="30" t="str">
        <f t="shared" si="18"/>
        <v>F</v>
      </c>
      <c r="CI26" s="47" t="str">
        <f t="shared" si="19"/>
        <v>F</v>
      </c>
      <c r="CJ26" s="30" t="str">
        <f t="shared" si="20"/>
        <v>NEED TO PROGRESS</v>
      </c>
      <c r="CK26" s="30">
        <f t="shared" si="53"/>
        <v>574</v>
      </c>
      <c r="CL26" s="30"/>
      <c r="CM26" s="30">
        <v>44</v>
      </c>
    </row>
    <row r="27" spans="1:91" s="31" customFormat="1" ht="27.95" customHeight="1">
      <c r="A27" s="48">
        <v>19</v>
      </c>
      <c r="B27" s="49">
        <v>85</v>
      </c>
      <c r="C27" s="52" t="s">
        <v>134</v>
      </c>
      <c r="D27" s="52" t="s">
        <v>135</v>
      </c>
      <c r="E27" s="52" t="s">
        <v>136</v>
      </c>
      <c r="F27" s="53" t="s">
        <v>209</v>
      </c>
      <c r="G27" s="45">
        <v>6</v>
      </c>
      <c r="H27" s="30">
        <v>8</v>
      </c>
      <c r="I27" s="30">
        <f t="shared" si="21"/>
        <v>14</v>
      </c>
      <c r="J27" s="30">
        <v>10</v>
      </c>
      <c r="K27" s="30">
        <f t="shared" si="0"/>
        <v>24</v>
      </c>
      <c r="L27" s="45">
        <v>11</v>
      </c>
      <c r="M27" s="30">
        <v>19</v>
      </c>
      <c r="N27" s="30">
        <f t="shared" si="22"/>
        <v>30</v>
      </c>
      <c r="O27" s="30">
        <v>10</v>
      </c>
      <c r="P27" s="30">
        <f t="shared" si="23"/>
        <v>40</v>
      </c>
      <c r="Q27" s="30">
        <f t="shared" si="1"/>
        <v>64</v>
      </c>
      <c r="R27" s="82"/>
      <c r="S27" s="152" t="str">
        <f t="shared" si="24"/>
        <v>F</v>
      </c>
      <c r="T27" s="148">
        <v>14</v>
      </c>
      <c r="U27" s="149">
        <v>32</v>
      </c>
      <c r="V27" s="149">
        <f t="shared" si="25"/>
        <v>46</v>
      </c>
      <c r="W27" s="149">
        <v>11</v>
      </c>
      <c r="X27" s="149">
        <v>21</v>
      </c>
      <c r="Y27" s="149">
        <f t="shared" si="26"/>
        <v>32</v>
      </c>
      <c r="Z27" s="149">
        <f t="shared" si="27"/>
        <v>78</v>
      </c>
      <c r="AA27" s="82"/>
      <c r="AB27" s="46">
        <f t="shared" si="28"/>
        <v>2</v>
      </c>
      <c r="AC27" s="45">
        <v>8</v>
      </c>
      <c r="AD27" s="30">
        <v>0</v>
      </c>
      <c r="AE27" s="30">
        <f t="shared" si="29"/>
        <v>8</v>
      </c>
      <c r="AF27" s="30">
        <v>10</v>
      </c>
      <c r="AG27" s="30">
        <f t="shared" si="30"/>
        <v>18</v>
      </c>
      <c r="AH27" s="82"/>
      <c r="AI27" s="46" t="str">
        <f t="shared" si="31"/>
        <v>F</v>
      </c>
      <c r="AJ27" s="45">
        <v>4</v>
      </c>
      <c r="AK27" s="30">
        <v>10</v>
      </c>
      <c r="AL27" s="30">
        <f t="shared" si="32"/>
        <v>14</v>
      </c>
      <c r="AM27" s="30">
        <v>19</v>
      </c>
      <c r="AN27" s="30">
        <f t="shared" si="33"/>
        <v>33</v>
      </c>
      <c r="AO27" s="82"/>
      <c r="AP27" s="46" t="str">
        <f t="shared" si="34"/>
        <v>F</v>
      </c>
      <c r="AQ27" s="30"/>
      <c r="AR27" s="30">
        <v>16</v>
      </c>
      <c r="AS27" s="30">
        <f t="shared" si="35"/>
        <v>16</v>
      </c>
      <c r="AT27" s="30">
        <v>25</v>
      </c>
      <c r="AU27" s="30">
        <f t="shared" si="36"/>
        <v>41</v>
      </c>
      <c r="AV27" s="82"/>
      <c r="AW27" s="46">
        <f t="shared" si="37"/>
        <v>5</v>
      </c>
      <c r="AX27" s="45">
        <v>8</v>
      </c>
      <c r="AY27" s="30">
        <v>0</v>
      </c>
      <c r="AZ27" s="30">
        <f t="shared" si="38"/>
        <v>8</v>
      </c>
      <c r="BA27" s="30">
        <v>18</v>
      </c>
      <c r="BB27" s="30">
        <f t="shared" si="39"/>
        <v>26</v>
      </c>
      <c r="BC27" s="82"/>
      <c r="BD27" s="46" t="str">
        <f t="shared" si="40"/>
        <v>F</v>
      </c>
      <c r="BE27" s="45">
        <v>10</v>
      </c>
      <c r="BF27" s="30">
        <v>1</v>
      </c>
      <c r="BG27" s="30">
        <f t="shared" si="41"/>
        <v>11</v>
      </c>
      <c r="BH27" s="30">
        <v>12</v>
      </c>
      <c r="BI27" s="30">
        <f t="shared" si="42"/>
        <v>23</v>
      </c>
      <c r="BJ27" s="82"/>
      <c r="BK27" s="46" t="str">
        <f t="shared" si="43"/>
        <v>F</v>
      </c>
      <c r="BL27" s="45">
        <v>17</v>
      </c>
      <c r="BM27" s="30">
        <v>25</v>
      </c>
      <c r="BN27" s="30">
        <f t="shared" si="44"/>
        <v>42</v>
      </c>
      <c r="BO27" s="30">
        <v>12</v>
      </c>
      <c r="BP27" s="30">
        <f t="shared" si="45"/>
        <v>54</v>
      </c>
      <c r="BQ27" s="82"/>
      <c r="BR27" s="46">
        <f t="shared" si="46"/>
        <v>3</v>
      </c>
      <c r="BS27" s="45">
        <v>12</v>
      </c>
      <c r="BT27" s="30">
        <v>4</v>
      </c>
      <c r="BU27" s="30">
        <f t="shared" si="47"/>
        <v>16</v>
      </c>
      <c r="BV27" s="30">
        <v>14</v>
      </c>
      <c r="BW27" s="30">
        <f t="shared" si="48"/>
        <v>30</v>
      </c>
      <c r="BX27" s="82"/>
      <c r="BY27" s="46" t="str">
        <f t="shared" si="49"/>
        <v>F</v>
      </c>
      <c r="BZ27" s="45">
        <v>3</v>
      </c>
      <c r="CA27" s="30">
        <v>0</v>
      </c>
      <c r="CB27" s="30">
        <f t="shared" si="50"/>
        <v>3</v>
      </c>
      <c r="CC27" s="30">
        <v>20</v>
      </c>
      <c r="CD27" s="30">
        <v>22</v>
      </c>
      <c r="CE27" s="30">
        <f t="shared" si="51"/>
        <v>45</v>
      </c>
      <c r="CF27" s="82"/>
      <c r="CG27" s="46" t="str">
        <f t="shared" si="52"/>
        <v>0</v>
      </c>
      <c r="CH27" s="30" t="str">
        <f t="shared" si="18"/>
        <v>F</v>
      </c>
      <c r="CI27" s="47" t="str">
        <f t="shared" si="19"/>
        <v>F</v>
      </c>
      <c r="CJ27" s="30" t="str">
        <f t="shared" si="20"/>
        <v>NEED TO PROGRESS</v>
      </c>
      <c r="CK27" s="30">
        <f t="shared" si="53"/>
        <v>435</v>
      </c>
      <c r="CL27" s="30"/>
      <c r="CM27" s="30">
        <v>45</v>
      </c>
    </row>
    <row r="28" spans="1:91" s="31" customFormat="1" ht="27.95" customHeight="1">
      <c r="A28" s="48">
        <v>20</v>
      </c>
      <c r="B28" s="49">
        <v>88</v>
      </c>
      <c r="C28" s="50" t="s">
        <v>137</v>
      </c>
      <c r="D28" s="50" t="s">
        <v>138</v>
      </c>
      <c r="E28" s="50" t="s">
        <v>139</v>
      </c>
      <c r="F28" s="51" t="s">
        <v>210</v>
      </c>
      <c r="G28" s="45">
        <v>4</v>
      </c>
      <c r="H28" s="30">
        <v>13</v>
      </c>
      <c r="I28" s="30">
        <f t="shared" si="21"/>
        <v>17</v>
      </c>
      <c r="J28" s="30">
        <v>12</v>
      </c>
      <c r="K28" s="30">
        <f t="shared" si="0"/>
        <v>29</v>
      </c>
      <c r="L28" s="45">
        <v>12</v>
      </c>
      <c r="M28" s="30">
        <v>11</v>
      </c>
      <c r="N28" s="30">
        <f t="shared" si="22"/>
        <v>23</v>
      </c>
      <c r="O28" s="30">
        <v>14</v>
      </c>
      <c r="P28" s="30">
        <f t="shared" si="23"/>
        <v>37</v>
      </c>
      <c r="Q28" s="30">
        <f t="shared" si="1"/>
        <v>66</v>
      </c>
      <c r="R28" s="82"/>
      <c r="S28" s="152" t="str">
        <f t="shared" si="24"/>
        <v>F</v>
      </c>
      <c r="T28" s="148">
        <v>11</v>
      </c>
      <c r="U28" s="149">
        <v>23</v>
      </c>
      <c r="V28" s="149">
        <f t="shared" si="25"/>
        <v>34</v>
      </c>
      <c r="W28" s="149">
        <v>11</v>
      </c>
      <c r="X28" s="149">
        <v>29</v>
      </c>
      <c r="Y28" s="149">
        <f t="shared" si="26"/>
        <v>40</v>
      </c>
      <c r="Z28" s="149">
        <f t="shared" si="27"/>
        <v>74</v>
      </c>
      <c r="AA28" s="82"/>
      <c r="AB28" s="46">
        <f t="shared" si="28"/>
        <v>2</v>
      </c>
      <c r="AC28" s="45">
        <v>8</v>
      </c>
      <c r="AD28" s="30">
        <v>9</v>
      </c>
      <c r="AE28" s="30">
        <f t="shared" si="29"/>
        <v>17</v>
      </c>
      <c r="AF28" s="30">
        <v>14</v>
      </c>
      <c r="AG28" s="30">
        <f t="shared" si="30"/>
        <v>31</v>
      </c>
      <c r="AH28" s="82"/>
      <c r="AI28" s="46" t="str">
        <f t="shared" si="31"/>
        <v>F</v>
      </c>
      <c r="AJ28" s="45">
        <v>2</v>
      </c>
      <c r="AK28" s="30">
        <v>14</v>
      </c>
      <c r="AL28" s="30">
        <f t="shared" si="32"/>
        <v>16</v>
      </c>
      <c r="AM28" s="30">
        <v>21</v>
      </c>
      <c r="AN28" s="30">
        <f t="shared" si="33"/>
        <v>37</v>
      </c>
      <c r="AO28" s="82"/>
      <c r="AP28" s="46" t="str">
        <f t="shared" si="34"/>
        <v>F</v>
      </c>
      <c r="AQ28" s="30"/>
      <c r="AR28" s="30">
        <v>23</v>
      </c>
      <c r="AS28" s="30">
        <f t="shared" si="35"/>
        <v>23</v>
      </c>
      <c r="AT28" s="30">
        <v>25</v>
      </c>
      <c r="AU28" s="30">
        <f t="shared" si="36"/>
        <v>48</v>
      </c>
      <c r="AV28" s="82"/>
      <c r="AW28" s="46">
        <f t="shared" si="37"/>
        <v>5</v>
      </c>
      <c r="AX28" s="45">
        <v>10</v>
      </c>
      <c r="AY28" s="30">
        <v>6</v>
      </c>
      <c r="AZ28" s="30">
        <f t="shared" si="38"/>
        <v>16</v>
      </c>
      <c r="BA28" s="30">
        <v>19</v>
      </c>
      <c r="BB28" s="30">
        <f t="shared" si="39"/>
        <v>35</v>
      </c>
      <c r="BC28" s="82"/>
      <c r="BD28" s="46" t="str">
        <f t="shared" si="40"/>
        <v>F</v>
      </c>
      <c r="BE28" s="45">
        <v>8</v>
      </c>
      <c r="BF28" s="30">
        <v>16</v>
      </c>
      <c r="BG28" s="30">
        <f t="shared" si="41"/>
        <v>24</v>
      </c>
      <c r="BH28" s="30">
        <v>15</v>
      </c>
      <c r="BI28" s="30">
        <f t="shared" si="42"/>
        <v>39</v>
      </c>
      <c r="BJ28" s="82"/>
      <c r="BK28" s="46" t="str">
        <f t="shared" si="43"/>
        <v>F</v>
      </c>
      <c r="BL28" s="45">
        <v>15</v>
      </c>
      <c r="BM28" s="30">
        <v>20</v>
      </c>
      <c r="BN28" s="30">
        <f t="shared" si="44"/>
        <v>35</v>
      </c>
      <c r="BO28" s="30">
        <v>15</v>
      </c>
      <c r="BP28" s="30">
        <f t="shared" si="45"/>
        <v>50</v>
      </c>
      <c r="BQ28" s="82"/>
      <c r="BR28" s="46">
        <f t="shared" si="46"/>
        <v>3</v>
      </c>
      <c r="BS28" s="45">
        <v>9</v>
      </c>
      <c r="BT28" s="30">
        <v>9</v>
      </c>
      <c r="BU28" s="30">
        <f t="shared" si="47"/>
        <v>18</v>
      </c>
      <c r="BV28" s="30">
        <v>14</v>
      </c>
      <c r="BW28" s="30">
        <f t="shared" si="48"/>
        <v>32</v>
      </c>
      <c r="BX28" s="82"/>
      <c r="BY28" s="46" t="str">
        <f t="shared" si="49"/>
        <v>F</v>
      </c>
      <c r="BZ28" s="45">
        <v>2</v>
      </c>
      <c r="CA28" s="30">
        <v>6</v>
      </c>
      <c r="CB28" s="30">
        <f t="shared" si="50"/>
        <v>8</v>
      </c>
      <c r="CC28" s="30">
        <v>15</v>
      </c>
      <c r="CD28" s="30">
        <v>22</v>
      </c>
      <c r="CE28" s="30">
        <f t="shared" si="51"/>
        <v>45</v>
      </c>
      <c r="CF28" s="82"/>
      <c r="CG28" s="46" t="str">
        <f t="shared" si="52"/>
        <v>0</v>
      </c>
      <c r="CH28" s="30" t="str">
        <f t="shared" si="18"/>
        <v>F</v>
      </c>
      <c r="CI28" s="47" t="str">
        <f t="shared" si="19"/>
        <v>F</v>
      </c>
      <c r="CJ28" s="30" t="str">
        <f t="shared" si="20"/>
        <v>NEED TO PROGRESS</v>
      </c>
      <c r="CK28" s="30">
        <f t="shared" si="53"/>
        <v>496</v>
      </c>
      <c r="CL28" s="30"/>
      <c r="CM28" s="30">
        <v>48</v>
      </c>
    </row>
    <row r="29" spans="1:91" s="31" customFormat="1" ht="27.95" customHeight="1">
      <c r="A29" s="48">
        <v>21</v>
      </c>
      <c r="B29" s="49">
        <v>89</v>
      </c>
      <c r="C29" s="50" t="s">
        <v>140</v>
      </c>
      <c r="D29" s="50" t="s">
        <v>141</v>
      </c>
      <c r="E29" s="50" t="s">
        <v>142</v>
      </c>
      <c r="F29" s="51" t="s">
        <v>211</v>
      </c>
      <c r="G29" s="45">
        <v>10</v>
      </c>
      <c r="H29" s="30">
        <v>10</v>
      </c>
      <c r="I29" s="30">
        <f t="shared" si="21"/>
        <v>20</v>
      </c>
      <c r="J29" s="30">
        <v>7</v>
      </c>
      <c r="K29" s="30">
        <f t="shared" si="0"/>
        <v>27</v>
      </c>
      <c r="L29" s="45">
        <v>11</v>
      </c>
      <c r="M29" s="30">
        <v>9</v>
      </c>
      <c r="N29" s="30">
        <f t="shared" si="22"/>
        <v>20</v>
      </c>
      <c r="O29" s="30">
        <v>6</v>
      </c>
      <c r="P29" s="30">
        <f t="shared" si="23"/>
        <v>26</v>
      </c>
      <c r="Q29" s="30">
        <f t="shared" si="1"/>
        <v>53</v>
      </c>
      <c r="R29" s="82"/>
      <c r="S29" s="152" t="str">
        <f t="shared" si="24"/>
        <v>F</v>
      </c>
      <c r="T29" s="148">
        <v>9</v>
      </c>
      <c r="U29" s="149">
        <v>6</v>
      </c>
      <c r="V29" s="149">
        <f t="shared" si="25"/>
        <v>15</v>
      </c>
      <c r="W29" s="149">
        <v>12</v>
      </c>
      <c r="X29" s="149">
        <v>8</v>
      </c>
      <c r="Y29" s="149">
        <f t="shared" si="26"/>
        <v>20</v>
      </c>
      <c r="Z29" s="149">
        <f t="shared" si="27"/>
        <v>35</v>
      </c>
      <c r="AA29" s="82"/>
      <c r="AB29" s="46" t="str">
        <f t="shared" si="28"/>
        <v>F</v>
      </c>
      <c r="AC29" s="45">
        <v>10</v>
      </c>
      <c r="AD29" s="30">
        <v>0</v>
      </c>
      <c r="AE29" s="30">
        <f t="shared" si="29"/>
        <v>10</v>
      </c>
      <c r="AF29" s="30">
        <v>9</v>
      </c>
      <c r="AG29" s="30">
        <f t="shared" si="30"/>
        <v>19</v>
      </c>
      <c r="AH29" s="82"/>
      <c r="AI29" s="46" t="str">
        <f t="shared" si="31"/>
        <v>F</v>
      </c>
      <c r="AJ29" s="45">
        <v>9</v>
      </c>
      <c r="AK29" s="30">
        <v>14</v>
      </c>
      <c r="AL29" s="30">
        <f t="shared" si="32"/>
        <v>23</v>
      </c>
      <c r="AM29" s="30">
        <v>12</v>
      </c>
      <c r="AN29" s="30">
        <f t="shared" si="33"/>
        <v>35</v>
      </c>
      <c r="AO29" s="82"/>
      <c r="AP29" s="46" t="str">
        <f t="shared" si="34"/>
        <v>F</v>
      </c>
      <c r="AQ29" s="30"/>
      <c r="AR29" s="30">
        <v>23</v>
      </c>
      <c r="AS29" s="30">
        <f t="shared" si="35"/>
        <v>23</v>
      </c>
      <c r="AT29" s="30">
        <v>25</v>
      </c>
      <c r="AU29" s="30">
        <f t="shared" si="36"/>
        <v>48</v>
      </c>
      <c r="AV29" s="82"/>
      <c r="AW29" s="46">
        <f t="shared" si="37"/>
        <v>5</v>
      </c>
      <c r="AX29" s="45">
        <v>11</v>
      </c>
      <c r="AY29" s="30">
        <v>10</v>
      </c>
      <c r="AZ29" s="30">
        <f t="shared" si="38"/>
        <v>21</v>
      </c>
      <c r="BA29" s="30">
        <v>21</v>
      </c>
      <c r="BB29" s="30">
        <f t="shared" si="39"/>
        <v>42</v>
      </c>
      <c r="BC29" s="82"/>
      <c r="BD29" s="46">
        <f t="shared" si="40"/>
        <v>2</v>
      </c>
      <c r="BE29" s="45">
        <v>9</v>
      </c>
      <c r="BF29" s="30">
        <v>20</v>
      </c>
      <c r="BG29" s="30">
        <f t="shared" si="41"/>
        <v>29</v>
      </c>
      <c r="BH29" s="30">
        <v>8</v>
      </c>
      <c r="BI29" s="30">
        <f t="shared" si="42"/>
        <v>37</v>
      </c>
      <c r="BJ29" s="82"/>
      <c r="BK29" s="46" t="str">
        <f t="shared" si="43"/>
        <v>F</v>
      </c>
      <c r="BL29" s="45">
        <v>11</v>
      </c>
      <c r="BM29" s="30">
        <v>20</v>
      </c>
      <c r="BN29" s="30">
        <f t="shared" si="44"/>
        <v>31</v>
      </c>
      <c r="BO29" s="30">
        <v>12</v>
      </c>
      <c r="BP29" s="30">
        <f t="shared" si="45"/>
        <v>43</v>
      </c>
      <c r="BQ29" s="82"/>
      <c r="BR29" s="46">
        <f t="shared" si="46"/>
        <v>2</v>
      </c>
      <c r="BS29" s="45">
        <v>8</v>
      </c>
      <c r="BT29" s="30">
        <v>13</v>
      </c>
      <c r="BU29" s="30">
        <f t="shared" si="47"/>
        <v>21</v>
      </c>
      <c r="BV29" s="30">
        <v>8</v>
      </c>
      <c r="BW29" s="30">
        <f t="shared" si="48"/>
        <v>29</v>
      </c>
      <c r="BX29" s="82"/>
      <c r="BY29" s="46" t="str">
        <f t="shared" si="49"/>
        <v>F</v>
      </c>
      <c r="BZ29" s="45">
        <v>3</v>
      </c>
      <c r="CA29" s="30">
        <v>11</v>
      </c>
      <c r="CB29" s="30">
        <f t="shared" si="50"/>
        <v>14</v>
      </c>
      <c r="CC29" s="30">
        <v>19</v>
      </c>
      <c r="CD29" s="30">
        <v>22</v>
      </c>
      <c r="CE29" s="30">
        <f t="shared" si="51"/>
        <v>55</v>
      </c>
      <c r="CF29" s="82"/>
      <c r="CG29" s="46" t="str">
        <f t="shared" si="52"/>
        <v>0</v>
      </c>
      <c r="CH29" s="30" t="str">
        <f t="shared" si="18"/>
        <v>F</v>
      </c>
      <c r="CI29" s="47" t="str">
        <f t="shared" si="19"/>
        <v>F</v>
      </c>
      <c r="CJ29" s="30" t="str">
        <f t="shared" si="20"/>
        <v>NEED TO PROGRESS</v>
      </c>
      <c r="CK29" s="30">
        <f t="shared" si="53"/>
        <v>433</v>
      </c>
      <c r="CL29" s="30"/>
      <c r="CM29" s="30">
        <v>42</v>
      </c>
    </row>
    <row r="30" spans="1:91" s="31" customFormat="1" ht="27.95" customHeight="1">
      <c r="A30" s="48">
        <v>22</v>
      </c>
      <c r="B30" s="49">
        <v>91</v>
      </c>
      <c r="C30" s="52" t="s">
        <v>143</v>
      </c>
      <c r="D30" s="52" t="s">
        <v>144</v>
      </c>
      <c r="E30" s="52" t="s">
        <v>145</v>
      </c>
      <c r="F30" s="53" t="s">
        <v>212</v>
      </c>
      <c r="G30" s="45">
        <v>5</v>
      </c>
      <c r="H30" s="30">
        <v>2</v>
      </c>
      <c r="I30" s="30">
        <f t="shared" si="21"/>
        <v>7</v>
      </c>
      <c r="J30" s="30">
        <v>9</v>
      </c>
      <c r="K30" s="30">
        <f t="shared" si="0"/>
        <v>16</v>
      </c>
      <c r="L30" s="45">
        <v>2</v>
      </c>
      <c r="M30" s="30">
        <v>11</v>
      </c>
      <c r="N30" s="30">
        <f t="shared" si="22"/>
        <v>13</v>
      </c>
      <c r="O30" s="30">
        <v>16</v>
      </c>
      <c r="P30" s="30">
        <f t="shared" si="23"/>
        <v>29</v>
      </c>
      <c r="Q30" s="30">
        <f t="shared" si="1"/>
        <v>45</v>
      </c>
      <c r="R30" s="82"/>
      <c r="S30" s="152" t="str">
        <f t="shared" si="24"/>
        <v>F</v>
      </c>
      <c r="T30" s="148">
        <v>8</v>
      </c>
      <c r="U30" s="149">
        <v>14</v>
      </c>
      <c r="V30" s="149">
        <f t="shared" si="25"/>
        <v>22</v>
      </c>
      <c r="W30" s="149">
        <v>11</v>
      </c>
      <c r="X30" s="149">
        <v>8</v>
      </c>
      <c r="Y30" s="149">
        <f t="shared" si="26"/>
        <v>19</v>
      </c>
      <c r="Z30" s="149">
        <f t="shared" si="27"/>
        <v>41</v>
      </c>
      <c r="AA30" s="82"/>
      <c r="AB30" s="46" t="str">
        <f t="shared" si="28"/>
        <v>F</v>
      </c>
      <c r="AC30" s="45">
        <v>4</v>
      </c>
      <c r="AD30" s="30">
        <v>5</v>
      </c>
      <c r="AE30" s="30">
        <f t="shared" si="29"/>
        <v>9</v>
      </c>
      <c r="AF30" s="30">
        <v>10</v>
      </c>
      <c r="AG30" s="30">
        <f t="shared" si="30"/>
        <v>19</v>
      </c>
      <c r="AH30" s="82"/>
      <c r="AI30" s="46" t="str">
        <f t="shared" si="31"/>
        <v>F</v>
      </c>
      <c r="AJ30" s="45">
        <v>8</v>
      </c>
      <c r="AK30" s="30">
        <v>5</v>
      </c>
      <c r="AL30" s="30">
        <f t="shared" si="32"/>
        <v>13</v>
      </c>
      <c r="AM30" s="30">
        <v>15</v>
      </c>
      <c r="AN30" s="30">
        <f t="shared" si="33"/>
        <v>28</v>
      </c>
      <c r="AO30" s="82"/>
      <c r="AP30" s="46" t="str">
        <f t="shared" si="34"/>
        <v>F</v>
      </c>
      <c r="AQ30" s="30"/>
      <c r="AR30" s="30">
        <v>15</v>
      </c>
      <c r="AS30" s="30">
        <f t="shared" si="35"/>
        <v>15</v>
      </c>
      <c r="AT30" s="30">
        <v>25</v>
      </c>
      <c r="AU30" s="30">
        <f t="shared" si="36"/>
        <v>40</v>
      </c>
      <c r="AV30" s="82"/>
      <c r="AW30" s="46">
        <f t="shared" si="37"/>
        <v>5</v>
      </c>
      <c r="AX30" s="45">
        <v>8</v>
      </c>
      <c r="AY30" s="30">
        <v>6</v>
      </c>
      <c r="AZ30" s="30">
        <f t="shared" si="38"/>
        <v>14</v>
      </c>
      <c r="BA30" s="30">
        <v>20</v>
      </c>
      <c r="BB30" s="30">
        <f t="shared" si="39"/>
        <v>34</v>
      </c>
      <c r="BC30" s="82"/>
      <c r="BD30" s="46" t="str">
        <f t="shared" si="40"/>
        <v>F</v>
      </c>
      <c r="BE30" s="45">
        <v>8</v>
      </c>
      <c r="BF30" s="30">
        <v>7</v>
      </c>
      <c r="BG30" s="30">
        <f t="shared" si="41"/>
        <v>15</v>
      </c>
      <c r="BH30" s="30">
        <v>14</v>
      </c>
      <c r="BI30" s="30">
        <f t="shared" si="42"/>
        <v>29</v>
      </c>
      <c r="BJ30" s="82"/>
      <c r="BK30" s="46" t="str">
        <f t="shared" si="43"/>
        <v>F</v>
      </c>
      <c r="BL30" s="45">
        <v>11</v>
      </c>
      <c r="BM30" s="30">
        <v>19</v>
      </c>
      <c r="BN30" s="30">
        <f t="shared" si="44"/>
        <v>30</v>
      </c>
      <c r="BO30" s="30">
        <v>10</v>
      </c>
      <c r="BP30" s="30">
        <f t="shared" si="45"/>
        <v>40</v>
      </c>
      <c r="BQ30" s="82"/>
      <c r="BR30" s="46" t="str">
        <f t="shared" si="46"/>
        <v>F</v>
      </c>
      <c r="BS30" s="45">
        <v>5</v>
      </c>
      <c r="BT30" s="30">
        <v>7</v>
      </c>
      <c r="BU30" s="30">
        <f t="shared" si="47"/>
        <v>12</v>
      </c>
      <c r="BV30" s="30">
        <v>10</v>
      </c>
      <c r="BW30" s="30">
        <f t="shared" si="48"/>
        <v>22</v>
      </c>
      <c r="BX30" s="82"/>
      <c r="BY30" s="46" t="str">
        <f t="shared" si="49"/>
        <v>F</v>
      </c>
      <c r="BZ30" s="45">
        <v>2</v>
      </c>
      <c r="CA30" s="30">
        <v>10</v>
      </c>
      <c r="CB30" s="30">
        <f t="shared" si="50"/>
        <v>12</v>
      </c>
      <c r="CC30" s="30">
        <v>19</v>
      </c>
      <c r="CD30" s="30">
        <v>22</v>
      </c>
      <c r="CE30" s="30">
        <f t="shared" si="51"/>
        <v>53</v>
      </c>
      <c r="CF30" s="82"/>
      <c r="CG30" s="46" t="str">
        <f t="shared" si="52"/>
        <v>0</v>
      </c>
      <c r="CH30" s="30" t="str">
        <f t="shared" si="18"/>
        <v>F</v>
      </c>
      <c r="CI30" s="47" t="str">
        <f t="shared" si="19"/>
        <v>F</v>
      </c>
      <c r="CJ30" s="30" t="str">
        <f t="shared" si="20"/>
        <v>NEED TO PROGRESS</v>
      </c>
      <c r="CK30" s="30">
        <f t="shared" si="53"/>
        <v>380</v>
      </c>
      <c r="CL30" s="30"/>
      <c r="CM30" s="30">
        <v>36</v>
      </c>
    </row>
    <row r="31" spans="1:91" s="31" customFormat="1" ht="27.95" customHeight="1">
      <c r="A31" s="48">
        <v>23</v>
      </c>
      <c r="B31" s="49">
        <v>92</v>
      </c>
      <c r="C31" s="50" t="s">
        <v>146</v>
      </c>
      <c r="D31" s="50" t="s">
        <v>147</v>
      </c>
      <c r="E31" s="50" t="s">
        <v>148</v>
      </c>
      <c r="F31" s="51" t="s">
        <v>213</v>
      </c>
      <c r="G31" s="45">
        <v>9</v>
      </c>
      <c r="H31" s="30">
        <v>27</v>
      </c>
      <c r="I31" s="30">
        <f t="shared" si="21"/>
        <v>36</v>
      </c>
      <c r="J31" s="30">
        <v>10</v>
      </c>
      <c r="K31" s="30">
        <f t="shared" si="0"/>
        <v>46</v>
      </c>
      <c r="L31" s="45">
        <v>9</v>
      </c>
      <c r="M31" s="30">
        <v>21</v>
      </c>
      <c r="N31" s="30">
        <f t="shared" si="22"/>
        <v>30</v>
      </c>
      <c r="O31" s="30">
        <v>10</v>
      </c>
      <c r="P31" s="30">
        <f t="shared" si="23"/>
        <v>40</v>
      </c>
      <c r="Q31" s="30">
        <f t="shared" si="1"/>
        <v>86</v>
      </c>
      <c r="R31" s="82"/>
      <c r="S31" s="152" t="str">
        <f t="shared" si="24"/>
        <v>F</v>
      </c>
      <c r="T31" s="148">
        <v>9</v>
      </c>
      <c r="U31" s="149">
        <v>4</v>
      </c>
      <c r="V31" s="149">
        <f t="shared" si="25"/>
        <v>13</v>
      </c>
      <c r="W31" s="149">
        <v>9</v>
      </c>
      <c r="X31" s="149">
        <v>27</v>
      </c>
      <c r="Y31" s="149">
        <f t="shared" si="26"/>
        <v>36</v>
      </c>
      <c r="Z31" s="149">
        <f t="shared" si="27"/>
        <v>49</v>
      </c>
      <c r="AA31" s="82"/>
      <c r="AB31" s="46" t="str">
        <f t="shared" si="28"/>
        <v>F</v>
      </c>
      <c r="AC31" s="45">
        <v>8</v>
      </c>
      <c r="AD31" s="30">
        <v>0</v>
      </c>
      <c r="AE31" s="30">
        <f t="shared" si="29"/>
        <v>8</v>
      </c>
      <c r="AF31" s="30">
        <v>11</v>
      </c>
      <c r="AG31" s="30">
        <f t="shared" si="30"/>
        <v>19</v>
      </c>
      <c r="AH31" s="82"/>
      <c r="AI31" s="46" t="str">
        <f t="shared" si="31"/>
        <v>F</v>
      </c>
      <c r="AJ31" s="45">
        <v>12</v>
      </c>
      <c r="AK31" s="30">
        <v>19</v>
      </c>
      <c r="AL31" s="30">
        <f t="shared" si="32"/>
        <v>31</v>
      </c>
      <c r="AM31" s="30">
        <v>9</v>
      </c>
      <c r="AN31" s="30">
        <f t="shared" si="33"/>
        <v>40</v>
      </c>
      <c r="AO31" s="82"/>
      <c r="AP31" s="46" t="str">
        <f t="shared" si="34"/>
        <v>F</v>
      </c>
      <c r="AQ31" s="30"/>
      <c r="AR31" s="30">
        <v>10</v>
      </c>
      <c r="AS31" s="30">
        <f t="shared" si="35"/>
        <v>10</v>
      </c>
      <c r="AT31" s="30">
        <v>25</v>
      </c>
      <c r="AU31" s="30">
        <f t="shared" si="36"/>
        <v>35</v>
      </c>
      <c r="AV31" s="82"/>
      <c r="AW31" s="46">
        <f t="shared" si="37"/>
        <v>4</v>
      </c>
      <c r="AX31" s="45">
        <v>8</v>
      </c>
      <c r="AY31" s="30">
        <v>20</v>
      </c>
      <c r="AZ31" s="30">
        <f t="shared" si="38"/>
        <v>28</v>
      </c>
      <c r="BA31" s="30">
        <v>21</v>
      </c>
      <c r="BB31" s="30">
        <f t="shared" si="39"/>
        <v>49</v>
      </c>
      <c r="BC31" s="82"/>
      <c r="BD31" s="46">
        <f t="shared" si="40"/>
        <v>2</v>
      </c>
      <c r="BE31" s="45">
        <v>9</v>
      </c>
      <c r="BF31" s="30">
        <v>20</v>
      </c>
      <c r="BG31" s="30">
        <f t="shared" si="41"/>
        <v>29</v>
      </c>
      <c r="BH31" s="30">
        <v>12</v>
      </c>
      <c r="BI31" s="30">
        <f t="shared" si="42"/>
        <v>41</v>
      </c>
      <c r="BJ31" s="82"/>
      <c r="BK31" s="46">
        <f t="shared" si="43"/>
        <v>2</v>
      </c>
      <c r="BL31" s="45">
        <v>10</v>
      </c>
      <c r="BM31" s="30">
        <v>24</v>
      </c>
      <c r="BN31" s="30">
        <f t="shared" si="44"/>
        <v>34</v>
      </c>
      <c r="BO31" s="30">
        <v>12</v>
      </c>
      <c r="BP31" s="30">
        <f t="shared" si="45"/>
        <v>46</v>
      </c>
      <c r="BQ31" s="82"/>
      <c r="BR31" s="46">
        <f t="shared" si="46"/>
        <v>2</v>
      </c>
      <c r="BS31" s="45">
        <v>8</v>
      </c>
      <c r="BT31" s="30">
        <v>14</v>
      </c>
      <c r="BU31" s="30">
        <f t="shared" si="47"/>
        <v>22</v>
      </c>
      <c r="BV31" s="30">
        <v>14</v>
      </c>
      <c r="BW31" s="30">
        <f t="shared" si="48"/>
        <v>36</v>
      </c>
      <c r="BX31" s="82"/>
      <c r="BY31" s="46" t="str">
        <f t="shared" si="49"/>
        <v>F</v>
      </c>
      <c r="BZ31" s="45">
        <v>4</v>
      </c>
      <c r="CA31" s="30">
        <v>16</v>
      </c>
      <c r="CB31" s="30">
        <f t="shared" si="50"/>
        <v>20</v>
      </c>
      <c r="CC31" s="30">
        <v>12</v>
      </c>
      <c r="CD31" s="30">
        <v>22</v>
      </c>
      <c r="CE31" s="30">
        <f t="shared" si="51"/>
        <v>54</v>
      </c>
      <c r="CF31" s="82"/>
      <c r="CG31" s="46">
        <f t="shared" si="52"/>
        <v>3</v>
      </c>
      <c r="CH31" s="30" t="str">
        <f t="shared" si="18"/>
        <v>F</v>
      </c>
      <c r="CI31" s="47" t="str">
        <f t="shared" si="19"/>
        <v>F</v>
      </c>
      <c r="CJ31" s="30" t="str">
        <f t="shared" ref="CJ31:CJ32" si="55">IF(CI31="F","NEED TO PROGRESS",IF(CI31&gt;=5,"BEST",IF(CI31&gt;=4,"BETTER",IF(CI31&gt;=2,"GOOD"))))</f>
        <v>NEED TO PROGRESS</v>
      </c>
      <c r="CK31" s="30">
        <f t="shared" si="53"/>
        <v>496</v>
      </c>
      <c r="CL31" s="30"/>
      <c r="CM31" s="30">
        <v>45</v>
      </c>
    </row>
    <row r="32" spans="1:91" s="31" customFormat="1" ht="27.95" customHeight="1">
      <c r="A32" s="48">
        <v>24</v>
      </c>
      <c r="B32" s="49">
        <v>100</v>
      </c>
      <c r="C32" s="52" t="s">
        <v>149</v>
      </c>
      <c r="D32" s="52" t="s">
        <v>150</v>
      </c>
      <c r="E32" s="52" t="s">
        <v>151</v>
      </c>
      <c r="F32" s="53" t="s">
        <v>214</v>
      </c>
      <c r="G32" s="45">
        <v>10</v>
      </c>
      <c r="H32" s="30">
        <v>30</v>
      </c>
      <c r="I32" s="30">
        <f t="shared" si="21"/>
        <v>40</v>
      </c>
      <c r="J32" s="30">
        <v>11</v>
      </c>
      <c r="K32" s="30">
        <f t="shared" si="0"/>
        <v>51</v>
      </c>
      <c r="L32" s="45">
        <v>12</v>
      </c>
      <c r="M32" s="30">
        <v>24</v>
      </c>
      <c r="N32" s="30">
        <f t="shared" si="22"/>
        <v>36</v>
      </c>
      <c r="O32" s="30">
        <v>16</v>
      </c>
      <c r="P32" s="30">
        <f t="shared" si="23"/>
        <v>52</v>
      </c>
      <c r="Q32" s="30">
        <f t="shared" si="1"/>
        <v>103</v>
      </c>
      <c r="R32" s="82"/>
      <c r="S32" s="152">
        <f t="shared" si="24"/>
        <v>3</v>
      </c>
      <c r="T32" s="148">
        <v>9</v>
      </c>
      <c r="U32" s="149">
        <v>19</v>
      </c>
      <c r="V32" s="149">
        <f t="shared" si="25"/>
        <v>28</v>
      </c>
      <c r="W32" s="149">
        <v>11</v>
      </c>
      <c r="X32" s="149">
        <v>34</v>
      </c>
      <c r="Y32" s="149">
        <f t="shared" si="26"/>
        <v>45</v>
      </c>
      <c r="Z32" s="149">
        <f t="shared" si="27"/>
        <v>73</v>
      </c>
      <c r="AA32" s="82"/>
      <c r="AB32" s="46">
        <f t="shared" si="28"/>
        <v>2</v>
      </c>
      <c r="AC32" s="45">
        <v>8</v>
      </c>
      <c r="AD32" s="30">
        <v>0</v>
      </c>
      <c r="AE32" s="30">
        <f t="shared" si="29"/>
        <v>8</v>
      </c>
      <c r="AF32" s="30">
        <v>8</v>
      </c>
      <c r="AG32" s="30">
        <f t="shared" si="30"/>
        <v>16</v>
      </c>
      <c r="AH32" s="82"/>
      <c r="AI32" s="46" t="str">
        <f t="shared" si="31"/>
        <v>F</v>
      </c>
      <c r="AJ32" s="45">
        <v>9</v>
      </c>
      <c r="AK32" s="30">
        <v>26</v>
      </c>
      <c r="AL32" s="30">
        <f t="shared" si="32"/>
        <v>35</v>
      </c>
      <c r="AM32" s="30">
        <v>17</v>
      </c>
      <c r="AN32" s="30">
        <f t="shared" si="33"/>
        <v>52</v>
      </c>
      <c r="AO32" s="82"/>
      <c r="AP32" s="46">
        <f t="shared" si="34"/>
        <v>3</v>
      </c>
      <c r="AQ32" s="30"/>
      <c r="AR32" s="30">
        <v>18</v>
      </c>
      <c r="AS32" s="30">
        <f t="shared" si="35"/>
        <v>18</v>
      </c>
      <c r="AT32" s="30">
        <v>25</v>
      </c>
      <c r="AU32" s="30">
        <f t="shared" si="36"/>
        <v>43</v>
      </c>
      <c r="AV32" s="82"/>
      <c r="AW32" s="46">
        <f t="shared" si="37"/>
        <v>5</v>
      </c>
      <c r="AX32" s="45">
        <v>11</v>
      </c>
      <c r="AY32" s="30">
        <v>25</v>
      </c>
      <c r="AZ32" s="30">
        <f t="shared" si="38"/>
        <v>36</v>
      </c>
      <c r="BA32" s="30">
        <v>18</v>
      </c>
      <c r="BB32" s="30">
        <f t="shared" si="39"/>
        <v>54</v>
      </c>
      <c r="BC32" s="82"/>
      <c r="BD32" s="46">
        <f t="shared" si="40"/>
        <v>3</v>
      </c>
      <c r="BE32" s="45">
        <v>11</v>
      </c>
      <c r="BF32" s="30">
        <v>26</v>
      </c>
      <c r="BG32" s="30">
        <f t="shared" si="41"/>
        <v>37</v>
      </c>
      <c r="BH32" s="30">
        <v>15</v>
      </c>
      <c r="BI32" s="30">
        <f t="shared" si="42"/>
        <v>52</v>
      </c>
      <c r="BJ32" s="82"/>
      <c r="BK32" s="46">
        <f t="shared" si="43"/>
        <v>3</v>
      </c>
      <c r="BL32" s="45">
        <v>9</v>
      </c>
      <c r="BM32" s="30">
        <v>24</v>
      </c>
      <c r="BN32" s="30">
        <f t="shared" si="44"/>
        <v>33</v>
      </c>
      <c r="BO32" s="30">
        <v>15</v>
      </c>
      <c r="BP32" s="30">
        <f t="shared" si="45"/>
        <v>48</v>
      </c>
      <c r="BQ32" s="82"/>
      <c r="BR32" s="46">
        <f t="shared" si="46"/>
        <v>2</v>
      </c>
      <c r="BS32" s="45">
        <v>8</v>
      </c>
      <c r="BT32" s="30">
        <v>14</v>
      </c>
      <c r="BU32" s="30">
        <f t="shared" si="47"/>
        <v>22</v>
      </c>
      <c r="BV32" s="30">
        <v>12</v>
      </c>
      <c r="BW32" s="30">
        <f t="shared" si="48"/>
        <v>34</v>
      </c>
      <c r="BX32" s="82"/>
      <c r="BY32" s="46" t="str">
        <f t="shared" si="49"/>
        <v>F</v>
      </c>
      <c r="BZ32" s="45">
        <v>5</v>
      </c>
      <c r="CA32" s="30">
        <v>15</v>
      </c>
      <c r="CB32" s="30">
        <f t="shared" si="50"/>
        <v>20</v>
      </c>
      <c r="CC32" s="30">
        <v>14</v>
      </c>
      <c r="CD32" s="30">
        <v>22</v>
      </c>
      <c r="CE32" s="30">
        <f t="shared" si="51"/>
        <v>56</v>
      </c>
      <c r="CF32" s="82"/>
      <c r="CG32" s="46">
        <f t="shared" si="52"/>
        <v>3</v>
      </c>
      <c r="CH32" s="30" t="str">
        <f t="shared" si="18"/>
        <v>F</v>
      </c>
      <c r="CI32" s="47" t="str">
        <f t="shared" si="19"/>
        <v>F</v>
      </c>
      <c r="CJ32" s="30" t="str">
        <f t="shared" si="55"/>
        <v>NEED TO PROGRESS</v>
      </c>
      <c r="CK32" s="30">
        <f t="shared" si="53"/>
        <v>583</v>
      </c>
      <c r="CL32" s="30"/>
      <c r="CM32" s="30">
        <v>42</v>
      </c>
    </row>
    <row r="33" spans="1:91" s="141" customFormat="1" ht="27.95" customHeight="1">
      <c r="A33" s="133">
        <v>25</v>
      </c>
      <c r="B33" s="134">
        <v>102</v>
      </c>
      <c r="C33" s="135" t="s">
        <v>152</v>
      </c>
      <c r="D33" s="135" t="s">
        <v>153</v>
      </c>
      <c r="E33" s="135" t="s">
        <v>154</v>
      </c>
      <c r="F33" s="136" t="s">
        <v>215</v>
      </c>
      <c r="G33" s="137">
        <v>10</v>
      </c>
      <c r="H33" s="138">
        <v>9</v>
      </c>
      <c r="I33" s="138">
        <f t="shared" si="21"/>
        <v>19</v>
      </c>
      <c r="J33" s="138">
        <v>11</v>
      </c>
      <c r="K33" s="138">
        <f t="shared" si="0"/>
        <v>30</v>
      </c>
      <c r="L33" s="137">
        <v>11</v>
      </c>
      <c r="M33" s="138">
        <v>12</v>
      </c>
      <c r="N33" s="138">
        <f t="shared" si="22"/>
        <v>23</v>
      </c>
      <c r="O33" s="138">
        <v>9</v>
      </c>
      <c r="P33" s="138">
        <f t="shared" si="23"/>
        <v>32</v>
      </c>
      <c r="Q33" s="138">
        <f t="shared" si="1"/>
        <v>62</v>
      </c>
      <c r="R33" s="82"/>
      <c r="S33" s="152" t="str">
        <f t="shared" si="24"/>
        <v>F</v>
      </c>
      <c r="T33" s="148">
        <v>9</v>
      </c>
      <c r="U33" s="149">
        <v>16</v>
      </c>
      <c r="V33" s="149">
        <f t="shared" si="25"/>
        <v>25</v>
      </c>
      <c r="W33" s="149">
        <v>12</v>
      </c>
      <c r="X33" s="149">
        <v>29</v>
      </c>
      <c r="Y33" s="149">
        <f t="shared" si="26"/>
        <v>41</v>
      </c>
      <c r="Z33" s="149">
        <f t="shared" si="27"/>
        <v>66</v>
      </c>
      <c r="AA33" s="82"/>
      <c r="AB33" s="139">
        <f t="shared" si="28"/>
        <v>2</v>
      </c>
      <c r="AC33" s="137">
        <v>5</v>
      </c>
      <c r="AD33" s="138">
        <v>0</v>
      </c>
      <c r="AE33" s="138">
        <f t="shared" si="29"/>
        <v>5</v>
      </c>
      <c r="AF33" s="138">
        <v>13</v>
      </c>
      <c r="AG33" s="138">
        <f t="shared" si="30"/>
        <v>18</v>
      </c>
      <c r="AH33" s="82"/>
      <c r="AI33" s="139" t="str">
        <f t="shared" si="31"/>
        <v>F</v>
      </c>
      <c r="AJ33" s="137">
        <v>10</v>
      </c>
      <c r="AK33" s="138">
        <v>18</v>
      </c>
      <c r="AL33" s="138">
        <f t="shared" si="32"/>
        <v>28</v>
      </c>
      <c r="AM33" s="138">
        <v>12</v>
      </c>
      <c r="AN33" s="138">
        <f t="shared" si="33"/>
        <v>40</v>
      </c>
      <c r="AO33" s="82"/>
      <c r="AP33" s="139">
        <f t="shared" si="34"/>
        <v>2</v>
      </c>
      <c r="AQ33" s="138"/>
      <c r="AR33" s="138">
        <v>12</v>
      </c>
      <c r="AS33" s="138">
        <f t="shared" si="35"/>
        <v>12</v>
      </c>
      <c r="AT33" s="138">
        <v>25</v>
      </c>
      <c r="AU33" s="138">
        <f t="shared" si="36"/>
        <v>37</v>
      </c>
      <c r="AV33" s="82"/>
      <c r="AW33" s="139">
        <f t="shared" si="37"/>
        <v>4</v>
      </c>
      <c r="AX33" s="137">
        <v>11</v>
      </c>
      <c r="AY33" s="138">
        <v>20</v>
      </c>
      <c r="AZ33" s="138">
        <f t="shared" si="38"/>
        <v>31</v>
      </c>
      <c r="BA33" s="138">
        <v>18</v>
      </c>
      <c r="BB33" s="138">
        <f t="shared" si="39"/>
        <v>49</v>
      </c>
      <c r="BC33" s="82"/>
      <c r="BD33" s="139">
        <f t="shared" si="40"/>
        <v>2</v>
      </c>
      <c r="BE33" s="137">
        <v>10</v>
      </c>
      <c r="BF33" s="138">
        <v>17</v>
      </c>
      <c r="BG33" s="138">
        <f t="shared" si="41"/>
        <v>27</v>
      </c>
      <c r="BH33" s="138">
        <v>14</v>
      </c>
      <c r="BI33" s="138">
        <f t="shared" si="42"/>
        <v>41</v>
      </c>
      <c r="BJ33" s="82"/>
      <c r="BK33" s="139">
        <f t="shared" si="43"/>
        <v>2</v>
      </c>
      <c r="BL33" s="137">
        <v>10</v>
      </c>
      <c r="BM33" s="138">
        <v>20</v>
      </c>
      <c r="BN33" s="138">
        <f t="shared" si="44"/>
        <v>30</v>
      </c>
      <c r="BO33" s="138">
        <v>14</v>
      </c>
      <c r="BP33" s="138">
        <f t="shared" si="45"/>
        <v>44</v>
      </c>
      <c r="BQ33" s="82"/>
      <c r="BR33" s="139">
        <f t="shared" si="46"/>
        <v>2</v>
      </c>
      <c r="BS33" s="137">
        <v>6</v>
      </c>
      <c r="BT33" s="138">
        <v>24</v>
      </c>
      <c r="BU33" s="138">
        <f t="shared" si="47"/>
        <v>30</v>
      </c>
      <c r="BV33" s="138">
        <v>11</v>
      </c>
      <c r="BW33" s="138">
        <f t="shared" si="48"/>
        <v>41</v>
      </c>
      <c r="BX33" s="82"/>
      <c r="BY33" s="139" t="str">
        <f t="shared" si="49"/>
        <v>F</v>
      </c>
      <c r="BZ33" s="137">
        <v>4</v>
      </c>
      <c r="CA33" s="138">
        <v>8</v>
      </c>
      <c r="CB33" s="138">
        <f t="shared" si="50"/>
        <v>12</v>
      </c>
      <c r="CC33" s="138">
        <v>11</v>
      </c>
      <c r="CD33" s="138">
        <v>22</v>
      </c>
      <c r="CE33" s="138">
        <f t="shared" si="51"/>
        <v>45</v>
      </c>
      <c r="CF33" s="82"/>
      <c r="CG33" s="139" t="str">
        <f t="shared" si="52"/>
        <v>0</v>
      </c>
      <c r="CH33" s="138" t="str">
        <f t="shared" si="18"/>
        <v>F</v>
      </c>
      <c r="CI33" s="140" t="str">
        <f t="shared" si="19"/>
        <v>F</v>
      </c>
      <c r="CJ33" s="138" t="str">
        <f t="shared" ref="CJ33:CJ39" si="56">IF(CI33="F","NEED TO PROGRESS",IF(CI33&gt;=5,"BEST",IF(CI33&gt;=4,"BETTER",IF(CI33&gt;=2,"GOOD"))))</f>
        <v>NEED TO PROGRESS</v>
      </c>
      <c r="CK33" s="138">
        <f t="shared" si="53"/>
        <v>484</v>
      </c>
      <c r="CL33" s="138"/>
      <c r="CM33" s="138">
        <v>41</v>
      </c>
    </row>
    <row r="34" spans="1:91" s="31" customFormat="1" ht="27.95" customHeight="1">
      <c r="A34" s="48">
        <v>26</v>
      </c>
      <c r="B34" s="49">
        <v>103</v>
      </c>
      <c r="C34" s="52" t="s">
        <v>155</v>
      </c>
      <c r="D34" s="52" t="s">
        <v>156</v>
      </c>
      <c r="E34" s="52" t="s">
        <v>157</v>
      </c>
      <c r="F34" s="54" t="s">
        <v>216</v>
      </c>
      <c r="G34" s="45">
        <v>4</v>
      </c>
      <c r="H34" s="30">
        <v>11</v>
      </c>
      <c r="I34" s="30">
        <f t="shared" si="21"/>
        <v>15</v>
      </c>
      <c r="J34" s="30">
        <v>15</v>
      </c>
      <c r="K34" s="30">
        <f t="shared" si="0"/>
        <v>30</v>
      </c>
      <c r="L34" s="45">
        <v>10</v>
      </c>
      <c r="M34" s="30">
        <v>16</v>
      </c>
      <c r="N34" s="30">
        <f t="shared" si="22"/>
        <v>26</v>
      </c>
      <c r="O34" s="30">
        <v>17</v>
      </c>
      <c r="P34" s="30">
        <f t="shared" si="23"/>
        <v>43</v>
      </c>
      <c r="Q34" s="30">
        <f t="shared" si="1"/>
        <v>73</v>
      </c>
      <c r="R34" s="82"/>
      <c r="S34" s="152" t="str">
        <f t="shared" si="24"/>
        <v>F</v>
      </c>
      <c r="T34" s="148">
        <v>4</v>
      </c>
      <c r="U34" s="149">
        <v>9</v>
      </c>
      <c r="V34" s="149">
        <f t="shared" si="25"/>
        <v>13</v>
      </c>
      <c r="W34" s="149">
        <v>13</v>
      </c>
      <c r="X34" s="149">
        <v>32</v>
      </c>
      <c r="Y34" s="149">
        <f t="shared" si="26"/>
        <v>45</v>
      </c>
      <c r="Z34" s="149">
        <f t="shared" si="27"/>
        <v>58</v>
      </c>
      <c r="AA34" s="82"/>
      <c r="AB34" s="46" t="str">
        <f t="shared" si="28"/>
        <v>F</v>
      </c>
      <c r="AC34" s="45">
        <v>2</v>
      </c>
      <c r="AD34" s="30">
        <v>0</v>
      </c>
      <c r="AE34" s="30">
        <f t="shared" si="29"/>
        <v>2</v>
      </c>
      <c r="AF34" s="30">
        <v>9</v>
      </c>
      <c r="AG34" s="30">
        <f t="shared" si="30"/>
        <v>11</v>
      </c>
      <c r="AH34" s="82"/>
      <c r="AI34" s="46" t="str">
        <f t="shared" si="31"/>
        <v>F</v>
      </c>
      <c r="AJ34" s="45">
        <v>4</v>
      </c>
      <c r="AK34" s="30">
        <v>10</v>
      </c>
      <c r="AL34" s="30">
        <f t="shared" si="32"/>
        <v>14</v>
      </c>
      <c r="AM34" s="30">
        <v>17</v>
      </c>
      <c r="AN34" s="30">
        <f t="shared" si="33"/>
        <v>31</v>
      </c>
      <c r="AO34" s="82"/>
      <c r="AP34" s="46" t="str">
        <f t="shared" si="34"/>
        <v>F</v>
      </c>
      <c r="AQ34" s="30"/>
      <c r="AR34" s="30">
        <v>10</v>
      </c>
      <c r="AS34" s="30">
        <f t="shared" si="35"/>
        <v>10</v>
      </c>
      <c r="AT34" s="30">
        <v>25</v>
      </c>
      <c r="AU34" s="30">
        <f t="shared" si="36"/>
        <v>35</v>
      </c>
      <c r="AV34" s="82"/>
      <c r="AW34" s="46">
        <f t="shared" si="37"/>
        <v>4</v>
      </c>
      <c r="AX34" s="45">
        <v>8</v>
      </c>
      <c r="AY34" s="30">
        <v>9</v>
      </c>
      <c r="AZ34" s="30">
        <f t="shared" si="38"/>
        <v>17</v>
      </c>
      <c r="BA34" s="30">
        <v>17</v>
      </c>
      <c r="BB34" s="30">
        <f t="shared" si="39"/>
        <v>34</v>
      </c>
      <c r="BC34" s="82"/>
      <c r="BD34" s="46" t="str">
        <f t="shared" si="40"/>
        <v>F</v>
      </c>
      <c r="BE34" s="45">
        <v>9</v>
      </c>
      <c r="BF34" s="30">
        <v>3</v>
      </c>
      <c r="BG34" s="30">
        <f t="shared" si="41"/>
        <v>12</v>
      </c>
      <c r="BH34" s="30">
        <v>12</v>
      </c>
      <c r="BI34" s="30">
        <f t="shared" si="42"/>
        <v>24</v>
      </c>
      <c r="BJ34" s="82"/>
      <c r="BK34" s="46" t="str">
        <f t="shared" si="43"/>
        <v>F</v>
      </c>
      <c r="BL34" s="45">
        <v>8</v>
      </c>
      <c r="BM34" s="30">
        <v>9</v>
      </c>
      <c r="BN34" s="30">
        <f t="shared" si="44"/>
        <v>17</v>
      </c>
      <c r="BO34" s="30">
        <v>16</v>
      </c>
      <c r="BP34" s="30">
        <f t="shared" si="45"/>
        <v>33</v>
      </c>
      <c r="BQ34" s="82"/>
      <c r="BR34" s="46" t="str">
        <f t="shared" si="46"/>
        <v>F</v>
      </c>
      <c r="BS34" s="45">
        <v>5</v>
      </c>
      <c r="BT34" s="30">
        <v>27</v>
      </c>
      <c r="BU34" s="30">
        <f t="shared" si="47"/>
        <v>32</v>
      </c>
      <c r="BV34" s="30">
        <v>12</v>
      </c>
      <c r="BW34" s="30">
        <f t="shared" si="48"/>
        <v>44</v>
      </c>
      <c r="BX34" s="82"/>
      <c r="BY34" s="46">
        <f t="shared" si="49"/>
        <v>2</v>
      </c>
      <c r="BZ34" s="45">
        <v>4</v>
      </c>
      <c r="CA34" s="30">
        <v>8</v>
      </c>
      <c r="CB34" s="30">
        <f t="shared" si="50"/>
        <v>12</v>
      </c>
      <c r="CC34" s="30">
        <v>12</v>
      </c>
      <c r="CD34" s="30">
        <v>22</v>
      </c>
      <c r="CE34" s="30">
        <f t="shared" si="51"/>
        <v>46</v>
      </c>
      <c r="CF34" s="82"/>
      <c r="CG34" s="46" t="str">
        <f t="shared" si="52"/>
        <v>0</v>
      </c>
      <c r="CH34" s="30" t="str">
        <f t="shared" si="18"/>
        <v>F</v>
      </c>
      <c r="CI34" s="47" t="str">
        <f t="shared" si="19"/>
        <v>F</v>
      </c>
      <c r="CJ34" s="30" t="str">
        <f t="shared" si="56"/>
        <v>NEED TO PROGRESS</v>
      </c>
      <c r="CK34" s="30">
        <f t="shared" si="53"/>
        <v>413</v>
      </c>
      <c r="CL34" s="30"/>
      <c r="CM34" s="30">
        <v>43</v>
      </c>
    </row>
    <row r="35" spans="1:91" s="31" customFormat="1" ht="27.95" customHeight="1">
      <c r="A35" s="48">
        <v>27</v>
      </c>
      <c r="B35" s="49">
        <v>111</v>
      </c>
      <c r="C35" s="52" t="s">
        <v>158</v>
      </c>
      <c r="D35" s="52" t="s">
        <v>159</v>
      </c>
      <c r="E35" s="52" t="s">
        <v>160</v>
      </c>
      <c r="F35" s="53" t="s">
        <v>217</v>
      </c>
      <c r="G35" s="45">
        <v>10</v>
      </c>
      <c r="H35" s="30">
        <v>17</v>
      </c>
      <c r="I35" s="30">
        <f t="shared" si="21"/>
        <v>27</v>
      </c>
      <c r="J35" s="30">
        <v>17</v>
      </c>
      <c r="K35" s="30">
        <f t="shared" si="0"/>
        <v>44</v>
      </c>
      <c r="L35" s="45">
        <v>11</v>
      </c>
      <c r="M35" s="30">
        <v>24</v>
      </c>
      <c r="N35" s="30">
        <f t="shared" si="22"/>
        <v>35</v>
      </c>
      <c r="O35" s="30">
        <v>22</v>
      </c>
      <c r="P35" s="30">
        <f t="shared" si="23"/>
        <v>57</v>
      </c>
      <c r="Q35" s="30">
        <f t="shared" si="1"/>
        <v>101</v>
      </c>
      <c r="R35" s="82"/>
      <c r="S35" s="152">
        <f t="shared" si="24"/>
        <v>3</v>
      </c>
      <c r="T35" s="148">
        <v>6</v>
      </c>
      <c r="U35" s="149">
        <v>19</v>
      </c>
      <c r="V35" s="149">
        <f t="shared" si="25"/>
        <v>25</v>
      </c>
      <c r="W35" s="149">
        <v>13</v>
      </c>
      <c r="X35" s="149">
        <v>12</v>
      </c>
      <c r="Y35" s="149">
        <f t="shared" si="26"/>
        <v>25</v>
      </c>
      <c r="Z35" s="149">
        <f t="shared" si="27"/>
        <v>50</v>
      </c>
      <c r="AA35" s="82"/>
      <c r="AB35" s="46" t="str">
        <f t="shared" si="28"/>
        <v>F</v>
      </c>
      <c r="AC35" s="45">
        <v>8</v>
      </c>
      <c r="AD35" s="30">
        <v>1</v>
      </c>
      <c r="AE35" s="30">
        <f t="shared" si="29"/>
        <v>9</v>
      </c>
      <c r="AF35" s="30">
        <v>11</v>
      </c>
      <c r="AG35" s="30">
        <f t="shared" si="30"/>
        <v>20</v>
      </c>
      <c r="AH35" s="82"/>
      <c r="AI35" s="46" t="str">
        <f t="shared" si="31"/>
        <v>F</v>
      </c>
      <c r="AJ35" s="45">
        <v>12</v>
      </c>
      <c r="AK35" s="30">
        <v>18</v>
      </c>
      <c r="AL35" s="30">
        <f t="shared" si="32"/>
        <v>30</v>
      </c>
      <c r="AM35" s="30">
        <v>19</v>
      </c>
      <c r="AN35" s="30">
        <f t="shared" si="33"/>
        <v>49</v>
      </c>
      <c r="AO35" s="82"/>
      <c r="AP35" s="46">
        <f t="shared" si="34"/>
        <v>2</v>
      </c>
      <c r="AQ35" s="30"/>
      <c r="AR35" s="30">
        <v>21</v>
      </c>
      <c r="AS35" s="30">
        <f t="shared" si="35"/>
        <v>21</v>
      </c>
      <c r="AT35" s="30">
        <v>25</v>
      </c>
      <c r="AU35" s="30">
        <f t="shared" si="36"/>
        <v>46</v>
      </c>
      <c r="AV35" s="82"/>
      <c r="AW35" s="46">
        <f t="shared" si="37"/>
        <v>5</v>
      </c>
      <c r="AX35" s="45">
        <v>8</v>
      </c>
      <c r="AY35" s="30">
        <v>23</v>
      </c>
      <c r="AZ35" s="30">
        <f t="shared" si="38"/>
        <v>31</v>
      </c>
      <c r="BA35" s="30">
        <v>20</v>
      </c>
      <c r="BB35" s="30">
        <f t="shared" si="39"/>
        <v>51</v>
      </c>
      <c r="BC35" s="82"/>
      <c r="BD35" s="46">
        <f t="shared" si="40"/>
        <v>3</v>
      </c>
      <c r="BE35" s="45">
        <v>11</v>
      </c>
      <c r="BF35" s="30">
        <v>25</v>
      </c>
      <c r="BG35" s="30">
        <f t="shared" si="41"/>
        <v>36</v>
      </c>
      <c r="BH35" s="30">
        <v>16</v>
      </c>
      <c r="BI35" s="30">
        <f t="shared" si="42"/>
        <v>52</v>
      </c>
      <c r="BJ35" s="82"/>
      <c r="BK35" s="46">
        <f t="shared" si="43"/>
        <v>3</v>
      </c>
      <c r="BL35" s="45">
        <v>11</v>
      </c>
      <c r="BM35" s="30">
        <v>20</v>
      </c>
      <c r="BN35" s="30">
        <f t="shared" si="44"/>
        <v>31</v>
      </c>
      <c r="BO35" s="30">
        <v>16</v>
      </c>
      <c r="BP35" s="30">
        <f t="shared" si="45"/>
        <v>47</v>
      </c>
      <c r="BQ35" s="82"/>
      <c r="BR35" s="46">
        <f t="shared" si="46"/>
        <v>2</v>
      </c>
      <c r="BS35" s="45">
        <v>12</v>
      </c>
      <c r="BT35" s="30">
        <v>13</v>
      </c>
      <c r="BU35" s="30">
        <f t="shared" si="47"/>
        <v>25</v>
      </c>
      <c r="BV35" s="30">
        <v>13</v>
      </c>
      <c r="BW35" s="30">
        <f t="shared" si="48"/>
        <v>38</v>
      </c>
      <c r="BX35" s="82"/>
      <c r="BY35" s="46" t="str">
        <f t="shared" si="49"/>
        <v>F</v>
      </c>
      <c r="BZ35" s="45">
        <v>6</v>
      </c>
      <c r="CA35" s="30">
        <v>14</v>
      </c>
      <c r="CB35" s="30">
        <f t="shared" si="50"/>
        <v>20</v>
      </c>
      <c r="CC35" s="30">
        <v>19</v>
      </c>
      <c r="CD35" s="30">
        <v>22</v>
      </c>
      <c r="CE35" s="30">
        <f t="shared" si="51"/>
        <v>61</v>
      </c>
      <c r="CF35" s="82"/>
      <c r="CG35" s="46">
        <f t="shared" si="52"/>
        <v>3.5</v>
      </c>
      <c r="CH35" s="30" t="str">
        <f t="shared" si="18"/>
        <v>F</v>
      </c>
      <c r="CI35" s="47" t="str">
        <f t="shared" si="19"/>
        <v>F</v>
      </c>
      <c r="CJ35" s="30" t="str">
        <f t="shared" si="56"/>
        <v>NEED TO PROGRESS</v>
      </c>
      <c r="CK35" s="30">
        <f t="shared" si="53"/>
        <v>567</v>
      </c>
      <c r="CL35" s="30"/>
      <c r="CM35" s="30">
        <v>47</v>
      </c>
    </row>
    <row r="36" spans="1:91" s="31" customFormat="1" ht="27.95" customHeight="1">
      <c r="A36" s="48">
        <v>28</v>
      </c>
      <c r="B36" s="49">
        <v>120</v>
      </c>
      <c r="C36" s="52" t="s">
        <v>161</v>
      </c>
      <c r="D36" s="52" t="s">
        <v>162</v>
      </c>
      <c r="E36" s="52" t="s">
        <v>163</v>
      </c>
      <c r="F36" s="53" t="s">
        <v>218</v>
      </c>
      <c r="G36" s="45">
        <v>11</v>
      </c>
      <c r="H36" s="30">
        <v>21</v>
      </c>
      <c r="I36" s="30">
        <f t="shared" si="21"/>
        <v>32</v>
      </c>
      <c r="J36" s="30">
        <v>13</v>
      </c>
      <c r="K36" s="30">
        <f t="shared" si="0"/>
        <v>45</v>
      </c>
      <c r="L36" s="45">
        <v>12</v>
      </c>
      <c r="M36" s="30">
        <v>20</v>
      </c>
      <c r="N36" s="30">
        <f t="shared" si="22"/>
        <v>32</v>
      </c>
      <c r="O36" s="30">
        <v>19</v>
      </c>
      <c r="P36" s="30">
        <f t="shared" si="23"/>
        <v>51</v>
      </c>
      <c r="Q36" s="30">
        <f t="shared" si="1"/>
        <v>96</v>
      </c>
      <c r="R36" s="82"/>
      <c r="S36" s="152">
        <f t="shared" si="24"/>
        <v>2</v>
      </c>
      <c r="T36" s="148">
        <v>12</v>
      </c>
      <c r="U36" s="149">
        <v>39</v>
      </c>
      <c r="V36" s="149">
        <f t="shared" si="25"/>
        <v>51</v>
      </c>
      <c r="W36" s="149">
        <v>13</v>
      </c>
      <c r="X36" s="149">
        <v>32</v>
      </c>
      <c r="Y36" s="149">
        <f t="shared" si="26"/>
        <v>45</v>
      </c>
      <c r="Z36" s="149">
        <f t="shared" si="27"/>
        <v>96</v>
      </c>
      <c r="AA36" s="82"/>
      <c r="AB36" s="46">
        <f t="shared" si="28"/>
        <v>2</v>
      </c>
      <c r="AC36" s="45">
        <v>11</v>
      </c>
      <c r="AD36" s="30">
        <v>9</v>
      </c>
      <c r="AE36" s="30">
        <f t="shared" si="29"/>
        <v>20</v>
      </c>
      <c r="AF36" s="30">
        <v>18</v>
      </c>
      <c r="AG36" s="30">
        <f t="shared" si="30"/>
        <v>38</v>
      </c>
      <c r="AH36" s="82"/>
      <c r="AI36" s="46" t="str">
        <f t="shared" si="31"/>
        <v>F</v>
      </c>
      <c r="AJ36" s="45">
        <v>12</v>
      </c>
      <c r="AK36" s="30">
        <v>17</v>
      </c>
      <c r="AL36" s="30">
        <f t="shared" si="32"/>
        <v>29</v>
      </c>
      <c r="AM36" s="30">
        <v>19</v>
      </c>
      <c r="AN36" s="30">
        <f t="shared" si="33"/>
        <v>48</v>
      </c>
      <c r="AO36" s="82"/>
      <c r="AP36" s="46">
        <f t="shared" si="34"/>
        <v>2</v>
      </c>
      <c r="AQ36" s="30"/>
      <c r="AR36" s="30">
        <v>19</v>
      </c>
      <c r="AS36" s="30">
        <f t="shared" si="35"/>
        <v>19</v>
      </c>
      <c r="AT36" s="30">
        <v>25</v>
      </c>
      <c r="AU36" s="30">
        <f t="shared" si="36"/>
        <v>44</v>
      </c>
      <c r="AV36" s="82"/>
      <c r="AW36" s="46">
        <f t="shared" si="37"/>
        <v>5</v>
      </c>
      <c r="AX36" s="45">
        <v>10</v>
      </c>
      <c r="AY36" s="30">
        <v>20</v>
      </c>
      <c r="AZ36" s="30">
        <f t="shared" si="38"/>
        <v>30</v>
      </c>
      <c r="BA36" s="30">
        <v>19</v>
      </c>
      <c r="BB36" s="30">
        <f t="shared" si="39"/>
        <v>49</v>
      </c>
      <c r="BC36" s="82"/>
      <c r="BD36" s="46">
        <f t="shared" si="40"/>
        <v>2</v>
      </c>
      <c r="BE36" s="45">
        <v>11</v>
      </c>
      <c r="BF36" s="30">
        <v>15</v>
      </c>
      <c r="BG36" s="30">
        <f t="shared" si="41"/>
        <v>26</v>
      </c>
      <c r="BH36" s="30">
        <v>20</v>
      </c>
      <c r="BI36" s="30">
        <f t="shared" si="42"/>
        <v>46</v>
      </c>
      <c r="BJ36" s="82"/>
      <c r="BK36" s="46">
        <f t="shared" si="43"/>
        <v>2</v>
      </c>
      <c r="BL36" s="45">
        <v>14</v>
      </c>
      <c r="BM36" s="30">
        <v>20</v>
      </c>
      <c r="BN36" s="30">
        <f t="shared" si="44"/>
        <v>34</v>
      </c>
      <c r="BO36" s="30">
        <v>15</v>
      </c>
      <c r="BP36" s="30">
        <f t="shared" si="45"/>
        <v>49</v>
      </c>
      <c r="BQ36" s="82"/>
      <c r="BR36" s="46">
        <f t="shared" si="46"/>
        <v>2</v>
      </c>
      <c r="BS36" s="45">
        <v>17</v>
      </c>
      <c r="BT36" s="30">
        <v>36</v>
      </c>
      <c r="BU36" s="30">
        <f t="shared" si="47"/>
        <v>53</v>
      </c>
      <c r="BV36" s="30">
        <v>15</v>
      </c>
      <c r="BW36" s="30">
        <f t="shared" si="48"/>
        <v>68</v>
      </c>
      <c r="BX36" s="82"/>
      <c r="BY36" s="46">
        <f t="shared" si="49"/>
        <v>3.5</v>
      </c>
      <c r="BZ36" s="45">
        <v>6</v>
      </c>
      <c r="CA36" s="30">
        <v>16</v>
      </c>
      <c r="CB36" s="30">
        <f t="shared" si="50"/>
        <v>22</v>
      </c>
      <c r="CC36" s="30">
        <v>18</v>
      </c>
      <c r="CD36" s="30">
        <v>22</v>
      </c>
      <c r="CE36" s="30">
        <f t="shared" si="51"/>
        <v>62</v>
      </c>
      <c r="CF36" s="82"/>
      <c r="CG36" s="46">
        <f t="shared" si="52"/>
        <v>3.5</v>
      </c>
      <c r="CH36" s="30" t="str">
        <f t="shared" si="18"/>
        <v>F</v>
      </c>
      <c r="CI36" s="47" t="str">
        <f t="shared" si="19"/>
        <v>F</v>
      </c>
      <c r="CJ36" s="30" t="str">
        <f t="shared" si="56"/>
        <v>NEED TO PROGRESS</v>
      </c>
      <c r="CK36" s="30">
        <f t="shared" si="53"/>
        <v>642</v>
      </c>
      <c r="CL36" s="30"/>
      <c r="CM36" s="30">
        <v>41</v>
      </c>
    </row>
    <row r="37" spans="1:91" s="31" customFormat="1" ht="27.95" customHeight="1">
      <c r="A37" s="48">
        <v>29</v>
      </c>
      <c r="B37" s="49">
        <v>121</v>
      </c>
      <c r="C37" s="52" t="s">
        <v>164</v>
      </c>
      <c r="D37" s="52" t="s">
        <v>165</v>
      </c>
      <c r="E37" s="52" t="s">
        <v>166</v>
      </c>
      <c r="F37" s="53" t="s">
        <v>219</v>
      </c>
      <c r="G37" s="45">
        <v>10</v>
      </c>
      <c r="H37" s="30">
        <v>29</v>
      </c>
      <c r="I37" s="30">
        <f t="shared" si="21"/>
        <v>39</v>
      </c>
      <c r="J37" s="30">
        <v>12</v>
      </c>
      <c r="K37" s="30">
        <f t="shared" si="0"/>
        <v>51</v>
      </c>
      <c r="L37" s="45">
        <v>16</v>
      </c>
      <c r="M37" s="30">
        <v>29</v>
      </c>
      <c r="N37" s="30">
        <f t="shared" si="22"/>
        <v>45</v>
      </c>
      <c r="O37" s="30">
        <v>24</v>
      </c>
      <c r="P37" s="30">
        <f t="shared" si="23"/>
        <v>69</v>
      </c>
      <c r="Q37" s="30">
        <f t="shared" si="1"/>
        <v>120</v>
      </c>
      <c r="R37" s="82"/>
      <c r="S37" s="152">
        <f t="shared" si="24"/>
        <v>3.5</v>
      </c>
      <c r="T37" s="148">
        <v>9</v>
      </c>
      <c r="U37" s="149">
        <v>32</v>
      </c>
      <c r="V37" s="149">
        <f t="shared" si="25"/>
        <v>41</v>
      </c>
      <c r="W37" s="149">
        <v>13</v>
      </c>
      <c r="X37" s="149">
        <v>28</v>
      </c>
      <c r="Y37" s="149">
        <f t="shared" si="26"/>
        <v>41</v>
      </c>
      <c r="Z37" s="149">
        <f t="shared" si="27"/>
        <v>82</v>
      </c>
      <c r="AA37" s="82"/>
      <c r="AB37" s="46">
        <f t="shared" si="28"/>
        <v>2</v>
      </c>
      <c r="AC37" s="45">
        <v>10</v>
      </c>
      <c r="AD37" s="30">
        <v>0</v>
      </c>
      <c r="AE37" s="30">
        <f t="shared" si="29"/>
        <v>10</v>
      </c>
      <c r="AF37" s="30">
        <v>11</v>
      </c>
      <c r="AG37" s="30">
        <f t="shared" si="30"/>
        <v>21</v>
      </c>
      <c r="AH37" s="82"/>
      <c r="AI37" s="46" t="str">
        <f t="shared" si="31"/>
        <v>F</v>
      </c>
      <c r="AJ37" s="45">
        <v>15</v>
      </c>
      <c r="AK37" s="30">
        <v>27</v>
      </c>
      <c r="AL37" s="30">
        <f t="shared" si="32"/>
        <v>42</v>
      </c>
      <c r="AM37" s="30">
        <v>13</v>
      </c>
      <c r="AN37" s="30">
        <f t="shared" si="33"/>
        <v>55</v>
      </c>
      <c r="AO37" s="82"/>
      <c r="AP37" s="46">
        <f t="shared" si="34"/>
        <v>3</v>
      </c>
      <c r="AQ37" s="30"/>
      <c r="AR37" s="30">
        <v>18</v>
      </c>
      <c r="AS37" s="30">
        <f t="shared" si="35"/>
        <v>18</v>
      </c>
      <c r="AT37" s="30">
        <v>25</v>
      </c>
      <c r="AU37" s="30">
        <f t="shared" si="36"/>
        <v>43</v>
      </c>
      <c r="AV37" s="82"/>
      <c r="AW37" s="46">
        <f t="shared" si="37"/>
        <v>5</v>
      </c>
      <c r="AX37" s="45">
        <v>11</v>
      </c>
      <c r="AY37" s="30">
        <v>29</v>
      </c>
      <c r="AZ37" s="30">
        <f t="shared" si="38"/>
        <v>40</v>
      </c>
      <c r="BA37" s="30">
        <v>20</v>
      </c>
      <c r="BB37" s="30">
        <f t="shared" si="39"/>
        <v>60</v>
      </c>
      <c r="BC37" s="82"/>
      <c r="BD37" s="46">
        <f t="shared" si="40"/>
        <v>3.5</v>
      </c>
      <c r="BE37" s="45">
        <v>13</v>
      </c>
      <c r="BF37" s="30">
        <v>41</v>
      </c>
      <c r="BG37" s="30">
        <f t="shared" si="41"/>
        <v>54</v>
      </c>
      <c r="BH37" s="30">
        <v>17</v>
      </c>
      <c r="BI37" s="30">
        <f t="shared" si="42"/>
        <v>71</v>
      </c>
      <c r="BJ37" s="82"/>
      <c r="BK37" s="46">
        <f t="shared" si="43"/>
        <v>4</v>
      </c>
      <c r="BL37" s="45">
        <v>14</v>
      </c>
      <c r="BM37" s="30">
        <v>36</v>
      </c>
      <c r="BN37" s="30">
        <f t="shared" si="44"/>
        <v>50</v>
      </c>
      <c r="BO37" s="30">
        <v>18</v>
      </c>
      <c r="BP37" s="30">
        <f t="shared" si="45"/>
        <v>68</v>
      </c>
      <c r="BQ37" s="82"/>
      <c r="BR37" s="46">
        <f t="shared" si="46"/>
        <v>3.5</v>
      </c>
      <c r="BS37" s="45">
        <v>15</v>
      </c>
      <c r="BT37" s="30">
        <v>35</v>
      </c>
      <c r="BU37" s="30">
        <f t="shared" si="47"/>
        <v>50</v>
      </c>
      <c r="BV37" s="30">
        <v>15</v>
      </c>
      <c r="BW37" s="30">
        <f t="shared" si="48"/>
        <v>65</v>
      </c>
      <c r="BX37" s="82"/>
      <c r="BY37" s="46">
        <f t="shared" si="49"/>
        <v>3.5</v>
      </c>
      <c r="BZ37" s="45">
        <v>6</v>
      </c>
      <c r="CA37" s="30">
        <v>25</v>
      </c>
      <c r="CB37" s="30">
        <f t="shared" si="50"/>
        <v>31</v>
      </c>
      <c r="CC37" s="30">
        <v>19</v>
      </c>
      <c r="CD37" s="30">
        <v>22</v>
      </c>
      <c r="CE37" s="30">
        <f t="shared" si="51"/>
        <v>72</v>
      </c>
      <c r="CF37" s="82"/>
      <c r="CG37" s="46">
        <f t="shared" si="52"/>
        <v>4</v>
      </c>
      <c r="CH37" s="30" t="str">
        <f t="shared" si="18"/>
        <v>F</v>
      </c>
      <c r="CI37" s="47" t="str">
        <f t="shared" si="19"/>
        <v>F</v>
      </c>
      <c r="CJ37" s="30" t="str">
        <f t="shared" si="56"/>
        <v>NEED TO PROGRESS</v>
      </c>
      <c r="CK37" s="30">
        <f t="shared" si="53"/>
        <v>728</v>
      </c>
      <c r="CL37" s="30"/>
      <c r="CM37" s="30">
        <v>34</v>
      </c>
    </row>
    <row r="38" spans="1:91" s="31" customFormat="1" ht="27.95" customHeight="1">
      <c r="A38" s="48">
        <v>30</v>
      </c>
      <c r="B38" s="49">
        <v>123</v>
      </c>
      <c r="C38" s="52" t="s">
        <v>167</v>
      </c>
      <c r="D38" s="52" t="s">
        <v>168</v>
      </c>
      <c r="E38" s="52" t="s">
        <v>169</v>
      </c>
      <c r="F38" s="53" t="s">
        <v>220</v>
      </c>
      <c r="G38" s="45">
        <v>12</v>
      </c>
      <c r="H38" s="30">
        <v>29</v>
      </c>
      <c r="I38" s="30">
        <f t="shared" si="21"/>
        <v>41</v>
      </c>
      <c r="J38" s="30">
        <v>7</v>
      </c>
      <c r="K38" s="30">
        <f t="shared" si="0"/>
        <v>48</v>
      </c>
      <c r="L38" s="45">
        <v>11</v>
      </c>
      <c r="M38" s="30">
        <v>20</v>
      </c>
      <c r="N38" s="30">
        <f t="shared" si="22"/>
        <v>31</v>
      </c>
      <c r="O38" s="30">
        <v>13</v>
      </c>
      <c r="P38" s="30">
        <f t="shared" si="23"/>
        <v>44</v>
      </c>
      <c r="Q38" s="30">
        <f t="shared" si="1"/>
        <v>92</v>
      </c>
      <c r="R38" s="82"/>
      <c r="S38" s="152" t="str">
        <f t="shared" si="24"/>
        <v>F</v>
      </c>
      <c r="T38" s="148">
        <v>11</v>
      </c>
      <c r="U38" s="149">
        <v>39</v>
      </c>
      <c r="V38" s="149">
        <f t="shared" si="25"/>
        <v>50</v>
      </c>
      <c r="W38" s="149">
        <v>14</v>
      </c>
      <c r="X38" s="149">
        <v>22</v>
      </c>
      <c r="Y38" s="149">
        <f t="shared" si="26"/>
        <v>36</v>
      </c>
      <c r="Z38" s="149">
        <f t="shared" si="27"/>
        <v>86</v>
      </c>
      <c r="AA38" s="82"/>
      <c r="AB38" s="46">
        <f t="shared" si="28"/>
        <v>2</v>
      </c>
      <c r="AC38" s="45">
        <v>9</v>
      </c>
      <c r="AD38" s="30">
        <v>1</v>
      </c>
      <c r="AE38" s="30">
        <f t="shared" si="29"/>
        <v>10</v>
      </c>
      <c r="AF38" s="30">
        <v>7</v>
      </c>
      <c r="AG38" s="30">
        <f t="shared" si="30"/>
        <v>17</v>
      </c>
      <c r="AH38" s="82"/>
      <c r="AI38" s="46" t="str">
        <f t="shared" si="31"/>
        <v>F</v>
      </c>
      <c r="AJ38" s="45">
        <v>9</v>
      </c>
      <c r="AK38" s="30">
        <v>25</v>
      </c>
      <c r="AL38" s="30">
        <f t="shared" si="32"/>
        <v>34</v>
      </c>
      <c r="AM38" s="30">
        <v>17</v>
      </c>
      <c r="AN38" s="30">
        <f t="shared" si="33"/>
        <v>51</v>
      </c>
      <c r="AO38" s="82"/>
      <c r="AP38" s="46">
        <f t="shared" si="34"/>
        <v>3</v>
      </c>
      <c r="AQ38" s="30"/>
      <c r="AR38" s="30">
        <v>10</v>
      </c>
      <c r="AS38" s="30">
        <f t="shared" si="35"/>
        <v>10</v>
      </c>
      <c r="AT38" s="30">
        <v>25</v>
      </c>
      <c r="AU38" s="30">
        <f t="shared" si="36"/>
        <v>35</v>
      </c>
      <c r="AV38" s="82"/>
      <c r="AW38" s="46">
        <f t="shared" si="37"/>
        <v>4</v>
      </c>
      <c r="AX38" s="45">
        <v>11</v>
      </c>
      <c r="AY38" s="30">
        <v>25</v>
      </c>
      <c r="AZ38" s="30">
        <f t="shared" si="38"/>
        <v>36</v>
      </c>
      <c r="BA38" s="30">
        <v>22</v>
      </c>
      <c r="BB38" s="30">
        <f t="shared" si="39"/>
        <v>58</v>
      </c>
      <c r="BC38" s="82"/>
      <c r="BD38" s="46">
        <f t="shared" si="40"/>
        <v>3</v>
      </c>
      <c r="BE38" s="45">
        <v>10</v>
      </c>
      <c r="BF38" s="30">
        <v>20</v>
      </c>
      <c r="BG38" s="30">
        <f t="shared" si="41"/>
        <v>30</v>
      </c>
      <c r="BH38" s="30">
        <v>12</v>
      </c>
      <c r="BI38" s="30">
        <f t="shared" si="42"/>
        <v>42</v>
      </c>
      <c r="BJ38" s="82"/>
      <c r="BK38" s="46">
        <f t="shared" si="43"/>
        <v>2</v>
      </c>
      <c r="BL38" s="45">
        <v>8</v>
      </c>
      <c r="BM38" s="30">
        <v>17</v>
      </c>
      <c r="BN38" s="30">
        <f t="shared" si="44"/>
        <v>25</v>
      </c>
      <c r="BO38" s="30">
        <v>6</v>
      </c>
      <c r="BP38" s="30">
        <f t="shared" si="45"/>
        <v>31</v>
      </c>
      <c r="BQ38" s="82"/>
      <c r="BR38" s="46" t="str">
        <f t="shared" si="46"/>
        <v>F</v>
      </c>
      <c r="BS38" s="45">
        <v>5</v>
      </c>
      <c r="BT38" s="30">
        <v>9</v>
      </c>
      <c r="BU38" s="30">
        <f t="shared" si="47"/>
        <v>14</v>
      </c>
      <c r="BV38" s="30">
        <v>11</v>
      </c>
      <c r="BW38" s="30">
        <f t="shared" si="48"/>
        <v>25</v>
      </c>
      <c r="BX38" s="82"/>
      <c r="BY38" s="46" t="str">
        <f t="shared" si="49"/>
        <v>F</v>
      </c>
      <c r="BZ38" s="45">
        <v>6</v>
      </c>
      <c r="CA38" s="30">
        <v>14</v>
      </c>
      <c r="CB38" s="30">
        <f t="shared" si="50"/>
        <v>20</v>
      </c>
      <c r="CC38" s="30">
        <v>11</v>
      </c>
      <c r="CD38" s="30">
        <v>22</v>
      </c>
      <c r="CE38" s="30">
        <f t="shared" si="51"/>
        <v>53</v>
      </c>
      <c r="CF38" s="82"/>
      <c r="CG38" s="46">
        <f t="shared" si="52"/>
        <v>3</v>
      </c>
      <c r="CH38" s="30" t="str">
        <f t="shared" si="18"/>
        <v>F</v>
      </c>
      <c r="CI38" s="47" t="str">
        <f t="shared" si="19"/>
        <v>F</v>
      </c>
      <c r="CJ38" s="30" t="str">
        <f t="shared" si="56"/>
        <v>NEED TO PROGRESS</v>
      </c>
      <c r="CK38" s="30">
        <f t="shared" si="53"/>
        <v>532</v>
      </c>
      <c r="CL38" s="30"/>
      <c r="CM38" s="30">
        <v>35</v>
      </c>
    </row>
    <row r="39" spans="1:91" s="31" customFormat="1" ht="27.95" customHeight="1">
      <c r="A39" s="48">
        <v>31</v>
      </c>
      <c r="B39" s="49">
        <v>124</v>
      </c>
      <c r="C39" s="52" t="s">
        <v>170</v>
      </c>
      <c r="D39" s="52" t="s">
        <v>171</v>
      </c>
      <c r="E39" s="52" t="s">
        <v>172</v>
      </c>
      <c r="F39" s="53" t="s">
        <v>221</v>
      </c>
      <c r="G39" s="45">
        <v>11</v>
      </c>
      <c r="H39" s="30">
        <v>28</v>
      </c>
      <c r="I39" s="30">
        <f t="shared" si="21"/>
        <v>39</v>
      </c>
      <c r="J39" s="30">
        <v>15</v>
      </c>
      <c r="K39" s="30">
        <f t="shared" si="0"/>
        <v>54</v>
      </c>
      <c r="L39" s="45">
        <v>14</v>
      </c>
      <c r="M39" s="30">
        <v>24</v>
      </c>
      <c r="N39" s="30">
        <f t="shared" si="22"/>
        <v>38</v>
      </c>
      <c r="O39" s="30">
        <v>22</v>
      </c>
      <c r="P39" s="30">
        <f t="shared" si="23"/>
        <v>60</v>
      </c>
      <c r="Q39" s="30">
        <f t="shared" si="1"/>
        <v>114</v>
      </c>
      <c r="R39" s="82"/>
      <c r="S39" s="152">
        <f t="shared" si="24"/>
        <v>3</v>
      </c>
      <c r="T39" s="148">
        <v>10</v>
      </c>
      <c r="U39" s="149">
        <v>32</v>
      </c>
      <c r="V39" s="149">
        <f t="shared" si="25"/>
        <v>42</v>
      </c>
      <c r="W39" s="149">
        <v>14</v>
      </c>
      <c r="X39" s="149">
        <v>39</v>
      </c>
      <c r="Y39" s="149">
        <f t="shared" si="26"/>
        <v>53</v>
      </c>
      <c r="Z39" s="149">
        <f t="shared" si="27"/>
        <v>95</v>
      </c>
      <c r="AA39" s="82"/>
      <c r="AB39" s="46">
        <f t="shared" si="28"/>
        <v>2</v>
      </c>
      <c r="AC39" s="45">
        <v>10</v>
      </c>
      <c r="AD39" s="30">
        <v>20</v>
      </c>
      <c r="AE39" s="30">
        <f t="shared" si="29"/>
        <v>30</v>
      </c>
      <c r="AF39" s="30">
        <v>16</v>
      </c>
      <c r="AG39" s="30">
        <f t="shared" si="30"/>
        <v>46</v>
      </c>
      <c r="AH39" s="82"/>
      <c r="AI39" s="46">
        <f t="shared" si="31"/>
        <v>2</v>
      </c>
      <c r="AJ39" s="45">
        <v>13</v>
      </c>
      <c r="AK39" s="30">
        <v>27</v>
      </c>
      <c r="AL39" s="30">
        <f t="shared" si="32"/>
        <v>40</v>
      </c>
      <c r="AM39" s="30">
        <v>12</v>
      </c>
      <c r="AN39" s="30">
        <f t="shared" si="33"/>
        <v>52</v>
      </c>
      <c r="AO39" s="82"/>
      <c r="AP39" s="46">
        <f t="shared" si="34"/>
        <v>3</v>
      </c>
      <c r="AQ39" s="30"/>
      <c r="AR39" s="30">
        <v>20</v>
      </c>
      <c r="AS39" s="30">
        <f t="shared" si="35"/>
        <v>20</v>
      </c>
      <c r="AT39" s="30">
        <v>25</v>
      </c>
      <c r="AU39" s="30">
        <f t="shared" si="36"/>
        <v>45</v>
      </c>
      <c r="AV39" s="82"/>
      <c r="AW39" s="46">
        <f t="shared" si="37"/>
        <v>5</v>
      </c>
      <c r="AX39" s="45">
        <v>10</v>
      </c>
      <c r="AY39" s="30">
        <v>28</v>
      </c>
      <c r="AZ39" s="30">
        <f t="shared" si="38"/>
        <v>38</v>
      </c>
      <c r="BA39" s="30">
        <v>21</v>
      </c>
      <c r="BB39" s="30">
        <f t="shared" si="39"/>
        <v>59</v>
      </c>
      <c r="BC39" s="82"/>
      <c r="BD39" s="46">
        <f t="shared" si="40"/>
        <v>3</v>
      </c>
      <c r="BE39" s="45">
        <v>12</v>
      </c>
      <c r="BF39" s="30">
        <v>24</v>
      </c>
      <c r="BG39" s="30">
        <f t="shared" si="41"/>
        <v>36</v>
      </c>
      <c r="BH39" s="30">
        <v>15</v>
      </c>
      <c r="BI39" s="30">
        <f t="shared" si="42"/>
        <v>51</v>
      </c>
      <c r="BJ39" s="82"/>
      <c r="BK39" s="46">
        <f t="shared" si="43"/>
        <v>3</v>
      </c>
      <c r="BL39" s="45">
        <v>13</v>
      </c>
      <c r="BM39" s="30">
        <v>30</v>
      </c>
      <c r="BN39" s="30">
        <f t="shared" si="44"/>
        <v>43</v>
      </c>
      <c r="BO39" s="30">
        <v>12</v>
      </c>
      <c r="BP39" s="30">
        <f t="shared" si="45"/>
        <v>55</v>
      </c>
      <c r="BQ39" s="82"/>
      <c r="BR39" s="46">
        <f t="shared" si="46"/>
        <v>3</v>
      </c>
      <c r="BS39" s="45">
        <v>10</v>
      </c>
      <c r="BT39" s="30">
        <v>24</v>
      </c>
      <c r="BU39" s="30">
        <f t="shared" si="47"/>
        <v>34</v>
      </c>
      <c r="BV39" s="30">
        <v>17</v>
      </c>
      <c r="BW39" s="30">
        <f t="shared" si="48"/>
        <v>51</v>
      </c>
      <c r="BX39" s="82"/>
      <c r="BY39" s="46">
        <f t="shared" si="49"/>
        <v>3</v>
      </c>
      <c r="BZ39" s="45">
        <v>5</v>
      </c>
      <c r="CA39" s="30">
        <v>18</v>
      </c>
      <c r="CB39" s="30">
        <f t="shared" si="50"/>
        <v>23</v>
      </c>
      <c r="CC39" s="30">
        <v>16</v>
      </c>
      <c r="CD39" s="30">
        <v>22</v>
      </c>
      <c r="CE39" s="30">
        <f t="shared" si="51"/>
        <v>61</v>
      </c>
      <c r="CF39" s="82"/>
      <c r="CG39" s="46">
        <f t="shared" si="52"/>
        <v>3.5</v>
      </c>
      <c r="CH39" s="30">
        <f t="shared" si="18"/>
        <v>28.5</v>
      </c>
      <c r="CI39" s="47">
        <f t="shared" si="19"/>
        <v>3.1666666666666665</v>
      </c>
      <c r="CJ39" s="30" t="str">
        <f t="shared" si="56"/>
        <v>GOOD</v>
      </c>
      <c r="CK39" s="30">
        <f t="shared" si="53"/>
        <v>680</v>
      </c>
      <c r="CL39" s="30">
        <v>5</v>
      </c>
      <c r="CM39" s="30">
        <v>44</v>
      </c>
    </row>
    <row r="40" spans="1:91" s="31" customFormat="1" ht="27.95" customHeight="1">
      <c r="A40" s="48">
        <v>32</v>
      </c>
      <c r="B40" s="49">
        <v>126</v>
      </c>
      <c r="C40" s="52" t="s">
        <v>173</v>
      </c>
      <c r="D40" s="52" t="s">
        <v>174</v>
      </c>
      <c r="E40" s="52" t="s">
        <v>175</v>
      </c>
      <c r="F40" s="53" t="s">
        <v>222</v>
      </c>
      <c r="G40" s="45">
        <v>11</v>
      </c>
      <c r="H40" s="30">
        <v>25</v>
      </c>
      <c r="I40" s="30">
        <f t="shared" si="21"/>
        <v>36</v>
      </c>
      <c r="J40" s="30">
        <v>19</v>
      </c>
      <c r="K40" s="30">
        <f t="shared" ref="K40" si="57">I40+J40</f>
        <v>55</v>
      </c>
      <c r="L40" s="45">
        <v>12</v>
      </c>
      <c r="M40" s="30">
        <v>26</v>
      </c>
      <c r="N40" s="30">
        <f t="shared" si="22"/>
        <v>38</v>
      </c>
      <c r="O40" s="30">
        <v>12</v>
      </c>
      <c r="P40" s="30">
        <f t="shared" si="23"/>
        <v>50</v>
      </c>
      <c r="Q40" s="30">
        <f t="shared" ref="Q40" si="58">K40+P40</f>
        <v>105</v>
      </c>
      <c r="R40" s="82"/>
      <c r="S40" s="152">
        <f t="shared" si="24"/>
        <v>3</v>
      </c>
      <c r="T40" s="148">
        <v>11</v>
      </c>
      <c r="U40" s="149">
        <v>40</v>
      </c>
      <c r="V40" s="149">
        <f t="shared" si="25"/>
        <v>51</v>
      </c>
      <c r="W40" s="149">
        <v>12</v>
      </c>
      <c r="X40" s="149">
        <v>32</v>
      </c>
      <c r="Y40" s="149">
        <f t="shared" si="26"/>
        <v>44</v>
      </c>
      <c r="Z40" s="149">
        <f t="shared" si="27"/>
        <v>95</v>
      </c>
      <c r="AA40" s="82"/>
      <c r="AB40" s="46">
        <f t="shared" si="28"/>
        <v>2</v>
      </c>
      <c r="AC40" s="45">
        <v>14</v>
      </c>
      <c r="AD40" s="30">
        <v>14</v>
      </c>
      <c r="AE40" s="30">
        <f t="shared" si="29"/>
        <v>28</v>
      </c>
      <c r="AF40" s="30">
        <v>12</v>
      </c>
      <c r="AG40" s="30">
        <f t="shared" si="30"/>
        <v>40</v>
      </c>
      <c r="AH40" s="82"/>
      <c r="AI40" s="46">
        <f t="shared" si="31"/>
        <v>2</v>
      </c>
      <c r="AJ40" s="45">
        <v>14</v>
      </c>
      <c r="AK40" s="30">
        <v>25</v>
      </c>
      <c r="AL40" s="30">
        <f t="shared" si="32"/>
        <v>39</v>
      </c>
      <c r="AM40" s="30">
        <v>20</v>
      </c>
      <c r="AN40" s="30">
        <f t="shared" si="33"/>
        <v>59</v>
      </c>
      <c r="AO40" s="82"/>
      <c r="AP40" s="46">
        <f t="shared" si="34"/>
        <v>3</v>
      </c>
      <c r="AQ40" s="30"/>
      <c r="AR40" s="30">
        <v>22</v>
      </c>
      <c r="AS40" s="30">
        <f t="shared" si="35"/>
        <v>22</v>
      </c>
      <c r="AT40" s="30">
        <v>25</v>
      </c>
      <c r="AU40" s="30">
        <f t="shared" si="36"/>
        <v>47</v>
      </c>
      <c r="AV40" s="82"/>
      <c r="AW40" s="46">
        <f t="shared" si="37"/>
        <v>5</v>
      </c>
      <c r="AX40" s="45">
        <v>10</v>
      </c>
      <c r="AY40" s="30">
        <v>20</v>
      </c>
      <c r="AZ40" s="30">
        <f>AY40+AX40</f>
        <v>30</v>
      </c>
      <c r="BA40" s="30">
        <v>18</v>
      </c>
      <c r="BB40" s="30">
        <f>AZ40+BA40</f>
        <v>48</v>
      </c>
      <c r="BC40" s="82"/>
      <c r="BD40" s="46">
        <f t="shared" si="40"/>
        <v>2</v>
      </c>
      <c r="BE40" s="45">
        <v>10</v>
      </c>
      <c r="BF40" s="30">
        <v>22</v>
      </c>
      <c r="BG40" s="30">
        <f t="shared" si="41"/>
        <v>32</v>
      </c>
      <c r="BH40" s="30">
        <v>17</v>
      </c>
      <c r="BI40" s="30">
        <f t="shared" si="42"/>
        <v>49</v>
      </c>
      <c r="BJ40" s="82"/>
      <c r="BK40" s="46">
        <f t="shared" si="43"/>
        <v>2</v>
      </c>
      <c r="BL40" s="45">
        <v>13</v>
      </c>
      <c r="BM40" s="30">
        <v>13</v>
      </c>
      <c r="BN40" s="30">
        <f t="shared" si="44"/>
        <v>26</v>
      </c>
      <c r="BO40" s="30">
        <v>17</v>
      </c>
      <c r="BP40" s="30">
        <f t="shared" si="45"/>
        <v>43</v>
      </c>
      <c r="BQ40" s="82"/>
      <c r="BR40" s="46">
        <f t="shared" si="46"/>
        <v>2</v>
      </c>
      <c r="BS40" s="45">
        <v>13</v>
      </c>
      <c r="BT40" s="30">
        <v>20</v>
      </c>
      <c r="BU40" s="30">
        <f t="shared" si="47"/>
        <v>33</v>
      </c>
      <c r="BV40" s="30">
        <v>13</v>
      </c>
      <c r="BW40" s="30">
        <f t="shared" si="48"/>
        <v>46</v>
      </c>
      <c r="BX40" s="82"/>
      <c r="BY40" s="46">
        <f t="shared" si="49"/>
        <v>2</v>
      </c>
      <c r="BZ40" s="45">
        <v>5</v>
      </c>
      <c r="CA40" s="30">
        <v>14</v>
      </c>
      <c r="CB40" s="30">
        <f t="shared" si="50"/>
        <v>19</v>
      </c>
      <c r="CC40" s="30">
        <v>14</v>
      </c>
      <c r="CD40" s="30">
        <v>22</v>
      </c>
      <c r="CE40" s="30">
        <f t="shared" si="51"/>
        <v>55</v>
      </c>
      <c r="CF40" s="82"/>
      <c r="CG40" s="46" t="str">
        <f t="shared" si="52"/>
        <v>0</v>
      </c>
      <c r="CH40" s="30">
        <f t="shared" ref="CH40:CH45" si="59">IF(S40="F","F",IF(AB40="F","F",IF(AI40="F","F",IF(AP40="F","F",IF(BD40="F","F",IF(BK40="F","F",IF(BR40="F","F",IF(BY40="F","F",IF(CG40="F","F",IF(AW40="F","F", IF(CG40&lt;2,SUM(S40,AB40,AI40,AP40,AW40,BD40,BK40,BR40,BY40,CG40),IF(CG40&gt;=2,SUM(S40,AB40,AI40,AP40,BD40,BK40,AW40,BR40,BY40,CG40-2)))))))))))))</f>
        <v>21</v>
      </c>
      <c r="CI40" s="47">
        <f t="shared" ref="CI40:CI45" si="60">IF(CH40="F","F",IF(CH40&gt;=45,5,IF(CH40&lt;45,CH40/9)))</f>
        <v>2.3333333333333335</v>
      </c>
      <c r="CJ40" s="30" t="str">
        <f t="shared" ref="CJ40:CJ45" si="61">IF(CI40="F","NEED TO PROGRESS",IF(CI40&gt;=5,"BEST",IF(CI40&gt;=4,"BETTER",IF(CI40&gt;=2,"GOOD"))))</f>
        <v>GOOD</v>
      </c>
      <c r="CK40" s="30">
        <f t="shared" si="53"/>
        <v>636</v>
      </c>
      <c r="CL40" s="30">
        <v>6</v>
      </c>
      <c r="CM40" s="30">
        <v>45</v>
      </c>
    </row>
    <row r="41" spans="1:91" s="31" customFormat="1" ht="27.95" customHeight="1">
      <c r="A41" s="48">
        <v>33</v>
      </c>
      <c r="B41" s="49">
        <v>127</v>
      </c>
      <c r="C41" s="52" t="s">
        <v>176</v>
      </c>
      <c r="D41" s="52" t="s">
        <v>177</v>
      </c>
      <c r="E41" s="52" t="s">
        <v>178</v>
      </c>
      <c r="F41" s="53" t="s">
        <v>223</v>
      </c>
      <c r="G41" s="45">
        <v>13</v>
      </c>
      <c r="H41" s="30">
        <v>26</v>
      </c>
      <c r="I41" s="30">
        <f t="shared" si="21"/>
        <v>39</v>
      </c>
      <c r="J41" s="30">
        <v>18</v>
      </c>
      <c r="K41" s="30">
        <f t="shared" ref="K41:K45" si="62">I41+J41</f>
        <v>57</v>
      </c>
      <c r="L41" s="45">
        <v>11</v>
      </c>
      <c r="M41" s="30">
        <v>27</v>
      </c>
      <c r="N41" s="30">
        <f t="shared" si="22"/>
        <v>38</v>
      </c>
      <c r="O41" s="30">
        <v>11</v>
      </c>
      <c r="P41" s="30">
        <f t="shared" si="23"/>
        <v>49</v>
      </c>
      <c r="Q41" s="30">
        <f t="shared" ref="Q41:Q45" si="63">K41+P41</f>
        <v>106</v>
      </c>
      <c r="R41" s="82"/>
      <c r="S41" s="152">
        <f t="shared" si="24"/>
        <v>3</v>
      </c>
      <c r="T41" s="148">
        <v>12</v>
      </c>
      <c r="U41" s="149">
        <v>36</v>
      </c>
      <c r="V41" s="149">
        <f t="shared" ref="V41:V45" si="64">U41+T41</f>
        <v>48</v>
      </c>
      <c r="W41" s="149">
        <v>9</v>
      </c>
      <c r="X41" s="149">
        <v>22</v>
      </c>
      <c r="Y41" s="149">
        <f t="shared" ref="Y41:Y45" si="65">X41+W41</f>
        <v>31</v>
      </c>
      <c r="Z41" s="149">
        <f t="shared" ref="Z41:Z45" si="66">V41+Y41</f>
        <v>79</v>
      </c>
      <c r="AA41" s="82"/>
      <c r="AB41" s="46">
        <f t="shared" si="28"/>
        <v>2</v>
      </c>
      <c r="AC41" s="45">
        <v>8</v>
      </c>
      <c r="AD41" s="30">
        <v>1</v>
      </c>
      <c r="AE41" s="30">
        <f t="shared" ref="AE41:AE45" si="67">AD41+AC41</f>
        <v>9</v>
      </c>
      <c r="AF41" s="30">
        <v>14</v>
      </c>
      <c r="AG41" s="30">
        <f t="shared" ref="AG41:AG45" si="68">AE41+AF41</f>
        <v>23</v>
      </c>
      <c r="AH41" s="82"/>
      <c r="AI41" s="46" t="str">
        <f t="shared" si="31"/>
        <v>F</v>
      </c>
      <c r="AJ41" s="45">
        <v>14</v>
      </c>
      <c r="AK41" s="30">
        <v>28</v>
      </c>
      <c r="AL41" s="30">
        <f t="shared" ref="AL41:AL45" si="69">AK41+AJ41</f>
        <v>42</v>
      </c>
      <c r="AM41" s="30">
        <v>19</v>
      </c>
      <c r="AN41" s="30">
        <f t="shared" ref="AN41:AN45" si="70">AL41+AM41</f>
        <v>61</v>
      </c>
      <c r="AO41" s="82"/>
      <c r="AP41" s="46">
        <f t="shared" si="34"/>
        <v>3.5</v>
      </c>
      <c r="AQ41" s="30"/>
      <c r="AR41" s="30">
        <v>18</v>
      </c>
      <c r="AS41" s="30">
        <f t="shared" ref="AS41:AS45" si="71">AR41+AQ41</f>
        <v>18</v>
      </c>
      <c r="AT41" s="30">
        <v>25</v>
      </c>
      <c r="AU41" s="30">
        <f t="shared" ref="AU41:AU45" si="72">AS41+AT41</f>
        <v>43</v>
      </c>
      <c r="AV41" s="82"/>
      <c r="AW41" s="46">
        <f t="shared" si="37"/>
        <v>5</v>
      </c>
      <c r="AX41" s="45">
        <v>10</v>
      </c>
      <c r="AY41" s="30">
        <v>20</v>
      </c>
      <c r="AZ41" s="30">
        <f t="shared" ref="AZ41:AZ44" si="73">AY41+AX41</f>
        <v>30</v>
      </c>
      <c r="BA41" s="30">
        <v>20</v>
      </c>
      <c r="BB41" s="30">
        <f t="shared" ref="BB41:BB44" si="74">AZ41+BA41</f>
        <v>50</v>
      </c>
      <c r="BC41" s="82"/>
      <c r="BD41" s="46">
        <f t="shared" si="40"/>
        <v>3</v>
      </c>
      <c r="BE41" s="45">
        <v>8</v>
      </c>
      <c r="BF41" s="30">
        <v>21</v>
      </c>
      <c r="BG41" s="30">
        <f t="shared" si="41"/>
        <v>29</v>
      </c>
      <c r="BH41" s="30">
        <v>19</v>
      </c>
      <c r="BI41" s="30">
        <f t="shared" si="42"/>
        <v>48</v>
      </c>
      <c r="BJ41" s="82"/>
      <c r="BK41" s="46">
        <f t="shared" si="43"/>
        <v>2</v>
      </c>
      <c r="BL41" s="45">
        <v>13</v>
      </c>
      <c r="BM41" s="30">
        <v>20</v>
      </c>
      <c r="BN41" s="30">
        <f t="shared" si="44"/>
        <v>33</v>
      </c>
      <c r="BO41" s="30">
        <v>16</v>
      </c>
      <c r="BP41" s="30">
        <f t="shared" si="45"/>
        <v>49</v>
      </c>
      <c r="BQ41" s="82"/>
      <c r="BR41" s="46">
        <f t="shared" si="46"/>
        <v>2</v>
      </c>
      <c r="BS41" s="45">
        <v>13</v>
      </c>
      <c r="BT41" s="30">
        <v>21</v>
      </c>
      <c r="BU41" s="30">
        <f t="shared" si="47"/>
        <v>34</v>
      </c>
      <c r="BV41" s="30">
        <v>14</v>
      </c>
      <c r="BW41" s="30">
        <f t="shared" si="48"/>
        <v>48</v>
      </c>
      <c r="BX41" s="82"/>
      <c r="BY41" s="46">
        <f t="shared" si="49"/>
        <v>2</v>
      </c>
      <c r="BZ41" s="45">
        <v>5</v>
      </c>
      <c r="CA41" s="30">
        <v>18</v>
      </c>
      <c r="CB41" s="30">
        <f t="shared" ref="CB41:CB45" si="75">CA41+BZ41</f>
        <v>23</v>
      </c>
      <c r="CC41" s="30">
        <v>15</v>
      </c>
      <c r="CD41" s="30">
        <v>22</v>
      </c>
      <c r="CE41" s="30">
        <f t="shared" ref="CE41:CE45" si="76">CB41+CC41+CD41</f>
        <v>60</v>
      </c>
      <c r="CF41" s="82"/>
      <c r="CG41" s="46">
        <f t="shared" si="52"/>
        <v>3.5</v>
      </c>
      <c r="CH41" s="30" t="str">
        <f t="shared" si="59"/>
        <v>F</v>
      </c>
      <c r="CI41" s="47" t="str">
        <f t="shared" si="60"/>
        <v>F</v>
      </c>
      <c r="CJ41" s="30" t="str">
        <f t="shared" si="61"/>
        <v>NEED TO PROGRESS</v>
      </c>
      <c r="CK41" s="30">
        <f t="shared" si="53"/>
        <v>615</v>
      </c>
      <c r="CL41" s="30"/>
      <c r="CM41" s="30">
        <v>42</v>
      </c>
    </row>
    <row r="42" spans="1:91" s="31" customFormat="1" ht="27.95" customHeight="1">
      <c r="A42" s="48">
        <v>34</v>
      </c>
      <c r="B42" s="49">
        <v>128</v>
      </c>
      <c r="C42" s="52" t="s">
        <v>179</v>
      </c>
      <c r="D42" s="52" t="s">
        <v>180</v>
      </c>
      <c r="E42" s="52" t="s">
        <v>181</v>
      </c>
      <c r="F42" s="53" t="s">
        <v>224</v>
      </c>
      <c r="G42" s="45">
        <v>15</v>
      </c>
      <c r="H42" s="30">
        <v>29</v>
      </c>
      <c r="I42" s="30">
        <f t="shared" si="21"/>
        <v>44</v>
      </c>
      <c r="J42" s="30">
        <v>19</v>
      </c>
      <c r="K42" s="30">
        <f t="shared" si="62"/>
        <v>63</v>
      </c>
      <c r="L42" s="45">
        <v>17</v>
      </c>
      <c r="M42" s="30">
        <v>26</v>
      </c>
      <c r="N42" s="30">
        <f t="shared" si="22"/>
        <v>43</v>
      </c>
      <c r="O42" s="30">
        <v>22</v>
      </c>
      <c r="P42" s="30">
        <f t="shared" si="23"/>
        <v>65</v>
      </c>
      <c r="Q42" s="30">
        <f t="shared" si="63"/>
        <v>128</v>
      </c>
      <c r="R42" s="82"/>
      <c r="S42" s="152">
        <f t="shared" si="24"/>
        <v>3.5</v>
      </c>
      <c r="T42" s="148">
        <v>13</v>
      </c>
      <c r="U42" s="149">
        <v>43</v>
      </c>
      <c r="V42" s="149">
        <f t="shared" si="64"/>
        <v>56</v>
      </c>
      <c r="W42" s="149">
        <v>11</v>
      </c>
      <c r="X42" s="149">
        <v>34</v>
      </c>
      <c r="Y42" s="149">
        <f t="shared" si="65"/>
        <v>45</v>
      </c>
      <c r="Z42" s="149">
        <f t="shared" si="66"/>
        <v>101</v>
      </c>
      <c r="AA42" s="82"/>
      <c r="AB42" s="46">
        <f t="shared" si="28"/>
        <v>3</v>
      </c>
      <c r="AC42" s="45">
        <v>9</v>
      </c>
      <c r="AD42" s="30">
        <v>36</v>
      </c>
      <c r="AE42" s="30">
        <f t="shared" si="67"/>
        <v>45</v>
      </c>
      <c r="AF42" s="30">
        <v>19</v>
      </c>
      <c r="AG42" s="30">
        <f t="shared" si="68"/>
        <v>64</v>
      </c>
      <c r="AH42" s="82"/>
      <c r="AI42" s="46">
        <f t="shared" si="31"/>
        <v>3.5</v>
      </c>
      <c r="AJ42" s="45">
        <v>17</v>
      </c>
      <c r="AK42" s="30">
        <v>30</v>
      </c>
      <c r="AL42" s="30">
        <f t="shared" si="69"/>
        <v>47</v>
      </c>
      <c r="AM42" s="30">
        <v>20</v>
      </c>
      <c r="AN42" s="30">
        <f t="shared" si="70"/>
        <v>67</v>
      </c>
      <c r="AO42" s="82"/>
      <c r="AP42" s="46">
        <f t="shared" si="34"/>
        <v>3.5</v>
      </c>
      <c r="AQ42" s="30"/>
      <c r="AR42" s="30">
        <v>20</v>
      </c>
      <c r="AS42" s="30">
        <f t="shared" si="71"/>
        <v>20</v>
      </c>
      <c r="AT42" s="30">
        <v>25</v>
      </c>
      <c r="AU42" s="30">
        <f t="shared" si="72"/>
        <v>45</v>
      </c>
      <c r="AV42" s="82"/>
      <c r="AW42" s="46">
        <f t="shared" si="37"/>
        <v>5</v>
      </c>
      <c r="AX42" s="45">
        <v>13</v>
      </c>
      <c r="AY42" s="30">
        <v>33</v>
      </c>
      <c r="AZ42" s="30">
        <f t="shared" si="73"/>
        <v>46</v>
      </c>
      <c r="BA42" s="30">
        <v>21</v>
      </c>
      <c r="BB42" s="30">
        <f t="shared" si="74"/>
        <v>67</v>
      </c>
      <c r="BC42" s="82"/>
      <c r="BD42" s="46">
        <f t="shared" si="40"/>
        <v>3.5</v>
      </c>
      <c r="BE42" s="45">
        <v>10</v>
      </c>
      <c r="BF42" s="30">
        <v>33</v>
      </c>
      <c r="BG42" s="30">
        <f t="shared" si="41"/>
        <v>43</v>
      </c>
      <c r="BH42" s="30">
        <v>15</v>
      </c>
      <c r="BI42" s="30">
        <f t="shared" si="42"/>
        <v>58</v>
      </c>
      <c r="BJ42" s="82"/>
      <c r="BK42" s="46">
        <f t="shared" si="43"/>
        <v>3</v>
      </c>
      <c r="BL42" s="45">
        <v>19</v>
      </c>
      <c r="BM42" s="30">
        <v>37</v>
      </c>
      <c r="BN42" s="30">
        <f t="shared" si="44"/>
        <v>56</v>
      </c>
      <c r="BO42" s="30">
        <v>21</v>
      </c>
      <c r="BP42" s="30">
        <f t="shared" si="45"/>
        <v>77</v>
      </c>
      <c r="BQ42" s="82"/>
      <c r="BR42" s="46">
        <f t="shared" si="46"/>
        <v>4</v>
      </c>
      <c r="BS42" s="45">
        <v>20</v>
      </c>
      <c r="BT42" s="30">
        <v>39</v>
      </c>
      <c r="BU42" s="30">
        <f t="shared" si="47"/>
        <v>59</v>
      </c>
      <c r="BV42" s="30">
        <v>23</v>
      </c>
      <c r="BW42" s="30">
        <f t="shared" si="48"/>
        <v>82</v>
      </c>
      <c r="BX42" s="82"/>
      <c r="BY42" s="46">
        <f t="shared" si="49"/>
        <v>5</v>
      </c>
      <c r="BZ42" s="45">
        <v>5</v>
      </c>
      <c r="CA42" s="30">
        <v>22</v>
      </c>
      <c r="CB42" s="30">
        <f t="shared" si="75"/>
        <v>27</v>
      </c>
      <c r="CC42" s="30">
        <v>22</v>
      </c>
      <c r="CD42" s="30">
        <v>22</v>
      </c>
      <c r="CE42" s="30">
        <f t="shared" si="76"/>
        <v>71</v>
      </c>
      <c r="CF42" s="82"/>
      <c r="CG42" s="46">
        <f t="shared" si="52"/>
        <v>4</v>
      </c>
      <c r="CH42" s="30">
        <f t="shared" si="59"/>
        <v>36</v>
      </c>
      <c r="CI42" s="47">
        <f t="shared" si="60"/>
        <v>4</v>
      </c>
      <c r="CJ42" s="30" t="str">
        <f t="shared" si="61"/>
        <v>BETTER</v>
      </c>
      <c r="CK42" s="30">
        <f t="shared" si="53"/>
        <v>818</v>
      </c>
      <c r="CL42" s="30">
        <v>1</v>
      </c>
      <c r="CM42" s="30">
        <v>40</v>
      </c>
    </row>
    <row r="43" spans="1:91" s="31" customFormat="1" ht="27.95" customHeight="1">
      <c r="A43" s="48">
        <v>35</v>
      </c>
      <c r="B43" s="49">
        <v>130</v>
      </c>
      <c r="C43" s="52" t="s">
        <v>182</v>
      </c>
      <c r="D43" s="52" t="s">
        <v>183</v>
      </c>
      <c r="E43" s="52" t="s">
        <v>184</v>
      </c>
      <c r="F43" s="53" t="s">
        <v>225</v>
      </c>
      <c r="G43" s="45">
        <v>14</v>
      </c>
      <c r="H43" s="30">
        <v>31</v>
      </c>
      <c r="I43" s="30">
        <f t="shared" si="21"/>
        <v>45</v>
      </c>
      <c r="J43" s="30">
        <v>15</v>
      </c>
      <c r="K43" s="30">
        <f t="shared" si="62"/>
        <v>60</v>
      </c>
      <c r="L43" s="45">
        <v>17</v>
      </c>
      <c r="M43" s="30">
        <v>33</v>
      </c>
      <c r="N43" s="30">
        <f t="shared" si="22"/>
        <v>50</v>
      </c>
      <c r="O43" s="30">
        <v>21</v>
      </c>
      <c r="P43" s="30">
        <f t="shared" si="23"/>
        <v>71</v>
      </c>
      <c r="Q43" s="30">
        <f t="shared" si="63"/>
        <v>131</v>
      </c>
      <c r="R43" s="82"/>
      <c r="S43" s="152">
        <f t="shared" si="24"/>
        <v>3.5</v>
      </c>
      <c r="T43" s="148">
        <v>13</v>
      </c>
      <c r="U43" s="149">
        <v>35</v>
      </c>
      <c r="V43" s="149">
        <f t="shared" si="64"/>
        <v>48</v>
      </c>
      <c r="W43" s="149">
        <v>13</v>
      </c>
      <c r="X43" s="149">
        <v>35</v>
      </c>
      <c r="Y43" s="149">
        <f t="shared" si="65"/>
        <v>48</v>
      </c>
      <c r="Z43" s="149">
        <f t="shared" si="66"/>
        <v>96</v>
      </c>
      <c r="AA43" s="82"/>
      <c r="AB43" s="46">
        <f t="shared" si="28"/>
        <v>2</v>
      </c>
      <c r="AC43" s="45">
        <v>9</v>
      </c>
      <c r="AD43" s="30">
        <v>14</v>
      </c>
      <c r="AE43" s="30">
        <f t="shared" si="67"/>
        <v>23</v>
      </c>
      <c r="AF43" s="30">
        <v>9</v>
      </c>
      <c r="AG43" s="30">
        <f t="shared" si="68"/>
        <v>32</v>
      </c>
      <c r="AH43" s="82"/>
      <c r="AI43" s="46" t="str">
        <f t="shared" si="31"/>
        <v>F</v>
      </c>
      <c r="AJ43" s="45">
        <v>15</v>
      </c>
      <c r="AK43" s="30">
        <v>36</v>
      </c>
      <c r="AL43" s="30">
        <f t="shared" si="69"/>
        <v>51</v>
      </c>
      <c r="AM43" s="30">
        <v>20</v>
      </c>
      <c r="AN43" s="30">
        <f t="shared" si="70"/>
        <v>71</v>
      </c>
      <c r="AO43" s="82"/>
      <c r="AP43" s="46">
        <f t="shared" si="34"/>
        <v>4</v>
      </c>
      <c r="AQ43" s="30"/>
      <c r="AR43" s="30">
        <v>23</v>
      </c>
      <c r="AS43" s="30">
        <f t="shared" si="71"/>
        <v>23</v>
      </c>
      <c r="AT43" s="30">
        <v>25</v>
      </c>
      <c r="AU43" s="30">
        <f t="shared" si="72"/>
        <v>48</v>
      </c>
      <c r="AV43" s="82"/>
      <c r="AW43" s="46">
        <f t="shared" si="37"/>
        <v>5</v>
      </c>
      <c r="AX43" s="45">
        <v>10</v>
      </c>
      <c r="AY43" s="30">
        <v>22</v>
      </c>
      <c r="AZ43" s="30">
        <f t="shared" si="73"/>
        <v>32</v>
      </c>
      <c r="BA43" s="30">
        <v>21</v>
      </c>
      <c r="BB43" s="30">
        <f t="shared" si="74"/>
        <v>53</v>
      </c>
      <c r="BC43" s="82"/>
      <c r="BD43" s="46">
        <f t="shared" si="40"/>
        <v>3</v>
      </c>
      <c r="BE43" s="45">
        <v>11</v>
      </c>
      <c r="BF43" s="30">
        <v>34</v>
      </c>
      <c r="BG43" s="30">
        <f t="shared" si="41"/>
        <v>45</v>
      </c>
      <c r="BH43" s="30">
        <v>18</v>
      </c>
      <c r="BI43" s="30">
        <f t="shared" si="42"/>
        <v>63</v>
      </c>
      <c r="BJ43" s="82"/>
      <c r="BK43" s="46">
        <f t="shared" si="43"/>
        <v>3.5</v>
      </c>
      <c r="BL43" s="45">
        <v>13</v>
      </c>
      <c r="BM43" s="30">
        <v>35</v>
      </c>
      <c r="BN43" s="30">
        <f t="shared" si="44"/>
        <v>48</v>
      </c>
      <c r="BO43" s="30">
        <v>17</v>
      </c>
      <c r="BP43" s="30">
        <f t="shared" si="45"/>
        <v>65</v>
      </c>
      <c r="BQ43" s="82"/>
      <c r="BR43" s="46">
        <f t="shared" si="46"/>
        <v>3.5</v>
      </c>
      <c r="BS43" s="45">
        <v>11</v>
      </c>
      <c r="BT43" s="30">
        <v>27</v>
      </c>
      <c r="BU43" s="30">
        <f t="shared" si="47"/>
        <v>38</v>
      </c>
      <c r="BV43" s="30">
        <v>21</v>
      </c>
      <c r="BW43" s="30">
        <f t="shared" si="48"/>
        <v>59</v>
      </c>
      <c r="BX43" s="82"/>
      <c r="BY43" s="46">
        <f t="shared" si="49"/>
        <v>3</v>
      </c>
      <c r="BZ43" s="45">
        <v>7</v>
      </c>
      <c r="CA43" s="30">
        <v>22</v>
      </c>
      <c r="CB43" s="30">
        <f t="shared" si="75"/>
        <v>29</v>
      </c>
      <c r="CC43" s="30">
        <v>18</v>
      </c>
      <c r="CD43" s="30">
        <v>22</v>
      </c>
      <c r="CE43" s="30">
        <f t="shared" si="76"/>
        <v>69</v>
      </c>
      <c r="CF43" s="82"/>
      <c r="CG43" s="46">
        <f t="shared" si="52"/>
        <v>3.5</v>
      </c>
      <c r="CH43" s="30" t="str">
        <f t="shared" si="59"/>
        <v>F</v>
      </c>
      <c r="CI43" s="47" t="str">
        <f t="shared" si="60"/>
        <v>F</v>
      </c>
      <c r="CJ43" s="30" t="str">
        <f t="shared" si="61"/>
        <v>NEED TO PROGRESS</v>
      </c>
      <c r="CK43" s="30">
        <f t="shared" si="53"/>
        <v>750</v>
      </c>
      <c r="CL43" s="30"/>
      <c r="CM43" s="30">
        <v>44</v>
      </c>
    </row>
    <row r="44" spans="1:91" s="42" customFormat="1" ht="27.95" customHeight="1">
      <c r="A44" s="48">
        <v>36</v>
      </c>
      <c r="B44" s="49">
        <v>138</v>
      </c>
      <c r="C44" s="52" t="s">
        <v>185</v>
      </c>
      <c r="D44" s="52" t="s">
        <v>186</v>
      </c>
      <c r="E44" s="52" t="s">
        <v>187</v>
      </c>
      <c r="F44" s="53" t="s">
        <v>226</v>
      </c>
      <c r="G44" s="45">
        <v>8</v>
      </c>
      <c r="H44" s="30">
        <v>26</v>
      </c>
      <c r="I44" s="30">
        <f t="shared" si="21"/>
        <v>34</v>
      </c>
      <c r="J44" s="30">
        <v>12</v>
      </c>
      <c r="K44" s="30">
        <f t="shared" si="62"/>
        <v>46</v>
      </c>
      <c r="L44" s="45">
        <v>15</v>
      </c>
      <c r="M44" s="30">
        <v>14</v>
      </c>
      <c r="N44" s="30">
        <f t="shared" si="22"/>
        <v>29</v>
      </c>
      <c r="O44" s="30">
        <v>26</v>
      </c>
      <c r="P44" s="30">
        <f t="shared" si="23"/>
        <v>55</v>
      </c>
      <c r="Q44" s="30">
        <f t="shared" si="63"/>
        <v>101</v>
      </c>
      <c r="R44" s="82"/>
      <c r="S44" s="152">
        <f t="shared" si="24"/>
        <v>3</v>
      </c>
      <c r="T44" s="148">
        <v>13</v>
      </c>
      <c r="U44" s="149">
        <v>41</v>
      </c>
      <c r="V44" s="149">
        <f t="shared" si="64"/>
        <v>54</v>
      </c>
      <c r="W44" s="149">
        <v>13</v>
      </c>
      <c r="X44" s="149">
        <v>39</v>
      </c>
      <c r="Y44" s="149">
        <f t="shared" si="65"/>
        <v>52</v>
      </c>
      <c r="Z44" s="149">
        <f t="shared" si="66"/>
        <v>106</v>
      </c>
      <c r="AA44" s="82"/>
      <c r="AB44" s="46">
        <f t="shared" si="28"/>
        <v>3</v>
      </c>
      <c r="AC44" s="45">
        <v>8</v>
      </c>
      <c r="AD44" s="30">
        <v>6</v>
      </c>
      <c r="AE44" s="30">
        <f t="shared" si="67"/>
        <v>14</v>
      </c>
      <c r="AF44" s="30">
        <v>17</v>
      </c>
      <c r="AG44" s="30">
        <f t="shared" si="68"/>
        <v>31</v>
      </c>
      <c r="AH44" s="82"/>
      <c r="AI44" s="46" t="str">
        <f t="shared" si="31"/>
        <v>F</v>
      </c>
      <c r="AJ44" s="45">
        <v>15</v>
      </c>
      <c r="AK44" s="30">
        <v>28</v>
      </c>
      <c r="AL44" s="30">
        <f t="shared" si="69"/>
        <v>43</v>
      </c>
      <c r="AM44" s="30">
        <v>23</v>
      </c>
      <c r="AN44" s="30">
        <f t="shared" si="70"/>
        <v>66</v>
      </c>
      <c r="AO44" s="82"/>
      <c r="AP44" s="46">
        <f t="shared" si="34"/>
        <v>3.5</v>
      </c>
      <c r="AQ44" s="30"/>
      <c r="AR44" s="30">
        <v>19</v>
      </c>
      <c r="AS44" s="30">
        <f t="shared" si="71"/>
        <v>19</v>
      </c>
      <c r="AT44" s="30">
        <v>25</v>
      </c>
      <c r="AU44" s="30">
        <f t="shared" si="72"/>
        <v>44</v>
      </c>
      <c r="AV44" s="82"/>
      <c r="AW44" s="46">
        <f t="shared" si="37"/>
        <v>5</v>
      </c>
      <c r="AX44" s="45">
        <v>10</v>
      </c>
      <c r="AY44" s="30">
        <v>20</v>
      </c>
      <c r="AZ44" s="30">
        <f t="shared" si="73"/>
        <v>30</v>
      </c>
      <c r="BA44" s="30">
        <v>20</v>
      </c>
      <c r="BB44" s="30">
        <f t="shared" si="74"/>
        <v>50</v>
      </c>
      <c r="BC44" s="82"/>
      <c r="BD44" s="46">
        <f t="shared" si="40"/>
        <v>3</v>
      </c>
      <c r="BE44" s="45">
        <v>10</v>
      </c>
      <c r="BF44" s="30">
        <v>15</v>
      </c>
      <c r="BG44" s="30">
        <f t="shared" si="41"/>
        <v>25</v>
      </c>
      <c r="BH44" s="30">
        <v>16</v>
      </c>
      <c r="BI44" s="30">
        <f t="shared" si="42"/>
        <v>41</v>
      </c>
      <c r="BJ44" s="82"/>
      <c r="BK44" s="46">
        <f t="shared" si="43"/>
        <v>2</v>
      </c>
      <c r="BL44" s="45">
        <v>13</v>
      </c>
      <c r="BM44" s="30">
        <v>2</v>
      </c>
      <c r="BN44" s="30">
        <f t="shared" si="44"/>
        <v>15</v>
      </c>
      <c r="BO44" s="30">
        <v>13</v>
      </c>
      <c r="BP44" s="30">
        <f t="shared" si="45"/>
        <v>28</v>
      </c>
      <c r="BQ44" s="82"/>
      <c r="BR44" s="46" t="str">
        <f t="shared" si="46"/>
        <v>F</v>
      </c>
      <c r="BS44" s="45">
        <v>8</v>
      </c>
      <c r="BT44" s="30">
        <v>20</v>
      </c>
      <c r="BU44" s="30">
        <f t="shared" si="47"/>
        <v>28</v>
      </c>
      <c r="BV44" s="30">
        <v>23</v>
      </c>
      <c r="BW44" s="30">
        <f t="shared" si="48"/>
        <v>51</v>
      </c>
      <c r="BX44" s="82"/>
      <c r="BY44" s="46">
        <f t="shared" si="49"/>
        <v>3</v>
      </c>
      <c r="BZ44" s="45">
        <v>7</v>
      </c>
      <c r="CA44" s="30">
        <v>2</v>
      </c>
      <c r="CB44" s="30">
        <f t="shared" si="75"/>
        <v>9</v>
      </c>
      <c r="CC44" s="30">
        <v>15</v>
      </c>
      <c r="CD44" s="30">
        <v>22</v>
      </c>
      <c r="CE44" s="30">
        <f t="shared" si="76"/>
        <v>46</v>
      </c>
      <c r="CF44" s="82"/>
      <c r="CG44" s="46" t="str">
        <f t="shared" si="52"/>
        <v>0</v>
      </c>
      <c r="CH44" s="30" t="str">
        <f t="shared" si="59"/>
        <v>F</v>
      </c>
      <c r="CI44" s="47" t="str">
        <f t="shared" si="60"/>
        <v>F</v>
      </c>
      <c r="CJ44" s="30" t="str">
        <f t="shared" si="61"/>
        <v>NEED TO PROGRESS</v>
      </c>
      <c r="CK44" s="30">
        <f t="shared" si="53"/>
        <v>605</v>
      </c>
      <c r="CL44" s="30"/>
      <c r="CM44" s="30">
        <v>43</v>
      </c>
    </row>
    <row r="45" spans="1:91" s="31" customFormat="1" ht="27.95" customHeight="1">
      <c r="A45" s="48">
        <v>37</v>
      </c>
      <c r="B45" s="49">
        <v>145</v>
      </c>
      <c r="C45" s="52" t="s">
        <v>188</v>
      </c>
      <c r="D45" s="52" t="s">
        <v>189</v>
      </c>
      <c r="E45" s="52" t="s">
        <v>190</v>
      </c>
      <c r="F45" s="54" t="s">
        <v>227</v>
      </c>
      <c r="G45" s="45">
        <v>15</v>
      </c>
      <c r="H45" s="30">
        <v>36</v>
      </c>
      <c r="I45" s="30">
        <f t="shared" si="21"/>
        <v>51</v>
      </c>
      <c r="J45" s="30">
        <v>18</v>
      </c>
      <c r="K45" s="30">
        <f t="shared" si="62"/>
        <v>69</v>
      </c>
      <c r="L45" s="45">
        <v>16</v>
      </c>
      <c r="M45" s="30">
        <v>28</v>
      </c>
      <c r="N45" s="30">
        <f t="shared" si="22"/>
        <v>44</v>
      </c>
      <c r="O45" s="30">
        <v>24</v>
      </c>
      <c r="P45" s="30">
        <f t="shared" si="23"/>
        <v>68</v>
      </c>
      <c r="Q45" s="30">
        <f t="shared" si="63"/>
        <v>137</v>
      </c>
      <c r="R45" s="83"/>
      <c r="S45" s="152">
        <f t="shared" si="24"/>
        <v>3.5</v>
      </c>
      <c r="T45" s="148">
        <v>19</v>
      </c>
      <c r="U45" s="149">
        <v>48</v>
      </c>
      <c r="V45" s="149">
        <f t="shared" si="64"/>
        <v>67</v>
      </c>
      <c r="W45" s="149">
        <v>13</v>
      </c>
      <c r="X45" s="149">
        <v>55</v>
      </c>
      <c r="Y45" s="149">
        <f t="shared" si="65"/>
        <v>68</v>
      </c>
      <c r="Z45" s="149">
        <f t="shared" si="66"/>
        <v>135</v>
      </c>
      <c r="AA45" s="83"/>
      <c r="AB45" s="46">
        <f t="shared" si="28"/>
        <v>3.5</v>
      </c>
      <c r="AC45" s="45">
        <v>19</v>
      </c>
      <c r="AD45" s="30">
        <v>9</v>
      </c>
      <c r="AE45" s="30">
        <f t="shared" si="67"/>
        <v>28</v>
      </c>
      <c r="AF45" s="30">
        <v>18</v>
      </c>
      <c r="AG45" s="30">
        <f t="shared" si="68"/>
        <v>46</v>
      </c>
      <c r="AH45" s="83"/>
      <c r="AI45" s="46">
        <f t="shared" si="31"/>
        <v>2</v>
      </c>
      <c r="AJ45" s="45">
        <v>19</v>
      </c>
      <c r="AK45" s="30">
        <v>28</v>
      </c>
      <c r="AL45" s="30">
        <f t="shared" si="69"/>
        <v>47</v>
      </c>
      <c r="AM45" s="30">
        <v>20</v>
      </c>
      <c r="AN45" s="30">
        <f t="shared" si="70"/>
        <v>67</v>
      </c>
      <c r="AO45" s="83"/>
      <c r="AP45" s="46">
        <f t="shared" si="34"/>
        <v>3.5</v>
      </c>
      <c r="AQ45" s="30"/>
      <c r="AR45" s="30">
        <v>23</v>
      </c>
      <c r="AS45" s="30">
        <f t="shared" si="71"/>
        <v>23</v>
      </c>
      <c r="AT45" s="30">
        <v>25</v>
      </c>
      <c r="AU45" s="30">
        <f t="shared" si="72"/>
        <v>48</v>
      </c>
      <c r="AV45" s="83"/>
      <c r="AW45" s="46">
        <f t="shared" si="37"/>
        <v>5</v>
      </c>
      <c r="AX45" s="45">
        <v>15</v>
      </c>
      <c r="AY45" s="30">
        <v>30</v>
      </c>
      <c r="AZ45" s="30">
        <f>AY45+AX45</f>
        <v>45</v>
      </c>
      <c r="BA45" s="30">
        <v>20</v>
      </c>
      <c r="BB45" s="30">
        <f>AZ45+BA45</f>
        <v>65</v>
      </c>
      <c r="BC45" s="83"/>
      <c r="BD45" s="46">
        <f t="shared" si="40"/>
        <v>3.5</v>
      </c>
      <c r="BE45" s="45">
        <v>15</v>
      </c>
      <c r="BF45" s="30">
        <v>34</v>
      </c>
      <c r="BG45" s="30">
        <f t="shared" si="41"/>
        <v>49</v>
      </c>
      <c r="BH45" s="30">
        <v>18</v>
      </c>
      <c r="BI45" s="30">
        <f t="shared" si="42"/>
        <v>67</v>
      </c>
      <c r="BJ45" s="83"/>
      <c r="BK45" s="46">
        <f t="shared" si="43"/>
        <v>3.5</v>
      </c>
      <c r="BL45" s="45">
        <v>16</v>
      </c>
      <c r="BM45" s="30">
        <v>30</v>
      </c>
      <c r="BN45" s="30">
        <f t="shared" si="44"/>
        <v>46</v>
      </c>
      <c r="BO45" s="30">
        <v>18</v>
      </c>
      <c r="BP45" s="30">
        <f t="shared" si="45"/>
        <v>64</v>
      </c>
      <c r="BQ45" s="83"/>
      <c r="BR45" s="46">
        <f t="shared" si="46"/>
        <v>3.5</v>
      </c>
      <c r="BS45" s="45">
        <v>15</v>
      </c>
      <c r="BT45" s="30">
        <v>42</v>
      </c>
      <c r="BU45" s="30">
        <f t="shared" si="47"/>
        <v>57</v>
      </c>
      <c r="BV45" s="30">
        <v>18</v>
      </c>
      <c r="BW45" s="30">
        <f t="shared" si="48"/>
        <v>75</v>
      </c>
      <c r="BX45" s="83"/>
      <c r="BY45" s="46">
        <f t="shared" si="49"/>
        <v>4</v>
      </c>
      <c r="BZ45" s="45">
        <v>7</v>
      </c>
      <c r="CA45" s="30">
        <v>29</v>
      </c>
      <c r="CB45" s="30">
        <f t="shared" si="75"/>
        <v>36</v>
      </c>
      <c r="CC45" s="30">
        <v>20</v>
      </c>
      <c r="CD45" s="30">
        <v>22</v>
      </c>
      <c r="CE45" s="30">
        <f t="shared" si="76"/>
        <v>78</v>
      </c>
      <c r="CF45" s="83"/>
      <c r="CG45" s="46">
        <f t="shared" si="52"/>
        <v>4</v>
      </c>
      <c r="CH45" s="30">
        <f t="shared" si="59"/>
        <v>34</v>
      </c>
      <c r="CI45" s="47">
        <f t="shared" si="60"/>
        <v>3.7777777777777777</v>
      </c>
      <c r="CJ45" s="30" t="str">
        <f t="shared" si="61"/>
        <v>GOOD</v>
      </c>
      <c r="CK45" s="30">
        <f>Q45+Z45+BP45+BI45+BI45+BB45+AU45+AN45+BW45+AG45+CE45</f>
        <v>849</v>
      </c>
      <c r="CL45" s="30">
        <v>2</v>
      </c>
      <c r="CM45" s="30">
        <v>44</v>
      </c>
    </row>
    <row r="46" spans="1:91" s="5" customFormat="1" ht="24.75" customHeight="1">
      <c r="A46" s="38"/>
      <c r="B46" s="39"/>
      <c r="C46" s="40"/>
      <c r="D46" s="27"/>
      <c r="E46" s="27"/>
      <c r="F46" s="28"/>
      <c r="G46" s="32"/>
      <c r="H46" s="33"/>
      <c r="I46" s="33"/>
      <c r="J46" s="33"/>
      <c r="K46" s="33"/>
      <c r="L46" s="32"/>
      <c r="M46" s="33"/>
      <c r="N46" s="33"/>
      <c r="O46" s="33"/>
      <c r="P46" s="33"/>
      <c r="Q46" s="33"/>
      <c r="R46" s="33"/>
      <c r="S46" s="34"/>
      <c r="T46" s="35"/>
      <c r="U46" s="35"/>
      <c r="V46" s="33"/>
      <c r="W46" s="35"/>
      <c r="X46" s="33"/>
      <c r="Y46" s="33"/>
      <c r="Z46" s="33"/>
      <c r="AA46" s="33"/>
      <c r="AB46" s="34"/>
      <c r="AC46" s="35"/>
      <c r="AD46" s="35"/>
      <c r="AE46" s="33"/>
      <c r="AF46" s="33"/>
      <c r="AG46" s="33"/>
      <c r="AH46" s="33"/>
      <c r="AI46" s="34"/>
      <c r="AJ46" s="35"/>
      <c r="AK46" s="35"/>
      <c r="AL46" s="33"/>
      <c r="AM46" s="33"/>
      <c r="AN46" s="33"/>
      <c r="AO46" s="33"/>
      <c r="AP46" s="34"/>
      <c r="AQ46" s="35"/>
      <c r="AR46" s="35"/>
      <c r="AS46" s="33"/>
      <c r="AT46" s="33"/>
      <c r="AU46" s="33"/>
      <c r="AV46" s="33"/>
      <c r="AW46" s="34"/>
      <c r="AX46" s="35"/>
      <c r="AY46" s="35"/>
      <c r="AZ46" s="33"/>
      <c r="BA46" s="35"/>
      <c r="BB46" s="33"/>
      <c r="BC46" s="33"/>
      <c r="BD46" s="34"/>
      <c r="BE46" s="35"/>
      <c r="BF46" s="35"/>
      <c r="BG46" s="33"/>
      <c r="BH46" s="35"/>
      <c r="BI46" s="33"/>
      <c r="BJ46" s="33"/>
      <c r="BK46" s="34"/>
      <c r="BL46" s="35"/>
      <c r="BM46" s="35"/>
      <c r="BN46" s="33"/>
      <c r="BO46" s="35"/>
      <c r="BP46" s="33"/>
      <c r="BQ46" s="33"/>
      <c r="BR46" s="34"/>
      <c r="BS46" s="35"/>
      <c r="BT46" s="35"/>
      <c r="BU46" s="33"/>
      <c r="BV46" s="35"/>
      <c r="BW46" s="33"/>
      <c r="BX46" s="33"/>
      <c r="BY46" s="34"/>
      <c r="BZ46" s="35"/>
      <c r="CA46" s="35"/>
      <c r="CB46" s="33"/>
      <c r="CC46" s="35"/>
      <c r="CD46" s="33"/>
      <c r="CE46" s="33"/>
      <c r="CF46" s="33"/>
      <c r="CG46" s="34"/>
      <c r="CH46" s="33"/>
      <c r="CI46" s="36"/>
      <c r="CJ46" s="26"/>
      <c r="CK46" s="26"/>
      <c r="CL46" s="26"/>
      <c r="CM46" s="26"/>
    </row>
    <row r="47" spans="1:91" s="5" customFormat="1" ht="24.75" customHeight="1">
      <c r="A47" s="38"/>
      <c r="B47" s="39"/>
      <c r="C47" s="40"/>
      <c r="D47" s="27"/>
      <c r="E47" s="27"/>
      <c r="F47" s="28"/>
      <c r="G47" s="32"/>
      <c r="H47" s="33"/>
      <c r="I47" s="33"/>
      <c r="J47" s="33"/>
      <c r="K47" s="33"/>
      <c r="L47" s="32"/>
      <c r="M47" s="33"/>
      <c r="N47" s="33"/>
      <c r="O47" s="33"/>
      <c r="P47" s="33"/>
      <c r="Q47" s="33"/>
      <c r="R47" s="33"/>
      <c r="S47" s="34"/>
      <c r="T47" s="35"/>
      <c r="U47" s="35"/>
      <c r="V47" s="33"/>
      <c r="W47" s="35"/>
      <c r="X47" s="33"/>
      <c r="Y47" s="33"/>
      <c r="Z47" s="33"/>
      <c r="AA47" s="33"/>
      <c r="AB47" s="34"/>
      <c r="AC47" s="35"/>
      <c r="AD47" s="35"/>
      <c r="AE47" s="33"/>
      <c r="AF47" s="33"/>
      <c r="AG47" s="33"/>
      <c r="AH47" s="33"/>
      <c r="AI47" s="34"/>
      <c r="AJ47" s="35"/>
      <c r="AK47" s="35"/>
      <c r="AL47" s="33"/>
      <c r="AM47" s="33"/>
      <c r="AN47" s="33"/>
      <c r="AO47" s="33"/>
      <c r="AP47" s="34"/>
      <c r="AQ47" s="35"/>
      <c r="AR47" s="35"/>
      <c r="AS47" s="33"/>
      <c r="AT47" s="33"/>
      <c r="AU47" s="33"/>
      <c r="AV47" s="33"/>
      <c r="AW47" s="34"/>
      <c r="AX47" s="35"/>
      <c r="AY47" s="35"/>
      <c r="AZ47" s="33"/>
      <c r="BA47" s="35"/>
      <c r="BB47" s="33"/>
      <c r="BC47" s="33"/>
      <c r="BD47" s="34"/>
      <c r="BE47" s="35"/>
      <c r="BF47" s="35"/>
      <c r="BG47" s="33"/>
      <c r="BH47" s="35"/>
      <c r="BI47" s="33"/>
      <c r="BJ47" s="33"/>
      <c r="BK47" s="34"/>
      <c r="BL47" s="35"/>
      <c r="BM47" s="35"/>
      <c r="BN47" s="33"/>
      <c r="BO47" s="35"/>
      <c r="BP47" s="33"/>
      <c r="BQ47" s="33"/>
      <c r="BR47" s="34"/>
      <c r="BS47" s="35"/>
      <c r="BT47" s="35"/>
      <c r="BU47" s="33"/>
      <c r="BV47" s="35"/>
      <c r="BW47" s="33"/>
      <c r="BX47" s="33"/>
      <c r="BY47" s="34"/>
      <c r="BZ47" s="35"/>
      <c r="CA47" s="35"/>
      <c r="CB47" s="33"/>
      <c r="CC47" s="35"/>
      <c r="CD47" s="33"/>
      <c r="CE47" s="33"/>
      <c r="CF47" s="33"/>
      <c r="CG47" s="34"/>
      <c r="CH47" s="33"/>
      <c r="CI47" s="36"/>
      <c r="CJ47" s="26"/>
      <c r="CK47" s="26"/>
      <c r="CL47" s="26"/>
      <c r="CM47" s="26"/>
    </row>
    <row r="48" spans="1:91">
      <c r="G48" s="32"/>
      <c r="CL48"/>
    </row>
    <row r="49" spans="1:91" s="56" customFormat="1" ht="18.75">
      <c r="A49" s="62">
        <v>0</v>
      </c>
      <c r="B49" s="62">
        <v>1</v>
      </c>
      <c r="C49" s="62">
        <v>2</v>
      </c>
      <c r="D49" s="62">
        <v>3</v>
      </c>
      <c r="E49" s="62">
        <v>4</v>
      </c>
      <c r="F49" s="62">
        <v>5</v>
      </c>
      <c r="G49" s="62">
        <v>6</v>
      </c>
      <c r="H49" s="62">
        <v>7</v>
      </c>
      <c r="I49" s="62">
        <v>8</v>
      </c>
      <c r="J49" s="62">
        <v>9</v>
      </c>
      <c r="K49" s="62">
        <v>10</v>
      </c>
      <c r="L49" s="62">
        <v>11</v>
      </c>
      <c r="M49" s="62">
        <v>12</v>
      </c>
      <c r="N49" s="62">
        <v>13</v>
      </c>
      <c r="O49" s="62">
        <v>14</v>
      </c>
      <c r="P49" s="62">
        <v>15</v>
      </c>
      <c r="Q49" s="62">
        <v>16</v>
      </c>
      <c r="R49" s="62">
        <v>17</v>
      </c>
      <c r="S49" s="62">
        <v>18</v>
      </c>
      <c r="T49" s="62">
        <v>19</v>
      </c>
      <c r="U49" s="62">
        <v>20</v>
      </c>
      <c r="V49" s="62">
        <v>21</v>
      </c>
      <c r="W49" s="62">
        <v>22</v>
      </c>
      <c r="X49" s="62">
        <v>23</v>
      </c>
      <c r="Y49" s="62">
        <v>24</v>
      </c>
      <c r="Z49" s="62">
        <v>25</v>
      </c>
      <c r="AA49" s="62">
        <v>26</v>
      </c>
      <c r="AB49" s="62">
        <v>27</v>
      </c>
      <c r="AC49" s="62">
        <v>28</v>
      </c>
      <c r="AD49" s="62">
        <v>29</v>
      </c>
      <c r="AE49" s="62">
        <v>30</v>
      </c>
      <c r="AF49" s="62">
        <v>31</v>
      </c>
      <c r="AG49" s="62">
        <v>32</v>
      </c>
      <c r="AH49" s="62">
        <v>33</v>
      </c>
      <c r="AI49" s="62">
        <v>34</v>
      </c>
      <c r="AJ49" s="62">
        <v>35</v>
      </c>
      <c r="AK49" s="62">
        <v>36</v>
      </c>
      <c r="AL49" s="62">
        <v>37</v>
      </c>
      <c r="AM49" s="62">
        <v>38</v>
      </c>
      <c r="AN49" s="62">
        <v>39</v>
      </c>
      <c r="AO49" s="62">
        <v>40</v>
      </c>
      <c r="AP49" s="62">
        <v>41</v>
      </c>
      <c r="AQ49" s="62">
        <v>42</v>
      </c>
      <c r="AR49" s="62">
        <v>43</v>
      </c>
      <c r="AS49" s="62">
        <v>44</v>
      </c>
      <c r="AT49" s="62">
        <v>45</v>
      </c>
      <c r="AU49" s="62">
        <v>46</v>
      </c>
      <c r="AV49" s="62">
        <v>47</v>
      </c>
      <c r="AW49" s="62">
        <v>48</v>
      </c>
      <c r="AX49" s="62">
        <v>49</v>
      </c>
      <c r="AY49" s="62">
        <v>50</v>
      </c>
      <c r="AZ49" s="62">
        <v>51</v>
      </c>
      <c r="BA49" s="62">
        <v>52</v>
      </c>
      <c r="BB49" s="62">
        <v>53</v>
      </c>
      <c r="BC49" s="62">
        <v>54</v>
      </c>
      <c r="BD49" s="62">
        <v>55</v>
      </c>
      <c r="BE49" s="62">
        <v>56</v>
      </c>
      <c r="BF49" s="62">
        <v>57</v>
      </c>
      <c r="BG49" s="62">
        <v>58</v>
      </c>
      <c r="BH49" s="62">
        <v>59</v>
      </c>
      <c r="BI49" s="62">
        <v>60</v>
      </c>
      <c r="BJ49" s="62">
        <v>61</v>
      </c>
      <c r="BK49" s="62">
        <v>62</v>
      </c>
      <c r="BL49" s="62">
        <v>63</v>
      </c>
      <c r="BM49" s="62">
        <v>64</v>
      </c>
      <c r="BN49" s="62">
        <v>65</v>
      </c>
      <c r="BO49" s="62">
        <v>66</v>
      </c>
      <c r="BP49" s="62">
        <v>67</v>
      </c>
      <c r="BQ49" s="62">
        <v>68</v>
      </c>
      <c r="BR49" s="62">
        <v>69</v>
      </c>
      <c r="BS49" s="62">
        <v>70</v>
      </c>
      <c r="BT49" s="62">
        <v>71</v>
      </c>
      <c r="BU49" s="62">
        <v>72</v>
      </c>
      <c r="BV49" s="62">
        <v>73</v>
      </c>
      <c r="BW49" s="62">
        <v>74</v>
      </c>
      <c r="BX49" s="62">
        <v>75</v>
      </c>
      <c r="BY49" s="62">
        <v>76</v>
      </c>
      <c r="BZ49" s="62">
        <v>77</v>
      </c>
      <c r="CA49" s="62">
        <v>78</v>
      </c>
      <c r="CB49" s="62">
        <v>79</v>
      </c>
      <c r="CC49" s="62">
        <v>80</v>
      </c>
      <c r="CD49" s="62">
        <v>81</v>
      </c>
      <c r="CE49" s="62">
        <v>82</v>
      </c>
      <c r="CF49" s="62">
        <v>83</v>
      </c>
      <c r="CG49" s="62">
        <v>84</v>
      </c>
      <c r="CH49" s="62">
        <v>85</v>
      </c>
      <c r="CI49" s="62">
        <v>86</v>
      </c>
      <c r="CJ49" s="62">
        <v>87</v>
      </c>
      <c r="CK49" s="62">
        <v>88</v>
      </c>
      <c r="CL49" s="62">
        <v>89</v>
      </c>
      <c r="CM49" s="62">
        <v>90</v>
      </c>
    </row>
    <row r="50" spans="1:91">
      <c r="CL50"/>
    </row>
    <row r="51" spans="1:91">
      <c r="CL51"/>
    </row>
    <row r="52" spans="1:91">
      <c r="CL52"/>
    </row>
    <row r="53" spans="1:91">
      <c r="CL53"/>
    </row>
    <row r="54" spans="1:91">
      <c r="CL54"/>
    </row>
    <row r="55" spans="1:91">
      <c r="CL55"/>
    </row>
    <row r="56" spans="1:91">
      <c r="CL56"/>
    </row>
    <row r="57" spans="1:91">
      <c r="CL57"/>
    </row>
    <row r="58" spans="1:91">
      <c r="CL58"/>
    </row>
    <row r="59" spans="1:91">
      <c r="CL59"/>
    </row>
    <row r="60" spans="1:91">
      <c r="CL60"/>
    </row>
    <row r="61" spans="1:91">
      <c r="CL61"/>
    </row>
    <row r="62" spans="1:91">
      <c r="CL62"/>
    </row>
    <row r="63" spans="1:91">
      <c r="CL63"/>
    </row>
    <row r="64" spans="1:91">
      <c r="CL64"/>
    </row>
    <row r="65" spans="90:90">
      <c r="CL65"/>
    </row>
    <row r="66" spans="90:90">
      <c r="CL66"/>
    </row>
    <row r="67" spans="90:90">
      <c r="CL67"/>
    </row>
    <row r="68" spans="90:90">
      <c r="CL68"/>
    </row>
    <row r="69" spans="90:90">
      <c r="CL69"/>
    </row>
    <row r="70" spans="90:90">
      <c r="CL70"/>
    </row>
    <row r="71" spans="90:90">
      <c r="CL71"/>
    </row>
    <row r="72" spans="90:90">
      <c r="CL72"/>
    </row>
    <row r="73" spans="90:90">
      <c r="CL73"/>
    </row>
    <row r="74" spans="90:90">
      <c r="CL74"/>
    </row>
    <row r="75" spans="90:90">
      <c r="CL75"/>
    </row>
    <row r="76" spans="90:90">
      <c r="CL76"/>
    </row>
    <row r="77" spans="90:90">
      <c r="CL77"/>
    </row>
    <row r="78" spans="90:90">
      <c r="CL78"/>
    </row>
    <row r="79" spans="90:90">
      <c r="CL79"/>
    </row>
    <row r="80" spans="90:90">
      <c r="CL80"/>
    </row>
    <row r="81" spans="90:90">
      <c r="CL81"/>
    </row>
    <row r="82" spans="90:90">
      <c r="CL82"/>
    </row>
    <row r="83" spans="90:90">
      <c r="CL83"/>
    </row>
    <row r="84" spans="90:90">
      <c r="CL84"/>
    </row>
    <row r="85" spans="90:90">
      <c r="CL85"/>
    </row>
    <row r="86" spans="90:90">
      <c r="CL86"/>
    </row>
    <row r="87" spans="90:90">
      <c r="CL87"/>
    </row>
    <row r="88" spans="90:90">
      <c r="CL88"/>
    </row>
    <row r="89" spans="90:90">
      <c r="CL89"/>
    </row>
    <row r="90" spans="90:90">
      <c r="CL90"/>
    </row>
    <row r="91" spans="90:90">
      <c r="CL91"/>
    </row>
    <row r="92" spans="90:90">
      <c r="CL92"/>
    </row>
    <row r="93" spans="90:90">
      <c r="CL93"/>
    </row>
    <row r="94" spans="90:90">
      <c r="CL94"/>
    </row>
    <row r="95" spans="90:90">
      <c r="CL95"/>
    </row>
    <row r="96" spans="90:90">
      <c r="CL96"/>
    </row>
    <row r="97" spans="90:90">
      <c r="CL97"/>
    </row>
    <row r="98" spans="90:90">
      <c r="CL98"/>
    </row>
    <row r="99" spans="90:90">
      <c r="CL99"/>
    </row>
    <row r="100" spans="90:90">
      <c r="CL100"/>
    </row>
    <row r="101" spans="90:90">
      <c r="CL101"/>
    </row>
    <row r="102" spans="90:90">
      <c r="CL102"/>
    </row>
    <row r="103" spans="90:90">
      <c r="CL103"/>
    </row>
    <row r="104" spans="90:90">
      <c r="CL104"/>
    </row>
    <row r="105" spans="90:90">
      <c r="CL105"/>
    </row>
    <row r="106" spans="90:90">
      <c r="CL106"/>
    </row>
    <row r="107" spans="90:90">
      <c r="CL107"/>
    </row>
    <row r="108" spans="90:90">
      <c r="CL108"/>
    </row>
    <row r="109" spans="90:90">
      <c r="CL109"/>
    </row>
    <row r="110" spans="90:90">
      <c r="CL110"/>
    </row>
    <row r="111" spans="90:90">
      <c r="CL111"/>
    </row>
    <row r="112" spans="90:90">
      <c r="CL112"/>
    </row>
    <row r="113" spans="90:90">
      <c r="CL113"/>
    </row>
    <row r="114" spans="90:90">
      <c r="CL114"/>
    </row>
    <row r="115" spans="90:90">
      <c r="CL115"/>
    </row>
    <row r="116" spans="90:90">
      <c r="CL116"/>
    </row>
    <row r="117" spans="90:90">
      <c r="CL117"/>
    </row>
    <row r="118" spans="90:90">
      <c r="CL118"/>
    </row>
    <row r="119" spans="90:90">
      <c r="CL119"/>
    </row>
    <row r="120" spans="90:90">
      <c r="CL120"/>
    </row>
    <row r="121" spans="90:90">
      <c r="CL121"/>
    </row>
    <row r="122" spans="90:90">
      <c r="CL122"/>
    </row>
    <row r="123" spans="90:90">
      <c r="CL123"/>
    </row>
    <row r="124" spans="90:90">
      <c r="CL124"/>
    </row>
    <row r="125" spans="90:90">
      <c r="CL125"/>
    </row>
    <row r="126" spans="90:90">
      <c r="CL126"/>
    </row>
    <row r="127" spans="90:90">
      <c r="CL127"/>
    </row>
    <row r="128" spans="90:90">
      <c r="CL128"/>
    </row>
    <row r="129" spans="90:90">
      <c r="CL129"/>
    </row>
    <row r="130" spans="90:90">
      <c r="CL130"/>
    </row>
    <row r="131" spans="90:90">
      <c r="CL131"/>
    </row>
    <row r="132" spans="90:90">
      <c r="CL132"/>
    </row>
    <row r="133" spans="90:90">
      <c r="CL133"/>
    </row>
    <row r="134" spans="90:90">
      <c r="CL134"/>
    </row>
    <row r="135" spans="90:90">
      <c r="CL135"/>
    </row>
    <row r="136" spans="90:90">
      <c r="CL136"/>
    </row>
    <row r="137" spans="90:90">
      <c r="CL137"/>
    </row>
    <row r="138" spans="90:90">
      <c r="CL138"/>
    </row>
    <row r="139" spans="90:90">
      <c r="CL139"/>
    </row>
    <row r="140" spans="90:90">
      <c r="CL140"/>
    </row>
    <row r="141" spans="90:90">
      <c r="CL141"/>
    </row>
    <row r="142" spans="90:90">
      <c r="CL142"/>
    </row>
    <row r="143" spans="90:90">
      <c r="CL143"/>
    </row>
    <row r="144" spans="90:90">
      <c r="CL144"/>
    </row>
    <row r="145" spans="90:90">
      <c r="CL145"/>
    </row>
    <row r="146" spans="90:90">
      <c r="CL146"/>
    </row>
    <row r="147" spans="90:90">
      <c r="CL147"/>
    </row>
    <row r="148" spans="90:90">
      <c r="CL148"/>
    </row>
    <row r="149" spans="90:90">
      <c r="CL149"/>
    </row>
    <row r="150" spans="90:90">
      <c r="CL150"/>
    </row>
    <row r="151" spans="90:90">
      <c r="CL151"/>
    </row>
    <row r="152" spans="90:90">
      <c r="CL152"/>
    </row>
    <row r="153" spans="90:90">
      <c r="CL153"/>
    </row>
    <row r="154" spans="90:90">
      <c r="CL154"/>
    </row>
    <row r="155" spans="90:90">
      <c r="CL155"/>
    </row>
    <row r="156" spans="90:90">
      <c r="CL156"/>
    </row>
    <row r="157" spans="90:90">
      <c r="CL157"/>
    </row>
    <row r="158" spans="90:90">
      <c r="CL158"/>
    </row>
    <row r="159" spans="90:90">
      <c r="CL159"/>
    </row>
    <row r="160" spans="90:90">
      <c r="CL160"/>
    </row>
    <row r="161" spans="90:90">
      <c r="CL161"/>
    </row>
    <row r="162" spans="90:90">
      <c r="CL162"/>
    </row>
    <row r="163" spans="90:90">
      <c r="CL163"/>
    </row>
    <row r="164" spans="90:90">
      <c r="CL164"/>
    </row>
    <row r="165" spans="90:90">
      <c r="CL165"/>
    </row>
    <row r="166" spans="90:90">
      <c r="CL166"/>
    </row>
    <row r="167" spans="90:90">
      <c r="CL167"/>
    </row>
    <row r="168" spans="90:90">
      <c r="CL168"/>
    </row>
    <row r="169" spans="90:90">
      <c r="CL169"/>
    </row>
    <row r="170" spans="90:90">
      <c r="CL170"/>
    </row>
    <row r="171" spans="90:90">
      <c r="CL171"/>
    </row>
    <row r="172" spans="90:90">
      <c r="CL172"/>
    </row>
    <row r="173" spans="90:90">
      <c r="CL173"/>
    </row>
    <row r="174" spans="90:90">
      <c r="CL174"/>
    </row>
    <row r="175" spans="90:90">
      <c r="CL175"/>
    </row>
    <row r="176" spans="90:90">
      <c r="CL176"/>
    </row>
    <row r="177" spans="90:90">
      <c r="CL177"/>
    </row>
    <row r="178" spans="90:90">
      <c r="CL178"/>
    </row>
    <row r="179" spans="90:90">
      <c r="CL179"/>
    </row>
    <row r="180" spans="90:90">
      <c r="CL180"/>
    </row>
    <row r="181" spans="90:90">
      <c r="CL181"/>
    </row>
    <row r="182" spans="90:90">
      <c r="CL182"/>
    </row>
    <row r="183" spans="90:90">
      <c r="CL183"/>
    </row>
    <row r="184" spans="90:90">
      <c r="CL184"/>
    </row>
    <row r="185" spans="90:90">
      <c r="CL185"/>
    </row>
    <row r="186" spans="90:90">
      <c r="CL186"/>
    </row>
    <row r="187" spans="90:90">
      <c r="CL187"/>
    </row>
    <row r="188" spans="90:90">
      <c r="CL188"/>
    </row>
    <row r="189" spans="90:90">
      <c r="CL189"/>
    </row>
    <row r="190" spans="90:90">
      <c r="CL190"/>
    </row>
    <row r="191" spans="90:90">
      <c r="CL191"/>
    </row>
    <row r="192" spans="90:90">
      <c r="CL192"/>
    </row>
    <row r="193" spans="90:90">
      <c r="CL193"/>
    </row>
    <row r="194" spans="90:90">
      <c r="CL194"/>
    </row>
    <row r="195" spans="90:90">
      <c r="CL195"/>
    </row>
    <row r="196" spans="90:90">
      <c r="CL196"/>
    </row>
    <row r="197" spans="90:90">
      <c r="CL197"/>
    </row>
    <row r="198" spans="90:90">
      <c r="CL198"/>
    </row>
    <row r="199" spans="90:90">
      <c r="CL199"/>
    </row>
    <row r="200" spans="90:90">
      <c r="CL200"/>
    </row>
    <row r="201" spans="90:90">
      <c r="CL201"/>
    </row>
    <row r="202" spans="90:90">
      <c r="CL202"/>
    </row>
    <row r="203" spans="90:90">
      <c r="CL203"/>
    </row>
    <row r="204" spans="90:90">
      <c r="CL204"/>
    </row>
    <row r="205" spans="90:90">
      <c r="CL205"/>
    </row>
    <row r="206" spans="90:90">
      <c r="CL206"/>
    </row>
    <row r="207" spans="90:90">
      <c r="CL207"/>
    </row>
    <row r="208" spans="90:90">
      <c r="CL208"/>
    </row>
    <row r="209" spans="90:90">
      <c r="CL209"/>
    </row>
    <row r="210" spans="90:90">
      <c r="CL210"/>
    </row>
    <row r="211" spans="90:90">
      <c r="CL211"/>
    </row>
    <row r="212" spans="90:90">
      <c r="CL212"/>
    </row>
    <row r="213" spans="90:90">
      <c r="CL213"/>
    </row>
    <row r="214" spans="90:90">
      <c r="CL214"/>
    </row>
    <row r="215" spans="90:90">
      <c r="CL215"/>
    </row>
    <row r="216" spans="90:90">
      <c r="CL216"/>
    </row>
    <row r="217" spans="90:90">
      <c r="CL217"/>
    </row>
    <row r="218" spans="90:90">
      <c r="CL218"/>
    </row>
    <row r="219" spans="90:90">
      <c r="CL219"/>
    </row>
    <row r="220" spans="90:90">
      <c r="CL220"/>
    </row>
    <row r="221" spans="90:90">
      <c r="CL221"/>
    </row>
    <row r="222" spans="90:90">
      <c r="CL222"/>
    </row>
    <row r="223" spans="90:90">
      <c r="CL223"/>
    </row>
    <row r="224" spans="90:90">
      <c r="CL224"/>
    </row>
    <row r="225" spans="90:90">
      <c r="CL225"/>
    </row>
    <row r="226" spans="90:90">
      <c r="CL226"/>
    </row>
    <row r="227" spans="90:90">
      <c r="CL227"/>
    </row>
    <row r="228" spans="90:90">
      <c r="CL228"/>
    </row>
    <row r="229" spans="90:90">
      <c r="CL229"/>
    </row>
    <row r="230" spans="90:90">
      <c r="CL230"/>
    </row>
    <row r="231" spans="90:90">
      <c r="CL231"/>
    </row>
    <row r="232" spans="90:90">
      <c r="CL232"/>
    </row>
    <row r="233" spans="90:90">
      <c r="CL233"/>
    </row>
    <row r="234" spans="90:90">
      <c r="CL234"/>
    </row>
    <row r="235" spans="90:90">
      <c r="CL235"/>
    </row>
    <row r="236" spans="90:90">
      <c r="CL236"/>
    </row>
    <row r="237" spans="90:90">
      <c r="CL237"/>
    </row>
    <row r="238" spans="90:90">
      <c r="CL238"/>
    </row>
    <row r="239" spans="90:90">
      <c r="CL239"/>
    </row>
    <row r="240" spans="90:90">
      <c r="CL240"/>
    </row>
    <row r="241" spans="90:90">
      <c r="CL241"/>
    </row>
    <row r="242" spans="90:90">
      <c r="CL242"/>
    </row>
    <row r="243" spans="90:90">
      <c r="CL243"/>
    </row>
    <row r="244" spans="90:90">
      <c r="CL244"/>
    </row>
    <row r="245" spans="90:90">
      <c r="CL245"/>
    </row>
    <row r="246" spans="90:90">
      <c r="CL246"/>
    </row>
    <row r="247" spans="90:90">
      <c r="CL247"/>
    </row>
    <row r="248" spans="90:90">
      <c r="CL248"/>
    </row>
    <row r="249" spans="90:90">
      <c r="CL249"/>
    </row>
    <row r="250" spans="90:90">
      <c r="CL250"/>
    </row>
    <row r="251" spans="90:90">
      <c r="CL251"/>
    </row>
    <row r="252" spans="90:90">
      <c r="CL252"/>
    </row>
    <row r="253" spans="90:90">
      <c r="CL253"/>
    </row>
    <row r="254" spans="90:90">
      <c r="CL254"/>
    </row>
    <row r="255" spans="90:90">
      <c r="CL255"/>
    </row>
    <row r="256" spans="90:90">
      <c r="CL256"/>
    </row>
    <row r="257" spans="90:90">
      <c r="CL257"/>
    </row>
    <row r="258" spans="90:90">
      <c r="CL258"/>
    </row>
    <row r="259" spans="90:90">
      <c r="CL259"/>
    </row>
    <row r="260" spans="90:90">
      <c r="CL260"/>
    </row>
    <row r="261" spans="90:90">
      <c r="CL261"/>
    </row>
    <row r="262" spans="90:90">
      <c r="CL262"/>
    </row>
    <row r="263" spans="90:90">
      <c r="CL263"/>
    </row>
    <row r="264" spans="90:90">
      <c r="CL264"/>
    </row>
    <row r="265" spans="90:90">
      <c r="CL265"/>
    </row>
    <row r="266" spans="90:90">
      <c r="CL266"/>
    </row>
    <row r="267" spans="90:90">
      <c r="CL267"/>
    </row>
    <row r="268" spans="90:90">
      <c r="CL268"/>
    </row>
    <row r="269" spans="90:90">
      <c r="CL269"/>
    </row>
    <row r="270" spans="90:90">
      <c r="CL270"/>
    </row>
    <row r="271" spans="90:90">
      <c r="CL271"/>
    </row>
    <row r="272" spans="90:90">
      <c r="CL272"/>
    </row>
    <row r="273" spans="90:90">
      <c r="CL273"/>
    </row>
    <row r="274" spans="90:90">
      <c r="CL274"/>
    </row>
    <row r="275" spans="90:90">
      <c r="CL275"/>
    </row>
    <row r="276" spans="90:90">
      <c r="CL276"/>
    </row>
    <row r="277" spans="90:90">
      <c r="CL277"/>
    </row>
    <row r="278" spans="90:90">
      <c r="CL278"/>
    </row>
    <row r="279" spans="90:90">
      <c r="CL279"/>
    </row>
    <row r="280" spans="90:90">
      <c r="CL280"/>
    </row>
    <row r="281" spans="90:90">
      <c r="CL281"/>
    </row>
    <row r="282" spans="90:90">
      <c r="CL282"/>
    </row>
    <row r="283" spans="90:90">
      <c r="CL283"/>
    </row>
    <row r="284" spans="90:90">
      <c r="CL284"/>
    </row>
    <row r="285" spans="90:90">
      <c r="CL285"/>
    </row>
    <row r="286" spans="90:90">
      <c r="CL286"/>
    </row>
    <row r="287" spans="90:90">
      <c r="CL287"/>
    </row>
    <row r="288" spans="90:90">
      <c r="CL288"/>
    </row>
    <row r="289" spans="90:90">
      <c r="CL289"/>
    </row>
    <row r="290" spans="90:90">
      <c r="CL290"/>
    </row>
    <row r="291" spans="90:90">
      <c r="CL291"/>
    </row>
    <row r="292" spans="90:90">
      <c r="CL292"/>
    </row>
    <row r="293" spans="90:90">
      <c r="CL293"/>
    </row>
    <row r="294" spans="90:90">
      <c r="CL294"/>
    </row>
    <row r="295" spans="90:90">
      <c r="CL295"/>
    </row>
    <row r="296" spans="90:90">
      <c r="CL296"/>
    </row>
    <row r="297" spans="90:90">
      <c r="CL297"/>
    </row>
    <row r="298" spans="90:90">
      <c r="CL298"/>
    </row>
    <row r="299" spans="90:90">
      <c r="CL299"/>
    </row>
    <row r="300" spans="90:90">
      <c r="CL300"/>
    </row>
    <row r="301" spans="90:90">
      <c r="CL301"/>
    </row>
    <row r="302" spans="90:90">
      <c r="CL302"/>
    </row>
    <row r="303" spans="90:90">
      <c r="CL303"/>
    </row>
    <row r="304" spans="90:90">
      <c r="CL304"/>
    </row>
    <row r="305" spans="90:90">
      <c r="CL305"/>
    </row>
    <row r="306" spans="90:90">
      <c r="CL306"/>
    </row>
    <row r="307" spans="90:90">
      <c r="CL307"/>
    </row>
    <row r="308" spans="90:90">
      <c r="CL308"/>
    </row>
    <row r="309" spans="90:90">
      <c r="CL309"/>
    </row>
    <row r="310" spans="90:90">
      <c r="CL310"/>
    </row>
    <row r="311" spans="90:90">
      <c r="CL311"/>
    </row>
    <row r="312" spans="90:90">
      <c r="CL312"/>
    </row>
    <row r="313" spans="90:90">
      <c r="CL313"/>
    </row>
    <row r="314" spans="90:90">
      <c r="CL314"/>
    </row>
    <row r="315" spans="90:90">
      <c r="CL315"/>
    </row>
    <row r="316" spans="90:90">
      <c r="CL316"/>
    </row>
    <row r="317" spans="90:90">
      <c r="CL317"/>
    </row>
    <row r="318" spans="90:90">
      <c r="CL318"/>
    </row>
    <row r="319" spans="90:90">
      <c r="CL319"/>
    </row>
    <row r="320" spans="90:90">
      <c r="CL320"/>
    </row>
    <row r="321" spans="90:90">
      <c r="CL321"/>
    </row>
    <row r="322" spans="90:90">
      <c r="CL322"/>
    </row>
    <row r="323" spans="90:90">
      <c r="CL323"/>
    </row>
    <row r="324" spans="90:90">
      <c r="CL324"/>
    </row>
    <row r="325" spans="90:90">
      <c r="CL325"/>
    </row>
    <row r="326" spans="90:90">
      <c r="CL326"/>
    </row>
    <row r="327" spans="90:90">
      <c r="CL327"/>
    </row>
    <row r="328" spans="90:90">
      <c r="CL328"/>
    </row>
    <row r="329" spans="90:90">
      <c r="CL329"/>
    </row>
    <row r="330" spans="90:90">
      <c r="CL330"/>
    </row>
    <row r="331" spans="90:90">
      <c r="CL331"/>
    </row>
    <row r="332" spans="90:90">
      <c r="CL332"/>
    </row>
    <row r="333" spans="90:90">
      <c r="CL333"/>
    </row>
    <row r="334" spans="90:90">
      <c r="CL334"/>
    </row>
    <row r="335" spans="90:90">
      <c r="CL335"/>
    </row>
    <row r="336" spans="90:90">
      <c r="CL336"/>
    </row>
    <row r="337" spans="90:90">
      <c r="CL337"/>
    </row>
    <row r="338" spans="90:90">
      <c r="CL338"/>
    </row>
    <row r="339" spans="90:90">
      <c r="CL339"/>
    </row>
    <row r="340" spans="90:90">
      <c r="CL340"/>
    </row>
    <row r="341" spans="90:90">
      <c r="CL341"/>
    </row>
    <row r="342" spans="90:90">
      <c r="CL342"/>
    </row>
    <row r="343" spans="90:90">
      <c r="CL343"/>
    </row>
    <row r="344" spans="90:90">
      <c r="CL344"/>
    </row>
    <row r="345" spans="90:90">
      <c r="CL345"/>
    </row>
    <row r="346" spans="90:90">
      <c r="CL346"/>
    </row>
    <row r="347" spans="90:90">
      <c r="CL347"/>
    </row>
    <row r="348" spans="90:90">
      <c r="CL348"/>
    </row>
    <row r="349" spans="90:90">
      <c r="CL349"/>
    </row>
    <row r="350" spans="90:90">
      <c r="CL350"/>
    </row>
    <row r="351" spans="90:90">
      <c r="CL351"/>
    </row>
    <row r="352" spans="90:90">
      <c r="CL352"/>
    </row>
    <row r="353" spans="90:90">
      <c r="CL353"/>
    </row>
    <row r="354" spans="90:90">
      <c r="CL354"/>
    </row>
    <row r="355" spans="90:90">
      <c r="CL355"/>
    </row>
    <row r="356" spans="90:90">
      <c r="CL356"/>
    </row>
    <row r="357" spans="90:90">
      <c r="CL357"/>
    </row>
    <row r="358" spans="90:90">
      <c r="CL358"/>
    </row>
    <row r="359" spans="90:90">
      <c r="CL359"/>
    </row>
    <row r="360" spans="90:90">
      <c r="CL360"/>
    </row>
    <row r="361" spans="90:90">
      <c r="CL361"/>
    </row>
    <row r="362" spans="90:90">
      <c r="CL362"/>
    </row>
    <row r="363" spans="90:90">
      <c r="CL363"/>
    </row>
    <row r="364" spans="90:90">
      <c r="CL364"/>
    </row>
    <row r="365" spans="90:90">
      <c r="CL365"/>
    </row>
    <row r="366" spans="90:90">
      <c r="CL366"/>
    </row>
    <row r="367" spans="90:90">
      <c r="CL367"/>
    </row>
    <row r="368" spans="90:90">
      <c r="CL368"/>
    </row>
    <row r="369" spans="90:90">
      <c r="CL369"/>
    </row>
    <row r="370" spans="90:90">
      <c r="CL370"/>
    </row>
    <row r="371" spans="90:90">
      <c r="CL371"/>
    </row>
    <row r="372" spans="90:90">
      <c r="CL372"/>
    </row>
    <row r="373" spans="90:90">
      <c r="CL373"/>
    </row>
    <row r="374" spans="90:90">
      <c r="CL374"/>
    </row>
    <row r="375" spans="90:90">
      <c r="CL375"/>
    </row>
    <row r="376" spans="90:90">
      <c r="CL376"/>
    </row>
    <row r="377" spans="90:90">
      <c r="CL377"/>
    </row>
    <row r="378" spans="90:90">
      <c r="CL378"/>
    </row>
    <row r="379" spans="90:90">
      <c r="CL379"/>
    </row>
    <row r="380" spans="90:90">
      <c r="CL380"/>
    </row>
    <row r="381" spans="90:90">
      <c r="CL381"/>
    </row>
    <row r="382" spans="90:90">
      <c r="CL382"/>
    </row>
    <row r="383" spans="90:90">
      <c r="CL383"/>
    </row>
    <row r="384" spans="90:90">
      <c r="CL384"/>
    </row>
    <row r="385" spans="90:90">
      <c r="CL385"/>
    </row>
    <row r="386" spans="90:90">
      <c r="CL386"/>
    </row>
    <row r="387" spans="90:90">
      <c r="CL387"/>
    </row>
    <row r="388" spans="90:90">
      <c r="CL388"/>
    </row>
    <row r="389" spans="90:90">
      <c r="CL389"/>
    </row>
    <row r="390" spans="90:90">
      <c r="CL390"/>
    </row>
    <row r="391" spans="90:90">
      <c r="CL391"/>
    </row>
    <row r="392" spans="90:90">
      <c r="CL392"/>
    </row>
    <row r="393" spans="90:90">
      <c r="CL393"/>
    </row>
    <row r="394" spans="90:90">
      <c r="CL394"/>
    </row>
    <row r="395" spans="90:90">
      <c r="CL395"/>
    </row>
    <row r="396" spans="90:90">
      <c r="CL396"/>
    </row>
    <row r="397" spans="90:90">
      <c r="CL397"/>
    </row>
    <row r="398" spans="90:90">
      <c r="CL398"/>
    </row>
    <row r="399" spans="90:90">
      <c r="CL399"/>
    </row>
    <row r="400" spans="90:90">
      <c r="CL400"/>
    </row>
    <row r="401" spans="90:90">
      <c r="CL401"/>
    </row>
    <row r="402" spans="90:90">
      <c r="CL402"/>
    </row>
    <row r="403" spans="90:90">
      <c r="CL403"/>
    </row>
    <row r="404" spans="90:90">
      <c r="CL404"/>
    </row>
    <row r="405" spans="90:90">
      <c r="CL405"/>
    </row>
    <row r="406" spans="90:90">
      <c r="CL406"/>
    </row>
    <row r="407" spans="90:90">
      <c r="CL407"/>
    </row>
    <row r="408" spans="90:90">
      <c r="CL408"/>
    </row>
    <row r="409" spans="90:90">
      <c r="CL409"/>
    </row>
    <row r="410" spans="90:90">
      <c r="CL410"/>
    </row>
    <row r="411" spans="90:90">
      <c r="CL411"/>
    </row>
    <row r="412" spans="90:90">
      <c r="CL412"/>
    </row>
    <row r="413" spans="90:90">
      <c r="CL413"/>
    </row>
    <row r="414" spans="90:90">
      <c r="CL414"/>
    </row>
    <row r="415" spans="90:90">
      <c r="CL415"/>
    </row>
    <row r="416" spans="90:90">
      <c r="CL416"/>
    </row>
    <row r="417" spans="90:90">
      <c r="CL417"/>
    </row>
    <row r="418" spans="90:90">
      <c r="CL418"/>
    </row>
    <row r="419" spans="90:90">
      <c r="CL419"/>
    </row>
    <row r="420" spans="90:90">
      <c r="CL420"/>
    </row>
    <row r="421" spans="90:90">
      <c r="CL421"/>
    </row>
    <row r="422" spans="90:90">
      <c r="CL422"/>
    </row>
    <row r="423" spans="90:90">
      <c r="CL423"/>
    </row>
    <row r="424" spans="90:90">
      <c r="CL424"/>
    </row>
    <row r="425" spans="90:90">
      <c r="CL425"/>
    </row>
    <row r="426" spans="90:90">
      <c r="CL426"/>
    </row>
    <row r="427" spans="90:90">
      <c r="CL427"/>
    </row>
    <row r="428" spans="90:90">
      <c r="CL428"/>
    </row>
    <row r="429" spans="90:90">
      <c r="CL429"/>
    </row>
    <row r="430" spans="90:90">
      <c r="CL430"/>
    </row>
    <row r="431" spans="90:90">
      <c r="CL431"/>
    </row>
    <row r="432" spans="90:90">
      <c r="CL432"/>
    </row>
    <row r="433" spans="90:90">
      <c r="CL433"/>
    </row>
    <row r="434" spans="90:90">
      <c r="CL434"/>
    </row>
    <row r="435" spans="90:90">
      <c r="CL435"/>
    </row>
    <row r="436" spans="90:90">
      <c r="CL436"/>
    </row>
    <row r="437" spans="90:90">
      <c r="CL437"/>
    </row>
    <row r="438" spans="90:90">
      <c r="CL438"/>
    </row>
    <row r="439" spans="90:90">
      <c r="CL439"/>
    </row>
    <row r="440" spans="90:90">
      <c r="CL440"/>
    </row>
    <row r="441" spans="90:90">
      <c r="CL441"/>
    </row>
    <row r="442" spans="90:90">
      <c r="CL442"/>
    </row>
    <row r="443" spans="90:90">
      <c r="CL443"/>
    </row>
    <row r="444" spans="90:90">
      <c r="CL444"/>
    </row>
    <row r="445" spans="90:90">
      <c r="CL445"/>
    </row>
    <row r="446" spans="90:90">
      <c r="CL446"/>
    </row>
    <row r="447" spans="90:90">
      <c r="CL447"/>
    </row>
    <row r="448" spans="90:90">
      <c r="CL448"/>
    </row>
    <row r="449" spans="90:90">
      <c r="CL449"/>
    </row>
    <row r="450" spans="90:90">
      <c r="CL450"/>
    </row>
    <row r="451" spans="90:90">
      <c r="CL451"/>
    </row>
    <row r="452" spans="90:90">
      <c r="CL452"/>
    </row>
    <row r="453" spans="90:90">
      <c r="CL453"/>
    </row>
    <row r="454" spans="90:90">
      <c r="CL454"/>
    </row>
    <row r="455" spans="90:90">
      <c r="CL455"/>
    </row>
    <row r="456" spans="90:90">
      <c r="CL456"/>
    </row>
    <row r="457" spans="90:90">
      <c r="CL457"/>
    </row>
    <row r="458" spans="90:90">
      <c r="CL458"/>
    </row>
    <row r="459" spans="90:90">
      <c r="CL459"/>
    </row>
    <row r="460" spans="90:90">
      <c r="CL460"/>
    </row>
    <row r="461" spans="90:90">
      <c r="CL461"/>
    </row>
    <row r="462" spans="90:90">
      <c r="CL462"/>
    </row>
    <row r="463" spans="90:90">
      <c r="CL463"/>
    </row>
    <row r="464" spans="90:90">
      <c r="CL464"/>
    </row>
    <row r="465" spans="90:90">
      <c r="CL465"/>
    </row>
    <row r="466" spans="90:90">
      <c r="CL466"/>
    </row>
    <row r="467" spans="90:90">
      <c r="CL467"/>
    </row>
    <row r="468" spans="90:90">
      <c r="CL468"/>
    </row>
    <row r="469" spans="90:90">
      <c r="CL469"/>
    </row>
    <row r="470" spans="90:90">
      <c r="CL470"/>
    </row>
    <row r="471" spans="90:90">
      <c r="CL471"/>
    </row>
    <row r="472" spans="90:90">
      <c r="CL472"/>
    </row>
    <row r="473" spans="90:90">
      <c r="CL473"/>
    </row>
    <row r="474" spans="90:90">
      <c r="CL474"/>
    </row>
    <row r="475" spans="90:90">
      <c r="CL475"/>
    </row>
    <row r="476" spans="90:90">
      <c r="CL476"/>
    </row>
    <row r="477" spans="90:90">
      <c r="CL477"/>
    </row>
    <row r="478" spans="90:90">
      <c r="CL478"/>
    </row>
    <row r="479" spans="90:90">
      <c r="CL479"/>
    </row>
    <row r="480" spans="90:90">
      <c r="CL480"/>
    </row>
    <row r="481" spans="90:90">
      <c r="CL481"/>
    </row>
    <row r="482" spans="90:90">
      <c r="CL482"/>
    </row>
    <row r="483" spans="90:90">
      <c r="CL483"/>
    </row>
    <row r="484" spans="90:90">
      <c r="CL484"/>
    </row>
    <row r="485" spans="90:90">
      <c r="CL485"/>
    </row>
    <row r="486" spans="90:90">
      <c r="CL486"/>
    </row>
    <row r="487" spans="90:90">
      <c r="CL487"/>
    </row>
    <row r="488" spans="90:90">
      <c r="CL488"/>
    </row>
    <row r="489" spans="90:90">
      <c r="CL489"/>
    </row>
    <row r="490" spans="90:90">
      <c r="CL490"/>
    </row>
    <row r="491" spans="90:90">
      <c r="CL491"/>
    </row>
    <row r="492" spans="90:90">
      <c r="CL492"/>
    </row>
    <row r="493" spans="90:90">
      <c r="CL493"/>
    </row>
    <row r="494" spans="90:90">
      <c r="CL494"/>
    </row>
    <row r="495" spans="90:90">
      <c r="CL495"/>
    </row>
    <row r="496" spans="90:90">
      <c r="CL496"/>
    </row>
    <row r="497" spans="90:90">
      <c r="CL497"/>
    </row>
    <row r="498" spans="90:90">
      <c r="CL498"/>
    </row>
    <row r="499" spans="90:90">
      <c r="CL499"/>
    </row>
    <row r="500" spans="90:90">
      <c r="CL500"/>
    </row>
    <row r="501" spans="90:90">
      <c r="CL501"/>
    </row>
    <row r="502" spans="90:90">
      <c r="CL502"/>
    </row>
    <row r="503" spans="90:90">
      <c r="CL503"/>
    </row>
    <row r="504" spans="90:90">
      <c r="CL504"/>
    </row>
    <row r="505" spans="90:90">
      <c r="CL505"/>
    </row>
    <row r="506" spans="90:90">
      <c r="CL506"/>
    </row>
    <row r="507" spans="90:90">
      <c r="CL507"/>
    </row>
    <row r="508" spans="90:90">
      <c r="CL508"/>
    </row>
    <row r="509" spans="90:90">
      <c r="CL509"/>
    </row>
    <row r="510" spans="90:90">
      <c r="CL510"/>
    </row>
    <row r="511" spans="90:90">
      <c r="CL511"/>
    </row>
    <row r="512" spans="90:90">
      <c r="CL512"/>
    </row>
    <row r="513" spans="90:90">
      <c r="CL513"/>
    </row>
    <row r="514" spans="90:90">
      <c r="CL514"/>
    </row>
    <row r="515" spans="90:90">
      <c r="CL515"/>
    </row>
    <row r="516" spans="90:90">
      <c r="CL516"/>
    </row>
    <row r="517" spans="90:90">
      <c r="CL517"/>
    </row>
    <row r="518" spans="90:90">
      <c r="CL518"/>
    </row>
    <row r="519" spans="90:90">
      <c r="CL519"/>
    </row>
    <row r="520" spans="90:90">
      <c r="CL520"/>
    </row>
    <row r="521" spans="90:90">
      <c r="CL521"/>
    </row>
    <row r="522" spans="90:90">
      <c r="CL522"/>
    </row>
    <row r="523" spans="90:90">
      <c r="CL523"/>
    </row>
    <row r="524" spans="90:90">
      <c r="CL524"/>
    </row>
    <row r="525" spans="90:90">
      <c r="CL525"/>
    </row>
    <row r="526" spans="90:90">
      <c r="CL526"/>
    </row>
    <row r="527" spans="90:90">
      <c r="CL527"/>
    </row>
    <row r="528" spans="90:90">
      <c r="CL528"/>
    </row>
    <row r="529" spans="90:90">
      <c r="CL529"/>
    </row>
    <row r="530" spans="90:90">
      <c r="CL530"/>
    </row>
    <row r="531" spans="90:90">
      <c r="CL531"/>
    </row>
    <row r="532" spans="90:90">
      <c r="CL532"/>
    </row>
    <row r="533" spans="90:90">
      <c r="CL533"/>
    </row>
    <row r="534" spans="90:90">
      <c r="CL534"/>
    </row>
    <row r="535" spans="90:90">
      <c r="CL535"/>
    </row>
    <row r="536" spans="90:90">
      <c r="CL536"/>
    </row>
    <row r="537" spans="90:90">
      <c r="CL537"/>
    </row>
    <row r="538" spans="90:90">
      <c r="CL538"/>
    </row>
    <row r="539" spans="90:90">
      <c r="CL539"/>
    </row>
    <row r="540" spans="90:90">
      <c r="CL540"/>
    </row>
    <row r="541" spans="90:90">
      <c r="CL541"/>
    </row>
    <row r="542" spans="90:90">
      <c r="CL542"/>
    </row>
    <row r="543" spans="90:90">
      <c r="CL543"/>
    </row>
    <row r="544" spans="90:90">
      <c r="CL544"/>
    </row>
    <row r="545" spans="90:90">
      <c r="CL545"/>
    </row>
    <row r="546" spans="90:90">
      <c r="CL546"/>
    </row>
    <row r="547" spans="90:90">
      <c r="CL547"/>
    </row>
    <row r="548" spans="90:90">
      <c r="CL548"/>
    </row>
    <row r="549" spans="90:90">
      <c r="CL549"/>
    </row>
    <row r="550" spans="90:90">
      <c r="CL550"/>
    </row>
    <row r="551" spans="90:90">
      <c r="CL551"/>
    </row>
    <row r="552" spans="90:90">
      <c r="CL552"/>
    </row>
    <row r="553" spans="90:90">
      <c r="CL553"/>
    </row>
    <row r="554" spans="90:90">
      <c r="CL554"/>
    </row>
    <row r="555" spans="90:90">
      <c r="CL555"/>
    </row>
    <row r="556" spans="90:90">
      <c r="CL556"/>
    </row>
    <row r="557" spans="90:90">
      <c r="CL557"/>
    </row>
    <row r="558" spans="90:90">
      <c r="CL558"/>
    </row>
    <row r="559" spans="90:90">
      <c r="CL559"/>
    </row>
    <row r="560" spans="90:90">
      <c r="CL560"/>
    </row>
    <row r="561" spans="90:90">
      <c r="CL561"/>
    </row>
    <row r="562" spans="90:90">
      <c r="CL562"/>
    </row>
    <row r="563" spans="90:90">
      <c r="CL563"/>
    </row>
    <row r="564" spans="90:90">
      <c r="CL564"/>
    </row>
    <row r="565" spans="90:90">
      <c r="CL565"/>
    </row>
    <row r="566" spans="90:90">
      <c r="CL566"/>
    </row>
    <row r="567" spans="90:90">
      <c r="CL567"/>
    </row>
    <row r="568" spans="90:90">
      <c r="CL568"/>
    </row>
    <row r="569" spans="90:90">
      <c r="CL569"/>
    </row>
    <row r="570" spans="90:90">
      <c r="CL570"/>
    </row>
    <row r="571" spans="90:90">
      <c r="CL571"/>
    </row>
    <row r="572" spans="90:90">
      <c r="CL572"/>
    </row>
    <row r="573" spans="90:90">
      <c r="CL573"/>
    </row>
    <row r="574" spans="90:90">
      <c r="CL574"/>
    </row>
    <row r="575" spans="90:90">
      <c r="CL575"/>
    </row>
    <row r="576" spans="90:90">
      <c r="CL576"/>
    </row>
    <row r="577" spans="90:90">
      <c r="CL577"/>
    </row>
    <row r="578" spans="90:90">
      <c r="CL578"/>
    </row>
    <row r="579" spans="90:90">
      <c r="CL579"/>
    </row>
    <row r="580" spans="90:90">
      <c r="CL580"/>
    </row>
    <row r="581" spans="90:90">
      <c r="CL581"/>
    </row>
    <row r="582" spans="90:90">
      <c r="CL582"/>
    </row>
    <row r="583" spans="90:90">
      <c r="CL583"/>
    </row>
    <row r="584" spans="90:90">
      <c r="CL584"/>
    </row>
    <row r="585" spans="90:90">
      <c r="CL585"/>
    </row>
    <row r="586" spans="90:90">
      <c r="CL586"/>
    </row>
    <row r="587" spans="90:90">
      <c r="CL587"/>
    </row>
    <row r="588" spans="90:90">
      <c r="CL588"/>
    </row>
    <row r="589" spans="90:90">
      <c r="CL589"/>
    </row>
    <row r="590" spans="90:90">
      <c r="CL590"/>
    </row>
    <row r="591" spans="90:90">
      <c r="CL591"/>
    </row>
    <row r="592" spans="90:90">
      <c r="CL592"/>
    </row>
    <row r="593" spans="90:90">
      <c r="CL593"/>
    </row>
    <row r="594" spans="90:90">
      <c r="CL594"/>
    </row>
    <row r="595" spans="90:90">
      <c r="CL595"/>
    </row>
    <row r="596" spans="90:90">
      <c r="CL596"/>
    </row>
    <row r="597" spans="90:90">
      <c r="CL597"/>
    </row>
    <row r="598" spans="90:90">
      <c r="CL598"/>
    </row>
    <row r="599" spans="90:90">
      <c r="CL599"/>
    </row>
    <row r="600" spans="90:90">
      <c r="CL600"/>
    </row>
    <row r="601" spans="90:90">
      <c r="CL601"/>
    </row>
    <row r="602" spans="90:90">
      <c r="CL602"/>
    </row>
    <row r="603" spans="90:90">
      <c r="CL603"/>
    </row>
    <row r="604" spans="90:90">
      <c r="CL604"/>
    </row>
    <row r="605" spans="90:90">
      <c r="CL605"/>
    </row>
    <row r="606" spans="90:90">
      <c r="CL606"/>
    </row>
    <row r="607" spans="90:90">
      <c r="CL607"/>
    </row>
    <row r="608" spans="90:90">
      <c r="CL608"/>
    </row>
    <row r="609" spans="90:90">
      <c r="CL609"/>
    </row>
    <row r="610" spans="90:90">
      <c r="CL610"/>
    </row>
    <row r="611" spans="90:90">
      <c r="CL611"/>
    </row>
    <row r="612" spans="90:90">
      <c r="CL612"/>
    </row>
    <row r="613" spans="90:90">
      <c r="CL613"/>
    </row>
    <row r="614" spans="90:90">
      <c r="CL614"/>
    </row>
    <row r="615" spans="90:90">
      <c r="CL615"/>
    </row>
    <row r="616" spans="90:90">
      <c r="CL616"/>
    </row>
    <row r="617" spans="90:90">
      <c r="CL617"/>
    </row>
    <row r="618" spans="90:90">
      <c r="CL618"/>
    </row>
    <row r="619" spans="90:90">
      <c r="CL619"/>
    </row>
    <row r="620" spans="90:90">
      <c r="CL620"/>
    </row>
    <row r="621" spans="90:90">
      <c r="CL621"/>
    </row>
    <row r="622" spans="90:90">
      <c r="CL622"/>
    </row>
    <row r="623" spans="90:90">
      <c r="CL623"/>
    </row>
    <row r="624" spans="90:90">
      <c r="CL624"/>
    </row>
    <row r="625" spans="90:90">
      <c r="CL625"/>
    </row>
    <row r="626" spans="90:90">
      <c r="CL626"/>
    </row>
    <row r="627" spans="90:90">
      <c r="CL627"/>
    </row>
    <row r="628" spans="90:90">
      <c r="CL628"/>
    </row>
    <row r="629" spans="90:90">
      <c r="CL629"/>
    </row>
    <row r="630" spans="90:90">
      <c r="CL630"/>
    </row>
    <row r="631" spans="90:90">
      <c r="CL631"/>
    </row>
    <row r="632" spans="90:90">
      <c r="CL632"/>
    </row>
    <row r="633" spans="90:90">
      <c r="CL633"/>
    </row>
    <row r="634" spans="90:90">
      <c r="CL634"/>
    </row>
    <row r="635" spans="90:90">
      <c r="CL635"/>
    </row>
    <row r="636" spans="90:90">
      <c r="CL636"/>
    </row>
    <row r="637" spans="90:90">
      <c r="CL637"/>
    </row>
    <row r="638" spans="90:90">
      <c r="CL638"/>
    </row>
    <row r="639" spans="90:90">
      <c r="CL639"/>
    </row>
    <row r="640" spans="90:90">
      <c r="CL640"/>
    </row>
    <row r="641" spans="90:90">
      <c r="CL641"/>
    </row>
    <row r="642" spans="90:90">
      <c r="CL642"/>
    </row>
    <row r="643" spans="90:90">
      <c r="CL643"/>
    </row>
    <row r="644" spans="90:90">
      <c r="CL644"/>
    </row>
    <row r="645" spans="90:90">
      <c r="CL645"/>
    </row>
    <row r="646" spans="90:90">
      <c r="CL646"/>
    </row>
    <row r="647" spans="90:90">
      <c r="CL647"/>
    </row>
    <row r="648" spans="90:90">
      <c r="CL648"/>
    </row>
    <row r="649" spans="90:90">
      <c r="CL649"/>
    </row>
    <row r="650" spans="90:90">
      <c r="CL650"/>
    </row>
    <row r="651" spans="90:90">
      <c r="CL651"/>
    </row>
    <row r="652" spans="90:90">
      <c r="CL652"/>
    </row>
    <row r="653" spans="90:90">
      <c r="CL653"/>
    </row>
    <row r="654" spans="90:90">
      <c r="CL654"/>
    </row>
    <row r="655" spans="90:90">
      <c r="CL655"/>
    </row>
    <row r="656" spans="90:90">
      <c r="CL656"/>
    </row>
    <row r="657" spans="90:90">
      <c r="CL657"/>
    </row>
    <row r="658" spans="90:90">
      <c r="CL658"/>
    </row>
    <row r="659" spans="90:90">
      <c r="CL659"/>
    </row>
    <row r="660" spans="90:90">
      <c r="CL660"/>
    </row>
    <row r="661" spans="90:90">
      <c r="CL661"/>
    </row>
    <row r="662" spans="90:90">
      <c r="CL662"/>
    </row>
    <row r="663" spans="90:90">
      <c r="CL663"/>
    </row>
    <row r="664" spans="90:90">
      <c r="CL664"/>
    </row>
    <row r="665" spans="90:90">
      <c r="CL665"/>
    </row>
    <row r="666" spans="90:90">
      <c r="CL666"/>
    </row>
    <row r="667" spans="90:90">
      <c r="CL667"/>
    </row>
    <row r="668" spans="90:90">
      <c r="CL668"/>
    </row>
    <row r="669" spans="90:90">
      <c r="CL669"/>
    </row>
    <row r="670" spans="90:90">
      <c r="CL670"/>
    </row>
    <row r="671" spans="90:90">
      <c r="CL671"/>
    </row>
    <row r="672" spans="90:90">
      <c r="CL672"/>
    </row>
    <row r="673" spans="90:90">
      <c r="CL673"/>
    </row>
    <row r="674" spans="90:90">
      <c r="CL674"/>
    </row>
    <row r="675" spans="90:90">
      <c r="CL675"/>
    </row>
    <row r="676" spans="90:90">
      <c r="CL676"/>
    </row>
    <row r="677" spans="90:90">
      <c r="CL677"/>
    </row>
    <row r="678" spans="90:90">
      <c r="CL678"/>
    </row>
    <row r="679" spans="90:90">
      <c r="CL679"/>
    </row>
    <row r="680" spans="90:90">
      <c r="CL680"/>
    </row>
    <row r="681" spans="90:90">
      <c r="CL681"/>
    </row>
    <row r="682" spans="90:90">
      <c r="CL682"/>
    </row>
    <row r="683" spans="90:90">
      <c r="CL683"/>
    </row>
    <row r="684" spans="90:90">
      <c r="CL684"/>
    </row>
    <row r="685" spans="90:90">
      <c r="CL685"/>
    </row>
    <row r="686" spans="90:90">
      <c r="CL686"/>
    </row>
    <row r="687" spans="90:90">
      <c r="CL687"/>
    </row>
    <row r="688" spans="90:90">
      <c r="CL688"/>
    </row>
    <row r="689" spans="90:90">
      <c r="CL689"/>
    </row>
    <row r="690" spans="90:90">
      <c r="CL690"/>
    </row>
    <row r="691" spans="90:90">
      <c r="CL691"/>
    </row>
    <row r="692" spans="90:90">
      <c r="CL692"/>
    </row>
    <row r="693" spans="90:90">
      <c r="CL693"/>
    </row>
    <row r="694" spans="90:90">
      <c r="CL694"/>
    </row>
    <row r="695" spans="90:90">
      <c r="CL695"/>
    </row>
    <row r="696" spans="90:90">
      <c r="CL696"/>
    </row>
    <row r="697" spans="90:90">
      <c r="CL697"/>
    </row>
    <row r="698" spans="90:90">
      <c r="CL698"/>
    </row>
    <row r="699" spans="90:90">
      <c r="CL699"/>
    </row>
    <row r="700" spans="90:90">
      <c r="CL700"/>
    </row>
    <row r="701" spans="90:90">
      <c r="CL701"/>
    </row>
    <row r="702" spans="90:90">
      <c r="CL702"/>
    </row>
    <row r="703" spans="90:90">
      <c r="CL703"/>
    </row>
    <row r="704" spans="90:90">
      <c r="CL704"/>
    </row>
    <row r="705" spans="90:90">
      <c r="CL705"/>
    </row>
    <row r="706" spans="90:90">
      <c r="CL706"/>
    </row>
    <row r="707" spans="90:90">
      <c r="CL707"/>
    </row>
    <row r="708" spans="90:90">
      <c r="CL708"/>
    </row>
    <row r="709" spans="90:90">
      <c r="CL709"/>
    </row>
    <row r="710" spans="90:90">
      <c r="CL710"/>
    </row>
    <row r="711" spans="90:90">
      <c r="CL711"/>
    </row>
    <row r="712" spans="90:90">
      <c r="CL712"/>
    </row>
    <row r="713" spans="90:90">
      <c r="CL713"/>
    </row>
    <row r="714" spans="90:90">
      <c r="CL714"/>
    </row>
    <row r="715" spans="90:90">
      <c r="CL715"/>
    </row>
    <row r="716" spans="90:90">
      <c r="CL716"/>
    </row>
    <row r="717" spans="90:90">
      <c r="CL717"/>
    </row>
    <row r="718" spans="90:90">
      <c r="CL718"/>
    </row>
    <row r="719" spans="90:90">
      <c r="CL719"/>
    </row>
    <row r="720" spans="90:90">
      <c r="CL720"/>
    </row>
    <row r="721" spans="90:90">
      <c r="CL721"/>
    </row>
    <row r="722" spans="90:90">
      <c r="CL722"/>
    </row>
    <row r="723" spans="90:90">
      <c r="CL723"/>
    </row>
    <row r="724" spans="90:90">
      <c r="CL724"/>
    </row>
    <row r="725" spans="90:90">
      <c r="CL725"/>
    </row>
    <row r="726" spans="90:90">
      <c r="CL726"/>
    </row>
    <row r="727" spans="90:90">
      <c r="CL727"/>
    </row>
    <row r="728" spans="90:90">
      <c r="CL728"/>
    </row>
    <row r="729" spans="90:90">
      <c r="CL729"/>
    </row>
    <row r="730" spans="90:90">
      <c r="CL730"/>
    </row>
    <row r="731" spans="90:90">
      <c r="CL731"/>
    </row>
    <row r="732" spans="90:90">
      <c r="CL732"/>
    </row>
    <row r="733" spans="90:90">
      <c r="CL733"/>
    </row>
    <row r="734" spans="90:90">
      <c r="CL734"/>
    </row>
    <row r="735" spans="90:90">
      <c r="CL735"/>
    </row>
    <row r="736" spans="90:90">
      <c r="CL736"/>
    </row>
    <row r="737" spans="90:90">
      <c r="CL737"/>
    </row>
    <row r="738" spans="90:90">
      <c r="CL738"/>
    </row>
    <row r="739" spans="90:90">
      <c r="CL739"/>
    </row>
    <row r="740" spans="90:90">
      <c r="CL740"/>
    </row>
    <row r="741" spans="90:90">
      <c r="CL741"/>
    </row>
    <row r="742" spans="90:90">
      <c r="CL742"/>
    </row>
    <row r="743" spans="90:90">
      <c r="CL743"/>
    </row>
    <row r="744" spans="90:90">
      <c r="CL744"/>
    </row>
    <row r="745" spans="90:90">
      <c r="CL745"/>
    </row>
    <row r="746" spans="90:90">
      <c r="CL746"/>
    </row>
    <row r="747" spans="90:90">
      <c r="CL747"/>
    </row>
    <row r="748" spans="90:90">
      <c r="CL748"/>
    </row>
    <row r="749" spans="90:90">
      <c r="CL749"/>
    </row>
    <row r="750" spans="90:90">
      <c r="CL750"/>
    </row>
    <row r="751" spans="90:90">
      <c r="CL751"/>
    </row>
    <row r="752" spans="90:90">
      <c r="CL752"/>
    </row>
    <row r="753" spans="90:90">
      <c r="CL753"/>
    </row>
    <row r="754" spans="90:90">
      <c r="CL754"/>
    </row>
    <row r="755" spans="90:90">
      <c r="CL755"/>
    </row>
    <row r="756" spans="90:90">
      <c r="CL756"/>
    </row>
    <row r="757" spans="90:90">
      <c r="CL757"/>
    </row>
    <row r="758" spans="90:90">
      <c r="CL758"/>
    </row>
    <row r="759" spans="90:90">
      <c r="CL759"/>
    </row>
    <row r="760" spans="90:90">
      <c r="CL760"/>
    </row>
    <row r="761" spans="90:90">
      <c r="CL761"/>
    </row>
    <row r="762" spans="90:90">
      <c r="CL762"/>
    </row>
    <row r="763" spans="90:90">
      <c r="CL763"/>
    </row>
    <row r="764" spans="90:90">
      <c r="CL764"/>
    </row>
    <row r="765" spans="90:90">
      <c r="CL765"/>
    </row>
    <row r="766" spans="90:90">
      <c r="CL766"/>
    </row>
    <row r="767" spans="90:90">
      <c r="CL767"/>
    </row>
    <row r="768" spans="90:90">
      <c r="CL768"/>
    </row>
    <row r="769" spans="90:90">
      <c r="CL769"/>
    </row>
    <row r="770" spans="90:90">
      <c r="CL770"/>
    </row>
    <row r="771" spans="90:90">
      <c r="CL771"/>
    </row>
    <row r="772" spans="90:90">
      <c r="CL772"/>
    </row>
    <row r="773" spans="90:90">
      <c r="CL773"/>
    </row>
    <row r="774" spans="90:90">
      <c r="CL774"/>
    </row>
    <row r="775" spans="90:90">
      <c r="CL775"/>
    </row>
    <row r="776" spans="90:90">
      <c r="CL776"/>
    </row>
    <row r="777" spans="90:90">
      <c r="CL777"/>
    </row>
    <row r="778" spans="90:90">
      <c r="CL778"/>
    </row>
    <row r="779" spans="90:90">
      <c r="CL779"/>
    </row>
    <row r="780" spans="90:90">
      <c r="CL780"/>
    </row>
    <row r="781" spans="90:90">
      <c r="CL781"/>
    </row>
    <row r="782" spans="90:90">
      <c r="CL782"/>
    </row>
    <row r="783" spans="90:90">
      <c r="CL783"/>
    </row>
    <row r="784" spans="90:90">
      <c r="CL784"/>
    </row>
    <row r="785" spans="90:90">
      <c r="CL785"/>
    </row>
    <row r="786" spans="90:90">
      <c r="CL786"/>
    </row>
    <row r="787" spans="90:90">
      <c r="CL787"/>
    </row>
    <row r="788" spans="90:90">
      <c r="CL788"/>
    </row>
    <row r="789" spans="90:90">
      <c r="CL789"/>
    </row>
    <row r="790" spans="90:90">
      <c r="CL790"/>
    </row>
    <row r="791" spans="90:90">
      <c r="CL791"/>
    </row>
    <row r="792" spans="90:90">
      <c r="CL792"/>
    </row>
    <row r="793" spans="90:90">
      <c r="CL793"/>
    </row>
    <row r="794" spans="90:90">
      <c r="CL794"/>
    </row>
    <row r="795" spans="90:90">
      <c r="CL795"/>
    </row>
    <row r="796" spans="90:90">
      <c r="CL796"/>
    </row>
    <row r="797" spans="90:90">
      <c r="CL797"/>
    </row>
    <row r="798" spans="90:90">
      <c r="CL798"/>
    </row>
    <row r="799" spans="90:90">
      <c r="CL799"/>
    </row>
    <row r="800" spans="90:90">
      <c r="CL800"/>
    </row>
    <row r="801" spans="90:90">
      <c r="CL801"/>
    </row>
    <row r="802" spans="90:90">
      <c r="CL802"/>
    </row>
    <row r="803" spans="90:90">
      <c r="CL803"/>
    </row>
    <row r="804" spans="90:90">
      <c r="CL804"/>
    </row>
    <row r="805" spans="90:90">
      <c r="CL805"/>
    </row>
    <row r="806" spans="90:90">
      <c r="CL806"/>
    </row>
    <row r="807" spans="90:90">
      <c r="CL807"/>
    </row>
    <row r="808" spans="90:90">
      <c r="CL808"/>
    </row>
    <row r="809" spans="90:90">
      <c r="CL809"/>
    </row>
    <row r="810" spans="90:90">
      <c r="CL810"/>
    </row>
    <row r="811" spans="90:90">
      <c r="CL811"/>
    </row>
    <row r="812" spans="90:90">
      <c r="CL812"/>
    </row>
    <row r="813" spans="90:90">
      <c r="CL813"/>
    </row>
    <row r="814" spans="90:90">
      <c r="CL814"/>
    </row>
    <row r="815" spans="90:90">
      <c r="CL815"/>
    </row>
    <row r="816" spans="90:90">
      <c r="CL816"/>
    </row>
    <row r="817" spans="90:90">
      <c r="CL817"/>
    </row>
    <row r="818" spans="90:90">
      <c r="CL818"/>
    </row>
    <row r="819" spans="90:90">
      <c r="CL819"/>
    </row>
    <row r="820" spans="90:90">
      <c r="CL820"/>
    </row>
    <row r="821" spans="90:90">
      <c r="CL821"/>
    </row>
    <row r="822" spans="90:90">
      <c r="CL822"/>
    </row>
    <row r="823" spans="90:90">
      <c r="CL823"/>
    </row>
    <row r="824" spans="90:90">
      <c r="CL824"/>
    </row>
    <row r="825" spans="90:90">
      <c r="CL825"/>
    </row>
    <row r="826" spans="90:90">
      <c r="CL826"/>
    </row>
    <row r="827" spans="90:90">
      <c r="CL827"/>
    </row>
    <row r="828" spans="90:90">
      <c r="CL828"/>
    </row>
    <row r="829" spans="90:90">
      <c r="CL829"/>
    </row>
    <row r="830" spans="90:90">
      <c r="CL830"/>
    </row>
    <row r="831" spans="90:90">
      <c r="CL831"/>
    </row>
    <row r="832" spans="90:90">
      <c r="CL832"/>
    </row>
    <row r="833" spans="90:90">
      <c r="CL833"/>
    </row>
    <row r="834" spans="90:90">
      <c r="CL834"/>
    </row>
    <row r="835" spans="90:90">
      <c r="CL835"/>
    </row>
    <row r="836" spans="90:90">
      <c r="CL836"/>
    </row>
    <row r="837" spans="90:90">
      <c r="CL837"/>
    </row>
    <row r="838" spans="90:90">
      <c r="CL838"/>
    </row>
    <row r="839" spans="90:90">
      <c r="CL839"/>
    </row>
    <row r="840" spans="90:90">
      <c r="CL840"/>
    </row>
    <row r="841" spans="90:90">
      <c r="CL841"/>
    </row>
    <row r="842" spans="90:90">
      <c r="CL842"/>
    </row>
    <row r="843" spans="90:90">
      <c r="CL843"/>
    </row>
    <row r="844" spans="90:90">
      <c r="CL844"/>
    </row>
    <row r="845" spans="90:90">
      <c r="CL845"/>
    </row>
    <row r="846" spans="90:90">
      <c r="CL846"/>
    </row>
    <row r="847" spans="90:90">
      <c r="CL847"/>
    </row>
    <row r="848" spans="90:90">
      <c r="CL848"/>
    </row>
    <row r="849" spans="90:90">
      <c r="CL849"/>
    </row>
    <row r="850" spans="90:90">
      <c r="CL850"/>
    </row>
    <row r="851" spans="90:90">
      <c r="CL851"/>
    </row>
    <row r="852" spans="90:90">
      <c r="CL852"/>
    </row>
    <row r="853" spans="90:90">
      <c r="CL853"/>
    </row>
    <row r="854" spans="90:90">
      <c r="CL854"/>
    </row>
    <row r="855" spans="90:90">
      <c r="CL855"/>
    </row>
    <row r="856" spans="90:90">
      <c r="CL856"/>
    </row>
    <row r="857" spans="90:90">
      <c r="CL857"/>
    </row>
    <row r="858" spans="90:90">
      <c r="CL858"/>
    </row>
    <row r="859" spans="90:90">
      <c r="CL859"/>
    </row>
    <row r="860" spans="90:90">
      <c r="CL860"/>
    </row>
    <row r="861" spans="90:90">
      <c r="CL861"/>
    </row>
    <row r="862" spans="90:90">
      <c r="CL862"/>
    </row>
    <row r="863" spans="90:90">
      <c r="CL863"/>
    </row>
    <row r="864" spans="90:90">
      <c r="CL864"/>
    </row>
    <row r="865" spans="90:90">
      <c r="CL865"/>
    </row>
    <row r="866" spans="90:90">
      <c r="CL866"/>
    </row>
    <row r="867" spans="90:90">
      <c r="CL867"/>
    </row>
    <row r="868" spans="90:90">
      <c r="CL868"/>
    </row>
    <row r="869" spans="90:90">
      <c r="CL869"/>
    </row>
    <row r="870" spans="90:90">
      <c r="CL870"/>
    </row>
    <row r="871" spans="90:90">
      <c r="CL871"/>
    </row>
    <row r="872" spans="90:90">
      <c r="CL872"/>
    </row>
    <row r="873" spans="90:90">
      <c r="CL873"/>
    </row>
    <row r="874" spans="90:90">
      <c r="CL874"/>
    </row>
    <row r="875" spans="90:90">
      <c r="CL875"/>
    </row>
    <row r="876" spans="90:90">
      <c r="CL876"/>
    </row>
    <row r="877" spans="90:90">
      <c r="CL877"/>
    </row>
    <row r="878" spans="90:90">
      <c r="CL878"/>
    </row>
    <row r="879" spans="90:90">
      <c r="CL879"/>
    </row>
    <row r="880" spans="90:90">
      <c r="CL880"/>
    </row>
    <row r="881" spans="90:90">
      <c r="CL881"/>
    </row>
    <row r="882" spans="90:90">
      <c r="CL882"/>
    </row>
    <row r="883" spans="90:90">
      <c r="CL883"/>
    </row>
    <row r="884" spans="90:90">
      <c r="CL884"/>
    </row>
    <row r="885" spans="90:90">
      <c r="CL885"/>
    </row>
    <row r="886" spans="90:90">
      <c r="CL886"/>
    </row>
    <row r="887" spans="90:90">
      <c r="CL887"/>
    </row>
    <row r="888" spans="90:90">
      <c r="CL888"/>
    </row>
    <row r="889" spans="90:90">
      <c r="CL889"/>
    </row>
    <row r="890" spans="90:90">
      <c r="CL890"/>
    </row>
    <row r="891" spans="90:90">
      <c r="CL891"/>
    </row>
    <row r="892" spans="90:90">
      <c r="CL892"/>
    </row>
    <row r="893" spans="90:90">
      <c r="CL893"/>
    </row>
    <row r="894" spans="90:90">
      <c r="CL894"/>
    </row>
    <row r="895" spans="90:90">
      <c r="CL895"/>
    </row>
    <row r="896" spans="90:90">
      <c r="CL896"/>
    </row>
    <row r="897" spans="90:90">
      <c r="CL897"/>
    </row>
    <row r="898" spans="90:90">
      <c r="CL898"/>
    </row>
    <row r="899" spans="90:90">
      <c r="CL899"/>
    </row>
    <row r="900" spans="90:90">
      <c r="CL900"/>
    </row>
    <row r="901" spans="90:90">
      <c r="CL901"/>
    </row>
    <row r="902" spans="90:90">
      <c r="CL902"/>
    </row>
    <row r="903" spans="90:90">
      <c r="CL903"/>
    </row>
    <row r="904" spans="90:90">
      <c r="CL904"/>
    </row>
    <row r="905" spans="90:90">
      <c r="CL905"/>
    </row>
    <row r="906" spans="90:90">
      <c r="CL906"/>
    </row>
    <row r="907" spans="90:90">
      <c r="CL907"/>
    </row>
    <row r="908" spans="90:90">
      <c r="CL908"/>
    </row>
    <row r="909" spans="90:90">
      <c r="CL909"/>
    </row>
    <row r="910" spans="90:90">
      <c r="CL910"/>
    </row>
    <row r="911" spans="90:90">
      <c r="CL911"/>
    </row>
    <row r="912" spans="90:90">
      <c r="CL912"/>
    </row>
    <row r="913" spans="90:90">
      <c r="CL913"/>
    </row>
    <row r="914" spans="90:90">
      <c r="CL914"/>
    </row>
    <row r="915" spans="90:90">
      <c r="CL915"/>
    </row>
    <row r="916" spans="90:90">
      <c r="CL916"/>
    </row>
    <row r="917" spans="90:90">
      <c r="CL917"/>
    </row>
    <row r="918" spans="90:90">
      <c r="CL918"/>
    </row>
    <row r="919" spans="90:90">
      <c r="CL919"/>
    </row>
    <row r="920" spans="90:90">
      <c r="CL920"/>
    </row>
    <row r="921" spans="90:90">
      <c r="CL921"/>
    </row>
    <row r="922" spans="90:90">
      <c r="CL922"/>
    </row>
    <row r="923" spans="90:90">
      <c r="CL923"/>
    </row>
    <row r="924" spans="90:90">
      <c r="CL924"/>
    </row>
    <row r="925" spans="90:90">
      <c r="CL925"/>
    </row>
    <row r="926" spans="90:90">
      <c r="CL926"/>
    </row>
    <row r="927" spans="90:90">
      <c r="CL927"/>
    </row>
    <row r="928" spans="90:90">
      <c r="CL928"/>
    </row>
    <row r="929" spans="90:90">
      <c r="CL929"/>
    </row>
    <row r="930" spans="90:90">
      <c r="CL930"/>
    </row>
    <row r="931" spans="90:90">
      <c r="CL931"/>
    </row>
    <row r="932" spans="90:90">
      <c r="CL932"/>
    </row>
    <row r="933" spans="90:90">
      <c r="CL933"/>
    </row>
    <row r="934" spans="90:90">
      <c r="CL934"/>
    </row>
    <row r="935" spans="90:90">
      <c r="CL935"/>
    </row>
    <row r="936" spans="90:90">
      <c r="CL936"/>
    </row>
    <row r="937" spans="90:90">
      <c r="CL937"/>
    </row>
    <row r="938" spans="90:90">
      <c r="CL938"/>
    </row>
    <row r="939" spans="90:90">
      <c r="CL939"/>
    </row>
    <row r="940" spans="90:90">
      <c r="CL940"/>
    </row>
    <row r="941" spans="90:90">
      <c r="CL941"/>
    </row>
    <row r="942" spans="90:90">
      <c r="CL942"/>
    </row>
    <row r="943" spans="90:90">
      <c r="CL943"/>
    </row>
    <row r="944" spans="90:90">
      <c r="CL944"/>
    </row>
    <row r="945" spans="90:90">
      <c r="CL945"/>
    </row>
    <row r="946" spans="90:90">
      <c r="CL946"/>
    </row>
    <row r="947" spans="90:90">
      <c r="CL947"/>
    </row>
    <row r="948" spans="90:90">
      <c r="CL948"/>
    </row>
    <row r="949" spans="90:90">
      <c r="CL949"/>
    </row>
    <row r="950" spans="90:90">
      <c r="CL950"/>
    </row>
    <row r="951" spans="90:90">
      <c r="CL951"/>
    </row>
    <row r="952" spans="90:90">
      <c r="CL952"/>
    </row>
    <row r="953" spans="90:90">
      <c r="CL953"/>
    </row>
    <row r="954" spans="90:90">
      <c r="CL954"/>
    </row>
    <row r="955" spans="90:90">
      <c r="CL955"/>
    </row>
    <row r="956" spans="90:90">
      <c r="CL956"/>
    </row>
    <row r="957" spans="90:90">
      <c r="CL957"/>
    </row>
    <row r="958" spans="90:90">
      <c r="CL958"/>
    </row>
    <row r="959" spans="90:90">
      <c r="CL959"/>
    </row>
    <row r="960" spans="90:90">
      <c r="CL960"/>
    </row>
    <row r="961" spans="90:90">
      <c r="CL961"/>
    </row>
    <row r="962" spans="90:90">
      <c r="CL962"/>
    </row>
    <row r="963" spans="90:90">
      <c r="CL963"/>
    </row>
    <row r="964" spans="90:90">
      <c r="CL964"/>
    </row>
    <row r="965" spans="90:90">
      <c r="CL965"/>
    </row>
    <row r="966" spans="90:90">
      <c r="CL966"/>
    </row>
    <row r="967" spans="90:90">
      <c r="CL967"/>
    </row>
    <row r="968" spans="90:90">
      <c r="CL968"/>
    </row>
    <row r="969" spans="90:90">
      <c r="CL969"/>
    </row>
    <row r="970" spans="90:90">
      <c r="CL970"/>
    </row>
    <row r="971" spans="90:90">
      <c r="CL971"/>
    </row>
    <row r="972" spans="90:90">
      <c r="CL972"/>
    </row>
    <row r="973" spans="90:90">
      <c r="CL973"/>
    </row>
    <row r="974" spans="90:90">
      <c r="CL974"/>
    </row>
    <row r="975" spans="90:90">
      <c r="CL975"/>
    </row>
    <row r="976" spans="90:90">
      <c r="CL976"/>
    </row>
    <row r="977" spans="90:90">
      <c r="CL977"/>
    </row>
    <row r="978" spans="90:90">
      <c r="CL978"/>
    </row>
    <row r="979" spans="90:90">
      <c r="CL979"/>
    </row>
    <row r="980" spans="90:90">
      <c r="CL980"/>
    </row>
    <row r="981" spans="90:90">
      <c r="CL981"/>
    </row>
    <row r="982" spans="90:90">
      <c r="CL982"/>
    </row>
    <row r="983" spans="90:90">
      <c r="CL983"/>
    </row>
    <row r="984" spans="90:90">
      <c r="CL984"/>
    </row>
    <row r="985" spans="90:90">
      <c r="CL985"/>
    </row>
    <row r="986" spans="90:90">
      <c r="CL986"/>
    </row>
    <row r="987" spans="90:90">
      <c r="CL987"/>
    </row>
    <row r="988" spans="90:90">
      <c r="CL988"/>
    </row>
    <row r="989" spans="90:90">
      <c r="CL989"/>
    </row>
    <row r="990" spans="90:90">
      <c r="CL990"/>
    </row>
    <row r="991" spans="90:90">
      <c r="CL991"/>
    </row>
    <row r="992" spans="90:90">
      <c r="CL992"/>
    </row>
    <row r="993" spans="90:90">
      <c r="CL993"/>
    </row>
    <row r="994" spans="90:90">
      <c r="CL994"/>
    </row>
    <row r="995" spans="90:90">
      <c r="CL995"/>
    </row>
    <row r="996" spans="90:90">
      <c r="CL996"/>
    </row>
    <row r="997" spans="90:90">
      <c r="CL997"/>
    </row>
    <row r="998" spans="90:90">
      <c r="CL998"/>
    </row>
    <row r="999" spans="90:90">
      <c r="CL999"/>
    </row>
    <row r="1000" spans="90:90">
      <c r="CL1000"/>
    </row>
    <row r="1001" spans="90:90">
      <c r="CL1001"/>
    </row>
    <row r="1002" spans="90:90">
      <c r="CL1002"/>
    </row>
    <row r="1003" spans="90:90">
      <c r="CL1003"/>
    </row>
    <row r="1004" spans="90:90">
      <c r="CL1004"/>
    </row>
    <row r="1005" spans="90:90">
      <c r="CL1005"/>
    </row>
    <row r="1006" spans="90:90">
      <c r="CL1006"/>
    </row>
    <row r="1007" spans="90:90">
      <c r="CL1007"/>
    </row>
    <row r="1008" spans="90:90">
      <c r="CL1008"/>
    </row>
    <row r="1009" spans="90:90">
      <c r="CL1009"/>
    </row>
    <row r="1010" spans="90:90">
      <c r="CL1010"/>
    </row>
    <row r="1011" spans="90:90">
      <c r="CL1011"/>
    </row>
    <row r="1012" spans="90:90">
      <c r="CL1012"/>
    </row>
    <row r="1013" spans="90:90">
      <c r="CL1013"/>
    </row>
    <row r="1014" spans="90:90">
      <c r="CL1014"/>
    </row>
    <row r="1015" spans="90:90">
      <c r="CL1015"/>
    </row>
    <row r="1016" spans="90:90">
      <c r="CL1016"/>
    </row>
    <row r="1017" spans="90:90">
      <c r="CL1017"/>
    </row>
    <row r="1018" spans="90:90">
      <c r="CL1018"/>
    </row>
    <row r="1019" spans="90:90">
      <c r="CL1019"/>
    </row>
    <row r="1020" spans="90:90">
      <c r="CL1020"/>
    </row>
    <row r="1021" spans="90:90">
      <c r="CL1021"/>
    </row>
    <row r="1022" spans="90:90">
      <c r="CL1022"/>
    </row>
    <row r="1023" spans="90:90">
      <c r="CL1023"/>
    </row>
    <row r="1024" spans="90:90">
      <c r="CL1024"/>
    </row>
    <row r="1025" spans="90:90">
      <c r="CL1025"/>
    </row>
    <row r="1026" spans="90:90">
      <c r="CL1026"/>
    </row>
    <row r="1027" spans="90:90">
      <c r="CL1027"/>
    </row>
    <row r="1028" spans="90:90">
      <c r="CL1028"/>
    </row>
    <row r="1029" spans="90:90">
      <c r="CL1029"/>
    </row>
    <row r="1030" spans="90:90">
      <c r="CL1030"/>
    </row>
    <row r="1031" spans="90:90">
      <c r="CL1031"/>
    </row>
    <row r="1032" spans="90:90">
      <c r="CL1032"/>
    </row>
    <row r="1033" spans="90:90">
      <c r="CL1033"/>
    </row>
    <row r="1034" spans="90:90">
      <c r="CL1034"/>
    </row>
    <row r="1035" spans="90:90">
      <c r="CL1035"/>
    </row>
    <row r="1036" spans="90:90">
      <c r="CL1036"/>
    </row>
    <row r="1037" spans="90:90">
      <c r="CL1037"/>
    </row>
    <row r="1038" spans="90:90">
      <c r="CL1038"/>
    </row>
    <row r="1039" spans="90:90">
      <c r="CL1039"/>
    </row>
    <row r="1040" spans="90:90">
      <c r="CL1040"/>
    </row>
    <row r="1041" spans="90:90">
      <c r="CL1041"/>
    </row>
    <row r="1042" spans="90:90">
      <c r="CL1042"/>
    </row>
    <row r="1043" spans="90:90">
      <c r="CL1043"/>
    </row>
    <row r="1044" spans="90:90">
      <c r="CL1044"/>
    </row>
    <row r="1045" spans="90:90">
      <c r="CL1045"/>
    </row>
    <row r="1046" spans="90:90">
      <c r="CL1046"/>
    </row>
    <row r="1047" spans="90:90">
      <c r="CL1047"/>
    </row>
    <row r="1048" spans="90:90">
      <c r="CL1048"/>
    </row>
    <row r="1049" spans="90:90">
      <c r="CL1049"/>
    </row>
    <row r="1050" spans="90:90">
      <c r="CL1050"/>
    </row>
    <row r="1051" spans="90:90">
      <c r="CL1051"/>
    </row>
    <row r="1052" spans="90:90">
      <c r="CL1052"/>
    </row>
    <row r="1053" spans="90:90">
      <c r="CL1053"/>
    </row>
    <row r="1054" spans="90:90">
      <c r="CL1054"/>
    </row>
    <row r="1055" spans="90:90">
      <c r="CL1055"/>
    </row>
    <row r="1056" spans="90:90">
      <c r="CL1056"/>
    </row>
    <row r="1057" spans="90:90">
      <c r="CL1057"/>
    </row>
    <row r="1058" spans="90:90">
      <c r="CL1058"/>
    </row>
    <row r="1059" spans="90:90">
      <c r="CL1059"/>
    </row>
    <row r="1060" spans="90:90">
      <c r="CL1060"/>
    </row>
    <row r="1061" spans="90:90">
      <c r="CL1061"/>
    </row>
    <row r="1062" spans="90:90">
      <c r="CL1062"/>
    </row>
    <row r="1063" spans="90:90">
      <c r="CL1063"/>
    </row>
    <row r="1064" spans="90:90">
      <c r="CL1064"/>
    </row>
    <row r="1065" spans="90:90">
      <c r="CL1065"/>
    </row>
    <row r="1066" spans="90:90">
      <c r="CL1066"/>
    </row>
    <row r="1067" spans="90:90">
      <c r="CL1067"/>
    </row>
    <row r="1068" spans="90:90">
      <c r="CL1068"/>
    </row>
    <row r="1069" spans="90:90">
      <c r="CL1069"/>
    </row>
    <row r="1070" spans="90:90">
      <c r="CL1070"/>
    </row>
    <row r="1071" spans="90:90">
      <c r="CL1071"/>
    </row>
    <row r="1072" spans="90:90">
      <c r="CL1072"/>
    </row>
    <row r="1073" spans="90:90">
      <c r="CL1073"/>
    </row>
    <row r="1074" spans="90:90">
      <c r="CL1074"/>
    </row>
    <row r="1075" spans="90:90">
      <c r="CL1075"/>
    </row>
    <row r="1076" spans="90:90">
      <c r="CL1076"/>
    </row>
    <row r="1077" spans="90:90">
      <c r="CL1077"/>
    </row>
    <row r="1078" spans="90:90">
      <c r="CL1078"/>
    </row>
    <row r="1079" spans="90:90">
      <c r="CL1079"/>
    </row>
    <row r="1080" spans="90:90">
      <c r="CL1080"/>
    </row>
    <row r="1081" spans="90:90">
      <c r="CL1081"/>
    </row>
    <row r="1082" spans="90:90">
      <c r="CL1082"/>
    </row>
    <row r="1083" spans="90:90">
      <c r="CL1083"/>
    </row>
    <row r="1084" spans="90:90">
      <c r="CL1084"/>
    </row>
    <row r="1085" spans="90:90">
      <c r="CL1085"/>
    </row>
    <row r="1086" spans="90:90">
      <c r="CL1086"/>
    </row>
    <row r="1087" spans="90:90">
      <c r="CL1087"/>
    </row>
    <row r="1088" spans="90:90">
      <c r="CL1088"/>
    </row>
    <row r="1089" spans="90:90">
      <c r="CL1089"/>
    </row>
    <row r="1090" spans="90:90">
      <c r="CL1090"/>
    </row>
    <row r="1091" spans="90:90">
      <c r="CL1091"/>
    </row>
    <row r="1092" spans="90:90">
      <c r="CL1092"/>
    </row>
    <row r="1093" spans="90:90">
      <c r="CL1093"/>
    </row>
    <row r="1094" spans="90:90">
      <c r="CL1094"/>
    </row>
    <row r="1095" spans="90:90">
      <c r="CL1095"/>
    </row>
    <row r="1096" spans="90:90">
      <c r="CL1096"/>
    </row>
    <row r="1097" spans="90:90">
      <c r="CL1097"/>
    </row>
    <row r="1098" spans="90:90">
      <c r="CL1098"/>
    </row>
    <row r="1099" spans="90:90">
      <c r="CL1099"/>
    </row>
    <row r="1100" spans="90:90">
      <c r="CL1100"/>
    </row>
    <row r="1101" spans="90:90">
      <c r="CL1101"/>
    </row>
    <row r="1102" spans="90:90">
      <c r="CL1102"/>
    </row>
    <row r="1103" spans="90:90">
      <c r="CL1103"/>
    </row>
    <row r="1104" spans="90:90">
      <c r="CL1104"/>
    </row>
    <row r="1105" spans="90:90">
      <c r="CL1105"/>
    </row>
    <row r="1106" spans="90:90">
      <c r="CL1106"/>
    </row>
    <row r="1107" spans="90:90">
      <c r="CL1107"/>
    </row>
    <row r="1108" spans="90:90">
      <c r="CL1108"/>
    </row>
    <row r="1109" spans="90:90">
      <c r="CL1109"/>
    </row>
    <row r="1110" spans="90:90">
      <c r="CL1110"/>
    </row>
    <row r="1111" spans="90:90">
      <c r="CL1111"/>
    </row>
    <row r="1112" spans="90:90">
      <c r="CL1112"/>
    </row>
    <row r="1113" spans="90:90">
      <c r="CL1113"/>
    </row>
    <row r="1114" spans="90:90">
      <c r="CL1114"/>
    </row>
    <row r="1115" spans="90:90">
      <c r="CL1115"/>
    </row>
    <row r="1116" spans="90:90">
      <c r="CL1116"/>
    </row>
    <row r="1117" spans="90:90">
      <c r="CL1117"/>
    </row>
    <row r="1118" spans="90:90">
      <c r="CL1118"/>
    </row>
    <row r="1119" spans="90:90">
      <c r="CL1119"/>
    </row>
    <row r="1120" spans="90:90">
      <c r="CL1120"/>
    </row>
    <row r="1121" spans="90:90">
      <c r="CL1121"/>
    </row>
    <row r="1122" spans="90:90">
      <c r="CL1122"/>
    </row>
    <row r="1123" spans="90:90">
      <c r="CL1123"/>
    </row>
    <row r="1124" spans="90:90">
      <c r="CL1124"/>
    </row>
    <row r="1125" spans="90:90">
      <c r="CL1125"/>
    </row>
    <row r="1126" spans="90:90">
      <c r="CL1126"/>
    </row>
    <row r="1127" spans="90:90">
      <c r="CL1127"/>
    </row>
    <row r="1128" spans="90:90">
      <c r="CL1128"/>
    </row>
    <row r="1129" spans="90:90">
      <c r="CL1129"/>
    </row>
    <row r="1130" spans="90:90">
      <c r="CL1130"/>
    </row>
    <row r="1131" spans="90:90">
      <c r="CL1131"/>
    </row>
    <row r="1132" spans="90:90">
      <c r="CL1132"/>
    </row>
    <row r="1133" spans="90:90">
      <c r="CL1133"/>
    </row>
    <row r="1134" spans="90:90">
      <c r="CL1134"/>
    </row>
    <row r="1135" spans="90:90">
      <c r="CL1135"/>
    </row>
    <row r="1136" spans="90:90">
      <c r="CL1136"/>
    </row>
    <row r="1137" spans="90:90">
      <c r="CL1137"/>
    </row>
    <row r="1138" spans="90:90">
      <c r="CL1138"/>
    </row>
    <row r="1139" spans="90:90">
      <c r="CL1139"/>
    </row>
    <row r="1140" spans="90:90">
      <c r="CL1140"/>
    </row>
    <row r="1141" spans="90:90">
      <c r="CL1141"/>
    </row>
    <row r="1142" spans="90:90">
      <c r="CL1142"/>
    </row>
    <row r="1143" spans="90:90">
      <c r="CL1143"/>
    </row>
    <row r="1144" spans="90:90">
      <c r="CL1144"/>
    </row>
    <row r="1145" spans="90:90">
      <c r="CL1145"/>
    </row>
    <row r="1146" spans="90:90">
      <c r="CL1146"/>
    </row>
    <row r="1147" spans="90:90">
      <c r="CL1147"/>
    </row>
    <row r="1148" spans="90:90">
      <c r="CL1148"/>
    </row>
    <row r="1149" spans="90:90">
      <c r="CL1149"/>
    </row>
    <row r="1150" spans="90:90">
      <c r="CL1150"/>
    </row>
    <row r="1151" spans="90:90">
      <c r="CL1151"/>
    </row>
    <row r="1152" spans="90:90">
      <c r="CL1152"/>
    </row>
    <row r="1153" spans="90:90">
      <c r="CL1153"/>
    </row>
    <row r="1154" spans="90:90">
      <c r="CL1154"/>
    </row>
    <row r="1155" spans="90:90">
      <c r="CL1155"/>
    </row>
    <row r="1156" spans="90:90">
      <c r="CL1156"/>
    </row>
    <row r="1157" spans="90:90">
      <c r="CL1157"/>
    </row>
    <row r="1158" spans="90:90">
      <c r="CL1158"/>
    </row>
    <row r="1159" spans="90:90">
      <c r="CL1159"/>
    </row>
    <row r="1160" spans="90:90">
      <c r="CL1160"/>
    </row>
    <row r="1161" spans="90:90">
      <c r="CL1161"/>
    </row>
    <row r="1162" spans="90:90">
      <c r="CL1162"/>
    </row>
    <row r="1163" spans="90:90">
      <c r="CL1163"/>
    </row>
    <row r="1164" spans="90:90">
      <c r="CL1164"/>
    </row>
    <row r="1165" spans="90:90">
      <c r="CL1165"/>
    </row>
    <row r="1166" spans="90:90">
      <c r="CL1166"/>
    </row>
    <row r="1167" spans="90:90">
      <c r="CL1167"/>
    </row>
    <row r="1168" spans="90:90">
      <c r="CL1168"/>
    </row>
    <row r="1169" spans="90:90">
      <c r="CL1169"/>
    </row>
    <row r="1170" spans="90:90">
      <c r="CL1170"/>
    </row>
    <row r="1171" spans="90:90">
      <c r="CL1171"/>
    </row>
    <row r="1172" spans="90:90">
      <c r="CL1172"/>
    </row>
    <row r="1173" spans="90:90">
      <c r="CL1173"/>
    </row>
    <row r="1174" spans="90:90">
      <c r="CL1174"/>
    </row>
    <row r="1175" spans="90:90">
      <c r="CL1175"/>
    </row>
    <row r="1176" spans="90:90">
      <c r="CL1176"/>
    </row>
    <row r="1177" spans="90:90">
      <c r="CL1177"/>
    </row>
    <row r="1178" spans="90:90">
      <c r="CL1178"/>
    </row>
    <row r="1179" spans="90:90">
      <c r="CL1179"/>
    </row>
    <row r="1180" spans="90:90">
      <c r="CL1180"/>
    </row>
    <row r="1181" spans="90:90">
      <c r="CL1181"/>
    </row>
    <row r="1182" spans="90:90">
      <c r="CL1182"/>
    </row>
    <row r="1183" spans="90:90">
      <c r="CL1183"/>
    </row>
    <row r="1184" spans="90:90">
      <c r="CL1184"/>
    </row>
    <row r="1185" spans="90:90">
      <c r="CL1185"/>
    </row>
    <row r="1186" spans="90:90">
      <c r="CL1186"/>
    </row>
    <row r="1187" spans="90:90">
      <c r="CL1187"/>
    </row>
    <row r="1188" spans="90:90">
      <c r="CL1188"/>
    </row>
    <row r="1189" spans="90:90">
      <c r="CL1189"/>
    </row>
    <row r="1190" spans="90:90">
      <c r="CL1190"/>
    </row>
    <row r="1191" spans="90:90">
      <c r="CL1191"/>
    </row>
    <row r="1192" spans="90:90">
      <c r="CL1192"/>
    </row>
    <row r="1193" spans="90:90">
      <c r="CL1193"/>
    </row>
    <row r="1194" spans="90:90">
      <c r="CL1194"/>
    </row>
    <row r="1195" spans="90:90">
      <c r="CL1195"/>
    </row>
    <row r="1196" spans="90:90">
      <c r="CL1196"/>
    </row>
    <row r="1197" spans="90:90">
      <c r="CL1197"/>
    </row>
    <row r="1198" spans="90:90">
      <c r="CL1198"/>
    </row>
    <row r="1199" spans="90:90">
      <c r="CL1199"/>
    </row>
    <row r="1200" spans="90:90">
      <c r="CL1200"/>
    </row>
    <row r="1201" spans="90:90">
      <c r="CL1201"/>
    </row>
    <row r="1202" spans="90:90">
      <c r="CL1202"/>
    </row>
    <row r="1203" spans="90:90">
      <c r="CL1203"/>
    </row>
    <row r="1204" spans="90:90">
      <c r="CL1204"/>
    </row>
    <row r="1205" spans="90:90">
      <c r="CL1205"/>
    </row>
    <row r="1206" spans="90:90">
      <c r="CL1206"/>
    </row>
    <row r="1207" spans="90:90">
      <c r="CL1207"/>
    </row>
    <row r="1208" spans="90:90">
      <c r="CL1208"/>
    </row>
    <row r="1209" spans="90:90">
      <c r="CL1209"/>
    </row>
    <row r="1210" spans="90:90">
      <c r="CL1210"/>
    </row>
    <row r="1211" spans="90:90">
      <c r="CL1211"/>
    </row>
    <row r="1212" spans="90:90">
      <c r="CL1212"/>
    </row>
    <row r="1213" spans="90:90">
      <c r="CL1213"/>
    </row>
    <row r="1214" spans="90:90">
      <c r="CL1214"/>
    </row>
    <row r="1215" spans="90:90">
      <c r="CL1215"/>
    </row>
    <row r="1216" spans="90:90">
      <c r="CL1216"/>
    </row>
    <row r="1217" spans="90:90">
      <c r="CL1217"/>
    </row>
    <row r="1218" spans="90:90">
      <c r="CL1218"/>
    </row>
    <row r="1219" spans="90:90">
      <c r="CL1219"/>
    </row>
    <row r="1220" spans="90:90">
      <c r="CL1220"/>
    </row>
    <row r="1221" spans="90:90">
      <c r="CL1221"/>
    </row>
    <row r="1222" spans="90:90">
      <c r="CL1222"/>
    </row>
    <row r="1223" spans="90:90">
      <c r="CL1223"/>
    </row>
    <row r="1224" spans="90:90">
      <c r="CL1224"/>
    </row>
    <row r="1225" spans="90:90">
      <c r="CL1225"/>
    </row>
    <row r="1226" spans="90:90">
      <c r="CL1226"/>
    </row>
    <row r="1227" spans="90:90">
      <c r="CL1227"/>
    </row>
    <row r="1228" spans="90:90">
      <c r="CL1228"/>
    </row>
    <row r="1229" spans="90:90">
      <c r="CL1229"/>
    </row>
    <row r="1230" spans="90:90">
      <c r="CL1230"/>
    </row>
    <row r="1231" spans="90:90">
      <c r="CL1231"/>
    </row>
    <row r="1232" spans="90:90">
      <c r="CL1232"/>
    </row>
    <row r="1233" spans="90:90">
      <c r="CL1233"/>
    </row>
    <row r="1234" spans="90:90">
      <c r="CL1234"/>
    </row>
    <row r="1235" spans="90:90">
      <c r="CL1235"/>
    </row>
    <row r="1236" spans="90:90">
      <c r="CL1236"/>
    </row>
    <row r="1237" spans="90:90">
      <c r="CL1237"/>
    </row>
    <row r="1238" spans="90:90">
      <c r="CL1238"/>
    </row>
    <row r="1239" spans="90:90">
      <c r="CL1239"/>
    </row>
    <row r="1240" spans="90:90">
      <c r="CL1240"/>
    </row>
    <row r="1241" spans="90:90">
      <c r="CL1241"/>
    </row>
    <row r="1242" spans="90:90">
      <c r="CL1242"/>
    </row>
    <row r="1243" spans="90:90">
      <c r="CL1243"/>
    </row>
    <row r="1244" spans="90:90">
      <c r="CL1244"/>
    </row>
    <row r="1245" spans="90:90">
      <c r="CL1245"/>
    </row>
    <row r="1246" spans="90:90">
      <c r="CL1246"/>
    </row>
    <row r="1247" spans="90:90">
      <c r="CL1247"/>
    </row>
    <row r="1248" spans="90:90">
      <c r="CL1248"/>
    </row>
    <row r="1249" spans="90:90">
      <c r="CL1249"/>
    </row>
    <row r="1250" spans="90:90">
      <c r="CL1250"/>
    </row>
    <row r="1251" spans="90:90">
      <c r="CL1251"/>
    </row>
    <row r="1252" spans="90:90">
      <c r="CL1252"/>
    </row>
    <row r="1253" spans="90:90">
      <c r="CL1253"/>
    </row>
    <row r="1254" spans="90:90">
      <c r="CL1254"/>
    </row>
    <row r="1255" spans="90:90">
      <c r="CL1255"/>
    </row>
    <row r="1256" spans="90:90">
      <c r="CL1256"/>
    </row>
    <row r="1257" spans="90:90">
      <c r="CL1257"/>
    </row>
    <row r="1258" spans="90:90">
      <c r="CL1258"/>
    </row>
    <row r="1259" spans="90:90">
      <c r="CL1259"/>
    </row>
    <row r="1260" spans="90:90">
      <c r="CL1260"/>
    </row>
    <row r="1261" spans="90:90">
      <c r="CL1261"/>
    </row>
    <row r="1262" spans="90:90">
      <c r="CL1262"/>
    </row>
    <row r="1263" spans="90:90">
      <c r="CL1263"/>
    </row>
    <row r="1264" spans="90:90">
      <c r="CL1264"/>
    </row>
    <row r="1265" spans="90:90">
      <c r="CL1265"/>
    </row>
    <row r="1266" spans="90:90">
      <c r="CL1266"/>
    </row>
    <row r="1267" spans="90:90">
      <c r="CL1267"/>
    </row>
    <row r="1268" spans="90:90">
      <c r="CL1268"/>
    </row>
    <row r="1269" spans="90:90">
      <c r="CL1269"/>
    </row>
    <row r="1270" spans="90:90">
      <c r="CL1270"/>
    </row>
    <row r="1271" spans="90:90">
      <c r="CL1271"/>
    </row>
    <row r="1272" spans="90:90">
      <c r="CL1272"/>
    </row>
    <row r="1273" spans="90:90">
      <c r="CL1273"/>
    </row>
    <row r="1274" spans="90:90">
      <c r="CL1274"/>
    </row>
    <row r="1275" spans="90:90">
      <c r="CL1275"/>
    </row>
    <row r="1276" spans="90:90">
      <c r="CL1276"/>
    </row>
    <row r="1277" spans="90:90">
      <c r="CL1277"/>
    </row>
    <row r="1278" spans="90:90">
      <c r="CL1278"/>
    </row>
    <row r="1279" spans="90:90">
      <c r="CL1279"/>
    </row>
    <row r="1280" spans="90:90">
      <c r="CL1280"/>
    </row>
    <row r="1281" spans="90:90">
      <c r="CL1281"/>
    </row>
    <row r="1282" spans="90:90">
      <c r="CL1282"/>
    </row>
    <row r="1283" spans="90:90">
      <c r="CL1283"/>
    </row>
    <row r="1284" spans="90:90">
      <c r="CL1284"/>
    </row>
    <row r="1285" spans="90:90">
      <c r="CL1285"/>
    </row>
    <row r="1286" spans="90:90">
      <c r="CL1286"/>
    </row>
    <row r="1287" spans="90:90">
      <c r="CL1287"/>
    </row>
    <row r="1288" spans="90:90">
      <c r="CL1288"/>
    </row>
    <row r="1289" spans="90:90">
      <c r="CL1289"/>
    </row>
    <row r="1290" spans="90:90">
      <c r="CL1290"/>
    </row>
    <row r="1291" spans="90:90">
      <c r="CL1291"/>
    </row>
    <row r="1292" spans="90:90">
      <c r="CL1292"/>
    </row>
    <row r="1293" spans="90:90">
      <c r="CL1293"/>
    </row>
    <row r="1294" spans="90:90">
      <c r="CL1294"/>
    </row>
    <row r="1295" spans="90:90">
      <c r="CL1295"/>
    </row>
    <row r="1296" spans="90:90">
      <c r="CL1296"/>
    </row>
    <row r="1297" spans="90:90">
      <c r="CL1297"/>
    </row>
    <row r="1298" spans="90:90">
      <c r="CL1298"/>
    </row>
    <row r="1299" spans="90:90">
      <c r="CL1299"/>
    </row>
    <row r="1300" spans="90:90">
      <c r="CL1300"/>
    </row>
    <row r="1301" spans="90:90">
      <c r="CL1301"/>
    </row>
    <row r="1302" spans="90:90">
      <c r="CL1302"/>
    </row>
    <row r="1303" spans="90:90">
      <c r="CL1303"/>
    </row>
    <row r="1304" spans="90:90">
      <c r="CL1304"/>
    </row>
    <row r="1305" spans="90:90">
      <c r="CL1305"/>
    </row>
    <row r="1306" spans="90:90">
      <c r="CL1306"/>
    </row>
    <row r="1307" spans="90:90">
      <c r="CL1307"/>
    </row>
    <row r="1308" spans="90:90">
      <c r="CL1308"/>
    </row>
    <row r="1309" spans="90:90">
      <c r="CL1309"/>
    </row>
    <row r="1310" spans="90:90">
      <c r="CL1310"/>
    </row>
    <row r="1311" spans="90:90">
      <c r="CL1311"/>
    </row>
    <row r="1312" spans="90:90">
      <c r="CL1312"/>
    </row>
    <row r="1313" spans="90:90">
      <c r="CL1313"/>
    </row>
    <row r="1314" spans="90:90">
      <c r="CL1314"/>
    </row>
    <row r="1315" spans="90:90">
      <c r="CL1315"/>
    </row>
    <row r="1316" spans="90:90">
      <c r="CL1316"/>
    </row>
    <row r="1317" spans="90:90">
      <c r="CL1317"/>
    </row>
    <row r="1318" spans="90:90">
      <c r="CL1318"/>
    </row>
    <row r="1319" spans="90:90">
      <c r="CL1319"/>
    </row>
    <row r="1320" spans="90:90">
      <c r="CL1320"/>
    </row>
    <row r="1321" spans="90:90">
      <c r="CL1321"/>
    </row>
    <row r="1322" spans="90:90">
      <c r="CL1322"/>
    </row>
    <row r="1323" spans="90:90">
      <c r="CL1323"/>
    </row>
    <row r="1324" spans="90:90">
      <c r="CL1324"/>
    </row>
    <row r="1325" spans="90:90">
      <c r="CL1325"/>
    </row>
    <row r="1326" spans="90:90">
      <c r="CL1326"/>
    </row>
    <row r="1327" spans="90:90">
      <c r="CL1327"/>
    </row>
    <row r="1328" spans="90:90">
      <c r="CL1328"/>
    </row>
    <row r="1329" spans="90:90">
      <c r="CL1329"/>
    </row>
    <row r="1330" spans="90:90">
      <c r="CL1330"/>
    </row>
    <row r="1331" spans="90:90">
      <c r="CL1331"/>
    </row>
    <row r="1332" spans="90:90">
      <c r="CL1332"/>
    </row>
    <row r="1333" spans="90:90">
      <c r="CL1333"/>
    </row>
    <row r="1334" spans="90:90">
      <c r="CL1334"/>
    </row>
    <row r="1335" spans="90:90">
      <c r="CL1335"/>
    </row>
    <row r="1336" spans="90:90">
      <c r="CL1336"/>
    </row>
    <row r="1337" spans="90:90">
      <c r="CL1337"/>
    </row>
    <row r="1338" spans="90:90">
      <c r="CL1338"/>
    </row>
    <row r="1339" spans="90:90">
      <c r="CL1339"/>
    </row>
    <row r="1340" spans="90:90">
      <c r="CL1340"/>
    </row>
    <row r="1341" spans="90:90">
      <c r="CL1341"/>
    </row>
    <row r="1342" spans="90:90">
      <c r="CL1342"/>
    </row>
    <row r="1343" spans="90:90">
      <c r="CL1343"/>
    </row>
    <row r="1344" spans="90:90">
      <c r="CL1344"/>
    </row>
    <row r="1345" spans="90:90">
      <c r="CL1345"/>
    </row>
    <row r="1346" spans="90:90">
      <c r="CL1346"/>
    </row>
    <row r="1347" spans="90:90">
      <c r="CL1347"/>
    </row>
    <row r="1348" spans="90:90">
      <c r="CL1348"/>
    </row>
    <row r="1349" spans="90:90">
      <c r="CL1349"/>
    </row>
    <row r="1350" spans="90:90">
      <c r="CL1350"/>
    </row>
    <row r="1351" spans="90:90">
      <c r="CL1351"/>
    </row>
    <row r="1352" spans="90:90">
      <c r="CL1352"/>
    </row>
    <row r="1353" spans="90:90">
      <c r="CL1353"/>
    </row>
    <row r="1354" spans="90:90">
      <c r="CL1354"/>
    </row>
    <row r="1355" spans="90:90">
      <c r="CL1355"/>
    </row>
    <row r="1356" spans="90:90">
      <c r="CL1356"/>
    </row>
    <row r="1357" spans="90:90">
      <c r="CL1357"/>
    </row>
    <row r="1358" spans="90:90">
      <c r="CL1358"/>
    </row>
    <row r="1359" spans="90:90">
      <c r="CL1359"/>
    </row>
    <row r="1360" spans="90:90">
      <c r="CL1360"/>
    </row>
    <row r="1361" spans="90:90">
      <c r="CL1361"/>
    </row>
    <row r="1362" spans="90:90">
      <c r="CL1362"/>
    </row>
    <row r="1363" spans="90:90">
      <c r="CL1363"/>
    </row>
    <row r="1364" spans="90:90">
      <c r="CL1364"/>
    </row>
    <row r="1365" spans="90:90">
      <c r="CL1365"/>
    </row>
    <row r="1366" spans="90:90">
      <c r="CL1366"/>
    </row>
    <row r="1367" spans="90:90">
      <c r="CL1367"/>
    </row>
    <row r="1368" spans="90:90">
      <c r="CL1368"/>
    </row>
    <row r="1369" spans="90:90">
      <c r="CL1369"/>
    </row>
    <row r="1370" spans="90:90">
      <c r="CL1370"/>
    </row>
    <row r="1371" spans="90:90">
      <c r="CL1371"/>
    </row>
    <row r="1372" spans="90:90">
      <c r="CL1372"/>
    </row>
    <row r="1373" spans="90:90">
      <c r="CL1373"/>
    </row>
    <row r="1374" spans="90:90">
      <c r="CL1374"/>
    </row>
    <row r="1375" spans="90:90">
      <c r="CL1375"/>
    </row>
    <row r="1376" spans="90:90">
      <c r="CL1376"/>
    </row>
    <row r="1377" spans="90:90">
      <c r="CL1377"/>
    </row>
    <row r="1378" spans="90:90">
      <c r="CL1378"/>
    </row>
    <row r="1379" spans="90:90">
      <c r="CL1379"/>
    </row>
    <row r="1380" spans="90:90">
      <c r="CL1380"/>
    </row>
    <row r="1381" spans="90:90">
      <c r="CL1381"/>
    </row>
    <row r="1382" spans="90:90">
      <c r="CL1382"/>
    </row>
    <row r="1383" spans="90:90">
      <c r="CL1383"/>
    </row>
    <row r="1384" spans="90:90">
      <c r="CL1384"/>
    </row>
    <row r="1385" spans="90:90">
      <c r="CL1385"/>
    </row>
    <row r="1386" spans="90:90">
      <c r="CL1386"/>
    </row>
    <row r="1387" spans="90:90">
      <c r="CL1387"/>
    </row>
    <row r="1388" spans="90:90">
      <c r="CL1388"/>
    </row>
    <row r="1389" spans="90:90">
      <c r="CL1389"/>
    </row>
    <row r="1390" spans="90:90">
      <c r="CL1390"/>
    </row>
    <row r="1391" spans="90:90">
      <c r="CL1391"/>
    </row>
    <row r="1392" spans="90:90">
      <c r="CL1392"/>
    </row>
    <row r="1393" spans="90:90">
      <c r="CL1393"/>
    </row>
    <row r="1394" spans="90:90">
      <c r="CL1394"/>
    </row>
    <row r="1395" spans="90:90">
      <c r="CL1395"/>
    </row>
    <row r="1396" spans="90:90">
      <c r="CL1396"/>
    </row>
    <row r="1397" spans="90:90">
      <c r="CL1397"/>
    </row>
    <row r="1398" spans="90:90">
      <c r="CL1398"/>
    </row>
    <row r="1399" spans="90:90">
      <c r="CL1399"/>
    </row>
    <row r="1400" spans="90:90">
      <c r="CL1400"/>
    </row>
    <row r="1401" spans="90:90">
      <c r="CL1401"/>
    </row>
    <row r="1402" spans="90:90">
      <c r="CL1402"/>
    </row>
    <row r="1403" spans="90:90">
      <c r="CL1403"/>
    </row>
    <row r="1404" spans="90:90">
      <c r="CL1404"/>
    </row>
    <row r="1405" spans="90:90">
      <c r="CL1405"/>
    </row>
    <row r="1406" spans="90:90">
      <c r="CL1406"/>
    </row>
    <row r="1407" spans="90:90">
      <c r="CL1407"/>
    </row>
    <row r="1408" spans="90:90">
      <c r="CL1408"/>
    </row>
    <row r="1409" spans="90:90">
      <c r="CL1409"/>
    </row>
    <row r="1410" spans="90:90">
      <c r="CL1410"/>
    </row>
    <row r="1411" spans="90:90">
      <c r="CL1411"/>
    </row>
    <row r="1412" spans="90:90">
      <c r="CL1412"/>
    </row>
    <row r="1413" spans="90:90">
      <c r="CL1413"/>
    </row>
    <row r="1414" spans="90:90">
      <c r="CL1414"/>
    </row>
    <row r="1415" spans="90:90">
      <c r="CL1415"/>
    </row>
    <row r="1416" spans="90:90">
      <c r="CL1416"/>
    </row>
    <row r="1417" spans="90:90">
      <c r="CL1417"/>
    </row>
    <row r="1418" spans="90:90">
      <c r="CL1418"/>
    </row>
    <row r="1419" spans="90:90">
      <c r="CL1419"/>
    </row>
    <row r="1420" spans="90:90">
      <c r="CL1420"/>
    </row>
    <row r="1421" spans="90:90">
      <c r="CL1421"/>
    </row>
    <row r="1422" spans="90:90">
      <c r="CL1422"/>
    </row>
    <row r="1423" spans="90:90">
      <c r="CL1423"/>
    </row>
    <row r="1424" spans="90:90">
      <c r="CL1424"/>
    </row>
    <row r="1425" spans="90:90">
      <c r="CL1425"/>
    </row>
    <row r="1426" spans="90:90">
      <c r="CL1426"/>
    </row>
    <row r="1427" spans="90:90">
      <c r="CL1427"/>
    </row>
    <row r="1428" spans="90:90">
      <c r="CL1428"/>
    </row>
    <row r="1429" spans="90:90">
      <c r="CL1429"/>
    </row>
    <row r="1430" spans="90:90">
      <c r="CL1430"/>
    </row>
    <row r="1431" spans="90:90">
      <c r="CL1431"/>
    </row>
    <row r="1432" spans="90:90">
      <c r="CL1432"/>
    </row>
    <row r="1433" spans="90:90">
      <c r="CL1433"/>
    </row>
    <row r="1434" spans="90:90">
      <c r="CL1434"/>
    </row>
    <row r="1435" spans="90:90">
      <c r="CL1435"/>
    </row>
    <row r="1436" spans="90:90">
      <c r="CL1436"/>
    </row>
    <row r="1437" spans="90:90">
      <c r="CL1437"/>
    </row>
    <row r="1438" spans="90:90">
      <c r="CL1438"/>
    </row>
    <row r="1439" spans="90:90">
      <c r="CL1439"/>
    </row>
    <row r="1440" spans="90:90">
      <c r="CL1440"/>
    </row>
    <row r="1441" spans="90:90">
      <c r="CL1441"/>
    </row>
    <row r="1442" spans="90:90">
      <c r="CL1442"/>
    </row>
    <row r="1443" spans="90:90">
      <c r="CL1443"/>
    </row>
    <row r="1444" spans="90:90">
      <c r="CL1444"/>
    </row>
    <row r="1445" spans="90:90">
      <c r="CL1445"/>
    </row>
    <row r="1446" spans="90:90">
      <c r="CL1446"/>
    </row>
    <row r="1447" spans="90:90">
      <c r="CL1447"/>
    </row>
    <row r="1448" spans="90:90">
      <c r="CL1448"/>
    </row>
    <row r="1449" spans="90:90">
      <c r="CL1449"/>
    </row>
    <row r="1450" spans="90:90">
      <c r="CL1450"/>
    </row>
    <row r="1451" spans="90:90">
      <c r="CL1451"/>
    </row>
    <row r="1452" spans="90:90">
      <c r="CL1452"/>
    </row>
    <row r="1453" spans="90:90">
      <c r="CL1453"/>
    </row>
    <row r="1454" spans="90:90">
      <c r="CL1454"/>
    </row>
    <row r="1455" spans="90:90">
      <c r="CL1455"/>
    </row>
    <row r="1456" spans="90:90">
      <c r="CL1456"/>
    </row>
    <row r="1457" spans="90:90">
      <c r="CL1457"/>
    </row>
    <row r="1458" spans="90:90">
      <c r="CL1458"/>
    </row>
    <row r="1459" spans="90:90">
      <c r="CL1459"/>
    </row>
    <row r="1460" spans="90:90">
      <c r="CL1460"/>
    </row>
    <row r="1461" spans="90:90">
      <c r="CL1461"/>
    </row>
    <row r="1462" spans="90:90">
      <c r="CL1462"/>
    </row>
    <row r="1463" spans="90:90">
      <c r="CL1463"/>
    </row>
    <row r="1464" spans="90:90">
      <c r="CL1464"/>
    </row>
    <row r="1465" spans="90:90">
      <c r="CL1465"/>
    </row>
    <row r="1466" spans="90:90">
      <c r="CL1466"/>
    </row>
    <row r="1467" spans="90:90">
      <c r="CL1467"/>
    </row>
    <row r="1468" spans="90:90">
      <c r="CL1468"/>
    </row>
    <row r="1469" spans="90:90">
      <c r="CL1469"/>
    </row>
    <row r="1470" spans="90:90">
      <c r="CL1470"/>
    </row>
    <row r="1471" spans="90:90">
      <c r="CL1471"/>
    </row>
    <row r="1472" spans="90:90">
      <c r="CL1472"/>
    </row>
    <row r="1473" spans="90:90">
      <c r="CL1473"/>
    </row>
    <row r="1474" spans="90:90">
      <c r="CL1474"/>
    </row>
    <row r="1475" spans="90:90">
      <c r="CL1475"/>
    </row>
    <row r="1476" spans="90:90">
      <c r="CL1476"/>
    </row>
    <row r="1477" spans="90:90">
      <c r="CL1477"/>
    </row>
    <row r="1478" spans="90:90">
      <c r="CL1478"/>
    </row>
    <row r="1479" spans="90:90">
      <c r="CL1479"/>
    </row>
    <row r="1480" spans="90:90">
      <c r="CL1480"/>
    </row>
    <row r="1481" spans="90:90">
      <c r="CL1481"/>
    </row>
    <row r="1482" spans="90:90">
      <c r="CL1482"/>
    </row>
    <row r="1483" spans="90:90">
      <c r="CL1483"/>
    </row>
    <row r="1484" spans="90:90">
      <c r="CL1484"/>
    </row>
    <row r="1485" spans="90:90">
      <c r="CL1485"/>
    </row>
    <row r="1486" spans="90:90">
      <c r="CL1486"/>
    </row>
    <row r="1487" spans="90:90">
      <c r="CL1487"/>
    </row>
    <row r="1488" spans="90:90">
      <c r="CL1488"/>
    </row>
    <row r="1489" spans="90:90">
      <c r="CL1489"/>
    </row>
    <row r="1490" spans="90:90">
      <c r="CL1490"/>
    </row>
    <row r="1491" spans="90:90">
      <c r="CL1491"/>
    </row>
    <row r="1492" spans="90:90">
      <c r="CL1492"/>
    </row>
    <row r="1493" spans="90:90">
      <c r="CL1493"/>
    </row>
    <row r="1494" spans="90:90">
      <c r="CL1494"/>
    </row>
    <row r="1495" spans="90:90">
      <c r="CL1495"/>
    </row>
    <row r="1496" spans="90:90">
      <c r="CL1496"/>
    </row>
    <row r="1497" spans="90:90">
      <c r="CL1497"/>
    </row>
    <row r="1498" spans="90:90">
      <c r="CL1498"/>
    </row>
    <row r="1499" spans="90:90">
      <c r="CL1499"/>
    </row>
    <row r="1500" spans="90:90">
      <c r="CL1500"/>
    </row>
    <row r="1501" spans="90:90">
      <c r="CL1501"/>
    </row>
    <row r="1502" spans="90:90">
      <c r="CL1502"/>
    </row>
    <row r="1503" spans="90:90">
      <c r="CL1503"/>
    </row>
    <row r="1504" spans="90:90">
      <c r="CL1504"/>
    </row>
    <row r="1505" spans="90:90">
      <c r="CL1505"/>
    </row>
    <row r="1506" spans="90:90">
      <c r="CL1506"/>
    </row>
    <row r="1507" spans="90:90">
      <c r="CL1507"/>
    </row>
    <row r="1508" spans="90:90">
      <c r="CL1508"/>
    </row>
    <row r="1509" spans="90:90">
      <c r="CL1509"/>
    </row>
    <row r="1510" spans="90:90">
      <c r="CL1510"/>
    </row>
    <row r="1511" spans="90:90">
      <c r="CL1511"/>
    </row>
    <row r="1512" spans="90:90">
      <c r="CL1512"/>
    </row>
    <row r="1513" spans="90:90">
      <c r="CL1513"/>
    </row>
    <row r="1514" spans="90:90">
      <c r="CL1514"/>
    </row>
    <row r="1515" spans="90:90">
      <c r="CL1515"/>
    </row>
    <row r="1516" spans="90:90">
      <c r="CL1516"/>
    </row>
    <row r="1517" spans="90:90">
      <c r="CL1517"/>
    </row>
    <row r="1518" spans="90:90">
      <c r="CL1518"/>
    </row>
    <row r="1519" spans="90:90">
      <c r="CL1519"/>
    </row>
    <row r="1520" spans="90:90">
      <c r="CL1520"/>
    </row>
    <row r="1521" spans="90:90">
      <c r="CL1521"/>
    </row>
    <row r="1522" spans="90:90">
      <c r="CL1522"/>
    </row>
    <row r="1523" spans="90:90">
      <c r="CL1523"/>
    </row>
    <row r="1524" spans="90:90">
      <c r="CL1524"/>
    </row>
    <row r="1525" spans="90:90">
      <c r="CL1525"/>
    </row>
    <row r="1526" spans="90:90">
      <c r="CL1526"/>
    </row>
    <row r="1527" spans="90:90">
      <c r="CL1527"/>
    </row>
    <row r="1528" spans="90:90">
      <c r="CL1528"/>
    </row>
    <row r="1529" spans="90:90">
      <c r="CL1529"/>
    </row>
    <row r="1530" spans="90:90">
      <c r="CL1530"/>
    </row>
    <row r="1531" spans="90:90">
      <c r="CL1531"/>
    </row>
    <row r="1532" spans="90:90">
      <c r="CL1532"/>
    </row>
    <row r="1533" spans="90:90">
      <c r="CL1533"/>
    </row>
    <row r="1534" spans="90:90">
      <c r="CL1534"/>
    </row>
    <row r="1535" spans="90:90">
      <c r="CL1535"/>
    </row>
    <row r="1536" spans="90:90">
      <c r="CL1536"/>
    </row>
    <row r="1537" spans="90:90">
      <c r="CL1537"/>
    </row>
    <row r="1538" spans="90:90">
      <c r="CL1538"/>
    </row>
    <row r="1539" spans="90:90">
      <c r="CL1539"/>
    </row>
    <row r="1540" spans="90:90">
      <c r="CL1540"/>
    </row>
    <row r="1541" spans="90:90">
      <c r="CL1541"/>
    </row>
    <row r="1542" spans="90:90">
      <c r="CL1542"/>
    </row>
    <row r="1543" spans="90:90">
      <c r="CL1543"/>
    </row>
    <row r="1544" spans="90:90">
      <c r="CL1544"/>
    </row>
    <row r="1545" spans="90:90">
      <c r="CL1545"/>
    </row>
    <row r="1546" spans="90:90">
      <c r="CL1546"/>
    </row>
    <row r="1547" spans="90:90">
      <c r="CL1547"/>
    </row>
    <row r="1548" spans="90:90">
      <c r="CL1548"/>
    </row>
    <row r="1549" spans="90:90">
      <c r="CL1549"/>
    </row>
    <row r="1550" spans="90:90">
      <c r="CL1550"/>
    </row>
    <row r="1551" spans="90:90">
      <c r="CL1551"/>
    </row>
    <row r="1552" spans="90:90">
      <c r="CL1552"/>
    </row>
    <row r="1553" spans="90:90">
      <c r="CL1553"/>
    </row>
    <row r="1554" spans="90:90">
      <c r="CL1554"/>
    </row>
    <row r="1555" spans="90:90">
      <c r="CL1555"/>
    </row>
    <row r="1556" spans="90:90">
      <c r="CL1556"/>
    </row>
    <row r="1557" spans="90:90">
      <c r="CL1557"/>
    </row>
    <row r="1558" spans="90:90">
      <c r="CL1558"/>
    </row>
    <row r="1559" spans="90:90">
      <c r="CL1559"/>
    </row>
    <row r="1560" spans="90:90">
      <c r="CL1560"/>
    </row>
    <row r="1561" spans="90:90">
      <c r="CL1561"/>
    </row>
    <row r="1562" spans="90:90">
      <c r="CL1562"/>
    </row>
    <row r="1563" spans="90:90">
      <c r="CL1563"/>
    </row>
    <row r="1564" spans="90:90">
      <c r="CL1564"/>
    </row>
    <row r="1565" spans="90:90">
      <c r="CL1565"/>
    </row>
    <row r="1566" spans="90:90">
      <c r="CL1566"/>
    </row>
    <row r="1567" spans="90:90">
      <c r="CL1567"/>
    </row>
    <row r="1568" spans="90:90">
      <c r="CL1568"/>
    </row>
    <row r="1569" spans="90:90">
      <c r="CL1569"/>
    </row>
    <row r="1570" spans="90:90">
      <c r="CL1570"/>
    </row>
    <row r="1571" spans="90:90">
      <c r="CL1571"/>
    </row>
    <row r="1572" spans="90:90">
      <c r="CL1572"/>
    </row>
    <row r="1573" spans="90:90">
      <c r="CL1573"/>
    </row>
    <row r="1574" spans="90:90">
      <c r="CL1574"/>
    </row>
    <row r="1575" spans="90:90">
      <c r="CL1575"/>
    </row>
    <row r="1576" spans="90:90">
      <c r="CL1576"/>
    </row>
    <row r="1577" spans="90:90">
      <c r="CL1577"/>
    </row>
    <row r="1578" spans="90:90">
      <c r="CL1578"/>
    </row>
    <row r="1579" spans="90:90">
      <c r="CL1579"/>
    </row>
    <row r="1580" spans="90:90">
      <c r="CL1580"/>
    </row>
    <row r="1581" spans="90:90">
      <c r="CL1581"/>
    </row>
    <row r="1582" spans="90:90">
      <c r="CL1582"/>
    </row>
    <row r="1583" spans="90:90">
      <c r="CL1583"/>
    </row>
    <row r="1584" spans="90:90">
      <c r="CL1584"/>
    </row>
    <row r="1585" spans="90:90">
      <c r="CL1585"/>
    </row>
    <row r="1586" spans="90:90">
      <c r="CL1586"/>
    </row>
    <row r="1587" spans="90:90">
      <c r="CL1587"/>
    </row>
    <row r="1588" spans="90:90">
      <c r="CL1588"/>
    </row>
    <row r="1589" spans="90:90">
      <c r="CL1589"/>
    </row>
    <row r="1590" spans="90:90">
      <c r="CL1590"/>
    </row>
    <row r="1591" spans="90:90">
      <c r="CL1591"/>
    </row>
    <row r="1592" spans="90:90">
      <c r="CL1592"/>
    </row>
    <row r="1593" spans="90:90">
      <c r="CL1593"/>
    </row>
    <row r="1594" spans="90:90">
      <c r="CL1594"/>
    </row>
    <row r="1595" spans="90:90">
      <c r="CL1595"/>
    </row>
    <row r="1596" spans="90:90">
      <c r="CL1596"/>
    </row>
    <row r="1597" spans="90:90">
      <c r="CL1597"/>
    </row>
    <row r="1598" spans="90:90">
      <c r="CL1598"/>
    </row>
    <row r="1599" spans="90:90">
      <c r="CL1599"/>
    </row>
    <row r="1600" spans="90:90">
      <c r="CL1600"/>
    </row>
    <row r="1601" spans="90:90">
      <c r="CL1601"/>
    </row>
    <row r="1602" spans="90:90">
      <c r="CL1602"/>
    </row>
    <row r="1603" spans="90:90">
      <c r="CL1603"/>
    </row>
    <row r="1604" spans="90:90">
      <c r="CL1604"/>
    </row>
    <row r="1605" spans="90:90">
      <c r="CL1605"/>
    </row>
    <row r="1606" spans="90:90">
      <c r="CL1606"/>
    </row>
    <row r="1607" spans="90:90">
      <c r="CL1607"/>
    </row>
    <row r="1608" spans="90:90">
      <c r="CL1608"/>
    </row>
    <row r="1609" spans="90:90">
      <c r="CL1609"/>
    </row>
    <row r="1610" spans="90:90">
      <c r="CL1610"/>
    </row>
    <row r="1611" spans="90:90">
      <c r="CL1611"/>
    </row>
    <row r="1612" spans="90:90">
      <c r="CL1612"/>
    </row>
    <row r="1613" spans="90:90">
      <c r="CL1613"/>
    </row>
    <row r="1614" spans="90:90">
      <c r="CL1614"/>
    </row>
    <row r="1615" spans="90:90">
      <c r="CL1615"/>
    </row>
    <row r="1616" spans="90:90">
      <c r="CL1616"/>
    </row>
    <row r="1617" spans="90:90">
      <c r="CL1617"/>
    </row>
    <row r="1618" spans="90:90">
      <c r="CL1618"/>
    </row>
    <row r="1619" spans="90:90">
      <c r="CL1619"/>
    </row>
    <row r="1620" spans="90:90">
      <c r="CL1620"/>
    </row>
    <row r="1621" spans="90:90">
      <c r="CL1621"/>
    </row>
    <row r="1622" spans="90:90">
      <c r="CL1622"/>
    </row>
    <row r="1623" spans="90:90">
      <c r="CL1623"/>
    </row>
    <row r="1624" spans="90:90">
      <c r="CL1624"/>
    </row>
    <row r="1625" spans="90:90">
      <c r="CL1625"/>
    </row>
    <row r="1626" spans="90:90">
      <c r="CL1626"/>
    </row>
    <row r="1627" spans="90:90">
      <c r="CL1627"/>
    </row>
    <row r="1628" spans="90:90">
      <c r="CL1628"/>
    </row>
    <row r="1629" spans="90:90">
      <c r="CL1629"/>
    </row>
    <row r="1630" spans="90:90">
      <c r="CL1630"/>
    </row>
    <row r="1631" spans="90:90">
      <c r="CL1631"/>
    </row>
    <row r="1632" spans="90:90">
      <c r="CL1632"/>
    </row>
    <row r="1633" spans="90:90">
      <c r="CL1633"/>
    </row>
    <row r="1634" spans="90:90">
      <c r="CL1634"/>
    </row>
    <row r="1635" spans="90:90">
      <c r="CL1635"/>
    </row>
    <row r="1636" spans="90:90">
      <c r="CL1636"/>
    </row>
    <row r="1637" spans="90:90">
      <c r="CL1637"/>
    </row>
    <row r="1638" spans="90:90">
      <c r="CL1638"/>
    </row>
    <row r="1639" spans="90:90">
      <c r="CL1639"/>
    </row>
    <row r="1640" spans="90:90">
      <c r="CL1640"/>
    </row>
    <row r="1641" spans="90:90">
      <c r="CL1641"/>
    </row>
    <row r="1642" spans="90:90">
      <c r="CL1642"/>
    </row>
    <row r="1643" spans="90:90">
      <c r="CL1643"/>
    </row>
    <row r="1644" spans="90:90">
      <c r="CL1644"/>
    </row>
    <row r="1645" spans="90:90">
      <c r="CL1645"/>
    </row>
    <row r="1646" spans="90:90">
      <c r="CL1646"/>
    </row>
    <row r="1647" spans="90:90">
      <c r="CL1647"/>
    </row>
    <row r="1648" spans="90:90">
      <c r="CL1648"/>
    </row>
    <row r="1649" spans="90:90">
      <c r="CL1649"/>
    </row>
    <row r="1650" spans="90:90">
      <c r="CL1650"/>
    </row>
    <row r="1651" spans="90:90">
      <c r="CL1651"/>
    </row>
    <row r="1652" spans="90:90">
      <c r="CL1652"/>
    </row>
    <row r="1653" spans="90:90">
      <c r="CL1653"/>
    </row>
    <row r="1654" spans="90:90">
      <c r="CL1654"/>
    </row>
    <row r="1655" spans="90:90">
      <c r="CL1655"/>
    </row>
    <row r="1656" spans="90:90">
      <c r="CL1656"/>
    </row>
    <row r="1657" spans="90:90">
      <c r="CL1657"/>
    </row>
    <row r="1658" spans="90:90">
      <c r="CL1658"/>
    </row>
    <row r="1659" spans="90:90">
      <c r="CL1659"/>
    </row>
    <row r="1660" spans="90:90">
      <c r="CL1660"/>
    </row>
    <row r="1661" spans="90:90">
      <c r="CL1661"/>
    </row>
    <row r="1662" spans="90:90">
      <c r="CL1662"/>
    </row>
    <row r="1663" spans="90:90">
      <c r="CL1663"/>
    </row>
    <row r="1664" spans="90:90">
      <c r="CL1664"/>
    </row>
    <row r="1665" spans="90:90">
      <c r="CL1665"/>
    </row>
    <row r="1666" spans="90:90">
      <c r="CL1666"/>
    </row>
    <row r="1667" spans="90:90">
      <c r="CL1667"/>
    </row>
    <row r="1668" spans="90:90">
      <c r="CL1668"/>
    </row>
    <row r="1669" spans="90:90">
      <c r="CL1669"/>
    </row>
    <row r="1670" spans="90:90">
      <c r="CL1670"/>
    </row>
    <row r="1671" spans="90:90">
      <c r="CL1671"/>
    </row>
    <row r="1672" spans="90:90">
      <c r="CL1672"/>
    </row>
    <row r="1673" spans="90:90">
      <c r="CL1673"/>
    </row>
    <row r="1674" spans="90:90">
      <c r="CL1674"/>
    </row>
    <row r="1675" spans="90:90">
      <c r="CL1675"/>
    </row>
    <row r="1676" spans="90:90">
      <c r="CL1676"/>
    </row>
    <row r="1677" spans="90:90">
      <c r="CL1677"/>
    </row>
    <row r="1678" spans="90:90">
      <c r="CL1678"/>
    </row>
    <row r="1679" spans="90:90">
      <c r="CL1679"/>
    </row>
    <row r="1680" spans="90:90">
      <c r="CL1680"/>
    </row>
    <row r="1681" spans="90:90">
      <c r="CL1681"/>
    </row>
    <row r="1682" spans="90:90">
      <c r="CL1682"/>
    </row>
    <row r="1683" spans="90:90">
      <c r="CL1683"/>
    </row>
    <row r="1684" spans="90:90">
      <c r="CL1684"/>
    </row>
    <row r="1685" spans="90:90">
      <c r="CL1685"/>
    </row>
    <row r="1686" spans="90:90">
      <c r="CL1686"/>
    </row>
    <row r="1687" spans="90:90">
      <c r="CL1687"/>
    </row>
    <row r="1688" spans="90:90">
      <c r="CL1688"/>
    </row>
    <row r="1689" spans="90:90">
      <c r="CL1689"/>
    </row>
    <row r="1690" spans="90:90">
      <c r="CL1690"/>
    </row>
    <row r="1691" spans="90:90">
      <c r="CL1691"/>
    </row>
    <row r="1692" spans="90:90">
      <c r="CL1692"/>
    </row>
    <row r="1693" spans="90:90">
      <c r="CL1693"/>
    </row>
    <row r="1694" spans="90:90">
      <c r="CL1694"/>
    </row>
    <row r="1695" spans="90:90">
      <c r="CL1695"/>
    </row>
    <row r="1696" spans="90:90">
      <c r="CL1696"/>
    </row>
    <row r="1697" spans="90:90">
      <c r="CL1697"/>
    </row>
    <row r="1698" spans="90:90">
      <c r="CL1698"/>
    </row>
    <row r="1699" spans="90:90">
      <c r="CL1699"/>
    </row>
    <row r="1700" spans="90:90">
      <c r="CL1700"/>
    </row>
    <row r="1701" spans="90:90">
      <c r="CL1701"/>
    </row>
    <row r="1702" spans="90:90">
      <c r="CL1702"/>
    </row>
    <row r="1703" spans="90:90">
      <c r="CL1703"/>
    </row>
    <row r="1704" spans="90:90">
      <c r="CL1704"/>
    </row>
    <row r="1705" spans="90:90">
      <c r="CL1705"/>
    </row>
    <row r="1706" spans="90:90">
      <c r="CL1706"/>
    </row>
    <row r="1707" spans="90:90">
      <c r="CL1707"/>
    </row>
    <row r="1708" spans="90:90">
      <c r="CL1708"/>
    </row>
    <row r="1709" spans="90:90">
      <c r="CL1709"/>
    </row>
    <row r="1710" spans="90:90">
      <c r="CL1710"/>
    </row>
    <row r="1711" spans="90:90">
      <c r="CL1711"/>
    </row>
    <row r="1712" spans="90:90">
      <c r="CL1712"/>
    </row>
    <row r="1713" spans="90:90">
      <c r="CL1713"/>
    </row>
    <row r="1714" spans="90:90">
      <c r="CL1714"/>
    </row>
    <row r="1715" spans="90:90">
      <c r="CL1715"/>
    </row>
    <row r="1716" spans="90:90">
      <c r="CL1716"/>
    </row>
    <row r="1717" spans="90:90">
      <c r="CL1717"/>
    </row>
    <row r="1718" spans="90:90">
      <c r="CL1718"/>
    </row>
    <row r="1719" spans="90:90">
      <c r="CL1719"/>
    </row>
    <row r="1720" spans="90:90">
      <c r="CL1720"/>
    </row>
    <row r="1721" spans="90:90">
      <c r="CL1721"/>
    </row>
    <row r="1722" spans="90:90">
      <c r="CL1722"/>
    </row>
    <row r="1723" spans="90:90">
      <c r="CL1723"/>
    </row>
    <row r="1724" spans="90:90">
      <c r="CL1724"/>
    </row>
    <row r="1725" spans="90:90">
      <c r="CL1725"/>
    </row>
    <row r="1726" spans="90:90">
      <c r="CL1726"/>
    </row>
    <row r="1727" spans="90:90">
      <c r="CL1727"/>
    </row>
    <row r="1728" spans="90:90">
      <c r="CL1728"/>
    </row>
    <row r="1729" spans="90:90">
      <c r="CL1729"/>
    </row>
    <row r="1730" spans="90:90">
      <c r="CL1730"/>
    </row>
    <row r="1731" spans="90:90">
      <c r="CL1731"/>
    </row>
    <row r="1732" spans="90:90">
      <c r="CL1732"/>
    </row>
    <row r="1733" spans="90:90">
      <c r="CL1733"/>
    </row>
    <row r="1734" spans="90:90">
      <c r="CL1734"/>
    </row>
    <row r="1735" spans="90:90">
      <c r="CL1735"/>
    </row>
    <row r="1736" spans="90:90">
      <c r="CL1736"/>
    </row>
    <row r="1737" spans="90:90">
      <c r="CL1737"/>
    </row>
    <row r="1738" spans="90:90">
      <c r="CL1738"/>
    </row>
    <row r="1739" spans="90:90">
      <c r="CL1739"/>
    </row>
    <row r="1740" spans="90:90">
      <c r="CL1740"/>
    </row>
    <row r="1741" spans="90:90">
      <c r="CL1741"/>
    </row>
    <row r="1742" spans="90:90">
      <c r="CL1742"/>
    </row>
    <row r="1743" spans="90:90">
      <c r="CL1743"/>
    </row>
    <row r="1744" spans="90:90">
      <c r="CL1744"/>
    </row>
    <row r="1745" spans="90:90">
      <c r="CL1745"/>
    </row>
    <row r="1746" spans="90:90">
      <c r="CL1746"/>
    </row>
    <row r="1747" spans="90:90">
      <c r="CL1747"/>
    </row>
    <row r="1748" spans="90:90">
      <c r="CL1748"/>
    </row>
    <row r="1749" spans="90:90">
      <c r="CL1749"/>
    </row>
    <row r="1750" spans="90:90">
      <c r="CL1750"/>
    </row>
    <row r="1751" spans="90:90">
      <c r="CL1751"/>
    </row>
    <row r="1752" spans="90:90">
      <c r="CL1752"/>
    </row>
    <row r="1753" spans="90:90">
      <c r="CL1753"/>
    </row>
    <row r="1754" spans="90:90">
      <c r="CL1754"/>
    </row>
    <row r="1755" spans="90:90">
      <c r="CL1755"/>
    </row>
    <row r="1756" spans="90:90">
      <c r="CL1756"/>
    </row>
    <row r="1757" spans="90:90">
      <c r="CL1757"/>
    </row>
    <row r="1758" spans="90:90">
      <c r="CL1758"/>
    </row>
    <row r="1759" spans="90:90">
      <c r="CL1759"/>
    </row>
    <row r="1760" spans="90:90">
      <c r="CL1760"/>
    </row>
    <row r="1761" spans="90:90">
      <c r="CL1761"/>
    </row>
    <row r="1762" spans="90:90">
      <c r="CL1762"/>
    </row>
    <row r="1763" spans="90:90">
      <c r="CL1763"/>
    </row>
    <row r="1764" spans="90:90">
      <c r="CL1764"/>
    </row>
    <row r="1765" spans="90:90">
      <c r="CL1765"/>
    </row>
    <row r="1766" spans="90:90">
      <c r="CL1766"/>
    </row>
    <row r="1767" spans="90:90">
      <c r="CL1767"/>
    </row>
    <row r="1768" spans="90:90">
      <c r="CL1768"/>
    </row>
    <row r="1769" spans="90:90">
      <c r="CL1769"/>
    </row>
    <row r="1770" spans="90:90">
      <c r="CL1770"/>
    </row>
    <row r="1771" spans="90:90">
      <c r="CL1771"/>
    </row>
    <row r="1772" spans="90:90">
      <c r="CL1772"/>
    </row>
    <row r="1773" spans="90:90">
      <c r="CL1773"/>
    </row>
    <row r="1774" spans="90:90">
      <c r="CL1774"/>
    </row>
    <row r="1775" spans="90:90">
      <c r="CL1775"/>
    </row>
    <row r="1776" spans="90:90">
      <c r="CL1776"/>
    </row>
    <row r="1777" spans="90:90">
      <c r="CL1777"/>
    </row>
    <row r="1778" spans="90:90">
      <c r="CL1778"/>
    </row>
    <row r="1779" spans="90:90">
      <c r="CL1779"/>
    </row>
    <row r="1780" spans="90:90">
      <c r="CL1780"/>
    </row>
    <row r="1781" spans="90:90">
      <c r="CL1781"/>
    </row>
    <row r="1782" spans="90:90">
      <c r="CL1782"/>
    </row>
    <row r="1783" spans="90:90">
      <c r="CL1783"/>
    </row>
    <row r="1784" spans="90:90">
      <c r="CL1784"/>
    </row>
    <row r="1785" spans="90:90">
      <c r="CL1785"/>
    </row>
    <row r="1786" spans="90:90">
      <c r="CL1786"/>
    </row>
    <row r="1787" spans="90:90">
      <c r="CL1787"/>
    </row>
    <row r="1788" spans="90:90">
      <c r="CL1788"/>
    </row>
    <row r="1789" spans="90:90">
      <c r="CL1789"/>
    </row>
    <row r="1790" spans="90:90">
      <c r="CL1790"/>
    </row>
    <row r="1791" spans="90:90">
      <c r="CL1791"/>
    </row>
    <row r="1792" spans="90:90">
      <c r="CL1792"/>
    </row>
    <row r="1793" spans="90:90">
      <c r="CL1793"/>
    </row>
    <row r="1794" spans="90:90">
      <c r="CL1794"/>
    </row>
    <row r="1795" spans="90:90">
      <c r="CL1795"/>
    </row>
    <row r="1796" spans="90:90">
      <c r="CL1796"/>
    </row>
    <row r="1797" spans="90:90">
      <c r="CL1797"/>
    </row>
    <row r="1798" spans="90:90">
      <c r="CL1798"/>
    </row>
    <row r="1799" spans="90:90">
      <c r="CL1799"/>
    </row>
    <row r="1800" spans="90:90">
      <c r="CL1800"/>
    </row>
    <row r="1801" spans="90:90">
      <c r="CL1801"/>
    </row>
    <row r="1802" spans="90:90">
      <c r="CL1802"/>
    </row>
    <row r="1803" spans="90:90">
      <c r="CL1803"/>
    </row>
    <row r="1804" spans="90:90">
      <c r="CL1804"/>
    </row>
    <row r="1805" spans="90:90">
      <c r="CL1805"/>
    </row>
    <row r="1806" spans="90:90">
      <c r="CL1806"/>
    </row>
    <row r="1807" spans="90:90">
      <c r="CL1807"/>
    </row>
    <row r="1808" spans="90:90">
      <c r="CL1808"/>
    </row>
    <row r="1809" spans="90:90">
      <c r="CL1809"/>
    </row>
    <row r="1810" spans="90:90">
      <c r="CL1810"/>
    </row>
    <row r="1811" spans="90:90">
      <c r="CL1811"/>
    </row>
    <row r="1812" spans="90:90">
      <c r="CL1812"/>
    </row>
    <row r="1813" spans="90:90">
      <c r="CL1813"/>
    </row>
    <row r="1814" spans="90:90">
      <c r="CL1814"/>
    </row>
    <row r="1815" spans="90:90">
      <c r="CL1815"/>
    </row>
    <row r="1816" spans="90:90">
      <c r="CL1816"/>
    </row>
    <row r="1817" spans="90:90">
      <c r="CL1817"/>
    </row>
    <row r="1818" spans="90:90">
      <c r="CL1818"/>
    </row>
    <row r="1819" spans="90:90">
      <c r="CL1819"/>
    </row>
    <row r="1820" spans="90:90">
      <c r="CL1820"/>
    </row>
    <row r="1821" spans="90:90">
      <c r="CL1821"/>
    </row>
    <row r="1822" spans="90:90">
      <c r="CL1822"/>
    </row>
    <row r="1823" spans="90:90">
      <c r="CL1823"/>
    </row>
    <row r="1824" spans="90:90">
      <c r="CL1824"/>
    </row>
    <row r="1825" spans="90:90">
      <c r="CL1825"/>
    </row>
    <row r="1826" spans="90:90">
      <c r="CL1826"/>
    </row>
    <row r="1827" spans="90:90">
      <c r="CL1827"/>
    </row>
    <row r="1828" spans="90:90">
      <c r="CL1828"/>
    </row>
    <row r="1829" spans="90:90">
      <c r="CL1829"/>
    </row>
    <row r="1830" spans="90:90">
      <c r="CL1830"/>
    </row>
    <row r="1831" spans="90:90">
      <c r="CL1831"/>
    </row>
    <row r="1832" spans="90:90">
      <c r="CL1832"/>
    </row>
    <row r="1833" spans="90:90">
      <c r="CL1833"/>
    </row>
    <row r="1834" spans="90:90">
      <c r="CL1834"/>
    </row>
    <row r="1835" spans="90:90">
      <c r="CL1835"/>
    </row>
    <row r="1836" spans="90:90">
      <c r="CL1836"/>
    </row>
    <row r="1837" spans="90:90">
      <c r="CL1837"/>
    </row>
    <row r="1838" spans="90:90">
      <c r="CL1838"/>
    </row>
    <row r="1839" spans="90:90">
      <c r="CL1839"/>
    </row>
    <row r="1840" spans="90:90">
      <c r="CL1840"/>
    </row>
    <row r="1841" spans="90:90">
      <c r="CL1841"/>
    </row>
    <row r="1842" spans="90:90">
      <c r="CL1842"/>
    </row>
    <row r="1843" spans="90:90">
      <c r="CL1843"/>
    </row>
    <row r="1844" spans="90:90">
      <c r="CL1844"/>
    </row>
    <row r="1845" spans="90:90">
      <c r="CL1845"/>
    </row>
    <row r="1846" spans="90:90">
      <c r="CL1846"/>
    </row>
    <row r="1847" spans="90:90">
      <c r="CL1847"/>
    </row>
    <row r="1848" spans="90:90">
      <c r="CL1848"/>
    </row>
    <row r="1849" spans="90:90">
      <c r="CL1849"/>
    </row>
    <row r="1850" spans="90:90">
      <c r="CL1850"/>
    </row>
    <row r="1851" spans="90:90">
      <c r="CL1851"/>
    </row>
    <row r="1852" spans="90:90">
      <c r="CL1852"/>
    </row>
    <row r="1853" spans="90:90">
      <c r="CL1853"/>
    </row>
    <row r="1854" spans="90:90">
      <c r="CL1854"/>
    </row>
    <row r="1855" spans="90:90">
      <c r="CL1855"/>
    </row>
    <row r="1856" spans="90:90">
      <c r="CL1856"/>
    </row>
    <row r="1857" spans="90:90">
      <c r="CL1857"/>
    </row>
    <row r="1858" spans="90:90">
      <c r="CL1858"/>
    </row>
    <row r="1859" spans="90:90">
      <c r="CL1859"/>
    </row>
    <row r="1860" spans="90:90">
      <c r="CL1860"/>
    </row>
    <row r="1861" spans="90:90">
      <c r="CL1861"/>
    </row>
    <row r="1862" spans="90:90">
      <c r="CL1862"/>
    </row>
    <row r="1863" spans="90:90">
      <c r="CL1863"/>
    </row>
    <row r="1864" spans="90:90">
      <c r="CL1864"/>
    </row>
    <row r="1865" spans="90:90">
      <c r="CL1865"/>
    </row>
    <row r="1866" spans="90:90">
      <c r="CL1866"/>
    </row>
    <row r="1867" spans="90:90">
      <c r="CL1867"/>
    </row>
    <row r="1868" spans="90:90">
      <c r="CL1868"/>
    </row>
    <row r="1869" spans="90:90">
      <c r="CL1869"/>
    </row>
    <row r="1870" spans="90:90">
      <c r="CL1870"/>
    </row>
    <row r="1871" spans="90:90">
      <c r="CL1871"/>
    </row>
    <row r="1872" spans="90:90">
      <c r="CL1872"/>
    </row>
    <row r="1873" spans="90:90">
      <c r="CL1873"/>
    </row>
    <row r="1874" spans="90:90">
      <c r="CL1874"/>
    </row>
    <row r="1875" spans="90:90">
      <c r="CL1875"/>
    </row>
    <row r="1876" spans="90:90">
      <c r="CL1876"/>
    </row>
    <row r="1877" spans="90:90">
      <c r="CL1877"/>
    </row>
    <row r="1878" spans="90:90">
      <c r="CL1878"/>
    </row>
    <row r="1879" spans="90:90">
      <c r="CL1879"/>
    </row>
    <row r="1880" spans="90:90">
      <c r="CL1880"/>
    </row>
    <row r="1881" spans="90:90">
      <c r="CL1881"/>
    </row>
    <row r="1882" spans="90:90">
      <c r="CL1882"/>
    </row>
    <row r="1883" spans="90:90">
      <c r="CL1883"/>
    </row>
    <row r="1884" spans="90:90">
      <c r="CL1884"/>
    </row>
    <row r="1885" spans="90:90">
      <c r="CL1885"/>
    </row>
    <row r="1886" spans="90:90">
      <c r="CL1886"/>
    </row>
    <row r="1887" spans="90:90">
      <c r="CL1887"/>
    </row>
    <row r="1888" spans="90:90">
      <c r="CL1888"/>
    </row>
    <row r="1889" spans="90:90">
      <c r="CL1889"/>
    </row>
    <row r="1890" spans="90:90">
      <c r="CL1890"/>
    </row>
    <row r="1891" spans="90:90">
      <c r="CL1891"/>
    </row>
    <row r="1892" spans="90:90">
      <c r="CL1892"/>
    </row>
    <row r="1893" spans="90:90">
      <c r="CL1893"/>
    </row>
    <row r="1894" spans="90:90">
      <c r="CL1894"/>
    </row>
    <row r="1895" spans="90:90">
      <c r="CL1895"/>
    </row>
    <row r="1896" spans="90:90">
      <c r="CL1896"/>
    </row>
    <row r="1897" spans="90:90">
      <c r="CL1897"/>
    </row>
    <row r="1898" spans="90:90">
      <c r="CL1898"/>
    </row>
    <row r="1899" spans="90:90">
      <c r="CL1899"/>
    </row>
    <row r="1900" spans="90:90">
      <c r="CL1900"/>
    </row>
    <row r="1901" spans="90:90">
      <c r="CL1901"/>
    </row>
    <row r="1902" spans="90:90">
      <c r="CL1902"/>
    </row>
    <row r="1903" spans="90:90">
      <c r="CL1903"/>
    </row>
    <row r="1904" spans="90:90">
      <c r="CL1904"/>
    </row>
    <row r="1905" spans="90:90">
      <c r="CL1905"/>
    </row>
    <row r="1906" spans="90:90">
      <c r="CL1906"/>
    </row>
    <row r="1907" spans="90:90">
      <c r="CL1907"/>
    </row>
    <row r="1908" spans="90:90">
      <c r="CL1908"/>
    </row>
    <row r="1909" spans="90:90">
      <c r="CL1909"/>
    </row>
    <row r="1910" spans="90:90">
      <c r="CL1910"/>
    </row>
    <row r="1911" spans="90:90">
      <c r="CL1911"/>
    </row>
    <row r="1912" spans="90:90">
      <c r="CL1912"/>
    </row>
    <row r="1913" spans="90:90">
      <c r="CL1913"/>
    </row>
    <row r="1914" spans="90:90">
      <c r="CL1914"/>
    </row>
    <row r="1915" spans="90:90">
      <c r="CL1915"/>
    </row>
    <row r="1916" spans="90:90">
      <c r="CL1916"/>
    </row>
    <row r="1917" spans="90:90">
      <c r="CL1917"/>
    </row>
    <row r="1918" spans="90:90">
      <c r="CL1918"/>
    </row>
    <row r="1919" spans="90:90">
      <c r="CL1919"/>
    </row>
    <row r="1920" spans="90:90">
      <c r="CL1920"/>
    </row>
    <row r="1921" spans="90:90">
      <c r="CL1921"/>
    </row>
    <row r="1922" spans="90:90">
      <c r="CL1922"/>
    </row>
    <row r="1923" spans="90:90">
      <c r="CL1923"/>
    </row>
    <row r="1924" spans="90:90">
      <c r="CL1924"/>
    </row>
    <row r="1925" spans="90:90">
      <c r="CL1925"/>
    </row>
    <row r="1926" spans="90:90">
      <c r="CL1926"/>
    </row>
    <row r="1927" spans="90:90">
      <c r="CL1927"/>
    </row>
    <row r="1928" spans="90:90">
      <c r="CL1928"/>
    </row>
    <row r="1929" spans="90:90">
      <c r="CL1929"/>
    </row>
    <row r="1930" spans="90:90">
      <c r="CL1930"/>
    </row>
    <row r="1931" spans="90:90">
      <c r="CL1931"/>
    </row>
    <row r="1932" spans="90:90">
      <c r="CL1932"/>
    </row>
    <row r="1933" spans="90:90">
      <c r="CL1933"/>
    </row>
    <row r="1934" spans="90:90">
      <c r="CL1934"/>
    </row>
    <row r="1935" spans="90:90">
      <c r="CL1935"/>
    </row>
    <row r="1936" spans="90:90">
      <c r="CL1936"/>
    </row>
    <row r="1937" spans="90:90">
      <c r="CL1937"/>
    </row>
    <row r="1938" spans="90:90">
      <c r="CL1938"/>
    </row>
    <row r="1939" spans="90:90">
      <c r="CL1939"/>
    </row>
    <row r="1940" spans="90:90">
      <c r="CL1940"/>
    </row>
    <row r="1941" spans="90:90">
      <c r="CL1941"/>
    </row>
    <row r="1942" spans="90:90">
      <c r="CL1942"/>
    </row>
    <row r="1943" spans="90:90">
      <c r="CL1943"/>
    </row>
    <row r="1944" spans="90:90">
      <c r="CL1944"/>
    </row>
    <row r="1945" spans="90:90">
      <c r="CL1945"/>
    </row>
    <row r="1946" spans="90:90">
      <c r="CL1946"/>
    </row>
    <row r="1947" spans="90:90">
      <c r="CL1947"/>
    </row>
    <row r="1948" spans="90:90">
      <c r="CL1948"/>
    </row>
    <row r="1949" spans="90:90">
      <c r="CL1949"/>
    </row>
    <row r="1950" spans="90:90">
      <c r="CL1950"/>
    </row>
    <row r="1951" spans="90:90">
      <c r="CL1951"/>
    </row>
    <row r="1952" spans="90:90">
      <c r="CL1952"/>
    </row>
    <row r="1953" spans="90:90">
      <c r="CL1953"/>
    </row>
    <row r="1954" spans="90:90">
      <c r="CL1954"/>
    </row>
    <row r="1955" spans="90:90">
      <c r="CL1955"/>
    </row>
    <row r="1956" spans="90:90">
      <c r="CL1956"/>
    </row>
    <row r="1957" spans="90:90">
      <c r="CL1957"/>
    </row>
    <row r="1958" spans="90:90">
      <c r="CL1958"/>
    </row>
    <row r="1959" spans="90:90">
      <c r="CL1959"/>
    </row>
    <row r="1960" spans="90:90">
      <c r="CL1960"/>
    </row>
    <row r="1961" spans="90:90">
      <c r="CL1961"/>
    </row>
    <row r="1962" spans="90:90">
      <c r="CL1962"/>
    </row>
    <row r="1963" spans="90:90">
      <c r="CL1963"/>
    </row>
    <row r="1964" spans="90:90">
      <c r="CL1964"/>
    </row>
    <row r="1965" spans="90:90">
      <c r="CL1965"/>
    </row>
    <row r="1966" spans="90:90">
      <c r="CL1966"/>
    </row>
    <row r="1967" spans="90:90">
      <c r="CL1967"/>
    </row>
    <row r="1968" spans="90:90">
      <c r="CL1968"/>
    </row>
    <row r="1969" spans="90:90">
      <c r="CL1969"/>
    </row>
    <row r="1970" spans="90:90">
      <c r="CL1970"/>
    </row>
    <row r="1971" spans="90:90">
      <c r="CL1971"/>
    </row>
    <row r="1972" spans="90:90">
      <c r="CL1972"/>
    </row>
    <row r="1973" spans="90:90">
      <c r="CL1973"/>
    </row>
    <row r="1974" spans="90:90">
      <c r="CL1974"/>
    </row>
    <row r="1975" spans="90:90">
      <c r="CL1975"/>
    </row>
    <row r="1976" spans="90:90">
      <c r="CL1976"/>
    </row>
    <row r="1977" spans="90:90">
      <c r="CL1977"/>
    </row>
    <row r="1978" spans="90:90">
      <c r="CL1978"/>
    </row>
    <row r="1979" spans="90:90">
      <c r="CL1979"/>
    </row>
    <row r="1980" spans="90:90">
      <c r="CL1980"/>
    </row>
    <row r="1981" spans="90:90">
      <c r="CL1981"/>
    </row>
    <row r="1982" spans="90:90">
      <c r="CL1982"/>
    </row>
    <row r="1983" spans="90:90">
      <c r="CL1983"/>
    </row>
    <row r="1984" spans="90:90">
      <c r="CL1984"/>
    </row>
    <row r="1985" spans="90:90">
      <c r="CL1985"/>
    </row>
    <row r="1986" spans="90:90">
      <c r="CL1986"/>
    </row>
    <row r="1987" spans="90:90">
      <c r="CL1987"/>
    </row>
    <row r="1988" spans="90:90">
      <c r="CL1988"/>
    </row>
    <row r="1989" spans="90:90">
      <c r="CL1989"/>
    </row>
    <row r="1990" spans="90:90">
      <c r="CL1990"/>
    </row>
    <row r="1991" spans="90:90">
      <c r="CL1991"/>
    </row>
    <row r="1992" spans="90:90">
      <c r="CL1992"/>
    </row>
    <row r="1993" spans="90:90">
      <c r="CL1993"/>
    </row>
    <row r="1994" spans="90:90">
      <c r="CL1994"/>
    </row>
    <row r="1995" spans="90:90">
      <c r="CL1995"/>
    </row>
    <row r="1996" spans="90:90">
      <c r="CL1996"/>
    </row>
    <row r="1997" spans="90:90">
      <c r="CL1997"/>
    </row>
    <row r="1998" spans="90:90">
      <c r="CL1998"/>
    </row>
    <row r="1999" spans="90:90">
      <c r="CL1999"/>
    </row>
    <row r="2000" spans="90:90">
      <c r="CL2000"/>
    </row>
    <row r="2001" spans="90:90">
      <c r="CL2001"/>
    </row>
    <row r="2002" spans="90:90">
      <c r="CL2002"/>
    </row>
    <row r="2003" spans="90:90">
      <c r="CL2003"/>
    </row>
    <row r="2004" spans="90:90">
      <c r="CL2004"/>
    </row>
    <row r="2005" spans="90:90">
      <c r="CL2005"/>
    </row>
    <row r="2006" spans="90:90">
      <c r="CL2006"/>
    </row>
    <row r="2007" spans="90:90">
      <c r="CL2007"/>
    </row>
    <row r="2008" spans="90:90">
      <c r="CL2008"/>
    </row>
    <row r="2009" spans="90:90">
      <c r="CL2009"/>
    </row>
    <row r="2010" spans="90:90">
      <c r="CL2010"/>
    </row>
    <row r="2011" spans="90:90">
      <c r="CL2011"/>
    </row>
    <row r="2012" spans="90:90">
      <c r="CL2012"/>
    </row>
    <row r="2013" spans="90:90">
      <c r="CL2013"/>
    </row>
    <row r="2014" spans="90:90">
      <c r="CL2014"/>
    </row>
    <row r="2015" spans="90:90">
      <c r="CL2015"/>
    </row>
    <row r="2016" spans="90:90">
      <c r="CL2016"/>
    </row>
    <row r="2017" spans="90:90">
      <c r="CL2017"/>
    </row>
    <row r="2018" spans="90:90">
      <c r="CL2018"/>
    </row>
    <row r="2019" spans="90:90">
      <c r="CL2019"/>
    </row>
    <row r="2020" spans="90:90">
      <c r="CL2020"/>
    </row>
    <row r="2021" spans="90:90">
      <c r="CL2021"/>
    </row>
    <row r="2022" spans="90:90">
      <c r="CL2022"/>
    </row>
    <row r="2023" spans="90:90">
      <c r="CL2023"/>
    </row>
    <row r="2024" spans="90:90">
      <c r="CL2024"/>
    </row>
    <row r="2025" spans="90:90">
      <c r="CL2025"/>
    </row>
    <row r="2026" spans="90:90">
      <c r="CL2026"/>
    </row>
    <row r="2027" spans="90:90">
      <c r="CL2027"/>
    </row>
    <row r="2028" spans="90:90">
      <c r="CL2028"/>
    </row>
    <row r="2029" spans="90:90">
      <c r="CL2029"/>
    </row>
    <row r="2030" spans="90:90">
      <c r="CL2030"/>
    </row>
    <row r="2031" spans="90:90">
      <c r="CL2031"/>
    </row>
    <row r="2032" spans="90:90">
      <c r="CL2032"/>
    </row>
    <row r="2033" spans="90:90">
      <c r="CL2033"/>
    </row>
    <row r="2034" spans="90:90">
      <c r="CL2034"/>
    </row>
    <row r="2035" spans="90:90">
      <c r="CL2035"/>
    </row>
    <row r="2036" spans="90:90">
      <c r="CL2036"/>
    </row>
    <row r="2037" spans="90:90">
      <c r="CL2037"/>
    </row>
    <row r="2038" spans="90:90">
      <c r="CL2038"/>
    </row>
    <row r="2039" spans="90:90">
      <c r="CL2039"/>
    </row>
    <row r="2040" spans="90:90">
      <c r="CL2040"/>
    </row>
    <row r="2041" spans="90:90">
      <c r="CL2041"/>
    </row>
    <row r="2042" spans="90:90">
      <c r="CL2042"/>
    </row>
    <row r="2043" spans="90:90">
      <c r="CL2043"/>
    </row>
    <row r="2044" spans="90:90">
      <c r="CL2044"/>
    </row>
    <row r="2045" spans="90:90">
      <c r="CL2045"/>
    </row>
    <row r="2046" spans="90:90">
      <c r="CL2046"/>
    </row>
    <row r="2047" spans="90:90">
      <c r="CL2047"/>
    </row>
    <row r="2048" spans="90:90">
      <c r="CL2048"/>
    </row>
    <row r="2049" spans="90:90">
      <c r="CL2049"/>
    </row>
    <row r="2050" spans="90:90">
      <c r="CL2050"/>
    </row>
    <row r="2051" spans="90:90">
      <c r="CL2051"/>
    </row>
    <row r="2052" spans="90:90">
      <c r="CL2052"/>
    </row>
    <row r="2053" spans="90:90">
      <c r="CL2053"/>
    </row>
    <row r="2054" spans="90:90">
      <c r="CL2054"/>
    </row>
    <row r="2055" spans="90:90">
      <c r="CL2055"/>
    </row>
    <row r="2056" spans="90:90">
      <c r="CL2056"/>
    </row>
    <row r="2057" spans="90:90">
      <c r="CL2057"/>
    </row>
    <row r="2058" spans="90:90">
      <c r="CL2058"/>
    </row>
    <row r="2059" spans="90:90">
      <c r="CL2059"/>
    </row>
    <row r="2060" spans="90:90">
      <c r="CL2060"/>
    </row>
    <row r="2061" spans="90:90">
      <c r="CL2061"/>
    </row>
    <row r="2062" spans="90:90">
      <c r="CL2062"/>
    </row>
    <row r="2063" spans="90:90">
      <c r="CL2063"/>
    </row>
    <row r="2064" spans="90:90">
      <c r="CL2064"/>
    </row>
    <row r="2065" spans="90:90">
      <c r="CL2065"/>
    </row>
    <row r="2066" spans="90:90">
      <c r="CL2066"/>
    </row>
    <row r="2067" spans="90:90">
      <c r="CL2067"/>
    </row>
    <row r="2068" spans="90:90">
      <c r="CL2068"/>
    </row>
    <row r="2069" spans="90:90">
      <c r="CL2069"/>
    </row>
    <row r="2070" spans="90:90">
      <c r="CL2070"/>
    </row>
    <row r="2071" spans="90:90">
      <c r="CL2071"/>
    </row>
    <row r="2072" spans="90:90">
      <c r="CL2072"/>
    </row>
    <row r="2073" spans="90:90">
      <c r="CL2073"/>
    </row>
    <row r="2074" spans="90:90">
      <c r="CL2074"/>
    </row>
    <row r="2075" spans="90:90">
      <c r="CL2075"/>
    </row>
    <row r="2076" spans="90:90">
      <c r="CL2076"/>
    </row>
    <row r="2077" spans="90:90">
      <c r="CL2077"/>
    </row>
    <row r="2078" spans="90:90">
      <c r="CL2078"/>
    </row>
    <row r="2079" spans="90:90">
      <c r="CL2079"/>
    </row>
    <row r="2080" spans="90:90">
      <c r="CL2080"/>
    </row>
    <row r="2081" spans="90:90">
      <c r="CL2081"/>
    </row>
    <row r="2082" spans="90:90">
      <c r="CL2082"/>
    </row>
    <row r="2083" spans="90:90">
      <c r="CL2083"/>
    </row>
    <row r="2084" spans="90:90">
      <c r="CL2084"/>
    </row>
    <row r="2085" spans="90:90">
      <c r="CL2085"/>
    </row>
    <row r="2086" spans="90:90">
      <c r="CL2086"/>
    </row>
    <row r="2087" spans="90:90">
      <c r="CL2087"/>
    </row>
    <row r="2088" spans="90:90">
      <c r="CL2088"/>
    </row>
    <row r="2089" spans="90:90">
      <c r="CL2089"/>
    </row>
    <row r="2090" spans="90:90">
      <c r="CL2090"/>
    </row>
    <row r="2091" spans="90:90">
      <c r="CL2091"/>
    </row>
    <row r="2092" spans="90:90">
      <c r="CL2092"/>
    </row>
    <row r="2093" spans="90:90">
      <c r="CL2093"/>
    </row>
    <row r="2094" spans="90:90">
      <c r="CL2094"/>
    </row>
    <row r="2095" spans="90:90">
      <c r="CL2095"/>
    </row>
    <row r="2096" spans="90:90">
      <c r="CL2096"/>
    </row>
    <row r="2097" spans="90:90">
      <c r="CL2097"/>
    </row>
    <row r="2098" spans="90:90">
      <c r="CL2098"/>
    </row>
    <row r="2099" spans="90:90">
      <c r="CL2099"/>
    </row>
    <row r="2100" spans="90:90">
      <c r="CL2100"/>
    </row>
    <row r="2101" spans="90:90">
      <c r="CL2101"/>
    </row>
    <row r="2102" spans="90:90">
      <c r="CL2102"/>
    </row>
    <row r="2103" spans="90:90">
      <c r="CL2103"/>
    </row>
    <row r="2104" spans="90:90">
      <c r="CL2104"/>
    </row>
    <row r="2105" spans="90:90">
      <c r="CL2105"/>
    </row>
    <row r="2106" spans="90:90">
      <c r="CL2106"/>
    </row>
    <row r="2107" spans="90:90">
      <c r="CL2107"/>
    </row>
    <row r="2108" spans="90:90">
      <c r="CL2108"/>
    </row>
    <row r="2109" spans="90:90">
      <c r="CL2109"/>
    </row>
    <row r="2110" spans="90:90">
      <c r="CL2110"/>
    </row>
    <row r="2111" spans="90:90">
      <c r="CL2111"/>
    </row>
    <row r="2112" spans="90:90">
      <c r="CL2112"/>
    </row>
    <row r="2113" spans="90:90">
      <c r="CL2113"/>
    </row>
    <row r="2114" spans="90:90">
      <c r="CL2114"/>
    </row>
    <row r="2115" spans="90:90">
      <c r="CL2115"/>
    </row>
    <row r="2116" spans="90:90">
      <c r="CL2116"/>
    </row>
    <row r="2117" spans="90:90">
      <c r="CL2117"/>
    </row>
    <row r="2118" spans="90:90">
      <c r="CL2118"/>
    </row>
    <row r="2119" spans="90:90">
      <c r="CL2119"/>
    </row>
    <row r="2120" spans="90:90">
      <c r="CL2120"/>
    </row>
    <row r="2121" spans="90:90">
      <c r="CL2121"/>
    </row>
    <row r="2122" spans="90:90">
      <c r="CL2122"/>
    </row>
    <row r="2123" spans="90:90">
      <c r="CL2123"/>
    </row>
    <row r="2124" spans="90:90">
      <c r="CL2124"/>
    </row>
    <row r="2125" spans="90:90">
      <c r="CL2125"/>
    </row>
    <row r="2126" spans="90:90">
      <c r="CL2126"/>
    </row>
    <row r="2127" spans="90:90">
      <c r="CL2127"/>
    </row>
    <row r="2128" spans="90:90">
      <c r="CL2128"/>
    </row>
    <row r="2129" spans="90:90">
      <c r="CL2129"/>
    </row>
    <row r="2130" spans="90:90">
      <c r="CL2130"/>
    </row>
    <row r="2131" spans="90:90">
      <c r="CL2131"/>
    </row>
    <row r="2132" spans="90:90">
      <c r="CL2132"/>
    </row>
    <row r="2133" spans="90:90">
      <c r="CL2133"/>
    </row>
    <row r="2134" spans="90:90">
      <c r="CL2134"/>
    </row>
    <row r="2135" spans="90:90">
      <c r="CL2135"/>
    </row>
    <row r="2136" spans="90:90">
      <c r="CL2136"/>
    </row>
    <row r="2137" spans="90:90">
      <c r="CL2137"/>
    </row>
    <row r="2138" spans="90:90">
      <c r="CL2138"/>
    </row>
    <row r="2139" spans="90:90">
      <c r="CL2139"/>
    </row>
    <row r="2140" spans="90:90">
      <c r="CL2140"/>
    </row>
    <row r="2141" spans="90:90">
      <c r="CL2141"/>
    </row>
    <row r="2142" spans="90:90">
      <c r="CL2142"/>
    </row>
    <row r="2143" spans="90:90">
      <c r="CL2143"/>
    </row>
    <row r="2144" spans="90:90">
      <c r="CL2144"/>
    </row>
    <row r="2145" spans="90:90">
      <c r="CL2145"/>
    </row>
    <row r="2146" spans="90:90">
      <c r="CL2146"/>
    </row>
    <row r="2147" spans="90:90">
      <c r="CL2147"/>
    </row>
    <row r="2148" spans="90:90">
      <c r="CL2148"/>
    </row>
    <row r="2149" spans="90:90">
      <c r="CL2149"/>
    </row>
    <row r="2150" spans="90:90">
      <c r="CL2150"/>
    </row>
    <row r="2151" spans="90:90">
      <c r="CL2151"/>
    </row>
    <row r="2152" spans="90:90">
      <c r="CL2152"/>
    </row>
    <row r="2153" spans="90:90">
      <c r="CL2153"/>
    </row>
    <row r="2154" spans="90:90">
      <c r="CL2154"/>
    </row>
    <row r="2155" spans="90:90">
      <c r="CL2155"/>
    </row>
    <row r="2156" spans="90:90">
      <c r="CL2156"/>
    </row>
    <row r="2157" spans="90:90">
      <c r="CL2157"/>
    </row>
    <row r="2158" spans="90:90">
      <c r="CL2158"/>
    </row>
    <row r="2159" spans="90:90">
      <c r="CL2159"/>
    </row>
    <row r="2160" spans="90:90">
      <c r="CL2160"/>
    </row>
    <row r="2161" spans="90:90">
      <c r="CL2161"/>
    </row>
    <row r="2162" spans="90:90">
      <c r="CL2162"/>
    </row>
    <row r="2163" spans="90:90">
      <c r="CL2163"/>
    </row>
    <row r="2164" spans="90:90">
      <c r="CL2164"/>
    </row>
    <row r="2165" spans="90:90">
      <c r="CL2165"/>
    </row>
    <row r="2166" spans="90:90">
      <c r="CL2166"/>
    </row>
    <row r="2167" spans="90:90">
      <c r="CL2167"/>
    </row>
    <row r="2168" spans="90:90">
      <c r="CL2168"/>
    </row>
    <row r="2169" spans="90:90">
      <c r="CL2169"/>
    </row>
    <row r="2170" spans="90:90">
      <c r="CL2170"/>
    </row>
    <row r="2171" spans="90:90">
      <c r="CL2171"/>
    </row>
    <row r="2172" spans="90:90">
      <c r="CL2172"/>
    </row>
    <row r="2173" spans="90:90">
      <c r="CL2173"/>
    </row>
    <row r="2174" spans="90:90">
      <c r="CL2174"/>
    </row>
    <row r="2175" spans="90:90">
      <c r="CL2175"/>
    </row>
    <row r="2176" spans="90:90">
      <c r="CL2176"/>
    </row>
    <row r="2177" spans="90:90">
      <c r="CL2177"/>
    </row>
    <row r="2178" spans="90:90">
      <c r="CL2178"/>
    </row>
    <row r="2179" spans="90:90">
      <c r="CL2179"/>
    </row>
    <row r="2180" spans="90:90">
      <c r="CL2180"/>
    </row>
    <row r="2181" spans="90:90">
      <c r="CL2181"/>
    </row>
    <row r="2182" spans="90:90">
      <c r="CL2182"/>
    </row>
    <row r="2183" spans="90:90">
      <c r="CL2183"/>
    </row>
    <row r="2184" spans="90:90">
      <c r="CL2184"/>
    </row>
    <row r="2185" spans="90:90">
      <c r="CL2185"/>
    </row>
    <row r="2186" spans="90:90">
      <c r="CL2186"/>
    </row>
    <row r="2187" spans="90:90">
      <c r="CL2187"/>
    </row>
    <row r="2188" spans="90:90">
      <c r="CL2188"/>
    </row>
    <row r="2189" spans="90:90">
      <c r="CL2189"/>
    </row>
    <row r="2190" spans="90:90">
      <c r="CL2190"/>
    </row>
    <row r="2191" spans="90:90">
      <c r="CL2191"/>
    </row>
    <row r="2192" spans="90:90">
      <c r="CL2192"/>
    </row>
    <row r="2193" spans="90:90">
      <c r="CL2193"/>
    </row>
    <row r="2194" spans="90:90">
      <c r="CL2194"/>
    </row>
    <row r="2195" spans="90:90">
      <c r="CL2195"/>
    </row>
    <row r="2196" spans="90:90">
      <c r="CL2196"/>
    </row>
    <row r="2197" spans="90:90">
      <c r="CL2197"/>
    </row>
    <row r="2198" spans="90:90">
      <c r="CL2198"/>
    </row>
    <row r="2199" spans="90:90">
      <c r="CL2199"/>
    </row>
    <row r="2200" spans="90:90">
      <c r="CL2200"/>
    </row>
    <row r="2201" spans="90:90">
      <c r="CL2201"/>
    </row>
    <row r="2202" spans="90:90">
      <c r="CL2202"/>
    </row>
    <row r="2203" spans="90:90">
      <c r="CL2203"/>
    </row>
    <row r="2204" spans="90:90">
      <c r="CL2204"/>
    </row>
    <row r="2205" spans="90:90">
      <c r="CL2205"/>
    </row>
    <row r="2206" spans="90:90">
      <c r="CL2206"/>
    </row>
    <row r="2207" spans="90:90">
      <c r="CL2207"/>
    </row>
    <row r="2208" spans="90:90">
      <c r="CL2208"/>
    </row>
    <row r="2209" spans="90:90">
      <c r="CL2209"/>
    </row>
    <row r="2210" spans="90:90">
      <c r="CL2210"/>
    </row>
    <row r="2211" spans="90:90">
      <c r="CL2211"/>
    </row>
    <row r="2212" spans="90:90">
      <c r="CL2212"/>
    </row>
    <row r="2213" spans="90:90">
      <c r="CL2213"/>
    </row>
    <row r="2214" spans="90:90">
      <c r="CL2214"/>
    </row>
    <row r="2215" spans="90:90">
      <c r="CL2215"/>
    </row>
    <row r="2216" spans="90:90">
      <c r="CL2216"/>
    </row>
    <row r="2217" spans="90:90">
      <c r="CL2217"/>
    </row>
    <row r="2218" spans="90:90">
      <c r="CL2218"/>
    </row>
    <row r="2219" spans="90:90">
      <c r="CL2219"/>
    </row>
    <row r="2220" spans="90:90">
      <c r="CL2220"/>
    </row>
    <row r="2221" spans="90:90">
      <c r="CL2221"/>
    </row>
    <row r="2222" spans="90:90">
      <c r="CL2222"/>
    </row>
    <row r="2223" spans="90:90">
      <c r="CL2223"/>
    </row>
    <row r="2224" spans="90:90">
      <c r="CL2224"/>
    </row>
    <row r="2225" spans="90:90">
      <c r="CL2225"/>
    </row>
    <row r="2226" spans="90:90">
      <c r="CL2226"/>
    </row>
    <row r="2227" spans="90:90">
      <c r="CL2227"/>
    </row>
    <row r="2228" spans="90:90">
      <c r="CL2228"/>
    </row>
    <row r="2229" spans="90:90">
      <c r="CL2229"/>
    </row>
    <row r="2230" spans="90:90">
      <c r="CL2230"/>
    </row>
    <row r="2231" spans="90:90">
      <c r="CL2231"/>
    </row>
    <row r="2232" spans="90:90">
      <c r="CL2232"/>
    </row>
    <row r="2233" spans="90:90">
      <c r="CL2233"/>
    </row>
    <row r="2234" spans="90:90">
      <c r="CL2234"/>
    </row>
    <row r="2235" spans="90:90">
      <c r="CL2235"/>
    </row>
    <row r="2236" spans="90:90">
      <c r="CL2236"/>
    </row>
    <row r="2237" spans="90:90">
      <c r="CL2237"/>
    </row>
    <row r="2238" spans="90:90">
      <c r="CL2238"/>
    </row>
    <row r="2239" spans="90:90">
      <c r="CL2239"/>
    </row>
    <row r="2240" spans="90:90">
      <c r="CL2240"/>
    </row>
    <row r="2241" spans="90:90">
      <c r="CL2241"/>
    </row>
    <row r="2242" spans="90:90">
      <c r="CL2242"/>
    </row>
    <row r="2243" spans="90:90">
      <c r="CL2243"/>
    </row>
    <row r="2244" spans="90:90">
      <c r="CL2244"/>
    </row>
    <row r="2245" spans="90:90">
      <c r="CL2245"/>
    </row>
    <row r="2246" spans="90:90">
      <c r="CL2246"/>
    </row>
    <row r="2247" spans="90:90">
      <c r="CL2247"/>
    </row>
    <row r="2248" spans="90:90">
      <c r="CL2248"/>
    </row>
    <row r="2249" spans="90:90">
      <c r="CL2249"/>
    </row>
    <row r="2250" spans="90:90">
      <c r="CL2250"/>
    </row>
    <row r="2251" spans="90:90">
      <c r="CL2251"/>
    </row>
    <row r="2252" spans="90:90">
      <c r="CL2252"/>
    </row>
    <row r="2253" spans="90:90">
      <c r="CL2253"/>
    </row>
    <row r="2254" spans="90:90">
      <c r="CL2254"/>
    </row>
    <row r="2255" spans="90:90">
      <c r="CL2255"/>
    </row>
    <row r="2256" spans="90:90">
      <c r="CL2256"/>
    </row>
    <row r="2257" spans="90:90">
      <c r="CL2257"/>
    </row>
    <row r="2258" spans="90:90">
      <c r="CL2258"/>
    </row>
    <row r="2259" spans="90:90">
      <c r="CL2259"/>
    </row>
    <row r="2260" spans="90:90">
      <c r="CL2260"/>
    </row>
    <row r="2261" spans="90:90">
      <c r="CL2261"/>
    </row>
    <row r="2262" spans="90:90">
      <c r="CL2262"/>
    </row>
    <row r="2263" spans="90:90">
      <c r="CL2263"/>
    </row>
    <row r="2264" spans="90:90">
      <c r="CL2264"/>
    </row>
    <row r="2265" spans="90:90">
      <c r="CL2265"/>
    </row>
    <row r="2266" spans="90:90">
      <c r="CL2266"/>
    </row>
    <row r="2267" spans="90:90">
      <c r="CL2267"/>
    </row>
    <row r="2268" spans="90:90">
      <c r="CL2268"/>
    </row>
    <row r="2269" spans="90:90">
      <c r="CL2269"/>
    </row>
    <row r="2270" spans="90:90">
      <c r="CL2270"/>
    </row>
    <row r="2271" spans="90:90">
      <c r="CL2271"/>
    </row>
    <row r="2272" spans="90:90">
      <c r="CL2272"/>
    </row>
    <row r="2273" spans="90:90">
      <c r="CL2273"/>
    </row>
    <row r="2274" spans="90:90">
      <c r="CL2274"/>
    </row>
    <row r="2275" spans="90:90">
      <c r="CL2275"/>
    </row>
    <row r="2276" spans="90:90">
      <c r="CL2276"/>
    </row>
    <row r="2277" spans="90:90">
      <c r="CL2277"/>
    </row>
    <row r="2278" spans="90:90">
      <c r="CL2278"/>
    </row>
    <row r="2279" spans="90:90">
      <c r="CL2279"/>
    </row>
    <row r="2280" spans="90:90">
      <c r="CL2280"/>
    </row>
    <row r="2281" spans="90:90">
      <c r="CL2281"/>
    </row>
    <row r="2282" spans="90:90">
      <c r="CL2282"/>
    </row>
    <row r="2283" spans="90:90">
      <c r="CL2283"/>
    </row>
    <row r="2284" spans="90:90">
      <c r="CL2284"/>
    </row>
    <row r="2285" spans="90:90">
      <c r="CL2285"/>
    </row>
    <row r="2286" spans="90:90">
      <c r="CL2286"/>
    </row>
    <row r="2287" spans="90:90">
      <c r="CL2287"/>
    </row>
    <row r="2288" spans="90:90">
      <c r="CL2288"/>
    </row>
    <row r="2289" spans="90:90">
      <c r="CL2289"/>
    </row>
    <row r="2290" spans="90:90">
      <c r="CL2290"/>
    </row>
    <row r="2291" spans="90:90">
      <c r="CL2291"/>
    </row>
    <row r="2292" spans="90:90">
      <c r="CL2292"/>
    </row>
    <row r="2293" spans="90:90">
      <c r="CL2293"/>
    </row>
    <row r="2294" spans="90:90">
      <c r="CL2294"/>
    </row>
    <row r="2295" spans="90:90">
      <c r="CL2295"/>
    </row>
    <row r="2296" spans="90:90">
      <c r="CL2296"/>
    </row>
    <row r="2297" spans="90:90">
      <c r="CL2297"/>
    </row>
    <row r="2298" spans="90:90">
      <c r="CL2298"/>
    </row>
    <row r="2299" spans="90:90">
      <c r="CL2299"/>
    </row>
    <row r="2300" spans="90:90">
      <c r="CL2300"/>
    </row>
    <row r="2301" spans="90:90">
      <c r="CL2301"/>
    </row>
    <row r="2302" spans="90:90">
      <c r="CL2302"/>
    </row>
    <row r="2303" spans="90:90">
      <c r="CL2303"/>
    </row>
    <row r="2304" spans="90:90">
      <c r="CL2304"/>
    </row>
    <row r="2305" spans="90:90">
      <c r="CL2305"/>
    </row>
    <row r="2306" spans="90:90">
      <c r="CL2306"/>
    </row>
    <row r="2307" spans="90:90">
      <c r="CL2307"/>
    </row>
    <row r="2308" spans="90:90">
      <c r="CL2308"/>
    </row>
    <row r="2309" spans="90:90">
      <c r="CL2309"/>
    </row>
    <row r="2310" spans="90:90">
      <c r="CL2310"/>
    </row>
    <row r="2311" spans="90:90">
      <c r="CL2311"/>
    </row>
    <row r="2312" spans="90:90">
      <c r="CL2312"/>
    </row>
    <row r="2313" spans="90:90">
      <c r="CL2313"/>
    </row>
    <row r="2314" spans="90:90">
      <c r="CL2314"/>
    </row>
    <row r="2315" spans="90:90">
      <c r="CL2315"/>
    </row>
    <row r="2316" spans="90:90">
      <c r="CL2316"/>
    </row>
    <row r="2317" spans="90:90">
      <c r="CL2317"/>
    </row>
    <row r="2318" spans="90:90">
      <c r="CL2318"/>
    </row>
    <row r="2319" spans="90:90">
      <c r="CL2319"/>
    </row>
    <row r="2320" spans="90:90">
      <c r="CL2320"/>
    </row>
    <row r="2321" spans="90:90">
      <c r="CL2321"/>
    </row>
    <row r="2322" spans="90:90">
      <c r="CL2322"/>
    </row>
    <row r="2323" spans="90:90">
      <c r="CL2323"/>
    </row>
    <row r="2324" spans="90:90">
      <c r="CL2324"/>
    </row>
    <row r="2325" spans="90:90">
      <c r="CL2325"/>
    </row>
    <row r="2326" spans="90:90">
      <c r="CL2326"/>
    </row>
    <row r="2327" spans="90:90">
      <c r="CL2327"/>
    </row>
    <row r="2328" spans="90:90">
      <c r="CL2328"/>
    </row>
    <row r="2329" spans="90:90">
      <c r="CL2329"/>
    </row>
    <row r="2330" spans="90:90">
      <c r="CL2330"/>
    </row>
    <row r="2331" spans="90:90">
      <c r="CL2331"/>
    </row>
    <row r="2332" spans="90:90">
      <c r="CL2332"/>
    </row>
    <row r="2333" spans="90:90">
      <c r="CL2333"/>
    </row>
    <row r="2334" spans="90:90">
      <c r="CL2334"/>
    </row>
    <row r="2335" spans="90:90">
      <c r="CL2335"/>
    </row>
    <row r="2336" spans="90:90">
      <c r="CL2336"/>
    </row>
    <row r="2337" spans="90:90">
      <c r="CL2337"/>
    </row>
    <row r="2338" spans="90:90">
      <c r="CL2338"/>
    </row>
    <row r="2339" spans="90:90">
      <c r="CL2339"/>
    </row>
    <row r="2340" spans="90:90">
      <c r="CL2340"/>
    </row>
    <row r="2341" spans="90:90">
      <c r="CL2341"/>
    </row>
    <row r="2342" spans="90:90">
      <c r="CL2342"/>
    </row>
    <row r="2343" spans="90:90">
      <c r="CL2343"/>
    </row>
    <row r="2344" spans="90:90">
      <c r="CL2344"/>
    </row>
    <row r="2345" spans="90:90">
      <c r="CL2345"/>
    </row>
    <row r="2346" spans="90:90">
      <c r="CL2346"/>
    </row>
    <row r="2347" spans="90:90">
      <c r="CL2347"/>
    </row>
    <row r="2348" spans="90:90">
      <c r="CL2348"/>
    </row>
    <row r="2349" spans="90:90">
      <c r="CL2349"/>
    </row>
    <row r="2350" spans="90:90">
      <c r="CL2350"/>
    </row>
    <row r="2351" spans="90:90">
      <c r="CL2351"/>
    </row>
    <row r="2352" spans="90:90">
      <c r="CL2352"/>
    </row>
    <row r="2353" spans="90:90">
      <c r="CL2353"/>
    </row>
    <row r="2354" spans="90:90">
      <c r="CL2354"/>
    </row>
    <row r="2355" spans="90:90">
      <c r="CL2355"/>
    </row>
    <row r="2356" spans="90:90">
      <c r="CL2356"/>
    </row>
    <row r="2357" spans="90:90">
      <c r="CL2357"/>
    </row>
    <row r="2358" spans="90:90">
      <c r="CL2358"/>
    </row>
    <row r="2359" spans="90:90">
      <c r="CL2359"/>
    </row>
    <row r="2360" spans="90:90">
      <c r="CL2360"/>
    </row>
    <row r="2361" spans="90:90">
      <c r="CL2361"/>
    </row>
    <row r="2362" spans="90:90">
      <c r="CL2362"/>
    </row>
    <row r="2363" spans="90:90">
      <c r="CL2363"/>
    </row>
    <row r="2364" spans="90:90">
      <c r="CL2364"/>
    </row>
    <row r="2365" spans="90:90">
      <c r="CL2365"/>
    </row>
    <row r="2366" spans="90:90">
      <c r="CL2366"/>
    </row>
    <row r="2367" spans="90:90">
      <c r="CL2367"/>
    </row>
    <row r="2368" spans="90:90">
      <c r="CL2368"/>
    </row>
    <row r="2369" spans="90:90">
      <c r="CL2369"/>
    </row>
    <row r="2370" spans="90:90">
      <c r="CL2370"/>
    </row>
    <row r="2371" spans="90:90">
      <c r="CL2371"/>
    </row>
    <row r="2372" spans="90:90">
      <c r="CL2372"/>
    </row>
    <row r="2373" spans="90:90">
      <c r="CL2373"/>
    </row>
    <row r="2374" spans="90:90">
      <c r="CL2374"/>
    </row>
    <row r="2375" spans="90:90">
      <c r="CL2375"/>
    </row>
    <row r="2376" spans="90:90">
      <c r="CL2376"/>
    </row>
    <row r="2377" spans="90:90">
      <c r="CL2377"/>
    </row>
    <row r="2378" spans="90:90">
      <c r="CL2378"/>
    </row>
    <row r="2379" spans="90:90">
      <c r="CL2379"/>
    </row>
    <row r="2380" spans="90:90">
      <c r="CL2380"/>
    </row>
    <row r="2381" spans="90:90">
      <c r="CL2381"/>
    </row>
    <row r="2382" spans="90:90">
      <c r="CL2382"/>
    </row>
    <row r="2383" spans="90:90">
      <c r="CL2383"/>
    </row>
    <row r="2384" spans="90:90">
      <c r="CL2384"/>
    </row>
    <row r="2385" spans="90:90">
      <c r="CL2385"/>
    </row>
    <row r="2386" spans="90:90">
      <c r="CL2386"/>
    </row>
    <row r="2387" spans="90:90">
      <c r="CL2387"/>
    </row>
    <row r="2388" spans="90:90">
      <c r="CL2388"/>
    </row>
    <row r="2389" spans="90:90">
      <c r="CL2389"/>
    </row>
    <row r="2390" spans="90:90">
      <c r="CL2390"/>
    </row>
    <row r="2391" spans="90:90">
      <c r="CL2391"/>
    </row>
    <row r="2392" spans="90:90">
      <c r="CL2392"/>
    </row>
    <row r="2393" spans="90:90">
      <c r="CL2393"/>
    </row>
    <row r="2394" spans="90:90">
      <c r="CL2394"/>
    </row>
    <row r="2395" spans="90:90">
      <c r="CL2395"/>
    </row>
    <row r="2396" spans="90:90">
      <c r="CL2396"/>
    </row>
    <row r="2397" spans="90:90">
      <c r="CL2397"/>
    </row>
    <row r="2398" spans="90:90">
      <c r="CL2398"/>
    </row>
    <row r="2399" spans="90:90">
      <c r="CL2399"/>
    </row>
    <row r="2400" spans="90:90">
      <c r="CL2400"/>
    </row>
    <row r="2401" spans="90:90">
      <c r="CL2401"/>
    </row>
    <row r="2402" spans="90:90">
      <c r="CL2402"/>
    </row>
    <row r="2403" spans="90:90">
      <c r="CL2403"/>
    </row>
    <row r="2404" spans="90:90">
      <c r="CL2404"/>
    </row>
    <row r="2405" spans="90:90">
      <c r="CL2405"/>
    </row>
    <row r="2406" spans="90:90">
      <c r="CL2406"/>
    </row>
    <row r="2407" spans="90:90">
      <c r="CL2407"/>
    </row>
    <row r="2408" spans="90:90">
      <c r="CL2408"/>
    </row>
    <row r="2409" spans="90:90">
      <c r="CL2409"/>
    </row>
    <row r="2410" spans="90:90">
      <c r="CL2410"/>
    </row>
    <row r="2411" spans="90:90">
      <c r="CL2411"/>
    </row>
    <row r="2412" spans="90:90">
      <c r="CL2412"/>
    </row>
    <row r="2413" spans="90:90">
      <c r="CL2413"/>
    </row>
    <row r="2414" spans="90:90">
      <c r="CL2414"/>
    </row>
    <row r="2415" spans="90:90">
      <c r="CL2415"/>
    </row>
    <row r="2416" spans="90:90">
      <c r="CL2416"/>
    </row>
    <row r="2417" spans="90:90">
      <c r="CL2417"/>
    </row>
    <row r="2418" spans="90:90">
      <c r="CL2418"/>
    </row>
    <row r="2419" spans="90:90">
      <c r="CL2419"/>
    </row>
    <row r="2420" spans="90:90">
      <c r="CL2420"/>
    </row>
    <row r="2421" spans="90:90">
      <c r="CL2421"/>
    </row>
    <row r="2422" spans="90:90">
      <c r="CL2422"/>
    </row>
    <row r="2423" spans="90:90">
      <c r="CL2423"/>
    </row>
    <row r="2424" spans="90:90">
      <c r="CL2424"/>
    </row>
    <row r="2425" spans="90:90">
      <c r="CL2425"/>
    </row>
    <row r="2426" spans="90:90">
      <c r="CL2426"/>
    </row>
    <row r="2427" spans="90:90">
      <c r="CL2427"/>
    </row>
    <row r="2428" spans="90:90">
      <c r="CL2428"/>
    </row>
    <row r="2429" spans="90:90">
      <c r="CL2429"/>
    </row>
    <row r="2430" spans="90:90">
      <c r="CL2430"/>
    </row>
    <row r="2431" spans="90:90">
      <c r="CL2431"/>
    </row>
    <row r="2432" spans="90:90">
      <c r="CL2432"/>
    </row>
    <row r="2433" spans="90:90">
      <c r="CL2433"/>
    </row>
    <row r="2434" spans="90:90">
      <c r="CL2434"/>
    </row>
    <row r="2435" spans="90:90">
      <c r="CL2435"/>
    </row>
    <row r="2436" spans="90:90">
      <c r="CL2436"/>
    </row>
    <row r="2437" spans="90:90">
      <c r="CL2437"/>
    </row>
    <row r="2438" spans="90:90">
      <c r="CL2438"/>
    </row>
    <row r="2439" spans="90:90">
      <c r="CL2439"/>
    </row>
    <row r="2440" spans="90:90">
      <c r="CL2440"/>
    </row>
    <row r="2441" spans="90:90">
      <c r="CL2441"/>
    </row>
    <row r="2442" spans="90:90">
      <c r="CL2442"/>
    </row>
    <row r="2443" spans="90:90">
      <c r="CL2443"/>
    </row>
    <row r="2444" spans="90:90">
      <c r="CL2444"/>
    </row>
    <row r="2445" spans="90:90">
      <c r="CL2445"/>
    </row>
    <row r="2446" spans="90:90">
      <c r="CL2446"/>
    </row>
    <row r="2447" spans="90:90">
      <c r="CL2447"/>
    </row>
    <row r="2448" spans="90:90">
      <c r="CL2448"/>
    </row>
    <row r="2449" spans="90:90">
      <c r="CL2449"/>
    </row>
    <row r="2450" spans="90:90">
      <c r="CL2450"/>
    </row>
    <row r="2451" spans="90:90">
      <c r="CL2451"/>
    </row>
    <row r="2452" spans="90:90">
      <c r="CL2452"/>
    </row>
    <row r="2453" spans="90:90">
      <c r="CL2453"/>
    </row>
    <row r="2454" spans="90:90">
      <c r="CL2454"/>
    </row>
    <row r="2455" spans="90:90">
      <c r="CL2455"/>
    </row>
    <row r="2456" spans="90:90">
      <c r="CL2456"/>
    </row>
    <row r="2457" spans="90:90">
      <c r="CL2457"/>
    </row>
    <row r="2458" spans="90:90">
      <c r="CL2458"/>
    </row>
    <row r="2459" spans="90:90">
      <c r="CL2459"/>
    </row>
    <row r="2460" spans="90:90">
      <c r="CL2460"/>
    </row>
    <row r="2461" spans="90:90">
      <c r="CL2461"/>
    </row>
    <row r="2462" spans="90:90">
      <c r="CL2462"/>
    </row>
    <row r="2463" spans="90:90">
      <c r="CL2463"/>
    </row>
    <row r="2464" spans="90:90">
      <c r="CL2464"/>
    </row>
    <row r="2465" spans="90:90">
      <c r="CL2465"/>
    </row>
    <row r="2466" spans="90:90">
      <c r="CL2466"/>
    </row>
    <row r="2467" spans="90:90">
      <c r="CL2467"/>
    </row>
    <row r="2468" spans="90:90">
      <c r="CL2468"/>
    </row>
    <row r="2469" spans="90:90">
      <c r="CL2469"/>
    </row>
    <row r="2470" spans="90:90">
      <c r="CL2470"/>
    </row>
    <row r="2471" spans="90:90">
      <c r="CL2471"/>
    </row>
    <row r="2472" spans="90:90">
      <c r="CL2472"/>
    </row>
    <row r="2473" spans="90:90">
      <c r="CL2473"/>
    </row>
    <row r="2474" spans="90:90">
      <c r="CL2474"/>
    </row>
    <row r="2475" spans="90:90">
      <c r="CL2475"/>
    </row>
    <row r="2476" spans="90:90">
      <c r="CL2476"/>
    </row>
    <row r="2477" spans="90:90">
      <c r="CL2477"/>
    </row>
    <row r="2478" spans="90:90">
      <c r="CL2478"/>
    </row>
    <row r="2479" spans="90:90">
      <c r="CL2479"/>
    </row>
    <row r="2480" spans="90:90">
      <c r="CL2480"/>
    </row>
    <row r="2481" spans="90:90">
      <c r="CL2481"/>
    </row>
    <row r="2482" spans="90:90">
      <c r="CL2482"/>
    </row>
    <row r="2483" spans="90:90">
      <c r="CL2483"/>
    </row>
    <row r="2484" spans="90:90">
      <c r="CL2484"/>
    </row>
    <row r="2485" spans="90:90">
      <c r="CL2485"/>
    </row>
    <row r="2486" spans="90:90">
      <c r="CL2486"/>
    </row>
    <row r="2487" spans="90:90">
      <c r="CL2487"/>
    </row>
    <row r="2488" spans="90:90">
      <c r="CL2488"/>
    </row>
    <row r="2489" spans="90:90">
      <c r="CL2489"/>
    </row>
    <row r="2490" spans="90:90">
      <c r="CL2490"/>
    </row>
    <row r="2491" spans="90:90">
      <c r="CL2491"/>
    </row>
    <row r="2492" spans="90:90">
      <c r="CL2492"/>
    </row>
    <row r="2493" spans="90:90">
      <c r="CL2493"/>
    </row>
    <row r="2494" spans="90:90">
      <c r="CL2494"/>
    </row>
    <row r="2495" spans="90:90">
      <c r="CL2495"/>
    </row>
    <row r="2496" spans="90:90">
      <c r="CL2496"/>
    </row>
    <row r="2497" spans="90:90">
      <c r="CL2497"/>
    </row>
    <row r="2498" spans="90:90">
      <c r="CL2498"/>
    </row>
    <row r="2499" spans="90:90">
      <c r="CL2499"/>
    </row>
    <row r="2500" spans="90:90">
      <c r="CL2500"/>
    </row>
    <row r="2501" spans="90:90">
      <c r="CL2501"/>
    </row>
    <row r="2502" spans="90:90">
      <c r="CL2502"/>
    </row>
    <row r="2503" spans="90:90">
      <c r="CL2503"/>
    </row>
    <row r="2504" spans="90:90">
      <c r="CL2504"/>
    </row>
    <row r="2505" spans="90:90">
      <c r="CL2505"/>
    </row>
    <row r="2506" spans="90:90">
      <c r="CL2506"/>
    </row>
    <row r="2507" spans="90:90">
      <c r="CL2507"/>
    </row>
    <row r="2508" spans="90:90">
      <c r="CL2508"/>
    </row>
    <row r="2509" spans="90:90">
      <c r="CL2509"/>
    </row>
    <row r="2510" spans="90:90">
      <c r="CL2510"/>
    </row>
    <row r="2511" spans="90:90">
      <c r="CL2511"/>
    </row>
    <row r="2512" spans="90:90">
      <c r="CL2512"/>
    </row>
    <row r="2513" spans="90:90">
      <c r="CL2513"/>
    </row>
    <row r="2514" spans="90:90">
      <c r="CL2514"/>
    </row>
    <row r="2515" spans="90:90">
      <c r="CL2515"/>
    </row>
    <row r="2516" spans="90:90">
      <c r="CL2516"/>
    </row>
    <row r="2517" spans="90:90">
      <c r="CL2517"/>
    </row>
    <row r="2518" spans="90:90">
      <c r="CL2518"/>
    </row>
    <row r="2519" spans="90:90">
      <c r="CL2519"/>
    </row>
    <row r="2520" spans="90:90">
      <c r="CL2520"/>
    </row>
    <row r="2521" spans="90:90">
      <c r="CL2521"/>
    </row>
    <row r="2522" spans="90:90">
      <c r="CL2522"/>
    </row>
    <row r="2523" spans="90:90">
      <c r="CL2523"/>
    </row>
    <row r="2524" spans="90:90">
      <c r="CL2524"/>
    </row>
    <row r="2525" spans="90:90">
      <c r="CL2525"/>
    </row>
    <row r="2526" spans="90:90">
      <c r="CL2526"/>
    </row>
    <row r="2527" spans="90:90">
      <c r="CL2527"/>
    </row>
    <row r="2528" spans="90:90">
      <c r="CL2528"/>
    </row>
    <row r="2529" spans="90:90">
      <c r="CL2529"/>
    </row>
    <row r="2530" spans="90:90">
      <c r="CL2530"/>
    </row>
    <row r="2531" spans="90:90">
      <c r="CL2531"/>
    </row>
    <row r="2532" spans="90:90">
      <c r="CL2532"/>
    </row>
    <row r="2533" spans="90:90">
      <c r="CL2533"/>
    </row>
    <row r="2534" spans="90:90">
      <c r="CL2534"/>
    </row>
    <row r="2535" spans="90:90">
      <c r="CL2535"/>
    </row>
    <row r="2536" spans="90:90">
      <c r="CL2536"/>
    </row>
    <row r="2537" spans="90:90">
      <c r="CL2537"/>
    </row>
    <row r="2538" spans="90:90">
      <c r="CL2538"/>
    </row>
    <row r="2539" spans="90:90">
      <c r="CL2539"/>
    </row>
    <row r="2540" spans="90:90">
      <c r="CL2540"/>
    </row>
    <row r="2541" spans="90:90">
      <c r="CL2541"/>
    </row>
    <row r="2542" spans="90:90">
      <c r="CL2542"/>
    </row>
    <row r="2543" spans="90:90">
      <c r="CL2543"/>
    </row>
    <row r="2544" spans="90:90">
      <c r="CL2544"/>
    </row>
    <row r="2545" spans="90:90">
      <c r="CL2545"/>
    </row>
    <row r="2546" spans="90:90">
      <c r="CL2546"/>
    </row>
    <row r="2547" spans="90:90">
      <c r="CL2547"/>
    </row>
    <row r="2548" spans="90:90">
      <c r="CL2548"/>
    </row>
    <row r="2549" spans="90:90">
      <c r="CL2549"/>
    </row>
    <row r="2550" spans="90:90">
      <c r="CL2550"/>
    </row>
    <row r="2551" spans="90:90">
      <c r="CL2551"/>
    </row>
    <row r="2552" spans="90:90">
      <c r="CL2552"/>
    </row>
    <row r="2553" spans="90:90">
      <c r="CL2553"/>
    </row>
    <row r="2554" spans="90:90">
      <c r="CL2554"/>
    </row>
    <row r="2555" spans="90:90">
      <c r="CL2555"/>
    </row>
    <row r="2556" spans="90:90">
      <c r="CL2556"/>
    </row>
    <row r="2557" spans="90:90">
      <c r="CL2557"/>
    </row>
    <row r="2558" spans="90:90">
      <c r="CL2558"/>
    </row>
    <row r="2559" spans="90:90">
      <c r="CL2559"/>
    </row>
    <row r="2560" spans="90:90">
      <c r="CL2560"/>
    </row>
    <row r="2561" spans="90:90">
      <c r="CL2561"/>
    </row>
    <row r="2562" spans="90:90">
      <c r="CL2562"/>
    </row>
    <row r="2563" spans="90:90">
      <c r="CL2563"/>
    </row>
    <row r="2564" spans="90:90">
      <c r="CL2564"/>
    </row>
    <row r="2565" spans="90:90">
      <c r="CL2565"/>
    </row>
    <row r="2566" spans="90:90">
      <c r="CL2566"/>
    </row>
    <row r="2567" spans="90:90">
      <c r="CL2567"/>
    </row>
    <row r="2568" spans="90:90">
      <c r="CL2568"/>
    </row>
    <row r="2569" spans="90:90">
      <c r="CL2569"/>
    </row>
    <row r="2570" spans="90:90">
      <c r="CL2570"/>
    </row>
    <row r="2571" spans="90:90">
      <c r="CL2571"/>
    </row>
    <row r="2572" spans="90:90">
      <c r="CL2572"/>
    </row>
    <row r="2573" spans="90:90">
      <c r="CL2573"/>
    </row>
    <row r="2574" spans="90:90">
      <c r="CL2574"/>
    </row>
    <row r="2575" spans="90:90">
      <c r="CL2575"/>
    </row>
    <row r="2576" spans="90:90">
      <c r="CL2576"/>
    </row>
    <row r="2577" spans="90:90">
      <c r="CL2577"/>
    </row>
    <row r="2578" spans="90:90">
      <c r="CL2578"/>
    </row>
    <row r="2579" spans="90:90">
      <c r="CL2579"/>
    </row>
    <row r="2580" spans="90:90">
      <c r="CL2580"/>
    </row>
    <row r="2581" spans="90:90">
      <c r="CL2581"/>
    </row>
    <row r="2582" spans="90:90">
      <c r="CL2582"/>
    </row>
    <row r="2583" spans="90:90">
      <c r="CL2583"/>
    </row>
    <row r="2584" spans="90:90">
      <c r="CL2584"/>
    </row>
    <row r="2585" spans="90:90">
      <c r="CL2585"/>
    </row>
    <row r="2586" spans="90:90">
      <c r="CL2586"/>
    </row>
    <row r="2587" spans="90:90">
      <c r="CL2587"/>
    </row>
    <row r="2588" spans="90:90">
      <c r="CL2588"/>
    </row>
    <row r="2589" spans="90:90">
      <c r="CL2589"/>
    </row>
    <row r="2590" spans="90:90">
      <c r="CL2590"/>
    </row>
    <row r="2591" spans="90:90">
      <c r="CL2591"/>
    </row>
    <row r="2592" spans="90:90">
      <c r="CL2592"/>
    </row>
    <row r="2593" spans="90:90">
      <c r="CL2593"/>
    </row>
    <row r="2594" spans="90:90">
      <c r="CL2594"/>
    </row>
    <row r="2595" spans="90:90">
      <c r="CL2595"/>
    </row>
    <row r="2596" spans="90:90">
      <c r="CL2596"/>
    </row>
    <row r="2597" spans="90:90">
      <c r="CL2597"/>
    </row>
    <row r="2598" spans="90:90">
      <c r="CL2598"/>
    </row>
    <row r="2599" spans="90:90">
      <c r="CL2599"/>
    </row>
    <row r="2600" spans="90:90">
      <c r="CL2600"/>
    </row>
    <row r="2601" spans="90:90">
      <c r="CL2601"/>
    </row>
    <row r="2602" spans="90:90">
      <c r="CL2602"/>
    </row>
    <row r="2603" spans="90:90">
      <c r="CL2603"/>
    </row>
    <row r="2604" spans="90:90">
      <c r="CL2604"/>
    </row>
    <row r="2605" spans="90:90">
      <c r="CL2605"/>
    </row>
    <row r="2606" spans="90:90">
      <c r="CL2606"/>
    </row>
    <row r="2607" spans="90:90">
      <c r="CL2607"/>
    </row>
    <row r="2608" spans="90:90">
      <c r="CL2608"/>
    </row>
    <row r="2609" spans="90:90">
      <c r="CL2609"/>
    </row>
    <row r="2610" spans="90:90">
      <c r="CL2610"/>
    </row>
    <row r="2611" spans="90:90">
      <c r="CL2611"/>
    </row>
    <row r="2612" spans="90:90">
      <c r="CL2612"/>
    </row>
    <row r="2613" spans="90:90">
      <c r="CL2613"/>
    </row>
    <row r="2614" spans="90:90">
      <c r="CL2614"/>
    </row>
    <row r="2615" spans="90:90">
      <c r="CL2615"/>
    </row>
    <row r="2616" spans="90:90">
      <c r="CL2616"/>
    </row>
    <row r="2617" spans="90:90">
      <c r="CL2617"/>
    </row>
    <row r="2618" spans="90:90">
      <c r="CL2618"/>
    </row>
    <row r="2619" spans="90:90">
      <c r="CL2619"/>
    </row>
    <row r="2620" spans="90:90">
      <c r="CL2620"/>
    </row>
    <row r="2621" spans="90:90">
      <c r="CL2621"/>
    </row>
    <row r="2622" spans="90:90">
      <c r="CL2622"/>
    </row>
    <row r="2623" spans="90:90">
      <c r="CL2623"/>
    </row>
    <row r="2624" spans="90:90">
      <c r="CL2624"/>
    </row>
    <row r="2625" spans="90:90">
      <c r="CL2625"/>
    </row>
    <row r="2626" spans="90:90">
      <c r="CL2626"/>
    </row>
    <row r="2627" spans="90:90">
      <c r="CL2627"/>
    </row>
    <row r="2628" spans="90:90">
      <c r="CL2628"/>
    </row>
    <row r="2629" spans="90:90">
      <c r="CL2629"/>
    </row>
    <row r="2630" spans="90:90">
      <c r="CL2630"/>
    </row>
    <row r="2631" spans="90:90">
      <c r="CL2631"/>
    </row>
    <row r="2632" spans="90:90">
      <c r="CL2632"/>
    </row>
    <row r="2633" spans="90:90">
      <c r="CL2633"/>
    </row>
    <row r="2634" spans="90:90">
      <c r="CL2634"/>
    </row>
    <row r="2635" spans="90:90">
      <c r="CL2635"/>
    </row>
    <row r="2636" spans="90:90">
      <c r="CL2636"/>
    </row>
    <row r="2637" spans="90:90">
      <c r="CL2637"/>
    </row>
    <row r="2638" spans="90:90">
      <c r="CL2638"/>
    </row>
    <row r="2639" spans="90:90">
      <c r="CL2639"/>
    </row>
    <row r="2640" spans="90:90">
      <c r="CL2640"/>
    </row>
    <row r="2641" spans="90:90">
      <c r="CL2641"/>
    </row>
    <row r="2642" spans="90:90">
      <c r="CL2642"/>
    </row>
    <row r="2643" spans="90:90">
      <c r="CL2643"/>
    </row>
    <row r="2644" spans="90:90">
      <c r="CL2644"/>
    </row>
    <row r="2645" spans="90:90">
      <c r="CL2645"/>
    </row>
    <row r="2646" spans="90:90">
      <c r="CL2646"/>
    </row>
    <row r="2647" spans="90:90">
      <c r="CL2647"/>
    </row>
    <row r="2648" spans="90:90">
      <c r="CL2648"/>
    </row>
    <row r="2649" spans="90:90">
      <c r="CL2649"/>
    </row>
    <row r="2650" spans="90:90">
      <c r="CL2650"/>
    </row>
    <row r="2651" spans="90:90">
      <c r="CL2651"/>
    </row>
    <row r="2652" spans="90:90">
      <c r="CL2652"/>
    </row>
    <row r="2653" spans="90:90">
      <c r="CL2653"/>
    </row>
    <row r="2654" spans="90:90">
      <c r="CL2654"/>
    </row>
    <row r="2655" spans="90:90">
      <c r="CL2655"/>
    </row>
    <row r="2656" spans="90:90">
      <c r="CL2656"/>
    </row>
    <row r="2657" spans="90:90">
      <c r="CL2657"/>
    </row>
    <row r="2658" spans="90:90">
      <c r="CL2658"/>
    </row>
    <row r="2659" spans="90:90">
      <c r="CL2659"/>
    </row>
    <row r="2660" spans="90:90">
      <c r="CL2660"/>
    </row>
    <row r="2661" spans="90:90">
      <c r="CL2661"/>
    </row>
    <row r="2662" spans="90:90">
      <c r="CL2662"/>
    </row>
    <row r="2663" spans="90:90">
      <c r="CL2663"/>
    </row>
    <row r="2664" spans="90:90">
      <c r="CL2664"/>
    </row>
    <row r="2665" spans="90:90">
      <c r="CL2665"/>
    </row>
    <row r="2666" spans="90:90">
      <c r="CL2666"/>
    </row>
    <row r="2667" spans="90:90">
      <c r="CL2667"/>
    </row>
    <row r="2668" spans="90:90">
      <c r="CL2668"/>
    </row>
    <row r="2669" spans="90:90">
      <c r="CL2669"/>
    </row>
    <row r="2670" spans="90:90">
      <c r="CL2670"/>
    </row>
    <row r="2671" spans="90:90">
      <c r="CL2671"/>
    </row>
    <row r="2672" spans="90:90">
      <c r="CL2672"/>
    </row>
    <row r="2673" spans="90:90">
      <c r="CL2673"/>
    </row>
    <row r="2674" spans="90:90">
      <c r="CL2674"/>
    </row>
    <row r="2675" spans="90:90">
      <c r="CL2675"/>
    </row>
    <row r="2676" spans="90:90">
      <c r="CL2676"/>
    </row>
    <row r="2677" spans="90:90">
      <c r="CL2677"/>
    </row>
    <row r="2678" spans="90:90">
      <c r="CL2678"/>
    </row>
    <row r="2679" spans="90:90">
      <c r="CL2679"/>
    </row>
    <row r="2680" spans="90:90">
      <c r="CL2680"/>
    </row>
    <row r="2681" spans="90:90">
      <c r="CL2681"/>
    </row>
    <row r="2682" spans="90:90">
      <c r="CL2682"/>
    </row>
    <row r="2683" spans="90:90">
      <c r="CL2683"/>
    </row>
    <row r="2684" spans="90:90">
      <c r="CL2684"/>
    </row>
    <row r="2685" spans="90:90">
      <c r="CL2685"/>
    </row>
    <row r="2686" spans="90:90">
      <c r="CL2686"/>
    </row>
    <row r="2687" spans="90:90">
      <c r="CL2687"/>
    </row>
    <row r="2688" spans="90:90">
      <c r="CL2688"/>
    </row>
    <row r="2689" spans="90:90">
      <c r="CL2689"/>
    </row>
    <row r="2690" spans="90:90">
      <c r="CL2690"/>
    </row>
    <row r="2691" spans="90:90">
      <c r="CL2691"/>
    </row>
    <row r="2692" spans="90:90">
      <c r="CL2692"/>
    </row>
    <row r="2693" spans="90:90">
      <c r="CL2693"/>
    </row>
    <row r="2694" spans="90:90">
      <c r="CL2694"/>
    </row>
    <row r="2695" spans="90:90">
      <c r="CL2695"/>
    </row>
    <row r="2696" spans="90:90">
      <c r="CL2696"/>
    </row>
    <row r="2697" spans="90:90">
      <c r="CL2697"/>
    </row>
    <row r="2698" spans="90:90">
      <c r="CL2698"/>
    </row>
    <row r="2699" spans="90:90">
      <c r="CL2699"/>
    </row>
    <row r="2700" spans="90:90">
      <c r="CL2700"/>
    </row>
    <row r="2701" spans="90:90">
      <c r="CL2701"/>
    </row>
    <row r="2702" spans="90:90">
      <c r="CL2702"/>
    </row>
    <row r="2703" spans="90:90">
      <c r="CL2703"/>
    </row>
    <row r="2704" spans="90:90">
      <c r="CL2704"/>
    </row>
    <row r="2705" spans="90:90">
      <c r="CL2705"/>
    </row>
    <row r="2706" spans="90:90">
      <c r="CL2706"/>
    </row>
    <row r="2707" spans="90:90">
      <c r="CL2707"/>
    </row>
    <row r="2708" spans="90:90">
      <c r="CL2708"/>
    </row>
    <row r="2709" spans="90:90">
      <c r="CL2709"/>
    </row>
    <row r="2710" spans="90:90">
      <c r="CL2710"/>
    </row>
    <row r="2711" spans="90:90">
      <c r="CL2711"/>
    </row>
    <row r="2712" spans="90:90">
      <c r="CL2712"/>
    </row>
    <row r="2713" spans="90:90">
      <c r="CL2713"/>
    </row>
    <row r="2714" spans="90:90">
      <c r="CL2714"/>
    </row>
    <row r="2715" spans="90:90">
      <c r="CL2715"/>
    </row>
    <row r="2716" spans="90:90">
      <c r="CL2716"/>
    </row>
    <row r="2717" spans="90:90">
      <c r="CL2717"/>
    </row>
    <row r="2718" spans="90:90">
      <c r="CL2718"/>
    </row>
    <row r="2719" spans="90:90">
      <c r="CL2719"/>
    </row>
    <row r="2720" spans="90:90">
      <c r="CL2720"/>
    </row>
    <row r="2721" spans="90:90">
      <c r="CL2721"/>
    </row>
    <row r="2722" spans="90:90">
      <c r="CL2722"/>
    </row>
    <row r="2723" spans="90:90">
      <c r="CL2723"/>
    </row>
    <row r="2724" spans="90:90">
      <c r="CL2724"/>
    </row>
    <row r="2725" spans="90:90">
      <c r="CL2725"/>
    </row>
    <row r="2726" spans="90:90">
      <c r="CL2726"/>
    </row>
    <row r="2727" spans="90:90">
      <c r="CL2727"/>
    </row>
    <row r="2728" spans="90:90">
      <c r="CL2728"/>
    </row>
    <row r="2729" spans="90:90">
      <c r="CL2729"/>
    </row>
    <row r="2730" spans="90:90">
      <c r="CL2730"/>
    </row>
    <row r="2731" spans="90:90">
      <c r="CL2731"/>
    </row>
    <row r="2732" spans="90:90">
      <c r="CL2732"/>
    </row>
    <row r="2733" spans="90:90">
      <c r="CL2733"/>
    </row>
    <row r="2734" spans="90:90">
      <c r="CL2734"/>
    </row>
    <row r="2735" spans="90:90">
      <c r="CL2735"/>
    </row>
    <row r="2736" spans="90:90">
      <c r="CL2736"/>
    </row>
    <row r="2737" spans="90:90">
      <c r="CL2737"/>
    </row>
    <row r="2738" spans="90:90">
      <c r="CL2738"/>
    </row>
    <row r="2739" spans="90:90">
      <c r="CL2739"/>
    </row>
    <row r="2740" spans="90:90">
      <c r="CL2740"/>
    </row>
    <row r="2741" spans="90:90">
      <c r="CL2741"/>
    </row>
    <row r="2742" spans="90:90">
      <c r="CL2742"/>
    </row>
    <row r="2743" spans="90:90">
      <c r="CL2743"/>
    </row>
    <row r="2744" spans="90:90">
      <c r="CL2744"/>
    </row>
    <row r="2745" spans="90:90">
      <c r="CL2745"/>
    </row>
    <row r="2746" spans="90:90">
      <c r="CL2746"/>
    </row>
    <row r="2747" spans="90:90">
      <c r="CL2747"/>
    </row>
    <row r="2748" spans="90:90">
      <c r="CL2748"/>
    </row>
    <row r="2749" spans="90:90">
      <c r="CL2749"/>
    </row>
    <row r="2750" spans="90:90">
      <c r="CL2750"/>
    </row>
    <row r="2751" spans="90:90">
      <c r="CL2751"/>
    </row>
    <row r="2752" spans="90:90">
      <c r="CL2752"/>
    </row>
    <row r="2753" spans="90:90">
      <c r="CL2753"/>
    </row>
    <row r="2754" spans="90:90">
      <c r="CL2754"/>
    </row>
    <row r="2755" spans="90:90">
      <c r="CL2755"/>
    </row>
    <row r="2756" spans="90:90">
      <c r="CL2756"/>
    </row>
    <row r="2757" spans="90:90">
      <c r="CL2757"/>
    </row>
    <row r="2758" spans="90:90">
      <c r="CL2758"/>
    </row>
    <row r="2759" spans="90:90">
      <c r="CL2759"/>
    </row>
    <row r="2760" spans="90:90">
      <c r="CL2760"/>
    </row>
    <row r="2761" spans="90:90">
      <c r="CL2761"/>
    </row>
    <row r="2762" spans="90:90">
      <c r="CL2762"/>
    </row>
    <row r="2763" spans="90:90">
      <c r="CL2763"/>
    </row>
    <row r="2764" spans="90:90">
      <c r="CL2764"/>
    </row>
    <row r="2765" spans="90:90">
      <c r="CL2765"/>
    </row>
    <row r="2766" spans="90:90">
      <c r="CL2766"/>
    </row>
    <row r="2767" spans="90:90">
      <c r="CL2767"/>
    </row>
    <row r="2768" spans="90:90">
      <c r="CL2768"/>
    </row>
    <row r="2769" spans="90:90">
      <c r="CL2769"/>
    </row>
    <row r="2770" spans="90:90">
      <c r="CL2770"/>
    </row>
    <row r="2771" spans="90:90">
      <c r="CL2771"/>
    </row>
    <row r="2772" spans="90:90">
      <c r="CL2772"/>
    </row>
    <row r="2773" spans="90:90">
      <c r="CL2773"/>
    </row>
    <row r="2774" spans="90:90">
      <c r="CL2774"/>
    </row>
    <row r="2775" spans="90:90">
      <c r="CL2775"/>
    </row>
    <row r="2776" spans="90:90">
      <c r="CL2776"/>
    </row>
    <row r="2777" spans="90:90">
      <c r="CL2777"/>
    </row>
    <row r="2778" spans="90:90">
      <c r="CL2778"/>
    </row>
    <row r="2779" spans="90:90">
      <c r="CL2779"/>
    </row>
    <row r="2780" spans="90:90">
      <c r="CL2780"/>
    </row>
    <row r="2781" spans="90:90">
      <c r="CL2781"/>
    </row>
    <row r="2782" spans="90:90">
      <c r="CL2782"/>
    </row>
    <row r="2783" spans="90:90">
      <c r="CL2783"/>
    </row>
    <row r="2784" spans="90:90">
      <c r="CL2784"/>
    </row>
    <row r="2785" spans="90:90">
      <c r="CL2785"/>
    </row>
    <row r="2786" spans="90:90">
      <c r="CL2786"/>
    </row>
    <row r="2787" spans="90:90">
      <c r="CL2787"/>
    </row>
    <row r="2788" spans="90:90">
      <c r="CL2788"/>
    </row>
    <row r="2789" spans="90:90">
      <c r="CL2789"/>
    </row>
    <row r="2790" spans="90:90">
      <c r="CL2790"/>
    </row>
    <row r="2791" spans="90:90">
      <c r="CL2791"/>
    </row>
    <row r="2792" spans="90:90">
      <c r="CL2792"/>
    </row>
    <row r="2793" spans="90:90">
      <c r="CL2793"/>
    </row>
    <row r="2794" spans="90:90">
      <c r="CL2794"/>
    </row>
    <row r="2795" spans="90:90">
      <c r="CL2795"/>
    </row>
    <row r="2796" spans="90:90">
      <c r="CL2796"/>
    </row>
    <row r="2797" spans="90:90">
      <c r="CL2797"/>
    </row>
    <row r="2798" spans="90:90">
      <c r="CL2798"/>
    </row>
    <row r="2799" spans="90:90">
      <c r="CL2799"/>
    </row>
    <row r="2800" spans="90:90">
      <c r="CL2800"/>
    </row>
    <row r="2801" spans="90:90">
      <c r="CL2801"/>
    </row>
    <row r="2802" spans="90:90">
      <c r="CL2802"/>
    </row>
    <row r="2803" spans="90:90">
      <c r="CL2803"/>
    </row>
    <row r="2804" spans="90:90">
      <c r="CL2804"/>
    </row>
    <row r="2805" spans="90:90">
      <c r="CL2805"/>
    </row>
    <row r="2806" spans="90:90">
      <c r="CL2806"/>
    </row>
    <row r="2807" spans="90:90">
      <c r="CL2807"/>
    </row>
    <row r="2808" spans="90:90">
      <c r="CL2808"/>
    </row>
    <row r="2809" spans="90:90">
      <c r="CL2809"/>
    </row>
    <row r="2810" spans="90:90">
      <c r="CL2810"/>
    </row>
    <row r="2811" spans="90:90">
      <c r="CL2811"/>
    </row>
    <row r="2812" spans="90:90">
      <c r="CL2812"/>
    </row>
    <row r="2813" spans="90:90">
      <c r="CL2813"/>
    </row>
    <row r="2814" spans="90:90">
      <c r="CL2814"/>
    </row>
    <row r="2815" spans="90:90">
      <c r="CL2815"/>
    </row>
    <row r="2816" spans="90:90">
      <c r="CL2816"/>
    </row>
    <row r="2817" spans="90:90">
      <c r="CL2817"/>
    </row>
    <row r="2818" spans="90:90">
      <c r="CL2818"/>
    </row>
    <row r="2819" spans="90:90">
      <c r="CL2819"/>
    </row>
    <row r="2820" spans="90:90">
      <c r="CL2820"/>
    </row>
    <row r="2821" spans="90:90">
      <c r="CL2821"/>
    </row>
    <row r="2822" spans="90:90">
      <c r="CL2822"/>
    </row>
    <row r="2823" spans="90:90">
      <c r="CL2823"/>
    </row>
    <row r="2824" spans="90:90">
      <c r="CL2824"/>
    </row>
    <row r="2825" spans="90:90">
      <c r="CL2825"/>
    </row>
    <row r="2826" spans="90:90">
      <c r="CL2826"/>
    </row>
    <row r="2827" spans="90:90">
      <c r="CL2827"/>
    </row>
    <row r="2828" spans="90:90">
      <c r="CL2828"/>
    </row>
    <row r="2829" spans="90:90">
      <c r="CL2829"/>
    </row>
    <row r="2830" spans="90:90">
      <c r="CL2830"/>
    </row>
    <row r="2831" spans="90:90">
      <c r="CL2831"/>
    </row>
    <row r="2832" spans="90:90">
      <c r="CL2832"/>
    </row>
    <row r="2833" spans="90:90">
      <c r="CL2833"/>
    </row>
    <row r="2834" spans="90:90">
      <c r="CL2834"/>
    </row>
    <row r="2835" spans="90:90">
      <c r="CL2835"/>
    </row>
    <row r="2836" spans="90:90">
      <c r="CL2836"/>
    </row>
    <row r="2837" spans="90:90">
      <c r="CL2837"/>
    </row>
    <row r="2838" spans="90:90">
      <c r="CL2838"/>
    </row>
    <row r="2839" spans="90:90">
      <c r="CL2839"/>
    </row>
    <row r="2840" spans="90:90">
      <c r="CL2840"/>
    </row>
    <row r="2841" spans="90:90">
      <c r="CL2841"/>
    </row>
    <row r="2842" spans="90:90">
      <c r="CL2842"/>
    </row>
    <row r="2843" spans="90:90">
      <c r="CL2843"/>
    </row>
    <row r="2844" spans="90:90">
      <c r="CL2844"/>
    </row>
    <row r="2845" spans="90:90">
      <c r="CL2845"/>
    </row>
    <row r="2846" spans="90:90">
      <c r="CL2846"/>
    </row>
    <row r="2847" spans="90:90">
      <c r="CL2847"/>
    </row>
    <row r="2848" spans="90:90">
      <c r="CL2848"/>
    </row>
    <row r="2849" spans="90:90">
      <c r="CL2849"/>
    </row>
    <row r="2850" spans="90:90">
      <c r="CL2850"/>
    </row>
    <row r="2851" spans="90:90">
      <c r="CL2851"/>
    </row>
    <row r="2852" spans="90:90">
      <c r="CL2852"/>
    </row>
    <row r="2853" spans="90:90">
      <c r="CL2853"/>
    </row>
    <row r="2854" spans="90:90">
      <c r="CL2854"/>
    </row>
    <row r="2855" spans="90:90">
      <c r="CL2855"/>
    </row>
    <row r="2856" spans="90:90">
      <c r="CL2856"/>
    </row>
    <row r="2857" spans="90:90">
      <c r="CL2857"/>
    </row>
    <row r="2858" spans="90:90">
      <c r="CL2858"/>
    </row>
    <row r="2859" spans="90:90">
      <c r="CL2859"/>
    </row>
    <row r="2860" spans="90:90">
      <c r="CL2860"/>
    </row>
    <row r="2861" spans="90:90">
      <c r="CL2861"/>
    </row>
    <row r="2862" spans="90:90">
      <c r="CL2862"/>
    </row>
    <row r="2863" spans="90:90">
      <c r="CL2863"/>
    </row>
    <row r="2864" spans="90:90">
      <c r="CL2864"/>
    </row>
    <row r="2865" spans="90:90">
      <c r="CL2865"/>
    </row>
    <row r="2866" spans="90:90">
      <c r="CL2866"/>
    </row>
    <row r="2867" spans="90:90">
      <c r="CL2867"/>
    </row>
    <row r="2868" spans="90:90">
      <c r="CL2868"/>
    </row>
    <row r="2869" spans="90:90">
      <c r="CL2869"/>
    </row>
    <row r="2870" spans="90:90">
      <c r="CL2870"/>
    </row>
    <row r="2871" spans="90:90">
      <c r="CL2871"/>
    </row>
    <row r="2872" spans="90:90">
      <c r="CL2872"/>
    </row>
    <row r="2873" spans="90:90">
      <c r="CL2873"/>
    </row>
    <row r="2874" spans="90:90">
      <c r="CL2874"/>
    </row>
    <row r="2875" spans="90:90">
      <c r="CL2875"/>
    </row>
    <row r="2876" spans="90:90">
      <c r="CL2876"/>
    </row>
    <row r="2877" spans="90:90">
      <c r="CL2877"/>
    </row>
    <row r="2878" spans="90:90">
      <c r="CL2878"/>
    </row>
    <row r="2879" spans="90:90">
      <c r="CL2879"/>
    </row>
    <row r="2880" spans="90:90">
      <c r="CL2880"/>
    </row>
    <row r="2881" spans="90:90">
      <c r="CL2881"/>
    </row>
    <row r="2882" spans="90:90">
      <c r="CL2882"/>
    </row>
    <row r="2883" spans="90:90">
      <c r="CL2883"/>
    </row>
    <row r="2884" spans="90:90">
      <c r="CL2884"/>
    </row>
    <row r="2885" spans="90:90">
      <c r="CL2885"/>
    </row>
    <row r="2886" spans="90:90">
      <c r="CL2886"/>
    </row>
    <row r="2887" spans="90:90">
      <c r="CL2887"/>
    </row>
    <row r="2888" spans="90:90">
      <c r="CL2888"/>
    </row>
    <row r="2889" spans="90:90">
      <c r="CL2889"/>
    </row>
    <row r="2890" spans="90:90">
      <c r="CL2890"/>
    </row>
    <row r="2891" spans="90:90">
      <c r="CL2891"/>
    </row>
    <row r="2892" spans="90:90">
      <c r="CL2892"/>
    </row>
    <row r="2893" spans="90:90">
      <c r="CL2893"/>
    </row>
    <row r="2894" spans="90:90">
      <c r="CL2894"/>
    </row>
    <row r="2895" spans="90:90">
      <c r="CL2895"/>
    </row>
    <row r="2896" spans="90:90">
      <c r="CL2896"/>
    </row>
    <row r="2897" spans="90:90">
      <c r="CL2897"/>
    </row>
    <row r="2898" spans="90:90">
      <c r="CL2898"/>
    </row>
    <row r="2899" spans="90:90">
      <c r="CL2899"/>
    </row>
    <row r="2900" spans="90:90">
      <c r="CL2900"/>
    </row>
    <row r="2901" spans="90:90">
      <c r="CL2901"/>
    </row>
    <row r="2902" spans="90:90">
      <c r="CL2902"/>
    </row>
    <row r="2903" spans="90:90">
      <c r="CL2903"/>
    </row>
    <row r="2904" spans="90:90">
      <c r="CL2904"/>
    </row>
    <row r="2905" spans="90:90">
      <c r="CL2905"/>
    </row>
    <row r="2906" spans="90:90">
      <c r="CL2906"/>
    </row>
    <row r="2907" spans="90:90">
      <c r="CL2907"/>
    </row>
    <row r="2908" spans="90:90">
      <c r="CL2908"/>
    </row>
    <row r="2909" spans="90:90">
      <c r="CL2909"/>
    </row>
    <row r="2910" spans="90:90">
      <c r="CL2910"/>
    </row>
    <row r="2911" spans="90:90">
      <c r="CL2911"/>
    </row>
    <row r="2912" spans="90:90">
      <c r="CL2912"/>
    </row>
    <row r="2913" spans="90:90">
      <c r="CL2913"/>
    </row>
    <row r="2914" spans="90:90">
      <c r="CL2914"/>
    </row>
    <row r="2915" spans="90:90">
      <c r="CL2915"/>
    </row>
    <row r="2916" spans="90:90">
      <c r="CL2916"/>
    </row>
    <row r="2917" spans="90:90">
      <c r="CL2917"/>
    </row>
    <row r="2918" spans="90:90">
      <c r="CL2918"/>
    </row>
    <row r="2919" spans="90:90">
      <c r="CL2919"/>
    </row>
    <row r="2920" spans="90:90">
      <c r="CL2920"/>
    </row>
    <row r="2921" spans="90:90">
      <c r="CL2921"/>
    </row>
    <row r="2922" spans="90:90">
      <c r="CL2922"/>
    </row>
    <row r="2923" spans="90:90">
      <c r="CL2923"/>
    </row>
    <row r="2924" spans="90:90">
      <c r="CL2924"/>
    </row>
    <row r="2925" spans="90:90">
      <c r="CL2925"/>
    </row>
    <row r="2926" spans="90:90">
      <c r="CL2926"/>
    </row>
    <row r="2927" spans="90:90">
      <c r="CL2927"/>
    </row>
    <row r="2928" spans="90:90">
      <c r="CL2928"/>
    </row>
    <row r="2929" spans="90:90">
      <c r="CL2929"/>
    </row>
    <row r="2930" spans="90:90">
      <c r="CL2930"/>
    </row>
    <row r="2931" spans="90:90">
      <c r="CL2931"/>
    </row>
    <row r="2932" spans="90:90">
      <c r="CL2932"/>
    </row>
    <row r="2933" spans="90:90">
      <c r="CL2933"/>
    </row>
    <row r="2934" spans="90:90">
      <c r="CL2934"/>
    </row>
    <row r="2935" spans="90:90">
      <c r="CL2935"/>
    </row>
    <row r="2936" spans="90:90">
      <c r="CL2936"/>
    </row>
    <row r="2937" spans="90:90">
      <c r="CL2937"/>
    </row>
    <row r="2938" spans="90:90">
      <c r="CL2938"/>
    </row>
    <row r="2939" spans="90:90">
      <c r="CL2939"/>
    </row>
    <row r="2940" spans="90:90">
      <c r="CL2940"/>
    </row>
    <row r="2941" spans="90:90">
      <c r="CL2941"/>
    </row>
    <row r="2942" spans="90:90">
      <c r="CL2942"/>
    </row>
    <row r="2943" spans="90:90">
      <c r="CL2943"/>
    </row>
    <row r="2944" spans="90:90">
      <c r="CL2944"/>
    </row>
    <row r="2945" spans="90:90">
      <c r="CL2945"/>
    </row>
    <row r="2946" spans="90:90">
      <c r="CL2946"/>
    </row>
    <row r="2947" spans="90:90">
      <c r="CL2947"/>
    </row>
    <row r="2948" spans="90:90">
      <c r="CL2948"/>
    </row>
    <row r="2949" spans="90:90">
      <c r="CL2949"/>
    </row>
    <row r="2950" spans="90:90">
      <c r="CL2950"/>
    </row>
    <row r="2951" spans="90:90">
      <c r="CL2951"/>
    </row>
    <row r="2952" spans="90:90">
      <c r="CL2952"/>
    </row>
    <row r="2953" spans="90:90">
      <c r="CL2953"/>
    </row>
    <row r="2954" spans="90:90">
      <c r="CL2954"/>
    </row>
    <row r="2955" spans="90:90">
      <c r="CL2955"/>
    </row>
    <row r="2956" spans="90:90">
      <c r="CL2956"/>
    </row>
    <row r="2957" spans="90:90">
      <c r="CL2957"/>
    </row>
    <row r="2958" spans="90:90">
      <c r="CL2958"/>
    </row>
    <row r="2959" spans="90:90">
      <c r="CL2959"/>
    </row>
    <row r="2960" spans="90:90">
      <c r="CL2960"/>
    </row>
    <row r="2961" spans="90:90">
      <c r="CL2961"/>
    </row>
    <row r="2962" spans="90:90">
      <c r="CL2962"/>
    </row>
    <row r="2963" spans="90:90">
      <c r="CL2963"/>
    </row>
    <row r="2964" spans="90:90">
      <c r="CL2964"/>
    </row>
    <row r="2965" spans="90:90">
      <c r="CL2965"/>
    </row>
    <row r="2966" spans="90:90">
      <c r="CL2966"/>
    </row>
    <row r="2967" spans="90:90">
      <c r="CL2967"/>
    </row>
    <row r="2968" spans="90:90">
      <c r="CL2968"/>
    </row>
    <row r="2969" spans="90:90">
      <c r="CL2969"/>
    </row>
    <row r="2970" spans="90:90">
      <c r="CL2970"/>
    </row>
    <row r="2971" spans="90:90">
      <c r="CL2971"/>
    </row>
    <row r="2972" spans="90:90">
      <c r="CL2972"/>
    </row>
    <row r="2973" spans="90:90">
      <c r="CL2973"/>
    </row>
    <row r="2974" spans="90:90">
      <c r="CL2974"/>
    </row>
    <row r="2975" spans="90:90">
      <c r="CL2975"/>
    </row>
    <row r="2976" spans="90:90">
      <c r="CL2976"/>
    </row>
    <row r="2977" spans="90:90">
      <c r="CL2977"/>
    </row>
    <row r="2978" spans="90:90">
      <c r="CL2978"/>
    </row>
    <row r="2979" spans="90:90">
      <c r="CL2979"/>
    </row>
    <row r="2980" spans="90:90">
      <c r="CL2980"/>
    </row>
    <row r="2981" spans="90:90">
      <c r="CL2981"/>
    </row>
    <row r="2982" spans="90:90">
      <c r="CL2982"/>
    </row>
    <row r="2983" spans="90:90">
      <c r="CL2983"/>
    </row>
    <row r="2984" spans="90:90">
      <c r="CL2984"/>
    </row>
    <row r="2985" spans="90:90">
      <c r="CL2985"/>
    </row>
    <row r="2986" spans="90:90">
      <c r="CL2986"/>
    </row>
    <row r="2987" spans="90:90">
      <c r="CL2987"/>
    </row>
    <row r="2988" spans="90:90">
      <c r="CL2988"/>
    </row>
    <row r="2989" spans="90:90">
      <c r="CL2989"/>
    </row>
    <row r="2990" spans="90:90">
      <c r="CL2990"/>
    </row>
    <row r="2991" spans="90:90">
      <c r="CL2991"/>
    </row>
    <row r="2992" spans="90:90">
      <c r="CL2992"/>
    </row>
    <row r="2993" spans="90:90">
      <c r="CL2993"/>
    </row>
    <row r="2994" spans="90:90">
      <c r="CL2994"/>
    </row>
    <row r="2995" spans="90:90">
      <c r="CL2995"/>
    </row>
    <row r="2996" spans="90:90">
      <c r="CL2996"/>
    </row>
    <row r="2997" spans="90:90">
      <c r="CL2997"/>
    </row>
    <row r="2998" spans="90:90">
      <c r="CL2998"/>
    </row>
    <row r="2999" spans="90:90">
      <c r="CL2999"/>
    </row>
    <row r="3000" spans="90:90">
      <c r="CL3000"/>
    </row>
    <row r="3001" spans="90:90">
      <c r="CL3001"/>
    </row>
    <row r="3002" spans="90:90">
      <c r="CL3002"/>
    </row>
    <row r="3003" spans="90:90">
      <c r="CL3003"/>
    </row>
    <row r="3004" spans="90:90">
      <c r="CL3004"/>
    </row>
    <row r="3005" spans="90:90">
      <c r="CL3005"/>
    </row>
    <row r="3006" spans="90:90">
      <c r="CL3006"/>
    </row>
    <row r="3007" spans="90:90">
      <c r="CL3007"/>
    </row>
    <row r="3008" spans="90:90">
      <c r="CL3008"/>
    </row>
    <row r="3009" spans="90:90">
      <c r="CL3009"/>
    </row>
    <row r="3010" spans="90:90">
      <c r="CL3010"/>
    </row>
    <row r="3011" spans="90:90">
      <c r="CL3011"/>
    </row>
    <row r="3012" spans="90:90">
      <c r="CL3012"/>
    </row>
    <row r="3013" spans="90:90">
      <c r="CL3013"/>
    </row>
    <row r="3014" spans="90:90">
      <c r="CL3014"/>
    </row>
    <row r="3015" spans="90:90">
      <c r="CL3015"/>
    </row>
    <row r="3016" spans="90:90">
      <c r="CL3016"/>
    </row>
    <row r="3017" spans="90:90">
      <c r="CL3017"/>
    </row>
    <row r="3018" spans="90:90">
      <c r="CL3018"/>
    </row>
    <row r="3019" spans="90:90">
      <c r="CL3019"/>
    </row>
    <row r="3020" spans="90:90">
      <c r="CL3020"/>
    </row>
    <row r="3021" spans="90:90">
      <c r="CL3021"/>
    </row>
    <row r="3022" spans="90:90">
      <c r="CL3022"/>
    </row>
    <row r="3023" spans="90:90">
      <c r="CL3023"/>
    </row>
    <row r="3024" spans="90:90">
      <c r="CL3024"/>
    </row>
    <row r="3025" spans="90:90">
      <c r="CL3025"/>
    </row>
    <row r="3026" spans="90:90">
      <c r="CL3026"/>
    </row>
    <row r="3027" spans="90:90">
      <c r="CL3027"/>
    </row>
    <row r="3028" spans="90:90">
      <c r="CL3028"/>
    </row>
    <row r="3029" spans="90:90">
      <c r="CL3029"/>
    </row>
    <row r="3030" spans="90:90">
      <c r="CL3030"/>
    </row>
    <row r="3031" spans="90:90">
      <c r="CL3031"/>
    </row>
    <row r="3032" spans="90:90">
      <c r="CL3032"/>
    </row>
    <row r="3033" spans="90:90">
      <c r="CL3033"/>
    </row>
    <row r="3034" spans="90:90">
      <c r="CL3034"/>
    </row>
    <row r="3035" spans="90:90">
      <c r="CL3035"/>
    </row>
    <row r="3036" spans="90:90">
      <c r="CL3036"/>
    </row>
    <row r="3037" spans="90:90">
      <c r="CL3037"/>
    </row>
    <row r="3038" spans="90:90">
      <c r="CL3038"/>
    </row>
    <row r="3039" spans="90:90">
      <c r="CL3039"/>
    </row>
    <row r="3040" spans="90:90">
      <c r="CL3040"/>
    </row>
    <row r="3041" spans="90:90">
      <c r="CL3041"/>
    </row>
    <row r="3042" spans="90:90">
      <c r="CL3042"/>
    </row>
    <row r="3043" spans="90:90">
      <c r="CL3043"/>
    </row>
    <row r="3044" spans="90:90">
      <c r="CL3044"/>
    </row>
    <row r="3045" spans="90:90">
      <c r="CL3045"/>
    </row>
    <row r="3046" spans="90:90">
      <c r="CL3046"/>
    </row>
    <row r="3047" spans="90:90">
      <c r="CL3047"/>
    </row>
    <row r="3048" spans="90:90">
      <c r="CL3048"/>
    </row>
    <row r="3049" spans="90:90">
      <c r="CL3049"/>
    </row>
    <row r="3050" spans="90:90">
      <c r="CL3050"/>
    </row>
    <row r="3051" spans="90:90">
      <c r="CL3051"/>
    </row>
    <row r="3052" spans="90:90">
      <c r="CL3052"/>
    </row>
    <row r="3053" spans="90:90">
      <c r="CL3053"/>
    </row>
    <row r="3054" spans="90:90">
      <c r="CL3054"/>
    </row>
    <row r="3055" spans="90:90">
      <c r="CL3055"/>
    </row>
    <row r="3056" spans="90:90">
      <c r="CL3056"/>
    </row>
    <row r="3057" spans="90:90">
      <c r="CL3057"/>
    </row>
    <row r="3058" spans="90:90">
      <c r="CL3058"/>
    </row>
    <row r="3059" spans="90:90">
      <c r="CL3059"/>
    </row>
    <row r="3060" spans="90:90">
      <c r="CL3060"/>
    </row>
    <row r="3061" spans="90:90">
      <c r="CL3061"/>
    </row>
    <row r="3062" spans="90:90">
      <c r="CL3062"/>
    </row>
    <row r="3063" spans="90:90">
      <c r="CL3063"/>
    </row>
    <row r="3064" spans="90:90">
      <c r="CL3064"/>
    </row>
    <row r="3065" spans="90:90">
      <c r="CL3065"/>
    </row>
    <row r="3066" spans="90:90">
      <c r="CL3066"/>
    </row>
    <row r="3067" spans="90:90">
      <c r="CL3067"/>
    </row>
    <row r="3068" spans="90:90">
      <c r="CL3068"/>
    </row>
    <row r="3069" spans="90:90">
      <c r="CL3069"/>
    </row>
    <row r="3070" spans="90:90">
      <c r="CL3070"/>
    </row>
    <row r="3071" spans="90:90">
      <c r="CL3071"/>
    </row>
    <row r="3072" spans="90:90">
      <c r="CL3072"/>
    </row>
    <row r="3073" spans="90:90">
      <c r="CL3073"/>
    </row>
    <row r="3074" spans="90:90">
      <c r="CL3074"/>
    </row>
    <row r="3075" spans="90:90">
      <c r="CL3075"/>
    </row>
    <row r="3076" spans="90:90">
      <c r="CL3076"/>
    </row>
    <row r="3077" spans="90:90">
      <c r="CL3077"/>
    </row>
    <row r="3078" spans="90:90">
      <c r="CL3078"/>
    </row>
    <row r="3079" spans="90:90">
      <c r="CL3079"/>
    </row>
    <row r="3080" spans="90:90">
      <c r="CL3080"/>
    </row>
    <row r="3081" spans="90:90">
      <c r="CL3081"/>
    </row>
    <row r="3082" spans="90:90">
      <c r="CL3082"/>
    </row>
    <row r="3083" spans="90:90">
      <c r="CL3083"/>
    </row>
    <row r="3084" spans="90:90">
      <c r="CL3084"/>
    </row>
    <row r="3085" spans="90:90">
      <c r="CL3085"/>
    </row>
    <row r="3086" spans="90:90">
      <c r="CL3086"/>
    </row>
    <row r="3087" spans="90:90">
      <c r="CL3087"/>
    </row>
    <row r="3088" spans="90:90">
      <c r="CL3088"/>
    </row>
    <row r="3089" spans="90:90">
      <c r="CL3089"/>
    </row>
    <row r="3090" spans="90:90">
      <c r="CL3090"/>
    </row>
    <row r="3091" spans="90:90">
      <c r="CL3091"/>
    </row>
    <row r="3092" spans="90:90">
      <c r="CL3092"/>
    </row>
    <row r="3093" spans="90:90">
      <c r="CL3093"/>
    </row>
    <row r="3094" spans="90:90">
      <c r="CL3094"/>
    </row>
    <row r="3095" spans="90:90">
      <c r="CL3095"/>
    </row>
    <row r="3096" spans="90:90">
      <c r="CL3096"/>
    </row>
    <row r="3097" spans="90:90">
      <c r="CL3097"/>
    </row>
    <row r="3098" spans="90:90">
      <c r="CL3098"/>
    </row>
    <row r="3099" spans="90:90">
      <c r="CL3099"/>
    </row>
    <row r="3100" spans="90:90">
      <c r="CL3100"/>
    </row>
    <row r="3101" spans="90:90">
      <c r="CL3101"/>
    </row>
    <row r="3102" spans="90:90">
      <c r="CL3102"/>
    </row>
    <row r="3103" spans="90:90">
      <c r="CL3103"/>
    </row>
    <row r="3104" spans="90:90">
      <c r="CL3104"/>
    </row>
    <row r="3105" spans="90:90">
      <c r="CL3105"/>
    </row>
    <row r="3106" spans="90:90">
      <c r="CL3106"/>
    </row>
    <row r="3107" spans="90:90">
      <c r="CL3107"/>
    </row>
    <row r="3108" spans="90:90">
      <c r="CL3108"/>
    </row>
    <row r="3109" spans="90:90">
      <c r="CL3109"/>
    </row>
    <row r="3110" spans="90:90">
      <c r="CL3110"/>
    </row>
    <row r="3111" spans="90:90">
      <c r="CL3111"/>
    </row>
    <row r="3112" spans="90:90">
      <c r="CL3112"/>
    </row>
    <row r="3113" spans="90:90">
      <c r="CL3113"/>
    </row>
    <row r="3114" spans="90:90">
      <c r="CL3114"/>
    </row>
    <row r="3115" spans="90:90">
      <c r="CL3115"/>
    </row>
    <row r="3116" spans="90:90">
      <c r="CL3116"/>
    </row>
    <row r="3117" spans="90:90">
      <c r="CL3117"/>
    </row>
    <row r="3118" spans="90:90">
      <c r="CL3118"/>
    </row>
    <row r="3119" spans="90:90">
      <c r="CL3119"/>
    </row>
    <row r="3120" spans="90:90">
      <c r="CL3120"/>
    </row>
    <row r="3121" spans="90:90">
      <c r="CL3121"/>
    </row>
    <row r="3122" spans="90:90">
      <c r="CL3122"/>
    </row>
    <row r="3123" spans="90:90">
      <c r="CL3123"/>
    </row>
    <row r="3124" spans="90:90">
      <c r="CL3124"/>
    </row>
    <row r="3125" spans="90:90">
      <c r="CL3125"/>
    </row>
    <row r="3126" spans="90:90">
      <c r="CL3126"/>
    </row>
    <row r="3127" spans="90:90">
      <c r="CL3127"/>
    </row>
    <row r="3128" spans="90:90">
      <c r="CL3128"/>
    </row>
    <row r="3129" spans="90:90">
      <c r="CL3129"/>
    </row>
    <row r="3130" spans="90:90">
      <c r="CL3130"/>
    </row>
    <row r="3131" spans="90:90">
      <c r="CL3131"/>
    </row>
    <row r="3132" spans="90:90">
      <c r="CL3132"/>
    </row>
    <row r="3133" spans="90:90">
      <c r="CL3133"/>
    </row>
    <row r="3134" spans="90:90">
      <c r="CL3134"/>
    </row>
    <row r="3135" spans="90:90">
      <c r="CL3135"/>
    </row>
    <row r="3136" spans="90:90">
      <c r="CL3136"/>
    </row>
    <row r="3137" spans="90:90">
      <c r="CL3137"/>
    </row>
    <row r="3138" spans="90:90">
      <c r="CL3138"/>
    </row>
    <row r="3139" spans="90:90">
      <c r="CL3139"/>
    </row>
    <row r="3140" spans="90:90">
      <c r="CL3140"/>
    </row>
    <row r="3141" spans="90:90">
      <c r="CL3141"/>
    </row>
    <row r="3142" spans="90:90">
      <c r="CL3142"/>
    </row>
    <row r="3143" spans="90:90">
      <c r="CL3143"/>
    </row>
    <row r="3144" spans="90:90">
      <c r="CL3144"/>
    </row>
    <row r="3145" spans="90:90">
      <c r="CL3145"/>
    </row>
    <row r="3146" spans="90:90">
      <c r="CL3146"/>
    </row>
    <row r="3147" spans="90:90">
      <c r="CL3147"/>
    </row>
    <row r="3148" spans="90:90">
      <c r="CL3148"/>
    </row>
    <row r="3149" spans="90:90">
      <c r="CL3149"/>
    </row>
    <row r="3150" spans="90:90">
      <c r="CL3150"/>
    </row>
    <row r="3151" spans="90:90">
      <c r="CL3151"/>
    </row>
    <row r="3152" spans="90:90">
      <c r="CL3152"/>
    </row>
    <row r="3153" spans="90:90">
      <c r="CL3153"/>
    </row>
    <row r="3154" spans="90:90">
      <c r="CL3154"/>
    </row>
    <row r="3155" spans="90:90">
      <c r="CL3155"/>
    </row>
    <row r="3156" spans="90:90">
      <c r="CL3156"/>
    </row>
    <row r="3157" spans="90:90">
      <c r="CL3157"/>
    </row>
    <row r="3158" spans="90:90">
      <c r="CL3158"/>
    </row>
    <row r="3159" spans="90:90">
      <c r="CL3159"/>
    </row>
    <row r="3160" spans="90:90">
      <c r="CL3160"/>
    </row>
    <row r="3161" spans="90:90">
      <c r="CL3161"/>
    </row>
    <row r="3162" spans="90:90">
      <c r="CL3162"/>
    </row>
    <row r="3163" spans="90:90">
      <c r="CL3163"/>
    </row>
    <row r="3164" spans="90:90">
      <c r="CL3164"/>
    </row>
    <row r="3165" spans="90:90">
      <c r="CL3165"/>
    </row>
    <row r="3166" spans="90:90">
      <c r="CL3166"/>
    </row>
    <row r="3167" spans="90:90">
      <c r="CL3167"/>
    </row>
    <row r="3168" spans="90:90">
      <c r="CL3168"/>
    </row>
    <row r="3169" spans="90:90">
      <c r="CL3169"/>
    </row>
    <row r="3170" spans="90:90">
      <c r="CL3170"/>
    </row>
    <row r="3171" spans="90:90">
      <c r="CL3171"/>
    </row>
    <row r="3172" spans="90:90">
      <c r="CL3172"/>
    </row>
    <row r="3173" spans="90:90">
      <c r="CL3173"/>
    </row>
    <row r="3174" spans="90:90">
      <c r="CL3174"/>
    </row>
    <row r="3175" spans="90:90">
      <c r="CL3175"/>
    </row>
    <row r="3176" spans="90:90">
      <c r="CL3176"/>
    </row>
    <row r="3177" spans="90:90">
      <c r="CL3177"/>
    </row>
    <row r="3178" spans="90:90">
      <c r="CL3178"/>
    </row>
    <row r="3179" spans="90:90">
      <c r="CL3179"/>
    </row>
    <row r="3180" spans="90:90">
      <c r="CL3180"/>
    </row>
    <row r="3181" spans="90:90">
      <c r="CL3181"/>
    </row>
    <row r="3182" spans="90:90">
      <c r="CL3182"/>
    </row>
    <row r="3183" spans="90:90">
      <c r="CL3183"/>
    </row>
    <row r="3184" spans="90:90">
      <c r="CL3184"/>
    </row>
    <row r="3185" spans="90:90">
      <c r="CL3185"/>
    </row>
    <row r="3186" spans="90:90">
      <c r="CL3186"/>
    </row>
    <row r="3187" spans="90:90">
      <c r="CL3187"/>
    </row>
    <row r="3188" spans="90:90">
      <c r="CL3188"/>
    </row>
    <row r="3189" spans="90:90">
      <c r="CL3189"/>
    </row>
    <row r="3190" spans="90:90">
      <c r="CL3190"/>
    </row>
    <row r="3191" spans="90:90">
      <c r="CL3191"/>
    </row>
    <row r="3192" spans="90:90">
      <c r="CL3192"/>
    </row>
    <row r="3193" spans="90:90">
      <c r="CL3193"/>
    </row>
    <row r="3194" spans="90:90">
      <c r="CL3194"/>
    </row>
    <row r="3195" spans="90:90">
      <c r="CL3195"/>
    </row>
    <row r="3196" spans="90:90">
      <c r="CL3196"/>
    </row>
    <row r="3197" spans="90:90">
      <c r="CL3197"/>
    </row>
    <row r="3198" spans="90:90">
      <c r="CL3198"/>
    </row>
    <row r="3199" spans="90:90">
      <c r="CL3199"/>
    </row>
    <row r="3200" spans="90:90">
      <c r="CL3200"/>
    </row>
    <row r="3201" spans="90:90">
      <c r="CL3201"/>
    </row>
    <row r="3202" spans="90:90">
      <c r="CL3202"/>
    </row>
    <row r="3203" spans="90:90">
      <c r="CL3203"/>
    </row>
    <row r="3204" spans="90:90">
      <c r="CL3204"/>
    </row>
    <row r="3205" spans="90:90">
      <c r="CL3205"/>
    </row>
    <row r="3206" spans="90:90">
      <c r="CL3206"/>
    </row>
    <row r="3207" spans="90:90">
      <c r="CL3207"/>
    </row>
    <row r="3208" spans="90:90">
      <c r="CL3208"/>
    </row>
    <row r="3209" spans="90:90">
      <c r="CL3209"/>
    </row>
    <row r="3210" spans="90:90">
      <c r="CL3210"/>
    </row>
    <row r="3211" spans="90:90">
      <c r="CL3211"/>
    </row>
    <row r="3212" spans="90:90">
      <c r="CL3212"/>
    </row>
    <row r="3213" spans="90:90">
      <c r="CL3213"/>
    </row>
    <row r="3214" spans="90:90">
      <c r="CL3214"/>
    </row>
    <row r="3215" spans="90:90">
      <c r="CL3215"/>
    </row>
    <row r="3216" spans="90:90">
      <c r="CL3216"/>
    </row>
    <row r="3217" spans="90:90">
      <c r="CL3217"/>
    </row>
    <row r="3218" spans="90:90">
      <c r="CL3218"/>
    </row>
    <row r="3219" spans="90:90">
      <c r="CL3219"/>
    </row>
    <row r="3220" spans="90:90">
      <c r="CL3220"/>
    </row>
    <row r="3221" spans="90:90">
      <c r="CL3221"/>
    </row>
    <row r="3222" spans="90:90">
      <c r="CL3222"/>
    </row>
    <row r="3223" spans="90:90">
      <c r="CL3223"/>
    </row>
    <row r="3224" spans="90:90">
      <c r="CL3224"/>
    </row>
    <row r="3225" spans="90:90">
      <c r="CL3225"/>
    </row>
    <row r="3226" spans="90:90">
      <c r="CL3226"/>
    </row>
    <row r="3227" spans="90:90">
      <c r="CL3227"/>
    </row>
    <row r="3228" spans="90:90">
      <c r="CL3228"/>
    </row>
    <row r="3229" spans="90:90">
      <c r="CL3229"/>
    </row>
    <row r="3230" spans="90:90">
      <c r="CL3230"/>
    </row>
    <row r="3231" spans="90:90">
      <c r="CL3231"/>
    </row>
    <row r="3232" spans="90:90">
      <c r="CL3232"/>
    </row>
    <row r="3233" spans="90:90">
      <c r="CL3233"/>
    </row>
    <row r="3234" spans="90:90">
      <c r="CL3234"/>
    </row>
    <row r="3235" spans="90:90">
      <c r="CL3235"/>
    </row>
    <row r="3236" spans="90:90">
      <c r="CL3236"/>
    </row>
    <row r="3237" spans="90:90">
      <c r="CL3237"/>
    </row>
    <row r="3238" spans="90:90">
      <c r="CL3238"/>
    </row>
    <row r="3239" spans="90:90">
      <c r="CL3239"/>
    </row>
    <row r="3240" spans="90:90">
      <c r="CL3240"/>
    </row>
    <row r="3241" spans="90:90">
      <c r="CL3241"/>
    </row>
    <row r="3242" spans="90:90">
      <c r="CL3242"/>
    </row>
    <row r="3243" spans="90:90">
      <c r="CL3243"/>
    </row>
    <row r="3244" spans="90:90">
      <c r="CL3244"/>
    </row>
    <row r="3245" spans="90:90">
      <c r="CL3245"/>
    </row>
    <row r="3246" spans="90:90">
      <c r="CL3246"/>
    </row>
    <row r="3247" spans="90:90">
      <c r="CL3247"/>
    </row>
    <row r="3248" spans="90:90">
      <c r="CL3248"/>
    </row>
    <row r="3249" spans="90:90">
      <c r="CL3249"/>
    </row>
    <row r="3250" spans="90:90">
      <c r="CL3250"/>
    </row>
    <row r="3251" spans="90:90">
      <c r="CL3251"/>
    </row>
    <row r="3252" spans="90:90">
      <c r="CL3252"/>
    </row>
    <row r="3253" spans="90:90">
      <c r="CL3253"/>
    </row>
    <row r="3254" spans="90:90">
      <c r="CL3254"/>
    </row>
    <row r="3255" spans="90:90">
      <c r="CL3255"/>
    </row>
    <row r="3256" spans="90:90">
      <c r="CL3256"/>
    </row>
    <row r="3257" spans="90:90">
      <c r="CL3257"/>
    </row>
    <row r="3258" spans="90:90">
      <c r="CL3258"/>
    </row>
    <row r="3259" spans="90:90">
      <c r="CL3259"/>
    </row>
    <row r="3260" spans="90:90">
      <c r="CL3260"/>
    </row>
    <row r="3261" spans="90:90">
      <c r="CL3261"/>
    </row>
    <row r="3262" spans="90:90">
      <c r="CL3262"/>
    </row>
    <row r="3263" spans="90:90">
      <c r="CL3263"/>
    </row>
    <row r="3264" spans="90:90">
      <c r="CL3264"/>
    </row>
    <row r="3265" spans="90:90">
      <c r="CL3265"/>
    </row>
    <row r="3266" spans="90:90">
      <c r="CL3266"/>
    </row>
    <row r="3267" spans="90:90">
      <c r="CL3267"/>
    </row>
    <row r="3268" spans="90:90">
      <c r="CL3268"/>
    </row>
    <row r="3269" spans="90:90">
      <c r="CL3269"/>
    </row>
    <row r="3270" spans="90:90">
      <c r="CL3270"/>
    </row>
    <row r="3271" spans="90:90">
      <c r="CL3271"/>
    </row>
    <row r="3272" spans="90:90">
      <c r="CL3272"/>
    </row>
    <row r="3273" spans="90:90">
      <c r="CL3273"/>
    </row>
    <row r="3274" spans="90:90">
      <c r="CL3274"/>
    </row>
    <row r="3275" spans="90:90">
      <c r="CL3275"/>
    </row>
    <row r="3276" spans="90:90">
      <c r="CL3276"/>
    </row>
    <row r="3277" spans="90:90">
      <c r="CL3277"/>
    </row>
    <row r="3278" spans="90:90">
      <c r="CL3278"/>
    </row>
    <row r="3279" spans="90:90">
      <c r="CL3279"/>
    </row>
    <row r="3280" spans="90:90">
      <c r="CL3280"/>
    </row>
    <row r="3281" spans="90:90">
      <c r="CL3281"/>
    </row>
    <row r="3282" spans="90:90">
      <c r="CL3282"/>
    </row>
    <row r="3283" spans="90:90">
      <c r="CL3283"/>
    </row>
    <row r="3284" spans="90:90">
      <c r="CL3284"/>
    </row>
    <row r="3285" spans="90:90">
      <c r="CL3285"/>
    </row>
    <row r="3286" spans="90:90">
      <c r="CL3286"/>
    </row>
    <row r="3287" spans="90:90">
      <c r="CL3287"/>
    </row>
    <row r="3288" spans="90:90">
      <c r="CL3288"/>
    </row>
    <row r="3289" spans="90:90">
      <c r="CL3289"/>
    </row>
    <row r="3290" spans="90:90">
      <c r="CL3290"/>
    </row>
    <row r="3291" spans="90:90">
      <c r="CL3291"/>
    </row>
    <row r="3292" spans="90:90">
      <c r="CL3292"/>
    </row>
    <row r="3293" spans="90:90">
      <c r="CL3293"/>
    </row>
    <row r="3294" spans="90:90">
      <c r="CL3294"/>
    </row>
    <row r="3295" spans="90:90">
      <c r="CL3295"/>
    </row>
    <row r="3296" spans="90:90">
      <c r="CL3296"/>
    </row>
    <row r="3297" spans="90:90">
      <c r="CL3297"/>
    </row>
    <row r="3298" spans="90:90">
      <c r="CL3298"/>
    </row>
    <row r="3299" spans="90:90">
      <c r="CL3299"/>
    </row>
    <row r="3300" spans="90:90">
      <c r="CL3300"/>
    </row>
    <row r="3301" spans="90:90">
      <c r="CL3301"/>
    </row>
    <row r="3302" spans="90:90">
      <c r="CL3302"/>
    </row>
    <row r="3303" spans="90:90">
      <c r="CL3303"/>
    </row>
    <row r="3304" spans="90:90">
      <c r="CL3304"/>
    </row>
    <row r="3305" spans="90:90">
      <c r="CL3305"/>
    </row>
    <row r="3306" spans="90:90">
      <c r="CL3306"/>
    </row>
    <row r="3307" spans="90:90">
      <c r="CL3307"/>
    </row>
    <row r="3308" spans="90:90">
      <c r="CL3308"/>
    </row>
    <row r="3309" spans="90:90">
      <c r="CL3309"/>
    </row>
    <row r="3310" spans="90:90">
      <c r="CL3310"/>
    </row>
    <row r="3311" spans="90:90">
      <c r="CL3311"/>
    </row>
    <row r="3312" spans="90:90">
      <c r="CL3312"/>
    </row>
    <row r="3313" spans="90:90">
      <c r="CL3313"/>
    </row>
    <row r="3314" spans="90:90">
      <c r="CL3314"/>
    </row>
    <row r="3315" spans="90:90">
      <c r="CL3315"/>
    </row>
    <row r="3316" spans="90:90">
      <c r="CL3316"/>
    </row>
    <row r="3317" spans="90:90">
      <c r="CL3317"/>
    </row>
    <row r="3318" spans="90:90">
      <c r="CL3318"/>
    </row>
    <row r="3319" spans="90:90">
      <c r="CL3319"/>
    </row>
    <row r="3320" spans="90:90">
      <c r="CL3320"/>
    </row>
    <row r="3321" spans="90:90">
      <c r="CL3321"/>
    </row>
    <row r="3322" spans="90:90">
      <c r="CL3322"/>
    </row>
    <row r="3323" spans="90:90">
      <c r="CL3323"/>
    </row>
    <row r="3324" spans="90:90">
      <c r="CL3324"/>
    </row>
    <row r="3325" spans="90:90">
      <c r="CL3325"/>
    </row>
    <row r="3326" spans="90:90">
      <c r="CL3326"/>
    </row>
    <row r="3327" spans="90:90">
      <c r="CL3327"/>
    </row>
    <row r="3328" spans="90:90">
      <c r="CL3328"/>
    </row>
    <row r="3329" spans="90:90">
      <c r="CL3329"/>
    </row>
    <row r="3330" spans="90:90">
      <c r="CL3330"/>
    </row>
    <row r="3331" spans="90:90">
      <c r="CL3331"/>
    </row>
    <row r="3332" spans="90:90">
      <c r="CL3332"/>
    </row>
    <row r="3333" spans="90:90">
      <c r="CL3333"/>
    </row>
    <row r="3334" spans="90:90">
      <c r="CL3334"/>
    </row>
    <row r="3335" spans="90:90">
      <c r="CL3335"/>
    </row>
    <row r="3336" spans="90:90">
      <c r="CL3336"/>
    </row>
    <row r="3337" spans="90:90">
      <c r="CL3337"/>
    </row>
    <row r="3338" spans="90:90">
      <c r="CL3338"/>
    </row>
    <row r="3339" spans="90:90">
      <c r="CL3339"/>
    </row>
    <row r="3340" spans="90:90">
      <c r="CL3340"/>
    </row>
    <row r="3341" spans="90:90">
      <c r="CL3341"/>
    </row>
    <row r="3342" spans="90:90">
      <c r="CL3342"/>
    </row>
    <row r="3343" spans="90:90">
      <c r="CL3343"/>
    </row>
    <row r="3344" spans="90:90">
      <c r="CL3344"/>
    </row>
    <row r="3345" spans="90:90">
      <c r="CL3345"/>
    </row>
    <row r="3346" spans="90:90">
      <c r="CL3346"/>
    </row>
    <row r="3347" spans="90:90">
      <c r="CL3347"/>
    </row>
    <row r="3348" spans="90:90">
      <c r="CL3348"/>
    </row>
    <row r="3349" spans="90:90">
      <c r="CL3349"/>
    </row>
    <row r="3350" spans="90:90">
      <c r="CL3350"/>
    </row>
    <row r="3351" spans="90:90">
      <c r="CL3351"/>
    </row>
    <row r="3352" spans="90:90">
      <c r="CL3352"/>
    </row>
    <row r="3353" spans="90:90">
      <c r="CL3353"/>
    </row>
    <row r="3354" spans="90:90">
      <c r="CL3354"/>
    </row>
    <row r="3355" spans="90:90">
      <c r="CL3355"/>
    </row>
    <row r="3356" spans="90:90">
      <c r="CL3356"/>
    </row>
    <row r="3357" spans="90:90">
      <c r="CL3357"/>
    </row>
    <row r="3358" spans="90:90">
      <c r="CL3358"/>
    </row>
    <row r="3359" spans="90:90">
      <c r="CL3359"/>
    </row>
    <row r="3360" spans="90:90">
      <c r="CL3360"/>
    </row>
    <row r="3361" spans="90:90">
      <c r="CL3361"/>
    </row>
    <row r="3362" spans="90:90">
      <c r="CL3362"/>
    </row>
    <row r="3363" spans="90:90">
      <c r="CL3363"/>
    </row>
    <row r="3364" spans="90:90">
      <c r="CL3364"/>
    </row>
    <row r="3365" spans="90:90">
      <c r="CL3365"/>
    </row>
    <row r="3366" spans="90:90">
      <c r="CL3366"/>
    </row>
    <row r="3367" spans="90:90">
      <c r="CL3367"/>
    </row>
    <row r="3368" spans="90:90">
      <c r="CL3368"/>
    </row>
    <row r="3369" spans="90:90">
      <c r="CL3369"/>
    </row>
    <row r="3370" spans="90:90">
      <c r="CL3370"/>
    </row>
    <row r="3371" spans="90:90">
      <c r="CL3371"/>
    </row>
    <row r="3372" spans="90:90">
      <c r="CL3372"/>
    </row>
    <row r="3373" spans="90:90">
      <c r="CL3373"/>
    </row>
    <row r="3374" spans="90:90">
      <c r="CL3374"/>
    </row>
    <row r="3375" spans="90:90">
      <c r="CL3375"/>
    </row>
    <row r="3376" spans="90:90">
      <c r="CL3376"/>
    </row>
    <row r="3377" spans="90:90">
      <c r="CL3377"/>
    </row>
    <row r="3378" spans="90:90">
      <c r="CL3378"/>
    </row>
    <row r="3379" spans="90:90">
      <c r="CL3379"/>
    </row>
    <row r="3380" spans="90:90">
      <c r="CL3380"/>
    </row>
    <row r="3381" spans="90:90">
      <c r="CL3381"/>
    </row>
    <row r="3382" spans="90:90">
      <c r="CL3382"/>
    </row>
    <row r="3383" spans="90:90">
      <c r="CL3383"/>
    </row>
    <row r="3384" spans="90:90">
      <c r="CL3384"/>
    </row>
    <row r="3385" spans="90:90">
      <c r="CL3385"/>
    </row>
    <row r="3386" spans="90:90">
      <c r="CL3386"/>
    </row>
    <row r="3387" spans="90:90">
      <c r="CL3387"/>
    </row>
    <row r="3388" spans="90:90">
      <c r="CL3388"/>
    </row>
    <row r="3389" spans="90:90">
      <c r="CL3389"/>
    </row>
    <row r="3390" spans="90:90">
      <c r="CL3390"/>
    </row>
    <row r="3391" spans="90:90">
      <c r="CL3391"/>
    </row>
    <row r="3392" spans="90:90">
      <c r="CL3392"/>
    </row>
    <row r="3393" spans="90:90">
      <c r="CL3393"/>
    </row>
    <row r="3394" spans="90:90">
      <c r="CL3394"/>
    </row>
    <row r="3395" spans="90:90">
      <c r="CL3395"/>
    </row>
    <row r="3396" spans="90:90">
      <c r="CL3396"/>
    </row>
    <row r="3397" spans="90:90">
      <c r="CL3397"/>
    </row>
    <row r="3398" spans="90:90">
      <c r="CL3398"/>
    </row>
    <row r="3399" spans="90:90">
      <c r="CL3399"/>
    </row>
    <row r="3400" spans="90:90">
      <c r="CL3400"/>
    </row>
    <row r="3401" spans="90:90">
      <c r="CL3401"/>
    </row>
    <row r="3402" spans="90:90">
      <c r="CL3402"/>
    </row>
    <row r="3403" spans="90:90">
      <c r="CL3403"/>
    </row>
    <row r="3404" spans="90:90">
      <c r="CL3404"/>
    </row>
    <row r="3405" spans="90:90">
      <c r="CL3405"/>
    </row>
    <row r="3406" spans="90:90">
      <c r="CL3406"/>
    </row>
    <row r="3407" spans="90:90">
      <c r="CL3407"/>
    </row>
    <row r="3408" spans="90:90">
      <c r="CL3408"/>
    </row>
    <row r="3409" spans="90:90">
      <c r="CL3409"/>
    </row>
    <row r="3410" spans="90:90">
      <c r="CL3410"/>
    </row>
    <row r="3411" spans="90:90">
      <c r="CL3411"/>
    </row>
    <row r="3412" spans="90:90">
      <c r="CL3412"/>
    </row>
    <row r="3413" spans="90:90">
      <c r="CL3413"/>
    </row>
    <row r="3414" spans="90:90">
      <c r="CL3414"/>
    </row>
    <row r="3415" spans="90:90">
      <c r="CL3415"/>
    </row>
    <row r="3416" spans="90:90">
      <c r="CL3416"/>
    </row>
    <row r="3417" spans="90:90">
      <c r="CL3417"/>
    </row>
    <row r="3418" spans="90:90">
      <c r="CL3418"/>
    </row>
    <row r="3419" spans="90:90">
      <c r="CL3419"/>
    </row>
    <row r="3420" spans="90:90">
      <c r="CL3420"/>
    </row>
    <row r="3421" spans="90:90">
      <c r="CL3421"/>
    </row>
    <row r="3422" spans="90:90">
      <c r="CL3422"/>
    </row>
    <row r="3423" spans="90:90">
      <c r="CL3423"/>
    </row>
    <row r="3424" spans="90:90">
      <c r="CL3424"/>
    </row>
    <row r="3425" spans="90:90">
      <c r="CL3425"/>
    </row>
    <row r="3426" spans="90:90">
      <c r="CL3426"/>
    </row>
    <row r="3427" spans="90:90">
      <c r="CL3427"/>
    </row>
    <row r="3428" spans="90:90">
      <c r="CL3428"/>
    </row>
    <row r="3429" spans="90:90">
      <c r="CL3429"/>
    </row>
    <row r="3430" spans="90:90">
      <c r="CL3430"/>
    </row>
    <row r="3431" spans="90:90">
      <c r="CL3431"/>
    </row>
    <row r="3432" spans="90:90">
      <c r="CL3432"/>
    </row>
    <row r="3433" spans="90:90">
      <c r="CL3433"/>
    </row>
    <row r="3434" spans="90:90">
      <c r="CL3434"/>
    </row>
    <row r="3435" spans="90:90">
      <c r="CL3435"/>
    </row>
    <row r="3436" spans="90:90">
      <c r="CL3436"/>
    </row>
    <row r="3437" spans="90:90">
      <c r="CL3437"/>
    </row>
    <row r="3438" spans="90:90">
      <c r="CL3438"/>
    </row>
    <row r="3439" spans="90:90">
      <c r="CL3439"/>
    </row>
    <row r="3440" spans="90:90">
      <c r="CL3440"/>
    </row>
    <row r="3441" spans="90:90">
      <c r="CL3441"/>
    </row>
    <row r="3442" spans="90:90">
      <c r="CL3442"/>
    </row>
    <row r="3443" spans="90:90">
      <c r="CL3443"/>
    </row>
    <row r="3444" spans="90:90">
      <c r="CL3444"/>
    </row>
    <row r="3445" spans="90:90">
      <c r="CL3445"/>
    </row>
    <row r="3446" spans="90:90">
      <c r="CL3446"/>
    </row>
    <row r="3447" spans="90:90">
      <c r="CL3447"/>
    </row>
    <row r="3448" spans="90:90">
      <c r="CL3448"/>
    </row>
    <row r="3449" spans="90:90">
      <c r="CL3449"/>
    </row>
    <row r="3450" spans="90:90">
      <c r="CL3450"/>
    </row>
    <row r="3451" spans="90:90">
      <c r="CL3451"/>
    </row>
    <row r="3452" spans="90:90">
      <c r="CL3452"/>
    </row>
    <row r="3453" spans="90:90">
      <c r="CL3453"/>
    </row>
    <row r="3454" spans="90:90">
      <c r="CL3454"/>
    </row>
    <row r="3455" spans="90:90">
      <c r="CL3455"/>
    </row>
    <row r="3456" spans="90:90">
      <c r="CL3456"/>
    </row>
    <row r="3457" spans="90:90">
      <c r="CL3457"/>
    </row>
    <row r="3458" spans="90:90">
      <c r="CL3458"/>
    </row>
    <row r="3459" spans="90:90">
      <c r="CL3459"/>
    </row>
    <row r="3460" spans="90:90">
      <c r="CL3460"/>
    </row>
    <row r="3461" spans="90:90">
      <c r="CL3461"/>
    </row>
    <row r="3462" spans="90:90">
      <c r="CL3462"/>
    </row>
    <row r="3463" spans="90:90">
      <c r="CL3463"/>
    </row>
    <row r="3464" spans="90:90">
      <c r="CL3464"/>
    </row>
    <row r="3465" spans="90:90">
      <c r="CL3465"/>
    </row>
    <row r="3466" spans="90:90">
      <c r="CL3466"/>
    </row>
    <row r="3467" spans="90:90">
      <c r="CL3467"/>
    </row>
    <row r="3468" spans="90:90">
      <c r="CL3468"/>
    </row>
    <row r="3469" spans="90:90">
      <c r="CL3469"/>
    </row>
    <row r="3470" spans="90:90">
      <c r="CL3470"/>
    </row>
    <row r="3471" spans="90:90">
      <c r="CL3471"/>
    </row>
    <row r="3472" spans="90:90">
      <c r="CL3472"/>
    </row>
    <row r="3473" spans="90:90">
      <c r="CL3473"/>
    </row>
    <row r="3474" spans="90:90">
      <c r="CL3474"/>
    </row>
    <row r="3475" spans="90:90">
      <c r="CL3475"/>
    </row>
    <row r="3476" spans="90:90">
      <c r="CL3476"/>
    </row>
    <row r="3477" spans="90:90">
      <c r="CL3477"/>
    </row>
    <row r="3478" spans="90:90">
      <c r="CL3478"/>
    </row>
    <row r="3479" spans="90:90">
      <c r="CL3479"/>
    </row>
    <row r="3480" spans="90:90">
      <c r="CL3480"/>
    </row>
    <row r="3481" spans="90:90">
      <c r="CL3481"/>
    </row>
    <row r="3482" spans="90:90">
      <c r="CL3482"/>
    </row>
    <row r="3483" spans="90:90">
      <c r="CL3483"/>
    </row>
    <row r="3484" spans="90:90">
      <c r="CL3484"/>
    </row>
    <row r="3485" spans="90:90">
      <c r="CL3485"/>
    </row>
    <row r="3486" spans="90:90">
      <c r="CL3486"/>
    </row>
    <row r="3487" spans="90:90">
      <c r="CL3487"/>
    </row>
    <row r="3488" spans="90:90">
      <c r="CL3488"/>
    </row>
    <row r="3489" spans="90:90">
      <c r="CL3489"/>
    </row>
    <row r="3490" spans="90:90">
      <c r="CL3490"/>
    </row>
    <row r="3491" spans="90:90">
      <c r="CL3491"/>
    </row>
    <row r="3492" spans="90:90">
      <c r="CL3492"/>
    </row>
    <row r="3493" spans="90:90">
      <c r="CL3493"/>
    </row>
    <row r="3494" spans="90:90">
      <c r="CL3494"/>
    </row>
    <row r="3495" spans="90:90">
      <c r="CL3495"/>
    </row>
    <row r="3496" spans="90:90">
      <c r="CL3496"/>
    </row>
    <row r="3497" spans="90:90">
      <c r="CL3497"/>
    </row>
    <row r="3498" spans="90:90">
      <c r="CL3498"/>
    </row>
    <row r="3499" spans="90:90">
      <c r="CL3499"/>
    </row>
    <row r="3500" spans="90:90">
      <c r="CL3500"/>
    </row>
    <row r="3501" spans="90:90">
      <c r="CL3501"/>
    </row>
    <row r="3502" spans="90:90">
      <c r="CL3502"/>
    </row>
    <row r="3503" spans="90:90">
      <c r="CL3503"/>
    </row>
    <row r="3504" spans="90:90">
      <c r="CL3504"/>
    </row>
    <row r="3505" spans="90:90">
      <c r="CL3505"/>
    </row>
    <row r="3506" spans="90:90">
      <c r="CL3506"/>
    </row>
    <row r="3507" spans="90:90">
      <c r="CL3507"/>
    </row>
    <row r="3508" spans="90:90">
      <c r="CL3508"/>
    </row>
    <row r="3509" spans="90:90">
      <c r="CL3509"/>
    </row>
    <row r="3510" spans="90:90">
      <c r="CL3510"/>
    </row>
    <row r="3511" spans="90:90">
      <c r="CL3511"/>
    </row>
    <row r="3512" spans="90:90">
      <c r="CL3512"/>
    </row>
    <row r="3513" spans="90:90">
      <c r="CL3513"/>
    </row>
    <row r="3514" spans="90:90">
      <c r="CL3514"/>
    </row>
    <row r="3515" spans="90:90">
      <c r="CL3515"/>
    </row>
    <row r="3516" spans="90:90">
      <c r="CL3516"/>
    </row>
    <row r="3517" spans="90:90">
      <c r="CL3517"/>
    </row>
    <row r="3518" spans="90:90">
      <c r="CL3518"/>
    </row>
    <row r="3519" spans="90:90">
      <c r="CL3519"/>
    </row>
    <row r="3520" spans="90:90">
      <c r="CL3520"/>
    </row>
    <row r="3521" spans="90:90">
      <c r="CL3521"/>
    </row>
    <row r="3522" spans="90:90">
      <c r="CL3522"/>
    </row>
    <row r="3523" spans="90:90">
      <c r="CL3523"/>
    </row>
    <row r="3524" spans="90:90">
      <c r="CL3524"/>
    </row>
    <row r="3525" spans="90:90">
      <c r="CL3525"/>
    </row>
    <row r="3526" spans="90:90">
      <c r="CL3526"/>
    </row>
    <row r="3527" spans="90:90">
      <c r="CL3527"/>
    </row>
    <row r="3528" spans="90:90">
      <c r="CL3528"/>
    </row>
    <row r="3529" spans="90:90">
      <c r="CL3529"/>
    </row>
    <row r="3530" spans="90:90">
      <c r="CL3530"/>
    </row>
    <row r="3531" spans="90:90">
      <c r="CL3531"/>
    </row>
    <row r="3532" spans="90:90">
      <c r="CL3532"/>
    </row>
    <row r="3533" spans="90:90">
      <c r="CL3533"/>
    </row>
    <row r="3534" spans="90:90">
      <c r="CL3534"/>
    </row>
    <row r="3535" spans="90:90">
      <c r="CL3535"/>
    </row>
    <row r="3536" spans="90:90">
      <c r="CL3536"/>
    </row>
    <row r="3537" spans="90:90">
      <c r="CL3537"/>
    </row>
    <row r="3538" spans="90:90">
      <c r="CL3538"/>
    </row>
    <row r="3539" spans="90:90">
      <c r="CL3539"/>
    </row>
    <row r="3540" spans="90:90">
      <c r="CL3540"/>
    </row>
    <row r="3541" spans="90:90">
      <c r="CL3541"/>
    </row>
    <row r="3542" spans="90:90">
      <c r="CL3542"/>
    </row>
    <row r="3543" spans="90:90">
      <c r="CL3543"/>
    </row>
    <row r="3544" spans="90:90">
      <c r="CL3544"/>
    </row>
    <row r="3545" spans="90:90">
      <c r="CL3545"/>
    </row>
    <row r="3546" spans="90:90">
      <c r="CL3546"/>
    </row>
    <row r="3547" spans="90:90">
      <c r="CL3547"/>
    </row>
    <row r="3548" spans="90:90">
      <c r="CL3548"/>
    </row>
    <row r="3549" spans="90:90">
      <c r="CL3549"/>
    </row>
    <row r="3550" spans="90:90">
      <c r="CL3550"/>
    </row>
    <row r="3551" spans="90:90">
      <c r="CL3551"/>
    </row>
    <row r="3552" spans="90:90">
      <c r="CL3552"/>
    </row>
    <row r="3553" spans="90:90">
      <c r="CL3553"/>
    </row>
    <row r="3554" spans="90:90">
      <c r="CL3554"/>
    </row>
    <row r="3555" spans="90:90">
      <c r="CL3555"/>
    </row>
    <row r="3556" spans="90:90">
      <c r="CL3556"/>
    </row>
    <row r="3557" spans="90:90">
      <c r="CL3557"/>
    </row>
    <row r="3558" spans="90:90">
      <c r="CL3558"/>
    </row>
    <row r="3559" spans="90:90">
      <c r="CL3559"/>
    </row>
    <row r="3560" spans="90:90">
      <c r="CL3560"/>
    </row>
    <row r="3561" spans="90:90">
      <c r="CL3561"/>
    </row>
    <row r="3562" spans="90:90">
      <c r="CL3562"/>
    </row>
    <row r="3563" spans="90:90">
      <c r="CL3563"/>
    </row>
    <row r="3564" spans="90:90">
      <c r="CL3564"/>
    </row>
    <row r="3565" spans="90:90">
      <c r="CL3565"/>
    </row>
    <row r="3566" spans="90:90">
      <c r="CL3566"/>
    </row>
    <row r="3567" spans="90:90">
      <c r="CL3567"/>
    </row>
    <row r="3568" spans="90:90">
      <c r="CL3568"/>
    </row>
    <row r="3569" spans="90:90">
      <c r="CL3569"/>
    </row>
    <row r="3570" spans="90:90">
      <c r="CL3570"/>
    </row>
    <row r="3571" spans="90:90">
      <c r="CL3571"/>
    </row>
    <row r="3572" spans="90:90">
      <c r="CL3572"/>
    </row>
    <row r="3573" spans="90:90">
      <c r="CL3573"/>
    </row>
    <row r="3574" spans="90:90">
      <c r="CL3574"/>
    </row>
    <row r="3575" spans="90:90">
      <c r="CL3575"/>
    </row>
    <row r="3576" spans="90:90">
      <c r="CL3576"/>
    </row>
    <row r="3577" spans="90:90">
      <c r="CL3577"/>
    </row>
    <row r="3578" spans="90:90">
      <c r="CL3578"/>
    </row>
    <row r="3579" spans="90:90">
      <c r="CL3579"/>
    </row>
    <row r="3580" spans="90:90">
      <c r="CL3580"/>
    </row>
    <row r="3581" spans="90:90">
      <c r="CL3581"/>
    </row>
    <row r="3582" spans="90:90">
      <c r="CL3582"/>
    </row>
    <row r="3583" spans="90:90">
      <c r="CL3583"/>
    </row>
    <row r="3584" spans="90:90">
      <c r="CL3584"/>
    </row>
    <row r="3585" spans="90:90">
      <c r="CL3585"/>
    </row>
    <row r="3586" spans="90:90">
      <c r="CL3586"/>
    </row>
    <row r="3587" spans="90:90">
      <c r="CL3587"/>
    </row>
    <row r="3588" spans="90:90">
      <c r="CL3588"/>
    </row>
    <row r="3589" spans="90:90">
      <c r="CL3589"/>
    </row>
    <row r="3590" spans="90:90">
      <c r="CL3590"/>
    </row>
    <row r="3591" spans="90:90">
      <c r="CL3591"/>
    </row>
    <row r="3592" spans="90:90">
      <c r="CL3592"/>
    </row>
    <row r="3593" spans="90:90">
      <c r="CL3593"/>
    </row>
    <row r="3594" spans="90:90">
      <c r="CL3594"/>
    </row>
    <row r="3595" spans="90:90">
      <c r="CL3595"/>
    </row>
    <row r="3596" spans="90:90">
      <c r="CL3596"/>
    </row>
    <row r="3597" spans="90:90">
      <c r="CL3597"/>
    </row>
    <row r="3598" spans="90:90">
      <c r="CL3598"/>
    </row>
    <row r="3599" spans="90:90">
      <c r="CL3599"/>
    </row>
    <row r="3600" spans="90:90">
      <c r="CL3600"/>
    </row>
    <row r="3601" spans="90:90">
      <c r="CL3601"/>
    </row>
    <row r="3602" spans="90:90">
      <c r="CL3602"/>
    </row>
    <row r="3603" spans="90:90">
      <c r="CL3603"/>
    </row>
    <row r="3604" spans="90:90">
      <c r="CL3604"/>
    </row>
    <row r="3605" spans="90:90">
      <c r="CL3605"/>
    </row>
    <row r="3606" spans="90:90">
      <c r="CL3606"/>
    </row>
    <row r="3607" spans="90:90">
      <c r="CL3607"/>
    </row>
    <row r="3608" spans="90:90">
      <c r="CL3608"/>
    </row>
    <row r="3609" spans="90:90">
      <c r="CL3609"/>
    </row>
    <row r="3610" spans="90:90">
      <c r="CL3610"/>
    </row>
    <row r="3611" spans="90:90">
      <c r="CL3611"/>
    </row>
    <row r="3612" spans="90:90">
      <c r="CL3612"/>
    </row>
    <row r="3613" spans="90:90">
      <c r="CL3613"/>
    </row>
    <row r="3614" spans="90:90">
      <c r="CL3614"/>
    </row>
    <row r="3615" spans="90:90">
      <c r="CL3615"/>
    </row>
    <row r="3616" spans="90:90">
      <c r="CL3616"/>
    </row>
    <row r="3617" spans="90:90">
      <c r="CL3617"/>
    </row>
    <row r="3618" spans="90:90">
      <c r="CL3618"/>
    </row>
    <row r="3619" spans="90:90">
      <c r="CL3619"/>
    </row>
    <row r="3620" spans="90:90">
      <c r="CL3620"/>
    </row>
    <row r="3621" spans="90:90">
      <c r="CL3621"/>
    </row>
    <row r="3622" spans="90:90">
      <c r="CL3622"/>
    </row>
    <row r="3623" spans="90:90">
      <c r="CL3623"/>
    </row>
    <row r="3624" spans="90:90">
      <c r="CL3624"/>
    </row>
    <row r="3625" spans="90:90">
      <c r="CL3625"/>
    </row>
    <row r="3626" spans="90:90">
      <c r="CL3626"/>
    </row>
    <row r="3627" spans="90:90">
      <c r="CL3627"/>
    </row>
    <row r="3628" spans="90:90">
      <c r="CL3628"/>
    </row>
    <row r="3629" spans="90:90">
      <c r="CL3629"/>
    </row>
    <row r="3630" spans="90:90">
      <c r="CL3630"/>
    </row>
    <row r="3631" spans="90:90">
      <c r="CL3631"/>
    </row>
    <row r="3632" spans="90:90">
      <c r="CL3632"/>
    </row>
    <row r="3633" spans="90:90">
      <c r="CL3633"/>
    </row>
    <row r="3634" spans="90:90">
      <c r="CL3634"/>
    </row>
    <row r="3635" spans="90:90">
      <c r="CL3635"/>
    </row>
    <row r="3636" spans="90:90">
      <c r="CL3636"/>
    </row>
    <row r="3637" spans="90:90">
      <c r="CL3637"/>
    </row>
    <row r="3638" spans="90:90">
      <c r="CL3638"/>
    </row>
    <row r="3639" spans="90:90">
      <c r="CL3639"/>
    </row>
    <row r="3640" spans="90:90">
      <c r="CL3640"/>
    </row>
    <row r="3641" spans="90:90">
      <c r="CL3641"/>
    </row>
    <row r="3642" spans="90:90">
      <c r="CL3642"/>
    </row>
    <row r="3643" spans="90:90">
      <c r="CL3643"/>
    </row>
    <row r="3644" spans="90:90">
      <c r="CL3644"/>
    </row>
    <row r="3645" spans="90:90">
      <c r="CL3645"/>
    </row>
    <row r="3646" spans="90:90">
      <c r="CL3646"/>
    </row>
    <row r="3647" spans="90:90">
      <c r="CL3647"/>
    </row>
    <row r="3648" spans="90:90">
      <c r="CL3648"/>
    </row>
    <row r="3649" spans="90:90">
      <c r="CL3649"/>
    </row>
    <row r="3650" spans="90:90">
      <c r="CL3650"/>
    </row>
    <row r="3651" spans="90:90">
      <c r="CL3651"/>
    </row>
    <row r="3652" spans="90:90">
      <c r="CL3652"/>
    </row>
    <row r="3653" spans="90:90">
      <c r="CL3653"/>
    </row>
    <row r="3654" spans="90:90">
      <c r="CL3654"/>
    </row>
    <row r="3655" spans="90:90">
      <c r="CL3655"/>
    </row>
    <row r="3656" spans="90:90">
      <c r="CL3656"/>
    </row>
    <row r="3657" spans="90:90">
      <c r="CL3657"/>
    </row>
    <row r="3658" spans="90:90">
      <c r="CL3658"/>
    </row>
    <row r="3659" spans="90:90">
      <c r="CL3659"/>
    </row>
    <row r="3660" spans="90:90">
      <c r="CL3660"/>
    </row>
    <row r="3661" spans="90:90">
      <c r="CL3661"/>
    </row>
    <row r="3662" spans="90:90">
      <c r="CL3662"/>
    </row>
    <row r="3663" spans="90:90">
      <c r="CL3663"/>
    </row>
    <row r="3664" spans="90:90">
      <c r="CL3664"/>
    </row>
    <row r="3665" spans="90:90">
      <c r="CL3665"/>
    </row>
    <row r="3666" spans="90:90">
      <c r="CL3666"/>
    </row>
    <row r="3667" spans="90:90">
      <c r="CL3667"/>
    </row>
    <row r="3668" spans="90:90">
      <c r="CL3668"/>
    </row>
    <row r="3669" spans="90:90">
      <c r="CL3669"/>
    </row>
    <row r="3670" spans="90:90">
      <c r="CL3670"/>
    </row>
    <row r="3671" spans="90:90">
      <c r="CL3671"/>
    </row>
    <row r="3672" spans="90:90">
      <c r="CL3672"/>
    </row>
    <row r="3673" spans="90:90">
      <c r="CL3673"/>
    </row>
    <row r="3674" spans="90:90">
      <c r="CL3674"/>
    </row>
    <row r="3675" spans="90:90">
      <c r="CL3675"/>
    </row>
    <row r="3676" spans="90:90">
      <c r="CL3676"/>
    </row>
    <row r="3677" spans="90:90">
      <c r="CL3677"/>
    </row>
    <row r="3678" spans="90:90">
      <c r="CL3678"/>
    </row>
    <row r="3679" spans="90:90">
      <c r="CL3679"/>
    </row>
    <row r="3680" spans="90:90">
      <c r="CL3680"/>
    </row>
    <row r="3681" spans="90:90">
      <c r="CL3681"/>
    </row>
    <row r="3682" spans="90:90">
      <c r="CL3682"/>
    </row>
    <row r="3683" spans="90:90">
      <c r="CL3683"/>
    </row>
    <row r="3684" spans="90:90">
      <c r="CL3684"/>
    </row>
    <row r="3685" spans="90:90">
      <c r="CL3685"/>
    </row>
    <row r="3686" spans="90:90">
      <c r="CL3686"/>
    </row>
    <row r="3687" spans="90:90">
      <c r="CL3687"/>
    </row>
    <row r="3688" spans="90:90">
      <c r="CL3688"/>
    </row>
    <row r="3689" spans="90:90">
      <c r="CL3689"/>
    </row>
    <row r="3690" spans="90:90">
      <c r="CL3690"/>
    </row>
    <row r="3691" spans="90:90">
      <c r="CL3691"/>
    </row>
    <row r="3692" spans="90:90">
      <c r="CL3692"/>
    </row>
    <row r="3693" spans="90:90">
      <c r="CL3693"/>
    </row>
    <row r="3694" spans="90:90">
      <c r="CL3694"/>
    </row>
    <row r="3695" spans="90:90">
      <c r="CL3695"/>
    </row>
    <row r="3696" spans="90:90">
      <c r="CL3696"/>
    </row>
    <row r="3697" spans="90:90">
      <c r="CL3697"/>
    </row>
    <row r="3698" spans="90:90">
      <c r="CL3698"/>
    </row>
    <row r="3699" spans="90:90">
      <c r="CL3699"/>
    </row>
    <row r="3700" spans="90:90">
      <c r="CL3700"/>
    </row>
    <row r="3701" spans="90:90">
      <c r="CL3701"/>
    </row>
    <row r="3702" spans="90:90">
      <c r="CL3702"/>
    </row>
    <row r="3703" spans="90:90">
      <c r="CL3703"/>
    </row>
    <row r="3704" spans="90:90">
      <c r="CL3704"/>
    </row>
    <row r="3705" spans="90:90">
      <c r="CL3705"/>
    </row>
    <row r="3706" spans="90:90">
      <c r="CL3706"/>
    </row>
    <row r="3707" spans="90:90">
      <c r="CL3707"/>
    </row>
    <row r="3708" spans="90:90">
      <c r="CL3708"/>
    </row>
    <row r="3709" spans="90:90">
      <c r="CL3709"/>
    </row>
    <row r="3710" spans="90:90">
      <c r="CL3710"/>
    </row>
    <row r="3711" spans="90:90">
      <c r="CL3711"/>
    </row>
    <row r="3712" spans="90:90">
      <c r="CL3712"/>
    </row>
    <row r="3713" spans="90:90">
      <c r="CL3713"/>
    </row>
    <row r="3714" spans="90:90">
      <c r="CL3714"/>
    </row>
    <row r="3715" spans="90:90">
      <c r="CL3715"/>
    </row>
    <row r="3716" spans="90:90">
      <c r="CL3716"/>
    </row>
    <row r="3717" spans="90:90">
      <c r="CL3717"/>
    </row>
    <row r="3718" spans="90:90">
      <c r="CL3718"/>
    </row>
    <row r="3719" spans="90:90">
      <c r="CL3719"/>
    </row>
    <row r="3720" spans="90:90">
      <c r="CL3720"/>
    </row>
    <row r="3721" spans="90:90">
      <c r="CL3721"/>
    </row>
    <row r="3722" spans="90:90">
      <c r="CL3722"/>
    </row>
    <row r="3723" spans="90:90">
      <c r="CL3723"/>
    </row>
    <row r="3724" spans="90:90">
      <c r="CL3724"/>
    </row>
    <row r="3725" spans="90:90">
      <c r="CL3725"/>
    </row>
    <row r="3726" spans="90:90">
      <c r="CL3726"/>
    </row>
    <row r="3727" spans="90:90">
      <c r="CL3727"/>
    </row>
    <row r="3728" spans="90:90">
      <c r="CL3728"/>
    </row>
    <row r="3729" spans="90:90">
      <c r="CL3729"/>
    </row>
    <row r="3730" spans="90:90">
      <c r="CL3730"/>
    </row>
    <row r="3731" spans="90:90">
      <c r="CL3731"/>
    </row>
    <row r="3732" spans="90:90">
      <c r="CL3732"/>
    </row>
    <row r="3733" spans="90:90">
      <c r="CL3733"/>
    </row>
    <row r="3734" spans="90:90">
      <c r="CL3734"/>
    </row>
    <row r="3735" spans="90:90">
      <c r="CL3735"/>
    </row>
    <row r="3736" spans="90:90">
      <c r="CL3736"/>
    </row>
    <row r="3737" spans="90:90">
      <c r="CL3737"/>
    </row>
    <row r="3738" spans="90:90">
      <c r="CL3738"/>
    </row>
    <row r="3739" spans="90:90">
      <c r="CL3739"/>
    </row>
    <row r="3740" spans="90:90">
      <c r="CL3740"/>
    </row>
    <row r="3741" spans="90:90">
      <c r="CL3741"/>
    </row>
    <row r="3742" spans="90:90">
      <c r="CL3742"/>
    </row>
    <row r="3743" spans="90:90">
      <c r="CL3743"/>
    </row>
    <row r="3744" spans="90:90">
      <c r="CL3744"/>
    </row>
    <row r="3745" spans="90:90">
      <c r="CL3745"/>
    </row>
    <row r="3746" spans="90:90">
      <c r="CL3746"/>
    </row>
    <row r="3747" spans="90:90">
      <c r="CL3747"/>
    </row>
    <row r="3748" spans="90:90">
      <c r="CL3748"/>
    </row>
    <row r="3749" spans="90:90">
      <c r="CL3749"/>
    </row>
    <row r="3750" spans="90:90">
      <c r="CL3750"/>
    </row>
    <row r="3751" spans="90:90">
      <c r="CL3751"/>
    </row>
    <row r="3752" spans="90:90">
      <c r="CL3752"/>
    </row>
    <row r="3753" spans="90:90">
      <c r="CL3753"/>
    </row>
    <row r="3754" spans="90:90">
      <c r="CL3754"/>
    </row>
    <row r="3755" spans="90:90">
      <c r="CL3755"/>
    </row>
    <row r="3756" spans="90:90">
      <c r="CL3756"/>
    </row>
    <row r="3757" spans="90:90">
      <c r="CL3757"/>
    </row>
    <row r="3758" spans="90:90">
      <c r="CL3758"/>
    </row>
    <row r="3759" spans="90:90">
      <c r="CL3759"/>
    </row>
    <row r="3760" spans="90:90">
      <c r="CL3760"/>
    </row>
    <row r="3761" spans="90:90">
      <c r="CL3761"/>
    </row>
    <row r="3762" spans="90:90">
      <c r="CL3762"/>
    </row>
    <row r="3763" spans="90:90">
      <c r="CL3763"/>
    </row>
    <row r="3764" spans="90:90">
      <c r="CL3764"/>
    </row>
    <row r="3765" spans="90:90">
      <c r="CL3765"/>
    </row>
    <row r="3766" spans="90:90">
      <c r="CL3766"/>
    </row>
    <row r="3767" spans="90:90">
      <c r="CL3767"/>
    </row>
    <row r="3768" spans="90:90">
      <c r="CL3768"/>
    </row>
    <row r="3769" spans="90:90">
      <c r="CL3769"/>
    </row>
    <row r="3770" spans="90:90">
      <c r="CL3770"/>
    </row>
    <row r="3771" spans="90:90">
      <c r="CL3771"/>
    </row>
    <row r="3772" spans="90:90">
      <c r="CL3772"/>
    </row>
    <row r="3773" spans="90:90">
      <c r="CL3773"/>
    </row>
    <row r="3774" spans="90:90">
      <c r="CL3774"/>
    </row>
    <row r="3775" spans="90:90">
      <c r="CL3775"/>
    </row>
    <row r="3776" spans="90:90">
      <c r="CL3776"/>
    </row>
    <row r="3777" spans="90:90">
      <c r="CL3777"/>
    </row>
    <row r="3778" spans="90:90">
      <c r="CL3778"/>
    </row>
    <row r="3779" spans="90:90">
      <c r="CL3779"/>
    </row>
    <row r="3780" spans="90:90">
      <c r="CL3780"/>
    </row>
    <row r="3781" spans="90:90">
      <c r="CL3781"/>
    </row>
    <row r="3782" spans="90:90">
      <c r="CL3782"/>
    </row>
    <row r="3783" spans="90:90">
      <c r="CL3783"/>
    </row>
    <row r="3784" spans="90:90">
      <c r="CL3784"/>
    </row>
    <row r="3785" spans="90:90">
      <c r="CL3785"/>
    </row>
    <row r="3786" spans="90:90">
      <c r="CL3786"/>
    </row>
    <row r="3787" spans="90:90">
      <c r="CL3787"/>
    </row>
    <row r="3788" spans="90:90">
      <c r="CL3788"/>
    </row>
    <row r="3789" spans="90:90">
      <c r="CL3789"/>
    </row>
    <row r="3790" spans="90:90">
      <c r="CL3790"/>
    </row>
    <row r="3791" spans="90:90">
      <c r="CL3791"/>
    </row>
    <row r="3792" spans="90:90">
      <c r="CL3792"/>
    </row>
    <row r="3793" spans="90:90">
      <c r="CL3793"/>
    </row>
    <row r="3794" spans="90:90">
      <c r="CL3794"/>
    </row>
    <row r="3795" spans="90:90">
      <c r="CL3795"/>
    </row>
    <row r="3796" spans="90:90">
      <c r="CL3796"/>
    </row>
    <row r="3797" spans="90:90">
      <c r="CL3797"/>
    </row>
    <row r="3798" spans="90:90">
      <c r="CL3798"/>
    </row>
    <row r="3799" spans="90:90">
      <c r="CL3799"/>
    </row>
    <row r="3800" spans="90:90">
      <c r="CL3800"/>
    </row>
    <row r="3801" spans="90:90">
      <c r="CL3801"/>
    </row>
    <row r="3802" spans="90:90">
      <c r="CL3802"/>
    </row>
    <row r="3803" spans="90:90">
      <c r="CL3803"/>
    </row>
    <row r="3804" spans="90:90">
      <c r="CL3804"/>
    </row>
    <row r="3805" spans="90:90">
      <c r="CL3805"/>
    </row>
    <row r="3806" spans="90:90">
      <c r="CL3806"/>
    </row>
    <row r="3807" spans="90:90">
      <c r="CL3807"/>
    </row>
    <row r="3808" spans="90:90">
      <c r="CL3808"/>
    </row>
    <row r="3809" spans="90:90">
      <c r="CL3809"/>
    </row>
    <row r="3810" spans="90:90">
      <c r="CL3810"/>
    </row>
    <row r="3811" spans="90:90">
      <c r="CL3811"/>
    </row>
    <row r="3812" spans="90:90">
      <c r="CL3812"/>
    </row>
    <row r="3813" spans="90:90">
      <c r="CL3813"/>
    </row>
    <row r="3814" spans="90:90">
      <c r="CL3814"/>
    </row>
    <row r="3815" spans="90:90">
      <c r="CL3815"/>
    </row>
    <row r="3816" spans="90:90">
      <c r="CL3816"/>
    </row>
    <row r="3817" spans="90:90">
      <c r="CL3817"/>
    </row>
    <row r="3818" spans="90:90">
      <c r="CL3818"/>
    </row>
    <row r="3819" spans="90:90">
      <c r="CL3819"/>
    </row>
    <row r="3820" spans="90:90">
      <c r="CL3820"/>
    </row>
    <row r="3821" spans="90:90">
      <c r="CL3821"/>
    </row>
    <row r="3822" spans="90:90">
      <c r="CL3822"/>
    </row>
    <row r="3823" spans="90:90">
      <c r="CL3823"/>
    </row>
    <row r="3824" spans="90:90">
      <c r="CL3824"/>
    </row>
    <row r="3825" spans="90:90">
      <c r="CL3825"/>
    </row>
    <row r="3826" spans="90:90">
      <c r="CL3826"/>
    </row>
    <row r="3827" spans="90:90">
      <c r="CL3827"/>
    </row>
    <row r="3828" spans="90:90">
      <c r="CL3828"/>
    </row>
    <row r="3829" spans="90:90">
      <c r="CL3829"/>
    </row>
    <row r="3830" spans="90:90">
      <c r="CL3830"/>
    </row>
    <row r="3831" spans="90:90">
      <c r="CL3831"/>
    </row>
    <row r="3832" spans="90:90">
      <c r="CL3832"/>
    </row>
    <row r="3833" spans="90:90">
      <c r="CL3833"/>
    </row>
  </sheetData>
  <mergeCells count="67">
    <mergeCell ref="A1:CM5"/>
    <mergeCell ref="R9:R45"/>
    <mergeCell ref="AA9:AA45"/>
    <mergeCell ref="AH9:AH45"/>
    <mergeCell ref="AO9:AO45"/>
    <mergeCell ref="AV9:AV45"/>
    <mergeCell ref="BC9:BC45"/>
    <mergeCell ref="BJ9:BJ45"/>
    <mergeCell ref="BQ9:BQ45"/>
    <mergeCell ref="K6:L6"/>
    <mergeCell ref="BX9:BX45"/>
    <mergeCell ref="CF9:CF45"/>
    <mergeCell ref="A7:A8"/>
    <mergeCell ref="B7:B8"/>
    <mergeCell ref="C7:C8"/>
    <mergeCell ref="D7:D8"/>
    <mergeCell ref="E7:E8"/>
    <mergeCell ref="F7:F8"/>
    <mergeCell ref="G7:J7"/>
    <mergeCell ref="L7:O7"/>
    <mergeCell ref="P7:P8"/>
    <mergeCell ref="K7:K8"/>
    <mergeCell ref="Q7:Q8"/>
    <mergeCell ref="R7:R8"/>
    <mergeCell ref="AI7:AI8"/>
    <mergeCell ref="S7:S8"/>
    <mergeCell ref="T7:Y7"/>
    <mergeCell ref="Z7:Z8"/>
    <mergeCell ref="AA7:AA8"/>
    <mergeCell ref="AB7:AB8"/>
    <mergeCell ref="AC7:AF7"/>
    <mergeCell ref="AG7:AG8"/>
    <mergeCell ref="AH7:AH8"/>
    <mergeCell ref="BD7:BD8"/>
    <mergeCell ref="AJ7:AM7"/>
    <mergeCell ref="AN7:AN8"/>
    <mergeCell ref="AO7:AO8"/>
    <mergeCell ref="AP7:AP8"/>
    <mergeCell ref="AQ7:AT7"/>
    <mergeCell ref="AU7:AU8"/>
    <mergeCell ref="AV7:AV8"/>
    <mergeCell ref="AW7:AW8"/>
    <mergeCell ref="AX7:BA7"/>
    <mergeCell ref="BB7:BB8"/>
    <mergeCell ref="BC7:BC8"/>
    <mergeCell ref="BY7:BY8"/>
    <mergeCell ref="BE7:BH7"/>
    <mergeCell ref="BI7:BI8"/>
    <mergeCell ref="BJ7:BJ8"/>
    <mergeCell ref="BK7:BK8"/>
    <mergeCell ref="BL7:BO7"/>
    <mergeCell ref="BP7:BP8"/>
    <mergeCell ref="BQ7:BQ8"/>
    <mergeCell ref="BR7:BR8"/>
    <mergeCell ref="BS7:BV7"/>
    <mergeCell ref="BW7:BW8"/>
    <mergeCell ref="BX7:BX8"/>
    <mergeCell ref="CJ7:CJ8"/>
    <mergeCell ref="CK7:CK8"/>
    <mergeCell ref="CL7:CL8"/>
    <mergeCell ref="CM7:CM8"/>
    <mergeCell ref="BZ7:CD7"/>
    <mergeCell ref="CE7:CE8"/>
    <mergeCell ref="CF7:CF8"/>
    <mergeCell ref="CG7:CG8"/>
    <mergeCell ref="CH7:CH8"/>
    <mergeCell ref="CI7:CI8"/>
  </mergeCells>
  <conditionalFormatting sqref="H8 M8 AY8:AY44 AD8:AD45 AK8:AK45 V9:W45 BF9:BH45 H9:I47 M9:N47 Y9:Y47 AE9:AE47 AL9:AL47 AS9:AS47 AZ9:AZ47 BN9:BN47 BU9:BU47 CB9:CB47 AD25:AE27 AK25:AL30 AD40:AE45 AK40:AL45 AY40:AZ45 V46:V47 BG46:BG47">
    <cfRule type="cellIs" dxfId="1" priority="32" operator="lessThan">
      <formula>28</formula>
    </cfRule>
  </conditionalFormatting>
  <pageMargins left="0" right="0" top="0.196850393700787" bottom="0" header="0" footer="0"/>
  <pageSetup paperSize="5" scale="44" fitToWidth="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2:M49"/>
  <sheetViews>
    <sheetView topLeftCell="A13" zoomScale="90" zoomScaleNormal="90" workbookViewId="0">
      <selection activeCell="T12" sqref="T12"/>
    </sheetView>
  </sheetViews>
  <sheetFormatPr defaultRowHeight="15"/>
  <cols>
    <col min="1" max="1" width="2.42578125" customWidth="1"/>
    <col min="2" max="13" width="10.7109375" customWidth="1"/>
  </cols>
  <sheetData>
    <row r="2" spans="2:13" ht="24.95" customHeight="1">
      <c r="B2" s="132" t="s">
        <v>74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spans="2:13" ht="24.95" customHeight="1"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</row>
    <row r="4" spans="2:13" ht="24.95" customHeight="1"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</row>
    <row r="5" spans="2:13" ht="24.95" customHeight="1"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</row>
    <row r="6" spans="2:13" s="22" customFormat="1" ht="24.95" customHeight="1">
      <c r="B6" s="99" t="s">
        <v>66</v>
      </c>
      <c r="C6" s="99"/>
      <c r="D6" s="116" t="str">
        <f>IFERROR(VLOOKUP($K$6,'1ST_SEMESTER'!$B$7:$CM$45,2,0),"PLEASE ENTER ROLL")</f>
        <v>Mahim Arafat Mamun</v>
      </c>
      <c r="E6" s="116"/>
      <c r="F6" s="116"/>
      <c r="G6" s="116"/>
      <c r="H6" s="112" t="s">
        <v>61</v>
      </c>
      <c r="I6" s="112"/>
      <c r="J6" s="112"/>
      <c r="K6" s="116">
        <v>42</v>
      </c>
      <c r="L6" s="116"/>
      <c r="M6" s="116"/>
    </row>
    <row r="7" spans="2:13" s="22" customFormat="1" ht="24.95" customHeight="1">
      <c r="B7" s="99" t="s">
        <v>67</v>
      </c>
      <c r="C7" s="99"/>
      <c r="D7" s="116" t="str">
        <f>IFERROR(VLOOKUP($K$6,'1ST_SEMESTER'!$B$7:$CM$45,3,0),"")</f>
        <v>Md. Abdul Huque</v>
      </c>
      <c r="E7" s="116"/>
      <c r="F7" s="116"/>
      <c r="G7" s="116"/>
      <c r="H7" s="99"/>
      <c r="I7" s="99"/>
      <c r="J7" s="21" t="s">
        <v>62</v>
      </c>
      <c r="K7" s="115" t="str">
        <f>'1ST_SEMESTER'!H6</f>
        <v>NINE</v>
      </c>
      <c r="L7" s="116"/>
      <c r="M7" s="116"/>
    </row>
    <row r="8" spans="2:13" s="22" customFormat="1" ht="24.95" customHeight="1">
      <c r="B8" s="99" t="s">
        <v>68</v>
      </c>
      <c r="C8" s="99"/>
      <c r="D8" s="116" t="str">
        <f>IFERROR(VLOOKUP($K$6,'1ST_SEMESTER'!$B$7:$CM$45,4,0),"")</f>
        <v>Asa Akter</v>
      </c>
      <c r="E8" s="116"/>
      <c r="F8" s="116"/>
      <c r="G8" s="116"/>
      <c r="H8" s="112" t="s">
        <v>63</v>
      </c>
      <c r="I8" s="112"/>
      <c r="J8" s="112"/>
      <c r="K8" s="116" t="str">
        <f>'1ST_SEMESTER'!J6</f>
        <v>BUSINESS</v>
      </c>
      <c r="L8" s="116"/>
      <c r="M8" s="116"/>
    </row>
    <row r="9" spans="2:13" s="22" customFormat="1" ht="24.95" customHeight="1">
      <c r="B9" s="99" t="s">
        <v>69</v>
      </c>
      <c r="C9" s="99"/>
      <c r="D9" s="116" t="str">
        <f>'1ST_SEMESTER'!D6</f>
        <v>ABDUL AZIZ</v>
      </c>
      <c r="E9" s="116"/>
      <c r="F9" s="116"/>
      <c r="G9" s="116"/>
      <c r="H9" s="112" t="s">
        <v>64</v>
      </c>
      <c r="I9" s="112"/>
      <c r="J9" s="112"/>
      <c r="K9" s="116">
        <f>'1ST_SEMESTER'!M6</f>
        <v>37</v>
      </c>
      <c r="L9" s="116"/>
      <c r="M9" s="116"/>
    </row>
    <row r="10" spans="2:13" s="22" customFormat="1" ht="24.95" customHeight="1">
      <c r="B10" s="99" t="s">
        <v>70</v>
      </c>
      <c r="C10" s="99"/>
      <c r="D10" s="115" t="str">
        <f>'1ST_SEMESTER'!F6</f>
        <v>8801756-772529</v>
      </c>
      <c r="E10" s="115"/>
      <c r="F10" s="115"/>
      <c r="G10" s="115"/>
      <c r="H10" s="23"/>
      <c r="I10" s="112" t="s">
        <v>65</v>
      </c>
      <c r="J10" s="112"/>
      <c r="K10" s="116">
        <f>IFERROR(VLOOKUP($K$6,'1ST_SEMESTER'!$B$7:$CM$45,90,0),"")</f>
        <v>41</v>
      </c>
      <c r="L10" s="116"/>
      <c r="M10" s="116">
        <f>VLOOKUP($K$6,'1ST_SEMESTER'!$B$7:$CM$24,10,0)</f>
        <v>40</v>
      </c>
    </row>
    <row r="11" spans="2:13">
      <c r="B11" s="120" t="s">
        <v>22</v>
      </c>
      <c r="C11" s="121"/>
      <c r="D11" s="122"/>
      <c r="E11" s="129" t="s">
        <v>23</v>
      </c>
      <c r="F11" s="111" t="s">
        <v>26</v>
      </c>
      <c r="G11" s="111" t="s">
        <v>27</v>
      </c>
      <c r="H11" s="111" t="s">
        <v>28</v>
      </c>
      <c r="I11" s="117" t="s">
        <v>24</v>
      </c>
      <c r="J11" s="117" t="s">
        <v>25</v>
      </c>
      <c r="K11" s="117" t="s">
        <v>2</v>
      </c>
      <c r="L11" s="117" t="s">
        <v>55</v>
      </c>
      <c r="M11" s="117" t="s">
        <v>6</v>
      </c>
    </row>
    <row r="12" spans="2:13" ht="14.45" customHeight="1">
      <c r="B12" s="123"/>
      <c r="C12" s="124"/>
      <c r="D12" s="125"/>
      <c r="E12" s="130"/>
      <c r="F12" s="111"/>
      <c r="G12" s="111"/>
      <c r="H12" s="111"/>
      <c r="I12" s="118"/>
      <c r="J12" s="118"/>
      <c r="K12" s="118"/>
      <c r="L12" s="118"/>
      <c r="M12" s="118"/>
    </row>
    <row r="13" spans="2:13">
      <c r="B13" s="123"/>
      <c r="C13" s="124"/>
      <c r="D13" s="125"/>
      <c r="E13" s="130"/>
      <c r="F13" s="111"/>
      <c r="G13" s="111"/>
      <c r="H13" s="111"/>
      <c r="I13" s="118"/>
      <c r="J13" s="118"/>
      <c r="K13" s="118"/>
      <c r="L13" s="118"/>
      <c r="M13" s="118"/>
    </row>
    <row r="14" spans="2:13">
      <c r="B14" s="123"/>
      <c r="C14" s="124"/>
      <c r="D14" s="125"/>
      <c r="E14" s="130"/>
      <c r="F14" s="111"/>
      <c r="G14" s="111"/>
      <c r="H14" s="111"/>
      <c r="I14" s="118"/>
      <c r="J14" s="118"/>
      <c r="K14" s="118"/>
      <c r="L14" s="118"/>
      <c r="M14" s="118"/>
    </row>
    <row r="15" spans="2:13">
      <c r="B15" s="123"/>
      <c r="C15" s="124"/>
      <c r="D15" s="125"/>
      <c r="E15" s="130"/>
      <c r="F15" s="111"/>
      <c r="G15" s="111"/>
      <c r="H15" s="111"/>
      <c r="I15" s="118"/>
      <c r="J15" s="118"/>
      <c r="K15" s="118"/>
      <c r="L15" s="118"/>
      <c r="M15" s="118"/>
    </row>
    <row r="16" spans="2:13">
      <c r="B16" s="123"/>
      <c r="C16" s="124"/>
      <c r="D16" s="125"/>
      <c r="E16" s="130"/>
      <c r="F16" s="111"/>
      <c r="G16" s="111"/>
      <c r="H16" s="111"/>
      <c r="I16" s="118"/>
      <c r="J16" s="118"/>
      <c r="K16" s="118"/>
      <c r="L16" s="118"/>
      <c r="M16" s="118"/>
    </row>
    <row r="17" spans="2:13">
      <c r="B17" s="123"/>
      <c r="C17" s="124"/>
      <c r="D17" s="125"/>
      <c r="E17" s="130"/>
      <c r="F17" s="111"/>
      <c r="G17" s="111"/>
      <c r="H17" s="111"/>
      <c r="I17" s="118"/>
      <c r="J17" s="118"/>
      <c r="K17" s="118"/>
      <c r="L17" s="118"/>
      <c r="M17" s="118"/>
    </row>
    <row r="18" spans="2:13">
      <c r="B18" s="126"/>
      <c r="C18" s="127"/>
      <c r="D18" s="128"/>
      <c r="E18" s="131"/>
      <c r="F18" s="111"/>
      <c r="G18" s="111"/>
      <c r="H18" s="111"/>
      <c r="I18" s="119"/>
      <c r="J18" s="119"/>
      <c r="K18" s="119"/>
      <c r="L18" s="119"/>
      <c r="M18" s="119"/>
    </row>
    <row r="19" spans="2:13" ht="35.1" customHeight="1">
      <c r="B19" s="86" t="s">
        <v>29</v>
      </c>
      <c r="C19" s="87"/>
      <c r="D19" s="88"/>
      <c r="E19" s="14">
        <f>IFERROR(VLOOKUP($K$6,'1ST_SEMESTER'!$B$7:$CM$45,6,0),"")</f>
        <v>14</v>
      </c>
      <c r="F19" s="14">
        <f>IFERROR(VLOOKUP($K$6,'1ST_SEMESTER'!$B$7:$CM$45,7,0),"")</f>
        <v>16</v>
      </c>
      <c r="G19" s="14">
        <f>IFERROR(VLOOKUP($K$6,'1ST_SEMESTER'!$B$7:$CM$45,9,0),"")</f>
        <v>10</v>
      </c>
      <c r="H19" s="108"/>
      <c r="I19" s="90">
        <f>IFERROR(VLOOKUP($K$6,'1ST_SEMESTER'!$B$7:$CM$45,16,0),"")</f>
        <v>97</v>
      </c>
      <c r="J19" s="90">
        <f>'1ST_SEMESTER'!R9</f>
        <v>137</v>
      </c>
      <c r="K19" s="106">
        <f>IFERROR(VLOOKUP($K$6,'1ST_SEMESTER'!$B$7:$CM$45,18,0),"")</f>
        <v>2</v>
      </c>
      <c r="L19" s="90" t="str">
        <f>IF(K19="F","F",IF(K19&lt;2.5,"D",IF(K19&lt;3,"C",IF(K19&lt;3.5,"B",IF(K19&lt;4,"A-",IF(K19&lt;5,"A","A+"))))))</f>
        <v>D</v>
      </c>
      <c r="M19" s="113">
        <f>IFERROR(VLOOKUP($K$6,'1ST_SEMESTER'!$B$7:$CM$45,86,0),"")</f>
        <v>3.6111111111111112</v>
      </c>
    </row>
    <row r="20" spans="2:13" ht="35.1" customHeight="1">
      <c r="B20" s="86" t="s">
        <v>30</v>
      </c>
      <c r="C20" s="87"/>
      <c r="D20" s="88"/>
      <c r="E20" s="14">
        <f>IFERROR(VLOOKUP($K$6,'1ST_SEMESTER'!$B$7:$CM$45,11,0),"")</f>
        <v>14</v>
      </c>
      <c r="F20" s="14">
        <f>IFERROR(VLOOKUP($K$6,'1ST_SEMESTER'!$B$7:$CM$45,12,0),"")</f>
        <v>26</v>
      </c>
      <c r="G20" s="14">
        <f>IFERROR(VLOOKUP($K$6,'1ST_SEMESTER'!$B$7:$CM$45,14,0),"")</f>
        <v>17</v>
      </c>
      <c r="H20" s="109"/>
      <c r="I20" s="91"/>
      <c r="J20" s="91"/>
      <c r="K20" s="107"/>
      <c r="L20" s="91"/>
      <c r="M20" s="113">
        <f>VLOOKUP($K$6,'1ST_SEMESTER'!$B$7:$CM$24,47,0)</f>
        <v>48</v>
      </c>
    </row>
    <row r="21" spans="2:13" ht="35.1" customHeight="1">
      <c r="B21" s="86" t="s">
        <v>31</v>
      </c>
      <c r="C21" s="87"/>
      <c r="D21" s="88"/>
      <c r="E21" s="14">
        <f>IFERROR(VLOOKUP($K$6,'1ST_SEMESTER'!$B$7:$CM$45,19,0),"")</f>
        <v>13</v>
      </c>
      <c r="F21" s="14">
        <f>IFERROR(VLOOKUP($K$6,'1ST_SEMESTER'!$B$7:$CM$45,20,0),"")</f>
        <v>40</v>
      </c>
      <c r="G21" s="90"/>
      <c r="H21" s="109"/>
      <c r="I21" s="90">
        <f>IFERROR(VLOOKUP($K$6,'1ST_SEMESTER'!$B$7:$CM$45,25,0),"")</f>
        <v>105</v>
      </c>
      <c r="J21" s="90">
        <f>'1ST_SEMESTER'!AA9</f>
        <v>135</v>
      </c>
      <c r="K21" s="106">
        <f>IFERROR(VLOOKUP($K$6,'1ST_SEMESTER'!$B$7:$CM$45,27,0),"")</f>
        <v>3</v>
      </c>
      <c r="L21" s="90" t="str">
        <f>IF(K21="F","F",IF(K21&lt;2.5,"D",IF(K21&lt;3,"C",IF(K21&lt;3.5,"B",IF(K21&lt;4,"A-",IF(K21&lt;5,"A","A+"))))))</f>
        <v>B</v>
      </c>
      <c r="M21" s="113">
        <f>VLOOKUP($K$6,'1ST_SEMESTER'!$B$7:$CM$24,47,0)</f>
        <v>48</v>
      </c>
    </row>
    <row r="22" spans="2:13" ht="35.1" customHeight="1">
      <c r="B22" s="86" t="s">
        <v>32</v>
      </c>
      <c r="C22" s="87"/>
      <c r="D22" s="88"/>
      <c r="E22" s="14" t="str">
        <f>IFERROR(VLOOKUP($K$6,'1ST_SEMESTER'!$B$4:$CM$7,22,0),"")</f>
        <v/>
      </c>
      <c r="F22" s="14">
        <f>IFERROR(VLOOKUP($K$6,'1ST_SEMESTER'!$B$7:$CM$45,23,0),"")</f>
        <v>40</v>
      </c>
      <c r="G22" s="91"/>
      <c r="H22" s="109"/>
      <c r="I22" s="91"/>
      <c r="J22" s="91"/>
      <c r="K22" s="107"/>
      <c r="L22" s="91"/>
      <c r="M22" s="113">
        <f>VLOOKUP($K$6,'1ST_SEMESTER'!$B$7:$CM$24,47,0)</f>
        <v>48</v>
      </c>
    </row>
    <row r="23" spans="2:13" ht="35.1" customHeight="1">
      <c r="B23" s="86" t="s">
        <v>33</v>
      </c>
      <c r="C23" s="87"/>
      <c r="D23" s="88"/>
      <c r="E23" s="14">
        <f>IFERROR(VLOOKUP($K$6,'1ST_SEMESTER'!$B$7:$CM$45,28,0),"")</f>
        <v>17</v>
      </c>
      <c r="F23" s="14">
        <f>IFERROR(VLOOKUP($K$6,'1ST_SEMESTER'!$B$7:$CM$45,29,0),"")</f>
        <v>31</v>
      </c>
      <c r="G23" s="14">
        <f>IFERROR(VLOOKUP($K$6,'1ST_SEMESTER'!$B$7:$CM$45,31,0),"")</f>
        <v>19</v>
      </c>
      <c r="H23" s="109"/>
      <c r="I23" s="14">
        <f>IFERROR(VLOOKUP($K$6,'1ST_SEMESTER'!$B$7:$CM$45,32,0),"")</f>
        <v>67</v>
      </c>
      <c r="J23" s="14">
        <f>'1ST_SEMESTER'!AH9</f>
        <v>67</v>
      </c>
      <c r="K23" s="16">
        <f>IFERROR(VLOOKUP($K$6,'1ST_SEMESTER'!$B$7:$CM$45,34,0),"")</f>
        <v>3.5</v>
      </c>
      <c r="L23" s="13" t="str">
        <f t="shared" ref="L23:L29" si="0">IF(K23="F","F",IF(K23&lt;2.5,"D",IF(K23&lt;3,"C",IF(K23&lt;3.5,"B",IF(K23&lt;4,"A-",IF(K23&lt;5,"A","A+"))))))</f>
        <v>A-</v>
      </c>
      <c r="M23" s="113">
        <f>VLOOKUP($K$6,'1ST_SEMESTER'!$B$7:$CM$24,47,0)</f>
        <v>48</v>
      </c>
    </row>
    <row r="24" spans="2:13" ht="35.1" customHeight="1">
      <c r="B24" s="86" t="s">
        <v>34</v>
      </c>
      <c r="C24" s="87"/>
      <c r="D24" s="88"/>
      <c r="E24" s="14">
        <f>IFERROR(VLOOKUP($K$6,'1ST_SEMESTER'!$B$7:$CM$45,35,0),"")</f>
        <v>15</v>
      </c>
      <c r="F24" s="14">
        <f>IFERROR(VLOOKUP($K$6,'1ST_SEMESTER'!$B$7:$CM$45,36,0),"")</f>
        <v>33</v>
      </c>
      <c r="G24" s="14">
        <f>IFERROR(VLOOKUP($K$6,'1ST_SEMESTER'!$B$7:$CM$45,38,0),"")</f>
        <v>22</v>
      </c>
      <c r="H24" s="110"/>
      <c r="I24" s="14">
        <f>IFERROR(VLOOKUP($K$6,'1ST_SEMESTER'!$B$7:$CM$49,39,0),"")</f>
        <v>70</v>
      </c>
      <c r="J24" s="14">
        <f>'1ST_SEMESTER'!AO9</f>
        <v>71</v>
      </c>
      <c r="K24" s="16">
        <f>IFERROR(VLOOKUP($K$6,'1ST_SEMESTER'!$B$7:$CM$45,41,0),"")</f>
        <v>4</v>
      </c>
      <c r="L24" s="13" t="str">
        <f t="shared" si="0"/>
        <v>A</v>
      </c>
      <c r="M24" s="113">
        <f>VLOOKUP($K$6,'1ST_SEMESTER'!$B$7:$CM$24,47,0)</f>
        <v>48</v>
      </c>
    </row>
    <row r="25" spans="2:13" ht="35.1" customHeight="1">
      <c r="B25" s="86" t="s">
        <v>4</v>
      </c>
      <c r="C25" s="87"/>
      <c r="D25" s="88"/>
      <c r="E25" s="14">
        <f>IFERROR(VLOOKUP($K$6,'1ST_SEMESTER'!$B$7:$CM$45,42,0),"")</f>
        <v>0</v>
      </c>
      <c r="F25" s="17"/>
      <c r="G25" s="14">
        <f>IFERROR(VLOOKUP($K$6,'1ST_SEMESTER'!$B$7:$CM$45,43,0),"")</f>
        <v>21</v>
      </c>
      <c r="H25" s="14">
        <f>IFERROR(VLOOKUP($K$6,'1ST_SEMESTER'!$B$7:$CM$45,45,0),"")</f>
        <v>25</v>
      </c>
      <c r="I25" s="14">
        <f>IFERROR(VLOOKUP($K$6,'1ST_SEMESTER'!$B$7:$CM$45,46,0),"")</f>
        <v>46</v>
      </c>
      <c r="J25" s="14">
        <f>'1ST_SEMESTER'!AV9</f>
        <v>48</v>
      </c>
      <c r="K25" s="16">
        <f>IFERROR(VLOOKUP($K$6,'1ST_SEMESTER'!$B$7:$CM$45,48,0),"")</f>
        <v>5</v>
      </c>
      <c r="L25" s="13" t="str">
        <f t="shared" si="0"/>
        <v>A+</v>
      </c>
      <c r="M25" s="113">
        <f>VLOOKUP($K$6,'1ST_SEMESTER'!$B$7:$CM$24,47,0)</f>
        <v>48</v>
      </c>
    </row>
    <row r="26" spans="2:13" ht="35.1" customHeight="1">
      <c r="B26" s="86" t="s">
        <v>21</v>
      </c>
      <c r="C26" s="87"/>
      <c r="D26" s="88"/>
      <c r="E26" s="14">
        <f>IFERROR(VLOOKUP($K$6,'1ST_SEMESTER'!$B$7:$CM$45,49,0),"")</f>
        <v>16</v>
      </c>
      <c r="F26" s="14">
        <f>IFERROR(VLOOKUP($K$6,'1ST_SEMESTER'!$B$7:$CM$45,50,0),"")</f>
        <v>20</v>
      </c>
      <c r="G26" s="14">
        <f>IFERROR(VLOOKUP($K$6,'1ST_SEMESTER'!$B$7:$CM$45,52,0),"")</f>
        <v>18</v>
      </c>
      <c r="H26" s="108"/>
      <c r="I26" s="14">
        <f>IFERROR(VLOOKUP($K$6,'1ST_SEMESTER'!$B$7:$CM$45,53,0),"")</f>
        <v>54</v>
      </c>
      <c r="J26" s="14">
        <f>'1ST_SEMESTER'!BC9</f>
        <v>67</v>
      </c>
      <c r="K26" s="16">
        <f>IFERROR(VLOOKUP($K$6,'1ST_SEMESTER'!$B$7:$CM$45,55,0),"")</f>
        <v>3</v>
      </c>
      <c r="L26" s="13" t="str">
        <f t="shared" si="0"/>
        <v>B</v>
      </c>
      <c r="M26" s="113">
        <f>VLOOKUP($K$6,'1ST_SEMESTER'!$B$7:$CM$24,47,0)</f>
        <v>48</v>
      </c>
    </row>
    <row r="27" spans="2:13" ht="35.1" customHeight="1">
      <c r="B27" s="86" t="s">
        <v>51</v>
      </c>
      <c r="C27" s="87"/>
      <c r="D27" s="88"/>
      <c r="E27" s="14">
        <f>IFERROR(VLOOKUP($K$6,'1ST_SEMESTER'!$B$7:$CM$45,56,0),"")</f>
        <v>14</v>
      </c>
      <c r="F27" s="14">
        <f>IFERROR(VLOOKUP($K$6,'1ST_SEMESTER'!$B$7:$CM$45,57,0),"")</f>
        <v>28</v>
      </c>
      <c r="G27" s="14">
        <f>IFERROR(VLOOKUP($K$6,'1ST_SEMESTER'!$B$7:$CM$45,59,0),"")</f>
        <v>15</v>
      </c>
      <c r="H27" s="109"/>
      <c r="I27" s="14">
        <f>IFERROR(VLOOKUP($K$6,'1ST_SEMESTER'!$B$7:$CM$45,60,0),"")</f>
        <v>57</v>
      </c>
      <c r="J27" s="14">
        <f>'1ST_SEMESTER'!BJ9</f>
        <v>71</v>
      </c>
      <c r="K27" s="16">
        <f>IFERROR(VLOOKUP($K$6,'1ST_SEMESTER'!$B$7:$CM$45,62,0),"")</f>
        <v>3</v>
      </c>
      <c r="L27" s="13" t="str">
        <f t="shared" si="0"/>
        <v>B</v>
      </c>
      <c r="M27" s="113">
        <f>VLOOKUP($K$6,'1ST_SEMESTER'!$B$7:$CM$24,47,0)</f>
        <v>48</v>
      </c>
    </row>
    <row r="28" spans="2:13" ht="35.1" customHeight="1">
      <c r="B28" s="86" t="s">
        <v>73</v>
      </c>
      <c r="C28" s="87"/>
      <c r="D28" s="88"/>
      <c r="E28" s="14">
        <f>IFERROR(VLOOKUP($K$6,'1ST_SEMESTER'!$B$7:$CM$45,63,0),"")</f>
        <v>19</v>
      </c>
      <c r="F28" s="14">
        <f>IFERROR(VLOOKUP($K$6,'1ST_SEMESTER'!$B$7:$CM$45,64,0),"")</f>
        <v>27</v>
      </c>
      <c r="G28" s="14">
        <f>IFERROR(VLOOKUP($K$6,'1ST_SEMESTER'!$B$7:$CM$45,66,0),"")</f>
        <v>17</v>
      </c>
      <c r="H28" s="109"/>
      <c r="I28" s="14">
        <f>IFERROR(VLOOKUP($K$6,'1ST_SEMESTER'!$B$7:$CM$45,67,0),"")</f>
        <v>63</v>
      </c>
      <c r="J28" s="14">
        <f>'1ST_SEMESTER'!BQ9</f>
        <v>77</v>
      </c>
      <c r="K28" s="16">
        <f>IFERROR(VLOOKUP($K$6,'1ST_SEMESTER'!$B$7:$CM$45,69,0),"")</f>
        <v>3.5</v>
      </c>
      <c r="L28" s="13" t="str">
        <f t="shared" si="0"/>
        <v>A-</v>
      </c>
      <c r="M28" s="113">
        <f>VLOOKUP($K$6,'1ST_SEMESTER'!$B$7:$CM$24,47,0)</f>
        <v>48</v>
      </c>
    </row>
    <row r="29" spans="2:13" ht="35.1" customHeight="1">
      <c r="B29" s="86" t="s">
        <v>10</v>
      </c>
      <c r="C29" s="87"/>
      <c r="D29" s="88"/>
      <c r="E29" s="14">
        <f>IFERROR(VLOOKUP($K$6,'1ST_SEMESTER'!$B$7:$CM$45,70,0),"")</f>
        <v>17</v>
      </c>
      <c r="F29" s="14">
        <f>IFERROR(VLOOKUP($K$6,'1ST_SEMESTER'!$B$7:$CM$45,71,0),"")</f>
        <v>37</v>
      </c>
      <c r="G29" s="14">
        <f>IFERROR(VLOOKUP($K$6,'1ST_SEMESTER'!$B$7:$CM$45,73,0),"")</f>
        <v>16</v>
      </c>
      <c r="H29" s="110"/>
      <c r="I29" s="14">
        <f>IFERROR(VLOOKUP($K$6,'1ST_SEMESTER'!$B$7:$CM$45,74,0),"")</f>
        <v>70</v>
      </c>
      <c r="J29" s="14">
        <f>'1ST_SEMESTER'!BX9</f>
        <v>82</v>
      </c>
      <c r="K29" s="16">
        <f>IFERROR(VLOOKUP($K$6,'1ST_SEMESTER'!$B$7:$CM$45,76,0),"")</f>
        <v>4</v>
      </c>
      <c r="L29" s="13" t="str">
        <f t="shared" si="0"/>
        <v>A</v>
      </c>
      <c r="M29" s="113">
        <f>VLOOKUP($K$6,'1ST_SEMESTER'!$B$7:$CM$24,47,0)</f>
        <v>48</v>
      </c>
    </row>
    <row r="30" spans="2:13" ht="35.1" customHeight="1">
      <c r="B30" s="102" t="s">
        <v>35</v>
      </c>
      <c r="C30" s="103"/>
      <c r="D30" s="103"/>
      <c r="E30" s="103"/>
      <c r="F30" s="103"/>
      <c r="G30" s="103"/>
      <c r="H30" s="103"/>
      <c r="I30" s="103"/>
      <c r="J30" s="104"/>
      <c r="K30" s="6" t="s">
        <v>38</v>
      </c>
      <c r="L30" s="7"/>
      <c r="M30" s="113">
        <f>VLOOKUP($K$6,'1ST_SEMESTER'!$B$7:$CM$24,47,0)</f>
        <v>48</v>
      </c>
    </row>
    <row r="31" spans="2:13" ht="35.1" customHeight="1">
      <c r="B31" s="86" t="s">
        <v>36</v>
      </c>
      <c r="C31" s="87"/>
      <c r="D31" s="88"/>
      <c r="E31" s="14">
        <f>IFERROR(VLOOKUP($K$6,'1ST_SEMESTER'!$B$7:$CM$45,77,0),"")</f>
        <v>6</v>
      </c>
      <c r="F31" s="14">
        <f>IFERROR(VLOOKUP($K$6,'1ST_SEMESTER'!$B$7:$CM$45,78,0),"")</f>
        <v>17</v>
      </c>
      <c r="G31" s="14">
        <f>IFERROR(VLOOKUP($K$6,'1ST_SEMESTER'!$B$7:$CM$45,80,0),"")</f>
        <v>22</v>
      </c>
      <c r="H31" s="14">
        <f>IFERROR(VLOOKUP($K$6,'1ST_SEMESTER'!$B$7:$CM$45,81,0),"")</f>
        <v>22</v>
      </c>
      <c r="I31" s="14">
        <f>IFERROR(VLOOKUP($K$6,'1ST_SEMESTER'!$B$7:$CM$45,82,0),"")</f>
        <v>67</v>
      </c>
      <c r="J31" s="14">
        <f>'1ST_SEMESTER'!CF9</f>
        <v>78</v>
      </c>
      <c r="K31" s="14">
        <f>IFERROR(VLOOKUP($K$6,'1ST_SEMESTER'!$B$7:$CM$45,84,0),"")</f>
        <v>3.5</v>
      </c>
      <c r="L31" s="13" t="str">
        <f>IF(K31="F","F",IF(K31&lt;2.5,"D",IF(K31&lt;3,"C",IF(K31&lt;3.5,"B",IF(K31&lt;4,"A-",IF(K31&lt;5,"A","A+"))))))</f>
        <v>A-</v>
      </c>
      <c r="M31" s="113">
        <f>VLOOKUP($K$6,'1ST_SEMESTER'!$B$7:$CM$24,47,0)</f>
        <v>48</v>
      </c>
    </row>
    <row r="32" spans="2:13" ht="35.1" customHeight="1">
      <c r="B32" s="93" t="s">
        <v>37</v>
      </c>
      <c r="C32" s="94"/>
      <c r="D32" s="95"/>
      <c r="E32" s="96"/>
      <c r="F32" s="97"/>
      <c r="G32" s="97"/>
      <c r="H32" s="98"/>
      <c r="I32" s="15">
        <f>SUM(I19:I31)</f>
        <v>696</v>
      </c>
      <c r="J32" s="96"/>
      <c r="K32" s="98"/>
      <c r="L32" s="18"/>
      <c r="M32" s="114">
        <f>VLOOKUP($K$6,'1ST_SEMESTER'!$B$7:$CM$24,47,0)</f>
        <v>48</v>
      </c>
    </row>
    <row r="33" spans="2:13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2:1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ht="19.5" customHeight="1">
      <c r="B35" s="99" t="s">
        <v>72</v>
      </c>
      <c r="C35" s="99"/>
      <c r="D35" s="99"/>
      <c r="E35" s="99"/>
      <c r="F35" s="105" t="str">
        <f>IFERROR(VLOOKUP($K$6,'1ST_SEMESTER'!$B$7:$CM$45,87,0),"")</f>
        <v>GOOD</v>
      </c>
      <c r="G35" s="105">
        <f>VLOOKUP($K$6,'1ST_SEMESTER'!$B$7:$CM$24,90,0)</f>
        <v>41</v>
      </c>
      <c r="H35" s="105">
        <f>VLOOKUP($K$6,'1ST_SEMESTER'!$B$7:$CM$24,90,0)</f>
        <v>41</v>
      </c>
      <c r="I35" s="105">
        <f>VLOOKUP($K$6,'1ST_SEMESTER'!$B$7:$CM$24,90,0)</f>
        <v>41</v>
      </c>
      <c r="J35" s="4"/>
      <c r="K35" s="4"/>
      <c r="L35" s="4"/>
      <c r="M35" s="4"/>
    </row>
    <row r="36" spans="2:13" ht="15.75">
      <c r="B36" s="19"/>
      <c r="C36" s="85"/>
      <c r="D36" s="85"/>
      <c r="E36" s="85"/>
      <c r="F36" s="85"/>
      <c r="G36" s="85"/>
      <c r="H36" s="19"/>
      <c r="I36" s="19"/>
      <c r="J36" s="4"/>
      <c r="K36" s="4"/>
      <c r="L36" s="4"/>
      <c r="M36" s="4"/>
    </row>
    <row r="37" spans="2:13" ht="21" customHeight="1">
      <c r="B37" s="100" t="s">
        <v>71</v>
      </c>
      <c r="C37" s="100"/>
      <c r="D37" s="100"/>
      <c r="E37" s="100"/>
      <c r="F37" s="101">
        <f>IFERROR(VLOOKUP($K$6,'1ST_SEMESTER'!$B$7:$CM$45,89,0),"")</f>
        <v>3</v>
      </c>
      <c r="G37" s="101" t="e">
        <f>VLOOKUP($K$6,'1ST_SEMESTER'!$B$7:$CM$24,101,0)</f>
        <v>#REF!</v>
      </c>
      <c r="H37" s="19"/>
      <c r="I37" s="19"/>
      <c r="J37" s="4"/>
      <c r="K37" s="4"/>
      <c r="L37" s="4"/>
      <c r="M37" s="4"/>
    </row>
    <row r="38" spans="2:1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>
      <c r="B42" s="4"/>
      <c r="C42" s="4"/>
      <c r="D42" s="4"/>
      <c r="E42" s="9"/>
      <c r="F42" s="4"/>
      <c r="G42" s="9"/>
      <c r="H42" s="4"/>
      <c r="I42" s="4"/>
      <c r="J42" s="4"/>
      <c r="K42" s="9"/>
      <c r="L42" s="4"/>
      <c r="M42" s="4"/>
    </row>
    <row r="43" spans="2:13" ht="15.75">
      <c r="B43" s="4"/>
      <c r="C43" s="25" t="s">
        <v>77</v>
      </c>
      <c r="D43" s="4"/>
      <c r="E43" s="9"/>
      <c r="F43" s="4"/>
      <c r="G43" s="89" t="s">
        <v>76</v>
      </c>
      <c r="H43" s="89"/>
      <c r="I43" s="4"/>
      <c r="J43" s="4"/>
      <c r="K43" s="20"/>
      <c r="L43" s="24" t="s">
        <v>75</v>
      </c>
      <c r="M43" s="4"/>
    </row>
    <row r="44" spans="2:13">
      <c r="B44" s="4"/>
      <c r="C44" s="4"/>
      <c r="D44" s="4"/>
      <c r="E44" s="9"/>
      <c r="F44" s="4"/>
      <c r="G44" s="9"/>
      <c r="H44" s="4"/>
      <c r="I44" s="4"/>
      <c r="J44" s="4"/>
      <c r="K44" s="9"/>
      <c r="L44" s="4"/>
      <c r="M44" s="4"/>
    </row>
    <row r="45" spans="2:13">
      <c r="B45" s="4"/>
      <c r="C45" s="4"/>
      <c r="D45" s="4"/>
      <c r="E45" s="9"/>
      <c r="F45" s="4"/>
      <c r="G45" s="9"/>
      <c r="H45" s="4"/>
      <c r="I45" s="4"/>
      <c r="J45" s="4"/>
      <c r="K45" s="9"/>
      <c r="L45" s="4"/>
      <c r="M45" s="4"/>
    </row>
    <row r="46" spans="2:13">
      <c r="B46" s="4"/>
      <c r="C46" s="4"/>
      <c r="D46" s="4"/>
      <c r="E46" s="9"/>
      <c r="F46" s="4"/>
      <c r="G46" s="9"/>
      <c r="H46" s="4"/>
      <c r="I46" s="4"/>
      <c r="J46" s="4"/>
      <c r="K46" s="9"/>
      <c r="L46" s="4"/>
      <c r="M46" s="4"/>
    </row>
    <row r="47" spans="2:13">
      <c r="B47" s="4"/>
      <c r="C47" s="92"/>
      <c r="D47" s="92"/>
      <c r="E47" s="9"/>
      <c r="F47" s="4"/>
      <c r="G47" s="9"/>
      <c r="H47" s="4"/>
      <c r="I47" s="4"/>
      <c r="J47" s="11"/>
      <c r="L47" s="12"/>
      <c r="M47" s="12"/>
    </row>
    <row r="48" spans="2:13">
      <c r="B48" s="4"/>
      <c r="C48" s="10"/>
      <c r="D48" s="10"/>
      <c r="E48" s="9"/>
      <c r="F48" s="4"/>
      <c r="G48" s="9"/>
      <c r="H48" s="4"/>
      <c r="I48" s="4"/>
      <c r="J48" s="11"/>
      <c r="K48" s="12"/>
      <c r="L48" s="12"/>
      <c r="M48" s="12"/>
    </row>
    <row r="49" spans="2:13">
      <c r="B49" s="4"/>
      <c r="C49" s="4"/>
      <c r="D49" s="4"/>
      <c r="E49" s="9"/>
      <c r="F49" s="4"/>
      <c r="G49" s="9"/>
      <c r="H49" s="4"/>
      <c r="I49" s="4"/>
      <c r="J49" s="4"/>
      <c r="K49" s="9"/>
      <c r="L49" s="4"/>
      <c r="M49" s="4"/>
    </row>
  </sheetData>
  <mergeCells count="66">
    <mergeCell ref="B7:C7"/>
    <mergeCell ref="D7:G7"/>
    <mergeCell ref="H7:I7"/>
    <mergeCell ref="K7:M7"/>
    <mergeCell ref="B8:C8"/>
    <mergeCell ref="D8:G8"/>
    <mergeCell ref="K8:M8"/>
    <mergeCell ref="B2:M5"/>
    <mergeCell ref="B6:C6"/>
    <mergeCell ref="D6:G6"/>
    <mergeCell ref="K6:M6"/>
    <mergeCell ref="H6:J6"/>
    <mergeCell ref="M19:M32"/>
    <mergeCell ref="J32:K32"/>
    <mergeCell ref="H26:H29"/>
    <mergeCell ref="H8:J8"/>
    <mergeCell ref="D10:G10"/>
    <mergeCell ref="K9:M9"/>
    <mergeCell ref="K10:M10"/>
    <mergeCell ref="I11:I18"/>
    <mergeCell ref="J11:J18"/>
    <mergeCell ref="K11:K18"/>
    <mergeCell ref="L11:L18"/>
    <mergeCell ref="M11:M18"/>
    <mergeCell ref="D9:G9"/>
    <mergeCell ref="H9:J9"/>
    <mergeCell ref="B11:D18"/>
    <mergeCell ref="E11:E18"/>
    <mergeCell ref="F11:F18"/>
    <mergeCell ref="G11:G18"/>
    <mergeCell ref="H11:H18"/>
    <mergeCell ref="I10:J10"/>
    <mergeCell ref="B9:C9"/>
    <mergeCell ref="B10:C10"/>
    <mergeCell ref="L19:L20"/>
    <mergeCell ref="L21:L22"/>
    <mergeCell ref="B20:D20"/>
    <mergeCell ref="B21:D21"/>
    <mergeCell ref="J21:J22"/>
    <mergeCell ref="K21:K22"/>
    <mergeCell ref="B22:D22"/>
    <mergeCell ref="I21:I22"/>
    <mergeCell ref="H19:H24"/>
    <mergeCell ref="J19:J20"/>
    <mergeCell ref="K19:K20"/>
    <mergeCell ref="C47:D47"/>
    <mergeCell ref="G21:G22"/>
    <mergeCell ref="B26:D26"/>
    <mergeCell ref="B32:D32"/>
    <mergeCell ref="E32:H32"/>
    <mergeCell ref="B35:E35"/>
    <mergeCell ref="B37:E37"/>
    <mergeCell ref="F37:G37"/>
    <mergeCell ref="B27:D27"/>
    <mergeCell ref="B28:D28"/>
    <mergeCell ref="B29:D29"/>
    <mergeCell ref="B30:J30"/>
    <mergeCell ref="B31:D31"/>
    <mergeCell ref="B23:D23"/>
    <mergeCell ref="B24:D24"/>
    <mergeCell ref="F35:I35"/>
    <mergeCell ref="C36:G36"/>
    <mergeCell ref="B25:D25"/>
    <mergeCell ref="B19:D19"/>
    <mergeCell ref="G43:H43"/>
    <mergeCell ref="I19:I20"/>
  </mergeCells>
  <conditionalFormatting sqref="D6:G6">
    <cfRule type="containsText" dxfId="0" priority="1" operator="containsText" text="PLEASE ENTER ROLL">
      <formula>NOT(ISERROR(SEARCH("PLEASE ENTER ROLL",D6)))</formula>
    </cfRule>
  </conditionalFormatting>
  <pageMargins left="0" right="0" top="0.19685039370078741" bottom="0" header="0" footer="0"/>
  <pageSetup paperSize="9" scale="7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2025-05-15T15:01:48Z</cp:lastPrinted>
  <dcterms:created xsi:type="dcterms:W3CDTF">2020-11-16T04:30:11Z</dcterms:created>
  <dcterms:modified xsi:type="dcterms:W3CDTF">2025-12-04T04:37:07Z</dcterms:modified>
</cp:coreProperties>
</file>