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filterPrivacy="1" defaultThemeVersion="124226"/>
  <xr:revisionPtr revIDLastSave="0" documentId="13_ncr:1_{11E47325-3848-4C24-92DC-919FEEC3BB73}" xr6:coauthVersionLast="47" xr6:coauthVersionMax="47" xr10:uidLastSave="{00000000-0000-0000-0000-000000000000}"/>
  <bookViews>
    <workbookView xWindow="-120" yWindow="-120" windowWidth="29040" windowHeight="15720" tabRatio="61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8" i="1" l="1"/>
  <c r="AA13" i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5" i="1"/>
  <c r="AQ15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P24" i="1"/>
  <c r="AQ24" i="1" s="1"/>
  <c r="AP25" i="1"/>
  <c r="AQ25" i="1" s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2" i="1"/>
  <c r="AQ32" i="1" s="1"/>
  <c r="AP33" i="1"/>
  <c r="AQ33" i="1" s="1"/>
  <c r="AP34" i="1"/>
  <c r="AQ34" i="1" s="1"/>
  <c r="AP35" i="1"/>
  <c r="AQ35" i="1" s="1"/>
  <c r="AP36" i="1"/>
  <c r="AQ36" i="1" s="1"/>
  <c r="AP37" i="1"/>
  <c r="AQ37" i="1" s="1"/>
  <c r="AP38" i="1"/>
  <c r="AQ38" i="1" s="1"/>
  <c r="AP39" i="1"/>
  <c r="AQ39" i="1" s="1"/>
  <c r="AP40" i="1"/>
  <c r="AQ40" i="1" s="1"/>
  <c r="AP41" i="1"/>
  <c r="AQ41" i="1" s="1"/>
  <c r="AP42" i="1"/>
  <c r="AQ42" i="1" s="1"/>
  <c r="AP43" i="1"/>
  <c r="AQ43" i="1" s="1"/>
  <c r="AP44" i="1"/>
  <c r="AQ44" i="1" s="1"/>
  <c r="AK9" i="1"/>
  <c r="AL9" i="1" s="1"/>
  <c r="AK10" i="1"/>
  <c r="AL10" i="1" s="1"/>
  <c r="AK11" i="1"/>
  <c r="AL11" i="1" s="1"/>
  <c r="AK12" i="1"/>
  <c r="AL12" i="1" s="1"/>
  <c r="AK13" i="1"/>
  <c r="AL13" i="1" s="1"/>
  <c r="AK14" i="1"/>
  <c r="AL14" i="1" s="1"/>
  <c r="AK15" i="1"/>
  <c r="AL15" i="1" s="1"/>
  <c r="AK16" i="1"/>
  <c r="AL16" i="1" s="1"/>
  <c r="AK17" i="1"/>
  <c r="AL17" i="1" s="1"/>
  <c r="AK18" i="1"/>
  <c r="AL18" i="1" s="1"/>
  <c r="AK19" i="1"/>
  <c r="AL19" i="1" s="1"/>
  <c r="AK20" i="1"/>
  <c r="AL20" i="1" s="1"/>
  <c r="AK21" i="1"/>
  <c r="AL21" i="1" s="1"/>
  <c r="AK22" i="1"/>
  <c r="AL22" i="1" s="1"/>
  <c r="AK23" i="1"/>
  <c r="AL23" i="1" s="1"/>
  <c r="AK24" i="1"/>
  <c r="AL24" i="1" s="1"/>
  <c r="AK25" i="1"/>
  <c r="AL25" i="1" s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K32" i="1"/>
  <c r="AL32" i="1" s="1"/>
  <c r="AK33" i="1"/>
  <c r="AL33" i="1" s="1"/>
  <c r="AK34" i="1"/>
  <c r="AL34" i="1" s="1"/>
  <c r="AK35" i="1"/>
  <c r="AL35" i="1" s="1"/>
  <c r="AK36" i="1"/>
  <c r="AL36" i="1" s="1"/>
  <c r="AK37" i="1"/>
  <c r="AL37" i="1" s="1"/>
  <c r="AK38" i="1"/>
  <c r="AL38" i="1" s="1"/>
  <c r="AK39" i="1"/>
  <c r="AL39" i="1" s="1"/>
  <c r="AK40" i="1"/>
  <c r="AL40" i="1" s="1"/>
  <c r="AK41" i="1"/>
  <c r="AL41" i="1" s="1"/>
  <c r="AK42" i="1"/>
  <c r="AL42" i="1" s="1"/>
  <c r="AK43" i="1"/>
  <c r="AL43" i="1" s="1"/>
  <c r="AK44" i="1"/>
  <c r="AL44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F33" i="1"/>
  <c r="AG33" i="1" s="1"/>
  <c r="AF34" i="1"/>
  <c r="AG34" i="1" s="1"/>
  <c r="AF35" i="1"/>
  <c r="AG35" i="1" s="1"/>
  <c r="AF36" i="1"/>
  <c r="AG36" i="1" s="1"/>
  <c r="AF37" i="1"/>
  <c r="AG37" i="1" s="1"/>
  <c r="AF38" i="1"/>
  <c r="AG38" i="1" s="1"/>
  <c r="AF39" i="1"/>
  <c r="AG39" i="1" s="1"/>
  <c r="AF40" i="1"/>
  <c r="AG40" i="1" s="1"/>
  <c r="AF41" i="1"/>
  <c r="AG41" i="1" s="1"/>
  <c r="AF42" i="1"/>
  <c r="AG42" i="1" s="1"/>
  <c r="AF43" i="1"/>
  <c r="AG43" i="1" s="1"/>
  <c r="AF44" i="1"/>
  <c r="AG44" i="1" s="1"/>
  <c r="AA9" i="1"/>
  <c r="AB9" i="1" s="1"/>
  <c r="AA10" i="1"/>
  <c r="AB10" i="1" s="1"/>
  <c r="AA11" i="1"/>
  <c r="AB11" i="1" s="1"/>
  <c r="AA12" i="1"/>
  <c r="AB12" i="1" s="1"/>
  <c r="AB13" i="1"/>
  <c r="AA14" i="1"/>
  <c r="AB14" i="1" s="1"/>
  <c r="AA15" i="1"/>
  <c r="AB15" i="1" s="1"/>
  <c r="AA16" i="1"/>
  <c r="AB16" i="1" s="1"/>
  <c r="AA17" i="1"/>
  <c r="AB17" i="1" s="1"/>
  <c r="AA18" i="1"/>
  <c r="AB18" i="1" s="1"/>
  <c r="AA19" i="1"/>
  <c r="AB19" i="1" s="1"/>
  <c r="AA20" i="1"/>
  <c r="AB20" i="1" s="1"/>
  <c r="AA21" i="1"/>
  <c r="AB21" i="1" s="1"/>
  <c r="AA22" i="1"/>
  <c r="AB22" i="1" s="1"/>
  <c r="AA23" i="1"/>
  <c r="AB23" i="1" s="1"/>
  <c r="AA24" i="1"/>
  <c r="AB24" i="1" s="1"/>
  <c r="AA25" i="1"/>
  <c r="AB2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A32" i="1"/>
  <c r="AB32" i="1" s="1"/>
  <c r="AA33" i="1"/>
  <c r="AB33" i="1" s="1"/>
  <c r="AA34" i="1"/>
  <c r="AB34" i="1" s="1"/>
  <c r="AA35" i="1"/>
  <c r="AB35" i="1" s="1"/>
  <c r="AA36" i="1"/>
  <c r="AB36" i="1" s="1"/>
  <c r="AA37" i="1"/>
  <c r="AB37" i="1" s="1"/>
  <c r="AA38" i="1"/>
  <c r="AB38" i="1" s="1"/>
  <c r="AA39" i="1"/>
  <c r="AB39" i="1" s="1"/>
  <c r="AA40" i="1"/>
  <c r="AB40" i="1" s="1"/>
  <c r="AA41" i="1"/>
  <c r="AB41" i="1" s="1"/>
  <c r="AA42" i="1"/>
  <c r="AB42" i="1" s="1"/>
  <c r="AB43" i="1"/>
  <c r="AB44" i="1"/>
  <c r="V9" i="1"/>
  <c r="W9" i="1" s="1"/>
  <c r="V10" i="1"/>
  <c r="W10" i="1" s="1"/>
  <c r="V11" i="1"/>
  <c r="W11" i="1" s="1"/>
  <c r="V12" i="1"/>
  <c r="W12" i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2" i="1"/>
  <c r="R42" i="1" s="1"/>
  <c r="Q43" i="1"/>
  <c r="R43" i="1" s="1"/>
  <c r="Q44" i="1"/>
  <c r="R44" i="1" s="1"/>
  <c r="J12" i="1"/>
  <c r="J13" i="1"/>
  <c r="J14" i="1"/>
  <c r="AU14" i="1" s="1"/>
  <c r="J15" i="1"/>
  <c r="J16" i="1"/>
  <c r="J17" i="1"/>
  <c r="J18" i="1"/>
  <c r="J19" i="1"/>
  <c r="J20" i="1"/>
  <c r="AU20" i="1" s="1"/>
  <c r="J21" i="1"/>
  <c r="J22" i="1"/>
  <c r="J23" i="1"/>
  <c r="AU23" i="1" s="1"/>
  <c r="J24" i="1"/>
  <c r="J25" i="1"/>
  <c r="J26" i="1"/>
  <c r="J27" i="1"/>
  <c r="J28" i="1"/>
  <c r="J29" i="1"/>
  <c r="J30" i="1"/>
  <c r="K30" i="1" s="1"/>
  <c r="J31" i="1"/>
  <c r="K31" i="1" s="1"/>
  <c r="J32" i="1"/>
  <c r="AU32" i="1" s="1"/>
  <c r="J33" i="1"/>
  <c r="K33" i="1" s="1"/>
  <c r="J34" i="1"/>
  <c r="J35" i="1"/>
  <c r="J36" i="1"/>
  <c r="J37" i="1"/>
  <c r="K37" i="1" s="1"/>
  <c r="AS37" i="1" s="1"/>
  <c r="AT37" i="1" s="1"/>
  <c r="J38" i="1"/>
  <c r="K38" i="1" s="1"/>
  <c r="J39" i="1"/>
  <c r="K39" i="1" s="1"/>
  <c r="J40" i="1"/>
  <c r="J41" i="1"/>
  <c r="K41" i="1" s="1"/>
  <c r="J42" i="1"/>
  <c r="K42" i="1" s="1"/>
  <c r="J43" i="1"/>
  <c r="K43" i="1" s="1"/>
  <c r="J44" i="1"/>
  <c r="K44" i="1" s="1"/>
  <c r="AU17" i="1" l="1"/>
  <c r="AU29" i="1"/>
  <c r="AU27" i="1"/>
  <c r="AU15" i="1"/>
  <c r="AU21" i="1"/>
  <c r="AU24" i="1"/>
  <c r="AU12" i="1"/>
  <c r="AU25" i="1"/>
  <c r="AU36" i="1"/>
  <c r="AU13" i="1"/>
  <c r="AU22" i="1"/>
  <c r="AU34" i="1"/>
  <c r="AU19" i="1"/>
  <c r="AS42" i="1"/>
  <c r="AT42" i="1" s="1"/>
  <c r="AX42" i="1" s="1"/>
  <c r="AU18" i="1"/>
  <c r="AU30" i="1"/>
  <c r="AU26" i="1"/>
  <c r="AU40" i="1"/>
  <c r="AU28" i="1"/>
  <c r="AU16" i="1"/>
  <c r="AU43" i="1"/>
  <c r="AU31" i="1"/>
  <c r="AU44" i="1"/>
  <c r="AU42" i="1"/>
  <c r="AU41" i="1"/>
  <c r="K34" i="1"/>
  <c r="AS34" i="1" s="1"/>
  <c r="AT34" i="1" s="1"/>
  <c r="AX34" i="1" s="1"/>
  <c r="AU39" i="1"/>
  <c r="AU38" i="1"/>
  <c r="AU37" i="1"/>
  <c r="AS44" i="1"/>
  <c r="AT44" i="1" s="1"/>
  <c r="AU35" i="1"/>
  <c r="AU33" i="1"/>
  <c r="AS33" i="1"/>
  <c r="AT33" i="1" s="1"/>
  <c r="AS43" i="1"/>
  <c r="AT43" i="1" s="1"/>
  <c r="AX43" i="1" s="1"/>
  <c r="AS41" i="1"/>
  <c r="AT41" i="1" s="1"/>
  <c r="AS39" i="1"/>
  <c r="AT39" i="1" s="1"/>
  <c r="AX39" i="1" s="1"/>
  <c r="AS38" i="1"/>
  <c r="AT38" i="1" s="1"/>
  <c r="AX38" i="1" s="1"/>
  <c r="AS31" i="1"/>
  <c r="AT31" i="1" s="1"/>
  <c r="AX31" i="1" s="1"/>
  <c r="AS30" i="1"/>
  <c r="AT30" i="1" s="1"/>
  <c r="AX30" i="1" s="1"/>
  <c r="AX44" i="1"/>
  <c r="AX37" i="1"/>
  <c r="K40" i="1"/>
  <c r="AS40" i="1" s="1"/>
  <c r="AT40" i="1" s="1"/>
  <c r="K35" i="1"/>
  <c r="AS35" i="1" s="1"/>
  <c r="AT35" i="1" s="1"/>
  <c r="K36" i="1"/>
  <c r="AS36" i="1" s="1"/>
  <c r="AT36" i="1" s="1"/>
  <c r="K32" i="1"/>
  <c r="AS32" i="1" s="1"/>
  <c r="AT32" i="1" s="1"/>
  <c r="V8" i="1"/>
  <c r="J9" i="1"/>
  <c r="AU9" i="1" s="1"/>
  <c r="J10" i="1"/>
  <c r="AU10" i="1" s="1"/>
  <c r="J11" i="1"/>
  <c r="AU11" i="1" s="1"/>
  <c r="K16" i="1"/>
  <c r="AS16" i="1" s="1"/>
  <c r="AT16" i="1" s="1"/>
  <c r="K18" i="1"/>
  <c r="AS18" i="1" s="1"/>
  <c r="AT18" i="1" s="1"/>
  <c r="K25" i="1"/>
  <c r="AS25" i="1" s="1"/>
  <c r="AT25" i="1" s="1"/>
  <c r="AX41" i="1" l="1"/>
  <c r="AX33" i="1"/>
  <c r="AX18" i="1"/>
  <c r="AX35" i="1"/>
  <c r="AX25" i="1"/>
  <c r="AX36" i="1"/>
  <c r="K11" i="1"/>
  <c r="AS11" i="1" s="1"/>
  <c r="AT11" i="1" s="1"/>
  <c r="AX32" i="1"/>
  <c r="K9" i="1"/>
  <c r="AS9" i="1" s="1"/>
  <c r="AT9" i="1" s="1"/>
  <c r="AX16" i="1"/>
  <c r="AX40" i="1"/>
  <c r="J28" i="3"/>
  <c r="K28" i="3" s="1"/>
  <c r="E31" i="3"/>
  <c r="F28" i="3"/>
  <c r="F27" i="3"/>
  <c r="F26" i="3"/>
  <c r="F25" i="3"/>
  <c r="F24" i="3"/>
  <c r="F23" i="3"/>
  <c r="F22" i="3"/>
  <c r="F21" i="3"/>
  <c r="H28" i="3"/>
  <c r="H27" i="3"/>
  <c r="H26" i="3"/>
  <c r="H25" i="3"/>
  <c r="H24" i="3"/>
  <c r="H22" i="3"/>
  <c r="H20" i="3"/>
  <c r="G28" i="3"/>
  <c r="G27" i="3"/>
  <c r="G26" i="3"/>
  <c r="G25" i="3"/>
  <c r="G24" i="3"/>
  <c r="G23" i="3"/>
  <c r="G22" i="3"/>
  <c r="G21" i="3"/>
  <c r="G20" i="3"/>
  <c r="J27" i="3"/>
  <c r="J26" i="3"/>
  <c r="J25" i="3"/>
  <c r="J24" i="3"/>
  <c r="J22" i="3"/>
  <c r="C10" i="3"/>
  <c r="AP8" i="1"/>
  <c r="K10" i="1"/>
  <c r="AS10" i="1" s="1"/>
  <c r="AT10" i="1" s="1"/>
  <c r="K12" i="1"/>
  <c r="AS12" i="1" s="1"/>
  <c r="AT12" i="1" s="1"/>
  <c r="K13" i="1"/>
  <c r="AS13" i="1" s="1"/>
  <c r="AT13" i="1" s="1"/>
  <c r="K14" i="1"/>
  <c r="AS14" i="1" s="1"/>
  <c r="AT14" i="1" s="1"/>
  <c r="K15" i="1"/>
  <c r="AS15" i="1" s="1"/>
  <c r="AT15" i="1" s="1"/>
  <c r="K17" i="1"/>
  <c r="AS17" i="1" s="1"/>
  <c r="AT17" i="1" s="1"/>
  <c r="K19" i="1"/>
  <c r="AS19" i="1" s="1"/>
  <c r="AT19" i="1" s="1"/>
  <c r="K20" i="1"/>
  <c r="AS20" i="1" s="1"/>
  <c r="AT20" i="1" s="1"/>
  <c r="K21" i="1"/>
  <c r="AS21" i="1" s="1"/>
  <c r="AT21" i="1" s="1"/>
  <c r="K22" i="1"/>
  <c r="AS22" i="1" s="1"/>
  <c r="AT22" i="1" s="1"/>
  <c r="K23" i="1"/>
  <c r="AS23" i="1" s="1"/>
  <c r="AT23" i="1" s="1"/>
  <c r="K24" i="1"/>
  <c r="AS24" i="1" s="1"/>
  <c r="AT24" i="1" s="1"/>
  <c r="K26" i="1"/>
  <c r="AS26" i="1" s="1"/>
  <c r="AT26" i="1" s="1"/>
  <c r="K27" i="1"/>
  <c r="AS27" i="1" s="1"/>
  <c r="AT27" i="1" s="1"/>
  <c r="K28" i="1"/>
  <c r="K29" i="1"/>
  <c r="AS29" i="1" s="1"/>
  <c r="AT29" i="1" s="1"/>
  <c r="J8" i="1"/>
  <c r="I7" i="3"/>
  <c r="AX23" i="1" l="1"/>
  <c r="AX13" i="1"/>
  <c r="AX29" i="1"/>
  <c r="AX20" i="1"/>
  <c r="AX21" i="1"/>
  <c r="AX15" i="1"/>
  <c r="AX27" i="1"/>
  <c r="AX22" i="1"/>
  <c r="AX17" i="1"/>
  <c r="AX12" i="1"/>
  <c r="AX9" i="1"/>
  <c r="AX11" i="1"/>
  <c r="L20" i="3"/>
  <c r="AS28" i="1"/>
  <c r="AT28" i="1" s="1"/>
  <c r="AX19" i="1"/>
  <c r="AX24" i="1"/>
  <c r="AX14" i="1"/>
  <c r="AX26" i="1"/>
  <c r="AX10" i="1"/>
  <c r="J20" i="3"/>
  <c r="I10" i="3"/>
  <c r="AX28" i="1" l="1"/>
  <c r="AR8" i="1"/>
  <c r="I28" i="3" s="1"/>
  <c r="AQ8" i="1"/>
  <c r="I8" i="3"/>
  <c r="J23" i="3" l="1"/>
  <c r="J21" i="3"/>
  <c r="H23" i="3"/>
  <c r="H21" i="3"/>
  <c r="H29" i="3" s="1"/>
  <c r="F20" i="3"/>
  <c r="E29" i="3"/>
  <c r="C9" i="3"/>
  <c r="C8" i="3"/>
  <c r="C7" i="3"/>
  <c r="C11" i="3" l="1"/>
  <c r="AA8" i="1" l="1"/>
  <c r="AB8" i="1" s="1"/>
  <c r="AK8" i="1"/>
  <c r="AL8" i="1" s="1"/>
  <c r="AF8" i="1"/>
  <c r="AG8" i="1" s="1"/>
  <c r="W8" i="1"/>
  <c r="Q8" i="1"/>
  <c r="R8" i="1" l="1"/>
  <c r="E32" i="3"/>
  <c r="L8" i="1"/>
  <c r="I20" i="3" s="1"/>
  <c r="K8" i="1"/>
  <c r="AH8" i="1"/>
  <c r="I26" i="3" s="1"/>
  <c r="AM8" i="1"/>
  <c r="I27" i="3" s="1"/>
  <c r="X8" i="1"/>
  <c r="I24" i="3" s="1"/>
  <c r="S8" i="1"/>
  <c r="I22" i="3" s="1"/>
  <c r="AC8" i="1"/>
  <c r="I25" i="3" s="1"/>
  <c r="K22" i="3"/>
  <c r="K20" i="3"/>
  <c r="J31" i="3" l="1"/>
  <c r="K26" i="3"/>
  <c r="K25" i="3"/>
  <c r="K24" i="3"/>
  <c r="AS8" i="1" l="1"/>
  <c r="AT8" i="1" s="1"/>
  <c r="K27" i="3" l="1"/>
  <c r="AX8" i="1"/>
</calcChain>
</file>

<file path=xl/sharedStrings.xml><?xml version="1.0" encoding="utf-8"?>
<sst xmlns="http://schemas.openxmlformats.org/spreadsheetml/2006/main" count="213" uniqueCount="169">
  <si>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</si>
  <si>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</si>
  <si>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</si>
  <si>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</si>
  <si>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</si>
  <si>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</si>
  <si>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</si>
  <si>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</si>
  <si>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</si>
  <si>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</si>
  <si>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</si>
  <si>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</si>
  <si>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</si>
  <si>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</si>
  <si>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</si>
  <si>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</si>
  <si>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</si>
  <si>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</si>
  <si>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 xml:space="preserve"> STUDENT NAME</t>
  </si>
  <si>
    <t xml:space="preserve"> FATHER'S NAME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</si>
  <si>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</si>
  <si>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</si>
  <si>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</si>
  <si>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</si>
  <si>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</si>
  <si>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</si>
  <si>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</si>
  <si>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</si>
  <si>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</si>
  <si>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</si>
  <si>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</si>
  <si>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</si>
  <si>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 xml:space="preserve"> SECTION</t>
  </si>
  <si>
    <t>FATHER NAME</t>
  </si>
  <si>
    <t>MOTHER NAME</t>
  </si>
  <si>
    <t>BANGLA-2ND</t>
  </si>
  <si>
    <t>BANGLA-1ST</t>
  </si>
  <si>
    <t>BANGLA  2ND</t>
  </si>
  <si>
    <t>BANGLA  1ST</t>
  </si>
  <si>
    <t>GRADE</t>
  </si>
  <si>
    <t>OBTAINED MARKS-80%</t>
  </si>
  <si>
    <t xml:space="preserve"> CLASS</t>
  </si>
  <si>
    <t xml:space="preserve"> MOTHER'S NAME</t>
  </si>
  <si>
    <t xml:space="preserve"> CLASS TEACHER</t>
  </si>
  <si>
    <t xml:space="preserve"> MOBILE NO.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</si>
  <si>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</si>
  <si>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</si>
  <si>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GK</t>
  </si>
  <si>
    <t>FIVE</t>
  </si>
  <si>
    <t>STUDENT BEHAVIOURS AND SKILL  :</t>
  </si>
  <si>
    <t xml:space="preserve">                          WORKING DAYS:</t>
  </si>
  <si>
    <t>MOBILE NO:</t>
  </si>
  <si>
    <t>SHAPLA</t>
  </si>
  <si>
    <t>REZAUL KARIM</t>
  </si>
  <si>
    <t>01775-631011</t>
  </si>
  <si>
    <r>
      <rPr>
        <sz val="13"/>
        <rFont val="Times New Roman"/>
        <family val="1"/>
      </rPr>
      <t>AMIN CADET RESIDENTIAL ACADEMY
Amin Model Town, Savar Cantonment, Ashulia, Dhaka - 1344.
1ST SEMESTER EXAMINATION TABULATION SHEET- 2025</t>
    </r>
    <r>
      <rPr>
        <sz val="10"/>
        <rFont val="Times New Roman"/>
        <family val="1"/>
      </rPr>
      <t xml:space="preserve">
</t>
    </r>
    <r>
      <rPr>
        <sz val="12"/>
        <rFont val="Times New Roman"/>
        <family val="1"/>
      </rPr>
      <t xml:space="preserve"> CLASS - FIVE (SHAPLA)</t>
    </r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</si>
  <si>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1st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</si>
  <si>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>Nafizul Islam Alif</t>
  </si>
  <si>
    <t>Shurovi Akter Eva</t>
  </si>
  <si>
    <t>Mohammod Jarif Al Rafi</t>
  </si>
  <si>
    <t>Md. Rayan Bin Sibgatulla</t>
  </si>
  <si>
    <t xml:space="preserve">Samia Akter </t>
  </si>
  <si>
    <t xml:space="preserve">Abida Fouzia </t>
  </si>
  <si>
    <t>Mrinal Kanti Ghosh Artho</t>
  </si>
  <si>
    <t>Tasmim Jahan</t>
  </si>
  <si>
    <t>Samiha Khatun</t>
  </si>
  <si>
    <t>Rafiya Jahin Humaira</t>
  </si>
  <si>
    <t>Siam Hossen</t>
  </si>
  <si>
    <t>Mst. Nuha Alam</t>
  </si>
  <si>
    <t>Pariza Parvez</t>
  </si>
  <si>
    <t>Musfiqur Rohoman Murad</t>
  </si>
  <si>
    <t>Azmir Bin Ferdous</t>
  </si>
  <si>
    <t xml:space="preserve">Mohammad Abir </t>
  </si>
  <si>
    <t xml:space="preserve">Md. Mustakim </t>
  </si>
  <si>
    <t>Rahia Jannat Rammi</t>
  </si>
  <si>
    <t xml:space="preserve">Sauda Benta Sohel </t>
  </si>
  <si>
    <t>Md. Sadek Bachchu</t>
  </si>
  <si>
    <t xml:space="preserve">Md. Saim </t>
  </si>
  <si>
    <t xml:space="preserve">Sonjita Modhu Ronita </t>
  </si>
  <si>
    <t>Samia Islam Swarna</t>
  </si>
  <si>
    <t>Reshmi Akter Riya</t>
  </si>
  <si>
    <t xml:space="preserve">Md. Maruf Hossain </t>
  </si>
  <si>
    <t xml:space="preserve">Ahmed Abdullah Salehin </t>
  </si>
  <si>
    <t xml:space="preserve">Abdullah Saif </t>
  </si>
  <si>
    <t xml:space="preserve">Md. Samiul Islam </t>
  </si>
  <si>
    <t xml:space="preserve">Md. Mahadi Hasan </t>
  </si>
  <si>
    <t xml:space="preserve">Md. Farhan Ahamed Hasib </t>
  </si>
  <si>
    <t xml:space="preserve">Rafia Akter Rinthi </t>
  </si>
  <si>
    <t>Mohammad Shahariyar Raj</t>
  </si>
  <si>
    <t xml:space="preserve">Mastura Jahan Mahek </t>
  </si>
  <si>
    <t xml:space="preserve">Smia Tasnim Anika </t>
  </si>
  <si>
    <t xml:space="preserve">Smiul Islam </t>
  </si>
  <si>
    <t>Fahim Imam</t>
  </si>
  <si>
    <t>Md. Samir</t>
  </si>
  <si>
    <t>Md. Nozrul Islam</t>
  </si>
  <si>
    <t>Rupali Khanom</t>
  </si>
  <si>
    <t xml:space="preserve">Md. Masud Rana </t>
  </si>
  <si>
    <t xml:space="preserve">Mst. Nargis Bagum </t>
  </si>
  <si>
    <t>Md. Nazrul Islam Mridha</t>
  </si>
  <si>
    <t>Jesmin Afroz</t>
  </si>
  <si>
    <t>Md. Sibgatulla Bin Hossain</t>
  </si>
  <si>
    <t>Nigar Jahan Rupa</t>
  </si>
  <si>
    <t xml:space="preserve">Md. Akkas Mia </t>
  </si>
  <si>
    <t xml:space="preserve">Rubi Akter  </t>
  </si>
  <si>
    <t xml:space="preserve">Md. Ashakke Rasul </t>
  </si>
  <si>
    <t xml:space="preserve">Airin Akhter </t>
  </si>
  <si>
    <t>Mahendra Nath Gosh  Mohan</t>
  </si>
  <si>
    <t>Aporna Sarkar</t>
  </si>
  <si>
    <t>Zakir Hossain</t>
  </si>
  <si>
    <t>Mst. Khadiza Khanam</t>
  </si>
  <si>
    <t>Md. Shahadat Hossain</t>
  </si>
  <si>
    <t>Aklima Akter Asha</t>
  </si>
  <si>
    <t>Md. Rubel</t>
  </si>
  <si>
    <t>Soma Akter</t>
  </si>
  <si>
    <t>Md. Billal Hossen</t>
  </si>
  <si>
    <t>Laky Akter</t>
  </si>
  <si>
    <t>Mohammad Nur Alam</t>
  </si>
  <si>
    <t>Mst. Khatheja Begum</t>
  </si>
  <si>
    <t xml:space="preserve">Md. Parvage </t>
  </si>
  <si>
    <t xml:space="preserve">Tamanna Rana Montti </t>
  </si>
  <si>
    <t>Md. Mosaraf Hossain</t>
  </si>
  <si>
    <t>Lotifa Akter</t>
  </si>
  <si>
    <t>Ferdous Anwer Kachi</t>
  </si>
  <si>
    <t>Adila Akter Akhi</t>
  </si>
  <si>
    <t xml:space="preserve">Mamun Hossin </t>
  </si>
  <si>
    <t>Musammat Madina Akter</t>
  </si>
  <si>
    <t xml:space="preserve">Jamal Uddin </t>
  </si>
  <si>
    <t xml:space="preserve">Mst. Monny Islam </t>
  </si>
  <si>
    <t xml:space="preserve">Md. Elius Hossain </t>
  </si>
  <si>
    <t xml:space="preserve">Sathi </t>
  </si>
  <si>
    <t xml:space="preserve">Md. Sohel Uzzaman </t>
  </si>
  <si>
    <t>Sahanaj Parvine</t>
  </si>
  <si>
    <t xml:space="preserve">Md. Shahajahan </t>
  </si>
  <si>
    <t xml:space="preserve">Mst. Lably Khatun </t>
  </si>
  <si>
    <t xml:space="preserve">Md. Mahabub Alom </t>
  </si>
  <si>
    <t xml:space="preserve">Mst. Ruma Begum </t>
  </si>
  <si>
    <t xml:space="preserve">Rony Modhu </t>
  </si>
  <si>
    <t xml:space="preserve">Shuli Modhu </t>
  </si>
  <si>
    <t xml:space="preserve">Md. Sao Alam </t>
  </si>
  <si>
    <t xml:space="preserve">Mst Nasima Akter </t>
  </si>
  <si>
    <t xml:space="preserve">Md. Abdur Rashid Roni </t>
  </si>
  <si>
    <t xml:space="preserve">Roksana Begum </t>
  </si>
  <si>
    <t xml:space="preserve">Md. Sabed Ali </t>
  </si>
  <si>
    <t xml:space="preserve">Mst. Shepu Begum </t>
  </si>
  <si>
    <t xml:space="preserve">Md. Shahjahan </t>
  </si>
  <si>
    <t>Miratul Fatima</t>
  </si>
  <si>
    <t xml:space="preserve">Dewan Shamim </t>
  </si>
  <si>
    <t xml:space="preserve">Salina Khatun </t>
  </si>
  <si>
    <t xml:space="preserve">Md. Mohidur Rahman </t>
  </si>
  <si>
    <t>Mrs. Selina Chowdhury</t>
  </si>
  <si>
    <t xml:space="preserve">Md. Nasir Ahmed Mizi </t>
  </si>
  <si>
    <t xml:space="preserve">Mst. Hafsa Begum </t>
  </si>
  <si>
    <t xml:space="preserve">Hafiz Ahamed </t>
  </si>
  <si>
    <t xml:space="preserve">Farjana Akter </t>
  </si>
  <si>
    <t xml:space="preserve">Rejaul Karim </t>
  </si>
  <si>
    <t xml:space="preserve">Mst. Morgina Akter </t>
  </si>
  <si>
    <t xml:space="preserve">Md. Saykat Shahariya </t>
  </si>
  <si>
    <t xml:space="preserve">Mst. Kolpona Aktar </t>
  </si>
  <si>
    <t xml:space="preserve">Md. Milon Sheik </t>
  </si>
  <si>
    <t xml:space="preserve">China Sorkar </t>
  </si>
  <si>
    <t>Topazzal Hossain</t>
  </si>
  <si>
    <t>Sonia Akter</t>
  </si>
  <si>
    <t xml:space="preserve">Rahim </t>
  </si>
  <si>
    <t>Lepe</t>
  </si>
  <si>
    <t xml:space="preserve">Ibna Rasul Mohammad Imam Katabe </t>
  </si>
  <si>
    <t xml:space="preserve">Kaniz Fatema 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</si>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</sst>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0"/>
    <numFmt numFmtId="165" formatCode="00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3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name val="Times New Roman"/>
      <family val="1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3" tint="-0.249977111117893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b/>
      <sz val="14"/>
      <name val="Cambria"/>
      <family val="1"/>
      <scheme val="major"/>
    </font>
    <font>
      <sz val="9"/>
      <color theme="1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1" fontId="2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2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2" borderId="1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5" fillId="0" borderId="0" xfId="0" applyFont="1"/>
    <xf numFmtId="0" fontId="21" fillId="2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49" fontId="21" fillId="2" borderId="0" xfId="0" applyNumberFormat="1" applyFont="1" applyFill="1" applyAlignment="1">
      <alignment vertical="center" wrapText="1"/>
    </xf>
    <xf numFmtId="0" fontId="16" fillId="2" borderId="1" xfId="0" applyFont="1" applyFill="1" applyBorder="1" applyAlignment="1">
      <alignment horizontal="left" vertical="center"/>
    </xf>
    <xf numFmtId="0" fontId="26" fillId="2" borderId="1" xfId="0" applyFont="1" applyFill="1" applyBorder="1" applyAlignment="1">
      <alignment horizontal="left" vertical="center"/>
    </xf>
    <xf numFmtId="0" fontId="27" fillId="2" borderId="9" xfId="0" applyFont="1" applyFill="1" applyBorder="1" applyAlignment="1">
      <alignment horizontal="left" vertical="center"/>
    </xf>
    <xf numFmtId="0" fontId="3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/>
    </xf>
    <xf numFmtId="0" fontId="30" fillId="2" borderId="13" xfId="0" applyFont="1" applyFill="1" applyBorder="1" applyAlignment="1">
      <alignment horizontal="left" vertical="center"/>
    </xf>
    <xf numFmtId="0" fontId="27" fillId="2" borderId="10" xfId="0" applyFont="1" applyFill="1" applyBorder="1" applyAlignment="1">
      <alignment horizontal="left" vertical="center"/>
    </xf>
    <xf numFmtId="0" fontId="29" fillId="2" borderId="11" xfId="0" applyFont="1" applyFill="1" applyBorder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33" fillId="2" borderId="14" xfId="0" applyFont="1" applyFill="1" applyBorder="1" applyAlignment="1">
      <alignment horizontal="center"/>
    </xf>
    <xf numFmtId="2" fontId="31" fillId="2" borderId="1" xfId="0" applyNumberFormat="1" applyFont="1" applyFill="1" applyBorder="1" applyAlignment="1">
      <alignment vertical="center"/>
    </xf>
    <xf numFmtId="0" fontId="33" fillId="2" borderId="9" xfId="0" applyFont="1" applyFill="1" applyBorder="1"/>
    <xf numFmtId="0" fontId="33" fillId="2" borderId="0" xfId="0" applyFont="1" applyFill="1"/>
    <xf numFmtId="0" fontId="34" fillId="2" borderId="0" xfId="0" applyFont="1" applyFill="1" applyAlignment="1">
      <alignment vertical="center"/>
    </xf>
    <xf numFmtId="0" fontId="33" fillId="2" borderId="0" xfId="0" applyFont="1" applyFill="1" applyAlignment="1">
      <alignment horizontal="center"/>
    </xf>
    <xf numFmtId="0" fontId="34" fillId="2" borderId="0" xfId="0" applyFont="1" applyFill="1" applyAlignment="1">
      <alignment horizontal="center"/>
    </xf>
    <xf numFmtId="0" fontId="33" fillId="2" borderId="12" xfId="0" applyFont="1" applyFill="1" applyBorder="1" applyAlignment="1">
      <alignment horizontal="center"/>
    </xf>
    <xf numFmtId="0" fontId="35" fillId="2" borderId="0" xfId="0" applyFont="1" applyFill="1" applyAlignment="1">
      <alignment horizontal="center" vertical="center"/>
    </xf>
    <xf numFmtId="0" fontId="33" fillId="2" borderId="13" xfId="0" applyFont="1" applyFill="1" applyBorder="1" applyAlignment="1">
      <alignment horizontal="center"/>
    </xf>
    <xf numFmtId="0" fontId="34" fillId="2" borderId="9" xfId="0" applyFont="1" applyFill="1" applyBorder="1" applyAlignment="1">
      <alignment horizontal="center"/>
    </xf>
    <xf numFmtId="0" fontId="34" fillId="2" borderId="0" xfId="0" applyFont="1" applyFill="1"/>
    <xf numFmtId="0" fontId="33" fillId="2" borderId="9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left" vertical="center"/>
    </xf>
    <xf numFmtId="0" fontId="33" fillId="2" borderId="5" xfId="0" applyFont="1" applyFill="1" applyBorder="1" applyAlignment="1">
      <alignment horizontal="left" vertical="center"/>
    </xf>
    <xf numFmtId="0" fontId="33" fillId="2" borderId="6" xfId="0" applyFont="1" applyFill="1" applyBorder="1" applyAlignment="1">
      <alignment horizontal="left" vertical="center"/>
    </xf>
    <xf numFmtId="0" fontId="33" fillId="2" borderId="7" xfId="0" applyFont="1" applyFill="1" applyBorder="1" applyAlignment="1">
      <alignment horizontal="center"/>
    </xf>
    <xf numFmtId="165" fontId="26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18" fillId="2" borderId="0" xfId="0" applyFont="1" applyFill="1"/>
    <xf numFmtId="0" fontId="0" fillId="2" borderId="0" xfId="0" applyFill="1"/>
    <xf numFmtId="1" fontId="0" fillId="2" borderId="0" xfId="0" applyNumberFormat="1" applyFill="1"/>
    <xf numFmtId="0" fontId="39" fillId="2" borderId="0" xfId="0" applyFont="1" applyFill="1" applyAlignment="1">
      <alignment vertical="center"/>
    </xf>
    <xf numFmtId="0" fontId="39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left" vertical="center"/>
    </xf>
    <xf numFmtId="0" fontId="38" fillId="2" borderId="9" xfId="0" applyFont="1" applyFill="1" applyBorder="1"/>
    <xf numFmtId="0" fontId="6" fillId="2" borderId="10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1" fontId="4" fillId="2" borderId="2" xfId="0" applyNumberFormat="1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>
      <alignment horizontal="center" vertical="center"/>
    </xf>
    <xf numFmtId="1" fontId="4" fillId="2" borderId="3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 wrapText="1"/>
    </xf>
    <xf numFmtId="0" fontId="37" fillId="2" borderId="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9" fillId="0" borderId="3" xfId="0" applyFont="1" applyBorder="1"/>
    <xf numFmtId="0" fontId="4" fillId="2" borderId="3" xfId="0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49" fontId="21" fillId="2" borderId="14" xfId="0" applyNumberFormat="1" applyFont="1" applyFill="1" applyBorder="1" applyAlignment="1">
      <alignment horizontal="center" vertical="center" wrapText="1"/>
    </xf>
    <xf numFmtId="49" fontId="21" fillId="2" borderId="15" xfId="0" applyNumberFormat="1" applyFont="1" applyFill="1" applyBorder="1" applyAlignment="1">
      <alignment horizontal="center" vertical="center" wrapText="1"/>
    </xf>
    <xf numFmtId="49" fontId="21" fillId="2" borderId="8" xfId="0" applyNumberFormat="1" applyFont="1" applyFill="1" applyBorder="1" applyAlignment="1">
      <alignment horizontal="center" vertical="center" wrapText="1"/>
    </xf>
    <xf numFmtId="2" fontId="31" fillId="2" borderId="2" xfId="0" applyNumberFormat="1" applyFont="1" applyFill="1" applyBorder="1" applyAlignment="1">
      <alignment horizontal="center" vertical="center"/>
    </xf>
    <xf numFmtId="2" fontId="31" fillId="2" borderId="4" xfId="0" applyNumberFormat="1" applyFont="1" applyFill="1" applyBorder="1" applyAlignment="1">
      <alignment horizontal="center" vertical="center"/>
    </xf>
    <xf numFmtId="2" fontId="31" fillId="2" borderId="3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horizontal="right" vertical="center"/>
    </xf>
    <xf numFmtId="0" fontId="23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horizontal="left"/>
    </xf>
    <xf numFmtId="0" fontId="7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center" vertical="center"/>
    </xf>
    <xf numFmtId="0" fontId="33" fillId="2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22" fillId="2" borderId="11" xfId="0" applyFont="1" applyFill="1" applyBorder="1" applyAlignment="1">
      <alignment horizontal="left" vertical="center"/>
    </xf>
    <xf numFmtId="0" fontId="27" fillId="2" borderId="11" xfId="0" applyFont="1" applyFill="1" applyBorder="1" applyAlignment="1">
      <alignment horizontal="center" vertical="center"/>
    </xf>
    <xf numFmtId="0" fontId="22" fillId="2" borderId="12" xfId="0" applyFont="1" applyFill="1" applyBorder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center" vertical="center"/>
    </xf>
    <xf numFmtId="0" fontId="22" fillId="2" borderId="13" xfId="0" applyFont="1" applyFill="1" applyBorder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0" fontId="28" fillId="2" borderId="13" xfId="0" applyFont="1" applyFill="1" applyBorder="1" applyAlignment="1">
      <alignment horizontal="left" vertical="center"/>
    </xf>
    <xf numFmtId="164" fontId="22" fillId="2" borderId="0" xfId="0" applyNumberFormat="1" applyFont="1" applyFill="1" applyAlignment="1">
      <alignment horizontal="left" vertical="center"/>
    </xf>
    <xf numFmtId="0" fontId="12" fillId="2" borderId="1" xfId="0" applyFont="1" applyFill="1" applyBorder="1" applyAlignment="1">
      <alignment horizontal="center" vertical="center" textRotation="90" wrapText="1"/>
    </xf>
    <xf numFmtId="0" fontId="12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textRotation="90"/>
    </xf>
    <xf numFmtId="0" fontId="24" fillId="2" borderId="1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Percent" xfId="1" builtinId="5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173936</xdr:colOff>
      <xdr:row>0</xdr:row>
      <xdr:rowOff>0</xdr:rowOff>
    </xdr:from>
    <xdr:to>
      <xdr:col>16</xdr:col>
      <xdr:colOff>82826</xdr:colOff>
      <xdr:row>3</xdr:row>
      <xdr:rowOff>106876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5591B317-6431-483B-AE1D-C26829AE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382001" y="0"/>
          <a:ext cx="670890" cy="7612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</xdr:row>
      <xdr:rowOff>28575</xdr:rowOff>
    </xdr:from>
    <xdr:to>
      <xdr:col>1</xdr:col>
      <xdr:colOff>1097774</xdr:colOff>
      <xdr:row>5</xdr:row>
      <xdr:rowOff>190500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5A6C4FB9-91C6-4B8E-919C-7C9A0AAD2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506716</xdr:colOff>
      <xdr:row>33</xdr:row>
      <xdr:rowOff>199256</xdr:rowOff>
    </xdr:from>
    <xdr:to>
      <xdr:col>5</xdr:col>
      <xdr:colOff>33967</xdr:colOff>
      <xdr:row>35</xdr:row>
      <xdr:rowOff>36872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166FEF-F471-57B9-D006-28D7FB3D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2450" y="9730209"/>
          <a:ext cx="801220" cy="313866"/>
        </a:xfrm>
        <a:prstGeom prst="rect">
          <a:avLst/>
        </a:prstGeom>
      </xdr:spPr>
    </xdr:pic>
    <xdr:clientData/>
  </xdr:twoCellAnchor>
  <xdr:twoCellAnchor editAs="oneCell">
    <xdr:from>
      <xdr:col>9</xdr:col>
      <xdr:colOff>120116</xdr:colOff>
      <xdr:row>33</xdr:row>
      <xdr:rowOff>150930</xdr:rowOff>
    </xdr:from>
    <xdr:to>
      <xdr:col>11</xdr:col>
      <xdr:colOff>209764</xdr:colOff>
      <xdr:row>35</xdr:row>
      <xdr:rowOff>12894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318CCD-E03E-47A9-8075-76DB6B23E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96521" y="9389447"/>
          <a:ext cx="338214" cy="9230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L46"/>
  <sheetViews>
    <sheetView tabSelected="1" topLeftCell="Z1" zoomScale="115" zoomScaleNormal="115" workbookViewId="0">
      <selection activeCell="AY32" sqref="AY32"/>
    </sheetView>
  </sheetViews>
  <sheetFormatPr defaultRowHeight="15"/>
  <cols>
    <col min="1" max="1" width="3" customWidth="1"/>
    <col min="2" max="2" width="4.42578125" style="6" customWidth="1"/>
    <col min="3" max="3" width="23.42578125" style="16" bestFit="1" customWidth="1"/>
    <col min="4" max="4" width="20.5703125" bestFit="1" customWidth="1"/>
    <col min="5" max="5" width="20.140625" bestFit="1" customWidth="1"/>
    <col min="6" max="49" width="5.7109375" customWidth="1"/>
    <col min="50" max="50" width="15.85546875" customWidth="1"/>
  </cols>
  <sheetData>
    <row r="1" spans="1:50" ht="15.75" customHeight="1">
      <c r="A1" s="61" t="s">
        <v>55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</row>
    <row r="2" spans="1:50" ht="21" customHeight="1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</row>
    <row r="3" spans="1:50" ht="15" customHeight="1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</row>
    <row r="4" spans="1:50" ht="15.75" customHeight="1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</row>
    <row r="5" spans="1:50" s="18" customFormat="1" ht="12.75" customHeight="1">
      <c r="A5" s="72" t="s">
        <v>26</v>
      </c>
      <c r="B5" s="73"/>
      <c r="C5" s="74"/>
      <c r="D5" s="14" t="s">
        <v>48</v>
      </c>
      <c r="E5" s="72" t="s">
        <v>27</v>
      </c>
      <c r="F5" s="73"/>
      <c r="G5" s="74"/>
      <c r="H5" s="72" t="s">
        <v>53</v>
      </c>
      <c r="I5" s="73"/>
      <c r="J5" s="73"/>
      <c r="K5" s="73"/>
      <c r="L5" s="73"/>
      <c r="M5" s="74"/>
      <c r="N5" s="17"/>
      <c r="O5" s="75" t="s">
        <v>28</v>
      </c>
      <c r="P5" s="75"/>
      <c r="Q5" s="75"/>
      <c r="R5" s="75"/>
      <c r="S5" s="75" t="s">
        <v>52</v>
      </c>
      <c r="T5" s="75"/>
      <c r="U5" s="75"/>
      <c r="V5" s="17"/>
      <c r="W5" s="76" t="s">
        <v>29</v>
      </c>
      <c r="X5" s="76"/>
      <c r="Y5" s="76"/>
      <c r="Z5" s="76"/>
      <c r="AA5" s="76"/>
      <c r="AB5" s="15"/>
      <c r="AC5" s="15">
        <v>71</v>
      </c>
      <c r="AD5" s="17"/>
      <c r="AE5" s="75" t="s">
        <v>51</v>
      </c>
      <c r="AF5" s="75"/>
      <c r="AG5" s="75"/>
      <c r="AH5" s="75"/>
      <c r="AI5" s="91" t="s">
        <v>54</v>
      </c>
      <c r="AJ5" s="92"/>
      <c r="AK5" s="92"/>
      <c r="AL5" s="92"/>
      <c r="AM5" s="93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</row>
    <row r="6" spans="1:50" s="54" customFormat="1" ht="17.25" customHeight="1">
      <c r="A6" s="79" t="s">
        <v>0</v>
      </c>
      <c r="B6" s="79" t="s">
        <v>1</v>
      </c>
      <c r="C6" s="80" t="s">
        <v>2</v>
      </c>
      <c r="D6" s="77" t="s">
        <v>33</v>
      </c>
      <c r="E6" s="77" t="s">
        <v>34</v>
      </c>
      <c r="F6" s="81" t="s">
        <v>36</v>
      </c>
      <c r="G6" s="81"/>
      <c r="H6" s="85" t="s">
        <v>35</v>
      </c>
      <c r="I6" s="86"/>
      <c r="J6" s="82" t="s">
        <v>3</v>
      </c>
      <c r="K6" s="79" t="s">
        <v>4</v>
      </c>
      <c r="L6" s="79" t="s">
        <v>5</v>
      </c>
      <c r="M6" s="81" t="s">
        <v>13</v>
      </c>
      <c r="N6" s="81"/>
      <c r="O6" s="81" t="s">
        <v>14</v>
      </c>
      <c r="P6" s="81"/>
      <c r="Q6" s="79" t="s">
        <v>3</v>
      </c>
      <c r="R6" s="79" t="s">
        <v>4</v>
      </c>
      <c r="S6" s="79" t="s">
        <v>5</v>
      </c>
      <c r="T6" s="85" t="s">
        <v>15</v>
      </c>
      <c r="U6" s="86"/>
      <c r="V6" s="86"/>
      <c r="W6" s="87"/>
      <c r="X6" s="79" t="s">
        <v>5</v>
      </c>
      <c r="Y6" s="85" t="s">
        <v>7</v>
      </c>
      <c r="Z6" s="86"/>
      <c r="AA6" s="86"/>
      <c r="AB6" s="87"/>
      <c r="AC6" s="79" t="s">
        <v>5</v>
      </c>
      <c r="AD6" s="85" t="s">
        <v>8</v>
      </c>
      <c r="AE6" s="86"/>
      <c r="AF6" s="86"/>
      <c r="AG6" s="87"/>
      <c r="AH6" s="79" t="s">
        <v>5</v>
      </c>
      <c r="AI6" s="85" t="s">
        <v>9</v>
      </c>
      <c r="AJ6" s="86"/>
      <c r="AK6" s="86"/>
      <c r="AL6" s="87"/>
      <c r="AM6" s="79" t="s">
        <v>5</v>
      </c>
      <c r="AN6" s="88" t="s">
        <v>47</v>
      </c>
      <c r="AO6" s="89"/>
      <c r="AP6" s="89"/>
      <c r="AQ6" s="90"/>
      <c r="AR6" s="79" t="s">
        <v>5</v>
      </c>
      <c r="AS6" s="79" t="s">
        <v>10</v>
      </c>
      <c r="AT6" s="82" t="s">
        <v>11</v>
      </c>
      <c r="AU6" s="79" t="s">
        <v>17</v>
      </c>
      <c r="AV6" s="79" t="s">
        <v>16</v>
      </c>
      <c r="AW6" s="68" t="s">
        <v>30</v>
      </c>
      <c r="AX6" s="70" t="s">
        <v>31</v>
      </c>
    </row>
    <row r="7" spans="1:50" s="13" customFormat="1" ht="18" customHeight="1">
      <c r="A7" s="79"/>
      <c r="B7" s="79"/>
      <c r="C7" s="80"/>
      <c r="D7" s="78"/>
      <c r="E7" s="78"/>
      <c r="F7" s="11" t="s">
        <v>12</v>
      </c>
      <c r="G7" s="12" t="s">
        <v>6</v>
      </c>
      <c r="H7" s="11" t="s">
        <v>12</v>
      </c>
      <c r="I7" s="12" t="s">
        <v>6</v>
      </c>
      <c r="J7" s="83"/>
      <c r="K7" s="79"/>
      <c r="L7" s="79"/>
      <c r="M7" s="12" t="s">
        <v>12</v>
      </c>
      <c r="N7" s="12" t="s">
        <v>6</v>
      </c>
      <c r="O7" s="12" t="s">
        <v>12</v>
      </c>
      <c r="P7" s="12" t="s">
        <v>6</v>
      </c>
      <c r="Q7" s="79"/>
      <c r="R7" s="79"/>
      <c r="S7" s="79"/>
      <c r="T7" s="11" t="s">
        <v>12</v>
      </c>
      <c r="U7" s="12" t="s">
        <v>6</v>
      </c>
      <c r="V7" s="11" t="s">
        <v>3</v>
      </c>
      <c r="W7" s="11" t="s">
        <v>4</v>
      </c>
      <c r="X7" s="79"/>
      <c r="Y7" s="11" t="s">
        <v>12</v>
      </c>
      <c r="Z7" s="12" t="s">
        <v>6</v>
      </c>
      <c r="AA7" s="11" t="s">
        <v>3</v>
      </c>
      <c r="AB7" s="11" t="s">
        <v>4</v>
      </c>
      <c r="AC7" s="79"/>
      <c r="AD7" s="11" t="s">
        <v>12</v>
      </c>
      <c r="AE7" s="12" t="s">
        <v>6</v>
      </c>
      <c r="AF7" s="11" t="s">
        <v>3</v>
      </c>
      <c r="AG7" s="11" t="s">
        <v>4</v>
      </c>
      <c r="AH7" s="79"/>
      <c r="AI7" s="11" t="s">
        <v>12</v>
      </c>
      <c r="AJ7" s="12" t="s">
        <v>6</v>
      </c>
      <c r="AK7" s="11" t="s">
        <v>3</v>
      </c>
      <c r="AL7" s="11" t="s">
        <v>4</v>
      </c>
      <c r="AM7" s="79"/>
      <c r="AN7" s="12" t="s">
        <v>12</v>
      </c>
      <c r="AO7" s="12" t="s">
        <v>6</v>
      </c>
      <c r="AP7" s="11" t="s">
        <v>3</v>
      </c>
      <c r="AQ7" s="11" t="s">
        <v>4</v>
      </c>
      <c r="AR7" s="79"/>
      <c r="AS7" s="79"/>
      <c r="AT7" s="84"/>
      <c r="AU7" s="79"/>
      <c r="AV7" s="79"/>
      <c r="AW7" s="69"/>
      <c r="AX7" s="71"/>
    </row>
    <row r="8" spans="1:50" ht="12.95" customHeight="1">
      <c r="A8" s="50">
        <v>1</v>
      </c>
      <c r="B8" s="49">
        <v>2</v>
      </c>
      <c r="C8" s="20" t="s">
        <v>57</v>
      </c>
      <c r="D8" s="20" t="s">
        <v>94</v>
      </c>
      <c r="E8" s="20" t="s">
        <v>95</v>
      </c>
      <c r="F8" s="7">
        <v>20</v>
      </c>
      <c r="G8" s="7">
        <v>78</v>
      </c>
      <c r="H8" s="2">
        <v>10</v>
      </c>
      <c r="I8" s="2">
        <v>37</v>
      </c>
      <c r="J8" s="8">
        <f>I8+H8+G8+F8</f>
        <v>145</v>
      </c>
      <c r="K8" s="2">
        <f>IF(J8&lt;60,"F",IF(J8&lt;75,2,IF(J8&lt;90,3,IF(J8&lt;105,3.5,IF(J8&lt;120,4,5)))))</f>
        <v>5</v>
      </c>
      <c r="L8" s="65">
        <f>MAX(J8:J44)</f>
        <v>148</v>
      </c>
      <c r="M8" s="7">
        <v>20</v>
      </c>
      <c r="N8" s="2">
        <v>79</v>
      </c>
      <c r="O8" s="2">
        <v>10</v>
      </c>
      <c r="P8" s="2">
        <v>40</v>
      </c>
      <c r="Q8" s="8">
        <f t="shared" ref="Q8" si="0">M8+N8+O8+P8</f>
        <v>149</v>
      </c>
      <c r="R8" s="2">
        <f>IF(Q8&lt;60,"F",IF(Q8&lt;75,2,IF(Q8&lt;90,3,IF(Q8&lt;105,3.5,IF(Q8&lt;120,4,5)))))</f>
        <v>5</v>
      </c>
      <c r="S8" s="65">
        <f>MAX(Q8:Q44)</f>
        <v>149</v>
      </c>
      <c r="T8" s="7">
        <v>19</v>
      </c>
      <c r="U8" s="7">
        <v>66</v>
      </c>
      <c r="V8" s="8">
        <f>SUM(T8+U8)</f>
        <v>85</v>
      </c>
      <c r="W8" s="2">
        <f>IF(V8&lt;40,"F",IF(V8&lt;50,2,IF(V8&lt;60,3,IF(V8&lt;70,3.5,IF(V8&lt;80,4,5)))))</f>
        <v>5</v>
      </c>
      <c r="X8" s="65">
        <f>MAX(V8:V44)</f>
        <v>85</v>
      </c>
      <c r="Y8" s="7">
        <v>20</v>
      </c>
      <c r="Z8" s="2">
        <v>80</v>
      </c>
      <c r="AA8" s="8">
        <f t="shared" ref="AA8" si="1">Y8+Z8</f>
        <v>100</v>
      </c>
      <c r="AB8" s="2">
        <f>IF(AA8&lt;40,"F",IF(AA8&lt;50,2,IF(AA8&lt;60,3,IF(AA8&lt;70,3.5,IF(AA8&lt;80,4,5)))))</f>
        <v>5</v>
      </c>
      <c r="AC8" s="65">
        <f>MAX(AA8:AA44)</f>
        <v>100</v>
      </c>
      <c r="AD8" s="7">
        <v>19</v>
      </c>
      <c r="AE8" s="2">
        <v>75</v>
      </c>
      <c r="AF8" s="8">
        <f t="shared" ref="AF8" si="2">AD8+AE8</f>
        <v>94</v>
      </c>
      <c r="AG8" s="2">
        <f>IF(AF8&lt;40,"F",IF(AF8&lt;50,2,IF(AF8&lt;60,3,IF(AF8&lt;70,3.5,IF(AF8&lt;80,4,5)))))</f>
        <v>5</v>
      </c>
      <c r="AH8" s="65">
        <f>MAX(AF8:AF44)</f>
        <v>97</v>
      </c>
      <c r="AI8" s="7">
        <v>20</v>
      </c>
      <c r="AJ8" s="2">
        <v>78</v>
      </c>
      <c r="AK8" s="8">
        <f t="shared" ref="AK8" si="3">AI8+AJ8</f>
        <v>98</v>
      </c>
      <c r="AL8" s="2">
        <f>IF(AK8&lt;40,"F",IF(AK8&lt;50,2,IF(AK8&lt;60,3,IF(AK8&lt;70,3.5,IF(AK8&lt;80,4,5)))))</f>
        <v>5</v>
      </c>
      <c r="AM8" s="65">
        <f>MAX(AK8:AK44)</f>
        <v>98</v>
      </c>
      <c r="AN8" s="2"/>
      <c r="AO8" s="2">
        <v>49</v>
      </c>
      <c r="AP8" s="9">
        <f>AO8</f>
        <v>49</v>
      </c>
      <c r="AQ8" s="2">
        <f>IF(AP8&lt;20,"F",IF(AP8&lt;25,2,IF(AP8&lt;30,3,IF(AP8&lt;35,3.5,IF(AP8&lt;40,4,5)))))</f>
        <v>5</v>
      </c>
      <c r="AR8" s="65">
        <f>MAX(AP8:AP44)</f>
        <v>50</v>
      </c>
      <c r="AS8" s="2">
        <f t="shared" ref="AS8" si="4">IF(K8="F","F",IF(R8="F","F",IF(W8="F","F",IF(AB8="F","F",IF(AG8="F","F",IF(AL8="F","F",IF(AQ8="F","F",SUM(K8,R8,W8,AB8,AG8,AL8,AQ8))))))))</f>
        <v>35</v>
      </c>
      <c r="AT8" s="10">
        <f>IF(AS8="F","F", IF(AS8&gt;=35,5,IF(AS8&lt;35,AS8/7)))</f>
        <v>5</v>
      </c>
      <c r="AU8" s="5">
        <f>J8+Q8+V8+AA8+AF8+AK8</f>
        <v>671</v>
      </c>
      <c r="AV8" s="3">
        <v>3</v>
      </c>
      <c r="AW8" s="3">
        <v>69</v>
      </c>
      <c r="AX8" s="3" t="str">
        <f t="shared" ref="AX8:AX44" si="5">IF(AT8="F","NEED TO PROGRESS",IF(AT8&gt;=5,"BEST",IF(AT8&gt;=4,"BETTER",IF(AT8&gt;2,"GOOD"))))</f>
        <v>BEST</v>
      </c>
    </row>
    <row r="9" spans="1:50" ht="12.95" customHeight="1">
      <c r="A9" s="50">
        <v>2</v>
      </c>
      <c r="B9" s="49">
        <v>4</v>
      </c>
      <c r="C9" s="20" t="s">
        <v>58</v>
      </c>
      <c r="D9" s="20" t="s">
        <v>96</v>
      </c>
      <c r="E9" s="20" t="s">
        <v>97</v>
      </c>
      <c r="F9" s="7">
        <v>20</v>
      </c>
      <c r="G9" s="7">
        <v>78</v>
      </c>
      <c r="H9" s="2">
        <v>10</v>
      </c>
      <c r="I9" s="2">
        <v>40</v>
      </c>
      <c r="J9" s="8">
        <f t="shared" ref="J9:J44" si="6">I9+H9+G9+F9</f>
        <v>148</v>
      </c>
      <c r="K9" s="2">
        <f t="shared" ref="K9:K44" si="7">IF(J9&lt;60,"F",IF(J9&lt;75,2,IF(J9&lt;90,3,IF(J9&lt;105,3.5,IF(J9&lt;120,4,5)))))</f>
        <v>5</v>
      </c>
      <c r="L9" s="66"/>
      <c r="M9" s="7">
        <v>20</v>
      </c>
      <c r="N9" s="2">
        <v>79</v>
      </c>
      <c r="O9" s="2">
        <v>10</v>
      </c>
      <c r="P9" s="2">
        <v>39</v>
      </c>
      <c r="Q9" s="8">
        <f t="shared" ref="Q9:Q44" si="8">M9+N9+O9+P9</f>
        <v>148</v>
      </c>
      <c r="R9" s="2">
        <f t="shared" ref="R9:R44" si="9">IF(Q9&lt;60,"F",IF(Q9&lt;75,2,IF(Q9&lt;90,3,IF(Q9&lt;105,3.5,IF(Q9&lt;120,4,5)))))</f>
        <v>5</v>
      </c>
      <c r="S9" s="66"/>
      <c r="T9" s="7">
        <v>18</v>
      </c>
      <c r="U9" s="7">
        <v>64</v>
      </c>
      <c r="V9" s="8">
        <f t="shared" ref="V9:V44" si="10">SUM(T9+U9)</f>
        <v>82</v>
      </c>
      <c r="W9" s="2">
        <f t="shared" ref="W9:W44" si="11">IF(V9&lt;40,"F",IF(V9&lt;50,2,IF(V9&lt;60,3,IF(V9&lt;70,3.5,IF(V9&lt;80,4,5)))))</f>
        <v>5</v>
      </c>
      <c r="X9" s="66"/>
      <c r="Y9" s="7">
        <v>20</v>
      </c>
      <c r="Z9" s="2">
        <v>80</v>
      </c>
      <c r="AA9" s="8">
        <f t="shared" ref="AA9:AA42" si="12">Y9+Z9</f>
        <v>100</v>
      </c>
      <c r="AB9" s="2">
        <f t="shared" ref="AB9:AB44" si="13">IF(AA9&lt;40,"F",IF(AA9&lt;50,2,IF(AA9&lt;60,3,IF(AA9&lt;70,3.5,IF(AA9&lt;80,4,5)))))</f>
        <v>5</v>
      </c>
      <c r="AC9" s="66"/>
      <c r="AD9" s="7">
        <v>19</v>
      </c>
      <c r="AE9" s="2">
        <v>78</v>
      </c>
      <c r="AF9" s="8">
        <f t="shared" ref="AF9:AF44" si="14">AD9+AE9</f>
        <v>97</v>
      </c>
      <c r="AG9" s="2">
        <f t="shared" ref="AG9:AG44" si="15">IF(AF9&lt;40,"F",IF(AF9&lt;50,2,IF(AF9&lt;60,3,IF(AF9&lt;70,3.5,IF(AF9&lt;80,4,5)))))</f>
        <v>5</v>
      </c>
      <c r="AH9" s="66"/>
      <c r="AI9" s="7">
        <v>20</v>
      </c>
      <c r="AJ9" s="2">
        <v>74</v>
      </c>
      <c r="AK9" s="8">
        <f t="shared" ref="AK9:AK44" si="16">AI9+AJ9</f>
        <v>94</v>
      </c>
      <c r="AL9" s="2">
        <f t="shared" ref="AL9:AL44" si="17">IF(AK9&lt;40,"F",IF(AK9&lt;50,2,IF(AK9&lt;60,3,IF(AK9&lt;70,3.5,IF(AK9&lt;80,4,5)))))</f>
        <v>5</v>
      </c>
      <c r="AM9" s="66"/>
      <c r="AN9" s="2"/>
      <c r="AO9" s="2">
        <v>48</v>
      </c>
      <c r="AP9" s="9">
        <f t="shared" ref="AP9:AP44" si="18">AO9</f>
        <v>48</v>
      </c>
      <c r="AQ9" s="2">
        <f t="shared" ref="AQ9:AQ44" si="19">IF(AP9&lt;20,"F",IF(AP9&lt;25,2,IF(AP9&lt;30,3,IF(AP9&lt;35,3.5,IF(AP9&lt;40,4,5)))))</f>
        <v>5</v>
      </c>
      <c r="AR9" s="66"/>
      <c r="AS9" s="2">
        <f t="shared" ref="AS9:AS44" si="20">IF(K9="F","F",IF(R9="F","F",IF(W9="F","F",IF(AB9="F","F",IF(AG9="F","F",IF(AL9="F","F",IF(AQ9="F","F",SUM(K9,R9,W9,AB9,AG9,AL9,AQ9))))))))</f>
        <v>35</v>
      </c>
      <c r="AT9" s="10">
        <f t="shared" ref="AT9:AT44" si="21">IF(AS9="F","F", IF(AS9&gt;=35,5,IF(AS9&lt;35,AS9/7)))</f>
        <v>5</v>
      </c>
      <c r="AU9" s="5">
        <f t="shared" ref="AU9:AU44" si="22">J9+Q9+V9+AA9+AF9+AK9</f>
        <v>669</v>
      </c>
      <c r="AV9" s="3">
        <v>4</v>
      </c>
      <c r="AW9" s="3">
        <v>69</v>
      </c>
      <c r="AX9" s="3" t="str">
        <f t="shared" si="5"/>
        <v>BEST</v>
      </c>
    </row>
    <row r="10" spans="1:50" ht="12.95" customHeight="1">
      <c r="A10" s="50">
        <v>3</v>
      </c>
      <c r="B10" s="49">
        <v>6</v>
      </c>
      <c r="C10" s="52" t="s">
        <v>59</v>
      </c>
      <c r="D10" s="52" t="s">
        <v>98</v>
      </c>
      <c r="E10" s="52" t="s">
        <v>99</v>
      </c>
      <c r="F10" s="7">
        <v>20</v>
      </c>
      <c r="G10" s="7">
        <v>75</v>
      </c>
      <c r="H10" s="2">
        <v>10</v>
      </c>
      <c r="I10" s="2">
        <v>39</v>
      </c>
      <c r="J10" s="8">
        <f t="shared" si="6"/>
        <v>144</v>
      </c>
      <c r="K10" s="2">
        <f t="shared" si="7"/>
        <v>5</v>
      </c>
      <c r="L10" s="66"/>
      <c r="M10" s="7">
        <v>19</v>
      </c>
      <c r="N10" s="2">
        <v>64</v>
      </c>
      <c r="O10" s="2">
        <v>10</v>
      </c>
      <c r="P10" s="2">
        <v>37</v>
      </c>
      <c r="Q10" s="8">
        <f t="shared" si="8"/>
        <v>130</v>
      </c>
      <c r="R10" s="2">
        <f t="shared" si="9"/>
        <v>5</v>
      </c>
      <c r="S10" s="66"/>
      <c r="T10" s="7">
        <v>15</v>
      </c>
      <c r="U10" s="7">
        <v>62</v>
      </c>
      <c r="V10" s="8">
        <f t="shared" si="10"/>
        <v>77</v>
      </c>
      <c r="W10" s="2">
        <f t="shared" si="11"/>
        <v>4</v>
      </c>
      <c r="X10" s="66"/>
      <c r="Y10" s="7">
        <v>20</v>
      </c>
      <c r="Z10" s="2">
        <v>77</v>
      </c>
      <c r="AA10" s="8">
        <f t="shared" si="12"/>
        <v>97</v>
      </c>
      <c r="AB10" s="2">
        <f t="shared" si="13"/>
        <v>5</v>
      </c>
      <c r="AC10" s="66"/>
      <c r="AD10" s="7">
        <v>19</v>
      </c>
      <c r="AE10" s="2">
        <v>72</v>
      </c>
      <c r="AF10" s="8">
        <f t="shared" si="14"/>
        <v>91</v>
      </c>
      <c r="AG10" s="2">
        <f t="shared" si="15"/>
        <v>5</v>
      </c>
      <c r="AH10" s="66"/>
      <c r="AI10" s="7">
        <v>20</v>
      </c>
      <c r="AJ10" s="2">
        <v>70</v>
      </c>
      <c r="AK10" s="8">
        <f t="shared" si="16"/>
        <v>90</v>
      </c>
      <c r="AL10" s="2">
        <f t="shared" si="17"/>
        <v>5</v>
      </c>
      <c r="AM10" s="66"/>
      <c r="AN10" s="2"/>
      <c r="AO10" s="2">
        <v>49</v>
      </c>
      <c r="AP10" s="9">
        <f t="shared" si="18"/>
        <v>49</v>
      </c>
      <c r="AQ10" s="2">
        <f t="shared" si="19"/>
        <v>5</v>
      </c>
      <c r="AR10" s="66"/>
      <c r="AS10" s="2">
        <f t="shared" si="20"/>
        <v>34</v>
      </c>
      <c r="AT10" s="10">
        <f t="shared" si="21"/>
        <v>4.8571428571428568</v>
      </c>
      <c r="AU10" s="5">
        <f t="shared" si="22"/>
        <v>629</v>
      </c>
      <c r="AV10" s="3">
        <v>9</v>
      </c>
      <c r="AW10" s="3">
        <v>65</v>
      </c>
      <c r="AX10" s="3" t="str">
        <f t="shared" si="5"/>
        <v>BETTER</v>
      </c>
    </row>
    <row r="11" spans="1:50" ht="12.95" customHeight="1">
      <c r="A11" s="50">
        <v>4</v>
      </c>
      <c r="B11" s="49">
        <v>8</v>
      </c>
      <c r="C11" s="52" t="s">
        <v>60</v>
      </c>
      <c r="D11" s="52" t="s">
        <v>100</v>
      </c>
      <c r="E11" s="52" t="s">
        <v>101</v>
      </c>
      <c r="F11" s="7">
        <v>20</v>
      </c>
      <c r="G11" s="7">
        <v>78</v>
      </c>
      <c r="H11" s="2">
        <v>10</v>
      </c>
      <c r="I11" s="2">
        <v>39</v>
      </c>
      <c r="J11" s="8">
        <f t="shared" si="6"/>
        <v>147</v>
      </c>
      <c r="K11" s="2">
        <f t="shared" si="7"/>
        <v>5</v>
      </c>
      <c r="L11" s="66"/>
      <c r="M11" s="7">
        <v>20</v>
      </c>
      <c r="N11" s="2">
        <v>71</v>
      </c>
      <c r="O11" s="2">
        <v>10</v>
      </c>
      <c r="P11" s="2">
        <v>33</v>
      </c>
      <c r="Q11" s="8">
        <f t="shared" si="8"/>
        <v>134</v>
      </c>
      <c r="R11" s="2">
        <f t="shared" si="9"/>
        <v>5</v>
      </c>
      <c r="S11" s="66"/>
      <c r="T11" s="7">
        <v>13</v>
      </c>
      <c r="U11" s="7">
        <v>58</v>
      </c>
      <c r="V11" s="8">
        <f t="shared" si="10"/>
        <v>71</v>
      </c>
      <c r="W11" s="2">
        <f t="shared" si="11"/>
        <v>4</v>
      </c>
      <c r="X11" s="66"/>
      <c r="Y11" s="7">
        <v>20</v>
      </c>
      <c r="Z11" s="2">
        <v>77</v>
      </c>
      <c r="AA11" s="8">
        <f t="shared" si="12"/>
        <v>97</v>
      </c>
      <c r="AB11" s="2">
        <f t="shared" si="13"/>
        <v>5</v>
      </c>
      <c r="AC11" s="66"/>
      <c r="AD11" s="7">
        <v>19</v>
      </c>
      <c r="AE11" s="2">
        <v>77</v>
      </c>
      <c r="AF11" s="8">
        <f t="shared" si="14"/>
        <v>96</v>
      </c>
      <c r="AG11" s="2">
        <f t="shared" si="15"/>
        <v>5</v>
      </c>
      <c r="AH11" s="66"/>
      <c r="AI11" s="7">
        <v>20</v>
      </c>
      <c r="AJ11" s="2">
        <v>77</v>
      </c>
      <c r="AK11" s="8">
        <f t="shared" si="16"/>
        <v>97</v>
      </c>
      <c r="AL11" s="2">
        <f t="shared" si="17"/>
        <v>5</v>
      </c>
      <c r="AM11" s="66"/>
      <c r="AN11" s="2"/>
      <c r="AO11" s="2">
        <v>48</v>
      </c>
      <c r="AP11" s="9">
        <f t="shared" si="18"/>
        <v>48</v>
      </c>
      <c r="AQ11" s="2">
        <f t="shared" si="19"/>
        <v>5</v>
      </c>
      <c r="AR11" s="66"/>
      <c r="AS11" s="2">
        <f t="shared" si="20"/>
        <v>34</v>
      </c>
      <c r="AT11" s="10">
        <f t="shared" si="21"/>
        <v>4.8571428571428568</v>
      </c>
      <c r="AU11" s="5">
        <f t="shared" si="22"/>
        <v>642</v>
      </c>
      <c r="AV11" s="3">
        <v>6</v>
      </c>
      <c r="AW11" s="3">
        <v>67</v>
      </c>
      <c r="AX11" s="3" t="str">
        <f t="shared" si="5"/>
        <v>BETTER</v>
      </c>
    </row>
    <row r="12" spans="1:50" ht="12.95" customHeight="1">
      <c r="A12" s="50">
        <v>5</v>
      </c>
      <c r="B12" s="49">
        <v>14</v>
      </c>
      <c r="C12" s="52" t="s">
        <v>61</v>
      </c>
      <c r="D12" s="52" t="s">
        <v>102</v>
      </c>
      <c r="E12" s="52" t="s">
        <v>103</v>
      </c>
      <c r="F12" s="7">
        <v>20</v>
      </c>
      <c r="G12" s="7">
        <v>78</v>
      </c>
      <c r="H12" s="2">
        <v>10</v>
      </c>
      <c r="I12" s="2">
        <v>34</v>
      </c>
      <c r="J12" s="8">
        <f t="shared" si="6"/>
        <v>142</v>
      </c>
      <c r="K12" s="2">
        <f t="shared" si="7"/>
        <v>5</v>
      </c>
      <c r="L12" s="66"/>
      <c r="M12" s="7">
        <v>20</v>
      </c>
      <c r="N12" s="2">
        <v>73</v>
      </c>
      <c r="O12" s="2">
        <v>10</v>
      </c>
      <c r="P12" s="2">
        <v>38</v>
      </c>
      <c r="Q12" s="8">
        <f t="shared" si="8"/>
        <v>141</v>
      </c>
      <c r="R12" s="2">
        <f t="shared" si="9"/>
        <v>5</v>
      </c>
      <c r="S12" s="66"/>
      <c r="T12" s="7">
        <v>8</v>
      </c>
      <c r="U12" s="7">
        <v>45</v>
      </c>
      <c r="V12" s="8">
        <f t="shared" si="10"/>
        <v>53</v>
      </c>
      <c r="W12" s="2">
        <f t="shared" si="11"/>
        <v>3</v>
      </c>
      <c r="X12" s="66"/>
      <c r="Y12" s="7">
        <v>19</v>
      </c>
      <c r="Z12" s="2">
        <v>64</v>
      </c>
      <c r="AA12" s="8">
        <f t="shared" si="12"/>
        <v>83</v>
      </c>
      <c r="AB12" s="2">
        <f t="shared" si="13"/>
        <v>5</v>
      </c>
      <c r="AC12" s="66"/>
      <c r="AD12" s="7">
        <v>13</v>
      </c>
      <c r="AE12" s="2">
        <v>69</v>
      </c>
      <c r="AF12" s="8">
        <f t="shared" si="14"/>
        <v>82</v>
      </c>
      <c r="AG12" s="2">
        <f t="shared" si="15"/>
        <v>5</v>
      </c>
      <c r="AH12" s="66"/>
      <c r="AI12" s="7">
        <v>20</v>
      </c>
      <c r="AJ12" s="2">
        <v>76</v>
      </c>
      <c r="AK12" s="8">
        <f t="shared" si="16"/>
        <v>96</v>
      </c>
      <c r="AL12" s="2">
        <f t="shared" si="17"/>
        <v>5</v>
      </c>
      <c r="AM12" s="66"/>
      <c r="AN12" s="2"/>
      <c r="AO12" s="2">
        <v>48</v>
      </c>
      <c r="AP12" s="9">
        <f t="shared" si="18"/>
        <v>48</v>
      </c>
      <c r="AQ12" s="2">
        <f t="shared" si="19"/>
        <v>5</v>
      </c>
      <c r="AR12" s="66"/>
      <c r="AS12" s="2">
        <f t="shared" si="20"/>
        <v>33</v>
      </c>
      <c r="AT12" s="10">
        <f t="shared" si="21"/>
        <v>4.7142857142857144</v>
      </c>
      <c r="AU12" s="5">
        <f t="shared" si="22"/>
        <v>597</v>
      </c>
      <c r="AV12" s="3">
        <v>19</v>
      </c>
      <c r="AW12" s="3">
        <v>67</v>
      </c>
      <c r="AX12" s="3" t="str">
        <f t="shared" si="5"/>
        <v>BETTER</v>
      </c>
    </row>
    <row r="13" spans="1:50" ht="12.95" customHeight="1">
      <c r="A13" s="50">
        <v>6</v>
      </c>
      <c r="B13" s="49">
        <v>16</v>
      </c>
      <c r="C13" s="52" t="s">
        <v>62</v>
      </c>
      <c r="D13" s="52" t="s">
        <v>104</v>
      </c>
      <c r="E13" s="52" t="s">
        <v>105</v>
      </c>
      <c r="F13" s="7">
        <v>20</v>
      </c>
      <c r="G13" s="7">
        <v>72</v>
      </c>
      <c r="H13" s="2">
        <v>10</v>
      </c>
      <c r="I13" s="2">
        <v>39</v>
      </c>
      <c r="J13" s="8">
        <f t="shared" si="6"/>
        <v>141</v>
      </c>
      <c r="K13" s="2">
        <f t="shared" si="7"/>
        <v>5</v>
      </c>
      <c r="L13" s="66"/>
      <c r="M13" s="7">
        <v>19</v>
      </c>
      <c r="N13" s="2">
        <v>62</v>
      </c>
      <c r="O13" s="2">
        <v>10</v>
      </c>
      <c r="P13" s="2">
        <v>34</v>
      </c>
      <c r="Q13" s="8">
        <f t="shared" si="8"/>
        <v>125</v>
      </c>
      <c r="R13" s="2">
        <f t="shared" si="9"/>
        <v>5</v>
      </c>
      <c r="S13" s="66"/>
      <c r="T13" s="7">
        <v>18</v>
      </c>
      <c r="U13" s="7">
        <v>67</v>
      </c>
      <c r="V13" s="8">
        <f t="shared" si="10"/>
        <v>85</v>
      </c>
      <c r="W13" s="2">
        <f t="shared" si="11"/>
        <v>5</v>
      </c>
      <c r="X13" s="66"/>
      <c r="Y13" s="7">
        <v>19</v>
      </c>
      <c r="Z13" s="2">
        <v>75</v>
      </c>
      <c r="AA13" s="8">
        <f t="shared" si="12"/>
        <v>94</v>
      </c>
      <c r="AB13" s="2">
        <f t="shared" si="13"/>
        <v>5</v>
      </c>
      <c r="AC13" s="66"/>
      <c r="AD13" s="7">
        <v>17</v>
      </c>
      <c r="AE13" s="2">
        <v>64</v>
      </c>
      <c r="AF13" s="8">
        <f t="shared" si="14"/>
        <v>81</v>
      </c>
      <c r="AG13" s="2">
        <f t="shared" si="15"/>
        <v>5</v>
      </c>
      <c r="AH13" s="66"/>
      <c r="AI13" s="7">
        <v>19</v>
      </c>
      <c r="AJ13" s="2">
        <v>73</v>
      </c>
      <c r="AK13" s="8">
        <f t="shared" si="16"/>
        <v>92</v>
      </c>
      <c r="AL13" s="2">
        <f t="shared" si="17"/>
        <v>5</v>
      </c>
      <c r="AM13" s="66"/>
      <c r="AN13" s="2"/>
      <c r="AO13" s="2">
        <v>49</v>
      </c>
      <c r="AP13" s="9">
        <f t="shared" si="18"/>
        <v>49</v>
      </c>
      <c r="AQ13" s="2">
        <f t="shared" si="19"/>
        <v>5</v>
      </c>
      <c r="AR13" s="66"/>
      <c r="AS13" s="2">
        <f t="shared" si="20"/>
        <v>35</v>
      </c>
      <c r="AT13" s="10">
        <f t="shared" si="21"/>
        <v>5</v>
      </c>
      <c r="AU13" s="5">
        <f t="shared" si="22"/>
        <v>618</v>
      </c>
      <c r="AV13" s="3">
        <v>13</v>
      </c>
      <c r="AW13" s="3">
        <v>67</v>
      </c>
      <c r="AX13" s="3" t="str">
        <f t="shared" si="5"/>
        <v>BEST</v>
      </c>
    </row>
    <row r="14" spans="1:50" ht="12.95" customHeight="1">
      <c r="A14" s="50">
        <v>7</v>
      </c>
      <c r="B14" s="49">
        <v>18</v>
      </c>
      <c r="C14" s="52" t="s">
        <v>63</v>
      </c>
      <c r="D14" s="52" t="s">
        <v>106</v>
      </c>
      <c r="E14" s="52" t="s">
        <v>107</v>
      </c>
      <c r="F14" s="7">
        <v>20</v>
      </c>
      <c r="G14" s="7">
        <v>75</v>
      </c>
      <c r="H14" s="2">
        <v>9</v>
      </c>
      <c r="I14" s="2">
        <v>38</v>
      </c>
      <c r="J14" s="8">
        <f t="shared" si="6"/>
        <v>142</v>
      </c>
      <c r="K14" s="2">
        <f t="shared" si="7"/>
        <v>5</v>
      </c>
      <c r="L14" s="66"/>
      <c r="M14" s="7">
        <v>17</v>
      </c>
      <c r="N14" s="2">
        <v>73</v>
      </c>
      <c r="O14" s="2">
        <v>9</v>
      </c>
      <c r="P14" s="2">
        <v>34</v>
      </c>
      <c r="Q14" s="8">
        <f t="shared" si="8"/>
        <v>133</v>
      </c>
      <c r="R14" s="2">
        <f t="shared" si="9"/>
        <v>5</v>
      </c>
      <c r="S14" s="66"/>
      <c r="T14" s="7">
        <v>14</v>
      </c>
      <c r="U14" s="7">
        <v>54</v>
      </c>
      <c r="V14" s="8">
        <f t="shared" si="10"/>
        <v>68</v>
      </c>
      <c r="W14" s="2">
        <f t="shared" si="11"/>
        <v>3.5</v>
      </c>
      <c r="X14" s="66"/>
      <c r="Y14" s="7">
        <v>20</v>
      </c>
      <c r="Z14" s="2">
        <v>80</v>
      </c>
      <c r="AA14" s="8">
        <f t="shared" si="12"/>
        <v>100</v>
      </c>
      <c r="AB14" s="2">
        <f t="shared" si="13"/>
        <v>5</v>
      </c>
      <c r="AC14" s="66"/>
      <c r="AD14" s="7">
        <v>16</v>
      </c>
      <c r="AE14" s="2">
        <v>74</v>
      </c>
      <c r="AF14" s="8">
        <f t="shared" si="14"/>
        <v>90</v>
      </c>
      <c r="AG14" s="2">
        <f t="shared" si="15"/>
        <v>5</v>
      </c>
      <c r="AH14" s="66"/>
      <c r="AI14" s="7">
        <v>20</v>
      </c>
      <c r="AJ14" s="2">
        <v>67</v>
      </c>
      <c r="AK14" s="8">
        <f t="shared" si="16"/>
        <v>87</v>
      </c>
      <c r="AL14" s="2">
        <f t="shared" si="17"/>
        <v>5</v>
      </c>
      <c r="AM14" s="66"/>
      <c r="AN14" s="2"/>
      <c r="AO14" s="2">
        <v>49</v>
      </c>
      <c r="AP14" s="9">
        <f t="shared" si="18"/>
        <v>49</v>
      </c>
      <c r="AQ14" s="2">
        <f t="shared" si="19"/>
        <v>5</v>
      </c>
      <c r="AR14" s="66"/>
      <c r="AS14" s="2">
        <f t="shared" si="20"/>
        <v>33.5</v>
      </c>
      <c r="AT14" s="10">
        <f t="shared" si="21"/>
        <v>4.7857142857142856</v>
      </c>
      <c r="AU14" s="5">
        <f t="shared" si="22"/>
        <v>620</v>
      </c>
      <c r="AV14" s="3">
        <v>12</v>
      </c>
      <c r="AW14" s="3">
        <v>67</v>
      </c>
      <c r="AX14" s="3" t="str">
        <f t="shared" si="5"/>
        <v>BETTER</v>
      </c>
    </row>
    <row r="15" spans="1:50" ht="12.95" customHeight="1">
      <c r="A15" s="50">
        <v>8</v>
      </c>
      <c r="B15" s="49">
        <v>20</v>
      </c>
      <c r="C15" s="52" t="s">
        <v>64</v>
      </c>
      <c r="D15" s="52" t="s">
        <v>108</v>
      </c>
      <c r="E15" s="52" t="s">
        <v>109</v>
      </c>
      <c r="F15" s="7">
        <v>20</v>
      </c>
      <c r="G15" s="7">
        <v>72</v>
      </c>
      <c r="H15" s="2">
        <v>9</v>
      </c>
      <c r="I15" s="2">
        <v>34</v>
      </c>
      <c r="J15" s="8">
        <f t="shared" si="6"/>
        <v>135</v>
      </c>
      <c r="K15" s="2">
        <f t="shared" si="7"/>
        <v>5</v>
      </c>
      <c r="L15" s="66"/>
      <c r="M15" s="7">
        <v>19</v>
      </c>
      <c r="N15" s="2">
        <v>62</v>
      </c>
      <c r="O15" s="2">
        <v>9</v>
      </c>
      <c r="P15" s="2">
        <v>31</v>
      </c>
      <c r="Q15" s="8">
        <f t="shared" si="8"/>
        <v>121</v>
      </c>
      <c r="R15" s="2">
        <f t="shared" si="9"/>
        <v>5</v>
      </c>
      <c r="S15" s="66"/>
      <c r="T15" s="7">
        <v>12</v>
      </c>
      <c r="U15" s="7">
        <v>62</v>
      </c>
      <c r="V15" s="8">
        <f t="shared" si="10"/>
        <v>74</v>
      </c>
      <c r="W15" s="2">
        <f t="shared" si="11"/>
        <v>4</v>
      </c>
      <c r="X15" s="66"/>
      <c r="Y15" s="7">
        <v>20</v>
      </c>
      <c r="Z15" s="2">
        <v>76</v>
      </c>
      <c r="AA15" s="8">
        <f t="shared" si="12"/>
        <v>96</v>
      </c>
      <c r="AB15" s="2">
        <f t="shared" si="13"/>
        <v>5</v>
      </c>
      <c r="AC15" s="66"/>
      <c r="AD15" s="7">
        <v>17</v>
      </c>
      <c r="AE15" s="2">
        <v>67</v>
      </c>
      <c r="AF15" s="8">
        <f t="shared" si="14"/>
        <v>84</v>
      </c>
      <c r="AG15" s="2">
        <f t="shared" si="15"/>
        <v>5</v>
      </c>
      <c r="AH15" s="66"/>
      <c r="AI15" s="7">
        <v>18</v>
      </c>
      <c r="AJ15" s="2">
        <v>75</v>
      </c>
      <c r="AK15" s="8">
        <f t="shared" si="16"/>
        <v>93</v>
      </c>
      <c r="AL15" s="2">
        <f t="shared" si="17"/>
        <v>5</v>
      </c>
      <c r="AM15" s="66"/>
      <c r="AN15" s="2"/>
      <c r="AO15" s="2">
        <v>49</v>
      </c>
      <c r="AP15" s="9">
        <f t="shared" si="18"/>
        <v>49</v>
      </c>
      <c r="AQ15" s="2">
        <f t="shared" si="19"/>
        <v>5</v>
      </c>
      <c r="AR15" s="66"/>
      <c r="AS15" s="2">
        <f t="shared" si="20"/>
        <v>34</v>
      </c>
      <c r="AT15" s="10">
        <f t="shared" si="21"/>
        <v>4.8571428571428568</v>
      </c>
      <c r="AU15" s="5">
        <f t="shared" si="22"/>
        <v>603</v>
      </c>
      <c r="AV15" s="3">
        <v>15</v>
      </c>
      <c r="AW15" s="3">
        <v>67</v>
      </c>
      <c r="AX15" s="3" t="str">
        <f t="shared" si="5"/>
        <v>BETTER</v>
      </c>
    </row>
    <row r="16" spans="1:50" ht="12.95" customHeight="1">
      <c r="A16" s="50">
        <v>9</v>
      </c>
      <c r="B16" s="49">
        <v>22</v>
      </c>
      <c r="C16" s="52" t="s">
        <v>65</v>
      </c>
      <c r="D16" s="52" t="s">
        <v>110</v>
      </c>
      <c r="E16" s="52" t="s">
        <v>111</v>
      </c>
      <c r="F16" s="7">
        <v>20</v>
      </c>
      <c r="G16" s="7">
        <v>73</v>
      </c>
      <c r="H16" s="2">
        <v>10</v>
      </c>
      <c r="I16" s="2">
        <v>39</v>
      </c>
      <c r="J16" s="8">
        <f t="shared" si="6"/>
        <v>142</v>
      </c>
      <c r="K16" s="2">
        <f t="shared" si="7"/>
        <v>5</v>
      </c>
      <c r="L16" s="66"/>
      <c r="M16" s="7">
        <v>19</v>
      </c>
      <c r="N16" s="2">
        <v>63</v>
      </c>
      <c r="O16" s="2">
        <v>9</v>
      </c>
      <c r="P16" s="2">
        <v>31</v>
      </c>
      <c r="Q16" s="8">
        <f t="shared" si="8"/>
        <v>122</v>
      </c>
      <c r="R16" s="2">
        <f t="shared" si="9"/>
        <v>5</v>
      </c>
      <c r="S16" s="66"/>
      <c r="T16" s="7">
        <v>9</v>
      </c>
      <c r="U16" s="7">
        <v>35</v>
      </c>
      <c r="V16" s="8">
        <f t="shared" si="10"/>
        <v>44</v>
      </c>
      <c r="W16" s="2">
        <f t="shared" si="11"/>
        <v>2</v>
      </c>
      <c r="X16" s="66"/>
      <c r="Y16" s="7">
        <v>20</v>
      </c>
      <c r="Z16" s="2">
        <v>78</v>
      </c>
      <c r="AA16" s="8">
        <f t="shared" si="12"/>
        <v>98</v>
      </c>
      <c r="AB16" s="2">
        <f t="shared" si="13"/>
        <v>5</v>
      </c>
      <c r="AC16" s="66"/>
      <c r="AD16" s="7">
        <v>14</v>
      </c>
      <c r="AE16" s="2">
        <v>66</v>
      </c>
      <c r="AF16" s="8">
        <f t="shared" si="14"/>
        <v>80</v>
      </c>
      <c r="AG16" s="2">
        <f t="shared" si="15"/>
        <v>5</v>
      </c>
      <c r="AH16" s="66"/>
      <c r="AI16" s="7">
        <v>20</v>
      </c>
      <c r="AJ16" s="2">
        <v>74</v>
      </c>
      <c r="AK16" s="8">
        <f t="shared" si="16"/>
        <v>94</v>
      </c>
      <c r="AL16" s="2">
        <f t="shared" si="17"/>
        <v>5</v>
      </c>
      <c r="AM16" s="66"/>
      <c r="AN16" s="2"/>
      <c r="AO16" s="2">
        <v>49</v>
      </c>
      <c r="AP16" s="9">
        <f t="shared" si="18"/>
        <v>49</v>
      </c>
      <c r="AQ16" s="2">
        <f t="shared" si="19"/>
        <v>5</v>
      </c>
      <c r="AR16" s="66"/>
      <c r="AS16" s="2">
        <f t="shared" si="20"/>
        <v>32</v>
      </c>
      <c r="AT16" s="10">
        <f t="shared" si="21"/>
        <v>4.5714285714285712</v>
      </c>
      <c r="AU16" s="5">
        <f t="shared" si="22"/>
        <v>580</v>
      </c>
      <c r="AV16" s="3">
        <v>23</v>
      </c>
      <c r="AW16" s="3">
        <v>67</v>
      </c>
      <c r="AX16" s="3" t="str">
        <f t="shared" si="5"/>
        <v>BETTER</v>
      </c>
    </row>
    <row r="17" spans="1:64" ht="12.95" customHeight="1">
      <c r="A17" s="50">
        <v>10</v>
      </c>
      <c r="B17" s="49">
        <v>24</v>
      </c>
      <c r="C17" s="52" t="s">
        <v>66</v>
      </c>
      <c r="D17" s="52" t="s">
        <v>112</v>
      </c>
      <c r="E17" s="52" t="s">
        <v>113</v>
      </c>
      <c r="F17" s="7">
        <v>20</v>
      </c>
      <c r="G17" s="7">
        <v>75</v>
      </c>
      <c r="H17" s="2">
        <v>10</v>
      </c>
      <c r="I17" s="2">
        <v>36</v>
      </c>
      <c r="J17" s="8">
        <f t="shared" si="6"/>
        <v>141</v>
      </c>
      <c r="K17" s="2">
        <f t="shared" si="7"/>
        <v>5</v>
      </c>
      <c r="L17" s="66"/>
      <c r="M17" s="7">
        <v>20</v>
      </c>
      <c r="N17" s="2">
        <v>59</v>
      </c>
      <c r="O17" s="2">
        <v>9</v>
      </c>
      <c r="P17" s="2">
        <v>23</v>
      </c>
      <c r="Q17" s="8">
        <f t="shared" si="8"/>
        <v>111</v>
      </c>
      <c r="R17" s="2">
        <f t="shared" si="9"/>
        <v>4</v>
      </c>
      <c r="S17" s="66"/>
      <c r="T17" s="7">
        <v>10</v>
      </c>
      <c r="U17" s="7">
        <v>34</v>
      </c>
      <c r="V17" s="8">
        <f t="shared" si="10"/>
        <v>44</v>
      </c>
      <c r="W17" s="2">
        <f t="shared" si="11"/>
        <v>2</v>
      </c>
      <c r="X17" s="66"/>
      <c r="Y17" s="7">
        <v>20</v>
      </c>
      <c r="Z17" s="2">
        <v>78</v>
      </c>
      <c r="AA17" s="8">
        <f t="shared" si="12"/>
        <v>98</v>
      </c>
      <c r="AB17" s="2">
        <f t="shared" si="13"/>
        <v>5</v>
      </c>
      <c r="AC17" s="66"/>
      <c r="AD17" s="7">
        <v>17</v>
      </c>
      <c r="AE17" s="2">
        <v>67</v>
      </c>
      <c r="AF17" s="8">
        <f t="shared" si="14"/>
        <v>84</v>
      </c>
      <c r="AG17" s="2">
        <f t="shared" si="15"/>
        <v>5</v>
      </c>
      <c r="AH17" s="66"/>
      <c r="AI17" s="7">
        <v>20</v>
      </c>
      <c r="AJ17" s="2">
        <v>68</v>
      </c>
      <c r="AK17" s="8">
        <f t="shared" si="16"/>
        <v>88</v>
      </c>
      <c r="AL17" s="2">
        <f t="shared" si="17"/>
        <v>5</v>
      </c>
      <c r="AM17" s="66"/>
      <c r="AN17" s="2"/>
      <c r="AO17" s="2">
        <v>49</v>
      </c>
      <c r="AP17" s="9">
        <f t="shared" si="18"/>
        <v>49</v>
      </c>
      <c r="AQ17" s="2">
        <f t="shared" si="19"/>
        <v>5</v>
      </c>
      <c r="AR17" s="66"/>
      <c r="AS17" s="2">
        <f t="shared" si="20"/>
        <v>31</v>
      </c>
      <c r="AT17" s="10">
        <f t="shared" si="21"/>
        <v>4.4285714285714288</v>
      </c>
      <c r="AU17" s="5">
        <f t="shared" si="22"/>
        <v>566</v>
      </c>
      <c r="AV17" s="3">
        <v>29</v>
      </c>
      <c r="AW17" s="3">
        <v>67</v>
      </c>
      <c r="AX17" s="3" t="str">
        <f t="shared" si="5"/>
        <v>BETTER</v>
      </c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ht="12.95" customHeight="1">
      <c r="A18" s="50">
        <v>11</v>
      </c>
      <c r="B18" s="49">
        <v>26</v>
      </c>
      <c r="C18" s="52" t="s">
        <v>67</v>
      </c>
      <c r="D18" s="52" t="s">
        <v>114</v>
      </c>
      <c r="E18" s="52" t="s">
        <v>115</v>
      </c>
      <c r="F18" s="7">
        <v>20</v>
      </c>
      <c r="G18" s="7">
        <v>78</v>
      </c>
      <c r="H18" s="2">
        <v>10</v>
      </c>
      <c r="I18" s="2">
        <v>40</v>
      </c>
      <c r="J18" s="8">
        <f t="shared" si="6"/>
        <v>148</v>
      </c>
      <c r="K18" s="2">
        <f t="shared" si="7"/>
        <v>5</v>
      </c>
      <c r="L18" s="66"/>
      <c r="M18" s="7">
        <v>18</v>
      </c>
      <c r="N18" s="2">
        <v>69</v>
      </c>
      <c r="O18" s="2">
        <v>10</v>
      </c>
      <c r="P18" s="2">
        <v>36</v>
      </c>
      <c r="Q18" s="8">
        <f t="shared" si="8"/>
        <v>133</v>
      </c>
      <c r="R18" s="2">
        <f t="shared" si="9"/>
        <v>5</v>
      </c>
      <c r="S18" s="66"/>
      <c r="T18" s="7">
        <v>10</v>
      </c>
      <c r="U18" s="7">
        <v>40</v>
      </c>
      <c r="V18" s="8">
        <f t="shared" si="10"/>
        <v>50</v>
      </c>
      <c r="W18" s="2">
        <f t="shared" si="11"/>
        <v>3</v>
      </c>
      <c r="X18" s="66"/>
      <c r="Y18" s="7">
        <v>20</v>
      </c>
      <c r="Z18" s="2">
        <v>80</v>
      </c>
      <c r="AA18" s="8">
        <f t="shared" si="12"/>
        <v>100</v>
      </c>
      <c r="AB18" s="2">
        <f t="shared" si="13"/>
        <v>5</v>
      </c>
      <c r="AC18" s="66"/>
      <c r="AD18" s="7">
        <v>17</v>
      </c>
      <c r="AE18" s="2">
        <v>78</v>
      </c>
      <c r="AF18" s="8">
        <f t="shared" si="14"/>
        <v>95</v>
      </c>
      <c r="AG18" s="2">
        <f t="shared" si="15"/>
        <v>5</v>
      </c>
      <c r="AH18" s="66"/>
      <c r="AI18" s="7">
        <v>19</v>
      </c>
      <c r="AJ18" s="2">
        <v>78</v>
      </c>
      <c r="AK18" s="8">
        <f t="shared" si="16"/>
        <v>97</v>
      </c>
      <c r="AL18" s="2">
        <f t="shared" si="17"/>
        <v>5</v>
      </c>
      <c r="AM18" s="66"/>
      <c r="AN18" s="2"/>
      <c r="AO18" s="2">
        <v>49</v>
      </c>
      <c r="AP18" s="9">
        <f t="shared" si="18"/>
        <v>49</v>
      </c>
      <c r="AQ18" s="2">
        <f t="shared" si="19"/>
        <v>5</v>
      </c>
      <c r="AR18" s="66"/>
      <c r="AS18" s="2">
        <f t="shared" si="20"/>
        <v>33</v>
      </c>
      <c r="AT18" s="10">
        <f t="shared" si="21"/>
        <v>4.7142857142857144</v>
      </c>
      <c r="AU18" s="5">
        <f t="shared" si="22"/>
        <v>623</v>
      </c>
      <c r="AV18" s="3">
        <v>10</v>
      </c>
      <c r="AW18" s="3">
        <v>65</v>
      </c>
      <c r="AX18" s="3" t="str">
        <f t="shared" si="5"/>
        <v>BETTER</v>
      </c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ht="12.95" customHeight="1">
      <c r="A19" s="50">
        <v>12</v>
      </c>
      <c r="B19" s="49">
        <v>28</v>
      </c>
      <c r="C19" s="52" t="s">
        <v>68</v>
      </c>
      <c r="D19" s="52" t="s">
        <v>116</v>
      </c>
      <c r="E19" s="52" t="s">
        <v>117</v>
      </c>
      <c r="F19" s="7">
        <v>20</v>
      </c>
      <c r="G19" s="7">
        <v>54</v>
      </c>
      <c r="H19" s="2">
        <v>10</v>
      </c>
      <c r="I19" s="2">
        <v>27</v>
      </c>
      <c r="J19" s="8">
        <f t="shared" si="6"/>
        <v>111</v>
      </c>
      <c r="K19" s="2">
        <f t="shared" si="7"/>
        <v>4</v>
      </c>
      <c r="L19" s="66"/>
      <c r="M19" s="7">
        <v>19</v>
      </c>
      <c r="N19" s="2">
        <v>57</v>
      </c>
      <c r="O19" s="2">
        <v>10</v>
      </c>
      <c r="P19" s="2">
        <v>27</v>
      </c>
      <c r="Q19" s="8">
        <f t="shared" si="8"/>
        <v>113</v>
      </c>
      <c r="R19" s="2">
        <f t="shared" si="9"/>
        <v>4</v>
      </c>
      <c r="S19" s="66"/>
      <c r="T19" s="7">
        <v>13</v>
      </c>
      <c r="U19" s="7">
        <v>42</v>
      </c>
      <c r="V19" s="8">
        <f t="shared" si="10"/>
        <v>55</v>
      </c>
      <c r="W19" s="2">
        <f t="shared" si="11"/>
        <v>3</v>
      </c>
      <c r="X19" s="66"/>
      <c r="Y19" s="7">
        <v>20</v>
      </c>
      <c r="Z19" s="2">
        <v>77</v>
      </c>
      <c r="AA19" s="8">
        <f t="shared" si="12"/>
        <v>97</v>
      </c>
      <c r="AB19" s="2">
        <f t="shared" si="13"/>
        <v>5</v>
      </c>
      <c r="AC19" s="66"/>
      <c r="AD19" s="7">
        <v>14</v>
      </c>
      <c r="AE19" s="2">
        <v>54</v>
      </c>
      <c r="AF19" s="8">
        <f t="shared" si="14"/>
        <v>68</v>
      </c>
      <c r="AG19" s="2">
        <f t="shared" si="15"/>
        <v>3.5</v>
      </c>
      <c r="AH19" s="66"/>
      <c r="AI19" s="7">
        <v>17</v>
      </c>
      <c r="AJ19" s="2">
        <v>64</v>
      </c>
      <c r="AK19" s="8">
        <f t="shared" si="16"/>
        <v>81</v>
      </c>
      <c r="AL19" s="2">
        <f t="shared" si="17"/>
        <v>5</v>
      </c>
      <c r="AM19" s="66"/>
      <c r="AN19" s="2"/>
      <c r="AO19" s="2">
        <v>49</v>
      </c>
      <c r="AP19" s="9">
        <f t="shared" si="18"/>
        <v>49</v>
      </c>
      <c r="AQ19" s="2">
        <f t="shared" si="19"/>
        <v>5</v>
      </c>
      <c r="AR19" s="66"/>
      <c r="AS19" s="2">
        <f t="shared" si="20"/>
        <v>29.5</v>
      </c>
      <c r="AT19" s="10">
        <f t="shared" si="21"/>
        <v>4.2142857142857144</v>
      </c>
      <c r="AU19" s="5">
        <f t="shared" si="22"/>
        <v>525</v>
      </c>
      <c r="AV19" s="3">
        <v>38</v>
      </c>
      <c r="AW19" s="3">
        <v>66</v>
      </c>
      <c r="AX19" s="3" t="str">
        <f t="shared" si="5"/>
        <v>BETTER</v>
      </c>
    </row>
    <row r="20" spans="1:64" ht="12.95" customHeight="1">
      <c r="A20" s="50">
        <v>13</v>
      </c>
      <c r="B20" s="49">
        <v>30</v>
      </c>
      <c r="C20" s="52" t="s">
        <v>69</v>
      </c>
      <c r="D20" s="52" t="s">
        <v>118</v>
      </c>
      <c r="E20" s="52" t="s">
        <v>119</v>
      </c>
      <c r="F20" s="7">
        <v>20</v>
      </c>
      <c r="G20" s="7">
        <v>68</v>
      </c>
      <c r="H20" s="2">
        <v>6</v>
      </c>
      <c r="I20" s="2">
        <v>34</v>
      </c>
      <c r="J20" s="8">
        <f t="shared" si="6"/>
        <v>128</v>
      </c>
      <c r="K20" s="2">
        <f t="shared" si="7"/>
        <v>5</v>
      </c>
      <c r="L20" s="66"/>
      <c r="M20" s="7">
        <v>18</v>
      </c>
      <c r="N20" s="2">
        <v>67</v>
      </c>
      <c r="O20" s="2">
        <v>8</v>
      </c>
      <c r="P20" s="2">
        <v>26</v>
      </c>
      <c r="Q20" s="8">
        <f t="shared" si="8"/>
        <v>119</v>
      </c>
      <c r="R20" s="2">
        <f t="shared" si="9"/>
        <v>4</v>
      </c>
      <c r="S20" s="66"/>
      <c r="T20" s="7">
        <v>8</v>
      </c>
      <c r="U20" s="7">
        <v>50</v>
      </c>
      <c r="V20" s="8">
        <f t="shared" si="10"/>
        <v>58</v>
      </c>
      <c r="W20" s="2">
        <f t="shared" si="11"/>
        <v>3</v>
      </c>
      <c r="X20" s="66"/>
      <c r="Y20" s="7">
        <v>18</v>
      </c>
      <c r="Z20" s="2">
        <v>70</v>
      </c>
      <c r="AA20" s="8">
        <f t="shared" si="12"/>
        <v>88</v>
      </c>
      <c r="AB20" s="2">
        <f t="shared" si="13"/>
        <v>5</v>
      </c>
      <c r="AC20" s="66"/>
      <c r="AD20" s="7">
        <v>11</v>
      </c>
      <c r="AE20" s="2">
        <v>70</v>
      </c>
      <c r="AF20" s="8">
        <f t="shared" si="14"/>
        <v>81</v>
      </c>
      <c r="AG20" s="2">
        <f t="shared" si="15"/>
        <v>5</v>
      </c>
      <c r="AH20" s="66"/>
      <c r="AI20" s="7">
        <v>13</v>
      </c>
      <c r="AJ20" s="2">
        <v>50</v>
      </c>
      <c r="AK20" s="8">
        <f t="shared" si="16"/>
        <v>63</v>
      </c>
      <c r="AL20" s="2">
        <f t="shared" si="17"/>
        <v>3.5</v>
      </c>
      <c r="AM20" s="66"/>
      <c r="AN20" s="2"/>
      <c r="AO20" s="2">
        <v>48</v>
      </c>
      <c r="AP20" s="9">
        <f t="shared" si="18"/>
        <v>48</v>
      </c>
      <c r="AQ20" s="2">
        <f t="shared" si="19"/>
        <v>5</v>
      </c>
      <c r="AR20" s="66"/>
      <c r="AS20" s="2">
        <f t="shared" si="20"/>
        <v>30.5</v>
      </c>
      <c r="AT20" s="10">
        <f t="shared" si="21"/>
        <v>4.3571428571428568</v>
      </c>
      <c r="AU20" s="5">
        <f t="shared" si="22"/>
        <v>537</v>
      </c>
      <c r="AV20" s="3">
        <v>34</v>
      </c>
      <c r="AW20" s="3">
        <v>65</v>
      </c>
      <c r="AX20" s="3" t="str">
        <f t="shared" si="5"/>
        <v>BETTER</v>
      </c>
    </row>
    <row r="21" spans="1:64" ht="12.95" customHeight="1">
      <c r="A21" s="50">
        <v>14</v>
      </c>
      <c r="B21" s="49">
        <v>32</v>
      </c>
      <c r="C21" s="52" t="s">
        <v>70</v>
      </c>
      <c r="D21" s="52" t="s">
        <v>120</v>
      </c>
      <c r="E21" s="52" t="s">
        <v>121</v>
      </c>
      <c r="F21" s="7">
        <v>5</v>
      </c>
      <c r="G21" s="7">
        <v>70</v>
      </c>
      <c r="H21" s="2">
        <v>0</v>
      </c>
      <c r="I21" s="2">
        <v>31</v>
      </c>
      <c r="J21" s="8">
        <f t="shared" si="6"/>
        <v>106</v>
      </c>
      <c r="K21" s="2">
        <f t="shared" si="7"/>
        <v>4</v>
      </c>
      <c r="L21" s="66"/>
      <c r="M21" s="7">
        <v>4</v>
      </c>
      <c r="N21" s="2">
        <v>60</v>
      </c>
      <c r="O21" s="2"/>
      <c r="P21" s="2">
        <v>27</v>
      </c>
      <c r="Q21" s="8">
        <f t="shared" si="8"/>
        <v>91</v>
      </c>
      <c r="R21" s="2">
        <f t="shared" si="9"/>
        <v>3.5</v>
      </c>
      <c r="S21" s="66"/>
      <c r="T21" s="7">
        <v>4</v>
      </c>
      <c r="U21" s="7">
        <v>47</v>
      </c>
      <c r="V21" s="8">
        <f t="shared" si="10"/>
        <v>51</v>
      </c>
      <c r="W21" s="2">
        <f t="shared" si="11"/>
        <v>3</v>
      </c>
      <c r="X21" s="66"/>
      <c r="Y21" s="7"/>
      <c r="Z21" s="2">
        <v>71</v>
      </c>
      <c r="AA21" s="8">
        <f t="shared" si="12"/>
        <v>71</v>
      </c>
      <c r="AB21" s="2">
        <f t="shared" si="13"/>
        <v>4</v>
      </c>
      <c r="AC21" s="66"/>
      <c r="AD21" s="7"/>
      <c r="AE21" s="2">
        <v>67</v>
      </c>
      <c r="AF21" s="8">
        <f t="shared" si="14"/>
        <v>67</v>
      </c>
      <c r="AG21" s="2">
        <f t="shared" si="15"/>
        <v>3.5</v>
      </c>
      <c r="AH21" s="66"/>
      <c r="AI21" s="7">
        <v>5</v>
      </c>
      <c r="AJ21" s="2">
        <v>64</v>
      </c>
      <c r="AK21" s="8">
        <f t="shared" si="16"/>
        <v>69</v>
      </c>
      <c r="AL21" s="2">
        <f t="shared" si="17"/>
        <v>3.5</v>
      </c>
      <c r="AM21" s="66"/>
      <c r="AN21" s="2"/>
      <c r="AO21" s="2">
        <v>49</v>
      </c>
      <c r="AP21" s="9">
        <f t="shared" si="18"/>
        <v>49</v>
      </c>
      <c r="AQ21" s="2">
        <f t="shared" si="19"/>
        <v>5</v>
      </c>
      <c r="AR21" s="66"/>
      <c r="AS21" s="2">
        <f t="shared" si="20"/>
        <v>26.5</v>
      </c>
      <c r="AT21" s="10">
        <f t="shared" si="21"/>
        <v>3.7857142857142856</v>
      </c>
      <c r="AU21" s="5">
        <f t="shared" si="22"/>
        <v>455</v>
      </c>
      <c r="AV21" s="3">
        <v>43</v>
      </c>
      <c r="AW21" s="3">
        <v>58</v>
      </c>
      <c r="AX21" s="3" t="str">
        <f t="shared" si="5"/>
        <v>GOOD</v>
      </c>
    </row>
    <row r="22" spans="1:64" ht="12.95" customHeight="1">
      <c r="A22" s="50">
        <v>15</v>
      </c>
      <c r="B22" s="49">
        <v>34</v>
      </c>
      <c r="C22" s="52" t="s">
        <v>71</v>
      </c>
      <c r="D22" s="52" t="s">
        <v>122</v>
      </c>
      <c r="E22" s="52" t="s">
        <v>123</v>
      </c>
      <c r="F22" s="7">
        <v>20</v>
      </c>
      <c r="G22" s="7">
        <v>73</v>
      </c>
      <c r="H22" s="2">
        <v>9</v>
      </c>
      <c r="I22" s="2">
        <v>38</v>
      </c>
      <c r="J22" s="8">
        <f t="shared" si="6"/>
        <v>140</v>
      </c>
      <c r="K22" s="2">
        <f t="shared" si="7"/>
        <v>5</v>
      </c>
      <c r="L22" s="66"/>
      <c r="M22" s="7">
        <v>17</v>
      </c>
      <c r="N22" s="2">
        <v>53</v>
      </c>
      <c r="O22" s="2">
        <v>7</v>
      </c>
      <c r="P22" s="2">
        <v>19</v>
      </c>
      <c r="Q22" s="8">
        <f t="shared" si="8"/>
        <v>96</v>
      </c>
      <c r="R22" s="2">
        <f t="shared" si="9"/>
        <v>3.5</v>
      </c>
      <c r="S22" s="66"/>
      <c r="T22" s="7">
        <v>9</v>
      </c>
      <c r="U22" s="7">
        <v>58</v>
      </c>
      <c r="V22" s="8">
        <f t="shared" si="10"/>
        <v>67</v>
      </c>
      <c r="W22" s="2">
        <f t="shared" si="11"/>
        <v>3.5</v>
      </c>
      <c r="X22" s="66"/>
      <c r="Y22" s="7">
        <v>20</v>
      </c>
      <c r="Z22" s="2">
        <v>76</v>
      </c>
      <c r="AA22" s="8">
        <f t="shared" si="12"/>
        <v>96</v>
      </c>
      <c r="AB22" s="2">
        <f t="shared" si="13"/>
        <v>5</v>
      </c>
      <c r="AC22" s="66"/>
      <c r="AD22" s="7">
        <v>13</v>
      </c>
      <c r="AE22" s="2">
        <v>64</v>
      </c>
      <c r="AF22" s="8">
        <f t="shared" si="14"/>
        <v>77</v>
      </c>
      <c r="AG22" s="2">
        <f t="shared" si="15"/>
        <v>4</v>
      </c>
      <c r="AH22" s="66"/>
      <c r="AI22" s="7">
        <v>17</v>
      </c>
      <c r="AJ22" s="2">
        <v>62</v>
      </c>
      <c r="AK22" s="8">
        <f t="shared" si="16"/>
        <v>79</v>
      </c>
      <c r="AL22" s="2">
        <f t="shared" si="17"/>
        <v>4</v>
      </c>
      <c r="AM22" s="66"/>
      <c r="AN22" s="2"/>
      <c r="AO22" s="2">
        <v>47</v>
      </c>
      <c r="AP22" s="9">
        <f t="shared" si="18"/>
        <v>47</v>
      </c>
      <c r="AQ22" s="2">
        <f t="shared" si="19"/>
        <v>5</v>
      </c>
      <c r="AR22" s="66"/>
      <c r="AS22" s="2">
        <f t="shared" si="20"/>
        <v>30</v>
      </c>
      <c r="AT22" s="10">
        <f t="shared" si="21"/>
        <v>4.2857142857142856</v>
      </c>
      <c r="AU22" s="5">
        <f t="shared" si="22"/>
        <v>555</v>
      </c>
      <c r="AV22" s="3">
        <v>30</v>
      </c>
      <c r="AW22" s="3">
        <v>64</v>
      </c>
      <c r="AX22" s="3" t="str">
        <f t="shared" si="5"/>
        <v>BETTER</v>
      </c>
    </row>
    <row r="23" spans="1:64" ht="12.95" customHeight="1">
      <c r="A23" s="50">
        <v>16</v>
      </c>
      <c r="B23" s="49">
        <v>36</v>
      </c>
      <c r="C23" s="52" t="s">
        <v>72</v>
      </c>
      <c r="D23" s="52" t="s">
        <v>124</v>
      </c>
      <c r="E23" s="52" t="s">
        <v>125</v>
      </c>
      <c r="F23" s="7">
        <v>15</v>
      </c>
      <c r="G23" s="7">
        <v>61</v>
      </c>
      <c r="H23" s="2">
        <v>7</v>
      </c>
      <c r="I23" s="2">
        <v>26</v>
      </c>
      <c r="J23" s="8">
        <f t="shared" si="6"/>
        <v>109</v>
      </c>
      <c r="K23" s="2">
        <f t="shared" si="7"/>
        <v>4</v>
      </c>
      <c r="L23" s="66"/>
      <c r="M23" s="7">
        <v>18</v>
      </c>
      <c r="N23" s="2">
        <v>32</v>
      </c>
      <c r="O23" s="2">
        <v>7</v>
      </c>
      <c r="P23" s="2">
        <v>18</v>
      </c>
      <c r="Q23" s="8">
        <f t="shared" si="8"/>
        <v>75</v>
      </c>
      <c r="R23" s="2">
        <f t="shared" si="9"/>
        <v>3</v>
      </c>
      <c r="S23" s="66"/>
      <c r="T23" s="7">
        <v>13</v>
      </c>
      <c r="U23" s="7">
        <v>14</v>
      </c>
      <c r="V23" s="8">
        <f t="shared" si="10"/>
        <v>27</v>
      </c>
      <c r="W23" s="2" t="str">
        <f t="shared" si="11"/>
        <v>F</v>
      </c>
      <c r="X23" s="66"/>
      <c r="Y23" s="7">
        <v>19</v>
      </c>
      <c r="Z23" s="2">
        <v>73</v>
      </c>
      <c r="AA23" s="8">
        <f t="shared" si="12"/>
        <v>92</v>
      </c>
      <c r="AB23" s="2">
        <f t="shared" si="13"/>
        <v>5</v>
      </c>
      <c r="AC23" s="66"/>
      <c r="AD23" s="7">
        <v>11</v>
      </c>
      <c r="AE23" s="2">
        <v>43</v>
      </c>
      <c r="AF23" s="8">
        <f t="shared" si="14"/>
        <v>54</v>
      </c>
      <c r="AG23" s="2">
        <f t="shared" si="15"/>
        <v>3</v>
      </c>
      <c r="AH23" s="66"/>
      <c r="AI23" s="7">
        <v>12</v>
      </c>
      <c r="AJ23" s="2">
        <v>43</v>
      </c>
      <c r="AK23" s="8">
        <f t="shared" si="16"/>
        <v>55</v>
      </c>
      <c r="AL23" s="2">
        <f t="shared" si="17"/>
        <v>3</v>
      </c>
      <c r="AM23" s="66"/>
      <c r="AN23" s="2"/>
      <c r="AO23" s="2">
        <v>33</v>
      </c>
      <c r="AP23" s="9">
        <f t="shared" si="18"/>
        <v>33</v>
      </c>
      <c r="AQ23" s="2">
        <f t="shared" si="19"/>
        <v>3.5</v>
      </c>
      <c r="AR23" s="66"/>
      <c r="AS23" s="2" t="str">
        <f t="shared" si="20"/>
        <v>F</v>
      </c>
      <c r="AT23" s="10" t="str">
        <f t="shared" si="21"/>
        <v>F</v>
      </c>
      <c r="AU23" s="5">
        <f t="shared" si="22"/>
        <v>412</v>
      </c>
      <c r="AV23" s="3"/>
      <c r="AW23" s="3">
        <v>57</v>
      </c>
      <c r="AX23" s="3" t="str">
        <f t="shared" si="5"/>
        <v>NEED TO PROGRESS</v>
      </c>
    </row>
    <row r="24" spans="1:64" ht="12.95" customHeight="1">
      <c r="A24" s="50">
        <v>17</v>
      </c>
      <c r="B24" s="49">
        <v>38</v>
      </c>
      <c r="C24" s="52" t="s">
        <v>73</v>
      </c>
      <c r="D24" s="52" t="s">
        <v>126</v>
      </c>
      <c r="E24" s="52" t="s">
        <v>127</v>
      </c>
      <c r="F24" s="7">
        <v>16</v>
      </c>
      <c r="G24" s="7">
        <v>38</v>
      </c>
      <c r="H24" s="2">
        <v>7</v>
      </c>
      <c r="I24" s="2">
        <v>17</v>
      </c>
      <c r="J24" s="8">
        <f t="shared" si="6"/>
        <v>78</v>
      </c>
      <c r="K24" s="2">
        <f t="shared" si="7"/>
        <v>3</v>
      </c>
      <c r="L24" s="66"/>
      <c r="M24" s="7">
        <v>10</v>
      </c>
      <c r="N24" s="2">
        <v>32</v>
      </c>
      <c r="O24" s="2">
        <v>5</v>
      </c>
      <c r="P24" s="2">
        <v>11</v>
      </c>
      <c r="Q24" s="8">
        <f t="shared" si="8"/>
        <v>58</v>
      </c>
      <c r="R24" s="2" t="str">
        <f t="shared" si="9"/>
        <v>F</v>
      </c>
      <c r="S24" s="66"/>
      <c r="T24" s="7">
        <v>5</v>
      </c>
      <c r="U24" s="7">
        <v>2</v>
      </c>
      <c r="V24" s="8">
        <f t="shared" si="10"/>
        <v>7</v>
      </c>
      <c r="W24" s="2" t="str">
        <f t="shared" si="11"/>
        <v>F</v>
      </c>
      <c r="X24" s="66"/>
      <c r="Y24" s="7">
        <v>14</v>
      </c>
      <c r="Z24" s="2">
        <v>38</v>
      </c>
      <c r="AA24" s="8">
        <f t="shared" si="12"/>
        <v>52</v>
      </c>
      <c r="AB24" s="2">
        <f t="shared" si="13"/>
        <v>3</v>
      </c>
      <c r="AC24" s="66"/>
      <c r="AD24" s="7">
        <v>5</v>
      </c>
      <c r="AE24" s="2">
        <v>35</v>
      </c>
      <c r="AF24" s="8">
        <f t="shared" si="14"/>
        <v>40</v>
      </c>
      <c r="AG24" s="2">
        <f t="shared" si="15"/>
        <v>2</v>
      </c>
      <c r="AH24" s="66"/>
      <c r="AI24" s="7">
        <v>8</v>
      </c>
      <c r="AJ24" s="2">
        <v>8</v>
      </c>
      <c r="AK24" s="8">
        <f t="shared" si="16"/>
        <v>16</v>
      </c>
      <c r="AL24" s="2" t="str">
        <f t="shared" si="17"/>
        <v>F</v>
      </c>
      <c r="AM24" s="66"/>
      <c r="AN24" s="2"/>
      <c r="AO24" s="2">
        <v>21</v>
      </c>
      <c r="AP24" s="9">
        <f t="shared" si="18"/>
        <v>21</v>
      </c>
      <c r="AQ24" s="2">
        <f t="shared" si="19"/>
        <v>2</v>
      </c>
      <c r="AR24" s="66"/>
      <c r="AS24" s="2" t="str">
        <f t="shared" si="20"/>
        <v>F</v>
      </c>
      <c r="AT24" s="10" t="str">
        <f t="shared" si="21"/>
        <v>F</v>
      </c>
      <c r="AU24" s="5">
        <f t="shared" si="22"/>
        <v>251</v>
      </c>
      <c r="AV24" s="3"/>
      <c r="AW24" s="3">
        <v>62</v>
      </c>
      <c r="AX24" s="3" t="str">
        <f t="shared" si="5"/>
        <v>NEED TO PROGRESS</v>
      </c>
    </row>
    <row r="25" spans="1:64" ht="12.95" customHeight="1">
      <c r="A25" s="50">
        <v>18</v>
      </c>
      <c r="B25" s="49">
        <v>40</v>
      </c>
      <c r="C25" s="52" t="s">
        <v>74</v>
      </c>
      <c r="D25" s="52" t="s">
        <v>128</v>
      </c>
      <c r="E25" s="52" t="s">
        <v>129</v>
      </c>
      <c r="F25" s="7">
        <v>20</v>
      </c>
      <c r="G25" s="7">
        <v>72</v>
      </c>
      <c r="H25" s="2">
        <v>7</v>
      </c>
      <c r="I25" s="2">
        <v>31</v>
      </c>
      <c r="J25" s="8">
        <f t="shared" si="6"/>
        <v>130</v>
      </c>
      <c r="K25" s="2">
        <f t="shared" si="7"/>
        <v>5</v>
      </c>
      <c r="L25" s="66"/>
      <c r="M25" s="7">
        <v>19</v>
      </c>
      <c r="N25" s="2">
        <v>53</v>
      </c>
      <c r="O25" s="2">
        <v>9</v>
      </c>
      <c r="P25" s="2">
        <v>27</v>
      </c>
      <c r="Q25" s="8">
        <f t="shared" si="8"/>
        <v>108</v>
      </c>
      <c r="R25" s="2">
        <f t="shared" si="9"/>
        <v>4</v>
      </c>
      <c r="S25" s="66"/>
      <c r="T25" s="7">
        <v>12</v>
      </c>
      <c r="U25" s="7">
        <v>32</v>
      </c>
      <c r="V25" s="8">
        <f t="shared" si="10"/>
        <v>44</v>
      </c>
      <c r="W25" s="2">
        <f t="shared" si="11"/>
        <v>2</v>
      </c>
      <c r="X25" s="66"/>
      <c r="Y25" s="7">
        <v>20</v>
      </c>
      <c r="Z25" s="2">
        <v>77</v>
      </c>
      <c r="AA25" s="8">
        <f t="shared" si="12"/>
        <v>97</v>
      </c>
      <c r="AB25" s="2">
        <f t="shared" si="13"/>
        <v>5</v>
      </c>
      <c r="AC25" s="66"/>
      <c r="AD25" s="7">
        <v>17</v>
      </c>
      <c r="AE25" s="2">
        <v>67</v>
      </c>
      <c r="AF25" s="8">
        <f t="shared" si="14"/>
        <v>84</v>
      </c>
      <c r="AG25" s="2">
        <f t="shared" si="15"/>
        <v>5</v>
      </c>
      <c r="AH25" s="66"/>
      <c r="AI25" s="7">
        <v>20</v>
      </c>
      <c r="AJ25" s="2">
        <v>66</v>
      </c>
      <c r="AK25" s="8">
        <f t="shared" si="16"/>
        <v>86</v>
      </c>
      <c r="AL25" s="2">
        <f t="shared" si="17"/>
        <v>5</v>
      </c>
      <c r="AM25" s="66"/>
      <c r="AN25" s="2"/>
      <c r="AO25" s="2">
        <v>49</v>
      </c>
      <c r="AP25" s="9">
        <f t="shared" si="18"/>
        <v>49</v>
      </c>
      <c r="AQ25" s="2">
        <f t="shared" si="19"/>
        <v>5</v>
      </c>
      <c r="AR25" s="66"/>
      <c r="AS25" s="2">
        <f t="shared" si="20"/>
        <v>31</v>
      </c>
      <c r="AT25" s="10">
        <f t="shared" si="21"/>
        <v>4.4285714285714288</v>
      </c>
      <c r="AU25" s="5">
        <f t="shared" si="22"/>
        <v>549</v>
      </c>
      <c r="AV25" s="3">
        <v>32</v>
      </c>
      <c r="AW25" s="3">
        <v>60</v>
      </c>
      <c r="AX25" s="3" t="str">
        <f t="shared" si="5"/>
        <v>BETTER</v>
      </c>
    </row>
    <row r="26" spans="1:64" ht="12.95" customHeight="1">
      <c r="A26" s="50">
        <v>19</v>
      </c>
      <c r="B26" s="49">
        <v>42</v>
      </c>
      <c r="C26" s="52" t="s">
        <v>75</v>
      </c>
      <c r="D26" s="52" t="s">
        <v>130</v>
      </c>
      <c r="E26" s="52" t="s">
        <v>131</v>
      </c>
      <c r="F26" s="7">
        <v>17</v>
      </c>
      <c r="G26" s="7">
        <v>58</v>
      </c>
      <c r="H26" s="2">
        <v>7</v>
      </c>
      <c r="I26" s="2">
        <v>27</v>
      </c>
      <c r="J26" s="8">
        <f t="shared" si="6"/>
        <v>109</v>
      </c>
      <c r="K26" s="2">
        <f t="shared" si="7"/>
        <v>4</v>
      </c>
      <c r="L26" s="66"/>
      <c r="M26" s="7">
        <v>17</v>
      </c>
      <c r="N26" s="2">
        <v>59</v>
      </c>
      <c r="O26" s="2">
        <v>10</v>
      </c>
      <c r="P26" s="2">
        <v>28</v>
      </c>
      <c r="Q26" s="8">
        <f t="shared" si="8"/>
        <v>114</v>
      </c>
      <c r="R26" s="2">
        <f t="shared" si="9"/>
        <v>4</v>
      </c>
      <c r="S26" s="66"/>
      <c r="T26" s="7">
        <v>14</v>
      </c>
      <c r="U26" s="7">
        <v>43</v>
      </c>
      <c r="V26" s="8">
        <f t="shared" si="10"/>
        <v>57</v>
      </c>
      <c r="W26" s="2">
        <f t="shared" si="11"/>
        <v>3</v>
      </c>
      <c r="X26" s="66"/>
      <c r="Y26" s="7">
        <v>18</v>
      </c>
      <c r="Z26" s="2">
        <v>80</v>
      </c>
      <c r="AA26" s="8">
        <f t="shared" si="12"/>
        <v>98</v>
      </c>
      <c r="AB26" s="2">
        <f t="shared" si="13"/>
        <v>5</v>
      </c>
      <c r="AC26" s="66"/>
      <c r="AD26" s="7">
        <v>14</v>
      </c>
      <c r="AE26" s="2">
        <v>53</v>
      </c>
      <c r="AF26" s="8">
        <f t="shared" si="14"/>
        <v>67</v>
      </c>
      <c r="AG26" s="2">
        <f t="shared" si="15"/>
        <v>3.5</v>
      </c>
      <c r="AH26" s="66"/>
      <c r="AI26" s="7">
        <v>19</v>
      </c>
      <c r="AJ26" s="2">
        <v>63</v>
      </c>
      <c r="AK26" s="8">
        <f t="shared" si="16"/>
        <v>82</v>
      </c>
      <c r="AL26" s="2">
        <f t="shared" si="17"/>
        <v>5</v>
      </c>
      <c r="AM26" s="66"/>
      <c r="AN26" s="2"/>
      <c r="AO26" s="2">
        <v>49</v>
      </c>
      <c r="AP26" s="9">
        <f t="shared" si="18"/>
        <v>49</v>
      </c>
      <c r="AQ26" s="2">
        <f t="shared" si="19"/>
        <v>5</v>
      </c>
      <c r="AR26" s="66"/>
      <c r="AS26" s="2">
        <f t="shared" si="20"/>
        <v>29.5</v>
      </c>
      <c r="AT26" s="10">
        <f t="shared" si="21"/>
        <v>4.2142857142857144</v>
      </c>
      <c r="AU26" s="5">
        <f t="shared" si="22"/>
        <v>527</v>
      </c>
      <c r="AV26" s="3">
        <v>36</v>
      </c>
      <c r="AW26" s="3">
        <v>66</v>
      </c>
      <c r="AX26" s="3" t="str">
        <f t="shared" si="5"/>
        <v>BETTER</v>
      </c>
    </row>
    <row r="27" spans="1:64" ht="12.95" customHeight="1">
      <c r="A27" s="50">
        <v>20</v>
      </c>
      <c r="B27" s="49">
        <v>44</v>
      </c>
      <c r="C27" s="52" t="s">
        <v>76</v>
      </c>
      <c r="D27" s="52" t="s">
        <v>132</v>
      </c>
      <c r="E27" s="52" t="s">
        <v>133</v>
      </c>
      <c r="F27" s="7">
        <v>19</v>
      </c>
      <c r="G27" s="7">
        <v>34</v>
      </c>
      <c r="H27" s="2">
        <v>6</v>
      </c>
      <c r="I27" s="2">
        <v>19</v>
      </c>
      <c r="J27" s="8">
        <f t="shared" si="6"/>
        <v>78</v>
      </c>
      <c r="K27" s="2">
        <f t="shared" si="7"/>
        <v>3</v>
      </c>
      <c r="L27" s="66"/>
      <c r="M27" s="7">
        <v>17</v>
      </c>
      <c r="N27" s="2">
        <v>32</v>
      </c>
      <c r="O27" s="2">
        <v>5</v>
      </c>
      <c r="P27" s="2">
        <v>21</v>
      </c>
      <c r="Q27" s="8">
        <f t="shared" si="8"/>
        <v>75</v>
      </c>
      <c r="R27" s="2">
        <f t="shared" si="9"/>
        <v>3</v>
      </c>
      <c r="S27" s="66"/>
      <c r="T27" s="7">
        <v>9</v>
      </c>
      <c r="U27" s="7">
        <v>1</v>
      </c>
      <c r="V27" s="8">
        <f t="shared" si="10"/>
        <v>10</v>
      </c>
      <c r="W27" s="2" t="str">
        <f t="shared" si="11"/>
        <v>F</v>
      </c>
      <c r="X27" s="66"/>
      <c r="Y27" s="7">
        <v>13</v>
      </c>
      <c r="Z27" s="2">
        <v>48</v>
      </c>
      <c r="AA27" s="8">
        <f t="shared" si="12"/>
        <v>61</v>
      </c>
      <c r="AB27" s="2">
        <f t="shared" si="13"/>
        <v>3.5</v>
      </c>
      <c r="AC27" s="66"/>
      <c r="AD27" s="7">
        <v>11</v>
      </c>
      <c r="AE27" s="2">
        <v>36</v>
      </c>
      <c r="AF27" s="8">
        <f t="shared" si="14"/>
        <v>47</v>
      </c>
      <c r="AG27" s="2">
        <f t="shared" si="15"/>
        <v>2</v>
      </c>
      <c r="AH27" s="66"/>
      <c r="AI27" s="7">
        <v>14</v>
      </c>
      <c r="AJ27" s="2">
        <v>34</v>
      </c>
      <c r="AK27" s="8">
        <f t="shared" si="16"/>
        <v>48</v>
      </c>
      <c r="AL27" s="2">
        <f t="shared" si="17"/>
        <v>2</v>
      </c>
      <c r="AM27" s="66"/>
      <c r="AN27" s="2"/>
      <c r="AO27" s="2">
        <v>38</v>
      </c>
      <c r="AP27" s="9">
        <f t="shared" si="18"/>
        <v>38</v>
      </c>
      <c r="AQ27" s="2">
        <f t="shared" si="19"/>
        <v>4</v>
      </c>
      <c r="AR27" s="66"/>
      <c r="AS27" s="2" t="str">
        <f t="shared" si="20"/>
        <v>F</v>
      </c>
      <c r="AT27" s="10" t="str">
        <f t="shared" si="21"/>
        <v>F</v>
      </c>
      <c r="AU27" s="5">
        <f t="shared" si="22"/>
        <v>319</v>
      </c>
      <c r="AV27" s="3"/>
      <c r="AW27" s="3">
        <v>60</v>
      </c>
      <c r="AX27" s="3" t="str">
        <f t="shared" si="5"/>
        <v>NEED TO PROGRESS</v>
      </c>
    </row>
    <row r="28" spans="1:64" ht="12.95" customHeight="1">
      <c r="A28" s="50">
        <v>21</v>
      </c>
      <c r="B28" s="49">
        <v>46</v>
      </c>
      <c r="C28" s="52" t="s">
        <v>77</v>
      </c>
      <c r="D28" s="52" t="s">
        <v>134</v>
      </c>
      <c r="E28" s="52" t="s">
        <v>135</v>
      </c>
      <c r="F28" s="7">
        <v>19</v>
      </c>
      <c r="G28" s="7">
        <v>58</v>
      </c>
      <c r="H28" s="2">
        <v>7</v>
      </c>
      <c r="I28" s="2">
        <v>28</v>
      </c>
      <c r="J28" s="8">
        <f t="shared" si="6"/>
        <v>112</v>
      </c>
      <c r="K28" s="2">
        <f t="shared" si="7"/>
        <v>4</v>
      </c>
      <c r="L28" s="66"/>
      <c r="M28" s="7">
        <v>15</v>
      </c>
      <c r="N28" s="2">
        <v>36</v>
      </c>
      <c r="O28" s="2">
        <v>7</v>
      </c>
      <c r="P28" s="2">
        <v>34</v>
      </c>
      <c r="Q28" s="8">
        <f t="shared" si="8"/>
        <v>92</v>
      </c>
      <c r="R28" s="2">
        <f t="shared" si="9"/>
        <v>3.5</v>
      </c>
      <c r="S28" s="66"/>
      <c r="T28" s="7">
        <v>11</v>
      </c>
      <c r="U28" s="7">
        <v>29</v>
      </c>
      <c r="V28" s="8">
        <f t="shared" si="10"/>
        <v>40</v>
      </c>
      <c r="W28" s="2">
        <f t="shared" si="11"/>
        <v>2</v>
      </c>
      <c r="X28" s="66"/>
      <c r="Y28" s="7">
        <v>6</v>
      </c>
      <c r="Z28" s="2">
        <v>59</v>
      </c>
      <c r="AA28" s="8">
        <f t="shared" si="12"/>
        <v>65</v>
      </c>
      <c r="AB28" s="2">
        <f t="shared" si="13"/>
        <v>3.5</v>
      </c>
      <c r="AC28" s="66"/>
      <c r="AD28" s="7">
        <v>10</v>
      </c>
      <c r="AE28" s="2">
        <v>34</v>
      </c>
      <c r="AF28" s="8">
        <f t="shared" si="14"/>
        <v>44</v>
      </c>
      <c r="AG28" s="2">
        <f t="shared" si="15"/>
        <v>2</v>
      </c>
      <c r="AH28" s="66"/>
      <c r="AI28" s="7">
        <v>13</v>
      </c>
      <c r="AJ28" s="2">
        <v>38</v>
      </c>
      <c r="AK28" s="8">
        <f t="shared" si="16"/>
        <v>51</v>
      </c>
      <c r="AL28" s="2">
        <f t="shared" si="17"/>
        <v>3</v>
      </c>
      <c r="AM28" s="66"/>
      <c r="AN28" s="2"/>
      <c r="AO28" s="2">
        <v>44</v>
      </c>
      <c r="AP28" s="9">
        <f t="shared" si="18"/>
        <v>44</v>
      </c>
      <c r="AQ28" s="2">
        <f t="shared" si="19"/>
        <v>5</v>
      </c>
      <c r="AR28" s="66"/>
      <c r="AS28" s="2">
        <f t="shared" si="20"/>
        <v>23</v>
      </c>
      <c r="AT28" s="10">
        <f t="shared" si="21"/>
        <v>3.2857142857142856</v>
      </c>
      <c r="AU28" s="5">
        <f t="shared" si="22"/>
        <v>404</v>
      </c>
      <c r="AV28" s="3">
        <v>47</v>
      </c>
      <c r="AW28" s="3">
        <v>64</v>
      </c>
      <c r="AX28" s="3" t="str">
        <f t="shared" si="5"/>
        <v>GOOD</v>
      </c>
    </row>
    <row r="29" spans="1:64" ht="12.95" customHeight="1">
      <c r="A29" s="50">
        <v>22</v>
      </c>
      <c r="B29" s="49">
        <v>50</v>
      </c>
      <c r="C29" s="52" t="s">
        <v>78</v>
      </c>
      <c r="D29" s="52" t="s">
        <v>136</v>
      </c>
      <c r="E29" s="52" t="s">
        <v>137</v>
      </c>
      <c r="F29" s="7">
        <v>20</v>
      </c>
      <c r="G29" s="7">
        <v>74</v>
      </c>
      <c r="H29" s="2">
        <v>7</v>
      </c>
      <c r="I29" s="2">
        <v>31</v>
      </c>
      <c r="J29" s="8">
        <f t="shared" si="6"/>
        <v>132</v>
      </c>
      <c r="K29" s="2">
        <f t="shared" si="7"/>
        <v>5</v>
      </c>
      <c r="L29" s="66"/>
      <c r="M29" s="7">
        <v>19</v>
      </c>
      <c r="N29" s="2">
        <v>61</v>
      </c>
      <c r="O29" s="2">
        <v>8</v>
      </c>
      <c r="P29" s="2">
        <v>20</v>
      </c>
      <c r="Q29" s="8">
        <f t="shared" si="8"/>
        <v>108</v>
      </c>
      <c r="R29" s="2">
        <f t="shared" si="9"/>
        <v>4</v>
      </c>
      <c r="S29" s="66"/>
      <c r="T29" s="7">
        <v>10</v>
      </c>
      <c r="U29" s="7">
        <v>14</v>
      </c>
      <c r="V29" s="8">
        <f t="shared" si="10"/>
        <v>24</v>
      </c>
      <c r="W29" s="2" t="str">
        <f t="shared" si="11"/>
        <v>F</v>
      </c>
      <c r="X29" s="66"/>
      <c r="Y29" s="7">
        <v>20</v>
      </c>
      <c r="Z29" s="2">
        <v>69</v>
      </c>
      <c r="AA29" s="8">
        <f t="shared" si="12"/>
        <v>89</v>
      </c>
      <c r="AB29" s="2">
        <f t="shared" si="13"/>
        <v>5</v>
      </c>
      <c r="AC29" s="66"/>
      <c r="AD29" s="7">
        <v>16</v>
      </c>
      <c r="AE29" s="2">
        <v>56</v>
      </c>
      <c r="AF29" s="8">
        <f t="shared" si="14"/>
        <v>72</v>
      </c>
      <c r="AG29" s="2">
        <f t="shared" si="15"/>
        <v>4</v>
      </c>
      <c r="AH29" s="66"/>
      <c r="AI29" s="7">
        <v>19</v>
      </c>
      <c r="AJ29" s="2">
        <v>64</v>
      </c>
      <c r="AK29" s="8">
        <f t="shared" si="16"/>
        <v>83</v>
      </c>
      <c r="AL29" s="2">
        <f t="shared" si="17"/>
        <v>5</v>
      </c>
      <c r="AM29" s="66"/>
      <c r="AN29" s="2"/>
      <c r="AO29" s="2">
        <v>47</v>
      </c>
      <c r="AP29" s="9">
        <f t="shared" si="18"/>
        <v>47</v>
      </c>
      <c r="AQ29" s="2">
        <f t="shared" si="19"/>
        <v>5</v>
      </c>
      <c r="AR29" s="66"/>
      <c r="AS29" s="2" t="str">
        <f t="shared" si="20"/>
        <v>F</v>
      </c>
      <c r="AT29" s="10" t="str">
        <f t="shared" si="21"/>
        <v>F</v>
      </c>
      <c r="AU29" s="5">
        <f t="shared" si="22"/>
        <v>508</v>
      </c>
      <c r="AV29" s="3"/>
      <c r="AW29" s="3">
        <v>67</v>
      </c>
      <c r="AX29" s="3" t="str">
        <f t="shared" si="5"/>
        <v>NEED TO PROGRESS</v>
      </c>
    </row>
    <row r="30" spans="1:64" ht="12.95" customHeight="1">
      <c r="A30" s="50">
        <v>23</v>
      </c>
      <c r="B30" s="49">
        <v>52</v>
      </c>
      <c r="C30" s="52" t="s">
        <v>79</v>
      </c>
      <c r="D30" s="52" t="s">
        <v>138</v>
      </c>
      <c r="E30" s="52" t="s">
        <v>139</v>
      </c>
      <c r="F30" s="7">
        <v>20</v>
      </c>
      <c r="G30" s="7">
        <v>76</v>
      </c>
      <c r="H30" s="2">
        <v>8</v>
      </c>
      <c r="I30" s="2">
        <v>38</v>
      </c>
      <c r="J30" s="8">
        <f t="shared" si="6"/>
        <v>142</v>
      </c>
      <c r="K30" s="2">
        <f t="shared" si="7"/>
        <v>5</v>
      </c>
      <c r="L30" s="66"/>
      <c r="M30" s="7">
        <v>19</v>
      </c>
      <c r="N30" s="2">
        <v>66</v>
      </c>
      <c r="O30" s="2">
        <v>9</v>
      </c>
      <c r="P30" s="2">
        <v>26</v>
      </c>
      <c r="Q30" s="8">
        <f t="shared" si="8"/>
        <v>120</v>
      </c>
      <c r="R30" s="2">
        <f t="shared" si="9"/>
        <v>5</v>
      </c>
      <c r="S30" s="66"/>
      <c r="T30" s="7">
        <v>14</v>
      </c>
      <c r="U30" s="7">
        <v>46</v>
      </c>
      <c r="V30" s="8">
        <f t="shared" si="10"/>
        <v>60</v>
      </c>
      <c r="W30" s="2">
        <f t="shared" si="11"/>
        <v>3.5</v>
      </c>
      <c r="X30" s="66"/>
      <c r="Y30" s="7">
        <v>20</v>
      </c>
      <c r="Z30" s="2">
        <v>80</v>
      </c>
      <c r="AA30" s="8">
        <f t="shared" si="12"/>
        <v>100</v>
      </c>
      <c r="AB30" s="2">
        <f t="shared" si="13"/>
        <v>5</v>
      </c>
      <c r="AC30" s="66"/>
      <c r="AD30" s="7">
        <v>17</v>
      </c>
      <c r="AE30" s="2">
        <v>66</v>
      </c>
      <c r="AF30" s="8">
        <f t="shared" si="14"/>
        <v>83</v>
      </c>
      <c r="AG30" s="2">
        <f t="shared" si="15"/>
        <v>5</v>
      </c>
      <c r="AH30" s="66"/>
      <c r="AI30" s="7">
        <v>19</v>
      </c>
      <c r="AJ30" s="2">
        <v>74</v>
      </c>
      <c r="AK30" s="8">
        <f t="shared" si="16"/>
        <v>93</v>
      </c>
      <c r="AL30" s="2">
        <f t="shared" si="17"/>
        <v>5</v>
      </c>
      <c r="AM30" s="66"/>
      <c r="AN30" s="2"/>
      <c r="AO30" s="2">
        <v>50</v>
      </c>
      <c r="AP30" s="9">
        <f t="shared" si="18"/>
        <v>50</v>
      </c>
      <c r="AQ30" s="2">
        <f t="shared" si="19"/>
        <v>5</v>
      </c>
      <c r="AR30" s="66"/>
      <c r="AS30" s="2">
        <f t="shared" si="20"/>
        <v>33.5</v>
      </c>
      <c r="AT30" s="10">
        <f t="shared" si="21"/>
        <v>4.7857142857142856</v>
      </c>
      <c r="AU30" s="5">
        <f t="shared" si="22"/>
        <v>598</v>
      </c>
      <c r="AV30" s="3">
        <v>18</v>
      </c>
      <c r="AW30" s="3">
        <v>67</v>
      </c>
      <c r="AX30" s="3" t="str">
        <f t="shared" si="5"/>
        <v>BETTER</v>
      </c>
    </row>
    <row r="31" spans="1:64" ht="12.95" customHeight="1">
      <c r="A31" s="50">
        <v>24</v>
      </c>
      <c r="B31" s="49">
        <v>54</v>
      </c>
      <c r="C31" s="52" t="s">
        <v>80</v>
      </c>
      <c r="D31" s="52" t="s">
        <v>140</v>
      </c>
      <c r="E31" s="52" t="s">
        <v>141</v>
      </c>
      <c r="F31" s="7">
        <v>20</v>
      </c>
      <c r="G31" s="7">
        <v>68</v>
      </c>
      <c r="H31" s="2">
        <v>7</v>
      </c>
      <c r="I31" s="2">
        <v>24</v>
      </c>
      <c r="J31" s="8">
        <f t="shared" si="6"/>
        <v>119</v>
      </c>
      <c r="K31" s="2">
        <f t="shared" si="7"/>
        <v>4</v>
      </c>
      <c r="L31" s="66"/>
      <c r="M31" s="7">
        <v>14</v>
      </c>
      <c r="N31" s="2">
        <v>63</v>
      </c>
      <c r="O31" s="2">
        <v>9</v>
      </c>
      <c r="P31" s="2">
        <v>19</v>
      </c>
      <c r="Q31" s="8">
        <f t="shared" si="8"/>
        <v>105</v>
      </c>
      <c r="R31" s="2">
        <f t="shared" si="9"/>
        <v>4</v>
      </c>
      <c r="S31" s="66"/>
      <c r="T31" s="7">
        <v>8</v>
      </c>
      <c r="U31" s="7">
        <v>40</v>
      </c>
      <c r="V31" s="8">
        <f t="shared" si="10"/>
        <v>48</v>
      </c>
      <c r="W31" s="2">
        <f t="shared" si="11"/>
        <v>2</v>
      </c>
      <c r="X31" s="66"/>
      <c r="Y31" s="7">
        <v>19</v>
      </c>
      <c r="Z31" s="2">
        <v>74</v>
      </c>
      <c r="AA31" s="8">
        <f t="shared" si="12"/>
        <v>93</v>
      </c>
      <c r="AB31" s="2">
        <f t="shared" si="13"/>
        <v>5</v>
      </c>
      <c r="AC31" s="66"/>
      <c r="AD31" s="7">
        <v>16</v>
      </c>
      <c r="AE31" s="2">
        <v>71</v>
      </c>
      <c r="AF31" s="8">
        <f t="shared" si="14"/>
        <v>87</v>
      </c>
      <c r="AG31" s="2">
        <f t="shared" si="15"/>
        <v>5</v>
      </c>
      <c r="AH31" s="66"/>
      <c r="AI31" s="7">
        <v>14</v>
      </c>
      <c r="AJ31" s="2">
        <v>71</v>
      </c>
      <c r="AK31" s="8">
        <f t="shared" si="16"/>
        <v>85</v>
      </c>
      <c r="AL31" s="2">
        <f t="shared" si="17"/>
        <v>5</v>
      </c>
      <c r="AM31" s="66"/>
      <c r="AN31" s="2"/>
      <c r="AO31" s="2">
        <v>50</v>
      </c>
      <c r="AP31" s="9">
        <f t="shared" si="18"/>
        <v>50</v>
      </c>
      <c r="AQ31" s="2">
        <f t="shared" si="19"/>
        <v>5</v>
      </c>
      <c r="AR31" s="66"/>
      <c r="AS31" s="2">
        <f t="shared" si="20"/>
        <v>30</v>
      </c>
      <c r="AT31" s="10">
        <f t="shared" si="21"/>
        <v>4.2857142857142856</v>
      </c>
      <c r="AU31" s="5">
        <f t="shared" si="22"/>
        <v>537</v>
      </c>
      <c r="AV31" s="3">
        <v>34</v>
      </c>
      <c r="AW31" s="3">
        <v>67</v>
      </c>
      <c r="AX31" s="3" t="str">
        <f t="shared" si="5"/>
        <v>BETTER</v>
      </c>
    </row>
    <row r="32" spans="1:64" ht="12.95" customHeight="1">
      <c r="A32" s="50">
        <v>25</v>
      </c>
      <c r="B32" s="49">
        <v>58</v>
      </c>
      <c r="C32" s="52" t="s">
        <v>81</v>
      </c>
      <c r="D32" s="52" t="s">
        <v>142</v>
      </c>
      <c r="E32" s="52" t="s">
        <v>143</v>
      </c>
      <c r="F32" s="7">
        <v>20</v>
      </c>
      <c r="G32" s="7"/>
      <c r="H32" s="2">
        <v>6</v>
      </c>
      <c r="I32" s="2"/>
      <c r="J32" s="8">
        <f t="shared" si="6"/>
        <v>26</v>
      </c>
      <c r="K32" s="2" t="str">
        <f t="shared" si="7"/>
        <v>F</v>
      </c>
      <c r="L32" s="66"/>
      <c r="M32" s="7">
        <v>4</v>
      </c>
      <c r="N32" s="2"/>
      <c r="O32" s="2">
        <v>2</v>
      </c>
      <c r="P32" s="2"/>
      <c r="Q32" s="8">
        <f t="shared" si="8"/>
        <v>6</v>
      </c>
      <c r="R32" s="2" t="str">
        <f t="shared" si="9"/>
        <v>F</v>
      </c>
      <c r="S32" s="66"/>
      <c r="T32" s="7">
        <v>1</v>
      </c>
      <c r="U32" s="7"/>
      <c r="V32" s="8">
        <f t="shared" si="10"/>
        <v>1</v>
      </c>
      <c r="W32" s="2" t="str">
        <f t="shared" si="11"/>
        <v>F</v>
      </c>
      <c r="X32" s="66"/>
      <c r="Y32" s="7">
        <v>0</v>
      </c>
      <c r="Z32" s="2"/>
      <c r="AA32" s="8">
        <f t="shared" si="12"/>
        <v>0</v>
      </c>
      <c r="AB32" s="2" t="str">
        <f t="shared" si="13"/>
        <v>F</v>
      </c>
      <c r="AC32" s="66"/>
      <c r="AD32" s="7"/>
      <c r="AE32" s="2"/>
      <c r="AF32" s="8">
        <f t="shared" si="14"/>
        <v>0</v>
      </c>
      <c r="AG32" s="2" t="str">
        <f t="shared" si="15"/>
        <v>F</v>
      </c>
      <c r="AH32" s="66"/>
      <c r="AI32" s="7">
        <v>3</v>
      </c>
      <c r="AJ32" s="2"/>
      <c r="AK32" s="8">
        <f t="shared" si="16"/>
        <v>3</v>
      </c>
      <c r="AL32" s="2" t="str">
        <f t="shared" si="17"/>
        <v>F</v>
      </c>
      <c r="AM32" s="66"/>
      <c r="AN32" s="2"/>
      <c r="AO32" s="2"/>
      <c r="AP32" s="9">
        <f t="shared" si="18"/>
        <v>0</v>
      </c>
      <c r="AQ32" s="2" t="str">
        <f t="shared" si="19"/>
        <v>F</v>
      </c>
      <c r="AR32" s="66"/>
      <c r="AS32" s="2" t="str">
        <f t="shared" si="20"/>
        <v>F</v>
      </c>
      <c r="AT32" s="10" t="str">
        <f t="shared" si="21"/>
        <v>F</v>
      </c>
      <c r="AU32" s="5">
        <f t="shared" si="22"/>
        <v>36</v>
      </c>
      <c r="AV32" s="3"/>
      <c r="AW32" s="3">
        <v>47</v>
      </c>
      <c r="AX32" s="3" t="str">
        <f t="shared" si="5"/>
        <v>NEED TO PROGRESS</v>
      </c>
    </row>
    <row r="33" spans="1:50" ht="12.95" customHeight="1">
      <c r="A33" s="50">
        <v>26</v>
      </c>
      <c r="B33" s="49">
        <v>60</v>
      </c>
      <c r="C33" s="52" t="s">
        <v>82</v>
      </c>
      <c r="D33" s="52" t="s">
        <v>144</v>
      </c>
      <c r="E33" s="52" t="s">
        <v>145</v>
      </c>
      <c r="F33" s="7">
        <v>20</v>
      </c>
      <c r="G33" s="7">
        <v>46</v>
      </c>
      <c r="H33" s="2">
        <v>2</v>
      </c>
      <c r="I33" s="2">
        <v>22</v>
      </c>
      <c r="J33" s="8">
        <f t="shared" si="6"/>
        <v>90</v>
      </c>
      <c r="K33" s="2">
        <f t="shared" si="7"/>
        <v>3.5</v>
      </c>
      <c r="L33" s="66"/>
      <c r="M33" s="7">
        <v>13</v>
      </c>
      <c r="N33" s="2">
        <v>40</v>
      </c>
      <c r="O33" s="2">
        <v>7</v>
      </c>
      <c r="P33" s="2">
        <v>16</v>
      </c>
      <c r="Q33" s="8">
        <f t="shared" si="8"/>
        <v>76</v>
      </c>
      <c r="R33" s="2">
        <f t="shared" si="9"/>
        <v>3</v>
      </c>
      <c r="S33" s="66"/>
      <c r="T33" s="7">
        <v>12</v>
      </c>
      <c r="U33" s="7">
        <v>45</v>
      </c>
      <c r="V33" s="8">
        <f t="shared" si="10"/>
        <v>57</v>
      </c>
      <c r="W33" s="2">
        <f t="shared" si="11"/>
        <v>3</v>
      </c>
      <c r="X33" s="66"/>
      <c r="Y33" s="7">
        <v>9</v>
      </c>
      <c r="Z33" s="2">
        <v>50</v>
      </c>
      <c r="AA33" s="8">
        <f t="shared" si="12"/>
        <v>59</v>
      </c>
      <c r="AB33" s="2">
        <f t="shared" si="13"/>
        <v>3</v>
      </c>
      <c r="AC33" s="66"/>
      <c r="AD33" s="7">
        <v>8</v>
      </c>
      <c r="AE33" s="2">
        <v>34</v>
      </c>
      <c r="AF33" s="8">
        <f t="shared" si="14"/>
        <v>42</v>
      </c>
      <c r="AG33" s="2">
        <f t="shared" si="15"/>
        <v>2</v>
      </c>
      <c r="AH33" s="66"/>
      <c r="AI33" s="7">
        <v>8</v>
      </c>
      <c r="AJ33" s="2">
        <v>32</v>
      </c>
      <c r="AK33" s="8">
        <f t="shared" si="16"/>
        <v>40</v>
      </c>
      <c r="AL33" s="2">
        <f t="shared" si="17"/>
        <v>2</v>
      </c>
      <c r="AM33" s="66"/>
      <c r="AN33" s="2"/>
      <c r="AO33" s="2">
        <v>30</v>
      </c>
      <c r="AP33" s="9">
        <f t="shared" si="18"/>
        <v>30</v>
      </c>
      <c r="AQ33" s="2">
        <f t="shared" si="19"/>
        <v>3.5</v>
      </c>
      <c r="AR33" s="66"/>
      <c r="AS33" s="2">
        <f t="shared" si="20"/>
        <v>20</v>
      </c>
      <c r="AT33" s="10">
        <f t="shared" si="21"/>
        <v>2.8571428571428572</v>
      </c>
      <c r="AU33" s="5">
        <f t="shared" si="22"/>
        <v>364</v>
      </c>
      <c r="AV33" s="3">
        <v>49</v>
      </c>
      <c r="AW33" s="3">
        <v>52</v>
      </c>
      <c r="AX33" s="3" t="str">
        <f t="shared" si="5"/>
        <v>GOOD</v>
      </c>
    </row>
    <row r="34" spans="1:50" ht="12.95" customHeight="1">
      <c r="A34" s="50">
        <v>27</v>
      </c>
      <c r="B34" s="49">
        <v>62</v>
      </c>
      <c r="C34" s="52" t="s">
        <v>83</v>
      </c>
      <c r="D34" s="52" t="s">
        <v>146</v>
      </c>
      <c r="E34" s="52" t="s">
        <v>147</v>
      </c>
      <c r="F34" s="7">
        <v>20</v>
      </c>
      <c r="G34" s="7">
        <v>76</v>
      </c>
      <c r="H34" s="2">
        <v>10</v>
      </c>
      <c r="I34" s="2">
        <v>38</v>
      </c>
      <c r="J34" s="8">
        <f t="shared" si="6"/>
        <v>144</v>
      </c>
      <c r="K34" s="2">
        <f t="shared" si="7"/>
        <v>5</v>
      </c>
      <c r="L34" s="66"/>
      <c r="M34" s="7">
        <v>18</v>
      </c>
      <c r="N34" s="2">
        <v>63</v>
      </c>
      <c r="O34" s="2">
        <v>9</v>
      </c>
      <c r="P34" s="2">
        <v>28</v>
      </c>
      <c r="Q34" s="8">
        <f t="shared" si="8"/>
        <v>118</v>
      </c>
      <c r="R34" s="2">
        <f t="shared" si="9"/>
        <v>4</v>
      </c>
      <c r="S34" s="66"/>
      <c r="T34" s="7">
        <v>18</v>
      </c>
      <c r="U34" s="7">
        <v>45</v>
      </c>
      <c r="V34" s="8">
        <f t="shared" si="10"/>
        <v>63</v>
      </c>
      <c r="W34" s="2">
        <f t="shared" si="11"/>
        <v>3.5</v>
      </c>
      <c r="X34" s="66"/>
      <c r="Y34" s="7">
        <v>18</v>
      </c>
      <c r="Z34" s="2">
        <v>77</v>
      </c>
      <c r="AA34" s="8">
        <f t="shared" si="12"/>
        <v>95</v>
      </c>
      <c r="AB34" s="2">
        <f t="shared" si="13"/>
        <v>5</v>
      </c>
      <c r="AC34" s="66"/>
      <c r="AD34" s="7">
        <v>19</v>
      </c>
      <c r="AE34" s="2">
        <v>66</v>
      </c>
      <c r="AF34" s="8">
        <f t="shared" si="14"/>
        <v>85</v>
      </c>
      <c r="AG34" s="2">
        <f t="shared" si="15"/>
        <v>5</v>
      </c>
      <c r="AH34" s="66"/>
      <c r="AI34" s="7">
        <v>20</v>
      </c>
      <c r="AJ34" s="2">
        <v>74</v>
      </c>
      <c r="AK34" s="8">
        <f t="shared" si="16"/>
        <v>94</v>
      </c>
      <c r="AL34" s="2">
        <f t="shared" si="17"/>
        <v>5</v>
      </c>
      <c r="AM34" s="66"/>
      <c r="AN34" s="2"/>
      <c r="AO34" s="2">
        <v>49</v>
      </c>
      <c r="AP34" s="9">
        <f t="shared" si="18"/>
        <v>49</v>
      </c>
      <c r="AQ34" s="2">
        <f t="shared" si="19"/>
        <v>5</v>
      </c>
      <c r="AR34" s="66"/>
      <c r="AS34" s="2">
        <f t="shared" si="20"/>
        <v>32.5</v>
      </c>
      <c r="AT34" s="10">
        <f t="shared" si="21"/>
        <v>4.6428571428571432</v>
      </c>
      <c r="AU34" s="5">
        <f t="shared" si="22"/>
        <v>599</v>
      </c>
      <c r="AV34" s="3">
        <v>17</v>
      </c>
      <c r="AW34" s="3">
        <v>65</v>
      </c>
      <c r="AX34" s="3" t="str">
        <f t="shared" si="5"/>
        <v>BETTER</v>
      </c>
    </row>
    <row r="35" spans="1:50" ht="12.95" customHeight="1">
      <c r="A35" s="50">
        <v>28</v>
      </c>
      <c r="B35" s="49">
        <v>64</v>
      </c>
      <c r="C35" s="52" t="s">
        <v>84</v>
      </c>
      <c r="D35" s="52" t="s">
        <v>148</v>
      </c>
      <c r="E35" s="52" t="s">
        <v>149</v>
      </c>
      <c r="F35" s="7">
        <v>20</v>
      </c>
      <c r="G35" s="7">
        <v>76</v>
      </c>
      <c r="H35" s="2">
        <v>10</v>
      </c>
      <c r="I35" s="2">
        <v>38</v>
      </c>
      <c r="J35" s="8">
        <f t="shared" si="6"/>
        <v>144</v>
      </c>
      <c r="K35" s="2">
        <f t="shared" si="7"/>
        <v>5</v>
      </c>
      <c r="L35" s="66"/>
      <c r="M35" s="7">
        <v>19</v>
      </c>
      <c r="N35" s="2">
        <v>62</v>
      </c>
      <c r="O35" s="2">
        <v>10</v>
      </c>
      <c r="P35" s="2">
        <v>38</v>
      </c>
      <c r="Q35" s="8">
        <f t="shared" si="8"/>
        <v>129</v>
      </c>
      <c r="R35" s="2">
        <f t="shared" si="9"/>
        <v>5</v>
      </c>
      <c r="S35" s="66"/>
      <c r="T35" s="7">
        <v>19</v>
      </c>
      <c r="U35" s="7">
        <v>60</v>
      </c>
      <c r="V35" s="8">
        <f t="shared" si="10"/>
        <v>79</v>
      </c>
      <c r="W35" s="2">
        <f t="shared" si="11"/>
        <v>4</v>
      </c>
      <c r="X35" s="66"/>
      <c r="Y35" s="7">
        <v>19</v>
      </c>
      <c r="Z35" s="2">
        <v>80</v>
      </c>
      <c r="AA35" s="8">
        <f t="shared" si="12"/>
        <v>99</v>
      </c>
      <c r="AB35" s="2">
        <f t="shared" si="13"/>
        <v>5</v>
      </c>
      <c r="AC35" s="66"/>
      <c r="AD35" s="7">
        <v>19</v>
      </c>
      <c r="AE35" s="2">
        <v>63</v>
      </c>
      <c r="AF35" s="8">
        <f t="shared" si="14"/>
        <v>82</v>
      </c>
      <c r="AG35" s="2">
        <f t="shared" si="15"/>
        <v>5</v>
      </c>
      <c r="AH35" s="66"/>
      <c r="AI35" s="7">
        <v>19</v>
      </c>
      <c r="AJ35" s="2">
        <v>69</v>
      </c>
      <c r="AK35" s="8">
        <f t="shared" si="16"/>
        <v>88</v>
      </c>
      <c r="AL35" s="2">
        <f t="shared" si="17"/>
        <v>5</v>
      </c>
      <c r="AM35" s="66"/>
      <c r="AN35" s="2"/>
      <c r="AO35" s="2">
        <v>50</v>
      </c>
      <c r="AP35" s="9">
        <f t="shared" si="18"/>
        <v>50</v>
      </c>
      <c r="AQ35" s="2">
        <f t="shared" si="19"/>
        <v>5</v>
      </c>
      <c r="AR35" s="66"/>
      <c r="AS35" s="2">
        <f t="shared" si="20"/>
        <v>34</v>
      </c>
      <c r="AT35" s="10">
        <f t="shared" si="21"/>
        <v>4.8571428571428568</v>
      </c>
      <c r="AU35" s="5">
        <f t="shared" si="22"/>
        <v>621</v>
      </c>
      <c r="AV35" s="3">
        <v>11</v>
      </c>
      <c r="AW35" s="3">
        <v>67</v>
      </c>
      <c r="AX35" s="3" t="str">
        <f t="shared" si="5"/>
        <v>BETTER</v>
      </c>
    </row>
    <row r="36" spans="1:50" ht="12.95" customHeight="1">
      <c r="A36" s="50">
        <v>29</v>
      </c>
      <c r="B36" s="49">
        <v>65</v>
      </c>
      <c r="C36" s="52" t="s">
        <v>85</v>
      </c>
      <c r="D36" s="52" t="s">
        <v>150</v>
      </c>
      <c r="E36" s="52" t="s">
        <v>151</v>
      </c>
      <c r="F36" s="7">
        <v>20</v>
      </c>
      <c r="G36" s="7">
        <v>72</v>
      </c>
      <c r="H36" s="2">
        <v>10</v>
      </c>
      <c r="I36" s="2">
        <v>30</v>
      </c>
      <c r="J36" s="8">
        <f t="shared" si="6"/>
        <v>132</v>
      </c>
      <c r="K36" s="2">
        <f t="shared" si="7"/>
        <v>5</v>
      </c>
      <c r="L36" s="66"/>
      <c r="M36" s="7">
        <v>20</v>
      </c>
      <c r="N36" s="2">
        <v>64</v>
      </c>
      <c r="O36" s="2">
        <v>9</v>
      </c>
      <c r="P36" s="2">
        <v>33</v>
      </c>
      <c r="Q36" s="8">
        <f t="shared" si="8"/>
        <v>126</v>
      </c>
      <c r="R36" s="2">
        <f t="shared" si="9"/>
        <v>5</v>
      </c>
      <c r="S36" s="66"/>
      <c r="T36" s="7">
        <v>16</v>
      </c>
      <c r="U36" s="7">
        <v>54</v>
      </c>
      <c r="V36" s="8">
        <f t="shared" si="10"/>
        <v>70</v>
      </c>
      <c r="W36" s="2">
        <f t="shared" si="11"/>
        <v>4</v>
      </c>
      <c r="X36" s="66"/>
      <c r="Y36" s="7">
        <v>20</v>
      </c>
      <c r="Z36" s="2">
        <v>70</v>
      </c>
      <c r="AA36" s="8">
        <f t="shared" si="12"/>
        <v>90</v>
      </c>
      <c r="AB36" s="2">
        <f t="shared" si="13"/>
        <v>5</v>
      </c>
      <c r="AC36" s="66"/>
      <c r="AD36" s="7">
        <v>13</v>
      </c>
      <c r="AE36" s="2">
        <v>66</v>
      </c>
      <c r="AF36" s="8">
        <f t="shared" si="14"/>
        <v>79</v>
      </c>
      <c r="AG36" s="2">
        <f t="shared" si="15"/>
        <v>4</v>
      </c>
      <c r="AH36" s="66"/>
      <c r="AI36" s="7">
        <v>20</v>
      </c>
      <c r="AJ36" s="2">
        <v>69</v>
      </c>
      <c r="AK36" s="8">
        <f t="shared" si="16"/>
        <v>89</v>
      </c>
      <c r="AL36" s="2">
        <f t="shared" si="17"/>
        <v>5</v>
      </c>
      <c r="AM36" s="66"/>
      <c r="AN36" s="2"/>
      <c r="AO36" s="2">
        <v>50</v>
      </c>
      <c r="AP36" s="9">
        <f t="shared" si="18"/>
        <v>50</v>
      </c>
      <c r="AQ36" s="2">
        <f t="shared" si="19"/>
        <v>5</v>
      </c>
      <c r="AR36" s="66"/>
      <c r="AS36" s="2">
        <f t="shared" si="20"/>
        <v>33</v>
      </c>
      <c r="AT36" s="10">
        <f t="shared" si="21"/>
        <v>4.7142857142857144</v>
      </c>
      <c r="AU36" s="5">
        <f t="shared" si="22"/>
        <v>586</v>
      </c>
      <c r="AV36" s="3">
        <v>21</v>
      </c>
      <c r="AW36" s="3">
        <v>60</v>
      </c>
      <c r="AX36" s="3" t="str">
        <f t="shared" si="5"/>
        <v>BETTER</v>
      </c>
    </row>
    <row r="37" spans="1:50" ht="12.95" customHeight="1">
      <c r="A37" s="50">
        <v>30</v>
      </c>
      <c r="B37" s="49">
        <v>66</v>
      </c>
      <c r="C37" s="52" t="s">
        <v>86</v>
      </c>
      <c r="D37" s="52" t="s">
        <v>152</v>
      </c>
      <c r="E37" s="52" t="s">
        <v>153</v>
      </c>
      <c r="F37" s="7">
        <v>14</v>
      </c>
      <c r="G37" s="7">
        <v>42</v>
      </c>
      <c r="H37" s="2">
        <v>6</v>
      </c>
      <c r="I37" s="2">
        <v>26</v>
      </c>
      <c r="J37" s="8">
        <f t="shared" si="6"/>
        <v>88</v>
      </c>
      <c r="K37" s="2">
        <f t="shared" si="7"/>
        <v>3</v>
      </c>
      <c r="L37" s="66"/>
      <c r="M37" s="7">
        <v>14</v>
      </c>
      <c r="N37" s="2">
        <v>35</v>
      </c>
      <c r="O37" s="2">
        <v>7</v>
      </c>
      <c r="P37" s="2">
        <v>26</v>
      </c>
      <c r="Q37" s="8">
        <f t="shared" si="8"/>
        <v>82</v>
      </c>
      <c r="R37" s="2">
        <f t="shared" si="9"/>
        <v>3</v>
      </c>
      <c r="S37" s="66"/>
      <c r="T37" s="7">
        <v>5</v>
      </c>
      <c r="U37" s="7">
        <v>13</v>
      </c>
      <c r="V37" s="8">
        <f t="shared" si="10"/>
        <v>18</v>
      </c>
      <c r="W37" s="2" t="str">
        <f t="shared" si="11"/>
        <v>F</v>
      </c>
      <c r="X37" s="66"/>
      <c r="Y37" s="7">
        <v>4</v>
      </c>
      <c r="Z37" s="2">
        <v>48</v>
      </c>
      <c r="AA37" s="8">
        <f t="shared" si="12"/>
        <v>52</v>
      </c>
      <c r="AB37" s="2">
        <f t="shared" si="13"/>
        <v>3</v>
      </c>
      <c r="AC37" s="66"/>
      <c r="AD37" s="7">
        <v>6</v>
      </c>
      <c r="AE37" s="2">
        <v>19</v>
      </c>
      <c r="AF37" s="8">
        <f t="shared" si="14"/>
        <v>25</v>
      </c>
      <c r="AG37" s="2" t="str">
        <f t="shared" si="15"/>
        <v>F</v>
      </c>
      <c r="AH37" s="66"/>
      <c r="AI37" s="7">
        <v>9</v>
      </c>
      <c r="AJ37" s="2">
        <v>50</v>
      </c>
      <c r="AK37" s="8">
        <f t="shared" si="16"/>
        <v>59</v>
      </c>
      <c r="AL37" s="2">
        <f t="shared" si="17"/>
        <v>3</v>
      </c>
      <c r="AM37" s="66"/>
      <c r="AN37" s="2"/>
      <c r="AO37" s="2">
        <v>44</v>
      </c>
      <c r="AP37" s="9">
        <f t="shared" si="18"/>
        <v>44</v>
      </c>
      <c r="AQ37" s="2">
        <f t="shared" si="19"/>
        <v>5</v>
      </c>
      <c r="AR37" s="66"/>
      <c r="AS37" s="2" t="str">
        <f t="shared" si="20"/>
        <v>F</v>
      </c>
      <c r="AT37" s="10" t="str">
        <f t="shared" si="21"/>
        <v>F</v>
      </c>
      <c r="AU37" s="5">
        <f t="shared" si="22"/>
        <v>324</v>
      </c>
      <c r="AV37" s="3"/>
      <c r="AW37" s="3">
        <v>62</v>
      </c>
      <c r="AX37" s="3" t="str">
        <f t="shared" si="5"/>
        <v>NEED TO PROGRESS</v>
      </c>
    </row>
    <row r="38" spans="1:50" ht="12.95" customHeight="1">
      <c r="A38" s="50">
        <v>31</v>
      </c>
      <c r="B38" s="49">
        <v>82</v>
      </c>
      <c r="C38" s="53" t="s">
        <v>87</v>
      </c>
      <c r="D38" s="53" t="s">
        <v>154</v>
      </c>
      <c r="E38" s="53" t="s">
        <v>155</v>
      </c>
      <c r="F38" s="7">
        <v>20</v>
      </c>
      <c r="G38" s="7">
        <v>67</v>
      </c>
      <c r="H38" s="2">
        <v>6</v>
      </c>
      <c r="I38" s="2">
        <v>34</v>
      </c>
      <c r="J38" s="8">
        <f t="shared" si="6"/>
        <v>127</v>
      </c>
      <c r="K38" s="2">
        <f t="shared" si="7"/>
        <v>5</v>
      </c>
      <c r="L38" s="66"/>
      <c r="M38" s="7">
        <v>16</v>
      </c>
      <c r="N38" s="2">
        <v>62</v>
      </c>
      <c r="O38" s="2">
        <v>7</v>
      </c>
      <c r="P38" s="2">
        <v>20</v>
      </c>
      <c r="Q38" s="8">
        <f t="shared" si="8"/>
        <v>105</v>
      </c>
      <c r="R38" s="2">
        <f t="shared" si="9"/>
        <v>4</v>
      </c>
      <c r="S38" s="66"/>
      <c r="T38" s="7">
        <v>8</v>
      </c>
      <c r="U38" s="7">
        <v>46</v>
      </c>
      <c r="V38" s="8">
        <f t="shared" si="10"/>
        <v>54</v>
      </c>
      <c r="W38" s="2">
        <f t="shared" si="11"/>
        <v>3</v>
      </c>
      <c r="X38" s="66"/>
      <c r="Y38" s="7">
        <v>19</v>
      </c>
      <c r="Z38" s="2">
        <v>74</v>
      </c>
      <c r="AA38" s="8">
        <f t="shared" si="12"/>
        <v>93</v>
      </c>
      <c r="AB38" s="2">
        <f t="shared" si="13"/>
        <v>5</v>
      </c>
      <c r="AC38" s="66"/>
      <c r="AD38" s="7">
        <v>13</v>
      </c>
      <c r="AE38" s="2">
        <v>55</v>
      </c>
      <c r="AF38" s="8">
        <f t="shared" si="14"/>
        <v>68</v>
      </c>
      <c r="AG38" s="2">
        <f t="shared" si="15"/>
        <v>3.5</v>
      </c>
      <c r="AH38" s="66"/>
      <c r="AI38" s="7">
        <v>16</v>
      </c>
      <c r="AJ38" s="2">
        <v>63</v>
      </c>
      <c r="AK38" s="8">
        <f t="shared" si="16"/>
        <v>79</v>
      </c>
      <c r="AL38" s="2">
        <f t="shared" si="17"/>
        <v>4</v>
      </c>
      <c r="AM38" s="66"/>
      <c r="AN38" s="2"/>
      <c r="AO38" s="2">
        <v>48</v>
      </c>
      <c r="AP38" s="9">
        <f t="shared" si="18"/>
        <v>48</v>
      </c>
      <c r="AQ38" s="2">
        <f t="shared" si="19"/>
        <v>5</v>
      </c>
      <c r="AR38" s="66"/>
      <c r="AS38" s="2">
        <f t="shared" si="20"/>
        <v>29.5</v>
      </c>
      <c r="AT38" s="10">
        <f t="shared" si="21"/>
        <v>4.2142857142857144</v>
      </c>
      <c r="AU38" s="5">
        <f t="shared" si="22"/>
        <v>526</v>
      </c>
      <c r="AV38" s="3">
        <v>37</v>
      </c>
      <c r="AW38" s="3">
        <v>67</v>
      </c>
      <c r="AX38" s="3" t="str">
        <f t="shared" si="5"/>
        <v>BETTER</v>
      </c>
    </row>
    <row r="39" spans="1:50" ht="12.95" customHeight="1">
      <c r="A39" s="50">
        <v>32</v>
      </c>
      <c r="B39" s="49">
        <v>85</v>
      </c>
      <c r="C39" s="53" t="s">
        <v>88</v>
      </c>
      <c r="D39" s="53" t="s">
        <v>156</v>
      </c>
      <c r="E39" s="53" t="s">
        <v>157</v>
      </c>
      <c r="F39" s="7">
        <v>20</v>
      </c>
      <c r="G39" s="7">
        <v>75</v>
      </c>
      <c r="H39" s="2">
        <v>6</v>
      </c>
      <c r="I39" s="2">
        <v>39</v>
      </c>
      <c r="J39" s="8">
        <f t="shared" si="6"/>
        <v>140</v>
      </c>
      <c r="K39" s="2">
        <f t="shared" si="7"/>
        <v>5</v>
      </c>
      <c r="L39" s="66"/>
      <c r="M39" s="7">
        <v>20</v>
      </c>
      <c r="N39" s="2">
        <v>60</v>
      </c>
      <c r="O39" s="2">
        <v>10</v>
      </c>
      <c r="P39" s="2">
        <v>38</v>
      </c>
      <c r="Q39" s="8">
        <f t="shared" si="8"/>
        <v>128</v>
      </c>
      <c r="R39" s="2">
        <f t="shared" si="9"/>
        <v>5</v>
      </c>
      <c r="S39" s="66"/>
      <c r="T39" s="7">
        <v>18</v>
      </c>
      <c r="U39" s="7">
        <v>58</v>
      </c>
      <c r="V39" s="8">
        <f t="shared" si="10"/>
        <v>76</v>
      </c>
      <c r="W39" s="2">
        <f t="shared" si="11"/>
        <v>4</v>
      </c>
      <c r="X39" s="66"/>
      <c r="Y39" s="7">
        <v>20</v>
      </c>
      <c r="Z39" s="2">
        <v>70</v>
      </c>
      <c r="AA39" s="8">
        <f t="shared" si="12"/>
        <v>90</v>
      </c>
      <c r="AB39" s="2">
        <f t="shared" si="13"/>
        <v>5</v>
      </c>
      <c r="AC39" s="66"/>
      <c r="AD39" s="7">
        <v>19</v>
      </c>
      <c r="AE39" s="2">
        <v>76</v>
      </c>
      <c r="AF39" s="8">
        <f t="shared" si="14"/>
        <v>95</v>
      </c>
      <c r="AG39" s="2">
        <f t="shared" si="15"/>
        <v>5</v>
      </c>
      <c r="AH39" s="66"/>
      <c r="AI39" s="7">
        <v>19</v>
      </c>
      <c r="AJ39" s="2">
        <v>75</v>
      </c>
      <c r="AK39" s="8">
        <f t="shared" si="16"/>
        <v>94</v>
      </c>
      <c r="AL39" s="2">
        <f t="shared" si="17"/>
        <v>5</v>
      </c>
      <c r="AM39" s="66"/>
      <c r="AN39" s="2"/>
      <c r="AO39" s="2">
        <v>48</v>
      </c>
      <c r="AP39" s="9">
        <f t="shared" si="18"/>
        <v>48</v>
      </c>
      <c r="AQ39" s="2">
        <f t="shared" si="19"/>
        <v>5</v>
      </c>
      <c r="AR39" s="66"/>
      <c r="AS39" s="2">
        <f t="shared" si="20"/>
        <v>34</v>
      </c>
      <c r="AT39" s="10">
        <f t="shared" si="21"/>
        <v>4.8571428571428568</v>
      </c>
      <c r="AU39" s="5">
        <f t="shared" si="22"/>
        <v>623</v>
      </c>
      <c r="AV39" s="3">
        <v>10</v>
      </c>
      <c r="AW39" s="3">
        <v>67</v>
      </c>
      <c r="AX39" s="3" t="str">
        <f t="shared" si="5"/>
        <v>BETTER</v>
      </c>
    </row>
    <row r="40" spans="1:50" ht="12.95" customHeight="1">
      <c r="A40" s="50">
        <v>33</v>
      </c>
      <c r="B40" s="49">
        <v>86</v>
      </c>
      <c r="C40" s="52" t="s">
        <v>89</v>
      </c>
      <c r="D40" s="52" t="s">
        <v>158</v>
      </c>
      <c r="E40" s="52" t="s">
        <v>159</v>
      </c>
      <c r="F40" s="7">
        <v>20</v>
      </c>
      <c r="G40" s="7">
        <v>67</v>
      </c>
      <c r="H40" s="2">
        <v>9</v>
      </c>
      <c r="I40" s="2">
        <v>34</v>
      </c>
      <c r="J40" s="8">
        <f t="shared" si="6"/>
        <v>130</v>
      </c>
      <c r="K40" s="2">
        <f t="shared" si="7"/>
        <v>5</v>
      </c>
      <c r="L40" s="66"/>
      <c r="M40" s="7">
        <v>18</v>
      </c>
      <c r="N40" s="2">
        <v>59</v>
      </c>
      <c r="O40" s="2">
        <v>7</v>
      </c>
      <c r="P40" s="2">
        <v>28</v>
      </c>
      <c r="Q40" s="8">
        <f t="shared" si="8"/>
        <v>112</v>
      </c>
      <c r="R40" s="2">
        <f t="shared" si="9"/>
        <v>4</v>
      </c>
      <c r="S40" s="66"/>
      <c r="T40" s="7">
        <v>10</v>
      </c>
      <c r="U40" s="7">
        <v>43</v>
      </c>
      <c r="V40" s="8">
        <f t="shared" si="10"/>
        <v>53</v>
      </c>
      <c r="W40" s="2">
        <f t="shared" si="11"/>
        <v>3</v>
      </c>
      <c r="X40" s="66"/>
      <c r="Y40" s="7">
        <v>20</v>
      </c>
      <c r="Z40" s="2">
        <v>78</v>
      </c>
      <c r="AA40" s="8">
        <f t="shared" si="12"/>
        <v>98</v>
      </c>
      <c r="AB40" s="2">
        <f t="shared" si="13"/>
        <v>5</v>
      </c>
      <c r="AC40" s="66"/>
      <c r="AD40" s="7">
        <v>14</v>
      </c>
      <c r="AE40" s="2">
        <v>49</v>
      </c>
      <c r="AF40" s="8">
        <f t="shared" si="14"/>
        <v>63</v>
      </c>
      <c r="AG40" s="2">
        <f t="shared" si="15"/>
        <v>3.5</v>
      </c>
      <c r="AH40" s="66"/>
      <c r="AI40" s="7">
        <v>14</v>
      </c>
      <c r="AJ40" s="2">
        <v>66</v>
      </c>
      <c r="AK40" s="8">
        <f t="shared" si="16"/>
        <v>80</v>
      </c>
      <c r="AL40" s="2">
        <f t="shared" si="17"/>
        <v>5</v>
      </c>
      <c r="AM40" s="66"/>
      <c r="AN40" s="2"/>
      <c r="AO40" s="2">
        <v>49</v>
      </c>
      <c r="AP40" s="9">
        <f t="shared" si="18"/>
        <v>49</v>
      </c>
      <c r="AQ40" s="2">
        <f t="shared" si="19"/>
        <v>5</v>
      </c>
      <c r="AR40" s="66"/>
      <c r="AS40" s="2">
        <f t="shared" si="20"/>
        <v>30.5</v>
      </c>
      <c r="AT40" s="10">
        <f t="shared" si="21"/>
        <v>4.3571428571428568</v>
      </c>
      <c r="AU40" s="5">
        <f t="shared" si="22"/>
        <v>536</v>
      </c>
      <c r="AV40" s="3">
        <v>35</v>
      </c>
      <c r="AW40" s="3">
        <v>58</v>
      </c>
      <c r="AX40" s="3" t="str">
        <f t="shared" si="5"/>
        <v>BETTER</v>
      </c>
    </row>
    <row r="41" spans="1:50" ht="12.95" customHeight="1">
      <c r="A41" s="50">
        <v>34</v>
      </c>
      <c r="B41" s="49">
        <v>87</v>
      </c>
      <c r="C41" s="52" t="s">
        <v>90</v>
      </c>
      <c r="D41" s="52" t="s">
        <v>160</v>
      </c>
      <c r="E41" s="52" t="s">
        <v>161</v>
      </c>
      <c r="F41" s="7">
        <v>20</v>
      </c>
      <c r="G41" s="7">
        <v>56</v>
      </c>
      <c r="H41" s="2">
        <v>7</v>
      </c>
      <c r="I41" s="2">
        <v>21</v>
      </c>
      <c r="J41" s="8">
        <f t="shared" si="6"/>
        <v>104</v>
      </c>
      <c r="K41" s="2">
        <f t="shared" si="7"/>
        <v>3.5</v>
      </c>
      <c r="L41" s="66"/>
      <c r="M41" s="7">
        <v>15</v>
      </c>
      <c r="N41" s="2">
        <v>56</v>
      </c>
      <c r="O41" s="2">
        <v>7</v>
      </c>
      <c r="P41" s="2">
        <v>23</v>
      </c>
      <c r="Q41" s="8">
        <f t="shared" si="8"/>
        <v>101</v>
      </c>
      <c r="R41" s="2">
        <f t="shared" si="9"/>
        <v>3.5</v>
      </c>
      <c r="S41" s="66"/>
      <c r="T41" s="7">
        <v>5</v>
      </c>
      <c r="U41" s="7">
        <v>35</v>
      </c>
      <c r="V41" s="8">
        <f t="shared" si="10"/>
        <v>40</v>
      </c>
      <c r="W41" s="2">
        <f t="shared" si="11"/>
        <v>2</v>
      </c>
      <c r="X41" s="66"/>
      <c r="Y41" s="7">
        <v>17</v>
      </c>
      <c r="Z41" s="2">
        <v>79</v>
      </c>
      <c r="AA41" s="8">
        <f t="shared" si="12"/>
        <v>96</v>
      </c>
      <c r="AB41" s="2">
        <f t="shared" si="13"/>
        <v>5</v>
      </c>
      <c r="AC41" s="66"/>
      <c r="AD41" s="7">
        <v>10</v>
      </c>
      <c r="AE41" s="2">
        <v>38</v>
      </c>
      <c r="AF41" s="8">
        <f t="shared" si="14"/>
        <v>48</v>
      </c>
      <c r="AG41" s="2">
        <f t="shared" si="15"/>
        <v>2</v>
      </c>
      <c r="AH41" s="66"/>
      <c r="AI41" s="7">
        <v>12</v>
      </c>
      <c r="AJ41" s="2">
        <v>66</v>
      </c>
      <c r="AK41" s="8">
        <f t="shared" si="16"/>
        <v>78</v>
      </c>
      <c r="AL41" s="2">
        <f t="shared" si="17"/>
        <v>4</v>
      </c>
      <c r="AM41" s="66"/>
      <c r="AN41" s="2"/>
      <c r="AO41" s="2">
        <v>49</v>
      </c>
      <c r="AP41" s="9">
        <f t="shared" si="18"/>
        <v>49</v>
      </c>
      <c r="AQ41" s="2">
        <f t="shared" si="19"/>
        <v>5</v>
      </c>
      <c r="AR41" s="66"/>
      <c r="AS41" s="2">
        <f t="shared" si="20"/>
        <v>25</v>
      </c>
      <c r="AT41" s="10">
        <f t="shared" si="21"/>
        <v>3.5714285714285716</v>
      </c>
      <c r="AU41" s="5">
        <f t="shared" si="22"/>
        <v>467</v>
      </c>
      <c r="AV41" s="3">
        <v>42</v>
      </c>
      <c r="AW41" s="3">
        <v>52</v>
      </c>
      <c r="AX41" s="3" t="str">
        <f t="shared" si="5"/>
        <v>GOOD</v>
      </c>
    </row>
    <row r="42" spans="1:50" ht="12.95" customHeight="1">
      <c r="A42" s="50">
        <v>35</v>
      </c>
      <c r="B42" s="49">
        <v>88</v>
      </c>
      <c r="C42" s="20" t="s">
        <v>91</v>
      </c>
      <c r="D42" s="20" t="s">
        <v>162</v>
      </c>
      <c r="E42" s="20" t="s">
        <v>163</v>
      </c>
      <c r="F42" s="7">
        <v>20</v>
      </c>
      <c r="G42" s="7">
        <v>35</v>
      </c>
      <c r="H42" s="2">
        <v>5</v>
      </c>
      <c r="I42" s="2">
        <v>19</v>
      </c>
      <c r="J42" s="8">
        <f t="shared" si="6"/>
        <v>79</v>
      </c>
      <c r="K42" s="2">
        <f t="shared" si="7"/>
        <v>3</v>
      </c>
      <c r="L42" s="66"/>
      <c r="M42" s="7">
        <v>10</v>
      </c>
      <c r="N42" s="2">
        <v>32</v>
      </c>
      <c r="O42" s="2">
        <v>4</v>
      </c>
      <c r="P42" s="2">
        <v>16</v>
      </c>
      <c r="Q42" s="8">
        <f t="shared" si="8"/>
        <v>62</v>
      </c>
      <c r="R42" s="2">
        <f t="shared" si="9"/>
        <v>2</v>
      </c>
      <c r="S42" s="66"/>
      <c r="T42" s="7">
        <v>5</v>
      </c>
      <c r="U42" s="7">
        <v>19</v>
      </c>
      <c r="V42" s="8">
        <f t="shared" si="10"/>
        <v>24</v>
      </c>
      <c r="W42" s="2" t="str">
        <f t="shared" si="11"/>
        <v>F</v>
      </c>
      <c r="X42" s="66"/>
      <c r="Y42" s="7">
        <v>13</v>
      </c>
      <c r="Z42" s="2">
        <v>47</v>
      </c>
      <c r="AA42" s="8">
        <f t="shared" si="12"/>
        <v>60</v>
      </c>
      <c r="AB42" s="2">
        <f t="shared" si="13"/>
        <v>3.5</v>
      </c>
      <c r="AC42" s="66"/>
      <c r="AD42" s="7">
        <v>0</v>
      </c>
      <c r="AE42" s="2">
        <v>40</v>
      </c>
      <c r="AF42" s="8">
        <f t="shared" si="14"/>
        <v>40</v>
      </c>
      <c r="AG42" s="2">
        <f t="shared" si="15"/>
        <v>2</v>
      </c>
      <c r="AH42" s="66"/>
      <c r="AI42" s="7">
        <v>3</v>
      </c>
      <c r="AJ42" s="2">
        <v>40</v>
      </c>
      <c r="AK42" s="8">
        <f t="shared" si="16"/>
        <v>43</v>
      </c>
      <c r="AL42" s="2">
        <f t="shared" si="17"/>
        <v>2</v>
      </c>
      <c r="AM42" s="66"/>
      <c r="AN42" s="2"/>
      <c r="AO42" s="2">
        <v>28</v>
      </c>
      <c r="AP42" s="9">
        <f t="shared" si="18"/>
        <v>28</v>
      </c>
      <c r="AQ42" s="2">
        <f t="shared" si="19"/>
        <v>3</v>
      </c>
      <c r="AR42" s="66"/>
      <c r="AS42" s="2" t="str">
        <f t="shared" si="20"/>
        <v>F</v>
      </c>
      <c r="AT42" s="10" t="str">
        <f t="shared" si="21"/>
        <v>F</v>
      </c>
      <c r="AU42" s="5">
        <f t="shared" si="22"/>
        <v>308</v>
      </c>
      <c r="AV42" s="3"/>
      <c r="AW42" s="3">
        <v>34</v>
      </c>
      <c r="AX42" s="3" t="str">
        <f t="shared" si="5"/>
        <v>NEED TO PROGRESS</v>
      </c>
    </row>
    <row r="43" spans="1:50" ht="12.95" customHeight="1">
      <c r="A43" s="50">
        <v>36</v>
      </c>
      <c r="B43" s="49">
        <v>90</v>
      </c>
      <c r="C43" s="20" t="s">
        <v>92</v>
      </c>
      <c r="D43" s="51" t="s">
        <v>164</v>
      </c>
      <c r="E43" s="20" t="s">
        <v>165</v>
      </c>
      <c r="F43" s="7"/>
      <c r="G43" s="7">
        <v>71</v>
      </c>
      <c r="H43" s="2"/>
      <c r="I43" s="2">
        <v>36</v>
      </c>
      <c r="J43" s="8">
        <f t="shared" si="6"/>
        <v>107</v>
      </c>
      <c r="K43" s="2">
        <f t="shared" si="7"/>
        <v>4</v>
      </c>
      <c r="L43" s="66"/>
      <c r="M43" s="7"/>
      <c r="N43" s="2">
        <v>84</v>
      </c>
      <c r="O43" s="2"/>
      <c r="P43" s="2">
        <v>40</v>
      </c>
      <c r="Q43" s="8">
        <f t="shared" si="8"/>
        <v>124</v>
      </c>
      <c r="R43" s="2">
        <f t="shared" si="9"/>
        <v>5</v>
      </c>
      <c r="S43" s="66"/>
      <c r="T43" s="7"/>
      <c r="U43" s="7">
        <v>80</v>
      </c>
      <c r="V43" s="8">
        <f t="shared" si="10"/>
        <v>80</v>
      </c>
      <c r="W43" s="2">
        <f t="shared" si="11"/>
        <v>5</v>
      </c>
      <c r="X43" s="66"/>
      <c r="Y43" s="7"/>
      <c r="Z43" s="2"/>
      <c r="AA43" s="8">
        <v>100</v>
      </c>
      <c r="AB43" s="2">
        <f t="shared" si="13"/>
        <v>5</v>
      </c>
      <c r="AC43" s="66"/>
      <c r="AD43" s="7"/>
      <c r="AE43" s="2">
        <v>44</v>
      </c>
      <c r="AF43" s="8">
        <f t="shared" si="14"/>
        <v>44</v>
      </c>
      <c r="AG43" s="2">
        <f t="shared" si="15"/>
        <v>2</v>
      </c>
      <c r="AH43" s="66"/>
      <c r="AI43" s="7"/>
      <c r="AJ43" s="2">
        <v>91</v>
      </c>
      <c r="AK43" s="8">
        <f t="shared" si="16"/>
        <v>91</v>
      </c>
      <c r="AL43" s="2">
        <f t="shared" si="17"/>
        <v>5</v>
      </c>
      <c r="AM43" s="66"/>
      <c r="AN43" s="2"/>
      <c r="AO43" s="2">
        <v>47</v>
      </c>
      <c r="AP43" s="9">
        <f t="shared" si="18"/>
        <v>47</v>
      </c>
      <c r="AQ43" s="2">
        <f t="shared" si="19"/>
        <v>5</v>
      </c>
      <c r="AR43" s="66"/>
      <c r="AS43" s="2">
        <f t="shared" si="20"/>
        <v>31</v>
      </c>
      <c r="AT43" s="10">
        <f t="shared" si="21"/>
        <v>4.4285714285714288</v>
      </c>
      <c r="AU43" s="5">
        <f t="shared" si="22"/>
        <v>546</v>
      </c>
      <c r="AV43" s="3">
        <v>33</v>
      </c>
      <c r="AW43" s="3">
        <v>32</v>
      </c>
      <c r="AX43" s="3" t="str">
        <f t="shared" si="5"/>
        <v>BETTER</v>
      </c>
    </row>
    <row r="44" spans="1:50" ht="12.95" customHeight="1">
      <c r="A44" s="50">
        <v>37</v>
      </c>
      <c r="B44" s="49">
        <v>92</v>
      </c>
      <c r="C44" s="21" t="s">
        <v>93</v>
      </c>
      <c r="D44" s="21"/>
      <c r="E44" s="21"/>
      <c r="F44" s="7">
        <v>15</v>
      </c>
      <c r="G44" s="7">
        <v>30</v>
      </c>
      <c r="H44" s="2"/>
      <c r="I44" s="2">
        <v>20</v>
      </c>
      <c r="J44" s="8">
        <f t="shared" si="6"/>
        <v>65</v>
      </c>
      <c r="K44" s="2">
        <f t="shared" si="7"/>
        <v>2</v>
      </c>
      <c r="L44" s="67"/>
      <c r="M44" s="7"/>
      <c r="N44" s="2">
        <v>40</v>
      </c>
      <c r="O44" s="2"/>
      <c r="P44" s="2">
        <v>20</v>
      </c>
      <c r="Q44" s="8">
        <f t="shared" si="8"/>
        <v>60</v>
      </c>
      <c r="R44" s="2">
        <f t="shared" si="9"/>
        <v>2</v>
      </c>
      <c r="S44" s="67"/>
      <c r="T44" s="7"/>
      <c r="U44" s="7">
        <v>18</v>
      </c>
      <c r="V44" s="8">
        <f t="shared" si="10"/>
        <v>18</v>
      </c>
      <c r="W44" s="2" t="str">
        <f t="shared" si="11"/>
        <v>F</v>
      </c>
      <c r="X44" s="67"/>
      <c r="Y44" s="7"/>
      <c r="Z44" s="2"/>
      <c r="AA44" s="8">
        <v>51</v>
      </c>
      <c r="AB44" s="2">
        <f t="shared" si="13"/>
        <v>3</v>
      </c>
      <c r="AC44" s="67"/>
      <c r="AD44" s="7"/>
      <c r="AE44" s="2">
        <v>96</v>
      </c>
      <c r="AF44" s="8">
        <f t="shared" si="14"/>
        <v>96</v>
      </c>
      <c r="AG44" s="2">
        <f t="shared" si="15"/>
        <v>5</v>
      </c>
      <c r="AH44" s="67"/>
      <c r="AI44" s="7"/>
      <c r="AJ44" s="2">
        <v>46</v>
      </c>
      <c r="AK44" s="8">
        <f t="shared" si="16"/>
        <v>46</v>
      </c>
      <c r="AL44" s="2">
        <f t="shared" si="17"/>
        <v>2</v>
      </c>
      <c r="AM44" s="67"/>
      <c r="AN44" s="2"/>
      <c r="AO44" s="2">
        <v>28</v>
      </c>
      <c r="AP44" s="9">
        <f t="shared" si="18"/>
        <v>28</v>
      </c>
      <c r="AQ44" s="2">
        <f t="shared" si="19"/>
        <v>3</v>
      </c>
      <c r="AR44" s="67"/>
      <c r="AS44" s="2" t="str">
        <f t="shared" si="20"/>
        <v>F</v>
      </c>
      <c r="AT44" s="10" t="str">
        <f t="shared" si="21"/>
        <v>F</v>
      </c>
      <c r="AU44" s="5">
        <f t="shared" si="22"/>
        <v>336</v>
      </c>
      <c r="AV44" s="3"/>
      <c r="AW44" s="3">
        <v>22</v>
      </c>
      <c r="AX44" s="3" t="str">
        <f t="shared" si="5"/>
        <v>NEED TO PROGRESS</v>
      </c>
    </row>
    <row r="46" spans="1:50">
      <c r="A46" s="4">
        <v>0</v>
      </c>
      <c r="B46" s="4">
        <v>1</v>
      </c>
      <c r="C46" s="4">
        <v>2</v>
      </c>
      <c r="D46" s="4">
        <v>3</v>
      </c>
      <c r="E46" s="4">
        <v>4</v>
      </c>
      <c r="F46" s="4">
        <v>5</v>
      </c>
      <c r="G46" s="4">
        <v>6</v>
      </c>
      <c r="H46" s="4">
        <v>7</v>
      </c>
      <c r="I46" s="4">
        <v>8</v>
      </c>
      <c r="J46" s="4">
        <v>9</v>
      </c>
      <c r="K46" s="4">
        <v>10</v>
      </c>
      <c r="L46" s="4">
        <v>11</v>
      </c>
      <c r="M46" s="4">
        <v>12</v>
      </c>
      <c r="N46" s="4">
        <v>13</v>
      </c>
      <c r="O46" s="4">
        <v>14</v>
      </c>
      <c r="P46" s="4">
        <v>15</v>
      </c>
      <c r="Q46" s="4">
        <v>16</v>
      </c>
      <c r="R46" s="4">
        <v>17</v>
      </c>
      <c r="S46" s="4">
        <v>18</v>
      </c>
      <c r="T46" s="4">
        <v>19</v>
      </c>
      <c r="U46" s="4">
        <v>20</v>
      </c>
      <c r="V46" s="4">
        <v>21</v>
      </c>
      <c r="W46" s="4">
        <v>22</v>
      </c>
      <c r="X46" s="4">
        <v>23</v>
      </c>
      <c r="Y46" s="4">
        <v>24</v>
      </c>
      <c r="Z46" s="4">
        <v>25</v>
      </c>
      <c r="AA46" s="4">
        <v>26</v>
      </c>
      <c r="AB46" s="4">
        <v>27</v>
      </c>
      <c r="AC46" s="4">
        <v>28</v>
      </c>
      <c r="AD46" s="4">
        <v>29</v>
      </c>
      <c r="AE46" s="4">
        <v>30</v>
      </c>
      <c r="AF46" s="4">
        <v>31</v>
      </c>
      <c r="AG46" s="4">
        <v>32</v>
      </c>
      <c r="AH46" s="4">
        <v>33</v>
      </c>
      <c r="AI46" s="4">
        <v>34</v>
      </c>
      <c r="AJ46" s="4">
        <v>35</v>
      </c>
      <c r="AK46" s="4">
        <v>36</v>
      </c>
      <c r="AL46" s="4">
        <v>37</v>
      </c>
      <c r="AM46" s="4">
        <v>38</v>
      </c>
      <c r="AN46" s="4">
        <v>39</v>
      </c>
      <c r="AO46" s="4">
        <v>40</v>
      </c>
      <c r="AP46" s="4">
        <v>41</v>
      </c>
      <c r="AQ46" s="4">
        <v>42</v>
      </c>
      <c r="AR46" s="4">
        <v>43</v>
      </c>
      <c r="AS46" s="4">
        <v>44</v>
      </c>
      <c r="AT46" s="4">
        <v>45</v>
      </c>
      <c r="AU46" s="4">
        <v>46</v>
      </c>
      <c r="AV46" s="4">
        <v>47</v>
      </c>
      <c r="AW46" s="4">
        <v>48</v>
      </c>
      <c r="AX46" s="4">
        <v>49</v>
      </c>
    </row>
  </sheetData>
  <mergeCells count="47">
    <mergeCell ref="AI5:AM5"/>
    <mergeCell ref="AR8:AR44"/>
    <mergeCell ref="X8:X44"/>
    <mergeCell ref="AC8:AC44"/>
    <mergeCell ref="AH8:AH44"/>
    <mergeCell ref="AM8:AM44"/>
    <mergeCell ref="X6:X7"/>
    <mergeCell ref="AC6:AC7"/>
    <mergeCell ref="AH6:AH7"/>
    <mergeCell ref="AM6:AM7"/>
    <mergeCell ref="AR6:AR7"/>
    <mergeCell ref="Y6:AB6"/>
    <mergeCell ref="AD6:AG6"/>
    <mergeCell ref="AI6:AL6"/>
    <mergeCell ref="AN6:AQ6"/>
    <mergeCell ref="S6:S7"/>
    <mergeCell ref="E6:E7"/>
    <mergeCell ref="A6:A7"/>
    <mergeCell ref="AV6:AV7"/>
    <mergeCell ref="K6:K7"/>
    <mergeCell ref="L6:L7"/>
    <mergeCell ref="F6:G6"/>
    <mergeCell ref="J6:J7"/>
    <mergeCell ref="AU6:AU7"/>
    <mergeCell ref="AS6:AS7"/>
    <mergeCell ref="AT6:AT7"/>
    <mergeCell ref="Q6:Q7"/>
    <mergeCell ref="R6:R7"/>
    <mergeCell ref="H6:I6"/>
    <mergeCell ref="M6:N6"/>
    <mergeCell ref="T6:W6"/>
    <mergeCell ref="A1:AX4"/>
    <mergeCell ref="L8:L44"/>
    <mergeCell ref="S8:S44"/>
    <mergeCell ref="AW6:AW7"/>
    <mergeCell ref="AX6:AX7"/>
    <mergeCell ref="A5:C5"/>
    <mergeCell ref="E5:G5"/>
    <mergeCell ref="H5:M5"/>
    <mergeCell ref="O5:R5"/>
    <mergeCell ref="S5:U5"/>
    <mergeCell ref="W5:AA5"/>
    <mergeCell ref="AE5:AH5"/>
    <mergeCell ref="D6:D7"/>
    <mergeCell ref="B6:B7"/>
    <mergeCell ref="C6:C7"/>
    <mergeCell ref="O6:P6"/>
  </mergeCells>
  <phoneticPr fontId="25" type="noConversion"/>
  <conditionalFormatting sqref="B8:B27">
    <cfRule type="duplicateValues" dxfId="12" priority="1"/>
  </conditionalFormatting>
  <conditionalFormatting sqref="F8:F44 M8:M44 T8:T44 Y8:Y44 AD8:AD44 AI8:AI44">
    <cfRule type="cellIs" dxfId="11" priority="28" operator="greaterThan">
      <formula>20</formula>
    </cfRule>
  </conditionalFormatting>
  <conditionalFormatting sqref="G8:G44 U8:V44 AA8:AA44 AF8:AF44 AK8:AK44">
    <cfRule type="cellIs" dxfId="10" priority="25" operator="greaterThan">
      <formula>100</formula>
    </cfRule>
  </conditionalFormatting>
  <conditionalFormatting sqref="H8:H44 O8:O44 AN8:AN44">
    <cfRule type="cellIs" dxfId="9" priority="29" operator="greaterThan">
      <formula>10</formula>
    </cfRule>
  </conditionalFormatting>
  <conditionalFormatting sqref="I8:I44">
    <cfRule type="cellIs" dxfId="8" priority="26" operator="greaterThan">
      <formula>50</formula>
    </cfRule>
  </conditionalFormatting>
  <conditionalFormatting sqref="J8:J44 Q8:Q44">
    <cfRule type="cellIs" dxfId="7" priority="27" operator="greaterThan">
      <formula>150</formula>
    </cfRule>
  </conditionalFormatting>
  <conditionalFormatting sqref="AP8:AP44">
    <cfRule type="cellIs" dxfId="6" priority="4" operator="greaterThan">
      <formula>50</formula>
    </cfRule>
  </conditionalFormatting>
  <conditionalFormatting sqref="AS6:AS7">
    <cfRule type="cellIs" dxfId="5" priority="34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scale="96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L40"/>
  <sheetViews>
    <sheetView topLeftCell="A13" zoomScale="115" zoomScaleNormal="115" workbookViewId="0">
      <selection activeCell="B36" sqref="B36:L36"/>
    </sheetView>
  </sheetViews>
  <sheetFormatPr defaultRowHeight="15"/>
  <cols>
    <col min="1" max="1" width="3" customWidth="1"/>
    <col min="2" max="2" width="20.28515625" customWidth="1"/>
    <col min="3" max="3" width="7.710937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2" spans="2:12" ht="15" customHeight="1">
      <c r="B2" s="114" t="s">
        <v>56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2:12" ht="15" customHeight="1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2:12" ht="15" customHeight="1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2:12" ht="23.1" customHeight="1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</row>
    <row r="6" spans="2:12" ht="24" customHeight="1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</row>
    <row r="7" spans="2:12" ht="20.100000000000001" customHeight="1">
      <c r="B7" s="26" t="s">
        <v>18</v>
      </c>
      <c r="C7" s="115" t="str">
        <f>IFERROR(VLOOKUP(I9,'1st_Semeter'!B$6:AX$44,2,0),"ENTER RIGHT ROLL")</f>
        <v>Mohammod Jarif Al Rafi</v>
      </c>
      <c r="D7" s="115"/>
      <c r="E7" s="115"/>
      <c r="F7" s="27"/>
      <c r="G7" s="116" t="s">
        <v>41</v>
      </c>
      <c r="H7" s="116"/>
      <c r="I7" s="115" t="str">
        <f>'1st_Semeter'!D5</f>
        <v>FIVE</v>
      </c>
      <c r="J7" s="115"/>
      <c r="K7" s="115"/>
      <c r="L7" s="117"/>
    </row>
    <row r="8" spans="2:12" ht="20.100000000000001" customHeight="1">
      <c r="B8" s="22" t="s">
        <v>19</v>
      </c>
      <c r="C8" s="118" t="str">
        <f>IFERROR(VLOOKUP(I9,'1st_Semeter'!B$6:AX$44,3,0),"")</f>
        <v>Md. Nazrul Islam Mridha</v>
      </c>
      <c r="D8" s="118"/>
      <c r="E8" s="118"/>
      <c r="F8" s="28"/>
      <c r="G8" s="119" t="s">
        <v>32</v>
      </c>
      <c r="H8" s="119"/>
      <c r="I8" s="118" t="str">
        <f>'1st_Semeter'!S5</f>
        <v>SHAPLA</v>
      </c>
      <c r="J8" s="118"/>
      <c r="K8" s="118"/>
      <c r="L8" s="120"/>
    </row>
    <row r="9" spans="2:12" ht="20.100000000000001" customHeight="1">
      <c r="B9" s="22" t="s">
        <v>42</v>
      </c>
      <c r="C9" s="118" t="str">
        <f>IFERROR(VLOOKUP(I9,'1st_Semeter'!B$6:AX$44,4,0),"")</f>
        <v>Jesmin Afroz</v>
      </c>
      <c r="D9" s="118"/>
      <c r="E9" s="118"/>
      <c r="F9" s="23"/>
      <c r="G9" s="119" t="s">
        <v>1</v>
      </c>
      <c r="H9" s="119"/>
      <c r="I9" s="121">
        <v>6</v>
      </c>
      <c r="J9" s="121"/>
      <c r="K9" s="121"/>
      <c r="L9" s="122"/>
    </row>
    <row r="10" spans="2:12" ht="20.100000000000001" customHeight="1">
      <c r="B10" s="22" t="s">
        <v>43</v>
      </c>
      <c r="C10" s="118" t="str">
        <f>'1st_Semeter'!H5</f>
        <v>REZAUL KARIM</v>
      </c>
      <c r="D10" s="118"/>
      <c r="E10" s="118"/>
      <c r="F10" s="119" t="s">
        <v>29</v>
      </c>
      <c r="G10" s="119"/>
      <c r="H10" s="119"/>
      <c r="I10" s="121">
        <f>'1st_Semeter'!AC5</f>
        <v>71</v>
      </c>
      <c r="J10" s="121"/>
      <c r="K10" s="121"/>
      <c r="L10" s="122"/>
    </row>
    <row r="11" spans="2:12" ht="20.100000000000001" customHeight="1">
      <c r="B11" s="22" t="s">
        <v>44</v>
      </c>
      <c r="C11" s="123" t="str">
        <f>'1st_Semeter'!AI5</f>
        <v>01775-631011</v>
      </c>
      <c r="D11" s="123"/>
      <c r="E11" s="123"/>
      <c r="F11" s="23"/>
      <c r="G11" s="23"/>
      <c r="H11" s="23"/>
      <c r="I11" s="24"/>
      <c r="J11" s="24"/>
      <c r="K11" s="24"/>
      <c r="L11" s="25"/>
    </row>
    <row r="12" spans="2:12" ht="15" customHeight="1">
      <c r="B12" s="125" t="s">
        <v>20</v>
      </c>
      <c r="C12" s="125"/>
      <c r="D12" s="125"/>
      <c r="E12" s="124" t="s">
        <v>21</v>
      </c>
      <c r="F12" s="124" t="s">
        <v>22</v>
      </c>
      <c r="G12" s="128" t="s">
        <v>40</v>
      </c>
      <c r="H12" s="124" t="s">
        <v>23</v>
      </c>
      <c r="I12" s="124" t="s">
        <v>24</v>
      </c>
      <c r="J12" s="125" t="s">
        <v>4</v>
      </c>
      <c r="K12" s="127" t="s">
        <v>39</v>
      </c>
      <c r="L12" s="126" t="s">
        <v>11</v>
      </c>
    </row>
    <row r="13" spans="2:12" ht="15" customHeight="1">
      <c r="B13" s="125"/>
      <c r="C13" s="125"/>
      <c r="D13" s="125"/>
      <c r="E13" s="124"/>
      <c r="F13" s="124"/>
      <c r="G13" s="128"/>
      <c r="H13" s="124"/>
      <c r="I13" s="124"/>
      <c r="J13" s="125"/>
      <c r="K13" s="127"/>
      <c r="L13" s="126"/>
    </row>
    <row r="14" spans="2:12" ht="15" customHeight="1">
      <c r="B14" s="125"/>
      <c r="C14" s="125"/>
      <c r="D14" s="125"/>
      <c r="E14" s="124"/>
      <c r="F14" s="124"/>
      <c r="G14" s="128"/>
      <c r="H14" s="124"/>
      <c r="I14" s="124"/>
      <c r="J14" s="125"/>
      <c r="K14" s="127"/>
      <c r="L14" s="126"/>
    </row>
    <row r="15" spans="2:12" ht="15" customHeight="1">
      <c r="B15" s="125"/>
      <c r="C15" s="125"/>
      <c r="D15" s="125"/>
      <c r="E15" s="124"/>
      <c r="F15" s="124"/>
      <c r="G15" s="128"/>
      <c r="H15" s="124"/>
      <c r="I15" s="124"/>
      <c r="J15" s="125"/>
      <c r="K15" s="127"/>
      <c r="L15" s="126"/>
    </row>
    <row r="16" spans="2:12" ht="15" customHeight="1">
      <c r="B16" s="125"/>
      <c r="C16" s="125"/>
      <c r="D16" s="125"/>
      <c r="E16" s="124"/>
      <c r="F16" s="124"/>
      <c r="G16" s="128"/>
      <c r="H16" s="124"/>
      <c r="I16" s="124"/>
      <c r="J16" s="125"/>
      <c r="K16" s="127"/>
      <c r="L16" s="126"/>
    </row>
    <row r="17" spans="2:12" ht="15" customHeight="1">
      <c r="B17" s="125"/>
      <c r="C17" s="125"/>
      <c r="D17" s="125"/>
      <c r="E17" s="124"/>
      <c r="F17" s="124"/>
      <c r="G17" s="128"/>
      <c r="H17" s="124"/>
      <c r="I17" s="124"/>
      <c r="J17" s="125"/>
      <c r="K17" s="127"/>
      <c r="L17" s="126"/>
    </row>
    <row r="18" spans="2:12" ht="15" customHeight="1">
      <c r="B18" s="125"/>
      <c r="C18" s="125"/>
      <c r="D18" s="125"/>
      <c r="E18" s="124"/>
      <c r="F18" s="124"/>
      <c r="G18" s="128"/>
      <c r="H18" s="124"/>
      <c r="I18" s="124"/>
      <c r="J18" s="125"/>
      <c r="K18" s="127"/>
      <c r="L18" s="126"/>
    </row>
    <row r="19" spans="2:12" ht="15" customHeight="1">
      <c r="B19" s="125"/>
      <c r="C19" s="125"/>
      <c r="D19" s="125"/>
      <c r="E19" s="124"/>
      <c r="F19" s="124"/>
      <c r="G19" s="128"/>
      <c r="H19" s="124"/>
      <c r="I19" s="124"/>
      <c r="J19" s="125"/>
      <c r="K19" s="127"/>
      <c r="L19" s="126"/>
    </row>
    <row r="20" spans="2:12" ht="33.75" customHeight="1">
      <c r="B20" s="99" t="s">
        <v>38</v>
      </c>
      <c r="C20" s="99"/>
      <c r="D20" s="99"/>
      <c r="E20" s="29">
        <v>100</v>
      </c>
      <c r="F20" s="30">
        <f>IFERROR(VLOOKUP(I$9,'1st_Semeter'!B$6:AX$44,5,0),"")</f>
        <v>20</v>
      </c>
      <c r="G20" s="30">
        <f>IFERROR(VLOOKUP(I$9,'1st_Semeter'!B$6:AX$44,6,0),"")</f>
        <v>75</v>
      </c>
      <c r="H20" s="100">
        <f>IFERROR(VLOOKUP(I$9,'1st_Semeter'!B$6:AX$44,9,0),"")</f>
        <v>144</v>
      </c>
      <c r="I20" s="100">
        <f>'1st_Semeter'!L8</f>
        <v>148</v>
      </c>
      <c r="J20" s="99">
        <f>IFERROR(VLOOKUP(I$9,'1st_Semeter'!B$6:AX$44,10,0),"")</f>
        <v>5</v>
      </c>
      <c r="K20" s="97" t="str">
        <f>IF(J20="F","F",IF(J20&lt;2.5,"D",IF(J20&lt;3,"C",IF(J20&lt;3.5,"B",IF(J20&lt;4,"A-",IF(J20&lt;5,"A","A+"))))))</f>
        <v>A+</v>
      </c>
      <c r="L20" s="94">
        <f>IFERROR(VLOOKUP(I$9,'1st_Semeter'!B$6:AX$44,45,0),"")</f>
        <v>4.8571428571428568</v>
      </c>
    </row>
    <row r="21" spans="2:12" ht="33.75" customHeight="1">
      <c r="B21" s="99" t="s">
        <v>37</v>
      </c>
      <c r="C21" s="99"/>
      <c r="D21" s="99"/>
      <c r="E21" s="29">
        <v>50</v>
      </c>
      <c r="F21" s="30">
        <f>IFERROR(VLOOKUP(I$9,'1st_Semeter'!B$6:AX$44,7,0),"")</f>
        <v>10</v>
      </c>
      <c r="G21" s="30">
        <f>IFERROR(VLOOKUP(I$9,'1st_Semeter'!B$6:AX$44,8,0),"")</f>
        <v>39</v>
      </c>
      <c r="H21" s="100" t="str">
        <f>IFERROR(VLOOKUP(J$9,'1st_Semeter'!C$6:AX$44,7,0),"")</f>
        <v/>
      </c>
      <c r="I21" s="100"/>
      <c r="J21" s="99" t="str">
        <f>IFERROR(VLOOKUP(L$9,'1st_Semeter'!E$6:AX$44,7,0),"")</f>
        <v/>
      </c>
      <c r="K21" s="98"/>
      <c r="L21" s="95"/>
    </row>
    <row r="22" spans="2:12" ht="31.5" customHeight="1">
      <c r="B22" s="99" t="s">
        <v>13</v>
      </c>
      <c r="C22" s="99"/>
      <c r="D22" s="99"/>
      <c r="E22" s="29">
        <v>100</v>
      </c>
      <c r="F22" s="30">
        <f>IFERROR(VLOOKUP(I$9,'1st_Semeter'!B$6:AX$44,12,0),"")</f>
        <v>19</v>
      </c>
      <c r="G22" s="30">
        <f>IFERROR(VLOOKUP(I$9,'1st_Semeter'!B$6:AX$44,13,0),"")</f>
        <v>64</v>
      </c>
      <c r="H22" s="100">
        <f>IFERROR(VLOOKUP(I$9,'1st_Semeter'!B$6:AX$44,16,0),"")</f>
        <v>130</v>
      </c>
      <c r="I22" s="100">
        <f>'1st_Semeter'!S8</f>
        <v>149</v>
      </c>
      <c r="J22" s="99">
        <f>IFERROR(VLOOKUP(I$9,'1st_Semeter'!B$6:AX$44,17,0),"")</f>
        <v>5</v>
      </c>
      <c r="K22" s="97" t="str">
        <f>IF(J22="F","F",IF(J22&lt;2.5,"D",IF(J22&lt;3,"C",IF(J22&lt;3.5,"B",IF(J22&lt;4,"A-",IF(J22&lt;5,"A","A+"))))))</f>
        <v>A+</v>
      </c>
      <c r="L22" s="95"/>
    </row>
    <row r="23" spans="2:12" ht="30.75" customHeight="1">
      <c r="B23" s="99" t="s">
        <v>14</v>
      </c>
      <c r="C23" s="99"/>
      <c r="D23" s="99"/>
      <c r="E23" s="29">
        <v>50</v>
      </c>
      <c r="F23" s="30">
        <f>IFERROR(VLOOKUP(I$9,'1st_Semeter'!B$6:AX$44,14,0),"")</f>
        <v>10</v>
      </c>
      <c r="G23" s="30">
        <f>IFERROR(VLOOKUP(I$9,'1st_Semeter'!B$6:AX$44,15,0),"")</f>
        <v>37</v>
      </c>
      <c r="H23" s="100" t="str">
        <f>IFERROR(VLOOKUP(J$9,'1st_Semeter'!C$6:AX$44,7,0),"")</f>
        <v/>
      </c>
      <c r="I23" s="100"/>
      <c r="J23" s="99" t="str">
        <f>IFERROR(VLOOKUP(L$9,'1st_Semeter'!E$6:AX$44,7,0),"")</f>
        <v/>
      </c>
      <c r="K23" s="98"/>
      <c r="L23" s="95"/>
    </row>
    <row r="24" spans="2:12" ht="31.5" customHeight="1">
      <c r="B24" s="99" t="s">
        <v>15</v>
      </c>
      <c r="C24" s="99"/>
      <c r="D24" s="99"/>
      <c r="E24" s="29">
        <v>100</v>
      </c>
      <c r="F24" s="30">
        <f>IFERROR(VLOOKUP(I$9,'1st_Semeter'!B$6:AX$44,19,0),"")</f>
        <v>15</v>
      </c>
      <c r="G24" s="30">
        <f>IFERROR(VLOOKUP(I$9,'1st_Semeter'!B$6:AX$44,20,0),"")</f>
        <v>62</v>
      </c>
      <c r="H24" s="30">
        <f>IFERROR(VLOOKUP(I$9,'1st_Semeter'!B$6:AX$44,21,0),"")</f>
        <v>77</v>
      </c>
      <c r="I24" s="30">
        <f>'1st_Semeter'!X8</f>
        <v>85</v>
      </c>
      <c r="J24" s="29">
        <f>IFERROR(VLOOKUP(I$9,'1st_Semeter'!B$6:AX$44,22,0),"")</f>
        <v>4</v>
      </c>
      <c r="K24" s="31" t="str">
        <f t="shared" ref="K24:K28" si="0">IF(J24="F","F",IF(J24&lt;2.5,"D",IF(J24&lt;3,"C",IF(J24&lt;3.5,"B",IF(J24&lt;4,"A-",IF(J24&lt;5,"A","A+"))))))</f>
        <v>A</v>
      </c>
      <c r="L24" s="95"/>
    </row>
    <row r="25" spans="2:12" ht="30" customHeight="1">
      <c r="B25" s="99" t="s">
        <v>7</v>
      </c>
      <c r="C25" s="99"/>
      <c r="D25" s="99"/>
      <c r="E25" s="29">
        <v>100</v>
      </c>
      <c r="F25" s="30">
        <f>IFERROR(VLOOKUP(I$9,'1st_Semeter'!B$6:AX$44,24,0),"")</f>
        <v>20</v>
      </c>
      <c r="G25" s="30">
        <f>IFERROR(VLOOKUP(I$9,'1st_Semeter'!B$6:AX$44,25,0),"")</f>
        <v>77</v>
      </c>
      <c r="H25" s="30">
        <f>IFERROR(VLOOKUP(I$9,'1st_Semeter'!B$6:AX$44,26,0),"")</f>
        <v>97</v>
      </c>
      <c r="I25" s="30">
        <f>'1st_Semeter'!AC8</f>
        <v>100</v>
      </c>
      <c r="J25" s="29">
        <f>IFERROR(VLOOKUP(I$9,'1st_Semeter'!B$6:AX$44,27,0),"")</f>
        <v>5</v>
      </c>
      <c r="K25" s="31" t="str">
        <f t="shared" si="0"/>
        <v>A+</v>
      </c>
      <c r="L25" s="95"/>
    </row>
    <row r="26" spans="2:12" ht="31.5" customHeight="1">
      <c r="B26" s="99" t="s">
        <v>8</v>
      </c>
      <c r="C26" s="99"/>
      <c r="D26" s="99"/>
      <c r="E26" s="29">
        <v>100</v>
      </c>
      <c r="F26" s="30">
        <f>IFERROR(VLOOKUP(I$9,'1st_Semeter'!B$6:AX$44,29,0),"")</f>
        <v>19</v>
      </c>
      <c r="G26" s="30">
        <f>IFERROR(VLOOKUP(I$9,'1st_Semeter'!B$6:AX$44,30,0),"")</f>
        <v>72</v>
      </c>
      <c r="H26" s="30">
        <f>IFERROR(VLOOKUP(I$9,'1st_Semeter'!B$6:AX$44,31,0),"")</f>
        <v>91</v>
      </c>
      <c r="I26" s="30">
        <f>'1st_Semeter'!AH8</f>
        <v>97</v>
      </c>
      <c r="J26" s="29">
        <f>IFERROR(VLOOKUP(I$9,'1st_Semeter'!B$6:AX$44,32,0),"")</f>
        <v>5</v>
      </c>
      <c r="K26" s="31" t="str">
        <f t="shared" si="0"/>
        <v>A+</v>
      </c>
      <c r="L26" s="95"/>
    </row>
    <row r="27" spans="2:12" ht="35.25" customHeight="1">
      <c r="B27" s="107" t="s">
        <v>9</v>
      </c>
      <c r="C27" s="107"/>
      <c r="D27" s="107"/>
      <c r="E27" s="29">
        <v>100</v>
      </c>
      <c r="F27" s="30">
        <f>IFERROR(VLOOKUP(I$9,'1st_Semeter'!B$6:AX$44,34,0),"")</f>
        <v>20</v>
      </c>
      <c r="G27" s="30">
        <f>IFERROR(VLOOKUP(I$9,'1st_Semeter'!B$6:AX$44,35,0),"")</f>
        <v>70</v>
      </c>
      <c r="H27" s="30">
        <f>IFERROR(VLOOKUP(I$9,'1st_Semeter'!B$6:AX$44,36,0),"")</f>
        <v>90</v>
      </c>
      <c r="I27" s="30">
        <f>'1st_Semeter'!AM8</f>
        <v>98</v>
      </c>
      <c r="J27" s="29">
        <f>IFERROR(VLOOKUP(I$9,'1st_Semeter'!B$6:AX$44,37,0),"")</f>
        <v>5</v>
      </c>
      <c r="K27" s="31" t="str">
        <f t="shared" si="0"/>
        <v>A+</v>
      </c>
      <c r="L27" s="95"/>
    </row>
    <row r="28" spans="2:12" ht="35.25" customHeight="1">
      <c r="B28" s="101" t="s">
        <v>45</v>
      </c>
      <c r="C28" s="102"/>
      <c r="D28" s="103"/>
      <c r="E28" s="29">
        <v>50</v>
      </c>
      <c r="F28" s="30">
        <f>IFERROR(VLOOKUP(I$9,'1st_Semeter'!B$6:AX$44,39,0),"")</f>
        <v>0</v>
      </c>
      <c r="G28" s="30">
        <f>IFERROR(VLOOKUP(I$9,'1st_Semeter'!B$6:AX$44,40,0),"")</f>
        <v>49</v>
      </c>
      <c r="H28" s="30">
        <f>IFERROR(VLOOKUP(I$9,'1st_Semeter'!B$6:AX$44,41,0),"")</f>
        <v>49</v>
      </c>
      <c r="I28" s="30">
        <f>'1st_Semeter'!AR8</f>
        <v>50</v>
      </c>
      <c r="J28" s="29">
        <f>IFERROR(VLOOKUP(I$9,'1st_Semeter'!B$6:AX$44,42,0),"")</f>
        <v>5</v>
      </c>
      <c r="K28" s="31" t="str">
        <f t="shared" si="0"/>
        <v>A+</v>
      </c>
      <c r="L28" s="96"/>
    </row>
    <row r="29" spans="2:12" ht="35.25" customHeight="1">
      <c r="B29" s="108" t="s">
        <v>25</v>
      </c>
      <c r="C29" s="108"/>
      <c r="D29" s="108"/>
      <c r="E29" s="29">
        <f>SUM(E20:E28)</f>
        <v>750</v>
      </c>
      <c r="F29" s="109"/>
      <c r="G29" s="109"/>
      <c r="H29" s="30">
        <f>SUM(H20:H27)</f>
        <v>629</v>
      </c>
      <c r="I29" s="113"/>
      <c r="J29" s="113"/>
      <c r="K29" s="32"/>
      <c r="L29" s="33"/>
    </row>
    <row r="30" spans="2:12" ht="25.5" customHeight="1">
      <c r="B30" s="34"/>
      <c r="C30" s="35"/>
      <c r="D30" s="35"/>
      <c r="E30" s="36"/>
      <c r="F30" s="37"/>
      <c r="G30" s="38"/>
      <c r="H30" s="37"/>
      <c r="I30" s="37"/>
      <c r="J30" s="37"/>
      <c r="K30" s="37"/>
      <c r="L30" s="39"/>
    </row>
    <row r="31" spans="2:12" ht="27" customHeight="1">
      <c r="B31" s="110" t="s">
        <v>50</v>
      </c>
      <c r="C31" s="111"/>
      <c r="D31" s="111"/>
      <c r="E31" s="40">
        <f>IFERROR(VLOOKUP(I$9,'1st_Semeter'!B$6:AX$44,48,0),"")</f>
        <v>65</v>
      </c>
      <c r="F31" s="112" t="s">
        <v>46</v>
      </c>
      <c r="G31" s="112"/>
      <c r="H31" s="112"/>
      <c r="I31" s="112"/>
      <c r="J31" s="59">
        <f>IFERROR(VLOOKUP(I9,'1st_Semeter'!B$6:AX$44,47,0),"")</f>
        <v>9</v>
      </c>
      <c r="K31" s="40"/>
      <c r="L31" s="41"/>
    </row>
    <row r="32" spans="2:12" ht="22.5" customHeight="1">
      <c r="B32" s="104" t="s">
        <v>49</v>
      </c>
      <c r="C32" s="105"/>
      <c r="D32" s="105"/>
      <c r="E32" s="106" t="str">
        <f>IFERROR(VLOOKUP(I9,'1st_Semeter'!B$6:AX$44,49,0),"")</f>
        <v>BETTER</v>
      </c>
      <c r="F32" s="106"/>
      <c r="G32" s="106"/>
      <c r="H32" s="106"/>
      <c r="I32" s="37"/>
      <c r="J32" s="37"/>
      <c r="K32" s="37"/>
      <c r="L32" s="41"/>
    </row>
    <row r="33" spans="2:12" ht="22.5" customHeight="1">
      <c r="B33" s="42"/>
      <c r="C33" s="43"/>
      <c r="D33" s="43"/>
      <c r="E33" s="37"/>
      <c r="F33" s="37"/>
      <c r="G33" s="38"/>
      <c r="H33" s="37"/>
      <c r="I33" s="37"/>
      <c r="J33" s="37"/>
      <c r="K33" s="37"/>
      <c r="L33" s="41"/>
    </row>
    <row r="34" spans="2:12" ht="22.5" customHeight="1">
      <c r="B34" s="42"/>
      <c r="C34" s="43"/>
      <c r="D34" s="43"/>
      <c r="E34" s="37"/>
      <c r="F34" s="37"/>
      <c r="G34" s="38"/>
      <c r="H34" s="37"/>
      <c r="I34" s="37"/>
      <c r="J34" s="37"/>
      <c r="K34" s="37"/>
      <c r="L34" s="41"/>
    </row>
    <row r="35" spans="2:12">
      <c r="B35" s="44"/>
      <c r="C35" s="37"/>
      <c r="D35" s="37"/>
      <c r="E35" s="37"/>
      <c r="F35" s="37"/>
      <c r="G35" s="38"/>
      <c r="H35" s="37"/>
      <c r="I35" s="37"/>
      <c r="J35" s="37"/>
      <c r="K35" s="37"/>
      <c r="L35" s="41"/>
    </row>
    <row r="36" spans="2:12" ht="15.75" customHeight="1">
      <c r="B36" s="60" t="s">
        <v>166</v>
      </c>
      <c r="C36" s="55"/>
      <c r="D36" s="56"/>
      <c r="E36" s="58" t="s">
        <v>167</v>
      </c>
      <c r="F36" s="58"/>
      <c r="H36" s="55"/>
      <c r="I36" s="55"/>
      <c r="J36" s="57" t="s">
        <v>168</v>
      </c>
      <c r="L36" s="41"/>
    </row>
    <row r="37" spans="2:12">
      <c r="B37" s="44"/>
      <c r="C37" s="37"/>
      <c r="D37" s="37"/>
      <c r="E37" s="37"/>
      <c r="F37" s="37"/>
      <c r="G37" s="38"/>
      <c r="H37" s="37"/>
      <c r="I37" s="37"/>
      <c r="J37" s="37"/>
      <c r="K37" s="37"/>
      <c r="L37" s="45"/>
    </row>
    <row r="38" spans="2:12" hidden="1">
      <c r="B38" s="44"/>
      <c r="C38" s="37"/>
      <c r="D38" s="37"/>
      <c r="E38" s="37"/>
      <c r="F38" s="37"/>
      <c r="G38" s="38"/>
      <c r="H38" s="37"/>
      <c r="I38" s="37"/>
      <c r="J38" s="37"/>
      <c r="K38" s="37"/>
      <c r="L38" s="41"/>
    </row>
    <row r="39" spans="2:12">
      <c r="B39" s="46"/>
      <c r="C39" s="47"/>
      <c r="D39" s="47"/>
      <c r="E39" s="47"/>
      <c r="F39" s="47"/>
      <c r="G39" s="47"/>
      <c r="H39" s="47"/>
      <c r="I39" s="47"/>
      <c r="J39" s="47"/>
      <c r="K39" s="47"/>
      <c r="L39" s="48"/>
    </row>
    <row r="40" spans="2:12" ht="15.95" customHeight="1"/>
  </sheetData>
  <mergeCells count="48">
    <mergeCell ref="C11:E11"/>
    <mergeCell ref="I12:I19"/>
    <mergeCell ref="J12:J19"/>
    <mergeCell ref="L12:L19"/>
    <mergeCell ref="K12:K19"/>
    <mergeCell ref="B12:D19"/>
    <mergeCell ref="E12:E19"/>
    <mergeCell ref="F12:F19"/>
    <mergeCell ref="G12:G19"/>
    <mergeCell ref="H12:H19"/>
    <mergeCell ref="G9:H9"/>
    <mergeCell ref="C9:E9"/>
    <mergeCell ref="I9:L9"/>
    <mergeCell ref="C10:E10"/>
    <mergeCell ref="F10:H10"/>
    <mergeCell ref="I10:L10"/>
    <mergeCell ref="B2:L6"/>
    <mergeCell ref="C7:E7"/>
    <mergeCell ref="G7:H7"/>
    <mergeCell ref="I7:L7"/>
    <mergeCell ref="C8:E8"/>
    <mergeCell ref="G8:H8"/>
    <mergeCell ref="I8:L8"/>
    <mergeCell ref="B32:D32"/>
    <mergeCell ref="E32:H32"/>
    <mergeCell ref="B20:D20"/>
    <mergeCell ref="B22:D22"/>
    <mergeCell ref="B24:D24"/>
    <mergeCell ref="B25:D25"/>
    <mergeCell ref="B26:D26"/>
    <mergeCell ref="B27:D27"/>
    <mergeCell ref="B29:D29"/>
    <mergeCell ref="F29:G29"/>
    <mergeCell ref="B23:D23"/>
    <mergeCell ref="H22:H23"/>
    <mergeCell ref="B31:D31"/>
    <mergeCell ref="F31:I31"/>
    <mergeCell ref="I29:J29"/>
    <mergeCell ref="L20:L28"/>
    <mergeCell ref="K20:K21"/>
    <mergeCell ref="K22:K23"/>
    <mergeCell ref="B21:D21"/>
    <mergeCell ref="H20:H21"/>
    <mergeCell ref="I20:I21"/>
    <mergeCell ref="J20:J21"/>
    <mergeCell ref="I22:I23"/>
    <mergeCell ref="J22:J23"/>
    <mergeCell ref="B28:D28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0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" right="0" top="0.19685039370078741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2025-05-15T14:01:17Z</dcterms:modified>
</cp:coreProperties>
</file>